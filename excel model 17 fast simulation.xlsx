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TZS\Dropbox\Frank\Stranded assets\"/>
    </mc:Choice>
  </mc:AlternateContent>
  <xr:revisionPtr revIDLastSave="0" documentId="13_ncr:1_{B762109B-26C0-410B-BDA9-C68D8B6F3DC9}" xr6:coauthVersionLast="47" xr6:coauthVersionMax="47" xr10:uidLastSave="{00000000-0000-0000-0000-000000000000}"/>
  <bookViews>
    <workbookView xWindow="-120" yWindow="-120" windowWidth="29040" windowHeight="15720" activeTab="1" xr2:uid="{1FFC97B4-DE66-4F5D-8FE1-18DDD5502FA4}"/>
  </bookViews>
  <sheets>
    <sheet name="Parameters" sheetId="1" r:id="rId1"/>
    <sheet name="6states" sheetId="6" r:id="rId2"/>
    <sheet name="6states,constantT&amp;epsilon" sheetId="11" r:id="rId3"/>
    <sheet name="Graphs" sheetId="7" r:id="rId4"/>
  </sheets>
  <definedNames>
    <definedName name="ControlVars" comment="Control variables">'6states'!$B$4:$D$24,'6states'!$B$26:$D$26,'6states'!$B$28:$D$28,'6states'!$B$30:$D$30,'6states'!$B$32:$D$32,'6states'!$B$34:$D$34,'6states'!$B$36:$D$36,'6states'!$B$38:$D$38,'6states'!$B$40:$D$40,'6states'!$B$42:$D$42,'6states'!$B$44:$D$44,'6states'!$B$47:$D$47,'6states'!$B$50:$D$50,'6states'!$B$53:$D$53,'6states'!$B$57:$D$57,'6states'!$B$61:$D$61,'6states'!$B$65:$D$65,'6states'!$B$70:$D$70,'6states'!$B$75:$D$75,'6states'!$B$85:$D$85,'6states'!$B$95:$D$95,'6states'!$B$119:$D$119</definedName>
    <definedName name="ControlVars1to20">'6states'!$B$4:$D$24</definedName>
    <definedName name="solver_adj" localSheetId="1" hidden="1">'6states'!$B$4:$D$24,'6states'!$B$26:$D$26,'6states'!$B$28:$D$28,'6states'!$B$30:$D$30,'6states'!$B$32:$D$32,'6states'!$B$34:$D$34,'6states'!$B$36:$D$36,'6states'!$B$38:$D$38,'6states'!$B$40:$D$40,'6states'!$B$42:$D$42,'6states'!$B$44:$D$44,'6states'!$B$47:$D$47,'6states'!$B$50:$D$50,'6states'!$B$53:$D$53,'6states'!$B$57:$D$57,'6states'!$B$61:$D$61,'6states'!$B$65:$D$65,'6states'!$B$70:$D$70,'6states'!$B$75:$D$75,'6states'!$B$85:$D$85,'6states'!$B$95:$D$95,'6states'!$B$119:$D$119</definedName>
    <definedName name="solver_adj" localSheetId="2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0" hidden="1">Parameters!$B$12,Parameters!$B$61,Parameters!$B$64,Parameters!$B$63</definedName>
    <definedName name="solver_cvg" localSheetId="1" hidden="1">0.000001</definedName>
    <definedName name="solver_cvg" localSheetId="2" hidden="1">0.0001</definedName>
    <definedName name="solver_cvg" localSheetId="3" hidden="1">0.0001</definedName>
    <definedName name="solver_cvg" localSheetId="0" hidden="1">0.0001</definedName>
    <definedName name="solver_drv" localSheetId="1" hidden="1">1</definedName>
    <definedName name="solver_drv" localSheetId="2" hidden="1">2</definedName>
    <definedName name="solver_drv" localSheetId="3" hidden="1">2</definedName>
    <definedName name="solver_drv" localSheetId="0" hidden="1">1</definedName>
    <definedName name="solver_eng" localSheetId="1" hidden="1">1</definedName>
    <definedName name="solver_eng" localSheetId="2" hidden="1">1</definedName>
    <definedName name="solver_eng" localSheetId="3" hidden="1">1</definedName>
    <definedName name="solver_eng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0" hidden="1">1</definedName>
    <definedName name="solver_itr" localSheetId="1" hidden="1">100</definedName>
    <definedName name="solver_itr" localSheetId="2" hidden="1">2147483647</definedName>
    <definedName name="solver_itr" localSheetId="3" hidden="1">2147483647</definedName>
    <definedName name="solver_itr" localSheetId="0" hidden="1">2147483647</definedName>
    <definedName name="solver_lhs1" localSheetId="1" hidden="1">'6states'!$B$4:$B$24</definedName>
    <definedName name="solver_lhs1" localSheetId="0" hidden="1">Parameters!$B$12</definedName>
    <definedName name="solver_lhs10" localSheetId="1" hidden="1">'6states'!$B$59</definedName>
    <definedName name="solver_lhs11" localSheetId="1" hidden="1">'6states'!$B$59</definedName>
    <definedName name="solver_lhs12" localSheetId="1" hidden="1">'6states'!$B$59</definedName>
    <definedName name="solver_lhs13" localSheetId="1" hidden="1">'6states'!$B$59</definedName>
    <definedName name="solver_lhs14" localSheetId="1" hidden="1">'6states'!$B$59</definedName>
    <definedName name="solver_lhs15" localSheetId="1" hidden="1">'6states'!$B$59</definedName>
    <definedName name="solver_lhs16" localSheetId="1" hidden="1">'6states'!$B$59</definedName>
    <definedName name="solver_lhs17" localSheetId="1" hidden="1">'6states'!$B$59</definedName>
    <definedName name="solver_lhs18" localSheetId="1" hidden="1">'6states'!$B$59</definedName>
    <definedName name="solver_lhs19" localSheetId="1" hidden="1">'6states'!$B$59</definedName>
    <definedName name="solver_lhs2" localSheetId="1" hidden="1">'6states'!$B$4:$B$74</definedName>
    <definedName name="solver_lhs2" localSheetId="0" hidden="1">Parameters!$B$12</definedName>
    <definedName name="solver_lhs20" localSheetId="1" hidden="1">'6states'!$B$59</definedName>
    <definedName name="solver_lhs21" localSheetId="1" hidden="1">'6states'!$B$59</definedName>
    <definedName name="solver_lhs22" localSheetId="1" hidden="1">'6states'!$B$94</definedName>
    <definedName name="solver_lhs23" localSheetId="1" hidden="1">'6states'!$B$94</definedName>
    <definedName name="solver_lhs24" localSheetId="1" hidden="1">'6states'!$B$94</definedName>
    <definedName name="solver_lhs3" localSheetId="1" hidden="1">'6states'!$B$94</definedName>
    <definedName name="solver_lhs3" localSheetId="0" hidden="1">Parameters!$B$61</definedName>
    <definedName name="solver_lhs4" localSheetId="1" hidden="1">'6states'!$B$94</definedName>
    <definedName name="solver_lhs4" localSheetId="0" hidden="1">Parameters!$B$61</definedName>
    <definedName name="solver_lhs5" localSheetId="1" hidden="1">'6states'!$B$94</definedName>
    <definedName name="solver_lhs5" localSheetId="0" hidden="1">Parameters!$B$63</definedName>
    <definedName name="solver_lhs6" localSheetId="1" hidden="1">'6states'!$B$59</definedName>
    <definedName name="solver_lhs6" localSheetId="0" hidden="1">Parameters!$B$63</definedName>
    <definedName name="solver_lhs7" localSheetId="1" hidden="1">'6states'!$B$59</definedName>
    <definedName name="solver_lhs7" localSheetId="0" hidden="1">Parameters!$B$64</definedName>
    <definedName name="solver_lhs8" localSheetId="1" hidden="1">'6states'!$B$59</definedName>
    <definedName name="solver_lhs8" localSheetId="0" hidden="1">Parameters!$B$64</definedName>
    <definedName name="solver_lhs9" localSheetId="1" hidden="1">'6states'!$B$59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0" hidden="1">2147483647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0" hidden="1">30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0" hidden="1">0.075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0" hidden="1">2</definedName>
    <definedName name="solver_neg" localSheetId="1" hidden="1">2</definedName>
    <definedName name="solver_neg" localSheetId="2" hidden="1">1</definedName>
    <definedName name="solver_neg" localSheetId="3" hidden="1">2</definedName>
    <definedName name="solver_neg" localSheetId="0" hidden="1">2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0" hidden="1">2147483647</definedName>
    <definedName name="solver_num" localSheetId="1" hidden="1">1</definedName>
    <definedName name="solver_num" localSheetId="2" hidden="1">0</definedName>
    <definedName name="solver_num" localSheetId="3" hidden="1">0</definedName>
    <definedName name="solver_num" localSheetId="0" hidden="1">8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0" hidden="1">1</definedName>
    <definedName name="solver_opt" localSheetId="1" hidden="1">'6states'!$AJ$4</definedName>
    <definedName name="solver_opt" localSheetId="2" hidden="1">'6states,constantT&amp;epsilon'!$S$4</definedName>
    <definedName name="solver_opt" localSheetId="0" hidden="1">Parameters!$M$20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0" hidden="1">0.000001</definedName>
    <definedName name="solver_rbv" localSheetId="1" hidden="1">2</definedName>
    <definedName name="solver_rbv" localSheetId="2" hidden="1">2</definedName>
    <definedName name="solver_rbv" localSheetId="3" hidden="1">2</definedName>
    <definedName name="solver_rbv" localSheetId="0" hidden="1">1</definedName>
    <definedName name="solver_rel1" localSheetId="1" hidden="1">3</definedName>
    <definedName name="solver_rel1" localSheetId="0" hidden="1">3</definedName>
    <definedName name="solver_rel10" localSheetId="1" hidden="1">1</definedName>
    <definedName name="solver_rel11" localSheetId="1" hidden="1">1</definedName>
    <definedName name="solver_rel12" localSheetId="1" hidden="1">1</definedName>
    <definedName name="solver_rel13" localSheetId="1" hidden="1">1</definedName>
    <definedName name="solver_rel14" localSheetId="1" hidden="1">1</definedName>
    <definedName name="solver_rel15" localSheetId="1" hidden="1">1</definedName>
    <definedName name="solver_rel16" localSheetId="1" hidden="1">1</definedName>
    <definedName name="solver_rel17" localSheetId="1" hidden="1">1</definedName>
    <definedName name="solver_rel18" localSheetId="1" hidden="1">1</definedName>
    <definedName name="solver_rel19" localSheetId="1" hidden="1">1</definedName>
    <definedName name="solver_rel2" localSheetId="1" hidden="1">1</definedName>
    <definedName name="solver_rel2" localSheetId="0" hidden="1">1</definedName>
    <definedName name="solver_rel20" localSheetId="1" hidden="1">1</definedName>
    <definedName name="solver_rel21" localSheetId="1" hidden="1">1</definedName>
    <definedName name="solver_rel22" localSheetId="1" hidden="1">1</definedName>
    <definedName name="solver_rel23" localSheetId="1" hidden="1">1</definedName>
    <definedName name="solver_rel24" localSheetId="1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3</definedName>
    <definedName name="solver_rel5" localSheetId="1" hidden="1">1</definedName>
    <definedName name="solver_rel5" localSheetId="0" hidden="1">1</definedName>
    <definedName name="solver_rel6" localSheetId="1" hidden="1">1</definedName>
    <definedName name="solver_rel6" localSheetId="0" hidden="1">3</definedName>
    <definedName name="solver_rel7" localSheetId="1" hidden="1">1</definedName>
    <definedName name="solver_rel7" localSheetId="0" hidden="1">1</definedName>
    <definedName name="solver_rel8" localSheetId="1" hidden="1">1</definedName>
    <definedName name="solver_rel8" localSheetId="0" hidden="1">3</definedName>
    <definedName name="solver_rel9" localSheetId="1" hidden="1">1</definedName>
    <definedName name="solver_rhs1" localSheetId="1" hidden="1">-0.1</definedName>
    <definedName name="solver_rhs1" localSheetId="0" hidden="1">2/1.25</definedName>
    <definedName name="solver_rhs10" localSheetId="1" hidden="1">0.003</definedName>
    <definedName name="solver_rhs11" localSheetId="1" hidden="1">0.003</definedName>
    <definedName name="solver_rhs12" localSheetId="1" hidden="1">0.003</definedName>
    <definedName name="solver_rhs13" localSheetId="1" hidden="1">0.003</definedName>
    <definedName name="solver_rhs14" localSheetId="1" hidden="1">0.003</definedName>
    <definedName name="solver_rhs15" localSheetId="1" hidden="1">0.003</definedName>
    <definedName name="solver_rhs16" localSheetId="1" hidden="1">0.003</definedName>
    <definedName name="solver_rhs17" localSheetId="1" hidden="1">0.003</definedName>
    <definedName name="solver_rhs18" localSheetId="1" hidden="1">0.003</definedName>
    <definedName name="solver_rhs19" localSheetId="1" hidden="1">0.003</definedName>
    <definedName name="solver_rhs2" localSheetId="1" hidden="1">0.005</definedName>
    <definedName name="solver_rhs2" localSheetId="0" hidden="1">2*1.25</definedName>
    <definedName name="solver_rhs20" localSheetId="1" hidden="1">0.003</definedName>
    <definedName name="solver_rhs21" localSheetId="1" hidden="1">0.003</definedName>
    <definedName name="solver_rhs22" localSheetId="1" hidden="1">0.003</definedName>
    <definedName name="solver_rhs23" localSheetId="1" hidden="1">0.003</definedName>
    <definedName name="solver_rhs24" localSheetId="1" hidden="1">0.003</definedName>
    <definedName name="solver_rhs3" localSheetId="1" hidden="1">0.003</definedName>
    <definedName name="solver_rhs3" localSheetId="0" hidden="1">0.027*1.25</definedName>
    <definedName name="solver_rhs4" localSheetId="1" hidden="1">0.003</definedName>
    <definedName name="solver_rhs4" localSheetId="0" hidden="1">0.027/1.25</definedName>
    <definedName name="solver_rhs5" localSheetId="1" hidden="1">0.003</definedName>
    <definedName name="solver_rhs5" localSheetId="0" hidden="1">36.6*1.25</definedName>
    <definedName name="solver_rhs6" localSheetId="1" hidden="1">0.003</definedName>
    <definedName name="solver_rhs6" localSheetId="0" hidden="1">36.6/1.25</definedName>
    <definedName name="solver_rhs7" localSheetId="1" hidden="1">0.003</definedName>
    <definedName name="solver_rhs7" localSheetId="0" hidden="1">0.211*1.25</definedName>
    <definedName name="solver_rhs8" localSheetId="1" hidden="1">0.003</definedName>
    <definedName name="solver_rhs8" localSheetId="0" hidden="1">0.211/1.25</definedName>
    <definedName name="solver_rhs9" localSheetId="1" hidden="1">0.003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0" hidden="1">2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0" hidden="1">0</definedName>
    <definedName name="solver_scl" localSheetId="1" hidden="1">1</definedName>
    <definedName name="solver_scl" localSheetId="2" hidden="1">2</definedName>
    <definedName name="solver_scl" localSheetId="3" hidden="1">2</definedName>
    <definedName name="solver_scl" localSheetId="0" hidden="1">1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0" hidden="1">2</definedName>
    <definedName name="solver_ssz" localSheetId="1" hidden="1">0</definedName>
    <definedName name="solver_ssz" localSheetId="2" hidden="1">100</definedName>
    <definedName name="solver_ssz" localSheetId="3" hidden="1">100</definedName>
    <definedName name="solver_ssz" localSheetId="0" hidden="1">100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0" hidden="1">2147483647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0" hidden="1">0.01</definedName>
    <definedName name="solver_typ" localSheetId="1" hidden="1">1</definedName>
    <definedName name="solver_typ" localSheetId="2" hidden="1">1</definedName>
    <definedName name="solver_typ" localSheetId="3" hidden="1">1</definedName>
    <definedName name="solver_typ" localSheetId="0" hidden="1">2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0" hidden="1">0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6" l="1"/>
  <c r="C97" i="6" s="1"/>
  <c r="C98" i="6" s="1"/>
  <c r="C99" i="6" s="1"/>
  <c r="C100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D96" i="6"/>
  <c r="D97" i="6" s="1"/>
  <c r="D98" i="6" s="1"/>
  <c r="D99" i="6" s="1"/>
  <c r="D100" i="6" s="1"/>
  <c r="D101" i="6" s="1"/>
  <c r="D102" i="6" s="1"/>
  <c r="D103" i="6" s="1"/>
  <c r="D104" i="6" s="1"/>
  <c r="D105" i="6" s="1"/>
  <c r="D106" i="6" s="1"/>
  <c r="D107" i="6" s="1"/>
  <c r="D108" i="6" s="1"/>
  <c r="D109" i="6" s="1"/>
  <c r="D110" i="6" s="1"/>
  <c r="D111" i="6" s="1"/>
  <c r="D112" i="6" s="1"/>
  <c r="D113" i="6" s="1"/>
  <c r="D114" i="6" s="1"/>
  <c r="D115" i="6" s="1"/>
  <c r="D116" i="6" s="1"/>
  <c r="D117" i="6" s="1"/>
  <c r="D118" i="6" s="1"/>
  <c r="B96" i="6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C86" i="6"/>
  <c r="C87" i="6" s="1"/>
  <c r="C88" i="6" s="1"/>
  <c r="C89" i="6" s="1"/>
  <c r="C90" i="6" s="1"/>
  <c r="C91" i="6" s="1"/>
  <c r="C92" i="6" s="1"/>
  <c r="C93" i="6" s="1"/>
  <c r="C94" i="6" s="1"/>
  <c r="D86" i="6"/>
  <c r="D87" i="6" s="1"/>
  <c r="D88" i="6" s="1"/>
  <c r="D89" i="6" s="1"/>
  <c r="D90" i="6" s="1"/>
  <c r="D91" i="6" s="1"/>
  <c r="D92" i="6" s="1"/>
  <c r="D93" i="6" s="1"/>
  <c r="D94" i="6" s="1"/>
  <c r="B86" i="6"/>
  <c r="B87" i="6" s="1"/>
  <c r="B88" i="6" s="1"/>
  <c r="B89" i="6" s="1"/>
  <c r="B90" i="6" s="1"/>
  <c r="B91" i="6" s="1"/>
  <c r="B92" i="6" s="1"/>
  <c r="B93" i="6" s="1"/>
  <c r="B94" i="6" s="1"/>
  <c r="C76" i="6"/>
  <c r="C77" i="6" s="1"/>
  <c r="C78" i="6" s="1"/>
  <c r="C79" i="6" s="1"/>
  <c r="C80" i="6" s="1"/>
  <c r="C81" i="6" s="1"/>
  <c r="C82" i="6" s="1"/>
  <c r="C83" i="6" s="1"/>
  <c r="C84" i="6" s="1"/>
  <c r="D76" i="6"/>
  <c r="D77" i="6" s="1"/>
  <c r="D78" i="6" s="1"/>
  <c r="D79" i="6" s="1"/>
  <c r="D80" i="6" s="1"/>
  <c r="D81" i="6" s="1"/>
  <c r="D82" i="6" s="1"/>
  <c r="D83" i="6" s="1"/>
  <c r="D84" i="6" s="1"/>
  <c r="B76" i="6"/>
  <c r="B77" i="6" s="1"/>
  <c r="B78" i="6" s="1"/>
  <c r="B79" i="6" s="1"/>
  <c r="B80" i="6" s="1"/>
  <c r="B81" i="6" s="1"/>
  <c r="B82" i="6" s="1"/>
  <c r="B83" i="6" s="1"/>
  <c r="B84" i="6" s="1"/>
  <c r="C71" i="6"/>
  <c r="C72" i="6" s="1"/>
  <c r="C73" i="6" s="1"/>
  <c r="C74" i="6" s="1"/>
  <c r="D71" i="6"/>
  <c r="D72" i="6" s="1"/>
  <c r="D73" i="6" s="1"/>
  <c r="D74" i="6" s="1"/>
  <c r="B71" i="6"/>
  <c r="B72" i="6" s="1"/>
  <c r="B73" i="6" s="1"/>
  <c r="B74" i="6" s="1"/>
  <c r="C66" i="6"/>
  <c r="C67" i="6" s="1"/>
  <c r="C68" i="6" s="1"/>
  <c r="C69" i="6" s="1"/>
  <c r="D66" i="6"/>
  <c r="D67" i="6" s="1"/>
  <c r="D68" i="6" s="1"/>
  <c r="D69" i="6" s="1"/>
  <c r="B66" i="6"/>
  <c r="B67" i="6" s="1"/>
  <c r="B68" i="6" s="1"/>
  <c r="B69" i="6" s="1"/>
  <c r="C62" i="6"/>
  <c r="C63" i="6" s="1"/>
  <c r="C64" i="6" s="1"/>
  <c r="D62" i="6"/>
  <c r="D63" i="6" s="1"/>
  <c r="D64" i="6" s="1"/>
  <c r="B62" i="6"/>
  <c r="B63" i="6" s="1"/>
  <c r="B64" i="6" s="1"/>
  <c r="C58" i="6"/>
  <c r="C59" i="6" s="1"/>
  <c r="C60" i="6" s="1"/>
  <c r="D58" i="6"/>
  <c r="D59" i="6" s="1"/>
  <c r="D60" i="6" s="1"/>
  <c r="B58" i="6"/>
  <c r="B59" i="6" s="1"/>
  <c r="B60" i="6" s="1"/>
  <c r="C54" i="6"/>
  <c r="C55" i="6" s="1"/>
  <c r="C56" i="6" s="1"/>
  <c r="D54" i="6"/>
  <c r="D55" i="6" s="1"/>
  <c r="D56" i="6" s="1"/>
  <c r="B54" i="6"/>
  <c r="B55" i="6" s="1"/>
  <c r="B56" i="6" s="1"/>
  <c r="C51" i="6"/>
  <c r="C52" i="6" s="1"/>
  <c r="D51" i="6"/>
  <c r="D52" i="6" s="1"/>
  <c r="B51" i="6"/>
  <c r="B52" i="6" s="1"/>
  <c r="C48" i="6"/>
  <c r="C49" i="6" s="1"/>
  <c r="D48" i="6"/>
  <c r="D49" i="6" s="1"/>
  <c r="B48" i="6"/>
  <c r="B49" i="6" s="1"/>
  <c r="C45" i="6"/>
  <c r="C46" i="6" s="1"/>
  <c r="D45" i="6"/>
  <c r="D46" i="6" s="1"/>
  <c r="B45" i="6"/>
  <c r="B46" i="6" s="1"/>
  <c r="D43" i="6"/>
  <c r="C43" i="6"/>
  <c r="B43" i="6"/>
  <c r="D41" i="6"/>
  <c r="C41" i="6"/>
  <c r="B41" i="6"/>
  <c r="D39" i="6"/>
  <c r="C39" i="6"/>
  <c r="B39" i="6"/>
  <c r="D37" i="6"/>
  <c r="C37" i="6"/>
  <c r="B37" i="6"/>
  <c r="D35" i="6"/>
  <c r="C35" i="6"/>
  <c r="B35" i="6"/>
  <c r="D33" i="6"/>
  <c r="C33" i="6"/>
  <c r="B33" i="6"/>
  <c r="D31" i="6"/>
  <c r="C31" i="6"/>
  <c r="B31" i="6"/>
  <c r="D29" i="6"/>
  <c r="C29" i="6"/>
  <c r="B29" i="6"/>
  <c r="D27" i="6"/>
  <c r="C27" i="6"/>
  <c r="B27" i="6"/>
  <c r="C25" i="6"/>
  <c r="D25" i="6"/>
  <c r="B25" i="6"/>
  <c r="I2" i="6"/>
  <c r="G4" i="6"/>
  <c r="I4" i="6"/>
  <c r="M4" i="6"/>
  <c r="L4" i="6" s="1"/>
  <c r="P4" i="6"/>
  <c r="D120" i="6"/>
  <c r="I5" i="6" l="1"/>
  <c r="N4" i="6"/>
  <c r="K300" i="11" s="1"/>
  <c r="O4" i="6"/>
  <c r="D121" i="6"/>
  <c r="B120" i="6"/>
  <c r="B16" i="1"/>
  <c r="B26" i="1" s="1"/>
  <c r="F4" i="6" s="1"/>
  <c r="G4" i="11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C19" i="11"/>
  <c r="B19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B13" i="1"/>
  <c r="B9" i="1"/>
  <c r="I6" i="6" l="1"/>
  <c r="E4" i="11"/>
  <c r="E4" i="6"/>
  <c r="D122" i="6"/>
  <c r="R4" i="6"/>
  <c r="S4" i="6" s="1"/>
  <c r="Q4" i="6"/>
  <c r="B121" i="6"/>
  <c r="B17" i="1"/>
  <c r="B19" i="1" s="1"/>
  <c r="B18" i="1" s="1"/>
  <c r="F4" i="1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C31" i="11"/>
  <c r="D28" i="11"/>
  <c r="B32" i="11"/>
  <c r="C37" i="11"/>
  <c r="B48" i="11"/>
  <c r="B57" i="11"/>
  <c r="C26" i="11"/>
  <c r="D31" i="11"/>
  <c r="A7" i="11"/>
  <c r="D47" i="11"/>
  <c r="C56" i="11"/>
  <c r="B28" i="11"/>
  <c r="B37" i="11"/>
  <c r="D38" i="11"/>
  <c r="D56" i="11"/>
  <c r="C46" i="11"/>
  <c r="A5" i="6"/>
  <c r="I7" i="6" l="1"/>
  <c r="P5" i="6"/>
  <c r="T4" i="6"/>
  <c r="U4" i="6"/>
  <c r="D123" i="6"/>
  <c r="B122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6"/>
  <c r="B4" i="1"/>
  <c r="E5" i="6" s="1"/>
  <c r="B51" i="1"/>
  <c r="H5" i="6" l="1"/>
  <c r="H6" i="6" s="1"/>
  <c r="H7" i="6" s="1"/>
  <c r="H8" i="6" s="1"/>
  <c r="H9" i="6" s="1"/>
  <c r="G5" i="6"/>
  <c r="AC5" i="6" s="1"/>
  <c r="F5" i="6"/>
  <c r="I8" i="6"/>
  <c r="I9" i="6" s="1"/>
  <c r="E6" i="6"/>
  <c r="P6" i="6"/>
  <c r="D124" i="6"/>
  <c r="B123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E29" i="1"/>
  <c r="B55" i="1"/>
  <c r="A7" i="6"/>
  <c r="B56" i="1"/>
  <c r="G6" i="6" l="1"/>
  <c r="G7" i="6" s="1"/>
  <c r="G8" i="6" s="1"/>
  <c r="Q8" i="11"/>
  <c r="X4" i="6"/>
  <c r="X5" i="6"/>
  <c r="AH5" i="6" s="1"/>
  <c r="X6" i="6"/>
  <c r="F6" i="6"/>
  <c r="AB5" i="6"/>
  <c r="H10" i="6"/>
  <c r="E7" i="6"/>
  <c r="X7" i="6"/>
  <c r="P7" i="6"/>
  <c r="I10" i="6"/>
  <c r="D125" i="6"/>
  <c r="B124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7" i="1"/>
  <c r="B58" i="1"/>
  <c r="A8" i="6"/>
  <c r="AG7" i="6" l="1"/>
  <c r="AC7" i="6"/>
  <c r="AC6" i="6"/>
  <c r="AG6" i="6"/>
  <c r="AD5" i="6"/>
  <c r="AG8" i="6"/>
  <c r="AC8" i="6"/>
  <c r="G9" i="6"/>
  <c r="AF6" i="6"/>
  <c r="AB6" i="6"/>
  <c r="F7" i="6"/>
  <c r="H11" i="6"/>
  <c r="E8" i="6"/>
  <c r="X8" i="6"/>
  <c r="P8" i="6"/>
  <c r="D126" i="6"/>
  <c r="I11" i="6"/>
  <c r="B125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H6" i="6" l="1"/>
  <c r="AD6" i="6"/>
  <c r="AG9" i="6"/>
  <c r="AC9" i="6"/>
  <c r="G10" i="6"/>
  <c r="AF7" i="6"/>
  <c r="AH7" i="6" s="1"/>
  <c r="AB7" i="6"/>
  <c r="AD7" i="6" s="1"/>
  <c r="F8" i="6"/>
  <c r="H12" i="6"/>
  <c r="E9" i="6"/>
  <c r="X9" i="6"/>
  <c r="P9" i="6"/>
  <c r="D127" i="6"/>
  <c r="I12" i="6"/>
  <c r="B126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G10" i="6" l="1"/>
  <c r="G11" i="6"/>
  <c r="AC10" i="6"/>
  <c r="AF8" i="6"/>
  <c r="AH8" i="6" s="1"/>
  <c r="F9" i="6"/>
  <c r="AB8" i="6"/>
  <c r="AD8" i="6" s="1"/>
  <c r="H13" i="6"/>
  <c r="AE9" i="6"/>
  <c r="E10" i="6"/>
  <c r="AA9" i="6"/>
  <c r="I13" i="6"/>
  <c r="D128" i="6"/>
  <c r="X10" i="6"/>
  <c r="P10" i="6"/>
  <c r="B127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F9" i="6" l="1"/>
  <c r="AH9" i="6" s="1"/>
  <c r="AB9" i="6"/>
  <c r="AD9" i="6" s="1"/>
  <c r="F10" i="6"/>
  <c r="AG11" i="6"/>
  <c r="AC11" i="6"/>
  <c r="G12" i="6"/>
  <c r="H14" i="6"/>
  <c r="AE10" i="6"/>
  <c r="E11" i="6"/>
  <c r="AA10" i="6"/>
  <c r="X11" i="6"/>
  <c r="P11" i="6"/>
  <c r="I14" i="6"/>
  <c r="D129" i="6"/>
  <c r="B128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F10" i="6" l="1"/>
  <c r="AH10" i="6" s="1"/>
  <c r="AB10" i="6"/>
  <c r="AD10" i="6" s="1"/>
  <c r="F11" i="6"/>
  <c r="AG12" i="6"/>
  <c r="G13" i="6"/>
  <c r="AC12" i="6"/>
  <c r="H15" i="6"/>
  <c r="AE11" i="6"/>
  <c r="AA11" i="6"/>
  <c r="E12" i="6"/>
  <c r="I15" i="6"/>
  <c r="X12" i="6"/>
  <c r="P12" i="6"/>
  <c r="D130" i="6"/>
  <c r="B129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A13" i="6"/>
  <c r="AG13" i="6" l="1"/>
  <c r="G14" i="6"/>
  <c r="AC13" i="6"/>
  <c r="AF11" i="6"/>
  <c r="AH11" i="6" s="1"/>
  <c r="F12" i="6"/>
  <c r="AB11" i="6"/>
  <c r="AD11" i="6" s="1"/>
  <c r="H16" i="6"/>
  <c r="E33" i="1"/>
  <c r="V4" i="6"/>
  <c r="AE12" i="6"/>
  <c r="AA12" i="6"/>
  <c r="E13" i="6"/>
  <c r="D131" i="6"/>
  <c r="P13" i="6"/>
  <c r="X13" i="6"/>
  <c r="I16" i="6"/>
  <c r="B130" i="6"/>
  <c r="O7" i="11"/>
  <c r="T7" i="11" s="1"/>
  <c r="E32" i="1"/>
  <c r="O6" i="11"/>
  <c r="P6" i="11" s="1"/>
  <c r="R6" i="11" s="1"/>
  <c r="O9" i="11"/>
  <c r="T9" i="11" s="1"/>
  <c r="O5" i="11"/>
  <c r="T5" i="11" s="1"/>
  <c r="O4" i="11"/>
  <c r="P4" i="11" s="1"/>
  <c r="R4" i="11" s="1"/>
  <c r="B29" i="1"/>
  <c r="J4" i="6" s="1"/>
  <c r="G27" i="1"/>
  <c r="G25" i="1" s="1"/>
  <c r="O8" i="11"/>
  <c r="P8" i="11" s="1"/>
  <c r="R8" i="11" s="1"/>
  <c r="Q15" i="11"/>
  <c r="A16" i="11"/>
  <c r="M10" i="11"/>
  <c r="N10" i="11"/>
  <c r="O10" i="11" s="1"/>
  <c r="E31" i="1"/>
  <c r="A14" i="6"/>
  <c r="AG14" i="6" l="1"/>
  <c r="G15" i="6"/>
  <c r="AC14" i="6"/>
  <c r="AF12" i="6"/>
  <c r="AH12" i="6" s="1"/>
  <c r="F13" i="6"/>
  <c r="AB12" i="6"/>
  <c r="AD12" i="6" s="1"/>
  <c r="H17" i="6"/>
  <c r="AM4" i="6"/>
  <c r="AN4" i="6"/>
  <c r="AO4" i="6"/>
  <c r="W4" i="6"/>
  <c r="AT4" i="6"/>
  <c r="AP4" i="6"/>
  <c r="AR4" i="6" s="1"/>
  <c r="J5" i="6"/>
  <c r="AE13" i="6"/>
  <c r="E14" i="6"/>
  <c r="AA13" i="6"/>
  <c r="X14" i="6"/>
  <c r="P14" i="6"/>
  <c r="D132" i="6"/>
  <c r="I17" i="6"/>
  <c r="B131" i="6"/>
  <c r="P7" i="11"/>
  <c r="R7" i="11" s="1"/>
  <c r="E27" i="1"/>
  <c r="E25" i="1"/>
  <c r="T4" i="11"/>
  <c r="T6" i="11"/>
  <c r="P9" i="11"/>
  <c r="R9" i="11" s="1"/>
  <c r="P5" i="11"/>
  <c r="R5" i="11" s="1"/>
  <c r="G26" i="1"/>
  <c r="T8" i="11"/>
  <c r="Q16" i="11"/>
  <c r="A17" i="11"/>
  <c r="M11" i="11"/>
  <c r="N11" i="11"/>
  <c r="O11" i="11" s="1"/>
  <c r="P10" i="11"/>
  <c r="R10" i="11" s="1"/>
  <c r="T10" i="11"/>
  <c r="A15" i="6"/>
  <c r="AG15" i="6" l="1"/>
  <c r="G16" i="6"/>
  <c r="AC15" i="6"/>
  <c r="AF13" i="6"/>
  <c r="AH13" i="6" s="1"/>
  <c r="F14" i="6"/>
  <c r="AB13" i="6"/>
  <c r="AD13" i="6" s="1"/>
  <c r="H18" i="6"/>
  <c r="Y4" i="6"/>
  <c r="AM5" i="6"/>
  <c r="AN5" i="6"/>
  <c r="J6" i="6"/>
  <c r="AE14" i="6"/>
  <c r="E15" i="6"/>
  <c r="AA14" i="6"/>
  <c r="P15" i="6"/>
  <c r="X15" i="6"/>
  <c r="I18" i="6"/>
  <c r="D133" i="6"/>
  <c r="B132" i="6"/>
  <c r="Q17" i="11"/>
  <c r="A18" i="11"/>
  <c r="M12" i="11"/>
  <c r="N12" i="11"/>
  <c r="O12" i="11" s="1"/>
  <c r="P11" i="11"/>
  <c r="R11" i="11" s="1"/>
  <c r="T11" i="11"/>
  <c r="A16" i="6"/>
  <c r="AF14" i="6" l="1"/>
  <c r="AH14" i="6" s="1"/>
  <c r="F15" i="6"/>
  <c r="AB14" i="6"/>
  <c r="AD14" i="6" s="1"/>
  <c r="AG16" i="6"/>
  <c r="G17" i="6"/>
  <c r="AC16" i="6"/>
  <c r="AM6" i="6"/>
  <c r="AN6" i="6"/>
  <c r="H19" i="6"/>
  <c r="AE15" i="6"/>
  <c r="AA15" i="6"/>
  <c r="E16" i="6"/>
  <c r="J7" i="6"/>
  <c r="D134" i="6"/>
  <c r="I19" i="6"/>
  <c r="P16" i="6"/>
  <c r="X16" i="6"/>
  <c r="B133" i="6"/>
  <c r="P12" i="11"/>
  <c r="R12" i="11" s="1"/>
  <c r="T12" i="11"/>
  <c r="M13" i="11"/>
  <c r="N13" i="11"/>
  <c r="O13" i="11" s="1"/>
  <c r="Q18" i="11"/>
  <c r="A19" i="11"/>
  <c r="A17" i="6"/>
  <c r="AF15" i="6" l="1"/>
  <c r="AH15" i="6" s="1"/>
  <c r="AB15" i="6"/>
  <c r="AD15" i="6" s="1"/>
  <c r="F16" i="6"/>
  <c r="AG17" i="6"/>
  <c r="G18" i="6"/>
  <c r="AC17" i="6"/>
  <c r="AM7" i="6"/>
  <c r="AN7" i="6"/>
  <c r="H20" i="6"/>
  <c r="AE16" i="6"/>
  <c r="E17" i="6"/>
  <c r="AA16" i="6"/>
  <c r="J8" i="6"/>
  <c r="X17" i="6"/>
  <c r="P17" i="6"/>
  <c r="I20" i="6"/>
  <c r="D135" i="6"/>
  <c r="B134" i="6"/>
  <c r="A20" i="11"/>
  <c r="Q19" i="11"/>
  <c r="M14" i="11"/>
  <c r="N14" i="11"/>
  <c r="O14" i="11" s="1"/>
  <c r="P13" i="11"/>
  <c r="R13" i="11" s="1"/>
  <c r="T13" i="11"/>
  <c r="A18" i="6"/>
  <c r="AF16" i="6" l="1"/>
  <c r="AH16" i="6" s="1"/>
  <c r="AB16" i="6"/>
  <c r="AD16" i="6" s="1"/>
  <c r="F17" i="6"/>
  <c r="AG18" i="6"/>
  <c r="AC18" i="6"/>
  <c r="G19" i="6"/>
  <c r="AM8" i="6"/>
  <c r="AN8" i="6"/>
  <c r="H21" i="6"/>
  <c r="J9" i="6"/>
  <c r="AE17" i="6"/>
  <c r="AA17" i="6"/>
  <c r="E18" i="6"/>
  <c r="D136" i="6"/>
  <c r="I21" i="6"/>
  <c r="P18" i="6"/>
  <c r="X18" i="6"/>
  <c r="B135" i="6"/>
  <c r="A21" i="11"/>
  <c r="Q20" i="11"/>
  <c r="M15" i="11"/>
  <c r="N15" i="11"/>
  <c r="O15" i="11" s="1"/>
  <c r="P14" i="11"/>
  <c r="R14" i="11" s="1"/>
  <c r="T14" i="11"/>
  <c r="A19" i="6"/>
  <c r="AF17" i="6" l="1"/>
  <c r="AH17" i="6" s="1"/>
  <c r="F18" i="6"/>
  <c r="AB17" i="6"/>
  <c r="AD17" i="6" s="1"/>
  <c r="AG19" i="6"/>
  <c r="AC19" i="6"/>
  <c r="G20" i="6"/>
  <c r="AM9" i="6"/>
  <c r="AN9" i="6"/>
  <c r="H22" i="6"/>
  <c r="AE18" i="6"/>
  <c r="AA18" i="6"/>
  <c r="E19" i="6"/>
  <c r="J10" i="6"/>
  <c r="D137" i="6"/>
  <c r="P19" i="6"/>
  <c r="X19" i="6"/>
  <c r="I22" i="6"/>
  <c r="B136" i="6"/>
  <c r="M16" i="11"/>
  <c r="N16" i="11"/>
  <c r="O16" i="11" s="1"/>
  <c r="P15" i="11"/>
  <c r="R15" i="11" s="1"/>
  <c r="T15" i="11"/>
  <c r="Q21" i="11"/>
  <c r="A22" i="11"/>
  <c r="A20" i="6"/>
  <c r="AF18" i="6" l="1"/>
  <c r="AH18" i="6" s="1"/>
  <c r="F19" i="6"/>
  <c r="AB18" i="6"/>
  <c r="AD18" i="6" s="1"/>
  <c r="AG20" i="6"/>
  <c r="AC20" i="6"/>
  <c r="G21" i="6"/>
  <c r="AM10" i="6"/>
  <c r="AN10" i="6"/>
  <c r="H23" i="6"/>
  <c r="AE19" i="6"/>
  <c r="AA19" i="6"/>
  <c r="E20" i="6"/>
  <c r="J11" i="6"/>
  <c r="I23" i="6"/>
  <c r="P20" i="6"/>
  <c r="X20" i="6"/>
  <c r="D138" i="6"/>
  <c r="B137" i="6"/>
  <c r="Q22" i="11"/>
  <c r="A23" i="11"/>
  <c r="P16" i="11"/>
  <c r="R16" i="11" s="1"/>
  <c r="T16" i="11"/>
  <c r="M17" i="11"/>
  <c r="N17" i="11"/>
  <c r="O17" i="11" s="1"/>
  <c r="A21" i="6"/>
  <c r="AF19" i="6" l="1"/>
  <c r="AH19" i="6" s="1"/>
  <c r="F20" i="6"/>
  <c r="AB19" i="6"/>
  <c r="AD19" i="6" s="1"/>
  <c r="AG21" i="6"/>
  <c r="G22" i="6"/>
  <c r="AC21" i="6"/>
  <c r="H24" i="6"/>
  <c r="AM11" i="6"/>
  <c r="AN11" i="6"/>
  <c r="J12" i="6"/>
  <c r="AE20" i="6"/>
  <c r="E21" i="6"/>
  <c r="AA20" i="6"/>
  <c r="I24" i="6"/>
  <c r="D139" i="6"/>
  <c r="P21" i="6"/>
  <c r="X21" i="6"/>
  <c r="B138" i="6"/>
  <c r="A24" i="11"/>
  <c r="Q23" i="11"/>
  <c r="M18" i="11"/>
  <c r="N18" i="11"/>
  <c r="O18" i="11" s="1"/>
  <c r="P17" i="11"/>
  <c r="R17" i="11" s="1"/>
  <c r="T17" i="11"/>
  <c r="A22" i="6"/>
  <c r="AF20" i="6" l="1"/>
  <c r="AH20" i="6" s="1"/>
  <c r="AB20" i="6"/>
  <c r="AD20" i="6" s="1"/>
  <c r="F21" i="6"/>
  <c r="AG22" i="6"/>
  <c r="AC22" i="6"/>
  <c r="G23" i="6"/>
  <c r="H25" i="6"/>
  <c r="AM12" i="6"/>
  <c r="AN12" i="6"/>
  <c r="AE21" i="6"/>
  <c r="AA21" i="6"/>
  <c r="E22" i="6"/>
  <c r="J13" i="6"/>
  <c r="D140" i="6"/>
  <c r="I25" i="6"/>
  <c r="X22" i="6"/>
  <c r="P22" i="6"/>
  <c r="B139" i="6"/>
  <c r="P18" i="11"/>
  <c r="R18" i="11" s="1"/>
  <c r="T18" i="11"/>
  <c r="A25" i="11"/>
  <c r="Q24" i="11"/>
  <c r="M19" i="11"/>
  <c r="N19" i="11"/>
  <c r="O19" i="11" s="1"/>
  <c r="A23" i="6"/>
  <c r="AF21" i="6" l="1"/>
  <c r="AH21" i="6" s="1"/>
  <c r="AB21" i="6"/>
  <c r="AD21" i="6" s="1"/>
  <c r="F22" i="6"/>
  <c r="AG23" i="6"/>
  <c r="G24" i="6"/>
  <c r="AC23" i="6"/>
  <c r="AM13" i="6"/>
  <c r="AN13" i="6"/>
  <c r="H26" i="6"/>
  <c r="J14" i="6"/>
  <c r="AE22" i="6"/>
  <c r="AA22" i="6"/>
  <c r="E23" i="6"/>
  <c r="I26" i="6"/>
  <c r="D141" i="6"/>
  <c r="P23" i="6"/>
  <c r="X23" i="6"/>
  <c r="B140" i="6"/>
  <c r="M20" i="11"/>
  <c r="N20" i="11"/>
  <c r="O20" i="11" s="1"/>
  <c r="P19" i="11"/>
  <c r="R19" i="11" s="1"/>
  <c r="T19" i="11"/>
  <c r="Q25" i="11"/>
  <c r="A26" i="11"/>
  <c r="A24" i="6"/>
  <c r="AF22" i="6" l="1"/>
  <c r="AH22" i="6" s="1"/>
  <c r="F23" i="6"/>
  <c r="AB22" i="6"/>
  <c r="AD22" i="6" s="1"/>
  <c r="AG24" i="6"/>
  <c r="AC24" i="6"/>
  <c r="G25" i="6"/>
  <c r="AM14" i="6"/>
  <c r="AN14" i="6"/>
  <c r="H27" i="6"/>
  <c r="AE23" i="6"/>
  <c r="AA23" i="6"/>
  <c r="E24" i="6"/>
  <c r="J15" i="6"/>
  <c r="D142" i="6"/>
  <c r="P24" i="6"/>
  <c r="X24" i="6"/>
  <c r="I27" i="6"/>
  <c r="B141" i="6"/>
  <c r="Q26" i="11"/>
  <c r="A27" i="11"/>
  <c r="M21" i="11"/>
  <c r="N21" i="11"/>
  <c r="O21" i="11" s="1"/>
  <c r="T20" i="11"/>
  <c r="P20" i="11"/>
  <c r="R20" i="11" s="1"/>
  <c r="A25" i="6"/>
  <c r="AF23" i="6" l="1"/>
  <c r="AH23" i="6" s="1"/>
  <c r="AB23" i="6"/>
  <c r="AD23" i="6" s="1"/>
  <c r="F24" i="6"/>
  <c r="AG25" i="6"/>
  <c r="AC25" i="6"/>
  <c r="G26" i="6"/>
  <c r="H28" i="6"/>
  <c r="AM15" i="6"/>
  <c r="AN15" i="6"/>
  <c r="J16" i="6"/>
  <c r="AE24" i="6"/>
  <c r="E25" i="6"/>
  <c r="AA24" i="6"/>
  <c r="P25" i="6"/>
  <c r="X25" i="6"/>
  <c r="D143" i="6"/>
  <c r="I28" i="6"/>
  <c r="B142" i="6"/>
  <c r="M22" i="11"/>
  <c r="N22" i="11"/>
  <c r="O22" i="11" s="1"/>
  <c r="P21" i="11"/>
  <c r="R21" i="11" s="1"/>
  <c r="T21" i="11"/>
  <c r="Q27" i="11"/>
  <c r="A28" i="11"/>
  <c r="A26" i="6"/>
  <c r="AF24" i="6" l="1"/>
  <c r="AH24" i="6" s="1"/>
  <c r="F25" i="6"/>
  <c r="AB24" i="6"/>
  <c r="AD24" i="6" s="1"/>
  <c r="AG26" i="6"/>
  <c r="AC26" i="6"/>
  <c r="G27" i="6"/>
  <c r="H29" i="6"/>
  <c r="AM16" i="6"/>
  <c r="AN16" i="6"/>
  <c r="AE25" i="6"/>
  <c r="E26" i="6"/>
  <c r="AA25" i="6"/>
  <c r="J17" i="6"/>
  <c r="P26" i="6"/>
  <c r="X26" i="6"/>
  <c r="D144" i="6"/>
  <c r="I29" i="6"/>
  <c r="B143" i="6"/>
  <c r="T22" i="11"/>
  <c r="P22" i="11"/>
  <c r="R22" i="11" s="1"/>
  <c r="M23" i="11"/>
  <c r="N23" i="11"/>
  <c r="O23" i="11" s="1"/>
  <c r="A29" i="11"/>
  <c r="Q28" i="11"/>
  <c r="A27" i="6"/>
  <c r="AF25" i="6" l="1"/>
  <c r="AH25" i="6" s="1"/>
  <c r="F26" i="6"/>
  <c r="AB25" i="6"/>
  <c r="AD25" i="6" s="1"/>
  <c r="AG27" i="6"/>
  <c r="AC27" i="6"/>
  <c r="G28" i="6"/>
  <c r="AM17" i="6"/>
  <c r="AN17" i="6"/>
  <c r="H30" i="6"/>
  <c r="J18" i="6"/>
  <c r="AE26" i="6"/>
  <c r="AA26" i="6"/>
  <c r="E27" i="6"/>
  <c r="D145" i="6"/>
  <c r="P27" i="6"/>
  <c r="X27" i="6"/>
  <c r="I30" i="6"/>
  <c r="B144" i="6"/>
  <c r="M24" i="11"/>
  <c r="N24" i="11"/>
  <c r="O24" i="11" s="1"/>
  <c r="Q29" i="11"/>
  <c r="A30" i="11"/>
  <c r="P23" i="11"/>
  <c r="R23" i="11" s="1"/>
  <c r="T23" i="11"/>
  <c r="A28" i="6"/>
  <c r="AG28" i="6" l="1"/>
  <c r="AC28" i="6"/>
  <c r="G29" i="6"/>
  <c r="AF26" i="6"/>
  <c r="AH26" i="6" s="1"/>
  <c r="AB26" i="6"/>
  <c r="AD26" i="6" s="1"/>
  <c r="F27" i="6"/>
  <c r="AM18" i="6"/>
  <c r="AN18" i="6"/>
  <c r="H31" i="6"/>
  <c r="AE27" i="6"/>
  <c r="AA27" i="6"/>
  <c r="E28" i="6"/>
  <c r="J19" i="6"/>
  <c r="X28" i="6"/>
  <c r="P28" i="6"/>
  <c r="D146" i="6"/>
  <c r="I31" i="6"/>
  <c r="B145" i="6"/>
  <c r="M25" i="11"/>
  <c r="N25" i="11"/>
  <c r="O25" i="11" s="1"/>
  <c r="P24" i="11"/>
  <c r="R24" i="11" s="1"/>
  <c r="T24" i="11"/>
  <c r="A31" i="11"/>
  <c r="Q30" i="11"/>
  <c r="A29" i="6"/>
  <c r="AF27" i="6" l="1"/>
  <c r="AH27" i="6" s="1"/>
  <c r="AB27" i="6"/>
  <c r="AD27" i="6" s="1"/>
  <c r="F28" i="6"/>
  <c r="AG29" i="6"/>
  <c r="G30" i="6"/>
  <c r="AC29" i="6"/>
  <c r="AM19" i="6"/>
  <c r="AN19" i="6"/>
  <c r="H32" i="6"/>
  <c r="J20" i="6"/>
  <c r="AE28" i="6"/>
  <c r="AA28" i="6"/>
  <c r="E29" i="6"/>
  <c r="D147" i="6"/>
  <c r="P29" i="6"/>
  <c r="X29" i="6"/>
  <c r="I32" i="6"/>
  <c r="C120" i="6"/>
  <c r="B146" i="6"/>
  <c r="P25" i="11"/>
  <c r="R25" i="11" s="1"/>
  <c r="T25" i="11"/>
  <c r="Q31" i="11"/>
  <c r="A32" i="11"/>
  <c r="M26" i="11"/>
  <c r="N26" i="11"/>
  <c r="O26" i="11" s="1"/>
  <c r="A30" i="6"/>
  <c r="AG30" i="6" l="1"/>
  <c r="G31" i="6"/>
  <c r="AC30" i="6"/>
  <c r="AF28" i="6"/>
  <c r="AH28" i="6" s="1"/>
  <c r="AB28" i="6"/>
  <c r="AD28" i="6" s="1"/>
  <c r="F29" i="6"/>
  <c r="AM20" i="6"/>
  <c r="AN20" i="6"/>
  <c r="H33" i="6"/>
  <c r="AE29" i="6"/>
  <c r="E30" i="6"/>
  <c r="AA29" i="6"/>
  <c r="J21" i="6"/>
  <c r="I33" i="6"/>
  <c r="P30" i="6"/>
  <c r="X30" i="6"/>
  <c r="D148" i="6"/>
  <c r="B147" i="6"/>
  <c r="C121" i="6"/>
  <c r="P26" i="11"/>
  <c r="R26" i="11" s="1"/>
  <c r="T26" i="11"/>
  <c r="M27" i="11"/>
  <c r="N27" i="11"/>
  <c r="O27" i="11" s="1"/>
  <c r="A33" i="11"/>
  <c r="Q32" i="11"/>
  <c r="A31" i="6"/>
  <c r="AG31" i="6" l="1"/>
  <c r="G32" i="6"/>
  <c r="AC31" i="6"/>
  <c r="AF29" i="6"/>
  <c r="AH29" i="6" s="1"/>
  <c r="F30" i="6"/>
  <c r="AB29" i="6"/>
  <c r="AD29" i="6" s="1"/>
  <c r="AM21" i="6"/>
  <c r="AN21" i="6"/>
  <c r="H34" i="6"/>
  <c r="J22" i="6"/>
  <c r="AE30" i="6"/>
  <c r="E31" i="6"/>
  <c r="AA30" i="6"/>
  <c r="X31" i="6"/>
  <c r="P31" i="6"/>
  <c r="I34" i="6"/>
  <c r="D149" i="6"/>
  <c r="C122" i="6"/>
  <c r="B148" i="6"/>
  <c r="Q33" i="11"/>
  <c r="A34" i="11"/>
  <c r="M28" i="11"/>
  <c r="N28" i="11"/>
  <c r="O28" i="11" s="1"/>
  <c r="P27" i="11"/>
  <c r="R27" i="11" s="1"/>
  <c r="T27" i="11"/>
  <c r="A32" i="6"/>
  <c r="AF30" i="6" l="1"/>
  <c r="AH30" i="6" s="1"/>
  <c r="AB30" i="6"/>
  <c r="AD30" i="6" s="1"/>
  <c r="F31" i="6"/>
  <c r="AG32" i="6"/>
  <c r="AC32" i="6"/>
  <c r="G33" i="6"/>
  <c r="AM22" i="6"/>
  <c r="AN22" i="6"/>
  <c r="H35" i="6"/>
  <c r="AE31" i="6"/>
  <c r="E32" i="6"/>
  <c r="AA31" i="6"/>
  <c r="J23" i="6"/>
  <c r="I35" i="6"/>
  <c r="X32" i="6"/>
  <c r="P32" i="6"/>
  <c r="D150" i="6"/>
  <c r="B149" i="6"/>
  <c r="C123" i="6"/>
  <c r="A35" i="11"/>
  <c r="Q34" i="11"/>
  <c r="P28" i="11"/>
  <c r="R28" i="11" s="1"/>
  <c r="T28" i="11"/>
  <c r="M29" i="11"/>
  <c r="N29" i="11"/>
  <c r="O29" i="11" s="1"/>
  <c r="A33" i="6"/>
  <c r="AF31" i="6" l="1"/>
  <c r="AH31" i="6" s="1"/>
  <c r="AB31" i="6"/>
  <c r="AD31" i="6" s="1"/>
  <c r="F32" i="6"/>
  <c r="AG33" i="6"/>
  <c r="G34" i="6"/>
  <c r="AC33" i="6"/>
  <c r="AM23" i="6"/>
  <c r="AN23" i="6"/>
  <c r="H36" i="6"/>
  <c r="J24" i="6"/>
  <c r="AE32" i="6"/>
  <c r="E33" i="6"/>
  <c r="AA32" i="6"/>
  <c r="X33" i="6"/>
  <c r="P33" i="6"/>
  <c r="D151" i="6"/>
  <c r="I36" i="6"/>
  <c r="B150" i="6"/>
  <c r="C124" i="6"/>
  <c r="P29" i="11"/>
  <c r="R29" i="11" s="1"/>
  <c r="T29" i="11"/>
  <c r="A36" i="11"/>
  <c r="Q35" i="11"/>
  <c r="M30" i="11"/>
  <c r="N30" i="11"/>
  <c r="O30" i="11" s="1"/>
  <c r="A34" i="6"/>
  <c r="AF32" i="6" l="1"/>
  <c r="AH32" i="6" s="1"/>
  <c r="AB32" i="6"/>
  <c r="AD32" i="6" s="1"/>
  <c r="F33" i="6"/>
  <c r="AG34" i="6"/>
  <c r="AC34" i="6"/>
  <c r="G35" i="6"/>
  <c r="AM24" i="6"/>
  <c r="AN24" i="6"/>
  <c r="H37" i="6"/>
  <c r="AE33" i="6"/>
  <c r="E34" i="6"/>
  <c r="AA33" i="6"/>
  <c r="J25" i="6"/>
  <c r="D152" i="6"/>
  <c r="P34" i="6"/>
  <c r="X34" i="6"/>
  <c r="I37" i="6"/>
  <c r="B151" i="6"/>
  <c r="C125" i="6"/>
  <c r="M31" i="11"/>
  <c r="N31" i="11"/>
  <c r="O31" i="11" s="1"/>
  <c r="P30" i="11"/>
  <c r="R30" i="11" s="1"/>
  <c r="T30" i="11"/>
  <c r="Q36" i="11"/>
  <c r="A37" i="11"/>
  <c r="A35" i="6"/>
  <c r="AG35" i="6" l="1"/>
  <c r="AC35" i="6"/>
  <c r="G36" i="6"/>
  <c r="AF33" i="6"/>
  <c r="AH33" i="6" s="1"/>
  <c r="AB33" i="6"/>
  <c r="AD33" i="6" s="1"/>
  <c r="F34" i="6"/>
  <c r="AM25" i="6"/>
  <c r="AN25" i="6"/>
  <c r="H38" i="6"/>
  <c r="J26" i="6"/>
  <c r="AE34" i="6"/>
  <c r="AA34" i="6"/>
  <c r="E35" i="6"/>
  <c r="D153" i="6"/>
  <c r="P35" i="6"/>
  <c r="X35" i="6"/>
  <c r="I38" i="6"/>
  <c r="C126" i="6"/>
  <c r="B152" i="6"/>
  <c r="M32" i="11"/>
  <c r="N32" i="11"/>
  <c r="O32" i="11" s="1"/>
  <c r="Q37" i="11"/>
  <c r="A38" i="11"/>
  <c r="P31" i="11"/>
  <c r="R31" i="11" s="1"/>
  <c r="T31" i="11"/>
  <c r="A36" i="6"/>
  <c r="AF34" i="6" l="1"/>
  <c r="AH34" i="6" s="1"/>
  <c r="F35" i="6"/>
  <c r="AB34" i="6"/>
  <c r="AD34" i="6" s="1"/>
  <c r="AG36" i="6"/>
  <c r="G37" i="6"/>
  <c r="AC36" i="6"/>
  <c r="H39" i="6"/>
  <c r="AM26" i="6"/>
  <c r="AN26" i="6"/>
  <c r="AE35" i="6"/>
  <c r="E36" i="6"/>
  <c r="AA35" i="6"/>
  <c r="J27" i="6"/>
  <c r="D154" i="6"/>
  <c r="P36" i="6"/>
  <c r="X36" i="6"/>
  <c r="I39" i="6"/>
  <c r="B153" i="6"/>
  <c r="C127" i="6"/>
  <c r="A39" i="11"/>
  <c r="Q38" i="11"/>
  <c r="P32" i="11"/>
  <c r="R32" i="11" s="1"/>
  <c r="T32" i="11"/>
  <c r="M33" i="11"/>
  <c r="N33" i="11"/>
  <c r="O33" i="11" s="1"/>
  <c r="A37" i="6"/>
  <c r="AG37" i="6" l="1"/>
  <c r="G38" i="6"/>
  <c r="AC37" i="6"/>
  <c r="AF35" i="6"/>
  <c r="AH35" i="6" s="1"/>
  <c r="AB35" i="6"/>
  <c r="AD35" i="6" s="1"/>
  <c r="F36" i="6"/>
  <c r="AM27" i="6"/>
  <c r="AN27" i="6"/>
  <c r="H40" i="6"/>
  <c r="J28" i="6"/>
  <c r="AE36" i="6"/>
  <c r="E37" i="6"/>
  <c r="AA36" i="6"/>
  <c r="P37" i="6"/>
  <c r="X37" i="6"/>
  <c r="I40" i="6"/>
  <c r="D155" i="6"/>
  <c r="B154" i="6"/>
  <c r="C128" i="6"/>
  <c r="P33" i="11"/>
  <c r="R33" i="11" s="1"/>
  <c r="T33" i="11"/>
  <c r="A40" i="11"/>
  <c r="Q39" i="11"/>
  <c r="M34" i="11"/>
  <c r="N34" i="11"/>
  <c r="O34" i="11" s="1"/>
  <c r="A38" i="6"/>
  <c r="AG38" i="6" l="1"/>
  <c r="AC38" i="6"/>
  <c r="G39" i="6"/>
  <c r="AF36" i="6"/>
  <c r="AH36" i="6" s="1"/>
  <c r="AB36" i="6"/>
  <c r="AD36" i="6" s="1"/>
  <c r="F37" i="6"/>
  <c r="AM28" i="6"/>
  <c r="AN28" i="6"/>
  <c r="H41" i="6"/>
  <c r="J29" i="6"/>
  <c r="AE37" i="6"/>
  <c r="E38" i="6"/>
  <c r="AA37" i="6"/>
  <c r="D156" i="6"/>
  <c r="I41" i="6"/>
  <c r="X38" i="6"/>
  <c r="P38" i="6"/>
  <c r="C129" i="6"/>
  <c r="B155" i="6"/>
  <c r="Q40" i="11"/>
  <c r="A41" i="11"/>
  <c r="M35" i="11"/>
  <c r="N35" i="11"/>
  <c r="O35" i="11" s="1"/>
  <c r="T34" i="11"/>
  <c r="P34" i="11"/>
  <c r="R34" i="11" s="1"/>
  <c r="A39" i="6"/>
  <c r="AG39" i="6" l="1"/>
  <c r="G40" i="6"/>
  <c r="AC39" i="6"/>
  <c r="AF37" i="6"/>
  <c r="AH37" i="6" s="1"/>
  <c r="AB37" i="6"/>
  <c r="AD37" i="6" s="1"/>
  <c r="F38" i="6"/>
  <c r="H42" i="6"/>
  <c r="AM29" i="6"/>
  <c r="AN29" i="6"/>
  <c r="AE38" i="6"/>
  <c r="AA38" i="6"/>
  <c r="E39" i="6"/>
  <c r="J30" i="6"/>
  <c r="I42" i="6"/>
  <c r="P39" i="6"/>
  <c r="X39" i="6"/>
  <c r="D157" i="6"/>
  <c r="B156" i="6"/>
  <c r="C130" i="6"/>
  <c r="Q41" i="11"/>
  <c r="A42" i="11"/>
  <c r="M36" i="11"/>
  <c r="N36" i="11"/>
  <c r="O36" i="11" s="1"/>
  <c r="P35" i="11"/>
  <c r="R35" i="11" s="1"/>
  <c r="T35" i="11"/>
  <c r="A40" i="6"/>
  <c r="AF38" i="6" l="1"/>
  <c r="AH38" i="6" s="1"/>
  <c r="F39" i="6"/>
  <c r="AB38" i="6"/>
  <c r="AD38" i="6" s="1"/>
  <c r="AG40" i="6"/>
  <c r="AC40" i="6"/>
  <c r="G41" i="6"/>
  <c r="H43" i="6"/>
  <c r="AM30" i="6"/>
  <c r="AN30" i="6"/>
  <c r="J31" i="6"/>
  <c r="AE39" i="6"/>
  <c r="AA39" i="6"/>
  <c r="E40" i="6"/>
  <c r="P40" i="6"/>
  <c r="X40" i="6"/>
  <c r="I43" i="6"/>
  <c r="D158" i="6"/>
  <c r="B157" i="6"/>
  <c r="C131" i="6"/>
  <c r="P36" i="11"/>
  <c r="R36" i="11" s="1"/>
  <c r="T36" i="11"/>
  <c r="A43" i="11"/>
  <c r="Q42" i="11"/>
  <c r="M37" i="11"/>
  <c r="N37" i="11"/>
  <c r="O37" i="11" s="1"/>
  <c r="A41" i="6"/>
  <c r="AG41" i="6" l="1"/>
  <c r="G42" i="6"/>
  <c r="AC41" i="6"/>
  <c r="AF39" i="6"/>
  <c r="AH39" i="6" s="1"/>
  <c r="AB39" i="6"/>
  <c r="AD39" i="6" s="1"/>
  <c r="F40" i="6"/>
  <c r="AM31" i="6"/>
  <c r="AN31" i="6"/>
  <c r="H44" i="6"/>
  <c r="J32" i="6"/>
  <c r="AE40" i="6"/>
  <c r="AA40" i="6"/>
  <c r="E41" i="6"/>
  <c r="D159" i="6"/>
  <c r="X41" i="6"/>
  <c r="P41" i="6"/>
  <c r="I44" i="6"/>
  <c r="B158" i="6"/>
  <c r="C132" i="6"/>
  <c r="P37" i="11"/>
  <c r="R37" i="11" s="1"/>
  <c r="T37" i="11"/>
  <c r="A44" i="11"/>
  <c r="Q43" i="11"/>
  <c r="M38" i="11"/>
  <c r="N38" i="11"/>
  <c r="O38" i="11" s="1"/>
  <c r="A42" i="6"/>
  <c r="AF40" i="6" l="1"/>
  <c r="AH40" i="6" s="1"/>
  <c r="F41" i="6"/>
  <c r="AB40" i="6"/>
  <c r="AD40" i="6" s="1"/>
  <c r="AG42" i="6"/>
  <c r="AC42" i="6"/>
  <c r="G43" i="6"/>
  <c r="AM32" i="6"/>
  <c r="AN32" i="6"/>
  <c r="H45" i="6"/>
  <c r="J33" i="6"/>
  <c r="AE41" i="6"/>
  <c r="AA41" i="6"/>
  <c r="E42" i="6"/>
  <c r="I45" i="6"/>
  <c r="D160" i="6"/>
  <c r="X42" i="6"/>
  <c r="P42" i="6"/>
  <c r="C133" i="6"/>
  <c r="B159" i="6"/>
  <c r="Q44" i="11"/>
  <c r="A45" i="11"/>
  <c r="P38" i="11"/>
  <c r="R38" i="11" s="1"/>
  <c r="T38" i="11"/>
  <c r="M39" i="11"/>
  <c r="N39" i="11"/>
  <c r="O39" i="11" s="1"/>
  <c r="A43" i="6"/>
  <c r="AF41" i="6" l="1"/>
  <c r="AH41" i="6" s="1"/>
  <c r="F42" i="6"/>
  <c r="AB41" i="6"/>
  <c r="AD41" i="6" s="1"/>
  <c r="AG43" i="6"/>
  <c r="G44" i="6"/>
  <c r="AC43" i="6"/>
  <c r="AM33" i="6"/>
  <c r="AN33" i="6"/>
  <c r="J34" i="6"/>
  <c r="AE42" i="6"/>
  <c r="E43" i="6"/>
  <c r="AA42" i="6"/>
  <c r="P43" i="6"/>
  <c r="X43" i="6"/>
  <c r="D161" i="6"/>
  <c r="I46" i="6"/>
  <c r="B160" i="6"/>
  <c r="C134" i="6"/>
  <c r="M40" i="11"/>
  <c r="N40" i="11"/>
  <c r="O40" i="11" s="1"/>
  <c r="A46" i="11"/>
  <c r="Q45" i="11"/>
  <c r="P39" i="11"/>
  <c r="R39" i="11" s="1"/>
  <c r="T39" i="11"/>
  <c r="A44" i="6"/>
  <c r="AG44" i="6" l="1"/>
  <c r="G45" i="6"/>
  <c r="AC44" i="6"/>
  <c r="AF42" i="6"/>
  <c r="AH42" i="6" s="1"/>
  <c r="F43" i="6"/>
  <c r="AB42" i="6"/>
  <c r="AD42" i="6" s="1"/>
  <c r="AM34" i="6"/>
  <c r="AN34" i="6"/>
  <c r="J35" i="6"/>
  <c r="AE43" i="6"/>
  <c r="E44" i="6"/>
  <c r="AA43" i="6"/>
  <c r="D162" i="6"/>
  <c r="X44" i="6"/>
  <c r="P44" i="6"/>
  <c r="I47" i="6"/>
  <c r="C135" i="6"/>
  <c r="B161" i="6"/>
  <c r="M41" i="11"/>
  <c r="N41" i="11"/>
  <c r="O41" i="11" s="1"/>
  <c r="P40" i="11"/>
  <c r="R40" i="11" s="1"/>
  <c r="T40" i="11"/>
  <c r="Q46" i="11"/>
  <c r="A47" i="11"/>
  <c r="A45" i="6"/>
  <c r="AF43" i="6" l="1"/>
  <c r="AH43" i="6" s="1"/>
  <c r="F44" i="6"/>
  <c r="AB43" i="6"/>
  <c r="AD43" i="6" s="1"/>
  <c r="AM35" i="6"/>
  <c r="AN35" i="6"/>
  <c r="J36" i="6"/>
  <c r="AE44" i="6"/>
  <c r="E45" i="6"/>
  <c r="AA44" i="6"/>
  <c r="D163" i="6"/>
  <c r="P45" i="6"/>
  <c r="X45" i="6"/>
  <c r="I48" i="6"/>
  <c r="B162" i="6"/>
  <c r="C136" i="6"/>
  <c r="M42" i="11"/>
  <c r="N42" i="11"/>
  <c r="O42" i="11" s="1"/>
  <c r="P41" i="11"/>
  <c r="R41" i="11" s="1"/>
  <c r="T41" i="11"/>
  <c r="A48" i="11"/>
  <c r="Q47" i="11"/>
  <c r="A46" i="6"/>
  <c r="AF44" i="6" l="1"/>
  <c r="AH44" i="6" s="1"/>
  <c r="AB44" i="6"/>
  <c r="AD44" i="6" s="1"/>
  <c r="F45" i="6"/>
  <c r="AM36" i="6"/>
  <c r="AN36" i="6"/>
  <c r="J37" i="6"/>
  <c r="D164" i="6"/>
  <c r="P46" i="6"/>
  <c r="X46" i="6"/>
  <c r="I49" i="6"/>
  <c r="C137" i="6"/>
  <c r="B163" i="6"/>
  <c r="A49" i="11"/>
  <c r="Q48" i="11"/>
  <c r="M43" i="11"/>
  <c r="N43" i="11"/>
  <c r="O43" i="11" s="1"/>
  <c r="P42" i="11"/>
  <c r="R42" i="11" s="1"/>
  <c r="T42" i="11"/>
  <c r="A47" i="6"/>
  <c r="AM37" i="6" l="1"/>
  <c r="AN37" i="6"/>
  <c r="J38" i="6"/>
  <c r="D165" i="6"/>
  <c r="P47" i="6"/>
  <c r="X47" i="6"/>
  <c r="I50" i="6"/>
  <c r="B164" i="6"/>
  <c r="C138" i="6"/>
  <c r="P43" i="11"/>
  <c r="R43" i="11" s="1"/>
  <c r="T43" i="11"/>
  <c r="A50" i="11"/>
  <c r="Q49" i="11"/>
  <c r="M44" i="11"/>
  <c r="N44" i="11"/>
  <c r="O44" i="11" s="1"/>
  <c r="A48" i="6"/>
  <c r="AM38" i="6" l="1"/>
  <c r="AN38" i="6"/>
  <c r="J39" i="6"/>
  <c r="I51" i="6"/>
  <c r="D166" i="6"/>
  <c r="X48" i="6"/>
  <c r="P48" i="6"/>
  <c r="C139" i="6"/>
  <c r="B165" i="6"/>
  <c r="M45" i="11"/>
  <c r="N45" i="11"/>
  <c r="O45" i="11" s="1"/>
  <c r="Q50" i="11"/>
  <c r="A51" i="11"/>
  <c r="T44" i="11"/>
  <c r="P44" i="11"/>
  <c r="R44" i="11" s="1"/>
  <c r="A49" i="6"/>
  <c r="AM39" i="6" l="1"/>
  <c r="AN39" i="6"/>
  <c r="J40" i="6"/>
  <c r="I52" i="6"/>
  <c r="P49" i="6"/>
  <c r="X49" i="6"/>
  <c r="D167" i="6"/>
  <c r="C140" i="6"/>
  <c r="B166" i="6"/>
  <c r="P45" i="11"/>
  <c r="R45" i="11" s="1"/>
  <c r="T45" i="11"/>
  <c r="M46" i="11"/>
  <c r="N46" i="11"/>
  <c r="O46" i="11" s="1"/>
  <c r="A52" i="11"/>
  <c r="Q51" i="11"/>
  <c r="A50" i="6"/>
  <c r="AM40" i="6" l="1"/>
  <c r="AN40" i="6"/>
  <c r="J41" i="6"/>
  <c r="X50" i="6"/>
  <c r="P50" i="6"/>
  <c r="D168" i="6"/>
  <c r="I53" i="6"/>
  <c r="B167" i="6"/>
  <c r="C141" i="6"/>
  <c r="P46" i="11"/>
  <c r="R46" i="11" s="1"/>
  <c r="T46" i="11"/>
  <c r="Q52" i="11"/>
  <c r="A53" i="11"/>
  <c r="M47" i="11"/>
  <c r="N47" i="11"/>
  <c r="O47" i="11" s="1"/>
  <c r="A51" i="6"/>
  <c r="AM41" i="6" l="1"/>
  <c r="AN41" i="6"/>
  <c r="J42" i="6"/>
  <c r="D169" i="6"/>
  <c r="P51" i="6"/>
  <c r="X51" i="6"/>
  <c r="I54" i="6"/>
  <c r="C142" i="6"/>
  <c r="B168" i="6"/>
  <c r="Q53" i="11"/>
  <c r="A54" i="11"/>
  <c r="M48" i="11"/>
  <c r="N48" i="11"/>
  <c r="O48" i="11" s="1"/>
  <c r="P47" i="11"/>
  <c r="R47" i="11" s="1"/>
  <c r="T47" i="11"/>
  <c r="A52" i="6"/>
  <c r="AM42" i="6" l="1"/>
  <c r="AN42" i="6"/>
  <c r="J43" i="6"/>
  <c r="I55" i="6"/>
  <c r="P52" i="6"/>
  <c r="X52" i="6"/>
  <c r="D170" i="6"/>
  <c r="B169" i="6"/>
  <c r="C143" i="6"/>
  <c r="M49" i="11"/>
  <c r="N49" i="11"/>
  <c r="O49" i="11" s="1"/>
  <c r="P48" i="11"/>
  <c r="R48" i="11" s="1"/>
  <c r="T48" i="11"/>
  <c r="A55" i="11"/>
  <c r="Q54" i="11"/>
  <c r="A53" i="6"/>
  <c r="AM43" i="6" l="1"/>
  <c r="AN43" i="6"/>
  <c r="J44" i="6"/>
  <c r="I56" i="6"/>
  <c r="X53" i="6"/>
  <c r="P53" i="6"/>
  <c r="D171" i="6"/>
  <c r="C144" i="6"/>
  <c r="B170" i="6"/>
  <c r="P49" i="11"/>
  <c r="R49" i="11" s="1"/>
  <c r="T49" i="11"/>
  <c r="M50" i="11"/>
  <c r="N50" i="11"/>
  <c r="O50" i="11" s="1"/>
  <c r="A56" i="11"/>
  <c r="Q55" i="11"/>
  <c r="A54" i="6"/>
  <c r="AM44" i="6" l="1"/>
  <c r="AN44" i="6"/>
  <c r="J45" i="6"/>
  <c r="I57" i="6"/>
  <c r="D172" i="6"/>
  <c r="P54" i="6"/>
  <c r="X54" i="6"/>
  <c r="B171" i="6"/>
  <c r="C145" i="6"/>
  <c r="Q56" i="11"/>
  <c r="A57" i="11"/>
  <c r="M51" i="11"/>
  <c r="N51" i="11"/>
  <c r="O51" i="11" s="1"/>
  <c r="P50" i="11"/>
  <c r="R50" i="11" s="1"/>
  <c r="T50" i="11"/>
  <c r="A55" i="6"/>
  <c r="AM45" i="6" l="1"/>
  <c r="AN45" i="6"/>
  <c r="J46" i="6"/>
  <c r="P55" i="6"/>
  <c r="X55" i="6"/>
  <c r="D173" i="6"/>
  <c r="I58" i="6"/>
  <c r="C146" i="6"/>
  <c r="B172" i="6"/>
  <c r="P51" i="11"/>
  <c r="R51" i="11" s="1"/>
  <c r="T51" i="11"/>
  <c r="M52" i="11"/>
  <c r="N52" i="11"/>
  <c r="O52" i="11" s="1"/>
  <c r="A58" i="11"/>
  <c r="Q57" i="11"/>
  <c r="A56" i="6"/>
  <c r="J47" i="6" l="1"/>
  <c r="D174" i="6"/>
  <c r="P56" i="6"/>
  <c r="X56" i="6"/>
  <c r="I59" i="6"/>
  <c r="B173" i="6"/>
  <c r="C147" i="6"/>
  <c r="P52" i="11"/>
  <c r="R52" i="11" s="1"/>
  <c r="T52" i="11"/>
  <c r="M53" i="11"/>
  <c r="N53" i="11"/>
  <c r="O53" i="11" s="1"/>
  <c r="A59" i="11"/>
  <c r="Q58" i="11"/>
  <c r="A57" i="6"/>
  <c r="J48" i="6" l="1"/>
  <c r="I60" i="6"/>
  <c r="D175" i="6"/>
  <c r="P57" i="6"/>
  <c r="X57" i="6"/>
  <c r="C148" i="6"/>
  <c r="B174" i="6"/>
  <c r="Q59" i="11"/>
  <c r="A60" i="11"/>
  <c r="M54" i="11"/>
  <c r="N54" i="11"/>
  <c r="O54" i="11" s="1"/>
  <c r="P53" i="11"/>
  <c r="R53" i="11" s="1"/>
  <c r="T53" i="11"/>
  <c r="A58" i="6"/>
  <c r="J49" i="6" l="1"/>
  <c r="X58" i="6"/>
  <c r="P58" i="6"/>
  <c r="D176" i="6"/>
  <c r="I61" i="6"/>
  <c r="B175" i="6"/>
  <c r="C149" i="6"/>
  <c r="Q60" i="11"/>
  <c r="A61" i="11"/>
  <c r="M55" i="11"/>
  <c r="N55" i="11"/>
  <c r="O55" i="11" s="1"/>
  <c r="T54" i="11"/>
  <c r="P54" i="11"/>
  <c r="R54" i="11" s="1"/>
  <c r="A59" i="6"/>
  <c r="J50" i="6" l="1"/>
  <c r="I62" i="6"/>
  <c r="P59" i="6"/>
  <c r="X59" i="6"/>
  <c r="D177" i="6"/>
  <c r="C150" i="6"/>
  <c r="B176" i="6"/>
  <c r="M56" i="11"/>
  <c r="N56" i="11"/>
  <c r="O56" i="11" s="1"/>
  <c r="A62" i="11"/>
  <c r="Q61" i="11"/>
  <c r="P55" i="11"/>
  <c r="R55" i="11" s="1"/>
  <c r="T55" i="11"/>
  <c r="A60" i="6"/>
  <c r="J51" i="6" l="1"/>
  <c r="D178" i="6"/>
  <c r="I63" i="6"/>
  <c r="P60" i="6"/>
  <c r="X60" i="6"/>
  <c r="B177" i="6"/>
  <c r="C151" i="6"/>
  <c r="M57" i="11"/>
  <c r="N57" i="11"/>
  <c r="O57" i="11" s="1"/>
  <c r="A63" i="11"/>
  <c r="Q62" i="11"/>
  <c r="P56" i="11"/>
  <c r="R56" i="11" s="1"/>
  <c r="T56" i="11"/>
  <c r="A61" i="6"/>
  <c r="J52" i="6" l="1"/>
  <c r="D179" i="6"/>
  <c r="P61" i="6"/>
  <c r="X61" i="6"/>
  <c r="I64" i="6"/>
  <c r="C152" i="6"/>
  <c r="B178" i="6"/>
  <c r="M58" i="11"/>
  <c r="N58" i="11"/>
  <c r="O58" i="11" s="1"/>
  <c r="P57" i="11"/>
  <c r="R57" i="11" s="1"/>
  <c r="T57" i="11"/>
  <c r="A64" i="11"/>
  <c r="Q63" i="11"/>
  <c r="A62" i="6"/>
  <c r="J53" i="6" l="1"/>
  <c r="X62" i="6"/>
  <c r="P62" i="6"/>
  <c r="I65" i="6"/>
  <c r="D180" i="6"/>
  <c r="C153" i="6"/>
  <c r="B179" i="6"/>
  <c r="A65" i="11"/>
  <c r="Q64" i="11"/>
  <c r="M59" i="11"/>
  <c r="N59" i="11"/>
  <c r="O59" i="11" s="1"/>
  <c r="P58" i="11"/>
  <c r="R58" i="11" s="1"/>
  <c r="T58" i="11"/>
  <c r="A63" i="6"/>
  <c r="J54" i="6" l="1"/>
  <c r="I66" i="6"/>
  <c r="P63" i="6"/>
  <c r="X63" i="6"/>
  <c r="D181" i="6"/>
  <c r="B180" i="6"/>
  <c r="C154" i="6"/>
  <c r="P59" i="11"/>
  <c r="R59" i="11" s="1"/>
  <c r="T59" i="11"/>
  <c r="Q65" i="11"/>
  <c r="A66" i="11"/>
  <c r="M60" i="11"/>
  <c r="N60" i="11"/>
  <c r="O60" i="11" s="1"/>
  <c r="A64" i="6"/>
  <c r="J55" i="6" l="1"/>
  <c r="I67" i="6"/>
  <c r="D182" i="6"/>
  <c r="X64" i="6"/>
  <c r="P64" i="6"/>
  <c r="C155" i="6"/>
  <c r="B181" i="6"/>
  <c r="Q66" i="11"/>
  <c r="A67" i="11"/>
  <c r="P60" i="11"/>
  <c r="R60" i="11" s="1"/>
  <c r="T60" i="11"/>
  <c r="M61" i="11"/>
  <c r="N61" i="11"/>
  <c r="O61" i="11" s="1"/>
  <c r="A65" i="6"/>
  <c r="J56" i="6" l="1"/>
  <c r="I68" i="6"/>
  <c r="X65" i="6"/>
  <c r="P65" i="6"/>
  <c r="D183" i="6"/>
  <c r="B182" i="6"/>
  <c r="C156" i="6"/>
  <c r="M62" i="11"/>
  <c r="N62" i="11"/>
  <c r="O62" i="11" s="1"/>
  <c r="Q67" i="11"/>
  <c r="A68" i="11"/>
  <c r="P61" i="11"/>
  <c r="R61" i="11" s="1"/>
  <c r="T61" i="11"/>
  <c r="A66" i="6"/>
  <c r="J57" i="6" l="1"/>
  <c r="I69" i="6"/>
  <c r="X66" i="6"/>
  <c r="P66" i="6"/>
  <c r="D184" i="6"/>
  <c r="C157" i="6"/>
  <c r="B183" i="6"/>
  <c r="M63" i="11"/>
  <c r="N63" i="11"/>
  <c r="O63" i="11" s="1"/>
  <c r="P62" i="11"/>
  <c r="R62" i="11" s="1"/>
  <c r="T62" i="11"/>
  <c r="Q68" i="11"/>
  <c r="A69" i="11"/>
  <c r="A67" i="6"/>
  <c r="J58" i="6" l="1"/>
  <c r="I70" i="6"/>
  <c r="D185" i="6"/>
  <c r="P67" i="6"/>
  <c r="X67" i="6"/>
  <c r="B184" i="6"/>
  <c r="C158" i="6"/>
  <c r="A70" i="11"/>
  <c r="Q69" i="11"/>
  <c r="P63" i="11"/>
  <c r="R63" i="11" s="1"/>
  <c r="T63" i="11"/>
  <c r="M64" i="11"/>
  <c r="N64" i="11"/>
  <c r="O64" i="11" s="1"/>
  <c r="A68" i="6"/>
  <c r="J59" i="6" l="1"/>
  <c r="D186" i="6"/>
  <c r="P68" i="6"/>
  <c r="X68" i="6"/>
  <c r="I71" i="6"/>
  <c r="C159" i="6"/>
  <c r="B185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T64" i="11"/>
  <c r="A69" i="6"/>
  <c r="J60" i="6" l="1"/>
  <c r="P69" i="6"/>
  <c r="X69" i="6"/>
  <c r="I72" i="6"/>
  <c r="D187" i="6"/>
  <c r="B186" i="6"/>
  <c r="C160" i="6"/>
  <c r="N67" i="11"/>
  <c r="O67" i="11" s="1"/>
  <c r="P67" i="11" s="1"/>
  <c r="R67" i="11" s="1"/>
  <c r="Q71" i="11"/>
  <c r="A72" i="11"/>
  <c r="A70" i="6"/>
  <c r="J61" i="6" l="1"/>
  <c r="P70" i="6"/>
  <c r="X70" i="6"/>
  <c r="D188" i="6"/>
  <c r="I73" i="6"/>
  <c r="C161" i="6"/>
  <c r="B187" i="6"/>
  <c r="A73" i="11"/>
  <c r="Q72" i="11"/>
  <c r="N68" i="11"/>
  <c r="O68" i="11" s="1"/>
  <c r="P68" i="11" s="1"/>
  <c r="R68" i="11" s="1"/>
  <c r="A71" i="6"/>
  <c r="J62" i="6" l="1"/>
  <c r="I74" i="6"/>
  <c r="D189" i="6"/>
  <c r="P71" i="6"/>
  <c r="X71" i="6"/>
  <c r="C162" i="6"/>
  <c r="B188" i="6"/>
  <c r="Q73" i="11"/>
  <c r="A74" i="11"/>
  <c r="N69" i="11"/>
  <c r="O69" i="11" s="1"/>
  <c r="P69" i="11" s="1"/>
  <c r="R69" i="11" s="1"/>
  <c r="A72" i="6"/>
  <c r="J63" i="6" l="1"/>
  <c r="I75" i="6"/>
  <c r="D190" i="6"/>
  <c r="X72" i="6"/>
  <c r="P72" i="6"/>
  <c r="B189" i="6"/>
  <c r="C163" i="6"/>
  <c r="N70" i="11"/>
  <c r="O70" i="11" s="1"/>
  <c r="P70" i="11" s="1"/>
  <c r="R70" i="11" s="1"/>
  <c r="A75" i="11"/>
  <c r="Q74" i="11"/>
  <c r="A73" i="6"/>
  <c r="J64" i="6" l="1"/>
  <c r="I76" i="6"/>
  <c r="D191" i="6"/>
  <c r="P73" i="6"/>
  <c r="X73" i="6"/>
  <c r="C164" i="6"/>
  <c r="B190" i="6"/>
  <c r="A76" i="11"/>
  <c r="Q75" i="11"/>
  <c r="N71" i="11"/>
  <c r="O71" i="11" s="1"/>
  <c r="P71" i="11" s="1"/>
  <c r="R71" i="11" s="1"/>
  <c r="A74" i="6"/>
  <c r="J65" i="6" l="1"/>
  <c r="I77" i="6"/>
  <c r="P74" i="6"/>
  <c r="X74" i="6"/>
  <c r="D192" i="6"/>
  <c r="B191" i="6"/>
  <c r="C165" i="6"/>
  <c r="A77" i="11"/>
  <c r="Q76" i="11"/>
  <c r="N72" i="11"/>
  <c r="O72" i="11" s="1"/>
  <c r="P72" i="11" s="1"/>
  <c r="R72" i="11" s="1"/>
  <c r="A75" i="6"/>
  <c r="J66" i="6" l="1"/>
  <c r="I78" i="6"/>
  <c r="X75" i="6"/>
  <c r="P75" i="6"/>
  <c r="D193" i="6"/>
  <c r="C166" i="6"/>
  <c r="B192" i="6"/>
  <c r="Q77" i="11"/>
  <c r="A78" i="11"/>
  <c r="N73" i="11"/>
  <c r="O73" i="11" s="1"/>
  <c r="P73" i="11" s="1"/>
  <c r="R73" i="11" s="1"/>
  <c r="A76" i="6"/>
  <c r="J67" i="6" l="1"/>
  <c r="D194" i="6"/>
  <c r="I79" i="6"/>
  <c r="P76" i="6"/>
  <c r="X76" i="6"/>
  <c r="B193" i="6"/>
  <c r="C167" i="6"/>
  <c r="Q78" i="11"/>
  <c r="A79" i="11"/>
  <c r="N74" i="11"/>
  <c r="O74" i="11" s="1"/>
  <c r="P74" i="11" s="1"/>
  <c r="R74" i="11" s="1"/>
  <c r="A77" i="6"/>
  <c r="J68" i="6" l="1"/>
  <c r="I80" i="6"/>
  <c r="D195" i="6"/>
  <c r="X77" i="6"/>
  <c r="P77" i="6"/>
  <c r="B194" i="6"/>
  <c r="C168" i="6"/>
  <c r="N75" i="11"/>
  <c r="O75" i="11" s="1"/>
  <c r="P75" i="11" s="1"/>
  <c r="R75" i="11" s="1"/>
  <c r="A80" i="11"/>
  <c r="Q79" i="11"/>
  <c r="A78" i="6"/>
  <c r="J69" i="6" l="1"/>
  <c r="I81" i="6"/>
  <c r="D196" i="6"/>
  <c r="X78" i="6"/>
  <c r="P78" i="6"/>
  <c r="C169" i="6"/>
  <c r="B195" i="6"/>
  <c r="Q80" i="11"/>
  <c r="A81" i="11"/>
  <c r="N76" i="11"/>
  <c r="O76" i="11" s="1"/>
  <c r="P76" i="11" s="1"/>
  <c r="R76" i="11" s="1"/>
  <c r="A79" i="6"/>
  <c r="J70" i="6" l="1"/>
  <c r="D197" i="6"/>
  <c r="X79" i="6"/>
  <c r="P79" i="6"/>
  <c r="I82" i="6"/>
  <c r="B196" i="6"/>
  <c r="C170" i="6"/>
  <c r="N77" i="11"/>
  <c r="O77" i="11" s="1"/>
  <c r="P77" i="11" s="1"/>
  <c r="R77" i="11" s="1"/>
  <c r="Q81" i="11"/>
  <c r="A82" i="11"/>
  <c r="A80" i="6"/>
  <c r="J71" i="6" l="1"/>
  <c r="I83" i="6"/>
  <c r="D198" i="6"/>
  <c r="P80" i="6"/>
  <c r="X80" i="6"/>
  <c r="C171" i="6"/>
  <c r="B197" i="6"/>
  <c r="N78" i="11"/>
  <c r="O78" i="11" s="1"/>
  <c r="P78" i="11" s="1"/>
  <c r="R78" i="11" s="1"/>
  <c r="A83" i="11"/>
  <c r="Q82" i="11"/>
  <c r="A81" i="6"/>
  <c r="J72" i="6" l="1"/>
  <c r="P81" i="6"/>
  <c r="X81" i="6"/>
  <c r="D199" i="6"/>
  <c r="I84" i="6"/>
  <c r="B198" i="6"/>
  <c r="C172" i="6"/>
  <c r="N79" i="11"/>
  <c r="O79" i="11" s="1"/>
  <c r="P79" i="11" s="1"/>
  <c r="R79" i="11" s="1"/>
  <c r="A84" i="11"/>
  <c r="Q83" i="11"/>
  <c r="A82" i="6"/>
  <c r="J73" i="6" l="1"/>
  <c r="I85" i="6"/>
  <c r="D200" i="6"/>
  <c r="P82" i="6"/>
  <c r="X82" i="6"/>
  <c r="C173" i="6"/>
  <c r="B199" i="6"/>
  <c r="N80" i="11"/>
  <c r="O80" i="11" s="1"/>
  <c r="P80" i="11" s="1"/>
  <c r="R80" i="11" s="1"/>
  <c r="A85" i="11"/>
  <c r="Q84" i="11"/>
  <c r="A83" i="6"/>
  <c r="J74" i="6" l="1"/>
  <c r="I86" i="6"/>
  <c r="P83" i="6"/>
  <c r="X83" i="6"/>
  <c r="D201" i="6"/>
  <c r="B200" i="6"/>
  <c r="C174" i="6"/>
  <c r="Q85" i="11"/>
  <c r="A86" i="11"/>
  <c r="N81" i="11"/>
  <c r="O81" i="11" s="1"/>
  <c r="P81" i="11" s="1"/>
  <c r="R81" i="11" s="1"/>
  <c r="A84" i="6"/>
  <c r="J75" i="6" l="1"/>
  <c r="D202" i="6"/>
  <c r="I87" i="6"/>
  <c r="X84" i="6"/>
  <c r="P84" i="6"/>
  <c r="C175" i="6"/>
  <c r="B201" i="6"/>
  <c r="N82" i="11"/>
  <c r="O82" i="11" s="1"/>
  <c r="P82" i="11" s="1"/>
  <c r="R82" i="11" s="1"/>
  <c r="A87" i="11"/>
  <c r="Q86" i="11"/>
  <c r="A85" i="6"/>
  <c r="J76" i="6" l="1"/>
  <c r="I88" i="6"/>
  <c r="D203" i="6"/>
  <c r="X85" i="6"/>
  <c r="P85" i="6"/>
  <c r="B202" i="6"/>
  <c r="C176" i="6"/>
  <c r="N83" i="11"/>
  <c r="O83" i="11" s="1"/>
  <c r="P83" i="11" s="1"/>
  <c r="R83" i="11" s="1"/>
  <c r="Q87" i="11"/>
  <c r="A88" i="11"/>
  <c r="A86" i="6"/>
  <c r="J77" i="6" l="1"/>
  <c r="I89" i="6"/>
  <c r="P86" i="6"/>
  <c r="X86" i="6"/>
  <c r="D204" i="6"/>
  <c r="C177" i="6"/>
  <c r="B203" i="6"/>
  <c r="N84" i="11"/>
  <c r="O84" i="11" s="1"/>
  <c r="P84" i="11" s="1"/>
  <c r="R84" i="11" s="1"/>
  <c r="Q88" i="11"/>
  <c r="A89" i="11"/>
  <c r="A87" i="6"/>
  <c r="J78" i="6" l="1"/>
  <c r="X87" i="6"/>
  <c r="P87" i="6"/>
  <c r="I90" i="6"/>
  <c r="B204" i="6"/>
  <c r="C178" i="6"/>
  <c r="A90" i="11"/>
  <c r="Q89" i="11"/>
  <c r="N85" i="11"/>
  <c r="O85" i="11" s="1"/>
  <c r="P85" i="11" s="1"/>
  <c r="R85" i="11" s="1"/>
  <c r="A88" i="6"/>
  <c r="J79" i="6" l="1"/>
  <c r="I91" i="6"/>
  <c r="P88" i="6"/>
  <c r="X88" i="6"/>
  <c r="C179" i="6"/>
  <c r="A91" i="11"/>
  <c r="Q90" i="11"/>
  <c r="N86" i="11"/>
  <c r="O86" i="11" s="1"/>
  <c r="P86" i="11" s="1"/>
  <c r="R86" i="11" s="1"/>
  <c r="A89" i="6"/>
  <c r="J80" i="6" l="1"/>
  <c r="I92" i="6"/>
  <c r="P89" i="6"/>
  <c r="X89" i="6"/>
  <c r="C180" i="6"/>
  <c r="N87" i="11"/>
  <c r="O87" i="11" s="1"/>
  <c r="P87" i="11" s="1"/>
  <c r="R87" i="11" s="1"/>
  <c r="A92" i="11"/>
  <c r="Q91" i="11"/>
  <c r="A90" i="6"/>
  <c r="J81" i="6" l="1"/>
  <c r="P90" i="6"/>
  <c r="X90" i="6"/>
  <c r="I93" i="6"/>
  <c r="C181" i="6"/>
  <c r="A93" i="11"/>
  <c r="Q92" i="11"/>
  <c r="N88" i="11"/>
  <c r="O88" i="11" s="1"/>
  <c r="P88" i="11" s="1"/>
  <c r="R88" i="11" s="1"/>
  <c r="A91" i="6"/>
  <c r="J82" i="6" l="1"/>
  <c r="I94" i="6"/>
  <c r="P91" i="6"/>
  <c r="X91" i="6"/>
  <c r="C182" i="6"/>
  <c r="Q93" i="11"/>
  <c r="A94" i="11"/>
  <c r="N89" i="11"/>
  <c r="O89" i="11" s="1"/>
  <c r="P89" i="11" s="1"/>
  <c r="R89" i="11" s="1"/>
  <c r="A92" i="6"/>
  <c r="J83" i="6" l="1"/>
  <c r="X92" i="6"/>
  <c r="P92" i="6"/>
  <c r="I95" i="6"/>
  <c r="C183" i="6"/>
  <c r="N90" i="11"/>
  <c r="O90" i="11" s="1"/>
  <c r="P90" i="11" s="1"/>
  <c r="R90" i="11" s="1"/>
  <c r="Q94" i="11"/>
  <c r="A95" i="11"/>
  <c r="A93" i="6"/>
  <c r="J84" i="6" l="1"/>
  <c r="I96" i="6"/>
  <c r="P93" i="6"/>
  <c r="X93" i="6"/>
  <c r="C184" i="6"/>
  <c r="N91" i="11"/>
  <c r="O91" i="11" s="1"/>
  <c r="P91" i="11" s="1"/>
  <c r="R91" i="11" s="1"/>
  <c r="Q95" i="11"/>
  <c r="A96" i="11"/>
  <c r="A94" i="6"/>
  <c r="J85" i="6" l="1"/>
  <c r="P94" i="6"/>
  <c r="X94" i="6"/>
  <c r="I97" i="6"/>
  <c r="C185" i="6"/>
  <c r="N92" i="11"/>
  <c r="O92" i="11" s="1"/>
  <c r="P92" i="11" s="1"/>
  <c r="R92" i="11" s="1"/>
  <c r="Q96" i="11"/>
  <c r="A97" i="11"/>
  <c r="A95" i="6"/>
  <c r="J86" i="6" l="1"/>
  <c r="I98" i="6"/>
  <c r="P95" i="6"/>
  <c r="X95" i="6"/>
  <c r="C186" i="6"/>
  <c r="A98" i="11"/>
  <c r="Q97" i="11"/>
  <c r="N93" i="11"/>
  <c r="O93" i="11" s="1"/>
  <c r="P93" i="11" s="1"/>
  <c r="R93" i="11" s="1"/>
  <c r="A96" i="6"/>
  <c r="J87" i="6" l="1"/>
  <c r="P96" i="6"/>
  <c r="X96" i="6"/>
  <c r="I99" i="6"/>
  <c r="C187" i="6"/>
  <c r="A99" i="11"/>
  <c r="Q98" i="11"/>
  <c r="N94" i="11"/>
  <c r="O94" i="11" s="1"/>
  <c r="P94" i="11" s="1"/>
  <c r="R94" i="11" s="1"/>
  <c r="A97" i="6"/>
  <c r="J88" i="6" l="1"/>
  <c r="I100" i="6"/>
  <c r="X97" i="6"/>
  <c r="P97" i="6"/>
  <c r="C188" i="6"/>
  <c r="Q99" i="11"/>
  <c r="A100" i="11"/>
  <c r="N95" i="11"/>
  <c r="O95" i="11" s="1"/>
  <c r="P95" i="11" s="1"/>
  <c r="R95" i="11" s="1"/>
  <c r="A98" i="6"/>
  <c r="J89" i="6" l="1"/>
  <c r="I101" i="6"/>
  <c r="X98" i="6"/>
  <c r="P98" i="6"/>
  <c r="C189" i="6"/>
  <c r="Q100" i="11"/>
  <c r="A101" i="11"/>
  <c r="N96" i="11"/>
  <c r="O96" i="11" s="1"/>
  <c r="P96" i="11" s="1"/>
  <c r="R96" i="11" s="1"/>
  <c r="A99" i="6"/>
  <c r="J90" i="6" l="1"/>
  <c r="P99" i="6"/>
  <c r="X99" i="6"/>
  <c r="I102" i="6"/>
  <c r="C190" i="6"/>
  <c r="A102" i="11"/>
  <c r="Q101" i="11"/>
  <c r="N97" i="11"/>
  <c r="O97" i="11" s="1"/>
  <c r="P97" i="11" s="1"/>
  <c r="R97" i="11" s="1"/>
  <c r="A100" i="6"/>
  <c r="J91" i="6" l="1"/>
  <c r="I103" i="6"/>
  <c r="X100" i="6"/>
  <c r="P100" i="6"/>
  <c r="C191" i="6"/>
  <c r="N98" i="11"/>
  <c r="O98" i="11" s="1"/>
  <c r="P98" i="11" s="1"/>
  <c r="R98" i="11" s="1"/>
  <c r="Q102" i="11"/>
  <c r="A103" i="11"/>
  <c r="A101" i="6"/>
  <c r="J92" i="6" l="1"/>
  <c r="P101" i="6"/>
  <c r="X101" i="6"/>
  <c r="I104" i="6"/>
  <c r="C192" i="6"/>
  <c r="N99" i="11"/>
  <c r="O99" i="11" s="1"/>
  <c r="P99" i="11" s="1"/>
  <c r="R99" i="11" s="1"/>
  <c r="Q103" i="11"/>
  <c r="A104" i="11"/>
  <c r="A102" i="6"/>
  <c r="J93" i="6" l="1"/>
  <c r="I105" i="6"/>
  <c r="X102" i="6"/>
  <c r="P102" i="6"/>
  <c r="C193" i="6"/>
  <c r="A105" i="11"/>
  <c r="Q104" i="11"/>
  <c r="N100" i="11"/>
  <c r="O100" i="11" s="1"/>
  <c r="P100" i="11" s="1"/>
  <c r="R100" i="11" s="1"/>
  <c r="A103" i="6"/>
  <c r="J94" i="6" l="1"/>
  <c r="I106" i="6"/>
  <c r="X103" i="6"/>
  <c r="P103" i="6"/>
  <c r="C194" i="6"/>
  <c r="A106" i="11"/>
  <c r="Q105" i="11"/>
  <c r="N101" i="11"/>
  <c r="O101" i="11" s="1"/>
  <c r="P101" i="11" s="1"/>
  <c r="R101" i="11" s="1"/>
  <c r="A104" i="6"/>
  <c r="J95" i="6" l="1"/>
  <c r="I107" i="6"/>
  <c r="X104" i="6"/>
  <c r="P104" i="6"/>
  <c r="C195" i="6"/>
  <c r="N102" i="11"/>
  <c r="O102" i="11" s="1"/>
  <c r="P102" i="11" s="1"/>
  <c r="R102" i="11" s="1"/>
  <c r="A107" i="11"/>
  <c r="Q106" i="11"/>
  <c r="A105" i="6"/>
  <c r="P105" i="6" l="1"/>
  <c r="J96" i="6"/>
  <c r="I108" i="6"/>
  <c r="X105" i="6"/>
  <c r="C196" i="6"/>
  <c r="N103" i="11"/>
  <c r="O103" i="11" s="1"/>
  <c r="P103" i="11" s="1"/>
  <c r="R103" i="11" s="1"/>
  <c r="A108" i="11"/>
  <c r="Q107" i="11"/>
  <c r="A106" i="6"/>
  <c r="P106" i="6" l="1"/>
  <c r="J97" i="6"/>
  <c r="X106" i="6"/>
  <c r="I109" i="6"/>
  <c r="C197" i="6"/>
  <c r="Q108" i="11"/>
  <c r="A109" i="11"/>
  <c r="N104" i="11"/>
  <c r="O104" i="11" s="1"/>
  <c r="P104" i="11" s="1"/>
  <c r="R104" i="11" s="1"/>
  <c r="A107" i="6"/>
  <c r="P107" i="6" l="1"/>
  <c r="J98" i="6"/>
  <c r="X107" i="6"/>
  <c r="I110" i="6"/>
  <c r="C198" i="6"/>
  <c r="N105" i="11"/>
  <c r="O105" i="11" s="1"/>
  <c r="P105" i="11" s="1"/>
  <c r="R105" i="11" s="1"/>
  <c r="Q109" i="11"/>
  <c r="A110" i="11"/>
  <c r="A108" i="6"/>
  <c r="P108" i="6" l="1"/>
  <c r="J99" i="6"/>
  <c r="I111" i="6"/>
  <c r="X108" i="6"/>
  <c r="C199" i="6"/>
  <c r="N106" i="11"/>
  <c r="O106" i="11" s="1"/>
  <c r="P106" i="11" s="1"/>
  <c r="R106" i="11" s="1"/>
  <c r="A111" i="11"/>
  <c r="Q110" i="11"/>
  <c r="A109" i="6"/>
  <c r="P109" i="6" l="1"/>
  <c r="J100" i="6"/>
  <c r="I112" i="6"/>
  <c r="X109" i="6"/>
  <c r="C200" i="6"/>
  <c r="N107" i="11"/>
  <c r="O107" i="11" s="1"/>
  <c r="P107" i="11" s="1"/>
  <c r="R107" i="11" s="1"/>
  <c r="Q111" i="11"/>
  <c r="A112" i="11"/>
  <c r="A110" i="6"/>
  <c r="P110" i="6" l="1"/>
  <c r="J101" i="6"/>
  <c r="I113" i="6"/>
  <c r="X110" i="6"/>
  <c r="C201" i="6"/>
  <c r="Q112" i="11"/>
  <c r="A113" i="11"/>
  <c r="N108" i="11"/>
  <c r="O108" i="11" s="1"/>
  <c r="P108" i="11" s="1"/>
  <c r="R108" i="11" s="1"/>
  <c r="A111" i="6"/>
  <c r="P111" i="6" l="1"/>
  <c r="J102" i="6"/>
  <c r="I114" i="6"/>
  <c r="X111" i="6"/>
  <c r="C202" i="6"/>
  <c r="Q113" i="11"/>
  <c r="A114" i="11"/>
  <c r="N109" i="11"/>
  <c r="O109" i="11" s="1"/>
  <c r="P109" i="11" s="1"/>
  <c r="R109" i="11" s="1"/>
  <c r="A112" i="6"/>
  <c r="P112" i="6" l="1"/>
  <c r="J103" i="6"/>
  <c r="I115" i="6"/>
  <c r="X112" i="6"/>
  <c r="C203" i="6"/>
  <c r="Q114" i="11"/>
  <c r="A115" i="11"/>
  <c r="N110" i="11"/>
  <c r="O110" i="11" s="1"/>
  <c r="P110" i="11" s="1"/>
  <c r="R110" i="11" s="1"/>
  <c r="A113" i="6"/>
  <c r="P113" i="6" l="1"/>
  <c r="J104" i="6"/>
  <c r="I116" i="6"/>
  <c r="X113" i="6"/>
  <c r="C204" i="6"/>
  <c r="A116" i="11"/>
  <c r="Q115" i="11"/>
  <c r="N111" i="11"/>
  <c r="O111" i="11" s="1"/>
  <c r="P111" i="11" s="1"/>
  <c r="R111" i="11" s="1"/>
  <c r="A114" i="6"/>
  <c r="P114" i="6" l="1"/>
  <c r="J105" i="6"/>
  <c r="X114" i="6"/>
  <c r="I117" i="6"/>
  <c r="Q116" i="11"/>
  <c r="A117" i="11"/>
  <c r="N112" i="11"/>
  <c r="O112" i="11" s="1"/>
  <c r="P112" i="11" s="1"/>
  <c r="R112" i="11" s="1"/>
  <c r="A115" i="6"/>
  <c r="P115" i="6" l="1"/>
  <c r="J106" i="6"/>
  <c r="X115" i="6"/>
  <c r="I118" i="6"/>
  <c r="N113" i="11"/>
  <c r="O113" i="11" s="1"/>
  <c r="P113" i="11" s="1"/>
  <c r="R113" i="11" s="1"/>
  <c r="Q117" i="11"/>
  <c r="A118" i="11"/>
  <c r="A116" i="6"/>
  <c r="P116" i="6" l="1"/>
  <c r="J107" i="6"/>
  <c r="X116" i="6"/>
  <c r="I119" i="6"/>
  <c r="A119" i="11"/>
  <c r="Q118" i="11"/>
  <c r="N114" i="11"/>
  <c r="O114" i="11" s="1"/>
  <c r="P114" i="11" s="1"/>
  <c r="R114" i="11" s="1"/>
  <c r="A117" i="6"/>
  <c r="P117" i="6" l="1"/>
  <c r="J108" i="6"/>
  <c r="X117" i="6"/>
  <c r="I120" i="6"/>
  <c r="Q119" i="11"/>
  <c r="A120" i="11"/>
  <c r="N115" i="11"/>
  <c r="O115" i="11" s="1"/>
  <c r="P115" i="11" s="1"/>
  <c r="R115" i="11" s="1"/>
  <c r="A118" i="6"/>
  <c r="P118" i="6" l="1"/>
  <c r="J109" i="6"/>
  <c r="I121" i="6"/>
  <c r="X118" i="6"/>
  <c r="N116" i="11"/>
  <c r="O116" i="11" s="1"/>
  <c r="P116" i="11" s="1"/>
  <c r="R116" i="11" s="1"/>
  <c r="A121" i="11"/>
  <c r="Q120" i="11"/>
  <c r="A119" i="6"/>
  <c r="P119" i="6" l="1"/>
  <c r="J110" i="6"/>
  <c r="X119" i="6"/>
  <c r="I122" i="6"/>
  <c r="N117" i="11"/>
  <c r="O117" i="11" s="1"/>
  <c r="P117" i="11" s="1"/>
  <c r="R117" i="11" s="1"/>
  <c r="A122" i="11"/>
  <c r="Q121" i="11"/>
  <c r="A120" i="6"/>
  <c r="P120" i="6" l="1"/>
  <c r="J111" i="6"/>
  <c r="X120" i="6"/>
  <c r="I123" i="6"/>
  <c r="N118" i="11"/>
  <c r="O118" i="11" s="1"/>
  <c r="P118" i="11" s="1"/>
  <c r="R118" i="11" s="1"/>
  <c r="A123" i="11"/>
  <c r="Q122" i="11"/>
  <c r="A121" i="6"/>
  <c r="P121" i="6" l="1"/>
  <c r="J112" i="6"/>
  <c r="X121" i="6"/>
  <c r="I124" i="6"/>
  <c r="A124" i="11"/>
  <c r="Q123" i="11"/>
  <c r="N119" i="11"/>
  <c r="O119" i="11" s="1"/>
  <c r="P119" i="11" s="1"/>
  <c r="R119" i="11" s="1"/>
  <c r="A122" i="6"/>
  <c r="P122" i="6" l="1"/>
  <c r="J113" i="6"/>
  <c r="X122" i="6"/>
  <c r="I125" i="6"/>
  <c r="N120" i="11"/>
  <c r="O120" i="11" s="1"/>
  <c r="P120" i="11" s="1"/>
  <c r="R120" i="11" s="1"/>
  <c r="A125" i="11"/>
  <c r="Q124" i="11"/>
  <c r="A123" i="6"/>
  <c r="P123" i="6" l="1"/>
  <c r="J114" i="6"/>
  <c r="X123" i="6"/>
  <c r="I126" i="6"/>
  <c r="A126" i="11"/>
  <c r="Q125" i="11"/>
  <c r="N121" i="11"/>
  <c r="O121" i="11" s="1"/>
  <c r="P121" i="11" s="1"/>
  <c r="R121" i="11" s="1"/>
  <c r="A124" i="6"/>
  <c r="P124" i="6" l="1"/>
  <c r="J115" i="6"/>
  <c r="I127" i="6"/>
  <c r="X124" i="6"/>
  <c r="A127" i="11"/>
  <c r="Q126" i="11"/>
  <c r="N122" i="11"/>
  <c r="O122" i="11" s="1"/>
  <c r="P122" i="11" s="1"/>
  <c r="R122" i="11" s="1"/>
  <c r="A125" i="6"/>
  <c r="P125" i="6" l="1"/>
  <c r="J116" i="6"/>
  <c r="X125" i="6"/>
  <c r="I128" i="6"/>
  <c r="N123" i="11"/>
  <c r="O123" i="11" s="1"/>
  <c r="P123" i="11" s="1"/>
  <c r="R123" i="11" s="1"/>
  <c r="A128" i="11"/>
  <c r="Q127" i="11"/>
  <c r="A126" i="6"/>
  <c r="P126" i="6" l="1"/>
  <c r="J117" i="6"/>
  <c r="X126" i="6"/>
  <c r="I129" i="6"/>
  <c r="Q128" i="11"/>
  <c r="A129" i="11"/>
  <c r="N124" i="11"/>
  <c r="O124" i="11" s="1"/>
  <c r="P124" i="11" s="1"/>
  <c r="R124" i="11" s="1"/>
  <c r="A127" i="6"/>
  <c r="P127" i="6" l="1"/>
  <c r="J118" i="6"/>
  <c r="X127" i="6"/>
  <c r="I130" i="6"/>
  <c r="N125" i="11"/>
  <c r="O125" i="11" s="1"/>
  <c r="P125" i="11" s="1"/>
  <c r="R125" i="11" s="1"/>
  <c r="Q129" i="11"/>
  <c r="A130" i="11"/>
  <c r="A128" i="6"/>
  <c r="P128" i="6" l="1"/>
  <c r="J119" i="6"/>
  <c r="X128" i="6"/>
  <c r="I131" i="6"/>
  <c r="A131" i="11"/>
  <c r="Q130" i="11"/>
  <c r="N126" i="11"/>
  <c r="O126" i="11" s="1"/>
  <c r="P126" i="11" s="1"/>
  <c r="R126" i="11" s="1"/>
  <c r="A129" i="6"/>
  <c r="P129" i="6" l="1"/>
  <c r="J120" i="6"/>
  <c r="X129" i="6"/>
  <c r="I132" i="6"/>
  <c r="N127" i="11"/>
  <c r="O127" i="11" s="1"/>
  <c r="P127" i="11" s="1"/>
  <c r="R127" i="11" s="1"/>
  <c r="A132" i="11"/>
  <c r="Q131" i="11"/>
  <c r="A130" i="6"/>
  <c r="P130" i="6" l="1"/>
  <c r="J121" i="6"/>
  <c r="X130" i="6"/>
  <c r="I133" i="6"/>
  <c r="Q132" i="11"/>
  <c r="A133" i="11"/>
  <c r="N128" i="11"/>
  <c r="O128" i="11" s="1"/>
  <c r="P128" i="11" s="1"/>
  <c r="R128" i="11" s="1"/>
  <c r="A131" i="6"/>
  <c r="P131" i="6" l="1"/>
  <c r="J122" i="6"/>
  <c r="I134" i="6"/>
  <c r="X131" i="6"/>
  <c r="N129" i="11"/>
  <c r="O129" i="11" s="1"/>
  <c r="P129" i="11" s="1"/>
  <c r="R129" i="11" s="1"/>
  <c r="A134" i="11"/>
  <c r="Q133" i="11"/>
  <c r="A132" i="6"/>
  <c r="P132" i="6" l="1"/>
  <c r="J123" i="6"/>
  <c r="X132" i="6"/>
  <c r="I135" i="6"/>
  <c r="N130" i="11"/>
  <c r="O130" i="11" s="1"/>
  <c r="P130" i="11" s="1"/>
  <c r="R130" i="11" s="1"/>
  <c r="A135" i="11"/>
  <c r="Q134" i="11"/>
  <c r="A133" i="6"/>
  <c r="P133" i="6" l="1"/>
  <c r="J124" i="6"/>
  <c r="I136" i="6"/>
  <c r="X133" i="6"/>
  <c r="N131" i="11"/>
  <c r="O131" i="11" s="1"/>
  <c r="P131" i="11" s="1"/>
  <c r="R131" i="11" s="1"/>
  <c r="A136" i="11"/>
  <c r="Q135" i="11"/>
  <c r="A134" i="6"/>
  <c r="P134" i="6" l="1"/>
  <c r="J125" i="6"/>
  <c r="X134" i="6"/>
  <c r="I137" i="6"/>
  <c r="Q136" i="11"/>
  <c r="A137" i="11"/>
  <c r="N132" i="11"/>
  <c r="O132" i="11" s="1"/>
  <c r="P132" i="11" s="1"/>
  <c r="R132" i="11" s="1"/>
  <c r="A135" i="6"/>
  <c r="P135" i="6" l="1"/>
  <c r="J126" i="6"/>
  <c r="I138" i="6"/>
  <c r="X135" i="6"/>
  <c r="Q137" i="11"/>
  <c r="A138" i="11"/>
  <c r="N133" i="11"/>
  <c r="O133" i="11" s="1"/>
  <c r="P133" i="11" s="1"/>
  <c r="R133" i="11" s="1"/>
  <c r="A136" i="6"/>
  <c r="P136" i="6" l="1"/>
  <c r="J127" i="6"/>
  <c r="I139" i="6"/>
  <c r="X136" i="6"/>
  <c r="Q138" i="11"/>
  <c r="A139" i="11"/>
  <c r="N134" i="11"/>
  <c r="O134" i="11" s="1"/>
  <c r="P134" i="11" s="1"/>
  <c r="R134" i="11" s="1"/>
  <c r="A137" i="6"/>
  <c r="P137" i="6" l="1"/>
  <c r="J128" i="6"/>
  <c r="X137" i="6"/>
  <c r="I140" i="6"/>
  <c r="N135" i="11"/>
  <c r="O135" i="11" s="1"/>
  <c r="P135" i="11" s="1"/>
  <c r="R135" i="11" s="1"/>
  <c r="Q139" i="11"/>
  <c r="A140" i="11"/>
  <c r="A138" i="6"/>
  <c r="P138" i="6" l="1"/>
  <c r="J129" i="6"/>
  <c r="I141" i="6"/>
  <c r="X138" i="6"/>
  <c r="A141" i="11"/>
  <c r="Q140" i="11"/>
  <c r="N136" i="11"/>
  <c r="O136" i="11" s="1"/>
  <c r="P136" i="11" s="1"/>
  <c r="R136" i="11" s="1"/>
  <c r="A139" i="6"/>
  <c r="P139" i="6" l="1"/>
  <c r="J130" i="6"/>
  <c r="X139" i="6"/>
  <c r="I142" i="6"/>
  <c r="Q141" i="11"/>
  <c r="A142" i="11"/>
  <c r="N137" i="11"/>
  <c r="O137" i="11" s="1"/>
  <c r="P137" i="11" s="1"/>
  <c r="R137" i="11" s="1"/>
  <c r="A140" i="6"/>
  <c r="P140" i="6" l="1"/>
  <c r="J131" i="6"/>
  <c r="X140" i="6"/>
  <c r="I143" i="6"/>
  <c r="A143" i="11"/>
  <c r="Q142" i="11"/>
  <c r="N138" i="11"/>
  <c r="O138" i="11" s="1"/>
  <c r="P138" i="11" s="1"/>
  <c r="R138" i="11" s="1"/>
  <c r="A141" i="6"/>
  <c r="P141" i="6" l="1"/>
  <c r="J132" i="6"/>
  <c r="X141" i="6"/>
  <c r="I144" i="6"/>
  <c r="A144" i="11"/>
  <c r="Q143" i="11"/>
  <c r="N139" i="11"/>
  <c r="O139" i="11" s="1"/>
  <c r="P139" i="11" s="1"/>
  <c r="R139" i="11" s="1"/>
  <c r="A142" i="6"/>
  <c r="P142" i="6" l="1"/>
  <c r="J133" i="6"/>
  <c r="X142" i="6"/>
  <c r="I145" i="6"/>
  <c r="Q144" i="11"/>
  <c r="A145" i="11"/>
  <c r="N140" i="11"/>
  <c r="O140" i="11" s="1"/>
  <c r="P140" i="11" s="1"/>
  <c r="R140" i="11" s="1"/>
  <c r="A143" i="6"/>
  <c r="P143" i="6" l="1"/>
  <c r="J134" i="6"/>
  <c r="X143" i="6"/>
  <c r="I146" i="6"/>
  <c r="N141" i="11"/>
  <c r="O141" i="11" s="1"/>
  <c r="P141" i="11" s="1"/>
  <c r="R141" i="11" s="1"/>
  <c r="Q145" i="11"/>
  <c r="A146" i="11"/>
  <c r="A144" i="6"/>
  <c r="P144" i="6" l="1"/>
  <c r="J135" i="6"/>
  <c r="X144" i="6"/>
  <c r="I147" i="6"/>
  <c r="N142" i="11"/>
  <c r="O142" i="11" s="1"/>
  <c r="P142" i="11" s="1"/>
  <c r="R142" i="11" s="1"/>
  <c r="A147" i="11"/>
  <c r="Q146" i="11"/>
  <c r="A145" i="6"/>
  <c r="P145" i="6" l="1"/>
  <c r="J136" i="6"/>
  <c r="X145" i="6"/>
  <c r="I148" i="6"/>
  <c r="N143" i="11"/>
  <c r="O143" i="11" s="1"/>
  <c r="P143" i="11" s="1"/>
  <c r="R143" i="11" s="1"/>
  <c r="A148" i="11"/>
  <c r="Q147" i="11"/>
  <c r="A146" i="6"/>
  <c r="P146" i="6" l="1"/>
  <c r="J137" i="6"/>
  <c r="X146" i="6"/>
  <c r="I149" i="6"/>
  <c r="A149" i="11"/>
  <c r="Q148" i="11"/>
  <c r="N144" i="11"/>
  <c r="O144" i="11" s="1"/>
  <c r="P144" i="11" s="1"/>
  <c r="R144" i="11" s="1"/>
  <c r="A147" i="6"/>
  <c r="P147" i="6" l="1"/>
  <c r="J138" i="6"/>
  <c r="I150" i="6"/>
  <c r="X147" i="6"/>
  <c r="N145" i="11"/>
  <c r="O145" i="11" s="1"/>
  <c r="P145" i="11" s="1"/>
  <c r="R145" i="11" s="1"/>
  <c r="A150" i="11"/>
  <c r="Q149" i="11"/>
  <c r="A148" i="6"/>
  <c r="P148" i="6" l="1"/>
  <c r="J139" i="6"/>
  <c r="X148" i="6"/>
  <c r="I151" i="6"/>
  <c r="N146" i="11"/>
  <c r="O146" i="11" s="1"/>
  <c r="P146" i="11" s="1"/>
  <c r="R146" i="11" s="1"/>
  <c r="A151" i="11"/>
  <c r="Q150" i="11"/>
  <c r="A149" i="6"/>
  <c r="P149" i="6" l="1"/>
  <c r="J140" i="6"/>
  <c r="X149" i="6"/>
  <c r="I152" i="6"/>
  <c r="N147" i="11"/>
  <c r="O147" i="11" s="1"/>
  <c r="P147" i="11" s="1"/>
  <c r="R147" i="11" s="1"/>
  <c r="A152" i="11"/>
  <c r="Q151" i="11"/>
  <c r="A150" i="6"/>
  <c r="P150" i="6" l="1"/>
  <c r="J141" i="6"/>
  <c r="X150" i="6"/>
  <c r="I153" i="6"/>
  <c r="N148" i="11"/>
  <c r="O148" i="11" s="1"/>
  <c r="P148" i="11" s="1"/>
  <c r="R148" i="11" s="1"/>
  <c r="Q152" i="11"/>
  <c r="A153" i="11"/>
  <c r="A151" i="6"/>
  <c r="P151" i="6" l="1"/>
  <c r="J142" i="6"/>
  <c r="X151" i="6"/>
  <c r="I154" i="6"/>
  <c r="Q153" i="11"/>
  <c r="A154" i="11"/>
  <c r="N149" i="11"/>
  <c r="O149" i="11" s="1"/>
  <c r="P149" i="11" s="1"/>
  <c r="R149" i="11" s="1"/>
  <c r="A152" i="6"/>
  <c r="P152" i="6" l="1"/>
  <c r="J143" i="6"/>
  <c r="X152" i="6"/>
  <c r="I155" i="6"/>
  <c r="N150" i="11"/>
  <c r="O150" i="11" s="1"/>
  <c r="P150" i="11" s="1"/>
  <c r="R150" i="11" s="1"/>
  <c r="Q154" i="11"/>
  <c r="A155" i="11"/>
  <c r="A153" i="6"/>
  <c r="P153" i="6" l="1"/>
  <c r="J144" i="6"/>
  <c r="I156" i="6"/>
  <c r="X153" i="6"/>
  <c r="A156" i="11"/>
  <c r="Q155" i="11"/>
  <c r="N151" i="11"/>
  <c r="O151" i="11" s="1"/>
  <c r="P151" i="11" s="1"/>
  <c r="R151" i="11" s="1"/>
  <c r="A154" i="6"/>
  <c r="P154" i="6" l="1"/>
  <c r="J145" i="6"/>
  <c r="X154" i="6"/>
  <c r="I157" i="6"/>
  <c r="N152" i="11"/>
  <c r="O152" i="11" s="1"/>
  <c r="P152" i="11" s="1"/>
  <c r="R152" i="11" s="1"/>
  <c r="A157" i="11"/>
  <c r="Q156" i="11"/>
  <c r="A155" i="6"/>
  <c r="P155" i="6" l="1"/>
  <c r="J146" i="6"/>
  <c r="X155" i="6"/>
  <c r="I158" i="6"/>
  <c r="N153" i="11"/>
  <c r="O153" i="11" s="1"/>
  <c r="P153" i="11" s="1"/>
  <c r="R153" i="11" s="1"/>
  <c r="Q157" i="11"/>
  <c r="A158" i="11"/>
  <c r="A156" i="6"/>
  <c r="P156" i="6" l="1"/>
  <c r="J147" i="6"/>
  <c r="X156" i="6"/>
  <c r="I159" i="6"/>
  <c r="N154" i="11"/>
  <c r="O154" i="11" s="1"/>
  <c r="P154" i="11" s="1"/>
  <c r="R154" i="11" s="1"/>
  <c r="A159" i="11"/>
  <c r="Q158" i="11"/>
  <c r="A157" i="6"/>
  <c r="P157" i="6" l="1"/>
  <c r="J148" i="6"/>
  <c r="X157" i="6"/>
  <c r="I160" i="6"/>
  <c r="N155" i="11"/>
  <c r="O155" i="11" s="1"/>
  <c r="P155" i="11" s="1"/>
  <c r="R155" i="11" s="1"/>
  <c r="A160" i="11"/>
  <c r="Q159" i="11"/>
  <c r="A158" i="6"/>
  <c r="P158" i="6" l="1"/>
  <c r="J149" i="6"/>
  <c r="I161" i="6"/>
  <c r="X158" i="6"/>
  <c r="A161" i="11"/>
  <c r="Q160" i="11"/>
  <c r="N156" i="11"/>
  <c r="O156" i="11" s="1"/>
  <c r="P156" i="11" s="1"/>
  <c r="R156" i="11" s="1"/>
  <c r="A159" i="6"/>
  <c r="P159" i="6" l="1"/>
  <c r="J150" i="6"/>
  <c r="X159" i="6"/>
  <c r="I162" i="6"/>
  <c r="N157" i="11"/>
  <c r="O157" i="11" s="1"/>
  <c r="P157" i="11" s="1"/>
  <c r="R157" i="11" s="1"/>
  <c r="Q161" i="11"/>
  <c r="A162" i="11"/>
  <c r="A160" i="6"/>
  <c r="P160" i="6" l="1"/>
  <c r="J151" i="6"/>
  <c r="X160" i="6"/>
  <c r="I163" i="6"/>
  <c r="N158" i="11"/>
  <c r="O158" i="11" s="1"/>
  <c r="P158" i="11" s="1"/>
  <c r="R158" i="11" s="1"/>
  <c r="Q162" i="11"/>
  <c r="A163" i="11"/>
  <c r="A161" i="6"/>
  <c r="P161" i="6" l="1"/>
  <c r="J152" i="6"/>
  <c r="X161" i="6"/>
  <c r="I164" i="6"/>
  <c r="N159" i="11"/>
  <c r="O159" i="11" s="1"/>
  <c r="P159" i="11" s="1"/>
  <c r="R159" i="11" s="1"/>
  <c r="A164" i="11"/>
  <c r="Q163" i="11"/>
  <c r="A162" i="6"/>
  <c r="P162" i="6" l="1"/>
  <c r="J153" i="6"/>
  <c r="X162" i="6"/>
  <c r="I165" i="6"/>
  <c r="N160" i="11"/>
  <c r="O160" i="11" s="1"/>
  <c r="P160" i="11" s="1"/>
  <c r="R160" i="11" s="1"/>
  <c r="Q164" i="11"/>
  <c r="A165" i="11"/>
  <c r="A163" i="6"/>
  <c r="P163" i="6" l="1"/>
  <c r="J154" i="6"/>
  <c r="X163" i="6"/>
  <c r="I166" i="6"/>
  <c r="Q165" i="11"/>
  <c r="A166" i="11"/>
  <c r="N161" i="11"/>
  <c r="O161" i="11" s="1"/>
  <c r="P161" i="11" s="1"/>
  <c r="R161" i="11" s="1"/>
  <c r="A164" i="6"/>
  <c r="P164" i="6" l="1"/>
  <c r="J155" i="6"/>
  <c r="X164" i="6"/>
  <c r="I167" i="6"/>
  <c r="N162" i="11"/>
  <c r="O162" i="11" s="1"/>
  <c r="P162" i="11" s="1"/>
  <c r="R162" i="11" s="1"/>
  <c r="Q166" i="11"/>
  <c r="A167" i="11"/>
  <c r="A165" i="6"/>
  <c r="P165" i="6" l="1"/>
  <c r="J156" i="6"/>
  <c r="X165" i="6"/>
  <c r="I168" i="6"/>
  <c r="A168" i="11"/>
  <c r="Q167" i="11"/>
  <c r="N163" i="11"/>
  <c r="O163" i="11" s="1"/>
  <c r="P163" i="11" s="1"/>
  <c r="R163" i="11" s="1"/>
  <c r="A166" i="6"/>
  <c r="P166" i="6" l="1"/>
  <c r="J157" i="6"/>
  <c r="X166" i="6"/>
  <c r="I169" i="6"/>
  <c r="A169" i="11"/>
  <c r="Q168" i="11"/>
  <c r="N164" i="11"/>
  <c r="O164" i="11" s="1"/>
  <c r="P164" i="11" s="1"/>
  <c r="R164" i="11" s="1"/>
  <c r="A167" i="6"/>
  <c r="P167" i="6" l="1"/>
  <c r="J158" i="6"/>
  <c r="X167" i="6"/>
  <c r="I170" i="6"/>
  <c r="N165" i="11"/>
  <c r="O165" i="11" s="1"/>
  <c r="P165" i="11" s="1"/>
  <c r="R165" i="11" s="1"/>
  <c r="Q169" i="11"/>
  <c r="A170" i="11"/>
  <c r="A168" i="6"/>
  <c r="P168" i="6" l="1"/>
  <c r="J159" i="6"/>
  <c r="I171" i="6"/>
  <c r="X168" i="6"/>
  <c r="N166" i="11"/>
  <c r="O166" i="11" s="1"/>
  <c r="P166" i="11" s="1"/>
  <c r="R166" i="11" s="1"/>
  <c r="Q170" i="11"/>
  <c r="A171" i="11"/>
  <c r="A169" i="6"/>
  <c r="P169" i="6" l="1"/>
  <c r="J160" i="6"/>
  <c r="X169" i="6"/>
  <c r="I172" i="6"/>
  <c r="A172" i="11"/>
  <c r="Q171" i="11"/>
  <c r="N167" i="11"/>
  <c r="O167" i="11" s="1"/>
  <c r="P167" i="11" s="1"/>
  <c r="R167" i="11" s="1"/>
  <c r="A170" i="6"/>
  <c r="P170" i="6" s="1"/>
  <c r="J161" i="6" l="1"/>
  <c r="X170" i="6"/>
  <c r="I173" i="6"/>
  <c r="N168" i="11"/>
  <c r="O168" i="11" s="1"/>
  <c r="P168" i="11" s="1"/>
  <c r="R168" i="11" s="1"/>
  <c r="Q172" i="11"/>
  <c r="A173" i="11"/>
  <c r="A171" i="6"/>
  <c r="P171" i="6" l="1"/>
  <c r="J162" i="6"/>
  <c r="X171" i="6"/>
  <c r="I174" i="6"/>
  <c r="N169" i="11"/>
  <c r="O169" i="11" s="1"/>
  <c r="P169" i="11" s="1"/>
  <c r="R169" i="11" s="1"/>
  <c r="Q173" i="11"/>
  <c r="A174" i="11"/>
  <c r="A172" i="6"/>
  <c r="P172" i="6" s="1"/>
  <c r="J163" i="6" l="1"/>
  <c r="X172" i="6"/>
  <c r="I175" i="6"/>
  <c r="A175" i="11"/>
  <c r="Q174" i="11"/>
  <c r="N170" i="11"/>
  <c r="O170" i="11" s="1"/>
  <c r="P170" i="11" s="1"/>
  <c r="R170" i="11" s="1"/>
  <c r="A173" i="6"/>
  <c r="P173" i="6" l="1"/>
  <c r="J164" i="6"/>
  <c r="X173" i="6"/>
  <c r="I176" i="6"/>
  <c r="N171" i="11"/>
  <c r="O171" i="11" s="1"/>
  <c r="P171" i="11" s="1"/>
  <c r="R171" i="11" s="1"/>
  <c r="A176" i="11"/>
  <c r="Q175" i="11"/>
  <c r="A174" i="6"/>
  <c r="P174" i="6" l="1"/>
  <c r="J165" i="6"/>
  <c r="I177" i="6"/>
  <c r="X174" i="6"/>
  <c r="N172" i="11"/>
  <c r="O172" i="11" s="1"/>
  <c r="P172" i="11" s="1"/>
  <c r="R172" i="11" s="1"/>
  <c r="Q176" i="11"/>
  <c r="A177" i="11"/>
  <c r="A175" i="6"/>
  <c r="P175" i="6" l="1"/>
  <c r="J166" i="6"/>
  <c r="I178" i="6"/>
  <c r="X175" i="6"/>
  <c r="Q177" i="11"/>
  <c r="A178" i="11"/>
  <c r="N173" i="11"/>
  <c r="O173" i="11" s="1"/>
  <c r="P173" i="11" s="1"/>
  <c r="R173" i="11" s="1"/>
  <c r="A176" i="6"/>
  <c r="P176" i="6" l="1"/>
  <c r="J167" i="6"/>
  <c r="I179" i="6"/>
  <c r="X176" i="6"/>
  <c r="A179" i="11"/>
  <c r="Q178" i="11"/>
  <c r="N174" i="11"/>
  <c r="O174" i="11" s="1"/>
  <c r="P174" i="11" s="1"/>
  <c r="R174" i="11" s="1"/>
  <c r="A177" i="6"/>
  <c r="P177" i="6" s="1"/>
  <c r="J168" i="6" l="1"/>
  <c r="X177" i="6"/>
  <c r="I180" i="6"/>
  <c r="N175" i="11"/>
  <c r="O175" i="11" s="1"/>
  <c r="P175" i="11" s="1"/>
  <c r="R175" i="11" s="1"/>
  <c r="A180" i="11"/>
  <c r="Q179" i="11"/>
  <c r="A178" i="6"/>
  <c r="P178" i="6" s="1"/>
  <c r="J169" i="6" l="1"/>
  <c r="X178" i="6"/>
  <c r="I181" i="6"/>
  <c r="Q180" i="11"/>
  <c r="A181" i="11"/>
  <c r="N176" i="11"/>
  <c r="O176" i="11" s="1"/>
  <c r="P176" i="11" s="1"/>
  <c r="R176" i="11" s="1"/>
  <c r="A179" i="6"/>
  <c r="P179" i="6" s="1"/>
  <c r="J170" i="6" l="1"/>
  <c r="I182" i="6"/>
  <c r="X179" i="6"/>
  <c r="N177" i="11"/>
  <c r="O177" i="11" s="1"/>
  <c r="P177" i="11" s="1"/>
  <c r="R177" i="11" s="1"/>
  <c r="Q181" i="11"/>
  <c r="A182" i="11"/>
  <c r="A180" i="6"/>
  <c r="P180" i="6" l="1"/>
  <c r="J171" i="6"/>
  <c r="X180" i="6"/>
  <c r="I183" i="6"/>
  <c r="N178" i="11"/>
  <c r="O178" i="11" s="1"/>
  <c r="P178" i="11" s="1"/>
  <c r="R178" i="11" s="1"/>
  <c r="A183" i="11"/>
  <c r="Q182" i="11"/>
  <c r="A181" i="6"/>
  <c r="P181" i="6" s="1"/>
  <c r="J172" i="6" l="1"/>
  <c r="X181" i="6"/>
  <c r="I184" i="6"/>
  <c r="A184" i="11"/>
  <c r="Q183" i="11"/>
  <c r="N179" i="11"/>
  <c r="O179" i="11" s="1"/>
  <c r="P179" i="11" s="1"/>
  <c r="R179" i="11" s="1"/>
  <c r="A182" i="6"/>
  <c r="P182" i="6" l="1"/>
  <c r="J173" i="6"/>
  <c r="X182" i="6"/>
  <c r="I185" i="6"/>
  <c r="A185" i="11"/>
  <c r="Q184" i="11"/>
  <c r="N180" i="11"/>
  <c r="O180" i="11" s="1"/>
  <c r="P180" i="11" s="1"/>
  <c r="R180" i="11" s="1"/>
  <c r="A183" i="6"/>
  <c r="P183" i="6" s="1"/>
  <c r="J174" i="6" l="1"/>
  <c r="X183" i="6"/>
  <c r="I186" i="6"/>
  <c r="N181" i="11"/>
  <c r="O181" i="11" s="1"/>
  <c r="P181" i="11" s="1"/>
  <c r="R181" i="11" s="1"/>
  <c r="Q185" i="11"/>
  <c r="A186" i="11"/>
  <c r="A184" i="6"/>
  <c r="P184" i="6" s="1"/>
  <c r="J175" i="6" l="1"/>
  <c r="X184" i="6"/>
  <c r="I187" i="6"/>
  <c r="A187" i="11"/>
  <c r="Q186" i="11"/>
  <c r="N182" i="11"/>
  <c r="O182" i="11" s="1"/>
  <c r="P182" i="11" s="1"/>
  <c r="R182" i="11" s="1"/>
  <c r="A185" i="6"/>
  <c r="P185" i="6" l="1"/>
  <c r="J176" i="6"/>
  <c r="X185" i="6"/>
  <c r="I188" i="6"/>
  <c r="N183" i="11"/>
  <c r="O183" i="11" s="1"/>
  <c r="P183" i="11" s="1"/>
  <c r="R183" i="11" s="1"/>
  <c r="A188" i="11"/>
  <c r="Q187" i="11"/>
  <c r="A186" i="6"/>
  <c r="P186" i="6" s="1"/>
  <c r="J177" i="6" l="1"/>
  <c r="X186" i="6"/>
  <c r="I189" i="6"/>
  <c r="Q188" i="11"/>
  <c r="A189" i="11"/>
  <c r="N184" i="11"/>
  <c r="O184" i="11" s="1"/>
  <c r="P184" i="11" s="1"/>
  <c r="R184" i="11" s="1"/>
  <c r="A187" i="6"/>
  <c r="P187" i="6" l="1"/>
  <c r="J178" i="6"/>
  <c r="X187" i="6"/>
  <c r="I190" i="6"/>
  <c r="Q189" i="11"/>
  <c r="A190" i="11"/>
  <c r="N185" i="11"/>
  <c r="O185" i="11" s="1"/>
  <c r="P185" i="11" s="1"/>
  <c r="R185" i="11" s="1"/>
  <c r="A188" i="6"/>
  <c r="P188" i="6" l="1"/>
  <c r="J179" i="6"/>
  <c r="X188" i="6"/>
  <c r="I191" i="6"/>
  <c r="N186" i="11"/>
  <c r="O186" i="11" s="1"/>
  <c r="P186" i="11" s="1"/>
  <c r="R186" i="11" s="1"/>
  <c r="A191" i="11"/>
  <c r="Q190" i="11"/>
  <c r="A189" i="6"/>
  <c r="P189" i="6" l="1"/>
  <c r="J180" i="6"/>
  <c r="X189" i="6"/>
  <c r="I192" i="6"/>
  <c r="N187" i="11"/>
  <c r="O187" i="11" s="1"/>
  <c r="P187" i="11" s="1"/>
  <c r="R187" i="11" s="1"/>
  <c r="A192" i="11"/>
  <c r="Q191" i="11"/>
  <c r="A190" i="6"/>
  <c r="P190" i="6" l="1"/>
  <c r="J181" i="6"/>
  <c r="X190" i="6"/>
  <c r="I193" i="6"/>
  <c r="Q192" i="11"/>
  <c r="A193" i="11"/>
  <c r="N188" i="11"/>
  <c r="O188" i="11" s="1"/>
  <c r="P188" i="11" s="1"/>
  <c r="R188" i="11" s="1"/>
  <c r="A191" i="6"/>
  <c r="P191" i="6" s="1"/>
  <c r="J182" i="6" l="1"/>
  <c r="X191" i="6"/>
  <c r="I194" i="6"/>
  <c r="N189" i="11"/>
  <c r="O189" i="11" s="1"/>
  <c r="P189" i="11" s="1"/>
  <c r="R189" i="11" s="1"/>
  <c r="Q193" i="11"/>
  <c r="A194" i="11"/>
  <c r="A192" i="6"/>
  <c r="P192" i="6" l="1"/>
  <c r="J183" i="6"/>
  <c r="X192" i="6"/>
  <c r="I195" i="6"/>
  <c r="N190" i="11"/>
  <c r="O190" i="11" s="1"/>
  <c r="P190" i="11" s="1"/>
  <c r="R190" i="11" s="1"/>
  <c r="A195" i="11"/>
  <c r="Q194" i="11"/>
  <c r="A193" i="6"/>
  <c r="P193" i="6" s="1"/>
  <c r="J184" i="6" l="1"/>
  <c r="X193" i="6"/>
  <c r="I196" i="6"/>
  <c r="N191" i="11"/>
  <c r="O191" i="11" s="1"/>
  <c r="P191" i="11" s="1"/>
  <c r="R191" i="11" s="1"/>
  <c r="A196" i="11"/>
  <c r="Q195" i="11"/>
  <c r="A194" i="6"/>
  <c r="P194" i="6" l="1"/>
  <c r="J185" i="6"/>
  <c r="X194" i="6"/>
  <c r="I197" i="6"/>
  <c r="Q196" i="11"/>
  <c r="A197" i="11"/>
  <c r="N192" i="11"/>
  <c r="O192" i="11" s="1"/>
  <c r="P192" i="11" s="1"/>
  <c r="R192" i="11" s="1"/>
  <c r="A195" i="6"/>
  <c r="P195" i="6" l="1"/>
  <c r="J186" i="6"/>
  <c r="X195" i="6"/>
  <c r="I198" i="6"/>
  <c r="Q197" i="11"/>
  <c r="A198" i="11"/>
  <c r="N193" i="11"/>
  <c r="O193" i="11" s="1"/>
  <c r="P193" i="11" s="1"/>
  <c r="R193" i="11" s="1"/>
  <c r="A196" i="6"/>
  <c r="P196" i="6" l="1"/>
  <c r="J187" i="6"/>
  <c r="I199" i="6"/>
  <c r="X196" i="6"/>
  <c r="N194" i="11"/>
  <c r="O194" i="11" s="1"/>
  <c r="P194" i="11" s="1"/>
  <c r="R194" i="11" s="1"/>
  <c r="A199" i="11"/>
  <c r="Q198" i="11"/>
  <c r="A197" i="6"/>
  <c r="P197" i="6" l="1"/>
  <c r="J188" i="6"/>
  <c r="I200" i="6"/>
  <c r="X197" i="6"/>
  <c r="N195" i="11"/>
  <c r="O195" i="11" s="1"/>
  <c r="P195" i="11" s="1"/>
  <c r="R195" i="11" s="1"/>
  <c r="A200" i="11"/>
  <c r="Q199" i="11"/>
  <c r="A198" i="6"/>
  <c r="P198" i="6" s="1"/>
  <c r="J189" i="6" l="1"/>
  <c r="X198" i="6"/>
  <c r="I201" i="6"/>
  <c r="N196" i="11"/>
  <c r="O196" i="11" s="1"/>
  <c r="P196" i="11" s="1"/>
  <c r="R196" i="11" s="1"/>
  <c r="A201" i="11"/>
  <c r="Q200" i="11"/>
  <c r="A199" i="6"/>
  <c r="P199" i="6" s="1"/>
  <c r="J190" i="6" l="1"/>
  <c r="X199" i="6"/>
  <c r="I202" i="6"/>
  <c r="N197" i="11"/>
  <c r="O197" i="11" s="1"/>
  <c r="P197" i="11" s="1"/>
  <c r="R197" i="11" s="1"/>
  <c r="Q201" i="11"/>
  <c r="A202" i="11"/>
  <c r="A200" i="6"/>
  <c r="P200" i="6" s="1"/>
  <c r="J191" i="6" l="1"/>
  <c r="I203" i="6"/>
  <c r="X200" i="6"/>
  <c r="N198" i="11"/>
  <c r="O198" i="11" s="1"/>
  <c r="P198" i="11" s="1"/>
  <c r="R198" i="11" s="1"/>
  <c r="A203" i="11"/>
  <c r="Q202" i="11"/>
  <c r="A201" i="6"/>
  <c r="P201" i="6" l="1"/>
  <c r="J192" i="6"/>
  <c r="X201" i="6"/>
  <c r="I204" i="6"/>
  <c r="N199" i="11"/>
  <c r="O199" i="11" s="1"/>
  <c r="P199" i="11" s="1"/>
  <c r="R199" i="11" s="1"/>
  <c r="A204" i="11"/>
  <c r="Q203" i="11"/>
  <c r="A202" i="6"/>
  <c r="P202" i="6" s="1"/>
  <c r="J193" i="6" l="1"/>
  <c r="X202" i="6"/>
  <c r="A205" i="11"/>
  <c r="Q205" i="11" s="1"/>
  <c r="N200" i="11"/>
  <c r="O200" i="11" s="1"/>
  <c r="P200" i="11" s="1"/>
  <c r="R200" i="11" s="1"/>
  <c r="Q204" i="11"/>
  <c r="A203" i="6"/>
  <c r="P203" i="6" l="1"/>
  <c r="J194" i="6"/>
  <c r="X203" i="6"/>
  <c r="A206" i="11"/>
  <c r="A207" i="11" s="1"/>
  <c r="N201" i="11"/>
  <c r="O201" i="11" s="1"/>
  <c r="P201" i="11" s="1"/>
  <c r="R201" i="11" s="1"/>
  <c r="A204" i="6"/>
  <c r="P204" i="6" s="1"/>
  <c r="J195" i="6" l="1"/>
  <c r="X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J196" i="6" l="1"/>
  <c r="N206" i="11"/>
  <c r="O206" i="11" s="1"/>
  <c r="P206" i="11" s="1"/>
  <c r="R206" i="11" s="1"/>
  <c r="Q208" i="11"/>
  <c r="A209" i="11"/>
  <c r="N203" i="11"/>
  <c r="O203" i="11" s="1"/>
  <c r="P203" i="11" s="1"/>
  <c r="R203" i="11" s="1"/>
  <c r="J197" i="6" l="1"/>
  <c r="N207" i="11"/>
  <c r="O207" i="11" s="1"/>
  <c r="P207" i="11" s="1"/>
  <c r="R207" i="11" s="1"/>
  <c r="N204" i="11"/>
  <c r="O204" i="11" s="1"/>
  <c r="P204" i="11" s="1"/>
  <c r="R204" i="11" s="1"/>
  <c r="A210" i="11"/>
  <c r="Q209" i="11"/>
  <c r="J198" i="6" l="1"/>
  <c r="A211" i="11"/>
  <c r="Q210" i="11"/>
  <c r="J199" i="6" l="1"/>
  <c r="N208" i="11"/>
  <c r="O208" i="11" s="1"/>
  <c r="P208" i="11" s="1"/>
  <c r="R208" i="11" s="1"/>
  <c r="N209" i="11"/>
  <c r="O209" i="11" s="1"/>
  <c r="P209" i="11" s="1"/>
  <c r="R209" i="11" s="1"/>
  <c r="A212" i="11"/>
  <c r="Q211" i="11"/>
  <c r="J200" i="6" l="1"/>
  <c r="A213" i="11"/>
  <c r="Q212" i="11"/>
  <c r="N210" i="11"/>
  <c r="O210" i="11" s="1"/>
  <c r="P210" i="11" s="1"/>
  <c r="R210" i="11" s="1"/>
  <c r="J201" i="6" l="1"/>
  <c r="N211" i="11"/>
  <c r="O211" i="11" s="1"/>
  <c r="P211" i="11" s="1"/>
  <c r="R211" i="11" s="1"/>
  <c r="Q213" i="11"/>
  <c r="A214" i="11"/>
  <c r="J202" i="6" l="1"/>
  <c r="A215" i="11"/>
  <c r="Q214" i="11"/>
  <c r="N212" i="11"/>
  <c r="O212" i="11" s="1"/>
  <c r="P212" i="11" s="1"/>
  <c r="R212" i="11" s="1"/>
  <c r="J203" i="6" l="1"/>
  <c r="Q215" i="11"/>
  <c r="A216" i="11"/>
  <c r="N213" i="11"/>
  <c r="O213" i="11" s="1"/>
  <c r="P213" i="11" s="1"/>
  <c r="R213" i="11" s="1"/>
  <c r="J204" i="6" l="1"/>
  <c r="N214" i="11"/>
  <c r="O214" i="11" s="1"/>
  <c r="P214" i="11" s="1"/>
  <c r="R214" i="11" s="1"/>
  <c r="Q216" i="11"/>
  <c r="A217" i="11"/>
  <c r="Q217" i="11" l="1"/>
  <c r="A218" i="11"/>
  <c r="N215" i="11"/>
  <c r="O215" i="11" s="1"/>
  <c r="P215" i="11" s="1"/>
  <c r="R215" i="11" s="1"/>
  <c r="B42" i="1" l="1"/>
  <c r="B36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B40" i="1"/>
  <c r="B38" i="1" s="1"/>
  <c r="K4" i="6" l="1"/>
  <c r="K5" i="6"/>
  <c r="L5" i="6" s="1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N217" i="11"/>
  <c r="O217" i="11" s="1"/>
  <c r="P217" i="11" s="1"/>
  <c r="R217" i="11" s="1"/>
  <c r="A220" i="11"/>
  <c r="Q219" i="11"/>
  <c r="B41" i="1"/>
  <c r="L6" i="6" l="1"/>
  <c r="L7" i="6" s="1"/>
  <c r="O5" i="6"/>
  <c r="M5" i="6"/>
  <c r="N5" i="6" s="1"/>
  <c r="A221" i="11"/>
  <c r="Q220" i="11"/>
  <c r="N218" i="11"/>
  <c r="O218" i="11" s="1"/>
  <c r="P218" i="11" s="1"/>
  <c r="R218" i="11" s="1"/>
  <c r="M6" i="6" l="1"/>
  <c r="N6" i="6" s="1"/>
  <c r="O6" i="6"/>
  <c r="Q6" i="6" s="1"/>
  <c r="L8" i="6"/>
  <c r="M8" i="6" s="1"/>
  <c r="N8" i="6" s="1"/>
  <c r="O7" i="6"/>
  <c r="R7" i="6" s="1"/>
  <c r="S7" i="6" s="1"/>
  <c r="AZ7" i="6" s="1"/>
  <c r="M7" i="6"/>
  <c r="N7" i="6" s="1"/>
  <c r="Q5" i="6"/>
  <c r="R5" i="6"/>
  <c r="S5" i="6" s="1"/>
  <c r="Q221" i="11"/>
  <c r="A222" i="11"/>
  <c r="N219" i="11"/>
  <c r="O219" i="11" s="1"/>
  <c r="P219" i="11" s="1"/>
  <c r="R219" i="11" s="1"/>
  <c r="AV4" i="6"/>
  <c r="AU5" i="6" l="1"/>
  <c r="AZ5" i="6"/>
  <c r="Q7" i="6"/>
  <c r="R6" i="6"/>
  <c r="S6" i="6" s="1"/>
  <c r="L9" i="6"/>
  <c r="O9" i="6" s="1"/>
  <c r="O8" i="6"/>
  <c r="Q8" i="6" s="1"/>
  <c r="T5" i="6"/>
  <c r="U5" i="6"/>
  <c r="U7" i="6"/>
  <c r="T7" i="6"/>
  <c r="AV5" i="6"/>
  <c r="AW5" i="6" s="1"/>
  <c r="N220" i="11"/>
  <c r="O220" i="11" s="1"/>
  <c r="P220" i="11" s="1"/>
  <c r="R220" i="11" s="1"/>
  <c r="Q222" i="11"/>
  <c r="A223" i="11"/>
  <c r="U6" i="6" l="1"/>
  <c r="V6" i="6" s="1"/>
  <c r="AZ6" i="6"/>
  <c r="V7" i="6"/>
  <c r="AO7" i="6"/>
  <c r="V5" i="6"/>
  <c r="AO5" i="6"/>
  <c r="L10" i="6"/>
  <c r="M10" i="6" s="1"/>
  <c r="N10" i="6" s="1"/>
  <c r="T6" i="6"/>
  <c r="R8" i="6"/>
  <c r="S8" i="6" s="1"/>
  <c r="M9" i="6"/>
  <c r="N9" i="6" s="1"/>
  <c r="Q9" i="6"/>
  <c r="R9" i="6"/>
  <c r="S9" i="6" s="1"/>
  <c r="AZ9" i="6" s="1"/>
  <c r="AY5" i="6"/>
  <c r="AX5" i="6"/>
  <c r="N221" i="11"/>
  <c r="O221" i="11" s="1"/>
  <c r="P221" i="11" s="1"/>
  <c r="R221" i="11" s="1"/>
  <c r="Q223" i="11"/>
  <c r="A224" i="11"/>
  <c r="AV6" i="6"/>
  <c r="U8" i="6" l="1"/>
  <c r="AO8" i="6" s="1"/>
  <c r="AZ8" i="6"/>
  <c r="AO6" i="6"/>
  <c r="W6" i="6"/>
  <c r="AQ6" i="6" s="1"/>
  <c r="AP6" i="6"/>
  <c r="AR6" i="6" s="1"/>
  <c r="AT6" i="6"/>
  <c r="W5" i="6"/>
  <c r="AQ5" i="6" s="1"/>
  <c r="AP5" i="6"/>
  <c r="AR5" i="6" s="1"/>
  <c r="AT5" i="6"/>
  <c r="W7" i="6"/>
  <c r="AQ7" i="6" s="1"/>
  <c r="AT7" i="6"/>
  <c r="AP7" i="6"/>
  <c r="AR7" i="6" s="1"/>
  <c r="L11" i="6"/>
  <c r="O11" i="6" s="1"/>
  <c r="O10" i="6"/>
  <c r="Q10" i="6" s="1"/>
  <c r="T8" i="6"/>
  <c r="T9" i="6"/>
  <c r="U9" i="6"/>
  <c r="AW6" i="6"/>
  <c r="AY6" i="6"/>
  <c r="AV7" i="6"/>
  <c r="AU6" i="6"/>
  <c r="AX6" i="6" s="1"/>
  <c r="Q224" i="11"/>
  <c r="A225" i="11"/>
  <c r="N222" i="11"/>
  <c r="O222" i="11" s="1"/>
  <c r="P222" i="11" s="1"/>
  <c r="R222" i="11" s="1"/>
  <c r="V8" i="6" l="1"/>
  <c r="W8" i="6" s="1"/>
  <c r="V9" i="6"/>
  <c r="AO9" i="6"/>
  <c r="Y5" i="6"/>
  <c r="Y6" i="6"/>
  <c r="Y7" i="6"/>
  <c r="L12" i="6"/>
  <c r="O12" i="6" s="1"/>
  <c r="R10" i="6"/>
  <c r="S10" i="6" s="1"/>
  <c r="M11" i="6"/>
  <c r="N11" i="6" s="1"/>
  <c r="Q11" i="6"/>
  <c r="R11" i="6"/>
  <c r="S11" i="6" s="1"/>
  <c r="AZ11" i="6" s="1"/>
  <c r="AW7" i="6"/>
  <c r="AY7" i="6"/>
  <c r="AV8" i="6"/>
  <c r="AU7" i="6"/>
  <c r="AX7" i="6" s="1"/>
  <c r="N223" i="11"/>
  <c r="O223" i="11" s="1"/>
  <c r="P223" i="11" s="1"/>
  <c r="R223" i="11" s="1"/>
  <c r="A226" i="11"/>
  <c r="Q225" i="11"/>
  <c r="AP8" i="6" l="1"/>
  <c r="AR8" i="6" s="1"/>
  <c r="AT8" i="6"/>
  <c r="T10" i="6"/>
  <c r="AZ10" i="6"/>
  <c r="Y8" i="6"/>
  <c r="W9" i="6"/>
  <c r="AQ9" i="6" s="1"/>
  <c r="AP9" i="6"/>
  <c r="AR9" i="6" s="1"/>
  <c r="AT9" i="6"/>
  <c r="AQ8" i="6"/>
  <c r="L13" i="6"/>
  <c r="M13" i="6" s="1"/>
  <c r="N13" i="6" s="1"/>
  <c r="M12" i="6"/>
  <c r="N12" i="6" s="1"/>
  <c r="U10" i="6"/>
  <c r="T11" i="6"/>
  <c r="U11" i="6"/>
  <c r="Q12" i="6"/>
  <c r="R12" i="6"/>
  <c r="S12" i="6" s="1"/>
  <c r="AZ12" i="6" s="1"/>
  <c r="AY8" i="6"/>
  <c r="AW8" i="6"/>
  <c r="AU8" i="6"/>
  <c r="AX8" i="6" s="1"/>
  <c r="Q226" i="11"/>
  <c r="A227" i="11"/>
  <c r="N224" i="11"/>
  <c r="O224" i="11" s="1"/>
  <c r="P224" i="11" s="1"/>
  <c r="R224" i="11" s="1"/>
  <c r="AV9" i="6"/>
  <c r="V11" i="6" l="1"/>
  <c r="AO11" i="6"/>
  <c r="V10" i="6"/>
  <c r="AO10" i="6"/>
  <c r="Y9" i="6"/>
  <c r="O13" i="6"/>
  <c r="Q13" i="6" s="1"/>
  <c r="L14" i="6"/>
  <c r="O14" i="6" s="1"/>
  <c r="T12" i="6"/>
  <c r="U12" i="6"/>
  <c r="AY9" i="6"/>
  <c r="AW9" i="6"/>
  <c r="AU9" i="6"/>
  <c r="AX9" i="6" s="1"/>
  <c r="N225" i="11"/>
  <c r="O225" i="11" s="1"/>
  <c r="P225" i="11" s="1"/>
  <c r="R225" i="11" s="1"/>
  <c r="A228" i="11"/>
  <c r="Q227" i="11"/>
  <c r="AV10" i="6"/>
  <c r="W10" i="6" l="1"/>
  <c r="AQ10" i="6" s="1"/>
  <c r="AP10" i="6"/>
  <c r="AR10" i="6" s="1"/>
  <c r="AT10" i="6"/>
  <c r="W11" i="6"/>
  <c r="AQ11" i="6" s="1"/>
  <c r="AP11" i="6"/>
  <c r="AR11" i="6" s="1"/>
  <c r="AT11" i="6"/>
  <c r="V12" i="6"/>
  <c r="AO12" i="6"/>
  <c r="L15" i="6"/>
  <c r="O15" i="6" s="1"/>
  <c r="R13" i="6"/>
  <c r="S13" i="6" s="1"/>
  <c r="M14" i="6"/>
  <c r="N14" i="6" s="1"/>
  <c r="Q14" i="6"/>
  <c r="R14" i="6"/>
  <c r="S14" i="6" s="1"/>
  <c r="AZ14" i="6" s="1"/>
  <c r="AY10" i="6"/>
  <c r="AW10" i="6"/>
  <c r="AU10" i="6"/>
  <c r="AX10" i="6" s="1"/>
  <c r="N226" i="11"/>
  <c r="O226" i="11" s="1"/>
  <c r="P226" i="11" s="1"/>
  <c r="R226" i="11" s="1"/>
  <c r="Q228" i="11"/>
  <c r="A229" i="11"/>
  <c r="AV11" i="6"/>
  <c r="U13" i="6" l="1"/>
  <c r="AO13" i="6" s="1"/>
  <c r="AZ13" i="6"/>
  <c r="W12" i="6"/>
  <c r="AQ12" i="6" s="1"/>
  <c r="AT12" i="6"/>
  <c r="AP12" i="6"/>
  <c r="AR12" i="6" s="1"/>
  <c r="Y11" i="6"/>
  <c r="Y10" i="6"/>
  <c r="M15" i="6"/>
  <c r="N15" i="6" s="1"/>
  <c r="L16" i="6"/>
  <c r="M16" i="6" s="1"/>
  <c r="N16" i="6" s="1"/>
  <c r="T13" i="6"/>
  <c r="T14" i="6"/>
  <c r="U14" i="6"/>
  <c r="Q15" i="6"/>
  <c r="R15" i="6"/>
  <c r="S15" i="6" s="1"/>
  <c r="AZ15" i="6" s="1"/>
  <c r="AY11" i="6"/>
  <c r="AW11" i="6"/>
  <c r="AV12" i="6"/>
  <c r="AU11" i="6"/>
  <c r="AX11" i="6" s="1"/>
  <c r="Q229" i="11"/>
  <c r="A230" i="11"/>
  <c r="N227" i="11"/>
  <c r="O227" i="11" s="1"/>
  <c r="P227" i="11" s="1"/>
  <c r="R227" i="11" s="1"/>
  <c r="V13" i="6" l="1"/>
  <c r="AP13" i="6" s="1"/>
  <c r="AR13" i="6" s="1"/>
  <c r="V14" i="6"/>
  <c r="AO14" i="6"/>
  <c r="Y12" i="6"/>
  <c r="L17" i="6"/>
  <c r="O17" i="6" s="1"/>
  <c r="O16" i="6"/>
  <c r="Q16" i="6" s="1"/>
  <c r="T15" i="6"/>
  <c r="U15" i="6"/>
  <c r="AY12" i="6"/>
  <c r="AW12" i="6"/>
  <c r="AV13" i="6"/>
  <c r="AU12" i="6"/>
  <c r="AX12" i="6" s="1"/>
  <c r="N228" i="11"/>
  <c r="O228" i="11" s="1"/>
  <c r="P228" i="11" s="1"/>
  <c r="R228" i="11" s="1"/>
  <c r="Q230" i="11"/>
  <c r="A231" i="11"/>
  <c r="W13" i="6" l="1"/>
  <c r="AQ13" i="6" s="1"/>
  <c r="AT13" i="6"/>
  <c r="V15" i="6"/>
  <c r="AO15" i="6"/>
  <c r="W14" i="6"/>
  <c r="AQ14" i="6" s="1"/>
  <c r="AP14" i="6"/>
  <c r="AR14" i="6" s="1"/>
  <c r="AT14" i="6"/>
  <c r="R16" i="6"/>
  <c r="S16" i="6" s="1"/>
  <c r="L18" i="6"/>
  <c r="M18" i="6" s="1"/>
  <c r="N18" i="6" s="1"/>
  <c r="M17" i="6"/>
  <c r="N17" i="6" s="1"/>
  <c r="Q17" i="6"/>
  <c r="R17" i="6"/>
  <c r="S17" i="6" s="1"/>
  <c r="AZ17" i="6" s="1"/>
  <c r="AW13" i="6"/>
  <c r="AY13" i="6"/>
  <c r="AV14" i="6"/>
  <c r="AU13" i="6"/>
  <c r="AX13" i="6" s="1"/>
  <c r="A232" i="11"/>
  <c r="Q231" i="11"/>
  <c r="N229" i="11"/>
  <c r="O229" i="11" s="1"/>
  <c r="P229" i="11" s="1"/>
  <c r="R229" i="11" s="1"/>
  <c r="Y13" i="6" l="1"/>
  <c r="T16" i="6"/>
  <c r="AZ16" i="6"/>
  <c r="W15" i="6"/>
  <c r="AQ15" i="6" s="1"/>
  <c r="AT15" i="6"/>
  <c r="AP15" i="6"/>
  <c r="AR15" i="6" s="1"/>
  <c r="Y14" i="6"/>
  <c r="U16" i="6"/>
  <c r="O18" i="6"/>
  <c r="Q18" i="6" s="1"/>
  <c r="L19" i="6"/>
  <c r="M19" i="6" s="1"/>
  <c r="N19" i="6" s="1"/>
  <c r="T17" i="6"/>
  <c r="U17" i="6"/>
  <c r="AW14" i="6"/>
  <c r="AY14" i="6"/>
  <c r="AV15" i="6"/>
  <c r="AU14" i="6"/>
  <c r="AX14" i="6" s="1"/>
  <c r="N230" i="11"/>
  <c r="O230" i="11" s="1"/>
  <c r="P230" i="11" s="1"/>
  <c r="R230" i="11" s="1"/>
  <c r="Q232" i="11"/>
  <c r="A233" i="11"/>
  <c r="V17" i="6" l="1"/>
  <c r="AO17" i="6"/>
  <c r="V16" i="6"/>
  <c r="AO16" i="6"/>
  <c r="Y15" i="6"/>
  <c r="R18" i="6"/>
  <c r="S18" i="6" s="1"/>
  <c r="O19" i="6"/>
  <c r="Q19" i="6" s="1"/>
  <c r="L20" i="6"/>
  <c r="M20" i="6" s="1"/>
  <c r="N20" i="6" s="1"/>
  <c r="AW15" i="6"/>
  <c r="AY15" i="6"/>
  <c r="AV16" i="6"/>
  <c r="AU15" i="6"/>
  <c r="AX15" i="6" s="1"/>
  <c r="Q233" i="11"/>
  <c r="A234" i="11"/>
  <c r="N231" i="11"/>
  <c r="O231" i="11" s="1"/>
  <c r="P231" i="11" s="1"/>
  <c r="R231" i="11" s="1"/>
  <c r="T18" i="6" l="1"/>
  <c r="AZ18" i="6"/>
  <c r="W16" i="6"/>
  <c r="AQ16" i="6" s="1"/>
  <c r="AT16" i="6"/>
  <c r="AP16" i="6"/>
  <c r="AR16" i="6" s="1"/>
  <c r="W17" i="6"/>
  <c r="AQ17" i="6" s="1"/>
  <c r="AP17" i="6"/>
  <c r="AR17" i="6" s="1"/>
  <c r="AT17" i="6"/>
  <c r="R19" i="6"/>
  <c r="S19" i="6" s="1"/>
  <c r="U18" i="6"/>
  <c r="O20" i="6"/>
  <c r="R20" i="6" s="1"/>
  <c r="S20" i="6" s="1"/>
  <c r="AZ20" i="6" s="1"/>
  <c r="L21" i="6"/>
  <c r="O21" i="6" s="1"/>
  <c r="AY16" i="6"/>
  <c r="AW16" i="6"/>
  <c r="AU16" i="6"/>
  <c r="AX16" i="6" s="1"/>
  <c r="N232" i="11"/>
  <c r="O232" i="11" s="1"/>
  <c r="P232" i="11" s="1"/>
  <c r="R232" i="11" s="1"/>
  <c r="A235" i="11"/>
  <c r="Q234" i="11"/>
  <c r="AV17" i="6"/>
  <c r="U19" i="6" l="1"/>
  <c r="AO19" i="6" s="1"/>
  <c r="AZ19" i="6"/>
  <c r="Y17" i="6"/>
  <c r="V18" i="6"/>
  <c r="AO18" i="6"/>
  <c r="Y16" i="6"/>
  <c r="T19" i="6"/>
  <c r="M21" i="6"/>
  <c r="N21" i="6" s="1"/>
  <c r="L22" i="6"/>
  <c r="O22" i="6" s="1"/>
  <c r="Q20" i="6"/>
  <c r="T20" i="6"/>
  <c r="U20" i="6"/>
  <c r="Q21" i="6"/>
  <c r="R21" i="6"/>
  <c r="S21" i="6" s="1"/>
  <c r="AZ21" i="6" s="1"/>
  <c r="AY17" i="6"/>
  <c r="AW17" i="6"/>
  <c r="AU17" i="6"/>
  <c r="AX17" i="6" s="1"/>
  <c r="A236" i="11"/>
  <c r="Q235" i="11"/>
  <c r="N233" i="11"/>
  <c r="O233" i="11" s="1"/>
  <c r="P233" i="11" s="1"/>
  <c r="R233" i="11" s="1"/>
  <c r="AV18" i="6"/>
  <c r="V19" i="6" l="1"/>
  <c r="AP19" i="6" s="1"/>
  <c r="AR19" i="6" s="1"/>
  <c r="W18" i="6"/>
  <c r="AQ18" i="6" s="1"/>
  <c r="AT18" i="6"/>
  <c r="AP18" i="6"/>
  <c r="AR18" i="6" s="1"/>
  <c r="V20" i="6"/>
  <c r="AO20" i="6"/>
  <c r="L23" i="6"/>
  <c r="O23" i="6" s="1"/>
  <c r="M22" i="6"/>
  <c r="N22" i="6" s="1"/>
  <c r="T21" i="6"/>
  <c r="U21" i="6"/>
  <c r="Q22" i="6"/>
  <c r="R22" i="6"/>
  <c r="S22" i="6" s="1"/>
  <c r="AZ22" i="6" s="1"/>
  <c r="AY18" i="6"/>
  <c r="AW18" i="6"/>
  <c r="AV19" i="6"/>
  <c r="AU18" i="6"/>
  <c r="AX18" i="6" s="1"/>
  <c r="N234" i="11"/>
  <c r="O234" i="11" s="1"/>
  <c r="P234" i="11" s="1"/>
  <c r="R234" i="11" s="1"/>
  <c r="Q236" i="11"/>
  <c r="A237" i="11"/>
  <c r="W19" i="6" l="1"/>
  <c r="AQ19" i="6" s="1"/>
  <c r="AT19" i="6"/>
  <c r="Y18" i="6"/>
  <c r="V21" i="6"/>
  <c r="AO21" i="6"/>
  <c r="W20" i="6"/>
  <c r="AQ20" i="6" s="1"/>
  <c r="AP20" i="6"/>
  <c r="AR20" i="6" s="1"/>
  <c r="AT20" i="6"/>
  <c r="M23" i="6"/>
  <c r="N23" i="6" s="1"/>
  <c r="L24" i="6"/>
  <c r="M24" i="6" s="1"/>
  <c r="N24" i="6" s="1"/>
  <c r="T22" i="6"/>
  <c r="U22" i="6"/>
  <c r="Q23" i="6"/>
  <c r="R23" i="6"/>
  <c r="S23" i="6" s="1"/>
  <c r="AZ23" i="6" s="1"/>
  <c r="AY19" i="6"/>
  <c r="AW19" i="6"/>
  <c r="AV20" i="6"/>
  <c r="AU19" i="6"/>
  <c r="AX19" i="6" s="1"/>
  <c r="Q237" i="11"/>
  <c r="A238" i="11"/>
  <c r="N235" i="11"/>
  <c r="O235" i="11" s="1"/>
  <c r="P235" i="11" s="1"/>
  <c r="R235" i="11" s="1"/>
  <c r="Y19" i="6" l="1"/>
  <c r="W21" i="6"/>
  <c r="AQ21" i="6" s="1"/>
  <c r="AT21" i="6"/>
  <c r="AP21" i="6"/>
  <c r="AR21" i="6" s="1"/>
  <c r="Y20" i="6"/>
  <c r="V22" i="6"/>
  <c r="AO22" i="6"/>
  <c r="L25" i="6"/>
  <c r="M25" i="6" s="1"/>
  <c r="N25" i="6" s="1"/>
  <c r="O24" i="6"/>
  <c r="Q24" i="6" s="1"/>
  <c r="T23" i="6"/>
  <c r="U23" i="6"/>
  <c r="AY20" i="6"/>
  <c r="AW20" i="6"/>
  <c r="AV21" i="6"/>
  <c r="AU20" i="6"/>
  <c r="AX20" i="6" s="1"/>
  <c r="N236" i="11"/>
  <c r="O236" i="11" s="1"/>
  <c r="P236" i="11" s="1"/>
  <c r="R236" i="11" s="1"/>
  <c r="Q238" i="11"/>
  <c r="A239" i="11"/>
  <c r="Y21" i="6" l="1"/>
  <c r="V23" i="6"/>
  <c r="AO23" i="6"/>
  <c r="W22" i="6"/>
  <c r="AQ22" i="6" s="1"/>
  <c r="AP22" i="6"/>
  <c r="AR22" i="6" s="1"/>
  <c r="AT22" i="6"/>
  <c r="R24" i="6"/>
  <c r="S24" i="6" s="1"/>
  <c r="L26" i="6"/>
  <c r="O26" i="6" s="1"/>
  <c r="O25" i="6"/>
  <c r="Q25" i="6" s="1"/>
  <c r="AW21" i="6"/>
  <c r="AY21" i="6"/>
  <c r="AV22" i="6"/>
  <c r="AU21" i="6"/>
  <c r="AX21" i="6" s="1"/>
  <c r="N237" i="11"/>
  <c r="O237" i="11" s="1"/>
  <c r="P237" i="11" s="1"/>
  <c r="R237" i="11" s="1"/>
  <c r="Q239" i="11"/>
  <c r="A240" i="11"/>
  <c r="T24" i="6" l="1"/>
  <c r="AZ24" i="6"/>
  <c r="W23" i="6"/>
  <c r="AQ23" i="6" s="1"/>
  <c r="AT23" i="6"/>
  <c r="AP23" i="6"/>
  <c r="AR23" i="6" s="1"/>
  <c r="Y22" i="6"/>
  <c r="R25" i="6"/>
  <c r="S25" i="6" s="1"/>
  <c r="L27" i="6"/>
  <c r="M27" i="6" s="1"/>
  <c r="N27" i="6" s="1"/>
  <c r="M26" i="6"/>
  <c r="N26" i="6" s="1"/>
  <c r="U24" i="6"/>
  <c r="Q26" i="6"/>
  <c r="R26" i="6"/>
  <c r="S26" i="6" s="1"/>
  <c r="AZ26" i="6" s="1"/>
  <c r="AW22" i="6"/>
  <c r="AY22" i="6"/>
  <c r="AV23" i="6"/>
  <c r="AU22" i="6"/>
  <c r="AX22" i="6" s="1"/>
  <c r="N238" i="11"/>
  <c r="O238" i="11" s="1"/>
  <c r="P238" i="11" s="1"/>
  <c r="R238" i="11" s="1"/>
  <c r="Q240" i="11"/>
  <c r="A241" i="11"/>
  <c r="U25" i="6" l="1"/>
  <c r="AO25" i="6" s="1"/>
  <c r="AZ25" i="6"/>
  <c r="V24" i="6"/>
  <c r="AO24" i="6"/>
  <c r="Y23" i="6"/>
  <c r="L28" i="6"/>
  <c r="O28" i="6" s="1"/>
  <c r="O27" i="6"/>
  <c r="Q27" i="6" s="1"/>
  <c r="T25" i="6"/>
  <c r="T26" i="6"/>
  <c r="U26" i="6"/>
  <c r="AW23" i="6"/>
  <c r="AY23" i="6"/>
  <c r="AU23" i="6"/>
  <c r="AX23" i="6" s="1"/>
  <c r="A242" i="11"/>
  <c r="Q241" i="11"/>
  <c r="N239" i="11"/>
  <c r="O239" i="11" s="1"/>
  <c r="P239" i="11" s="1"/>
  <c r="R239" i="11" s="1"/>
  <c r="AV24" i="6"/>
  <c r="V25" i="6" l="1"/>
  <c r="W25" i="6" s="1"/>
  <c r="AQ25" i="6" s="1"/>
  <c r="V26" i="6"/>
  <c r="AO26" i="6"/>
  <c r="W24" i="6"/>
  <c r="AQ24" i="6" s="1"/>
  <c r="AP24" i="6"/>
  <c r="AR24" i="6" s="1"/>
  <c r="AT24" i="6"/>
  <c r="R27" i="6"/>
  <c r="S27" i="6" s="1"/>
  <c r="L29" i="6"/>
  <c r="M29" i="6" s="1"/>
  <c r="N29" i="6" s="1"/>
  <c r="M28" i="6"/>
  <c r="N28" i="6" s="1"/>
  <c r="Q28" i="6"/>
  <c r="R28" i="6"/>
  <c r="S28" i="6" s="1"/>
  <c r="AZ28" i="6" s="1"/>
  <c r="AY24" i="6"/>
  <c r="AW24" i="6"/>
  <c r="AV25" i="6"/>
  <c r="AU24" i="6"/>
  <c r="AX24" i="6" s="1"/>
  <c r="N240" i="11"/>
  <c r="O240" i="11" s="1"/>
  <c r="P240" i="11" s="1"/>
  <c r="R240" i="11" s="1"/>
  <c r="Q242" i="11"/>
  <c r="A243" i="11"/>
  <c r="AT25" i="6" l="1"/>
  <c r="AP25" i="6"/>
  <c r="AR25" i="6" s="1"/>
  <c r="T27" i="6"/>
  <c r="AZ27" i="6"/>
  <c r="Y25" i="6"/>
  <c r="Y24" i="6"/>
  <c r="W26" i="6"/>
  <c r="AT26" i="6"/>
  <c r="AP26" i="6"/>
  <c r="AR26" i="6" s="1"/>
  <c r="L30" i="6"/>
  <c r="M30" i="6" s="1"/>
  <c r="N30" i="6" s="1"/>
  <c r="O29" i="6"/>
  <c r="Q29" i="6" s="1"/>
  <c r="U27" i="6"/>
  <c r="T28" i="6"/>
  <c r="U28" i="6"/>
  <c r="AY25" i="6"/>
  <c r="AW25" i="6"/>
  <c r="AV26" i="6"/>
  <c r="AU25" i="6"/>
  <c r="AX25" i="6" s="1"/>
  <c r="A244" i="11"/>
  <c r="Q243" i="11"/>
  <c r="N241" i="11"/>
  <c r="O241" i="11" s="1"/>
  <c r="P241" i="11" s="1"/>
  <c r="R241" i="11" s="1"/>
  <c r="Y26" i="6" l="1"/>
  <c r="AQ26" i="6"/>
  <c r="V28" i="6"/>
  <c r="AO28" i="6"/>
  <c r="V27" i="6"/>
  <c r="AO27" i="6"/>
  <c r="R29" i="6"/>
  <c r="S29" i="6" s="1"/>
  <c r="O30" i="6"/>
  <c r="Q30" i="6" s="1"/>
  <c r="L31" i="6"/>
  <c r="M31" i="6" s="1"/>
  <c r="N31" i="6" s="1"/>
  <c r="AY26" i="6"/>
  <c r="AW26" i="6"/>
  <c r="AV27" i="6"/>
  <c r="AU26" i="6"/>
  <c r="AX26" i="6" s="1"/>
  <c r="N242" i="11"/>
  <c r="O242" i="11" s="1"/>
  <c r="P242" i="11" s="1"/>
  <c r="R242" i="11" s="1"/>
  <c r="A245" i="11"/>
  <c r="Q244" i="11"/>
  <c r="U29" i="6" l="1"/>
  <c r="AO29" i="6" s="1"/>
  <c r="AZ29" i="6"/>
  <c r="W28" i="6"/>
  <c r="AQ28" i="6" s="1"/>
  <c r="AP28" i="6"/>
  <c r="AR28" i="6" s="1"/>
  <c r="AT28" i="6"/>
  <c r="W27" i="6"/>
  <c r="AQ27" i="6" s="1"/>
  <c r="AP27" i="6"/>
  <c r="AR27" i="6" s="1"/>
  <c r="AT27" i="6"/>
  <c r="T29" i="6"/>
  <c r="L32" i="6"/>
  <c r="M32" i="6" s="1"/>
  <c r="N32" i="6" s="1"/>
  <c r="O31" i="6"/>
  <c r="Q31" i="6" s="1"/>
  <c r="R30" i="6"/>
  <c r="S30" i="6" s="1"/>
  <c r="AY27" i="6"/>
  <c r="AW27" i="6"/>
  <c r="AV28" i="6"/>
  <c r="AU27" i="6"/>
  <c r="AX27" i="6" s="1"/>
  <c r="Q245" i="11"/>
  <c r="A246" i="11"/>
  <c r="N243" i="11"/>
  <c r="O243" i="11" s="1"/>
  <c r="P243" i="11" s="1"/>
  <c r="R243" i="11" s="1"/>
  <c r="V29" i="6" l="1"/>
  <c r="W29" i="6" s="1"/>
  <c r="AQ29" i="6" s="1"/>
  <c r="T30" i="6"/>
  <c r="AZ30" i="6"/>
  <c r="Y27" i="6"/>
  <c r="Y28" i="6"/>
  <c r="L33" i="6"/>
  <c r="O33" i="6" s="1"/>
  <c r="O32" i="6"/>
  <c r="Q32" i="6" s="1"/>
  <c r="R31" i="6"/>
  <c r="S31" i="6" s="1"/>
  <c r="U30" i="6"/>
  <c r="AY28" i="6"/>
  <c r="AW28" i="6"/>
  <c r="AV29" i="6"/>
  <c r="AU28" i="6"/>
  <c r="AX28" i="6" s="1"/>
  <c r="N244" i="11"/>
  <c r="O244" i="11" s="1"/>
  <c r="P244" i="11" s="1"/>
  <c r="R244" i="11" s="1"/>
  <c r="A247" i="11"/>
  <c r="Q246" i="11"/>
  <c r="AT29" i="6" l="1"/>
  <c r="AP29" i="6"/>
  <c r="AR29" i="6" s="1"/>
  <c r="T31" i="6"/>
  <c r="AZ31" i="6"/>
  <c r="V30" i="6"/>
  <c r="AO30" i="6"/>
  <c r="Y29" i="6"/>
  <c r="L34" i="6"/>
  <c r="M34" i="6" s="1"/>
  <c r="N34" i="6" s="1"/>
  <c r="M33" i="6"/>
  <c r="N33" i="6" s="1"/>
  <c r="R32" i="6"/>
  <c r="S32" i="6" s="1"/>
  <c r="U31" i="6"/>
  <c r="R33" i="6"/>
  <c r="S33" i="6" s="1"/>
  <c r="AZ33" i="6" s="1"/>
  <c r="Q33" i="6"/>
  <c r="AW29" i="6"/>
  <c r="AY29" i="6"/>
  <c r="AV30" i="6"/>
  <c r="AU29" i="6"/>
  <c r="AX29" i="6" s="1"/>
  <c r="Q247" i="11"/>
  <c r="A248" i="11"/>
  <c r="N245" i="11"/>
  <c r="O245" i="11" s="1"/>
  <c r="P245" i="11" s="1"/>
  <c r="R245" i="11" s="1"/>
  <c r="T32" i="6" l="1"/>
  <c r="AZ32" i="6"/>
  <c r="V31" i="6"/>
  <c r="AO31" i="6"/>
  <c r="W30" i="6"/>
  <c r="AQ30" i="6" s="1"/>
  <c r="AP30" i="6"/>
  <c r="AR30" i="6" s="1"/>
  <c r="AT30" i="6"/>
  <c r="L35" i="6"/>
  <c r="O35" i="6" s="1"/>
  <c r="O34" i="6"/>
  <c r="R34" i="6" s="1"/>
  <c r="S34" i="6" s="1"/>
  <c r="AZ34" i="6" s="1"/>
  <c r="U32" i="6"/>
  <c r="T33" i="6"/>
  <c r="U33" i="6"/>
  <c r="AW30" i="6"/>
  <c r="AY30" i="6"/>
  <c r="AV31" i="6"/>
  <c r="AU30" i="6"/>
  <c r="AX30" i="6" s="1"/>
  <c r="N246" i="11"/>
  <c r="O246" i="11" s="1"/>
  <c r="P246" i="11" s="1"/>
  <c r="R246" i="11" s="1"/>
  <c r="Q248" i="11"/>
  <c r="A249" i="11"/>
  <c r="V32" i="6" l="1"/>
  <c r="AO32" i="6"/>
  <c r="Y30" i="6"/>
  <c r="V33" i="6"/>
  <c r="AO33" i="6"/>
  <c r="W31" i="6"/>
  <c r="AQ31" i="6" s="1"/>
  <c r="AP31" i="6"/>
  <c r="AR31" i="6" s="1"/>
  <c r="AT31" i="6"/>
  <c r="L36" i="6"/>
  <c r="M36" i="6" s="1"/>
  <c r="N36" i="6" s="1"/>
  <c r="M35" i="6"/>
  <c r="N35" i="6" s="1"/>
  <c r="Q34" i="6"/>
  <c r="T34" i="6"/>
  <c r="U34" i="6"/>
  <c r="Q35" i="6"/>
  <c r="R35" i="6"/>
  <c r="S35" i="6" s="1"/>
  <c r="AZ35" i="6" s="1"/>
  <c r="AW31" i="6"/>
  <c r="AY31" i="6"/>
  <c r="AV32" i="6"/>
  <c r="AU31" i="6"/>
  <c r="AX31" i="6" s="1"/>
  <c r="Q249" i="11"/>
  <c r="A250" i="11"/>
  <c r="N247" i="11"/>
  <c r="O247" i="11" s="1"/>
  <c r="P247" i="11" s="1"/>
  <c r="R247" i="11" s="1"/>
  <c r="W33" i="6" l="1"/>
  <c r="AQ33" i="6" s="1"/>
  <c r="AP33" i="6"/>
  <c r="AR33" i="6" s="1"/>
  <c r="AT33" i="6"/>
  <c r="V34" i="6"/>
  <c r="AO34" i="6"/>
  <c r="W32" i="6"/>
  <c r="AQ32" i="6" s="1"/>
  <c r="AP32" i="6"/>
  <c r="AR32" i="6" s="1"/>
  <c r="AT32" i="6"/>
  <c r="Y31" i="6"/>
  <c r="L37" i="6"/>
  <c r="O37" i="6" s="1"/>
  <c r="O36" i="6"/>
  <c r="Q36" i="6" s="1"/>
  <c r="T35" i="6"/>
  <c r="U35" i="6"/>
  <c r="AY32" i="6"/>
  <c r="AW32" i="6"/>
  <c r="AV33" i="6"/>
  <c r="AU32" i="6"/>
  <c r="AX32" i="6" s="1"/>
  <c r="A251" i="11"/>
  <c r="Q250" i="11"/>
  <c r="N248" i="11"/>
  <c r="O248" i="11" s="1"/>
  <c r="P248" i="11" s="1"/>
  <c r="R248" i="11" s="1"/>
  <c r="Y33" i="6" l="1"/>
  <c r="V35" i="6"/>
  <c r="AO35" i="6"/>
  <c r="W34" i="6"/>
  <c r="AQ34" i="6" s="1"/>
  <c r="AT34" i="6"/>
  <c r="AP34" i="6"/>
  <c r="AR34" i="6" s="1"/>
  <c r="Y32" i="6"/>
  <c r="R36" i="6"/>
  <c r="S36" i="6" s="1"/>
  <c r="M37" i="6"/>
  <c r="N37" i="6" s="1"/>
  <c r="L38" i="6"/>
  <c r="M38" i="6" s="1"/>
  <c r="N38" i="6" s="1"/>
  <c r="Q37" i="6"/>
  <c r="R37" i="6"/>
  <c r="S37" i="6" s="1"/>
  <c r="AZ37" i="6" s="1"/>
  <c r="AY33" i="6"/>
  <c r="AW33" i="6"/>
  <c r="AV34" i="6"/>
  <c r="AU33" i="6"/>
  <c r="AX33" i="6" s="1"/>
  <c r="N249" i="11"/>
  <c r="O249" i="11" s="1"/>
  <c r="P249" i="11" s="1"/>
  <c r="R249" i="11" s="1"/>
  <c r="A252" i="11"/>
  <c r="Q251" i="11"/>
  <c r="T36" i="6" l="1"/>
  <c r="AZ36" i="6"/>
  <c r="W35" i="6"/>
  <c r="AQ35" i="6" s="1"/>
  <c r="AP35" i="6"/>
  <c r="AR35" i="6" s="1"/>
  <c r="AT35" i="6"/>
  <c r="Y34" i="6"/>
  <c r="U36" i="6"/>
  <c r="L39" i="6"/>
  <c r="M39" i="6" s="1"/>
  <c r="N39" i="6" s="1"/>
  <c r="O38" i="6"/>
  <c r="R38" i="6" s="1"/>
  <c r="S38" i="6" s="1"/>
  <c r="AZ38" i="6" s="1"/>
  <c r="T37" i="6"/>
  <c r="U37" i="6"/>
  <c r="AY34" i="6"/>
  <c r="AW34" i="6"/>
  <c r="AV35" i="6"/>
  <c r="AU34" i="6"/>
  <c r="AX34" i="6" s="1"/>
  <c r="Q252" i="11"/>
  <c r="A253" i="11"/>
  <c r="N250" i="11"/>
  <c r="O250" i="11" s="1"/>
  <c r="P250" i="11" s="1"/>
  <c r="R250" i="11" s="1"/>
  <c r="V36" i="6" l="1"/>
  <c r="AO36" i="6"/>
  <c r="Y35" i="6"/>
  <c r="V37" i="6"/>
  <c r="AO37" i="6"/>
  <c r="O39" i="6"/>
  <c r="R39" i="6" s="1"/>
  <c r="S39" i="6" s="1"/>
  <c r="AZ39" i="6" s="1"/>
  <c r="L40" i="6"/>
  <c r="O40" i="6" s="1"/>
  <c r="Q38" i="6"/>
  <c r="T38" i="6"/>
  <c r="U38" i="6"/>
  <c r="AY35" i="6"/>
  <c r="AW35" i="6"/>
  <c r="AU35" i="6"/>
  <c r="AX35" i="6" s="1"/>
  <c r="N251" i="11"/>
  <c r="O251" i="11" s="1"/>
  <c r="P251" i="11" s="1"/>
  <c r="R251" i="11" s="1"/>
  <c r="Q253" i="11"/>
  <c r="A254" i="11"/>
  <c r="AV36" i="6"/>
  <c r="W36" i="6" l="1"/>
  <c r="AQ36" i="6" s="1"/>
  <c r="AP36" i="6"/>
  <c r="AR36" i="6" s="1"/>
  <c r="AT36" i="6"/>
  <c r="V38" i="6"/>
  <c r="AO38" i="6"/>
  <c r="W37" i="6"/>
  <c r="AP37" i="6"/>
  <c r="AR37" i="6" s="1"/>
  <c r="AT37" i="6"/>
  <c r="Q39" i="6"/>
  <c r="L41" i="6"/>
  <c r="L42" i="6" s="1"/>
  <c r="M40" i="6"/>
  <c r="N40" i="6" s="1"/>
  <c r="T39" i="6"/>
  <c r="U39" i="6"/>
  <c r="Q40" i="6"/>
  <c r="R40" i="6"/>
  <c r="S40" i="6" s="1"/>
  <c r="AZ40" i="6" s="1"/>
  <c r="AY36" i="6"/>
  <c r="AW36" i="6"/>
  <c r="AU36" i="6"/>
  <c r="AX36" i="6" s="1"/>
  <c r="Q254" i="11"/>
  <c r="A255" i="11"/>
  <c r="N252" i="11"/>
  <c r="O252" i="11" s="1"/>
  <c r="P252" i="11" s="1"/>
  <c r="R252" i="11" s="1"/>
  <c r="AV37" i="6"/>
  <c r="W38" i="6" l="1"/>
  <c r="AQ38" i="6" s="1"/>
  <c r="AT38" i="6"/>
  <c r="AP38" i="6"/>
  <c r="AR38" i="6" s="1"/>
  <c r="Y37" i="6"/>
  <c r="Y36" i="6"/>
  <c r="V39" i="6"/>
  <c r="AO39" i="6"/>
  <c r="AQ37" i="6"/>
  <c r="M41" i="6"/>
  <c r="N41" i="6" s="1"/>
  <c r="O41" i="6"/>
  <c r="R41" i="6" s="1"/>
  <c r="S41" i="6" s="1"/>
  <c r="AZ41" i="6" s="1"/>
  <c r="M42" i="6"/>
  <c r="N42" i="6" s="1"/>
  <c r="O42" i="6"/>
  <c r="L43" i="6"/>
  <c r="T40" i="6"/>
  <c r="U40" i="6"/>
  <c r="AW37" i="6"/>
  <c r="AY37" i="6"/>
  <c r="AV38" i="6"/>
  <c r="AU37" i="6"/>
  <c r="AX37" i="6" s="1"/>
  <c r="N253" i="11"/>
  <c r="O253" i="11" s="1"/>
  <c r="P253" i="11" s="1"/>
  <c r="R253" i="11" s="1"/>
  <c r="A256" i="11"/>
  <c r="Q255" i="11"/>
  <c r="W39" i="6" l="1"/>
  <c r="AQ39" i="6" s="1"/>
  <c r="AP39" i="6"/>
  <c r="AR39" i="6" s="1"/>
  <c r="AT39" i="6"/>
  <c r="V40" i="6"/>
  <c r="AO40" i="6"/>
  <c r="Y38" i="6"/>
  <c r="Q41" i="6"/>
  <c r="U41" i="6"/>
  <c r="T41" i="6"/>
  <c r="O43" i="6"/>
  <c r="M43" i="6"/>
  <c r="N43" i="6" s="1"/>
  <c r="L44" i="6"/>
  <c r="Q42" i="6"/>
  <c r="R42" i="6"/>
  <c r="S42" i="6" s="1"/>
  <c r="AZ42" i="6" s="1"/>
  <c r="AW38" i="6"/>
  <c r="AY38" i="6"/>
  <c r="AV39" i="6"/>
  <c r="AU38" i="6"/>
  <c r="AX38" i="6" s="1"/>
  <c r="A257" i="11"/>
  <c r="Q256" i="11"/>
  <c r="N254" i="11"/>
  <c r="O254" i="11" s="1"/>
  <c r="P254" i="11" s="1"/>
  <c r="R254" i="11" s="1"/>
  <c r="W40" i="6" l="1"/>
  <c r="AQ40" i="6" s="1"/>
  <c r="AT40" i="6"/>
  <c r="AP40" i="6"/>
  <c r="AR40" i="6" s="1"/>
  <c r="V41" i="6"/>
  <c r="AO41" i="6"/>
  <c r="Y39" i="6"/>
  <c r="T42" i="6"/>
  <c r="U42" i="6"/>
  <c r="M44" i="6"/>
  <c r="N44" i="6" s="1"/>
  <c r="O44" i="6"/>
  <c r="L45" i="6"/>
  <c r="Q43" i="6"/>
  <c r="R43" i="6"/>
  <c r="S43" i="6" s="1"/>
  <c r="AZ43" i="6" s="1"/>
  <c r="AW39" i="6"/>
  <c r="AY39" i="6"/>
  <c r="AU39" i="6"/>
  <c r="AX39" i="6" s="1"/>
  <c r="N255" i="11"/>
  <c r="O255" i="11" s="1"/>
  <c r="P255" i="11" s="1"/>
  <c r="R255" i="11" s="1"/>
  <c r="A258" i="11"/>
  <c r="Q257" i="11"/>
  <c r="AV40" i="6"/>
  <c r="V42" i="6" l="1"/>
  <c r="AO42" i="6"/>
  <c r="Y40" i="6"/>
  <c r="W41" i="6"/>
  <c r="AQ41" i="6" s="1"/>
  <c r="AP41" i="6"/>
  <c r="AR41" i="6" s="1"/>
  <c r="AT41" i="6"/>
  <c r="T43" i="6"/>
  <c r="U43" i="6"/>
  <c r="O45" i="6"/>
  <c r="M45" i="6"/>
  <c r="N45" i="6" s="1"/>
  <c r="Q44" i="6"/>
  <c r="R44" i="6"/>
  <c r="S44" i="6" s="1"/>
  <c r="AZ44" i="6" s="1"/>
  <c r="AY40" i="6"/>
  <c r="AW40" i="6"/>
  <c r="AV41" i="6"/>
  <c r="AU40" i="6"/>
  <c r="AX40" i="6" s="1"/>
  <c r="A259" i="11"/>
  <c r="Q258" i="11"/>
  <c r="N256" i="11"/>
  <c r="O256" i="11" s="1"/>
  <c r="P256" i="11" s="1"/>
  <c r="R256" i="11" s="1"/>
  <c r="W42" i="6" l="1"/>
  <c r="AQ42" i="6" s="1"/>
  <c r="AT42" i="6"/>
  <c r="AP42" i="6"/>
  <c r="AR42" i="6" s="1"/>
  <c r="V43" i="6"/>
  <c r="AO43" i="6"/>
  <c r="Y41" i="6"/>
  <c r="T44" i="6"/>
  <c r="U44" i="6"/>
  <c r="Q45" i="6"/>
  <c r="R45" i="6"/>
  <c r="S45" i="6" s="1"/>
  <c r="AZ45" i="6" s="1"/>
  <c r="AY41" i="6"/>
  <c r="AW41" i="6"/>
  <c r="AU41" i="6"/>
  <c r="AX41" i="6" s="1"/>
  <c r="N257" i="11"/>
  <c r="O257" i="11" s="1"/>
  <c r="P257" i="11" s="1"/>
  <c r="R257" i="11" s="1"/>
  <c r="Q259" i="11"/>
  <c r="A260" i="11"/>
  <c r="AV42" i="6"/>
  <c r="V44" i="6" l="1"/>
  <c r="AO44" i="6"/>
  <c r="W43" i="6"/>
  <c r="AP43" i="6"/>
  <c r="AR43" i="6" s="1"/>
  <c r="AT43" i="6"/>
  <c r="Y42" i="6"/>
  <c r="T45" i="6"/>
  <c r="U45" i="6"/>
  <c r="AY42" i="6"/>
  <c r="AW42" i="6"/>
  <c r="AV43" i="6"/>
  <c r="AU42" i="6"/>
  <c r="AX42" i="6" s="1"/>
  <c r="A261" i="11"/>
  <c r="Q260" i="11"/>
  <c r="N258" i="11"/>
  <c r="O258" i="11" s="1"/>
  <c r="P258" i="11" s="1"/>
  <c r="R258" i="11" s="1"/>
  <c r="Y43" i="6" l="1"/>
  <c r="V45" i="6"/>
  <c r="AO45" i="6"/>
  <c r="AQ43" i="6"/>
  <c r="W44" i="6"/>
  <c r="AQ44" i="6" s="1"/>
  <c r="AP44" i="6"/>
  <c r="AR44" i="6" s="1"/>
  <c r="AT44" i="6"/>
  <c r="AY43" i="6"/>
  <c r="AW43" i="6"/>
  <c r="AV44" i="6"/>
  <c r="AU43" i="6"/>
  <c r="AX43" i="6" s="1"/>
  <c r="A262" i="11"/>
  <c r="Q261" i="11"/>
  <c r="N259" i="11"/>
  <c r="O259" i="11" s="1"/>
  <c r="P259" i="11" s="1"/>
  <c r="R259" i="11" s="1"/>
  <c r="AP45" i="6" l="1"/>
  <c r="AR45" i="6" s="1"/>
  <c r="Y44" i="6"/>
  <c r="AW44" i="6"/>
  <c r="AY44" i="6"/>
  <c r="AU44" i="6"/>
  <c r="AX44" i="6" s="1"/>
  <c r="N260" i="11"/>
  <c r="O260" i="11" s="1"/>
  <c r="P260" i="11" s="1"/>
  <c r="R260" i="11" s="1"/>
  <c r="A263" i="11"/>
  <c r="Q262" i="11"/>
  <c r="AV45" i="6" l="1"/>
  <c r="AU45" i="6"/>
  <c r="AX45" i="6" s="1"/>
  <c r="A264" i="11"/>
  <c r="Q263" i="11"/>
  <c r="N261" i="11"/>
  <c r="O261" i="11" s="1"/>
  <c r="P261" i="11" s="1"/>
  <c r="R261" i="11" s="1"/>
  <c r="AW45" i="6" l="1"/>
  <c r="AY45" i="6"/>
  <c r="N262" i="11"/>
  <c r="O262" i="11" s="1"/>
  <c r="P262" i="11" s="1"/>
  <c r="R262" i="11" s="1"/>
  <c r="Q264" i="11"/>
  <c r="A265" i="11"/>
  <c r="N263" i="11" l="1"/>
  <c r="O263" i="11" s="1"/>
  <c r="P263" i="11" s="1"/>
  <c r="R263" i="11" s="1"/>
  <c r="Q265" i="11"/>
  <c r="A266" i="11"/>
  <c r="Q266" i="11" l="1"/>
  <c r="A267" i="11"/>
  <c r="N264" i="11"/>
  <c r="O264" i="11" s="1"/>
  <c r="P264" i="11" s="1"/>
  <c r="R264" i="11" s="1"/>
  <c r="N265" i="11" l="1"/>
  <c r="O265" i="11" s="1"/>
  <c r="P265" i="11" s="1"/>
  <c r="R265" i="11" s="1"/>
  <c r="A268" i="11"/>
  <c r="Q267" i="11"/>
  <c r="N266" i="11" l="1"/>
  <c r="O266" i="11" s="1"/>
  <c r="P266" i="11" s="1"/>
  <c r="R266" i="11" s="1"/>
  <c r="Q268" i="11"/>
  <c r="A269" i="11"/>
  <c r="N267" i="11" l="1"/>
  <c r="O267" i="11" s="1"/>
  <c r="P267" i="11" s="1"/>
  <c r="R267" i="11" s="1"/>
  <c r="Q269" i="11"/>
  <c r="A270" i="11"/>
  <c r="A271" i="11" l="1"/>
  <c r="Q270" i="11"/>
  <c r="N268" i="11"/>
  <c r="O268" i="11" s="1"/>
  <c r="P268" i="11" s="1"/>
  <c r="R268" i="11" s="1"/>
  <c r="N269" i="11" l="1"/>
  <c r="O269" i="11" s="1"/>
  <c r="P269" i="11" s="1"/>
  <c r="R269" i="11" s="1"/>
  <c r="Q271" i="11"/>
  <c r="A272" i="11"/>
  <c r="Q272" i="11" l="1"/>
  <c r="A273" i="11"/>
  <c r="N270" i="11"/>
  <c r="O270" i="11" s="1"/>
  <c r="P270" i="11" s="1"/>
  <c r="R270" i="11" s="1"/>
  <c r="N271" i="11" l="1"/>
  <c r="O271" i="11" s="1"/>
  <c r="P271" i="11" s="1"/>
  <c r="R271" i="11" s="1"/>
  <c r="Q273" i="11"/>
  <c r="A274" i="11"/>
  <c r="N272" i="11" l="1"/>
  <c r="O272" i="11" s="1"/>
  <c r="P272" i="11" s="1"/>
  <c r="R272" i="11" s="1"/>
  <c r="Q274" i="11"/>
  <c r="A275" i="11"/>
  <c r="Q275" i="11" l="1"/>
  <c r="A276" i="11"/>
  <c r="N273" i="11"/>
  <c r="O273" i="11" s="1"/>
  <c r="P273" i="11" s="1"/>
  <c r="R273" i="11" s="1"/>
  <c r="N274" i="11" l="1"/>
  <c r="O274" i="11" s="1"/>
  <c r="P274" i="11" s="1"/>
  <c r="R274" i="11" s="1"/>
  <c r="Q276" i="11"/>
  <c r="A277" i="11"/>
  <c r="A278" i="11" l="1"/>
  <c r="Q277" i="11"/>
  <c r="N275" i="11"/>
  <c r="O275" i="11" s="1"/>
  <c r="P275" i="11" s="1"/>
  <c r="R275" i="11" s="1"/>
  <c r="N276" i="11" l="1"/>
  <c r="O276" i="11" s="1"/>
  <c r="P276" i="11" s="1"/>
  <c r="R276" i="11" s="1"/>
  <c r="Q278" i="11"/>
  <c r="A279" i="11"/>
  <c r="Q279" i="11" l="1"/>
  <c r="A280" i="11"/>
  <c r="N277" i="11"/>
  <c r="O277" i="11" s="1"/>
  <c r="P277" i="11" s="1"/>
  <c r="R277" i="11" s="1"/>
  <c r="N278" i="11" l="1"/>
  <c r="O278" i="11" s="1"/>
  <c r="P278" i="11" s="1"/>
  <c r="R278" i="11" s="1"/>
  <c r="Q280" i="11"/>
  <c r="A281" i="11"/>
  <c r="A282" i="11" l="1"/>
  <c r="Q281" i="11"/>
  <c r="N279" i="11"/>
  <c r="O279" i="11" s="1"/>
  <c r="P279" i="11" s="1"/>
  <c r="R279" i="11" s="1"/>
  <c r="N280" i="11" l="1"/>
  <c r="O280" i="11" s="1"/>
  <c r="P280" i="11" s="1"/>
  <c r="R280" i="11" s="1"/>
  <c r="Q282" i="11"/>
  <c r="A283" i="11"/>
  <c r="A284" i="11" l="1"/>
  <c r="Q283" i="11"/>
  <c r="N281" i="11"/>
  <c r="O281" i="11" s="1"/>
  <c r="P281" i="11" s="1"/>
  <c r="R281" i="11" s="1"/>
  <c r="N282" i="11" l="1"/>
  <c r="O282" i="11" s="1"/>
  <c r="P282" i="11" s="1"/>
  <c r="R282" i="11" s="1"/>
  <c r="Q284" i="11"/>
  <c r="A285" i="11"/>
  <c r="Q285" i="11" l="1"/>
  <c r="A286" i="11"/>
  <c r="N283" i="11"/>
  <c r="O283" i="11" s="1"/>
  <c r="P283" i="11" s="1"/>
  <c r="R283" i="11" s="1"/>
  <c r="N284" i="11" l="1"/>
  <c r="O284" i="11" s="1"/>
  <c r="P284" i="11" s="1"/>
  <c r="R284" i="11" s="1"/>
  <c r="A287" i="11"/>
  <c r="Q286" i="11"/>
  <c r="A288" i="11" l="1"/>
  <c r="Q287" i="11"/>
  <c r="N285" i="11"/>
  <c r="O285" i="11" s="1"/>
  <c r="P285" i="11" s="1"/>
  <c r="R285" i="11" s="1"/>
  <c r="N286" i="11" l="1"/>
  <c r="O286" i="11" s="1"/>
  <c r="P286" i="11" s="1"/>
  <c r="R286" i="11" s="1"/>
  <c r="A289" i="11"/>
  <c r="Q288" i="11"/>
  <c r="N287" i="11" l="1"/>
  <c r="O287" i="11" s="1"/>
  <c r="P287" i="11" s="1"/>
  <c r="R287" i="11" s="1"/>
  <c r="Q289" i="11"/>
  <c r="A290" i="11"/>
  <c r="Q290" i="11" l="1"/>
  <c r="A291" i="11"/>
  <c r="N288" i="11"/>
  <c r="O288" i="11" s="1"/>
  <c r="P288" i="11" s="1"/>
  <c r="R288" i="11" s="1"/>
  <c r="A292" i="11" l="1"/>
  <c r="Q291" i="11"/>
  <c r="N289" i="11"/>
  <c r="O289" i="11" s="1"/>
  <c r="P289" i="11" s="1"/>
  <c r="R289" i="11" s="1"/>
  <c r="N290" i="11" l="1"/>
  <c r="O290" i="11" s="1"/>
  <c r="P290" i="11" s="1"/>
  <c r="R290" i="11" s="1"/>
  <c r="A293" i="11"/>
  <c r="Q292" i="11"/>
  <c r="Q293" i="11" l="1"/>
  <c r="A294" i="11"/>
  <c r="N291" i="11"/>
  <c r="O291" i="11" s="1"/>
  <c r="P291" i="11" s="1"/>
  <c r="R291" i="11" s="1"/>
  <c r="N292" i="11" l="1"/>
  <c r="O292" i="11" s="1"/>
  <c r="P292" i="11" s="1"/>
  <c r="R292" i="11" s="1"/>
  <c r="A295" i="11"/>
  <c r="Q294" i="11"/>
  <c r="A296" i="11" l="1"/>
  <c r="Q295" i="11"/>
  <c r="N293" i="11"/>
  <c r="O293" i="11" s="1"/>
  <c r="P293" i="11" s="1"/>
  <c r="R293" i="11" s="1"/>
  <c r="N294" i="11" l="1"/>
  <c r="O294" i="11" s="1"/>
  <c r="P294" i="11" s="1"/>
  <c r="R294" i="11" s="1"/>
  <c r="Q296" i="11"/>
  <c r="A297" i="11"/>
  <c r="Q297" i="11" l="1"/>
  <c r="A298" i="11"/>
  <c r="N295" i="11"/>
  <c r="O295" i="11" s="1"/>
  <c r="P295" i="11" s="1"/>
  <c r="R295" i="11" s="1"/>
  <c r="N296" i="11" l="1"/>
  <c r="O296" i="11" s="1"/>
  <c r="P296" i="11" s="1"/>
  <c r="R296" i="11" s="1"/>
  <c r="A299" i="11"/>
  <c r="Q298" i="11"/>
  <c r="N297" i="11" l="1"/>
  <c r="O297" i="11" s="1"/>
  <c r="P297" i="11" s="1"/>
  <c r="R297" i="11" s="1"/>
  <c r="Q299" i="11"/>
  <c r="A300" i="11"/>
  <c r="A301" i="11" l="1"/>
  <c r="Q300" i="11"/>
  <c r="N298" i="11"/>
  <c r="O298" i="11" s="1"/>
  <c r="P298" i="11" s="1"/>
  <c r="R298" i="11" s="1"/>
  <c r="N299" i="11" l="1"/>
  <c r="O299" i="11" s="1"/>
  <c r="P299" i="11" s="1"/>
  <c r="R299" i="11" s="1"/>
  <c r="A302" i="11"/>
  <c r="Q301" i="11"/>
  <c r="Q302" i="11" l="1"/>
  <c r="A303" i="11"/>
  <c r="N300" i="11"/>
  <c r="O300" i="11" s="1"/>
  <c r="P300" i="11" s="1"/>
  <c r="R300" i="11" s="1"/>
  <c r="N301" i="11" l="1"/>
  <c r="O301" i="11" s="1"/>
  <c r="P301" i="11" s="1"/>
  <c r="R301" i="11" s="1"/>
  <c r="A304" i="11"/>
  <c r="Q303" i="11"/>
  <c r="Q304" i="11" l="1"/>
  <c r="N302" i="11"/>
  <c r="O302" i="11" s="1"/>
  <c r="P302" i="11" s="1"/>
  <c r="R302" i="11" s="1"/>
  <c r="N303" i="11" l="1"/>
  <c r="O303" i="11" s="1"/>
  <c r="P303" i="11" s="1"/>
  <c r="R303" i="11" s="1"/>
  <c r="N304" i="11" l="1"/>
  <c r="O304" i="11" s="1"/>
  <c r="P304" i="11" s="1"/>
  <c r="R304" i="11" s="1"/>
  <c r="S4" i="11" s="1"/>
  <c r="W45" i="6"/>
  <c r="F46" i="6"/>
  <c r="F47" i="6" s="1"/>
  <c r="AB47" i="6" s="1"/>
  <c r="G46" i="6"/>
  <c r="E46" i="6"/>
  <c r="AN46" i="6" s="1"/>
  <c r="H46" i="6"/>
  <c r="AM46" i="6" s="1"/>
  <c r="AT45" i="6"/>
  <c r="AC45" i="6"/>
  <c r="AG45" i="6"/>
  <c r="AA45" i="6"/>
  <c r="AB45" i="6"/>
  <c r="AE45" i="6"/>
  <c r="AF45" i="6"/>
  <c r="AF46" i="6" l="1"/>
  <c r="AB46" i="6"/>
  <c r="E47" i="6"/>
  <c r="AE47" i="6" s="1"/>
  <c r="AA46" i="6"/>
  <c r="H47" i="6"/>
  <c r="H48" i="6" s="1"/>
  <c r="AD45" i="6"/>
  <c r="AC46" i="6"/>
  <c r="AG46" i="6"/>
  <c r="F48" i="6"/>
  <c r="AF47" i="6"/>
  <c r="AH45" i="6"/>
  <c r="G47" i="6"/>
  <c r="AE46" i="6"/>
  <c r="K46" i="6"/>
  <c r="Y45" i="6"/>
  <c r="AQ45" i="6"/>
  <c r="K47" i="6" l="1"/>
  <c r="AM47" i="6"/>
  <c r="AA47" i="6"/>
  <c r="AN47" i="6"/>
  <c r="AD46" i="6"/>
  <c r="E48" i="6"/>
  <c r="AN48" i="6" s="1"/>
  <c r="AB48" i="6"/>
  <c r="F49" i="6"/>
  <c r="AF48" i="6"/>
  <c r="L46" i="6"/>
  <c r="AH46" i="6"/>
  <c r="AG47" i="6"/>
  <c r="AH47" i="6" s="1"/>
  <c r="G48" i="6"/>
  <c r="AC47" i="6"/>
  <c r="H49" i="6"/>
  <c r="AM48" i="6"/>
  <c r="AD47" i="6" l="1"/>
  <c r="K48" i="6"/>
  <c r="AE48" i="6"/>
  <c r="AA48" i="6"/>
  <c r="E49" i="6"/>
  <c r="AN49" i="6" s="1"/>
  <c r="M46" i="6"/>
  <c r="N46" i="6" s="1"/>
  <c r="O46" i="6"/>
  <c r="L47" i="6"/>
  <c r="AM49" i="6"/>
  <c r="H50" i="6"/>
  <c r="AB49" i="6"/>
  <c r="AF49" i="6"/>
  <c r="F50" i="6"/>
  <c r="AC48" i="6"/>
  <c r="AG48" i="6"/>
  <c r="G49" i="6"/>
  <c r="K49" i="6" l="1"/>
  <c r="AD48" i="6"/>
  <c r="AH48" i="6"/>
  <c r="AA49" i="6"/>
  <c r="AE49" i="6"/>
  <c r="E50" i="6"/>
  <c r="AE50" i="6" s="1"/>
  <c r="R46" i="6"/>
  <c r="S46" i="6" s="1"/>
  <c r="Q46" i="6"/>
  <c r="AF50" i="6"/>
  <c r="F51" i="6"/>
  <c r="AB50" i="6"/>
  <c r="G50" i="6"/>
  <c r="AC49" i="6"/>
  <c r="AG49" i="6"/>
  <c r="M47" i="6"/>
  <c r="N47" i="6" s="1"/>
  <c r="O47" i="6"/>
  <c r="L48" i="6"/>
  <c r="AM50" i="6"/>
  <c r="H51" i="6"/>
  <c r="AH49" i="6" l="1"/>
  <c r="AD49" i="6"/>
  <c r="AN50" i="6"/>
  <c r="AA50" i="6"/>
  <c r="E51" i="6"/>
  <c r="E52" i="6" s="1"/>
  <c r="K50" i="6"/>
  <c r="G51" i="6"/>
  <c r="AC50" i="6"/>
  <c r="AG50" i="6"/>
  <c r="AH50" i="6" s="1"/>
  <c r="H52" i="6"/>
  <c r="AM51" i="6"/>
  <c r="R47" i="6"/>
  <c r="S47" i="6" s="1"/>
  <c r="Q47" i="6"/>
  <c r="AB51" i="6"/>
  <c r="F52" i="6"/>
  <c r="AF51" i="6"/>
  <c r="M48" i="6"/>
  <c r="N48" i="6" s="1"/>
  <c r="O48" i="6"/>
  <c r="L49" i="6"/>
  <c r="T46" i="6"/>
  <c r="AU46" i="6"/>
  <c r="AX46" i="6" s="1"/>
  <c r="AV46" i="6"/>
  <c r="AZ46" i="6"/>
  <c r="U46" i="6"/>
  <c r="AE51" i="6" l="1"/>
  <c r="AA51" i="6"/>
  <c r="AD50" i="6"/>
  <c r="K51" i="6"/>
  <c r="AN51" i="6"/>
  <c r="AU47" i="6"/>
  <c r="AX47" i="6" s="1"/>
  <c r="T47" i="6"/>
  <c r="AZ47" i="6"/>
  <c r="AV47" i="6"/>
  <c r="U47" i="6"/>
  <c r="K52" i="6"/>
  <c r="AA52" i="6"/>
  <c r="AN52" i="6"/>
  <c r="AE52" i="6"/>
  <c r="E53" i="6"/>
  <c r="R48" i="6"/>
  <c r="S48" i="6" s="1"/>
  <c r="Q48" i="6"/>
  <c r="AM52" i="6"/>
  <c r="H53" i="6"/>
  <c r="L50" i="6"/>
  <c r="O49" i="6"/>
  <c r="M49" i="6"/>
  <c r="N49" i="6" s="1"/>
  <c r="AO46" i="6"/>
  <c r="V46" i="6"/>
  <c r="AW46" i="6"/>
  <c r="AY46" i="6"/>
  <c r="F53" i="6"/>
  <c r="AB52" i="6"/>
  <c r="AF52" i="6"/>
  <c r="AG51" i="6"/>
  <c r="G52" i="6"/>
  <c r="AC51" i="6"/>
  <c r="AH51" i="6" l="1"/>
  <c r="AD51" i="6"/>
  <c r="AO47" i="6"/>
  <c r="V47" i="6"/>
  <c r="R49" i="6"/>
  <c r="S49" i="6" s="1"/>
  <c r="Q49" i="6"/>
  <c r="AW47" i="6"/>
  <c r="AY47" i="6"/>
  <c r="L51" i="6"/>
  <c r="M50" i="6"/>
  <c r="N50" i="6" s="1"/>
  <c r="O50" i="6"/>
  <c r="G53" i="6"/>
  <c r="AC52" i="6"/>
  <c r="AD52" i="6" s="1"/>
  <c r="AG52" i="6"/>
  <c r="AH52" i="6" s="1"/>
  <c r="H54" i="6"/>
  <c r="AM53" i="6"/>
  <c r="AP46" i="6"/>
  <c r="AR46" i="6" s="1"/>
  <c r="W46" i="6"/>
  <c r="Y46" i="6" s="1"/>
  <c r="AT46" i="6"/>
  <c r="T48" i="6"/>
  <c r="AU48" i="6"/>
  <c r="AX48" i="6" s="1"/>
  <c r="AZ48" i="6"/>
  <c r="AV48" i="6"/>
  <c r="U48" i="6"/>
  <c r="AF53" i="6"/>
  <c r="F54" i="6"/>
  <c r="AB53" i="6"/>
  <c r="K53" i="6"/>
  <c r="E54" i="6"/>
  <c r="AA53" i="6"/>
  <c r="AN53" i="6"/>
  <c r="AE53" i="6"/>
  <c r="AQ46" i="6" l="1"/>
  <c r="G54" i="6"/>
  <c r="AC53" i="6"/>
  <c r="AD53" i="6" s="1"/>
  <c r="AG53" i="6"/>
  <c r="AH53" i="6" s="1"/>
  <c r="R50" i="6"/>
  <c r="S50" i="6" s="1"/>
  <c r="Q50" i="6"/>
  <c r="M51" i="6"/>
  <c r="N51" i="6" s="1"/>
  <c r="L52" i="6"/>
  <c r="O51" i="6"/>
  <c r="AB54" i="6"/>
  <c r="F55" i="6"/>
  <c r="AF54" i="6"/>
  <c r="AU49" i="6"/>
  <c r="AX49" i="6" s="1"/>
  <c r="T49" i="6"/>
  <c r="AV49" i="6"/>
  <c r="AZ49" i="6"/>
  <c r="U49" i="6"/>
  <c r="AE54" i="6"/>
  <c r="AA54" i="6"/>
  <c r="K54" i="6"/>
  <c r="AN54" i="6"/>
  <c r="E55" i="6"/>
  <c r="AO48" i="6"/>
  <c r="V48" i="6"/>
  <c r="AP47" i="6"/>
  <c r="AR47" i="6" s="1"/>
  <c r="AT47" i="6"/>
  <c r="W47" i="6"/>
  <c r="Y47" i="6" s="1"/>
  <c r="AY48" i="6"/>
  <c r="AW48" i="6"/>
  <c r="H55" i="6"/>
  <c r="AM54" i="6"/>
  <c r="AM55" i="6" l="1"/>
  <c r="H56" i="6"/>
  <c r="AQ47" i="6"/>
  <c r="AW49" i="6"/>
  <c r="AY49" i="6"/>
  <c r="AU50" i="6"/>
  <c r="AX50" i="6" s="1"/>
  <c r="AZ50" i="6"/>
  <c r="T50" i="6"/>
  <c r="AV50" i="6"/>
  <c r="U50" i="6"/>
  <c r="R51" i="6"/>
  <c r="S51" i="6" s="1"/>
  <c r="Q51" i="6"/>
  <c r="O52" i="6"/>
  <c r="M52" i="6"/>
  <c r="N52" i="6" s="1"/>
  <c r="L53" i="6"/>
  <c r="AO49" i="6"/>
  <c r="V49" i="6"/>
  <c r="AP48" i="6"/>
  <c r="AR48" i="6" s="1"/>
  <c r="W48" i="6"/>
  <c r="Y48" i="6" s="1"/>
  <c r="AT48" i="6"/>
  <c r="G55" i="6"/>
  <c r="AG54" i="6"/>
  <c r="AH54" i="6" s="1"/>
  <c r="AC54" i="6"/>
  <c r="AD54" i="6" s="1"/>
  <c r="E56" i="6"/>
  <c r="K55" i="6"/>
  <c r="AN55" i="6"/>
  <c r="AE55" i="6"/>
  <c r="AA55" i="6"/>
  <c r="AF55" i="6"/>
  <c r="F56" i="6"/>
  <c r="AB55" i="6"/>
  <c r="AE56" i="6" l="1"/>
  <c r="K56" i="6"/>
  <c r="AA56" i="6"/>
  <c r="AN56" i="6"/>
  <c r="E57" i="6"/>
  <c r="AP49" i="6"/>
  <c r="AR49" i="6" s="1"/>
  <c r="W49" i="6"/>
  <c r="Y49" i="6" s="1"/>
  <c r="AT49" i="6"/>
  <c r="AY50" i="6"/>
  <c r="AW50" i="6"/>
  <c r="M53" i="6"/>
  <c r="N53" i="6" s="1"/>
  <c r="L54" i="6"/>
  <c r="O53" i="6"/>
  <c r="R52" i="6"/>
  <c r="S52" i="6" s="1"/>
  <c r="Q52" i="6"/>
  <c r="G56" i="6"/>
  <c r="AC55" i="6"/>
  <c r="AD55" i="6" s="1"/>
  <c r="AG55" i="6"/>
  <c r="AH55" i="6" s="1"/>
  <c r="AO50" i="6"/>
  <c r="V50" i="6"/>
  <c r="F57" i="6"/>
  <c r="AB56" i="6"/>
  <c r="AF56" i="6"/>
  <c r="T51" i="6"/>
  <c r="AZ51" i="6"/>
  <c r="AV51" i="6"/>
  <c r="AU51" i="6"/>
  <c r="AX51" i="6" s="1"/>
  <c r="U51" i="6"/>
  <c r="H57" i="6"/>
  <c r="AM56" i="6"/>
  <c r="AQ48" i="6"/>
  <c r="R53" i="6" l="1"/>
  <c r="S53" i="6" s="1"/>
  <c r="Q53" i="6"/>
  <c r="L55" i="6"/>
  <c r="M54" i="6"/>
  <c r="N54" i="6" s="1"/>
  <c r="O54" i="6"/>
  <c r="AO51" i="6"/>
  <c r="V51" i="6"/>
  <c r="AW51" i="6"/>
  <c r="AY51" i="6"/>
  <c r="AG56" i="6"/>
  <c r="AH56" i="6" s="1"/>
  <c r="G57" i="6"/>
  <c r="AC56" i="6"/>
  <c r="AD56" i="6" s="1"/>
  <c r="AZ52" i="6"/>
  <c r="AV52" i="6"/>
  <c r="AU52" i="6"/>
  <c r="AX52" i="6" s="1"/>
  <c r="T52" i="6"/>
  <c r="U52" i="6"/>
  <c r="AB57" i="6"/>
  <c r="F58" i="6"/>
  <c r="AF57" i="6"/>
  <c r="AA57" i="6"/>
  <c r="AE57" i="6"/>
  <c r="K57" i="6"/>
  <c r="AN57" i="6"/>
  <c r="E58" i="6"/>
  <c r="AP50" i="6"/>
  <c r="AR50" i="6" s="1"/>
  <c r="AT50" i="6"/>
  <c r="W50" i="6"/>
  <c r="Y50" i="6" s="1"/>
  <c r="AM57" i="6"/>
  <c r="H58" i="6"/>
  <c r="AQ49" i="6"/>
  <c r="AQ50" i="6" l="1"/>
  <c r="AF58" i="6"/>
  <c r="AB58" i="6"/>
  <c r="F59" i="6"/>
  <c r="K58" i="6"/>
  <c r="AA58" i="6"/>
  <c r="AE58" i="6"/>
  <c r="AN58" i="6"/>
  <c r="E59" i="6"/>
  <c r="AY52" i="6"/>
  <c r="AW52" i="6"/>
  <c r="AV53" i="6"/>
  <c r="AZ53" i="6"/>
  <c r="T53" i="6"/>
  <c r="AU53" i="6"/>
  <c r="AX53" i="6" s="1"/>
  <c r="U53" i="6"/>
  <c r="AO52" i="6"/>
  <c r="V52" i="6"/>
  <c r="AP51" i="6"/>
  <c r="AR51" i="6" s="1"/>
  <c r="AT51" i="6"/>
  <c r="W51" i="6"/>
  <c r="Y51" i="6" s="1"/>
  <c r="R54" i="6"/>
  <c r="S54" i="6" s="1"/>
  <c r="Q54" i="6"/>
  <c r="G58" i="6"/>
  <c r="AC57" i="6"/>
  <c r="AD57" i="6" s="1"/>
  <c r="AG57" i="6"/>
  <c r="AH57" i="6" s="1"/>
  <c r="H59" i="6"/>
  <c r="AM58" i="6"/>
  <c r="O55" i="6"/>
  <c r="M55" i="6"/>
  <c r="N55" i="6" s="1"/>
  <c r="L56" i="6"/>
  <c r="K59" i="6" l="1"/>
  <c r="AA59" i="6"/>
  <c r="AE59" i="6"/>
  <c r="E60" i="6"/>
  <c r="AN59" i="6"/>
  <c r="AZ54" i="6"/>
  <c r="AV54" i="6"/>
  <c r="AU54" i="6"/>
  <c r="AX54" i="6" s="1"/>
  <c r="T54" i="6"/>
  <c r="U54" i="6"/>
  <c r="AM59" i="6"/>
  <c r="H60" i="6"/>
  <c r="AW53" i="6"/>
  <c r="AY53" i="6"/>
  <c r="L57" i="6"/>
  <c r="M56" i="6"/>
  <c r="N56" i="6" s="1"/>
  <c r="O56" i="6"/>
  <c r="AO53" i="6"/>
  <c r="V53" i="6"/>
  <c r="AP52" i="6"/>
  <c r="AR52" i="6" s="1"/>
  <c r="AT52" i="6"/>
  <c r="W52" i="6"/>
  <c r="Y52" i="6" s="1"/>
  <c r="Q55" i="6"/>
  <c r="R55" i="6"/>
  <c r="S55" i="6" s="1"/>
  <c r="AQ51" i="6"/>
  <c r="G59" i="6"/>
  <c r="AG58" i="6"/>
  <c r="AH58" i="6" s="1"/>
  <c r="AC58" i="6"/>
  <c r="AD58" i="6" s="1"/>
  <c r="AB59" i="6"/>
  <c r="AF59" i="6"/>
  <c r="F60" i="6"/>
  <c r="AM60" i="6" l="1"/>
  <c r="H61" i="6"/>
  <c r="AV55" i="6"/>
  <c r="AZ55" i="6"/>
  <c r="AU55" i="6"/>
  <c r="AX55" i="6" s="1"/>
  <c r="T55" i="6"/>
  <c r="U55" i="6"/>
  <c r="AQ52" i="6"/>
  <c r="AW54" i="6"/>
  <c r="AY54" i="6"/>
  <c r="AF60" i="6"/>
  <c r="F61" i="6"/>
  <c r="AB60" i="6"/>
  <c r="K60" i="6"/>
  <c r="E61" i="6"/>
  <c r="AA60" i="6"/>
  <c r="AN60" i="6"/>
  <c r="AE60" i="6"/>
  <c r="AO54" i="6"/>
  <c r="V54" i="6"/>
  <c r="AP53" i="6"/>
  <c r="AR53" i="6" s="1"/>
  <c r="AT53" i="6"/>
  <c r="W53" i="6"/>
  <c r="Y53" i="6" s="1"/>
  <c r="G60" i="6"/>
  <c r="AG59" i="6"/>
  <c r="AH59" i="6" s="1"/>
  <c r="AC59" i="6"/>
  <c r="AD59" i="6" s="1"/>
  <c r="R56" i="6"/>
  <c r="S56" i="6" s="1"/>
  <c r="Q56" i="6"/>
  <c r="O57" i="6"/>
  <c r="M57" i="6"/>
  <c r="N57" i="6" s="1"/>
  <c r="L58" i="6"/>
  <c r="AQ53" i="6" l="1"/>
  <c r="R57" i="6"/>
  <c r="S57" i="6" s="1"/>
  <c r="Q57" i="6"/>
  <c r="AP54" i="6"/>
  <c r="AR54" i="6" s="1"/>
  <c r="AT54" i="6"/>
  <c r="W54" i="6"/>
  <c r="Y54" i="6" s="1"/>
  <c r="T56" i="6"/>
  <c r="AZ56" i="6"/>
  <c r="AV56" i="6"/>
  <c r="AU56" i="6"/>
  <c r="AX56" i="6" s="1"/>
  <c r="U56" i="6"/>
  <c r="K61" i="6"/>
  <c r="AN61" i="6"/>
  <c r="AA61" i="6"/>
  <c r="AE61" i="6"/>
  <c r="E62" i="6"/>
  <c r="AO55" i="6"/>
  <c r="V55" i="6"/>
  <c r="AF61" i="6"/>
  <c r="F62" i="6"/>
  <c r="AB61" i="6"/>
  <c r="G61" i="6"/>
  <c r="AG60" i="6"/>
  <c r="AH60" i="6" s="1"/>
  <c r="AC60" i="6"/>
  <c r="AD60" i="6" s="1"/>
  <c r="AY55" i="6"/>
  <c r="AW55" i="6"/>
  <c r="L59" i="6"/>
  <c r="O58" i="6"/>
  <c r="M58" i="6"/>
  <c r="N58" i="6" s="1"/>
  <c r="AM61" i="6"/>
  <c r="H62" i="6"/>
  <c r="AQ54" i="6" l="1"/>
  <c r="G62" i="6"/>
  <c r="AG61" i="6"/>
  <c r="AH61" i="6" s="1"/>
  <c r="AC61" i="6"/>
  <c r="AD61" i="6" s="1"/>
  <c r="AP55" i="6"/>
  <c r="AR55" i="6" s="1"/>
  <c r="W55" i="6"/>
  <c r="Y55" i="6" s="1"/>
  <c r="AT55" i="6"/>
  <c r="E63" i="6"/>
  <c r="AA62" i="6"/>
  <c r="AE62" i="6"/>
  <c r="K62" i="6"/>
  <c r="AN62" i="6"/>
  <c r="AW56" i="6"/>
  <c r="AY56" i="6"/>
  <c r="AB62" i="6"/>
  <c r="F63" i="6"/>
  <c r="AF62" i="6"/>
  <c r="H63" i="6"/>
  <c r="AM62" i="6"/>
  <c r="R58" i="6"/>
  <c r="S58" i="6" s="1"/>
  <c r="Q58" i="6"/>
  <c r="M59" i="6"/>
  <c r="N59" i="6" s="1"/>
  <c r="O59" i="6"/>
  <c r="L60" i="6"/>
  <c r="T57" i="6"/>
  <c r="AV57" i="6"/>
  <c r="AU57" i="6"/>
  <c r="AX57" i="6" s="1"/>
  <c r="AZ57" i="6"/>
  <c r="U57" i="6"/>
  <c r="AO56" i="6"/>
  <c r="V56" i="6"/>
  <c r="AU58" i="6" l="1"/>
  <c r="AX58" i="6" s="1"/>
  <c r="AZ58" i="6"/>
  <c r="AV58" i="6"/>
  <c r="T58" i="6"/>
  <c r="U58" i="6"/>
  <c r="AP56" i="6"/>
  <c r="AR56" i="6" s="1"/>
  <c r="W56" i="6"/>
  <c r="Y56" i="6" s="1"/>
  <c r="AT56" i="6"/>
  <c r="AO57" i="6"/>
  <c r="V57" i="6"/>
  <c r="H64" i="6"/>
  <c r="AM63" i="6"/>
  <c r="AQ55" i="6"/>
  <c r="R59" i="6"/>
  <c r="S59" i="6" s="1"/>
  <c r="Q59" i="6"/>
  <c r="K63" i="6"/>
  <c r="E64" i="6"/>
  <c r="AN63" i="6"/>
  <c r="AA63" i="6"/>
  <c r="AE63" i="6"/>
  <c r="AB63" i="6"/>
  <c r="F64" i="6"/>
  <c r="AF63" i="6"/>
  <c r="AY57" i="6"/>
  <c r="AW57" i="6"/>
  <c r="L61" i="6"/>
  <c r="O60" i="6"/>
  <c r="M60" i="6"/>
  <c r="N60" i="6" s="1"/>
  <c r="AC62" i="6"/>
  <c r="AD62" i="6" s="1"/>
  <c r="G63" i="6"/>
  <c r="AG62" i="6"/>
  <c r="AH62" i="6" s="1"/>
  <c r="AQ56" i="6" l="1"/>
  <c r="H65" i="6"/>
  <c r="AM64" i="6"/>
  <c r="M61" i="6"/>
  <c r="N61" i="6" s="1"/>
  <c r="O61" i="6"/>
  <c r="L62" i="6"/>
  <c r="F65" i="6"/>
  <c r="AF64" i="6"/>
  <c r="AB64" i="6"/>
  <c r="AP57" i="6"/>
  <c r="AR57" i="6" s="1"/>
  <c r="AT57" i="6"/>
  <c r="W57" i="6"/>
  <c r="Y57" i="6" s="1"/>
  <c r="AC63" i="6"/>
  <c r="AD63" i="6" s="1"/>
  <c r="G64" i="6"/>
  <c r="AG63" i="6"/>
  <c r="AH63" i="6" s="1"/>
  <c r="R60" i="6"/>
  <c r="S60" i="6" s="1"/>
  <c r="Q60" i="6"/>
  <c r="AA64" i="6"/>
  <c r="K64" i="6"/>
  <c r="AE64" i="6"/>
  <c r="AN64" i="6"/>
  <c r="E65" i="6"/>
  <c r="AO58" i="6"/>
  <c r="V58" i="6"/>
  <c r="AW58" i="6"/>
  <c r="AY58" i="6"/>
  <c r="AZ59" i="6"/>
  <c r="AV59" i="6"/>
  <c r="AU59" i="6"/>
  <c r="AX59" i="6" s="1"/>
  <c r="T59" i="6"/>
  <c r="U59" i="6"/>
  <c r="AQ57" i="6" l="1"/>
  <c r="AA65" i="6"/>
  <c r="E66" i="6"/>
  <c r="AE65" i="6"/>
  <c r="K65" i="6"/>
  <c r="AN65" i="6"/>
  <c r="AU60" i="6"/>
  <c r="AX60" i="6" s="1"/>
  <c r="AZ60" i="6"/>
  <c r="T60" i="6"/>
  <c r="AV60" i="6"/>
  <c r="U60" i="6"/>
  <c r="O62" i="6"/>
  <c r="L63" i="6"/>
  <c r="M62" i="6"/>
  <c r="N62" i="6" s="1"/>
  <c r="AO59" i="6"/>
  <c r="V59" i="6"/>
  <c r="AY59" i="6"/>
  <c r="AW59" i="6"/>
  <c r="F66" i="6"/>
  <c r="AB65" i="6"/>
  <c r="AF65" i="6"/>
  <c r="R61" i="6"/>
  <c r="S61" i="6" s="1"/>
  <c r="Q61" i="6"/>
  <c r="AT58" i="6"/>
  <c r="W58" i="6"/>
  <c r="Y58" i="6" s="1"/>
  <c r="AP58" i="6"/>
  <c r="AR58" i="6" s="1"/>
  <c r="AC64" i="6"/>
  <c r="AD64" i="6" s="1"/>
  <c r="G65" i="6"/>
  <c r="AG64" i="6"/>
  <c r="AH64" i="6" s="1"/>
  <c r="AM65" i="6"/>
  <c r="H66" i="6"/>
  <c r="AZ61" i="6" l="1"/>
  <c r="AV61" i="6"/>
  <c r="T61" i="6"/>
  <c r="AU61" i="6"/>
  <c r="AX61" i="6" s="1"/>
  <c r="U61" i="6"/>
  <c r="AP59" i="6"/>
  <c r="AR59" i="6" s="1"/>
  <c r="AT59" i="6"/>
  <c r="W59" i="6"/>
  <c r="Y59" i="6" s="1"/>
  <c r="G66" i="6"/>
  <c r="AC65" i="6"/>
  <c r="AD65" i="6" s="1"/>
  <c r="AG65" i="6"/>
  <c r="AH65" i="6" s="1"/>
  <c r="AY60" i="6"/>
  <c r="AW60" i="6"/>
  <c r="H67" i="6"/>
  <c r="AM66" i="6"/>
  <c r="AF66" i="6"/>
  <c r="F67" i="6"/>
  <c r="AB66" i="6"/>
  <c r="AQ58" i="6"/>
  <c r="M63" i="6"/>
  <c r="N63" i="6" s="1"/>
  <c r="L64" i="6"/>
  <c r="O63" i="6"/>
  <c r="R62" i="6"/>
  <c r="S62" i="6" s="1"/>
  <c r="Q62" i="6"/>
  <c r="AE66" i="6"/>
  <c r="K66" i="6"/>
  <c r="AN66" i="6"/>
  <c r="E67" i="6"/>
  <c r="AA66" i="6"/>
  <c r="AO60" i="6"/>
  <c r="V60" i="6"/>
  <c r="AU62" i="6" l="1"/>
  <c r="AX62" i="6" s="1"/>
  <c r="T62" i="6"/>
  <c r="AZ62" i="6"/>
  <c r="AV62" i="6"/>
  <c r="U62" i="6"/>
  <c r="L65" i="6"/>
  <c r="M64" i="6"/>
  <c r="N64" i="6" s="1"/>
  <c r="O64" i="6"/>
  <c r="AP60" i="6"/>
  <c r="AR60" i="6" s="1"/>
  <c r="AT60" i="6"/>
  <c r="W60" i="6"/>
  <c r="Y60" i="6" s="1"/>
  <c r="AF67" i="6"/>
  <c r="F68" i="6"/>
  <c r="AB67" i="6"/>
  <c r="AQ59" i="6"/>
  <c r="R63" i="6"/>
  <c r="S63" i="6" s="1"/>
  <c r="Q63" i="6"/>
  <c r="AA67" i="6"/>
  <c r="AE67" i="6"/>
  <c r="K67" i="6"/>
  <c r="E68" i="6"/>
  <c r="AN67" i="6"/>
  <c r="AM67" i="6"/>
  <c r="H68" i="6"/>
  <c r="AO61" i="6"/>
  <c r="V61" i="6"/>
  <c r="AG66" i="6"/>
  <c r="AH66" i="6" s="1"/>
  <c r="AC66" i="6"/>
  <c r="AD66" i="6" s="1"/>
  <c r="G67" i="6"/>
  <c r="AW61" i="6"/>
  <c r="AY61" i="6"/>
  <c r="E69" i="6" l="1"/>
  <c r="AA68" i="6"/>
  <c r="AE68" i="6"/>
  <c r="K68" i="6"/>
  <c r="AN68" i="6"/>
  <c r="F69" i="6"/>
  <c r="AF68" i="6"/>
  <c r="AB68" i="6"/>
  <c r="AQ60" i="6"/>
  <c r="R64" i="6"/>
  <c r="S64" i="6" s="1"/>
  <c r="Q64" i="6"/>
  <c r="AC67" i="6"/>
  <c r="AD67" i="6" s="1"/>
  <c r="G68" i="6"/>
  <c r="AG67" i="6"/>
  <c r="AH67" i="6" s="1"/>
  <c r="AO62" i="6"/>
  <c r="V62" i="6"/>
  <c r="AY62" i="6"/>
  <c r="AW62" i="6"/>
  <c r="H69" i="6"/>
  <c r="AM68" i="6"/>
  <c r="M65" i="6"/>
  <c r="N65" i="6" s="1"/>
  <c r="L66" i="6"/>
  <c r="O65" i="6"/>
  <c r="AV63" i="6"/>
  <c r="AU63" i="6"/>
  <c r="AX63" i="6" s="1"/>
  <c r="AZ63" i="6"/>
  <c r="T63" i="6"/>
  <c r="U63" i="6"/>
  <c r="AP61" i="6"/>
  <c r="AR61" i="6" s="1"/>
  <c r="AT61" i="6"/>
  <c r="W61" i="6"/>
  <c r="Y61" i="6" s="1"/>
  <c r="AO63" i="6" l="1"/>
  <c r="V63" i="6"/>
  <c r="G69" i="6"/>
  <c r="AC68" i="6"/>
  <c r="AD68" i="6" s="1"/>
  <c r="AG68" i="6"/>
  <c r="AH68" i="6" s="1"/>
  <c r="AQ61" i="6"/>
  <c r="H70" i="6"/>
  <c r="AM69" i="6"/>
  <c r="AP62" i="6"/>
  <c r="AR62" i="6" s="1"/>
  <c r="AT62" i="6"/>
  <c r="W62" i="6"/>
  <c r="Y62" i="6" s="1"/>
  <c r="R65" i="6"/>
  <c r="S65" i="6" s="1"/>
  <c r="Q65" i="6"/>
  <c r="AF69" i="6"/>
  <c r="F70" i="6"/>
  <c r="AB69" i="6"/>
  <c r="AW63" i="6"/>
  <c r="AY63" i="6"/>
  <c r="L67" i="6"/>
  <c r="M66" i="6"/>
  <c r="N66" i="6" s="1"/>
  <c r="O66" i="6"/>
  <c r="E70" i="6"/>
  <c r="AE69" i="6"/>
  <c r="AN69" i="6"/>
  <c r="K69" i="6"/>
  <c r="AA69" i="6"/>
  <c r="AU64" i="6"/>
  <c r="AX64" i="6" s="1"/>
  <c r="AZ64" i="6"/>
  <c r="T64" i="6"/>
  <c r="AV64" i="6"/>
  <c r="U64" i="6"/>
  <c r="AO64" i="6" l="1"/>
  <c r="V64" i="6"/>
  <c r="AM70" i="6"/>
  <c r="H71" i="6"/>
  <c r="AV65" i="6"/>
  <c r="T65" i="6"/>
  <c r="AU65" i="6"/>
  <c r="AX65" i="6" s="1"/>
  <c r="AZ65" i="6"/>
  <c r="U65" i="6"/>
  <c r="R66" i="6"/>
  <c r="S66" i="6" s="1"/>
  <c r="Q66" i="6"/>
  <c r="AW64" i="6"/>
  <c r="AY64" i="6"/>
  <c r="AF70" i="6"/>
  <c r="AB70" i="6"/>
  <c r="F71" i="6"/>
  <c r="AQ62" i="6"/>
  <c r="M67" i="6"/>
  <c r="N67" i="6" s="1"/>
  <c r="O67" i="6"/>
  <c r="L68" i="6"/>
  <c r="AG69" i="6"/>
  <c r="AH69" i="6" s="1"/>
  <c r="AC69" i="6"/>
  <c r="AD69" i="6" s="1"/>
  <c r="G70" i="6"/>
  <c r="AP63" i="6"/>
  <c r="AR63" i="6" s="1"/>
  <c r="AT63" i="6"/>
  <c r="W63" i="6"/>
  <c r="Y63" i="6" s="1"/>
  <c r="AE70" i="6"/>
  <c r="E71" i="6"/>
  <c r="K70" i="6"/>
  <c r="AA70" i="6"/>
  <c r="AN70" i="6"/>
  <c r="L69" i="6" l="1"/>
  <c r="M68" i="6"/>
  <c r="N68" i="6" s="1"/>
  <c r="O68" i="6"/>
  <c r="AO65" i="6"/>
  <c r="V65" i="6"/>
  <c r="AE71" i="6"/>
  <c r="AN71" i="6"/>
  <c r="AA71" i="6"/>
  <c r="E72" i="6"/>
  <c r="K71" i="6"/>
  <c r="AQ63" i="6"/>
  <c r="AW65" i="6"/>
  <c r="AY65" i="6"/>
  <c r="AG70" i="6"/>
  <c r="AH70" i="6" s="1"/>
  <c r="G71" i="6"/>
  <c r="AC70" i="6"/>
  <c r="AD70" i="6" s="1"/>
  <c r="AU66" i="6"/>
  <c r="AX66" i="6" s="1"/>
  <c r="AV66" i="6"/>
  <c r="AZ66" i="6"/>
  <c r="T66" i="6"/>
  <c r="U66" i="6"/>
  <c r="R67" i="6"/>
  <c r="S67" i="6" s="1"/>
  <c r="Q67" i="6"/>
  <c r="H72" i="6"/>
  <c r="AM71" i="6"/>
  <c r="AF71" i="6"/>
  <c r="F72" i="6"/>
  <c r="AB71" i="6"/>
  <c r="AP64" i="6"/>
  <c r="AR64" i="6" s="1"/>
  <c r="W64" i="6"/>
  <c r="Y64" i="6" s="1"/>
  <c r="AT64" i="6"/>
  <c r="AM72" i="6" l="1"/>
  <c r="H73" i="6"/>
  <c r="AV67" i="6"/>
  <c r="AU67" i="6"/>
  <c r="AX67" i="6" s="1"/>
  <c r="T67" i="6"/>
  <c r="AZ67" i="6"/>
  <c r="U67" i="6"/>
  <c r="AO66" i="6"/>
  <c r="V66" i="6"/>
  <c r="AQ64" i="6"/>
  <c r="AW66" i="6"/>
  <c r="AY66" i="6"/>
  <c r="AN72" i="6"/>
  <c r="AA72" i="6"/>
  <c r="AE72" i="6"/>
  <c r="K72" i="6"/>
  <c r="E73" i="6"/>
  <c r="AF72" i="6"/>
  <c r="F73" i="6"/>
  <c r="AB72" i="6"/>
  <c r="AG71" i="6"/>
  <c r="AH71" i="6" s="1"/>
  <c r="AC71" i="6"/>
  <c r="AD71" i="6" s="1"/>
  <c r="G72" i="6"/>
  <c r="AP65" i="6"/>
  <c r="AR65" i="6" s="1"/>
  <c r="W65" i="6"/>
  <c r="Y65" i="6" s="1"/>
  <c r="AT65" i="6"/>
  <c r="Q68" i="6"/>
  <c r="R68" i="6"/>
  <c r="S68" i="6" s="1"/>
  <c r="M69" i="6"/>
  <c r="N69" i="6" s="1"/>
  <c r="L70" i="6"/>
  <c r="O69" i="6"/>
  <c r="AQ65" i="6" l="1"/>
  <c r="AO67" i="6"/>
  <c r="V67" i="6"/>
  <c r="L71" i="6"/>
  <c r="O70" i="6"/>
  <c r="M70" i="6"/>
  <c r="N70" i="6" s="1"/>
  <c r="AV68" i="6"/>
  <c r="AU68" i="6"/>
  <c r="AX68" i="6" s="1"/>
  <c r="AZ68" i="6"/>
  <c r="T68" i="6"/>
  <c r="U68" i="6"/>
  <c r="AP66" i="6"/>
  <c r="AR66" i="6" s="1"/>
  <c r="W66" i="6"/>
  <c r="Y66" i="6" s="1"/>
  <c r="AT66" i="6"/>
  <c r="Q69" i="6"/>
  <c r="R69" i="6"/>
  <c r="S69" i="6" s="1"/>
  <c r="F74" i="6"/>
  <c r="AB73" i="6"/>
  <c r="AF73" i="6"/>
  <c r="AE73" i="6"/>
  <c r="E74" i="6"/>
  <c r="AN73" i="6"/>
  <c r="AA73" i="6"/>
  <c r="K73" i="6"/>
  <c r="G73" i="6"/>
  <c r="AG72" i="6"/>
  <c r="AH72" i="6" s="1"/>
  <c r="AC72" i="6"/>
  <c r="AD72" i="6" s="1"/>
  <c r="AW67" i="6"/>
  <c r="AY67" i="6"/>
  <c r="AM73" i="6"/>
  <c r="H74" i="6"/>
  <c r="AQ66" i="6" l="1"/>
  <c r="K74" i="6"/>
  <c r="AN74" i="6"/>
  <c r="AA74" i="6"/>
  <c r="E75" i="6"/>
  <c r="AE74" i="6"/>
  <c r="AW68" i="6"/>
  <c r="AY68" i="6"/>
  <c r="R70" i="6"/>
  <c r="S70" i="6" s="1"/>
  <c r="Q70" i="6"/>
  <c r="AO68" i="6"/>
  <c r="V68" i="6"/>
  <c r="AF74" i="6"/>
  <c r="F75" i="6"/>
  <c r="AB74" i="6"/>
  <c r="M71" i="6"/>
  <c r="N71" i="6" s="1"/>
  <c r="L72" i="6"/>
  <c r="O71" i="6"/>
  <c r="AV69" i="6"/>
  <c r="AU69" i="6"/>
  <c r="AX69" i="6" s="1"/>
  <c r="T69" i="6"/>
  <c r="AZ69" i="6"/>
  <c r="U69" i="6"/>
  <c r="AP67" i="6"/>
  <c r="AR67" i="6" s="1"/>
  <c r="W67" i="6"/>
  <c r="Y67" i="6" s="1"/>
  <c r="AT67" i="6"/>
  <c r="AM74" i="6"/>
  <c r="H75" i="6"/>
  <c r="AC73" i="6"/>
  <c r="AD73" i="6" s="1"/>
  <c r="AG73" i="6"/>
  <c r="AH73" i="6" s="1"/>
  <c r="G74" i="6"/>
  <c r="AC74" i="6" l="1"/>
  <c r="AD74" i="6" s="1"/>
  <c r="G75" i="6"/>
  <c r="AG74" i="6"/>
  <c r="AH74" i="6" s="1"/>
  <c r="AY69" i="6"/>
  <c r="AW69" i="6"/>
  <c r="Q71" i="6"/>
  <c r="R71" i="6"/>
  <c r="S71" i="6" s="1"/>
  <c r="O72" i="6"/>
  <c r="L73" i="6"/>
  <c r="M72" i="6"/>
  <c r="N72" i="6" s="1"/>
  <c r="F76" i="6"/>
  <c r="AB75" i="6"/>
  <c r="AF75" i="6"/>
  <c r="E76" i="6"/>
  <c r="AA75" i="6"/>
  <c r="K75" i="6"/>
  <c r="AN75" i="6"/>
  <c r="AE75" i="6"/>
  <c r="AO69" i="6"/>
  <c r="V69" i="6"/>
  <c r="AZ70" i="6"/>
  <c r="AV70" i="6"/>
  <c r="T70" i="6"/>
  <c r="AU70" i="6"/>
  <c r="AX70" i="6" s="1"/>
  <c r="U70" i="6"/>
  <c r="H76" i="6"/>
  <c r="AM75" i="6"/>
  <c r="AP68" i="6"/>
  <c r="AR68" i="6" s="1"/>
  <c r="W68" i="6"/>
  <c r="Y68" i="6" s="1"/>
  <c r="AT68" i="6"/>
  <c r="AQ67" i="6"/>
  <c r="AQ68" i="6" l="1"/>
  <c r="L74" i="6"/>
  <c r="O73" i="6"/>
  <c r="M73" i="6"/>
  <c r="N73" i="6" s="1"/>
  <c r="AP69" i="6"/>
  <c r="AR69" i="6" s="1"/>
  <c r="AT69" i="6"/>
  <c r="W69" i="6"/>
  <c r="Y69" i="6" s="1"/>
  <c r="AZ71" i="6"/>
  <c r="AV71" i="6"/>
  <c r="T71" i="6"/>
  <c r="AU71" i="6"/>
  <c r="AX71" i="6" s="1"/>
  <c r="U71" i="6"/>
  <c r="AM76" i="6"/>
  <c r="H77" i="6"/>
  <c r="AO70" i="6"/>
  <c r="V70" i="6"/>
  <c r="F77" i="6"/>
  <c r="AB76" i="6"/>
  <c r="AF76" i="6"/>
  <c r="R72" i="6"/>
  <c r="S72" i="6" s="1"/>
  <c r="Q72" i="6"/>
  <c r="AW70" i="6"/>
  <c r="AY70" i="6"/>
  <c r="AG75" i="6"/>
  <c r="AH75" i="6" s="1"/>
  <c r="G76" i="6"/>
  <c r="AC75" i="6"/>
  <c r="AD75" i="6" s="1"/>
  <c r="AN76" i="6"/>
  <c r="E77" i="6"/>
  <c r="AA76" i="6"/>
  <c r="AE76" i="6"/>
  <c r="K76" i="6"/>
  <c r="AM77" i="6" l="1"/>
  <c r="H78" i="6"/>
  <c r="AO71" i="6"/>
  <c r="V71" i="6"/>
  <c r="AW71" i="6"/>
  <c r="AY71" i="6"/>
  <c r="AV72" i="6"/>
  <c r="T72" i="6"/>
  <c r="AU72" i="6"/>
  <c r="AX72" i="6" s="1"/>
  <c r="AZ72" i="6"/>
  <c r="U72" i="6"/>
  <c r="G77" i="6"/>
  <c r="AC76" i="6"/>
  <c r="AD76" i="6" s="1"/>
  <c r="AG76" i="6"/>
  <c r="AH76" i="6" s="1"/>
  <c r="AQ69" i="6"/>
  <c r="F78" i="6"/>
  <c r="AF77" i="6"/>
  <c r="AB77" i="6"/>
  <c r="K77" i="6"/>
  <c r="E78" i="6"/>
  <c r="AN77" i="6"/>
  <c r="AE77" i="6"/>
  <c r="AA77" i="6"/>
  <c r="AP70" i="6"/>
  <c r="AR70" i="6" s="1"/>
  <c r="AT70" i="6"/>
  <c r="W70" i="6"/>
  <c r="Y70" i="6" s="1"/>
  <c r="R73" i="6"/>
  <c r="S73" i="6" s="1"/>
  <c r="Q73" i="6"/>
  <c r="M74" i="6"/>
  <c r="N74" i="6" s="1"/>
  <c r="O74" i="6"/>
  <c r="L75" i="6"/>
  <c r="O75" i="6" l="1"/>
  <c r="M75" i="6"/>
  <c r="N75" i="6" s="1"/>
  <c r="L76" i="6"/>
  <c r="AO72" i="6"/>
  <c r="V72" i="6"/>
  <c r="AQ70" i="6"/>
  <c r="AF78" i="6"/>
  <c r="F79" i="6"/>
  <c r="AB78" i="6"/>
  <c r="AP71" i="6"/>
  <c r="AR71" i="6" s="1"/>
  <c r="W71" i="6"/>
  <c r="Y71" i="6" s="1"/>
  <c r="AT71" i="6"/>
  <c r="AE78" i="6"/>
  <c r="K78" i="6"/>
  <c r="AN78" i="6"/>
  <c r="E79" i="6"/>
  <c r="AA78" i="6"/>
  <c r="Q74" i="6"/>
  <c r="R74" i="6"/>
  <c r="S74" i="6" s="1"/>
  <c r="AY72" i="6"/>
  <c r="AW72" i="6"/>
  <c r="H79" i="6"/>
  <c r="AM78" i="6"/>
  <c r="AV73" i="6"/>
  <c r="T73" i="6"/>
  <c r="AU73" i="6"/>
  <c r="AX73" i="6" s="1"/>
  <c r="AZ73" i="6"/>
  <c r="U73" i="6"/>
  <c r="AC77" i="6"/>
  <c r="AD77" i="6" s="1"/>
  <c r="AG77" i="6"/>
  <c r="AH77" i="6" s="1"/>
  <c r="G78" i="6"/>
  <c r="AG78" i="6" l="1"/>
  <c r="AH78" i="6" s="1"/>
  <c r="G79" i="6"/>
  <c r="AC78" i="6"/>
  <c r="AD78" i="6" s="1"/>
  <c r="AQ71" i="6"/>
  <c r="AF79" i="6"/>
  <c r="F80" i="6"/>
  <c r="AB79" i="6"/>
  <c r="AP72" i="6"/>
  <c r="AR72" i="6" s="1"/>
  <c r="AT72" i="6"/>
  <c r="W72" i="6"/>
  <c r="Y72" i="6" s="1"/>
  <c r="AY73" i="6"/>
  <c r="AW73" i="6"/>
  <c r="AA79" i="6"/>
  <c r="AE79" i="6"/>
  <c r="K79" i="6"/>
  <c r="AN79" i="6"/>
  <c r="E80" i="6"/>
  <c r="O76" i="6"/>
  <c r="M76" i="6"/>
  <c r="N76" i="6" s="1"/>
  <c r="L77" i="6"/>
  <c r="AO73" i="6"/>
  <c r="V73" i="6"/>
  <c r="T74" i="6"/>
  <c r="AV74" i="6"/>
  <c r="AZ74" i="6"/>
  <c r="AU74" i="6"/>
  <c r="AX74" i="6" s="1"/>
  <c r="U74" i="6"/>
  <c r="AM79" i="6"/>
  <c r="H80" i="6"/>
  <c r="Q75" i="6"/>
  <c r="R75" i="6"/>
  <c r="S75" i="6" s="1"/>
  <c r="AP73" i="6" l="1"/>
  <c r="AR73" i="6" s="1"/>
  <c r="AT73" i="6"/>
  <c r="W73" i="6"/>
  <c r="Y73" i="6" s="1"/>
  <c r="T75" i="6"/>
  <c r="AU75" i="6"/>
  <c r="AX75" i="6" s="1"/>
  <c r="AV75" i="6"/>
  <c r="AZ75" i="6"/>
  <c r="U75" i="6"/>
  <c r="R76" i="6"/>
  <c r="S76" i="6" s="1"/>
  <c r="Q76" i="6"/>
  <c r="AF80" i="6"/>
  <c r="F81" i="6"/>
  <c r="AB80" i="6"/>
  <c r="L78" i="6"/>
  <c r="O77" i="6"/>
  <c r="M77" i="6"/>
  <c r="N77" i="6" s="1"/>
  <c r="AQ72" i="6"/>
  <c r="AM80" i="6"/>
  <c r="H81" i="6"/>
  <c r="E81" i="6"/>
  <c r="K80" i="6"/>
  <c r="AN80" i="6"/>
  <c r="AA80" i="6"/>
  <c r="AE80" i="6"/>
  <c r="AO74" i="6"/>
  <c r="V74" i="6"/>
  <c r="AG79" i="6"/>
  <c r="AH79" i="6" s="1"/>
  <c r="G80" i="6"/>
  <c r="AC79" i="6"/>
  <c r="AD79" i="6" s="1"/>
  <c r="AY74" i="6"/>
  <c r="AW74" i="6"/>
  <c r="AQ73" i="6" l="1"/>
  <c r="AV76" i="6"/>
  <c r="T76" i="6"/>
  <c r="AZ76" i="6"/>
  <c r="AU76" i="6"/>
  <c r="AX76" i="6" s="1"/>
  <c r="U76" i="6"/>
  <c r="AO75" i="6"/>
  <c r="V75" i="6"/>
  <c r="AY75" i="6"/>
  <c r="AW75" i="6"/>
  <c r="G81" i="6"/>
  <c r="AC80" i="6"/>
  <c r="AD80" i="6" s="1"/>
  <c r="AG80" i="6"/>
  <c r="AH80" i="6" s="1"/>
  <c r="AP74" i="6"/>
  <c r="AR74" i="6" s="1"/>
  <c r="AT74" i="6"/>
  <c r="W74" i="6"/>
  <c r="Y74" i="6" s="1"/>
  <c r="AA81" i="6"/>
  <c r="AN81" i="6"/>
  <c r="E82" i="6"/>
  <c r="K81" i="6"/>
  <c r="AE81" i="6"/>
  <c r="AM81" i="6"/>
  <c r="H82" i="6"/>
  <c r="Q77" i="6"/>
  <c r="R77" i="6"/>
  <c r="S77" i="6" s="1"/>
  <c r="M78" i="6"/>
  <c r="N78" i="6" s="1"/>
  <c r="L79" i="6"/>
  <c r="O78" i="6"/>
  <c r="AF81" i="6"/>
  <c r="F82" i="6"/>
  <c r="AB81" i="6"/>
  <c r="AQ74" i="6" l="1"/>
  <c r="G82" i="6"/>
  <c r="AG81" i="6"/>
  <c r="AH81" i="6" s="1"/>
  <c r="AC81" i="6"/>
  <c r="AD81" i="6" s="1"/>
  <c r="E83" i="6"/>
  <c r="AA82" i="6"/>
  <c r="AE82" i="6"/>
  <c r="K82" i="6"/>
  <c r="AN82" i="6"/>
  <c r="AP75" i="6"/>
  <c r="AR75" i="6" s="1"/>
  <c r="W75" i="6"/>
  <c r="Y75" i="6" s="1"/>
  <c r="AT75" i="6"/>
  <c r="AV77" i="6"/>
  <c r="T77" i="6"/>
  <c r="AZ77" i="6"/>
  <c r="AU77" i="6"/>
  <c r="AX77" i="6" s="1"/>
  <c r="U77" i="6"/>
  <c r="AO76" i="6"/>
  <c r="V76" i="6"/>
  <c r="H83" i="6"/>
  <c r="AM82" i="6"/>
  <c r="F83" i="6"/>
  <c r="AB82" i="6"/>
  <c r="AF82" i="6"/>
  <c r="R78" i="6"/>
  <c r="S78" i="6" s="1"/>
  <c r="Q78" i="6"/>
  <c r="L80" i="6"/>
  <c r="M79" i="6"/>
  <c r="N79" i="6" s="1"/>
  <c r="O79" i="6"/>
  <c r="AY76" i="6"/>
  <c r="AW76" i="6"/>
  <c r="AQ75" i="6" l="1"/>
  <c r="AM83" i="6"/>
  <c r="H84" i="6"/>
  <c r="AP76" i="6"/>
  <c r="AR76" i="6" s="1"/>
  <c r="AT76" i="6"/>
  <c r="W76" i="6"/>
  <c r="Y76" i="6" s="1"/>
  <c r="E84" i="6"/>
  <c r="AN83" i="6"/>
  <c r="AA83" i="6"/>
  <c r="AE83" i="6"/>
  <c r="K83" i="6"/>
  <c r="O80" i="6"/>
  <c r="M80" i="6"/>
  <c r="N80" i="6" s="1"/>
  <c r="L81" i="6"/>
  <c r="T78" i="6"/>
  <c r="AV78" i="6"/>
  <c r="AZ78" i="6"/>
  <c r="AU78" i="6"/>
  <c r="AX78" i="6" s="1"/>
  <c r="U78" i="6"/>
  <c r="AW77" i="6"/>
  <c r="AY77" i="6"/>
  <c r="AC82" i="6"/>
  <c r="AD82" i="6" s="1"/>
  <c r="AG82" i="6"/>
  <c r="AH82" i="6" s="1"/>
  <c r="G83" i="6"/>
  <c r="Q79" i="6"/>
  <c r="R79" i="6"/>
  <c r="S79" i="6" s="1"/>
  <c r="AO77" i="6"/>
  <c r="V77" i="6"/>
  <c r="AB83" i="6"/>
  <c r="AF83" i="6"/>
  <c r="F84" i="6"/>
  <c r="AE84" i="6" l="1"/>
  <c r="E85" i="6"/>
  <c r="K84" i="6"/>
  <c r="AA84" i="6"/>
  <c r="AN84" i="6"/>
  <c r="F85" i="6"/>
  <c r="AF84" i="6"/>
  <c r="AB84" i="6"/>
  <c r="AO78" i="6"/>
  <c r="V78" i="6"/>
  <c r="R80" i="6"/>
  <c r="S80" i="6" s="1"/>
  <c r="Q80" i="6"/>
  <c r="AG83" i="6"/>
  <c r="AH83" i="6" s="1"/>
  <c r="AC83" i="6"/>
  <c r="AD83" i="6" s="1"/>
  <c r="G84" i="6"/>
  <c r="AP77" i="6"/>
  <c r="AR77" i="6" s="1"/>
  <c r="W77" i="6"/>
  <c r="Y77" i="6" s="1"/>
  <c r="AT77" i="6"/>
  <c r="AQ76" i="6"/>
  <c r="AW78" i="6"/>
  <c r="AY78" i="6"/>
  <c r="AM84" i="6"/>
  <c r="H85" i="6"/>
  <c r="AV79" i="6"/>
  <c r="T79" i="6"/>
  <c r="AU79" i="6"/>
  <c r="AX79" i="6" s="1"/>
  <c r="AZ79" i="6"/>
  <c r="U79" i="6"/>
  <c r="L82" i="6"/>
  <c r="M81" i="6"/>
  <c r="N81" i="6" s="1"/>
  <c r="O81" i="6"/>
  <c r="AO79" i="6" l="1"/>
  <c r="V79" i="6"/>
  <c r="F86" i="6"/>
  <c r="AF85" i="6"/>
  <c r="AB85" i="6"/>
  <c r="AQ77" i="6"/>
  <c r="AP78" i="6"/>
  <c r="AR78" i="6" s="1"/>
  <c r="AT78" i="6"/>
  <c r="W78" i="6"/>
  <c r="Y78" i="6" s="1"/>
  <c r="M82" i="6"/>
  <c r="N82" i="6" s="1"/>
  <c r="O82" i="6"/>
  <c r="L83" i="6"/>
  <c r="AY79" i="6"/>
  <c r="AW79" i="6"/>
  <c r="AU80" i="6"/>
  <c r="AX80" i="6" s="1"/>
  <c r="AZ80" i="6"/>
  <c r="AV80" i="6"/>
  <c r="T80" i="6"/>
  <c r="U80" i="6"/>
  <c r="R81" i="6"/>
  <c r="S81" i="6" s="1"/>
  <c r="Q81" i="6"/>
  <c r="AG84" i="6"/>
  <c r="AH84" i="6" s="1"/>
  <c r="G85" i="6"/>
  <c r="AC84" i="6"/>
  <c r="AD84" i="6" s="1"/>
  <c r="AN85" i="6"/>
  <c r="E86" i="6"/>
  <c r="K85" i="6"/>
  <c r="AA85" i="6"/>
  <c r="AE85" i="6"/>
  <c r="H86" i="6"/>
  <c r="AM85" i="6"/>
  <c r="M83" i="6" l="1"/>
  <c r="N83" i="6" s="1"/>
  <c r="O83" i="6"/>
  <c r="L84" i="6"/>
  <c r="Q82" i="6"/>
  <c r="R82" i="6"/>
  <c r="S82" i="6" s="1"/>
  <c r="AQ78" i="6"/>
  <c r="AZ81" i="6"/>
  <c r="T81" i="6"/>
  <c r="AV81" i="6"/>
  <c r="AU81" i="6"/>
  <c r="AX81" i="6" s="1"/>
  <c r="U81" i="6"/>
  <c r="AO80" i="6"/>
  <c r="V80" i="6"/>
  <c r="AM86" i="6"/>
  <c r="H87" i="6"/>
  <c r="K86" i="6"/>
  <c r="AN86" i="6"/>
  <c r="E87" i="6"/>
  <c r="AA86" i="6"/>
  <c r="AE86" i="6"/>
  <c r="AY80" i="6"/>
  <c r="AW80" i="6"/>
  <c r="AB86" i="6"/>
  <c r="F87" i="6"/>
  <c r="AF86" i="6"/>
  <c r="AG85" i="6"/>
  <c r="AH85" i="6" s="1"/>
  <c r="G86" i="6"/>
  <c r="AC85" i="6"/>
  <c r="AD85" i="6" s="1"/>
  <c r="AP79" i="6"/>
  <c r="AR79" i="6" s="1"/>
  <c r="AT79" i="6"/>
  <c r="W79" i="6"/>
  <c r="Y79" i="6" s="1"/>
  <c r="AQ79" i="6" l="1"/>
  <c r="AO81" i="6"/>
  <c r="V81" i="6"/>
  <c r="AW81" i="6"/>
  <c r="AY81" i="6"/>
  <c r="AN87" i="6"/>
  <c r="AA87" i="6"/>
  <c r="AE87" i="6"/>
  <c r="E88" i="6"/>
  <c r="K87" i="6"/>
  <c r="AG86" i="6"/>
  <c r="AH86" i="6" s="1"/>
  <c r="G87" i="6"/>
  <c r="AC86" i="6"/>
  <c r="AD86" i="6" s="1"/>
  <c r="AU82" i="6"/>
  <c r="AX82" i="6" s="1"/>
  <c r="AZ82" i="6"/>
  <c r="T82" i="6"/>
  <c r="AV82" i="6"/>
  <c r="U82" i="6"/>
  <c r="AM87" i="6"/>
  <c r="H88" i="6"/>
  <c r="M84" i="6"/>
  <c r="N84" i="6" s="1"/>
  <c r="O84" i="6"/>
  <c r="L85" i="6"/>
  <c r="AP80" i="6"/>
  <c r="AR80" i="6" s="1"/>
  <c r="W80" i="6"/>
  <c r="Y80" i="6" s="1"/>
  <c r="AT80" i="6"/>
  <c r="Q83" i="6"/>
  <c r="R83" i="6"/>
  <c r="S83" i="6" s="1"/>
  <c r="AB87" i="6"/>
  <c r="F88" i="6"/>
  <c r="AF87" i="6"/>
  <c r="AQ80" i="6" l="1"/>
  <c r="AW82" i="6"/>
  <c r="AY82" i="6"/>
  <c r="AZ83" i="6"/>
  <c r="AU83" i="6"/>
  <c r="AX83" i="6" s="1"/>
  <c r="AV83" i="6"/>
  <c r="T83" i="6"/>
  <c r="U83" i="6"/>
  <c r="G88" i="6"/>
  <c r="AG87" i="6"/>
  <c r="AH87" i="6" s="1"/>
  <c r="AC87" i="6"/>
  <c r="AD87" i="6" s="1"/>
  <c r="AO82" i="6"/>
  <c r="V82" i="6"/>
  <c r="AF88" i="6"/>
  <c r="F89" i="6"/>
  <c r="AB88" i="6"/>
  <c r="K88" i="6"/>
  <c r="AN88" i="6"/>
  <c r="E89" i="6"/>
  <c r="AE88" i="6"/>
  <c r="AA88" i="6"/>
  <c r="O85" i="6"/>
  <c r="M85" i="6"/>
  <c r="N85" i="6" s="1"/>
  <c r="L86" i="6"/>
  <c r="R84" i="6"/>
  <c r="S84" i="6" s="1"/>
  <c r="Q84" i="6"/>
  <c r="AT81" i="6"/>
  <c r="AP81" i="6"/>
  <c r="AR81" i="6" s="1"/>
  <c r="W81" i="6"/>
  <c r="Y81" i="6" s="1"/>
  <c r="H89" i="6"/>
  <c r="AM88" i="6"/>
  <c r="R85" i="6" l="1"/>
  <c r="S85" i="6" s="1"/>
  <c r="Q85" i="6"/>
  <c r="K89" i="6"/>
  <c r="AN89" i="6"/>
  <c r="AA89" i="6"/>
  <c r="AE89" i="6"/>
  <c r="E90" i="6"/>
  <c r="H90" i="6"/>
  <c r="AM89" i="6"/>
  <c r="AC88" i="6"/>
  <c r="AD88" i="6" s="1"/>
  <c r="AG88" i="6"/>
  <c r="AH88" i="6" s="1"/>
  <c r="G89" i="6"/>
  <c r="AQ81" i="6"/>
  <c r="AO83" i="6"/>
  <c r="V83" i="6"/>
  <c r="AB89" i="6"/>
  <c r="AF89" i="6"/>
  <c r="F90" i="6"/>
  <c r="AW83" i="6"/>
  <c r="AY83" i="6"/>
  <c r="AP82" i="6"/>
  <c r="AR82" i="6" s="1"/>
  <c r="W82" i="6"/>
  <c r="Y82" i="6" s="1"/>
  <c r="AT82" i="6"/>
  <c r="AZ84" i="6"/>
  <c r="AU84" i="6"/>
  <c r="AX84" i="6" s="1"/>
  <c r="AV84" i="6"/>
  <c r="T84" i="6"/>
  <c r="U84" i="6"/>
  <c r="M86" i="6"/>
  <c r="N86" i="6" s="1"/>
  <c r="O86" i="6"/>
  <c r="L87" i="6"/>
  <c r="AQ82" i="6" l="1"/>
  <c r="AM90" i="6"/>
  <c r="H91" i="6"/>
  <c r="AO84" i="6"/>
  <c r="V84" i="6"/>
  <c r="AY84" i="6"/>
  <c r="AW84" i="6"/>
  <c r="AP83" i="6"/>
  <c r="AR83" i="6" s="1"/>
  <c r="AT83" i="6"/>
  <c r="W83" i="6"/>
  <c r="Y83" i="6" s="1"/>
  <c r="O87" i="6"/>
  <c r="L88" i="6"/>
  <c r="M87" i="6"/>
  <c r="N87" i="6" s="1"/>
  <c r="Q86" i="6"/>
  <c r="R86" i="6"/>
  <c r="S86" i="6" s="1"/>
  <c r="F91" i="6"/>
  <c r="AB90" i="6"/>
  <c r="AF90" i="6"/>
  <c r="K90" i="6"/>
  <c r="AN90" i="6"/>
  <c r="AA90" i="6"/>
  <c r="AE90" i="6"/>
  <c r="E91" i="6"/>
  <c r="G90" i="6"/>
  <c r="AG89" i="6"/>
  <c r="AH89" i="6" s="1"/>
  <c r="AC89" i="6"/>
  <c r="AD89" i="6" s="1"/>
  <c r="AZ85" i="6"/>
  <c r="T85" i="6"/>
  <c r="AV85" i="6"/>
  <c r="AU85" i="6"/>
  <c r="AX85" i="6" s="1"/>
  <c r="U85" i="6"/>
  <c r="M88" i="6" l="1"/>
  <c r="N88" i="6" s="1"/>
  <c r="O88" i="6"/>
  <c r="L89" i="6"/>
  <c r="R87" i="6"/>
  <c r="S87" i="6" s="1"/>
  <c r="Q87" i="6"/>
  <c r="AY85" i="6"/>
  <c r="AW85" i="6"/>
  <c r="K91" i="6"/>
  <c r="AN91" i="6"/>
  <c r="E92" i="6"/>
  <c r="AA91" i="6"/>
  <c r="AE91" i="6"/>
  <c r="AO85" i="6"/>
  <c r="V85" i="6"/>
  <c r="AQ83" i="6"/>
  <c r="AP84" i="6"/>
  <c r="AR84" i="6" s="1"/>
  <c r="AT84" i="6"/>
  <c r="W84" i="6"/>
  <c r="Y84" i="6" s="1"/>
  <c r="AF91" i="6"/>
  <c r="F92" i="6"/>
  <c r="AB91" i="6"/>
  <c r="AG90" i="6"/>
  <c r="AH90" i="6" s="1"/>
  <c r="G91" i="6"/>
  <c r="AC90" i="6"/>
  <c r="AD90" i="6" s="1"/>
  <c r="AZ86" i="6"/>
  <c r="AU86" i="6"/>
  <c r="AX86" i="6" s="1"/>
  <c r="AV86" i="6"/>
  <c r="T86" i="6"/>
  <c r="U86" i="6"/>
  <c r="AM91" i="6"/>
  <c r="H92" i="6"/>
  <c r="AO86" i="6" l="1"/>
  <c r="V86" i="6"/>
  <c r="AQ84" i="6"/>
  <c r="AP85" i="6"/>
  <c r="AR85" i="6" s="1"/>
  <c r="W85" i="6"/>
  <c r="Y85" i="6" s="1"/>
  <c r="AT85" i="6"/>
  <c r="G92" i="6"/>
  <c r="AG91" i="6"/>
  <c r="AH91" i="6" s="1"/>
  <c r="AC91" i="6"/>
  <c r="AD91" i="6" s="1"/>
  <c r="AM92" i="6"/>
  <c r="H93" i="6"/>
  <c r="AW86" i="6"/>
  <c r="AY86" i="6"/>
  <c r="AA92" i="6"/>
  <c r="K92" i="6"/>
  <c r="AN92" i="6"/>
  <c r="AE92" i="6"/>
  <c r="E93" i="6"/>
  <c r="AZ87" i="6"/>
  <c r="AU87" i="6"/>
  <c r="AX87" i="6" s="1"/>
  <c r="T87" i="6"/>
  <c r="AV87" i="6"/>
  <c r="U87" i="6"/>
  <c r="O89" i="6"/>
  <c r="L90" i="6"/>
  <c r="M89" i="6"/>
  <c r="N89" i="6" s="1"/>
  <c r="AB92" i="6"/>
  <c r="AF92" i="6"/>
  <c r="F93" i="6"/>
  <c r="R88" i="6"/>
  <c r="S88" i="6" s="1"/>
  <c r="Q88" i="6"/>
  <c r="AQ85" i="6" l="1"/>
  <c r="AU88" i="6"/>
  <c r="AX88" i="6" s="1"/>
  <c r="AZ88" i="6"/>
  <c r="AV88" i="6"/>
  <c r="T88" i="6"/>
  <c r="U88" i="6"/>
  <c r="AG92" i="6"/>
  <c r="AH92" i="6" s="1"/>
  <c r="G93" i="6"/>
  <c r="AC92" i="6"/>
  <c r="AD92" i="6" s="1"/>
  <c r="Q89" i="6"/>
  <c r="R89" i="6"/>
  <c r="S89" i="6" s="1"/>
  <c r="AY87" i="6"/>
  <c r="AW87" i="6"/>
  <c r="AF93" i="6"/>
  <c r="F94" i="6"/>
  <c r="AB93" i="6"/>
  <c r="M90" i="6"/>
  <c r="N90" i="6" s="1"/>
  <c r="L91" i="6"/>
  <c r="O90" i="6"/>
  <c r="AO87" i="6"/>
  <c r="V87" i="6"/>
  <c r="AM93" i="6"/>
  <c r="H94" i="6"/>
  <c r="AP86" i="6"/>
  <c r="AR86" i="6" s="1"/>
  <c r="AT86" i="6"/>
  <c r="W86" i="6"/>
  <c r="Y86" i="6" s="1"/>
  <c r="K93" i="6"/>
  <c r="AN93" i="6"/>
  <c r="AE93" i="6"/>
  <c r="E94" i="6"/>
  <c r="AA93" i="6"/>
  <c r="AQ86" i="6" l="1"/>
  <c r="K94" i="6"/>
  <c r="AN94" i="6"/>
  <c r="AE94" i="6"/>
  <c r="E95" i="6"/>
  <c r="AA94" i="6"/>
  <c r="Q90" i="6"/>
  <c r="R90" i="6"/>
  <c r="S90" i="6" s="1"/>
  <c r="AC93" i="6"/>
  <c r="AD93" i="6" s="1"/>
  <c r="AG93" i="6"/>
  <c r="AH93" i="6" s="1"/>
  <c r="G94" i="6"/>
  <c r="AP87" i="6"/>
  <c r="AR87" i="6" s="1"/>
  <c r="W87" i="6"/>
  <c r="Y87" i="6" s="1"/>
  <c r="AT87" i="6"/>
  <c r="AV89" i="6"/>
  <c r="AZ89" i="6"/>
  <c r="T89" i="6"/>
  <c r="AU89" i="6"/>
  <c r="AX89" i="6" s="1"/>
  <c r="U89" i="6"/>
  <c r="M91" i="6"/>
  <c r="N91" i="6" s="1"/>
  <c r="O91" i="6"/>
  <c r="L92" i="6"/>
  <c r="AF94" i="6"/>
  <c r="F95" i="6"/>
  <c r="AB94" i="6"/>
  <c r="AO88" i="6"/>
  <c r="V88" i="6"/>
  <c r="AM94" i="6"/>
  <c r="H95" i="6"/>
  <c r="AW88" i="6"/>
  <c r="AY88" i="6"/>
  <c r="AQ87" i="6" l="1"/>
  <c r="AB95" i="6"/>
  <c r="AF95" i="6"/>
  <c r="F96" i="6"/>
  <c r="AG94" i="6"/>
  <c r="AH94" i="6" s="1"/>
  <c r="AC94" i="6"/>
  <c r="AD94" i="6" s="1"/>
  <c r="G95" i="6"/>
  <c r="AM95" i="6"/>
  <c r="H96" i="6"/>
  <c r="O92" i="6"/>
  <c r="M92" i="6"/>
  <c r="N92" i="6" s="1"/>
  <c r="L93" i="6"/>
  <c r="R91" i="6"/>
  <c r="S91" i="6" s="1"/>
  <c r="Q91" i="6"/>
  <c r="AZ90" i="6"/>
  <c r="AV90" i="6"/>
  <c r="T90" i="6"/>
  <c r="AU90" i="6"/>
  <c r="AX90" i="6" s="1"/>
  <c r="U90" i="6"/>
  <c r="AO89" i="6"/>
  <c r="V89" i="6"/>
  <c r="AE95" i="6"/>
  <c r="K95" i="6"/>
  <c r="AN95" i="6"/>
  <c r="AA95" i="6"/>
  <c r="E96" i="6"/>
  <c r="AP88" i="6"/>
  <c r="AR88" i="6" s="1"/>
  <c r="W88" i="6"/>
  <c r="Y88" i="6" s="1"/>
  <c r="AT88" i="6"/>
  <c r="AY89" i="6"/>
  <c r="AW89" i="6"/>
  <c r="AP89" i="6" l="1"/>
  <c r="AR89" i="6" s="1"/>
  <c r="AT89" i="6"/>
  <c r="W89" i="6"/>
  <c r="Y89" i="6" s="1"/>
  <c r="AY90" i="6"/>
  <c r="AW90" i="6"/>
  <c r="AC95" i="6"/>
  <c r="AD95" i="6" s="1"/>
  <c r="AG95" i="6"/>
  <c r="AH95" i="6" s="1"/>
  <c r="G96" i="6"/>
  <c r="AM96" i="6"/>
  <c r="H97" i="6"/>
  <c r="AO90" i="6"/>
  <c r="V90" i="6"/>
  <c r="AQ88" i="6"/>
  <c r="AE96" i="6"/>
  <c r="K96" i="6"/>
  <c r="AN96" i="6"/>
  <c r="E97" i="6"/>
  <c r="AA96" i="6"/>
  <c r="AV91" i="6"/>
  <c r="AU91" i="6"/>
  <c r="AX91" i="6" s="1"/>
  <c r="AZ91" i="6"/>
  <c r="T91" i="6"/>
  <c r="U91" i="6"/>
  <c r="O93" i="6"/>
  <c r="L94" i="6"/>
  <c r="M93" i="6"/>
  <c r="N93" i="6" s="1"/>
  <c r="AB96" i="6"/>
  <c r="AF96" i="6"/>
  <c r="F97" i="6"/>
  <c r="R92" i="6"/>
  <c r="S92" i="6" s="1"/>
  <c r="Q92" i="6"/>
  <c r="AQ89" i="6" l="1"/>
  <c r="AM97" i="6"/>
  <c r="H98" i="6"/>
  <c r="AY91" i="6"/>
  <c r="AW91" i="6"/>
  <c r="T92" i="6"/>
  <c r="AZ92" i="6"/>
  <c r="AU92" i="6"/>
  <c r="AX92" i="6" s="1"/>
  <c r="AV92" i="6"/>
  <c r="U92" i="6"/>
  <c r="AO91" i="6"/>
  <c r="V91" i="6"/>
  <c r="AA97" i="6"/>
  <c r="AE97" i="6"/>
  <c r="AN97" i="6"/>
  <c r="K97" i="6"/>
  <c r="E98" i="6"/>
  <c r="AC96" i="6"/>
  <c r="AD96" i="6" s="1"/>
  <c r="AG96" i="6"/>
  <c r="AH96" i="6" s="1"/>
  <c r="G97" i="6"/>
  <c r="AF97" i="6"/>
  <c r="F98" i="6"/>
  <c r="AB97" i="6"/>
  <c r="M94" i="6"/>
  <c r="N94" i="6" s="1"/>
  <c r="O94" i="6"/>
  <c r="L95" i="6"/>
  <c r="R93" i="6"/>
  <c r="S93" i="6" s="1"/>
  <c r="Q93" i="6"/>
  <c r="AP90" i="6"/>
  <c r="AR90" i="6" s="1"/>
  <c r="AT90" i="6"/>
  <c r="W90" i="6"/>
  <c r="Y90" i="6" s="1"/>
  <c r="AO92" i="6" l="1"/>
  <c r="V92" i="6"/>
  <c r="AW92" i="6"/>
  <c r="AY92" i="6"/>
  <c r="AQ90" i="6"/>
  <c r="R94" i="6"/>
  <c r="S94" i="6" s="1"/>
  <c r="Q94" i="6"/>
  <c r="AC97" i="6"/>
  <c r="AD97" i="6" s="1"/>
  <c r="AG97" i="6"/>
  <c r="AH97" i="6" s="1"/>
  <c r="G98" i="6"/>
  <c r="AP91" i="6"/>
  <c r="AR91" i="6" s="1"/>
  <c r="AT91" i="6"/>
  <c r="W91" i="6"/>
  <c r="Y91" i="6" s="1"/>
  <c r="AF98" i="6"/>
  <c r="F99" i="6"/>
  <c r="AB98" i="6"/>
  <c r="K98" i="6"/>
  <c r="AN98" i="6"/>
  <c r="AA98" i="6"/>
  <c r="AE98" i="6"/>
  <c r="E99" i="6"/>
  <c r="AV93" i="6"/>
  <c r="AU93" i="6"/>
  <c r="AX93" i="6" s="1"/>
  <c r="T93" i="6"/>
  <c r="AZ93" i="6"/>
  <c r="U93" i="6"/>
  <c r="AM98" i="6"/>
  <c r="H99" i="6"/>
  <c r="O95" i="6"/>
  <c r="M95" i="6"/>
  <c r="N95" i="6" s="1"/>
  <c r="L96" i="6"/>
  <c r="K99" i="6" l="1"/>
  <c r="AA99" i="6"/>
  <c r="AN99" i="6"/>
  <c r="AE99" i="6"/>
  <c r="E100" i="6"/>
  <c r="R95" i="6"/>
  <c r="S95" i="6" s="1"/>
  <c r="Q95" i="6"/>
  <c r="AM99" i="6"/>
  <c r="H100" i="6"/>
  <c r="M96" i="6"/>
  <c r="N96" i="6" s="1"/>
  <c r="L97" i="6"/>
  <c r="O96" i="6"/>
  <c r="AU94" i="6"/>
  <c r="AX94" i="6" s="1"/>
  <c r="AV94" i="6"/>
  <c r="T94" i="6"/>
  <c r="AZ94" i="6"/>
  <c r="U94" i="6"/>
  <c r="AO93" i="6"/>
  <c r="V93" i="6"/>
  <c r="G99" i="6"/>
  <c r="AC98" i="6"/>
  <c r="AD98" i="6" s="1"/>
  <c r="AG98" i="6"/>
  <c r="AH98" i="6" s="1"/>
  <c r="AF99" i="6"/>
  <c r="AB99" i="6"/>
  <c r="F100" i="6"/>
  <c r="AP92" i="6"/>
  <c r="AR92" i="6" s="1"/>
  <c r="W92" i="6"/>
  <c r="Y92" i="6" s="1"/>
  <c r="AT92" i="6"/>
  <c r="AW93" i="6"/>
  <c r="AY93" i="6"/>
  <c r="AQ91" i="6"/>
  <c r="AG99" i="6" l="1"/>
  <c r="AH99" i="6" s="1"/>
  <c r="AC99" i="6"/>
  <c r="AD99" i="6" s="1"/>
  <c r="G100" i="6"/>
  <c r="AQ92" i="6"/>
  <c r="AF100" i="6"/>
  <c r="F101" i="6"/>
  <c r="AB100" i="6"/>
  <c r="AW94" i="6"/>
  <c r="AY94" i="6"/>
  <c r="AP93" i="6"/>
  <c r="AR93" i="6" s="1"/>
  <c r="AT93" i="6"/>
  <c r="W93" i="6"/>
  <c r="Y93" i="6" s="1"/>
  <c r="AO94" i="6"/>
  <c r="V94" i="6"/>
  <c r="AE100" i="6"/>
  <c r="E101" i="6"/>
  <c r="AA100" i="6"/>
  <c r="AN100" i="6"/>
  <c r="K100" i="6"/>
  <c r="R96" i="6"/>
  <c r="S96" i="6" s="1"/>
  <c r="Q96" i="6"/>
  <c r="AU95" i="6"/>
  <c r="AX95" i="6" s="1"/>
  <c r="AZ95" i="6"/>
  <c r="T95" i="6"/>
  <c r="AV95" i="6"/>
  <c r="U95" i="6"/>
  <c r="L98" i="6"/>
  <c r="M97" i="6"/>
  <c r="N97" i="6" s="1"/>
  <c r="O97" i="6"/>
  <c r="AM100" i="6"/>
  <c r="H101" i="6"/>
  <c r="AQ93" i="6" l="1"/>
  <c r="AF101" i="6"/>
  <c r="AB101" i="6"/>
  <c r="F102" i="6"/>
  <c r="Q97" i="6"/>
  <c r="R97" i="6"/>
  <c r="S97" i="6" s="1"/>
  <c r="AO95" i="6"/>
  <c r="V95" i="6"/>
  <c r="AP94" i="6"/>
  <c r="AR94" i="6" s="1"/>
  <c r="W94" i="6"/>
  <c r="Y94" i="6" s="1"/>
  <c r="AT94" i="6"/>
  <c r="T96" i="6"/>
  <c r="AU96" i="6"/>
  <c r="AX96" i="6" s="1"/>
  <c r="AV96" i="6"/>
  <c r="AZ96" i="6"/>
  <c r="U96" i="6"/>
  <c r="AM101" i="6"/>
  <c r="H102" i="6"/>
  <c r="AN101" i="6"/>
  <c r="E102" i="6"/>
  <c r="AE101" i="6"/>
  <c r="AA101" i="6"/>
  <c r="K101" i="6"/>
  <c r="M98" i="6"/>
  <c r="N98" i="6" s="1"/>
  <c r="O98" i="6"/>
  <c r="L99" i="6"/>
  <c r="AY95" i="6"/>
  <c r="AW95" i="6"/>
  <c r="G101" i="6"/>
  <c r="AG100" i="6"/>
  <c r="AH100" i="6" s="1"/>
  <c r="AC100" i="6"/>
  <c r="AD100" i="6" s="1"/>
  <c r="AQ94" i="6" l="1"/>
  <c r="E103" i="6"/>
  <c r="AN102" i="6"/>
  <c r="AA102" i="6"/>
  <c r="AE102" i="6"/>
  <c r="K102" i="6"/>
  <c r="AC101" i="6"/>
  <c r="AD101" i="6" s="1"/>
  <c r="AG101" i="6"/>
  <c r="AH101" i="6" s="1"/>
  <c r="G102" i="6"/>
  <c r="AO96" i="6"/>
  <c r="V96" i="6"/>
  <c r="AY96" i="6"/>
  <c r="AW96" i="6"/>
  <c r="O99" i="6"/>
  <c r="M99" i="6"/>
  <c r="N99" i="6" s="1"/>
  <c r="L100" i="6"/>
  <c r="AZ97" i="6"/>
  <c r="AU97" i="6"/>
  <c r="AX97" i="6" s="1"/>
  <c r="AV97" i="6"/>
  <c r="T97" i="6"/>
  <c r="U97" i="6"/>
  <c r="AB102" i="6"/>
  <c r="AF102" i="6"/>
  <c r="F103" i="6"/>
  <c r="R98" i="6"/>
  <c r="S98" i="6" s="1"/>
  <c r="Q98" i="6"/>
  <c r="AM102" i="6"/>
  <c r="H103" i="6"/>
  <c r="AP95" i="6"/>
  <c r="AR95" i="6" s="1"/>
  <c r="AT95" i="6"/>
  <c r="W95" i="6"/>
  <c r="Y95" i="6" s="1"/>
  <c r="AB103" i="6" l="1"/>
  <c r="F104" i="6"/>
  <c r="AF103" i="6"/>
  <c r="AG102" i="6"/>
  <c r="AH102" i="6" s="1"/>
  <c r="AC102" i="6"/>
  <c r="AD102" i="6" s="1"/>
  <c r="G103" i="6"/>
  <c r="AO97" i="6"/>
  <c r="V97" i="6"/>
  <c r="AU98" i="6"/>
  <c r="AX98" i="6" s="1"/>
  <c r="T98" i="6"/>
  <c r="AZ98" i="6"/>
  <c r="AV98" i="6"/>
  <c r="U98" i="6"/>
  <c r="AP96" i="6"/>
  <c r="AR96" i="6" s="1"/>
  <c r="AT96" i="6"/>
  <c r="W96" i="6"/>
  <c r="Y96" i="6" s="1"/>
  <c r="AY97" i="6"/>
  <c r="AW97" i="6"/>
  <c r="AQ95" i="6"/>
  <c r="M100" i="6"/>
  <c r="N100" i="6" s="1"/>
  <c r="O100" i="6"/>
  <c r="L101" i="6"/>
  <c r="E104" i="6"/>
  <c r="K103" i="6"/>
  <c r="AA103" i="6"/>
  <c r="AN103" i="6"/>
  <c r="AE103" i="6"/>
  <c r="AM103" i="6"/>
  <c r="H104" i="6"/>
  <c r="R99" i="6"/>
  <c r="S99" i="6" s="1"/>
  <c r="Q99" i="6"/>
  <c r="AQ96" i="6" l="1"/>
  <c r="AO98" i="6"/>
  <c r="V98" i="6"/>
  <c r="AU99" i="6"/>
  <c r="AX99" i="6" s="1"/>
  <c r="AZ99" i="6"/>
  <c r="AV99" i="6"/>
  <c r="T99" i="6"/>
  <c r="U99" i="6"/>
  <c r="R100" i="6"/>
  <c r="S100" i="6" s="1"/>
  <c r="Q100" i="6"/>
  <c r="W97" i="6"/>
  <c r="Y97" i="6" s="1"/>
  <c r="AP97" i="6"/>
  <c r="AR97" i="6" s="1"/>
  <c r="AT97" i="6"/>
  <c r="AC103" i="6"/>
  <c r="AD103" i="6" s="1"/>
  <c r="AG103" i="6"/>
  <c r="AH103" i="6" s="1"/>
  <c r="G104" i="6"/>
  <c r="H105" i="6"/>
  <c r="AM104" i="6"/>
  <c r="AW98" i="6"/>
  <c r="AY98" i="6"/>
  <c r="M101" i="6"/>
  <c r="N101" i="6" s="1"/>
  <c r="O101" i="6"/>
  <c r="L102" i="6"/>
  <c r="AN104" i="6"/>
  <c r="E105" i="6"/>
  <c r="AA104" i="6"/>
  <c r="AE104" i="6"/>
  <c r="K104" i="6"/>
  <c r="AB104" i="6"/>
  <c r="AF104" i="6"/>
  <c r="F105" i="6"/>
  <c r="AQ97" i="6" l="1"/>
  <c r="M102" i="6"/>
  <c r="N102" i="6" s="1"/>
  <c r="L103" i="6"/>
  <c r="O102" i="6"/>
  <c r="AZ100" i="6"/>
  <c r="AV100" i="6"/>
  <c r="AU100" i="6"/>
  <c r="AX100" i="6" s="1"/>
  <c r="T100" i="6"/>
  <c r="U100" i="6"/>
  <c r="AF105" i="6"/>
  <c r="F106" i="6"/>
  <c r="AB105" i="6"/>
  <c r="AO99" i="6"/>
  <c r="V99" i="6"/>
  <c r="R101" i="6"/>
  <c r="S101" i="6" s="1"/>
  <c r="Q101" i="6"/>
  <c r="AY99" i="6"/>
  <c r="AW99" i="6"/>
  <c r="AN105" i="6"/>
  <c r="E106" i="6"/>
  <c r="K105" i="6"/>
  <c r="AA105" i="6"/>
  <c r="AE105" i="6"/>
  <c r="AM105" i="6"/>
  <c r="H106" i="6"/>
  <c r="M5" i="1"/>
  <c r="G105" i="6"/>
  <c r="AC104" i="6"/>
  <c r="AD104" i="6" s="1"/>
  <c r="AG104" i="6"/>
  <c r="AH104" i="6" s="1"/>
  <c r="AP98" i="6"/>
  <c r="AR98" i="6" s="1"/>
  <c r="W98" i="6"/>
  <c r="Y98" i="6" s="1"/>
  <c r="AT98" i="6"/>
  <c r="AQ98" i="6" l="1"/>
  <c r="AA106" i="6"/>
  <c r="E107" i="6"/>
  <c r="AE106" i="6"/>
  <c r="K106" i="6"/>
  <c r="AN106" i="6"/>
  <c r="AY100" i="6"/>
  <c r="AW100" i="6"/>
  <c r="Q102" i="6"/>
  <c r="R102" i="6"/>
  <c r="S102" i="6" s="1"/>
  <c r="O103" i="6"/>
  <c r="M103" i="6"/>
  <c r="N103" i="6" s="1"/>
  <c r="L104" i="6"/>
  <c r="AO100" i="6"/>
  <c r="V100" i="6"/>
  <c r="AV101" i="6"/>
  <c r="T101" i="6"/>
  <c r="AU101" i="6"/>
  <c r="AX101" i="6" s="1"/>
  <c r="AZ101" i="6"/>
  <c r="U101" i="6"/>
  <c r="AM106" i="6"/>
  <c r="H107" i="6"/>
  <c r="AP99" i="6"/>
  <c r="AR99" i="6" s="1"/>
  <c r="W99" i="6"/>
  <c r="Y99" i="6" s="1"/>
  <c r="AT99" i="6"/>
  <c r="G106" i="6"/>
  <c r="AG105" i="6"/>
  <c r="AH105" i="6" s="1"/>
  <c r="AC105" i="6"/>
  <c r="AD105" i="6" s="1"/>
  <c r="F107" i="6"/>
  <c r="AF106" i="6"/>
  <c r="AB106" i="6"/>
  <c r="AQ99" i="6" l="1"/>
  <c r="M104" i="6"/>
  <c r="N104" i="6" s="1"/>
  <c r="L105" i="6"/>
  <c r="O104" i="6"/>
  <c r="R103" i="6"/>
  <c r="S103" i="6" s="1"/>
  <c r="Q103" i="6"/>
  <c r="AU102" i="6"/>
  <c r="AX102" i="6" s="1"/>
  <c r="T102" i="6"/>
  <c r="AZ102" i="6"/>
  <c r="AV102" i="6"/>
  <c r="U102" i="6"/>
  <c r="AO101" i="6"/>
  <c r="V101" i="6"/>
  <c r="H108" i="6"/>
  <c r="AM107" i="6"/>
  <c r="F108" i="6"/>
  <c r="AB107" i="6"/>
  <c r="AF107" i="6"/>
  <c r="AE107" i="6"/>
  <c r="E108" i="6"/>
  <c r="AA107" i="6"/>
  <c r="AN107" i="6"/>
  <c r="K107" i="6"/>
  <c r="AW101" i="6"/>
  <c r="AY101" i="6"/>
  <c r="AP100" i="6"/>
  <c r="AR100" i="6" s="1"/>
  <c r="W100" i="6"/>
  <c r="Y100" i="6" s="1"/>
  <c r="AT100" i="6"/>
  <c r="AG106" i="6"/>
  <c r="AH106" i="6" s="1"/>
  <c r="G107" i="6"/>
  <c r="AC106" i="6"/>
  <c r="AD106" i="6" s="1"/>
  <c r="AQ100" i="6" l="1"/>
  <c r="AO102" i="6"/>
  <c r="V102" i="6"/>
  <c r="O105" i="6"/>
  <c r="M105" i="6"/>
  <c r="N105" i="6" s="1"/>
  <c r="L106" i="6"/>
  <c r="AP101" i="6"/>
  <c r="AR101" i="6" s="1"/>
  <c r="AT101" i="6"/>
  <c r="W101" i="6"/>
  <c r="Y101" i="6" s="1"/>
  <c r="G108" i="6"/>
  <c r="AC107" i="6"/>
  <c r="AD107" i="6" s="1"/>
  <c r="AG107" i="6"/>
  <c r="AH107" i="6" s="1"/>
  <c r="AN108" i="6"/>
  <c r="E109" i="6"/>
  <c r="AA108" i="6"/>
  <c r="AE108" i="6"/>
  <c r="K108" i="6"/>
  <c r="AW102" i="6"/>
  <c r="AY102" i="6"/>
  <c r="AF108" i="6"/>
  <c r="AB108" i="6"/>
  <c r="F109" i="6"/>
  <c r="H109" i="6"/>
  <c r="AM108" i="6"/>
  <c r="AU103" i="6"/>
  <c r="AX103" i="6" s="1"/>
  <c r="AZ103" i="6"/>
  <c r="T103" i="6"/>
  <c r="AV103" i="6"/>
  <c r="U103" i="6"/>
  <c r="Q104" i="6"/>
  <c r="R104" i="6"/>
  <c r="S104" i="6" s="1"/>
  <c r="AB109" i="6" l="1"/>
  <c r="AF109" i="6"/>
  <c r="F110" i="6"/>
  <c r="AZ104" i="6"/>
  <c r="T104" i="6"/>
  <c r="AV104" i="6"/>
  <c r="AU104" i="6"/>
  <c r="AX104" i="6" s="1"/>
  <c r="U104" i="6"/>
  <c r="AQ101" i="6"/>
  <c r="AO103" i="6"/>
  <c r="V103" i="6"/>
  <c r="AW103" i="6"/>
  <c r="AY103" i="6"/>
  <c r="G109" i="6"/>
  <c r="AG108" i="6"/>
  <c r="AH108" i="6" s="1"/>
  <c r="AC108" i="6"/>
  <c r="AD108" i="6" s="1"/>
  <c r="O106" i="6"/>
  <c r="M106" i="6"/>
  <c r="N106" i="6" s="1"/>
  <c r="L107" i="6"/>
  <c r="AM109" i="6"/>
  <c r="H110" i="6"/>
  <c r="E110" i="6"/>
  <c r="K109" i="6"/>
  <c r="AA109" i="6"/>
  <c r="AN109" i="6"/>
  <c r="AE109" i="6"/>
  <c r="R105" i="6"/>
  <c r="S105" i="6" s="1"/>
  <c r="Q105" i="6"/>
  <c r="W102" i="6"/>
  <c r="Y102" i="6" s="1"/>
  <c r="AT102" i="6"/>
  <c r="AP102" i="6"/>
  <c r="AR102" i="6" s="1"/>
  <c r="AQ102" i="6" l="1"/>
  <c r="AM110" i="6"/>
  <c r="H111" i="6"/>
  <c r="Q106" i="6"/>
  <c r="R106" i="6"/>
  <c r="S106" i="6" s="1"/>
  <c r="AO104" i="6"/>
  <c r="V104" i="6"/>
  <c r="AU105" i="6"/>
  <c r="AX105" i="6" s="1"/>
  <c r="T105" i="6"/>
  <c r="AZ105" i="6"/>
  <c r="AV105" i="6"/>
  <c r="U105" i="6"/>
  <c r="O107" i="6"/>
  <c r="L108" i="6"/>
  <c r="M107" i="6"/>
  <c r="N107" i="6" s="1"/>
  <c r="AW104" i="6"/>
  <c r="AY104" i="6"/>
  <c r="G110" i="6"/>
  <c r="AG109" i="6"/>
  <c r="AH109" i="6" s="1"/>
  <c r="AC109" i="6"/>
  <c r="AD109" i="6" s="1"/>
  <c r="AB110" i="6"/>
  <c r="F111" i="6"/>
  <c r="AF110" i="6"/>
  <c r="AE110" i="6"/>
  <c r="AN110" i="6"/>
  <c r="K110" i="6"/>
  <c r="AA110" i="6"/>
  <c r="E111" i="6"/>
  <c r="AP103" i="6"/>
  <c r="AR103" i="6" s="1"/>
  <c r="W103" i="6"/>
  <c r="Y103" i="6" s="1"/>
  <c r="AT103" i="6"/>
  <c r="AC110" i="6" l="1"/>
  <c r="AD110" i="6" s="1"/>
  <c r="G111" i="6"/>
  <c r="AG110" i="6"/>
  <c r="AH110" i="6" s="1"/>
  <c r="AP104" i="6"/>
  <c r="AR104" i="6" s="1"/>
  <c r="W104" i="6"/>
  <c r="Y104" i="6" s="1"/>
  <c r="AT104" i="6"/>
  <c r="M108" i="6"/>
  <c r="N108" i="6" s="1"/>
  <c r="L109" i="6"/>
  <c r="O108" i="6"/>
  <c r="AM111" i="6"/>
  <c r="H112" i="6"/>
  <c r="R107" i="6"/>
  <c r="S107" i="6" s="1"/>
  <c r="Q107" i="6"/>
  <c r="AB111" i="6"/>
  <c r="AF111" i="6"/>
  <c r="F112" i="6"/>
  <c r="AO105" i="6"/>
  <c r="V105" i="6"/>
  <c r="AW105" i="6"/>
  <c r="AY105" i="6"/>
  <c r="AQ103" i="6"/>
  <c r="E112" i="6"/>
  <c r="K111" i="6"/>
  <c r="AE111" i="6"/>
  <c r="AN111" i="6"/>
  <c r="AA111" i="6"/>
  <c r="AV106" i="6"/>
  <c r="AZ106" i="6"/>
  <c r="T106" i="6"/>
  <c r="AU106" i="6"/>
  <c r="AX106" i="6" s="1"/>
  <c r="U106" i="6"/>
  <c r="AQ104" i="6" l="1"/>
  <c r="AG111" i="6"/>
  <c r="AH111" i="6" s="1"/>
  <c r="G112" i="6"/>
  <c r="AC111" i="6"/>
  <c r="AD111" i="6" s="1"/>
  <c r="AU107" i="6"/>
  <c r="AX107" i="6" s="1"/>
  <c r="AZ107" i="6"/>
  <c r="T107" i="6"/>
  <c r="AV107" i="6"/>
  <c r="U107" i="6"/>
  <c r="AO106" i="6"/>
  <c r="V106" i="6"/>
  <c r="AW106" i="6"/>
  <c r="AY106" i="6"/>
  <c r="AN112" i="6"/>
  <c r="K112" i="6"/>
  <c r="AA112" i="6"/>
  <c r="E113" i="6"/>
  <c r="AE112" i="6"/>
  <c r="AM112" i="6"/>
  <c r="H113" i="6"/>
  <c r="R108" i="6"/>
  <c r="S108" i="6" s="1"/>
  <c r="Q108" i="6"/>
  <c r="M109" i="6"/>
  <c r="N109" i="6" s="1"/>
  <c r="L110" i="6"/>
  <c r="O109" i="6"/>
  <c r="AP105" i="6"/>
  <c r="AR105" i="6" s="1"/>
  <c r="AT105" i="6"/>
  <c r="W105" i="6"/>
  <c r="Y105" i="6" s="1"/>
  <c r="F113" i="6"/>
  <c r="AB112" i="6"/>
  <c r="AF112" i="6"/>
  <c r="H114" i="6" l="1"/>
  <c r="AM113" i="6"/>
  <c r="AY107" i="6"/>
  <c r="AW107" i="6"/>
  <c r="Q109" i="6"/>
  <c r="R109" i="6"/>
  <c r="S109" i="6" s="1"/>
  <c r="L111" i="6"/>
  <c r="M110" i="6"/>
  <c r="N110" i="6" s="1"/>
  <c r="O110" i="6"/>
  <c r="AP106" i="6"/>
  <c r="AR106" i="6" s="1"/>
  <c r="W106" i="6"/>
  <c r="Y106" i="6" s="1"/>
  <c r="AT106" i="6"/>
  <c r="AO107" i="6"/>
  <c r="V107" i="6"/>
  <c r="AA113" i="6"/>
  <c r="AE113" i="6"/>
  <c r="AN113" i="6"/>
  <c r="K113" i="6"/>
  <c r="E114" i="6"/>
  <c r="AU108" i="6"/>
  <c r="AX108" i="6" s="1"/>
  <c r="T108" i="6"/>
  <c r="AV108" i="6"/>
  <c r="AZ108" i="6"/>
  <c r="U108" i="6"/>
  <c r="F114" i="6"/>
  <c r="AB113" i="6"/>
  <c r="AF113" i="6"/>
  <c r="AG112" i="6"/>
  <c r="AH112" i="6" s="1"/>
  <c r="AC112" i="6"/>
  <c r="AD112" i="6" s="1"/>
  <c r="G113" i="6"/>
  <c r="AQ105" i="6"/>
  <c r="AP107" i="6" l="1"/>
  <c r="AR107" i="6" s="1"/>
  <c r="AT107" i="6"/>
  <c r="W107" i="6"/>
  <c r="Y107" i="6" s="1"/>
  <c r="G114" i="6"/>
  <c r="AC113" i="6"/>
  <c r="AD113" i="6" s="1"/>
  <c r="AG113" i="6"/>
  <c r="AH113" i="6" s="1"/>
  <c r="T109" i="6"/>
  <c r="AZ109" i="6"/>
  <c r="AU109" i="6"/>
  <c r="AX109" i="6" s="1"/>
  <c r="AV109" i="6"/>
  <c r="U109" i="6"/>
  <c r="AB114" i="6"/>
  <c r="F115" i="6"/>
  <c r="AF114" i="6"/>
  <c r="AY108" i="6"/>
  <c r="AW108" i="6"/>
  <c r="AM114" i="6"/>
  <c r="H115" i="6"/>
  <c r="AQ106" i="6"/>
  <c r="R110" i="6"/>
  <c r="S110" i="6" s="1"/>
  <c r="Q110" i="6"/>
  <c r="AN114" i="6"/>
  <c r="E115" i="6"/>
  <c r="K114" i="6"/>
  <c r="AA114" i="6"/>
  <c r="AE114" i="6"/>
  <c r="M111" i="6"/>
  <c r="N111" i="6" s="1"/>
  <c r="L112" i="6"/>
  <c r="O111" i="6"/>
  <c r="AO108" i="6"/>
  <c r="V108" i="6"/>
  <c r="AN115" i="6" l="1"/>
  <c r="K115" i="6"/>
  <c r="E116" i="6"/>
  <c r="AA115" i="6"/>
  <c r="AE115" i="6"/>
  <c r="AU110" i="6"/>
  <c r="AX110" i="6" s="1"/>
  <c r="AV110" i="6"/>
  <c r="T110" i="6"/>
  <c r="AZ110" i="6"/>
  <c r="U110" i="6"/>
  <c r="Q111" i="6"/>
  <c r="R111" i="6"/>
  <c r="S111" i="6" s="1"/>
  <c r="L113" i="6"/>
  <c r="M112" i="6"/>
  <c r="N112" i="6" s="1"/>
  <c r="O112" i="6"/>
  <c r="AB115" i="6"/>
  <c r="AF115" i="6"/>
  <c r="F116" i="6"/>
  <c r="AQ107" i="6"/>
  <c r="AO109" i="6"/>
  <c r="V109" i="6"/>
  <c r="AW109" i="6"/>
  <c r="AY109" i="6"/>
  <c r="AP108" i="6"/>
  <c r="AR108" i="6" s="1"/>
  <c r="AT108" i="6"/>
  <c r="W108" i="6"/>
  <c r="Y108" i="6" s="1"/>
  <c r="H116" i="6"/>
  <c r="AM115" i="6"/>
  <c r="AG114" i="6"/>
  <c r="AH114" i="6" s="1"/>
  <c r="G115" i="6"/>
  <c r="AC114" i="6"/>
  <c r="AD114" i="6" s="1"/>
  <c r="G116" i="6" l="1"/>
  <c r="AG115" i="6"/>
  <c r="AH115" i="6" s="1"/>
  <c r="AC115" i="6"/>
  <c r="AD115" i="6" s="1"/>
  <c r="F117" i="6"/>
  <c r="AB116" i="6"/>
  <c r="AF116" i="6"/>
  <c r="AM116" i="6"/>
  <c r="H117" i="6"/>
  <c r="AP109" i="6"/>
  <c r="AR109" i="6" s="1"/>
  <c r="W109" i="6"/>
  <c r="Y109" i="6" s="1"/>
  <c r="AT109" i="6"/>
  <c r="AO110" i="6"/>
  <c r="V110" i="6"/>
  <c r="AY110" i="6"/>
  <c r="AW110" i="6"/>
  <c r="R112" i="6"/>
  <c r="S112" i="6" s="1"/>
  <c r="Q112" i="6"/>
  <c r="O113" i="6"/>
  <c r="L114" i="6"/>
  <c r="M113" i="6"/>
  <c r="N113" i="6" s="1"/>
  <c r="AQ108" i="6"/>
  <c r="AV111" i="6"/>
  <c r="AU111" i="6"/>
  <c r="AX111" i="6" s="1"/>
  <c r="AZ111" i="6"/>
  <c r="T111" i="6"/>
  <c r="U111" i="6"/>
  <c r="K116" i="6"/>
  <c r="AN116" i="6"/>
  <c r="AA116" i="6"/>
  <c r="AE116" i="6"/>
  <c r="E117" i="6"/>
  <c r="AQ109" i="6" l="1"/>
  <c r="G117" i="6"/>
  <c r="AG116" i="6"/>
  <c r="AH116" i="6" s="1"/>
  <c r="AC116" i="6"/>
  <c r="AD116" i="6" s="1"/>
  <c r="AY111" i="6"/>
  <c r="AW111" i="6"/>
  <c r="H118" i="6"/>
  <c r="AM117" i="6"/>
  <c r="AZ112" i="6"/>
  <c r="T112" i="6"/>
  <c r="AV112" i="6"/>
  <c r="AU112" i="6"/>
  <c r="AX112" i="6" s="1"/>
  <c r="U112" i="6"/>
  <c r="AO111" i="6"/>
  <c r="V111" i="6"/>
  <c r="AP110" i="6"/>
  <c r="AR110" i="6" s="1"/>
  <c r="AT110" i="6"/>
  <c r="W110" i="6"/>
  <c r="Y110" i="6" s="1"/>
  <c r="E118" i="6"/>
  <c r="K117" i="6"/>
  <c r="AA117" i="6"/>
  <c r="AE117" i="6"/>
  <c r="AN117" i="6"/>
  <c r="L115" i="6"/>
  <c r="O114" i="6"/>
  <c r="M114" i="6"/>
  <c r="N114" i="6" s="1"/>
  <c r="R113" i="6"/>
  <c r="S113" i="6" s="1"/>
  <c r="Q113" i="6"/>
  <c r="AF117" i="6"/>
  <c r="F118" i="6"/>
  <c r="AB117" i="6"/>
  <c r="AQ110" i="6" l="1"/>
  <c r="Q114" i="6"/>
  <c r="R114" i="6"/>
  <c r="S114" i="6" s="1"/>
  <c r="AC117" i="6"/>
  <c r="AD117" i="6" s="1"/>
  <c r="AG117" i="6"/>
  <c r="AH117" i="6" s="1"/>
  <c r="G118" i="6"/>
  <c r="AO112" i="6"/>
  <c r="V112" i="6"/>
  <c r="AB118" i="6"/>
  <c r="AF118" i="6"/>
  <c r="F119" i="6"/>
  <c r="AE118" i="6"/>
  <c r="AA118" i="6"/>
  <c r="K118" i="6"/>
  <c r="E119" i="6"/>
  <c r="AN118" i="6"/>
  <c r="H119" i="6"/>
  <c r="AM118" i="6"/>
  <c r="L116" i="6"/>
  <c r="M115" i="6"/>
  <c r="N115" i="6" s="1"/>
  <c r="O115" i="6"/>
  <c r="W111" i="6"/>
  <c r="Y111" i="6" s="1"/>
  <c r="AT111" i="6"/>
  <c r="AP111" i="6"/>
  <c r="AR111" i="6" s="1"/>
  <c r="AW112" i="6"/>
  <c r="AY112" i="6"/>
  <c r="T113" i="6"/>
  <c r="AV113" i="6"/>
  <c r="AU113" i="6"/>
  <c r="AX113" i="6" s="1"/>
  <c r="AZ113" i="6"/>
  <c r="U113" i="6"/>
  <c r="AF119" i="6" l="1"/>
  <c r="F120" i="6"/>
  <c r="AB119" i="6"/>
  <c r="R115" i="6"/>
  <c r="S115" i="6" s="1"/>
  <c r="Q115" i="6"/>
  <c r="AG118" i="6"/>
  <c r="AH118" i="6" s="1"/>
  <c r="AC118" i="6"/>
  <c r="AD118" i="6" s="1"/>
  <c r="G119" i="6"/>
  <c r="AY113" i="6"/>
  <c r="AW113" i="6"/>
  <c r="AO113" i="6"/>
  <c r="V113" i="6"/>
  <c r="AP112" i="6"/>
  <c r="AR112" i="6" s="1"/>
  <c r="W112" i="6"/>
  <c r="Y112" i="6" s="1"/>
  <c r="AT112" i="6"/>
  <c r="E120" i="6"/>
  <c r="K119" i="6"/>
  <c r="AA119" i="6"/>
  <c r="AN119" i="6"/>
  <c r="AE119" i="6"/>
  <c r="M116" i="6"/>
  <c r="N116" i="6" s="1"/>
  <c r="O116" i="6"/>
  <c r="L117" i="6"/>
  <c r="AM119" i="6"/>
  <c r="H120" i="6"/>
  <c r="AQ111" i="6"/>
  <c r="AV114" i="6"/>
  <c r="T114" i="6"/>
  <c r="AZ114" i="6"/>
  <c r="AU114" i="6"/>
  <c r="AX114" i="6" s="1"/>
  <c r="U114" i="6"/>
  <c r="AQ112" i="6" l="1"/>
  <c r="AM120" i="6"/>
  <c r="H121" i="6"/>
  <c r="R116" i="6"/>
  <c r="S116" i="6" s="1"/>
  <c r="Q116" i="6"/>
  <c r="AO114" i="6"/>
  <c r="V114" i="6"/>
  <c r="AF120" i="6"/>
  <c r="AB120" i="6"/>
  <c r="F121" i="6"/>
  <c r="AP113" i="6"/>
  <c r="AR113" i="6" s="1"/>
  <c r="AT113" i="6"/>
  <c r="W113" i="6"/>
  <c r="Y113" i="6" s="1"/>
  <c r="L118" i="6"/>
  <c r="O117" i="6"/>
  <c r="M117" i="6"/>
  <c r="N117" i="6" s="1"/>
  <c r="AG119" i="6"/>
  <c r="AH119" i="6" s="1"/>
  <c r="G120" i="6"/>
  <c r="AC119" i="6"/>
  <c r="AD119" i="6" s="1"/>
  <c r="E121" i="6"/>
  <c r="AE120" i="6"/>
  <c r="AA120" i="6"/>
  <c r="AN120" i="6"/>
  <c r="K120" i="6"/>
  <c r="AY114" i="6"/>
  <c r="AW114" i="6"/>
  <c r="AU115" i="6"/>
  <c r="AX115" i="6" s="1"/>
  <c r="T115" i="6"/>
  <c r="AZ115" i="6"/>
  <c r="AV115" i="6"/>
  <c r="U115" i="6"/>
  <c r="AQ113" i="6" l="1"/>
  <c r="AW115" i="6"/>
  <c r="AY115" i="6"/>
  <c r="E122" i="6"/>
  <c r="K121" i="6"/>
  <c r="AN121" i="6"/>
  <c r="AA121" i="6"/>
  <c r="AE121" i="6"/>
  <c r="AT114" i="6"/>
  <c r="AP114" i="6"/>
  <c r="AR114" i="6" s="1"/>
  <c r="W114" i="6"/>
  <c r="Y114" i="6" s="1"/>
  <c r="F122" i="6"/>
  <c r="AF121" i="6"/>
  <c r="AB121" i="6"/>
  <c r="G121" i="6"/>
  <c r="AC120" i="6"/>
  <c r="AD120" i="6" s="1"/>
  <c r="AG120" i="6"/>
  <c r="AH120" i="6" s="1"/>
  <c r="AO115" i="6"/>
  <c r="V115" i="6"/>
  <c r="AZ116" i="6"/>
  <c r="T116" i="6"/>
  <c r="AU116" i="6"/>
  <c r="AX116" i="6" s="1"/>
  <c r="AV116" i="6"/>
  <c r="U116" i="6"/>
  <c r="R117" i="6"/>
  <c r="S117" i="6" s="1"/>
  <c r="Q117" i="6"/>
  <c r="H122" i="6"/>
  <c r="AM121" i="6"/>
  <c r="M118" i="6"/>
  <c r="N118" i="6" s="1"/>
  <c r="L119" i="6"/>
  <c r="O118" i="6"/>
  <c r="AA122" i="6" l="1"/>
  <c r="AN122" i="6"/>
  <c r="E123" i="6"/>
  <c r="AE122" i="6"/>
  <c r="K122" i="6"/>
  <c r="AO116" i="6"/>
  <c r="V116" i="6"/>
  <c r="AB122" i="6"/>
  <c r="AF122" i="6"/>
  <c r="F123" i="6"/>
  <c r="AP115" i="6"/>
  <c r="AR115" i="6" s="1"/>
  <c r="W115" i="6"/>
  <c r="Y115" i="6" s="1"/>
  <c r="AT115" i="6"/>
  <c r="AQ114" i="6"/>
  <c r="T117" i="6"/>
  <c r="AV117" i="6"/>
  <c r="AU117" i="6"/>
  <c r="AX117" i="6" s="1"/>
  <c r="AZ117" i="6"/>
  <c r="U117" i="6"/>
  <c r="AW116" i="6"/>
  <c r="AY116" i="6"/>
  <c r="R118" i="6"/>
  <c r="S118" i="6" s="1"/>
  <c r="Q118" i="6"/>
  <c r="M119" i="6"/>
  <c r="N119" i="6" s="1"/>
  <c r="L120" i="6"/>
  <c r="O119" i="6"/>
  <c r="H123" i="6"/>
  <c r="AM122" i="6"/>
  <c r="G122" i="6"/>
  <c r="AC121" i="6"/>
  <c r="AD121" i="6" s="1"/>
  <c r="AG121" i="6"/>
  <c r="AH121" i="6" s="1"/>
  <c r="AQ115" i="6" l="1"/>
  <c r="AY117" i="6"/>
  <c r="AW117" i="6"/>
  <c r="M120" i="6"/>
  <c r="N120" i="6" s="1"/>
  <c r="O120" i="6"/>
  <c r="L121" i="6"/>
  <c r="AU118" i="6"/>
  <c r="AX118" i="6" s="1"/>
  <c r="AZ118" i="6"/>
  <c r="AV118" i="6"/>
  <c r="T118" i="6"/>
  <c r="U118" i="6"/>
  <c r="F124" i="6"/>
  <c r="AB123" i="6"/>
  <c r="AF123" i="6"/>
  <c r="AO117" i="6"/>
  <c r="V117" i="6"/>
  <c r="AP116" i="6"/>
  <c r="AR116" i="6" s="1"/>
  <c r="W116" i="6"/>
  <c r="Y116" i="6" s="1"/>
  <c r="AT116" i="6"/>
  <c r="G123" i="6"/>
  <c r="AG122" i="6"/>
  <c r="AH122" i="6" s="1"/>
  <c r="AC122" i="6"/>
  <c r="AD122" i="6" s="1"/>
  <c r="AM123" i="6"/>
  <c r="H124" i="6"/>
  <c r="AE123" i="6"/>
  <c r="E124" i="6"/>
  <c r="K123" i="6"/>
  <c r="AN123" i="6"/>
  <c r="AA123" i="6"/>
  <c r="Q119" i="6"/>
  <c r="R119" i="6"/>
  <c r="S119" i="6" s="1"/>
  <c r="AY118" i="6" l="1"/>
  <c r="AW118" i="6"/>
  <c r="AZ119" i="6"/>
  <c r="T119" i="6"/>
  <c r="AV119" i="6"/>
  <c r="AU119" i="6"/>
  <c r="AX119" i="6" s="1"/>
  <c r="U119" i="6"/>
  <c r="R120" i="6"/>
  <c r="S120" i="6" s="1"/>
  <c r="Q120" i="6"/>
  <c r="AP117" i="6"/>
  <c r="AR117" i="6" s="1"/>
  <c r="W117" i="6"/>
  <c r="Y117" i="6" s="1"/>
  <c r="AT117" i="6"/>
  <c r="AB124" i="6"/>
  <c r="F125" i="6"/>
  <c r="AF124" i="6"/>
  <c r="AO118" i="6"/>
  <c r="V118" i="6"/>
  <c r="G124" i="6"/>
  <c r="AG123" i="6"/>
  <c r="AH123" i="6" s="1"/>
  <c r="AC123" i="6"/>
  <c r="AD123" i="6" s="1"/>
  <c r="L122" i="6"/>
  <c r="O121" i="6"/>
  <c r="M121" i="6"/>
  <c r="N121" i="6" s="1"/>
  <c r="AQ116" i="6"/>
  <c r="E125" i="6"/>
  <c r="AN124" i="6"/>
  <c r="AE124" i="6"/>
  <c r="AA124" i="6"/>
  <c r="K124" i="6"/>
  <c r="AM124" i="6"/>
  <c r="H125" i="6"/>
  <c r="F126" i="6" l="1"/>
  <c r="AB125" i="6"/>
  <c r="AF125" i="6"/>
  <c r="AQ117" i="6"/>
  <c r="M122" i="6"/>
  <c r="N122" i="6" s="1"/>
  <c r="O122" i="6"/>
  <c r="L123" i="6"/>
  <c r="G125" i="6"/>
  <c r="AC124" i="6"/>
  <c r="AD124" i="6" s="1"/>
  <c r="AG124" i="6"/>
  <c r="AH124" i="6" s="1"/>
  <c r="AP118" i="6"/>
  <c r="AR118" i="6" s="1"/>
  <c r="W118" i="6"/>
  <c r="Y118" i="6" s="1"/>
  <c r="AT118" i="6"/>
  <c r="AO119" i="6"/>
  <c r="V119" i="6"/>
  <c r="AA125" i="6"/>
  <c r="AE125" i="6"/>
  <c r="K125" i="6"/>
  <c r="E126" i="6"/>
  <c r="AN125" i="6"/>
  <c r="R121" i="6"/>
  <c r="S121" i="6" s="1"/>
  <c r="Q121" i="6"/>
  <c r="H126" i="6"/>
  <c r="AM125" i="6"/>
  <c r="T120" i="6"/>
  <c r="AU120" i="6"/>
  <c r="AX120" i="6" s="1"/>
  <c r="AV120" i="6"/>
  <c r="AZ120" i="6"/>
  <c r="U120" i="6"/>
  <c r="AY119" i="6"/>
  <c r="AW119" i="6"/>
  <c r="AQ118" i="6" l="1"/>
  <c r="AV121" i="6"/>
  <c r="AZ121" i="6"/>
  <c r="AU121" i="6"/>
  <c r="AX121" i="6" s="1"/>
  <c r="T121" i="6"/>
  <c r="U121" i="6"/>
  <c r="AW120" i="6"/>
  <c r="AY120" i="6"/>
  <c r="Q122" i="6"/>
  <c r="R122" i="6"/>
  <c r="S122" i="6" s="1"/>
  <c r="AP119" i="6"/>
  <c r="AR119" i="6" s="1"/>
  <c r="W119" i="6"/>
  <c r="Y119" i="6" s="1"/>
  <c r="AT119" i="6"/>
  <c r="AM126" i="6"/>
  <c r="H127" i="6"/>
  <c r="AB126" i="6"/>
  <c r="AF126" i="6"/>
  <c r="F127" i="6"/>
  <c r="AO120" i="6"/>
  <c r="V120" i="6"/>
  <c r="AG125" i="6"/>
  <c r="AH125" i="6" s="1"/>
  <c r="G126" i="6"/>
  <c r="AC125" i="6"/>
  <c r="AD125" i="6" s="1"/>
  <c r="AA126" i="6"/>
  <c r="E127" i="6"/>
  <c r="K126" i="6"/>
  <c r="AE126" i="6"/>
  <c r="AN126" i="6"/>
  <c r="M123" i="6"/>
  <c r="N123" i="6" s="1"/>
  <c r="L124" i="6"/>
  <c r="O123" i="6"/>
  <c r="AN127" i="6" l="1"/>
  <c r="AA127" i="6"/>
  <c r="AE127" i="6"/>
  <c r="E128" i="6"/>
  <c r="K127" i="6"/>
  <c r="T122" i="6"/>
  <c r="AV122" i="6"/>
  <c r="AU122" i="6"/>
  <c r="AX122" i="6" s="1"/>
  <c r="AZ122" i="6"/>
  <c r="U122" i="6"/>
  <c r="W120" i="6"/>
  <c r="Y120" i="6" s="1"/>
  <c r="AT120" i="6"/>
  <c r="AP120" i="6"/>
  <c r="AR120" i="6" s="1"/>
  <c r="Q123" i="6"/>
  <c r="R123" i="6"/>
  <c r="S123" i="6" s="1"/>
  <c r="L125" i="6"/>
  <c r="O124" i="6"/>
  <c r="M124" i="6"/>
  <c r="N124" i="6" s="1"/>
  <c r="H128" i="6"/>
  <c r="AM127" i="6"/>
  <c r="AW121" i="6"/>
  <c r="AY121" i="6"/>
  <c r="AQ119" i="6"/>
  <c r="AC126" i="6"/>
  <c r="AD126" i="6" s="1"/>
  <c r="G127" i="6"/>
  <c r="AG126" i="6"/>
  <c r="AH126" i="6" s="1"/>
  <c r="AB127" i="6"/>
  <c r="AF127" i="6"/>
  <c r="F128" i="6"/>
  <c r="AO121" i="6"/>
  <c r="V121" i="6"/>
  <c r="Q124" i="6" l="1"/>
  <c r="R124" i="6"/>
  <c r="S124" i="6" s="1"/>
  <c r="AO122" i="6"/>
  <c r="V122" i="6"/>
  <c r="AW122" i="6"/>
  <c r="AY122" i="6"/>
  <c r="O125" i="6"/>
  <c r="M125" i="6"/>
  <c r="N125" i="6" s="1"/>
  <c r="L126" i="6"/>
  <c r="K128" i="6"/>
  <c r="AN128" i="6"/>
  <c r="AA128" i="6"/>
  <c r="AE128" i="6"/>
  <c r="E129" i="6"/>
  <c r="AV123" i="6"/>
  <c r="AZ123" i="6"/>
  <c r="AU123" i="6"/>
  <c r="AX123" i="6" s="1"/>
  <c r="T123" i="6"/>
  <c r="U123" i="6"/>
  <c r="F129" i="6"/>
  <c r="AB128" i="6"/>
  <c r="AF128" i="6"/>
  <c r="AM128" i="6"/>
  <c r="H129" i="6"/>
  <c r="G128" i="6"/>
  <c r="AC127" i="6"/>
  <c r="AD127" i="6" s="1"/>
  <c r="AG127" i="6"/>
  <c r="AH127" i="6" s="1"/>
  <c r="AQ120" i="6"/>
  <c r="AP121" i="6"/>
  <c r="AR121" i="6" s="1"/>
  <c r="AT121" i="6"/>
  <c r="W121" i="6"/>
  <c r="Y121" i="6" s="1"/>
  <c r="AY123" i="6" l="1"/>
  <c r="AW123" i="6"/>
  <c r="AA129" i="6"/>
  <c r="AE129" i="6"/>
  <c r="E130" i="6"/>
  <c r="K129" i="6"/>
  <c r="AN129" i="6"/>
  <c r="H130" i="6"/>
  <c r="AM129" i="6"/>
  <c r="R125" i="6"/>
  <c r="S125" i="6" s="1"/>
  <c r="Q125" i="6"/>
  <c r="AP122" i="6"/>
  <c r="AR122" i="6" s="1"/>
  <c r="AT122" i="6"/>
  <c r="W122" i="6"/>
  <c r="Y122" i="6" s="1"/>
  <c r="AV124" i="6"/>
  <c r="AU124" i="6"/>
  <c r="AX124" i="6" s="1"/>
  <c r="T124" i="6"/>
  <c r="AZ124" i="6"/>
  <c r="U124" i="6"/>
  <c r="AG128" i="6"/>
  <c r="AH128" i="6" s="1"/>
  <c r="AC128" i="6"/>
  <c r="AD128" i="6" s="1"/>
  <c r="G129" i="6"/>
  <c r="O126" i="6"/>
  <c r="L127" i="6"/>
  <c r="M126" i="6"/>
  <c r="N126" i="6" s="1"/>
  <c r="AB129" i="6"/>
  <c r="AF129" i="6"/>
  <c r="F130" i="6"/>
  <c r="AQ121" i="6"/>
  <c r="AO123" i="6"/>
  <c r="V123" i="6"/>
  <c r="AQ122" i="6" l="1"/>
  <c r="Q126" i="6"/>
  <c r="R126" i="6"/>
  <c r="S126" i="6" s="1"/>
  <c r="AG129" i="6"/>
  <c r="AH129" i="6" s="1"/>
  <c r="AC129" i="6"/>
  <c r="AD129" i="6" s="1"/>
  <c r="G130" i="6"/>
  <c r="AO124" i="6"/>
  <c r="V124" i="6"/>
  <c r="AW124" i="6"/>
  <c r="AY124" i="6"/>
  <c r="O127" i="6"/>
  <c r="L128" i="6"/>
  <c r="M127" i="6"/>
  <c r="N127" i="6" s="1"/>
  <c r="AP123" i="6"/>
  <c r="AR123" i="6" s="1"/>
  <c r="W123" i="6"/>
  <c r="Y123" i="6" s="1"/>
  <c r="AT123" i="6"/>
  <c r="AV125" i="6"/>
  <c r="T125" i="6"/>
  <c r="AU125" i="6"/>
  <c r="AX125" i="6" s="1"/>
  <c r="AZ125" i="6"/>
  <c r="U125" i="6"/>
  <c r="H131" i="6"/>
  <c r="AM130" i="6"/>
  <c r="AA130" i="6"/>
  <c r="K130" i="6"/>
  <c r="AN130" i="6"/>
  <c r="E131" i="6"/>
  <c r="AE130" i="6"/>
  <c r="F131" i="6"/>
  <c r="AF130" i="6"/>
  <c r="AB130" i="6"/>
  <c r="H132" i="6" l="1"/>
  <c r="AM131" i="6"/>
  <c r="E132" i="6"/>
  <c r="AN131" i="6"/>
  <c r="AA131" i="6"/>
  <c r="K131" i="6"/>
  <c r="AE131" i="6"/>
  <c r="AQ123" i="6"/>
  <c r="O128" i="6"/>
  <c r="L129" i="6"/>
  <c r="M128" i="6"/>
  <c r="N128" i="6" s="1"/>
  <c r="R127" i="6"/>
  <c r="S127" i="6" s="1"/>
  <c r="Q127" i="6"/>
  <c r="AO125" i="6"/>
  <c r="V125" i="6"/>
  <c r="AP124" i="6"/>
  <c r="AR124" i="6" s="1"/>
  <c r="W124" i="6"/>
  <c r="Y124" i="6" s="1"/>
  <c r="AT124" i="6"/>
  <c r="AY125" i="6"/>
  <c r="AW125" i="6"/>
  <c r="F132" i="6"/>
  <c r="AF131" i="6"/>
  <c r="AB131" i="6"/>
  <c r="AC130" i="6"/>
  <c r="AD130" i="6" s="1"/>
  <c r="AG130" i="6"/>
  <c r="AH130" i="6" s="1"/>
  <c r="G131" i="6"/>
  <c r="AU126" i="6"/>
  <c r="AX126" i="6" s="1"/>
  <c r="AV126" i="6"/>
  <c r="T126" i="6"/>
  <c r="AZ126" i="6"/>
  <c r="U126" i="6"/>
  <c r="AA132" i="6" l="1"/>
  <c r="AN132" i="6"/>
  <c r="E133" i="6"/>
  <c r="K132" i="6"/>
  <c r="AE132" i="6"/>
  <c r="AM132" i="6"/>
  <c r="H133" i="6"/>
  <c r="L130" i="6"/>
  <c r="M129" i="6"/>
  <c r="N129" i="6" s="1"/>
  <c r="O129" i="6"/>
  <c r="R128" i="6"/>
  <c r="S128" i="6" s="1"/>
  <c r="Q128" i="6"/>
  <c r="AW126" i="6"/>
  <c r="AY126" i="6"/>
  <c r="AC131" i="6"/>
  <c r="AD131" i="6" s="1"/>
  <c r="AG131" i="6"/>
  <c r="AH131" i="6" s="1"/>
  <c r="G132" i="6"/>
  <c r="AP125" i="6"/>
  <c r="AR125" i="6" s="1"/>
  <c r="W125" i="6"/>
  <c r="Y125" i="6" s="1"/>
  <c r="AT125" i="6"/>
  <c r="AV127" i="6"/>
  <c r="AZ127" i="6"/>
  <c r="AU127" i="6"/>
  <c r="AX127" i="6" s="1"/>
  <c r="T127" i="6"/>
  <c r="U127" i="6"/>
  <c r="AO126" i="6"/>
  <c r="V126" i="6"/>
  <c r="AB132" i="6"/>
  <c r="F133" i="6"/>
  <c r="AF132" i="6"/>
  <c r="AQ124" i="6"/>
  <c r="AW127" i="6" l="1"/>
  <c r="AY127" i="6"/>
  <c r="Q129" i="6"/>
  <c r="R129" i="6"/>
  <c r="S129" i="6" s="1"/>
  <c r="O130" i="6"/>
  <c r="L131" i="6"/>
  <c r="M130" i="6"/>
  <c r="N130" i="6" s="1"/>
  <c r="AP126" i="6"/>
  <c r="AR126" i="6" s="1"/>
  <c r="W126" i="6"/>
  <c r="Y126" i="6" s="1"/>
  <c r="AT126" i="6"/>
  <c r="H134" i="6"/>
  <c r="AM133" i="6"/>
  <c r="AQ125" i="6"/>
  <c r="AU128" i="6"/>
  <c r="AX128" i="6" s="1"/>
  <c r="AZ128" i="6"/>
  <c r="AV128" i="6"/>
  <c r="T128" i="6"/>
  <c r="U128" i="6"/>
  <c r="AG132" i="6"/>
  <c r="AH132" i="6" s="1"/>
  <c r="G133" i="6"/>
  <c r="AC132" i="6"/>
  <c r="AD132" i="6" s="1"/>
  <c r="F134" i="6"/>
  <c r="AB133" i="6"/>
  <c r="AF133" i="6"/>
  <c r="AO127" i="6"/>
  <c r="V127" i="6"/>
  <c r="AA133" i="6"/>
  <c r="AE133" i="6"/>
  <c r="K133" i="6"/>
  <c r="E134" i="6"/>
  <c r="AN133" i="6"/>
  <c r="AQ126" i="6" l="1"/>
  <c r="AF134" i="6"/>
  <c r="F135" i="6"/>
  <c r="AB134" i="6"/>
  <c r="AO128" i="6"/>
  <c r="V128" i="6"/>
  <c r="M131" i="6"/>
  <c r="N131" i="6" s="1"/>
  <c r="O131" i="6"/>
  <c r="L132" i="6"/>
  <c r="AY128" i="6"/>
  <c r="AW128" i="6"/>
  <c r="Q130" i="6"/>
  <c r="R130" i="6"/>
  <c r="S130" i="6" s="1"/>
  <c r="AM134" i="6"/>
  <c r="H135" i="6"/>
  <c r="G134" i="6"/>
  <c r="AG133" i="6"/>
  <c r="AH133" i="6" s="1"/>
  <c r="AC133" i="6"/>
  <c r="AD133" i="6" s="1"/>
  <c r="AN134" i="6"/>
  <c r="E135" i="6"/>
  <c r="AE134" i="6"/>
  <c r="AA134" i="6"/>
  <c r="K134" i="6"/>
  <c r="AV129" i="6"/>
  <c r="AZ129" i="6"/>
  <c r="AU129" i="6"/>
  <c r="AX129" i="6" s="1"/>
  <c r="T129" i="6"/>
  <c r="U129" i="6"/>
  <c r="AP127" i="6"/>
  <c r="AR127" i="6" s="1"/>
  <c r="W127" i="6"/>
  <c r="Y127" i="6" s="1"/>
  <c r="AT127" i="6"/>
  <c r="AY129" i="6" l="1"/>
  <c r="AW129" i="6"/>
  <c r="AN135" i="6"/>
  <c r="K135" i="6"/>
  <c r="AA135" i="6"/>
  <c r="AE135" i="6"/>
  <c r="E136" i="6"/>
  <c r="R131" i="6"/>
  <c r="S131" i="6" s="1"/>
  <c r="Q131" i="6"/>
  <c r="AQ127" i="6"/>
  <c r="AP128" i="6"/>
  <c r="AR128" i="6" s="1"/>
  <c r="W128" i="6"/>
  <c r="Y128" i="6" s="1"/>
  <c r="AT128" i="6"/>
  <c r="G135" i="6"/>
  <c r="AC134" i="6"/>
  <c r="AD134" i="6" s="1"/>
  <c r="AG134" i="6"/>
  <c r="AH134" i="6" s="1"/>
  <c r="AV130" i="6"/>
  <c r="AU130" i="6"/>
  <c r="AX130" i="6" s="1"/>
  <c r="AZ130" i="6"/>
  <c r="T130" i="6"/>
  <c r="U130" i="6"/>
  <c r="AB135" i="6"/>
  <c r="AF135" i="6"/>
  <c r="F136" i="6"/>
  <c r="O132" i="6"/>
  <c r="M132" i="6"/>
  <c r="N132" i="6" s="1"/>
  <c r="L133" i="6"/>
  <c r="AO129" i="6"/>
  <c r="V129" i="6"/>
  <c r="H136" i="6"/>
  <c r="AM135" i="6"/>
  <c r="AQ128" i="6" l="1"/>
  <c r="AO130" i="6"/>
  <c r="V130" i="6"/>
  <c r="AZ131" i="6"/>
  <c r="AV131" i="6"/>
  <c r="AU131" i="6"/>
  <c r="AX131" i="6" s="1"/>
  <c r="T131" i="6"/>
  <c r="U131" i="6"/>
  <c r="E137" i="6"/>
  <c r="AE136" i="6"/>
  <c r="AA136" i="6"/>
  <c r="K136" i="6"/>
  <c r="AN136" i="6"/>
  <c r="AP129" i="6"/>
  <c r="AR129" i="6" s="1"/>
  <c r="AT129" i="6"/>
  <c r="W129" i="6"/>
  <c r="Y129" i="6" s="1"/>
  <c r="AW130" i="6"/>
  <c r="AY130" i="6"/>
  <c r="F137" i="6"/>
  <c r="AB136" i="6"/>
  <c r="AF136" i="6"/>
  <c r="H137" i="6"/>
  <c r="AM136" i="6"/>
  <c r="L134" i="6"/>
  <c r="O133" i="6"/>
  <c r="M133" i="6"/>
  <c r="N133" i="6" s="1"/>
  <c r="G136" i="6"/>
  <c r="AG135" i="6"/>
  <c r="AH135" i="6" s="1"/>
  <c r="AC135" i="6"/>
  <c r="AD135" i="6" s="1"/>
  <c r="Q132" i="6"/>
  <c r="R132" i="6"/>
  <c r="S132" i="6" s="1"/>
  <c r="AP130" i="6" l="1"/>
  <c r="AR130" i="6" s="1"/>
  <c r="W130" i="6"/>
  <c r="Y130" i="6" s="1"/>
  <c r="AT130" i="6"/>
  <c r="AE137" i="6"/>
  <c r="K137" i="6"/>
  <c r="E138" i="6"/>
  <c r="AN137" i="6"/>
  <c r="AA137" i="6"/>
  <c r="AF137" i="6"/>
  <c r="F138" i="6"/>
  <c r="AB137" i="6"/>
  <c r="AO131" i="6"/>
  <c r="V131" i="6"/>
  <c r="M134" i="6"/>
  <c r="N134" i="6" s="1"/>
  <c r="L135" i="6"/>
  <c r="O134" i="6"/>
  <c r="AQ129" i="6"/>
  <c r="H138" i="6"/>
  <c r="AM137" i="6"/>
  <c r="T132" i="6"/>
  <c r="AU132" i="6"/>
  <c r="AX132" i="6" s="1"/>
  <c r="AZ132" i="6"/>
  <c r="AV132" i="6"/>
  <c r="U132" i="6"/>
  <c r="AG136" i="6"/>
  <c r="AH136" i="6" s="1"/>
  <c r="G137" i="6"/>
  <c r="AC136" i="6"/>
  <c r="AD136" i="6" s="1"/>
  <c r="R133" i="6"/>
  <c r="S133" i="6" s="1"/>
  <c r="Q133" i="6"/>
  <c r="AY131" i="6"/>
  <c r="AW131" i="6"/>
  <c r="AW132" i="6" l="1"/>
  <c r="AY132" i="6"/>
  <c r="AU133" i="6"/>
  <c r="AX133" i="6" s="1"/>
  <c r="T133" i="6"/>
  <c r="AZ133" i="6"/>
  <c r="AV133" i="6"/>
  <c r="U133" i="6"/>
  <c r="AE138" i="6"/>
  <c r="E139" i="6"/>
  <c r="AN138" i="6"/>
  <c r="AA138" i="6"/>
  <c r="K138" i="6"/>
  <c r="H139" i="6"/>
  <c r="AM138" i="6"/>
  <c r="R134" i="6"/>
  <c r="S134" i="6" s="1"/>
  <c r="Q134" i="6"/>
  <c r="AO132" i="6"/>
  <c r="V132" i="6"/>
  <c r="AF138" i="6"/>
  <c r="F139" i="6"/>
  <c r="AB138" i="6"/>
  <c r="AC137" i="6"/>
  <c r="AD137" i="6" s="1"/>
  <c r="G138" i="6"/>
  <c r="AG137" i="6"/>
  <c r="AH137" i="6" s="1"/>
  <c r="O135" i="6"/>
  <c r="L136" i="6"/>
  <c r="M135" i="6"/>
  <c r="N135" i="6" s="1"/>
  <c r="AP131" i="6"/>
  <c r="AR131" i="6" s="1"/>
  <c r="W131" i="6"/>
  <c r="Y131" i="6" s="1"/>
  <c r="AT131" i="6"/>
  <c r="AQ130" i="6"/>
  <c r="F140" i="6" l="1"/>
  <c r="AB139" i="6"/>
  <c r="AF139" i="6"/>
  <c r="AO133" i="6"/>
  <c r="V133" i="6"/>
  <c r="O136" i="6"/>
  <c r="M136" i="6"/>
  <c r="N136" i="6" s="1"/>
  <c r="L137" i="6"/>
  <c r="AY133" i="6"/>
  <c r="AW133" i="6"/>
  <c r="AQ131" i="6"/>
  <c r="AN139" i="6"/>
  <c r="AE139" i="6"/>
  <c r="E140" i="6"/>
  <c r="K139" i="6"/>
  <c r="AA139" i="6"/>
  <c r="AP132" i="6"/>
  <c r="AR132" i="6" s="1"/>
  <c r="AT132" i="6"/>
  <c r="W132" i="6"/>
  <c r="Y132" i="6" s="1"/>
  <c r="R135" i="6"/>
  <c r="S135" i="6" s="1"/>
  <c r="Q135" i="6"/>
  <c r="AZ134" i="6"/>
  <c r="AU134" i="6"/>
  <c r="AX134" i="6" s="1"/>
  <c r="T134" i="6"/>
  <c r="AV134" i="6"/>
  <c r="U134" i="6"/>
  <c r="AC138" i="6"/>
  <c r="AD138" i="6" s="1"/>
  <c r="AG138" i="6"/>
  <c r="AH138" i="6" s="1"/>
  <c r="G139" i="6"/>
  <c r="AM139" i="6"/>
  <c r="H140" i="6"/>
  <c r="AU135" i="6" l="1"/>
  <c r="AX135" i="6" s="1"/>
  <c r="AZ135" i="6"/>
  <c r="AV135" i="6"/>
  <c r="T135" i="6"/>
  <c r="U135" i="6"/>
  <c r="AG139" i="6"/>
  <c r="AH139" i="6" s="1"/>
  <c r="AC139" i="6"/>
  <c r="AD139" i="6" s="1"/>
  <c r="G140" i="6"/>
  <c r="O137" i="6"/>
  <c r="L138" i="6"/>
  <c r="M137" i="6"/>
  <c r="N137" i="6" s="1"/>
  <c r="AQ132" i="6"/>
  <c r="Q136" i="6"/>
  <c r="R136" i="6"/>
  <c r="S136" i="6" s="1"/>
  <c r="AE140" i="6"/>
  <c r="K140" i="6"/>
  <c r="E141" i="6"/>
  <c r="AN140" i="6"/>
  <c r="AA140" i="6"/>
  <c r="AM140" i="6"/>
  <c r="H141" i="6"/>
  <c r="AO134" i="6"/>
  <c r="V134" i="6"/>
  <c r="AP133" i="6"/>
  <c r="AR133" i="6" s="1"/>
  <c r="AT133" i="6"/>
  <c r="W133" i="6"/>
  <c r="Y133" i="6" s="1"/>
  <c r="AY134" i="6"/>
  <c r="AW134" i="6"/>
  <c r="AF140" i="6"/>
  <c r="F141" i="6"/>
  <c r="AB140" i="6"/>
  <c r="R137" i="6" l="1"/>
  <c r="S137" i="6" s="1"/>
  <c r="Q137" i="6"/>
  <c r="F142" i="6"/>
  <c r="AB141" i="6"/>
  <c r="AF141" i="6"/>
  <c r="AP134" i="6"/>
  <c r="AR134" i="6" s="1"/>
  <c r="W134" i="6"/>
  <c r="Y134" i="6" s="1"/>
  <c r="AT134" i="6"/>
  <c r="O138" i="6"/>
  <c r="M138" i="6"/>
  <c r="N138" i="6" s="1"/>
  <c r="L139" i="6"/>
  <c r="H142" i="6"/>
  <c r="AM141" i="6"/>
  <c r="AG140" i="6"/>
  <c r="AH140" i="6" s="1"/>
  <c r="AC140" i="6"/>
  <c r="AD140" i="6" s="1"/>
  <c r="G141" i="6"/>
  <c r="AA141" i="6"/>
  <c r="AE141" i="6"/>
  <c r="AN141" i="6"/>
  <c r="E142" i="6"/>
  <c r="K141" i="6"/>
  <c r="AO135" i="6"/>
  <c r="V135" i="6"/>
  <c r="AY135" i="6"/>
  <c r="AW135" i="6"/>
  <c r="AU136" i="6"/>
  <c r="AX136" i="6" s="1"/>
  <c r="T136" i="6"/>
  <c r="AZ136" i="6"/>
  <c r="AV136" i="6"/>
  <c r="U136" i="6"/>
  <c r="AQ133" i="6"/>
  <c r="AB142" i="6" l="1"/>
  <c r="AF142" i="6"/>
  <c r="F143" i="6"/>
  <c r="Q138" i="6"/>
  <c r="R138" i="6"/>
  <c r="S138" i="6" s="1"/>
  <c r="T137" i="6"/>
  <c r="AU137" i="6"/>
  <c r="AX137" i="6" s="1"/>
  <c r="AZ137" i="6"/>
  <c r="AV137" i="6"/>
  <c r="U137" i="6"/>
  <c r="AQ134" i="6"/>
  <c r="G142" i="6"/>
  <c r="AC141" i="6"/>
  <c r="AD141" i="6" s="1"/>
  <c r="AG141" i="6"/>
  <c r="AH141" i="6" s="1"/>
  <c r="AA142" i="6"/>
  <c r="K142" i="6"/>
  <c r="AE142" i="6"/>
  <c r="AN142" i="6"/>
  <c r="E143" i="6"/>
  <c r="AO136" i="6"/>
  <c r="V136" i="6"/>
  <c r="AW136" i="6"/>
  <c r="AY136" i="6"/>
  <c r="H143" i="6"/>
  <c r="AM142" i="6"/>
  <c r="AP135" i="6"/>
  <c r="AR135" i="6" s="1"/>
  <c r="W135" i="6"/>
  <c r="Y135" i="6" s="1"/>
  <c r="AT135" i="6"/>
  <c r="M139" i="6"/>
  <c r="N139" i="6" s="1"/>
  <c r="O139" i="6"/>
  <c r="L140" i="6"/>
  <c r="AP136" i="6" l="1"/>
  <c r="AR136" i="6" s="1"/>
  <c r="W136" i="6"/>
  <c r="Y136" i="6" s="1"/>
  <c r="AT136" i="6"/>
  <c r="M140" i="6"/>
  <c r="N140" i="6" s="1"/>
  <c r="L141" i="6"/>
  <c r="O140" i="6"/>
  <c r="G143" i="6"/>
  <c r="AG142" i="6"/>
  <c r="AH142" i="6" s="1"/>
  <c r="AC142" i="6"/>
  <c r="AD142" i="6" s="1"/>
  <c r="AB143" i="6"/>
  <c r="AF143" i="6"/>
  <c r="F144" i="6"/>
  <c r="K143" i="6"/>
  <c r="AE143" i="6"/>
  <c r="AN143" i="6"/>
  <c r="AA143" i="6"/>
  <c r="E144" i="6"/>
  <c r="R139" i="6"/>
  <c r="S139" i="6" s="1"/>
  <c r="Q139" i="6"/>
  <c r="AO137" i="6"/>
  <c r="V137" i="6"/>
  <c r="AW137" i="6"/>
  <c r="AY137" i="6"/>
  <c r="AQ135" i="6"/>
  <c r="H144" i="6"/>
  <c r="AM143" i="6"/>
  <c r="AU138" i="6"/>
  <c r="AX138" i="6" s="1"/>
  <c r="T138" i="6"/>
  <c r="AZ138" i="6"/>
  <c r="AV138" i="6"/>
  <c r="U138" i="6"/>
  <c r="AQ136" i="6" l="1"/>
  <c r="AO138" i="6"/>
  <c r="V138" i="6"/>
  <c r="E145" i="6"/>
  <c r="AE144" i="6"/>
  <c r="K144" i="6"/>
  <c r="AN144" i="6"/>
  <c r="AA144" i="6"/>
  <c r="AY138" i="6"/>
  <c r="AW138" i="6"/>
  <c r="R140" i="6"/>
  <c r="S140" i="6" s="1"/>
  <c r="Q140" i="6"/>
  <c r="AP137" i="6"/>
  <c r="AR137" i="6" s="1"/>
  <c r="W137" i="6"/>
  <c r="Y137" i="6" s="1"/>
  <c r="AT137" i="6"/>
  <c r="AG143" i="6"/>
  <c r="AH143" i="6" s="1"/>
  <c r="G144" i="6"/>
  <c r="AC143" i="6"/>
  <c r="AD143" i="6" s="1"/>
  <c r="T139" i="6"/>
  <c r="AZ139" i="6"/>
  <c r="AV139" i="6"/>
  <c r="AU139" i="6"/>
  <c r="AX139" i="6" s="1"/>
  <c r="U139" i="6"/>
  <c r="L142" i="6"/>
  <c r="M141" i="6"/>
  <c r="N141" i="6" s="1"/>
  <c r="O141" i="6"/>
  <c r="AM144" i="6"/>
  <c r="H145" i="6"/>
  <c r="AB144" i="6"/>
  <c r="AF144" i="6"/>
  <c r="F145" i="6"/>
  <c r="AO139" i="6" l="1"/>
  <c r="V139" i="6"/>
  <c r="AC144" i="6"/>
  <c r="AD144" i="6" s="1"/>
  <c r="AG144" i="6"/>
  <c r="AH144" i="6" s="1"/>
  <c r="G145" i="6"/>
  <c r="AM145" i="6"/>
  <c r="H146" i="6"/>
  <c r="AQ137" i="6"/>
  <c r="K145" i="6"/>
  <c r="AA145" i="6"/>
  <c r="AE145" i="6"/>
  <c r="AN145" i="6"/>
  <c r="E146" i="6"/>
  <c r="AW139" i="6"/>
  <c r="AY139" i="6"/>
  <c r="AB145" i="6"/>
  <c r="F146" i="6"/>
  <c r="AF145" i="6"/>
  <c r="Q141" i="6"/>
  <c r="R141" i="6"/>
  <c r="S141" i="6" s="1"/>
  <c r="M142" i="6"/>
  <c r="N142" i="6" s="1"/>
  <c r="O142" i="6"/>
  <c r="L143" i="6"/>
  <c r="AP138" i="6"/>
  <c r="AR138" i="6" s="1"/>
  <c r="W138" i="6"/>
  <c r="Y138" i="6" s="1"/>
  <c r="AT138" i="6"/>
  <c r="AV140" i="6"/>
  <c r="AZ140" i="6"/>
  <c r="AU140" i="6"/>
  <c r="AX140" i="6" s="1"/>
  <c r="T140" i="6"/>
  <c r="U140" i="6"/>
  <c r="L144" i="6" l="1"/>
  <c r="O143" i="6"/>
  <c r="M143" i="6"/>
  <c r="N143" i="6" s="1"/>
  <c r="AO140" i="6"/>
  <c r="V140" i="6"/>
  <c r="T141" i="6"/>
  <c r="AV141" i="6"/>
  <c r="AU141" i="6"/>
  <c r="AX141" i="6" s="1"/>
  <c r="AZ141" i="6"/>
  <c r="U141" i="6"/>
  <c r="H147" i="6"/>
  <c r="AM146" i="6"/>
  <c r="R142" i="6"/>
  <c r="S142" i="6" s="1"/>
  <c r="Q142" i="6"/>
  <c r="AW140" i="6"/>
  <c r="AY140" i="6"/>
  <c r="AC145" i="6"/>
  <c r="AD145" i="6" s="1"/>
  <c r="AG145" i="6"/>
  <c r="AH145" i="6" s="1"/>
  <c r="G146" i="6"/>
  <c r="F147" i="6"/>
  <c r="AB146" i="6"/>
  <c r="AF146" i="6"/>
  <c r="AQ138" i="6"/>
  <c r="AP139" i="6"/>
  <c r="AR139" i="6" s="1"/>
  <c r="W139" i="6"/>
  <c r="Y139" i="6" s="1"/>
  <c r="AT139" i="6"/>
  <c r="AA146" i="6"/>
  <c r="AE146" i="6"/>
  <c r="AN146" i="6"/>
  <c r="E147" i="6"/>
  <c r="K146" i="6"/>
  <c r="AV142" i="6" l="1"/>
  <c r="T142" i="6"/>
  <c r="AU142" i="6"/>
  <c r="AX142" i="6" s="1"/>
  <c r="AZ142" i="6"/>
  <c r="U142" i="6"/>
  <c r="AM147" i="6"/>
  <c r="H148" i="6"/>
  <c r="F148" i="6"/>
  <c r="AB147" i="6"/>
  <c r="AF147" i="6"/>
  <c r="AP140" i="6"/>
  <c r="AR140" i="6" s="1"/>
  <c r="AT140" i="6"/>
  <c r="W140" i="6"/>
  <c r="Y140" i="6" s="1"/>
  <c r="R143" i="6"/>
  <c r="S143" i="6" s="1"/>
  <c r="Q143" i="6"/>
  <c r="AQ139" i="6"/>
  <c r="M144" i="6"/>
  <c r="N144" i="6" s="1"/>
  <c r="O144" i="6"/>
  <c r="L145" i="6"/>
  <c r="AA147" i="6"/>
  <c r="AN147" i="6"/>
  <c r="AE147" i="6"/>
  <c r="K147" i="6"/>
  <c r="E148" i="6"/>
  <c r="AO141" i="6"/>
  <c r="V141" i="6"/>
  <c r="AW141" i="6"/>
  <c r="AY141" i="6"/>
  <c r="G147" i="6"/>
  <c r="AC146" i="6"/>
  <c r="AD146" i="6" s="1"/>
  <c r="AG146" i="6"/>
  <c r="AH146" i="6" s="1"/>
  <c r="AQ140" i="6" l="1"/>
  <c r="AC147" i="6"/>
  <c r="AD147" i="6" s="1"/>
  <c r="AG147" i="6"/>
  <c r="AH147" i="6" s="1"/>
  <c r="G148" i="6"/>
  <c r="AF148" i="6"/>
  <c r="F149" i="6"/>
  <c r="AB148" i="6"/>
  <c r="L146" i="6"/>
  <c r="O145" i="6"/>
  <c r="M145" i="6"/>
  <c r="N145" i="6" s="1"/>
  <c r="H149" i="6"/>
  <c r="AM148" i="6"/>
  <c r="Q144" i="6"/>
  <c r="R144" i="6"/>
  <c r="S144" i="6" s="1"/>
  <c r="AO142" i="6"/>
  <c r="V142" i="6"/>
  <c r="AP141" i="6"/>
  <c r="AR141" i="6" s="1"/>
  <c r="AT141" i="6"/>
  <c r="W141" i="6"/>
  <c r="Y141" i="6" s="1"/>
  <c r="AU143" i="6"/>
  <c r="AX143" i="6" s="1"/>
  <c r="T143" i="6"/>
  <c r="AZ143" i="6"/>
  <c r="AV143" i="6"/>
  <c r="U143" i="6"/>
  <c r="AE148" i="6"/>
  <c r="E149" i="6"/>
  <c r="AA148" i="6"/>
  <c r="K148" i="6"/>
  <c r="AN148" i="6"/>
  <c r="AY142" i="6"/>
  <c r="AW142" i="6"/>
  <c r="AQ141" i="6" l="1"/>
  <c r="Q145" i="6"/>
  <c r="R145" i="6"/>
  <c r="S145" i="6" s="1"/>
  <c r="F150" i="6"/>
  <c r="AB149" i="6"/>
  <c r="AF149" i="6"/>
  <c r="AZ144" i="6"/>
  <c r="AV144" i="6"/>
  <c r="T144" i="6"/>
  <c r="AU144" i="6"/>
  <c r="AX144" i="6" s="1"/>
  <c r="U144" i="6"/>
  <c r="AC148" i="6"/>
  <c r="AD148" i="6" s="1"/>
  <c r="G149" i="6"/>
  <c r="AG148" i="6"/>
  <c r="AH148" i="6" s="1"/>
  <c r="AW143" i="6"/>
  <c r="AY143" i="6"/>
  <c r="H150" i="6"/>
  <c r="AM149" i="6"/>
  <c r="O146" i="6"/>
  <c r="M146" i="6"/>
  <c r="N146" i="6" s="1"/>
  <c r="L147" i="6"/>
  <c r="AP142" i="6"/>
  <c r="AR142" i="6" s="1"/>
  <c r="AT142" i="6"/>
  <c r="W142" i="6"/>
  <c r="Y142" i="6" s="1"/>
  <c r="E150" i="6"/>
  <c r="K149" i="6"/>
  <c r="AN149" i="6"/>
  <c r="AA149" i="6"/>
  <c r="AE149" i="6"/>
  <c r="AO143" i="6"/>
  <c r="V143" i="6"/>
  <c r="AO144" i="6" l="1"/>
  <c r="V144" i="6"/>
  <c r="AP143" i="6"/>
  <c r="AR143" i="6" s="1"/>
  <c r="AT143" i="6"/>
  <c r="W143" i="6"/>
  <c r="Y143" i="6" s="1"/>
  <c r="AW144" i="6"/>
  <c r="AY144" i="6"/>
  <c r="Q146" i="6"/>
  <c r="R146" i="6"/>
  <c r="S146" i="6" s="1"/>
  <c r="AG149" i="6"/>
  <c r="AH149" i="6" s="1"/>
  <c r="AC149" i="6"/>
  <c r="AD149" i="6" s="1"/>
  <c r="G150" i="6"/>
  <c r="AQ142" i="6"/>
  <c r="L148" i="6"/>
  <c r="M147" i="6"/>
  <c r="N147" i="6" s="1"/>
  <c r="O147" i="6"/>
  <c r="AM150" i="6"/>
  <c r="H151" i="6"/>
  <c r="AF150" i="6"/>
  <c r="AB150" i="6"/>
  <c r="F151" i="6"/>
  <c r="AE150" i="6"/>
  <c r="AN150" i="6"/>
  <c r="K150" i="6"/>
  <c r="E151" i="6"/>
  <c r="AA150" i="6"/>
  <c r="AU145" i="6"/>
  <c r="AX145" i="6" s="1"/>
  <c r="AV145" i="6"/>
  <c r="AZ145" i="6"/>
  <c r="T145" i="6"/>
  <c r="U145" i="6"/>
  <c r="AM151" i="6" l="1"/>
  <c r="H152" i="6"/>
  <c r="T146" i="6"/>
  <c r="AU146" i="6"/>
  <c r="AX146" i="6" s="1"/>
  <c r="AV146" i="6"/>
  <c r="AZ146" i="6"/>
  <c r="U146" i="6"/>
  <c r="Q147" i="6"/>
  <c r="R147" i="6"/>
  <c r="S147" i="6" s="1"/>
  <c r="AO145" i="6"/>
  <c r="V145" i="6"/>
  <c r="AY145" i="6"/>
  <c r="AW145" i="6"/>
  <c r="O148" i="6"/>
  <c r="M148" i="6"/>
  <c r="N148" i="6" s="1"/>
  <c r="L149" i="6"/>
  <c r="E152" i="6"/>
  <c r="K151" i="6"/>
  <c r="AN151" i="6"/>
  <c r="AE151" i="6"/>
  <c r="AA151" i="6"/>
  <c r="AQ143" i="6"/>
  <c r="F152" i="6"/>
  <c r="AF151" i="6"/>
  <c r="AB151" i="6"/>
  <c r="AT144" i="6"/>
  <c r="W144" i="6"/>
  <c r="Y144" i="6" s="1"/>
  <c r="AP144" i="6"/>
  <c r="AR144" i="6" s="1"/>
  <c r="AC150" i="6"/>
  <c r="AD150" i="6" s="1"/>
  <c r="AG150" i="6"/>
  <c r="AH150" i="6" s="1"/>
  <c r="G151" i="6"/>
  <c r="Q148" i="6" l="1"/>
  <c r="R148" i="6"/>
  <c r="S148" i="6" s="1"/>
  <c r="AT145" i="6"/>
  <c r="AP145" i="6"/>
  <c r="AR145" i="6" s="1"/>
  <c r="W145" i="6"/>
  <c r="Y145" i="6" s="1"/>
  <c r="AG151" i="6"/>
  <c r="AH151" i="6" s="1"/>
  <c r="AC151" i="6"/>
  <c r="AD151" i="6" s="1"/>
  <c r="G152" i="6"/>
  <c r="AU147" i="6"/>
  <c r="AX147" i="6" s="1"/>
  <c r="AZ147" i="6"/>
  <c r="AV147" i="6"/>
  <c r="T147" i="6"/>
  <c r="U147" i="6"/>
  <c r="AQ144" i="6"/>
  <c r="AO146" i="6"/>
  <c r="V146" i="6"/>
  <c r="AA152" i="6"/>
  <c r="AN152" i="6"/>
  <c r="K152" i="6"/>
  <c r="E153" i="6"/>
  <c r="AE152" i="6"/>
  <c r="AY146" i="6"/>
  <c r="AW146" i="6"/>
  <c r="O149" i="6"/>
  <c r="L150" i="6"/>
  <c r="M149" i="6"/>
  <c r="N149" i="6" s="1"/>
  <c r="H153" i="6"/>
  <c r="AM152" i="6"/>
  <c r="AF152" i="6"/>
  <c r="AB152" i="6"/>
  <c r="F153" i="6"/>
  <c r="G153" i="6" l="1"/>
  <c r="AC152" i="6"/>
  <c r="AD152" i="6" s="1"/>
  <c r="AG152" i="6"/>
  <c r="AH152" i="6" s="1"/>
  <c r="AV148" i="6"/>
  <c r="AZ148" i="6"/>
  <c r="AU148" i="6"/>
  <c r="AX148" i="6" s="1"/>
  <c r="T148" i="6"/>
  <c r="U148" i="6"/>
  <c r="E154" i="6"/>
  <c r="AA153" i="6"/>
  <c r="K153" i="6"/>
  <c r="AN153" i="6"/>
  <c r="AE153" i="6"/>
  <c r="AB153" i="6"/>
  <c r="F154" i="6"/>
  <c r="AF153" i="6"/>
  <c r="AM153" i="6"/>
  <c r="H154" i="6"/>
  <c r="AT146" i="6"/>
  <c r="W146" i="6"/>
  <c r="Y146" i="6" s="1"/>
  <c r="AP146" i="6"/>
  <c r="AR146" i="6" s="1"/>
  <c r="M150" i="6"/>
  <c r="N150" i="6" s="1"/>
  <c r="L151" i="6"/>
  <c r="O150" i="6"/>
  <c r="AQ145" i="6"/>
  <c r="R149" i="6"/>
  <c r="S149" i="6" s="1"/>
  <c r="Q149" i="6"/>
  <c r="AO147" i="6"/>
  <c r="V147" i="6"/>
  <c r="AY147" i="6"/>
  <c r="AW147" i="6"/>
  <c r="AQ146" i="6" l="1"/>
  <c r="R150" i="6"/>
  <c r="S150" i="6" s="1"/>
  <c r="Q150" i="6"/>
  <c r="O151" i="6"/>
  <c r="L152" i="6"/>
  <c r="M151" i="6"/>
  <c r="N151" i="6" s="1"/>
  <c r="AO148" i="6"/>
  <c r="V148" i="6"/>
  <c r="AA154" i="6"/>
  <c r="AE154" i="6"/>
  <c r="AN154" i="6"/>
  <c r="K154" i="6"/>
  <c r="E155" i="6"/>
  <c r="AP147" i="6"/>
  <c r="AR147" i="6" s="1"/>
  <c r="AT147" i="6"/>
  <c r="W147" i="6"/>
  <c r="Y147" i="6" s="1"/>
  <c r="H155" i="6"/>
  <c r="AM154" i="6"/>
  <c r="AY148" i="6"/>
  <c r="AW148" i="6"/>
  <c r="AB154" i="6"/>
  <c r="F155" i="6"/>
  <c r="AF154" i="6"/>
  <c r="AU149" i="6"/>
  <c r="AX149" i="6" s="1"/>
  <c r="AV149" i="6"/>
  <c r="AZ149" i="6"/>
  <c r="T149" i="6"/>
  <c r="U149" i="6"/>
  <c r="AC153" i="6"/>
  <c r="AD153" i="6" s="1"/>
  <c r="AG153" i="6"/>
  <c r="AH153" i="6" s="1"/>
  <c r="G154" i="6"/>
  <c r="AQ147" i="6" l="1"/>
  <c r="AP148" i="6"/>
  <c r="AR148" i="6" s="1"/>
  <c r="W148" i="6"/>
  <c r="Y148" i="6" s="1"/>
  <c r="AT148" i="6"/>
  <c r="AO149" i="6"/>
  <c r="V149" i="6"/>
  <c r="H156" i="6"/>
  <c r="AM155" i="6"/>
  <c r="M152" i="6"/>
  <c r="N152" i="6" s="1"/>
  <c r="O152" i="6"/>
  <c r="L153" i="6"/>
  <c r="AE155" i="6"/>
  <c r="AA155" i="6"/>
  <c r="K155" i="6"/>
  <c r="E156" i="6"/>
  <c r="AN155" i="6"/>
  <c r="R151" i="6"/>
  <c r="S151" i="6" s="1"/>
  <c r="Q151" i="6"/>
  <c r="F156" i="6"/>
  <c r="AF155" i="6"/>
  <c r="AB155" i="6"/>
  <c r="AV150" i="6"/>
  <c r="T150" i="6"/>
  <c r="AZ150" i="6"/>
  <c r="AU150" i="6"/>
  <c r="AX150" i="6" s="1"/>
  <c r="U150" i="6"/>
  <c r="AC154" i="6"/>
  <c r="AD154" i="6" s="1"/>
  <c r="AG154" i="6"/>
  <c r="AH154" i="6" s="1"/>
  <c r="G155" i="6"/>
  <c r="AW149" i="6"/>
  <c r="AY149" i="6"/>
  <c r="AY150" i="6" l="1"/>
  <c r="AW150" i="6"/>
  <c r="AF156" i="6"/>
  <c r="F157" i="6"/>
  <c r="AB156" i="6"/>
  <c r="H157" i="6"/>
  <c r="AM156" i="6"/>
  <c r="AG155" i="6"/>
  <c r="AH155" i="6" s="1"/>
  <c r="G156" i="6"/>
  <c r="AC155" i="6"/>
  <c r="AD155" i="6" s="1"/>
  <c r="T151" i="6"/>
  <c r="AZ151" i="6"/>
  <c r="AU151" i="6"/>
  <c r="AX151" i="6" s="1"/>
  <c r="AV151" i="6"/>
  <c r="U151" i="6"/>
  <c r="AP149" i="6"/>
  <c r="AR149" i="6" s="1"/>
  <c r="W149" i="6"/>
  <c r="Y149" i="6" s="1"/>
  <c r="AT149" i="6"/>
  <c r="AE156" i="6"/>
  <c r="E157" i="6"/>
  <c r="K156" i="6"/>
  <c r="AN156" i="6"/>
  <c r="AA156" i="6"/>
  <c r="AQ148" i="6"/>
  <c r="AO150" i="6"/>
  <c r="V150" i="6"/>
  <c r="Q152" i="6"/>
  <c r="R152" i="6"/>
  <c r="S152" i="6" s="1"/>
  <c r="L154" i="6"/>
  <c r="O153" i="6"/>
  <c r="M153" i="6"/>
  <c r="N153" i="6" s="1"/>
  <c r="AE157" i="6" l="1"/>
  <c r="K157" i="6"/>
  <c r="E158" i="6"/>
  <c r="AA157" i="6"/>
  <c r="AN157" i="6"/>
  <c r="AM157" i="6"/>
  <c r="H158" i="6"/>
  <c r="AF157" i="6"/>
  <c r="AB157" i="6"/>
  <c r="F158" i="6"/>
  <c r="AQ149" i="6"/>
  <c r="AO151" i="6"/>
  <c r="V151" i="6"/>
  <c r="Q153" i="6"/>
  <c r="R153" i="6"/>
  <c r="S153" i="6" s="1"/>
  <c r="L155" i="6"/>
  <c r="M154" i="6"/>
  <c r="N154" i="6" s="1"/>
  <c r="O154" i="6"/>
  <c r="AU152" i="6"/>
  <c r="AX152" i="6" s="1"/>
  <c r="T152" i="6"/>
  <c r="AZ152" i="6"/>
  <c r="AV152" i="6"/>
  <c r="U152" i="6"/>
  <c r="AP150" i="6"/>
  <c r="AR150" i="6" s="1"/>
  <c r="AT150" i="6"/>
  <c r="W150" i="6"/>
  <c r="Y150" i="6" s="1"/>
  <c r="AW151" i="6"/>
  <c r="AY151" i="6"/>
  <c r="AG156" i="6"/>
  <c r="AH156" i="6" s="1"/>
  <c r="G157" i="6"/>
  <c r="AC156" i="6"/>
  <c r="AD156" i="6" s="1"/>
  <c r="AO152" i="6" l="1"/>
  <c r="V152" i="6"/>
  <c r="AY152" i="6"/>
  <c r="AW152" i="6"/>
  <c r="AF158" i="6"/>
  <c r="F159" i="6"/>
  <c r="AB158" i="6"/>
  <c r="G158" i="6"/>
  <c r="AC157" i="6"/>
  <c r="AD157" i="6" s="1"/>
  <c r="AG157" i="6"/>
  <c r="AH157" i="6" s="1"/>
  <c r="R154" i="6"/>
  <c r="S154" i="6" s="1"/>
  <c r="Q154" i="6"/>
  <c r="H159" i="6"/>
  <c r="AM158" i="6"/>
  <c r="L156" i="6"/>
  <c r="O155" i="6"/>
  <c r="M155" i="6"/>
  <c r="N155" i="6" s="1"/>
  <c r="AP151" i="6"/>
  <c r="AR151" i="6" s="1"/>
  <c r="W151" i="6"/>
  <c r="Y151" i="6" s="1"/>
  <c r="AT151" i="6"/>
  <c r="AU153" i="6"/>
  <c r="AX153" i="6" s="1"/>
  <c r="T153" i="6"/>
  <c r="AZ153" i="6"/>
  <c r="AV153" i="6"/>
  <c r="U153" i="6"/>
  <c r="AE158" i="6"/>
  <c r="K158" i="6"/>
  <c r="AN158" i="6"/>
  <c r="AA158" i="6"/>
  <c r="E159" i="6"/>
  <c r="AQ150" i="6"/>
  <c r="AE159" i="6" l="1"/>
  <c r="AA159" i="6"/>
  <c r="AN159" i="6"/>
  <c r="E160" i="6"/>
  <c r="K159" i="6"/>
  <c r="AQ151" i="6"/>
  <c r="Q155" i="6"/>
  <c r="R155" i="6"/>
  <c r="S155" i="6" s="1"/>
  <c r="L157" i="6"/>
  <c r="M156" i="6"/>
  <c r="N156" i="6" s="1"/>
  <c r="O156" i="6"/>
  <c r="AV154" i="6"/>
  <c r="AU154" i="6"/>
  <c r="AX154" i="6" s="1"/>
  <c r="T154" i="6"/>
  <c r="AZ154" i="6"/>
  <c r="U154" i="6"/>
  <c r="AG158" i="6"/>
  <c r="AH158" i="6" s="1"/>
  <c r="AC158" i="6"/>
  <c r="AD158" i="6" s="1"/>
  <c r="G159" i="6"/>
  <c r="F160" i="6"/>
  <c r="AF159" i="6"/>
  <c r="AB159" i="6"/>
  <c r="AP152" i="6"/>
  <c r="AR152" i="6" s="1"/>
  <c r="W152" i="6"/>
  <c r="Y152" i="6" s="1"/>
  <c r="AT152" i="6"/>
  <c r="AM159" i="6"/>
  <c r="H160" i="6"/>
  <c r="AW153" i="6"/>
  <c r="AY153" i="6"/>
  <c r="AO153" i="6"/>
  <c r="V153" i="6"/>
  <c r="AW154" i="6" l="1"/>
  <c r="AY154" i="6"/>
  <c r="AF160" i="6"/>
  <c r="AB160" i="6"/>
  <c r="F161" i="6"/>
  <c r="AP153" i="6"/>
  <c r="AR153" i="6" s="1"/>
  <c r="W153" i="6"/>
  <c r="Y153" i="6" s="1"/>
  <c r="AT153" i="6"/>
  <c r="M157" i="6"/>
  <c r="N157" i="6" s="1"/>
  <c r="O157" i="6"/>
  <c r="L158" i="6"/>
  <c r="T155" i="6"/>
  <c r="AV155" i="6"/>
  <c r="AZ155" i="6"/>
  <c r="AU155" i="6"/>
  <c r="AX155" i="6" s="1"/>
  <c r="U155" i="6"/>
  <c r="AC159" i="6"/>
  <c r="AD159" i="6" s="1"/>
  <c r="G160" i="6"/>
  <c r="AG159" i="6"/>
  <c r="AH159" i="6" s="1"/>
  <c r="Q156" i="6"/>
  <c r="R156" i="6"/>
  <c r="S156" i="6" s="1"/>
  <c r="AA160" i="6"/>
  <c r="K160" i="6"/>
  <c r="E161" i="6"/>
  <c r="AN160" i="6"/>
  <c r="AE160" i="6"/>
  <c r="AM160" i="6"/>
  <c r="H161" i="6"/>
  <c r="AQ152" i="6"/>
  <c r="AO154" i="6"/>
  <c r="V154" i="6"/>
  <c r="Q157" i="6" l="1"/>
  <c r="R157" i="6"/>
  <c r="S157" i="6" s="1"/>
  <c r="H162" i="6"/>
  <c r="AM161" i="6"/>
  <c r="G161" i="6"/>
  <c r="AG160" i="6"/>
  <c r="AH160" i="6" s="1"/>
  <c r="AC160" i="6"/>
  <c r="AD160" i="6" s="1"/>
  <c r="AQ153" i="6"/>
  <c r="F162" i="6"/>
  <c r="AB161" i="6"/>
  <c r="AF161" i="6"/>
  <c r="AV156" i="6"/>
  <c r="AZ156" i="6"/>
  <c r="T156" i="6"/>
  <c r="AU156" i="6"/>
  <c r="AX156" i="6" s="1"/>
  <c r="U156" i="6"/>
  <c r="M158" i="6"/>
  <c r="N158" i="6" s="1"/>
  <c r="O158" i="6"/>
  <c r="L159" i="6"/>
  <c r="AT154" i="6"/>
  <c r="AP154" i="6"/>
  <c r="AR154" i="6" s="1"/>
  <c r="W154" i="6"/>
  <c r="Y154" i="6" s="1"/>
  <c r="AA161" i="6"/>
  <c r="K161" i="6"/>
  <c r="AN161" i="6"/>
  <c r="E162" i="6"/>
  <c r="AE161" i="6"/>
  <c r="AO155" i="6"/>
  <c r="V155" i="6"/>
  <c r="AY155" i="6"/>
  <c r="AW155" i="6"/>
  <c r="AV157" i="6" l="1"/>
  <c r="AU157" i="6"/>
  <c r="AX157" i="6" s="1"/>
  <c r="T157" i="6"/>
  <c r="AZ157" i="6"/>
  <c r="U157" i="6"/>
  <c r="AY156" i="6"/>
  <c r="AW156" i="6"/>
  <c r="AF162" i="6"/>
  <c r="AB162" i="6"/>
  <c r="F163" i="6"/>
  <c r="AQ154" i="6"/>
  <c r="L160" i="6"/>
  <c r="O159" i="6"/>
  <c r="M159" i="6"/>
  <c r="N159" i="6" s="1"/>
  <c r="AP155" i="6"/>
  <c r="AR155" i="6" s="1"/>
  <c r="W155" i="6"/>
  <c r="Y155" i="6" s="1"/>
  <c r="AT155" i="6"/>
  <c r="R158" i="6"/>
  <c r="S158" i="6" s="1"/>
  <c r="Q158" i="6"/>
  <c r="G162" i="6"/>
  <c r="AC161" i="6"/>
  <c r="AD161" i="6" s="1"/>
  <c r="AG161" i="6"/>
  <c r="AH161" i="6" s="1"/>
  <c r="AO156" i="6"/>
  <c r="V156" i="6"/>
  <c r="AE162" i="6"/>
  <c r="AA162" i="6"/>
  <c r="AN162" i="6"/>
  <c r="E163" i="6"/>
  <c r="K162" i="6"/>
  <c r="H163" i="6"/>
  <c r="AM162" i="6"/>
  <c r="AC162" i="6" l="1"/>
  <c r="AD162" i="6" s="1"/>
  <c r="G163" i="6"/>
  <c r="AG162" i="6"/>
  <c r="AH162" i="6" s="1"/>
  <c r="AM163" i="6"/>
  <c r="H164" i="6"/>
  <c r="AA163" i="6"/>
  <c r="AE163" i="6"/>
  <c r="K163" i="6"/>
  <c r="AN163" i="6"/>
  <c r="E164" i="6"/>
  <c r="AQ155" i="6"/>
  <c r="AY157" i="6"/>
  <c r="AW157" i="6"/>
  <c r="AU158" i="6"/>
  <c r="AX158" i="6" s="1"/>
  <c r="AZ158" i="6"/>
  <c r="AV158" i="6"/>
  <c r="T158" i="6"/>
  <c r="U158" i="6"/>
  <c r="F164" i="6"/>
  <c r="AF163" i="6"/>
  <c r="AB163" i="6"/>
  <c r="W156" i="6"/>
  <c r="Y156" i="6" s="1"/>
  <c r="AP156" i="6"/>
  <c r="AR156" i="6" s="1"/>
  <c r="AT156" i="6"/>
  <c r="AO157" i="6"/>
  <c r="V157" i="6"/>
  <c r="R159" i="6"/>
  <c r="S159" i="6" s="1"/>
  <c r="Q159" i="6"/>
  <c r="O160" i="6"/>
  <c r="L161" i="6"/>
  <c r="M160" i="6"/>
  <c r="N160" i="6" s="1"/>
  <c r="AQ156" i="6" l="1"/>
  <c r="G164" i="6"/>
  <c r="AG163" i="6"/>
  <c r="AH163" i="6" s="1"/>
  <c r="AC163" i="6"/>
  <c r="AD163" i="6" s="1"/>
  <c r="AN164" i="6"/>
  <c r="E165" i="6"/>
  <c r="AA164" i="6"/>
  <c r="AE164" i="6"/>
  <c r="K164" i="6"/>
  <c r="F165" i="6"/>
  <c r="AB164" i="6"/>
  <c r="AF164" i="6"/>
  <c r="AO158" i="6"/>
  <c r="V158" i="6"/>
  <c r="M161" i="6"/>
  <c r="N161" i="6" s="1"/>
  <c r="O161" i="6"/>
  <c r="L162" i="6"/>
  <c r="R160" i="6"/>
  <c r="S160" i="6" s="1"/>
  <c r="Q160" i="6"/>
  <c r="AY158" i="6"/>
  <c r="AW158" i="6"/>
  <c r="AV159" i="6"/>
  <c r="AU159" i="6"/>
  <c r="AX159" i="6" s="1"/>
  <c r="T159" i="6"/>
  <c r="AZ159" i="6"/>
  <c r="U159" i="6"/>
  <c r="H165" i="6"/>
  <c r="AM164" i="6"/>
  <c r="AT157" i="6"/>
  <c r="AP157" i="6"/>
  <c r="AR157" i="6" s="1"/>
  <c r="W157" i="6"/>
  <c r="Y157" i="6" s="1"/>
  <c r="AY159" i="6" l="1"/>
  <c r="AW159" i="6"/>
  <c r="AQ157" i="6"/>
  <c r="F166" i="6"/>
  <c r="AB165" i="6"/>
  <c r="AF165" i="6"/>
  <c r="AE165" i="6"/>
  <c r="K165" i="6"/>
  <c r="AN165" i="6"/>
  <c r="AA165" i="6"/>
  <c r="E166" i="6"/>
  <c r="AV160" i="6"/>
  <c r="AU160" i="6"/>
  <c r="AX160" i="6" s="1"/>
  <c r="AZ160" i="6"/>
  <c r="T160" i="6"/>
  <c r="U160" i="6"/>
  <c r="L163" i="6"/>
  <c r="O162" i="6"/>
  <c r="M162" i="6"/>
  <c r="N162" i="6" s="1"/>
  <c r="Q161" i="6"/>
  <c r="R161" i="6"/>
  <c r="S161" i="6" s="1"/>
  <c r="AM165" i="6"/>
  <c r="H166" i="6"/>
  <c r="AG164" i="6"/>
  <c r="AH164" i="6" s="1"/>
  <c r="G165" i="6"/>
  <c r="AC164" i="6"/>
  <c r="AD164" i="6" s="1"/>
  <c r="AO159" i="6"/>
  <c r="V159" i="6"/>
  <c r="AP158" i="6"/>
  <c r="AR158" i="6" s="1"/>
  <c r="AT158" i="6"/>
  <c r="W158" i="6"/>
  <c r="Y158" i="6" s="1"/>
  <c r="AW160" i="6" l="1"/>
  <c r="AY160" i="6"/>
  <c r="T161" i="6"/>
  <c r="AV161" i="6"/>
  <c r="AZ161" i="6"/>
  <c r="AU161" i="6"/>
  <c r="AX161" i="6" s="1"/>
  <c r="U161" i="6"/>
  <c r="AQ158" i="6"/>
  <c r="R162" i="6"/>
  <c r="S162" i="6" s="1"/>
  <c r="Q162" i="6"/>
  <c r="L164" i="6"/>
  <c r="M163" i="6"/>
  <c r="N163" i="6" s="1"/>
  <c r="O163" i="6"/>
  <c r="AP159" i="6"/>
  <c r="AR159" i="6" s="1"/>
  <c r="W159" i="6"/>
  <c r="Y159" i="6" s="1"/>
  <c r="AT159" i="6"/>
  <c r="AF166" i="6"/>
  <c r="AB166" i="6"/>
  <c r="F167" i="6"/>
  <c r="H167" i="6"/>
  <c r="AM166" i="6"/>
  <c r="AA166" i="6"/>
  <c r="AE166" i="6"/>
  <c r="K166" i="6"/>
  <c r="E167" i="6"/>
  <c r="AN166" i="6"/>
  <c r="AO160" i="6"/>
  <c r="V160" i="6"/>
  <c r="G166" i="6"/>
  <c r="AC165" i="6"/>
  <c r="AD165" i="6" s="1"/>
  <c r="AG165" i="6"/>
  <c r="AH165" i="6" s="1"/>
  <c r="F168" i="6" l="1"/>
  <c r="AB167" i="6"/>
  <c r="AF167" i="6"/>
  <c r="G167" i="6"/>
  <c r="AC166" i="6"/>
  <c r="AD166" i="6" s="1"/>
  <c r="AG166" i="6"/>
  <c r="AH166" i="6" s="1"/>
  <c r="O164" i="6"/>
  <c r="L165" i="6"/>
  <c r="M164" i="6"/>
  <c r="N164" i="6" s="1"/>
  <c r="AP160" i="6"/>
  <c r="AR160" i="6" s="1"/>
  <c r="AT160" i="6"/>
  <c r="W160" i="6"/>
  <c r="Y160" i="6" s="1"/>
  <c r="AV162" i="6"/>
  <c r="AU162" i="6"/>
  <c r="AX162" i="6" s="1"/>
  <c r="T162" i="6"/>
  <c r="AZ162" i="6"/>
  <c r="U162" i="6"/>
  <c r="AQ159" i="6"/>
  <c r="E168" i="6"/>
  <c r="AA167" i="6"/>
  <c r="AE167" i="6"/>
  <c r="K167" i="6"/>
  <c r="AN167" i="6"/>
  <c r="AO161" i="6"/>
  <c r="V161" i="6"/>
  <c r="H168" i="6"/>
  <c r="AM167" i="6"/>
  <c r="R163" i="6"/>
  <c r="S163" i="6" s="1"/>
  <c r="Q163" i="6"/>
  <c r="AW161" i="6"/>
  <c r="AY161" i="6"/>
  <c r="AP161" i="6" l="1"/>
  <c r="AR161" i="6" s="1"/>
  <c r="AT161" i="6"/>
  <c r="W161" i="6"/>
  <c r="Y161" i="6" s="1"/>
  <c r="AQ160" i="6"/>
  <c r="M165" i="6"/>
  <c r="N165" i="6" s="1"/>
  <c r="L166" i="6"/>
  <c r="O165" i="6"/>
  <c r="AN168" i="6"/>
  <c r="E169" i="6"/>
  <c r="AE168" i="6"/>
  <c r="K168" i="6"/>
  <c r="AA168" i="6"/>
  <c r="Q164" i="6"/>
  <c r="R164" i="6"/>
  <c r="S164" i="6" s="1"/>
  <c r="F169" i="6"/>
  <c r="AB168" i="6"/>
  <c r="AF168" i="6"/>
  <c r="AV163" i="6"/>
  <c r="T163" i="6"/>
  <c r="AZ163" i="6"/>
  <c r="AU163" i="6"/>
  <c r="AX163" i="6" s="1"/>
  <c r="U163" i="6"/>
  <c r="AO162" i="6"/>
  <c r="V162" i="6"/>
  <c r="AC167" i="6"/>
  <c r="AD167" i="6" s="1"/>
  <c r="G168" i="6"/>
  <c r="AG167" i="6"/>
  <c r="AH167" i="6" s="1"/>
  <c r="AY162" i="6"/>
  <c r="AW162" i="6"/>
  <c r="AM168" i="6"/>
  <c r="H169" i="6"/>
  <c r="AO163" i="6" l="1"/>
  <c r="V163" i="6"/>
  <c r="M166" i="6"/>
  <c r="N166" i="6" s="1"/>
  <c r="O166" i="6"/>
  <c r="L167" i="6"/>
  <c r="AY163" i="6"/>
  <c r="AW163" i="6"/>
  <c r="F170" i="6"/>
  <c r="AF169" i="6"/>
  <c r="AB169" i="6"/>
  <c r="T164" i="6"/>
  <c r="AU164" i="6"/>
  <c r="AX164" i="6" s="1"/>
  <c r="AZ164" i="6"/>
  <c r="AV164" i="6"/>
  <c r="U164" i="6"/>
  <c r="AG168" i="6"/>
  <c r="AH168" i="6" s="1"/>
  <c r="G169" i="6"/>
  <c r="AC168" i="6"/>
  <c r="AD168" i="6" s="1"/>
  <c r="AQ161" i="6"/>
  <c r="H170" i="6"/>
  <c r="AM169" i="6"/>
  <c r="AP162" i="6"/>
  <c r="AR162" i="6" s="1"/>
  <c r="AT162" i="6"/>
  <c r="W162" i="6"/>
  <c r="Y162" i="6" s="1"/>
  <c r="K169" i="6"/>
  <c r="AE169" i="6"/>
  <c r="E170" i="6"/>
  <c r="AA169" i="6"/>
  <c r="AN169" i="6"/>
  <c r="Q165" i="6"/>
  <c r="R165" i="6"/>
  <c r="S165" i="6" s="1"/>
  <c r="AQ162" i="6" l="1"/>
  <c r="AU165" i="6"/>
  <c r="AX165" i="6" s="1"/>
  <c r="AV165" i="6"/>
  <c r="T165" i="6"/>
  <c r="AZ165" i="6"/>
  <c r="U165" i="6"/>
  <c r="AM170" i="6"/>
  <c r="H171" i="6"/>
  <c r="E171" i="6"/>
  <c r="AA170" i="6"/>
  <c r="AE170" i="6"/>
  <c r="K170" i="6"/>
  <c r="AN170" i="6"/>
  <c r="F171" i="6"/>
  <c r="AB170" i="6"/>
  <c r="AF170" i="6"/>
  <c r="AG169" i="6"/>
  <c r="AH169" i="6" s="1"/>
  <c r="AC169" i="6"/>
  <c r="AD169" i="6" s="1"/>
  <c r="G170" i="6"/>
  <c r="O167" i="6"/>
  <c r="L168" i="6"/>
  <c r="M167" i="6"/>
  <c r="N167" i="6" s="1"/>
  <c r="R166" i="6"/>
  <c r="S166" i="6" s="1"/>
  <c r="Q166" i="6"/>
  <c r="AO164" i="6"/>
  <c r="V164" i="6"/>
  <c r="AP163" i="6"/>
  <c r="AR163" i="6" s="1"/>
  <c r="W163" i="6"/>
  <c r="Y163" i="6" s="1"/>
  <c r="AT163" i="6"/>
  <c r="AY164" i="6"/>
  <c r="AW164" i="6"/>
  <c r="AQ163" i="6" l="1"/>
  <c r="W164" i="6"/>
  <c r="Y164" i="6" s="1"/>
  <c r="AT164" i="6"/>
  <c r="AP164" i="6"/>
  <c r="AR164" i="6" s="1"/>
  <c r="AU166" i="6"/>
  <c r="AX166" i="6" s="1"/>
  <c r="AV166" i="6"/>
  <c r="AZ166" i="6"/>
  <c r="T166" i="6"/>
  <c r="U166" i="6"/>
  <c r="M168" i="6"/>
  <c r="N168" i="6" s="1"/>
  <c r="O168" i="6"/>
  <c r="L169" i="6"/>
  <c r="AN171" i="6"/>
  <c r="E172" i="6"/>
  <c r="AE171" i="6"/>
  <c r="K171" i="6"/>
  <c r="AA171" i="6"/>
  <c r="R167" i="6"/>
  <c r="S167" i="6" s="1"/>
  <c r="Q167" i="6"/>
  <c r="AG170" i="6"/>
  <c r="AH170" i="6" s="1"/>
  <c r="AC170" i="6"/>
  <c r="AD170" i="6" s="1"/>
  <c r="G171" i="6"/>
  <c r="H172" i="6"/>
  <c r="AM171" i="6"/>
  <c r="AF171" i="6"/>
  <c r="AB171" i="6"/>
  <c r="F172" i="6"/>
  <c r="AO165" i="6"/>
  <c r="V165" i="6"/>
  <c r="AW165" i="6"/>
  <c r="AY165" i="6"/>
  <c r="AQ164" i="6" l="1"/>
  <c r="AE172" i="6"/>
  <c r="K172" i="6"/>
  <c r="AN172" i="6"/>
  <c r="AA172" i="6"/>
  <c r="E173" i="6"/>
  <c r="H173" i="6"/>
  <c r="AM172" i="6"/>
  <c r="M169" i="6"/>
  <c r="N169" i="6" s="1"/>
  <c r="L170" i="6"/>
  <c r="O169" i="6"/>
  <c r="AC171" i="6"/>
  <c r="AD171" i="6" s="1"/>
  <c r="AG171" i="6"/>
  <c r="AH171" i="6" s="1"/>
  <c r="G172" i="6"/>
  <c r="Q168" i="6"/>
  <c r="R168" i="6"/>
  <c r="S168" i="6" s="1"/>
  <c r="AP165" i="6"/>
  <c r="AR165" i="6" s="1"/>
  <c r="AT165" i="6"/>
  <c r="W165" i="6"/>
  <c r="Y165" i="6" s="1"/>
  <c r="AF172" i="6"/>
  <c r="AB172" i="6"/>
  <c r="F173" i="6"/>
  <c r="AO166" i="6"/>
  <c r="V166" i="6"/>
  <c r="AV167" i="6"/>
  <c r="AU167" i="6"/>
  <c r="AX167" i="6" s="1"/>
  <c r="T167" i="6"/>
  <c r="AZ167" i="6"/>
  <c r="U167" i="6"/>
  <c r="AY166" i="6"/>
  <c r="AW166" i="6"/>
  <c r="AY167" i="6" l="1"/>
  <c r="AW167" i="6"/>
  <c r="AT166" i="6"/>
  <c r="AP166" i="6"/>
  <c r="AR166" i="6" s="1"/>
  <c r="W166" i="6"/>
  <c r="Y166" i="6" s="1"/>
  <c r="Q169" i="6"/>
  <c r="R169" i="6"/>
  <c r="S169" i="6" s="1"/>
  <c r="O170" i="6"/>
  <c r="L171" i="6"/>
  <c r="M170" i="6"/>
  <c r="N170" i="6" s="1"/>
  <c r="AM173" i="6"/>
  <c r="H174" i="6"/>
  <c r="AA173" i="6"/>
  <c r="K173" i="6"/>
  <c r="AN173" i="6"/>
  <c r="E174" i="6"/>
  <c r="AE173" i="6"/>
  <c r="F174" i="6"/>
  <c r="AF173" i="6"/>
  <c r="AB173" i="6"/>
  <c r="AQ165" i="6"/>
  <c r="AO167" i="6"/>
  <c r="V167" i="6"/>
  <c r="T168" i="6"/>
  <c r="AV168" i="6"/>
  <c r="AU168" i="6"/>
  <c r="AX168" i="6" s="1"/>
  <c r="AZ168" i="6"/>
  <c r="U168" i="6"/>
  <c r="G173" i="6"/>
  <c r="AG172" i="6"/>
  <c r="AH172" i="6" s="1"/>
  <c r="AC172" i="6"/>
  <c r="AD172" i="6" s="1"/>
  <c r="AQ166" i="6" l="1"/>
  <c r="W167" i="6"/>
  <c r="Y167" i="6" s="1"/>
  <c r="AP167" i="6"/>
  <c r="AR167" i="6" s="1"/>
  <c r="AT167" i="6"/>
  <c r="AE174" i="6"/>
  <c r="AA174" i="6"/>
  <c r="K174" i="6"/>
  <c r="E175" i="6"/>
  <c r="AN174" i="6"/>
  <c r="H175" i="6"/>
  <c r="AM174" i="6"/>
  <c r="G174" i="6"/>
  <c r="AC173" i="6"/>
  <c r="AD173" i="6" s="1"/>
  <c r="AG173" i="6"/>
  <c r="AH173" i="6" s="1"/>
  <c r="L172" i="6"/>
  <c r="O171" i="6"/>
  <c r="M171" i="6"/>
  <c r="N171" i="6" s="1"/>
  <c r="AO168" i="6"/>
  <c r="V168" i="6"/>
  <c r="R170" i="6"/>
  <c r="S170" i="6" s="1"/>
  <c r="Q170" i="6"/>
  <c r="AV169" i="6"/>
  <c r="AU169" i="6"/>
  <c r="AX169" i="6" s="1"/>
  <c r="AZ169" i="6"/>
  <c r="T169" i="6"/>
  <c r="U169" i="6"/>
  <c r="AW168" i="6"/>
  <c r="AY168" i="6"/>
  <c r="AB174" i="6"/>
  <c r="F175" i="6"/>
  <c r="AF174" i="6"/>
  <c r="AW169" i="6" l="1"/>
  <c r="AY169" i="6"/>
  <c r="AM175" i="6"/>
  <c r="H176" i="6"/>
  <c r="AZ170" i="6"/>
  <c r="AV170" i="6"/>
  <c r="T170" i="6"/>
  <c r="AU170" i="6"/>
  <c r="AX170" i="6" s="1"/>
  <c r="U170" i="6"/>
  <c r="AP168" i="6"/>
  <c r="AR168" i="6" s="1"/>
  <c r="W168" i="6"/>
  <c r="Y168" i="6" s="1"/>
  <c r="AT168" i="6"/>
  <c r="F176" i="6"/>
  <c r="AB175" i="6"/>
  <c r="AF175" i="6"/>
  <c r="R171" i="6"/>
  <c r="S171" i="6" s="1"/>
  <c r="Q171" i="6"/>
  <c r="AA175" i="6"/>
  <c r="E176" i="6"/>
  <c r="AN175" i="6"/>
  <c r="AE175" i="6"/>
  <c r="K175" i="6"/>
  <c r="O172" i="6"/>
  <c r="M172" i="6"/>
  <c r="N172" i="6" s="1"/>
  <c r="L173" i="6"/>
  <c r="AO169" i="6"/>
  <c r="V169" i="6"/>
  <c r="AG174" i="6"/>
  <c r="AH174" i="6" s="1"/>
  <c r="AC174" i="6"/>
  <c r="AD174" i="6" s="1"/>
  <c r="G175" i="6"/>
  <c r="AQ167" i="6"/>
  <c r="AQ168" i="6" l="1"/>
  <c r="R172" i="6"/>
  <c r="S172" i="6" s="1"/>
  <c r="Q172" i="6"/>
  <c r="AN176" i="6"/>
  <c r="K176" i="6"/>
  <c r="AE176" i="6"/>
  <c r="E177" i="6"/>
  <c r="AA176" i="6"/>
  <c r="AZ171" i="6"/>
  <c r="T171" i="6"/>
  <c r="AV171" i="6"/>
  <c r="AU171" i="6"/>
  <c r="AX171" i="6" s="1"/>
  <c r="U171" i="6"/>
  <c r="AY170" i="6"/>
  <c r="AW170" i="6"/>
  <c r="AG175" i="6"/>
  <c r="AH175" i="6" s="1"/>
  <c r="AC175" i="6"/>
  <c r="AD175" i="6" s="1"/>
  <c r="G176" i="6"/>
  <c r="AO170" i="6"/>
  <c r="V170" i="6"/>
  <c r="AT169" i="6"/>
  <c r="W169" i="6"/>
  <c r="Y169" i="6" s="1"/>
  <c r="AP169" i="6"/>
  <c r="AR169" i="6" s="1"/>
  <c r="AB176" i="6"/>
  <c r="F177" i="6"/>
  <c r="AF176" i="6"/>
  <c r="H177" i="6"/>
  <c r="AM176" i="6"/>
  <c r="L174" i="6"/>
  <c r="O173" i="6"/>
  <c r="M173" i="6"/>
  <c r="N173" i="6" s="1"/>
  <c r="AQ169" i="6" l="1"/>
  <c r="AO171" i="6"/>
  <c r="V171" i="6"/>
  <c r="AY171" i="6"/>
  <c r="AW171" i="6"/>
  <c r="AP170" i="6"/>
  <c r="AR170" i="6" s="1"/>
  <c r="W170" i="6"/>
  <c r="Y170" i="6" s="1"/>
  <c r="AT170" i="6"/>
  <c r="Q173" i="6"/>
  <c r="R173" i="6"/>
  <c r="S173" i="6" s="1"/>
  <c r="K177" i="6"/>
  <c r="AN177" i="6"/>
  <c r="AA177" i="6"/>
  <c r="AE177" i="6"/>
  <c r="E178" i="6"/>
  <c r="L175" i="6"/>
  <c r="M174" i="6"/>
  <c r="N174" i="6" s="1"/>
  <c r="O174" i="6"/>
  <c r="G177" i="6"/>
  <c r="AG176" i="6"/>
  <c r="AH176" i="6" s="1"/>
  <c r="AC176" i="6"/>
  <c r="AD176" i="6" s="1"/>
  <c r="H178" i="6"/>
  <c r="AM177" i="6"/>
  <c r="F178" i="6"/>
  <c r="AB177" i="6"/>
  <c r="AF177" i="6"/>
  <c r="AV172" i="6"/>
  <c r="AU172" i="6"/>
  <c r="AX172" i="6" s="1"/>
  <c r="T172" i="6"/>
  <c r="AZ172" i="6"/>
  <c r="U172" i="6"/>
  <c r="AO172" i="6" l="1"/>
  <c r="V172" i="6"/>
  <c r="AG177" i="6"/>
  <c r="AH177" i="6" s="1"/>
  <c r="G178" i="6"/>
  <c r="AC177" i="6"/>
  <c r="AD177" i="6" s="1"/>
  <c r="R174" i="6"/>
  <c r="S174" i="6" s="1"/>
  <c r="Q174" i="6"/>
  <c r="AQ170" i="6"/>
  <c r="AW172" i="6"/>
  <c r="AY172" i="6"/>
  <c r="L176" i="6"/>
  <c r="O175" i="6"/>
  <c r="M175" i="6"/>
  <c r="N175" i="6" s="1"/>
  <c r="AE178" i="6"/>
  <c r="AA178" i="6"/>
  <c r="K178" i="6"/>
  <c r="AN178" i="6"/>
  <c r="E179" i="6"/>
  <c r="AB178" i="6"/>
  <c r="AF178" i="6"/>
  <c r="F179" i="6"/>
  <c r="H179" i="6"/>
  <c r="AM178" i="6"/>
  <c r="AP171" i="6"/>
  <c r="AR171" i="6" s="1"/>
  <c r="W171" i="6"/>
  <c r="Y171" i="6" s="1"/>
  <c r="AT171" i="6"/>
  <c r="AU173" i="6"/>
  <c r="AX173" i="6" s="1"/>
  <c r="AV173" i="6"/>
  <c r="AZ173" i="6"/>
  <c r="T173" i="6"/>
  <c r="U173" i="6"/>
  <c r="H180" i="6" l="1"/>
  <c r="AM179" i="6"/>
  <c r="W172" i="6"/>
  <c r="Y172" i="6" s="1"/>
  <c r="AT172" i="6"/>
  <c r="AP172" i="6"/>
  <c r="AR172" i="6" s="1"/>
  <c r="R175" i="6"/>
  <c r="S175" i="6" s="1"/>
  <c r="Q175" i="6"/>
  <c r="AO173" i="6"/>
  <c r="V173" i="6"/>
  <c r="L177" i="6"/>
  <c r="O176" i="6"/>
  <c r="M176" i="6"/>
  <c r="N176" i="6" s="1"/>
  <c r="F180" i="6"/>
  <c r="AB179" i="6"/>
  <c r="AF179" i="6"/>
  <c r="AY173" i="6"/>
  <c r="AW173" i="6"/>
  <c r="E180" i="6"/>
  <c r="AA179" i="6"/>
  <c r="AE179" i="6"/>
  <c r="K179" i="6"/>
  <c r="AN179" i="6"/>
  <c r="AQ171" i="6"/>
  <c r="AU174" i="6"/>
  <c r="AX174" i="6" s="1"/>
  <c r="AZ174" i="6"/>
  <c r="AV174" i="6"/>
  <c r="T174" i="6"/>
  <c r="U174" i="6"/>
  <c r="AG178" i="6"/>
  <c r="AH178" i="6" s="1"/>
  <c r="AC178" i="6"/>
  <c r="AD178" i="6" s="1"/>
  <c r="G179" i="6"/>
  <c r="AY174" i="6" l="1"/>
  <c r="AW174" i="6"/>
  <c r="AB180" i="6"/>
  <c r="F181" i="6"/>
  <c r="AF180" i="6"/>
  <c r="AM180" i="6"/>
  <c r="H181" i="6"/>
  <c r="Q176" i="6"/>
  <c r="R176" i="6"/>
  <c r="S176" i="6" s="1"/>
  <c r="M177" i="6"/>
  <c r="N177" i="6" s="1"/>
  <c r="L178" i="6"/>
  <c r="O177" i="6"/>
  <c r="AP173" i="6"/>
  <c r="AR173" i="6" s="1"/>
  <c r="AT173" i="6"/>
  <c r="W173" i="6"/>
  <c r="Y173" i="6" s="1"/>
  <c r="AC179" i="6"/>
  <c r="AD179" i="6" s="1"/>
  <c r="G180" i="6"/>
  <c r="AG179" i="6"/>
  <c r="AH179" i="6" s="1"/>
  <c r="AU175" i="6"/>
  <c r="AX175" i="6" s="1"/>
  <c r="AZ175" i="6"/>
  <c r="AV175" i="6"/>
  <c r="T175" i="6"/>
  <c r="U175" i="6"/>
  <c r="AN180" i="6"/>
  <c r="AA180" i="6"/>
  <c r="AE180" i="6"/>
  <c r="K180" i="6"/>
  <c r="E181" i="6"/>
  <c r="AQ172" i="6"/>
  <c r="AO174" i="6"/>
  <c r="V174" i="6"/>
  <c r="AO175" i="6" l="1"/>
  <c r="V175" i="6"/>
  <c r="R177" i="6"/>
  <c r="S177" i="6" s="1"/>
  <c r="Q177" i="6"/>
  <c r="AP174" i="6"/>
  <c r="AR174" i="6" s="1"/>
  <c r="W174" i="6"/>
  <c r="Y174" i="6" s="1"/>
  <c r="AT174" i="6"/>
  <c r="AY175" i="6"/>
  <c r="AW175" i="6"/>
  <c r="M178" i="6"/>
  <c r="N178" i="6" s="1"/>
  <c r="L179" i="6"/>
  <c r="O178" i="6"/>
  <c r="AU176" i="6"/>
  <c r="AX176" i="6" s="1"/>
  <c r="T176" i="6"/>
  <c r="AV176" i="6"/>
  <c r="AZ176" i="6"/>
  <c r="U176" i="6"/>
  <c r="H182" i="6"/>
  <c r="AM181" i="6"/>
  <c r="F182" i="6"/>
  <c r="AB181" i="6"/>
  <c r="AF181" i="6"/>
  <c r="AN181" i="6"/>
  <c r="AA181" i="6"/>
  <c r="E182" i="6"/>
  <c r="AE181" i="6"/>
  <c r="K181" i="6"/>
  <c r="AG180" i="6"/>
  <c r="AH180" i="6" s="1"/>
  <c r="G181" i="6"/>
  <c r="AC180" i="6"/>
  <c r="AD180" i="6" s="1"/>
  <c r="AQ173" i="6"/>
  <c r="Q178" i="6" l="1"/>
  <c r="R178" i="6"/>
  <c r="S178" i="6" s="1"/>
  <c r="AT175" i="6"/>
  <c r="AP175" i="6"/>
  <c r="AR175" i="6" s="1"/>
  <c r="W175" i="6"/>
  <c r="Y175" i="6" s="1"/>
  <c r="L180" i="6"/>
  <c r="O179" i="6"/>
  <c r="M179" i="6"/>
  <c r="N179" i="6" s="1"/>
  <c r="F183" i="6"/>
  <c r="AF182" i="6"/>
  <c r="AB182" i="6"/>
  <c r="G182" i="6"/>
  <c r="AG181" i="6"/>
  <c r="AH181" i="6" s="1"/>
  <c r="AC181" i="6"/>
  <c r="AD181" i="6" s="1"/>
  <c r="AM182" i="6"/>
  <c r="H183" i="6"/>
  <c r="AQ174" i="6"/>
  <c r="AO176" i="6"/>
  <c r="V176" i="6"/>
  <c r="AU177" i="6"/>
  <c r="AX177" i="6" s="1"/>
  <c r="AV177" i="6"/>
  <c r="T177" i="6"/>
  <c r="AZ177" i="6"/>
  <c r="U177" i="6"/>
  <c r="AW176" i="6"/>
  <c r="AY176" i="6"/>
  <c r="AE182" i="6"/>
  <c r="K182" i="6"/>
  <c r="AN182" i="6"/>
  <c r="AA182" i="6"/>
  <c r="E183" i="6"/>
  <c r="AQ175" i="6" l="1"/>
  <c r="AO177" i="6"/>
  <c r="V177" i="6"/>
  <c r="G183" i="6"/>
  <c r="AC182" i="6"/>
  <c r="AD182" i="6" s="1"/>
  <c r="AG182" i="6"/>
  <c r="AH182" i="6" s="1"/>
  <c r="AY177" i="6"/>
  <c r="AW177" i="6"/>
  <c r="AN183" i="6"/>
  <c r="AE183" i="6"/>
  <c r="K183" i="6"/>
  <c r="E184" i="6"/>
  <c r="AA183" i="6"/>
  <c r="AF183" i="6"/>
  <c r="F184" i="6"/>
  <c r="AB183" i="6"/>
  <c r="AT176" i="6"/>
  <c r="W176" i="6"/>
  <c r="Y176" i="6" s="1"/>
  <c r="AP176" i="6"/>
  <c r="AR176" i="6" s="1"/>
  <c r="R179" i="6"/>
  <c r="S179" i="6" s="1"/>
  <c r="Q179" i="6"/>
  <c r="M180" i="6"/>
  <c r="N180" i="6" s="1"/>
  <c r="O180" i="6"/>
  <c r="L181" i="6"/>
  <c r="H184" i="6"/>
  <c r="AM183" i="6"/>
  <c r="AV178" i="6"/>
  <c r="AU178" i="6"/>
  <c r="AX178" i="6" s="1"/>
  <c r="AZ178" i="6"/>
  <c r="T178" i="6"/>
  <c r="U178" i="6"/>
  <c r="AQ176" i="6" l="1"/>
  <c r="AM184" i="6"/>
  <c r="H185" i="6"/>
  <c r="O181" i="6"/>
  <c r="M181" i="6"/>
  <c r="N181" i="6" s="1"/>
  <c r="L182" i="6"/>
  <c r="Q180" i="6"/>
  <c r="R180" i="6"/>
  <c r="S180" i="6" s="1"/>
  <c r="AO178" i="6"/>
  <c r="V178" i="6"/>
  <c r="AV179" i="6"/>
  <c r="AU179" i="6"/>
  <c r="AX179" i="6" s="1"/>
  <c r="T179" i="6"/>
  <c r="AZ179" i="6"/>
  <c r="U179" i="6"/>
  <c r="AW178" i="6"/>
  <c r="AY178" i="6"/>
  <c r="AF184" i="6"/>
  <c r="F185" i="6"/>
  <c r="AB184" i="6"/>
  <c r="AE184" i="6"/>
  <c r="AA184" i="6"/>
  <c r="AN184" i="6"/>
  <c r="E185" i="6"/>
  <c r="K184" i="6"/>
  <c r="AG183" i="6"/>
  <c r="AH183" i="6" s="1"/>
  <c r="AC183" i="6"/>
  <c r="AD183" i="6" s="1"/>
  <c r="G184" i="6"/>
  <c r="AP177" i="6"/>
  <c r="AR177" i="6" s="1"/>
  <c r="AT177" i="6"/>
  <c r="W177" i="6"/>
  <c r="Y177" i="6" s="1"/>
  <c r="W178" i="6" l="1"/>
  <c r="Y178" i="6" s="1"/>
  <c r="AP178" i="6"/>
  <c r="AR178" i="6" s="1"/>
  <c r="AT178" i="6"/>
  <c r="F186" i="6"/>
  <c r="AB185" i="6"/>
  <c r="AF185" i="6"/>
  <c r="AZ180" i="6"/>
  <c r="AV180" i="6"/>
  <c r="T180" i="6"/>
  <c r="AU180" i="6"/>
  <c r="AX180" i="6" s="1"/>
  <c r="U180" i="6"/>
  <c r="AQ177" i="6"/>
  <c r="AO179" i="6"/>
  <c r="V179" i="6"/>
  <c r="AM185" i="6"/>
  <c r="H186" i="6"/>
  <c r="AA185" i="6"/>
  <c r="E186" i="6"/>
  <c r="AN185" i="6"/>
  <c r="AE185" i="6"/>
  <c r="K185" i="6"/>
  <c r="AW179" i="6"/>
  <c r="AY179" i="6"/>
  <c r="O182" i="6"/>
  <c r="L183" i="6"/>
  <c r="M182" i="6"/>
  <c r="N182" i="6" s="1"/>
  <c r="G185" i="6"/>
  <c r="AG184" i="6"/>
  <c r="AH184" i="6" s="1"/>
  <c r="AC184" i="6"/>
  <c r="AD184" i="6" s="1"/>
  <c r="Q181" i="6"/>
  <c r="R181" i="6"/>
  <c r="S181" i="6" s="1"/>
  <c r="AV181" i="6" l="1"/>
  <c r="T181" i="6"/>
  <c r="AU181" i="6"/>
  <c r="AX181" i="6" s="1"/>
  <c r="AZ181" i="6"/>
  <c r="U181" i="6"/>
  <c r="AO180" i="6"/>
  <c r="V180" i="6"/>
  <c r="AY180" i="6"/>
  <c r="AW180" i="6"/>
  <c r="AC185" i="6"/>
  <c r="AD185" i="6" s="1"/>
  <c r="G186" i="6"/>
  <c r="AG185" i="6"/>
  <c r="AH185" i="6" s="1"/>
  <c r="E187" i="6"/>
  <c r="K186" i="6"/>
  <c r="AA186" i="6"/>
  <c r="AE186" i="6"/>
  <c r="AN186" i="6"/>
  <c r="AT179" i="6"/>
  <c r="AP179" i="6"/>
  <c r="AR179" i="6" s="1"/>
  <c r="W179" i="6"/>
  <c r="Y179" i="6" s="1"/>
  <c r="M183" i="6"/>
  <c r="N183" i="6" s="1"/>
  <c r="O183" i="6"/>
  <c r="L184" i="6"/>
  <c r="AF186" i="6"/>
  <c r="F187" i="6"/>
  <c r="AB186" i="6"/>
  <c r="R182" i="6"/>
  <c r="S182" i="6" s="1"/>
  <c r="Q182" i="6"/>
  <c r="H187" i="6"/>
  <c r="AM186" i="6"/>
  <c r="AQ178" i="6"/>
  <c r="AQ179" i="6" l="1"/>
  <c r="AP180" i="6"/>
  <c r="AR180" i="6" s="1"/>
  <c r="AT180" i="6"/>
  <c r="W180" i="6"/>
  <c r="Y180" i="6" s="1"/>
  <c r="AV182" i="6"/>
  <c r="T182" i="6"/>
  <c r="AZ182" i="6"/>
  <c r="AU182" i="6"/>
  <c r="AX182" i="6" s="1"/>
  <c r="U182" i="6"/>
  <c r="F188" i="6"/>
  <c r="AB187" i="6"/>
  <c r="AF187" i="6"/>
  <c r="AE187" i="6"/>
  <c r="AN187" i="6"/>
  <c r="K187" i="6"/>
  <c r="E188" i="6"/>
  <c r="AA187" i="6"/>
  <c r="O184" i="6"/>
  <c r="L185" i="6"/>
  <c r="M184" i="6"/>
  <c r="N184" i="6" s="1"/>
  <c r="Q183" i="6"/>
  <c r="R183" i="6"/>
  <c r="S183" i="6" s="1"/>
  <c r="H188" i="6"/>
  <c r="AM187" i="6"/>
  <c r="AO181" i="6"/>
  <c r="V181" i="6"/>
  <c r="AY181" i="6"/>
  <c r="AW181" i="6"/>
  <c r="AC186" i="6"/>
  <c r="AD186" i="6" s="1"/>
  <c r="G187" i="6"/>
  <c r="AG186" i="6"/>
  <c r="AH186" i="6" s="1"/>
  <c r="AT181" i="6" l="1"/>
  <c r="AP181" i="6"/>
  <c r="AR181" i="6" s="1"/>
  <c r="W181" i="6"/>
  <c r="Y181" i="6" s="1"/>
  <c r="AQ180" i="6"/>
  <c r="H189" i="6"/>
  <c r="AM188" i="6"/>
  <c r="F189" i="6"/>
  <c r="AF188" i="6"/>
  <c r="AB188" i="6"/>
  <c r="AG187" i="6"/>
  <c r="AH187" i="6" s="1"/>
  <c r="AC187" i="6"/>
  <c r="AD187" i="6" s="1"/>
  <c r="G188" i="6"/>
  <c r="AV183" i="6"/>
  <c r="AU183" i="6"/>
  <c r="AX183" i="6" s="1"/>
  <c r="AZ183" i="6"/>
  <c r="T183" i="6"/>
  <c r="U183" i="6"/>
  <c r="AO182" i="6"/>
  <c r="V182" i="6"/>
  <c r="O185" i="6"/>
  <c r="L186" i="6"/>
  <c r="M185" i="6"/>
  <c r="N185" i="6" s="1"/>
  <c r="Q184" i="6"/>
  <c r="R184" i="6"/>
  <c r="S184" i="6" s="1"/>
  <c r="AY182" i="6"/>
  <c r="AW182" i="6"/>
  <c r="AN188" i="6"/>
  <c r="AE188" i="6"/>
  <c r="K188" i="6"/>
  <c r="AA188" i="6"/>
  <c r="E189" i="6"/>
  <c r="AA189" i="6" l="1"/>
  <c r="AE189" i="6"/>
  <c r="E190" i="6"/>
  <c r="K189" i="6"/>
  <c r="AN189" i="6"/>
  <c r="AY183" i="6"/>
  <c r="AW183" i="6"/>
  <c r="AC188" i="6"/>
  <c r="AD188" i="6" s="1"/>
  <c r="AG188" i="6"/>
  <c r="AH188" i="6" s="1"/>
  <c r="G189" i="6"/>
  <c r="AZ184" i="6"/>
  <c r="AV184" i="6"/>
  <c r="AU184" i="6"/>
  <c r="AX184" i="6" s="1"/>
  <c r="T184" i="6"/>
  <c r="U184" i="6"/>
  <c r="AP182" i="6"/>
  <c r="AR182" i="6" s="1"/>
  <c r="AT182" i="6"/>
  <c r="W182" i="6"/>
  <c r="Y182" i="6" s="1"/>
  <c r="AO183" i="6"/>
  <c r="V183" i="6"/>
  <c r="H190" i="6"/>
  <c r="AM189" i="6"/>
  <c r="L187" i="6"/>
  <c r="O186" i="6"/>
  <c r="M186" i="6"/>
  <c r="N186" i="6" s="1"/>
  <c r="R185" i="6"/>
  <c r="S185" i="6" s="1"/>
  <c r="Q185" i="6"/>
  <c r="AF189" i="6"/>
  <c r="AB189" i="6"/>
  <c r="F190" i="6"/>
  <c r="AQ181" i="6"/>
  <c r="AQ182" i="6" l="1"/>
  <c r="AW184" i="6"/>
  <c r="AY184" i="6"/>
  <c r="AP183" i="6"/>
  <c r="AR183" i="6" s="1"/>
  <c r="AT183" i="6"/>
  <c r="W183" i="6"/>
  <c r="Y183" i="6" s="1"/>
  <c r="F191" i="6"/>
  <c r="AF190" i="6"/>
  <c r="AB190" i="6"/>
  <c r="G190" i="6"/>
  <c r="AG189" i="6"/>
  <c r="AH189" i="6" s="1"/>
  <c r="AC189" i="6"/>
  <c r="AD189" i="6" s="1"/>
  <c r="T185" i="6"/>
  <c r="AZ185" i="6"/>
  <c r="AU185" i="6"/>
  <c r="AX185" i="6" s="1"/>
  <c r="AV185" i="6"/>
  <c r="U185" i="6"/>
  <c r="H191" i="6"/>
  <c r="AM190" i="6"/>
  <c r="R186" i="6"/>
  <c r="S186" i="6" s="1"/>
  <c r="Q186" i="6"/>
  <c r="AO184" i="6"/>
  <c r="V184" i="6"/>
  <c r="M187" i="6"/>
  <c r="N187" i="6" s="1"/>
  <c r="O187" i="6"/>
  <c r="L188" i="6"/>
  <c r="K190" i="6"/>
  <c r="AA190" i="6"/>
  <c r="E191" i="6"/>
  <c r="AN190" i="6"/>
  <c r="AE190" i="6"/>
  <c r="AQ183" i="6" l="1"/>
  <c r="R187" i="6"/>
  <c r="S187" i="6" s="1"/>
  <c r="Q187" i="6"/>
  <c r="AC190" i="6"/>
  <c r="AD190" i="6" s="1"/>
  <c r="AG190" i="6"/>
  <c r="AH190" i="6" s="1"/>
  <c r="G191" i="6"/>
  <c r="H192" i="6"/>
  <c r="AM191" i="6"/>
  <c r="F192" i="6"/>
  <c r="AB191" i="6"/>
  <c r="AF191" i="6"/>
  <c r="E192" i="6"/>
  <c r="K191" i="6"/>
  <c r="AN191" i="6"/>
  <c r="AA191" i="6"/>
  <c r="AE191" i="6"/>
  <c r="W184" i="6"/>
  <c r="Y184" i="6" s="1"/>
  <c r="AT184" i="6"/>
  <c r="AP184" i="6"/>
  <c r="AR184" i="6" s="1"/>
  <c r="AZ186" i="6"/>
  <c r="AV186" i="6"/>
  <c r="T186" i="6"/>
  <c r="AU186" i="6"/>
  <c r="AX186" i="6" s="1"/>
  <c r="U186" i="6"/>
  <c r="AO185" i="6"/>
  <c r="V185" i="6"/>
  <c r="AW185" i="6"/>
  <c r="AY185" i="6"/>
  <c r="O188" i="6"/>
  <c r="L189" i="6"/>
  <c r="M188" i="6"/>
  <c r="N188" i="6" s="1"/>
  <c r="T187" i="6" l="1"/>
  <c r="AZ187" i="6"/>
  <c r="AV187" i="6"/>
  <c r="AU187" i="6"/>
  <c r="AX187" i="6" s="1"/>
  <c r="U187" i="6"/>
  <c r="E193" i="6"/>
  <c r="AN192" i="6"/>
  <c r="AE192" i="6"/>
  <c r="K192" i="6"/>
  <c r="AA192" i="6"/>
  <c r="AO186" i="6"/>
  <c r="V186" i="6"/>
  <c r="M189" i="6"/>
  <c r="N189" i="6" s="1"/>
  <c r="O189" i="6"/>
  <c r="L190" i="6"/>
  <c r="R188" i="6"/>
  <c r="S188" i="6" s="1"/>
  <c r="Q188" i="6"/>
  <c r="AY186" i="6"/>
  <c r="AW186" i="6"/>
  <c r="AB192" i="6"/>
  <c r="F193" i="6"/>
  <c r="AF192" i="6"/>
  <c r="AM192" i="6"/>
  <c r="H193" i="6"/>
  <c r="AP185" i="6"/>
  <c r="AR185" i="6" s="1"/>
  <c r="W185" i="6"/>
  <c r="Y185" i="6" s="1"/>
  <c r="AT185" i="6"/>
  <c r="AQ184" i="6"/>
  <c r="AC191" i="6"/>
  <c r="AD191" i="6" s="1"/>
  <c r="AG191" i="6"/>
  <c r="AH191" i="6" s="1"/>
  <c r="G192" i="6"/>
  <c r="AY187" i="6" l="1"/>
  <c r="AW187" i="6"/>
  <c r="W186" i="6"/>
  <c r="Y186" i="6" s="1"/>
  <c r="AT186" i="6"/>
  <c r="AP186" i="6"/>
  <c r="AR186" i="6" s="1"/>
  <c r="AG192" i="6"/>
  <c r="AH192" i="6" s="1"/>
  <c r="G193" i="6"/>
  <c r="AC192" i="6"/>
  <c r="AD192" i="6" s="1"/>
  <c r="K193" i="6"/>
  <c r="AA193" i="6"/>
  <c r="AE193" i="6"/>
  <c r="E194" i="6"/>
  <c r="AN193" i="6"/>
  <c r="L191" i="6"/>
  <c r="O190" i="6"/>
  <c r="M190" i="6"/>
  <c r="N190" i="6" s="1"/>
  <c r="R189" i="6"/>
  <c r="S189" i="6" s="1"/>
  <c r="Q189" i="6"/>
  <c r="F194" i="6"/>
  <c r="AB193" i="6"/>
  <c r="AF193" i="6"/>
  <c r="AO187" i="6"/>
  <c r="V187" i="6"/>
  <c r="AQ185" i="6"/>
  <c r="AV188" i="6"/>
  <c r="AU188" i="6"/>
  <c r="AX188" i="6" s="1"/>
  <c r="AZ188" i="6"/>
  <c r="T188" i="6"/>
  <c r="U188" i="6"/>
  <c r="H194" i="6"/>
  <c r="AM193" i="6"/>
  <c r="F195" i="6" l="1"/>
  <c r="AB194" i="6"/>
  <c r="AF194" i="6"/>
  <c r="AG193" i="6"/>
  <c r="AH193" i="6" s="1"/>
  <c r="G194" i="6"/>
  <c r="AC193" i="6"/>
  <c r="AD193" i="6" s="1"/>
  <c r="AO188" i="6"/>
  <c r="V188" i="6"/>
  <c r="AU189" i="6"/>
  <c r="AX189" i="6" s="1"/>
  <c r="AZ189" i="6"/>
  <c r="T189" i="6"/>
  <c r="AV189" i="6"/>
  <c r="U189" i="6"/>
  <c r="R190" i="6"/>
  <c r="S190" i="6" s="1"/>
  <c r="Q190" i="6"/>
  <c r="AY188" i="6"/>
  <c r="AW188" i="6"/>
  <c r="O191" i="6"/>
  <c r="M191" i="6"/>
  <c r="N191" i="6" s="1"/>
  <c r="L192" i="6"/>
  <c r="W187" i="6"/>
  <c r="Y187" i="6" s="1"/>
  <c r="AT187" i="6"/>
  <c r="AP187" i="6"/>
  <c r="AR187" i="6" s="1"/>
  <c r="AE194" i="6"/>
  <c r="K194" i="6"/>
  <c r="AN194" i="6"/>
  <c r="AA194" i="6"/>
  <c r="E195" i="6"/>
  <c r="AQ186" i="6"/>
  <c r="AM194" i="6"/>
  <c r="H195" i="6"/>
  <c r="AQ187" i="6" l="1"/>
  <c r="E196" i="6"/>
  <c r="K195" i="6"/>
  <c r="AN195" i="6"/>
  <c r="AA195" i="6"/>
  <c r="AE195" i="6"/>
  <c r="AU190" i="6"/>
  <c r="AX190" i="6" s="1"/>
  <c r="AV190" i="6"/>
  <c r="T190" i="6"/>
  <c r="AZ190" i="6"/>
  <c r="U190" i="6"/>
  <c r="AO189" i="6"/>
  <c r="V189" i="6"/>
  <c r="L193" i="6"/>
  <c r="M192" i="6"/>
  <c r="N192" i="6" s="1"/>
  <c r="O192" i="6"/>
  <c r="AM195" i="6"/>
  <c r="H196" i="6"/>
  <c r="AB195" i="6"/>
  <c r="F196" i="6"/>
  <c r="AF195" i="6"/>
  <c r="AY189" i="6"/>
  <c r="AW189" i="6"/>
  <c r="AT188" i="6"/>
  <c r="W188" i="6"/>
  <c r="Y188" i="6" s="1"/>
  <c r="AP188" i="6"/>
  <c r="AR188" i="6" s="1"/>
  <c r="R191" i="6"/>
  <c r="S191" i="6" s="1"/>
  <c r="Q191" i="6"/>
  <c r="G195" i="6"/>
  <c r="AC194" i="6"/>
  <c r="AD194" i="6" s="1"/>
  <c r="AG194" i="6"/>
  <c r="AH194" i="6" s="1"/>
  <c r="AQ188" i="6" l="1"/>
  <c r="W189" i="6"/>
  <c r="Y189" i="6" s="1"/>
  <c r="AP189" i="6"/>
  <c r="AR189" i="6" s="1"/>
  <c r="AT189" i="6"/>
  <c r="AB196" i="6"/>
  <c r="AF196" i="6"/>
  <c r="F197" i="6"/>
  <c r="AG195" i="6"/>
  <c r="AH195" i="6" s="1"/>
  <c r="G196" i="6"/>
  <c r="AC195" i="6"/>
  <c r="AD195" i="6" s="1"/>
  <c r="AO190" i="6"/>
  <c r="V190" i="6"/>
  <c r="H197" i="6"/>
  <c r="AM196" i="6"/>
  <c r="AV191" i="6"/>
  <c r="AU191" i="6"/>
  <c r="AX191" i="6" s="1"/>
  <c r="AZ191" i="6"/>
  <c r="T191" i="6"/>
  <c r="U191" i="6"/>
  <c r="AW190" i="6"/>
  <c r="AY190" i="6"/>
  <c r="Q192" i="6"/>
  <c r="R192" i="6"/>
  <c r="S192" i="6" s="1"/>
  <c r="L194" i="6"/>
  <c r="M193" i="6"/>
  <c r="N193" i="6" s="1"/>
  <c r="O193" i="6"/>
  <c r="AA196" i="6"/>
  <c r="K196" i="6"/>
  <c r="AE196" i="6"/>
  <c r="AN196" i="6"/>
  <c r="E197" i="6"/>
  <c r="AQ189" i="6" l="1"/>
  <c r="L195" i="6"/>
  <c r="O194" i="6"/>
  <c r="M194" i="6"/>
  <c r="N194" i="6" s="1"/>
  <c r="AP190" i="6"/>
  <c r="AR190" i="6" s="1"/>
  <c r="W190" i="6"/>
  <c r="Y190" i="6" s="1"/>
  <c r="AT190" i="6"/>
  <c r="AA197" i="6"/>
  <c r="AE197" i="6"/>
  <c r="E198" i="6"/>
  <c r="AN197" i="6"/>
  <c r="K197" i="6"/>
  <c r="AB197" i="6"/>
  <c r="AF197" i="6"/>
  <c r="F198" i="6"/>
  <c r="R193" i="6"/>
  <c r="S193" i="6" s="1"/>
  <c r="Q193" i="6"/>
  <c r="AW191" i="6"/>
  <c r="AY191" i="6"/>
  <c r="H198" i="6"/>
  <c r="AM197" i="6"/>
  <c r="AZ192" i="6"/>
  <c r="AU192" i="6"/>
  <c r="AX192" i="6" s="1"/>
  <c r="T192" i="6"/>
  <c r="AV192" i="6"/>
  <c r="U192" i="6"/>
  <c r="G197" i="6"/>
  <c r="AC196" i="6"/>
  <c r="AD196" i="6" s="1"/>
  <c r="AG196" i="6"/>
  <c r="AH196" i="6" s="1"/>
  <c r="AO191" i="6"/>
  <c r="V191" i="6"/>
  <c r="AQ190" i="6" l="1"/>
  <c r="F199" i="6"/>
  <c r="AB198" i="6"/>
  <c r="AF198" i="6"/>
  <c r="AP191" i="6"/>
  <c r="AR191" i="6" s="1"/>
  <c r="W191" i="6"/>
  <c r="Y191" i="6" s="1"/>
  <c r="AT191" i="6"/>
  <c r="AM198" i="6"/>
  <c r="H199" i="6"/>
  <c r="AU193" i="6"/>
  <c r="AX193" i="6" s="1"/>
  <c r="AZ193" i="6"/>
  <c r="AV193" i="6"/>
  <c r="T193" i="6"/>
  <c r="U193" i="6"/>
  <c r="E199" i="6"/>
  <c r="AA198" i="6"/>
  <c r="AE198" i="6"/>
  <c r="K198" i="6"/>
  <c r="AN198" i="6"/>
  <c r="G198" i="6"/>
  <c r="AC197" i="6"/>
  <c r="AD197" i="6" s="1"/>
  <c r="AG197" i="6"/>
  <c r="AH197" i="6" s="1"/>
  <c r="AO192" i="6"/>
  <c r="V192" i="6"/>
  <c r="AY192" i="6"/>
  <c r="AW192" i="6"/>
  <c r="Q194" i="6"/>
  <c r="R194" i="6"/>
  <c r="S194" i="6" s="1"/>
  <c r="O195" i="6"/>
  <c r="M195" i="6"/>
  <c r="N195" i="6" s="1"/>
  <c r="L196" i="6"/>
  <c r="AP192" i="6" l="1"/>
  <c r="AR192" i="6" s="1"/>
  <c r="AT192" i="6"/>
  <c r="W192" i="6"/>
  <c r="Y192" i="6" s="1"/>
  <c r="AN199" i="6"/>
  <c r="E200" i="6"/>
  <c r="AA199" i="6"/>
  <c r="AE199" i="6"/>
  <c r="K199" i="6"/>
  <c r="AF199" i="6"/>
  <c r="AB199" i="6"/>
  <c r="F200" i="6"/>
  <c r="AY193" i="6"/>
  <c r="AW193" i="6"/>
  <c r="L197" i="6"/>
  <c r="M196" i="6"/>
  <c r="N196" i="6" s="1"/>
  <c r="O196" i="6"/>
  <c r="Q195" i="6"/>
  <c r="R195" i="6"/>
  <c r="S195" i="6" s="1"/>
  <c r="H200" i="6"/>
  <c r="AM199" i="6"/>
  <c r="AU194" i="6"/>
  <c r="AX194" i="6" s="1"/>
  <c r="T194" i="6"/>
  <c r="AZ194" i="6"/>
  <c r="AV194" i="6"/>
  <c r="U194" i="6"/>
  <c r="AC198" i="6"/>
  <c r="AD198" i="6" s="1"/>
  <c r="AG198" i="6"/>
  <c r="AH198" i="6" s="1"/>
  <c r="G199" i="6"/>
  <c r="AQ191" i="6"/>
  <c r="AO193" i="6"/>
  <c r="V193" i="6"/>
  <c r="W193" i="6" l="1"/>
  <c r="Y193" i="6" s="1"/>
  <c r="AT193" i="6"/>
  <c r="AP193" i="6"/>
  <c r="AR193" i="6" s="1"/>
  <c r="AA200" i="6"/>
  <c r="K200" i="6"/>
  <c r="AN200" i="6"/>
  <c r="AE200" i="6"/>
  <c r="E201" i="6"/>
  <c r="G200" i="6"/>
  <c r="AG199" i="6"/>
  <c r="AH199" i="6" s="1"/>
  <c r="AC199" i="6"/>
  <c r="AD199" i="6" s="1"/>
  <c r="H201" i="6"/>
  <c r="AM200" i="6"/>
  <c r="AV195" i="6"/>
  <c r="AU195" i="6"/>
  <c r="AX195" i="6" s="1"/>
  <c r="T195" i="6"/>
  <c r="AZ195" i="6"/>
  <c r="U195" i="6"/>
  <c r="R196" i="6"/>
  <c r="S196" i="6" s="1"/>
  <c r="Q196" i="6"/>
  <c r="M197" i="6"/>
  <c r="N197" i="6" s="1"/>
  <c r="L198" i="6"/>
  <c r="O197" i="6"/>
  <c r="AQ192" i="6"/>
  <c r="AO194" i="6"/>
  <c r="V194" i="6"/>
  <c r="AW194" i="6"/>
  <c r="AY194" i="6"/>
  <c r="F201" i="6"/>
  <c r="AF200" i="6"/>
  <c r="AB200" i="6"/>
  <c r="AQ193" i="6" l="1"/>
  <c r="AV196" i="6"/>
  <c r="AZ196" i="6"/>
  <c r="AU196" i="6"/>
  <c r="AX196" i="6" s="1"/>
  <c r="T196" i="6"/>
  <c r="U196" i="6"/>
  <c r="R197" i="6"/>
  <c r="S197" i="6" s="1"/>
  <c r="Q197" i="6"/>
  <c r="L199" i="6"/>
  <c r="O198" i="6"/>
  <c r="M198" i="6"/>
  <c r="N198" i="6" s="1"/>
  <c r="AC200" i="6"/>
  <c r="AD200" i="6" s="1"/>
  <c r="G201" i="6"/>
  <c r="AG200" i="6"/>
  <c r="AH200" i="6" s="1"/>
  <c r="AA201" i="6"/>
  <c r="AE201" i="6"/>
  <c r="K201" i="6"/>
  <c r="AN201" i="6"/>
  <c r="E202" i="6"/>
  <c r="AO195" i="6"/>
  <c r="V195" i="6"/>
  <c r="AF201" i="6"/>
  <c r="F202" i="6"/>
  <c r="AB201" i="6"/>
  <c r="AW195" i="6"/>
  <c r="AY195" i="6"/>
  <c r="W194" i="6"/>
  <c r="Y194" i="6" s="1"/>
  <c r="AT194" i="6"/>
  <c r="AP194" i="6"/>
  <c r="AR194" i="6" s="1"/>
  <c r="AM201" i="6"/>
  <c r="H202" i="6"/>
  <c r="AQ194" i="6" l="1"/>
  <c r="AY196" i="6"/>
  <c r="AW196" i="6"/>
  <c r="AG201" i="6"/>
  <c r="AH201" i="6" s="1"/>
  <c r="G202" i="6"/>
  <c r="AC201" i="6"/>
  <c r="AD201" i="6" s="1"/>
  <c r="H203" i="6"/>
  <c r="AM202" i="6"/>
  <c r="AB202" i="6"/>
  <c r="AF202" i="6"/>
  <c r="F203" i="6"/>
  <c r="Q198" i="6"/>
  <c r="R198" i="6"/>
  <c r="S198" i="6" s="1"/>
  <c r="W195" i="6"/>
  <c r="Y195" i="6" s="1"/>
  <c r="AT195" i="6"/>
  <c r="AP195" i="6"/>
  <c r="AR195" i="6" s="1"/>
  <c r="M199" i="6"/>
  <c r="N199" i="6" s="1"/>
  <c r="O199" i="6"/>
  <c r="L200" i="6"/>
  <c r="E203" i="6"/>
  <c r="K202" i="6"/>
  <c r="AA202" i="6"/>
  <c r="AE202" i="6"/>
  <c r="AN202" i="6"/>
  <c r="AZ197" i="6"/>
  <c r="T197" i="6"/>
  <c r="AV197" i="6"/>
  <c r="AU197" i="6"/>
  <c r="AX197" i="6" s="1"/>
  <c r="U197" i="6"/>
  <c r="AO196" i="6"/>
  <c r="V196" i="6"/>
  <c r="T198" i="6" l="1"/>
  <c r="AV198" i="6"/>
  <c r="AU198" i="6"/>
  <c r="AX198" i="6" s="1"/>
  <c r="AZ198" i="6"/>
  <c r="U198" i="6"/>
  <c r="F204" i="6"/>
  <c r="AB203" i="6"/>
  <c r="AF203" i="6"/>
  <c r="AT196" i="6"/>
  <c r="W196" i="6"/>
  <c r="Y196" i="6" s="1"/>
  <c r="AP196" i="6"/>
  <c r="AR196" i="6" s="1"/>
  <c r="AE203" i="6"/>
  <c r="AN203" i="6"/>
  <c r="K203" i="6"/>
  <c r="E204" i="6"/>
  <c r="AA203" i="6"/>
  <c r="O200" i="6"/>
  <c r="L201" i="6"/>
  <c r="M200" i="6"/>
  <c r="N200" i="6" s="1"/>
  <c r="Q199" i="6"/>
  <c r="R199" i="6"/>
  <c r="S199" i="6" s="1"/>
  <c r="H204" i="6"/>
  <c r="AM204" i="6" s="1"/>
  <c r="AM203" i="6"/>
  <c r="AO197" i="6"/>
  <c r="V197" i="6"/>
  <c r="AG202" i="6"/>
  <c r="AH202" i="6" s="1"/>
  <c r="AC202" i="6"/>
  <c r="AD202" i="6" s="1"/>
  <c r="G203" i="6"/>
  <c r="AQ195" i="6"/>
  <c r="AW197" i="6"/>
  <c r="AY197" i="6"/>
  <c r="AA204" i="6" l="1"/>
  <c r="AE204" i="6"/>
  <c r="K204" i="6"/>
  <c r="AN204" i="6"/>
  <c r="AT197" i="6"/>
  <c r="W197" i="6"/>
  <c r="Y197" i="6" s="1"/>
  <c r="AP197" i="6"/>
  <c r="AR197" i="6" s="1"/>
  <c r="T199" i="6"/>
  <c r="AU199" i="6"/>
  <c r="AX199" i="6" s="1"/>
  <c r="AZ199" i="6"/>
  <c r="AV199" i="6"/>
  <c r="U199" i="6"/>
  <c r="AQ196" i="6"/>
  <c r="L202" i="6"/>
  <c r="O201" i="6"/>
  <c r="M201" i="6"/>
  <c r="N201" i="6" s="1"/>
  <c r="AF204" i="6"/>
  <c r="AB204" i="6"/>
  <c r="G204" i="6"/>
  <c r="AG203" i="6"/>
  <c r="AH203" i="6" s="1"/>
  <c r="AC203" i="6"/>
  <c r="AD203" i="6" s="1"/>
  <c r="Q200" i="6"/>
  <c r="R200" i="6"/>
  <c r="S200" i="6" s="1"/>
  <c r="AO198" i="6"/>
  <c r="V198" i="6"/>
  <c r="AW198" i="6"/>
  <c r="AY198" i="6"/>
  <c r="AQ197" i="6" l="1"/>
  <c r="AW199" i="6"/>
  <c r="AY199" i="6"/>
  <c r="T200" i="6"/>
  <c r="AU200" i="6"/>
  <c r="AX200" i="6" s="1"/>
  <c r="AZ200" i="6"/>
  <c r="AV200" i="6"/>
  <c r="U200" i="6"/>
  <c r="AC204" i="6"/>
  <c r="AD204" i="6" s="1"/>
  <c r="AG204" i="6"/>
  <c r="AH204" i="6" s="1"/>
  <c r="Q201" i="6"/>
  <c r="R201" i="6"/>
  <c r="S201" i="6" s="1"/>
  <c r="M202" i="6"/>
  <c r="N202" i="6" s="1"/>
  <c r="L203" i="6"/>
  <c r="O202" i="6"/>
  <c r="AP198" i="6"/>
  <c r="AR198" i="6" s="1"/>
  <c r="AT198" i="6"/>
  <c r="W198" i="6"/>
  <c r="Y198" i="6" s="1"/>
  <c r="AO199" i="6"/>
  <c r="V199" i="6"/>
  <c r="AP199" i="6" l="1"/>
  <c r="AR199" i="6" s="1"/>
  <c r="AT199" i="6"/>
  <c r="W199" i="6"/>
  <c r="Y199" i="6" s="1"/>
  <c r="AQ198" i="6"/>
  <c r="AO200" i="6"/>
  <c r="V200" i="6"/>
  <c r="R202" i="6"/>
  <c r="S202" i="6" s="1"/>
  <c r="Q202" i="6"/>
  <c r="AW200" i="6"/>
  <c r="AY200" i="6"/>
  <c r="O203" i="6"/>
  <c r="M203" i="6"/>
  <c r="N203" i="6" s="1"/>
  <c r="L204" i="6"/>
  <c r="AV201" i="6"/>
  <c r="AU201" i="6"/>
  <c r="AX201" i="6" s="1"/>
  <c r="T201" i="6"/>
  <c r="AZ201" i="6"/>
  <c r="U201" i="6"/>
  <c r="M204" i="6" l="1"/>
  <c r="N204" i="6" s="1"/>
  <c r="O204" i="6"/>
  <c r="Q203" i="6"/>
  <c r="R203" i="6"/>
  <c r="S203" i="6" s="1"/>
  <c r="AQ199" i="6"/>
  <c r="T202" i="6"/>
  <c r="AU202" i="6"/>
  <c r="AX202" i="6" s="1"/>
  <c r="AZ202" i="6"/>
  <c r="AV202" i="6"/>
  <c r="U202" i="6"/>
  <c r="W200" i="6"/>
  <c r="Y200" i="6" s="1"/>
  <c r="AT200" i="6"/>
  <c r="AP200" i="6"/>
  <c r="AR200" i="6" s="1"/>
  <c r="AO201" i="6"/>
  <c r="V201" i="6"/>
  <c r="AW201" i="6"/>
  <c r="AY201" i="6"/>
  <c r="AQ200" i="6" l="1"/>
  <c r="AO202" i="6"/>
  <c r="V202" i="6"/>
  <c r="AY202" i="6"/>
  <c r="AW202" i="6"/>
  <c r="AT201" i="6"/>
  <c r="W201" i="6"/>
  <c r="Y201" i="6" s="1"/>
  <c r="AP201" i="6"/>
  <c r="AR201" i="6" s="1"/>
  <c r="AV203" i="6"/>
  <c r="AU203" i="6"/>
  <c r="AX203" i="6" s="1"/>
  <c r="AZ203" i="6"/>
  <c r="T203" i="6"/>
  <c r="U203" i="6"/>
  <c r="R204" i="6"/>
  <c r="S204" i="6" s="1"/>
  <c r="Q204" i="6"/>
  <c r="AW203" i="6" l="1"/>
  <c r="AY203" i="6"/>
  <c r="AQ201" i="6"/>
  <c r="T204" i="6"/>
  <c r="AU204" i="6"/>
  <c r="AX204" i="6" s="1"/>
  <c r="AZ204" i="6"/>
  <c r="AV204" i="6"/>
  <c r="U204" i="6"/>
  <c r="AO203" i="6"/>
  <c r="V203" i="6"/>
  <c r="AP202" i="6"/>
  <c r="AR202" i="6" s="1"/>
  <c r="W202" i="6"/>
  <c r="Y202" i="6" s="1"/>
  <c r="AT202" i="6"/>
  <c r="AQ202" i="6" l="1"/>
  <c r="AO204" i="6"/>
  <c r="V204" i="6"/>
  <c r="AP203" i="6"/>
  <c r="AR203" i="6" s="1"/>
  <c r="W203" i="6"/>
  <c r="Y203" i="6" s="1"/>
  <c r="AT203" i="6"/>
  <c r="AW204" i="6"/>
  <c r="AY204" i="6"/>
  <c r="AQ203" i="6" l="1"/>
  <c r="AP204" i="6"/>
  <c r="AR204" i="6" s="1"/>
  <c r="AS198" i="6" s="1"/>
  <c r="AT204" i="6"/>
  <c r="W204" i="6"/>
  <c r="Y204" i="6" s="1"/>
  <c r="Z4" i="6" s="1"/>
  <c r="AJ4" i="6" s="1"/>
  <c r="AS203" i="6" l="1"/>
  <c r="AS197" i="6"/>
  <c r="AS200" i="6"/>
  <c r="AQ204" i="6"/>
  <c r="AS204" i="6"/>
  <c r="AS19" i="6"/>
  <c r="AS28" i="6"/>
  <c r="AS24" i="6"/>
  <c r="AS10" i="6"/>
  <c r="AS22" i="6"/>
  <c r="AS16" i="6"/>
  <c r="AS8" i="6"/>
  <c r="AS26" i="6"/>
  <c r="AS12" i="6"/>
  <c r="AS41" i="6"/>
  <c r="AS38" i="6"/>
  <c r="AS45" i="6"/>
  <c r="AS14" i="6"/>
  <c r="AS33" i="6"/>
  <c r="AS27" i="6"/>
  <c r="AS30" i="6"/>
  <c r="AS25" i="6"/>
  <c r="AS29" i="6"/>
  <c r="AS46" i="6"/>
  <c r="AS43" i="6"/>
  <c r="AS37" i="6"/>
  <c r="AS15" i="6"/>
  <c r="AS36" i="6"/>
  <c r="AS13" i="6"/>
  <c r="AS17" i="6"/>
  <c r="AS7" i="6"/>
  <c r="AS11" i="6"/>
  <c r="AS9" i="6"/>
  <c r="AS4" i="6"/>
  <c r="M17" i="1" s="1"/>
  <c r="AS47" i="6"/>
  <c r="AS31" i="6"/>
  <c r="AS21" i="6"/>
  <c r="AS20" i="6"/>
  <c r="AS32" i="6"/>
  <c r="AS6" i="6"/>
  <c r="AS34" i="6"/>
  <c r="AS5" i="6"/>
  <c r="AS48" i="6"/>
  <c r="AS18" i="6"/>
  <c r="AS42" i="6"/>
  <c r="AS44" i="6"/>
  <c r="AS40" i="6"/>
  <c r="AS23" i="6"/>
  <c r="AS39" i="6"/>
  <c r="AS35" i="6"/>
  <c r="AS49" i="6"/>
  <c r="AS50" i="6"/>
  <c r="AS51" i="6"/>
  <c r="AS52" i="6"/>
  <c r="AS53" i="6"/>
  <c r="AS54" i="6"/>
  <c r="AS55" i="6"/>
  <c r="AS57" i="6"/>
  <c r="AS56" i="6"/>
  <c r="AS59" i="6"/>
  <c r="AS61" i="6"/>
  <c r="AS58" i="6"/>
  <c r="AS60" i="6"/>
  <c r="AS63" i="6"/>
  <c r="AS62" i="6"/>
  <c r="AS67" i="6"/>
  <c r="AS65" i="6"/>
  <c r="AS64" i="6"/>
  <c r="AS68" i="6"/>
  <c r="AS66" i="6"/>
  <c r="AS70" i="6"/>
  <c r="AS69" i="6"/>
  <c r="AS71" i="6"/>
  <c r="AS72" i="6"/>
  <c r="AS73" i="6"/>
  <c r="AS74" i="6"/>
  <c r="AS75" i="6"/>
  <c r="AS76" i="6"/>
  <c r="AS77" i="6"/>
  <c r="AS79" i="6"/>
  <c r="AS78" i="6"/>
  <c r="AS80" i="6"/>
  <c r="AS81" i="6"/>
  <c r="AS82" i="6"/>
  <c r="AS84" i="6"/>
  <c r="AS83" i="6"/>
  <c r="AS86" i="6"/>
  <c r="AS85" i="6"/>
  <c r="AS88" i="6"/>
  <c r="AS87" i="6"/>
  <c r="AS90" i="6"/>
  <c r="AS89" i="6"/>
  <c r="AS91" i="6"/>
  <c r="AS92" i="6"/>
  <c r="AS93" i="6"/>
  <c r="AS94" i="6"/>
  <c r="AS95" i="6"/>
  <c r="AS98" i="6"/>
  <c r="AS97" i="6"/>
  <c r="AS96" i="6"/>
  <c r="AS100" i="6"/>
  <c r="AS101" i="6"/>
  <c r="AS102" i="6"/>
  <c r="AS99" i="6"/>
  <c r="AS103" i="6"/>
  <c r="AS104" i="6"/>
  <c r="AS106" i="6"/>
  <c r="AS108" i="6"/>
  <c r="AS105" i="6"/>
  <c r="AS107" i="6"/>
  <c r="AS109" i="6"/>
  <c r="AS110" i="6"/>
  <c r="AS111" i="6"/>
  <c r="AS114" i="6"/>
  <c r="AS112" i="6"/>
  <c r="AS118" i="6"/>
  <c r="AS113" i="6"/>
  <c r="AS116" i="6"/>
  <c r="AS115" i="6"/>
  <c r="AS117" i="6"/>
  <c r="AS120" i="6"/>
  <c r="AS121" i="6"/>
  <c r="AS119" i="6"/>
  <c r="AS122" i="6"/>
  <c r="AS123" i="6"/>
  <c r="AS127" i="6"/>
  <c r="AS124" i="6"/>
  <c r="AS125" i="6"/>
  <c r="AS126" i="6"/>
  <c r="AS128" i="6"/>
  <c r="AS129" i="6"/>
  <c r="AS130" i="6"/>
  <c r="AS131" i="6"/>
  <c r="AS133" i="6"/>
  <c r="AS132" i="6"/>
  <c r="AS135" i="6"/>
  <c r="AS134" i="6"/>
  <c r="AS136" i="6"/>
  <c r="AS137" i="6"/>
  <c r="AS139" i="6"/>
  <c r="AS138" i="6"/>
  <c r="AS141" i="6"/>
  <c r="AS140" i="6"/>
  <c r="AS142" i="6"/>
  <c r="AS143" i="6"/>
  <c r="AS144" i="6"/>
  <c r="AS145" i="6"/>
  <c r="AS146" i="6"/>
  <c r="AS148" i="6"/>
  <c r="AS147" i="6"/>
  <c r="AS149" i="6"/>
  <c r="AS151" i="6"/>
  <c r="AS153" i="6"/>
  <c r="AS150" i="6"/>
  <c r="AS152" i="6"/>
  <c r="AS154" i="6"/>
  <c r="AS155" i="6"/>
  <c r="AS160" i="6"/>
  <c r="AS156" i="6"/>
  <c r="AS158" i="6"/>
  <c r="AS157" i="6"/>
  <c r="AS162" i="6"/>
  <c r="AS161" i="6"/>
  <c r="AS159" i="6"/>
  <c r="AS163" i="6"/>
  <c r="AS165" i="6"/>
  <c r="AS164" i="6"/>
  <c r="AS166" i="6"/>
  <c r="AS168" i="6"/>
  <c r="AS167" i="6"/>
  <c r="AS170" i="6"/>
  <c r="AS169" i="6"/>
  <c r="AS171" i="6"/>
  <c r="AS172" i="6"/>
  <c r="AS173" i="6"/>
  <c r="AS174" i="6"/>
  <c r="AS175" i="6"/>
  <c r="AS178" i="6"/>
  <c r="AS177" i="6"/>
  <c r="AS176" i="6"/>
  <c r="AS180" i="6"/>
  <c r="AS179" i="6"/>
  <c r="AS181" i="6"/>
  <c r="AS182" i="6"/>
  <c r="AS184" i="6"/>
  <c r="AS186" i="6"/>
  <c r="AS185" i="6"/>
  <c r="AS183" i="6"/>
  <c r="AS190" i="6"/>
  <c r="AS188" i="6"/>
  <c r="AS187" i="6"/>
  <c r="AS191" i="6"/>
  <c r="AS189" i="6"/>
  <c r="AS192" i="6"/>
  <c r="AS193" i="6"/>
  <c r="AS194" i="6"/>
  <c r="AS196" i="6"/>
  <c r="AS195" i="6"/>
  <c r="AS202" i="6"/>
  <c r="AS199" i="6"/>
  <c r="AS201" i="6"/>
  <c r="M11" i="1" l="1"/>
  <c r="M9" i="1"/>
  <c r="M12" i="1"/>
  <c r="M13" i="1"/>
  <c r="M10" i="1"/>
  <c r="M7" i="1"/>
  <c r="M8" i="1"/>
  <c r="M14" i="1"/>
  <c r="M6" i="1"/>
  <c r="M15" i="1"/>
  <c r="M16" i="1"/>
  <c r="M19" i="1" l="1"/>
  <c r="M20" i="1" s="1"/>
</calcChain>
</file>

<file path=xl/sharedStrings.xml><?xml version="1.0" encoding="utf-8"?>
<sst xmlns="http://schemas.openxmlformats.org/spreadsheetml/2006/main" count="206" uniqueCount="180">
  <si>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</si>
  <si>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</si>
  <si>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</si>
  <si>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</si>
  <si>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</si>
  <si>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</si>
  <si>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</si>
  <si>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</si>
  <si>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</si>
  <si>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</si>
  <si>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</si>
  <si>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</si>
  <si>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</si>
  <si>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</si>
  <si>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share parameter of dirty capital</t>
  </si>
  <si>
    <t>total capital</t>
  </si>
  <si>
    <t>autonomous decrease in carbon intensity</t>
  </si>
  <si>
    <t>MAC</t>
  </si>
  <si>
    <t>Technical change</t>
  </si>
  <si>
    <t>share of exogenous TC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</si>
  <si>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</si>
  <si>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</si>
  <si>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</si>
  <si>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</si>
  <si>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</si>
  <si>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</si>
  <si>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Slightly higher than in theory, due to effect of z</t>
  </si>
  <si>
    <t>MedianIPCC</t>
  </si>
  <si>
    <t>P25_IPCC</t>
  </si>
  <si>
    <t>P75_IPCC</t>
  </si>
  <si>
    <t>combined error</t>
  </si>
  <si>
    <t>time step</t>
  </si>
  <si>
    <t>discount factor</t>
  </si>
  <si>
    <t>ratio of renewable over all energy  from IEA (should be 0.16)</t>
  </si>
  <si>
    <t>mean emissions intensity at start</t>
  </si>
  <si>
    <t>investment adjustment cost for negative investments</t>
  </si>
  <si>
    <t>share of capital income in national income</t>
  </si>
  <si>
    <t>2 reasons for high total abatement costs: 1) this model abates fast, therefore GDP is lower than in IPCC models for a given level of abatement 2) abatement costs reduce the return on all types of capital and lead to lower kf</t>
  </si>
  <si>
    <t>r</t>
  </si>
  <si>
    <t>Intercept</t>
  </si>
  <si>
    <t>cells to optimize in ExoDamages</t>
  </si>
  <si>
    <t>$B$4:$D$18,$B$20:$D$20,$B$22:$D$22,$B$24:$D$24,$B$29:$D$29,$B$34:$D$34,$B$44:$D$44,$B$54:$D$54,$B$64:$D$64,$B$74:$D$74,$B$84:$D$84,$B$94:$D$94</t>
  </si>
  <si>
    <t>varespilon</t>
  </si>
  <si>
    <t>parameter in softplus function</t>
  </si>
  <si>
    <t>vareps2</t>
  </si>
  <si>
    <t>shift in softplus of stranding (0.004)</t>
  </si>
  <si>
    <t>P_BAU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</si>
  <si>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</si>
  <si>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</si>
  <si>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</si>
  <si>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</si>
  <si>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</si>
  <si>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</si>
  <si>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</si>
  <si>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</si>
  <si>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</si>
  <si>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</si>
  <si>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</si>
  <si>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</si>
  <si>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</si>
  <si>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</si>
  <si>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</si>
  <si>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</si>
  <si>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</si>
  <si>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</si>
  <si>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</si>
  <si>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</si>
  <si>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</si>
  <si>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</si>
  <si>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</si>
  <si>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</si>
  <si>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</si>
  <si>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</si>
  <si>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</si>
  <si>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</si>
  <si>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</si>
  <si>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</si>
  <si>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</si>
  <si>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</si>
  <si>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</si>
  <si>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</si>
  <si>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</si>
  <si>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FD id/kd</t>
  </si>
  <si>
    <t>FD ic/kc</t>
  </si>
  <si>
    <t>FD if/kf</t>
  </si>
  <si>
    <t>Discounted sum of FDs</t>
  </si>
  <si>
    <t>SD id/kd</t>
  </si>
  <si>
    <t>SD ic/kc</t>
  </si>
  <si>
    <t>SD if/kf</t>
  </si>
  <si>
    <t>Discounted sum of SDs</t>
  </si>
  <si>
    <t>W w/ penalty</t>
  </si>
  <si>
    <t>s[t]</t>
  </si>
  <si>
    <t>Penalty weights</t>
  </si>
  <si>
    <t>FD</t>
  </si>
  <si>
    <t>SD</t>
  </si>
  <si>
    <t>K_s[t]</t>
  </si>
  <si>
    <t>K_d[t]</t>
  </si>
  <si>
    <t>E[t]</t>
  </si>
  <si>
    <t>Y[t]</t>
  </si>
  <si>
    <t>SCC[t]</t>
  </si>
  <si>
    <t>Mgl damage[t] ($)</t>
  </si>
  <si>
    <t>Mgl damage[t] (utils)</t>
  </si>
  <si>
    <t>δ</t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</si>
  <si>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</si>
  <si>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</si>
  <si>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</si>
  <si>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</si>
  <si>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</si>
  <si>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</si>
  <si>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</si>
  <si>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</si>
  <si>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</si>
  <si>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</si>
  <si>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</si>
  <si>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</si>
  <si>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</si>
  <si>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</si>
  <si>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</si>
  <si>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</si>
  <si>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</si>
  <si>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L[0]</t>
  </si>
  <si>
    <t>A[0]</t>
  </si>
  <si>
    <t>Y[0]</t>
  </si>
  <si>
    <t>k_d[0]</t>
  </si>
  <si>
    <t>k_c[0]</t>
  </si>
  <si>
    <t>k_f[0]</t>
  </si>
  <si>
    <t>K_d[0]</t>
  </si>
  <si>
    <t>K_c[0]</t>
  </si>
  <si>
    <t>K_f[0]</t>
  </si>
  <si>
    <t>K[0]=(k_f[0]+k_d[0]+k_c[0])*A[0]L[0]</t>
  </si>
  <si>
    <t>E[0]</t>
  </si>
  <si>
    <t>k_c/(k_c+k_d)</t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</si>
  <si>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</si>
  <si>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</si>
  <si>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</si>
  <si>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</si>
  <si>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</si>
  <si>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</si>
  <si>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</si>
  <si>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</si>
  <si>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</si>
  <si>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</si>
  <si>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</si>
  <si>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</si>
  <si>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</si>
  <si>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</si>
  <si>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</si>
  <si>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</si>
  <si>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r>
      <t>ω*M[t]^-</t>
    </r>
    <r>
      <rPr>
        <i/>
        <sz val="11"/>
        <color theme="1"/>
        <rFont val="Aptos Narrow"/>
        <family val="2"/>
      </rPr>
      <t>ρ</t>
    </r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</si>
  <si>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</si>
  <si>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t>Production and capital accumulation</t>
  </si>
  <si>
    <t>k_d[0] theory</t>
  </si>
  <si>
    <t>k_c[0] theory</t>
  </si>
  <si>
    <t>k_f[0] theory</t>
  </si>
  <si>
    <t xml:space="preserve">elasticity of substitution between energy and final capital 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</si>
  <si>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</si>
  <si>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</si>
  <si>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</si>
  <si>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1-1/sigma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</si>
  <si>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</si>
  <si>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</si>
  <si>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</si>
  <si>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</si>
  <si>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</si>
  <si>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</si>
  <si>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</si>
  <si>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</si>
  <si>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</si>
  <si>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</si>
  <si>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</si>
  <si>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</si>
  <si>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</si>
  <si>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</si>
  <si>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</si>
  <si>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</si>
  <si>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</si>
  <si>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elasticity of endogenous TC</t>
  </si>
  <si>
    <t>initial cumulative abatement</t>
  </si>
  <si>
    <t>6 states: k_f, k_d, k_c, k_s, T, time</t>
  </si>
  <si>
    <t>growth rate of exogenous TC (0.027)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</si>
</sst>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0" fontId="0" fillId="0" borderId="0" xfId="0" applyNumberForma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166" fontId="0" fillId="0" borderId="1" xfId="1" applyNumberFormat="1" applyFont="1" applyBorder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1" fontId="5" fillId="0" borderId="0" xfId="0" applyNumberFormat="1" applyFont="1"/>
    <xf numFmtId="0" fontId="0" fillId="3" borderId="0" xfId="0" applyFill="1"/>
    <xf numFmtId="165" fontId="3" fillId="3" borderId="0" xfId="0" applyNumberFormat="1" applyFont="1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166" fontId="0" fillId="3" borderId="0" xfId="1" applyNumberFormat="1" applyFont="1" applyFill="1"/>
    <xf numFmtId="168" fontId="0" fillId="3" borderId="0" xfId="0" applyNumberFormat="1" applyFill="1"/>
    <xf numFmtId="169" fontId="0" fillId="0" borderId="0" xfId="0" applyNumberFormat="1" applyFill="1"/>
    <xf numFmtId="165" fontId="6" fillId="0" borderId="0" xfId="0" applyNumberFormat="1" applyFont="1"/>
    <xf numFmtId="0" fontId="3" fillId="0" borderId="0" xfId="0" applyNumberFormat="1" applyFont="1"/>
    <xf numFmtId="0" fontId="0" fillId="0" borderId="0" xfId="0" applyFill="1"/>
    <xf numFmtId="165" fontId="0" fillId="0" borderId="0" xfId="0" applyNumberFormat="1" applyFill="1"/>
    <xf numFmtId="2" fontId="0" fillId="0" borderId="0" xfId="0" applyNumberFormat="1" applyFill="1"/>
    <xf numFmtId="1" fontId="0" fillId="0" borderId="0" xfId="0" applyNumberFormat="1" applyFill="1"/>
    <xf numFmtId="1" fontId="0" fillId="0" borderId="0" xfId="0" applyNumberFormat="1" applyFill="1" applyBorder="1"/>
    <xf numFmtId="168" fontId="0" fillId="0" borderId="0" xfId="0" applyNumberFormat="1" applyFill="1"/>
    <xf numFmtId="0" fontId="7" fillId="0" borderId="0" xfId="0" applyFont="1"/>
    <xf numFmtId="0" fontId="8" fillId="0" borderId="0" xfId="0" applyFont="1"/>
    <xf numFmtId="0" fontId="10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'6states'!$K$4:$K$104</c:f>
              <c:numCache>
                <c:formatCode>0.0</c:formatCode>
                <c:ptCount val="101"/>
                <c:pt idx="0">
                  <c:v>53.2</c:v>
                </c:pt>
                <c:pt idx="1">
                  <c:v>42.510161363168976</c:v>
                </c:pt>
                <c:pt idx="2">
                  <c:v>39.055327776035462</c:v>
                </c:pt>
                <c:pt idx="3">
                  <c:v>36.422178495444875</c:v>
                </c:pt>
                <c:pt idx="4">
                  <c:v>34.146937186507181</c:v>
                </c:pt>
                <c:pt idx="5">
                  <c:v>32.094520197233962</c:v>
                </c:pt>
                <c:pt idx="6">
                  <c:v>30.225567879971717</c:v>
                </c:pt>
                <c:pt idx="7">
                  <c:v>28.577677668201662</c:v>
                </c:pt>
                <c:pt idx="8">
                  <c:v>26.860521760437852</c:v>
                </c:pt>
                <c:pt idx="9">
                  <c:v>25.442127773511338</c:v>
                </c:pt>
                <c:pt idx="10">
                  <c:v>25.139704987153451</c:v>
                </c:pt>
                <c:pt idx="11">
                  <c:v>25.473843610302715</c:v>
                </c:pt>
                <c:pt idx="12">
                  <c:v>26.079113894807893</c:v>
                </c:pt>
                <c:pt idx="13">
                  <c:v>26.661119257977141</c:v>
                </c:pt>
                <c:pt idx="14">
                  <c:v>26.769193345586626</c:v>
                </c:pt>
                <c:pt idx="15">
                  <c:v>25.269493669278017</c:v>
                </c:pt>
                <c:pt idx="16">
                  <c:v>23.539645053040751</c:v>
                </c:pt>
                <c:pt idx="17">
                  <c:v>22.295562485879397</c:v>
                </c:pt>
                <c:pt idx="18">
                  <c:v>21.073451271850267</c:v>
                </c:pt>
                <c:pt idx="19">
                  <c:v>19.957806751309459</c:v>
                </c:pt>
                <c:pt idx="20">
                  <c:v>18.973772845453045</c:v>
                </c:pt>
                <c:pt idx="21">
                  <c:v>18.089411801143473</c:v>
                </c:pt>
                <c:pt idx="22">
                  <c:v>17.297656229744643</c:v>
                </c:pt>
                <c:pt idx="23">
                  <c:v>16.596598667404646</c:v>
                </c:pt>
                <c:pt idx="24">
                  <c:v>15.913830189969003</c:v>
                </c:pt>
                <c:pt idx="25">
                  <c:v>15.246108206639054</c:v>
                </c:pt>
                <c:pt idx="26">
                  <c:v>14.58820039152007</c:v>
                </c:pt>
                <c:pt idx="27">
                  <c:v>13.937781831913535</c:v>
                </c:pt>
                <c:pt idx="28">
                  <c:v>13.320231772584766</c:v>
                </c:pt>
                <c:pt idx="29">
                  <c:v>12.733856633618545</c:v>
                </c:pt>
                <c:pt idx="30">
                  <c:v>12.180271952646786</c:v>
                </c:pt>
                <c:pt idx="31">
                  <c:v>11.657859957113974</c:v>
                </c:pt>
                <c:pt idx="32">
                  <c:v>11.164361505830366</c:v>
                </c:pt>
                <c:pt idx="33">
                  <c:v>10.698347487031359</c:v>
                </c:pt>
                <c:pt idx="34">
                  <c:v>10.255912576472353</c:v>
                </c:pt>
                <c:pt idx="35">
                  <c:v>9.8358291501846331</c:v>
                </c:pt>
                <c:pt idx="36">
                  <c:v>9.435824143488281</c:v>
                </c:pt>
                <c:pt idx="37">
                  <c:v>9.0548375150760094</c:v>
                </c:pt>
                <c:pt idx="38">
                  <c:v>8.6963832392545406</c:v>
                </c:pt>
                <c:pt idx="39">
                  <c:v>8.3593571457594749</c:v>
                </c:pt>
                <c:pt idx="40">
                  <c:v>8.0521163849161432</c:v>
                </c:pt>
                <c:pt idx="41">
                  <c:v>7.7737120766099048</c:v>
                </c:pt>
                <c:pt idx="42">
                  <c:v>7.5157225635610452</c:v>
                </c:pt>
                <c:pt idx="43">
                  <c:v>7.2776168410554227</c:v>
                </c:pt>
                <c:pt idx="44">
                  <c:v>7.0590408677056908</c:v>
                </c:pt>
                <c:pt idx="45">
                  <c:v>6.7891856178855283</c:v>
                </c:pt>
                <c:pt idx="46">
                  <c:v>6.4737392549672244</c:v>
                </c:pt>
                <c:pt idx="47">
                  <c:v>6.1284870414605663</c:v>
                </c:pt>
                <c:pt idx="48">
                  <c:v>5.8741034724070431</c:v>
                </c:pt>
                <c:pt idx="49">
                  <c:v>5.6938155377226023</c:v>
                </c:pt>
                <c:pt idx="50">
                  <c:v>5.5844087626694741</c:v>
                </c:pt>
                <c:pt idx="51">
                  <c:v>5.4570985172248454</c:v>
                </c:pt>
                <c:pt idx="52">
                  <c:v>5.3086611979639988</c:v>
                </c:pt>
                <c:pt idx="53">
                  <c:v>5.1385286583905989</c:v>
                </c:pt>
                <c:pt idx="54">
                  <c:v>4.9494545021517826</c:v>
                </c:pt>
                <c:pt idx="55">
                  <c:v>4.7872804489475254</c:v>
                </c:pt>
                <c:pt idx="56">
                  <c:v>4.6489281062753793</c:v>
                </c:pt>
                <c:pt idx="57">
                  <c:v>4.5324660743859013</c:v>
                </c:pt>
                <c:pt idx="58">
                  <c:v>4.4367274784002566</c:v>
                </c:pt>
                <c:pt idx="59">
                  <c:v>4.3558488910734292</c:v>
                </c:pt>
                <c:pt idx="60">
                  <c:v>4.2897052533511664</c:v>
                </c:pt>
                <c:pt idx="61">
                  <c:v>4.2385884275823393</c:v>
                </c:pt>
                <c:pt idx="62">
                  <c:v>4.2034421145023275</c:v>
                </c:pt>
                <c:pt idx="63">
                  <c:v>4.1442478935968063</c:v>
                </c:pt>
                <c:pt idx="64">
                  <c:v>4.0591792326207656</c:v>
                </c:pt>
                <c:pt idx="65">
                  <c:v>3.9508676955219926</c:v>
                </c:pt>
                <c:pt idx="66">
                  <c:v>3.8248035411929253</c:v>
                </c:pt>
                <c:pt idx="67">
                  <c:v>3.6858736712107429</c:v>
                </c:pt>
                <c:pt idx="68">
                  <c:v>3.5555756098822782</c:v>
                </c:pt>
                <c:pt idx="69">
                  <c:v>3.4311322352279667</c:v>
                </c:pt>
                <c:pt idx="70">
                  <c:v>3.3107979501552842</c:v>
                </c:pt>
                <c:pt idx="71">
                  <c:v>3.1934855300384233</c:v>
                </c:pt>
                <c:pt idx="72">
                  <c:v>3.0785077438043538</c:v>
                </c:pt>
                <c:pt idx="73">
                  <c:v>2.965598184125612</c:v>
                </c:pt>
                <c:pt idx="74">
                  <c:v>2.8544273282272776</c:v>
                </c:pt>
                <c:pt idx="75">
                  <c:v>2.7447371050877951</c:v>
                </c:pt>
                <c:pt idx="76">
                  <c:v>2.6363077087769256</c:v>
                </c:pt>
                <c:pt idx="77">
                  <c:v>2.5289402381634392</c:v>
                </c:pt>
                <c:pt idx="78">
                  <c:v>2.4224478412521253</c:v>
                </c:pt>
                <c:pt idx="79">
                  <c:v>2.3166511823745011</c:v>
                </c:pt>
                <c:pt idx="80">
                  <c:v>2.2113759760129668</c:v>
                </c:pt>
                <c:pt idx="81">
                  <c:v>2.1064514263563234</c:v>
                </c:pt>
                <c:pt idx="82">
                  <c:v>2.001708991780903</c:v>
                </c:pt>
                <c:pt idx="83">
                  <c:v>1.8993673990544837</c:v>
                </c:pt>
                <c:pt idx="84">
                  <c:v>1.7992259155929355</c:v>
                </c:pt>
                <c:pt idx="85">
                  <c:v>1.701095591911483</c:v>
                </c:pt>
                <c:pt idx="86">
                  <c:v>1.6047956296066839</c:v>
                </c:pt>
                <c:pt idx="87">
                  <c:v>1.5101529392858024</c:v>
                </c:pt>
                <c:pt idx="88">
                  <c:v>1.417001721887668</c:v>
                </c:pt>
                <c:pt idx="89">
                  <c:v>1.3251830713234205</c:v>
                </c:pt>
                <c:pt idx="90">
                  <c:v>1.2345445970670981</c:v>
                </c:pt>
                <c:pt idx="91">
                  <c:v>1.1449400655859239</c:v>
                </c:pt>
                <c:pt idx="92">
                  <c:v>1.0562290596168649</c:v>
                </c:pt>
                <c:pt idx="93">
                  <c:v>0.97290665114516994</c:v>
                </c:pt>
                <c:pt idx="94">
                  <c:v>0.89472565730697062</c:v>
                </c:pt>
                <c:pt idx="95">
                  <c:v>0.82145203655618226</c:v>
                </c:pt>
                <c:pt idx="96">
                  <c:v>0.75286422915482476</c:v>
                </c:pt>
                <c:pt idx="97">
                  <c:v>0.68875253140614912</c:v>
                </c:pt>
                <c:pt idx="98">
                  <c:v>0.62891850191464915</c:v>
                </c:pt>
                <c:pt idx="99">
                  <c:v>0.57317439824448135</c:v>
                </c:pt>
                <c:pt idx="100">
                  <c:v>0.52134264243078421</c:v>
                </c:pt>
              </c:numCache>
            </c:numRef>
          </c:xVal>
          <c:yVal>
            <c:numRef>
              <c:f>'6states'!$AS$4:$AS$104</c:f>
              <c:numCache>
                <c:formatCode>0.00</c:formatCode>
                <c:ptCount val="101"/>
                <c:pt idx="0">
                  <c:v>170.63579500869244</c:v>
                </c:pt>
                <c:pt idx="1">
                  <c:v>174.81846512483062</c:v>
                </c:pt>
                <c:pt idx="2">
                  <c:v>179.08313761273357</c:v>
                </c:pt>
                <c:pt idx="3">
                  <c:v>183.43239916417255</c:v>
                </c:pt>
                <c:pt idx="4">
                  <c:v>187.8697460941174</c:v>
                </c:pt>
                <c:pt idx="5">
                  <c:v>192.39864566207439</c:v>
                </c:pt>
                <c:pt idx="6">
                  <c:v>197.02254075151157</c:v>
                </c:pt>
                <c:pt idx="7">
                  <c:v>201.74470730982074</c:v>
                </c:pt>
                <c:pt idx="8">
                  <c:v>206.56785090005459</c:v>
                </c:pt>
                <c:pt idx="9">
                  <c:v>211.49624088763977</c:v>
                </c:pt>
                <c:pt idx="10">
                  <c:v>216.5319595496357</c:v>
                </c:pt>
                <c:pt idx="11">
                  <c:v>221.6704660154644</c:v>
                </c:pt>
                <c:pt idx="12">
                  <c:v>226.90934442854046</c:v>
                </c:pt>
                <c:pt idx="13">
                  <c:v>232.24844380200278</c:v>
                </c:pt>
                <c:pt idx="14">
                  <c:v>237.68914767430388</c:v>
                </c:pt>
                <c:pt idx="15">
                  <c:v>243.23510318886824</c:v>
                </c:pt>
                <c:pt idx="16">
                  <c:v>248.8945987449832</c:v>
                </c:pt>
                <c:pt idx="17">
                  <c:v>254.67255570477198</c:v>
                </c:pt>
                <c:pt idx="18">
                  <c:v>260.57123612319123</c:v>
                </c:pt>
                <c:pt idx="19">
                  <c:v>266.5942604960058</c:v>
                </c:pt>
                <c:pt idx="20">
                  <c:v>272.74469595213515</c:v>
                </c:pt>
                <c:pt idx="21">
                  <c:v>279.02530409426589</c:v>
                </c:pt>
                <c:pt idx="22">
                  <c:v>285.43885315486779</c:v>
                </c:pt>
                <c:pt idx="23">
                  <c:v>291.98799071445325</c:v>
                </c:pt>
                <c:pt idx="24">
                  <c:v>298.67528577811731</c:v>
                </c:pt>
                <c:pt idx="25">
                  <c:v>305.50377956713652</c:v>
                </c:pt>
                <c:pt idx="26">
                  <c:v>312.47657958118384</c:v>
                </c:pt>
                <c:pt idx="27">
                  <c:v>319.59692545913038</c:v>
                </c:pt>
                <c:pt idx="28">
                  <c:v>326.86814337957776</c:v>
                </c:pt>
                <c:pt idx="29">
                  <c:v>334.29342885869625</c:v>
                </c:pt>
                <c:pt idx="30">
                  <c:v>341.87601568538292</c:v>
                </c:pt>
                <c:pt idx="31">
                  <c:v>349.61912716497426</c:v>
                </c:pt>
                <c:pt idx="32">
                  <c:v>357.52601998278374</c:v>
                </c:pt>
                <c:pt idx="33">
                  <c:v>365.60003036690188</c:v>
                </c:pt>
                <c:pt idx="34">
                  <c:v>373.84453397484174</c:v>
                </c:pt>
                <c:pt idx="35">
                  <c:v>382.26297251623453</c:v>
                </c:pt>
                <c:pt idx="36">
                  <c:v>390.85883501586903</c:v>
                </c:pt>
                <c:pt idx="37">
                  <c:v>399.63565828207487</c:v>
                </c:pt>
                <c:pt idx="38">
                  <c:v>408.59703071626359</c:v>
                </c:pt>
                <c:pt idx="39">
                  <c:v>417.74655652466305</c:v>
                </c:pt>
                <c:pt idx="40">
                  <c:v>427.0878835295631</c:v>
                </c:pt>
                <c:pt idx="41">
                  <c:v>436.6246069620953</c:v>
                </c:pt>
                <c:pt idx="42">
                  <c:v>446.36034337264482</c:v>
                </c:pt>
                <c:pt idx="43">
                  <c:v>456.2988087331334</c:v>
                </c:pt>
                <c:pt idx="44">
                  <c:v>466.44375436739159</c:v>
                </c:pt>
                <c:pt idx="45">
                  <c:v>476.79896519883653</c:v>
                </c:pt>
                <c:pt idx="46">
                  <c:v>487.36907830127183</c:v>
                </c:pt>
                <c:pt idx="47">
                  <c:v>498.15894974047114</c:v>
                </c:pt>
                <c:pt idx="48">
                  <c:v>509.17364659108176</c:v>
                </c:pt>
                <c:pt idx="49">
                  <c:v>520.41669367833674</c:v>
                </c:pt>
                <c:pt idx="50">
                  <c:v>531.89151206560155</c:v>
                </c:pt>
                <c:pt idx="51">
                  <c:v>543.60142600231859</c:v>
                </c:pt>
                <c:pt idx="52">
                  <c:v>555.55102718903731</c:v>
                </c:pt>
                <c:pt idx="53">
                  <c:v>567.74503580983844</c:v>
                </c:pt>
                <c:pt idx="54">
                  <c:v>580.18831254375664</c:v>
                </c:pt>
                <c:pt idx="55">
                  <c:v>592.8858636842657</c:v>
                </c:pt>
                <c:pt idx="56">
                  <c:v>605.84212275020559</c:v>
                </c:pt>
                <c:pt idx="57">
                  <c:v>619.06153506479131</c:v>
                </c:pt>
                <c:pt idx="58">
                  <c:v>632.54855717243561</c:v>
                </c:pt>
                <c:pt idx="59">
                  <c:v>646.30765438781543</c:v>
                </c:pt>
                <c:pt idx="60">
                  <c:v>660.34332535533417</c:v>
                </c:pt>
                <c:pt idx="61">
                  <c:v>674.66008206418371</c:v>
                </c:pt>
                <c:pt idx="62">
                  <c:v>689.26244401307622</c:v>
                </c:pt>
                <c:pt idx="63">
                  <c:v>704.15492989670577</c:v>
                </c:pt>
                <c:pt idx="64">
                  <c:v>719.34278569706544</c:v>
                </c:pt>
                <c:pt idx="65">
                  <c:v>734.83140137756948</c:v>
                </c:pt>
                <c:pt idx="66">
                  <c:v>750.62631505276738</c:v>
                </c:pt>
                <c:pt idx="67">
                  <c:v>766.73320814865463</c:v>
                </c:pt>
                <c:pt idx="68">
                  <c:v>783.15790086952859</c:v>
                </c:pt>
                <c:pt idx="69">
                  <c:v>799.90589801569274</c:v>
                </c:pt>
                <c:pt idx="70">
                  <c:v>816.98276229394378</c:v>
                </c:pt>
                <c:pt idx="71">
                  <c:v>834.39411863924499</c:v>
                </c:pt>
                <c:pt idx="72">
                  <c:v>852.1456569353669</c:v>
                </c:pt>
                <c:pt idx="73">
                  <c:v>870.24313371652113</c:v>
                </c:pt>
                <c:pt idx="74">
                  <c:v>888.69241826726227</c:v>
                </c:pt>
                <c:pt idx="75">
                  <c:v>907.49944901820584</c:v>
                </c:pt>
                <c:pt idx="76">
                  <c:v>926.67023385250286</c:v>
                </c:pt>
                <c:pt idx="77">
                  <c:v>946.21085032095561</c:v>
                </c:pt>
                <c:pt idx="78">
                  <c:v>966.12744581789673</c:v>
                </c:pt>
                <c:pt idx="79">
                  <c:v>986.42623774785955</c:v>
                </c:pt>
                <c:pt idx="80">
                  <c:v>1007.1135137021412</c:v>
                </c:pt>
                <c:pt idx="81">
                  <c:v>1028.1956316598951</c:v>
                </c:pt>
                <c:pt idx="82">
                  <c:v>1049.6790202277055</c:v>
                </c:pt>
                <c:pt idx="83">
                  <c:v>1071.5701789332313</c:v>
                </c:pt>
                <c:pt idx="84">
                  <c:v>1093.8755997936964</c:v>
                </c:pt>
                <c:pt idx="85">
                  <c:v>1116.6018297806211</c:v>
                </c:pt>
                <c:pt idx="86">
                  <c:v>1139.7554694984267</c:v>
                </c:pt>
                <c:pt idx="87">
                  <c:v>1163.3431718502047</c:v>
                </c:pt>
                <c:pt idx="88">
                  <c:v>1187.3716405988778</c:v>
                </c:pt>
                <c:pt idx="89">
                  <c:v>1211.847628822446</c:v>
                </c:pt>
                <c:pt idx="90">
                  <c:v>1236.7779372619507</c:v>
                </c:pt>
                <c:pt idx="91">
                  <c:v>1262.1694125607189</c:v>
                </c:pt>
                <c:pt idx="92">
                  <c:v>1288.0289453934301</c:v>
                </c:pt>
                <c:pt idx="93">
                  <c:v>1314.363468483489</c:v>
                </c:pt>
                <c:pt idx="94">
                  <c:v>1341.1798470049191</c:v>
                </c:pt>
                <c:pt idx="95">
                  <c:v>1368.4849502463899</c:v>
                </c:pt>
                <c:pt idx="96">
                  <c:v>1396.2856462370007</c:v>
                </c:pt>
                <c:pt idx="97">
                  <c:v>1424.5887960253283</c:v>
                </c:pt>
                <c:pt idx="98">
                  <c:v>1453.4012475958232</c:v>
                </c:pt>
                <c:pt idx="99">
                  <c:v>1482.7298294058526</c:v>
                </c:pt>
                <c:pt idx="100">
                  <c:v>1512.5813435259179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'6states'!$K$3</c:f>
              <c:strCache>
                <c:ptCount val="1"/>
                <c:pt idx="0">
                  <c:v>P[t]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'6states'!$K$4:$K$63</c:f>
              <c:numCache>
                <c:formatCode>0.0</c:formatCode>
                <c:ptCount val="60"/>
                <c:pt idx="0">
                  <c:v>53.2</c:v>
                </c:pt>
                <c:pt idx="1">
                  <c:v>42.510161363168976</c:v>
                </c:pt>
                <c:pt idx="2">
                  <c:v>39.055327776035462</c:v>
                </c:pt>
                <c:pt idx="3">
                  <c:v>36.422178495444875</c:v>
                </c:pt>
                <c:pt idx="4">
                  <c:v>34.146937186507181</c:v>
                </c:pt>
                <c:pt idx="5">
                  <c:v>32.094520197233962</c:v>
                </c:pt>
                <c:pt idx="6">
                  <c:v>30.225567879971717</c:v>
                </c:pt>
                <c:pt idx="7">
                  <c:v>28.577677668201662</c:v>
                </c:pt>
                <c:pt idx="8">
                  <c:v>26.860521760437852</c:v>
                </c:pt>
                <c:pt idx="9">
                  <c:v>25.442127773511338</c:v>
                </c:pt>
                <c:pt idx="10">
                  <c:v>25.139704987153451</c:v>
                </c:pt>
                <c:pt idx="11">
                  <c:v>25.473843610302715</c:v>
                </c:pt>
                <c:pt idx="12">
                  <c:v>26.079113894807893</c:v>
                </c:pt>
                <c:pt idx="13">
                  <c:v>26.661119257977141</c:v>
                </c:pt>
                <c:pt idx="14">
                  <c:v>26.769193345586626</c:v>
                </c:pt>
                <c:pt idx="15">
                  <c:v>25.269493669278017</c:v>
                </c:pt>
                <c:pt idx="16">
                  <c:v>23.539645053040751</c:v>
                </c:pt>
                <c:pt idx="17">
                  <c:v>22.295562485879397</c:v>
                </c:pt>
                <c:pt idx="18">
                  <c:v>21.073451271850267</c:v>
                </c:pt>
                <c:pt idx="19">
                  <c:v>19.957806751309459</c:v>
                </c:pt>
                <c:pt idx="20">
                  <c:v>18.973772845453045</c:v>
                </c:pt>
                <c:pt idx="21">
                  <c:v>18.089411801143473</c:v>
                </c:pt>
                <c:pt idx="22">
                  <c:v>17.297656229744643</c:v>
                </c:pt>
                <c:pt idx="23">
                  <c:v>16.596598667404646</c:v>
                </c:pt>
                <c:pt idx="24">
                  <c:v>15.913830189969003</c:v>
                </c:pt>
                <c:pt idx="25">
                  <c:v>15.246108206639054</c:v>
                </c:pt>
                <c:pt idx="26">
                  <c:v>14.58820039152007</c:v>
                </c:pt>
                <c:pt idx="27">
                  <c:v>13.937781831913535</c:v>
                </c:pt>
                <c:pt idx="28">
                  <c:v>13.320231772584766</c:v>
                </c:pt>
                <c:pt idx="29">
                  <c:v>12.733856633618545</c:v>
                </c:pt>
                <c:pt idx="30">
                  <c:v>12.180271952646786</c:v>
                </c:pt>
                <c:pt idx="31">
                  <c:v>11.657859957113974</c:v>
                </c:pt>
                <c:pt idx="32">
                  <c:v>11.164361505830366</c:v>
                </c:pt>
                <c:pt idx="33">
                  <c:v>10.698347487031359</c:v>
                </c:pt>
                <c:pt idx="34">
                  <c:v>10.255912576472353</c:v>
                </c:pt>
                <c:pt idx="35">
                  <c:v>9.8358291501846331</c:v>
                </c:pt>
                <c:pt idx="36">
                  <c:v>9.435824143488281</c:v>
                </c:pt>
                <c:pt idx="37">
                  <c:v>9.0548375150760094</c:v>
                </c:pt>
                <c:pt idx="38">
                  <c:v>8.6963832392545406</c:v>
                </c:pt>
                <c:pt idx="39">
                  <c:v>8.3593571457594749</c:v>
                </c:pt>
                <c:pt idx="40">
                  <c:v>8.0521163849161432</c:v>
                </c:pt>
                <c:pt idx="41">
                  <c:v>7.7737120766099048</c:v>
                </c:pt>
                <c:pt idx="42">
                  <c:v>7.5157225635610452</c:v>
                </c:pt>
                <c:pt idx="43">
                  <c:v>7.2776168410554227</c:v>
                </c:pt>
                <c:pt idx="44">
                  <c:v>7.0590408677056908</c:v>
                </c:pt>
                <c:pt idx="45">
                  <c:v>6.7891856178855283</c:v>
                </c:pt>
                <c:pt idx="46">
                  <c:v>6.4737392549672244</c:v>
                </c:pt>
                <c:pt idx="47">
                  <c:v>6.1284870414605663</c:v>
                </c:pt>
                <c:pt idx="48">
                  <c:v>5.8741034724070431</c:v>
                </c:pt>
                <c:pt idx="49">
                  <c:v>5.6938155377226023</c:v>
                </c:pt>
                <c:pt idx="50">
                  <c:v>5.5844087626694741</c:v>
                </c:pt>
                <c:pt idx="51">
                  <c:v>5.4570985172248454</c:v>
                </c:pt>
                <c:pt idx="52">
                  <c:v>5.3086611979639988</c:v>
                </c:pt>
                <c:pt idx="53">
                  <c:v>5.1385286583905989</c:v>
                </c:pt>
                <c:pt idx="54">
                  <c:v>4.9494545021517826</c:v>
                </c:pt>
                <c:pt idx="55">
                  <c:v>4.7872804489475254</c:v>
                </c:pt>
                <c:pt idx="56">
                  <c:v>4.6489281062753793</c:v>
                </c:pt>
                <c:pt idx="57">
                  <c:v>4.5324660743859013</c:v>
                </c:pt>
                <c:pt idx="58">
                  <c:v>4.4367274784002566</c:v>
                </c:pt>
                <c:pt idx="59">
                  <c:v>4.3558488910734292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A5-48BF-A199-C6A7F1F97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0258288"/>
        <c:axId val="1649690160"/>
      </c:lineChart>
      <c:catAx>
        <c:axId val="17702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auto val="1"/>
        <c:lblAlgn val="ctr"/>
        <c:lblOffset val="100"/>
        <c:noMultiLvlLbl val="0"/>
      </c:cat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'6states'!$B$3</c:f>
              <c:strCache>
                <c:ptCount val="1"/>
                <c:pt idx="0">
                  <c:v>i_d[t]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'6states'!$B$4:$B$63</c:f>
              <c:numCache>
                <c:formatCode>0.000</c:formatCode>
                <c:ptCount val="60"/>
                <c:pt idx="0">
                  <c:v>-2.8124506507207419E-2</c:v>
                </c:pt>
                <c:pt idx="1">
                  <c:v>-1.0499619921722611E-2</c:v>
                </c:pt>
                <c:pt idx="2">
                  <c:v>-6.6558128757959511E-3</c:v>
                </c:pt>
                <c:pt idx="3">
                  <c:v>-4.8907716974570716E-3</c:v>
                </c:pt>
                <c:pt idx="4">
                  <c:v>-3.9105240541653114E-3</c:v>
                </c:pt>
                <c:pt idx="5">
                  <c:v>-3.047935195548049E-3</c:v>
                </c:pt>
                <c:pt idx="6">
                  <c:v>-1.3973649888093245E-3</c:v>
                </c:pt>
                <c:pt idx="7">
                  <c:v>-3.5797567777700839E-3</c:v>
                </c:pt>
                <c:pt idx="8">
                  <c:v>-6.5021139048236187E-4</c:v>
                </c:pt>
                <c:pt idx="9">
                  <c:v>1.4940548720075287E-2</c:v>
                </c:pt>
                <c:pt idx="10">
                  <c:v>2.4351969017812801E-2</c:v>
                </c:pt>
                <c:pt idx="11">
                  <c:v>2.7717100321438256E-2</c:v>
                </c:pt>
                <c:pt idx="12">
                  <c:v>2.565214507561233E-2</c:v>
                </c:pt>
                <c:pt idx="13">
                  <c:v>1.6234739146242867E-2</c:v>
                </c:pt>
                <c:pt idx="14">
                  <c:v>-3.8015281062989066E-4</c:v>
                </c:pt>
                <c:pt idx="15">
                  <c:v>-2.816962864502762E-3</c:v>
                </c:pt>
                <c:pt idx="16">
                  <c:v>1.7296602921014389E-5</c:v>
                </c:pt>
                <c:pt idx="17">
                  <c:v>-3.9375361194989744E-4</c:v>
                </c:pt>
                <c:pt idx="18">
                  <c:v>-5.8173734502860701E-5</c:v>
                </c:pt>
                <c:pt idx="19">
                  <c:v>6.1081688084219251E-4</c:v>
                </c:pt>
                <c:pt idx="20">
                  <c:v>1.0705854822118431E-3</c:v>
                </c:pt>
                <c:pt idx="21">
                  <c:v>1.5070986020486879E-3</c:v>
                </c:pt>
                <c:pt idx="22">
                  <c:v>1.9436117218855325E-3</c:v>
                </c:pt>
                <c:pt idx="23">
                  <c:v>1.74377372032706E-3</c:v>
                </c:pt>
                <c:pt idx="24">
                  <c:v>1.5439357187685876E-3</c:v>
                </c:pt>
                <c:pt idx="25">
                  <c:v>1.3257325972175333E-3</c:v>
                </c:pt>
                <c:pt idx="26">
                  <c:v>1.1075294756664788E-3</c:v>
                </c:pt>
                <c:pt idx="27">
                  <c:v>1.0966744174482042E-3</c:v>
                </c:pt>
                <c:pt idx="28">
                  <c:v>1.0858193592299297E-3</c:v>
                </c:pt>
                <c:pt idx="29">
                  <c:v>1.0994217119007616E-3</c:v>
                </c:pt>
                <c:pt idx="30">
                  <c:v>1.1130240645715935E-3</c:v>
                </c:pt>
                <c:pt idx="31">
                  <c:v>1.1212211385380469E-3</c:v>
                </c:pt>
                <c:pt idx="32">
                  <c:v>1.1294182125045002E-3</c:v>
                </c:pt>
                <c:pt idx="33">
                  <c:v>1.1192362475932315E-3</c:v>
                </c:pt>
                <c:pt idx="34">
                  <c:v>1.1090542826819631E-3</c:v>
                </c:pt>
                <c:pt idx="35">
                  <c:v>1.0910540604322579E-3</c:v>
                </c:pt>
                <c:pt idx="36">
                  <c:v>1.0730538381825525E-3</c:v>
                </c:pt>
                <c:pt idx="37">
                  <c:v>1.086219799249416E-3</c:v>
                </c:pt>
                <c:pt idx="38">
                  <c:v>1.0993857603162794E-3</c:v>
                </c:pt>
                <c:pt idx="39">
                  <c:v>1.1758840616473525E-3</c:v>
                </c:pt>
                <c:pt idx="40">
                  <c:v>1.2523823629784253E-3</c:v>
                </c:pt>
                <c:pt idx="41">
                  <c:v>1.2787996757041382E-3</c:v>
                </c:pt>
                <c:pt idx="42">
                  <c:v>1.3052169884298511E-3</c:v>
                </c:pt>
                <c:pt idx="43">
                  <c:v>1.331634301155564E-3</c:v>
                </c:pt>
                <c:pt idx="44">
                  <c:v>9.6407893667289674E-4</c:v>
                </c:pt>
                <c:pt idx="45">
                  <c:v>5.965235721902295E-4</c:v>
                </c:pt>
                <c:pt idx="46">
                  <c:v>2.2896820770756203E-4</c:v>
                </c:pt>
                <c:pt idx="47">
                  <c:v>6.6355231848431464E-4</c:v>
                </c:pt>
                <c:pt idx="48">
                  <c:v>1.0981364292610672E-3</c:v>
                </c:pt>
                <c:pt idx="49">
                  <c:v>1.53272054003782E-3</c:v>
                </c:pt>
                <c:pt idx="50">
                  <c:v>1.335390739173726E-3</c:v>
                </c:pt>
                <c:pt idx="51">
                  <c:v>1.138060938309632E-3</c:v>
                </c:pt>
                <c:pt idx="52">
                  <c:v>9.407311374455379E-4</c:v>
                </c:pt>
                <c:pt idx="53">
                  <c:v>7.4340133658144369E-4</c:v>
                </c:pt>
                <c:pt idx="54">
                  <c:v>8.3780352596044255E-4</c:v>
                </c:pt>
                <c:pt idx="55">
                  <c:v>9.3220571533944141E-4</c:v>
                </c:pt>
                <c:pt idx="56">
                  <c:v>1.0266079047184403E-3</c:v>
                </c:pt>
                <c:pt idx="57">
                  <c:v>1.1210100940974392E-3</c:v>
                </c:pt>
                <c:pt idx="58">
                  <c:v>1.1786891582746023E-3</c:v>
                </c:pt>
                <c:pt idx="59">
                  <c:v>1.2363682224517654E-3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1-492A-92DD-162A28990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4188928"/>
        <c:axId val="1854189408"/>
      </c:lineChart>
      <c:catAx>
        <c:axId val="1854188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189408"/>
        <c:crosses val="autoZero"/>
        <c:auto val="1"/>
        <c:lblAlgn val="ctr"/>
        <c:lblOffset val="100"/>
        <c:noMultiLvlLbl val="0"/>
      </c:catAx>
      <c:valAx>
        <c:axId val="185418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188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'6states'!$U$3</c:f>
              <c:strCache>
                <c:ptCount val="1"/>
                <c:pt idx="0">
                  <c:v>E[t]/(A[t]*L[t])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'6states'!$U$4:$U$63</c:f>
              <c:numCache>
                <c:formatCode>0.00</c:formatCode>
                <c:ptCount val="60"/>
                <c:pt idx="0">
                  <c:v>0.53582250067468473</c:v>
                </c:pt>
                <c:pt idx="1">
                  <c:v>0.5023309822914096</c:v>
                </c:pt>
                <c:pt idx="2">
                  <c:v>0.48094841283493778</c:v>
                </c:pt>
                <c:pt idx="3">
                  <c:v>0.46306429807881727</c:v>
                </c:pt>
                <c:pt idx="4">
                  <c:v>0.44728887021478453</c:v>
                </c:pt>
                <c:pt idx="5">
                  <c:v>0.43304061574922609</c:v>
                </c:pt>
                <c:pt idx="6">
                  <c:v>0.4201564782615233</c:v>
                </c:pt>
                <c:pt idx="7">
                  <c:v>0.40905667067381113</c:v>
                </c:pt>
                <c:pt idx="8">
                  <c:v>0.39701832481552063</c:v>
                </c:pt>
                <c:pt idx="9">
                  <c:v>0.38745108503512277</c:v>
                </c:pt>
                <c:pt idx="10">
                  <c:v>0.38867466634191444</c:v>
                </c:pt>
                <c:pt idx="11">
                  <c:v>0.39574843058223091</c:v>
                </c:pt>
                <c:pt idx="12">
                  <c:v>0.40464570765091551</c:v>
                </c:pt>
                <c:pt idx="13">
                  <c:v>0.41214978271745173</c:v>
                </c:pt>
                <c:pt idx="14">
                  <c:v>0.41378731899867621</c:v>
                </c:pt>
                <c:pt idx="15">
                  <c:v>0.40439723044267228</c:v>
                </c:pt>
                <c:pt idx="16">
                  <c:v>0.39415257022142447</c:v>
                </c:pt>
                <c:pt idx="17">
                  <c:v>0.38693370170745967</c:v>
                </c:pt>
                <c:pt idx="18">
                  <c:v>0.38013127655754458</c:v>
                </c:pt>
                <c:pt idx="19">
                  <c:v>0.37422144013147313</c:v>
                </c:pt>
                <c:pt idx="20">
                  <c:v>0.36936004033510555</c:v>
                </c:pt>
                <c:pt idx="21">
                  <c:v>0.36529670000869036</c:v>
                </c:pt>
                <c:pt idx="22">
                  <c:v>0.36194288085585324</c:v>
                </c:pt>
                <c:pt idx="23">
                  <c:v>0.35928131574495809</c:v>
                </c:pt>
                <c:pt idx="24">
                  <c:v>0.35673258849367084</c:v>
                </c:pt>
                <c:pt idx="25">
                  <c:v>0.35429592848318014</c:v>
                </c:pt>
                <c:pt idx="26">
                  <c:v>0.35192024090339602</c:v>
                </c:pt>
                <c:pt idx="27">
                  <c:v>0.34960535935512937</c:v>
                </c:pt>
                <c:pt idx="28">
                  <c:v>0.34750423800027125</c:v>
                </c:pt>
                <c:pt idx="29">
                  <c:v>0.34561173575047827</c:v>
                </c:pt>
                <c:pt idx="30">
                  <c:v>0.34388767659994901</c:v>
                </c:pt>
                <c:pt idx="31">
                  <c:v>0.34232838892707884</c:v>
                </c:pt>
                <c:pt idx="32">
                  <c:v>0.34093183773610819</c:v>
                </c:pt>
                <c:pt idx="33">
                  <c:v>0.3396930808287536</c:v>
                </c:pt>
                <c:pt idx="34">
                  <c:v>0.33855016031714086</c:v>
                </c:pt>
                <c:pt idx="35">
                  <c:v>0.33750032757450038</c:v>
                </c:pt>
                <c:pt idx="36">
                  <c:v>0.3365381287168549</c:v>
                </c:pt>
                <c:pt idx="37">
                  <c:v>0.33566026765476431</c:v>
                </c:pt>
                <c:pt idx="38">
                  <c:v>0.33488264706506798</c:v>
                </c:pt>
                <c:pt idx="39">
                  <c:v>0.3342010155203014</c:v>
                </c:pt>
                <c:pt idx="40">
                  <c:v>0.33366969149743758</c:v>
                </c:pt>
                <c:pt idx="41">
                  <c:v>0.33328158813828856</c:v>
                </c:pt>
                <c:pt idx="42">
                  <c:v>0.33297657753618343</c:v>
                </c:pt>
                <c:pt idx="43">
                  <c:v>0.33275022385171349</c:v>
                </c:pt>
                <c:pt idx="44">
                  <c:v>0.33259811881142887</c:v>
                </c:pt>
                <c:pt idx="45">
                  <c:v>0.3321827748891682</c:v>
                </c:pt>
                <c:pt idx="46">
                  <c:v>0.33151120768738146</c:v>
                </c:pt>
                <c:pt idx="47">
                  <c:v>0.33058877748436349</c:v>
                </c:pt>
                <c:pt idx="48">
                  <c:v>0.33014992890975442</c:v>
                </c:pt>
                <c:pt idx="49">
                  <c:v>0.33016467069144639</c:v>
                </c:pt>
                <c:pt idx="50">
                  <c:v>0.33060115894349357</c:v>
                </c:pt>
                <c:pt idx="51">
                  <c:v>0.33086425295699251</c:v>
                </c:pt>
                <c:pt idx="52">
                  <c:v>0.33096106523515417</c:v>
                </c:pt>
                <c:pt idx="53">
                  <c:v>0.33089808479387545</c:v>
                </c:pt>
                <c:pt idx="54">
                  <c:v>0.33068115260345099</c:v>
                </c:pt>
                <c:pt idx="55">
                  <c:v>0.33057576533478933</c:v>
                </c:pt>
                <c:pt idx="56">
                  <c:v>0.33057456696472987</c:v>
                </c:pt>
                <c:pt idx="57">
                  <c:v>0.33067031661336582</c:v>
                </c:pt>
                <c:pt idx="58">
                  <c:v>0.33085591373838197</c:v>
                </c:pt>
                <c:pt idx="59">
                  <c:v>0.33113584689777203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72-47EC-9CDD-4836AA0BF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5862304"/>
        <c:axId val="1855863744"/>
      </c:lineChart>
      <c:catAx>
        <c:axId val="185586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863744"/>
        <c:crosses val="autoZero"/>
        <c:auto val="1"/>
        <c:lblAlgn val="ctr"/>
        <c:lblOffset val="100"/>
        <c:noMultiLvlLbl val="0"/>
      </c:catAx>
      <c:valAx>
        <c:axId val="185586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86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SCC</a:t>
            </a:r>
            <a:r>
              <a:rPr lang="en-BE"/>
              <a:t> trajectory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'6states'!$AS$3</c:f>
              <c:strCache>
                <c:ptCount val="1"/>
                <c:pt idx="0">
                  <c:v>SCC[t]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'6states'!$AS$4:$AS$63</c:f>
              <c:numCache>
                <c:formatCode>0.00</c:formatCode>
                <c:ptCount val="60"/>
                <c:pt idx="0">
                  <c:v>170.63579500869244</c:v>
                </c:pt>
                <c:pt idx="1">
                  <c:v>174.81846512483062</c:v>
                </c:pt>
                <c:pt idx="2">
                  <c:v>179.08313761273357</c:v>
                </c:pt>
                <c:pt idx="3">
                  <c:v>183.43239916417255</c:v>
                </c:pt>
                <c:pt idx="4">
                  <c:v>187.8697460941174</c:v>
                </c:pt>
                <c:pt idx="5">
                  <c:v>192.39864566207439</c:v>
                </c:pt>
                <c:pt idx="6">
                  <c:v>197.02254075151157</c:v>
                </c:pt>
                <c:pt idx="7">
                  <c:v>201.74470730982074</c:v>
                </c:pt>
                <c:pt idx="8">
                  <c:v>206.56785090005459</c:v>
                </c:pt>
                <c:pt idx="9">
                  <c:v>211.49624088763977</c:v>
                </c:pt>
                <c:pt idx="10">
                  <c:v>216.5319595496357</c:v>
                </c:pt>
                <c:pt idx="11">
                  <c:v>221.6704660154644</c:v>
                </c:pt>
                <c:pt idx="12">
                  <c:v>226.90934442854046</c:v>
                </c:pt>
                <c:pt idx="13">
                  <c:v>232.24844380200278</c:v>
                </c:pt>
                <c:pt idx="14">
                  <c:v>237.68914767430388</c:v>
                </c:pt>
                <c:pt idx="15">
                  <c:v>243.23510318886824</c:v>
                </c:pt>
                <c:pt idx="16">
                  <c:v>248.8945987449832</c:v>
                </c:pt>
                <c:pt idx="17">
                  <c:v>254.67255570477198</c:v>
                </c:pt>
                <c:pt idx="18">
                  <c:v>260.57123612319123</c:v>
                </c:pt>
                <c:pt idx="19">
                  <c:v>266.5942604960058</c:v>
                </c:pt>
                <c:pt idx="20">
                  <c:v>272.74469595213515</c:v>
                </c:pt>
                <c:pt idx="21">
                  <c:v>279.02530409426589</c:v>
                </c:pt>
                <c:pt idx="22">
                  <c:v>285.43885315486779</c:v>
                </c:pt>
                <c:pt idx="23">
                  <c:v>291.98799071445325</c:v>
                </c:pt>
                <c:pt idx="24">
                  <c:v>298.67528577811731</c:v>
                </c:pt>
                <c:pt idx="25">
                  <c:v>305.50377956713652</c:v>
                </c:pt>
                <c:pt idx="26">
                  <c:v>312.47657958118384</c:v>
                </c:pt>
                <c:pt idx="27">
                  <c:v>319.59692545913038</c:v>
                </c:pt>
                <c:pt idx="28">
                  <c:v>326.86814337957776</c:v>
                </c:pt>
                <c:pt idx="29">
                  <c:v>334.29342885869625</c:v>
                </c:pt>
                <c:pt idx="30">
                  <c:v>341.87601568538292</c:v>
                </c:pt>
                <c:pt idx="31">
                  <c:v>349.61912716497426</c:v>
                </c:pt>
                <c:pt idx="32">
                  <c:v>357.52601998278374</c:v>
                </c:pt>
                <c:pt idx="33">
                  <c:v>365.60003036690188</c:v>
                </c:pt>
                <c:pt idx="34">
                  <c:v>373.84453397484174</c:v>
                </c:pt>
                <c:pt idx="35">
                  <c:v>382.26297251623453</c:v>
                </c:pt>
                <c:pt idx="36">
                  <c:v>390.85883501586903</c:v>
                </c:pt>
                <c:pt idx="37">
                  <c:v>399.63565828207487</c:v>
                </c:pt>
                <c:pt idx="38">
                  <c:v>408.59703071626359</c:v>
                </c:pt>
                <c:pt idx="39">
                  <c:v>417.74655652466305</c:v>
                </c:pt>
                <c:pt idx="40">
                  <c:v>427.0878835295631</c:v>
                </c:pt>
                <c:pt idx="41">
                  <c:v>436.6246069620953</c:v>
                </c:pt>
                <c:pt idx="42">
                  <c:v>446.36034337264482</c:v>
                </c:pt>
                <c:pt idx="43">
                  <c:v>456.2988087331334</c:v>
                </c:pt>
                <c:pt idx="44">
                  <c:v>466.44375436739159</c:v>
                </c:pt>
                <c:pt idx="45">
                  <c:v>476.79896519883653</c:v>
                </c:pt>
                <c:pt idx="46">
                  <c:v>487.36907830127183</c:v>
                </c:pt>
                <c:pt idx="47">
                  <c:v>498.15894974047114</c:v>
                </c:pt>
                <c:pt idx="48">
                  <c:v>509.17364659108176</c:v>
                </c:pt>
                <c:pt idx="49">
                  <c:v>520.41669367833674</c:v>
                </c:pt>
                <c:pt idx="50">
                  <c:v>531.89151206560155</c:v>
                </c:pt>
                <c:pt idx="51">
                  <c:v>543.60142600231859</c:v>
                </c:pt>
                <c:pt idx="52">
                  <c:v>555.55102718903731</c:v>
                </c:pt>
                <c:pt idx="53">
                  <c:v>567.74503580983844</c:v>
                </c:pt>
                <c:pt idx="54">
                  <c:v>580.18831254375664</c:v>
                </c:pt>
                <c:pt idx="55">
                  <c:v>592.8858636842657</c:v>
                </c:pt>
                <c:pt idx="56">
                  <c:v>605.84212275020559</c:v>
                </c:pt>
                <c:pt idx="57">
                  <c:v>619.06153506479131</c:v>
                </c:pt>
                <c:pt idx="58">
                  <c:v>632.54855717243561</c:v>
                </c:pt>
                <c:pt idx="59">
                  <c:v>646.30765438781543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F-476F-8621-D9482BDA1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4846031"/>
        <c:axId val="2009081375"/>
      </c:lineChart>
      <c:catAx>
        <c:axId val="2004846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081375"/>
        <c:crosses val="autoZero"/>
        <c:auto val="1"/>
        <c:lblAlgn val="ctr"/>
        <c:lblOffset val="100"/>
        <c:noMultiLvlLbl val="0"/>
      </c:catAx>
      <c:valAx>
        <c:axId val="200908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46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</a:t>
            </a:r>
            <a:r>
              <a:rPr lang="en-BE"/>
              <a:t>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'6states'!$C$4:$C$63</c:f>
              <c:numCache>
                <c:formatCode>0.000</c:formatCode>
                <c:ptCount val="60"/>
                <c:pt idx="0">
                  <c:v>3.6740613247118817E-2</c:v>
                </c:pt>
                <c:pt idx="1">
                  <c:v>4.0543531911721761E-2</c:v>
                </c:pt>
                <c:pt idx="2">
                  <c:v>4.4251292975838102E-2</c:v>
                </c:pt>
                <c:pt idx="3">
                  <c:v>4.7731893601737643E-2</c:v>
                </c:pt>
                <c:pt idx="4">
                  <c:v>5.0910122671851209E-2</c:v>
                </c:pt>
                <c:pt idx="5">
                  <c:v>5.3707979630027318E-2</c:v>
                </c:pt>
                <c:pt idx="6">
                  <c:v>5.6014685745839773E-2</c:v>
                </c:pt>
                <c:pt idx="7">
                  <c:v>5.7714133113546048E-2</c:v>
                </c:pt>
                <c:pt idx="8">
                  <c:v>5.8701307132718164E-2</c:v>
                </c:pt>
                <c:pt idx="9">
                  <c:v>5.9104640004562461E-2</c:v>
                </c:pt>
                <c:pt idx="10">
                  <c:v>5.9466324593807136E-2</c:v>
                </c:pt>
                <c:pt idx="11">
                  <c:v>6.0311935324989935E-2</c:v>
                </c:pt>
                <c:pt idx="12">
                  <c:v>6.1999033922398909E-2</c:v>
                </c:pt>
                <c:pt idx="13">
                  <c:v>6.4698148518354676E-2</c:v>
                </c:pt>
                <c:pt idx="14">
                  <c:v>6.8013288215795192E-2</c:v>
                </c:pt>
                <c:pt idx="15">
                  <c:v>7.1161641908151621E-2</c:v>
                </c:pt>
                <c:pt idx="16">
                  <c:v>7.394461890993298E-2</c:v>
                </c:pt>
                <c:pt idx="17">
                  <c:v>7.645275680404548E-2</c:v>
                </c:pt>
                <c:pt idx="18">
                  <c:v>7.8534877328805069E-2</c:v>
                </c:pt>
                <c:pt idx="19">
                  <c:v>8.0191488128401101E-2</c:v>
                </c:pt>
                <c:pt idx="20">
                  <c:v>8.1541130679914031E-2</c:v>
                </c:pt>
                <c:pt idx="21">
                  <c:v>8.2618814487901052E-2</c:v>
                </c:pt>
                <c:pt idx="22">
                  <c:v>8.3696498295888072E-2</c:v>
                </c:pt>
                <c:pt idx="23">
                  <c:v>8.4537067092583351E-2</c:v>
                </c:pt>
                <c:pt idx="24">
                  <c:v>8.5377635889278616E-2</c:v>
                </c:pt>
                <c:pt idx="25">
                  <c:v>8.6032154223775206E-2</c:v>
                </c:pt>
                <c:pt idx="26">
                  <c:v>8.6686672558271796E-2</c:v>
                </c:pt>
                <c:pt idx="27">
                  <c:v>8.7206922203845461E-2</c:v>
                </c:pt>
                <c:pt idx="28">
                  <c:v>8.7727171849419125E-2</c:v>
                </c:pt>
                <c:pt idx="29">
                  <c:v>8.794016516739489E-2</c:v>
                </c:pt>
                <c:pt idx="30">
                  <c:v>8.8153158485370656E-2</c:v>
                </c:pt>
                <c:pt idx="31">
                  <c:v>8.8404857578413973E-2</c:v>
                </c:pt>
                <c:pt idx="32">
                  <c:v>8.865655667145729E-2</c:v>
                </c:pt>
                <c:pt idx="33">
                  <c:v>8.8690075242698313E-2</c:v>
                </c:pt>
                <c:pt idx="34">
                  <c:v>8.872359381393935E-2</c:v>
                </c:pt>
                <c:pt idx="35">
                  <c:v>8.8783627569477386E-2</c:v>
                </c:pt>
                <c:pt idx="36">
                  <c:v>8.8843661325015422E-2</c:v>
                </c:pt>
                <c:pt idx="37">
                  <c:v>8.8849398241823752E-2</c:v>
                </c:pt>
                <c:pt idx="38">
                  <c:v>8.8855135158632095E-2</c:v>
                </c:pt>
                <c:pt idx="39">
                  <c:v>8.8851344663242987E-2</c:v>
                </c:pt>
                <c:pt idx="40">
                  <c:v>8.8847554167853893E-2</c:v>
                </c:pt>
                <c:pt idx="41">
                  <c:v>8.8817495623269904E-2</c:v>
                </c:pt>
                <c:pt idx="42">
                  <c:v>8.8787437078685916E-2</c:v>
                </c:pt>
                <c:pt idx="43">
                  <c:v>8.8757378534101913E-2</c:v>
                </c:pt>
                <c:pt idx="44">
                  <c:v>8.9006402311692573E-2</c:v>
                </c:pt>
                <c:pt idx="45">
                  <c:v>8.9255426089283232E-2</c:v>
                </c:pt>
                <c:pt idx="46">
                  <c:v>8.9504449866873878E-2</c:v>
                </c:pt>
                <c:pt idx="47">
                  <c:v>8.9251505023683897E-2</c:v>
                </c:pt>
                <c:pt idx="48">
                  <c:v>8.8998560180493916E-2</c:v>
                </c:pt>
                <c:pt idx="49">
                  <c:v>8.8745615337303949E-2</c:v>
                </c:pt>
                <c:pt idx="50">
                  <c:v>8.8793822326871441E-2</c:v>
                </c:pt>
                <c:pt idx="51">
                  <c:v>8.8842029316438947E-2</c:v>
                </c:pt>
                <c:pt idx="52">
                  <c:v>8.8890236306006454E-2</c:v>
                </c:pt>
                <c:pt idx="53">
                  <c:v>8.8938443295573946E-2</c:v>
                </c:pt>
                <c:pt idx="54">
                  <c:v>8.8768926216567262E-2</c:v>
                </c:pt>
                <c:pt idx="55">
                  <c:v>8.8599409137560578E-2</c:v>
                </c:pt>
                <c:pt idx="56">
                  <c:v>8.8429892058553894E-2</c:v>
                </c:pt>
                <c:pt idx="57">
                  <c:v>8.8260374979547224E-2</c:v>
                </c:pt>
                <c:pt idx="58">
                  <c:v>8.8340673276015719E-2</c:v>
                </c:pt>
                <c:pt idx="59">
                  <c:v>8.8420971572484214E-2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23-448D-B7A6-6CCA3BDE6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031199"/>
        <c:axId val="453345103"/>
      </c:lineChart>
      <c:catAx>
        <c:axId val="416031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345103"/>
        <c:crosses val="autoZero"/>
        <c:auto val="1"/>
        <c:lblAlgn val="ctr"/>
        <c:lblOffset val="100"/>
        <c:noMultiLvlLbl val="0"/>
      </c:catAx>
      <c:valAx>
        <c:axId val="45334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31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'6states'!$M$4:$M$63</c:f>
              <c:numCache>
                <c:formatCode>0.00</c:formatCode>
                <c:ptCount val="60"/>
                <c:pt idx="0">
                  <c:v>1.38</c:v>
                </c:pt>
                <c:pt idx="1">
                  <c:v>1.4055060968179014</c:v>
                </c:pt>
                <c:pt idx="2">
                  <c:v>1.4289392934835226</c:v>
                </c:pt>
                <c:pt idx="3">
                  <c:v>1.4507926005807894</c:v>
                </c:pt>
                <c:pt idx="4">
                  <c:v>1.4712807628926938</c:v>
                </c:pt>
                <c:pt idx="5">
                  <c:v>1.4905374750110343</c:v>
                </c:pt>
                <c:pt idx="6">
                  <c:v>1.5086728157390172</c:v>
                </c:pt>
                <c:pt idx="7">
                  <c:v>1.5258194223399384</c:v>
                </c:pt>
                <c:pt idx="8">
                  <c:v>1.5419357353962009</c:v>
                </c:pt>
                <c:pt idx="9">
                  <c:v>1.5572010120603079</c:v>
                </c:pt>
                <c:pt idx="10">
                  <c:v>1.5722848350526</c:v>
                </c:pt>
                <c:pt idx="11">
                  <c:v>1.5875691412187813</c:v>
                </c:pt>
                <c:pt idx="12">
                  <c:v>1.6032166095556661</c:v>
                </c:pt>
                <c:pt idx="13">
                  <c:v>1.6192132811104525</c:v>
                </c:pt>
                <c:pt idx="14">
                  <c:v>1.6352747971178045</c:v>
                </c:pt>
                <c:pt idx="15">
                  <c:v>1.6504364933193711</c:v>
                </c:pt>
                <c:pt idx="16">
                  <c:v>1.6645602803511956</c:v>
                </c:pt>
                <c:pt idx="17">
                  <c:v>1.6779376178427232</c:v>
                </c:pt>
                <c:pt idx="18">
                  <c:v>1.6905816886058336</c:v>
                </c:pt>
                <c:pt idx="19">
                  <c:v>1.7025563726566193</c:v>
                </c:pt>
                <c:pt idx="20">
                  <c:v>1.7139406363638909</c:v>
                </c:pt>
                <c:pt idx="21">
                  <c:v>1.7247942834445769</c:v>
                </c:pt>
                <c:pt idx="22">
                  <c:v>1.7351728771824235</c:v>
                </c:pt>
                <c:pt idx="23">
                  <c:v>1.7451308363828664</c:v>
                </c:pt>
                <c:pt idx="24">
                  <c:v>1.7546791344968478</c:v>
                </c:pt>
                <c:pt idx="25">
                  <c:v>1.763826799420831</c:v>
                </c:pt>
                <c:pt idx="26">
                  <c:v>1.7725797196557429</c:v>
                </c:pt>
                <c:pt idx="27">
                  <c:v>1.780942388754891</c:v>
                </c:pt>
                <c:pt idx="28">
                  <c:v>1.7889345278184421</c:v>
                </c:pt>
                <c:pt idx="29">
                  <c:v>1.7965748417986132</c:v>
                </c:pt>
                <c:pt idx="30">
                  <c:v>1.803883004970201</c:v>
                </c:pt>
                <c:pt idx="31">
                  <c:v>1.8108777209444695</c:v>
                </c:pt>
                <c:pt idx="32">
                  <c:v>1.8175763378479679</c:v>
                </c:pt>
                <c:pt idx="33">
                  <c:v>1.8239953463401866</c:v>
                </c:pt>
                <c:pt idx="34">
                  <c:v>1.8301488938860699</c:v>
                </c:pt>
                <c:pt idx="35">
                  <c:v>1.8360503913761808</c:v>
                </c:pt>
                <c:pt idx="36">
                  <c:v>1.8417118858622736</c:v>
                </c:pt>
                <c:pt idx="37">
                  <c:v>1.8471447883713195</c:v>
                </c:pt>
                <c:pt idx="38">
                  <c:v>1.852362618314872</c:v>
                </c:pt>
                <c:pt idx="39">
                  <c:v>1.8573782326023278</c:v>
                </c:pt>
                <c:pt idx="40">
                  <c:v>1.8622095024332774</c:v>
                </c:pt>
                <c:pt idx="41">
                  <c:v>1.8668737296792435</c:v>
                </c:pt>
                <c:pt idx="42">
                  <c:v>1.8713831632173803</c:v>
                </c:pt>
                <c:pt idx="43">
                  <c:v>1.8757497333220134</c:v>
                </c:pt>
                <c:pt idx="44">
                  <c:v>1.879985157842637</c:v>
                </c:pt>
                <c:pt idx="45">
                  <c:v>1.8840586692133683</c:v>
                </c:pt>
                <c:pt idx="46">
                  <c:v>1.8879429127663485</c:v>
                </c:pt>
                <c:pt idx="47">
                  <c:v>1.8916200049912251</c:v>
                </c:pt>
                <c:pt idx="48">
                  <c:v>1.8951444670746693</c:v>
                </c:pt>
                <c:pt idx="49">
                  <c:v>1.8985607563973028</c:v>
                </c:pt>
                <c:pt idx="50">
                  <c:v>1.9019114016549046</c:v>
                </c:pt>
                <c:pt idx="51">
                  <c:v>1.9051856607652395</c:v>
                </c:pt>
                <c:pt idx="52">
                  <c:v>1.9083708574840177</c:v>
                </c:pt>
                <c:pt idx="53">
                  <c:v>1.911453974679052</c:v>
                </c:pt>
                <c:pt idx="54">
                  <c:v>1.9144236473803431</c:v>
                </c:pt>
                <c:pt idx="55">
                  <c:v>1.9172960156497116</c:v>
                </c:pt>
                <c:pt idx="56">
                  <c:v>1.9200853725134768</c:v>
                </c:pt>
                <c:pt idx="57">
                  <c:v>1.9228048521581083</c:v>
                </c:pt>
                <c:pt idx="58">
                  <c:v>1.9254668886451485</c:v>
                </c:pt>
                <c:pt idx="59">
                  <c:v>1.9280803979797927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7-4731-A1EA-EB90BC8D1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815296"/>
        <c:axId val="11939232"/>
      </c:lineChart>
      <c:catAx>
        <c:axId val="8081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auto val="1"/>
        <c:lblAlgn val="ctr"/>
        <c:lblOffset val="100"/>
        <c:noMultiLvlLbl val="0"/>
      </c:cat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31750</xdr:colOff>
      <xdr:row>29</xdr:row>
      <xdr:rowOff>31751</xdr:rowOff>
    </xdr:from>
    <xdr:to>
      <xdr:col>21</xdr:col>
      <xdr:colOff>52916</xdr:colOff>
      <xdr:row>54</xdr:row>
      <xdr:rowOff>61031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412800</xdr:colOff>
      <xdr:row>15</xdr:row>
      <xdr:rowOff>169185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08EA9-8806-C5AF-614B-CE7E5187D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607694</xdr:colOff>
      <xdr:row>0</xdr:row>
      <xdr:rowOff>0</xdr:rowOff>
    </xdr:from>
    <xdr:to>
      <xdr:col>15</xdr:col>
      <xdr:colOff>408989</xdr:colOff>
      <xdr:row>15</xdr:row>
      <xdr:rowOff>165375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651F01-1FBE-52EB-181C-D29D61C786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592454</xdr:colOff>
      <xdr:row>0</xdr:row>
      <xdr:rowOff>0</xdr:rowOff>
    </xdr:from>
    <xdr:to>
      <xdr:col>23</xdr:col>
      <xdr:colOff>395654</xdr:colOff>
      <xdr:row>15</xdr:row>
      <xdr:rowOff>172995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80D41C-3526-A912-019E-14DABE986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590549</xdr:colOff>
      <xdr:row>16</xdr:row>
      <xdr:rowOff>11429</xdr:rowOff>
    </xdr:from>
    <xdr:to>
      <xdr:col>23</xdr:col>
      <xdr:colOff>401369</xdr:colOff>
      <xdr:row>31</xdr:row>
      <xdr:rowOff>176804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84D820-F630-E784-31D2-565A474AF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16</xdr:row>
      <xdr:rowOff>9172</xdr:rowOff>
    </xdr:from>
    <xdr:to>
      <xdr:col>15</xdr:col>
      <xdr:colOff>420419</xdr:colOff>
      <xdr:row>32</xdr:row>
      <xdr:rowOff>3097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0381C4C-DD66-F9FB-CAA1-892C8C510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410895</xdr:colOff>
      <xdr:row>31</xdr:row>
      <xdr:rowOff>169185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66DAF12-91B5-6A63-1FB5-AAEE1C2E0A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S74"/>
  <sheetViews>
    <sheetView zoomScale="90" zoomScaleNormal="90" workbookViewId="0">
      <selection activeCell="G25" sqref="G25:G27"/>
    </sheetView>
  </sheetViews>
  <sheetFormatPr defaultRowHeight="15" x14ac:dyDescent="0.25"/>
  <cols>
    <col min="2" max="2" width="18.7109375" customWidth="1"/>
    <col min="3" max="3" width="45" customWidth="1"/>
    <col min="4" max="4" width="15" customWidth="1"/>
    <col min="8" max="9" width="12.28515625" bestFit="1" customWidth="1"/>
    <col min="17" max="18" width="8.7109375" bestFit="1" customWidth="1"/>
    <col min="19" max="19" width="9.85546875" bestFit="1" customWidth="1"/>
  </cols>
  <sheetData>
    <row r="2" spans="1:19" x14ac:dyDescent="0.25">
      <c r="A2" s="1" t="s">
        <v>150</v>
      </c>
    </row>
    <row r="3" spans="1:19" x14ac:dyDescent="0.25">
      <c r="A3" s="64" t="s">
        <v>102</v>
      </c>
      <c r="B3" s="15">
        <v>0.04</v>
      </c>
      <c r="C3" t="s">
        <v>6</v>
      </c>
      <c r="M3" t="s">
        <v>17</v>
      </c>
    </row>
    <row r="4" spans="1:19" x14ac:dyDescent="0.25">
      <c r="A4" s="2" t="s">
        <v>105</v>
      </c>
      <c r="B4" s="19">
        <f>B3+B54+B52</f>
        <v>6.2899999999999998E-2</v>
      </c>
      <c r="C4" t="s">
        <v>13</v>
      </c>
      <c r="L4" t="s">
        <v>20</v>
      </c>
      <c r="M4" t="s">
        <v>24</v>
      </c>
      <c r="N4" t="s">
        <v>27</v>
      </c>
      <c r="O4" t="s">
        <v>28</v>
      </c>
      <c r="P4" t="s">
        <v>29</v>
      </c>
      <c r="Q4" t="s">
        <v>27</v>
      </c>
      <c r="R4" t="s">
        <v>28</v>
      </c>
      <c r="S4" t="s">
        <v>29</v>
      </c>
    </row>
    <row r="5" spans="1:19" x14ac:dyDescent="0.25">
      <c r="A5" s="64" t="s">
        <v>103</v>
      </c>
      <c r="B5" s="15">
        <v>1</v>
      </c>
      <c r="C5" t="s">
        <v>8</v>
      </c>
      <c r="L5">
        <v>-2.5</v>
      </c>
      <c r="M5" t="e">
        <f>_xlfn.XLOOKUP($L5,'6states'!$K$4:$K$104,'6states'!AS$4:AS$104,,-1)</f>
        <v>#N/A</v>
      </c>
      <c r="N5" s="8">
        <v>830.64850000000001</v>
      </c>
      <c r="O5" s="8">
        <v>534.30409999999995</v>
      </c>
      <c r="P5" s="8">
        <v>1319.8</v>
      </c>
      <c r="Q5" s="9">
        <v>2.8247399999999999E-2</v>
      </c>
      <c r="R5" s="9">
        <v>2.03494E-2</v>
      </c>
      <c r="S5" s="9">
        <v>3.9677799999999999E-2</v>
      </c>
    </row>
    <row r="6" spans="1:19" x14ac:dyDescent="0.25">
      <c r="A6" s="2" t="s">
        <v>104</v>
      </c>
      <c r="B6" s="15">
        <v>5</v>
      </c>
      <c r="C6" t="s">
        <v>35</v>
      </c>
      <c r="L6">
        <v>2.5</v>
      </c>
      <c r="M6">
        <f>_xlfn.XLOOKUP($L6,'6states'!$K$4:$K$104,'6states'!AS$4:AS$104,,-1)</f>
        <v>966.12744581789673</v>
      </c>
      <c r="N6" s="8">
        <v>606.61189999999999</v>
      </c>
      <c r="O6" s="8">
        <v>387.11829999999998</v>
      </c>
      <c r="P6" s="8">
        <v>1117.905</v>
      </c>
      <c r="Q6" s="9">
        <v>2.6695099999999999E-2</v>
      </c>
      <c r="R6" s="9">
        <v>1.8069600000000002E-2</v>
      </c>
      <c r="S6" s="9">
        <v>4.0859699999999999E-2</v>
      </c>
    </row>
    <row r="7" spans="1:19" x14ac:dyDescent="0.25">
      <c r="A7" s="64" t="s">
        <v>106</v>
      </c>
      <c r="B7" s="15">
        <v>0.3</v>
      </c>
      <c r="C7" t="s">
        <v>36</v>
      </c>
      <c r="L7">
        <v>7.5</v>
      </c>
      <c r="M7">
        <f>_xlfn.XLOOKUP($L7,'6states'!$K$4:$K$104,'6states'!AS$4:AS$104,,-1)</f>
        <v>456.2988087331334</v>
      </c>
      <c r="N7" s="8">
        <v>417.0838</v>
      </c>
      <c r="O7" s="8">
        <v>242.37639999999999</v>
      </c>
      <c r="P7" s="8">
        <v>684.37270000000001</v>
      </c>
      <c r="Q7" s="9">
        <v>1.9692500000000002E-2</v>
      </c>
      <c r="R7" s="9">
        <v>1.23111E-2</v>
      </c>
      <c r="S7" s="9">
        <v>2.83897E-2</v>
      </c>
    </row>
    <row r="8" spans="1:19" x14ac:dyDescent="0.25">
      <c r="A8" t="s">
        <v>107</v>
      </c>
      <c r="B8" s="15">
        <v>0.2</v>
      </c>
      <c r="C8" t="s">
        <v>154</v>
      </c>
      <c r="L8">
        <v>12.5</v>
      </c>
      <c r="M8">
        <f>_xlfn.XLOOKUP($L8,'6states'!$K$4:$K$101,'6states'!AS$4:AS$101,,-1)</f>
        <v>341.87601568538292</v>
      </c>
      <c r="N8" s="8">
        <v>369.45100000000002</v>
      </c>
      <c r="O8" s="8">
        <v>259.53149999999999</v>
      </c>
      <c r="P8" s="8">
        <v>657.7192</v>
      </c>
      <c r="Q8" s="9">
        <v>2.0146399999999998E-2</v>
      </c>
      <c r="R8" s="9">
        <v>1.4205300000000001E-2</v>
      </c>
      <c r="S8" s="9">
        <v>3.0372400000000001E-2</v>
      </c>
    </row>
    <row r="9" spans="1:19" x14ac:dyDescent="0.25">
      <c r="A9" t="s">
        <v>108</v>
      </c>
      <c r="B9" s="56">
        <f>1-1/B8</f>
        <v>-4</v>
      </c>
      <c r="C9" t="s">
        <v>158</v>
      </c>
      <c r="L9">
        <v>17.5</v>
      </c>
      <c r="M9">
        <f>_xlfn.XLOOKUP($L9,'6states'!$K$4:$K$101,'6states'!AS$4:AS$101,,-1)</f>
        <v>285.43885315486779</v>
      </c>
      <c r="N9" s="8">
        <v>279.10210000000001</v>
      </c>
      <c r="O9" s="8">
        <v>194.92009999999999</v>
      </c>
      <c r="P9" s="8">
        <v>471.17509999999999</v>
      </c>
      <c r="Q9" s="9">
        <v>1.9457499999999999E-2</v>
      </c>
      <c r="R9" s="9">
        <v>1.37847E-2</v>
      </c>
      <c r="S9" s="9">
        <v>2.8879800000000001E-2</v>
      </c>
    </row>
    <row r="10" spans="1:19" x14ac:dyDescent="0.25">
      <c r="A10" t="s">
        <v>109</v>
      </c>
      <c r="B10" s="56">
        <f>1-B11</f>
        <v>0.99995305239318133</v>
      </c>
      <c r="C10" t="s">
        <v>155</v>
      </c>
      <c r="L10">
        <v>22.5</v>
      </c>
      <c r="M10">
        <f>_xlfn.XLOOKUP($L10,'6states'!$K$4:$K$101,'6states'!AS$4:AS$101,,-1)</f>
        <v>254.67255570477198</v>
      </c>
      <c r="N10" s="8">
        <v>201.3134</v>
      </c>
      <c r="O10" s="8">
        <v>145.1962</v>
      </c>
      <c r="P10" s="8">
        <v>330</v>
      </c>
      <c r="Q10" s="9">
        <v>1.8330699999999998E-2</v>
      </c>
      <c r="R10" s="9">
        <v>1.23982E-2</v>
      </c>
      <c r="S10" s="9">
        <v>2.8500000000000001E-2</v>
      </c>
    </row>
    <row r="11" spans="1:19" x14ac:dyDescent="0.25">
      <c r="A11" t="s">
        <v>110</v>
      </c>
      <c r="B11" s="56">
        <f>1/(1+(B18*B16^B13+B19*B14^B13)^(B9/B13-1)*B18*B16^(B13-1))</f>
        <v>4.6947606818722525E-5</v>
      </c>
      <c r="C11" t="s">
        <v>156</v>
      </c>
      <c r="D11" s="6"/>
      <c r="L11">
        <v>27.5</v>
      </c>
      <c r="M11">
        <f>_xlfn.XLOOKUP($L11,'6states'!$K$4:$K$101,'6states'!AS$4:AS$101,,-1)</f>
        <v>206.56785090005459</v>
      </c>
      <c r="N11" s="8">
        <v>158.28030000000001</v>
      </c>
      <c r="O11" s="8">
        <v>107.6669</v>
      </c>
      <c r="P11" s="8">
        <v>245.52</v>
      </c>
      <c r="Q11" s="9">
        <v>1.6000899999999998E-2</v>
      </c>
      <c r="R11" s="9">
        <v>1.1003199999999999E-2</v>
      </c>
      <c r="S11" s="9">
        <v>2.3718599999999999E-2</v>
      </c>
    </row>
    <row r="12" spans="1:19" x14ac:dyDescent="0.25">
      <c r="A12" t="s">
        <v>111</v>
      </c>
      <c r="B12" s="33">
        <v>2</v>
      </c>
      <c r="C12" t="s">
        <v>157</v>
      </c>
      <c r="L12">
        <v>32.5</v>
      </c>
      <c r="M12">
        <f>_xlfn.XLOOKUP($L12,'6states'!$K$4:$K$101,'6states'!AS$4:AS$101,,-1)</f>
        <v>192.39864566207439</v>
      </c>
      <c r="N12" s="8">
        <v>112.6412</v>
      </c>
      <c r="O12" s="8">
        <v>81.444730000000007</v>
      </c>
      <c r="P12" s="8">
        <v>177.91800000000001</v>
      </c>
      <c r="Q12" s="9">
        <v>1.2162600000000001E-2</v>
      </c>
      <c r="R12" s="9">
        <v>8.7869999999999997E-3</v>
      </c>
      <c r="S12" s="9">
        <v>1.73682E-2</v>
      </c>
    </row>
    <row r="13" spans="1:19" x14ac:dyDescent="0.25">
      <c r="A13" s="63" t="s">
        <v>112</v>
      </c>
      <c r="B13" s="19">
        <f>1-1/B12</f>
        <v>0.5</v>
      </c>
      <c r="C13" t="s">
        <v>158</v>
      </c>
      <c r="L13">
        <v>37.5</v>
      </c>
      <c r="M13">
        <f>_xlfn.XLOOKUP($L13,'6states'!$K$4:$K$101,'6states'!AS$4:AS$101,,-1)</f>
        <v>183.43239916417255</v>
      </c>
      <c r="N13" s="8">
        <v>89.531630000000007</v>
      </c>
      <c r="O13" s="8">
        <v>58.81897</v>
      </c>
      <c r="P13" s="8">
        <v>159.26089999999999</v>
      </c>
      <c r="Q13" s="9">
        <v>8.2251000000000008E-3</v>
      </c>
      <c r="R13" s="9">
        <v>5.6994000000000003E-3</v>
      </c>
      <c r="S13" s="9">
        <v>1.38741E-2</v>
      </c>
    </row>
    <row r="14" spans="1:19" x14ac:dyDescent="0.25">
      <c r="A14" t="s">
        <v>113</v>
      </c>
      <c r="B14">
        <v>0.1777</v>
      </c>
      <c r="C14" t="s">
        <v>159</v>
      </c>
      <c r="L14">
        <v>42.5</v>
      </c>
      <c r="M14">
        <f>_xlfn.XLOOKUP($L14,'6states'!$K$4:$K$101,'6states'!AS$4:AS$101,,-1)</f>
        <v>179.08313761273357</v>
      </c>
      <c r="N14" s="8">
        <v>74.867599999999996</v>
      </c>
      <c r="O14" s="8">
        <v>47.317929999999997</v>
      </c>
      <c r="P14" s="8">
        <v>131.6824</v>
      </c>
      <c r="Q14" s="9">
        <v>6.1939999999999999E-3</v>
      </c>
      <c r="R14" s="9">
        <v>3.8782000000000001E-3</v>
      </c>
      <c r="S14" s="9">
        <v>9.2855999999999998E-3</v>
      </c>
    </row>
    <row r="15" spans="1:19" x14ac:dyDescent="0.25">
      <c r="A15" t="s">
        <v>114</v>
      </c>
      <c r="B15" s="32">
        <v>0.16</v>
      </c>
      <c r="C15" t="s">
        <v>33</v>
      </c>
      <c r="L15">
        <v>47.5</v>
      </c>
      <c r="M15">
        <f>_xlfn.XLOOKUP($L15,'6states'!$K$4:$K$101,'6states'!AS$4:AS$101,,-1)</f>
        <v>174.81846512483062</v>
      </c>
      <c r="N15" s="8">
        <v>32.49194</v>
      </c>
      <c r="O15" s="8">
        <v>10.02872</v>
      </c>
      <c r="P15" s="8">
        <v>64.102000000000004</v>
      </c>
      <c r="Q15" s="9">
        <v>2.7149000000000001E-3</v>
      </c>
      <c r="R15" s="9">
        <v>7.5310000000000004E-4</v>
      </c>
      <c r="S15" s="9">
        <v>5.1000999999999998E-3</v>
      </c>
    </row>
    <row r="16" spans="1:19" x14ac:dyDescent="0.25">
      <c r="A16" t="s">
        <v>115</v>
      </c>
      <c r="B16" s="20">
        <f>B14*B15/(1-B15)</f>
        <v>3.384761904761905E-2</v>
      </c>
      <c r="C16" t="s">
        <v>160</v>
      </c>
      <c r="L16">
        <v>52.5</v>
      </c>
      <c r="M16">
        <f>_xlfn.XLOOKUP($L16,'6states'!$K$4:$K$101,'6states'!AS$4:AS$101,,-1)</f>
        <v>174.81846512483062</v>
      </c>
      <c r="N16" s="8">
        <v>1.7695000000000001</v>
      </c>
      <c r="O16" s="8">
        <v>0</v>
      </c>
      <c r="P16" s="8">
        <v>12.83052</v>
      </c>
      <c r="Q16" s="11">
        <v>0</v>
      </c>
      <c r="R16" s="11">
        <v>0</v>
      </c>
      <c r="S16" s="11">
        <v>5.0129999999999999E-4</v>
      </c>
    </row>
    <row r="17" spans="1:19" x14ac:dyDescent="0.25">
      <c r="A17" t="s">
        <v>116</v>
      </c>
      <c r="B17" s="20">
        <f>B16/B14</f>
        <v>0.19047619047619049</v>
      </c>
      <c r="C17" t="s">
        <v>51</v>
      </c>
      <c r="L17">
        <v>57.5</v>
      </c>
      <c r="M17">
        <f>_xlfn.XLOOKUP($L17,'6states'!$K$4:$K$101,'6states'!AS$4:AS$101,,-1)</f>
        <v>170.63579500869244</v>
      </c>
      <c r="N17" s="12">
        <v>2.2415600000000002</v>
      </c>
      <c r="O17" s="12">
        <v>0</v>
      </c>
      <c r="P17" s="12">
        <v>11.00962</v>
      </c>
      <c r="Q17" s="11">
        <v>0</v>
      </c>
      <c r="R17" s="11">
        <v>0</v>
      </c>
      <c r="S17" s="11">
        <v>1.0000000000000001E-5</v>
      </c>
    </row>
    <row r="18" spans="1:19" x14ac:dyDescent="0.25">
      <c r="A18" t="s">
        <v>117</v>
      </c>
      <c r="B18" s="20">
        <f>1-B19</f>
        <v>0.30383243470068699</v>
      </c>
      <c r="C18" t="s">
        <v>11</v>
      </c>
      <c r="D18" s="7">
        <f>B18^(1/B13)</f>
        <v>9.2314148376147223E-2</v>
      </c>
      <c r="Q18" s="1"/>
      <c r="R18" s="1"/>
      <c r="S18" s="1"/>
    </row>
    <row r="19" spans="1:19" x14ac:dyDescent="0.25">
      <c r="A19" t="s">
        <v>118</v>
      </c>
      <c r="B19" s="20">
        <f>1/((B17)^(1-B13)+1)</f>
        <v>0.69616756529931301</v>
      </c>
      <c r="C19" t="s">
        <v>14</v>
      </c>
      <c r="D19" s="7">
        <f>B18^(1/0.77)</f>
        <v>0.21286108799892262</v>
      </c>
      <c r="L19" t="s">
        <v>25</v>
      </c>
      <c r="M19">
        <f>SUMXMY2(M6:M16,N6:N16)/11/1000</f>
        <v>19.364630256144132</v>
      </c>
      <c r="Q19" s="1"/>
      <c r="R19" s="1"/>
      <c r="S19" s="1"/>
    </row>
    <row r="20" spans="1:19" x14ac:dyDescent="0.25">
      <c r="A20" s="64" t="s">
        <v>119</v>
      </c>
      <c r="B20">
        <v>0.01</v>
      </c>
      <c r="C20" t="s">
        <v>23</v>
      </c>
      <c r="E20" s="6"/>
      <c r="L20" t="s">
        <v>30</v>
      </c>
      <c r="M20" t="e">
        <f>M19+#REF!</f>
        <v>#REF!</v>
      </c>
    </row>
    <row r="21" spans="1:19" x14ac:dyDescent="0.25">
      <c r="A21" t="s">
        <v>42</v>
      </c>
      <c r="B21">
        <v>300</v>
      </c>
      <c r="C21" t="s">
        <v>43</v>
      </c>
    </row>
    <row r="22" spans="1:19" x14ac:dyDescent="0.25">
      <c r="A22" t="s">
        <v>44</v>
      </c>
      <c r="B22">
        <v>4.0000000000000001E-3</v>
      </c>
      <c r="C22" t="s">
        <v>45</v>
      </c>
    </row>
    <row r="24" spans="1:19" x14ac:dyDescent="0.25">
      <c r="A24" s="1" t="s">
        <v>7</v>
      </c>
    </row>
    <row r="25" spans="1:19" x14ac:dyDescent="0.25">
      <c r="A25" s="2" t="s">
        <v>123</v>
      </c>
      <c r="B25" s="20">
        <f>B27*B14-B20</f>
        <v>0.77010299999999987</v>
      </c>
      <c r="C25" s="2" t="s">
        <v>161</v>
      </c>
      <c r="D25" s="2" t="s">
        <v>126</v>
      </c>
      <c r="E25" s="10">
        <f>B25*B$28*B$29</f>
        <v>56.704202221927225</v>
      </c>
      <c r="F25" s="2" t="s">
        <v>151</v>
      </c>
      <c r="G25" s="10">
        <f>B14*G27</f>
        <v>1.0424135225486091</v>
      </c>
      <c r="H25" s="1"/>
      <c r="I25" s="1"/>
      <c r="J25" s="1"/>
    </row>
    <row r="26" spans="1:19" s="1" customFormat="1" x14ac:dyDescent="0.25">
      <c r="A26" s="2" t="s">
        <v>124</v>
      </c>
      <c r="B26" s="20">
        <f>B27*B16</f>
        <v>0.14859104761904762</v>
      </c>
      <c r="C26" s="2" t="s">
        <v>162</v>
      </c>
      <c r="D26" s="2" t="s">
        <v>127</v>
      </c>
      <c r="E26" s="10">
        <f>B26*B$28*B$29</f>
        <v>10.941051797692642</v>
      </c>
      <c r="F26" s="2" t="s">
        <v>152</v>
      </c>
      <c r="G26" s="10">
        <f>B16*G27</f>
        <v>0.19855495667592554</v>
      </c>
    </row>
    <row r="27" spans="1:19" s="1" customFormat="1" x14ac:dyDescent="0.25">
      <c r="A27" t="s">
        <v>125</v>
      </c>
      <c r="B27" s="55">
        <v>4.3899999999999997</v>
      </c>
      <c r="C27" s="2" t="s">
        <v>163</v>
      </c>
      <c r="D27" s="2" t="s">
        <v>128</v>
      </c>
      <c r="E27" s="10">
        <f>B27*B$28*B$29</f>
        <v>323.24435530605717</v>
      </c>
      <c r="F27" t="s">
        <v>153</v>
      </c>
      <c r="G27" s="10">
        <f>(B7*(B10+B11*(B18*B16^B13+B19*B14^B13)^(B9/B13))^(B7/B9)*EXP(-B47/2*B48^2) / (B57+B5*(B57)^2)) ^ (1/(1-B7))</f>
        <v>5.866142501680411</v>
      </c>
    </row>
    <row r="28" spans="1:19" s="1" customFormat="1" x14ac:dyDescent="0.25">
      <c r="A28" s="2" t="s">
        <v>120</v>
      </c>
      <c r="B28" s="2">
        <v>8.16</v>
      </c>
      <c r="C28" s="2" t="s">
        <v>164</v>
      </c>
      <c r="D28" s="2" t="s">
        <v>129</v>
      </c>
      <c r="E28" s="19">
        <f>(B25+B26+B27)*B28*B29</f>
        <v>390.8896093256771</v>
      </c>
      <c r="F28" s="2" t="s">
        <v>15</v>
      </c>
      <c r="G28"/>
      <c r="H28"/>
      <c r="I28"/>
      <c r="J28"/>
    </row>
    <row r="29" spans="1:19" x14ac:dyDescent="0.25">
      <c r="A29" s="2" t="s">
        <v>121</v>
      </c>
      <c r="B29" s="19">
        <f>B30*EXP(B47/2*B48^2)/B28/(Parameters!$B$10*B27^Parameters!$B$9+B11*E30^Parameters!$B$9)^(Parameters!$B$7/Parameters!$B$9)</f>
        <v>9.0235259308716671</v>
      </c>
      <c r="C29" s="2" t="s">
        <v>165</v>
      </c>
      <c r="D29" s="2" t="s">
        <v>21</v>
      </c>
      <c r="E29" s="10">
        <f>((Parameters!B3+Parameters!B51+Parameters!B53*Parameters!B54)/Parameters!B7)^(1/(Parameters!B7-1))</f>
        <v>6.8509746420694579</v>
      </c>
      <c r="F29" s="2" t="s">
        <v>22</v>
      </c>
    </row>
    <row r="30" spans="1:19" x14ac:dyDescent="0.25">
      <c r="A30" s="2" t="s">
        <v>122</v>
      </c>
      <c r="B30" s="2">
        <v>110.98</v>
      </c>
      <c r="C30" s="2" t="s">
        <v>166</v>
      </c>
      <c r="D30" s="2" t="s">
        <v>130</v>
      </c>
      <c r="E30" s="10">
        <f>(B18*B26^B13+B19*(B25+B20)^B13)^(1/B13)</f>
        <v>0.53582250067468473</v>
      </c>
      <c r="F30" s="2"/>
    </row>
    <row r="31" spans="1:19" x14ac:dyDescent="0.25">
      <c r="A31" t="s">
        <v>46</v>
      </c>
      <c r="B31">
        <v>53.2</v>
      </c>
      <c r="C31" s="2" t="s">
        <v>167</v>
      </c>
      <c r="D31" s="2" t="s">
        <v>131</v>
      </c>
      <c r="E31" s="10">
        <f>B26/(B26+B25)</f>
        <v>0.16174160266320076</v>
      </c>
      <c r="F31" s="2" t="s">
        <v>26</v>
      </c>
    </row>
    <row r="32" spans="1:19" x14ac:dyDescent="0.25">
      <c r="C32" s="2"/>
      <c r="D32" s="2" t="s">
        <v>47</v>
      </c>
      <c r="E32" s="31">
        <f>B7*B11*E30^(B9-1)/(B10*B27^B9+B11*E30^B9)    * E30</f>
        <v>5.238282401493561E-2</v>
      </c>
      <c r="F32" s="2" t="s">
        <v>50</v>
      </c>
    </row>
    <row r="33" spans="1:10" x14ac:dyDescent="0.25">
      <c r="C33" s="2"/>
      <c r="D33" s="2" t="s">
        <v>48</v>
      </c>
      <c r="E33" s="31">
        <f>B7*B10*B27^(B9-1)/(B10*B27^B9+B11*E30^B9)    * B27</f>
        <v>0.24761717598506439</v>
      </c>
      <c r="F33" s="2" t="s">
        <v>49</v>
      </c>
    </row>
    <row r="34" spans="1:10" x14ac:dyDescent="0.25">
      <c r="C34" s="2"/>
      <c r="D34" s="2"/>
      <c r="E34" s="45"/>
      <c r="F34" s="2"/>
    </row>
    <row r="35" spans="1:10" x14ac:dyDescent="0.25">
      <c r="A35" s="1" t="s">
        <v>1</v>
      </c>
      <c r="B35" s="2"/>
      <c r="C35" s="2"/>
      <c r="D35" s="2"/>
      <c r="E35" s="2"/>
      <c r="F35" s="2"/>
      <c r="G35" s="2"/>
      <c r="H35" s="2"/>
      <c r="I35" s="2"/>
      <c r="J35" s="2"/>
    </row>
    <row r="36" spans="1:10" s="2" customFormat="1" x14ac:dyDescent="0.25">
      <c r="A36" t="s">
        <v>149</v>
      </c>
      <c r="B36" s="21">
        <f>Parameters!B29*Parameters!B28*Parameters!B42/(Parameters!B3+B43)</f>
        <v>1381.6333659263762</v>
      </c>
      <c r="C36" t="s">
        <v>168</v>
      </c>
      <c r="D36"/>
      <c r="E36"/>
      <c r="F36"/>
      <c r="G36"/>
      <c r="H36"/>
      <c r="I36"/>
      <c r="J36"/>
    </row>
    <row r="37" spans="1:10" x14ac:dyDescent="0.25">
      <c r="A37" t="s">
        <v>39</v>
      </c>
      <c r="B37">
        <v>7.06</v>
      </c>
      <c r="C37" t="s">
        <v>169</v>
      </c>
    </row>
    <row r="38" spans="1:10" x14ac:dyDescent="0.25">
      <c r="A38" t="s">
        <v>132</v>
      </c>
      <c r="B38" s="19">
        <f>B37-B40</f>
        <v>6.2652924692047858</v>
      </c>
    </row>
    <row r="39" spans="1:10" x14ac:dyDescent="0.25">
      <c r="A39" t="s">
        <v>133</v>
      </c>
      <c r="B39" s="32">
        <v>0.77</v>
      </c>
      <c r="C39" t="s">
        <v>170</v>
      </c>
    </row>
    <row r="40" spans="1:10" x14ac:dyDescent="0.25">
      <c r="A40" t="s">
        <v>134</v>
      </c>
      <c r="B40" s="19">
        <f>(B31-B37/B39*(1-EXP(-B39*E25)))/(E25-(1-EXP(-B39*E25))/B39)</f>
        <v>0.79470753079521417</v>
      </c>
    </row>
    <row r="41" spans="1:10" x14ac:dyDescent="0.25">
      <c r="A41" t="s">
        <v>135</v>
      </c>
      <c r="B41" s="19">
        <f>B38*EXP(-B39*E25)+B40</f>
        <v>0.79470753079521417</v>
      </c>
      <c r="C41" t="s">
        <v>171</v>
      </c>
    </row>
    <row r="42" spans="1:10" x14ac:dyDescent="0.25">
      <c r="A42" s="64" t="s">
        <v>136</v>
      </c>
      <c r="B42" s="19">
        <f>B31/B28/B29/B25</f>
        <v>0.93820207172278725</v>
      </c>
      <c r="C42" s="2" t="s">
        <v>34</v>
      </c>
    </row>
    <row r="43" spans="1:10" x14ac:dyDescent="0.25">
      <c r="A43" s="2" t="s">
        <v>137</v>
      </c>
      <c r="B43" s="2">
        <v>0.01</v>
      </c>
      <c r="C43" s="2" t="s">
        <v>16</v>
      </c>
    </row>
    <row r="45" spans="1:10" x14ac:dyDescent="0.25">
      <c r="A45" s="1" t="s">
        <v>0</v>
      </c>
      <c r="B45" s="2"/>
      <c r="C45" s="2"/>
    </row>
    <row r="46" spans="1:10" x14ac:dyDescent="0.25">
      <c r="A46" s="64" t="s">
        <v>138</v>
      </c>
      <c r="B46">
        <v>5.9999999999999995E-4</v>
      </c>
      <c r="C46" t="s">
        <v>2</v>
      </c>
      <c r="D46" s="2"/>
      <c r="E46" s="2"/>
      <c r="F46" s="2"/>
      <c r="G46" s="2"/>
      <c r="H46" s="2"/>
      <c r="I46" s="2"/>
      <c r="J46" s="2"/>
    </row>
    <row r="47" spans="1:10" s="2" customFormat="1" x14ac:dyDescent="0.25">
      <c r="A47" s="64" t="s">
        <v>139</v>
      </c>
      <c r="B47">
        <v>2.01E-2</v>
      </c>
      <c r="C47" t="s">
        <v>54</v>
      </c>
    </row>
    <row r="48" spans="1:10" s="2" customFormat="1" x14ac:dyDescent="0.25">
      <c r="A48" t="s">
        <v>140</v>
      </c>
      <c r="B48">
        <v>1.38</v>
      </c>
      <c r="C48" t="s">
        <v>172</v>
      </c>
    </row>
    <row r="49" spans="1:10" s="2" customFormat="1" x14ac:dyDescent="0.25"/>
    <row r="50" spans="1:10" s="2" customFormat="1" x14ac:dyDescent="0.25">
      <c r="A50" s="1" t="s">
        <v>3</v>
      </c>
      <c r="B50" s="1"/>
      <c r="C50" s="1"/>
    </row>
    <row r="51" spans="1:10" s="2" customFormat="1" x14ac:dyDescent="0.25">
      <c r="A51" s="64" t="s">
        <v>141</v>
      </c>
      <c r="B51">
        <f>0.011</f>
        <v>1.0999999999999999E-2</v>
      </c>
      <c r="C51" t="s">
        <v>173</v>
      </c>
    </row>
    <row r="52" spans="1:10" s="2" customFormat="1" x14ac:dyDescent="0.25">
      <c r="A52" t="s">
        <v>9</v>
      </c>
      <c r="B52">
        <v>2.8999999999999998E-3</v>
      </c>
      <c r="C52" t="s">
        <v>10</v>
      </c>
      <c r="D52"/>
      <c r="E52"/>
      <c r="F52"/>
      <c r="G52"/>
      <c r="H52"/>
      <c r="I52"/>
      <c r="J52"/>
    </row>
    <row r="53" spans="1:10" x14ac:dyDescent="0.25">
      <c r="A53" s="64" t="s">
        <v>142</v>
      </c>
      <c r="B53">
        <v>1.35</v>
      </c>
      <c r="C53" t="s">
        <v>174</v>
      </c>
    </row>
    <row r="54" spans="1:10" x14ac:dyDescent="0.25">
      <c r="A54" t="s">
        <v>4</v>
      </c>
      <c r="B54">
        <v>0.02</v>
      </c>
      <c r="C54" t="s">
        <v>175</v>
      </c>
    </row>
    <row r="55" spans="1:10" x14ac:dyDescent="0.25">
      <c r="A55" t="s">
        <v>38</v>
      </c>
      <c r="B55" s="10">
        <f>B51-B52+B53*B54</f>
        <v>3.5100000000000006E-2</v>
      </c>
      <c r="D55" s="1"/>
      <c r="E55" s="1"/>
      <c r="F55" s="1"/>
      <c r="G55" s="1"/>
      <c r="H55" s="1"/>
      <c r="I55" s="1"/>
      <c r="J55" s="1"/>
    </row>
    <row r="56" spans="1:10" s="1" customFormat="1" x14ac:dyDescent="0.25">
      <c r="A56" t="s">
        <v>12</v>
      </c>
      <c r="B56" s="10">
        <f>B51-B52+(B53-1)*B54</f>
        <v>1.5100000000000002E-2</v>
      </c>
      <c r="C56"/>
      <c r="D56"/>
      <c r="E56"/>
      <c r="F56"/>
      <c r="G56"/>
      <c r="H56"/>
      <c r="I56"/>
      <c r="J56"/>
    </row>
    <row r="57" spans="1:10" x14ac:dyDescent="0.25">
      <c r="A57" t="s">
        <v>143</v>
      </c>
      <c r="B57" s="10">
        <f>B55+B3+B52</f>
        <v>7.8E-2</v>
      </c>
    </row>
    <row r="58" spans="1:10" x14ac:dyDescent="0.25">
      <c r="A58" s="64" t="s">
        <v>144</v>
      </c>
      <c r="B58" s="20">
        <f>EXP(-B56)</f>
        <v>0.98501343333449787</v>
      </c>
      <c r="C58" t="s">
        <v>32</v>
      </c>
    </row>
    <row r="60" spans="1:10" x14ac:dyDescent="0.25">
      <c r="A60" s="1" t="s">
        <v>18</v>
      </c>
    </row>
    <row r="61" spans="1:10" x14ac:dyDescent="0.25">
      <c r="A61" t="s">
        <v>145</v>
      </c>
      <c r="B61">
        <v>2.7E-2</v>
      </c>
      <c r="C61" t="s">
        <v>179</v>
      </c>
    </row>
    <row r="62" spans="1:10" x14ac:dyDescent="0.25">
      <c r="A62" s="64" t="s">
        <v>146</v>
      </c>
      <c r="B62">
        <v>0.5</v>
      </c>
      <c r="C62" t="s">
        <v>19</v>
      </c>
    </row>
    <row r="63" spans="1:10" x14ac:dyDescent="0.25">
      <c r="A63" t="s">
        <v>147</v>
      </c>
      <c r="B63">
        <v>50</v>
      </c>
      <c r="C63" t="s">
        <v>177</v>
      </c>
    </row>
    <row r="64" spans="1:10" x14ac:dyDescent="0.25">
      <c r="A64" s="65" t="s">
        <v>141</v>
      </c>
      <c r="B64">
        <v>0.1</v>
      </c>
      <c r="C64" t="s">
        <v>176</v>
      </c>
    </row>
    <row r="71" spans="1:13" x14ac:dyDescent="0.25">
      <c r="A71" t="s">
        <v>31</v>
      </c>
      <c r="B71">
        <v>1</v>
      </c>
    </row>
    <row r="74" spans="1:13" x14ac:dyDescent="0.25">
      <c r="B74" t="s">
        <v>40</v>
      </c>
      <c r="C74" t="s">
        <v>41</v>
      </c>
      <c r="M74" t="s">
        <v>37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AZ305"/>
  <sheetViews>
    <sheetView tabSelected="1" topLeftCell="B1" zoomScaleNormal="100" workbookViewId="0">
      <pane ySplit="3" topLeftCell="A4" activePane="bottomLeft" state="frozen"/>
      <selection activeCell="B1" sqref="B1"/>
      <selection pane="bottomLeft" activeCell="E14" sqref="E14:E19"/>
    </sheetView>
  </sheetViews>
  <sheetFormatPr defaultRowHeight="15" x14ac:dyDescent="0.25"/>
  <cols>
    <col min="2" max="2" width="11.140625" bestFit="1" customWidth="1"/>
    <col min="3" max="4" width="8.7109375" bestFit="1" customWidth="1"/>
    <col min="5" max="6" width="8.7109375" customWidth="1"/>
    <col min="7" max="7" width="11.7109375" customWidth="1"/>
    <col min="8" max="8" width="10.85546875" customWidth="1"/>
    <col min="9" max="14" width="8.7109375" customWidth="1"/>
    <col min="15" max="17" width="8.5703125" customWidth="1"/>
    <col min="18" max="21" width="8.7109375" customWidth="1"/>
    <col min="22" max="22" width="12.7109375" customWidth="1"/>
    <col min="23" max="23" width="10" style="7" customWidth="1"/>
    <col min="24" max="25" width="8.85546875" customWidth="1"/>
    <col min="26" max="36" width="12.28515625" customWidth="1"/>
    <col min="39" max="39" width="10.7109375" customWidth="1"/>
    <col min="40" max="40" width="8.7109375" bestFit="1" customWidth="1"/>
    <col min="41" max="41" width="9.28515625" bestFit="1" customWidth="1"/>
    <col min="42" max="42" width="8.7109375" customWidth="1"/>
    <col min="43" max="43" width="12.42578125" bestFit="1" customWidth="1"/>
    <col min="45" max="45" width="8.7109375" style="7"/>
  </cols>
  <sheetData>
    <row r="1" spans="1:52" x14ac:dyDescent="0.25">
      <c r="A1" s="1" t="s">
        <v>178</v>
      </c>
      <c r="F1" s="1"/>
      <c r="G1" s="1"/>
      <c r="H1" s="5"/>
      <c r="AM1" s="5"/>
      <c r="AS1"/>
    </row>
    <row r="2" spans="1:52" s="2" customFormat="1" x14ac:dyDescent="0.25">
      <c r="B2" s="14"/>
      <c r="C2" s="14"/>
      <c r="D2" s="14"/>
      <c r="I2" s="2">
        <f>8.6*12</f>
        <v>103.19999999999999</v>
      </c>
      <c r="O2" s="30"/>
      <c r="P2" s="30"/>
      <c r="Q2" s="30"/>
      <c r="S2" s="7"/>
      <c r="T2" s="7"/>
      <c r="W2" s="16"/>
    </row>
    <row r="3" spans="1:52" x14ac:dyDescent="0.25">
      <c r="A3" t="s">
        <v>5</v>
      </c>
      <c r="B3" t="s">
        <v>58</v>
      </c>
      <c r="C3" t="s">
        <v>59</v>
      </c>
      <c r="D3" t="s">
        <v>60</v>
      </c>
      <c r="E3" t="s">
        <v>61</v>
      </c>
      <c r="F3" t="s">
        <v>62</v>
      </c>
      <c r="G3" t="s">
        <v>63</v>
      </c>
      <c r="H3" t="s">
        <v>64</v>
      </c>
      <c r="I3" t="s">
        <v>65</v>
      </c>
      <c r="J3" t="s">
        <v>66</v>
      </c>
      <c r="K3" t="s">
        <v>67</v>
      </c>
      <c r="L3" t="s">
        <v>68</v>
      </c>
      <c r="M3" t="s">
        <v>69</v>
      </c>
      <c r="N3" s="63" t="s">
        <v>70</v>
      </c>
      <c r="O3" t="s">
        <v>71</v>
      </c>
      <c r="P3" t="s">
        <v>72</v>
      </c>
      <c r="Q3" t="s">
        <v>148</v>
      </c>
      <c r="R3" t="s">
        <v>73</v>
      </c>
      <c r="S3" s="63" t="s">
        <v>74</v>
      </c>
      <c r="T3" s="63" t="s">
        <v>75</v>
      </c>
      <c r="U3" t="s">
        <v>76</v>
      </c>
      <c r="V3" t="s">
        <v>77</v>
      </c>
      <c r="W3" s="7" t="s">
        <v>78</v>
      </c>
      <c r="X3" s="63" t="s">
        <v>79</v>
      </c>
      <c r="Y3" t="s">
        <v>80</v>
      </c>
      <c r="Z3" t="s">
        <v>81</v>
      </c>
      <c r="AA3" t="s">
        <v>82</v>
      </c>
      <c r="AB3" t="s">
        <v>83</v>
      </c>
      <c r="AC3" t="s">
        <v>84</v>
      </c>
      <c r="AD3" t="s">
        <v>85</v>
      </c>
      <c r="AE3" t="s">
        <v>86</v>
      </c>
      <c r="AF3" t="s">
        <v>87</v>
      </c>
      <c r="AG3" t="s">
        <v>88</v>
      </c>
      <c r="AH3" t="s">
        <v>89</v>
      </c>
      <c r="AJ3" t="s">
        <v>90</v>
      </c>
      <c r="AM3" t="s">
        <v>95</v>
      </c>
      <c r="AN3" t="s">
        <v>96</v>
      </c>
      <c r="AO3" t="s">
        <v>97</v>
      </c>
      <c r="AP3" t="s">
        <v>98</v>
      </c>
      <c r="AQ3" t="s">
        <v>101</v>
      </c>
      <c r="AR3" t="s">
        <v>100</v>
      </c>
      <c r="AS3" t="s">
        <v>99</v>
      </c>
      <c r="AT3" t="s">
        <v>91</v>
      </c>
      <c r="AU3" t="s">
        <v>56</v>
      </c>
      <c r="AV3" t="s">
        <v>53</v>
      </c>
      <c r="AW3" t="s">
        <v>52</v>
      </c>
      <c r="AX3" t="s">
        <v>55</v>
      </c>
      <c r="AY3" t="s">
        <v>57</v>
      </c>
    </row>
    <row r="4" spans="1:52" x14ac:dyDescent="0.25">
      <c r="A4">
        <v>0</v>
      </c>
      <c r="B4" s="20">
        <v>-2.8124506507207419E-2</v>
      </c>
      <c r="C4" s="20">
        <v>3.6740613247118817E-2</v>
      </c>
      <c r="D4" s="20">
        <v>0.25584329470600969</v>
      </c>
      <c r="E4" s="7">
        <f>Parameters!B25</f>
        <v>0.77010299999999987</v>
      </c>
      <c r="F4" s="9">
        <f>Parameters!B26</f>
        <v>0.14859104761904762</v>
      </c>
      <c r="G4" s="28">
        <f>Parameters!B27</f>
        <v>4.3899999999999997</v>
      </c>
      <c r="H4" s="9">
        <v>0</v>
      </c>
      <c r="I4" s="23">
        <f>Parameters!B28</f>
        <v>8.16</v>
      </c>
      <c r="J4" s="23">
        <f>Parameters!B29</f>
        <v>9.0235259308716671</v>
      </c>
      <c r="K4" s="23">
        <f>I4*J4*EXP(-Parameters!$B$43*'6states'!A4)*(Parameters!$B$38/Parameters!$B$39*('6states'!E4+'6states'!H4)/Parameters!$E$25*(EXP(-Parameters!$B$39*Parameters!$E$25*'6states'!H4/('6states'!E4+'6states'!H4))-EXP(-Parameters!$B$39*Parameters!$E$25))  +  Parameters!$B$40*'6states'!E4)</f>
        <v>53.2</v>
      </c>
      <c r="L4" s="8">
        <f xml:space="preserve"> M4/Parameters!$B$46</f>
        <v>2300</v>
      </c>
      <c r="M4" s="7">
        <f>Parameters!B48</f>
        <v>1.38</v>
      </c>
      <c r="N4" s="9">
        <f>EXP(-Parameters!$B$47/2*M4^2)</f>
        <v>0.98104277196026479</v>
      </c>
      <c r="O4" s="8">
        <f>MAX((Parameters!$B$63 + Parameters!$B$31*'6states'!A4 - '6states'!L4 + Parameters!$B$48/Parameters!$B$46)/Parameters!B$63,1)</f>
        <v>1</v>
      </c>
      <c r="P4" s="7">
        <f>Parameters!B$62*EXP(-Parameters!B$61*A4)</f>
        <v>0.5</v>
      </c>
      <c r="Q4" s="7">
        <f>(1-Parameters!B$62)*O4^-Parameters!B$64</f>
        <v>0.5</v>
      </c>
      <c r="R4" s="7">
        <f>Parameters!B$62*EXP(-Parameters!B$61*A4)+(1-Parameters!B$62)*O4^-Parameters!B$64</f>
        <v>1</v>
      </c>
      <c r="S4" s="7">
        <f>1-R4/Parameters!$B$12</f>
        <v>0.5</v>
      </c>
      <c r="T4" s="7">
        <f t="shared" ref="T4:T68" si="0">1/(1-S4)</f>
        <v>2</v>
      </c>
      <c r="U4" s="7">
        <f>(Parameters!$B$19*(E4+Parameters!$B$20)^S4+Parameters!$B$18*F4^S4)^(1/S4)</f>
        <v>0.53582250067468473</v>
      </c>
      <c r="V4" s="7">
        <f>(Parameters!$B$10*G4^Parameters!$B$9+Parameters!$B$11*U4^Parameters!$B$9)^(Parameters!$B$7/Parameters!$B$9)*N4</f>
        <v>1.5072257009366883</v>
      </c>
      <c r="W4" s="7">
        <f>V4 - C4 - D4 - LN(1+EXP(Parameters!$B$21*B4))/Parameters!$B$21 - IF(B4&gt;0, 0,Parameters!$B$6*B4^2/E4)</f>
        <v>1.209505473108677</v>
      </c>
      <c r="X4" s="7">
        <f>EXP(-Parameters!$B$56*A4)</f>
        <v>1</v>
      </c>
      <c r="Y4" s="7">
        <f>IF(W4&gt;0,W4^(1-Parameters!$B$53)/(1-Parameters!$B$53)*X4*Parameters!$B$71,-10+W4*1000)</f>
        <v>-2.6731246600971508</v>
      </c>
      <c r="Z4" s="27">
        <f>SUM(Y4:Y204)*Parameters!$B$71</f>
        <v>-186.53962456592836</v>
      </c>
      <c r="AA4" s="15"/>
      <c r="AB4" s="15"/>
      <c r="AC4" s="15"/>
      <c r="AD4" s="15"/>
      <c r="AE4" s="15"/>
      <c r="AF4" s="15"/>
      <c r="AG4" s="15"/>
      <c r="AH4" s="15"/>
      <c r="AI4" s="15"/>
      <c r="AJ4" s="27">
        <f>Z4-AK7*SUM(AD5:AD204)-AK8*SUM(AH5:AH204)</f>
        <v>-186.54659147256453</v>
      </c>
      <c r="AM4" s="23">
        <f t="shared" ref="AM4:AM67" si="1">H4*I4*J4</f>
        <v>0</v>
      </c>
      <c r="AN4" s="23">
        <f t="shared" ref="AN4:AN67" si="2">E4*I4*J4</f>
        <v>56.704202221927225</v>
      </c>
      <c r="AO4" s="23">
        <f t="shared" ref="AO4:AO35" si="3">U4*I4*J4</f>
        <v>39.453667150129363</v>
      </c>
      <c r="AP4" s="8">
        <f t="shared" ref="AP4:AP67" si="4">V4*J4*I4</f>
        <v>110.97999999999999</v>
      </c>
      <c r="AQ4" s="22"/>
      <c r="AR4" s="7">
        <f>1000*EXP(-(Parameters!$B$55)*'6states'!A4)*AP4*Parameters!B$47*Parameters!B$46*M4</f>
        <v>1.8470179439999996</v>
      </c>
      <c r="AS4" s="7">
        <f>SUM(AR4:AR$204)*EXP(Parameters!$B$55*A4)</f>
        <v>170.63579500869244</v>
      </c>
      <c r="AT4" s="13">
        <f t="shared" ref="AT4:AT13" si="5">((B4&gt;0)*B4+C4+D4)/V4</f>
        <v>0.19412083258087875</v>
      </c>
      <c r="AV4">
        <f>(Parameters!$B$18*'6states'!S4^+Parameters!$B$19*Parameters!$B$25^'6states'!S4)^((1-'6states'!S4)/'6states'!S4)*Parameters!$B$18*Parameters!$B$26^('6states'!S4-1)</f>
        <v>0.12971166489288935</v>
      </c>
    </row>
    <row r="5" spans="1:52" x14ac:dyDescent="0.25">
      <c r="A5">
        <f>A4+Parameters!$B$71</f>
        <v>1</v>
      </c>
      <c r="B5" s="20">
        <v>-1.0499619921722611E-2</v>
      </c>
      <c r="C5" s="20">
        <v>4.0543531911721761E-2</v>
      </c>
      <c r="D5" s="20">
        <v>0.25057863005554776</v>
      </c>
      <c r="E5" s="7">
        <f>MAX((1-Parameters!$B$4)^Parameters!B$71*E4 + B4*Parameters!B$71 - IF(B4&gt;0,Parameters!$B$5,0)*B4^2/E4*Parameters!B$71, 0.0001)</f>
        <v>0.69353901479279245</v>
      </c>
      <c r="F5" s="7">
        <f>(1-Parameters!$B$4)^Parameters!B$71*F4+C4*Parameters!B$71-Parameters!$B$5*C4^2/F4*Parameters!B$71</f>
        <v>0.16690080221106404</v>
      </c>
      <c r="G5" s="7">
        <f>(1-Parameters!$B$4)^Parameters!B$71*G4+D4*Parameters!B$71-Parameters!$B$5*D4^2/G4*Parameters!B$71</f>
        <v>4.3548020916431334</v>
      </c>
      <c r="H5" s="9">
        <f>MAX(H4 * (1-Parameters!$B$4) ^ Parameters!B$71 + (LN(1+EXP(Parameters!$B$21*(-B4+0.004)))/Parameters!$B$21 -0.004) * Parameters!B$71,0)</f>
        <v>2.8124723985444949E-2</v>
      </c>
      <c r="I5" s="23">
        <f>I4*(1+Parameters!$B$52)^Parameters!B$71</f>
        <v>8.1836639999999985</v>
      </c>
      <c r="J5" s="23">
        <f>J4*(1+Parameters!$B$54)^Parameters!B$71</f>
        <v>9.2039964494891002</v>
      </c>
      <c r="K5" s="23">
        <f>I5*J5*EXP(-Parameters!$B$43*'6states'!A5)*(Parameters!$B$38/Parameters!$B$39*('6states'!E5+'6states'!H5)/Parameters!$E$25*(EXP(-Parameters!$B$39*Parameters!$E$25*'6states'!H5/('6states'!E5+'6states'!H5))-EXP(-Parameters!$B$39*Parameters!$E$25))  +  Parameters!$B$40*'6states'!E5)</f>
        <v>42.510161363168976</v>
      </c>
      <c r="L5" s="8">
        <f>L4+K5*Parameters!B$71</f>
        <v>2342.5101613631691</v>
      </c>
      <c r="M5" s="7">
        <f>L5*Parameters!$B$46</f>
        <v>1.4055060968179014</v>
      </c>
      <c r="N5" s="9">
        <f>EXP(-Parameters!$B$47/2*M5^2)</f>
        <v>0.98034253169212238</v>
      </c>
      <c r="O5" s="8">
        <f>MAX((Parameters!$B$63 + Parameters!$B$31*'6states'!A5 - '6states'!L5 + Parameters!$B$48/Parameters!$B$46)/Parameters!B$63,1)</f>
        <v>1.2137967727366139</v>
      </c>
      <c r="P5" s="7">
        <f>Parameters!B$62*EXP(-Parameters!B$61*A5)</f>
        <v>0.48668062076216839</v>
      </c>
      <c r="Q5" s="7">
        <f>(1-Parameters!B$62)*O5^-Parameters!B$64</f>
        <v>0.49040558384367255</v>
      </c>
      <c r="R5" s="7">
        <f>Parameters!B$62*EXP(-Parameters!B$61*A5)+(1-Parameters!B$62)*O5^-Parameters!B$64</f>
        <v>0.97708620460584095</v>
      </c>
      <c r="S5" s="7">
        <f>1-R5/Parameters!$B$12</f>
        <v>0.51145689769707947</v>
      </c>
      <c r="T5" s="7">
        <f t="shared" si="0"/>
        <v>2.0469023005056188</v>
      </c>
      <c r="U5" s="7">
        <f>(Parameters!$B$19*(E5+Parameters!$B$20)^S5+Parameters!$B$18*F5^S5)^(1/S5)</f>
        <v>0.5023309822914096</v>
      </c>
      <c r="V5" s="7">
        <f>(Parameters!$B$10*G5^Parameters!$B$9+Parameters!$B$11*U5^Parameters!$B$9)^(Parameters!$B$7/Parameters!$B$9)*N5</f>
        <v>1.4976432321051654</v>
      </c>
      <c r="W5" s="7">
        <f>V5 - C5 - D5 - LN(1+EXP(Parameters!$B$21*B5))/Parameters!$B$21 - IF(B5&gt;0, 0,Parameters!$B$6*B5^2/E5)</f>
        <v>1.2055864111077201</v>
      </c>
      <c r="X5" s="7">
        <f>EXP(-Parameters!$B$56*A5)</f>
        <v>0.98501343333449787</v>
      </c>
      <c r="Y5" s="7">
        <f>IF(W5&gt;0,W5^(1-Parameters!$B$53)/(1-Parameters!$B$53)*X5*Parameters!$B$71,-10+W5*1000)</f>
        <v>-2.6360563424185073</v>
      </c>
      <c r="AA5" s="22"/>
      <c r="AB5" s="22">
        <f t="shared" ref="AB5:AC5" si="6">C5/F5-C4/F4</f>
        <v>-4.3400038475411296E-3</v>
      </c>
      <c r="AC5" s="22">
        <f t="shared" si="6"/>
        <v>-7.3789298134629977E-4</v>
      </c>
      <c r="AD5" s="22">
        <f t="shared" ref="AD5:AD36" si="7">X5*(AA5^2+AB5^2+AC5^2)</f>
        <v>1.9089677996490222E-5</v>
      </c>
      <c r="AE5" s="22"/>
      <c r="AF5" s="22"/>
      <c r="AG5" s="22"/>
      <c r="AH5" s="22">
        <f t="shared" ref="AH5:AH36" si="8">X5*(AE5^2+AF5^2+AG5^2)</f>
        <v>0</v>
      </c>
      <c r="AI5" s="22"/>
      <c r="AK5" s="9"/>
      <c r="AL5" s="9"/>
      <c r="AM5" s="23">
        <f t="shared" si="1"/>
        <v>2.1184221149120095</v>
      </c>
      <c r="AN5" s="23">
        <f t="shared" si="2"/>
        <v>52.239033074659893</v>
      </c>
      <c r="AO5" s="23">
        <f t="shared" si="3"/>
        <v>37.836782414018053</v>
      </c>
      <c r="AP5" s="8">
        <f t="shared" si="4"/>
        <v>112.80610415169872</v>
      </c>
      <c r="AQ5" s="22">
        <f>-X5*V5*W5^(-Parameters!B$53)*Parameters!B$47*Parameters!B$46*M5</f>
        <v>-1.9427315743294424E-5</v>
      </c>
      <c r="AR5" s="7">
        <f>1000*EXP(-(Parameters!$B$55)*'6states'!A5)*AP5*Parameters!B$47*Parameters!B$46*M5</f>
        <v>1.8461581680675028</v>
      </c>
      <c r="AS5" s="7">
        <f>SUM(AR5:AR$204)*EXP(Parameters!$B$55*A5)</f>
        <v>174.81846512483062</v>
      </c>
      <c r="AT5" s="13">
        <f t="shared" si="5"/>
        <v>0.19438685778191181</v>
      </c>
      <c r="AU5">
        <f>(1/$S5-1/Parameters!$B$13) * LN(Parameters!$B$18) / LN(O5)</f>
        <v>0.27545610251773323</v>
      </c>
      <c r="AV5">
        <f>(Parameters!$B$18*'6states'!S5^+Parameters!$B$19*Parameters!$B$25^'6states'!S5)^((1-'6states'!S5)/'6states'!S5)*Parameters!$B$18*Parameters!$B$26^('6states'!S5-1)</f>
        <v>0.13928441972199404</v>
      </c>
      <c r="AW5">
        <f t="shared" ref="AW5:AW36" si="9">(LN(AV5)-LN(AV$4))/ LN(O5)</f>
        <v>0.36749831764798674</v>
      </c>
      <c r="AX5">
        <f>1-2^-AU5</f>
        <v>0.17381091965520701</v>
      </c>
      <c r="AY5">
        <f>1-2^-AV5</f>
        <v>9.2030601304736726E-2</v>
      </c>
      <c r="AZ5">
        <f>(1/$S5-1/Parameters!$B$13) * LN(Parameters!$B$18) / A5</f>
        <v>5.33705221485394E-2</v>
      </c>
    </row>
    <row r="6" spans="1:52" x14ac:dyDescent="0.25">
      <c r="A6">
        <f>A5+Parameters!$B$71</f>
        <v>2</v>
      </c>
      <c r="B6" s="20">
        <v>-6.6558128757959511E-3</v>
      </c>
      <c r="C6" s="20">
        <v>4.4251292975838102E-2</v>
      </c>
      <c r="D6" s="20">
        <v>0.24474072048770565</v>
      </c>
      <c r="E6" s="7">
        <f>MAX((1-Parameters!$B$4)^Parameters!B$71*E5 + B5*Parameters!B$71 - IF(B5&gt;0,Parameters!$B$5,0)*B5^2/E5*Parameters!B$71, 0.0001)</f>
        <v>0.63941579084060318</v>
      </c>
      <c r="F6" s="7">
        <f>(1-Parameters!$B$4)^Parameters!B$71*F5+C5*Parameters!B$71-Parameters!$B$5*C5^2/F5*Parameters!B$71</f>
        <v>0.18709744155445454</v>
      </c>
      <c r="G6" s="7">
        <f>(1-Parameters!$B$4)^Parameters!B$71*G5+D5*Parameters!B$71-Parameters!$B$5*D5^2/G5*Parameters!B$71</f>
        <v>4.3170451848578084</v>
      </c>
      <c r="H6" s="9">
        <f>MAX(H5 * (1-Parameters!$B$4) ^ Parameters!B$71 + (LN(1+EXP(Parameters!$B$21*(-B5+0.004)))/Parameters!$B$21 -0.004) * Parameters!B$71,0)</f>
        <v>3.6898051043530687E-2</v>
      </c>
      <c r="I6" s="23">
        <f>I5*(1+Parameters!$B$52)^Parameters!B$71</f>
        <v>8.2073966255999977</v>
      </c>
      <c r="J6" s="23">
        <f>J5*(1+Parameters!$B$54)^Parameters!B$71</f>
        <v>9.3880763784788819</v>
      </c>
      <c r="K6" s="23">
        <f>I6*J6*EXP(-Parameters!$B$43*'6states'!A6)*(Parameters!$B$38/Parameters!$B$39*('6states'!E6+'6states'!H6)/Parameters!$E$25*(EXP(-Parameters!$B$39*Parameters!$E$25*'6states'!H6/('6states'!E6+'6states'!H6))-EXP(-Parameters!$B$39*Parameters!$E$25))  +  Parameters!$B$40*'6states'!E6)</f>
        <v>39.055327776035462</v>
      </c>
      <c r="L6" s="8">
        <f>L5+K6*Parameters!B$71</f>
        <v>2381.5654891392046</v>
      </c>
      <c r="M6" s="7">
        <f>L6*Parameters!$B$46</f>
        <v>1.4289392934835226</v>
      </c>
      <c r="N6" s="9">
        <f>EXP(-Parameters!$B$47/2*M6^2)</f>
        <v>0.97968834968427954</v>
      </c>
      <c r="O6" s="8">
        <f>MAX((Parameters!$B$63 + Parameters!$B$31*'6states'!A6 - '6states'!L6 + Parameters!$B$48/Parameters!$B$46)/Parameters!B$63,1)</f>
        <v>1.4966902172159098</v>
      </c>
      <c r="P6" s="7">
        <f>Parameters!B$62*EXP(-Parameters!B$61*A6)</f>
        <v>0.47371605325089916</v>
      </c>
      <c r="Q6" s="7">
        <f>(1-Parameters!B$62)*O6^-Parameters!B$64</f>
        <v>0.48023832139557987</v>
      </c>
      <c r="R6" s="7">
        <f>Parameters!B$62*EXP(-Parameters!B$61*A6)+(1-Parameters!B$62)*O6^-Parameters!B$64</f>
        <v>0.95395437464647903</v>
      </c>
      <c r="S6" s="7">
        <f>1-R6/Parameters!$B$12</f>
        <v>0.52302281267676043</v>
      </c>
      <c r="T6" s="7">
        <f t="shared" si="0"/>
        <v>2.0965363262170365</v>
      </c>
      <c r="U6" s="7">
        <f>(Parameters!$B$19*(E6+Parameters!$B$20)^S6+Parameters!$B$18*F6^S6)^(1/S6)</f>
        <v>0.48094841283493778</v>
      </c>
      <c r="V6" s="7">
        <f>(Parameters!$B$10*G6^Parameters!$B$9+Parameters!$B$11*U6^Parameters!$B$9)^(Parameters!$B$7/Parameters!$B$9)*N6</f>
        <v>1.4892930337706116</v>
      </c>
      <c r="W6" s="7">
        <f>V6 - C6 - D6 - LN(1+EXP(Parameters!$B$21*B6))/Parameters!$B$21 - IF(B6&gt;0, 0,Parameters!$B$6*B6^2/E6)</f>
        <v>1.1995302225259401</v>
      </c>
      <c r="X6" s="7">
        <f>EXP(-Parameters!$B$56*A6)</f>
        <v>0.9702514638494153</v>
      </c>
      <c r="Y6" s="7">
        <f>IF(W6&gt;0,W6^(1-Parameters!$B$53)/(1-Parameters!$B$53)*X6*Parameters!$B$71,-10+W6*1000)</f>
        <v>-2.6011317138426175</v>
      </c>
      <c r="AA6" s="22"/>
      <c r="AB6" s="22">
        <f t="shared" ref="AB6:AB69" si="10">C6/F6-C5/F5</f>
        <v>-6.4052465324345442E-3</v>
      </c>
      <c r="AC6" s="22">
        <f t="shared" ref="AC6:AC69" si="11">D6/G6-D5/G5</f>
        <v>-8.4904100591821213E-4</v>
      </c>
      <c r="AD6" s="22">
        <f t="shared" si="7"/>
        <v>4.0506110284172353E-5</v>
      </c>
      <c r="AE6" s="22"/>
      <c r="AF6" s="22">
        <f t="shared" ref="AF6:AF37" si="12">C6/F6-2*C5/F5+C4/F4</f>
        <v>-2.0652426848934147E-3</v>
      </c>
      <c r="AG6" s="22">
        <f t="shared" ref="AG6:AG37" si="13">D6/G6-2*D5/G5+D4/G4</f>
        <v>-1.1114802457191236E-4</v>
      </c>
      <c r="AH6" s="22">
        <f t="shared" si="8"/>
        <v>4.1503294509883407E-6</v>
      </c>
      <c r="AI6" s="22"/>
      <c r="AJ6" t="s">
        <v>92</v>
      </c>
      <c r="AK6" s="9"/>
      <c r="AL6" s="9"/>
      <c r="AM6" s="23">
        <f t="shared" si="1"/>
        <v>2.8430563194326557</v>
      </c>
      <c r="AN6" s="23">
        <f t="shared" si="2"/>
        <v>49.268052200094083</v>
      </c>
      <c r="AO6" s="23">
        <f t="shared" si="3"/>
        <v>37.057876656366503</v>
      </c>
      <c r="AP6" s="8">
        <f t="shared" si="4"/>
        <v>114.75250999445237</v>
      </c>
      <c r="AQ6" s="22">
        <f>-X6*V6*W6^(-Parameters!B$53)*Parameters!B$47*Parameters!B$46*M6</f>
        <v>-1.9478721066121924E-5</v>
      </c>
      <c r="AR6" s="7">
        <f>1000*EXP(-(Parameters!$B$55)*'6states'!A6)*AP6*Parameters!B$47*Parameters!B$46*M6</f>
        <v>1.8434688675015125</v>
      </c>
      <c r="AS6" s="7">
        <f>SUM(AR6:AR$204)*EXP(Parameters!$B$55*A6)</f>
        <v>179.08313761273357</v>
      </c>
      <c r="AT6" s="13">
        <f t="shared" si="5"/>
        <v>0.19404644143931163</v>
      </c>
      <c r="AU6">
        <f>(1/$S6-1/Parameters!$B$13) * LN(Parameters!$B$18) / LN(O6)</f>
        <v>0.26007595806579137</v>
      </c>
      <c r="AV6">
        <f>(Parameters!$B$18*'6states'!S6^+Parameters!$B$19*Parameters!$B$25^'6states'!S6)^((1-'6states'!S6)/'6states'!S6)*Parameters!$B$18*Parameters!$B$26^('6states'!S6-1)</f>
        <v>0.14891471152062524</v>
      </c>
      <c r="AW6">
        <f t="shared" si="9"/>
        <v>0.34236232223273211</v>
      </c>
      <c r="AX6">
        <f t="shared" ref="AX6:AY44" si="14">1-2^-AU6</f>
        <v>0.16495604689265819</v>
      </c>
      <c r="AY6">
        <f t="shared" si="14"/>
        <v>9.8071303452013536E-2</v>
      </c>
      <c r="AZ6">
        <f>(1/$S6-1/Parameters!$B$13) * LN(Parameters!$B$18) / A6</f>
        <v>5.2438614556978652E-2</v>
      </c>
    </row>
    <row r="7" spans="1:52" x14ac:dyDescent="0.25">
      <c r="A7">
        <f>A6+Parameters!$B$71</f>
        <v>3</v>
      </c>
      <c r="B7" s="20">
        <v>-4.8907716974570716E-3</v>
      </c>
      <c r="C7" s="20">
        <v>4.7731893601737643E-2</v>
      </c>
      <c r="D7" s="20">
        <v>0.23983585173875394</v>
      </c>
      <c r="E7" s="7">
        <f>MAX((1-Parameters!$B$4)^Parameters!B$71*E6 + B6*Parameters!B$71 - IF(B6&gt;0,Parameters!$B$5,0)*B6^2/E6*Parameters!B$71, 0.0001)</f>
        <v>0.59254072472093333</v>
      </c>
      <c r="F7" s="7">
        <f>(1-Parameters!$B$4)^Parameters!B$71*F6+C6*Parameters!B$71-Parameters!$B$5*C6^2/F6*Parameters!B$71</f>
        <v>0.20911422471396743</v>
      </c>
      <c r="G7" s="7">
        <f>(1-Parameters!$B$4)^Parameters!B$71*G6+D6*Parameters!B$71-Parameters!$B$5*D6^2/G6*Parameters!B$71</f>
        <v>4.2763689906130899</v>
      </c>
      <c r="H7" s="9">
        <f>MAX(H6 * (1-Parameters!$B$4) ^ Parameters!B$71 + (LN(1+EXP(Parameters!$B$21*(-B6+0.004)))/Parameters!$B$21 -0.004) * Parameters!B$71,0)</f>
        <v>4.1366580048107185E-2</v>
      </c>
      <c r="I7" s="23">
        <f>I6*(1+Parameters!$B$52)^Parameters!B$71</f>
        <v>8.2311980758142376</v>
      </c>
      <c r="J7" s="23">
        <f>J6*(1+Parameters!$B$54)^Parameters!B$71</f>
        <v>9.5758379060484593</v>
      </c>
      <c r="K7" s="23">
        <f>I7*J7*EXP(-Parameters!$B$43*'6states'!A7)*(Parameters!$B$38/Parameters!$B$39*('6states'!E7+'6states'!H7)/Parameters!$E$25*(EXP(-Parameters!$B$39*Parameters!$E$25*'6states'!H7/('6states'!E7+'6states'!H7))-EXP(-Parameters!$B$39*Parameters!$E$25))  +  Parameters!$B$40*'6states'!E7)</f>
        <v>36.422178495444875</v>
      </c>
      <c r="L7" s="8">
        <f>L6+K7*Parameters!B$71</f>
        <v>2417.9876676346494</v>
      </c>
      <c r="M7" s="7">
        <f>L7*Parameters!$B$46</f>
        <v>1.4507926005807894</v>
      </c>
      <c r="N7" s="9">
        <f>EXP(-Parameters!$B$47/2*M7^2)</f>
        <v>0.97906892871988294</v>
      </c>
      <c r="O7" s="8">
        <f>MAX((Parameters!$B$63 + Parameters!$B$31*'6states'!A7 - '6states'!L7 + Parameters!$B$48/Parameters!$B$46)/Parameters!B$63,1)</f>
        <v>1.8322466473070107</v>
      </c>
      <c r="P7" s="7">
        <f>Parameters!B$62*EXP(-Parameters!B$61*A7)</f>
        <v>0.46109684572230403</v>
      </c>
      <c r="Q7" s="7">
        <f>(1-Parameters!B$62)*O7^-Parameters!B$64</f>
        <v>0.47062133425407982</v>
      </c>
      <c r="R7" s="7">
        <f>Parameters!B$62*EXP(-Parameters!B$61*A7)+(1-Parameters!B$62)*O7^-Parameters!B$64</f>
        <v>0.93171817997638384</v>
      </c>
      <c r="S7" s="7">
        <f>1-R7/Parameters!$B$12</f>
        <v>0.53414091001180808</v>
      </c>
      <c r="T7" s="7">
        <f t="shared" si="0"/>
        <v>2.1465718314637736</v>
      </c>
      <c r="U7" s="7">
        <f>(Parameters!$B$19*(E7+Parameters!$B$20)^S7+Parameters!$B$18*F7^S7)^(1/S7)</f>
        <v>0.46306429807881727</v>
      </c>
      <c r="V7" s="7">
        <f>(Parameters!$B$10*G7^Parameters!$B$9+Parameters!$B$11*U7^Parameters!$B$9)^(Parameters!$B$7/Parameters!$B$9)*N7</f>
        <v>1.4810456881710685</v>
      </c>
      <c r="W7" s="7">
        <f>V7 - C7 - D7 - LN(1+EXP(Parameters!$B$21*B7))/Parameters!$B$21 - IF(B7&gt;0, 0,Parameters!$B$6*B7^2/E7)</f>
        <v>1.1925845307421197</v>
      </c>
      <c r="X7" s="7">
        <f>EXP(-Parameters!$B$56*A7)</f>
        <v>0.95571072560413495</v>
      </c>
      <c r="Y7" s="7">
        <f>IF(W7&gt;0,W7^(1-Parameters!$B$53)/(1-Parameters!$B$53)*X7*Parameters!$B$71,-10+W7*1000)</f>
        <v>-2.5673625714954174</v>
      </c>
      <c r="AA7" s="22"/>
      <c r="AB7" s="22">
        <f t="shared" si="10"/>
        <v>-8.2571712737733172E-3</v>
      </c>
      <c r="AC7" s="22">
        <f t="shared" si="11"/>
        <v>-6.0772709407642955E-4</v>
      </c>
      <c r="AD7" s="22">
        <f t="shared" si="7"/>
        <v>6.5514170619541224E-5</v>
      </c>
      <c r="AE7" s="22"/>
      <c r="AF7" s="22">
        <f t="shared" si="12"/>
        <v>-1.8519247413387729E-3</v>
      </c>
      <c r="AG7" s="22">
        <f t="shared" si="13"/>
        <v>2.4131391184178258E-4</v>
      </c>
      <c r="AH7" s="22">
        <f t="shared" si="8"/>
        <v>3.333382967044259E-6</v>
      </c>
      <c r="AI7" s="22"/>
      <c r="AJ7" t="s">
        <v>93</v>
      </c>
      <c r="AK7" s="15">
        <v>1</v>
      </c>
      <c r="AL7" s="9"/>
      <c r="AM7" s="23">
        <f t="shared" si="1"/>
        <v>3.2605394265482213</v>
      </c>
      <c r="AN7" s="23">
        <f t="shared" si="2"/>
        <v>46.704426436539855</v>
      </c>
      <c r="AO7" s="23">
        <f t="shared" si="3"/>
        <v>36.499014401408012</v>
      </c>
      <c r="AP7" s="8">
        <f t="shared" si="4"/>
        <v>116.73693723738162</v>
      </c>
      <c r="AQ7" s="22">
        <f>-X7*V7*W7^(-Parameters!B$53)*Parameters!B$47*Parameters!B$46*M7</f>
        <v>-1.9524826076228955E-5</v>
      </c>
      <c r="AR7" s="7">
        <f>1000*EXP(-(Parameters!$B$55)*'6states'!A7)*AP7*Parameters!B$47*Parameters!B$46*M7</f>
        <v>1.8383564599526927</v>
      </c>
      <c r="AS7" s="7">
        <f>SUM(AR7:AR$204)*EXP(Parameters!$B$55*A7)</f>
        <v>183.43239916417255</v>
      </c>
      <c r="AT7" s="13">
        <f t="shared" si="5"/>
        <v>0.1941653438764652</v>
      </c>
      <c r="AU7">
        <f>(1/$S7-1/Parameters!$B$13) * LN(Parameters!$B$18) / LN(O7)</f>
        <v>0.25148830761190516</v>
      </c>
      <c r="AV7">
        <f>(Parameters!$B$18*'6states'!S7^+Parameters!$B$19*Parameters!$B$25^'6states'!S7)^((1-'6states'!S7)/'6states'!S7)*Parameters!$B$18*Parameters!$B$26^('6states'!S7-1)</f>
        <v>0.15809862580367798</v>
      </c>
      <c r="AW7">
        <f t="shared" si="9"/>
        <v>0.32682247736806713</v>
      </c>
      <c r="AX7">
        <f t="shared" si="14"/>
        <v>0.15997061983117933</v>
      </c>
      <c r="AY7">
        <f t="shared" si="14"/>
        <v>0.10379456909769347</v>
      </c>
      <c r="AZ7">
        <f>(1/$S7-1/Parameters!$B$13) * LN(Parameters!$B$18) / A7</f>
        <v>5.0762318864111887E-2</v>
      </c>
    </row>
    <row r="8" spans="1:52" x14ac:dyDescent="0.25">
      <c r="A8">
        <f>A7+Parameters!$B$71</f>
        <v>4</v>
      </c>
      <c r="B8" s="20">
        <v>-3.9105240541653114E-3</v>
      </c>
      <c r="C8" s="20">
        <v>5.0910122671851209E-2</v>
      </c>
      <c r="D8" s="20">
        <v>0.23559760264421711</v>
      </c>
      <c r="E8" s="7">
        <f>MAX((1-Parameters!$B$4)^Parameters!B$71*E7 + B7*Parameters!B$71 - IF(B7&gt;0,Parameters!$B$5,0)*B7^2/E7*Parameters!B$71, 0.0001)</f>
        <v>0.55037914143852951</v>
      </c>
      <c r="F8" s="7">
        <f>(1-Parameters!$B$4)^Parameters!B$71*F7+C7*Parameters!B$71-Parameters!$B$5*C7^2/F7*Parameters!B$71</f>
        <v>0.23279767008897606</v>
      </c>
      <c r="G8" s="7">
        <f>(1-Parameters!$B$4)^Parameters!B$71*G7+D7*Parameters!B$71-Parameters!$B$5*D7^2/G7*Parameters!B$71</f>
        <v>4.2337702804325339</v>
      </c>
      <c r="H8" s="9">
        <f>MAX(H7 * (1-Parameters!$B$4) ^ Parameters!B$71 + (LN(1+EXP(Parameters!$B$21*(-B7+0.004)))/Parameters!$B$21 -0.004) * Parameters!B$71,0)</f>
        <v>4.3879190821804422E-2</v>
      </c>
      <c r="I8" s="23">
        <f>I7*(1+Parameters!$B$52)^Parameters!B$71</f>
        <v>8.2550685502340979</v>
      </c>
      <c r="J8" s="23">
        <f>J7*(1+Parameters!$B$54)^Parameters!B$71</f>
        <v>9.767354664169428</v>
      </c>
      <c r="K8" s="23">
        <f>I8*J8*EXP(-Parameters!$B$43*'6states'!A8)*(Parameters!$B$38/Parameters!$B$39*('6states'!E8+'6states'!H8)/Parameters!$E$25*(EXP(-Parameters!$B$39*Parameters!$E$25*'6states'!H8/('6states'!E8+'6states'!H8))-EXP(-Parameters!$B$39*Parameters!$E$25))  +  Parameters!$B$40*'6states'!E8)</f>
        <v>34.146937186507181</v>
      </c>
      <c r="L8" s="8">
        <f>L7+K8*Parameters!B$71</f>
        <v>2452.1346048211567</v>
      </c>
      <c r="M8" s="7">
        <f>L8*Parameters!$B$46</f>
        <v>1.4712807628926938</v>
      </c>
      <c r="N8" s="9">
        <f>EXP(-Parameters!$B$47/2*M8^2)</f>
        <v>0.97848002702198333</v>
      </c>
      <c r="O8" s="8">
        <f>MAX((Parameters!$B$63 + Parameters!$B$31*'6states'!A8 - '6states'!L8 + Parameters!$B$48/Parameters!$B$46)/Parameters!B$63,1)</f>
        <v>2.2133079035768697</v>
      </c>
      <c r="P8" s="7">
        <f>Parameters!B$62*EXP(-Parameters!B$61*A8)</f>
        <v>0.44881379821521744</v>
      </c>
      <c r="Q8" s="7">
        <f>(1-Parameters!B$62)*O8^-Parameters!B$64</f>
        <v>0.46181264562459728</v>
      </c>
      <c r="R8" s="7">
        <f>Parameters!B$62*EXP(-Parameters!B$61*A8)+(1-Parameters!B$62)*O8^-Parameters!B$64</f>
        <v>0.91062644383981473</v>
      </c>
      <c r="S8" s="7">
        <f>1-R8/Parameters!$B$12</f>
        <v>0.54468677808009258</v>
      </c>
      <c r="T8" s="7">
        <f t="shared" si="0"/>
        <v>2.1962902719655846</v>
      </c>
      <c r="U8" s="7">
        <f>(Parameters!$B$19*(E8+Parameters!$B$20)^S8+Parameters!$B$18*F8^S8)^(1/S8)</f>
        <v>0.44728887021478453</v>
      </c>
      <c r="V8" s="7">
        <f>(Parameters!$B$10*G8^Parameters!$B$9+Parameters!$B$11*U8^Parameters!$B$9)^(Parameters!$B$7/Parameters!$B$9)*N8</f>
        <v>1.472837150224261</v>
      </c>
      <c r="W8" s="7">
        <f>V8 - C8 - D8 - LN(1+EXP(Parameters!$B$21*B8))/Parameters!$B$21 - IF(B8&gt;0, 0,Parameters!$B$6*B8^2/E8)</f>
        <v>1.1852919663440615</v>
      </c>
      <c r="X8" s="7">
        <f>EXP(-Parameters!$B$56*A8)</f>
        <v>0.94138790310193321</v>
      </c>
      <c r="Y8" s="7">
        <f>IF(W8&gt;0,W8^(1-Parameters!$B$53)/(1-Parameters!$B$53)*X8*Parameters!$B$71,-10+W8*1000)</f>
        <v>-2.5343214515234997</v>
      </c>
      <c r="AA8" s="22"/>
      <c r="AB8" s="22">
        <f t="shared" si="10"/>
        <v>-9.5692338884553474E-3</v>
      </c>
      <c r="AC8" s="22">
        <f t="shared" si="11"/>
        <v>-4.3676042311351776E-4</v>
      </c>
      <c r="AD8" s="22">
        <f t="shared" si="7"/>
        <v>8.6382692438615981E-5</v>
      </c>
      <c r="AE8" s="22"/>
      <c r="AF8" s="22">
        <f t="shared" si="12"/>
        <v>-1.3120626146820302E-3</v>
      </c>
      <c r="AG8" s="22">
        <f t="shared" si="13"/>
        <v>1.7096667096291179E-4</v>
      </c>
      <c r="AH8" s="22">
        <f t="shared" si="8"/>
        <v>1.6481234875531923E-6</v>
      </c>
      <c r="AI8" s="22"/>
      <c r="AJ8" t="s">
        <v>94</v>
      </c>
      <c r="AK8" s="15">
        <v>0.3</v>
      </c>
      <c r="AL8" s="9"/>
      <c r="AM8" s="23">
        <f t="shared" si="1"/>
        <v>3.537987155453076</v>
      </c>
      <c r="AN8" s="23">
        <f t="shared" si="2"/>
        <v>44.377170512250892</v>
      </c>
      <c r="AO8" s="23">
        <f t="shared" si="3"/>
        <v>36.064983149385</v>
      </c>
      <c r="AP8" s="8">
        <f t="shared" si="4"/>
        <v>118.75512793135103</v>
      </c>
      <c r="AQ8" s="22">
        <f>-X8*V8*W8^(-Parameters!B$53)*Parameters!B$47*Parameters!B$46*M8</f>
        <v>-1.9556989275830634E-5</v>
      </c>
      <c r="AR8" s="7">
        <f>1000*EXP(-(Parameters!$B$55)*'6states'!A8)*AP8*Parameters!B$47*Parameters!B$46*M8</f>
        <v>1.8311346931643724</v>
      </c>
      <c r="AS8" s="7">
        <f>SUM(AR8:AR$204)*EXP(Parameters!$B$55*A8)</f>
        <v>187.8697460941174</v>
      </c>
      <c r="AT8" s="13">
        <f t="shared" si="5"/>
        <v>0.19452776925978771</v>
      </c>
      <c r="AU8">
        <f>(1/$S8-1/Parameters!$B$13) * LN(Parameters!$B$18) / LN(O8)</f>
        <v>0.24603008873374871</v>
      </c>
      <c r="AV8">
        <f>(Parameters!$B$18*'6states'!S8^+Parameters!$B$19*Parameters!$B$25^'6states'!S8)^((1-'6states'!S8)/'6states'!S8)*Parameters!$B$18*Parameters!$B$26^('6states'!S8-1)</f>
        <v>0.16670915611181036</v>
      </c>
      <c r="AW8">
        <f t="shared" si="9"/>
        <v>0.31584697390322403</v>
      </c>
      <c r="AX8">
        <f t="shared" si="14"/>
        <v>0.15678647592788908</v>
      </c>
      <c r="AY8">
        <f t="shared" si="14"/>
        <v>0.10912751972263335</v>
      </c>
      <c r="AZ8">
        <f>(1/$S8-1/Parameters!$B$13) * LN(Parameters!$B$18) / A8</f>
        <v>4.8866999688364735E-2</v>
      </c>
    </row>
    <row r="9" spans="1:52" x14ac:dyDescent="0.25">
      <c r="A9">
        <f>A8+Parameters!$B$71</f>
        <v>5</v>
      </c>
      <c r="B9" s="20">
        <v>-3.047935195548049E-3</v>
      </c>
      <c r="C9" s="20">
        <v>5.3707979630027318E-2</v>
      </c>
      <c r="D9" s="20">
        <v>0.23249509490777107</v>
      </c>
      <c r="E9" s="7">
        <f>MAX((1-Parameters!$B$4)^Parameters!B$71*E8 + B8*Parameters!B$71 - IF(B8&gt;0,Parameters!$B$5,0)*B8^2/E8*Parameters!B$71, 0.0001)</f>
        <v>0.51184976938788063</v>
      </c>
      <c r="F9" s="7">
        <f>(1-Parameters!$B$4)^Parameters!B$71*F8+C8*Parameters!B$71-Parameters!$B$5*C8^2/F8*Parameters!B$71</f>
        <v>0.2579313720166786</v>
      </c>
      <c r="G9" s="7">
        <f>(1-Parameters!$B$4)^Parameters!B$71*G8+D8*Parameters!B$71-Parameters!$B$5*D8^2/G8*Parameters!B$71</f>
        <v>4.1899533776721389</v>
      </c>
      <c r="H9" s="9">
        <f>MAX(H8 * (1-Parameters!$B$4) ^ Parameters!B$71 + (LN(1+EXP(Parameters!$B$21*(-B8+0.004)))/Parameters!$B$21 -0.004) * Parameters!B$71,0)</f>
        <v>4.5326701829529609E-2</v>
      </c>
      <c r="I9" s="23">
        <f>I8*(1+Parameters!$B$52)^Parameters!B$71</f>
        <v>8.2790082490297756</v>
      </c>
      <c r="J9" s="23">
        <f>J8*(1+Parameters!$B$54)^Parameters!B$71</f>
        <v>9.9627017574528161</v>
      </c>
      <c r="K9" s="23">
        <f>I9*J9*EXP(-Parameters!$B$43*'6states'!A9)*(Parameters!$B$38/Parameters!$B$39*('6states'!E9+'6states'!H9)/Parameters!$E$25*(EXP(-Parameters!$B$39*Parameters!$E$25*'6states'!H9/('6states'!E9+'6states'!H9))-EXP(-Parameters!$B$39*Parameters!$E$25))  +  Parameters!$B$40*'6states'!E9)</f>
        <v>32.094520197233962</v>
      </c>
      <c r="L9" s="8">
        <f>L8+K9*Parameters!B$71</f>
        <v>2484.2291250183907</v>
      </c>
      <c r="M9" s="7">
        <f>L9*Parameters!$B$46</f>
        <v>1.4905374750110343</v>
      </c>
      <c r="N9" s="9">
        <f>EXP(-Parameters!$B$47/2*M9^2)</f>
        <v>0.97791932244029245</v>
      </c>
      <c r="O9" s="8">
        <f>MAX((Parameters!$B$63 + Parameters!$B$31*'6states'!A9 - '6states'!L9 + Parameters!$B$48/Parameters!$B$46)/Parameters!B$63,1)</f>
        <v>2.6354174996321853</v>
      </c>
      <c r="P9" s="7">
        <f>Parameters!B$62*EXP(-Parameters!B$61*A9)</f>
        <v>0.43685795584401721</v>
      </c>
      <c r="Q9" s="7">
        <f>(1-Parameters!B$62)*O9^-Parameters!B$64</f>
        <v>0.45382149462981719</v>
      </c>
      <c r="R9" s="7">
        <f>Parameters!B$62*EXP(-Parameters!B$61*A9)+(1-Parameters!B$62)*O9^-Parameters!B$64</f>
        <v>0.89067945047383446</v>
      </c>
      <c r="S9" s="7">
        <f>1-R9/Parameters!$B$12</f>
        <v>0.55466027476308277</v>
      </c>
      <c r="T9" s="7">
        <f t="shared" si="0"/>
        <v>2.2454767525353994</v>
      </c>
      <c r="U9" s="7">
        <f>(Parameters!$B$19*(E9+Parameters!$B$20)^S9+Parameters!$B$18*F9^S9)^(1/S9)</f>
        <v>0.43304061574922609</v>
      </c>
      <c r="V9" s="7">
        <f>(Parameters!$B$10*G9^Parameters!$B$9+Parameters!$B$11*U9^Parameters!$B$9)^(Parameters!$B$7/Parameters!$B$9)*N9</f>
        <v>1.4646759424936968</v>
      </c>
      <c r="W9" s="7">
        <f>V9 - C9 - D9 - LN(1+EXP(Parameters!$B$21*B9))/Parameters!$B$21 - IF(B9&gt;0, 0,Parameters!$B$6*B9^2/E9)</f>
        <v>1.1772587249853641</v>
      </c>
      <c r="X9" s="7">
        <f>EXP(-Parameters!$B$56*A9)</f>
        <v>0.92727973053399881</v>
      </c>
      <c r="Y9" s="7">
        <f>IF(W9&gt;0,W9^(1-Parameters!$B$53)/(1-Parameters!$B$53)*X9*Parameters!$B$71,-10+W9*1000)</f>
        <v>-2.5022894855090607</v>
      </c>
      <c r="AA9" s="22">
        <f t="shared" ref="AA9:AA69" si="15">B9/E9-B8/E8</f>
        <v>1.150400150988622E-3</v>
      </c>
      <c r="AB9" s="22">
        <f t="shared" si="10"/>
        <v>-1.0462430883880158E-2</v>
      </c>
      <c r="AC9" s="22">
        <f t="shared" si="11"/>
        <v>-1.5852642381466997E-4</v>
      </c>
      <c r="AD9" s="22">
        <f t="shared" si="7"/>
        <v>1.02752804544917E-4</v>
      </c>
      <c r="AE9" s="22">
        <f t="shared" ref="AE9:AE37" si="16">B9/E9-2*B8/E8+B7/E7</f>
        <v>1.6462884668503458E-6</v>
      </c>
      <c r="AF9" s="22">
        <f t="shared" si="12"/>
        <v>-8.931969954248109E-4</v>
      </c>
      <c r="AG9" s="22">
        <f t="shared" si="13"/>
        <v>2.7823399929884779E-4</v>
      </c>
      <c r="AH9" s="22">
        <f t="shared" si="8"/>
        <v>8.1157167128106261E-7</v>
      </c>
      <c r="AI9" s="22"/>
      <c r="AK9" s="9"/>
      <c r="AL9" s="9"/>
      <c r="AM9" s="23">
        <f t="shared" si="1"/>
        <v>3.7386048398214937</v>
      </c>
      <c r="AN9" s="23">
        <f t="shared" si="2"/>
        <v>42.218029281988564</v>
      </c>
      <c r="AO9" s="23">
        <f t="shared" si="3"/>
        <v>35.717748623496917</v>
      </c>
      <c r="AP9" s="8">
        <f t="shared" si="4"/>
        <v>120.8083612165582</v>
      </c>
      <c r="AQ9" s="22">
        <f>-X9*V9*W9^(-Parameters!B$53)*Parameters!B$47*Parameters!B$46*M9</f>
        <v>-1.9586887692674205E-5</v>
      </c>
      <c r="AR9" s="7">
        <f>1000*EXP(-(Parameters!$B$55)*'6states'!A9)*AP9*Parameters!B$47*Parameters!B$46*M9</f>
        <v>1.8220845215347601</v>
      </c>
      <c r="AS9" s="7">
        <f>SUM(AR9:AR$204)*EXP(Parameters!$B$55*A9)</f>
        <v>192.39864566207439</v>
      </c>
      <c r="AT9" s="13">
        <f t="shared" si="5"/>
        <v>0.19540368366433383</v>
      </c>
      <c r="AU9">
        <f>(1/$S9-1/Parameters!$B$13) * LN(Parameters!$B$18) / LN(O9)</f>
        <v>0.24229573936112869</v>
      </c>
      <c r="AV9">
        <f>(Parameters!$B$18*'6states'!S9^+Parameters!$B$19*Parameters!$B$25^'6states'!S9)^((1-'6states'!S9)/'6states'!S9)*Parameters!$B$18*Parameters!$B$26^('6states'!S9-1)</f>
        <v>0.17473534128258777</v>
      </c>
      <c r="AW9">
        <f t="shared" si="9"/>
        <v>0.30747747546939697</v>
      </c>
      <c r="AX9">
        <f t="shared" si="14"/>
        <v>0.15460102948556664</v>
      </c>
      <c r="AY9">
        <f t="shared" si="14"/>
        <v>0.11406997420520948</v>
      </c>
      <c r="AZ9">
        <f>(1/$S9-1/Parameters!$B$13) * LN(Parameters!$B$18) / A9</f>
        <v>4.6958930834485525E-2</v>
      </c>
    </row>
    <row r="10" spans="1:52" x14ac:dyDescent="0.25">
      <c r="A10">
        <f>A9+Parameters!$B$71</f>
        <v>6</v>
      </c>
      <c r="B10" s="20">
        <v>-1.3973649888093245E-3</v>
      </c>
      <c r="C10" s="20">
        <v>5.6014685745839773E-2</v>
      </c>
      <c r="D10" s="20">
        <v>0.23090231280457069</v>
      </c>
      <c r="E10" s="7">
        <f>MAX((1-Parameters!$B$4)^Parameters!B$71*E9 + B9*Parameters!B$71 - IF(B9&gt;0,Parameters!$B$5,0)*B9^2/E9*Parameters!B$71, 0.0001)</f>
        <v>0.47660648369783493</v>
      </c>
      <c r="F10" s="7">
        <f>(1-Parameters!$B$4)^Parameters!B$71*F9+C9*Parameters!B$71-Parameters!$B$5*C9^2/F9*Parameters!B$71</f>
        <v>0.28423207854287091</v>
      </c>
      <c r="G10" s="7">
        <f>(1-Parameters!$B$4)^Parameters!B$71*G9+D9*Parameters!B$71-Parameters!$B$5*D9^2/G9*Parameters!B$71</f>
        <v>4.1459995529467824</v>
      </c>
      <c r="H10" s="9">
        <f>MAX(H9 * (1-Parameters!$B$4) ^ Parameters!B$71 + (LN(1+EXP(Parameters!$B$21*(-B9+0.004)))/Parameters!$B$21 -0.004) * Parameters!B$71,0)</f>
        <v>4.5903456354355748E-2</v>
      </c>
      <c r="I10" s="23">
        <f>I9*(1+Parameters!$B$52)^Parameters!B$71</f>
        <v>8.3030173729519614</v>
      </c>
      <c r="J10" s="23">
        <f>J9*(1+Parameters!$B$54)^Parameters!B$71</f>
        <v>10.161955792601873</v>
      </c>
      <c r="K10" s="23">
        <f>I10*J10*EXP(-Parameters!$B$43*'6states'!A10)*(Parameters!$B$38/Parameters!$B$39*('6states'!E10+'6states'!H10)/Parameters!$E$25*(EXP(-Parameters!$B$39*Parameters!$E$25*'6states'!H10/('6states'!E10+'6states'!H10))-EXP(-Parameters!$B$39*Parameters!$E$25))  +  Parameters!$B$40*'6states'!E10)</f>
        <v>30.225567879971717</v>
      </c>
      <c r="L10" s="8">
        <f>L9+K10*Parameters!B$71</f>
        <v>2514.4546928983623</v>
      </c>
      <c r="M10" s="7">
        <f>L10*Parameters!$B$46</f>
        <v>1.5086728157390172</v>
      </c>
      <c r="N10" s="9">
        <f>EXP(-Parameters!$B$47/2*M10^2)</f>
        <v>0.97738490203636563</v>
      </c>
      <c r="O10" s="8">
        <f>MAX((Parameters!$B$63 + Parameters!$B$31*'6states'!A10 - '6states'!L10 + Parameters!$B$48/Parameters!$B$46)/Parameters!B$63,1)</f>
        <v>3.0949061420327597</v>
      </c>
      <c r="P10" s="7">
        <f>Parameters!B$62*EXP(-Parameters!B$61*A10)</f>
        <v>0.42522060227011649</v>
      </c>
      <c r="Q10" s="7">
        <f>(1-Parameters!B$62)*O10^-Parameters!B$64</f>
        <v>0.44658615606834839</v>
      </c>
      <c r="R10" s="7">
        <f>Parameters!B$62*EXP(-Parameters!B$61*A10)+(1-Parameters!B$62)*O10^-Parameters!B$64</f>
        <v>0.87180675833846488</v>
      </c>
      <c r="S10" s="7">
        <f>1-R10/Parameters!$B$12</f>
        <v>0.56409662083076761</v>
      </c>
      <c r="T10" s="7">
        <f t="shared" si="0"/>
        <v>2.2940863681897872</v>
      </c>
      <c r="U10" s="7">
        <f>(Parameters!$B$19*(E10+Parameters!$B$20)^S10+Parameters!$B$18*F10^S10)^(1/S10)</f>
        <v>0.4201564782615233</v>
      </c>
      <c r="V10" s="7">
        <f>(Parameters!$B$10*G10^Parameters!$B$9+Parameters!$B$11*U10^Parameters!$B$9)^(Parameters!$B$7/Parameters!$B$9)*N10</f>
        <v>1.456674293037866</v>
      </c>
      <c r="W10" s="7">
        <f>V10 - C10 - D10 - LN(1+EXP(Parameters!$B$21*B10))/Parameters!$B$21 - IF(B10&gt;0, 0,Parameters!$B$6*B10^2/E10)</f>
        <v>1.1680523080582772</v>
      </c>
      <c r="X10" s="7">
        <f>EXP(-Parameters!$B$56*A10)</f>
        <v>0.91338299103478215</v>
      </c>
      <c r="Y10" s="7">
        <f>IF(W10&gt;0,W10^(1-Parameters!$B$53)/(1-Parameters!$B$53)*X10*Parameters!$B$71,-10+W10*1000)</f>
        <v>-2.4715709010336036</v>
      </c>
      <c r="AA10" s="22">
        <f t="shared" si="15"/>
        <v>3.0228405473357763E-3</v>
      </c>
      <c r="AB10" s="22">
        <f t="shared" si="10"/>
        <v>-1.1152087119649684E-2</v>
      </c>
      <c r="AC10" s="22">
        <f t="shared" si="11"/>
        <v>2.0409042099792107E-4</v>
      </c>
      <c r="AD10" s="22">
        <f t="shared" si="7"/>
        <v>1.2198071373212496E-4</v>
      </c>
      <c r="AE10" s="22">
        <f t="shared" si="16"/>
        <v>1.8724403963471534E-3</v>
      </c>
      <c r="AF10" s="22">
        <f t="shared" si="12"/>
        <v>-6.8965623576952573E-4</v>
      </c>
      <c r="AG10" s="22">
        <f t="shared" si="13"/>
        <v>3.6261684481259104E-4</v>
      </c>
      <c r="AH10" s="22">
        <f t="shared" si="8"/>
        <v>3.7568810098576365E-6</v>
      </c>
      <c r="AI10" s="22"/>
      <c r="AK10" s="9"/>
      <c r="AL10" s="9"/>
      <c r="AM10" s="23">
        <f t="shared" si="1"/>
        <v>3.8730993324892111</v>
      </c>
      <c r="AN10" s="23">
        <f t="shared" si="2"/>
        <v>40.21362225145284</v>
      </c>
      <c r="AO10" s="23">
        <f t="shared" si="3"/>
        <v>35.450658942402484</v>
      </c>
      <c r="AP10" s="8">
        <f t="shared" si="4"/>
        <v>122.90674123679146</v>
      </c>
      <c r="AQ10" s="22">
        <f>-X10*V10*W10^(-Parameters!B$53)*Parameters!B$47*Parameters!B$46*M10</f>
        <v>-1.9628343727854596E-5</v>
      </c>
      <c r="AR10" s="7">
        <f>1000*EXP(-(Parameters!$B$55)*'6states'!A10)*AP10*Parameters!B$47*Parameters!B$46*M10</f>
        <v>1.8115722473153379</v>
      </c>
      <c r="AS10" s="7">
        <f>SUM(AR10:AR$204)*EXP(Parameters!$B$55*A10)</f>
        <v>197.02254075151157</v>
      </c>
      <c r="AT10" s="13">
        <f t="shared" si="5"/>
        <v>0.19696716000393652</v>
      </c>
      <c r="AU10">
        <f>(1/$S10-1/Parameters!$B$13) * LN(Parameters!$B$18) / LN(O10)</f>
        <v>0.23962925016429296</v>
      </c>
      <c r="AV10">
        <f>(Parameters!$B$18*'6states'!S10^+Parameters!$B$19*Parameters!$B$25^'6states'!S10)^((1-'6states'!S10)/'6states'!S10)*Parameters!$B$18*Parameters!$B$26^('6states'!S10-1)</f>
        <v>0.18220368972980483</v>
      </c>
      <c r="AW10">
        <f t="shared" si="9"/>
        <v>0.30078241283923784</v>
      </c>
      <c r="AX10">
        <f t="shared" si="14"/>
        <v>0.15303705950566759</v>
      </c>
      <c r="AY10">
        <f t="shared" si="14"/>
        <v>0.11864428681312766</v>
      </c>
      <c r="AZ10">
        <f>(1/$S10-1/Parameters!$B$13) * LN(Parameters!$B$18) / A10</f>
        <v>4.5120493627166469E-2</v>
      </c>
    </row>
    <row r="11" spans="1:52" x14ac:dyDescent="0.25">
      <c r="A11">
        <f>A10+Parameters!$B$71</f>
        <v>7</v>
      </c>
      <c r="B11" s="20">
        <v>-3.5797567777700839E-3</v>
      </c>
      <c r="C11" s="20">
        <v>5.7714133113546048E-2</v>
      </c>
      <c r="D11" s="20">
        <v>0.23026833025880991</v>
      </c>
      <c r="E11" s="7">
        <f>MAX((1-Parameters!$B$4)^Parameters!B$71*E10 + B10*Parameters!B$71 - IF(B10&gt;0,Parameters!$B$5,0)*B10^2/E10*Parameters!B$71, 0.0001)</f>
        <v>0.4452305708844318</v>
      </c>
      <c r="F11" s="7">
        <f>(1-Parameters!$B$4)^Parameters!B$71*F10+C10*Parameters!B$71-Parameters!$B$5*C10^2/F10*Parameters!B$71</f>
        <v>0.31132954155410431</v>
      </c>
      <c r="G11" s="7">
        <f>(1-Parameters!$B$4)^Parameters!B$71*G10+D10*Parameters!B$71-Parameters!$B$5*D10^2/G10*Parameters!B$71</f>
        <v>4.1032588981625056</v>
      </c>
      <c r="H11" s="9">
        <f>MAX(H10 * (1-Parameters!$B$4) ^ Parameters!B$71 + (LN(1+EXP(Parameters!$B$21*(-B10+0.004)))/Parameters!$B$21 -0.004) * Parameters!B$71,0)</f>
        <v>4.5015825858007959E-2</v>
      </c>
      <c r="I11" s="23">
        <f>I10*(1+Parameters!$B$52)^Parameters!B$71</f>
        <v>8.3270961233335221</v>
      </c>
      <c r="J11" s="23">
        <f>J10*(1+Parameters!$B$54)^Parameters!B$71</f>
        <v>10.36519490845391</v>
      </c>
      <c r="K11" s="23">
        <f>I11*J11*EXP(-Parameters!$B$43*'6states'!A11)*(Parameters!$B$38/Parameters!$B$39*('6states'!E11+'6states'!H11)/Parameters!$E$25*(EXP(-Parameters!$B$39*Parameters!$E$25*'6states'!H11/('6states'!E11+'6states'!H11))-EXP(-Parameters!$B$39*Parameters!$E$25))  +  Parameters!$B$40*'6states'!E11)</f>
        <v>28.577677668201662</v>
      </c>
      <c r="L11" s="8">
        <f>L10+K11*Parameters!B$71</f>
        <v>2543.0323705665642</v>
      </c>
      <c r="M11" s="7">
        <f>L11*Parameters!$B$46</f>
        <v>1.5258194223399384</v>
      </c>
      <c r="N11" s="9">
        <f>EXP(-Parameters!$B$47/2*M11^2)</f>
        <v>0.97687394738358224</v>
      </c>
      <c r="O11" s="8">
        <f>MAX((Parameters!$B$63 + Parameters!$B$31*'6states'!A11 - '6states'!L11 + Parameters!$B$48/Parameters!$B$46)/Parameters!B$63,1)</f>
        <v>3.5873525886687183</v>
      </c>
      <c r="P11" s="7">
        <f>Parameters!B$62*EXP(-Parameters!B$61*A11)</f>
        <v>0.41389325334736682</v>
      </c>
      <c r="Q11" s="7">
        <f>(1-Parameters!B$62)*O11^-Parameters!B$64</f>
        <v>0.44004044776445311</v>
      </c>
      <c r="R11" s="7">
        <f>Parameters!B$62*EXP(-Parameters!B$61*A11)+(1-Parameters!B$62)*O11^-Parameters!B$64</f>
        <v>0.85393370111181999</v>
      </c>
      <c r="S11" s="7">
        <f>1-R11/Parameters!$B$12</f>
        <v>0.57303314944409001</v>
      </c>
      <c r="T11" s="7">
        <f t="shared" si="0"/>
        <v>2.342102199967051</v>
      </c>
      <c r="U11" s="7">
        <f>(Parameters!$B$19*(E11+Parameters!$B$20)^S11+Parameters!$B$18*F11^S11)^(1/S11)</f>
        <v>0.40905667067381113</v>
      </c>
      <c r="V11" s="7">
        <f>(Parameters!$B$10*G11^Parameters!$B$9+Parameters!$B$11*U11^Parameters!$B$9)^(Parameters!$B$7/Parameters!$B$9)*N11</f>
        <v>1.4491440298480822</v>
      </c>
      <c r="W11" s="7">
        <f>V11 - C11 - D11 - LN(1+EXP(Parameters!$B$21*B11))/Parameters!$B$21 - IF(B11&gt;0, 0,Parameters!$B$6*B11^2/E11)</f>
        <v>1.1600379536176244</v>
      </c>
      <c r="X11" s="7">
        <f>EXP(-Parameters!$B$56*A11)</f>
        <v>0.89969451594850369</v>
      </c>
      <c r="Y11" s="7">
        <f>IF(W11&gt;0,W11^(1-Parameters!$B$53)/(1-Parameters!$B$53)*X11*Parameters!$B$71,-10+W11*1000)</f>
        <v>-2.4404041757146566</v>
      </c>
      <c r="AA11" s="22">
        <f t="shared" si="15"/>
        <v>-5.1083261955738044E-3</v>
      </c>
      <c r="AB11" s="22">
        <f t="shared" si="10"/>
        <v>-1.1694205636734456E-2</v>
      </c>
      <c r="AC11" s="22">
        <f t="shared" si="11"/>
        <v>4.2560416535871587E-4</v>
      </c>
      <c r="AD11" s="22">
        <f t="shared" si="7"/>
        <v>1.4667771956779817E-4</v>
      </c>
      <c r="AE11" s="22">
        <f t="shared" si="16"/>
        <v>-8.1311667429095798E-3</v>
      </c>
      <c r="AF11" s="22">
        <f t="shared" si="12"/>
        <v>-5.4211851708477199E-4</v>
      </c>
      <c r="AG11" s="22">
        <f t="shared" si="13"/>
        <v>2.215137443607948E-4</v>
      </c>
      <c r="AH11" s="22">
        <f t="shared" si="8"/>
        <v>5.9792647970162294E-5</v>
      </c>
      <c r="AI11" s="22"/>
      <c r="AK11" s="9"/>
      <c r="AL11" s="9"/>
      <c r="AM11" s="23">
        <f t="shared" si="1"/>
        <v>3.8854048063405191</v>
      </c>
      <c r="AN11" s="23">
        <f t="shared" si="2"/>
        <v>38.428729609463971</v>
      </c>
      <c r="AO11" s="23">
        <f t="shared" si="3"/>
        <v>35.306488862715021</v>
      </c>
      <c r="AP11" s="8">
        <f t="shared" si="4"/>
        <v>125.07848231889729</v>
      </c>
      <c r="AQ11" s="22">
        <f>-X11*V11*W11^(-Parameters!B$53)*Parameters!B$47*Parameters!B$46*M11</f>
        <v>-1.9634489038746333E-5</v>
      </c>
      <c r="AR11" s="7">
        <f>1000*EXP(-(Parameters!$B$55)*'6states'!A11)*AP11*Parameters!B$47*Parameters!B$46*M11</f>
        <v>1.8002254427389814</v>
      </c>
      <c r="AS11" s="7">
        <f>SUM(AR11:AR$204)*EXP(Parameters!$B$55*A11)</f>
        <v>201.74470730982074</v>
      </c>
      <c r="AT11" s="13">
        <f t="shared" si="5"/>
        <v>0.19872590815044516</v>
      </c>
      <c r="AU11">
        <f>(1/$S11-1/Parameters!$B$13) * LN(Parameters!$B$18) / LN(O11)</f>
        <v>0.23771243546694254</v>
      </c>
      <c r="AV11">
        <f>(Parameters!$B$18*'6states'!S11^+Parameters!$B$19*Parameters!$B$25^'6states'!S11)^((1-'6states'!S11)/'6states'!S11)*Parameters!$B$18*Parameters!$B$26^('6states'!S11-1)</f>
        <v>0.18914773380213848</v>
      </c>
      <c r="AW11">
        <f t="shared" si="9"/>
        <v>0.29529518276159017</v>
      </c>
      <c r="AX11">
        <f t="shared" si="14"/>
        <v>0.15191100726027018</v>
      </c>
      <c r="AY11">
        <f t="shared" si="14"/>
        <v>0.12287627444816607</v>
      </c>
      <c r="AZ11">
        <f>(1/$S11-1/Parameters!$B$13) * LN(Parameters!$B$18) / A11</f>
        <v>4.3379615644672583E-2</v>
      </c>
    </row>
    <row r="12" spans="1:52" x14ac:dyDescent="0.25">
      <c r="A12">
        <f>A11+Parameters!$B$71</f>
        <v>8</v>
      </c>
      <c r="B12" s="20">
        <v>-6.5021139048236187E-4</v>
      </c>
      <c r="C12" s="20">
        <v>5.8701307132718164E-2</v>
      </c>
      <c r="D12" s="20">
        <v>0.22970673121777602</v>
      </c>
      <c r="E12" s="7">
        <f>MAX((1-Parameters!$B$4)^Parameters!B$71*E11 + B11*Parameters!B$71 - IF(B11&gt;0,Parameters!$B$5,0)*B11^2/E11*Parameters!B$71, 0.0001)</f>
        <v>0.41364581119803101</v>
      </c>
      <c r="F12" s="7">
        <f>(1-Parameters!$B$4)^Parameters!B$71*F11+C11*Parameters!B$71-Parameters!$B$5*C11^2/F11*Parameters!B$71</f>
        <v>0.33876202595987587</v>
      </c>
      <c r="G12" s="7">
        <f>(1-Parameters!$B$4)^Parameters!B$71*G11+D11*Parameters!B$71-Parameters!$B$5*D11^2/G11*Parameters!B$71</f>
        <v>4.0625099531193172</v>
      </c>
      <c r="H12" s="9">
        <f>MAX(H11 * (1-Parameters!$B$4) ^ Parameters!B$71 + (LN(1+EXP(Parameters!$B$21*(-B11+0.004)))/Parameters!$B$21 -0.004) * Parameters!B$71,0)</f>
        <v>4.6090586061798E-2</v>
      </c>
      <c r="I12" s="23">
        <f>I11*(1+Parameters!$B$52)^Parameters!B$71</f>
        <v>8.3512447020911882</v>
      </c>
      <c r="J12" s="23">
        <f>J11*(1+Parameters!$B$54)^Parameters!B$71</f>
        <v>10.572498806622988</v>
      </c>
      <c r="K12" s="23">
        <f>I12*J12*EXP(-Parameters!$B$43*'6states'!A12)*(Parameters!$B$38/Parameters!$B$39*('6states'!E12+'6states'!H12)/Parameters!$E$25*(EXP(-Parameters!$B$39*Parameters!$E$25*'6states'!H12/('6states'!E12+'6states'!H12))-EXP(-Parameters!$B$39*Parameters!$E$25))  +  Parameters!$B$40*'6states'!E12)</f>
        <v>26.860521760437852</v>
      </c>
      <c r="L12" s="8">
        <f>L11+K12*Parameters!B$71</f>
        <v>2569.8928923270018</v>
      </c>
      <c r="M12" s="7">
        <f>L12*Parameters!$B$46</f>
        <v>1.5419357353962009</v>
      </c>
      <c r="N12" s="9">
        <f>EXP(-Parameters!$B$47/2*M12^2)</f>
        <v>0.97638867778183258</v>
      </c>
      <c r="O12" s="8">
        <f>MAX((Parameters!$B$63 + Parameters!$B$31*'6states'!A12 - '6states'!L12 + Parameters!$B$48/Parameters!$B$46)/Parameters!B$63,1)</f>
        <v>4.1141421534599614</v>
      </c>
      <c r="P12" s="7">
        <f>Parameters!B$62*EXP(-Parameters!B$61*A12)</f>
        <v>0.40286765093673982</v>
      </c>
      <c r="Q12" s="7">
        <f>(1-Parameters!B$62)*O12^-Parameters!B$64</f>
        <v>0.43405231312902526</v>
      </c>
      <c r="R12" s="7">
        <f>Parameters!B$62*EXP(-Parameters!B$61*A12)+(1-Parameters!B$62)*O12^-Parameters!B$64</f>
        <v>0.83691996406576508</v>
      </c>
      <c r="S12" s="7">
        <f>1-R12/Parameters!$B$12</f>
        <v>0.58154001796711752</v>
      </c>
      <c r="T12" s="7">
        <f t="shared" si="0"/>
        <v>2.3897147706741055</v>
      </c>
      <c r="U12" s="7">
        <f>(Parameters!$B$19*(E12+Parameters!$B$20)^S12+Parameters!$B$18*F12^S12)^(1/S12)</f>
        <v>0.39701832481552063</v>
      </c>
      <c r="V12" s="7">
        <f>(Parameters!$B$10*G12^Parameters!$B$9+Parameters!$B$11*U12^Parameters!$B$9)^(Parameters!$B$7/Parameters!$B$9)*N12</f>
        <v>1.4412446576015667</v>
      </c>
      <c r="W12" s="7">
        <f>V12 - C12 - D12 - LN(1+EXP(Parameters!$B$21*B12))/Parameters!$B$21 - IF(B12&gt;0, 0,Parameters!$B$6*B12^2/E12)</f>
        <v>1.1508302950104961</v>
      </c>
      <c r="X12" s="7">
        <f>EXP(-Parameters!$B$56*A12)</f>
        <v>0.88621118410665478</v>
      </c>
      <c r="Y12" s="7">
        <f>IF(W12&gt;0,W12^(1-Parameters!$B$53)/(1-Parameters!$B$53)*X12*Parameters!$B$71,-10+W12*1000)</f>
        <v>-2.4105449381701796</v>
      </c>
      <c r="AA12" s="22">
        <f t="shared" si="15"/>
        <v>6.4683275908856541E-3</v>
      </c>
      <c r="AB12" s="22">
        <f t="shared" si="10"/>
        <v>-1.2097719129911338E-2</v>
      </c>
      <c r="AC12" s="22">
        <f t="shared" si="11"/>
        <v>4.2465535765950913E-4</v>
      </c>
      <c r="AD12" s="22">
        <f t="shared" si="7"/>
        <v>1.6693950197766653E-4</v>
      </c>
      <c r="AE12" s="22">
        <f t="shared" si="16"/>
        <v>1.1576653786459459E-2</v>
      </c>
      <c r="AF12" s="22">
        <f t="shared" si="12"/>
        <v>-4.0351349317688245E-4</v>
      </c>
      <c r="AG12" s="22">
        <f t="shared" si="13"/>
        <v>-9.4880769920674402E-7</v>
      </c>
      <c r="AH12" s="22">
        <f t="shared" si="8"/>
        <v>1.1891335597107193E-4</v>
      </c>
      <c r="AI12" s="22"/>
      <c r="AK12" s="9"/>
      <c r="AL12" s="9"/>
      <c r="AM12" s="23">
        <f t="shared" si="1"/>
        <v>4.0695002964270861</v>
      </c>
      <c r="AN12" s="23">
        <f t="shared" si="2"/>
        <v>36.522246626007494</v>
      </c>
      <c r="AO12" s="23">
        <f t="shared" si="3"/>
        <v>35.054147247281044</v>
      </c>
      <c r="AP12" s="8">
        <f t="shared" si="4"/>
        <v>127.25257069783353</v>
      </c>
      <c r="AQ12" s="22">
        <f>-X12*V12*W12^(-Parameters!B$53)*Parameters!B$47*Parameters!B$46*M12</f>
        <v>-1.9648223175563684E-5</v>
      </c>
      <c r="AR12" s="7">
        <f>1000*EXP(-(Parameters!$B$55)*'6states'!A12)*AP12*Parameters!B$47*Parameters!B$46*M12</f>
        <v>1.7870234660536268</v>
      </c>
      <c r="AS12" s="7">
        <f>SUM(AR12:AR$204)*EXP(Parameters!$B$55*A12)</f>
        <v>206.56785090005459</v>
      </c>
      <c r="AT12" s="13">
        <f t="shared" si="5"/>
        <v>0.20011039543448897</v>
      </c>
      <c r="AU12">
        <f>(1/$S12-1/Parameters!$B$13) * LN(Parameters!$B$18) / LN(O12)</f>
        <v>0.23618542243715626</v>
      </c>
      <c r="AV12">
        <f>(Parameters!$B$18*'6states'!S12^+Parameters!$B$19*Parameters!$B$25^'6states'!S12)^((1-'6states'!S12)/'6states'!S12)*Parameters!$B$18*Parameters!$B$26^('6states'!S12-1)</f>
        <v>0.19562893922561023</v>
      </c>
      <c r="AW12">
        <f t="shared" si="9"/>
        <v>0.29050965614198337</v>
      </c>
      <c r="AX12">
        <f t="shared" si="14"/>
        <v>0.15101287666912089</v>
      </c>
      <c r="AY12">
        <f t="shared" si="14"/>
        <v>0.12680785296124009</v>
      </c>
      <c r="AZ12">
        <f>(1/$S12-1/Parameters!$B$13) * LN(Parameters!$B$18) / A12</f>
        <v>4.1758478544737208E-2</v>
      </c>
    </row>
    <row r="13" spans="1:52" x14ac:dyDescent="0.25">
      <c r="A13">
        <f>A12+Parameters!$B$71</f>
        <v>9</v>
      </c>
      <c r="B13" s="20">
        <v>1.4940548720075287E-2</v>
      </c>
      <c r="C13" s="20">
        <v>5.9104640004562461E-2</v>
      </c>
      <c r="D13" s="20">
        <v>0.22364573713998107</v>
      </c>
      <c r="E13" s="7">
        <f>MAX((1-Parameters!$B$4)^Parameters!B$71*E12 + B12*Parameters!B$71 - IF(B12&gt;0,Parameters!$B$5,0)*B12^2/E12*Parameters!B$71, 0.0001)</f>
        <v>0.38697727828319251</v>
      </c>
      <c r="F13" s="7">
        <f>(1-Parameters!$B$4)^Parameters!B$71*F12+C12*Parameters!B$71-Parameters!$B$5*C12^2/F12*Parameters!B$71</f>
        <v>0.36598333115762727</v>
      </c>
      <c r="G13" s="7">
        <f>(1-Parameters!$B$4)^Parameters!B$71*G12+D12*Parameters!B$71-Parameters!$B$5*D12^2/G12*Parameters!B$71</f>
        <v>4.0236964875246697</v>
      </c>
      <c r="H13" s="9">
        <f>MAX(H12 * (1-Parameters!$B$4) ^ Parameters!B$71 + (LN(1+EXP(Parameters!$B$21*(-B12+0.004)))/Parameters!$B$21 -0.004) * Parameters!B$71,0)</f>
        <v>4.4579685859091313E-2</v>
      </c>
      <c r="I13" s="23">
        <f>I12*(1+Parameters!$B$52)^Parameters!B$71</f>
        <v>8.3754633117272519</v>
      </c>
      <c r="J13" s="23">
        <f>J12*(1+Parameters!$B$54)^Parameters!B$71</f>
        <v>10.783948782755449</v>
      </c>
      <c r="K13" s="50">
        <f>I13*J13*EXP(-Parameters!$B$43*'6states'!A13)*(Parameters!$B$38/Parameters!$B$39*('6states'!E13+'6states'!H13)/Parameters!$E$25*(EXP(-Parameters!$B$39*Parameters!$E$25*'6states'!H13/('6states'!E13+'6states'!H13))-EXP(-Parameters!$B$39*Parameters!$E$25))  +  Parameters!$B$40*'6states'!E13)</f>
        <v>25.442127773511338</v>
      </c>
      <c r="L13" s="8">
        <f>L12+K13*Parameters!B$71</f>
        <v>2595.3350201005132</v>
      </c>
      <c r="M13" s="7">
        <f>L13*Parameters!$B$46</f>
        <v>1.5572010120603079</v>
      </c>
      <c r="N13" s="9">
        <f>EXP(-Parameters!$B$47/2*M13^2)</f>
        <v>0.9759245570421835</v>
      </c>
      <c r="O13" s="8">
        <f>MAX((Parameters!$B$63 + Parameters!$B$31*'6states'!A13 - '6states'!L13 + Parameters!$B$48/Parameters!$B$46)/Parameters!B$63,1)</f>
        <v>4.6692995979897383</v>
      </c>
      <c r="P13" s="7">
        <f>Parameters!B$62*EXP(-Parameters!B$61*A13)</f>
        <v>0.39213575688577823</v>
      </c>
      <c r="Q13" s="7">
        <f>(1-Parameters!B$62)*O13^-Parameters!B$64</f>
        <v>0.42859275982471073</v>
      </c>
      <c r="R13" s="7">
        <f>Parameters!B$62*EXP(-Parameters!B$61*A13)+(1-Parameters!B$62)*O13^-Parameters!B$64</f>
        <v>0.82072851671048896</v>
      </c>
      <c r="S13" s="7">
        <f>1-R13/Parameters!$B$12</f>
        <v>0.58963574164475552</v>
      </c>
      <c r="T13" s="7">
        <f t="shared" si="0"/>
        <v>2.436859399032552</v>
      </c>
      <c r="U13" s="7">
        <f>(Parameters!$B$19*(E13+Parameters!$B$20)^S13+Parameters!$B$18*F13^S13)^(1/S13)</f>
        <v>0.38745108503512277</v>
      </c>
      <c r="V13" s="7">
        <f>(Parameters!$B$10*G13^Parameters!$B$9+Parameters!$B$11*U13^Parameters!$B$9)^(Parameters!$B$7/Parameters!$B$9)*N13</f>
        <v>1.4342096936283095</v>
      </c>
      <c r="W13" s="7">
        <f>V13 - C13 - D13 - LN(1+EXP(Parameters!$B$21*B13))/Parameters!$B$21 - IF(B13&gt;0, 0,Parameters!$B$6*B13^2/E13)</f>
        <v>1.1364812829651572</v>
      </c>
      <c r="X13" s="7">
        <f>EXP(-Parameters!$B$56*A13)</f>
        <v>0.87292992111632683</v>
      </c>
      <c r="Y13" s="7">
        <f>IF(W13&gt;0,W13^(1-Parameters!$B$53)/(1-Parameters!$B$53)*X13*Parameters!$B$71,-10+W13*1000)</f>
        <v>-2.3848690357383839</v>
      </c>
      <c r="AA13" s="22">
        <f t="shared" si="15"/>
        <v>4.0180239556629353E-2</v>
      </c>
      <c r="AB13" s="22">
        <f t="shared" si="10"/>
        <v>-1.1786397381933961E-2</v>
      </c>
      <c r="AC13" s="22">
        <f t="shared" si="11"/>
        <v>-9.6089804443835747E-4</v>
      </c>
      <c r="AD13" s="22">
        <f t="shared" si="7"/>
        <v>1.5313758444810352E-3</v>
      </c>
      <c r="AE13" s="22">
        <f t="shared" si="16"/>
        <v>3.3711911965743704E-2</v>
      </c>
      <c r="AF13" s="22">
        <f t="shared" si="12"/>
        <v>3.1132174797737777E-4</v>
      </c>
      <c r="AG13" s="22">
        <f t="shared" si="13"/>
        <v>-1.3855534020978666E-3</v>
      </c>
      <c r="AH13" s="22">
        <f t="shared" si="8"/>
        <v>9.9383917200235295E-4</v>
      </c>
      <c r="AI13" s="22"/>
      <c r="AK13" s="9"/>
      <c r="AL13" s="9"/>
      <c r="AM13" s="23">
        <f t="shared" si="1"/>
        <v>4.0264625206611031</v>
      </c>
      <c r="AN13" s="23">
        <f t="shared" si="2"/>
        <v>34.952007339839895</v>
      </c>
      <c r="AO13" s="23">
        <f t="shared" si="3"/>
        <v>34.994801834505331</v>
      </c>
      <c r="AP13" s="8">
        <f t="shared" si="4"/>
        <v>129.53863327831314</v>
      </c>
      <c r="AQ13" s="22">
        <f>-X13*V13*W13^(-Parameters!B$53)*Parameters!B$47*Parameters!B$46*M13</f>
        <v>-1.9782215576410995E-5</v>
      </c>
      <c r="AR13" s="7">
        <f>1000*EXP(-(Parameters!$B$55)*'6states'!A13)*AP13*Parameters!B$47*Parameters!B$46*M13</f>
        <v>1.7737714848977095</v>
      </c>
      <c r="AS13" s="7">
        <f>SUM(AR13:AR$204)*EXP(Parameters!$B$55*A13)</f>
        <v>211.49624088763977</v>
      </c>
      <c r="AT13" s="13">
        <f t="shared" si="5"/>
        <v>0.20756443579147119</v>
      </c>
      <c r="AU13">
        <f>(1/$S13-1/Parameters!$B$13) * LN(Parameters!$B$18) / LN(O13)</f>
        <v>0.23503669612034112</v>
      </c>
      <c r="AV13">
        <f>(Parameters!$B$18*'6states'!S13^+Parameters!$B$19*Parameters!$B$25^'6states'!S13)^((1-'6states'!S13)/'6states'!S13)*Parameters!$B$18*Parameters!$B$26^('6states'!S13-1)</f>
        <v>0.20167017882483998</v>
      </c>
      <c r="AW13">
        <f t="shared" si="9"/>
        <v>0.28638349080616671</v>
      </c>
      <c r="AX13">
        <f t="shared" si="14"/>
        <v>0.1503366130146836</v>
      </c>
      <c r="AY13">
        <f t="shared" si="14"/>
        <v>0.13045667231604319</v>
      </c>
      <c r="AZ13">
        <f>(1/$S13-1/Parameters!$B$13) * LN(Parameters!$B$18) / A13</f>
        <v>4.0243742576374912E-2</v>
      </c>
    </row>
    <row r="14" spans="1:52" x14ac:dyDescent="0.25">
      <c r="A14">
        <f>A13+Parameters!$B$71</f>
        <v>10</v>
      </c>
      <c r="B14" s="20">
        <v>2.4351969017812801E-2</v>
      </c>
      <c r="C14" s="20">
        <v>5.9466324593807136E-2</v>
      </c>
      <c r="D14" s="20">
        <v>0.22088997315841519</v>
      </c>
      <c r="E14" s="7">
        <f>MAX((1-Parameters!$B$4)^Parameters!B$71*E13 + B13*Parameters!B$71 - IF(B13&gt;0,Parameters!$B$5,0)*B13^2/E13*Parameters!B$71, 0.0001)</f>
        <v>0.37700012647672643</v>
      </c>
      <c r="F14" s="7">
        <f>(1-Parameters!$B$4)^Parameters!B$71*F13+C13*Parameters!B$71-Parameters!$B$5*C13^2/F13*Parameters!B$71</f>
        <v>0.39252248964238545</v>
      </c>
      <c r="G14" s="7">
        <f>(1-Parameters!$B$4)^Parameters!B$71*G13+D13*Parameters!B$71-Parameters!$B$5*D13^2/G13*Parameters!B$71</f>
        <v>3.9818210027222811</v>
      </c>
      <c r="H14" s="9">
        <f>MAX(H13 * (1-Parameters!$B$4) ^ Parameters!B$71 + (LN(1+EXP(Parameters!$B$21*(-B13+0.004)))/Parameters!$B$21 -0.004) * Parameters!B$71,0)</f>
        <v>3.7898487522894556E-2</v>
      </c>
      <c r="I14" s="23">
        <f>I13*(1+Parameters!$B$52)^Parameters!B$71</f>
        <v>8.3997521553312602</v>
      </c>
      <c r="J14" s="23">
        <f>J13*(1+Parameters!$B$54)^Parameters!B$71</f>
        <v>10.999627758410558</v>
      </c>
      <c r="K14" s="54">
        <f>I14*J14*EXP(-Parameters!$B$43*'6states'!A14)*(Parameters!$B$38/Parameters!$B$39*('6states'!E14+'6states'!H14)/Parameters!$E$25*(EXP(-Parameters!$B$39*Parameters!$E$25*'6states'!H14/('6states'!E14+'6states'!H14))-EXP(-Parameters!$B$39*Parameters!$E$25))  +  Parameters!$B$40*'6states'!E14)</f>
        <v>25.139704987153451</v>
      </c>
      <c r="L14" s="8">
        <f>L13+K14*Parameters!B$71</f>
        <v>2620.4747250876667</v>
      </c>
      <c r="M14" s="7">
        <f>L14*Parameters!$B$46</f>
        <v>1.5722848350526</v>
      </c>
      <c r="N14" s="9">
        <f>EXP(-Parameters!$B$47/2*M14^2)</f>
        <v>0.97546168205269046</v>
      </c>
      <c r="O14" s="8">
        <f>MAX((Parameters!$B$63 + Parameters!$B$31*'6states'!A14 - '6states'!L14 + Parameters!$B$48/Parameters!$B$46)/Parameters!B$63,1)</f>
        <v>5.2305054982466661</v>
      </c>
      <c r="P14" s="7">
        <f>Parameters!B$62*EXP(-Parameters!B$61*A14)</f>
        <v>0.38168974716842657</v>
      </c>
      <c r="Q14" s="7">
        <f>(1-Parameters!B$62)*O14^-Parameters!B$64</f>
        <v>0.42375578296777394</v>
      </c>
      <c r="R14" s="7">
        <f>Parameters!B$62*EXP(-Parameters!B$61*A14)+(1-Parameters!B$62)*O14^-Parameters!B$64</f>
        <v>0.80544553013620046</v>
      </c>
      <c r="S14" s="7">
        <f>1-R14/Parameters!$B$12</f>
        <v>0.59727723493189977</v>
      </c>
      <c r="T14" s="7">
        <f t="shared" si="0"/>
        <v>2.4830977703256991</v>
      </c>
      <c r="U14" s="7">
        <f>(Parameters!$B$19*(E14+Parameters!$B$20)^S14+Parameters!$B$18*F14^S14)^(1/S14)</f>
        <v>0.38867466634191444</v>
      </c>
      <c r="V14" s="7">
        <f>(Parameters!$B$10*G14^Parameters!$B$9+Parameters!$B$11*U14^Parameters!$B$9)^(Parameters!$B$7/Parameters!$B$9)*N14</f>
        <v>1.4310642801998139</v>
      </c>
      <c r="W14" s="7">
        <f>V14 - C14 - D14 - LN(1+EXP(Parameters!$B$21*B14))/Parameters!$B$21 - IF(B14&gt;0, 0,Parameters!$B$6*B14^2/E14)</f>
        <v>1.1263537749396573</v>
      </c>
      <c r="X14" s="7">
        <f>EXP(-Parameters!$B$56*A14)</f>
        <v>0.85984769865920552</v>
      </c>
      <c r="Y14" s="7">
        <f>IF(W14&gt;0,W14^(1-Parameters!$B$53)/(1-Parameters!$B$53)*X14*Parameters!$B$71,-10+W14*1000)</f>
        <v>-2.3564992304138661</v>
      </c>
      <c r="AA14" s="22">
        <f t="shared" si="15"/>
        <v>2.5985724771243252E-2</v>
      </c>
      <c r="AB14" s="22">
        <f t="shared" si="10"/>
        <v>-9.9975635964141552E-3</v>
      </c>
      <c r="AC14" s="22">
        <f t="shared" si="11"/>
        <v>-1.0754730940514684E-4</v>
      </c>
      <c r="AD14" s="22">
        <f t="shared" si="7"/>
        <v>6.6657176595289228E-4</v>
      </c>
      <c r="AE14" s="22">
        <f t="shared" si="16"/>
        <v>-1.4194514785386105E-2</v>
      </c>
      <c r="AF14" s="22">
        <f t="shared" si="12"/>
        <v>1.7888337855198055E-3</v>
      </c>
      <c r="AG14" s="22">
        <f t="shared" si="13"/>
        <v>8.5335073503321063E-4</v>
      </c>
      <c r="AH14" s="22">
        <f t="shared" si="8"/>
        <v>1.7662336547083374E-4</v>
      </c>
      <c r="AI14" s="22"/>
      <c r="AK14" s="9"/>
      <c r="AL14" s="9"/>
      <c r="AM14" s="23">
        <f t="shared" si="1"/>
        <v>3.5015984261897977</v>
      </c>
      <c r="AN14" s="23">
        <f t="shared" si="2"/>
        <v>34.832605093983844</v>
      </c>
      <c r="AO14" s="23">
        <f t="shared" si="3"/>
        <v>35.911264246113248</v>
      </c>
      <c r="AP14" s="8">
        <f t="shared" si="4"/>
        <v>132.22196343051795</v>
      </c>
      <c r="AQ14" s="22">
        <f>-X14*V14*W14^(-Parameters!B$53)*Parameters!B$47*Parameters!B$46*M14</f>
        <v>-1.9870015360480125E-5</v>
      </c>
      <c r="AR14" s="7">
        <f>1000*EXP(-(Parameters!$B$55)*'6states'!A14)*AP14*Parameters!B$47*Parameters!B$46*M14</f>
        <v>1.7650002538529725</v>
      </c>
      <c r="AS14" s="7">
        <f>SUM(AR14:AR$204)*EXP(Parameters!$B$55*A14)</f>
        <v>216.5319595496357</v>
      </c>
      <c r="AT14" s="13">
        <f t="shared" ref="AT14:AT45" si="17">(B14+C14+D14)/V14</f>
        <v>0.21292423477126404</v>
      </c>
      <c r="AU14">
        <f>(1/$S14-1/Parameters!$B$13) * LN(Parameters!$B$18) / LN(O14)</f>
        <v>0.23453618672860266</v>
      </c>
      <c r="AV14">
        <f>(Parameters!$B$18*'6states'!S14^+Parameters!$B$19*Parameters!$B$25^'6states'!S14)^((1-'6states'!S14)/'6states'!S14)*Parameters!$B$18*Parameters!$B$26^('6states'!S14-1)</f>
        <v>0.20725144609793547</v>
      </c>
      <c r="AW14">
        <f t="shared" si="9"/>
        <v>0.2832375349359425</v>
      </c>
      <c r="AX14">
        <f t="shared" si="14"/>
        <v>0.15004179098419279</v>
      </c>
      <c r="AY14">
        <f t="shared" si="14"/>
        <v>0.13381412356009392</v>
      </c>
      <c r="AZ14">
        <f>(1/$S14-1/Parameters!$B$13) * LN(Parameters!$B$18) / A14</f>
        <v>3.8804198010862614E-2</v>
      </c>
    </row>
    <row r="15" spans="1:52" x14ac:dyDescent="0.25">
      <c r="A15">
        <f>A14+Parameters!$B$71</f>
        <v>11</v>
      </c>
      <c r="B15" s="20">
        <v>2.7717100321438256E-2</v>
      </c>
      <c r="C15" s="20">
        <v>6.0311935324989935E-2</v>
      </c>
      <c r="D15" s="20">
        <v>0.22097237751296545</v>
      </c>
      <c r="E15" s="7">
        <f>MAX((1-Parameters!$B$4)^Parameters!B$71*E14 + B14*Parameters!B$71 - IF(B14&gt;0,Parameters!$B$5,0)*B14^2/E14*Parameters!B$71, 0.0001)</f>
        <v>0.37606579497656012</v>
      </c>
      <c r="F15" s="7">
        <f>(1-Parameters!$B$4)^Parameters!B$71*F14+C14*Parameters!B$71-Parameters!$B$5*C14^2/F14*Parameters!B$71</f>
        <v>0.41829012759689144</v>
      </c>
      <c r="G15" s="7">
        <f>(1-Parameters!$B$4)^Parameters!B$71*G14+D14*Parameters!B$71-Parameters!$B$5*D14^2/G14*Parameters!B$71</f>
        <v>3.940000649365929</v>
      </c>
      <c r="H15" s="9">
        <f>MAX(H14 * (1-Parameters!$B$4) ^ Parameters!B$71 + (LN(1+EXP(Parameters!$B$21*(-B14+0.004)))/Parameters!$B$21 -0.004) * Parameters!B$71,0)</f>
        <v>3.1522098924120265E-2</v>
      </c>
      <c r="I15" s="23">
        <f>I14*(1+Parameters!$B$52)^Parameters!B$71</f>
        <v>8.42411143658172</v>
      </c>
      <c r="J15" s="23">
        <f>J14*(1+Parameters!$B$54)^Parameters!B$71</f>
        <v>11.219620313578769</v>
      </c>
      <c r="K15" s="23">
        <f>I15*J15*EXP(-Parameters!$B$43*'6states'!A15)*(Parameters!$B$38/Parameters!$B$39*('6states'!E15+'6states'!H15)/Parameters!$E$25*(EXP(-Parameters!$B$39*Parameters!$E$25*'6states'!H15/('6states'!E15+'6states'!H15))-EXP(-Parameters!$B$39*Parameters!$E$25))  +  Parameters!$B$40*'6states'!E15)</f>
        <v>25.473843610302715</v>
      </c>
      <c r="L15" s="8">
        <f>L14+K15*Parameters!B$71</f>
        <v>2645.9485686979692</v>
      </c>
      <c r="M15" s="7">
        <f>L15*Parameters!$B$46</f>
        <v>1.5875691412187813</v>
      </c>
      <c r="N15" s="9">
        <f>EXP(-Parameters!$B$47/2*M15^2)</f>
        <v>0.97498833069836666</v>
      </c>
      <c r="O15" s="8">
        <f>MAX((Parameters!$B$63 + Parameters!$B$31*'6states'!A15 - '6states'!L15 + Parameters!$B$48/Parameters!$B$46)/Parameters!B$63,1)</f>
        <v>5.7850286260406163</v>
      </c>
      <c r="P15" s="7">
        <f>Parameters!B$62*EXP(-Parameters!B$61*A15)</f>
        <v>0.37152200618096992</v>
      </c>
      <c r="Q15" s="7">
        <f>(1-Parameters!B$62)*O15^-Parameters!B$64</f>
        <v>0.41950723292170367</v>
      </c>
      <c r="R15" s="7">
        <f>Parameters!B$62*EXP(-Parameters!B$61*A15)+(1-Parameters!B$62)*O15^-Parameters!B$64</f>
        <v>0.79102923910267364</v>
      </c>
      <c r="S15" s="7">
        <f>1-R15/Parameters!$B$12</f>
        <v>0.60448538044866318</v>
      </c>
      <c r="T15" s="7">
        <f t="shared" si="0"/>
        <v>2.5283515464848763</v>
      </c>
      <c r="U15" s="7">
        <f>(Parameters!$B$19*(E15+Parameters!$B$20)^S15+Parameters!$B$18*F15^S15)^(1/S15)</f>
        <v>0.39574843058223091</v>
      </c>
      <c r="V15" s="7">
        <f>(Parameters!$B$10*G15^Parameters!$B$9+Parameters!$B$11*U15^Parameters!$B$9)^(Parameters!$B$7/Parameters!$B$9)*N15</f>
        <v>1.4298660595846946</v>
      </c>
      <c r="W15" s="7">
        <f>V15 - C15 - D15 - LN(1+EXP(Parameters!$B$21*B15))/Parameters!$B$21 - IF(B15&gt;0, 0,Parameters!$B$6*B15^2/E15)</f>
        <v>1.1208638305749981</v>
      </c>
      <c r="X15" s="7">
        <f>EXP(-Parameters!$B$56*A15)</f>
        <v>0.84696153380107075</v>
      </c>
      <c r="Y15" s="7">
        <f>IF(W15&gt;0,W15^(1-Parameters!$B$53)/(1-Parameters!$B$53)*X15*Parameters!$B$71,-10+W15*1000)</f>
        <v>-2.3251562512852839</v>
      </c>
      <c r="AA15" s="22">
        <f t="shared" si="15"/>
        <v>9.1087347345324837E-3</v>
      </c>
      <c r="AB15" s="22">
        <f t="shared" si="10"/>
        <v>-7.3110302178557296E-3</v>
      </c>
      <c r="AC15" s="22">
        <f t="shared" si="11"/>
        <v>6.0973903896605758E-4</v>
      </c>
      <c r="AD15" s="22">
        <f t="shared" si="7"/>
        <v>1.1585755620816653E-4</v>
      </c>
      <c r="AE15" s="22">
        <f t="shared" si="16"/>
        <v>-1.6876990036710768E-2</v>
      </c>
      <c r="AF15" s="22">
        <f t="shared" si="12"/>
        <v>2.6865333785584256E-3</v>
      </c>
      <c r="AG15" s="22">
        <f t="shared" si="13"/>
        <v>7.1728634837120442E-4</v>
      </c>
      <c r="AH15" s="22">
        <f t="shared" si="8"/>
        <v>2.4779109278304364E-4</v>
      </c>
      <c r="AI15" s="22"/>
      <c r="AK15" s="9"/>
      <c r="AL15" s="9"/>
      <c r="AM15" s="23">
        <f t="shared" si="1"/>
        <v>2.9793216387738894</v>
      </c>
      <c r="AN15" s="23">
        <f t="shared" si="2"/>
        <v>35.543983389984234</v>
      </c>
      <c r="AO15" s="23">
        <f t="shared" si="3"/>
        <v>37.4042942249079</v>
      </c>
      <c r="AP15" s="8">
        <f t="shared" si="4"/>
        <v>135.14426504795088</v>
      </c>
      <c r="AQ15" s="22">
        <f>-X15*V15*W15^(-Parameters!B$53)*Parameters!B$47*Parameters!B$46*M15</f>
        <v>-1.9876625089945968E-5</v>
      </c>
      <c r="AR15" s="7">
        <f>1000*EXP(-(Parameters!$B$55)*'6states'!A15)*AP15*Parameters!B$47*Parameters!B$46*M15</f>
        <v>1.7587190903723597</v>
      </c>
      <c r="AS15" s="7">
        <f>SUM(AR15:AR$204)*EXP(Parameters!$B$55*A15)</f>
        <v>221.6704660154644</v>
      </c>
      <c r="AT15" s="13">
        <f t="shared" si="17"/>
        <v>0.2161051457149373</v>
      </c>
      <c r="AU15">
        <f>(1/$S15-1/Parameters!$B$13) * LN(Parameters!$B$18) / LN(O15)</f>
        <v>0.2346218388537136</v>
      </c>
      <c r="AV15">
        <f>(Parameters!$B$18*'6states'!S15^+Parameters!$B$19*Parameters!$B$25^'6states'!S15)^((1-'6states'!S15)/'6states'!S15)*Parameters!$B$18*Parameters!$B$26^('6states'!S15-1)</f>
        <v>0.21240265539391115</v>
      </c>
      <c r="AW15">
        <f t="shared" si="9"/>
        <v>0.2809646588121259</v>
      </c>
      <c r="AX15">
        <f t="shared" si="14"/>
        <v>0.15009225110484525</v>
      </c>
      <c r="AY15">
        <f t="shared" si="14"/>
        <v>0.13690136539999753</v>
      </c>
      <c r="AZ15">
        <f>(1/$S15-1/Parameters!$B$13) * LN(Parameters!$B$18) / A15</f>
        <v>3.7438677403442769E-2</v>
      </c>
    </row>
    <row r="16" spans="1:52" x14ac:dyDescent="0.25">
      <c r="A16">
        <f>A15+Parameters!$B$71</f>
        <v>12</v>
      </c>
      <c r="B16" s="20">
        <v>2.565214507561233E-2</v>
      </c>
      <c r="C16" s="20">
        <v>6.1999033922398909E-2</v>
      </c>
      <c r="D16" s="20">
        <v>0.22351417584634298</v>
      </c>
      <c r="E16" s="7">
        <f>MAX((1-Parameters!$B$4)^Parameters!B$71*E15 + B15*Parameters!B$71 - IF(B15&gt;0,Parameters!$B$5,0)*B15^2/E15*Parameters!B$71, 0.0001)</f>
        <v>0.37808552902157044</v>
      </c>
      <c r="F16" s="7">
        <f>(1-Parameters!$B$4)^Parameters!B$71*F15+C15*Parameters!B$71-Parameters!$B$5*C15^2/F15*Parameters!B$71</f>
        <v>0.44359542600476715</v>
      </c>
      <c r="G16" s="7">
        <f>(1-Parameters!$B$4)^Parameters!B$71*G15+D15*Parameters!B$71-Parameters!$B$5*D15^2/G15*Parameters!B$71</f>
        <v>3.9007538937555846</v>
      </c>
      <c r="H16" s="9">
        <f>MAX(H15 * (1-Parameters!$B$4) ^ Parameters!B$71 + (LN(1+EXP(Parameters!$B$21*(-B15+0.004)))/Parameters!$B$21 -0.004) * Parameters!B$71,0)</f>
        <v>2.5542066851456935E-2</v>
      </c>
      <c r="I16" s="23">
        <f>I15*(1+Parameters!$B$52)^Parameters!B$71</f>
        <v>8.4485413597478054</v>
      </c>
      <c r="J16" s="23">
        <f>J15*(1+Parameters!$B$54)^Parameters!B$71</f>
        <v>11.444012719850345</v>
      </c>
      <c r="K16" s="23">
        <f>I16*J16*EXP(-Parameters!$B$43*'6states'!A16)*(Parameters!$B$38/Parameters!$B$39*('6states'!E16+'6states'!H16)/Parameters!$E$25*(EXP(-Parameters!$B$39*Parameters!$E$25*'6states'!H16/('6states'!E16+'6states'!H16))-EXP(-Parameters!$B$39*Parameters!$E$25))  +  Parameters!$B$40*'6states'!E16)</f>
        <v>26.079113894807893</v>
      </c>
      <c r="L16" s="8">
        <f>L15+K16*Parameters!B$71</f>
        <v>2672.0276825927772</v>
      </c>
      <c r="M16" s="7">
        <f>L16*Parameters!$B$46</f>
        <v>1.6032166095556661</v>
      </c>
      <c r="N16" s="9">
        <f>EXP(-Parameters!$B$47/2*M16^2)</f>
        <v>0.97449923003626948</v>
      </c>
      <c r="O16" s="8">
        <f>MAX((Parameters!$B$63 + Parameters!$B$31*'6states'!A16 - '6states'!L16 + Parameters!$B$48/Parameters!$B$46)/Parameters!B$63,1)</f>
        <v>6.3274463481444583</v>
      </c>
      <c r="P16" s="7">
        <f>Parameters!B$62*EXP(-Parameters!B$61*A16)</f>
        <v>0.36162512118992118</v>
      </c>
      <c r="Q16" s="7">
        <f>(1-Parameters!B$62)*O16^-Parameters!B$64</f>
        <v>0.41576426334855493</v>
      </c>
      <c r="R16" s="7">
        <f>Parameters!B$62*EXP(-Parameters!B$61*A16)+(1-Parameters!B$62)*O16^-Parameters!B$64</f>
        <v>0.77738938453847606</v>
      </c>
      <c r="S16" s="7">
        <f>1-R16/Parameters!$B$12</f>
        <v>0.61130530773076197</v>
      </c>
      <c r="T16" s="7">
        <f t="shared" si="0"/>
        <v>2.5727132885759287</v>
      </c>
      <c r="U16" s="7">
        <f>(Parameters!$B$19*(E16+Parameters!$B$20)^S16+Parameters!$B$18*F16^S16)^(1/S16)</f>
        <v>0.40464570765091551</v>
      </c>
      <c r="V16" s="7">
        <f>(Parameters!$B$10*G16^Parameters!$B$9+Parameters!$B$11*U16^Parameters!$B$9)^(Parameters!$B$7/Parameters!$B$9)*N16</f>
        <v>1.4290309491074911</v>
      </c>
      <c r="W16" s="7">
        <f>V16 - C16 - D16 - LN(1+EXP(Parameters!$B$21*B16))/Parameters!$B$21 - IF(B16&gt;0, 0,Parameters!$B$6*B16^2/E16)</f>
        <v>1.1178640785937186</v>
      </c>
      <c r="X16" s="7">
        <f>EXP(-Parameters!$B$56*A16)</f>
        <v>0.83426848831164502</v>
      </c>
      <c r="Y16" s="7">
        <f>IF(W16&gt;0,W16^(1-Parameters!$B$53)/(1-Parameters!$B$53)*X16*Parameters!$B$71,-10+W16*1000)</f>
        <v>-2.2924593593893743</v>
      </c>
      <c r="AA16" s="22">
        <f t="shared" si="15"/>
        <v>-5.8553293391447048E-3</v>
      </c>
      <c r="AB16" s="22">
        <f t="shared" si="10"/>
        <v>-4.4220307954107585E-3</v>
      </c>
      <c r="AC16" s="22">
        <f t="shared" si="11"/>
        <v>1.2159001212152035E-3</v>
      </c>
      <c r="AD16" s="22">
        <f t="shared" si="7"/>
        <v>4.6149773185327078E-5</v>
      </c>
      <c r="AE16" s="22">
        <f t="shared" si="16"/>
        <v>-1.4964064073677188E-2</v>
      </c>
      <c r="AF16" s="22">
        <f t="shared" si="12"/>
        <v>2.8889994224449711E-3</v>
      </c>
      <c r="AG16" s="22">
        <f t="shared" si="13"/>
        <v>6.0616108224914589E-4</v>
      </c>
      <c r="AH16" s="22">
        <f t="shared" si="8"/>
        <v>1.9408168704833907E-4</v>
      </c>
      <c r="AI16" s="22"/>
      <c r="AK16" s="9"/>
      <c r="AL16" s="9"/>
      <c r="AM16" s="23">
        <f t="shared" si="1"/>
        <v>2.4695402195894065</v>
      </c>
      <c r="AN16" s="23">
        <f t="shared" si="2"/>
        <v>36.555280580602165</v>
      </c>
      <c r="AO16" s="23">
        <f t="shared" si="3"/>
        <v>39.123257156111961</v>
      </c>
      <c r="AP16" s="8">
        <f t="shared" si="4"/>
        <v>138.166164249064</v>
      </c>
      <c r="AQ16" s="22">
        <f>-X16*V16*W16^(-Parameters!B$53)*Parameters!B$47*Parameters!B$46*M16</f>
        <v>-1.9831786336612354E-5</v>
      </c>
      <c r="AR16" s="7">
        <f>1000*EXP(-(Parameters!$B$55)*'6states'!A16)*AP16*Parameters!B$47*Parameters!B$46*M16</f>
        <v>1.7531391026843188</v>
      </c>
      <c r="AS16" s="7">
        <f>SUM(AR16:AR$204)*EXP(Parameters!$B$55*A16)</f>
        <v>226.90934442854046</v>
      </c>
      <c r="AT16" s="13">
        <f t="shared" si="17"/>
        <v>0.21774570735412987</v>
      </c>
      <c r="AU16">
        <f>(1/$S16-1/Parameters!$B$13) * LN(Parameters!$B$18) / LN(O16)</f>
        <v>0.23514140163519642</v>
      </c>
      <c r="AV16">
        <f>(Parameters!$B$18*'6states'!S16^+Parameters!$B$19*Parameters!$B$25^'6states'!S16)^((1-'6states'!S16)/'6states'!S16)*Parameters!$B$18*Parameters!$B$26^('6states'!S16-1)</f>
        <v>0.21717048556353688</v>
      </c>
      <c r="AW16">
        <f t="shared" si="9"/>
        <v>0.27934824670720138</v>
      </c>
      <c r="AX16">
        <f t="shared" si="14"/>
        <v>0.15039827622942281</v>
      </c>
      <c r="AY16">
        <f t="shared" si="14"/>
        <v>0.13974903261792349</v>
      </c>
      <c r="AZ16">
        <f>(1/$S16-1/Parameters!$B$13) * LN(Parameters!$B$18) / A16</f>
        <v>3.6150966996896815E-2</v>
      </c>
    </row>
    <row r="17" spans="1:52" x14ac:dyDescent="0.25">
      <c r="A17">
        <f>A16+Parameters!$B$71</f>
        <v>13</v>
      </c>
      <c r="B17" s="20">
        <v>1.6234739146242867E-2</v>
      </c>
      <c r="C17" s="20">
        <v>6.4698148518354676E-2</v>
      </c>
      <c r="D17" s="20">
        <v>0.22825968009507422</v>
      </c>
      <c r="E17" s="7">
        <f>MAX((1-Parameters!$B$4)^Parameters!B$71*E16 + B16*Parameters!B$71 - IF(B16&gt;0,Parameters!$B$5,0)*B16^2/E16*Parameters!B$71, 0.0001)</f>
        <v>0.37821566128086576</v>
      </c>
      <c r="F17" s="7">
        <f>(1-Parameters!$B$4)^Parameters!B$71*F16+C16*Parameters!B$71-Parameters!$B$5*C16^2/F16*Parameters!B$71</f>
        <v>0.46902702394734308</v>
      </c>
      <c r="G17" s="7">
        <f>(1-Parameters!$B$4)^Parameters!B$71*G16+D16*Parameters!B$71-Parameters!$B$5*D16^2/G16*Parameters!B$71</f>
        <v>3.8661032313842942</v>
      </c>
      <c r="H17" s="9">
        <f>MAX(H16 * (1-Parameters!$B$4) ^ Parameters!B$71 + (LN(1+EXP(Parameters!$B$21*(-B16+0.004)))/Parameters!$B$21 -0.004) * Parameters!B$71,0)</f>
        <v>1.9940500394069707E-2</v>
      </c>
      <c r="I17" s="23">
        <f>I16*(1+Parameters!$B$52)^Parameters!B$71</f>
        <v>8.4730421296910734</v>
      </c>
      <c r="J17" s="23">
        <f>J16*(1+Parameters!$B$54)^Parameters!B$71</f>
        <v>11.672892974247352</v>
      </c>
      <c r="K17" s="23">
        <f>I17*J17*EXP(-Parameters!$B$43*'6states'!A17)*(Parameters!$B$38/Parameters!$B$39*('6states'!E17+'6states'!H17)/Parameters!$E$25*(EXP(-Parameters!$B$39*Parameters!$E$25*'6states'!H17/('6states'!E17+'6states'!H17))-EXP(-Parameters!$B$39*Parameters!$E$25))  +  Parameters!$B$40*'6states'!E17)</f>
        <v>26.661119257977141</v>
      </c>
      <c r="L17" s="8">
        <f>L16+K17*Parameters!B$71</f>
        <v>2698.6888018507543</v>
      </c>
      <c r="M17" s="7">
        <f>L17*Parameters!$B$46</f>
        <v>1.6192132811104525</v>
      </c>
      <c r="N17" s="9">
        <f>EXP(-Parameters!$B$47/2*M17^2)</f>
        <v>0.97399451275257121</v>
      </c>
      <c r="O17" s="8">
        <f>MAX((Parameters!$B$63 + Parameters!$B$31*'6states'!A17 - '6states'!L17 + Parameters!$B$48/Parameters!$B$46)/Parameters!B$63,1)</f>
        <v>6.858223962984912</v>
      </c>
      <c r="P17" s="7">
        <f>Parameters!B$62*EXP(-Parameters!B$61*A17)</f>
        <v>0.35199187692781048</v>
      </c>
      <c r="Q17" s="7">
        <f>(1-Parameters!B$62)*O17^-Parameters!B$64</f>
        <v>0.41242866082048274</v>
      </c>
      <c r="R17" s="7">
        <f>Parameters!B$62*EXP(-Parameters!B$61*A17)+(1-Parameters!B$62)*O17^-Parameters!B$64</f>
        <v>0.76442053774829322</v>
      </c>
      <c r="S17" s="7">
        <f>1-R17/Parameters!$B$12</f>
        <v>0.61778973112585334</v>
      </c>
      <c r="T17" s="7">
        <f t="shared" si="0"/>
        <v>2.6163608919918313</v>
      </c>
      <c r="U17" s="7">
        <f>(Parameters!$B$19*(E17+Parameters!$B$20)^S17+Parameters!$B$18*F17^S17)^(1/S17)</f>
        <v>0.41214978271745173</v>
      </c>
      <c r="V17" s="7">
        <f>(Parameters!$B$10*G17^Parameters!$B$9+Parameters!$B$11*U17^Parameters!$B$9)^(Parameters!$B$7/Parameters!$B$9)*N17</f>
        <v>1.4277128858366286</v>
      </c>
      <c r="W17" s="7">
        <f>V17 - C17 - D17 - LN(1+EXP(Parameters!$B$21*B17))/Parameters!$B$21 - IF(B17&gt;0, 0,Parameters!$B$6*B17^2/E17)</f>
        <v>1.1184948485306783</v>
      </c>
      <c r="X17" s="7">
        <f>EXP(-Parameters!$B$56*A17)</f>
        <v>0.82176566799463491</v>
      </c>
      <c r="Y17" s="7">
        <f>IF(W17&gt;0,W17^(1-Parameters!$B$53)/(1-Parameters!$B$53)*X17*Parameters!$B$71,-10+W17*1000)</f>
        <v>-2.257657476286528</v>
      </c>
      <c r="AA17" s="22">
        <f t="shared" si="15"/>
        <v>-2.4922910493670951E-2</v>
      </c>
      <c r="AB17" s="22">
        <f t="shared" si="10"/>
        <v>-1.8236221260101715E-3</v>
      </c>
      <c r="AC17" s="22">
        <f t="shared" si="11"/>
        <v>1.7410284943361609E-3</v>
      </c>
      <c r="AD17" s="22">
        <f t="shared" si="7"/>
        <v>5.1566473241390794E-4</v>
      </c>
      <c r="AE17" s="22">
        <f t="shared" si="16"/>
        <v>-1.9067581154526239E-2</v>
      </c>
      <c r="AF17" s="22">
        <f t="shared" si="12"/>
        <v>2.598408669400587E-3</v>
      </c>
      <c r="AG17" s="22">
        <f t="shared" si="13"/>
        <v>5.2512837312095745E-4</v>
      </c>
      <c r="AH17" s="22">
        <f t="shared" si="8"/>
        <v>3.0454647037821906E-4</v>
      </c>
      <c r="AI17" s="22"/>
      <c r="AK17" s="9"/>
      <c r="AL17" s="9"/>
      <c r="AM17" s="23">
        <f t="shared" si="1"/>
        <v>1.9722134755190883</v>
      </c>
      <c r="AN17" s="23">
        <f t="shared" si="2"/>
        <v>37.407387432078849</v>
      </c>
      <c r="AO17" s="23">
        <f t="shared" si="3"/>
        <v>40.763638792603366</v>
      </c>
      <c r="AP17" s="8">
        <f t="shared" si="4"/>
        <v>141.20782011351372</v>
      </c>
      <c r="AQ17" s="22">
        <f>-X17*V17*W17^(-Parameters!B$53)*Parameters!B$47*Parameters!B$46*M17</f>
        <v>-1.9696286532337783E-5</v>
      </c>
      <c r="AR17" s="7">
        <f>1000*EXP(-(Parameters!$B$55)*'6states'!A17)*AP17*Parameters!B$47*Parameters!B$46*M17</f>
        <v>1.747195657965964</v>
      </c>
      <c r="AS17" s="7">
        <f>SUM(AR17:AR$204)*EXP(Parameters!$B$55*A17)</f>
        <v>232.24844380200278</v>
      </c>
      <c r="AT17" s="13">
        <f t="shared" si="17"/>
        <v>0.21656494861604286</v>
      </c>
      <c r="AU17">
        <f>(1/$S17-1/Parameters!$B$13) * LN(Parameters!$B$18) / LN(O17)</f>
        <v>0.23592735152617161</v>
      </c>
      <c r="AV17">
        <f>(Parameters!$B$18*'6states'!S17^+Parameters!$B$19*Parameters!$B$25^'6states'!S17)^((1-'6states'!S17)/'6states'!S17)*Parameters!$B$18*Parameters!$B$26^('6states'!S17-1)</f>
        <v>0.22160478802415989</v>
      </c>
      <c r="AW17">
        <f t="shared" si="9"/>
        <v>0.27815936572734618</v>
      </c>
      <c r="AX17">
        <f t="shared" si="14"/>
        <v>0.15086099531400587</v>
      </c>
      <c r="AY17">
        <f t="shared" si="14"/>
        <v>0.14238906154405817</v>
      </c>
      <c r="AZ17">
        <f>(1/$S17-1/Parameters!$B$13) * LN(Parameters!$B$18) / A17</f>
        <v>3.4943535971387843E-2</v>
      </c>
    </row>
    <row r="18" spans="1:52" x14ac:dyDescent="0.25">
      <c r="A18">
        <f>A17+Parameters!$B$71</f>
        <v>14</v>
      </c>
      <c r="B18" s="20">
        <v>-3.8015281062989066E-4</v>
      </c>
      <c r="C18" s="20">
        <v>6.8013288215795192E-2</v>
      </c>
      <c r="D18" s="20">
        <v>0.23316509706506461</v>
      </c>
      <c r="E18" s="7">
        <f>MAX((1-Parameters!$B$4)^Parameters!B$71*E17 + B17*Parameters!B$71 - IF(B17&gt;0,Parameters!$B$5,0)*B17^2/E17*Parameters!B$71, 0.0001)</f>
        <v>0.36996376637091866</v>
      </c>
      <c r="F18" s="7">
        <f>(1-Parameters!$B$4)^Parameters!B$71*F17+C17*Parameters!B$71-Parameters!$B$5*C17^2/F17*Parameters!B$71</f>
        <v>0.49529883269052949</v>
      </c>
      <c r="G18" s="7">
        <f>(1-Parameters!$B$4)^Parameters!B$71*G17+D17*Parameters!B$71-Parameters!$B$5*D17^2/G17*Parameters!B$71</f>
        <v>3.8377082747348101</v>
      </c>
      <c r="H18" s="9">
        <f>MAX(H17 * (1-Parameters!$B$4) ^ Parameters!B$71 + (LN(1+EXP(Parameters!$B$21*(-B17+0.004)))/Parameters!$B$21 -0.004) * Parameters!B$71,0)</f>
        <v>1.4770065845455645E-2</v>
      </c>
      <c r="I18" s="23">
        <f>I17*(1+Parameters!$B$52)^Parameters!B$71</f>
        <v>8.4976139518671765</v>
      </c>
      <c r="J18" s="23">
        <f>J17*(1+Parameters!$B$54)^Parameters!B$71</f>
        <v>11.906350833732299</v>
      </c>
      <c r="K18" s="23">
        <f>I18*J18*EXP(-Parameters!$B$43*'6states'!A18)*(Parameters!$B$38/Parameters!$B$39*('6states'!E18+'6states'!H18)/Parameters!$E$25*(EXP(-Parameters!$B$39*Parameters!$E$25*'6states'!H18/('6states'!E18+'6states'!H18))-EXP(-Parameters!$B$39*Parameters!$E$25))  +  Parameters!$B$40*'6states'!E18)</f>
        <v>26.769193345586626</v>
      </c>
      <c r="L18" s="8">
        <f>L17+K18*Parameters!B$71</f>
        <v>2725.457995196341</v>
      </c>
      <c r="M18" s="7">
        <f>L18*Parameters!$B$46</f>
        <v>1.6352747971178045</v>
      </c>
      <c r="N18" s="9">
        <f>EXP(-Parameters!$B$47/2*M18^2)</f>
        <v>0.97348297496356806</v>
      </c>
      <c r="O18" s="8">
        <f>MAX((Parameters!$B$63 + Parameters!$B$31*'6states'!A18 - '6states'!L18 + Parameters!$B$48/Parameters!$B$46)/Parameters!B$63,1)</f>
        <v>7.3868400960731835</v>
      </c>
      <c r="P18" s="7">
        <f>Parameters!B$62*EXP(-Parameters!B$61*A18)</f>
        <v>0.34261525033293516</v>
      </c>
      <c r="Q18" s="7">
        <f>(1-Parameters!B$62)*O18^-Parameters!B$64</f>
        <v>0.40937765557024702</v>
      </c>
      <c r="R18" s="7">
        <f>Parameters!B$62*EXP(-Parameters!B$61*A18)+(1-Parameters!B$62)*O18^-Parameters!B$64</f>
        <v>0.75199290590318224</v>
      </c>
      <c r="S18" s="7">
        <f>1-R18/Parameters!$B$12</f>
        <v>0.62400354704840888</v>
      </c>
      <c r="T18" s="7">
        <f t="shared" si="0"/>
        <v>2.6595995577882441</v>
      </c>
      <c r="U18" s="7">
        <f>(Parameters!$B$19*(E18+Parameters!$B$20)^S18+Parameters!$B$18*F18^S18)^(1/S18)</f>
        <v>0.41378731899867621</v>
      </c>
      <c r="V18" s="7">
        <f>(Parameters!$B$10*G18^Parameters!$B$9+Parameters!$B$11*U18^Parameters!$B$9)^(Parameters!$B$7/Parameters!$B$9)*N18</f>
        <v>1.4250810409199655</v>
      </c>
      <c r="W18" s="7">
        <f>V18 - C18 - D18 - LN(1+EXP(Parameters!$B$21*B18))/Parameters!$B$21 - IF(B18&gt;0, 0,Parameters!$B$6*B18^2/E18)</f>
        <v>1.1217748719086342</v>
      </c>
      <c r="X18" s="7">
        <f>EXP(-Parameters!$B$56*A18)</f>
        <v>0.80945022202781236</v>
      </c>
      <c r="Y18" s="7">
        <f>IF(W18&gt;0,W18^(1-Parameters!$B$53)/(1-Parameters!$B$53)*X18*Parameters!$B$71,-10+W18*1000)</f>
        <v>-2.221544947595671</v>
      </c>
      <c r="AA18" s="22">
        <f t="shared" si="15"/>
        <v>-4.3952096161413497E-2</v>
      </c>
      <c r="AB18" s="22">
        <f t="shared" si="10"/>
        <v>-6.2351250296305283E-4</v>
      </c>
      <c r="AC18" s="22">
        <f t="shared" si="11"/>
        <v>1.7150578055214125E-3</v>
      </c>
      <c r="AD18" s="22">
        <f t="shared" si="7"/>
        <v>1.5663808432891417E-3</v>
      </c>
      <c r="AE18" s="22">
        <f t="shared" si="16"/>
        <v>-1.9029185667742546E-2</v>
      </c>
      <c r="AF18" s="22">
        <f t="shared" si="12"/>
        <v>1.2001096230471187E-3</v>
      </c>
      <c r="AG18" s="22">
        <f t="shared" si="13"/>
        <v>-2.5970688814748455E-5</v>
      </c>
      <c r="AH18" s="22">
        <f t="shared" si="8"/>
        <v>2.9427631201053514E-4</v>
      </c>
      <c r="AI18" s="22"/>
      <c r="AK18" s="9"/>
      <c r="AL18" s="9"/>
      <c r="AM18" s="23">
        <f t="shared" si="1"/>
        <v>1.4943698745790099</v>
      </c>
      <c r="AN18" s="23">
        <f t="shared" si="2"/>
        <v>37.43129603722037</v>
      </c>
      <c r="AO18" s="23">
        <f t="shared" si="3"/>
        <v>41.865169083500518</v>
      </c>
      <c r="AP18" s="8">
        <f t="shared" si="4"/>
        <v>144.18339083029306</v>
      </c>
      <c r="AQ18" s="22">
        <f>-X18*V18*W18^(-Parameters!B$53)*Parameters!B$47*Parameters!B$46*M18</f>
        <v>-1.9480273725276843E-5</v>
      </c>
      <c r="AR18" s="7">
        <f>1000*EXP(-(Parameters!$B$55)*'6states'!A18)*AP18*Parameters!B$47*Parameters!B$46*M18</f>
        <v>1.7395662680373307</v>
      </c>
      <c r="AS18" s="7">
        <f>SUM(AR18:AR$204)*EXP(Parameters!$B$55*A18)</f>
        <v>237.68914767430388</v>
      </c>
      <c r="AT18" s="13">
        <f t="shared" si="17"/>
        <v>0.21107447494778872</v>
      </c>
      <c r="AU18">
        <f>(1/$S18-1/Parameters!$B$13) * LN(Parameters!$B$18) / LN(O18)</f>
        <v>0.23676944084753818</v>
      </c>
      <c r="AV18">
        <f>(Parameters!$B$18*'6states'!S18^+Parameters!$B$19*Parameters!$B$25^'6states'!S18)^((1-'6states'!S18)/'6states'!S18)*Parameters!$B$18*Parameters!$B$26^('6states'!S18-1)</f>
        <v>0.22576081063501671</v>
      </c>
      <c r="AW18">
        <f t="shared" si="9"/>
        <v>0.27712258824223207</v>
      </c>
      <c r="AX18">
        <f t="shared" si="14"/>
        <v>0.15135648620005915</v>
      </c>
      <c r="AY18">
        <f t="shared" si="14"/>
        <v>0.1448560566093432</v>
      </c>
      <c r="AZ18">
        <f>(1/$S18-1/Parameters!$B$13) * LN(Parameters!$B$18) / A18</f>
        <v>3.3819133077923356E-2</v>
      </c>
    </row>
    <row r="19" spans="1:52" x14ac:dyDescent="0.25">
      <c r="A19">
        <f>A18+Parameters!$B$71</f>
        <v>15</v>
      </c>
      <c r="B19" s="20">
        <v>-2.816962864502762E-3</v>
      </c>
      <c r="C19" s="20">
        <v>7.1161641908151621E-2</v>
      </c>
      <c r="D19" s="20">
        <v>0.23022042359021697</v>
      </c>
      <c r="E19" s="7">
        <f>MAX((1-Parameters!$B$4)^Parameters!B$71*E18 + B18*Parameters!B$71 - IF(B18&gt;0,Parameters!$B$5,0)*B18^2/E18*Parameters!B$71, 0.0001)</f>
        <v>0.34631289265555804</v>
      </c>
      <c r="F19" s="7">
        <f>(1-Parameters!$B$4)^Parameters!B$71*F18+C18*Parameters!B$71-Parameters!$B$5*C18^2/F18*Parameters!B$71</f>
        <v>0.52281839716286527</v>
      </c>
      <c r="G19" s="7">
        <f>(1-Parameters!$B$4)^Parameters!B$71*G18+D18*Parameters!B$71-Parameters!$B$5*D18^2/G18*Parameters!B$71</f>
        <v>3.8153152641162151</v>
      </c>
      <c r="H19" s="9">
        <f>MAX(H18 * (1-Parameters!$B$4) ^ Parameters!B$71 + (LN(1+EXP(Parameters!$B$21*(-B18+0.004)))/Parameters!$B$21 -0.004) * Parameters!B$71,0)</f>
        <v>1.5014571123015876E-2</v>
      </c>
      <c r="I19" s="23">
        <f>I18*(1+Parameters!$B$52)^Parameters!B$71</f>
        <v>8.522257032327591</v>
      </c>
      <c r="J19" s="23">
        <f>J18*(1+Parameters!$B$54)^Parameters!B$71</f>
        <v>12.144477850406945</v>
      </c>
      <c r="K19" s="23">
        <f>I19*J19*EXP(-Parameters!$B$43*'6states'!A19)*(Parameters!$B$38/Parameters!$B$39*('6states'!E19+'6states'!H19)/Parameters!$E$25*(EXP(-Parameters!$B$39*Parameters!$E$25*'6states'!H19/('6states'!E19+'6states'!H19))-EXP(-Parameters!$B$39*Parameters!$E$25))  +  Parameters!$B$40*'6states'!E19)</f>
        <v>25.269493669278017</v>
      </c>
      <c r="L19" s="8">
        <f>L18+K19*Parameters!B$71</f>
        <v>2750.7274888656189</v>
      </c>
      <c r="M19" s="7">
        <f>L19*Parameters!$B$46</f>
        <v>1.6504364933193711</v>
      </c>
      <c r="N19" s="9">
        <f>EXP(-Parameters!$B$47/2*M19^2)</f>
        <v>0.97299571256317974</v>
      </c>
      <c r="O19" s="8">
        <f>MAX((Parameters!$B$63 + Parameters!$B$31*'6states'!A19 - '6states'!L19 + Parameters!$B$48/Parameters!$B$46)/Parameters!B$63,1)</f>
        <v>7.9454502226876231</v>
      </c>
      <c r="P19" s="7">
        <f>Parameters!B$62*EXP(-Parameters!B$61*A19)</f>
        <v>0.33348840542923719</v>
      </c>
      <c r="Q19" s="7">
        <f>(1-Parameters!B$62)*O19^-Parameters!B$64</f>
        <v>0.4064041678879281</v>
      </c>
      <c r="R19" s="7">
        <f>Parameters!B$62*EXP(-Parameters!B$61*A19)+(1-Parameters!B$62)*O19^-Parameters!B$64</f>
        <v>0.73989257331716529</v>
      </c>
      <c r="S19" s="7">
        <f>1-R19/Parameters!$B$12</f>
        <v>0.63005371334141735</v>
      </c>
      <c r="T19" s="7">
        <f t="shared" si="0"/>
        <v>2.7030951142452837</v>
      </c>
      <c r="U19" s="7">
        <f>(Parameters!$B$19*(E19+Parameters!$B$20)^S19+Parameters!$B$18*F19^S19)^(1/S19)</f>
        <v>0.40439723044267228</v>
      </c>
      <c r="V19" s="7">
        <f>(Parameters!$B$10*G19^Parameters!$B$9+Parameters!$B$11*U19^Parameters!$B$9)^(Parameters!$B$7/Parameters!$B$9)*N19</f>
        <v>1.4199414415259459</v>
      </c>
      <c r="W19" s="7">
        <f>V19 - C19 - D19 - LN(1+EXP(Parameters!$B$21*B19))/Parameters!$B$21 - IF(B19&gt;0, 0,Parameters!$B$6*B19^2/E19)</f>
        <v>1.1172536807707427</v>
      </c>
      <c r="X19" s="7">
        <f>EXP(-Parameters!$B$56*A19)</f>
        <v>0.79731934231298707</v>
      </c>
      <c r="Y19" s="7">
        <f>IF(W19&gt;0,W19^(1-Parameters!$B$53)/(1-Parameters!$B$53)*X19*Parameters!$B$71,-10+W19*1000)</f>
        <v>-2.1913468687231039</v>
      </c>
      <c r="AA19" s="22">
        <f t="shared" si="15"/>
        <v>-7.1066146837829216E-3</v>
      </c>
      <c r="AB19" s="22">
        <f t="shared" si="10"/>
        <v>-1.2060959372107161E-3</v>
      </c>
      <c r="AC19" s="22">
        <f t="shared" si="11"/>
        <v>-4.152097707949276E-4</v>
      </c>
      <c r="AD19" s="22">
        <f t="shared" si="7"/>
        <v>4.1565085591858727E-5</v>
      </c>
      <c r="AE19" s="22">
        <f t="shared" si="16"/>
        <v>3.6845481477630573E-2</v>
      </c>
      <c r="AF19" s="22">
        <f t="shared" si="12"/>
        <v>-5.8258343424766323E-4</v>
      </c>
      <c r="AG19" s="22">
        <f t="shared" si="13"/>
        <v>-2.1302675763163401E-3</v>
      </c>
      <c r="AH19" s="22">
        <f t="shared" si="8"/>
        <v>1.0863212514789905E-3</v>
      </c>
      <c r="AI19" s="22"/>
      <c r="AK19" s="9"/>
      <c r="AL19" s="9"/>
      <c r="AM19" s="23">
        <f t="shared" si="1"/>
        <v>1.5539835138298721</v>
      </c>
      <c r="AN19" s="23">
        <f t="shared" si="2"/>
        <v>35.84281704780215</v>
      </c>
      <c r="AO19" s="23">
        <f t="shared" si="3"/>
        <v>41.854450852948808</v>
      </c>
      <c r="AP19" s="8">
        <f t="shared" si="4"/>
        <v>146.96161299956768</v>
      </c>
      <c r="AQ19" s="22">
        <f>-X19*V19*W19^(-Parameters!B$53)*Parameters!B$47*Parameters!B$46*M19</f>
        <v>-1.940188552883423E-5</v>
      </c>
      <c r="AR19" s="7">
        <f>1000*EXP(-(Parameters!$B$55)*'6states'!A19)*AP19*Parameters!B$47*Parameters!B$46*M19</f>
        <v>1.7278020739261188</v>
      </c>
      <c r="AS19" s="7">
        <f>SUM(AR19:AR$204)*EXP(Parameters!$B$55*A19)</f>
        <v>243.23510318886824</v>
      </c>
      <c r="AT19" s="13">
        <f t="shared" si="17"/>
        <v>0.21026578554747413</v>
      </c>
      <c r="AU19">
        <f>(1/$S19-1/Parameters!$B$13) * LN(Parameters!$B$18) / LN(O19)</f>
        <v>0.23728662325882968</v>
      </c>
      <c r="AV19">
        <f>(Parameters!$B$18*'6states'!S19^+Parameters!$B$19*Parameters!$B$25^'6states'!S19)^((1-'6states'!S19)/'6states'!S19)*Parameters!$B$18*Parameters!$B$26^('6states'!S19-1)</f>
        <v>0.22971751173906205</v>
      </c>
      <c r="AW19">
        <f t="shared" si="9"/>
        <v>0.27575821034521081</v>
      </c>
      <c r="AX19">
        <f t="shared" si="14"/>
        <v>0.15166065639952508</v>
      </c>
      <c r="AY19">
        <f t="shared" si="14"/>
        <v>0.1471981409081472</v>
      </c>
      <c r="AZ19">
        <f>(1/$S19-1/Parameters!$B$13) * LN(Parameters!$B$18) / A19</f>
        <v>3.2786675240636574E-2</v>
      </c>
    </row>
    <row r="20" spans="1:52" x14ac:dyDescent="0.25">
      <c r="A20">
        <f>A19+Parameters!$B$71</f>
        <v>16</v>
      </c>
      <c r="B20" s="20">
        <v>1.7296602921014389E-5</v>
      </c>
      <c r="C20" s="20">
        <v>7.394461890993298E-2</v>
      </c>
      <c r="D20" s="20">
        <v>0.2254562995988002</v>
      </c>
      <c r="E20" s="7">
        <f>MAX((1-Parameters!$B$4)^Parameters!B$71*E19 + B19*Parameters!B$71 - IF(B19&gt;0,Parameters!$B$5,0)*B19^2/E19*Parameters!B$71, 0.0001)</f>
        <v>0.32171284884302065</v>
      </c>
      <c r="F20" s="7">
        <f>(1-Parameters!$B$4)^Parameters!B$71*F19+C19*Parameters!B$71-Parameters!$B$5*C19^2/F19*Parameters!B$71</f>
        <v>0.55140883785438854</v>
      </c>
      <c r="G20" s="7">
        <f>(1-Parameters!$B$4)^Parameters!B$71*G19+D19*Parameters!B$71-Parameters!$B$5*D19^2/G19*Parameters!B$71</f>
        <v>3.7916605977338458</v>
      </c>
      <c r="H20" s="9">
        <f>MAX(H19 * (1-Parameters!$B$4) ^ Parameters!B$71 + (LN(1+EXP(Parameters!$B$21*(-B19+0.004)))/Parameters!$B$21 -0.004) * Parameters!B$71,0)</f>
        <v>1.7292646792532021E-2</v>
      </c>
      <c r="I20" s="23">
        <f>I19*(1+Parameters!$B$52)^Parameters!B$71</f>
        <v>8.5469715777213402</v>
      </c>
      <c r="J20" s="23">
        <f>J19*(1+Parameters!$B$54)^Parameters!B$71</f>
        <v>12.387367407415084</v>
      </c>
      <c r="K20" s="23">
        <f>I20*J20*EXP(-Parameters!$B$43*'6states'!A20)*(Parameters!$B$38/Parameters!$B$39*('6states'!E20+'6states'!H20)/Parameters!$E$25*(EXP(-Parameters!$B$39*Parameters!$E$25*'6states'!H20/('6states'!E20+'6states'!H20))-EXP(-Parameters!$B$39*Parameters!$E$25))  +  Parameters!$B$40*'6states'!E20)</f>
        <v>23.539645053040751</v>
      </c>
      <c r="L20" s="8">
        <f>L19+K20*Parameters!B$71</f>
        <v>2774.2671339186595</v>
      </c>
      <c r="M20" s="7">
        <f>L20*Parameters!$B$46</f>
        <v>1.6645602803511956</v>
      </c>
      <c r="N20" s="9">
        <f>EXP(-Parameters!$B$47/2*M20^2)</f>
        <v>0.97253798287090509</v>
      </c>
      <c r="O20" s="8">
        <f>MAX((Parameters!$B$63 + Parameters!$B$31*'6states'!A20 - '6states'!L20 + Parameters!$B$48/Parameters!$B$46)/Parameters!B$63,1)</f>
        <v>8.5386573216268111</v>
      </c>
      <c r="P20" s="7">
        <f>Parameters!B$62*EXP(-Parameters!B$61*A20)</f>
        <v>0.32460468834257372</v>
      </c>
      <c r="Q20" s="7">
        <f>(1-Parameters!B$62)*O20^-Parameters!B$64</f>
        <v>0.40348839284280358</v>
      </c>
      <c r="R20" s="7">
        <f>Parameters!B$62*EXP(-Parameters!B$61*A20)+(1-Parameters!B$62)*O20^-Parameters!B$64</f>
        <v>0.7280930811853773</v>
      </c>
      <c r="S20" s="7">
        <f>1-R20/Parameters!$B$12</f>
        <v>0.63595345940731129</v>
      </c>
      <c r="T20" s="7">
        <f t="shared" si="0"/>
        <v>2.7469015317984962</v>
      </c>
      <c r="U20" s="7">
        <f>(Parameters!$B$19*(E20+Parameters!$B$20)^S20+Parameters!$B$18*F20^S20)^(1/S20)</f>
        <v>0.39415257022142447</v>
      </c>
      <c r="V20" s="7">
        <f>(Parameters!$B$10*G20^Parameters!$B$9+Parameters!$B$11*U20^Parameters!$B$9)^(Parameters!$B$7/Parameters!$B$9)*N20</f>
        <v>1.4143254969032064</v>
      </c>
      <c r="W20" s="7">
        <f>V20 - C20 - D20 - LN(1+EXP(Parameters!$B$21*B20))/Parameters!$B$21 - IF(B20&gt;0, 0,Parameters!$B$6*B20^2/E20)</f>
        <v>1.1126054282721909</v>
      </c>
      <c r="X20" s="7">
        <f>EXP(-Parameters!$B$56*A20)</f>
        <v>0.7853702628357192</v>
      </c>
      <c r="Y20" s="7">
        <f>IF(W20&gt;0,W20^(1-Parameters!$B$53)/(1-Parameters!$B$53)*X20*Parameters!$B$71,-10+W20*1000)</f>
        <v>-2.1616580659619156</v>
      </c>
      <c r="AA20" s="22">
        <f t="shared" si="15"/>
        <v>8.1879194418184673E-3</v>
      </c>
      <c r="AB20" s="22">
        <f t="shared" si="10"/>
        <v>-2.0103291537700574E-3</v>
      </c>
      <c r="AC20" s="22">
        <f t="shared" si="11"/>
        <v>-8.8002991638872624E-4</v>
      </c>
      <c r="AD20" s="22">
        <f t="shared" si="7"/>
        <v>5.6435058395666494E-5</v>
      </c>
      <c r="AE20" s="22">
        <f t="shared" si="16"/>
        <v>1.5294534125601391E-2</v>
      </c>
      <c r="AF20" s="22">
        <f t="shared" si="12"/>
        <v>-8.0423321655934132E-4</v>
      </c>
      <c r="AG20" s="22">
        <f t="shared" si="13"/>
        <v>-4.6482014559379864E-4</v>
      </c>
      <c r="AH20" s="22">
        <f t="shared" si="8"/>
        <v>1.8439364640907978E-4</v>
      </c>
      <c r="AI20" s="22"/>
      <c r="AK20" s="9"/>
      <c r="AL20" s="9"/>
      <c r="AM20" s="23">
        <f t="shared" si="1"/>
        <v>1.8308499377675764</v>
      </c>
      <c r="AN20" s="23">
        <f t="shared" si="2"/>
        <v>34.061179664968478</v>
      </c>
      <c r="AO20" s="23">
        <f t="shared" si="3"/>
        <v>41.73069729108613</v>
      </c>
      <c r="AP20" s="8">
        <f t="shared" si="4"/>
        <v>149.74097251015354</v>
      </c>
      <c r="AQ20" s="22">
        <f>-X20*V20*W20^(-Parameters!B$53)*Parameters!B$47*Parameters!B$46*M20</f>
        <v>-1.9306790030330819E-5</v>
      </c>
      <c r="AR20" s="7">
        <f>1000*EXP(-(Parameters!$B$55)*'6states'!A20)*AP20*Parameters!B$47*Parameters!B$46*M20</f>
        <v>1.7143034669922785</v>
      </c>
      <c r="AS20" s="7">
        <f>SUM(AR20:AR$204)*EXP(Parameters!$B$55*A20)</f>
        <v>248.8945987449832</v>
      </c>
      <c r="AT20" s="13">
        <f t="shared" si="17"/>
        <v>0.21170389402387038</v>
      </c>
      <c r="AU20">
        <f>(1/$S20-1/Parameters!$B$13) * LN(Parameters!$B$18) / LN(O20)</f>
        <v>0.23749874536049059</v>
      </c>
      <c r="AV20">
        <f>(Parameters!$B$18*'6states'!S20^+Parameters!$B$19*Parameters!$B$25^'6states'!S20)^((1-'6states'!S20)/'6states'!S20)*Parameters!$B$18*Parameters!$B$26^('6states'!S20-1)</f>
        <v>0.23348863722207264</v>
      </c>
      <c r="AW20">
        <f t="shared" si="9"/>
        <v>0.27409230350739955</v>
      </c>
      <c r="AX20">
        <f t="shared" si="14"/>
        <v>0.15178538012195641</v>
      </c>
      <c r="AY20">
        <f t="shared" si="14"/>
        <v>0.14942440712403726</v>
      </c>
      <c r="AZ20">
        <f>(1/$S20-1/Parameters!$B$13) * LN(Parameters!$B$18) / A20</f>
        <v>3.1833794088623781E-2</v>
      </c>
    </row>
    <row r="21" spans="1:52" x14ac:dyDescent="0.25">
      <c r="A21">
        <f>A20+Parameters!$B$71</f>
        <v>17</v>
      </c>
      <c r="B21" s="20">
        <v>-3.9375361194989744E-4</v>
      </c>
      <c r="C21" s="20">
        <v>7.645275680404548E-2</v>
      </c>
      <c r="D21" s="20">
        <v>0.2225277738600297</v>
      </c>
      <c r="E21" s="7">
        <f>MAX((1-Parameters!$B$4)^Parameters!B$71*E20 + B20*Parameters!B$71 - IF(B20&gt;0,Parameters!$B$5,0)*B20^2/E20*Parameters!B$71, 0.0001)</f>
        <v>0.30149440632377933</v>
      </c>
      <c r="F21" s="7">
        <f>(1-Parameters!$B$4)^Parameters!B$71*F20+C20*Parameters!B$71-Parameters!$B$5*C20^2/F20*Parameters!B$71</f>
        <v>0.58075377443421994</v>
      </c>
      <c r="G21" s="7">
        <f>(1-Parameters!$B$4)^Parameters!B$71*G20+D20*Parameters!B$71-Parameters!$B$5*D20^2/G20*Parameters!B$71</f>
        <v>3.7652155667756717</v>
      </c>
      <c r="H21" s="9">
        <f>MAX(H20 * (1-Parameters!$B$4) ^ Parameters!B$71 + (LN(1+EXP(Parameters!$B$21*(-B20+0.004)))/Parameters!$B$21 -0.004) * Parameters!B$71,0)</f>
        <v>1.7069262656309127E-2</v>
      </c>
      <c r="I21" s="23">
        <f>I20*(1+Parameters!$B$52)^Parameters!B$71</f>
        <v>8.5717577952967314</v>
      </c>
      <c r="J21" s="23">
        <f>J20*(1+Parameters!$B$54)^Parameters!B$71</f>
        <v>12.635114755563386</v>
      </c>
      <c r="K21" s="23">
        <f>I21*J21*EXP(-Parameters!$B$43*'6states'!A21)*(Parameters!$B$38/Parameters!$B$39*('6states'!E21+'6states'!H21)/Parameters!$E$25*(EXP(-Parameters!$B$39*Parameters!$E$25*'6states'!H21/('6states'!E21+'6states'!H21))-EXP(-Parameters!$B$39*Parameters!$E$25))  +  Parameters!$B$40*'6states'!E21)</f>
        <v>22.295562485879397</v>
      </c>
      <c r="L21" s="8">
        <f>L20+K21*Parameters!B$71</f>
        <v>2796.5626964045391</v>
      </c>
      <c r="M21" s="7">
        <f>L21*Parameters!$B$46</f>
        <v>1.6779376178427232</v>
      </c>
      <c r="N21" s="9">
        <f>EXP(-Parameters!$B$47/2*M21^2)</f>
        <v>0.9721010488273768</v>
      </c>
      <c r="O21" s="8">
        <f>MAX((Parameters!$B$63 + Parameters!$B$31*'6states'!A21 - '6states'!L21 + Parameters!$B$48/Parameters!$B$46)/Parameters!B$63,1)</f>
        <v>9.15674607190922</v>
      </c>
      <c r="P21" s="7">
        <f>Parameters!B$62*EXP(-Parameters!B$61*A21)</f>
        <v>0.31595762244974795</v>
      </c>
      <c r="Q21" s="7">
        <f>(1-Parameters!B$62)*O21^-Parameters!B$64</f>
        <v>0.4006783597610582</v>
      </c>
      <c r="R21" s="7">
        <f>Parameters!B$62*EXP(-Parameters!B$61*A21)+(1-Parameters!B$62)*O21^-Parameters!B$64</f>
        <v>0.71663598221080616</v>
      </c>
      <c r="S21" s="7">
        <f>1-R21/Parameters!$B$12</f>
        <v>0.64168200889459692</v>
      </c>
      <c r="T21" s="7">
        <f t="shared" si="0"/>
        <v>2.7908171647061932</v>
      </c>
      <c r="U21" s="7">
        <f>(Parameters!$B$19*(E21+Parameters!$B$20)^S21+Parameters!$B$18*F21^S21)^(1/S21)</f>
        <v>0.38693370170745967</v>
      </c>
      <c r="V21" s="7">
        <f>(Parameters!$B$10*G21^Parameters!$B$9+Parameters!$B$11*U21^Parameters!$B$9)^(Parameters!$B$7/Parameters!$B$9)*N21</f>
        <v>1.4093086534844237</v>
      </c>
      <c r="W21" s="7">
        <f>V21 - C21 - D21 - LN(1+EXP(Parameters!$B$21*B21))/Parameters!$B$21 - IF(B21&gt;0, 0,Parameters!$B$6*B21^2/E21)</f>
        <v>1.1082061271065429</v>
      </c>
      <c r="X21" s="7">
        <f>EXP(-Parameters!$B$56*A21)</f>
        <v>0.7736002590346287</v>
      </c>
      <c r="Y21" s="7">
        <f>IF(W21&gt;0,W21^(1-Parameters!$B$53)/(1-Parameters!$B$53)*X21*Parameters!$B$71,-10+W21*1000)</f>
        <v>-2.1322168481850672</v>
      </c>
      <c r="AA21" s="22">
        <f t="shared" si="15"/>
        <v>-1.3597704628498743E-3</v>
      </c>
      <c r="AB21" s="22">
        <f t="shared" si="10"/>
        <v>-2.4572462277877016E-3</v>
      </c>
      <c r="AC21" s="22">
        <f t="shared" si="11"/>
        <v>-3.6015870983565484E-4</v>
      </c>
      <c r="AD21" s="22">
        <f t="shared" si="7"/>
        <v>6.2017591276828764E-6</v>
      </c>
      <c r="AE21" s="22">
        <f t="shared" si="16"/>
        <v>-9.5476899046683418E-3</v>
      </c>
      <c r="AF21" s="22">
        <f t="shared" si="12"/>
        <v>-4.4691707401764424E-4</v>
      </c>
      <c r="AG21" s="22">
        <f t="shared" si="13"/>
        <v>5.198712065530714E-4</v>
      </c>
      <c r="AH21" s="22">
        <f t="shared" si="8"/>
        <v>7.0883741178154704E-5</v>
      </c>
      <c r="AI21" s="22"/>
      <c r="AK21" s="9"/>
      <c r="AL21" s="9"/>
      <c r="AM21" s="23">
        <f t="shared" si="1"/>
        <v>1.8486889397318338</v>
      </c>
      <c r="AN21" s="23">
        <f t="shared" si="2"/>
        <v>32.65339491133625</v>
      </c>
      <c r="AO21" s="23">
        <f t="shared" si="3"/>
        <v>41.906910049900794</v>
      </c>
      <c r="AP21" s="8">
        <f t="shared" si="4"/>
        <v>152.63537581115267</v>
      </c>
      <c r="AQ21" s="22">
        <f>-X21*V21*W21^(-Parameters!B$53)*Parameters!B$47*Parameters!B$46*M21</f>
        <v>-1.9204725549072927E-5</v>
      </c>
      <c r="AR21" s="7">
        <f>1000*EXP(-(Parameters!$B$55)*'6states'!A21)*AP21*Parameters!B$47*Parameters!B$46*M21</f>
        <v>1.7007277635813929</v>
      </c>
      <c r="AS21" s="7">
        <f>SUM(AR21:AR$204)*EXP(Parameters!$B$55*A21)</f>
        <v>254.67255570477198</v>
      </c>
      <c r="AT21" s="13">
        <f t="shared" si="17"/>
        <v>0.21186755386329953</v>
      </c>
      <c r="AU21">
        <f>(1/$S21-1/Parameters!$B$13) * LN(Parameters!$B$18) / LN(O21)</f>
        <v>0.23755512429834796</v>
      </c>
      <c r="AV21">
        <f>(Parameters!$B$18*'6states'!S21^+Parameters!$B$19*Parameters!$B$25^'6states'!S21)^((1-'6states'!S21)/'6states'!S21)*Parameters!$B$18*Parameters!$B$26^('6states'!S21-1)</f>
        <v>0.23706644967244456</v>
      </c>
      <c r="AW21">
        <f t="shared" si="9"/>
        <v>0.27230929690895461</v>
      </c>
      <c r="AX21">
        <f t="shared" si="14"/>
        <v>0.15181852677013641</v>
      </c>
      <c r="AY21">
        <f t="shared" si="14"/>
        <v>0.15153117916155778</v>
      </c>
      <c r="AZ21">
        <f>(1/$S21-1/Parameters!$B$13) * LN(Parameters!$B$18) / A21</f>
        <v>3.0944921001672499E-2</v>
      </c>
    </row>
    <row r="22" spans="1:52" x14ac:dyDescent="0.25">
      <c r="A22">
        <f>A21+Parameters!$B$71</f>
        <v>18</v>
      </c>
      <c r="B22" s="20">
        <v>-5.8173734502860701E-5</v>
      </c>
      <c r="C22" s="20">
        <v>7.8534877328805069E-2</v>
      </c>
      <c r="D22" s="20">
        <v>0.22047661548649244</v>
      </c>
      <c r="E22" s="7">
        <f>MAX((1-Parameters!$B$4)^Parameters!B$71*E21 + B21*Parameters!B$71 - IF(B21&gt;0,Parameters!$B$5,0)*B21^2/E21*Parameters!B$71, 0.0001)</f>
        <v>0.28213665455406373</v>
      </c>
      <c r="F22" s="7">
        <f>(1-Parameters!$B$4)^Parameters!B$71*F21+C21*Parameters!B$71-Parameters!$B$5*C21^2/F21*Parameters!B$71</f>
        <v>0.61061257119834522</v>
      </c>
      <c r="G22" s="7">
        <f>(1-Parameters!$B$4)^Parameters!B$71*G21+D21*Parameters!B$71-Parameters!$B$5*D21^2/G21*Parameters!B$71</f>
        <v>3.7377596811957292</v>
      </c>
      <c r="H22" s="9">
        <f>MAX(H21 * (1-Parameters!$B$4) ^ Parameters!B$71 + (LN(1+EXP(Parameters!$B$21*(-B21+0.004)))/Parameters!$B$21 -0.004) * Parameters!B$71,0)</f>
        <v>1.7179873090373846E-2</v>
      </c>
      <c r="I22" s="23">
        <f>I21*(1+Parameters!$B$52)^Parameters!B$71</f>
        <v>8.5966158929030918</v>
      </c>
      <c r="J22" s="23">
        <f>J21*(1+Parameters!$B$54)^Parameters!B$71</f>
        <v>12.887817050674654</v>
      </c>
      <c r="K22" s="23">
        <f>I22*J22*EXP(-Parameters!$B$43*'6states'!A22)*(Parameters!$B$38/Parameters!$B$39*('6states'!E22+'6states'!H22)/Parameters!$E$25*(EXP(-Parameters!$B$39*Parameters!$E$25*'6states'!H22/('6states'!E22+'6states'!H22))-EXP(-Parameters!$B$39*Parameters!$E$25))  +  Parameters!$B$40*'6states'!E22)</f>
        <v>21.073451271850267</v>
      </c>
      <c r="L22" s="8">
        <f>L21+K22*Parameters!B$71</f>
        <v>2817.6361476763896</v>
      </c>
      <c r="M22" s="7">
        <f>L22*Parameters!$B$46</f>
        <v>1.6905816886058336</v>
      </c>
      <c r="N22" s="9">
        <f>EXP(-Parameters!$B$47/2*M22^2)</f>
        <v>0.97168503239436232</v>
      </c>
      <c r="O22" s="8">
        <f>MAX((Parameters!$B$63 + Parameters!$B$31*'6states'!A22 - '6states'!L22 + Parameters!$B$48/Parameters!$B$46)/Parameters!B$63,1)</f>
        <v>9.7992770464722074</v>
      </c>
      <c r="P22" s="7">
        <f>Parameters!B$62*EXP(-Parameters!B$61*A22)</f>
        <v>0.30754090365676434</v>
      </c>
      <c r="Q22" s="7">
        <f>(1-Parameters!B$62)*O22^-Parameters!B$64</f>
        <v>0.39797024341621123</v>
      </c>
      <c r="R22" s="7">
        <f>Parameters!B$62*EXP(-Parameters!B$61*A22)+(1-Parameters!B$62)*O22^-Parameters!B$64</f>
        <v>0.70551114707297558</v>
      </c>
      <c r="S22" s="7">
        <f>1-R22/Parameters!$B$12</f>
        <v>0.64724442646351221</v>
      </c>
      <c r="T22" s="7">
        <f t="shared" si="0"/>
        <v>2.8348240963981919</v>
      </c>
      <c r="U22" s="7">
        <f>(Parameters!$B$19*(E22+Parameters!$B$20)^S22+Parameters!$B$18*F22^S22)^(1/S22)</f>
        <v>0.38013127655754458</v>
      </c>
      <c r="V22" s="7">
        <f>(Parameters!$B$10*G22^Parameters!$B$9+Parameters!$B$11*U22^Parameters!$B$9)^(Parameters!$B$7/Parameters!$B$9)*N22</f>
        <v>1.4042959106304798</v>
      </c>
      <c r="W22" s="7">
        <f>V22 - C22 - D22 - LN(1+EXP(Parameters!$B$21*B22))/Parameters!$B$21 - IF(B22&gt;0, 0,Parameters!$B$6*B22^2/E22)</f>
        <v>1.1030028272011121</v>
      </c>
      <c r="X22" s="7">
        <f>EXP(-Parameters!$B$56*A22)</f>
        <v>0.76200664718015654</v>
      </c>
      <c r="Y22" s="7">
        <f>IF(W22&gt;0,W22^(1-Parameters!$B$53)/(1-Parameters!$B$53)*X22*Parameters!$B$71,-10+W22*1000)</f>
        <v>-2.1037246536776011</v>
      </c>
      <c r="AA22" s="22">
        <f t="shared" si="15"/>
        <v>1.0998164383306925E-3</v>
      </c>
      <c r="AB22" s="22">
        <f t="shared" si="10"/>
        <v>-3.0274700514889286E-3</v>
      </c>
      <c r="AC22" s="22">
        <f t="shared" si="11"/>
        <v>-1.1463812642833332E-4</v>
      </c>
      <c r="AD22" s="22">
        <f t="shared" si="7"/>
        <v>7.915963567153533E-6</v>
      </c>
      <c r="AE22" s="22">
        <f t="shared" si="16"/>
        <v>2.4595869011805665E-3</v>
      </c>
      <c r="AF22" s="22">
        <f t="shared" si="12"/>
        <v>-5.7022382370122693E-4</v>
      </c>
      <c r="AG22" s="22">
        <f t="shared" si="13"/>
        <v>2.4552058340732152E-4</v>
      </c>
      <c r="AH22" s="22">
        <f t="shared" si="8"/>
        <v>4.9035152819507119E-6</v>
      </c>
      <c r="AI22" s="22"/>
      <c r="AK22" s="9"/>
      <c r="AL22" s="9"/>
      <c r="AM22" s="23">
        <f t="shared" si="1"/>
        <v>1.9033858488018782</v>
      </c>
      <c r="AN22" s="23">
        <f t="shared" si="2"/>
        <v>31.258375011361803</v>
      </c>
      <c r="AO22" s="23">
        <f t="shared" si="3"/>
        <v>42.115357236953777</v>
      </c>
      <c r="AP22" s="8">
        <f t="shared" si="4"/>
        <v>155.58420890327065</v>
      </c>
      <c r="AQ22" s="22">
        <f>-X22*V22*W22^(-Parameters!B$53)*Parameters!B$47*Parameters!B$46*M22</f>
        <v>-1.911271636391698E-5</v>
      </c>
      <c r="AR22" s="7">
        <f>1000*EXP(-(Parameters!$B$55)*'6states'!A22)*AP22*Parameters!B$47*Parameters!B$46*M22</f>
        <v>1.6864044158506108</v>
      </c>
      <c r="AS22" s="7">
        <f>SUM(AR22:AR$204)*EXP(Parameters!$B$55*A22)</f>
        <v>260.57123612319123</v>
      </c>
      <c r="AT22" s="13">
        <f t="shared" si="17"/>
        <v>0.21288484629039123</v>
      </c>
      <c r="AU22">
        <f>(1/$S22-1/Parameters!$B$13) * LN(Parameters!$B$18) / LN(O22)</f>
        <v>0.2374868860304184</v>
      </c>
      <c r="AV22">
        <f>(Parameters!$B$18*'6states'!S22^+Parameters!$B$19*Parameters!$B$25^'6states'!S22)^((1-'6states'!S22)/'6states'!S22)*Parameters!$B$18*Parameters!$B$26^('6states'!S22-1)</f>
        <v>0.24046020313719163</v>
      </c>
      <c r="AW22">
        <f t="shared" si="9"/>
        <v>0.2704457110947211</v>
      </c>
      <c r="AX22">
        <f t="shared" si="14"/>
        <v>0.15177840754756688</v>
      </c>
      <c r="AY22">
        <f t="shared" si="14"/>
        <v>0.15352474658535709</v>
      </c>
      <c r="AZ22">
        <f>(1/$S22-1/Parameters!$B$13) * LN(Parameters!$B$18) / A22</f>
        <v>3.011213140381894E-2</v>
      </c>
    </row>
    <row r="23" spans="1:52" x14ac:dyDescent="0.25">
      <c r="A23">
        <f>A22+Parameters!$B$71</f>
        <v>19</v>
      </c>
      <c r="B23" s="20">
        <v>6.1081688084219251E-4</v>
      </c>
      <c r="C23" s="20">
        <v>8.0191488128401101E-2</v>
      </c>
      <c r="D23" s="20">
        <v>0.21857375095851247</v>
      </c>
      <c r="E23" s="7">
        <f>MAX((1-Parameters!$B$4)^Parameters!B$71*E22 + B22*Parameters!B$71 - IF(B22&gt;0,Parameters!$B$5,0)*B22^2/E22*Parameters!B$71, 0.0001)</f>
        <v>0.2643320852481103</v>
      </c>
      <c r="F23" s="7">
        <f>(1-Parameters!$B$4)^Parameters!B$71*F22+C22*Parameters!B$71-Parameters!$B$5*C22^2/F22*Parameters!B$71</f>
        <v>0.64063903346069706</v>
      </c>
      <c r="G23" s="7">
        <f>(1-Parameters!$B$4)^Parameters!B$71*G22+D22*Parameters!B$71-Parameters!$B$5*D22^2/G22*Parameters!B$71</f>
        <v>3.7101261128563503</v>
      </c>
      <c r="H23" s="9">
        <f>MAX(H22 * (1-Parameters!$B$4) ^ Parameters!B$71 + (LN(1+EXP(Parameters!$B$21*(-B22+0.004)))/Parameters!$B$21 -0.004) * Parameters!B$71,0)</f>
        <v>1.7021665275995884E-2</v>
      </c>
      <c r="I23" s="23">
        <f>I22*(1+Parameters!$B$52)^Parameters!B$71</f>
        <v>8.6215460789925107</v>
      </c>
      <c r="J23" s="23">
        <f>J22*(1+Parameters!$B$54)^Parameters!B$71</f>
        <v>13.145573391688147</v>
      </c>
      <c r="K23" s="23">
        <f>I23*J23*EXP(-Parameters!$B$43*'6states'!A23)*(Parameters!$B$38/Parameters!$B$39*('6states'!E23+'6states'!H23)/Parameters!$E$25*(EXP(-Parameters!$B$39*Parameters!$E$25*'6states'!H23/('6states'!E23+'6states'!H23))-EXP(-Parameters!$B$39*Parameters!$E$25))  +  Parameters!$B$40*'6states'!E23)</f>
        <v>19.957806751309459</v>
      </c>
      <c r="L23" s="8">
        <f>L22+K23*Parameters!B$71</f>
        <v>2837.5939544276989</v>
      </c>
      <c r="M23" s="7">
        <f>L23*Parameters!$B$46</f>
        <v>1.7025563726566193</v>
      </c>
      <c r="N23" s="9">
        <f>EXP(-Parameters!$B$47/2*M23^2)</f>
        <v>0.97128832664000486</v>
      </c>
      <c r="O23" s="8">
        <f>MAX((Parameters!$B$63 + Parameters!$B$31*'6states'!A23 - '6states'!L23 + Parameters!$B$48/Parameters!$B$46)/Parameters!B$63,1)</f>
        <v>10.464120911446026</v>
      </c>
      <c r="P23" s="7">
        <f>Parameters!B$62*EXP(-Parameters!B$61*A23)</f>
        <v>0.2993483958028646</v>
      </c>
      <c r="Q23" s="7">
        <f>(1-Parameters!B$62)*O23^-Parameters!B$64</f>
        <v>0.39536637373604167</v>
      </c>
      <c r="R23" s="7">
        <f>Parameters!B$62*EXP(-Parameters!B$61*A23)+(1-Parameters!B$62)*O23^-Parameters!B$64</f>
        <v>0.69471476953890621</v>
      </c>
      <c r="S23" s="7">
        <f>1-R23/Parameters!$B$12</f>
        <v>0.6526426152305469</v>
      </c>
      <c r="T23" s="7">
        <f t="shared" si="0"/>
        <v>2.8788793440039191</v>
      </c>
      <c r="U23" s="7">
        <f>(Parameters!$B$19*(E23+Parameters!$B$20)^S23+Parameters!$B$18*F23^S23)^(1/S23)</f>
        <v>0.37422144013147313</v>
      </c>
      <c r="V23" s="7">
        <f>(Parameters!$B$10*G23^Parameters!$B$9+Parameters!$B$11*U23^Parameters!$B$9)^(Parameters!$B$7/Parameters!$B$9)*N23</f>
        <v>1.399532255174593</v>
      </c>
      <c r="W23" s="7">
        <f>V23 - C23 - D23 - LN(1+EXP(Parameters!$B$21*B23))/Parameters!$B$21 - IF(B23&gt;0, 0,Parameters!$B$6*B23^2/E23)</f>
        <v>1.0981371454295807</v>
      </c>
      <c r="X23" s="7">
        <f>EXP(-Parameters!$B$56*A23)</f>
        <v>0.75058678376263543</v>
      </c>
      <c r="Y23" s="7">
        <f>IF(W23&gt;0,W23^(1-Parameters!$B$53)/(1-Parameters!$B$53)*X23*Parameters!$B$71,-10+W23*1000)</f>
        <v>-2.0754059860683784</v>
      </c>
      <c r="AA23" s="22">
        <f t="shared" si="15"/>
        <v>2.5169834830403377E-3</v>
      </c>
      <c r="AB23" s="22">
        <f t="shared" si="10"/>
        <v>-3.4423268423280362E-3</v>
      </c>
      <c r="AC23" s="22">
        <f t="shared" si="11"/>
        <v>-7.3545360908880419E-5</v>
      </c>
      <c r="AD23" s="22">
        <f t="shared" si="7"/>
        <v>1.3653345378501575E-5</v>
      </c>
      <c r="AE23" s="22">
        <f t="shared" si="16"/>
        <v>1.4171670447096453E-3</v>
      </c>
      <c r="AF23" s="22">
        <f t="shared" si="12"/>
        <v>-4.1485679083910765E-4</v>
      </c>
      <c r="AG23" s="22">
        <f t="shared" si="13"/>
        <v>4.1092765519452901E-5</v>
      </c>
      <c r="AH23" s="22">
        <f t="shared" si="8"/>
        <v>1.637898358086172E-6</v>
      </c>
      <c r="AI23" s="22"/>
      <c r="AK23" s="9"/>
      <c r="AL23" s="9"/>
      <c r="AM23" s="23">
        <f t="shared" si="1"/>
        <v>1.9291532720979643</v>
      </c>
      <c r="AN23" s="23">
        <f t="shared" si="2"/>
        <v>29.958120954004904</v>
      </c>
      <c r="AO23" s="23">
        <f t="shared" si="3"/>
        <v>42.412449311696733</v>
      </c>
      <c r="AP23" s="8">
        <f t="shared" si="4"/>
        <v>158.61622148592895</v>
      </c>
      <c r="AQ23" s="22">
        <f>-X23*V23*W23^(-Parameters!B$53)*Parameters!B$47*Parameters!B$46*M23</f>
        <v>-1.9008429995978855E-5</v>
      </c>
      <c r="AR23" s="7">
        <f>1000*EXP(-(Parameters!$B$55)*'6states'!A23)*AP23*Parameters!B$47*Parameters!B$46*M23</f>
        <v>1.6717272371920235</v>
      </c>
      <c r="AS23" s="7">
        <f>SUM(AR23:AR$204)*EXP(Parameters!$B$55*A23)</f>
        <v>266.5942604960058</v>
      </c>
      <c r="AT23" s="13">
        <f t="shared" si="17"/>
        <v>0.2139115085492676</v>
      </c>
      <c r="AU23">
        <f>(1/$S23-1/Parameters!$B$13) * LN(Parameters!$B$18) / LN(O23)</f>
        <v>0.23733104291610246</v>
      </c>
      <c r="AV23">
        <f>(Parameters!$B$18*'6states'!S23^+Parameters!$B$19*Parameters!$B$25^'6states'!S23)^((1-'6states'!S23)/'6states'!S23)*Parameters!$B$18*Parameters!$B$26^('6states'!S23-1)</f>
        <v>0.24367713219253392</v>
      </c>
      <c r="AW23">
        <f t="shared" si="9"/>
        <v>0.26854467283318983</v>
      </c>
      <c r="AX23">
        <f t="shared" si="14"/>
        <v>0.15168677582304491</v>
      </c>
      <c r="AY23">
        <f t="shared" si="14"/>
        <v>0.15541011880810984</v>
      </c>
      <c r="AZ23">
        <f>(1/$S23-1/Parameters!$B$13) * LN(Parameters!$B$18) / A23</f>
        <v>2.9328525255663967E-2</v>
      </c>
    </row>
    <row r="24" spans="1:52" x14ac:dyDescent="0.25">
      <c r="A24">
        <f>A23+Parameters!$B$71</f>
        <v>20</v>
      </c>
      <c r="B24" s="20">
        <v>1.0705854822118431E-3</v>
      </c>
      <c r="C24" s="20">
        <v>8.1541130679914031E-2</v>
      </c>
      <c r="D24" s="20">
        <v>0.21716615360856778</v>
      </c>
      <c r="E24" s="7">
        <f>MAX((1-Parameters!$B$4)^Parameters!B$71*E23 + B23*Parameters!B$71 - IF(B23&gt;0,Parameters!$B$5,0)*B23^2/E23*Parameters!B$71, 0.0001)</f>
        <v>0.2483150024951305</v>
      </c>
      <c r="F24" s="7">
        <f>(1-Parameters!$B$4)^Parameters!B$71*F23+C23*Parameters!B$71-Parameters!$B$5*C23^2/F23*Parameters!B$71</f>
        <v>0.67049641980618813</v>
      </c>
      <c r="G24" s="7">
        <f>(1-Parameters!$B$4)^Parameters!B$71*G23+D23*Parameters!B$71-Parameters!$B$5*D23^2/G23*Parameters!B$71</f>
        <v>3.682456149461661</v>
      </c>
      <c r="H24" s="9">
        <f>MAX(H23 * (1-Parameters!$B$4) ^ Parameters!B$71 + (LN(1+EXP(Parameters!$B$21*(-B23+0.004)))/Parameters!$B$21 -0.004) * Parameters!B$71,0)</f>
        <v>1.6369462706518411E-2</v>
      </c>
      <c r="I24" s="23">
        <f>I23*(1+Parameters!$B$52)^Parameters!B$71</f>
        <v>8.6465485626215877</v>
      </c>
      <c r="J24" s="23">
        <f>J23*(1+Parameters!$B$54)^Parameters!B$71</f>
        <v>13.408484859521911</v>
      </c>
      <c r="K24" s="23">
        <f>I24*J24*EXP(-Parameters!$B$43*'6states'!A24)*(Parameters!$B$38/Parameters!$B$39*('6states'!E24+'6states'!H24)/Parameters!$E$25*(EXP(-Parameters!$B$39*Parameters!$E$25*'6states'!H24/('6states'!E24+'6states'!H24))-EXP(-Parameters!$B$39*Parameters!$E$25))  +  Parameters!$B$40*'6states'!E24)</f>
        <v>18.973772845453045</v>
      </c>
      <c r="L24" s="8">
        <f>L23+K24*Parameters!B$71</f>
        <v>2856.5677272731518</v>
      </c>
      <c r="M24" s="7">
        <f>L24*Parameters!$B$46</f>
        <v>1.7139406363638909</v>
      </c>
      <c r="N24" s="9">
        <f>EXP(-Parameters!$B$47/2*M24^2)</f>
        <v>0.97090873613050588</v>
      </c>
      <c r="O24" s="8">
        <f>MAX((Parameters!$B$63 + Parameters!$B$31*'6states'!A24 - '6states'!L24 + Parameters!$B$48/Parameters!$B$46)/Parameters!B$63,1)</f>
        <v>11.148645454536963</v>
      </c>
      <c r="P24" s="7">
        <f>Parameters!B$62*EXP(-Parameters!B$61*A24)</f>
        <v>0.29137412618699482</v>
      </c>
      <c r="Q24" s="7">
        <f>(1-Parameters!B$62)*O24^-Parameters!B$64</f>
        <v>0.39286902938319807</v>
      </c>
      <c r="R24" s="7">
        <f>Parameters!B$62*EXP(-Parameters!B$61*A24)+(1-Parameters!B$62)*O24^-Parameters!B$64</f>
        <v>0.68424315557019288</v>
      </c>
      <c r="S24" s="7">
        <f>1-R24/Parameters!$B$12</f>
        <v>0.65787842221490356</v>
      </c>
      <c r="T24" s="7">
        <f t="shared" si="0"/>
        <v>2.9229375313712298</v>
      </c>
      <c r="U24" s="7">
        <f>(Parameters!$B$19*(E24+Parameters!$B$20)^S24+Parameters!$B$18*F24^S24)^(1/S24)</f>
        <v>0.36936004033510555</v>
      </c>
      <c r="V24" s="7">
        <f>(Parameters!$B$10*G24^Parameters!$B$9+Parameters!$B$11*U24^Parameters!$B$9)^(Parameters!$B$7/Parameters!$B$9)*N24</f>
        <v>1.3951111314285345</v>
      </c>
      <c r="W24" s="7">
        <f>V24 - C24 - D24 - LN(1+EXP(Parameters!$B$21*B24))/Parameters!$B$21 - IF(B24&gt;0, 0,Parameters!$B$6*B24^2/E24)</f>
        <v>1.0935152665232053</v>
      </c>
      <c r="X24" s="7">
        <f>EXP(-Parameters!$B$56*A24)</f>
        <v>0.7393380648895318</v>
      </c>
      <c r="Y24" s="7">
        <f>IF(W24&gt;0,W24^(1-Parameters!$B$53)/(1-Parameters!$B$53)*X24*Parameters!$B$71,-10+W24*1000)</f>
        <v>-2.0473228067520362</v>
      </c>
      <c r="AA24" s="22">
        <f t="shared" si="15"/>
        <v>2.0006071646366248E-3</v>
      </c>
      <c r="AB24" s="22">
        <f t="shared" si="10"/>
        <v>-3.561141083645844E-3</v>
      </c>
      <c r="AC24" s="22">
        <f t="shared" si="11"/>
        <v>6.0426089881014666E-5</v>
      </c>
      <c r="AD24" s="22">
        <f t="shared" si="7"/>
        <v>1.2337930311489248E-5</v>
      </c>
      <c r="AE24" s="22">
        <f t="shared" si="16"/>
        <v>-5.1637631840371293E-4</v>
      </c>
      <c r="AF24" s="22">
        <f t="shared" si="12"/>
        <v>-1.188142413178217E-4</v>
      </c>
      <c r="AG24" s="22">
        <f t="shared" si="13"/>
        <v>1.3397145078989509E-4</v>
      </c>
      <c r="AH24" s="22">
        <f t="shared" si="8"/>
        <v>2.2084743365115825E-7</v>
      </c>
      <c r="AI24" s="22"/>
      <c r="AK24" s="9"/>
      <c r="AL24" s="9"/>
      <c r="AM24" s="23">
        <f t="shared" si="1"/>
        <v>1.8978282882990354</v>
      </c>
      <c r="AN24" s="23">
        <f t="shared" si="2"/>
        <v>28.788925121937336</v>
      </c>
      <c r="AO24" s="23">
        <f t="shared" si="3"/>
        <v>42.82253765336484</v>
      </c>
      <c r="AP24" s="8">
        <f t="shared" si="4"/>
        <v>161.74516036446479</v>
      </c>
      <c r="AQ24" s="22">
        <f>-X24*V24*W24^(-Parameters!B$53)*Parameters!B$47*Parameters!B$46*M24</f>
        <v>-1.8896501470718019E-5</v>
      </c>
      <c r="AR24" s="7">
        <f>1000*EXP(-(Parameters!$B$55)*'6states'!A24)*AP24*Parameters!B$47*Parameters!B$46*M24</f>
        <v>1.6569127966291468</v>
      </c>
      <c r="AS24" s="7">
        <f>SUM(AR24:AR$204)*EXP(Parameters!$B$55*A24)</f>
        <v>272.74469595213515</v>
      </c>
      <c r="AT24" s="13">
        <f t="shared" si="17"/>
        <v>0.21487741228452092</v>
      </c>
      <c r="AU24">
        <f>(1/$S24-1/Parameters!$B$13) * LN(Parameters!$B$18) / LN(O24)</f>
        <v>0.23711886239489363</v>
      </c>
      <c r="AV24">
        <f>(Parameters!$B$18*'6states'!S24^+Parameters!$B$19*Parameters!$B$25^'6states'!S24)^((1-'6states'!S24)/'6states'!S24)*Parameters!$B$18*Parameters!$B$26^('6states'!S24-1)</f>
        <v>0.24672441000774542</v>
      </c>
      <c r="AW24">
        <f t="shared" si="9"/>
        <v>0.26664170309399715</v>
      </c>
      <c r="AX24">
        <f t="shared" si="14"/>
        <v>0.15156200324548474</v>
      </c>
      <c r="AY24">
        <f t="shared" si="14"/>
        <v>0.15719218899460907</v>
      </c>
      <c r="AZ24">
        <f>(1/$S24-1/Parameters!$B$13) * LN(Parameters!$B$18) / A24</f>
        <v>2.8588449130201626E-2</v>
      </c>
    </row>
    <row r="25" spans="1:52" x14ac:dyDescent="0.25">
      <c r="A25">
        <f>A24+Parameters!$B$71</f>
        <v>21</v>
      </c>
      <c r="B25" s="42">
        <f>B24+(B26-B24)/2</f>
        <v>1.5070986020486879E-3</v>
      </c>
      <c r="C25" s="42">
        <f t="shared" ref="C25:D25" si="18">C24+(C26-C24)/2</f>
        <v>8.2618814487901052E-2</v>
      </c>
      <c r="D25" s="42">
        <f t="shared" si="18"/>
        <v>0.21635004364970825</v>
      </c>
      <c r="E25" s="7">
        <f>MAX((1-Parameters!$B$4)^Parameters!B$71*E24 + B24*Parameters!B$71 - IF(B24&gt;0,Parameters!$B$5,0)*B24^2/E24*Parameters!B$71, 0.0001)</f>
        <v>0.23376195859737262</v>
      </c>
      <c r="F25" s="7">
        <f>(1-Parameters!$B$4)^Parameters!B$71*F24+C24*Parameters!B$71-Parameters!$B$5*C24^2/F24*Parameters!B$71</f>
        <v>0.69994685812558055</v>
      </c>
      <c r="G25" s="7">
        <f>(1-Parameters!$B$4)^Parameters!B$71*G24+D24*Parameters!B$71-Parameters!$B$5*D24^2/G24*Parameters!B$71</f>
        <v>3.655188832350948</v>
      </c>
      <c r="H25" s="9">
        <f>MAX(H24 * (1-Parameters!$B$4) ^ Parameters!B$71 + (LN(1+EXP(Parameters!$B$21*(-B24+0.004)))/Parameters!$B$21 -0.004) * Parameters!B$71,0)</f>
        <v>1.5426974407200318E-2</v>
      </c>
      <c r="I25" s="23">
        <f>I24*(1+Parameters!$B$52)^Parameters!B$71</f>
        <v>8.6716235534531894</v>
      </c>
      <c r="J25" s="23">
        <f>J24*(1+Parameters!$B$54)^Parameters!B$71</f>
        <v>13.67665455671235</v>
      </c>
      <c r="K25" s="23">
        <f>I25*J25*EXP(-Parameters!$B$43*'6states'!A25)*(Parameters!$B$38/Parameters!$B$39*('6states'!E25+'6states'!H25)/Parameters!$E$25*(EXP(-Parameters!$B$39*Parameters!$E$25*'6states'!H25/('6states'!E25+'6states'!H25))-EXP(-Parameters!$B$39*Parameters!$E$25))  +  Parameters!$B$40*'6states'!E25)</f>
        <v>18.089411801143473</v>
      </c>
      <c r="L25" s="8">
        <f>L24+K25*Parameters!B$71</f>
        <v>2874.6571390742952</v>
      </c>
      <c r="M25" s="7">
        <f>L25*Parameters!$B$46</f>
        <v>1.7247942834445769</v>
      </c>
      <c r="N25" s="9">
        <f>EXP(-Parameters!$B$47/2*M25^2)</f>
        <v>0.97054462209737891</v>
      </c>
      <c r="O25" s="8">
        <f>MAX((Parameters!$B$63 + Parameters!$B$31*'6states'!A25 - '6states'!L25 + Parameters!$B$48/Parameters!$B$46)/Parameters!B$63,1)</f>
        <v>11.850857218514097</v>
      </c>
      <c r="P25" s="7">
        <f>Parameters!B$62*EXP(-Parameters!B$61*A25)</f>
        <v>0.28361228121344206</v>
      </c>
      <c r="Q25" s="7">
        <f>(1-Parameters!B$62)*O25^-Parameters!B$64</f>
        <v>0.39047661316114751</v>
      </c>
      <c r="R25" s="7">
        <f>Parameters!B$62*EXP(-Parameters!B$61*A25)+(1-Parameters!B$62)*O25^-Parameters!B$64</f>
        <v>0.67408889437458952</v>
      </c>
      <c r="S25" s="7">
        <f>1-R25/Parameters!$B$12</f>
        <v>0.66295555281270524</v>
      </c>
      <c r="T25" s="7">
        <f t="shared" si="0"/>
        <v>2.9669677348053223</v>
      </c>
      <c r="U25" s="7">
        <f>(Parameters!$B$19*(E25+Parameters!$B$20)^S25+Parameters!$B$18*F25^S25)^(1/S25)</f>
        <v>0.36529670000869036</v>
      </c>
      <c r="V25" s="7">
        <f>(Parameters!$B$10*G25^Parameters!$B$9+Parameters!$B$11*U25^Parameters!$B$9)^(Parameters!$B$7/Parameters!$B$9)*N25</f>
        <v>1.3909994974879401</v>
      </c>
      <c r="W25" s="7">
        <f>V25 - C25 - D25 - LN(1+EXP(Parameters!$B$21*B25))/Parameters!$B$21 - IF(B25&gt;0, 0,Parameters!$B$6*B25^2/E25)</f>
        <v>1.0888821397152648</v>
      </c>
      <c r="X25" s="7">
        <f>EXP(-Parameters!$B$56*A25)</f>
        <v>0.72825792569172154</v>
      </c>
      <c r="Y25" s="7">
        <f>IF(W25&gt;0,W25^(1-Parameters!$B$53)/(1-Parameters!$B$53)*X25*Parameters!$B$71,-10+W25*1000)</f>
        <v>-2.0196395622529359</v>
      </c>
      <c r="AA25" s="22">
        <f t="shared" si="15"/>
        <v>2.1357500889760709E-3</v>
      </c>
      <c r="AB25" s="22">
        <f t="shared" si="10"/>
        <v>-3.577235179948679E-3</v>
      </c>
      <c r="AC25" s="22">
        <f t="shared" si="11"/>
        <v>2.1665925048628548E-4</v>
      </c>
      <c r="AD25" s="22">
        <f t="shared" si="7"/>
        <v>1.2675315509817753E-5</v>
      </c>
      <c r="AE25" s="22">
        <f t="shared" si="16"/>
        <v>1.3514292433944612E-4</v>
      </c>
      <c r="AF25" s="22">
        <f t="shared" si="12"/>
        <v>-1.6094096302821104E-5</v>
      </c>
      <c r="AG25" s="22">
        <f t="shared" si="13"/>
        <v>1.5623316060527082E-4</v>
      </c>
      <c r="AH25" s="22">
        <f t="shared" si="8"/>
        <v>3.1265154455569271E-8</v>
      </c>
      <c r="AI25" s="22"/>
      <c r="AK25" s="9"/>
      <c r="AL25" s="9"/>
      <c r="AM25" s="23">
        <f t="shared" si="1"/>
        <v>1.8296206490299258</v>
      </c>
      <c r="AN25" s="23">
        <f t="shared" si="2"/>
        <v>27.723887725373466</v>
      </c>
      <c r="AO25" s="23">
        <f t="shared" si="3"/>
        <v>43.323750186974145</v>
      </c>
      <c r="AP25" s="8">
        <f t="shared" si="4"/>
        <v>164.97087090559654</v>
      </c>
      <c r="AQ25" s="22">
        <f>-X25*V25*W25^(-Parameters!B$53)*Parameters!B$47*Parameters!B$46*M25</f>
        <v>-1.8783331547509332E-5</v>
      </c>
      <c r="AR25" s="7">
        <f>1000*EXP(-(Parameters!$B$55)*'6states'!A25)*AP25*Parameters!B$47*Parameters!B$46*M25</f>
        <v>1.6420009967497304</v>
      </c>
      <c r="AS25" s="7">
        <f>SUM(AR25:AR$204)*EXP(Parameters!$B$55*A25)</f>
        <v>279.02530409426589</v>
      </c>
      <c r="AT25" s="13">
        <f t="shared" si="17"/>
        <v>0.2160144250823233</v>
      </c>
      <c r="AU25">
        <f>(1/$S25-1/Parameters!$B$13) * LN(Parameters!$B$18) / LN(O25)</f>
        <v>0.23686966030825776</v>
      </c>
      <c r="AV25">
        <f>(Parameters!$B$18*'6states'!S25^+Parameters!$B$19*Parameters!$B$25^'6states'!S25)^((1-'6states'!S25)/'6states'!S25)*Parameters!$B$18*Parameters!$B$26^('6states'!S25-1)</f>
        <v>0.24961018243738817</v>
      </c>
      <c r="AW25">
        <f t="shared" si="9"/>
        <v>0.26475746314571208</v>
      </c>
      <c r="AX25">
        <f t="shared" si="14"/>
        <v>0.15141543673281632</v>
      </c>
      <c r="AY25">
        <f t="shared" si="14"/>
        <v>0.15887634304161413</v>
      </c>
      <c r="AZ25">
        <f>(1/$S25-1/Parameters!$B$13) * LN(Parameters!$B$18) / A25</f>
        <v>2.7887456975546409E-2</v>
      </c>
    </row>
    <row r="26" spans="1:52" x14ac:dyDescent="0.25">
      <c r="A26">
        <f>A25+Parameters!$B$71</f>
        <v>22</v>
      </c>
      <c r="B26" s="20">
        <v>1.9436117218855325E-3</v>
      </c>
      <c r="C26" s="20">
        <v>8.3696498295888072E-2</v>
      </c>
      <c r="D26" s="20">
        <v>0.21553393369084872</v>
      </c>
      <c r="E26" s="7">
        <f>MAX((1-Parameters!$B$4)^Parameters!B$71*E25 + B25*Parameters!B$71 - IF(B25&gt;0,Parameters!$B$5,0)*B25^2/E25*Parameters!B$71, 0.0001)</f>
        <v>0.22055571351166506</v>
      </c>
      <c r="F26" s="7">
        <f>(1-Parameters!$B$4)^Parameters!B$71*F25+C25*Parameters!B$71-Parameters!$B$5*C25^2/F25*Parameters!B$71</f>
        <v>0.72878703417175505</v>
      </c>
      <c r="G26" s="7">
        <f>(1-Parameters!$B$4)^Parameters!B$71*G25+D25*Parameters!B$71-Parameters!$B$5*D25^2/G25*Parameters!B$71</f>
        <v>3.6288217738897881</v>
      </c>
      <c r="H26" s="9">
        <f>MAX(H25 * (1-Parameters!$B$4) ^ Parameters!B$71 + (LN(1+EXP(Parameters!$B$21*(-B25+0.004)))/Parameters!$B$21 -0.004) * Parameters!B$71,0)</f>
        <v>1.4241368165448043E-2</v>
      </c>
      <c r="I26" s="23">
        <f>I25*(1+Parameters!$B$52)^Parameters!B$71</f>
        <v>8.6967712617582027</v>
      </c>
      <c r="J26" s="23">
        <f>J25*(1+Parameters!$B$54)^Parameters!B$71</f>
        <v>13.950187647846597</v>
      </c>
      <c r="K26" s="23">
        <f>I26*J26*EXP(-Parameters!$B$43*'6states'!A26)*(Parameters!$B$38/Parameters!$B$39*('6states'!E26+'6states'!H26)/Parameters!$E$25*(EXP(-Parameters!$B$39*Parameters!$E$25*'6states'!H26/('6states'!E26+'6states'!H26))-EXP(-Parameters!$B$39*Parameters!$E$25))  +  Parameters!$B$40*'6states'!E26)</f>
        <v>17.297656229744643</v>
      </c>
      <c r="L26" s="8">
        <f>L25+K26*Parameters!B$71</f>
        <v>2891.9547953040396</v>
      </c>
      <c r="M26" s="7">
        <f>L26*Parameters!$B$46</f>
        <v>1.7351728771824235</v>
      </c>
      <c r="N26" s="9">
        <f>EXP(-Parameters!$B$47/2*M26^2)</f>
        <v>0.97019442407117362</v>
      </c>
      <c r="O26" s="8">
        <f>MAX((Parameters!$B$63 + Parameters!$B$31*'6states'!A26 - '6states'!L26 + Parameters!$B$48/Parameters!$B$46)/Parameters!B$63,1)</f>
        <v>12.568904093919208</v>
      </c>
      <c r="P26" s="7">
        <f>Parameters!B$62*EXP(-Parameters!B$61*A26)</f>
        <v>0.2760572021534653</v>
      </c>
      <c r="Q26" s="7">
        <f>(1-Parameters!B$62)*O26^-Parameters!B$64</f>
        <v>0.38818635277098873</v>
      </c>
      <c r="R26" s="7">
        <f>Parameters!B$62*EXP(-Parameters!B$61*A26)+(1-Parameters!B$62)*O26^-Parameters!B$64</f>
        <v>0.66424355492445408</v>
      </c>
      <c r="S26" s="7">
        <f>1-R26/Parameters!$B$12</f>
        <v>0.66787822253777296</v>
      </c>
      <c r="T26" s="7">
        <f t="shared" si="0"/>
        <v>3.0109437798421159</v>
      </c>
      <c r="U26" s="7">
        <f>(Parameters!$B$19*(E26+Parameters!$B$20)^S26+Parameters!$B$18*F26^S26)^(1/S26)</f>
        <v>0.36194288085585324</v>
      </c>
      <c r="V26" s="7">
        <f>(Parameters!$B$10*G26^Parameters!$B$9+Parameters!$B$11*U26^Parameters!$B$9)^(Parameters!$B$7/Parameters!$B$9)*N26</f>
        <v>1.3872158728879063</v>
      </c>
      <c r="W26" s="7">
        <f>V26 - C26 - D26 - LN(1+EXP(Parameters!$B$21*B26))/Parameters!$B$21 - IF(B26&gt;0, 0,Parameters!$B$6*B26^2/E26)</f>
        <v>1.0845634458843194</v>
      </c>
      <c r="X26" s="7">
        <f>EXP(-Parameters!$B$56*A26)</f>
        <v>0.71734383973866223</v>
      </c>
      <c r="Y26" s="7">
        <f>IF(W26&gt;0,W26^(1-Parameters!$B$53)/(1-Parameters!$B$53)*X26*Parameters!$B$71,-10+W26*1000)</f>
        <v>-1.9921410826894301</v>
      </c>
      <c r="AA26" s="22">
        <f t="shared" si="15"/>
        <v>2.3651882116660543E-3</v>
      </c>
      <c r="AB26" s="22">
        <f t="shared" si="10"/>
        <v>-3.1922776512071788E-3</v>
      </c>
      <c r="AC26" s="22">
        <f t="shared" si="11"/>
        <v>2.0517734677816951E-4</v>
      </c>
      <c r="AD26" s="22">
        <f t="shared" si="7"/>
        <v>1.1353293079265105E-5</v>
      </c>
      <c r="AE26" s="22">
        <f t="shared" si="16"/>
        <v>2.2943812268998338E-4</v>
      </c>
      <c r="AF26" s="22">
        <f t="shared" si="12"/>
        <v>3.8495752874150024E-4</v>
      </c>
      <c r="AG26" s="22">
        <f t="shared" si="13"/>
        <v>-1.148190370811597E-5</v>
      </c>
      <c r="AH26" s="22">
        <f t="shared" si="8"/>
        <v>1.4416171147379609E-7</v>
      </c>
      <c r="AI26" s="22"/>
      <c r="AK26" s="9"/>
      <c r="AL26" s="9"/>
      <c r="AM26" s="23">
        <f t="shared" si="1"/>
        <v>1.7277854443035856</v>
      </c>
      <c r="AN26" s="23">
        <f t="shared" si="2"/>
        <v>26.758170074416984</v>
      </c>
      <c r="AO26" s="23">
        <f t="shared" si="3"/>
        <v>43.911486168111146</v>
      </c>
      <c r="AP26" s="8">
        <f t="shared" si="4"/>
        <v>168.29923680350356</v>
      </c>
      <c r="AQ26" s="22">
        <f>-X26*V26*W26^(-Parameters!B$53)*Parameters!B$47*Parameters!B$46*M26</f>
        <v>-1.8662390863220674E-5</v>
      </c>
      <c r="AR26" s="7">
        <f>1000*EXP(-(Parameters!$B$55)*'6states'!A26)*AP26*Parameters!B$47*Parameters!B$46*M26</f>
        <v>1.6270841180585813</v>
      </c>
      <c r="AS26" s="7">
        <f>SUM(AR26:AR$204)*EXP(Parameters!$B$55*A26)</f>
        <v>285.43885315486779</v>
      </c>
      <c r="AT26" s="13">
        <f t="shared" si="17"/>
        <v>0.21710683217719975</v>
      </c>
      <c r="AU26">
        <f>(1/$S26-1/Parameters!$B$13) * LN(Parameters!$B$18) / LN(O26)</f>
        <v>0.23659722245168557</v>
      </c>
      <c r="AV26">
        <f>(Parameters!$B$18*'6states'!S26^+Parameters!$B$19*Parameters!$B$25^'6states'!S26)^((1-'6states'!S26)/'6states'!S26)*Parameters!$B$18*Parameters!$B$26^('6states'!S26-1)</f>
        <v>0.25234266904323965</v>
      </c>
      <c r="AW26">
        <f t="shared" si="9"/>
        <v>0.26290579361198407</v>
      </c>
      <c r="AX26">
        <f t="shared" si="14"/>
        <v>0.15125517528951837</v>
      </c>
      <c r="AY26">
        <f t="shared" si="14"/>
        <v>0.16046793646305679</v>
      </c>
      <c r="AZ26">
        <f>(1/$S26-1/Parameters!$B$13) * LN(Parameters!$B$18) / A26</f>
        <v>2.7221863720532317E-2</v>
      </c>
    </row>
    <row r="27" spans="1:52" x14ac:dyDescent="0.25">
      <c r="A27">
        <f>A26+Parameters!$B$71</f>
        <v>23</v>
      </c>
      <c r="B27" s="42">
        <f>B26+(B28-B26)/2</f>
        <v>1.74377372032706E-3</v>
      </c>
      <c r="C27" s="42">
        <f t="shared" ref="C27" si="19">C26+(C28-C26)/2</f>
        <v>8.4537067092583351E-2</v>
      </c>
      <c r="D27" s="42">
        <f t="shared" ref="D27" si="20">D26+(D28-D26)/2</f>
        <v>0.21534567000183405</v>
      </c>
      <c r="E27" s="7">
        <f>MAX((1-Parameters!$B$4)^Parameters!B$71*E26 + B26*Parameters!B$71 - IF(B26&gt;0,Parameters!$B$5,0)*B26^2/E26*Parameters!B$71, 0.0001)</f>
        <v>0.20860924308823606</v>
      </c>
      <c r="F27" s="7">
        <f>(1-Parameters!$B$4)^Parameters!B$71*F26+C26*Parameters!B$71-Parameters!$B$5*C26^2/F26*Parameters!B$71</f>
        <v>0.75703082410141009</v>
      </c>
      <c r="G27" s="7">
        <f>(1-Parameters!$B$4)^Parameters!B$71*G26+D26*Parameters!B$71-Parameters!$B$5*D26^2/G26*Parameters!B$71</f>
        <v>3.6033011761845413</v>
      </c>
      <c r="H27" s="9">
        <f>MAX(H26 * (1-Parameters!$B$4) ^ Parameters!B$71 + (LN(1+EXP(Parameters!$B$21*(-B26+0.004)))/Parameters!$B$21 -0.004) * Parameters!B$71,0)</f>
        <v>1.2840395660937304E-2</v>
      </c>
      <c r="I27" s="23">
        <f>I26*(1+Parameters!$B$52)^Parameters!B$71</f>
        <v>8.7219918984173006</v>
      </c>
      <c r="J27" s="23">
        <f>J26*(1+Parameters!$B$54)^Parameters!B$71</f>
        <v>14.229191400803529</v>
      </c>
      <c r="K27" s="23">
        <f>I27*J27*EXP(-Parameters!$B$43*'6states'!A27)*(Parameters!$B$38/Parameters!$B$39*('6states'!E27+'6states'!H27)/Parameters!$E$25*(EXP(-Parameters!$B$39*Parameters!$E$25*'6states'!H27/('6states'!E27+'6states'!H27))-EXP(-Parameters!$B$39*Parameters!$E$25))  +  Parameters!$B$40*'6states'!E27)</f>
        <v>16.596598667404646</v>
      </c>
      <c r="L27" s="8">
        <f>L26+K27*Parameters!B$71</f>
        <v>2908.5513939714442</v>
      </c>
      <c r="M27" s="7">
        <f>L27*Parameters!$B$46</f>
        <v>1.7451308363828664</v>
      </c>
      <c r="N27" s="9">
        <f>EXP(-Parameters!$B$47/2*M27^2)</f>
        <v>0.96985656413682264</v>
      </c>
      <c r="O27" s="8">
        <f>MAX((Parameters!$B$63 + Parameters!$B$31*'6states'!A27 - '6states'!L27 + Parameters!$B$48/Parameters!$B$46)/Parameters!B$63,1)</f>
        <v>13.300972120571119</v>
      </c>
      <c r="P27" s="7">
        <f>Parameters!B$62*EXP(-Parameters!B$61*A27)</f>
        <v>0.26870338101983182</v>
      </c>
      <c r="Q27" s="7">
        <f>(1-Parameters!B$62)*O27^-Parameters!B$64</f>
        <v>0.38599498841097979</v>
      </c>
      <c r="R27" s="7">
        <f>Parameters!B$62*EXP(-Parameters!B$61*A27)+(1-Parameters!B$62)*O27^-Parameters!B$64</f>
        <v>0.65469836943081161</v>
      </c>
      <c r="S27" s="7">
        <f>1-R27/Parameters!$B$12</f>
        <v>0.67265081528459425</v>
      </c>
      <c r="T27" s="7">
        <f t="shared" si="0"/>
        <v>3.0548418835055</v>
      </c>
      <c r="U27" s="7">
        <f>(Parameters!$B$19*(E27+Parameters!$B$20)^S27+Parameters!$B$18*F27^S27)^(1/S27)</f>
        <v>0.35928131574495809</v>
      </c>
      <c r="V27" s="7">
        <f>(Parameters!$B$10*G27^Parameters!$B$9+Parameters!$B$11*U27^Parameters!$B$9)^(Parameters!$B$7/Parameters!$B$9)*N27</f>
        <v>1.3837566166506017</v>
      </c>
      <c r="W27" s="7">
        <f>V27 - C27 - D27 - LN(1+EXP(Parameters!$B$21*B27))/Parameters!$B$21 - IF(B27&gt;0, 0,Parameters!$B$6*B27^2/E27)</f>
        <v>1.0805787510880334</v>
      </c>
      <c r="X27" s="7">
        <f>EXP(-Parameters!$B$56*A27)</f>
        <v>0.70659331846233153</v>
      </c>
      <c r="Y27" s="7">
        <f>IF(W27&gt;0,W27^(1-Parameters!$B$53)/(1-Parameters!$B$53)*X27*Parameters!$B$71,-10+W27*1000)</f>
        <v>-1.9648153120286738</v>
      </c>
      <c r="AA27" s="22">
        <f t="shared" si="15"/>
        <v>-4.5329560956663614E-4</v>
      </c>
      <c r="AB27" s="22">
        <f t="shared" si="10"/>
        <v>-3.174307493955475E-3</v>
      </c>
      <c r="AC27" s="22">
        <f t="shared" si="11"/>
        <v>3.6842123372516494E-4</v>
      </c>
      <c r="AD27" s="22">
        <f t="shared" si="7"/>
        <v>7.360892920989934E-6</v>
      </c>
      <c r="AE27" s="22">
        <f t="shared" si="16"/>
        <v>-2.8184838212326905E-3</v>
      </c>
      <c r="AF27" s="22">
        <f t="shared" si="12"/>
        <v>1.7970157251703811E-5</v>
      </c>
      <c r="AG27" s="22">
        <f t="shared" si="13"/>
        <v>1.6324388694699543E-4</v>
      </c>
      <c r="AH27" s="22">
        <f t="shared" si="8"/>
        <v>5.6321299520468774E-6</v>
      </c>
      <c r="AI27" s="22"/>
      <c r="AK27" s="9"/>
      <c r="AL27" s="9"/>
      <c r="AM27" s="23">
        <f t="shared" si="1"/>
        <v>1.5935815990551352</v>
      </c>
      <c r="AN27" s="23">
        <f t="shared" si="2"/>
        <v>25.88984482694406</v>
      </c>
      <c r="AO27" s="23">
        <f t="shared" si="3"/>
        <v>44.589287493473506</v>
      </c>
      <c r="AP27" s="8">
        <f t="shared" si="4"/>
        <v>171.73373314138379</v>
      </c>
      <c r="AQ27" s="22">
        <f>-X27*V27*W27^(-Parameters!B$53)*Parameters!B$47*Parameters!B$46*M27</f>
        <v>-1.8533966174246474E-5</v>
      </c>
      <c r="AR27" s="7">
        <f>1000*EXP(-(Parameters!$B$55)*'6states'!A27)*AP27*Parameters!B$47*Parameters!B$46*M27</f>
        <v>1.6122224925350088</v>
      </c>
      <c r="AS27" s="7">
        <f>SUM(AR27:AR$204)*EXP(Parameters!$B$55*A27)</f>
        <v>291.98799071445325</v>
      </c>
      <c r="AT27" s="13">
        <f t="shared" si="17"/>
        <v>0.21797656263052587</v>
      </c>
      <c r="AU27">
        <f>(1/$S27-1/Parameters!$B$13) * LN(Parameters!$B$18) / LN(O27)</f>
        <v>0.23631183816489121</v>
      </c>
      <c r="AV27">
        <f>(Parameters!$B$18*'6states'!S27^+Parameters!$B$19*Parameters!$B$25^'6states'!S27)^((1-'6states'!S27)/'6states'!S27)*Parameters!$B$18*Parameters!$B$26^('6states'!S27-1)</f>
        <v>0.25492992308080464</v>
      </c>
      <c r="AW27">
        <f t="shared" si="9"/>
        <v>0.26109628956907754</v>
      </c>
      <c r="AX27">
        <f t="shared" si="14"/>
        <v>0.15108726565636632</v>
      </c>
      <c r="AY27">
        <f t="shared" si="14"/>
        <v>0.16197216027568861</v>
      </c>
      <c r="AZ27">
        <f>(1/$S27-1/Parameters!$B$13) * LN(Parameters!$B$18) / A27</f>
        <v>2.6588545553109053E-2</v>
      </c>
    </row>
    <row r="28" spans="1:52" x14ac:dyDescent="0.25">
      <c r="A28">
        <f>A27+Parameters!$B$71</f>
        <v>24</v>
      </c>
      <c r="B28" s="20">
        <v>1.5439357187685876E-3</v>
      </c>
      <c r="C28" s="20">
        <v>8.5377635889278616E-2</v>
      </c>
      <c r="D28" s="20">
        <v>0.21515740631281938</v>
      </c>
      <c r="E28" s="7">
        <f>MAX((1-Parameters!$B$4)^Parameters!B$71*E27 + B27*Parameters!B$71 - IF(B27&gt;0,Parameters!$B$5,0)*B27^2/E27*Parameters!B$71, 0.0001)</f>
        <v>0.19721691913807404</v>
      </c>
      <c r="F28" s="7">
        <f>(1-Parameters!$B$4)^Parameters!B$71*F27+C27*Parameters!B$71-Parameters!$B$5*C27^2/F27*Parameters!B$71</f>
        <v>0.78451046117280276</v>
      </c>
      <c r="G28" s="7">
        <f>(1-Parameters!$B$4)^Parameters!B$71*G27+D27*Parameters!B$71-Parameters!$B$5*D27^2/G27*Parameters!B$71</f>
        <v>3.5791294043936719</v>
      </c>
      <c r="H28" s="9">
        <f>MAX(H27 * (1-Parameters!$B$4) ^ Parameters!B$71 + (LN(1+EXP(Parameters!$B$21*(-B27+0.004)))/Parameters!$B$21 -0.004) * Parameters!B$71,0)</f>
        <v>1.1658697851999786E-2</v>
      </c>
      <c r="I28" s="23">
        <f>I27*(1+Parameters!$B$52)^Parameters!B$71</f>
        <v>8.7472856749227095</v>
      </c>
      <c r="J28" s="23">
        <f>J27*(1+Parameters!$B$54)^Parameters!B$71</f>
        <v>14.5137752288196</v>
      </c>
      <c r="K28" s="23">
        <f>I28*J28*EXP(-Parameters!$B$43*'6states'!A28)*(Parameters!$B$38/Parameters!$B$39*('6states'!E28+'6states'!H28)/Parameters!$E$25*(EXP(-Parameters!$B$39*Parameters!$E$25*'6states'!H28/('6states'!E28+'6states'!H28))-EXP(-Parameters!$B$39*Parameters!$E$25))  +  Parameters!$B$40*'6states'!E28)</f>
        <v>15.913830189969003</v>
      </c>
      <c r="L28" s="8">
        <f>L27+K28*Parameters!B$71</f>
        <v>2924.4652241614131</v>
      </c>
      <c r="M28" s="7">
        <f>L28*Parameters!$B$46</f>
        <v>1.7546791344968478</v>
      </c>
      <c r="N28" s="9">
        <f>EXP(-Parameters!$B$47/2*M28^2)</f>
        <v>0.96953089914165203</v>
      </c>
      <c r="O28" s="8">
        <f>MAX((Parameters!$B$63 + Parameters!$B$31*'6states'!A28 - '6states'!L28 + Parameters!$B$48/Parameters!$B$46)/Parameters!B$63,1)</f>
        <v>14.046695516771742</v>
      </c>
      <c r="P28" s="7">
        <f>Parameters!B$62*EXP(-Parameters!B$61*A28)</f>
        <v>0.26154545655125039</v>
      </c>
      <c r="Q28" s="7">
        <f>(1-Parameters!B$62)*O28^-Parameters!B$64</f>
        <v>0.38389511646116042</v>
      </c>
      <c r="R28" s="7">
        <f>Parameters!B$62*EXP(-Parameters!B$61*A28)+(1-Parameters!B$62)*O28^-Parameters!B$64</f>
        <v>0.64544057301241087</v>
      </c>
      <c r="S28" s="7">
        <f>1-R28/Parameters!$B$12</f>
        <v>0.67727971349379457</v>
      </c>
      <c r="T28" s="7">
        <f t="shared" si="0"/>
        <v>3.098658627339721</v>
      </c>
      <c r="U28" s="7">
        <f>(Parameters!$B$19*(E28+Parameters!$B$20)^S28+Parameters!$B$18*F28^S28)^(1/S28)</f>
        <v>0.35673258849367084</v>
      </c>
      <c r="V28" s="7">
        <f>(Parameters!$B$10*G28^Parameters!$B$9+Parameters!$B$11*U28^Parameters!$B$9)^(Parameters!$B$7/Parameters!$B$9)*N28</f>
        <v>1.3804497472075814</v>
      </c>
      <c r="W28" s="7">
        <f>V28 - C28 - D28 - LN(1+EXP(Parameters!$B$21*B28))/Parameters!$B$21 - IF(B28&gt;0, 0,Parameters!$B$6*B28^2/E28)</f>
        <v>1.0767436442022527</v>
      </c>
      <c r="X28" s="7">
        <f>EXP(-Parameters!$B$56*A28)</f>
        <v>0.69600391058979738</v>
      </c>
      <c r="Y28" s="7">
        <f>IF(W28&gt;0,W28^(1-Parameters!$B$53)/(1-Parameters!$B$53)*X28*Parameters!$B$71,-10+W28*1000)</f>
        <v>-1.9377793543412998</v>
      </c>
      <c r="AA28" s="22">
        <f t="shared" si="15"/>
        <v>-5.3042645370750957E-4</v>
      </c>
      <c r="AB28" s="22">
        <f t="shared" si="10"/>
        <v>-2.8400663534895176E-3</v>
      </c>
      <c r="AC28" s="22">
        <f t="shared" si="11"/>
        <v>3.5101399746047951E-4</v>
      </c>
      <c r="AD28" s="22">
        <f t="shared" si="7"/>
        <v>5.8955289240417664E-6</v>
      </c>
      <c r="AE28" s="22">
        <f t="shared" si="16"/>
        <v>-7.7130844140873428E-5</v>
      </c>
      <c r="AF28" s="22">
        <f t="shared" si="12"/>
        <v>3.3424114046595732E-4</v>
      </c>
      <c r="AG28" s="22">
        <f t="shared" si="13"/>
        <v>-1.7407236264685433E-5</v>
      </c>
      <c r="AH28" s="22">
        <f t="shared" si="8"/>
        <v>8.2107107334295687E-8</v>
      </c>
      <c r="AI28" s="22"/>
      <c r="AK28" s="9"/>
      <c r="AL28" s="9"/>
      <c r="AM28" s="23">
        <f t="shared" si="1"/>
        <v>1.4801432551254621</v>
      </c>
      <c r="AN28" s="23">
        <f t="shared" si="2"/>
        <v>25.037898431236343</v>
      </c>
      <c r="AO28" s="23">
        <f t="shared" si="3"/>
        <v>45.289391786732409</v>
      </c>
      <c r="AP28" s="8">
        <f t="shared" si="4"/>
        <v>175.25656881299787</v>
      </c>
      <c r="AQ28" s="22">
        <f>-X28*V28*W28^(-Parameters!B$53)*Parameters!B$47*Parameters!B$46*M28</f>
        <v>-1.8400332591342189E-5</v>
      </c>
      <c r="AR28" s="7">
        <f>1000*EXP(-(Parameters!$B$55)*'6states'!A28)*AP28*Parameters!B$47*Parameters!B$46*M28</f>
        <v>1.5972380692461163</v>
      </c>
      <c r="AS28" s="7">
        <f>SUM(AR28:AR$204)*EXP(Parameters!$B$55*A28)</f>
        <v>298.67528577811731</v>
      </c>
      <c r="AT28" s="13">
        <f t="shared" si="17"/>
        <v>0.21882649370751941</v>
      </c>
      <c r="AU28">
        <f>(1/$S28-1/Parameters!$B$13) * LN(Parameters!$B$18) / LN(O28)</f>
        <v>0.23601411541727516</v>
      </c>
      <c r="AV28">
        <f>(Parameters!$B$18*'6states'!S28^+Parameters!$B$19*Parameters!$B$25^'6states'!S28)^((1-'6states'!S28)/'6states'!S28)*Parameters!$B$18*Parameters!$B$26^('6states'!S28-1)</f>
        <v>0.25738076232781815</v>
      </c>
      <c r="AW28">
        <f t="shared" si="9"/>
        <v>0.25932707213282169</v>
      </c>
      <c r="AX28">
        <f t="shared" si="14"/>
        <v>0.15091206112257249</v>
      </c>
      <c r="AY28">
        <f t="shared" si="14"/>
        <v>0.16339458698293152</v>
      </c>
      <c r="AZ28">
        <f>(1/$S28-1/Parameters!$B$13) * LN(Parameters!$B$18) / A28</f>
        <v>2.5985027973448305E-2</v>
      </c>
    </row>
    <row r="29" spans="1:52" x14ac:dyDescent="0.25">
      <c r="A29">
        <f>A28+Parameters!$B$71</f>
        <v>25</v>
      </c>
      <c r="B29" s="42">
        <f>B28+(B30-B28)/2</f>
        <v>1.3257325972175333E-3</v>
      </c>
      <c r="C29" s="42">
        <f t="shared" ref="C29" si="21">C28+(C30-C28)/2</f>
        <v>8.6032154223775206E-2</v>
      </c>
      <c r="D29" s="42">
        <f t="shared" ref="D29" si="22">D28+(D30-D28)/2</f>
        <v>0.21496034760573893</v>
      </c>
      <c r="E29" s="7">
        <f>MAX((1-Parameters!$B$4)^Parameters!B$71*E28 + B28*Parameters!B$71 - IF(B28&gt;0,Parameters!$B$5,0)*B28^2/E28*Parameters!B$71, 0.0001)</f>
        <v>0.18634382376169839</v>
      </c>
      <c r="F29" s="7">
        <f>(1-Parameters!$B$4)^Parameters!B$71*F28+C28*Parameters!B$71-Parameters!$B$5*C28^2/F28*Parameters!B$71</f>
        <v>0.8112508103299888</v>
      </c>
      <c r="G29" s="7">
        <f>(1-Parameters!$B$4)^Parameters!B$71*G28+D28*Parameters!B$71-Parameters!$B$5*D28^2/G28*Parameters!B$71</f>
        <v>3.5562255013836523</v>
      </c>
      <c r="H29" s="9">
        <f>MAX(H28 * (1-Parameters!$B$4) ^ Parameters!B$71 + (LN(1+EXP(Parameters!$B$21*(-B28+0.004)))/Parameters!$B$21 -0.004) * Parameters!B$71,0)</f>
        <v>1.0685158764180261E-2</v>
      </c>
      <c r="I29" s="23">
        <f>I28*(1+Parameters!$B$52)^Parameters!B$71</f>
        <v>8.7726528033799838</v>
      </c>
      <c r="J29" s="23">
        <f>J28*(1+Parameters!$B$54)^Parameters!B$71</f>
        <v>14.804050733395993</v>
      </c>
      <c r="K29" s="23">
        <f>I29*J29*EXP(-Parameters!$B$43*'6states'!A29)*(Parameters!$B$38/Parameters!$B$39*('6states'!E29+'6states'!H29)/Parameters!$E$25*(EXP(-Parameters!$B$39*Parameters!$E$25*'6states'!H29/('6states'!E29+'6states'!H29))-EXP(-Parameters!$B$39*Parameters!$E$25))  +  Parameters!$B$40*'6states'!E29)</f>
        <v>15.246108206639054</v>
      </c>
      <c r="L29" s="8">
        <f>L28+K29*Parameters!B$71</f>
        <v>2939.7113323680519</v>
      </c>
      <c r="M29" s="7">
        <f>L29*Parameters!$B$46</f>
        <v>1.763826799420831</v>
      </c>
      <c r="N29" s="9">
        <f>EXP(-Parameters!$B$47/2*M29^2)</f>
        <v>0.96921733527330145</v>
      </c>
      <c r="O29" s="8">
        <f>MAX((Parameters!$B$63 + Parameters!$B$31*'6states'!A29 - '6states'!L29 + Parameters!$B$48/Parameters!$B$46)/Parameters!B$63,1)</f>
        <v>14.805773352638962</v>
      </c>
      <c r="P29" s="7">
        <f>Parameters!B$62*EXP(-Parameters!B$61*A29)</f>
        <v>0.25457821030377459</v>
      </c>
      <c r="Q29" s="7">
        <f>(1-Parameters!B$62)*O29^-Parameters!B$64</f>
        <v>0.38187998307602838</v>
      </c>
      <c r="R29" s="7">
        <f>Parameters!B$62*EXP(-Parameters!B$61*A29)+(1-Parameters!B$62)*O29^-Parameters!B$64</f>
        <v>0.63645819337980303</v>
      </c>
      <c r="S29" s="7">
        <f>1-R29/Parameters!$B$12</f>
        <v>0.68177090331009849</v>
      </c>
      <c r="T29" s="7">
        <f t="shared" si="0"/>
        <v>3.1423902163618007</v>
      </c>
      <c r="U29" s="7">
        <f>(Parameters!$B$19*(E29+Parameters!$B$20)^S29+Parameters!$B$18*F29^S29)^(1/S29)</f>
        <v>0.35429592848318014</v>
      </c>
      <c r="V29" s="7">
        <f>(Parameters!$B$10*G29^Parameters!$B$9+Parameters!$B$11*U29^Parameters!$B$9)^(Parameters!$B$7/Parameters!$B$9)*N29</f>
        <v>1.3772901610008546</v>
      </c>
      <c r="W29" s="7">
        <f>V29 - C29 - D29 - LN(1+EXP(Parameters!$B$21*B29))/Parameters!$B$21 - IF(B29&gt;0, 0,Parameters!$B$6*B29^2/E29)</f>
        <v>1.0732588233812599</v>
      </c>
      <c r="X29" s="7">
        <f>EXP(-Parameters!$B$56*A29)</f>
        <v>0.68557320158429325</v>
      </c>
      <c r="Y29" s="7">
        <f>IF(W29&gt;0,W29^(1-Parameters!$B$53)/(1-Parameters!$B$53)*X29*Parameters!$B$71,-10+W29*1000)</f>
        <v>-1.9109055645288131</v>
      </c>
      <c r="AA29" s="22">
        <f t="shared" si="15"/>
        <v>-7.1417350974643454E-4</v>
      </c>
      <c r="AB29" s="22">
        <f t="shared" si="10"/>
        <v>-2.7804127930659006E-3</v>
      </c>
      <c r="AC29" s="22">
        <f t="shared" si="11"/>
        <v>3.3175536623377549E-4</v>
      </c>
      <c r="AD29" s="22">
        <f t="shared" si="7"/>
        <v>5.7250851887573098E-6</v>
      </c>
      <c r="AE29" s="22">
        <f t="shared" si="16"/>
        <v>-1.8374705603892497E-4</v>
      </c>
      <c r="AF29" s="22">
        <f t="shared" si="12"/>
        <v>5.9653560423617025E-5</v>
      </c>
      <c r="AG29" s="22">
        <f t="shared" si="13"/>
        <v>-1.9258631226704015E-5</v>
      </c>
      <c r="AH29" s="22">
        <f t="shared" si="8"/>
        <v>2.5840914940811494E-8</v>
      </c>
      <c r="AI29" s="22"/>
      <c r="AK29" s="9"/>
      <c r="AL29" s="9"/>
      <c r="AM29" s="23">
        <f t="shared" si="1"/>
        <v>1.3876900865675894</v>
      </c>
      <c r="AN29" s="23">
        <f t="shared" si="2"/>
        <v>24.200620939210257</v>
      </c>
      <c r="AO29" s="23">
        <f t="shared" si="3"/>
        <v>46.012694665383108</v>
      </c>
      <c r="AP29" s="8">
        <f t="shared" si="4"/>
        <v>178.86977114041895</v>
      </c>
      <c r="AQ29" s="22">
        <f>-X29*V29*W29^(-Parameters!B$53)*Parameters!B$47*Parameters!B$46*M29</f>
        <v>-1.8257087275589101E-5</v>
      </c>
      <c r="AR29" s="7">
        <f>1000*EXP(-(Parameters!$B$55)*'6states'!A29)*AP29*Parameters!B$47*Parameters!B$46*M29</f>
        <v>1.5821468401381216</v>
      </c>
      <c r="AS29" s="7">
        <f>SUM(AR29:AR$204)*EXP(Parameters!$B$55*A29)</f>
        <v>305.50377956713652</v>
      </c>
      <c r="AT29" s="13">
        <f t="shared" si="17"/>
        <v>0.21950221020023977</v>
      </c>
      <c r="AU29">
        <f>(1/$S29-1/Parameters!$B$13) * LN(Parameters!$B$18) / LN(O29)</f>
        <v>0.23570447015046481</v>
      </c>
      <c r="AV29">
        <f>(Parameters!$B$18*'6states'!S29^+Parameters!$B$19*Parameters!$B$25^'6states'!S29)^((1-'6states'!S29)/'6states'!S29)*Parameters!$B$18*Parameters!$B$26^('6states'!S29-1)</f>
        <v>0.25970341351535986</v>
      </c>
      <c r="AW29">
        <f t="shared" si="9"/>
        <v>0.25759621826796175</v>
      </c>
      <c r="AX29">
        <f t="shared" si="14"/>
        <v>0.15072980203749298</v>
      </c>
      <c r="AY29">
        <f t="shared" si="14"/>
        <v>0.1647403871482318</v>
      </c>
      <c r="AZ29">
        <f>(1/$S29-1/Parameters!$B$13) * LN(Parameters!$B$18) / A29</f>
        <v>2.5409104010113669E-2</v>
      </c>
    </row>
    <row r="30" spans="1:52" x14ac:dyDescent="0.25">
      <c r="A30">
        <f>A29+Parameters!$B$71</f>
        <v>26</v>
      </c>
      <c r="B30" s="20">
        <v>1.1075294756664788E-3</v>
      </c>
      <c r="C30" s="20">
        <v>8.6686672558271796E-2</v>
      </c>
      <c r="D30" s="20">
        <v>0.21476328889865848</v>
      </c>
      <c r="E30" s="7">
        <f>MAX((1-Parameters!$B$4)^Parameters!B$71*E29 + B29*Parameters!B$71 - IF(B29&gt;0,Parameters!$B$5,0)*B29^2/E29*Parameters!B$71, 0.0001)</f>
        <v>0.17593909799470661</v>
      </c>
      <c r="F30" s="7">
        <f>(1-Parameters!$B$4)^Parameters!B$71*F29+C29*Parameters!B$71-Parameters!$B$5*C29^2/F29*Parameters!B$71</f>
        <v>0.83713168406351091</v>
      </c>
      <c r="G30" s="7">
        <f>(1-Parameters!$B$4)^Parameters!B$71*G29+D29*Parameters!B$71-Parameters!$B$5*D29^2/G29*Parameters!B$71</f>
        <v>3.5345057269934195</v>
      </c>
      <c r="H30" s="9">
        <f>MAX(H29 * (1-Parameters!$B$4) ^ Parameters!B$71 + (LN(1+EXP(Parameters!$B$21*(-B29+0.004)))/Parameters!$B$21 -0.004) * Parameters!B$71,0)</f>
        <v>9.9219773315006952E-3</v>
      </c>
      <c r="I30" s="23">
        <f>I29*(1+Parameters!$B$52)^Parameters!B$71</f>
        <v>8.7980934965097841</v>
      </c>
      <c r="J30" s="23">
        <f>J29*(1+Parameters!$B$54)^Parameters!B$71</f>
        <v>15.100131748063912</v>
      </c>
      <c r="K30" s="23">
        <f>I30*J30*EXP(-Parameters!$B$43*'6states'!A30)*(Parameters!$B$38/Parameters!$B$39*('6states'!E30+'6states'!H30)/Parameters!$E$25*(EXP(-Parameters!$B$39*Parameters!$E$25*'6states'!H30/('6states'!E30+'6states'!H30))-EXP(-Parameters!$B$39*Parameters!$E$25))  +  Parameters!$B$40*'6states'!E30)</f>
        <v>14.58820039152007</v>
      </c>
      <c r="L30" s="8">
        <f>L29+K30*Parameters!B$71</f>
        <v>2954.2995327595718</v>
      </c>
      <c r="M30" s="7">
        <f>L30*Parameters!$B$46</f>
        <v>1.7725797196557429</v>
      </c>
      <c r="N30" s="9">
        <f>EXP(-Parameters!$B$47/2*M30^2)</f>
        <v>0.9689158717028945</v>
      </c>
      <c r="O30" s="8">
        <f>MAX((Parameters!$B$63 + Parameters!$B$31*'6states'!A30 - '6states'!L30 + Parameters!$B$48/Parameters!$B$46)/Parameters!B$63,1)</f>
        <v>15.578009344808565</v>
      </c>
      <c r="P30" s="7">
        <f>Parameters!B$62*EXP(-Parameters!B$61*A30)</f>
        <v>0.24779656284632573</v>
      </c>
      <c r="Q30" s="7">
        <f>(1-Parameters!B$62)*O30^-Parameters!B$64</f>
        <v>0.37994331562482658</v>
      </c>
      <c r="R30" s="7">
        <f>Parameters!B$62*EXP(-Parameters!B$61*A30)+(1-Parameters!B$62)*O30^-Parameters!B$64</f>
        <v>0.62773987847115231</v>
      </c>
      <c r="S30" s="7">
        <f>1-R30/Parameters!$B$12</f>
        <v>0.68613006076442384</v>
      </c>
      <c r="T30" s="7">
        <f t="shared" si="0"/>
        <v>3.1860330506179713</v>
      </c>
      <c r="U30" s="7">
        <f>(Parameters!$B$19*(E30+Parameters!$B$20)^S30+Parameters!$B$18*F30^S30)^(1/S30)</f>
        <v>0.35192024090339602</v>
      </c>
      <c r="V30" s="7">
        <f>(Parameters!$B$10*G30^Parameters!$B$9+Parameters!$B$11*U30^Parameters!$B$9)^(Parameters!$B$7/Parameters!$B$9)*N30</f>
        <v>1.3742534583527135</v>
      </c>
      <c r="W30" s="7">
        <f>V30 - C30 - D30 - LN(1+EXP(Parameters!$B$21*B30))/Parameters!$B$21 - IF(B30&gt;0, 0,Parameters!$B$6*B30^2/E30)</f>
        <v>1.0698934532885116</v>
      </c>
      <c r="X30" s="7">
        <f>EXP(-Parameters!$B$56*A30)</f>
        <v>0.67529881309466844</v>
      </c>
      <c r="Y30" s="7">
        <f>IF(W30&gt;0,W30^(1-Parameters!$B$53)/(1-Parameters!$B$53)*X30*Parameters!$B$71,-10+W30*1000)</f>
        <v>-1.8843377840796061</v>
      </c>
      <c r="AA30" s="22">
        <f t="shared" si="15"/>
        <v>-8.1948407185904008E-4</v>
      </c>
      <c r="AB30" s="22">
        <f t="shared" si="10"/>
        <v>-2.4967596460166441E-3</v>
      </c>
      <c r="AC30" s="22">
        <f t="shared" si="11"/>
        <v>3.1569316540161485E-4</v>
      </c>
      <c r="AD30" s="22">
        <f t="shared" si="7"/>
        <v>4.7304851010781861E-6</v>
      </c>
      <c r="AE30" s="22">
        <f t="shared" si="16"/>
        <v>-1.0531056211260555E-4</v>
      </c>
      <c r="AF30" s="22">
        <f t="shared" si="12"/>
        <v>2.8365314704925648E-4</v>
      </c>
      <c r="AG30" s="22">
        <f t="shared" si="13"/>
        <v>-1.6062200832160645E-5</v>
      </c>
      <c r="AH30" s="22">
        <f t="shared" si="8"/>
        <v>6.1997439476093529E-8</v>
      </c>
      <c r="AI30" s="22"/>
      <c r="AK30" s="9"/>
      <c r="AL30" s="9"/>
      <c r="AM30" s="23">
        <f t="shared" si="1"/>
        <v>1.3181582127944738</v>
      </c>
      <c r="AN30" s="23">
        <f t="shared" si="2"/>
        <v>23.373926307720875</v>
      </c>
      <c r="AO30" s="23">
        <f t="shared" si="3"/>
        <v>46.753438381949877</v>
      </c>
      <c r="AP30" s="8">
        <f t="shared" si="4"/>
        <v>182.57283019964848</v>
      </c>
      <c r="AQ30" s="22">
        <f>-X30*V30*W30^(-Parameters!B$53)*Parameters!B$47*Parameters!B$46*M30</f>
        <v>-1.810948889386585E-5</v>
      </c>
      <c r="AR30" s="7">
        <f>1000*EXP(-(Parameters!$B$55)*'6states'!A30)*AP30*Parameters!B$47*Parameters!B$46*M30</f>
        <v>1.5669389919022045</v>
      </c>
      <c r="AS30" s="7">
        <f>SUM(AR30:AR$204)*EXP(Parameters!$B$55*A30)</f>
        <v>312.47657958118384</v>
      </c>
      <c r="AT30" s="13">
        <f t="shared" si="17"/>
        <v>0.22016134585192573</v>
      </c>
      <c r="AU30">
        <f>(1/$S30-1/Parameters!$B$13) * LN(Parameters!$B$18) / LN(O30)</f>
        <v>0.23538300156398159</v>
      </c>
      <c r="AV30">
        <f>(Parameters!$B$18*'6states'!S30^+Parameters!$B$19*Parameters!$B$25^'6states'!S30)^((1-'6states'!S30)/'6states'!S30)*Parameters!$B$18*Parameters!$B$26^('6states'!S30-1)</f>
        <v>0.26190557959003335</v>
      </c>
      <c r="AW30">
        <f t="shared" si="9"/>
        <v>0.25590159864335299</v>
      </c>
      <c r="AX30">
        <f t="shared" si="14"/>
        <v>0.15054054228283531</v>
      </c>
      <c r="AY30">
        <f t="shared" si="14"/>
        <v>0.1660143759030257</v>
      </c>
      <c r="AZ30">
        <f>(1/$S30-1/Parameters!$B$13) * LN(Parameters!$B$18) / A30</f>
        <v>2.4858801170455826E-2</v>
      </c>
    </row>
    <row r="31" spans="1:52" x14ac:dyDescent="0.25">
      <c r="A31">
        <f>A30+Parameters!$B$71</f>
        <v>27</v>
      </c>
      <c r="B31" s="42">
        <f>B30+(B32-B30)/2</f>
        <v>1.0966744174482042E-3</v>
      </c>
      <c r="C31" s="42">
        <f t="shared" ref="C31" si="23">C30+(C32-C30)/2</f>
        <v>8.7206922203845461E-2</v>
      </c>
      <c r="D31" s="42">
        <f t="shared" ref="D31" si="24">D30+(D32-D30)/2</f>
        <v>0.2145840895701138</v>
      </c>
      <c r="E31" s="7">
        <f>MAX((1-Parameters!$B$4)^Parameters!B$71*E30 + B30*Parameters!B$71 - IF(B30&gt;0,Parameters!$B$5,0)*B30^2/E30*Parameters!B$71, 0.0001)</f>
        <v>0.16597308635344182</v>
      </c>
      <c r="F31" s="7">
        <f>(1-Parameters!$B$4)^Parameters!B$71*F30+C30*Parameters!B$71-Parameters!$B$5*C30^2/F30*Parameters!B$71</f>
        <v>0.8621861940923401</v>
      </c>
      <c r="G31" s="7">
        <f>(1-Parameters!$B$4)^Parameters!B$71*G30+D30*Parameters!B$71-Parameters!$B$5*D30^2/G30*Parameters!B$71</f>
        <v>3.513899179854433</v>
      </c>
      <c r="H31" s="9">
        <f>MAX(H30 * (1-Parameters!$B$4) ^ Parameters!B$71 + (LN(1+EXP(Parameters!$B$21*(-B30+0.004)))/Parameters!$B$21 -0.004) * Parameters!B$71,0)</f>
        <v>9.3589745394776457E-3</v>
      </c>
      <c r="I31" s="23">
        <f>I30*(1+Parameters!$B$52)^Parameters!B$71</f>
        <v>8.8236079676496608</v>
      </c>
      <c r="J31" s="23">
        <f>J30*(1+Parameters!$B$54)^Parameters!B$71</f>
        <v>15.40213438302519</v>
      </c>
      <c r="K31" s="23">
        <f>I31*J31*EXP(-Parameters!$B$43*'6states'!A31)*(Parameters!$B$38/Parameters!$B$39*('6states'!E31+'6states'!H31)/Parameters!$E$25*(EXP(-Parameters!$B$39*Parameters!$E$25*'6states'!H31/('6states'!E31+'6states'!H31))-EXP(-Parameters!$B$39*Parameters!$E$25))  +  Parameters!$B$40*'6states'!E31)</f>
        <v>13.937781831913535</v>
      </c>
      <c r="L31" s="8">
        <f>L30+K31*Parameters!B$71</f>
        <v>2968.2373145914853</v>
      </c>
      <c r="M31" s="7">
        <f>L31*Parameters!$B$46</f>
        <v>1.780942388754891</v>
      </c>
      <c r="N31" s="9">
        <f>EXP(-Parameters!$B$47/2*M31^2)</f>
        <v>0.96862654320274255</v>
      </c>
      <c r="O31" s="8">
        <f>MAX((Parameters!$B$63 + Parameters!$B$31*'6states'!A31 - '6states'!L31 + Parameters!$B$48/Parameters!$B$46)/Parameters!B$63,1)</f>
        <v>16.363253708170294</v>
      </c>
      <c r="P31" s="7">
        <f>Parameters!B$62*EXP(-Parameters!B$61*A31)</f>
        <v>0.24119557005756295</v>
      </c>
      <c r="Q31" s="7">
        <f>(1-Parameters!B$62)*O31^-Parameters!B$64</f>
        <v>0.37807941989408617</v>
      </c>
      <c r="R31" s="7">
        <f>Parameters!B$62*EXP(-Parameters!B$61*A31)+(1-Parameters!B$62)*O31^-Parameters!B$64</f>
        <v>0.61927498995164909</v>
      </c>
      <c r="S31" s="7">
        <f>1-R31/Parameters!$B$12</f>
        <v>0.69036250502417551</v>
      </c>
      <c r="T31" s="7">
        <f t="shared" si="0"/>
        <v>3.2295830325008823</v>
      </c>
      <c r="U31" s="7">
        <f>(Parameters!$B$19*(E31+Parameters!$B$20)^S31+Parameters!$B$18*F31^S31)^(1/S31)</f>
        <v>0.34960535935512937</v>
      </c>
      <c r="V31" s="7">
        <f>(Parameters!$B$10*G31^Parameters!$B$9+Parameters!$B$11*U31^Parameters!$B$9)^(Parameters!$B$7/Parameters!$B$9)*N31</f>
        <v>1.3713351007533057</v>
      </c>
      <c r="W31" s="7">
        <f>V31 - C31 - D31 - LN(1+EXP(Parameters!$B$21*B31))/Parameters!$B$21 - IF(B31&gt;0, 0,Parameters!$B$6*B31^2/E31)</f>
        <v>1.0666403620692027</v>
      </c>
      <c r="X31" s="7">
        <f>EXP(-Parameters!$B$56*A31)</f>
        <v>0.66517840241309079</v>
      </c>
      <c r="Y31" s="7">
        <f>IF(W31&gt;0,W31^(1-Parameters!$B$53)/(1-Parameters!$B$53)*X31*Parameters!$B$71,-10+W31*1000)</f>
        <v>-1.8580773557453545</v>
      </c>
      <c r="AA31" s="22">
        <f t="shared" si="15"/>
        <v>3.1258429549420406E-4</v>
      </c>
      <c r="AB31" s="22">
        <f t="shared" si="10"/>
        <v>-2.4057394592566922E-3</v>
      </c>
      <c r="AC31" s="22">
        <f t="shared" si="11"/>
        <v>3.0532852663874704E-4</v>
      </c>
      <c r="AD31" s="22">
        <f t="shared" si="7"/>
        <v>3.976780251691047E-6</v>
      </c>
      <c r="AE31" s="22">
        <f t="shared" si="16"/>
        <v>1.1320683673532441E-3</v>
      </c>
      <c r="AF31" s="22">
        <f t="shared" si="12"/>
        <v>9.1020186759951938E-5</v>
      </c>
      <c r="AG31" s="22">
        <f t="shared" si="13"/>
        <v>-1.0364638762867806E-5</v>
      </c>
      <c r="AH31" s="22">
        <f t="shared" si="8"/>
        <v>8.5806077476939136E-7</v>
      </c>
      <c r="AI31" s="22"/>
      <c r="AK31" s="9"/>
      <c r="AL31" s="9"/>
      <c r="AM31" s="23">
        <f t="shared" si="1"/>
        <v>1.271907060844117</v>
      </c>
      <c r="AN31" s="23">
        <f t="shared" si="2"/>
        <v>22.556140050661504</v>
      </c>
      <c r="AO31" s="23">
        <f t="shared" si="3"/>
        <v>47.512205872242085</v>
      </c>
      <c r="AP31" s="8">
        <f t="shared" si="4"/>
        <v>186.36772544621732</v>
      </c>
      <c r="AQ31" s="22">
        <f>-X31*V31*W31^(-Parameters!B$53)*Parameters!B$47*Parameters!B$46*M31</f>
        <v>-1.7957860454591328E-5</v>
      </c>
      <c r="AR31" s="7">
        <f>1000*EXP(-(Parameters!$B$55)*'6states'!A31)*AP31*Parameters!B$47*Parameters!B$46*M31</f>
        <v>1.5516258379773071</v>
      </c>
      <c r="AS31" s="7">
        <f>SUM(AR31:AR$204)*EXP(Parameters!$B$55*A31)</f>
        <v>319.59692545913038</v>
      </c>
      <c r="AT31" s="13">
        <f t="shared" si="17"/>
        <v>0.22087065810903869</v>
      </c>
      <c r="AU31">
        <f>(1/$S31-1/Parameters!$B$13) * LN(Parameters!$B$18) / LN(O31)</f>
        <v>0.23504982115630835</v>
      </c>
      <c r="AV31">
        <f>(Parameters!$B$18*'6states'!S31^+Parameters!$B$19*Parameters!$B$25^'6states'!S31)^((1-'6states'!S31)/'6states'!S31)*Parameters!$B$18*Parameters!$B$26^('6states'!S31-1)</f>
        <v>0.26399443778621556</v>
      </c>
      <c r="AW31">
        <f t="shared" si="9"/>
        <v>0.25424125182261847</v>
      </c>
      <c r="AX31">
        <f t="shared" si="14"/>
        <v>0.15034434286158183</v>
      </c>
      <c r="AY31">
        <f t="shared" si="14"/>
        <v>0.16722101840223758</v>
      </c>
      <c r="AZ31">
        <f>(1/$S31-1/Parameters!$B$13) * LN(Parameters!$B$18) / A31</f>
        <v>2.4332341757939992E-2</v>
      </c>
    </row>
    <row r="32" spans="1:52" x14ac:dyDescent="0.25">
      <c r="A32">
        <f>A31+Parameters!$B$71</f>
        <v>28</v>
      </c>
      <c r="B32" s="20">
        <v>1.0858193592299297E-3</v>
      </c>
      <c r="C32" s="20">
        <v>8.7727171849419125E-2</v>
      </c>
      <c r="D32" s="20">
        <v>0.21440489024156911</v>
      </c>
      <c r="E32" s="7">
        <f>MAX((1-Parameters!$B$4)^Parameters!B$71*E31 + B31*Parameters!B$71 - IF(B31&gt;0,Parameters!$B$5,0)*B31^2/E31*Parameters!B$71, 0.0001)</f>
        <v>0.15662280731514475</v>
      </c>
      <c r="F32" s="7">
        <f>(1-Parameters!$B$4)^Parameters!B$71*F31+C31*Parameters!B$71-Parameters!$B$5*C31^2/F31*Parameters!B$71</f>
        <v>0.88634094932078489</v>
      </c>
      <c r="G32" s="7">
        <f>(1-Parameters!$B$4)^Parameters!B$71*G31+D31*Parameters!B$71-Parameters!$B$5*D31^2/G31*Parameters!B$71</f>
        <v>3.4943549550499888</v>
      </c>
      <c r="H32" s="9">
        <f>MAX(H31 * (1-Parameters!$B$4) ^ Parameters!B$71 + (LN(1+EXP(Parameters!$B$21*(-B31+0.004)))/Parameters!$B$21 -0.004) * Parameters!B$71,0)</f>
        <v>8.8390332537538249E-3</v>
      </c>
      <c r="I32" s="23">
        <f>I31*(1+Parameters!$B$52)^Parameters!B$71</f>
        <v>8.8491964307558444</v>
      </c>
      <c r="J32" s="23">
        <f>J31*(1+Parameters!$B$54)^Parameters!B$71</f>
        <v>15.710177070685695</v>
      </c>
      <c r="K32" s="23">
        <f>I32*J32*EXP(-Parameters!$B$43*'6states'!A32)*(Parameters!$B$38/Parameters!$B$39*('6states'!E32+'6states'!H32)/Parameters!$E$25*(EXP(-Parameters!$B$39*Parameters!$E$25*'6states'!H32/('6states'!E32+'6states'!H32))-EXP(-Parameters!$B$39*Parameters!$E$25))  +  Parameters!$B$40*'6states'!E32)</f>
        <v>13.320231772584766</v>
      </c>
      <c r="L32" s="8">
        <f>L31+K32*Parameters!B$71</f>
        <v>2981.5575463640703</v>
      </c>
      <c r="M32" s="7">
        <f>L32*Parameters!$B$46</f>
        <v>1.7889345278184421</v>
      </c>
      <c r="N32" s="9">
        <f>EXP(-Parameters!$B$47/2*M32^2)</f>
        <v>0.96834884284466027</v>
      </c>
      <c r="O32" s="8">
        <f>MAX((Parameters!$B$63 + Parameters!$B$31*'6states'!A32 - '6states'!L32 + Parameters!$B$48/Parameters!$B$46)/Parameters!B$63,1)</f>
        <v>17.160849072718598</v>
      </c>
      <c r="P32" s="7">
        <f>Parameters!B$62*EXP(-Parameters!B$61*A32)</f>
        <v>0.23477041952139963</v>
      </c>
      <c r="Q32" s="7">
        <f>(1-Parameters!B$62)*O32^-Parameters!B$64</f>
        <v>0.37628432500924552</v>
      </c>
      <c r="R32" s="7">
        <f>Parameters!B$62*EXP(-Parameters!B$61*A32)+(1-Parameters!B$62)*O32^-Parameters!B$64</f>
        <v>0.61105474453064512</v>
      </c>
      <c r="S32" s="7">
        <f>1-R32/Parameters!$B$12</f>
        <v>0.69447262773467744</v>
      </c>
      <c r="T32" s="7">
        <f t="shared" si="0"/>
        <v>3.2730291645738094</v>
      </c>
      <c r="U32" s="7">
        <f>(Parameters!$B$19*(E32+Parameters!$B$20)^S32+Parameters!$B$18*F32^S32)^(1/S32)</f>
        <v>0.34750423800027125</v>
      </c>
      <c r="V32" s="7">
        <f>(Parameters!$B$10*G32^Parameters!$B$9+Parameters!$B$11*U32^Parameters!$B$9)^(Parameters!$B$7/Parameters!$B$9)*N32</f>
        <v>1.3685899644694666</v>
      </c>
      <c r="W32" s="7">
        <f>V32 - C32 - D32 - LN(1+EXP(Parameters!$B$21*B32))/Parameters!$B$21 - IF(B32&gt;0, 0,Parameters!$B$6*B32^2/E32)</f>
        <v>1.0635604835629413</v>
      </c>
      <c r="X32" s="7">
        <f>EXP(-Parameters!$B$56*A32)</f>
        <v>0.65520966194087471</v>
      </c>
      <c r="Y32" s="7">
        <f>IF(W32&gt;0,W32^(1-Parameters!$B$53)/(1-Parameters!$B$53)*X32*Parameters!$B$71,-10+W32*1000)</f>
        <v>-1.832084418800374</v>
      </c>
      <c r="AA32" s="22">
        <f t="shared" si="15"/>
        <v>3.2515902250448286E-4</v>
      </c>
      <c r="AB32" s="22">
        <f t="shared" si="10"/>
        <v>-2.1694968280752402E-3</v>
      </c>
      <c r="AC32" s="22">
        <f t="shared" si="11"/>
        <v>2.9027169726077856E-4</v>
      </c>
      <c r="AD32" s="22">
        <f t="shared" si="7"/>
        <v>3.2083668126972008E-6</v>
      </c>
      <c r="AE32" s="22">
        <f t="shared" si="16"/>
        <v>1.2574727010278806E-5</v>
      </c>
      <c r="AF32" s="22">
        <f t="shared" si="12"/>
        <v>2.3624263118145195E-4</v>
      </c>
      <c r="AG32" s="22">
        <f t="shared" si="13"/>
        <v>-1.5056829377968484E-5</v>
      </c>
      <c r="AH32" s="22">
        <f t="shared" si="8"/>
        <v>3.6819777330168559E-8</v>
      </c>
      <c r="AI32" s="22"/>
      <c r="AK32" s="9"/>
      <c r="AL32" s="9"/>
      <c r="AM32" s="23">
        <f t="shared" si="1"/>
        <v>1.2288239954616453</v>
      </c>
      <c r="AN32" s="23">
        <f t="shared" si="2"/>
        <v>21.774085280613633</v>
      </c>
      <c r="AO32" s="23">
        <f t="shared" si="3"/>
        <v>48.310888071158374</v>
      </c>
      <c r="AP32" s="8">
        <f t="shared" si="4"/>
        <v>190.26472013484741</v>
      </c>
      <c r="AQ32" s="22">
        <f>-X32*V32*W32^(-Parameters!B$53)*Parameters!B$47*Parameters!B$46*M32</f>
        <v>-1.7801903316706349E-5</v>
      </c>
      <c r="AR32" s="7">
        <f>1000*EXP(-(Parameters!$B$55)*'6states'!A32)*AP32*Parameters!B$47*Parameters!B$46*M32</f>
        <v>1.5362977835399023</v>
      </c>
      <c r="AS32" s="7">
        <f>SUM(AR32:AR$204)*EXP(Parameters!$B$55*A32)</f>
        <v>326.86814337957776</v>
      </c>
      <c r="AT32" s="13">
        <f t="shared" si="17"/>
        <v>0.22155495022043398</v>
      </c>
      <c r="AU32">
        <f>(1/$S32-1/Parameters!$B$13) * LN(Parameters!$B$18) / LN(O32)</f>
        <v>0.2347071844115588</v>
      </c>
      <c r="AV32">
        <f>(Parameters!$B$18*'6states'!S32^+Parameters!$B$19*Parameters!$B$25^'6states'!S32)^((1-'6states'!S32)/'6states'!S32)*Parameters!$B$18*Parameters!$B$26^('6states'!S32-1)</f>
        <v>0.26597639241310073</v>
      </c>
      <c r="AW32">
        <f t="shared" si="9"/>
        <v>0.25261584697886719</v>
      </c>
      <c r="AX32">
        <f t="shared" si="14"/>
        <v>0.15014252763829838</v>
      </c>
      <c r="AY32">
        <f t="shared" si="14"/>
        <v>0.16836429323868596</v>
      </c>
      <c r="AZ32">
        <f>(1/$S32-1/Parameters!$B$13) * LN(Parameters!$B$18) / A32</f>
        <v>2.3828064929166705E-2</v>
      </c>
    </row>
    <row r="33" spans="1:52" x14ac:dyDescent="0.25">
      <c r="A33">
        <f>A32+Parameters!$B$71</f>
        <v>29</v>
      </c>
      <c r="B33" s="42">
        <f>B32+(B34-B32)/2</f>
        <v>1.0994217119007616E-3</v>
      </c>
      <c r="C33" s="42">
        <f t="shared" ref="C33" si="25">C32+(C34-C32)/2</f>
        <v>8.794016516739489E-2</v>
      </c>
      <c r="D33" s="42">
        <f t="shared" ref="D33" si="26">D32+(D34-D32)/2</f>
        <v>0.2146163161673956</v>
      </c>
      <c r="E33" s="7">
        <f>MAX((1-Parameters!$B$4)^Parameters!B$71*E32 + B32*Parameters!B$71 - IF(B32&gt;0,Parameters!$B$5,0)*B32^2/E32*Parameters!B$71, 0.0001)</f>
        <v>0.14784952443144814</v>
      </c>
      <c r="F33" s="7">
        <f>(1-Parameters!$B$4)^Parameters!B$71*F32+C32*Parameters!B$71-Parameters!$B$5*C32^2/F32*Parameters!B$71</f>
        <v>0.90963432259808752</v>
      </c>
      <c r="G33" s="7">
        <f>(1-Parameters!$B$4)^Parameters!B$71*G32+D32*Parameters!B$71-Parameters!$B$5*D32^2/G32*Parameters!B$71</f>
        <v>3.4758095701924279</v>
      </c>
      <c r="H33" s="9">
        <f>MAX(H32 * (1-Parameters!$B$4) ^ Parameters!B$71 + (LN(1+EXP(Parameters!$B$21*(-B32+0.004)))/Parameters!$B$21 -0.004) * Parameters!B$71,0)</f>
        <v>8.3594522581099603E-3</v>
      </c>
      <c r="I33" s="23">
        <f>I32*(1+Parameters!$B$52)^Parameters!B$71</f>
        <v>8.8748591004050361</v>
      </c>
      <c r="J33" s="23">
        <f>J32*(1+Parameters!$B$54)^Parameters!B$71</f>
        <v>16.02438061209941</v>
      </c>
      <c r="K33" s="23">
        <f>I33*J33*EXP(-Parameters!$B$43*'6states'!A33)*(Parameters!$B$38/Parameters!$B$39*('6states'!E33+'6states'!H33)/Parameters!$E$25*(EXP(-Parameters!$B$39*Parameters!$E$25*'6states'!H33/('6states'!E33+'6states'!H33))-EXP(-Parameters!$B$39*Parameters!$E$25))  +  Parameters!$B$40*'6states'!E33)</f>
        <v>12.733856633618545</v>
      </c>
      <c r="L33" s="8">
        <f>L32+K33*Parameters!B$71</f>
        <v>2994.2914029976887</v>
      </c>
      <c r="M33" s="7">
        <f>L33*Parameters!$B$46</f>
        <v>1.7965748417986132</v>
      </c>
      <c r="N33" s="9">
        <f>EXP(-Parameters!$B$47/2*M33^2)</f>
        <v>0.96808227964946614</v>
      </c>
      <c r="O33" s="8">
        <f>MAX((Parameters!$B$63 + Parameters!$B$31*'6states'!A33 - '6states'!L33 + Parameters!$B$48/Parameters!$B$46)/Parameters!B$63,1)</f>
        <v>17.970171940046228</v>
      </c>
      <c r="P33" s="7">
        <f>Parameters!B$62*EXP(-Parameters!B$61*A33)</f>
        <v>0.22851642701853894</v>
      </c>
      <c r="Q33" s="7">
        <f>(1-Parameters!B$62)*O33^-Parameters!B$64</f>
        <v>0.37455429466591883</v>
      </c>
      <c r="R33" s="7">
        <f>Parameters!B$62*EXP(-Parameters!B$61*A33)+(1-Parameters!B$62)*O33^-Parameters!B$64</f>
        <v>0.60307072168445774</v>
      </c>
      <c r="S33" s="7">
        <f>1-R33/Parameters!$B$12</f>
        <v>0.69846463915777113</v>
      </c>
      <c r="T33" s="7">
        <f t="shared" si="0"/>
        <v>3.3163606324872323</v>
      </c>
      <c r="U33" s="7">
        <f>(Parameters!$B$19*(E33+Parameters!$B$20)^S33+Parameters!$B$18*F33^S33)^(1/S33)</f>
        <v>0.34561173575047827</v>
      </c>
      <c r="V33" s="7">
        <f>(Parameters!$B$10*G33^Parameters!$B$9+Parameters!$B$11*U33^Parameters!$B$9)^(Parameters!$B$7/Parameters!$B$9)*N33</f>
        <v>1.3660121904838713</v>
      </c>
      <c r="W33" s="7">
        <f>V33 - C33 - D33 - LN(1+EXP(Parameters!$B$21*B33))/Parameters!$B$21 - IF(B33&gt;0, 0,Parameters!$B$6*B33^2/E33)</f>
        <v>1.0605503843660868</v>
      </c>
      <c r="X33" s="7">
        <f>EXP(-Parameters!$B$56*A33)</f>
        <v>0.64539031866231678</v>
      </c>
      <c r="Y33" s="7">
        <f>IF(W33&gt;0,W33^(1-Parameters!$B$53)/(1-Parameters!$B$53)*X33*Parameters!$B$71,-10+W33*1000)</f>
        <v>-1.8064188024075765</v>
      </c>
      <c r="AA33" s="22">
        <f t="shared" si="15"/>
        <v>5.0338284750579918E-4</v>
      </c>
      <c r="AB33" s="22">
        <f t="shared" si="10"/>
        <v>-2.3003856366157205E-3</v>
      </c>
      <c r="AC33" s="22">
        <f t="shared" si="11"/>
        <v>3.8820435420322541E-4</v>
      </c>
      <c r="AD33" s="22">
        <f t="shared" si="7"/>
        <v>3.67605999260711E-6</v>
      </c>
      <c r="AE33" s="22">
        <f t="shared" si="16"/>
        <v>1.7822382500131632E-4</v>
      </c>
      <c r="AF33" s="22">
        <f t="shared" si="12"/>
        <v>-1.3088880854048024E-4</v>
      </c>
      <c r="AG33" s="22">
        <f t="shared" si="13"/>
        <v>9.793265694244685E-5</v>
      </c>
      <c r="AH33" s="22">
        <f t="shared" si="8"/>
        <v>3.7746567495471682E-8</v>
      </c>
      <c r="AI33" s="22"/>
      <c r="AK33" s="9"/>
      <c r="AL33" s="9"/>
      <c r="AM33" s="23">
        <f t="shared" si="1"/>
        <v>1.1888321474355319</v>
      </c>
      <c r="AN33" s="23">
        <f t="shared" si="2"/>
        <v>21.02629002476068</v>
      </c>
      <c r="AO33" s="23">
        <f t="shared" si="3"/>
        <v>49.150868897247555</v>
      </c>
      <c r="AP33" s="8">
        <f t="shared" si="4"/>
        <v>194.26622172051574</v>
      </c>
      <c r="AQ33" s="22">
        <f>-X33*V33*W33^(-Parameters!B$53)*Parameters!B$47*Parameters!B$46*M33</f>
        <v>-1.7644216592005543E-5</v>
      </c>
      <c r="AR33" s="7">
        <f>1000*EXP(-(Parameters!$B$55)*'6states'!A33)*AP33*Parameters!B$47*Parameters!B$46*M33</f>
        <v>1.5209732014136212</v>
      </c>
      <c r="AS33" s="7">
        <f>SUM(AR33:AR$204)*EXP(Parameters!$B$55*A33)</f>
        <v>334.29342885869625</v>
      </c>
      <c r="AT33" s="13">
        <f t="shared" si="17"/>
        <v>0.22229369925251524</v>
      </c>
      <c r="AU33">
        <f>(1/$S33-1/Parameters!$B$13) * LN(Parameters!$B$18) / LN(O33)</f>
        <v>0.2343568947986501</v>
      </c>
      <c r="AV33">
        <f>(Parameters!$B$18*'6states'!S33^+Parameters!$B$19*Parameters!$B$25^'6states'!S33)^((1-'6states'!S33)/'6states'!S33)*Parameters!$B$18*Parameters!$B$26^('6states'!S33-1)</f>
        <v>0.26785747862004505</v>
      </c>
      <c r="AW33">
        <f t="shared" si="9"/>
        <v>0.25102561264668732</v>
      </c>
      <c r="AX33">
        <f t="shared" si="14"/>
        <v>0.14993615527257442</v>
      </c>
      <c r="AY33">
        <f t="shared" si="14"/>
        <v>0.16944793114083501</v>
      </c>
      <c r="AZ33">
        <f>(1/$S33-1/Parameters!$B$13) * LN(Parameters!$B$18) / A33</f>
        <v>2.3344478333382265E-2</v>
      </c>
    </row>
    <row r="34" spans="1:52" s="46" customFormat="1" x14ac:dyDescent="0.25">
      <c r="A34" s="46">
        <f>A33+Parameters!$B$71</f>
        <v>30</v>
      </c>
      <c r="B34" s="47">
        <v>1.1130240645715935E-3</v>
      </c>
      <c r="C34" s="47">
        <v>8.8153158485370656E-2</v>
      </c>
      <c r="D34" s="47">
        <v>0.21482774209322208</v>
      </c>
      <c r="E34" s="48">
        <f>MAX((1-Parameters!$B$4)^Parameters!B$71*E33 + B33*Parameters!B$71 - IF(B33&gt;0,Parameters!$B$5,0)*B33^2/E33*Parameters!B$71, 0.0001)</f>
        <v>0.1396410356627078</v>
      </c>
      <c r="F34" s="48">
        <f>(1-Parameters!$B$4)^Parameters!B$71*F33+C33*Parameters!B$71-Parameters!$B$5*C33^2/F33*Parameters!B$71</f>
        <v>0.93185675091459297</v>
      </c>
      <c r="G34" s="48">
        <f>(1-Parameters!$B$4)^Parameters!B$71*G33+D33*Parameters!B$71-Parameters!$B$5*D33^2/G33*Parameters!B$71</f>
        <v>3.4585458284132029</v>
      </c>
      <c r="H34" s="49">
        <f>MAX(H33 * (1-Parameters!$B$4) ^ Parameters!B$71 + (LN(1+EXP(Parameters!$B$21*(-B33+0.004)))/Parameters!$B$21 -0.004) * Parameters!B$71,0)</f>
        <v>7.9004444452343836E-3</v>
      </c>
      <c r="I34" s="50">
        <f>I33*(1+Parameters!$B$52)^Parameters!B$71</f>
        <v>8.9005961917962093</v>
      </c>
      <c r="J34" s="50">
        <f>J33*(1+Parameters!$B$54)^Parameters!B$71</f>
        <v>16.344868224341397</v>
      </c>
      <c r="K34" s="50">
        <f>I34*J34*EXP(-Parameters!$B$43*'6states'!A34)*(Parameters!$B$38/Parameters!$B$39*('6states'!E34+'6states'!H34)/Parameters!$E$25*(EXP(-Parameters!$B$39*Parameters!$E$25*'6states'!H34/('6states'!E34+'6states'!H34))-EXP(-Parameters!$B$39*Parameters!$E$25))  +  Parameters!$B$40*'6states'!E34)</f>
        <v>12.180271952646786</v>
      </c>
      <c r="L34" s="51">
        <f>L33+K34*Parameters!B$71</f>
        <v>3006.4716749503355</v>
      </c>
      <c r="M34" s="48">
        <f>L34*Parameters!$B$46</f>
        <v>1.803883004970201</v>
      </c>
      <c r="N34" s="49">
        <f>EXP(-Parameters!$B$47/2*M34^2)</f>
        <v>0.96782631094128102</v>
      </c>
      <c r="O34" s="51">
        <f>MAX((Parameters!$B$63 + Parameters!$B$31*'6states'!A34 - '6states'!L34 + Parameters!$B$48/Parameters!$B$46)/Parameters!B$63,1)</f>
        <v>18.79056650099329</v>
      </c>
      <c r="P34" s="48">
        <f>Parameters!B$62*EXP(-Parameters!B$61*A34)</f>
        <v>0.22242903311147058</v>
      </c>
      <c r="Q34" s="48">
        <f>(1-Parameters!B$62)*O34^-Parameters!B$64</f>
        <v>0.37288594754077592</v>
      </c>
      <c r="R34" s="48">
        <f>Parameters!B$62*EXP(-Parameters!B$61*A34)+(1-Parameters!B$62)*O34^-Parameters!B$64</f>
        <v>0.59531498065224653</v>
      </c>
      <c r="S34" s="48">
        <f>1-R34/Parameters!$B$12</f>
        <v>0.70234250967387668</v>
      </c>
      <c r="T34" s="48">
        <f t="shared" si="0"/>
        <v>3.3595660532660112</v>
      </c>
      <c r="U34" s="48">
        <f>(Parameters!$B$19*(E34+Parameters!$B$20)^S34+Parameters!$B$18*F34^S34)^(1/S34)</f>
        <v>0.34388767659994901</v>
      </c>
      <c r="V34" s="48">
        <f>(Parameters!$B$10*G34^Parameters!$B$9+Parameters!$B$11*U34^Parameters!$B$9)^(Parameters!$B$7/Parameters!$B$9)*N34</f>
        <v>1.3636096915796767</v>
      </c>
      <c r="W34" s="48">
        <f>V34 - C34 - D34 - LN(1+EXP(Parameters!$B$21*B34))/Parameters!$B$21 - IF(B34&gt;0, 0,Parameters!$B$6*B34^2/E34)</f>
        <v>1.0577155467445016</v>
      </c>
      <c r="X34" s="48">
        <f>EXP(-Parameters!$B$56*A34)</f>
        <v>0.63571813362641427</v>
      </c>
      <c r="Y34" s="48">
        <f>IF(W34&gt;0,W34^(1-Parameters!$B$53)/(1-Parameters!$B$53)*X34*Parameters!$B$71,-10+W34*1000)</f>
        <v>-1.781014456318359</v>
      </c>
      <c r="AA34" s="53">
        <f t="shared" si="15"/>
        <v>5.3452322965527252E-4</v>
      </c>
      <c r="AB34" s="53">
        <f t="shared" si="10"/>
        <v>-2.0769188947307171E-3</v>
      </c>
      <c r="AC34" s="53">
        <f t="shared" si="11"/>
        <v>3.6934246796808956E-4</v>
      </c>
      <c r="AD34" s="53">
        <f t="shared" si="7"/>
        <v>3.0105837390013015E-6</v>
      </c>
      <c r="AE34" s="53">
        <f t="shared" si="16"/>
        <v>3.1140382149473338E-5</v>
      </c>
      <c r="AF34" s="53">
        <f t="shared" si="12"/>
        <v>2.2346674188500337E-4</v>
      </c>
      <c r="AG34" s="53">
        <f t="shared" si="13"/>
        <v>-1.886188623513585E-5</v>
      </c>
      <c r="AH34" s="53">
        <f t="shared" si="8"/>
        <v>3.2588741686839424E-8</v>
      </c>
      <c r="AI34" s="53"/>
      <c r="AK34" s="49"/>
      <c r="AL34" s="49"/>
      <c r="AM34" s="50">
        <f t="shared" si="1"/>
        <v>1.1493493252767693</v>
      </c>
      <c r="AN34" s="50">
        <f t="shared" si="2"/>
        <v>20.314848263592978</v>
      </c>
      <c r="AO34" s="50">
        <f t="shared" si="3"/>
        <v>50.028460020317432</v>
      </c>
      <c r="AP34" s="51">
        <f t="shared" si="4"/>
        <v>198.37667232801721</v>
      </c>
      <c r="AQ34" s="53">
        <f>-X34*V34*W34^(-Parameters!B$53)*Parameters!B$47*Parameters!B$46*M34</f>
        <v>-1.748285497859657E-5</v>
      </c>
      <c r="AR34" s="48">
        <f>1000*EXP(-(Parameters!$B$55)*'6states'!A34)*AP34*Parameters!B$47*Parameters!B$46*M34</f>
        <v>1.505685216105165</v>
      </c>
      <c r="AS34" s="48">
        <f>SUM(AR34:AR$204)*EXP(Parameters!$B$55*A34)</f>
        <v>341.87601568538292</v>
      </c>
      <c r="AT34" s="52">
        <f t="shared" si="17"/>
        <v>0.22300657330389462</v>
      </c>
      <c r="AU34" s="46">
        <f>(1/$S34-1/Parameters!$B$13) * LN(Parameters!$B$18) / LN(O34)</f>
        <v>0.23400062325271476</v>
      </c>
      <c r="AV34" s="46">
        <f>(Parameters!$B$18*'6states'!S34^+Parameters!$B$19*Parameters!$B$25^'6states'!S34)^((1-'6states'!S34)/'6states'!S34)*Parameters!$B$18*Parameters!$B$26^('6states'!S34-1)</f>
        <v>0.26964335009515944</v>
      </c>
      <c r="AW34" s="46">
        <f t="shared" si="9"/>
        <v>0.24947070672733232</v>
      </c>
      <c r="AX34" s="46">
        <f t="shared" si="14"/>
        <v>0.1497262072591462</v>
      </c>
      <c r="AY34" s="46">
        <f t="shared" si="14"/>
        <v>0.17047541203088301</v>
      </c>
      <c r="AZ34" s="46">
        <f>(1/$S34-1/Parameters!$B$13) * LN(Parameters!$B$18) / A34</f>
        <v>2.2880229644620512E-2</v>
      </c>
    </row>
    <row r="35" spans="1:52" x14ac:dyDescent="0.25">
      <c r="A35">
        <f>A34+Parameters!$B$71</f>
        <v>31</v>
      </c>
      <c r="B35" s="9">
        <f>B34+(B36-B34)/2</f>
        <v>1.1212211385380469E-3</v>
      </c>
      <c r="C35" s="9">
        <f t="shared" ref="C35" si="27">C34+(C36-C34)/2</f>
        <v>8.8404857578413973E-2</v>
      </c>
      <c r="D35" s="9">
        <f t="shared" ref="D35" si="28">D34+(D36-D34)/2</f>
        <v>0.21484566140288075</v>
      </c>
      <c r="E35" s="7">
        <f>MAX((1-Parameters!$B$4)^Parameters!B$71*E34 + B34*Parameters!B$71 - IF(B34&gt;0,Parameters!$B$5,0)*B34^2/E34*Parameters!B$71, 0.0001)</f>
        <v>0.13196176710471627</v>
      </c>
      <c r="F35" s="7">
        <f>(1-Parameters!$B$4)^Parameters!B$71*F34+C34*Parameters!B$71-Parameters!$B$5*C34^2/F34*Parameters!B$71</f>
        <v>0.95305687734276068</v>
      </c>
      <c r="G35" s="7">
        <f>(1-Parameters!$B$4)^Parameters!B$71*G34+D34*Parameters!B$71-Parameters!$B$5*D34^2/G34*Parameters!B$71</f>
        <v>3.4424870022661875</v>
      </c>
      <c r="H35" s="9">
        <f>MAX(H34 * (1-Parameters!$B$4) ^ Parameters!B$71 + (LN(1+EXP(Parameters!$B$21*(-B34+0.004)))/Parameters!$B$21 -0.004) * Parameters!B$71,0)</f>
        <v>7.4607273110000368E-3</v>
      </c>
      <c r="I35" s="23">
        <f>I34*(1+Parameters!$B$52)^Parameters!B$71</f>
        <v>8.9264079207524176</v>
      </c>
      <c r="J35" s="23">
        <f>J34*(1+Parameters!$B$54)^Parameters!B$71</f>
        <v>16.671765588828226</v>
      </c>
      <c r="K35" s="23">
        <f>I35*J35*EXP(-Parameters!$B$43*'6states'!A35)*(Parameters!$B$38/Parameters!$B$39*('6states'!E35+'6states'!H35)/Parameters!$E$25*(EXP(-Parameters!$B$39*Parameters!$E$25*'6states'!H35/('6states'!E35+'6states'!H35))-EXP(-Parameters!$B$39*Parameters!$E$25))  +  Parameters!$B$40*'6states'!E35)</f>
        <v>11.657859957113974</v>
      </c>
      <c r="L35" s="8">
        <f>L34+K35*Parameters!B$71</f>
        <v>3018.1295349074494</v>
      </c>
      <c r="M35" s="7">
        <f>L35*Parameters!$B$46</f>
        <v>1.8108777209444695</v>
      </c>
      <c r="N35" s="9">
        <f>EXP(-Parameters!$B$47/2*M35^2)</f>
        <v>0.96758041126993488</v>
      </c>
      <c r="O35" s="8">
        <f>MAX((Parameters!$B$63 + Parameters!$B$31*'6states'!A35 - '6states'!L35 + Parameters!$B$48/Parameters!$B$46)/Parameters!B$63,1)</f>
        <v>19.621409301851013</v>
      </c>
      <c r="P35" s="7">
        <f>Parameters!B$62*EXP(-Parameters!B$61*A35)</f>
        <v>0.21650379982043882</v>
      </c>
      <c r="Q35" s="7">
        <f>(1-Parameters!B$62)*O35^-Parameters!B$64</f>
        <v>0.37127609242759202</v>
      </c>
      <c r="R35" s="7">
        <f>Parameters!B$62*EXP(-Parameters!B$61*A35)+(1-Parameters!B$62)*O35^-Parameters!B$64</f>
        <v>0.58777989224803084</v>
      </c>
      <c r="S35" s="7">
        <f>1-R35/Parameters!$B$12</f>
        <v>0.70611005387598458</v>
      </c>
      <c r="T35" s="7">
        <f t="shared" si="0"/>
        <v>3.4026342622078705</v>
      </c>
      <c r="U35" s="7">
        <f>(Parameters!$B$19*(E35+Parameters!$B$20)^S35+Parameters!$B$18*F35^S35)^(1/S35)</f>
        <v>0.34232838892707884</v>
      </c>
      <c r="V35" s="7">
        <f>(Parameters!$B$10*G35^Parameters!$B$9+Parameters!$B$11*U35^Parameters!$B$9)^(Parameters!$B$7/Parameters!$B$9)*N35</f>
        <v>1.3613756563097648</v>
      </c>
      <c r="W35" s="7">
        <f>V35 - C35 - D35 - LN(1+EXP(Parameters!$B$21*B35))/Parameters!$B$21 - IF(B35&gt;0, 0,Parameters!$B$6*B35^2/E35)</f>
        <v>1.0552071141064749</v>
      </c>
      <c r="X35" s="7">
        <f>EXP(-Parameters!$B$56*A35)</f>
        <v>0.62619090143635336</v>
      </c>
      <c r="Y35" s="7">
        <f>IF(W35&gt;0,W35^(1-Parameters!$B$53)/(1-Parameters!$B$53)*X35*Parameters!$B$71,-10+W35*1000)</f>
        <v>-1.7557816668512722</v>
      </c>
      <c r="AA35" s="22">
        <f t="shared" si="15"/>
        <v>5.2595172725704645E-4</v>
      </c>
      <c r="AB35" s="22">
        <f t="shared" si="10"/>
        <v>-1.840206767942193E-3</v>
      </c>
      <c r="AC35" s="22">
        <f t="shared" si="11"/>
        <v>2.949652605791428E-4</v>
      </c>
      <c r="AD35" s="22">
        <f t="shared" si="7"/>
        <v>2.3482100399873489E-6</v>
      </c>
      <c r="AE35" s="22">
        <f t="shared" si="16"/>
        <v>-8.5715023982260719E-6</v>
      </c>
      <c r="AF35" s="22">
        <f t="shared" si="12"/>
        <v>2.3671212678852416E-4</v>
      </c>
      <c r="AG35" s="22">
        <f t="shared" si="13"/>
        <v>-7.4377207388946764E-5</v>
      </c>
      <c r="AH35" s="22">
        <f t="shared" si="8"/>
        <v>3.8597198992492593E-8</v>
      </c>
      <c r="AI35" s="22"/>
      <c r="AK35" s="9"/>
      <c r="AL35" s="9"/>
      <c r="AM35" s="23">
        <f t="shared" si="1"/>
        <v>1.11029783150309</v>
      </c>
      <c r="AN35" s="23">
        <f t="shared" si="2"/>
        <v>19.638415632971732</v>
      </c>
      <c r="AO35" s="23">
        <f t="shared" si="3"/>
        <v>50.94496180382918</v>
      </c>
      <c r="AP35" s="8">
        <f t="shared" si="4"/>
        <v>202.5985371202666</v>
      </c>
      <c r="AQ35" s="22">
        <f>-X35*V35*W35^(-Parameters!B$53)*Parameters!B$47*Parameters!B$46*M35</f>
        <v>-1.7314711422247648E-5</v>
      </c>
      <c r="AR35" s="7">
        <f>1000*EXP(-(Parameters!$B$55)*'6states'!A35)*AP35*Parameters!B$47*Parameters!B$46*M35</f>
        <v>1.4904482893023594</v>
      </c>
      <c r="AS35" s="7">
        <f>SUM(AR35:AR$204)*EXP(Parameters!$B$55*A35)</f>
        <v>349.61912716497426</v>
      </c>
      <c r="AT35" s="13">
        <f t="shared" si="17"/>
        <v>0.22357659967630317</v>
      </c>
      <c r="AU35">
        <f>(1/$S35-1/Parameters!$B$13) * LN(Parameters!$B$18) / LN(O35)</f>
        <v>0.23363970855747501</v>
      </c>
      <c r="AV35">
        <f>(Parameters!$B$18*'6states'!S35^+Parameters!$B$19*Parameters!$B$25^'6states'!S35)^((1-'6states'!S35)/'6states'!S35)*Parameters!$B$18*Parameters!$B$26^('6states'!S35-1)</f>
        <v>0.27133933441500474</v>
      </c>
      <c r="AW35">
        <f t="shared" si="9"/>
        <v>0.24795098185126854</v>
      </c>
      <c r="AX35">
        <f t="shared" si="14"/>
        <v>0.14951347020353656</v>
      </c>
      <c r="AY35">
        <f t="shared" si="14"/>
        <v>0.17145000059526216</v>
      </c>
      <c r="AZ35">
        <f>(1/$S35-1/Parameters!$B$13) * LN(Parameters!$B$18) / A35</f>
        <v>2.2434094473430782E-2</v>
      </c>
    </row>
    <row r="36" spans="1:52" x14ac:dyDescent="0.25">
      <c r="A36">
        <f>A35+Parameters!$B$71</f>
        <v>32</v>
      </c>
      <c r="B36" s="20">
        <v>1.1294182125045002E-3</v>
      </c>
      <c r="C36" s="20">
        <v>8.865655667145729E-2</v>
      </c>
      <c r="D36" s="20">
        <v>0.21486358071253939</v>
      </c>
      <c r="E36" s="7">
        <f>MAX((1-Parameters!$B$4)^Parameters!B$71*E35 + B35*Parameters!B$71 - IF(B35&gt;0,Parameters!$B$5,0)*B35^2/E35*Parameters!B$71, 0.0001)</f>
        <v>0.12477306656912471</v>
      </c>
      <c r="F36" s="7">
        <f>(1-Parameters!$B$4)^Parameters!B$71*F35+C35*Parameters!B$71-Parameters!$B$5*C35^2/F35*Parameters!B$71</f>
        <v>0.97331408752706505</v>
      </c>
      <c r="G36" s="7">
        <f>(1-Parameters!$B$4)^Parameters!B$71*G35+D35*Parameters!B$71-Parameters!$B$5*D35^2/G35*Parameters!B$71</f>
        <v>3.4273917105281888</v>
      </c>
      <c r="H36" s="9">
        <f>MAX(H35 * (1-Parameters!$B$4) ^ Parameters!B$71 + (LN(1+EXP(Parameters!$B$21*(-B35+0.004)))/Parameters!$B$21 -0.004) * Parameters!B$71,0)</f>
        <v>7.0429003027768439E-3</v>
      </c>
      <c r="I36" s="23">
        <f>I35*(1+Parameters!$B$52)^Parameters!B$71</f>
        <v>8.9522945037225981</v>
      </c>
      <c r="J36" s="23">
        <f>J35*(1+Parameters!$B$54)^Parameters!B$71</f>
        <v>17.005200900604791</v>
      </c>
      <c r="K36" s="23">
        <f>I36*J36*EXP(-Parameters!$B$43*'6states'!A36)*(Parameters!$B$38/Parameters!$B$39*('6states'!E36+'6states'!H36)/Parameters!$E$25*(EXP(-Parameters!$B$39*Parameters!$E$25*'6states'!H36/('6states'!E36+'6states'!H36))-EXP(-Parameters!$B$39*Parameters!$E$25))  +  Parameters!$B$40*'6states'!E36)</f>
        <v>11.164361505830366</v>
      </c>
      <c r="L36" s="8">
        <f>L35+K36*Parameters!B$71</f>
        <v>3029.29389641328</v>
      </c>
      <c r="M36" s="7">
        <f>L36*Parameters!$B$46</f>
        <v>1.8175763378479679</v>
      </c>
      <c r="N36" s="9">
        <f>EXP(-Parameters!$B$47/2*M36^2)</f>
        <v>0.96734408779870928</v>
      </c>
      <c r="O36" s="8">
        <f>MAX((Parameters!$B$63 + Parameters!$B$31*'6states'!A36 - '6states'!L36 + Parameters!$B$48/Parameters!$B$46)/Parameters!B$63,1)</f>
        <v>20.462122071734402</v>
      </c>
      <c r="P36" s="7">
        <f>Parameters!B$62*EXP(-Parameters!B$61*A36)</f>
        <v>0.21073640738795882</v>
      </c>
      <c r="Q36" s="7">
        <f>(1-Parameters!B$62)*O36^-Parameters!B$64</f>
        <v>0.36972169653953274</v>
      </c>
      <c r="R36" s="7">
        <f>Parameters!B$62*EXP(-Parameters!B$61*A36)+(1-Parameters!B$62)*O36^-Parameters!B$64</f>
        <v>0.58045810392749153</v>
      </c>
      <c r="S36" s="7">
        <f>1-R36/Parameters!$B$12</f>
        <v>0.70977094803625418</v>
      </c>
      <c r="T36" s="7">
        <f t="shared" si="0"/>
        <v>3.4455544447869944</v>
      </c>
      <c r="U36" s="7">
        <f>(Parameters!$B$19*(E36+Parameters!$B$20)^S36+Parameters!$B$18*F36^S36)^(1/S36)</f>
        <v>0.34093183773610819</v>
      </c>
      <c r="V36" s="7">
        <f>(Parameters!$B$10*G36^Parameters!$B$9+Parameters!$B$11*U36^Parameters!$B$9)^(Parameters!$B$7/Parameters!$B$9)*N36</f>
        <v>1.359290502234507</v>
      </c>
      <c r="W36" s="7">
        <f>V36 - C36 - D36 - LN(1+EXP(Parameters!$B$21*B36))/Parameters!$B$21 - IF(B36&gt;0, 0,Parameters!$B$6*B36^2/E36)</f>
        <v>1.0528475577635992</v>
      </c>
      <c r="X36" s="7">
        <f>EXP(-Parameters!$B$56*A36)</f>
        <v>0.61680644974664667</v>
      </c>
      <c r="Y36" s="7">
        <f>IF(W36&gt;0,W36^(1-Parameters!$B$53)/(1-Parameters!$B$53)*X36*Parameters!$B$71,-10+W36*1000)</f>
        <v>-1.7308241214697688</v>
      </c>
      <c r="AA36" s="22">
        <f t="shared" si="15"/>
        <v>5.5521840508982595E-4</v>
      </c>
      <c r="AB36" s="22">
        <f t="shared" si="10"/>
        <v>-1.6719627310365776E-3</v>
      </c>
      <c r="AC36" s="22">
        <f t="shared" si="11"/>
        <v>2.8010124222641736E-4</v>
      </c>
      <c r="AD36" s="22">
        <f t="shared" si="7"/>
        <v>1.9627913423726045E-6</v>
      </c>
      <c r="AE36" s="22">
        <f t="shared" si="16"/>
        <v>2.9266677832779503E-5</v>
      </c>
      <c r="AF36" s="22">
        <f t="shared" si="12"/>
        <v>1.682440369056154E-4</v>
      </c>
      <c r="AG36" s="22">
        <f t="shared" si="13"/>
        <v>-1.4864018352725439E-5</v>
      </c>
      <c r="AH36" s="22">
        <f t="shared" si="8"/>
        <v>1.8123952934277654E-8</v>
      </c>
      <c r="AI36" s="22"/>
      <c r="AK36" s="9"/>
      <c r="AL36" s="9"/>
      <c r="AM36" s="23">
        <f t="shared" si="1"/>
        <v>1.0721799177989875</v>
      </c>
      <c r="AN36" s="23">
        <f t="shared" si="2"/>
        <v>18.994898480227789</v>
      </c>
      <c r="AO36" s="23">
        <f t="shared" ref="AO36:AO67" si="29">U36*I36*J36</f>
        <v>51.901951475137963</v>
      </c>
      <c r="AP36" s="8">
        <f t="shared" si="4"/>
        <v>206.93235972346778</v>
      </c>
      <c r="AQ36" s="22">
        <f>-X36*V36*W36^(-Parameters!B$53)*Parameters!B$47*Parameters!B$46*M36</f>
        <v>-1.7143825586115017E-5</v>
      </c>
      <c r="AR36" s="7">
        <f>1000*EXP(-(Parameters!$B$55)*'6states'!A36)*AP36*Parameters!B$47*Parameters!B$46*M36</f>
        <v>1.4752608456610736</v>
      </c>
      <c r="AS36" s="7">
        <f>SUM(AR36:AR$204)*EXP(Parameters!$B$55*A36)</f>
        <v>357.52601998278374</v>
      </c>
      <c r="AT36" s="13">
        <f t="shared" si="17"/>
        <v>0.22412394929243945</v>
      </c>
      <c r="AU36">
        <f>(1/$S36-1/Parameters!$B$13) * LN(Parameters!$B$18) / LN(O36)</f>
        <v>0.23327518341338346</v>
      </c>
      <c r="AV36">
        <f>(Parameters!$B$18*'6states'!S36^+Parameters!$B$19*Parameters!$B$25^'6states'!S36)^((1-'6states'!S36)/'6states'!S36)*Parameters!$B$18*Parameters!$B$26^('6states'!S36-1)</f>
        <v>0.2729504544504302</v>
      </c>
      <c r="AW36">
        <f t="shared" si="9"/>
        <v>0.24646601518317884</v>
      </c>
      <c r="AX36">
        <f t="shared" si="14"/>
        <v>0.14929855098213862</v>
      </c>
      <c r="AY36">
        <f t="shared" si="14"/>
        <v>0.17237476180762401</v>
      </c>
      <c r="AZ36">
        <f>(1/$S36-1/Parameters!$B$13) * LN(Parameters!$B$18) / A36</f>
        <v>2.2004960848801693E-2</v>
      </c>
    </row>
    <row r="37" spans="1:52" x14ac:dyDescent="0.25">
      <c r="A37">
        <f>A36+Parameters!$B$71</f>
        <v>33</v>
      </c>
      <c r="B37" s="9">
        <f>B36+(B38-B36)/2</f>
        <v>1.1192362475932315E-3</v>
      </c>
      <c r="C37" s="9">
        <f t="shared" ref="C37" si="30">C36+(C38-C36)/2</f>
        <v>8.8690075242698313E-2</v>
      </c>
      <c r="D37" s="9">
        <f t="shared" ref="D37" si="31">D36+(D38-D36)/2</f>
        <v>0.21510846058977609</v>
      </c>
      <c r="E37" s="7">
        <f>MAX((1-Parameters!$B$4)^Parameters!B$71*E36 + B36*Parameters!B$71 - IF(B36&gt;0,Parameters!$B$5,0)*B36^2/E36*Parameters!B$71, 0.0001)</f>
        <v>0.11804403565047478</v>
      </c>
      <c r="F37" s="7">
        <f>(1-Parameters!$B$4)^Parameters!B$71*F36+C36*Parameters!B$71-Parameters!$B$5*C36^2/F36*Parameters!B$71</f>
        <v>0.99267370131900146</v>
      </c>
      <c r="G37" s="7">
        <f>(1-Parameters!$B$4)^Parameters!B$71*G36+D36*Parameters!B$71-Parameters!$B$5*D36^2/G36*Parameters!B$71</f>
        <v>3.4132025300499378</v>
      </c>
      <c r="H37" s="9">
        <f>MAX(H36 * (1-Parameters!$B$4) ^ Parameters!B$71 + (LN(1+EXP(Parameters!$B$21*(-B36+0.004)))/Parameters!$B$21 -0.004) * Parameters!B$71,0)</f>
        <v>6.6455907369301383E-3</v>
      </c>
      <c r="I37" s="23">
        <f>I36*(1+Parameters!$B$52)^Parameters!B$71</f>
        <v>8.9782561577833935</v>
      </c>
      <c r="J37" s="23">
        <f>J36*(1+Parameters!$B$54)^Parameters!B$71</f>
        <v>17.345304918616886</v>
      </c>
      <c r="K37" s="23">
        <f>I37*J37*EXP(-Parameters!$B$43*'6states'!A37)*(Parameters!$B$38/Parameters!$B$39*('6states'!E37+'6states'!H37)/Parameters!$E$25*(EXP(-Parameters!$B$39*Parameters!$E$25*'6states'!H37/('6states'!E37+'6states'!H37))-EXP(-Parameters!$B$39*Parameters!$E$25))  +  Parameters!$B$40*'6states'!E37)</f>
        <v>10.698347487031359</v>
      </c>
      <c r="L37" s="8">
        <f>L36+K37*Parameters!B$71</f>
        <v>3039.9922439003112</v>
      </c>
      <c r="M37" s="7">
        <f>L37*Parameters!$B$46</f>
        <v>1.8239953463401866</v>
      </c>
      <c r="N37" s="9">
        <f>EXP(-Parameters!$B$47/2*M37^2)</f>
        <v>0.96711686450776835</v>
      </c>
      <c r="O37" s="8">
        <f>MAX((Parameters!$B$63 + Parameters!$B$31*'6states'!A37 - '6states'!L37 + Parameters!$B$48/Parameters!$B$46)/Parameters!B$63,1)</f>
        <v>21.312155121993779</v>
      </c>
      <c r="P37" s="7">
        <f>Parameters!B$62*EXP(-Parameters!B$61*A37)</f>
        <v>0.20512265112952199</v>
      </c>
      <c r="Q37" s="7">
        <f>(1-Parameters!B$62)*O37^-Parameters!B$64</f>
        <v>0.36821990996940135</v>
      </c>
      <c r="R37" s="7">
        <f>Parameters!B$62*EXP(-Parameters!B$61*A37)+(1-Parameters!B$62)*O37^-Parameters!B$64</f>
        <v>0.57334256109892334</v>
      </c>
      <c r="S37" s="7">
        <f>1-R37/Parameters!$B$12</f>
        <v>0.71332871945053833</v>
      </c>
      <c r="T37" s="7">
        <f t="shared" si="0"/>
        <v>3.4883159487874198</v>
      </c>
      <c r="U37" s="7">
        <f>(Parameters!$B$19*(E37+Parameters!$B$20)^S37+Parameters!$B$18*F37^S37)^(1/S37)</f>
        <v>0.3396930808287536</v>
      </c>
      <c r="V37" s="7">
        <f>(Parameters!$B$10*G37^Parameters!$B$9+Parameters!$B$11*U37^Parameters!$B$9)^(Parameters!$B$7/Parameters!$B$9)*N37</f>
        <v>1.357348005262754</v>
      </c>
      <c r="W37" s="7">
        <f>V37 - C37 - D37 - LN(1+EXP(Parameters!$B$21*B37))/Parameters!$B$21 - IF(B37&gt;0, 0,Parameters!$B$6*B37^2/E37)</f>
        <v>1.0506326038666021</v>
      </c>
      <c r="X37" s="7">
        <f>EXP(-Parameters!$B$56*A37)</f>
        <v>0.60756263876780681</v>
      </c>
      <c r="Y37" s="7">
        <f>IF(W37&gt;0,W37^(1-Parameters!$B$53)/(1-Parameters!$B$53)*X37*Parameters!$B$71,-10+W37*1000)</f>
        <v>-1.7061421387702151</v>
      </c>
      <c r="AA37" s="22">
        <f t="shared" si="15"/>
        <v>4.2973569111957703E-4</v>
      </c>
      <c r="AB37" s="22">
        <f t="shared" si="10"/>
        <v>-1.7426637404244355E-3</v>
      </c>
      <c r="AC37" s="22">
        <f t="shared" si="11"/>
        <v>3.3235684789775788E-4</v>
      </c>
      <c r="AD37" s="22">
        <f t="shared" ref="AD37:AD68" si="32">X37*(AA37^2+AB37^2+AC37^2)</f>
        <v>2.024405244132404E-6</v>
      </c>
      <c r="AE37" s="22">
        <f t="shared" si="16"/>
        <v>-1.2548271397024892E-4</v>
      </c>
      <c r="AF37" s="22">
        <f t="shared" si="12"/>
        <v>-7.0701009387857949E-5</v>
      </c>
      <c r="AG37" s="22">
        <f t="shared" si="13"/>
        <v>5.2255605671340521E-5</v>
      </c>
      <c r="AH37" s="22">
        <f t="shared" ref="AH37:AH68" si="33">X37*(AE37^2+AF37^2+AG37^2)</f>
        <v>1.4262649936047903E-8</v>
      </c>
      <c r="AI37" s="22"/>
      <c r="AK37" s="9"/>
      <c r="AL37" s="9"/>
      <c r="AM37" s="23">
        <f t="shared" si="1"/>
        <v>1.0349217709740519</v>
      </c>
      <c r="AN37" s="23">
        <f t="shared" si="2"/>
        <v>18.38306739977595</v>
      </c>
      <c r="AO37" s="23">
        <f t="shared" si="29"/>
        <v>52.900604132195319</v>
      </c>
      <c r="AP37" s="8">
        <f t="shared" si="4"/>
        <v>211.38060663716635</v>
      </c>
      <c r="AQ37" s="22">
        <f>-X37*V37*W37^(-Parameters!B$53)*Parameters!B$47*Parameters!B$46*M37</f>
        <v>-1.6970499395593758E-5</v>
      </c>
      <c r="AR37" s="7">
        <f>1000*EXP(-(Parameters!$B$55)*'6states'!A37)*AP37*Parameters!B$47*Parameters!B$46*M37</f>
        <v>1.4601345428091019</v>
      </c>
      <c r="AS37" s="7">
        <f>SUM(AR37:AR$204)*EXP(Parameters!$B$55*A37)</f>
        <v>365.60003036690188</v>
      </c>
      <c r="AT37" s="13">
        <f t="shared" si="17"/>
        <v>0.22464229578400713</v>
      </c>
      <c r="AU37">
        <f>(1/$S37-1/Parameters!$B$13) * LN(Parameters!$B$18) / LN(O37)</f>
        <v>0.23290788439028254</v>
      </c>
      <c r="AV37">
        <f>(Parameters!$B$18*'6states'!S37^+Parameters!$B$19*Parameters!$B$25^'6states'!S37)^((1-'6states'!S37)/'6states'!S37)*Parameters!$B$18*Parameters!$B$26^('6states'!S37-1)</f>
        <v>0.27448143700508965</v>
      </c>
      <c r="AW37">
        <f t="shared" ref="AW37:AW68" si="34">(LN(AV37)-LN(AV$4))/ LN(O37)</f>
        <v>0.24501523358465915</v>
      </c>
      <c r="AX37">
        <f t="shared" si="14"/>
        <v>0.14908194138629438</v>
      </c>
      <c r="AY37">
        <f t="shared" si="14"/>
        <v>0.17325256875446249</v>
      </c>
      <c r="AZ37">
        <f>(1/$S37-1/Parameters!$B$13) * LN(Parameters!$B$18) / A37</f>
        <v>2.1591814159977404E-2</v>
      </c>
    </row>
    <row r="38" spans="1:52" x14ac:dyDescent="0.25">
      <c r="A38">
        <f>A37+Parameters!$B$71</f>
        <v>34</v>
      </c>
      <c r="B38" s="20">
        <v>1.1090542826819631E-3</v>
      </c>
      <c r="C38" s="20">
        <v>8.872359381393935E-2</v>
      </c>
      <c r="D38" s="20">
        <v>0.21535334046701279</v>
      </c>
      <c r="E38" s="7">
        <f>MAX((1-Parameters!$B$4)^Parameters!B$71*E37 + B37*Parameters!B$71 - IF(B37&gt;0,Parameters!$B$5,0)*B37^2/E37*Parameters!B$71, 0.0001)</f>
        <v>0.11172769000082951</v>
      </c>
      <c r="F38" s="7">
        <f>(1-Parameters!$B$4)^Parameters!B$71*F37+C37*Parameters!B$71-Parameters!$B$5*C37^2/F37*Parameters!B$71</f>
        <v>1.011000617836622</v>
      </c>
      <c r="G38" s="7">
        <f>(1-Parameters!$B$4)^Parameters!B$71*G37+D37*Parameters!B$71-Parameters!$B$5*D37^2/G37*Parameters!B$71</f>
        <v>3.4000638845834068</v>
      </c>
      <c r="H38" s="9">
        <f>MAX(H37 * (1-Parameters!$B$4) ^ Parameters!B$71 + (LN(1+EXP(Parameters!$B$21*(-B37+0.004)))/Parameters!$B$21 -0.004) * Parameters!B$71,0)</f>
        <v>6.2804321530341824E-3</v>
      </c>
      <c r="I38" s="23">
        <f>I37*(1+Parameters!$B$52)^Parameters!B$71</f>
        <v>9.0042931006409646</v>
      </c>
      <c r="J38" s="23">
        <f>J37*(1+Parameters!$B$54)^Parameters!B$71</f>
        <v>17.692211016989223</v>
      </c>
      <c r="K38" s="23">
        <f>I38*J38*EXP(-Parameters!$B$43*'6states'!A38)*(Parameters!$B$38/Parameters!$B$39*('6states'!E38+'6states'!H38)/Parameters!$E$25*(EXP(-Parameters!$B$39*Parameters!$E$25*'6states'!H38/('6states'!E38+'6states'!H38))-EXP(-Parameters!$B$39*Parameters!$E$25))  +  Parameters!$B$40*'6states'!E38)</f>
        <v>10.255912576472353</v>
      </c>
      <c r="L38" s="8">
        <f>L37+K38*Parameters!B$71</f>
        <v>3050.2481564767836</v>
      </c>
      <c r="M38" s="7">
        <f>L38*Parameters!$B$46</f>
        <v>1.8301488938860699</v>
      </c>
      <c r="N38" s="9">
        <f>EXP(-Parameters!$B$47/2*M38^2)</f>
        <v>0.96689833645580325</v>
      </c>
      <c r="O38" s="8">
        <f>MAX((Parameters!$B$63 + Parameters!$B$31*'6states'!A38 - '6states'!L38 + Parameters!$B$48/Parameters!$B$46)/Parameters!B$63,1)</f>
        <v>22.171036870464331</v>
      </c>
      <c r="P38" s="7">
        <f>Parameters!B$62*EXP(-Parameters!B$61*A38)</f>
        <v>0.19965843836819494</v>
      </c>
      <c r="Q38" s="7">
        <f>(1-Parameters!B$62)*O38^-Parameters!B$64</f>
        <v>0.36676797201105116</v>
      </c>
      <c r="R38" s="7">
        <f>Parameters!B$62*EXP(-Parameters!B$61*A38)+(1-Parameters!B$62)*O38^-Parameters!B$64</f>
        <v>0.56642641037924613</v>
      </c>
      <c r="S38" s="7">
        <f>1-R38/Parameters!$B$12</f>
        <v>0.71678679481037699</v>
      </c>
      <c r="T38" s="7">
        <f t="shared" si="0"/>
        <v>3.5309088053661144</v>
      </c>
      <c r="U38" s="7">
        <f>(Parameters!$B$19*(E38+Parameters!$B$20)^S38+Parameters!$B$18*F38^S38)^(1/S38)</f>
        <v>0.33855016031714086</v>
      </c>
      <c r="V38" s="7">
        <f>(Parameters!$B$10*G38^Parameters!$B$9+Parameters!$B$11*U38^Parameters!$B$9)^(Parameters!$B$7/Parameters!$B$9)*N38</f>
        <v>1.3555360598279127</v>
      </c>
      <c r="W38" s="7">
        <f>V38 - C38 - D38 - LN(1+EXP(Parameters!$B$21*B38))/Parameters!$B$21 - IF(B38&gt;0, 0,Parameters!$B$6*B38^2/E38)</f>
        <v>1.04854819394619</v>
      </c>
      <c r="X38" s="7">
        <f>EXP(-Parameters!$B$56*A38)</f>
        <v>0.59845736077844469</v>
      </c>
      <c r="Y38" s="7">
        <f>IF(W38&gt;0,W38^(1-Parameters!$B$53)/(1-Parameters!$B$53)*X38*Parameters!$B$71,-10+W38*1000)</f>
        <v>-1.6817414556180776</v>
      </c>
      <c r="AA38" s="22">
        <f t="shared" si="15"/>
        <v>4.4489023796244649E-4</v>
      </c>
      <c r="AB38" s="22">
        <f t="shared" si="10"/>
        <v>-1.5864413661937082E-3</v>
      </c>
      <c r="AC38" s="22">
        <f t="shared" si="11"/>
        <v>3.1555577441209903E-4</v>
      </c>
      <c r="AD38" s="22">
        <f t="shared" si="32"/>
        <v>1.684237939395655E-6</v>
      </c>
      <c r="AE38" s="22">
        <f t="shared" ref="AE38:AE69" si="35">B38/E38-2*B37/E37+B36/E36</f>
        <v>1.515454684286946E-5</v>
      </c>
      <c r="AF38" s="22">
        <f t="shared" ref="AF38:AF69" si="36">C38/F38-2*C37/F37+C36/F36</f>
        <v>1.5622237423072727E-4</v>
      </c>
      <c r="AG38" s="22">
        <f t="shared" ref="AG38:AG69" si="37">D38/G38-2*D37/G37+D36/G36</f>
        <v>-1.6801073485658846E-5</v>
      </c>
      <c r="AH38" s="22">
        <f t="shared" si="33"/>
        <v>1.4911981435371549E-8</v>
      </c>
      <c r="AI38" s="22"/>
      <c r="AK38" s="9"/>
      <c r="AL38" s="9"/>
      <c r="AM38" s="23">
        <f t="shared" si="1"/>
        <v>1.0005096050868558</v>
      </c>
      <c r="AN38" s="23">
        <f t="shared" si="2"/>
        <v>17.798875025819925</v>
      </c>
      <c r="AO38" s="23">
        <f t="shared" si="29"/>
        <v>53.933022274168138</v>
      </c>
      <c r="AP38" s="8">
        <f t="shared" si="4"/>
        <v>215.94482909017677</v>
      </c>
      <c r="AQ38" s="22">
        <f>-X38*V38*W38^(-Parameters!B$53)*Parameters!B$47*Parameters!B$46*M38</f>
        <v>-1.6795142162921633E-5</v>
      </c>
      <c r="AR38" s="7">
        <f>1000*EXP(-(Parameters!$B$55)*'6states'!A38)*AP38*Parameters!B$47*Parameters!B$46*M38</f>
        <v>1.4450720657607876</v>
      </c>
      <c r="AS38" s="7">
        <f>SUM(AR38:AR$204)*EXP(Parameters!$B$55*A38)</f>
        <v>373.84453397484174</v>
      </c>
      <c r="AT38" s="13">
        <f t="shared" si="17"/>
        <v>0.22514044266913705</v>
      </c>
      <c r="AU38">
        <f>(1/$S38-1/Parameters!$B$13) * LN(Parameters!$B$18) / LN(O38)</f>
        <v>0.23253835133170189</v>
      </c>
      <c r="AV38">
        <f>(Parameters!$B$18*'6states'!S38^+Parameters!$B$19*Parameters!$B$25^'6states'!S38)^((1-'6states'!S38)/'6states'!S38)*Parameters!$B$18*Parameters!$B$26^('6states'!S38-1)</f>
        <v>0.27593674671177426</v>
      </c>
      <c r="AW38">
        <f t="shared" si="34"/>
        <v>0.24359779709358206</v>
      </c>
      <c r="AX38">
        <f t="shared" si="14"/>
        <v>0.1488639586400563</v>
      </c>
      <c r="AY38">
        <f t="shared" si="14"/>
        <v>0.17408612462360828</v>
      </c>
      <c r="AZ38">
        <f>(1/$S38-1/Parameters!$B$13) * LN(Parameters!$B$18) / A38</f>
        <v>2.1193728577944021E-2</v>
      </c>
    </row>
    <row r="39" spans="1:52" x14ac:dyDescent="0.25">
      <c r="A39">
        <f>A38+Parameters!$B$71</f>
        <v>35</v>
      </c>
      <c r="B39" s="9">
        <f>B38+(B40-B38)/2</f>
        <v>1.0910540604322579E-3</v>
      </c>
      <c r="C39" s="9">
        <f t="shared" ref="C39" si="38">C38+(C40-C38)/2</f>
        <v>8.8783627569477386E-2</v>
      </c>
      <c r="D39" s="9">
        <f t="shared" ref="D39" si="39">D38+(D40-D38)/2</f>
        <v>0.21562043938949027</v>
      </c>
      <c r="E39" s="7">
        <f>MAX((1-Parameters!$B$4)^Parameters!B$71*E38 + B38*Parameters!B$71 - IF(B38&gt;0,Parameters!$B$5,0)*B38^2/E38*Parameters!B$71, 0.0001)</f>
        <v>0.10579806366066088</v>
      </c>
      <c r="F39" s="7">
        <f>(1-Parameters!$B$4)^Parameters!B$71*F38+C38*Parameters!B$71-Parameters!$B$5*C38^2/F38*Parameters!B$71</f>
        <v>1.0283460499512023</v>
      </c>
      <c r="G39" s="7">
        <f>(1-Parameters!$B$4)^Parameters!B$71*G38+D38*Parameters!B$71-Parameters!$B$5*D38^2/G38*Parameters!B$71</f>
        <v>3.3879131508686484</v>
      </c>
      <c r="H39" s="9">
        <f>MAX(H38 * (1-Parameters!$B$4) ^ Parameters!B$71 + (LN(1+EXP(Parameters!$B$21*(-B38+0.004)))/Parameters!$B$21 -0.004) * Parameters!B$71,0)</f>
        <v>5.9454087412109235E-3</v>
      </c>
      <c r="I39" s="23">
        <f>I38*(1+Parameters!$B$52)^Parameters!B$71</f>
        <v>9.0304055506328229</v>
      </c>
      <c r="J39" s="23">
        <f>J38*(1+Parameters!$B$54)^Parameters!B$71</f>
        <v>18.046055237329007</v>
      </c>
      <c r="K39" s="23">
        <f>I39*J39*EXP(-Parameters!$B$43*'6states'!A39)*(Parameters!$B$38/Parameters!$B$39*('6states'!E39+'6states'!H39)/Parameters!$E$25*(EXP(-Parameters!$B$39*Parameters!$E$25*'6states'!H39/('6states'!E39+'6states'!H39))-EXP(-Parameters!$B$39*Parameters!$E$25))  +  Parameters!$B$40*'6states'!E39)</f>
        <v>9.8358291501846331</v>
      </c>
      <c r="L39" s="8">
        <f>L38+K39*Parameters!B$71</f>
        <v>3060.0839856269681</v>
      </c>
      <c r="M39" s="7">
        <f>L39*Parameters!$B$46</f>
        <v>1.8360503913761808</v>
      </c>
      <c r="N39" s="9">
        <f>EXP(-Parameters!$B$47/2*M39^2)</f>
        <v>0.9666881145573395</v>
      </c>
      <c r="O39" s="8">
        <f>MAX((Parameters!$B$63 + Parameters!$B$31*'6states'!A39 - '6states'!L39 + Parameters!$B$48/Parameters!$B$46)/Parameters!B$63,1)</f>
        <v>23.038320287460639</v>
      </c>
      <c r="P39" s="7">
        <f>Parameters!B$62*EXP(-Parameters!B$61*A39)</f>
        <v>0.19433978545087652</v>
      </c>
      <c r="Q39" s="7">
        <f>(1-Parameters!B$62)*O39^-Parameters!B$64</f>
        <v>0.36536330164443043</v>
      </c>
      <c r="R39" s="7">
        <f>Parameters!B$62*EXP(-Parameters!B$61*A39)+(1-Parameters!B$62)*O39^-Parameters!B$64</f>
        <v>0.55970308709530692</v>
      </c>
      <c r="S39" s="7">
        <f>1-R39/Parameters!$B$12</f>
        <v>0.7201484564523466</v>
      </c>
      <c r="T39" s="7">
        <f t="shared" si="0"/>
        <v>3.5733231531371525</v>
      </c>
      <c r="U39" s="7">
        <f>(Parameters!$B$19*(E39+Parameters!$B$20)^S39+Parameters!$B$18*F39^S39)^(1/S39)</f>
        <v>0.33750032757450038</v>
      </c>
      <c r="V39" s="7">
        <f>(Parameters!$B$10*G39^Parameters!$B$9+Parameters!$B$11*U39^Parameters!$B$9)^(Parameters!$B$7/Parameters!$B$9)*N39</f>
        <v>1.3538487873703746</v>
      </c>
      <c r="W39" s="7">
        <f>V39 - C39 - D39 - LN(1+EXP(Parameters!$B$21*B39))/Parameters!$B$21 - IF(B39&gt;0, 0,Parameters!$B$6*B39^2/E39)</f>
        <v>1.0465442606790221</v>
      </c>
      <c r="X39" s="7">
        <f>EXP(-Parameters!$B$56*A39)</f>
        <v>0.58948853964467807</v>
      </c>
      <c r="Y39" s="7">
        <f>IF(W39&gt;0,W39^(1-Parameters!$B$53)/(1-Parameters!$B$53)*X39*Parameters!$B$71,-10+W39*1000)</f>
        <v>-1.6576474193258883</v>
      </c>
      <c r="AA39" s="22">
        <f t="shared" si="15"/>
        <v>3.8620413203643671E-4</v>
      </c>
      <c r="AB39" s="22">
        <f t="shared" si="10"/>
        <v>-1.4218658541326201E-3</v>
      </c>
      <c r="AC39" s="22">
        <f t="shared" si="11"/>
        <v>3.0600029716874866E-4</v>
      </c>
      <c r="AD39" s="22">
        <f t="shared" si="32"/>
        <v>1.3348922711174957E-6</v>
      </c>
      <c r="AE39" s="22">
        <f t="shared" si="35"/>
        <v>-5.8686105926009785E-5</v>
      </c>
      <c r="AF39" s="22">
        <f t="shared" si="36"/>
        <v>1.6457551206108811E-4</v>
      </c>
      <c r="AG39" s="22">
        <f t="shared" si="37"/>
        <v>-9.5554772433503743E-6</v>
      </c>
      <c r="AH39" s="22">
        <f t="shared" si="33"/>
        <v>1.8050413399037961E-8</v>
      </c>
      <c r="AI39" s="22"/>
      <c r="AK39" s="9"/>
      <c r="AL39" s="9"/>
      <c r="AM39" s="23">
        <f t="shared" si="1"/>
        <v>0.9688828182118272</v>
      </c>
      <c r="AN39" s="23">
        <f t="shared" si="2"/>
        <v>17.241190730987093</v>
      </c>
      <c r="AO39" s="23">
        <f t="shared" si="29"/>
        <v>55.000132499081268</v>
      </c>
      <c r="AP39" s="8">
        <f t="shared" si="4"/>
        <v>220.62752716189371</v>
      </c>
      <c r="AQ39" s="22">
        <f>-X39*V39*W39^(-Parameters!B$53)*Parameters!B$47*Parameters!B$46*M39</f>
        <v>-1.6618991681076133E-5</v>
      </c>
      <c r="AR39" s="7">
        <f>1000*EXP(-(Parameters!$B$55)*'6states'!A39)*AP39*Parameters!B$47*Parameters!B$46*M39</f>
        <v>1.4300816386424451</v>
      </c>
      <c r="AS39" s="7">
        <f>SUM(AR39:AR$204)*EXP(Parameters!$B$55*A39)</f>
        <v>382.26297251623453</v>
      </c>
      <c r="AT39" s="13">
        <f t="shared" si="17"/>
        <v>0.22564936636149241</v>
      </c>
      <c r="AU39">
        <f>(1/$S39-1/Parameters!$B$13) * LN(Parameters!$B$18) / LN(O39)</f>
        <v>0.23216703047131729</v>
      </c>
      <c r="AV39">
        <f>(Parameters!$B$18*'6states'!S39^+Parameters!$B$19*Parameters!$B$25^'6states'!S39)^((1-'6states'!S39)/'6states'!S39)*Parameters!$B$18*Parameters!$B$26^('6states'!S39-1)</f>
        <v>0.27732057969347412</v>
      </c>
      <c r="AW39">
        <f t="shared" si="34"/>
        <v>0.24221282913739051</v>
      </c>
      <c r="AX39">
        <f t="shared" si="14"/>
        <v>0.14864486504543672</v>
      </c>
      <c r="AY39">
        <f t="shared" si="14"/>
        <v>0.17487796132918276</v>
      </c>
      <c r="AZ39">
        <f>(1/$S39-1/Parameters!$B$13) * LN(Parameters!$B$18) / A39</f>
        <v>2.0809853504510253E-2</v>
      </c>
    </row>
    <row r="40" spans="1:52" x14ac:dyDescent="0.25">
      <c r="A40">
        <f>A39+Parameters!$B$71</f>
        <v>36</v>
      </c>
      <c r="B40" s="20">
        <v>1.0730538381825525E-3</v>
      </c>
      <c r="C40" s="20">
        <v>8.8843661325015422E-2</v>
      </c>
      <c r="D40" s="20">
        <v>0.21588753831196772</v>
      </c>
      <c r="E40" s="7">
        <f>MAX((1-Parameters!$B$4)^Parameters!B$71*E39 + B39*Parameters!B$71 - IF(B39&gt;0,Parameters!$B$5,0)*B39^2/E39*Parameters!B$71, 0.0001)</f>
        <v>0.10022316790294601</v>
      </c>
      <c r="F40" s="7">
        <f>(1-Parameters!$B$4)^Parameters!B$71*F39+C39*Parameters!B$71-Parameters!$B$5*C39^2/F39*Parameters!B$71</f>
        <v>1.0447814580954713</v>
      </c>
      <c r="G40" s="7">
        <f>(1-Parameters!$B$4)^Parameters!B$71*G39+D39*Parameters!B$71-Parameters!$B$5*D39^2/G39*Parameters!B$71</f>
        <v>3.3767108997895492</v>
      </c>
      <c r="H40" s="9">
        <f>MAX(H39 * (1-Parameters!$B$4) ^ Parameters!B$71 + (LN(1+EXP(Parameters!$B$21*(-B39+0.004)))/Parameters!$B$21 -0.004) * Parameters!B$71,0)</f>
        <v>5.644143818451703E-3</v>
      </c>
      <c r="I40" s="23">
        <f>I39*(1+Parameters!$B$52)^Parameters!B$71</f>
        <v>9.0565937267296572</v>
      </c>
      <c r="J40" s="23">
        <f>J39*(1+Parameters!$B$54)^Parameters!B$71</f>
        <v>18.406976342075588</v>
      </c>
      <c r="K40" s="23">
        <f>I40*J40*EXP(-Parameters!$B$43*'6states'!A40)*(Parameters!$B$38/Parameters!$B$39*('6states'!E40+'6states'!H40)/Parameters!$E$25*(EXP(-Parameters!$B$39*Parameters!$E$25*'6states'!H40/('6states'!E40+'6states'!H40))-EXP(-Parameters!$B$39*Parameters!$E$25))  +  Parameters!$B$40*'6states'!E40)</f>
        <v>9.435824143488281</v>
      </c>
      <c r="L40" s="8">
        <f>L39+K40*Parameters!B$71</f>
        <v>3069.5198097704565</v>
      </c>
      <c r="M40" s="7">
        <f>L40*Parameters!$B$46</f>
        <v>1.8417118858622736</v>
      </c>
      <c r="N40" s="9">
        <f>EXP(-Parameters!$B$47/2*M40^2)</f>
        <v>0.96648584908897583</v>
      </c>
      <c r="O40" s="8">
        <f>MAX((Parameters!$B$63 + Parameters!$B$31*'6states'!A40 - '6states'!L40 + Parameters!$B$48/Parameters!$B$46)/Parameters!B$63,1)</f>
        <v>23.913603804590871</v>
      </c>
      <c r="P40" s="7">
        <f>Parameters!B$62*EXP(-Parameters!B$61*A40)</f>
        <v>0.18916281484403841</v>
      </c>
      <c r="Q40" s="7">
        <f>(1-Parameters!B$62)*O40^-Parameters!B$64</f>
        <v>0.36400345124608213</v>
      </c>
      <c r="R40" s="7">
        <f>Parameters!B$62*EXP(-Parameters!B$61*A40)+(1-Parameters!B$62)*O40^-Parameters!B$64</f>
        <v>0.55316626609012054</v>
      </c>
      <c r="S40" s="7">
        <f>1-R40/Parameters!$B$12</f>
        <v>0.72341686695493967</v>
      </c>
      <c r="T40" s="7">
        <f t="shared" si="0"/>
        <v>3.6155494696673429</v>
      </c>
      <c r="U40" s="7">
        <f>(Parameters!$B$19*(E40+Parameters!$B$20)^S40+Parameters!$B$18*F40^S40)^(1/S40)</f>
        <v>0.3365381287168549</v>
      </c>
      <c r="V40" s="7">
        <f>(Parameters!$B$10*G40^Parameters!$B$9+Parameters!$B$11*U40^Parameters!$B$9)^(Parameters!$B$7/Parameters!$B$9)*N40</f>
        <v>1.3522810847339628</v>
      </c>
      <c r="W40" s="7">
        <f>V40 - C40 - D40 - LN(1+EXP(Parameters!$B$21*B40))/Parameters!$B$21 - IF(B40&gt;0, 0,Parameters!$B$6*B40^2/E40)</f>
        <v>1.0446598735718258</v>
      </c>
      <c r="X40" s="7">
        <f>EXP(-Parameters!$B$56*A40)</f>
        <v>0.58065413034674362</v>
      </c>
      <c r="Y40" s="7">
        <f>IF(W40&gt;0,W40^(1-Parameters!$B$53)/(1-Parameters!$B$53)*X40*Parameters!$B$71,-10+W40*1000)</f>
        <v>-1.6338352270072964</v>
      </c>
      <c r="AA40" s="22">
        <f t="shared" si="15"/>
        <v>3.9403561652044151E-4</v>
      </c>
      <c r="AB40" s="22">
        <f t="shared" si="10"/>
        <v>-1.3006922294067913E-3</v>
      </c>
      <c r="AC40" s="22">
        <f t="shared" si="11"/>
        <v>2.9023962451976693E-4</v>
      </c>
      <c r="AD40" s="22">
        <f t="shared" si="32"/>
        <v>1.1214192859241677E-6</v>
      </c>
      <c r="AE40" s="22">
        <f t="shared" si="35"/>
        <v>7.8314844840048081E-6</v>
      </c>
      <c r="AF40" s="22">
        <f t="shared" si="36"/>
        <v>1.2117362472582882E-4</v>
      </c>
      <c r="AG40" s="22">
        <f t="shared" si="37"/>
        <v>-1.5760672648981733E-5</v>
      </c>
      <c r="AH40" s="22">
        <f t="shared" si="33"/>
        <v>8.7056186341006344E-9</v>
      </c>
      <c r="AI40" s="22"/>
      <c r="AK40" s="9"/>
      <c r="AL40" s="9"/>
      <c r="AM40" s="23">
        <f t="shared" si="1"/>
        <v>0.9409042096877277</v>
      </c>
      <c r="AN40" s="23">
        <f t="shared" si="2"/>
        <v>16.707653741890347</v>
      </c>
      <c r="AO40" s="23">
        <f t="shared" si="29"/>
        <v>56.102422655307592</v>
      </c>
      <c r="AP40" s="8">
        <f t="shared" si="4"/>
        <v>225.43135083618529</v>
      </c>
      <c r="AQ40" s="22">
        <f>-X40*V40*W40^(-Parameters!B$53)*Parameters!B$47*Parameters!B$46*M40</f>
        <v>-1.6441345610289852E-5</v>
      </c>
      <c r="AR40" s="7">
        <f>1000*EXP(-(Parameters!$B$55)*'6states'!A40)*AP40*Parameters!B$47*Parameters!B$46*M40</f>
        <v>1.4151706235970307</v>
      </c>
      <c r="AS40" s="7">
        <f>SUM(AR40:AR$204)*EXP(Parameters!$B$55*A40)</f>
        <v>390.85883501586903</v>
      </c>
      <c r="AT40" s="13">
        <f t="shared" si="17"/>
        <v>0.22613956294103399</v>
      </c>
      <c r="AU40">
        <f>(1/$S40-1/Parameters!$B$13) * LN(Parameters!$B$18) / LN(O40)</f>
        <v>0.23179423768094851</v>
      </c>
      <c r="AV40">
        <f>(Parameters!$B$18*'6states'!S40^+Parameters!$B$19*Parameters!$B$25^'6states'!S40)^((1-'6states'!S40)/'6states'!S40)*Parameters!$B$18*Parameters!$B$26^('6states'!S40-1)</f>
        <v>0.27863688673316805</v>
      </c>
      <c r="AW40">
        <f t="shared" si="34"/>
        <v>0.24085937147341047</v>
      </c>
      <c r="AX40">
        <f t="shared" si="14"/>
        <v>0.14842484622211827</v>
      </c>
      <c r="AY40">
        <f t="shared" si="14"/>
        <v>0.17563045481241668</v>
      </c>
      <c r="AZ40">
        <f>(1/$S40-1/Parameters!$B$13) * LN(Parameters!$B$18) / A40</f>
        <v>2.0439406580428733E-2</v>
      </c>
    </row>
    <row r="41" spans="1:52" x14ac:dyDescent="0.25">
      <c r="A41">
        <f>A40+Parameters!$B$71</f>
        <v>37</v>
      </c>
      <c r="B41" s="9">
        <f>B40+(B42-B40)/2</f>
        <v>1.086219799249416E-3</v>
      </c>
      <c r="C41" s="9">
        <f t="shared" ref="C41" si="40">C40+(C42-C40)/2</f>
        <v>8.8849398241823752E-2</v>
      </c>
      <c r="D41" s="9">
        <f t="shared" ref="D41" si="41">D40+(D42-D40)/2</f>
        <v>0.21615182860679724</v>
      </c>
      <c r="E41" s="7">
        <f>MAX((1-Parameters!$B$4)^Parameters!B$71*E40 + B40*Parameters!B$71 - IF(B40&gt;0,Parameters!$B$5,0)*B40^2/E40*Parameters!B$71, 0.0001)</f>
        <v>9.4980695673964471E-2</v>
      </c>
      <c r="F41" s="7">
        <f>(1-Parameters!$B$4)^Parameters!B$71*F40+C40*Parameters!B$71-Parameters!$B$5*C40^2/F40*Parameters!B$71</f>
        <v>1.0603534879885794</v>
      </c>
      <c r="G41" s="7">
        <f>(1-Parameters!$B$4)^Parameters!B$71*G40+D40*Parameters!B$71-Parameters!$B$5*D40^2/G40*Parameters!B$71</f>
        <v>3.3664007108564475</v>
      </c>
      <c r="H41" s="9">
        <f>MAX(H40 * (1-Parameters!$B$4) ^ Parameters!B$71 + (LN(1+EXP(Parameters!$B$21*(-B40+0.004)))/Parameters!$B$21 -0.004) * Parameters!B$71,0)</f>
        <v>5.3745341793339542E-3</v>
      </c>
      <c r="I41" s="23">
        <f>I40*(1+Parameters!$B$52)^Parameters!B$71</f>
        <v>9.0828578485371718</v>
      </c>
      <c r="J41" s="23">
        <f>J40*(1+Parameters!$B$54)^Parameters!B$71</f>
        <v>18.775115868917101</v>
      </c>
      <c r="K41" s="23">
        <f>I41*J41*EXP(-Parameters!$B$43*'6states'!A41)*(Parameters!$B$38/Parameters!$B$39*('6states'!E41+'6states'!H41)/Parameters!$E$25*(EXP(-Parameters!$B$39*Parameters!$E$25*'6states'!H41/('6states'!E41+'6states'!H41))-EXP(-Parameters!$B$39*Parameters!$E$25))  +  Parameters!$B$40*'6states'!E41)</f>
        <v>9.0548375150760094</v>
      </c>
      <c r="L41" s="8">
        <f>L40+K41*Parameters!B$71</f>
        <v>3078.5746472855326</v>
      </c>
      <c r="M41" s="7">
        <f>L41*Parameters!$B$46</f>
        <v>1.8471447883713195</v>
      </c>
      <c r="N41" s="9">
        <f>EXP(-Parameters!$B$47/2*M41^2)</f>
        <v>0.96629120486568876</v>
      </c>
      <c r="O41" s="8">
        <f>MAX((Parameters!$B$63 + Parameters!$B$31*'6states'!A41 - '6states'!L41 + Parameters!$B$48/Parameters!$B$46)/Parameters!B$63,1)</f>
        <v>24.79650705428935</v>
      </c>
      <c r="P41" s="7">
        <f>Parameters!B$62*EXP(-Parameters!B$61*A41)</f>
        <v>0.18412375230683145</v>
      </c>
      <c r="Q41" s="7">
        <f>(1-Parameters!B$62)*O41^-Parameters!B$64</f>
        <v>0.36268613506614811</v>
      </c>
      <c r="R41" s="7">
        <f>Parameters!B$62*EXP(-Parameters!B$61*A41)+(1-Parameters!B$62)*O41^-Parameters!B$64</f>
        <v>0.54680988737297953</v>
      </c>
      <c r="S41" s="7">
        <f>1-R41/Parameters!$B$12</f>
        <v>0.72659505631351018</v>
      </c>
      <c r="T41" s="7">
        <f t="shared" si="0"/>
        <v>3.6575783397197386</v>
      </c>
      <c r="U41" s="7">
        <f>(Parameters!$B$19*(E41+Parameters!$B$20)^S41+Parameters!$B$18*F41^S41)^(1/S41)</f>
        <v>0.33566026765476431</v>
      </c>
      <c r="V41" s="7">
        <f>(Parameters!$B$10*G41^Parameters!$B$9+Parameters!$B$11*U41^Parameters!$B$9)^(Parameters!$B$7/Parameters!$B$9)*N41</f>
        <v>1.3508272317880334</v>
      </c>
      <c r="W41" s="7">
        <f>V41 - C41 - D41 - LN(1+EXP(Parameters!$B$21*B41))/Parameters!$B$21 - IF(B41&gt;0, 0,Parameters!$B$6*B41^2/E41)</f>
        <v>1.0429283535729261</v>
      </c>
      <c r="X41" s="7">
        <f>EXP(-Parameters!$B$56*A41)</f>
        <v>0.571952118512703</v>
      </c>
      <c r="Y41" s="7">
        <f>IF(W41&gt;0,W41^(1-Parameters!$B$53)/(1-Parameters!$B$53)*X41*Parameters!$B$71,-10+W41*1000)</f>
        <v>-1.610284314307286</v>
      </c>
      <c r="AA41" s="22">
        <f t="shared" si="15"/>
        <v>7.2957191449640919E-4</v>
      </c>
      <c r="AB41" s="22">
        <f t="shared" si="10"/>
        <v>-1.2433972695812812E-3</v>
      </c>
      <c r="AC41" s="22">
        <f t="shared" si="11"/>
        <v>2.743181078294632E-4</v>
      </c>
      <c r="AD41" s="22">
        <f t="shared" si="32"/>
        <v>1.2317345614191709E-6</v>
      </c>
      <c r="AE41" s="22">
        <f t="shared" si="35"/>
        <v>3.3553629797596768E-4</v>
      </c>
      <c r="AF41" s="22">
        <f t="shared" si="36"/>
        <v>5.7294959825510139E-5</v>
      </c>
      <c r="AG41" s="22">
        <f t="shared" si="37"/>
        <v>-1.5921516690303728E-5</v>
      </c>
      <c r="AH41" s="22">
        <f t="shared" si="33"/>
        <v>6.6415545784940662E-8</v>
      </c>
      <c r="AI41" s="22"/>
      <c r="AK41" s="9"/>
      <c r="AL41" s="9"/>
      <c r="AM41" s="23">
        <f t="shared" si="1"/>
        <v>0.9165284961395902</v>
      </c>
      <c r="AN41" s="23">
        <f t="shared" si="2"/>
        <v>16.197220310382104</v>
      </c>
      <c r="AO41" s="23">
        <f t="shared" si="29"/>
        <v>57.240718927860343</v>
      </c>
      <c r="AP41" s="8">
        <f t="shared" si="4"/>
        <v>230.35887576186582</v>
      </c>
      <c r="AQ41" s="22">
        <f>-X41*V41*W41^(-Parameters!B$53)*Parameters!B$47*Parameters!B$46*M41</f>
        <v>-1.6261634149223522E-5</v>
      </c>
      <c r="AR41" s="7">
        <f>1000*EXP(-(Parameters!$B$55)*'6states'!A41)*AP41*Parameters!B$47*Parameters!B$46*M41</f>
        <v>1.4003447045358779</v>
      </c>
      <c r="AS41" s="7">
        <f>SUM(AR41:AR$204)*EXP(Parameters!$B$55*A41)</f>
        <v>399.63565828207487</v>
      </c>
      <c r="AT41" s="13">
        <f t="shared" si="17"/>
        <v>0.22659259411191709</v>
      </c>
      <c r="AU41">
        <f>(1/$S41-1/Parameters!$B$13) * LN(Parameters!$B$18) / LN(O41)</f>
        <v>0.23142024120431656</v>
      </c>
      <c r="AV41">
        <f>(Parameters!$B$18*'6states'!S41^+Parameters!$B$19*Parameters!$B$25^'6states'!S41)^((1-'6states'!S41)/'6states'!S41)*Parameters!$B$18*Parameters!$B$26^('6states'!S41-1)</f>
        <v>0.27988938029915478</v>
      </c>
      <c r="AW41">
        <f t="shared" si="34"/>
        <v>0.23953647478554357</v>
      </c>
      <c r="AX41">
        <f t="shared" si="14"/>
        <v>0.14820405985843788</v>
      </c>
      <c r="AY41">
        <f t="shared" si="14"/>
        <v>0.17634583086578681</v>
      </c>
      <c r="AZ41">
        <f>(1/$S41-1/Parameters!$B$13) * LN(Parameters!$B$18) / A41</f>
        <v>2.0081665300073766E-2</v>
      </c>
    </row>
    <row r="42" spans="1:52" x14ac:dyDescent="0.25">
      <c r="A42">
        <f>A41+Parameters!$B$71</f>
        <v>38</v>
      </c>
      <c r="B42" s="20">
        <v>1.0993857603162794E-3</v>
      </c>
      <c r="C42" s="20">
        <v>8.8855135158632095E-2</v>
      </c>
      <c r="D42" s="20">
        <v>0.21641611890162676</v>
      </c>
      <c r="E42" s="7">
        <f>MAX((1-Parameters!$B$4)^Parameters!B$71*E41 + B41*Parameters!B$71 - IF(B41&gt;0,Parameters!$B$5,0)*B41^2/E41*Parameters!B$71, 0.0001)</f>
        <v>9.0080207470528431E-2</v>
      </c>
      <c r="F42" s="7">
        <f>(1-Parameters!$B$4)^Parameters!B$71*F41+C41*Parameters!B$71-Parameters!$B$5*C41^2/F41*Parameters!B$71</f>
        <v>1.0750617613749971</v>
      </c>
      <c r="G42" s="7">
        <f>(1-Parameters!$B$4)^Parameters!B$71*G41+D41*Parameters!B$71-Parameters!$B$5*D41^2/G41*Parameters!B$71</f>
        <v>3.3569271315350036</v>
      </c>
      <c r="H42" s="9">
        <f>MAX(H41 * (1-Parameters!$B$4) ^ Parameters!B$71 + (LN(1+EXP(Parameters!$B$21*(-B41+0.004)))/Parameters!$B$21 -0.004) * Parameters!B$71,0)</f>
        <v>5.1125876179222542E-3</v>
      </c>
      <c r="I42" s="23">
        <f>I41*(1+Parameters!$B$52)^Parameters!B$71</f>
        <v>9.1091981362979286</v>
      </c>
      <c r="J42" s="23">
        <f>J41*(1+Parameters!$B$54)^Parameters!B$71</f>
        <v>19.150618186295443</v>
      </c>
      <c r="K42" s="23">
        <f>I42*J42*EXP(-Parameters!$B$43*'6states'!A42)*(Parameters!$B$38/Parameters!$B$39*('6states'!E42+'6states'!H42)/Parameters!$E$25*(EXP(-Parameters!$B$39*Parameters!$E$25*'6states'!H42/('6states'!E42+'6states'!H42))-EXP(-Parameters!$B$39*Parameters!$E$25))  +  Parameters!$B$40*'6states'!E42)</f>
        <v>8.6963832392545406</v>
      </c>
      <c r="L42" s="8">
        <f>L41+K42*Parameters!B$71</f>
        <v>3087.271030524787</v>
      </c>
      <c r="M42" s="7">
        <f>L42*Parameters!$B$46</f>
        <v>1.852362618314872</v>
      </c>
      <c r="N42" s="9">
        <f>EXP(-Parameters!$B$47/2*M42^2)</f>
        <v>0.96610376335122494</v>
      </c>
      <c r="O42" s="8">
        <f>MAX((Parameters!$B$63 + Parameters!$B$31*'6states'!A42 - '6states'!L42 + Parameters!$B$48/Parameters!$B$46)/Parameters!B$63,1)</f>
        <v>25.686579389504267</v>
      </c>
      <c r="P42" s="7">
        <f>Parameters!B$62*EXP(-Parameters!B$61*A42)</f>
        <v>0.17921892413949694</v>
      </c>
      <c r="Q42" s="7">
        <f>(1-Parameters!B$62)*O42^-Parameters!B$64</f>
        <v>0.36140934411338005</v>
      </c>
      <c r="R42" s="7">
        <f>Parameters!B$62*EXP(-Parameters!B$61*A42)+(1-Parameters!B$62)*O42^-Parameters!B$64</f>
        <v>0.54062826825287702</v>
      </c>
      <c r="S42" s="7">
        <f>1-R42/Parameters!$B$12</f>
        <v>0.72968586587356143</v>
      </c>
      <c r="T42" s="7">
        <f t="shared" si="0"/>
        <v>3.6993996012515322</v>
      </c>
      <c r="U42" s="7">
        <f>(Parameters!$B$19*(E42+Parameters!$B$20)^S42+Parameters!$B$18*F42^S42)^(1/S42)</f>
        <v>0.33488264706506798</v>
      </c>
      <c r="V42" s="7">
        <f>(Parameters!$B$10*G42^Parameters!$B$9+Parameters!$B$11*U42^Parameters!$B$9)^(Parameters!$B$7/Parameters!$B$9)*N42</f>
        <v>1.3494888409775339</v>
      </c>
      <c r="W42" s="7">
        <f>V42 - C42 - D42 - LN(1+EXP(Parameters!$B$21*B42))/Parameters!$B$21 - IF(B42&gt;0, 0,Parameters!$B$6*B42^2/E42)</f>
        <v>1.0413122830478876</v>
      </c>
      <c r="X42" s="7">
        <f>EXP(-Parameters!$B$56*A42)</f>
        <v>0.56338051995913718</v>
      </c>
      <c r="Y42" s="7">
        <f>IF(W42&gt;0,W42^(1-Parameters!$B$53)/(1-Parameters!$B$53)*X42*Parameters!$B$71,-10+W42*1000)</f>
        <v>-1.5870128198816016</v>
      </c>
      <c r="AA42" s="22">
        <f t="shared" si="15"/>
        <v>7.683042376438274E-4</v>
      </c>
      <c r="AB42" s="22">
        <f t="shared" si="10"/>
        <v>-1.1410528774924988E-3</v>
      </c>
      <c r="AC42" s="22">
        <f t="shared" si="11"/>
        <v>2.5993278691013866E-4</v>
      </c>
      <c r="AD42" s="22">
        <f t="shared" si="32"/>
        <v>1.1041458892417359E-6</v>
      </c>
      <c r="AE42" s="22">
        <f t="shared" si="35"/>
        <v>3.8732323147418202E-5</v>
      </c>
      <c r="AF42" s="22">
        <f t="shared" si="36"/>
        <v>1.0234439208878232E-4</v>
      </c>
      <c r="AG42" s="22">
        <f t="shared" si="37"/>
        <v>-1.438532091932454E-5</v>
      </c>
      <c r="AH42" s="22">
        <f t="shared" si="33"/>
        <v>6.8628225680357324E-9</v>
      </c>
      <c r="AI42" s="22"/>
      <c r="AK42" s="9"/>
      <c r="AL42" s="9"/>
      <c r="AM42" s="23">
        <f t="shared" si="1"/>
        <v>0.89187442436459086</v>
      </c>
      <c r="AN42" s="23">
        <f t="shared" si="2"/>
        <v>15.714201728844028</v>
      </c>
      <c r="AO42" s="23">
        <f t="shared" si="29"/>
        <v>58.419197948577782</v>
      </c>
      <c r="AP42" s="8">
        <f t="shared" si="4"/>
        <v>235.41397687036752</v>
      </c>
      <c r="AQ42" s="22">
        <f>-X42*V42*W42^(-Parameters!B$53)*Parameters!B$47*Parameters!B$46*M42</f>
        <v>-1.608089075986832E-5</v>
      </c>
      <c r="AR42" s="7">
        <f>1000*EXP(-(Parameters!$B$55)*'6states'!A42)*AP42*Parameters!B$47*Parameters!B$46*M42</f>
        <v>1.3856182024958712</v>
      </c>
      <c r="AS42" s="7">
        <f>SUM(AR42:AR$204)*EXP(Parameters!$B$55*A42)</f>
        <v>408.59703071626359</v>
      </c>
      <c r="AT42" s="13">
        <f t="shared" si="17"/>
        <v>0.22702717541454315</v>
      </c>
      <c r="AU42">
        <f>(1/$S42-1/Parameters!$B$13) * LN(Parameters!$B$18) / LN(O42)</f>
        <v>0.23104547758290034</v>
      </c>
      <c r="AV42">
        <f>(Parameters!$B$18*'6states'!S42^+Parameters!$B$19*Parameters!$B$25^'6states'!S42)^((1-'6states'!S42)/'6states'!S42)*Parameters!$B$18*Parameters!$B$26^('6states'!S42-1)</f>
        <v>0.28108152543117548</v>
      </c>
      <c r="AW42">
        <f t="shared" si="34"/>
        <v>0.23824343710622486</v>
      </c>
      <c r="AX42">
        <f t="shared" si="14"/>
        <v>0.14798276319673165</v>
      </c>
      <c r="AY42">
        <f t="shared" si="14"/>
        <v>0.17702616156497697</v>
      </c>
      <c r="AZ42">
        <f>(1/$S42-1/Parameters!$B$13) * LN(Parameters!$B$18) / A42</f>
        <v>1.9735957305176507E-2</v>
      </c>
    </row>
    <row r="43" spans="1:52" x14ac:dyDescent="0.25">
      <c r="A43">
        <f>A42+Parameters!$B$71</f>
        <v>39</v>
      </c>
      <c r="B43" s="9">
        <f>B42+(B44-B42)/2</f>
        <v>1.1758840616473525E-3</v>
      </c>
      <c r="C43" s="9">
        <f t="shared" ref="C43" si="42">C42+(C44-C42)/2</f>
        <v>8.8851344663242987E-2</v>
      </c>
      <c r="D43" s="9">
        <f t="shared" ref="D43" si="43">D42+(D44-D42)/2</f>
        <v>0.21662710163831472</v>
      </c>
      <c r="E43" s="7">
        <f>MAX((1-Parameters!$B$4)^Parameters!B$71*E42 + B42*Parameters!B$71 - IF(B42&gt;0,Parameters!$B$5,0)*B42^2/E42*Parameters!B$71, 0.0001)</f>
        <v>8.5500130704635691E-2</v>
      </c>
      <c r="F43" s="7">
        <f>(1-Parameters!$B$4)^Parameters!B$71*F42+C42*Parameters!B$71-Parameters!$B$5*C42^2/F42*Parameters!B$71</f>
        <v>1.088951528980737</v>
      </c>
      <c r="G43" s="7">
        <f>(1-Parameters!$B$4)^Parameters!B$71*G42+D42*Parameters!B$71-Parameters!$B$5*D42^2/G42*Parameters!B$71</f>
        <v>3.3482405072967394</v>
      </c>
      <c r="H43" s="9">
        <f>MAX(H42 * (1-Parameters!$B$4) ^ Parameters!B$71 + (LN(1+EXP(Parameters!$B$21*(-B42+0.004)))/Parameters!$B$21 -0.004) * Parameters!B$71,0)</f>
        <v>4.8578329289770909E-3</v>
      </c>
      <c r="I43" s="23">
        <f>I42*(1+Parameters!$B$52)^Parameters!B$71</f>
        <v>9.1356148108931912</v>
      </c>
      <c r="J43" s="23">
        <f>J42*(1+Parameters!$B$54)^Parameters!B$71</f>
        <v>19.533630550021353</v>
      </c>
      <c r="K43" s="23">
        <f>I43*J43*EXP(-Parameters!$B$43*'6states'!A43)*(Parameters!$B$38/Parameters!$B$39*('6states'!E43+'6states'!H43)/Parameters!$E$25*(EXP(-Parameters!$B$39*Parameters!$E$25*'6states'!H43/('6states'!E43+'6states'!H43))-EXP(-Parameters!$B$39*Parameters!$E$25))  +  Parameters!$B$40*'6states'!E43)</f>
        <v>8.3593571457594749</v>
      </c>
      <c r="L43" s="8">
        <f>L42+K43*Parameters!B$71</f>
        <v>3095.6303876705465</v>
      </c>
      <c r="M43" s="7">
        <f>L43*Parameters!$B$46</f>
        <v>1.8573782326023278</v>
      </c>
      <c r="N43" s="9">
        <f>EXP(-Parameters!$B$47/2*M43^2)</f>
        <v>0.96592312209960285</v>
      </c>
      <c r="O43" s="8">
        <f>MAX((Parameters!$B$63 + Parameters!$B$31*'6states'!A43 - '6states'!L43 + Parameters!$B$48/Parameters!$B$46)/Parameters!B$63,1)</f>
        <v>26.583392246589074</v>
      </c>
      <c r="P43" s="7">
        <f>Parameters!B$62*EXP(-Parameters!B$61*A43)</f>
        <v>0.17444475450507668</v>
      </c>
      <c r="Q43" s="7">
        <f>(1-Parameters!B$62)*O43^-Parameters!B$64</f>
        <v>0.36017118470730591</v>
      </c>
      <c r="R43" s="7">
        <f>Parameters!B$62*EXP(-Parameters!B$61*A43)+(1-Parameters!B$62)*O43^-Parameters!B$64</f>
        <v>0.5346159392123826</v>
      </c>
      <c r="S43" s="7">
        <f>1-R43/Parameters!$B$12</f>
        <v>0.7326920303938087</v>
      </c>
      <c r="T43" s="7">
        <f t="shared" si="0"/>
        <v>3.7410033134187493</v>
      </c>
      <c r="U43" s="7">
        <f>(Parameters!$B$19*(E43+Parameters!$B$20)^S43+Parameters!$B$18*F43^S43)^(1/S43)</f>
        <v>0.3342010155203014</v>
      </c>
      <c r="V43" s="7">
        <f>(Parameters!$B$10*G43^Parameters!$B$9+Parameters!$B$11*U43^Parameters!$B$9)^(Parameters!$B$7/Parameters!$B$9)*N43</f>
        <v>1.3482600961253588</v>
      </c>
      <c r="W43" s="7">
        <f>V43 - C43 - D43 - LN(1+EXP(Parameters!$B$21*B43))/Parameters!$B$21 - IF(B43&gt;0, 0,Parameters!$B$6*B43^2/E43)</f>
        <v>1.0398316324632384</v>
      </c>
      <c r="X43" s="7">
        <f>EXP(-Parameters!$B$56*A43)</f>
        <v>0.5549373802387243</v>
      </c>
      <c r="Y43" s="7">
        <f>IF(W43&gt;0,W43^(1-Parameters!$B$53)/(1-Parameters!$B$53)*X43*Parameters!$B$71,-10+W43*1000)</f>
        <v>-1.5640076628536164</v>
      </c>
      <c r="AA43" s="22">
        <f t="shared" si="15"/>
        <v>1.5484881966729269E-3</v>
      </c>
      <c r="AB43" s="22">
        <f t="shared" si="10"/>
        <v>-1.05771129606827E-3</v>
      </c>
      <c r="AC43" s="22">
        <f t="shared" si="11"/>
        <v>2.3026916091131722E-4</v>
      </c>
      <c r="AD43" s="22">
        <f t="shared" si="32"/>
        <v>1.9809004589336358E-6</v>
      </c>
      <c r="AE43" s="22">
        <f t="shared" si="35"/>
        <v>7.8018395902909946E-4</v>
      </c>
      <c r="AF43" s="22">
        <f t="shared" si="36"/>
        <v>8.3341581424228872E-5</v>
      </c>
      <c r="AG43" s="22">
        <f t="shared" si="37"/>
        <v>-2.9663625998821441E-5</v>
      </c>
      <c r="AH43" s="22">
        <f t="shared" si="33"/>
        <v>3.4212597582270104E-7</v>
      </c>
      <c r="AI43" s="22"/>
      <c r="AK43" s="9"/>
      <c r="AL43" s="9"/>
      <c r="AM43" s="23">
        <f t="shared" si="1"/>
        <v>0.86688866381630392</v>
      </c>
      <c r="AN43" s="23">
        <f t="shared" si="2"/>
        <v>15.25764577462901</v>
      </c>
      <c r="AO43" s="23">
        <f t="shared" si="29"/>
        <v>59.638747570400895</v>
      </c>
      <c r="AP43" s="8">
        <f t="shared" si="4"/>
        <v>240.59933931343849</v>
      </c>
      <c r="AQ43" s="22">
        <f>-X43*V43*W43^(-Parameters!B$53)*Parameters!B$47*Parameters!B$46*M43</f>
        <v>-1.5898832594197494E-5</v>
      </c>
      <c r="AR43" s="7">
        <f>1000*EXP(-(Parameters!$B$55)*'6states'!A43)*AP43*Parameters!B$47*Parameters!B$46*M43</f>
        <v>1.3709965866052307</v>
      </c>
      <c r="AS43" s="7">
        <f>SUM(AR43:AR$204)*EXP(Parameters!$B$55*A43)</f>
        <v>417.74655652466305</v>
      </c>
      <c r="AT43" s="13">
        <f t="shared" si="17"/>
        <v>0.22744449030604025</v>
      </c>
      <c r="AU43">
        <f>(1/$S43-1/Parameters!$B$13) * LN(Parameters!$B$18) / LN(O43)</f>
        <v>0.23067030989531118</v>
      </c>
      <c r="AV43">
        <f>(Parameters!$B$18*'6states'!S43^+Parameters!$B$19*Parameters!$B$25^'6states'!S43)^((1-'6states'!S43)/'6states'!S43)*Parameters!$B$18*Parameters!$B$26^('6states'!S43-1)</f>
        <v>0.28221658454090448</v>
      </c>
      <c r="AW43">
        <f t="shared" si="34"/>
        <v>0.23697952650779905</v>
      </c>
      <c r="AX43">
        <f t="shared" si="14"/>
        <v>0.14776117034939151</v>
      </c>
      <c r="AY43">
        <f t="shared" si="14"/>
        <v>0.17767339230687251</v>
      </c>
      <c r="AZ43">
        <f>(1/$S43-1/Parameters!$B$13) * LN(Parameters!$B$18) / A43</f>
        <v>1.9401660064672161E-2</v>
      </c>
    </row>
    <row r="44" spans="1:52" ht="15" customHeight="1" x14ac:dyDescent="0.25">
      <c r="A44">
        <f>A43+Parameters!$B$71</f>
        <v>40</v>
      </c>
      <c r="B44" s="20">
        <v>1.2523823629784253E-3</v>
      </c>
      <c r="C44" s="20">
        <v>8.8847554167853893E-2</v>
      </c>
      <c r="D44" s="20">
        <v>0.21683808437500271</v>
      </c>
      <c r="E44" s="7">
        <f>MAX((1-Parameters!$B$4)^Parameters!B$71*E43 + B43*Parameters!B$71 - IF(B43&gt;0,Parameters!$B$5,0)*B43^2/E43*Parameters!B$71, 0.0001)</f>
        <v>8.1281884600953425E-2</v>
      </c>
      <c r="F44" s="7">
        <f>(1-Parameters!$B$4)^Parameters!B$71*F43+C43*Parameters!B$71-Parameters!$B$5*C43^2/F43*Parameters!B$71</f>
        <v>1.102058132068567</v>
      </c>
      <c r="G44" s="7">
        <f>(1-Parameters!$B$4)^Parameters!B$71*G43+D43*Parameters!B$71-Parameters!$B$5*D43^2/G43*Parameters!B$71</f>
        <v>3.34024777017436</v>
      </c>
      <c r="H44" s="9">
        <f>MAX(H43 * (1-Parameters!$B$4) ^ Parameters!B$71 + (LN(1+EXP(Parameters!$B$21*(-B43+0.004)))/Parameters!$B$21 -0.004) * Parameters!B$71,0)</f>
        <v>4.565370736166907E-3</v>
      </c>
      <c r="I44" s="23">
        <f>I43*(1+Parameters!$B$52)^Parameters!B$71</f>
        <v>9.1621080938447808</v>
      </c>
      <c r="J44" s="23">
        <f>J43*(1+Parameters!$B$54)^Parameters!B$71</f>
        <v>19.924303161021779</v>
      </c>
      <c r="K44" s="23">
        <f>I44*J44*EXP(-Parameters!$B$43*'6states'!A44)*(Parameters!$B$38/Parameters!$B$39*('6states'!E44+'6states'!H44)/Parameters!$E$25*(EXP(-Parameters!$B$39*Parameters!$E$25*'6states'!H44/('6states'!E44+'6states'!H44))-EXP(-Parameters!$B$39*Parameters!$E$25))  +  Parameters!$B$40*'6states'!E44)</f>
        <v>8.0521163849161432</v>
      </c>
      <c r="L44" s="8">
        <f>L43+K44*Parameters!B$71</f>
        <v>3103.6825040554627</v>
      </c>
      <c r="M44" s="7">
        <f>L44*Parameters!$B$46</f>
        <v>1.8622095024332774</v>
      </c>
      <c r="N44" s="9">
        <f>EXP(-Parameters!$B$47/2*M44^2)</f>
        <v>0.96574869036148125</v>
      </c>
      <c r="O44" s="8">
        <f>MAX((Parameters!$B$63 + Parameters!$B$31*'6states'!A44 - '6states'!L44 + Parameters!$B$48/Parameters!$B$46)/Parameters!B$63,1)</f>
        <v>27.486349918890745</v>
      </c>
      <c r="P44" s="7">
        <f>Parameters!B$62*EXP(-Parameters!B$61*A44)</f>
        <v>0.16979776282246956</v>
      </c>
      <c r="Q44" s="7">
        <f>(1-Parameters!B$62)*O44^-Parameters!B$64</f>
        <v>0.35897011752669111</v>
      </c>
      <c r="R44" s="7">
        <f>Parameters!B$62*EXP(-Parameters!B$61*A44)+(1-Parameters!B$62)*O44^-Parameters!B$64</f>
        <v>0.52876788034916067</v>
      </c>
      <c r="S44" s="7">
        <f>1-R44/Parameters!$B$12</f>
        <v>0.73561605982541967</v>
      </c>
      <c r="T44" s="7">
        <f t="shared" si="0"/>
        <v>3.7823780042754156</v>
      </c>
      <c r="U44" s="7">
        <f>(Parameters!$B$19*(E44+Parameters!$B$20)^S44+Parameters!$B$18*F44^S44)^(1/S44)</f>
        <v>0.33366969149743758</v>
      </c>
      <c r="V44" s="7">
        <f>(Parameters!$B$10*G44^Parameters!$B$9+Parameters!$B$11*U44^Parameters!$B$9)^(Parameters!$B$7/Parameters!$B$9)*N44</f>
        <v>1.3471540023096227</v>
      </c>
      <c r="W44" s="7">
        <f>V44 - C44 - D44 - LN(1+EXP(Parameters!$B$21*B44))/Parameters!$B$21 - IF(B44&gt;0, 0,Parameters!$B$6*B44^2/E44)</f>
        <v>1.038473207400483</v>
      </c>
      <c r="X44" s="7">
        <f>EXP(-Parameters!$B$56*A44)</f>
        <v>0.54662077419459754</v>
      </c>
      <c r="Y44" s="7">
        <f>IF(W44&gt;0,W44^(1-Parameters!$B$53)/(1-Parameters!$B$53)*X44*Parameters!$B$71,-10+W44*1000)</f>
        <v>-1.5412735834103952</v>
      </c>
      <c r="AA44" s="22">
        <f t="shared" si="15"/>
        <v>1.6548813841051873E-3</v>
      </c>
      <c r="AB44" s="22">
        <f t="shared" si="10"/>
        <v>-9.7381782268883554E-4</v>
      </c>
      <c r="AC44" s="22">
        <f t="shared" si="11"/>
        <v>2.1797878143806071E-4</v>
      </c>
      <c r="AD44" s="22">
        <f t="shared" si="32"/>
        <v>2.0413379513841934E-6</v>
      </c>
      <c r="AE44" s="22">
        <f t="shared" si="35"/>
        <v>1.0639318743226045E-4</v>
      </c>
      <c r="AF44" s="22">
        <f t="shared" si="36"/>
        <v>8.3893473379434425E-5</v>
      </c>
      <c r="AG44" s="22">
        <f t="shared" si="37"/>
        <v>-1.2290379473256507E-5</v>
      </c>
      <c r="AH44" s="22">
        <f t="shared" si="33"/>
        <v>1.0117228244924074E-8</v>
      </c>
      <c r="AI44" s="22"/>
      <c r="AK44" s="9"/>
      <c r="AL44" s="9"/>
      <c r="AM44" s="23">
        <f t="shared" si="1"/>
        <v>0.83340212427817162</v>
      </c>
      <c r="AN44" s="23">
        <f t="shared" si="2"/>
        <v>14.837895804414522</v>
      </c>
      <c r="AO44" s="23">
        <f t="shared" si="29"/>
        <v>60.910941470370915</v>
      </c>
      <c r="AP44" s="8">
        <f t="shared" si="4"/>
        <v>245.92110304656634</v>
      </c>
      <c r="AQ44" s="22">
        <f>-X44*V44*W44^(-Parameters!B$53)*Parameters!B$47*Parameters!B$46*M44</f>
        <v>-1.5716128640602128E-5</v>
      </c>
      <c r="AR44" s="7">
        <f>1000*EXP(-(Parameters!$B$55)*'6states'!A44)*AP44*Parameters!B$47*Parameters!B$46*M44</f>
        <v>1.3565074765424561</v>
      </c>
      <c r="AS44" s="7">
        <f>SUM(AR44:AR$204)*EXP(Parameters!$B$55*A44)</f>
        <v>427.0878835295631</v>
      </c>
      <c r="AT44" s="13">
        <f t="shared" si="17"/>
        <v>0.22784182089026672</v>
      </c>
      <c r="AU44">
        <f>(1/$S44-1/Parameters!$B$13) * LN(Parameters!$B$18) / LN(O44)</f>
        <v>0.23029543537608999</v>
      </c>
      <c r="AV44">
        <f>(Parameters!$B$18*'6states'!S44^+Parameters!$B$19*Parameters!$B$25^'6states'!S44)^((1-'6states'!S44)/'6states'!S44)*Parameters!$B$18*Parameters!$B$26^('6states'!S44-1)</f>
        <v>0.28329758449967557</v>
      </c>
      <c r="AW44">
        <f t="shared" si="34"/>
        <v>0.23574443297354894</v>
      </c>
      <c r="AX44">
        <f t="shared" si="14"/>
        <v>0.14753969309760773</v>
      </c>
      <c r="AY44">
        <f t="shared" si="14"/>
        <v>0.17828932433062472</v>
      </c>
      <c r="AZ44">
        <f>(1/$S44-1/Parameters!$B$13) * LN(Parameters!$B$18) / A44</f>
        <v>1.9078189238124023E-2</v>
      </c>
    </row>
    <row r="45" spans="1:52" x14ac:dyDescent="0.25">
      <c r="A45">
        <f>A44+Parameters!$B$71</f>
        <v>41</v>
      </c>
      <c r="B45" s="42">
        <f>B44+(B$47-B$44)/3</f>
        <v>1.2787996757041382E-3</v>
      </c>
      <c r="C45" s="42">
        <f t="shared" ref="C45:D45" si="44">C44+(C$47-C$44)/3</f>
        <v>8.8817495623269904E-2</v>
      </c>
      <c r="D45" s="42">
        <f t="shared" si="44"/>
        <v>0.21712731873428998</v>
      </c>
      <c r="E45" s="7">
        <f>MAX((1-Parameters!$B$4)^Parameters!B$71*E44 + B44*Parameters!B$71 - IF(B44&gt;0,Parameters!$B$5,0)*B44^2/E44*Parameters!B$71, 0.0001)</f>
        <v>7.7402339852443713E-2</v>
      </c>
      <c r="F45" s="7">
        <f>(1-Parameters!$B$4)^Parameters!B$71*F44+C44*Parameters!B$71-Parameters!$B$5*C44^2/F44*Parameters!B$71</f>
        <v>1.1144233699382433</v>
      </c>
      <c r="G45" s="7">
        <f>(1-Parameters!$B$4)^Parameters!B$71*G44+D44*Parameters!B$71-Parameters!$B$5*D44^2/G44*Parameters!B$71</f>
        <v>3.3329078425249827</v>
      </c>
      <c r="H45" s="9">
        <f>MAX(H44 * (1-Parameters!$B$4) ^ Parameters!B$71 + (LN(1+EXP(Parameters!$B$21*(-B44+0.004)))/Parameters!$B$21 -0.004) * Parameters!B$71,0)</f>
        <v>4.2379415219558668E-3</v>
      </c>
      <c r="I45" s="23">
        <f>I44*(1+Parameters!$B$52)^Parameters!B$71</f>
        <v>9.1886782073169293</v>
      </c>
      <c r="J45" s="23">
        <f>J44*(1+Parameters!$B$54)^Parameters!B$71</f>
        <v>20.322789224242214</v>
      </c>
      <c r="K45" s="23">
        <f>I45*J45*EXP(-Parameters!$B$43*'6states'!A45)*(Parameters!$B$38/Parameters!$B$39*('6states'!E45+'6states'!H45)/Parameters!$E$25*(EXP(-Parameters!$B$39*Parameters!$E$25*'6states'!H45/('6states'!E45+'6states'!H45))-EXP(-Parameters!$B$39*Parameters!$E$25))  +  Parameters!$B$40*'6states'!E45)</f>
        <v>7.7737120766099048</v>
      </c>
      <c r="L45" s="8">
        <f>L44+K45*Parameters!B$71</f>
        <v>3111.4562161320728</v>
      </c>
      <c r="M45" s="7">
        <f>L45*Parameters!$B$46</f>
        <v>1.8668737296792435</v>
      </c>
      <c r="N45" s="9">
        <f>EXP(-Parameters!$B$47/2*M45^2)</f>
        <v>0.96557988975190234</v>
      </c>
      <c r="O45" s="8">
        <f>MAX((Parameters!$B$63 + Parameters!$B$31*'6states'!A45 - '6states'!L45 + Parameters!$B$48/Parameters!$B$46)/Parameters!B$63,1)</f>
        <v>28.394875677358549</v>
      </c>
      <c r="P45" s="7">
        <f>Parameters!B$62*EXP(-Parameters!B$61*A45)</f>
        <v>0.16527456122893386</v>
      </c>
      <c r="Q45" s="7">
        <f>(1-Parameters!B$62)*O45^-Parameters!B$64</f>
        <v>0.35780467212868106</v>
      </c>
      <c r="R45" s="7">
        <f>Parameters!B$62*EXP(-Parameters!B$61*A45)+(1-Parameters!B$62)*O45^-Parameters!B$64</f>
        <v>0.52307923335761486</v>
      </c>
      <c r="S45" s="7">
        <f>1-R45/Parameters!$B$12</f>
        <v>0.73846038332119257</v>
      </c>
      <c r="T45" s="7">
        <f t="shared" si="0"/>
        <v>3.8235125244069001</v>
      </c>
      <c r="U45" s="7">
        <f>(Parameters!$B$19*(E45+Parameters!$B$20)^S45+Parameters!$B$18*F45^S45)^(1/S45)</f>
        <v>0.33328158813828856</v>
      </c>
      <c r="V45" s="7">
        <f>(Parameters!$B$10*G45^Parameters!$B$9+Parameters!$B$11*U45^Parameters!$B$9)^(Parameters!$B$7/Parameters!$B$9)*N45</f>
        <v>1.3461637975395984</v>
      </c>
      <c r="W45" s="7">
        <f>V45 - C45 - D45 - LN(1+EXP(Parameters!$B$21*B45))/Parameters!$B$21 - IF(B45&gt;0, 0,Parameters!$B$6*B45^2/E45)</f>
        <v>1.0372081403435236</v>
      </c>
      <c r="X45" s="7">
        <f>EXP(-Parameters!$B$56*A45)</f>
        <v>0.53842880552138184</v>
      </c>
      <c r="Y45" s="7">
        <f>IF(W45&gt;0,W45^(1-Parameters!$B$53)/(1-Parameters!$B$53)*X45*Parameters!$B$71,-10+W45*1000)</f>
        <v>-1.5188230207184639</v>
      </c>
      <c r="AA45" s="22">
        <f t="shared" si="15"/>
        <v>1.113569859369867E-3</v>
      </c>
      <c r="AB45" s="22">
        <f t="shared" si="10"/>
        <v>-9.2149884013437156E-4</v>
      </c>
      <c r="AC45" s="22">
        <f t="shared" si="11"/>
        <v>2.2974494478290863E-4</v>
      </c>
      <c r="AD45" s="22">
        <f t="shared" si="32"/>
        <v>1.1533041009848656E-6</v>
      </c>
      <c r="AE45" s="22">
        <f t="shared" si="35"/>
        <v>-5.4131152473532035E-4</v>
      </c>
      <c r="AF45" s="22">
        <f t="shared" si="36"/>
        <v>5.2318982554463989E-5</v>
      </c>
      <c r="AG45" s="22">
        <f t="shared" si="37"/>
        <v>1.1766163344847924E-5</v>
      </c>
      <c r="AH45" s="22">
        <f t="shared" si="33"/>
        <v>1.5931779124828784E-7</v>
      </c>
      <c r="AI45" s="22"/>
      <c r="AK45" s="9"/>
      <c r="AL45" s="9"/>
      <c r="AM45" s="23">
        <f t="shared" si="1"/>
        <v>0.79139137943060867</v>
      </c>
      <c r="AN45" s="23">
        <f t="shared" si="2"/>
        <v>14.454079696388058</v>
      </c>
      <c r="AO45" s="23">
        <f t="shared" si="29"/>
        <v>62.236860610067396</v>
      </c>
      <c r="AP45" s="8">
        <f t="shared" si="4"/>
        <v>251.38204931689086</v>
      </c>
      <c r="AQ45" s="22">
        <f>-X45*V45*W45^(-Parameters!B$53)*Parameters!B$47*Parameters!B$46*M45</f>
        <v>-1.5533504871545414E-5</v>
      </c>
      <c r="AR45" s="7">
        <f>1000*EXP(-(Parameters!$B$55)*'6states'!A45)*AP45*Parameters!B$47*Parameters!B$46*M45</f>
        <v>1.3421570151768862</v>
      </c>
      <c r="AS45" s="7">
        <f>SUM(AR45:AR$204)*EXP(Parameters!$B$55*A45)</f>
        <v>436.6246069620953</v>
      </c>
      <c r="AT45" s="13">
        <f t="shared" si="17"/>
        <v>0.22822156902063534</v>
      </c>
      <c r="AU45">
        <f>(1/$S45-1/Parameters!$B$13) * LN(Parameters!$B$18) / LN(O45)</f>
        <v>0.22992143937953047</v>
      </c>
      <c r="AV45">
        <f>(Parameters!$B$18*'6states'!S45^+Parameters!$B$19*Parameters!$B$25^'6states'!S45)^((1-'6states'!S45)/'6states'!S45)*Parameters!$B$18*Parameters!$B$26^('6states'!S45-1)</f>
        <v>0.2843273826716039</v>
      </c>
      <c r="AW45">
        <f t="shared" si="34"/>
        <v>0.23453776404841942</v>
      </c>
      <c r="AX45">
        <f t="shared" ref="AX45:AX69" si="45">1-2^-AU45</f>
        <v>0.14731867752560246</v>
      </c>
      <c r="AY45">
        <f t="shared" ref="AY45:AY69" si="46">1-2^-AV45</f>
        <v>0.17887565352106582</v>
      </c>
      <c r="AZ45">
        <f>(1/$S45-1/Parameters!$B$13) * LN(Parameters!$B$18) / A45</f>
        <v>1.8765002917479817E-2</v>
      </c>
    </row>
    <row r="46" spans="1:52" x14ac:dyDescent="0.25">
      <c r="A46">
        <f>A45+Parameters!$B$71</f>
        <v>42</v>
      </c>
      <c r="B46" s="42">
        <f>B45+(B$47-B$44)/3</f>
        <v>1.3052169884298511E-3</v>
      </c>
      <c r="C46" s="42">
        <f t="shared" ref="C46" si="47">C45+(C$47-C$44)/3</f>
        <v>8.8787437078685916E-2</v>
      </c>
      <c r="D46" s="42">
        <f t="shared" ref="D46" si="48">D45+(D$47-D$44)/3</f>
        <v>0.21741655309357724</v>
      </c>
      <c r="E46" s="7">
        <f>MAX((1-Parameters!$B$4)^Parameters!B$71*E45 + B45*Parameters!B$71 - IF(B45&gt;0,Parameters!$B$5,0)*B45^2/E45*Parameters!B$71, 0.0001)</f>
        <v>7.3791404713508923E-2</v>
      </c>
      <c r="F46" s="7">
        <f>(1-Parameters!$B$4)^Parameters!B$71*F45+C45*Parameters!B$71-Parameters!$B$5*C45^2/F45*Parameters!B$71</f>
        <v>1.1260650443302398</v>
      </c>
      <c r="G46" s="7">
        <f>(1-Parameters!$B$4)^Parameters!B$71*G45+D45*Parameters!B$71-Parameters!$B$5*D45^2/G45*Parameters!B$71</f>
        <v>3.3262501706208347</v>
      </c>
      <c r="H46" s="9">
        <f>MAX(H45 * (1-Parameters!$B$4) ^ Parameters!B$71 + (LN(1+EXP(Parameters!$B$21*(-B45+0.004)))/Parameters!$B$21 -0.004) * Parameters!B$71,0)</f>
        <v>3.9127659430721554E-3</v>
      </c>
      <c r="I46" s="23">
        <f>I45*(1+Parameters!$B$52)^Parameters!B$71</f>
        <v>9.215325374118148</v>
      </c>
      <c r="J46" s="23">
        <f>J45*(1+Parameters!$B$54)^Parameters!B$71</f>
        <v>20.729245008727059</v>
      </c>
      <c r="K46" s="23">
        <f>I46*J46*EXP(-Parameters!$B$43*'6states'!A46)*(Parameters!$B$38/Parameters!$B$39*('6states'!E46+'6states'!H46)/Parameters!$E$25*(EXP(-Parameters!$B$39*Parameters!$E$25*'6states'!H46/('6states'!E46+'6states'!H46))-EXP(-Parameters!$B$39*Parameters!$E$25))  +  Parameters!$B$40*'6states'!E46)</f>
        <v>7.5157225635610452</v>
      </c>
      <c r="L46" s="8">
        <f>L45+K46*Parameters!B$71</f>
        <v>3118.971938695634</v>
      </c>
      <c r="M46" s="7">
        <f>L46*Parameters!$B$46</f>
        <v>1.8713831632173803</v>
      </c>
      <c r="N46" s="9">
        <f>EXP(-Parameters!$B$47/2*M46^2)</f>
        <v>0.96541631788171767</v>
      </c>
      <c r="O46" s="8">
        <f>MAX((Parameters!$B$63 + Parameters!$B$31*'6states'!A46 - '6states'!L46 + Parameters!$B$48/Parameters!$B$46)/Parameters!B$63,1)</f>
        <v>29.308561226087321</v>
      </c>
      <c r="P46" s="7">
        <f>Parameters!B$62*EXP(-Parameters!B$61*A46)</f>
        <v>0.16087185211018509</v>
      </c>
      <c r="Q46" s="7">
        <f>(1-Parameters!B$62)*O46^-Parameters!B$64</f>
        <v>0.35667326259940507</v>
      </c>
      <c r="R46" s="7">
        <f>Parameters!B$62*EXP(-Parameters!B$61*A46)+(1-Parameters!B$62)*O46^-Parameters!B$64</f>
        <v>0.51754511470959019</v>
      </c>
      <c r="S46" s="7">
        <f>1-R46/Parameters!$B$12</f>
        <v>0.7412274426452049</v>
      </c>
      <c r="T46" s="7">
        <f t="shared" si="0"/>
        <v>3.864397408373295</v>
      </c>
      <c r="U46" s="7">
        <f>(Parameters!$B$19*(E46+Parameters!$B$20)^S46+Parameters!$B$18*F46^S46)^(1/S46)</f>
        <v>0.33297657753618343</v>
      </c>
      <c r="V46" s="7">
        <f>(Parameters!$B$10*G46^Parameters!$B$9+Parameters!$B$11*U46^Parameters!$B$9)^(Parameters!$B$7/Parameters!$B$9)*N46</f>
        <v>1.3452681798160924</v>
      </c>
      <c r="W46" s="7">
        <f>V46 - C46 - D46 - LN(1+EXP(Parameters!$B$21*B46))/Parameters!$B$21 - IF(B46&gt;0, 0,Parameters!$B$6*B46^2/E46)</f>
        <v>1.0360376098722106</v>
      </c>
      <c r="X46" s="7">
        <f>EXP(-Parameters!$B$56*A46)</f>
        <v>0.53035960633280899</v>
      </c>
      <c r="Y46" s="7">
        <f>IF(W46&gt;0,W46^(1-Parameters!$B$53)/(1-Parameters!$B$53)*X46*Parameters!$B$71,-10+W46*1000)</f>
        <v>-1.496652456276691</v>
      </c>
      <c r="AA46" s="22">
        <f t="shared" si="15"/>
        <v>1.1664669370375878E-3</v>
      </c>
      <c r="AB46" s="22">
        <f t="shared" si="10"/>
        <v>-8.5064234534877603E-4</v>
      </c>
      <c r="AC46" s="22">
        <f t="shared" si="11"/>
        <v>2.1734939368844852E-4</v>
      </c>
      <c r="AD46" s="22">
        <f t="shared" si="32"/>
        <v>1.1304499782202163E-6</v>
      </c>
      <c r="AE46" s="22">
        <f t="shared" si="35"/>
        <v>5.2897077667720879E-5</v>
      </c>
      <c r="AF46" s="22">
        <f t="shared" si="36"/>
        <v>7.0856494785595525E-5</v>
      </c>
      <c r="AG46" s="22">
        <f t="shared" si="37"/>
        <v>-1.2395551094460111E-5</v>
      </c>
      <c r="AH46" s="22">
        <f t="shared" si="33"/>
        <v>4.2282354071334026E-9</v>
      </c>
      <c r="AI46" s="22"/>
      <c r="AK46" s="9"/>
      <c r="AL46" s="9"/>
      <c r="AM46" s="23">
        <f t="shared" si="1"/>
        <v>0.74744291276579333</v>
      </c>
      <c r="AN46" s="23">
        <f t="shared" si="2"/>
        <v>14.096131299087903</v>
      </c>
      <c r="AO46" s="23">
        <f t="shared" si="29"/>
        <v>63.607429275725615</v>
      </c>
      <c r="AP46" s="8">
        <f t="shared" si="4"/>
        <v>256.98219147332588</v>
      </c>
      <c r="AQ46" s="22">
        <f>-X46*V46*W46^(-Parameters!B$53)*Parameters!B$47*Parameters!B$46*M46</f>
        <v>-1.5350848345421076E-5</v>
      </c>
      <c r="AR46" s="7">
        <f>1000*EXP(-(Parameters!$B$55)*'6states'!A46)*AP46*Parameters!B$47*Parameters!B$46*M46</f>
        <v>1.3279328936147465</v>
      </c>
      <c r="AS46" s="7">
        <f>SUM(AR46:AR$204)*EXP(Parameters!$B$55*A46)</f>
        <v>446.36034337264482</v>
      </c>
      <c r="AT46" s="13">
        <f t="shared" ref="AT46:AT69" si="49">(B46+C46+D46)/V46</f>
        <v>0.22858580302013215</v>
      </c>
      <c r="AU46">
        <f>(1/$S46-1/Parameters!$B$13) * LN(Parameters!$B$18) / LN(O46)</f>
        <v>0.22954852440167389</v>
      </c>
      <c r="AV46">
        <f>(Parameters!$B$18*'6states'!S46^+Parameters!$B$19*Parameters!$B$25^'6states'!S46)^((1-'6states'!S46)/'6states'!S46)*Parameters!$B$18*Parameters!$B$26^('6states'!S46-1)</f>
        <v>0.28530870810653391</v>
      </c>
      <c r="AW46">
        <f t="shared" si="34"/>
        <v>0.23335874385824862</v>
      </c>
      <c r="AX46">
        <f t="shared" si="45"/>
        <v>0.14709824373520575</v>
      </c>
      <c r="AY46">
        <f t="shared" si="46"/>
        <v>0.17943399481655442</v>
      </c>
      <c r="AZ46">
        <f>(1/$S46-1/Parameters!$B$13) * LN(Parameters!$B$18) / A46</f>
        <v>1.8461602209280486E-2</v>
      </c>
    </row>
    <row r="47" spans="1:52" x14ac:dyDescent="0.25">
      <c r="A47">
        <f>A46+Parameters!$B$71</f>
        <v>43</v>
      </c>
      <c r="B47" s="20">
        <v>1.331634301155564E-3</v>
      </c>
      <c r="C47" s="20">
        <v>8.8757378534101913E-2</v>
      </c>
      <c r="D47" s="20">
        <v>0.21770578745286448</v>
      </c>
      <c r="E47" s="7">
        <f>MAX((1-Parameters!$B$4)^Parameters!B$71*E46 + B46*Parameters!B$71 - IF(B46&gt;0,Parameters!$B$5,0)*B46^2/E46*Parameters!B$71, 0.0001)</f>
        <v>7.0432055762495907E-2</v>
      </c>
      <c r="F47" s="7">
        <f>(1-Parameters!$B$4)^Parameters!B$71*F46+C46*Parameters!B$71-Parameters!$B$5*C46^2/F46*Parameters!B$71</f>
        <v>1.1370223208229018</v>
      </c>
      <c r="G47" s="7">
        <f>(1-Parameters!$B$4)^Parameters!B$71*G46+D46*Parameters!B$71-Parameters!$B$5*D46^2/G46*Parameters!B$71</f>
        <v>3.3202344026732695</v>
      </c>
      <c r="H47" s="9">
        <f>MAX(H46 * (1-Parameters!$B$4) ^ Parameters!B$71 + (LN(1+EXP(Parameters!$B$21*(-B46+0.004)))/Parameters!$B$21 -0.004) * Parameters!B$71,0)</f>
        <v>3.5897467503598519E-3</v>
      </c>
      <c r="I47" s="23">
        <f>I46*(1+Parameters!$B$52)^Parameters!B$71</f>
        <v>9.242049817703089</v>
      </c>
      <c r="J47" s="23">
        <f>J46*(1+Parameters!$B$54)^Parameters!B$71</f>
        <v>21.143829908901601</v>
      </c>
      <c r="K47" s="23">
        <f>I47*J47*EXP(-Parameters!$B$43*'6states'!A47)*(Parameters!$B$38/Parameters!$B$39*('6states'!E47+'6states'!H47)/Parameters!$E$25*(EXP(-Parameters!$B$39*Parameters!$E$25*'6states'!H47/('6states'!E47+'6states'!H47))-EXP(-Parameters!$B$39*Parameters!$E$25))  +  Parameters!$B$40*'6states'!E47)</f>
        <v>7.2776168410554227</v>
      </c>
      <c r="L47" s="8">
        <f>L46+K47*Parameters!B$71</f>
        <v>3126.2495555366895</v>
      </c>
      <c r="M47" s="7">
        <f>L47*Parameters!$B$46</f>
        <v>1.8757497333220134</v>
      </c>
      <c r="N47" s="9">
        <f>EXP(-Parameters!$B$47/2*M47^2)</f>
        <v>0.96525757855896044</v>
      </c>
      <c r="O47" s="8">
        <f>MAX((Parameters!$B$63 + Parameters!$B$31*'6states'!A47 - '6states'!L47 + Parameters!$B$48/Parameters!$B$46)/Parameters!B$63,1)</f>
        <v>30.227008889266209</v>
      </c>
      <c r="P47" s="7">
        <f>Parameters!B$62*EXP(-Parameters!B$61*A47)</f>
        <v>0.15658642569628925</v>
      </c>
      <c r="Q47" s="7">
        <f>(1-Parameters!B$62)*O47^-Parameters!B$64</f>
        <v>0.35557440088774106</v>
      </c>
      <c r="R47" s="7">
        <f>Parameters!B$62*EXP(-Parameters!B$61*A47)+(1-Parameters!B$62)*O47^-Parameters!B$64</f>
        <v>0.51216082658403028</v>
      </c>
      <c r="S47" s="7">
        <f>1-R47/Parameters!$B$12</f>
        <v>0.74391958670798486</v>
      </c>
      <c r="T47" s="7">
        <f t="shared" si="0"/>
        <v>3.9050233758396589</v>
      </c>
      <c r="U47" s="7">
        <f>(Parameters!$B$19*(E47+Parameters!$B$20)^S47+Parameters!$B$18*F47^S47)^(1/S47)</f>
        <v>0.33275022385171349</v>
      </c>
      <c r="V47" s="7">
        <f>(Parameters!$B$10*G47^Parameters!$B$9+Parameters!$B$11*U47^Parameters!$B$9)^(Parameters!$B$7/Parameters!$B$9)*N47</f>
        <v>1.3444617278104083</v>
      </c>
      <c r="W47" s="7">
        <f>V47 - C47 - D47 - LN(1+EXP(Parameters!$B$21*B47))/Parameters!$B$21 - IF(B47&gt;0, 0,Parameters!$B$6*B47^2/E47)</f>
        <v>1.0349561947343364</v>
      </c>
      <c r="X47" s="7">
        <f>EXP(-Parameters!$B$56*A47)</f>
        <v>0.52241133673581286</v>
      </c>
      <c r="Y47" s="7">
        <f>IF(W47&gt;0,W47^(1-Parameters!$B$53)/(1-Parameters!$B$53)*X47*Parameters!$B$71,-10+W47*1000)</f>
        <v>-1.474761731586927</v>
      </c>
      <c r="AA47" s="22">
        <f t="shared" si="15"/>
        <v>1.2187239347532762E-3</v>
      </c>
      <c r="AB47" s="22">
        <f t="shared" si="10"/>
        <v>-7.8627535721609298E-4</v>
      </c>
      <c r="AC47" s="22">
        <f t="shared" si="11"/>
        <v>2.0554216816330573E-4</v>
      </c>
      <c r="AD47" s="22">
        <f t="shared" si="32"/>
        <v>1.12097172657189E-6</v>
      </c>
      <c r="AE47" s="22">
        <f t="shared" si="35"/>
        <v>5.2256997715688369E-5</v>
      </c>
      <c r="AF47" s="22">
        <f t="shared" si="36"/>
        <v>6.4366988132683045E-5</v>
      </c>
      <c r="AG47" s="22">
        <f t="shared" si="37"/>
        <v>-1.1807225525142795E-5</v>
      </c>
      <c r="AH47" s="22">
        <f t="shared" si="33"/>
        <v>3.6638345045822042E-9</v>
      </c>
      <c r="AI47" s="22"/>
      <c r="AK47" s="9"/>
      <c r="AL47" s="9"/>
      <c r="AM47" s="23">
        <f t="shared" si="1"/>
        <v>0.70148077428275224</v>
      </c>
      <c r="AN47" s="23">
        <f t="shared" si="2"/>
        <v>13.763292077818264</v>
      </c>
      <c r="AO47" s="23">
        <f t="shared" si="29"/>
        <v>65.023496336297342</v>
      </c>
      <c r="AP47" s="8">
        <f t="shared" si="4"/>
        <v>262.72439796022661</v>
      </c>
      <c r="AQ47" s="22">
        <f>-X47*V47*W47^(-Parameters!B$53)*Parameters!B$47*Parameters!B$46*M47</f>
        <v>-1.516835836465277E-5</v>
      </c>
      <c r="AR47" s="7">
        <f>1000*EXP(-(Parameters!$B$55)*'6states'!A47)*AP47*Parameters!B$47*Parameters!B$46*M47</f>
        <v>1.3138383823622686</v>
      </c>
      <c r="AS47" s="7">
        <f>SUM(AR47:AR$204)*EXP(Parameters!$B$55*A47)</f>
        <v>456.2988087331334</v>
      </c>
      <c r="AT47" s="13">
        <f t="shared" si="49"/>
        <v>0.22893533815157155</v>
      </c>
      <c r="AU47">
        <f>(1/$S47-1/Parameters!$B$13) * LN(Parameters!$B$18) / LN(O47)</f>
        <v>0.22917687301474141</v>
      </c>
      <c r="AV47">
        <f>(Parameters!$B$18*'6states'!S47^+Parameters!$B$19*Parameters!$B$25^'6states'!S47)^((1-'6states'!S47)/'6states'!S47)*Parameters!$B$18*Parameters!$B$26^('6states'!S47-1)</f>
        <v>0.28624413008771127</v>
      </c>
      <c r="AW47">
        <f t="shared" si="34"/>
        <v>0.23220661747757573</v>
      </c>
      <c r="AX47">
        <f t="shared" si="45"/>
        <v>0.14687850016924398</v>
      </c>
      <c r="AY47">
        <f t="shared" si="46"/>
        <v>0.17996586514813939</v>
      </c>
      <c r="AZ47">
        <f>(1/$S47-1/Parameters!$B$13) * LN(Parameters!$B$18) / A47</f>
        <v>1.8167521512775481E-2</v>
      </c>
    </row>
    <row r="48" spans="1:52" x14ac:dyDescent="0.25">
      <c r="A48">
        <f>A47+Parameters!$B$71</f>
        <v>44</v>
      </c>
      <c r="B48" s="42">
        <f>B47+(B$50-B$47)/3</f>
        <v>9.6407893667289674E-4</v>
      </c>
      <c r="C48" s="42">
        <f t="shared" ref="C48:D48" si="50">C47+(C$50-C$47)/3</f>
        <v>8.9006402311692573E-2</v>
      </c>
      <c r="D48" s="42">
        <f t="shared" si="50"/>
        <v>0.21778860570542241</v>
      </c>
      <c r="E48" s="7">
        <f>MAX((1-Parameters!$B$4)^Parameters!B$71*E47 + B47*Parameters!B$71 - IF(B47&gt;0,Parameters!$B$5,0)*B47^2/E47*Parameters!B$71, 0.0001)</f>
        <v>6.7308337011130051E-2</v>
      </c>
      <c r="F48" s="7">
        <f>(1-Parameters!$B$4)^Parameters!B$71*F47+C47*Parameters!B$71-Parameters!$B$5*C47^2/F47*Parameters!B$71</f>
        <v>1.147332483860825</v>
      </c>
      <c r="G48" s="7">
        <f>(1-Parameters!$B$4)^Parameters!B$71*G47+D47*Parameters!B$71-Parameters!$B$5*D47^2/G47*Parameters!B$71</f>
        <v>3.3148226076949232</v>
      </c>
      <c r="H48" s="9">
        <f>MAX(H47 * (1-Parameters!$B$4) ^ Parameters!B$71 + (LN(1+EXP(Parameters!$B$21*(-B47+0.004)))/Parameters!$B$21 -0.004) * Parameters!B$71,0)</f>
        <v>3.2687929477184055E-3</v>
      </c>
      <c r="I48" s="23">
        <f>I47*(1+Parameters!$B$52)^Parameters!B$71</f>
        <v>9.2688517621744264</v>
      </c>
      <c r="J48" s="23">
        <f>J47*(1+Parameters!$B$54)^Parameters!B$71</f>
        <v>21.566706507079633</v>
      </c>
      <c r="K48" s="23">
        <f>I48*J48*EXP(-Parameters!$B$43*'6states'!A48)*(Parameters!$B$38/Parameters!$B$39*('6states'!E48+'6states'!H48)/Parameters!$E$25*(EXP(-Parameters!$B$39*Parameters!$E$25*'6states'!H48/('6states'!E48+'6states'!H48))-EXP(-Parameters!$B$39*Parameters!$E$25))  +  Parameters!$B$40*'6states'!E48)</f>
        <v>7.0590408677056908</v>
      </c>
      <c r="L48" s="8">
        <f>L47+K48*Parameters!B$71</f>
        <v>3133.3085964043953</v>
      </c>
      <c r="M48" s="7">
        <f>L48*Parameters!$B$46</f>
        <v>1.879985157842637</v>
      </c>
      <c r="N48" s="9">
        <f>EXP(-Parameters!$B$47/2*M48^2)</f>
        <v>0.965103278375256</v>
      </c>
      <c r="O48" s="8">
        <f>MAX((Parameters!$B$63 + Parameters!$B$31*'6states'!A48 - '6states'!L48 + Parameters!$B$48/Parameters!$B$46)/Parameters!B$63,1)</f>
        <v>31.149828071912097</v>
      </c>
      <c r="P48" s="7">
        <f>Parameters!B$62*EXP(-Parameters!B$61*A48)</f>
        <v>0.15241515772159842</v>
      </c>
      <c r="Q48" s="7">
        <f>(1-Parameters!B$62)*O48^-Parameters!B$64</f>
        <v>0.35450669297506238</v>
      </c>
      <c r="R48" s="7">
        <f>Parameters!B$62*EXP(-Parameters!B$61*A48)+(1-Parameters!B$62)*O48^-Parameters!B$64</f>
        <v>0.50692185069666085</v>
      </c>
      <c r="S48" s="7">
        <f>1-R48/Parameters!$B$12</f>
        <v>0.74653907465166958</v>
      </c>
      <c r="T48" s="7">
        <f t="shared" si="0"/>
        <v>3.9453813191351039</v>
      </c>
      <c r="U48" s="7">
        <f>(Parameters!$B$19*(E48+Parameters!$B$20)^S48+Parameters!$B$18*F48^S48)^(1/S48)</f>
        <v>0.33259811881142887</v>
      </c>
      <c r="V48" s="7">
        <f>(Parameters!$B$10*G48^Parameters!$B$9+Parameters!$B$11*U48^Parameters!$B$9)^(Parameters!$B$7/Parameters!$B$9)*N48</f>
        <v>1.3437391864178518</v>
      </c>
      <c r="W48" s="7">
        <f>V48 - C48 - D48 - LN(1+EXP(Parameters!$B$21*B48))/Parameters!$B$21 - IF(B48&gt;0, 0,Parameters!$B$6*B48^2/E48)</f>
        <v>1.034116914832256</v>
      </c>
      <c r="X48" s="7">
        <f>EXP(-Parameters!$B$56*A48)</f>
        <v>0.51458218441100756</v>
      </c>
      <c r="Y48" s="7">
        <f>IF(W48&gt;0,W48^(1-Parameters!$B$53)/(1-Parameters!$B$53)*X48*Parameters!$B$71,-10+W48*1000)</f>
        <v>-1.4530726458070355</v>
      </c>
      <c r="AA48" s="22">
        <f t="shared" si="15"/>
        <v>-4.5833297592231485E-3</v>
      </c>
      <c r="AB48" s="22">
        <f t="shared" si="10"/>
        <v>-4.8442835739499757E-4</v>
      </c>
      <c r="AC48" s="22">
        <f t="shared" si="11"/>
        <v>1.3203313419704599E-4</v>
      </c>
      <c r="AD48" s="22">
        <f t="shared" si="32"/>
        <v>1.0939510512849915E-5</v>
      </c>
      <c r="AE48" s="22">
        <f t="shared" si="35"/>
        <v>-5.8020536939764264E-3</v>
      </c>
      <c r="AF48" s="22">
        <f t="shared" si="36"/>
        <v>3.0184699982109542E-4</v>
      </c>
      <c r="AG48" s="22">
        <f t="shared" si="37"/>
        <v>-7.350903396625974E-5</v>
      </c>
      <c r="AH48" s="22">
        <f t="shared" si="33"/>
        <v>1.7372470665153223E-5</v>
      </c>
      <c r="AI48" s="22"/>
      <c r="AK48" s="9"/>
      <c r="AL48" s="9"/>
      <c r="AM48" s="23">
        <f t="shared" si="1"/>
        <v>0.65342715228469894</v>
      </c>
      <c r="AN48" s="23">
        <f t="shared" si="2"/>
        <v>13.454842714617337</v>
      </c>
      <c r="AO48" s="23">
        <f t="shared" si="29"/>
        <v>66.485900179726514</v>
      </c>
      <c r="AP48" s="8">
        <f t="shared" si="4"/>
        <v>268.61158967172815</v>
      </c>
      <c r="AQ48" s="22">
        <f>-X48*V48*W48^(-Parameters!B$53)*Parameters!B$47*Parameters!B$46*M48</f>
        <v>-1.4983126301992718E-5</v>
      </c>
      <c r="AR48" s="7">
        <f>1000*EXP(-(Parameters!$B$55)*'6states'!A48)*AP48*Parameters!B$47*Parameters!B$46*M48</f>
        <v>1.299876455816388</v>
      </c>
      <c r="AS48" s="7">
        <f>SUM(AR48:AR$204)*EXP(Parameters!$B$55*A48)</f>
        <v>466.44375436739159</v>
      </c>
      <c r="AT48" s="13">
        <f t="shared" si="49"/>
        <v>0.2290318612901466</v>
      </c>
      <c r="AU48">
        <f>(1/$S48-1/Parameters!$B$13) * LN(Parameters!$B$18) / LN(O48)</f>
        <v>0.22880665605171283</v>
      </c>
      <c r="AV48">
        <f>(Parameters!$B$18*'6states'!S48^+Parameters!$B$19*Parameters!$B$25^'6states'!S48)^((1-'6states'!S48)/'6states'!S48)*Parameters!$B$18*Parameters!$B$26^('6states'!S48-1)</f>
        <v>0.28713606761002769</v>
      </c>
      <c r="AW48">
        <f t="shared" si="34"/>
        <v>0.23108065762200208</v>
      </c>
      <c r="AX48">
        <f t="shared" si="45"/>
        <v>0.14665954843661977</v>
      </c>
      <c r="AY48">
        <f t="shared" si="46"/>
        <v>0.18047268962771112</v>
      </c>
      <c r="AZ48">
        <f>(1/$S48-1/Parameters!$B$13) * LN(Parameters!$B$18) / A48</f>
        <v>1.7882325576474942E-2</v>
      </c>
    </row>
    <row r="49" spans="1:52" x14ac:dyDescent="0.25">
      <c r="A49">
        <f>A48+Parameters!$B$71</f>
        <v>45</v>
      </c>
      <c r="B49" s="42">
        <f>B48+(B$50-B$47)/3</f>
        <v>5.965235721902295E-4</v>
      </c>
      <c r="C49" s="42">
        <f t="shared" ref="C49" si="51">C48+(C$50-C$47)/3</f>
        <v>8.9255426089283232E-2</v>
      </c>
      <c r="D49" s="42">
        <f t="shared" ref="D49" si="52">D48+(D$50-D$47)/3</f>
        <v>0.21787142395798034</v>
      </c>
      <c r="E49" s="7">
        <f>MAX((1-Parameters!$B$4)^Parameters!B$71*E48 + B48*Parameters!B$71 - IF(B48&gt;0,Parameters!$B$5,0)*B48^2/E48*Parameters!B$71, 0.0001)</f>
        <v>6.4024912737441597E-2</v>
      </c>
      <c r="F49" s="7">
        <f>(1-Parameters!$B$4)^Parameters!B$71*F48+C48*Parameters!B$71-Parameters!$B$5*C48^2/F48*Parameters!B$71</f>
        <v>1.1572668395402832</v>
      </c>
      <c r="G49" s="7">
        <f>(1-Parameters!$B$4)^Parameters!B$71*G48+D48*Parameters!B$71-Parameters!$B$5*D48^2/G48*Parameters!B$71</f>
        <v>3.309799847217695</v>
      </c>
      <c r="H49" s="9">
        <f>MAX(H48 * (1-Parameters!$B$4) ^ Parameters!B$71 + (LN(1+EXP(Parameters!$B$21*(-B48+0.004)))/Parameters!$B$21 -0.004) * Parameters!B$71,0)</f>
        <v>3.2259432297455756E-3</v>
      </c>
      <c r="I49" s="23">
        <f>I48*(1+Parameters!$B$52)^Parameters!B$71</f>
        <v>9.2957314322847306</v>
      </c>
      <c r="J49" s="23">
        <f>J48*(1+Parameters!$B$54)^Parameters!B$71</f>
        <v>21.998040637221226</v>
      </c>
      <c r="K49" s="23">
        <f>I49*J49*EXP(-Parameters!$B$43*'6states'!A49)*(Parameters!$B$38/Parameters!$B$39*('6states'!E49+'6states'!H49)/Parameters!$E$25*(EXP(-Parameters!$B$39*Parameters!$E$25*'6states'!H49/('6states'!E49+'6states'!H49))-EXP(-Parameters!$B$39*Parameters!$E$25))  +  Parameters!$B$40*'6states'!E49)</f>
        <v>6.7891856178855283</v>
      </c>
      <c r="L49" s="8">
        <f>L48+K49*Parameters!B$71</f>
        <v>3140.0977820222806</v>
      </c>
      <c r="M49" s="7">
        <f>L49*Parameters!$B$46</f>
        <v>1.8840586692133683</v>
      </c>
      <c r="N49" s="9">
        <f>EXP(-Parameters!$B$47/2*M49^2)</f>
        <v>0.96495457186015898</v>
      </c>
      <c r="O49" s="8">
        <f>MAX((Parameters!$B$63 + Parameters!$B$31*'6states'!A49 - '6states'!L49 + Parameters!$B$48/Parameters!$B$46)/Parameters!B$63,1)</f>
        <v>32.07804435955439</v>
      </c>
      <c r="P49" s="7">
        <f>Parameters!B$62*EXP(-Parameters!B$61*A49)</f>
        <v>0.14835500714702263</v>
      </c>
      <c r="Q49" s="7">
        <f>(1-Parameters!B$62)*O49^-Parameters!B$64</f>
        <v>0.35346727841106312</v>
      </c>
      <c r="R49" s="7">
        <f>Parameters!B$62*EXP(-Parameters!B$61*A49)+(1-Parameters!B$62)*O49^-Parameters!B$64</f>
        <v>0.50182228555808572</v>
      </c>
      <c r="S49" s="7">
        <f>1-R49/Parameters!$B$12</f>
        <v>0.74908885722095708</v>
      </c>
      <c r="T49" s="7">
        <f t="shared" si="0"/>
        <v>3.9854746541911008</v>
      </c>
      <c r="U49" s="7">
        <f>(Parameters!$B$19*(E49+Parameters!$B$20)^S49+Parameters!$B$18*F49^S49)^(1/S49)</f>
        <v>0.3321827748891682</v>
      </c>
      <c r="V49" s="7">
        <f>(Parameters!$B$10*G49^Parameters!$B$9+Parameters!$B$11*U49^Parameters!$B$9)^(Parameters!$B$7/Parameters!$B$9)*N49</f>
        <v>1.3429551006353193</v>
      </c>
      <c r="W49" s="7">
        <f>V49 - C49 - D49 - LN(1+EXP(Parameters!$B$21*B49))/Parameters!$B$21 - IF(B49&gt;0, 0,Parameters!$B$6*B49^2/E49)</f>
        <v>1.0332061719544832</v>
      </c>
      <c r="X49" s="7">
        <f>EXP(-Parameters!$B$56*A49)</f>
        <v>0.50687036419945219</v>
      </c>
      <c r="Y49" s="7">
        <f>IF(W49&gt;0,W49^(1-Parameters!$B$53)/(1-Parameters!$B$53)*X49*Parameters!$B$71,-10+W49*1000)</f>
        <v>-1.4317375261597702</v>
      </c>
      <c r="AA49" s="22">
        <f t="shared" si="15"/>
        <v>-5.0062672476499769E-3</v>
      </c>
      <c r="AB49" s="22">
        <f t="shared" si="10"/>
        <v>-4.5076200115896914E-4</v>
      </c>
      <c r="AC49" s="22">
        <f t="shared" si="11"/>
        <v>1.2472682581977923E-4</v>
      </c>
      <c r="AD49" s="22">
        <f t="shared" si="32"/>
        <v>1.2814420261606758E-5</v>
      </c>
      <c r="AE49" s="22">
        <f t="shared" si="35"/>
        <v>-4.2293748842682846E-4</v>
      </c>
      <c r="AF49" s="22">
        <f t="shared" si="36"/>
        <v>3.3666356236028427E-5</v>
      </c>
      <c r="AG49" s="22">
        <f t="shared" si="37"/>
        <v>-7.306308377266757E-6</v>
      </c>
      <c r="AH49" s="22">
        <f t="shared" si="33"/>
        <v>9.1268560272756468E-8</v>
      </c>
      <c r="AI49" s="22"/>
      <c r="AK49" s="9"/>
      <c r="AL49" s="9"/>
      <c r="AM49" s="23">
        <f t="shared" si="1"/>
        <v>0.65966628495425439</v>
      </c>
      <c r="AN49" s="23">
        <f t="shared" si="2"/>
        <v>13.09231853201565</v>
      </c>
      <c r="AO49" s="23">
        <f t="shared" si="29"/>
        <v>67.927350678832426</v>
      </c>
      <c r="AP49" s="8">
        <f t="shared" si="4"/>
        <v>274.61803850972836</v>
      </c>
      <c r="AQ49" s="22">
        <f>-X49*V49*W49^(-Parameters!B$53)*Parameters!B$47*Parameters!B$46*M49</f>
        <v>-1.4799521840617322E-5</v>
      </c>
      <c r="AR49" s="7">
        <f>1000*EXP(-(Parameters!$B$55)*'6states'!A49)*AP49*Parameters!B$47*Parameters!B$46*M49</f>
        <v>1.2858865595475035</v>
      </c>
      <c r="AS49" s="7">
        <f>SUM(AR49:AR$204)*EXP(Parameters!$B$55*A49)</f>
        <v>476.79896519883653</v>
      </c>
      <c r="AT49" s="13">
        <f t="shared" si="49"/>
        <v>0.22913898869282925</v>
      </c>
      <c r="AU49">
        <f>(1/$S49-1/Parameters!$B$13) * LN(Parameters!$B$18) / LN(O49)</f>
        <v>0.22843561490199593</v>
      </c>
      <c r="AV49">
        <f>(Parameters!$B$18*'6states'!S49^+Parameters!$B$19*Parameters!$B$25^'6states'!S49)^((1-'6states'!S49)/'6states'!S49)*Parameters!$B$18*Parameters!$B$26^('6states'!S49-1)</f>
        <v>0.28798705554346488</v>
      </c>
      <c r="AW49">
        <f t="shared" si="34"/>
        <v>0.22997750681662371</v>
      </c>
      <c r="AX49">
        <f t="shared" si="45"/>
        <v>0.14644005288664685</v>
      </c>
      <c r="AY49">
        <f t="shared" si="46"/>
        <v>0.18095595337123749</v>
      </c>
      <c r="AZ49">
        <f>(1/$S49-1/Parameters!$B$13) * LN(Parameters!$B$18) / A49</f>
        <v>1.7605643605269342E-2</v>
      </c>
    </row>
    <row r="50" spans="1:52" x14ac:dyDescent="0.25">
      <c r="A50">
        <f>A49+Parameters!$B$71</f>
        <v>46</v>
      </c>
      <c r="B50" s="20">
        <v>2.2896820770756203E-4</v>
      </c>
      <c r="C50" s="20">
        <v>8.9504449866873878E-2</v>
      </c>
      <c r="D50" s="20">
        <v>0.21795424221053827</v>
      </c>
      <c r="E50" s="7">
        <f>MAX((1-Parameters!$B$4)^Parameters!B$71*E49 + B49*Parameters!B$71 - IF(B49&gt;0,Parameters!$B$5,0)*B49^2/E49*Parameters!B$71, 0.0001)</f>
        <v>6.0588711456085645E-2</v>
      </c>
      <c r="F50" s="7">
        <f>(1-Parameters!$B$4)^Parameters!B$71*F49+C49*Parameters!B$71-Parameters!$B$5*C49^2/F49*Parameters!B$71</f>
        <v>1.1668462625075122</v>
      </c>
      <c r="G50" s="7">
        <f>(1-Parameters!$B$4)^Parameters!B$71*G49+D49*Parameters!B$71-Parameters!$B$5*D49^2/G49*Parameters!B$71</f>
        <v>3.3051432209377682</v>
      </c>
      <c r="H50" s="9">
        <f>MAX(H49 * (1-Parameters!$B$4) ^ Parameters!B$71 + (LN(1+EXP(Parameters!$B$21*(-B49+0.004)))/Parameters!$B$21 -0.004) * Parameters!B$71,0)</f>
        <v>3.4519936998442021E-3</v>
      </c>
      <c r="I50" s="23">
        <f>I49*(1+Parameters!$B$52)^Parameters!B$71</f>
        <v>9.3226890534383546</v>
      </c>
      <c r="J50" s="23">
        <f>J49*(1+Parameters!$B$54)^Parameters!B$71</f>
        <v>22.43800144996565</v>
      </c>
      <c r="K50" s="23">
        <f>I50*J50*EXP(-Parameters!$B$43*'6states'!A50)*(Parameters!$B$38/Parameters!$B$39*('6states'!E50+'6states'!H50)/Parameters!$E$25*(EXP(-Parameters!$B$39*Parameters!$E$25*'6states'!H50/('6states'!E50+'6states'!H50))-EXP(-Parameters!$B$39*Parameters!$E$25))  +  Parameters!$B$40*'6states'!E50)</f>
        <v>6.4737392549672244</v>
      </c>
      <c r="L50" s="8">
        <f>L49+K50*Parameters!B$71</f>
        <v>3146.5715212772479</v>
      </c>
      <c r="M50" s="7">
        <f>L50*Parameters!$B$46</f>
        <v>1.8879429127663485</v>
      </c>
      <c r="N50" s="9">
        <f>EXP(-Parameters!$B$47/2*M50^2)</f>
        <v>0.96481249633307276</v>
      </c>
      <c r="O50" s="8">
        <f>MAX((Parameters!$B$63 + Parameters!$B$31*'6states'!A50 - '6states'!L50 + Parameters!$B$48/Parameters!$B$46)/Parameters!B$63,1)</f>
        <v>33.01256957445505</v>
      </c>
      <c r="P50" s="7">
        <f>Parameters!B$62*EXP(-Parameters!B$61*A50)</f>
        <v>0.14440301394297783</v>
      </c>
      <c r="Q50" s="7">
        <f>(1-Parameters!B$62)*O50^-Parameters!B$64</f>
        <v>0.35245369781495794</v>
      </c>
      <c r="R50" s="7">
        <f>Parameters!B$62*EXP(-Parameters!B$61*A50)+(1-Parameters!B$62)*O50^-Parameters!B$64</f>
        <v>0.49685671175793578</v>
      </c>
      <c r="S50" s="7">
        <f>1-R50/Parameters!$B$12</f>
        <v>0.75157164412103206</v>
      </c>
      <c r="T50" s="7">
        <f t="shared" si="0"/>
        <v>4.0253053902075129</v>
      </c>
      <c r="U50" s="7">
        <f>(Parameters!$B$19*(E50+Parameters!$B$20)^S50+Parameters!$B$18*F50^S50)^(1/S50)</f>
        <v>0.33151120768738146</v>
      </c>
      <c r="V50" s="7">
        <f>(Parameters!$B$10*G50^Parameters!$B$9+Parameters!$B$11*U50^Parameters!$B$9)^(Parameters!$B$7/Parameters!$B$9)*N50</f>
        <v>1.3421118383466049</v>
      </c>
      <c r="W50" s="7">
        <f>V50 - C50 - D50 - LN(1+EXP(Parameters!$B$21*B50))/Parameters!$B$21 - IF(B50&gt;0, 0,Parameters!$B$6*B50^2/E50)</f>
        <v>1.032226205958358</v>
      </c>
      <c r="X50" s="7">
        <f>EXP(-Parameters!$B$56*A50)</f>
        <v>0.49927411769560981</v>
      </c>
      <c r="Y50" s="7">
        <f>IF(W50&gt;0,W50^(1-Parameters!$B$53)/(1-Parameters!$B$53)*X50*Parameters!$B$71,-10+W50*1000)</f>
        <v>-1.4107491598004387</v>
      </c>
      <c r="AA50" s="22">
        <f t="shared" si="15"/>
        <v>-5.5379968210507273E-3</v>
      </c>
      <c r="AB50" s="22">
        <f t="shared" si="10"/>
        <v>-4.1976337605044434E-4</v>
      </c>
      <c r="AC50" s="22">
        <f t="shared" si="11"/>
        <v>1.1780006694619982E-4</v>
      </c>
      <c r="AD50" s="22">
        <f t="shared" si="32"/>
        <v>1.5407343113316303E-5</v>
      </c>
      <c r="AE50" s="22">
        <f t="shared" si="35"/>
        <v>-5.3172957340075037E-4</v>
      </c>
      <c r="AF50" s="22">
        <f t="shared" si="36"/>
        <v>3.0998625108524802E-5</v>
      </c>
      <c r="AG50" s="22">
        <f t="shared" si="37"/>
        <v>-6.9267588735794083E-6</v>
      </c>
      <c r="AH50" s="22">
        <f t="shared" si="33"/>
        <v>1.4166665134372949E-7</v>
      </c>
      <c r="AI50" s="22"/>
      <c r="AK50" s="9"/>
      <c r="AL50" s="9"/>
      <c r="AM50" s="23">
        <f t="shared" si="1"/>
        <v>0.72209670835885986</v>
      </c>
      <c r="AN50" s="23">
        <f t="shared" si="2"/>
        <v>12.67409877026102</v>
      </c>
      <c r="AO50" s="23">
        <f t="shared" si="29"/>
        <v>69.346346682478753</v>
      </c>
      <c r="AP50" s="8">
        <f t="shared" si="4"/>
        <v>280.74632371527252</v>
      </c>
      <c r="AQ50" s="22">
        <f>-X50*V50*W50^(-Parameters!B$53)*Parameters!B$47*Parameters!B$46*M50</f>
        <v>-1.4617322774116314E-5</v>
      </c>
      <c r="AR50" s="7">
        <f>1000*EXP(-(Parameters!$B$55)*'6states'!A50)*AP50*Parameters!B$47*Parameters!B$46*M50</f>
        <v>1.2718572601016613</v>
      </c>
      <c r="AS50" s="7">
        <f>SUM(AR50:AR$204)*EXP(Parameters!$B$55*A50)</f>
        <v>487.36907830127183</v>
      </c>
      <c r="AT50" s="13">
        <f t="shared" si="49"/>
        <v>0.22925634920571974</v>
      </c>
      <c r="AU50">
        <f>(1/$S50-1/Parameters!$B$13) * LN(Parameters!$B$18) / LN(O50)</f>
        <v>0.22806203109758405</v>
      </c>
      <c r="AV50">
        <f>(Parameters!$B$18*'6states'!S50^+Parameters!$B$19*Parameters!$B$25^'6states'!S50)^((1-'6states'!S50)/'6states'!S50)*Parameters!$B$18*Parameters!$B$26^('6states'!S50-1)</f>
        <v>0.2887994249130989</v>
      </c>
      <c r="AW50">
        <f t="shared" si="34"/>
        <v>0.22889446353175044</v>
      </c>
      <c r="AX50">
        <f t="shared" si="45"/>
        <v>0.14621899614691714</v>
      </c>
      <c r="AY50">
        <f t="shared" si="46"/>
        <v>0.18141702031962281</v>
      </c>
      <c r="AZ50">
        <f>(1/$S50-1/Parameters!$B$13) * LN(Parameters!$B$18) / A50</f>
        <v>1.7337118861662518E-2</v>
      </c>
    </row>
    <row r="51" spans="1:52" x14ac:dyDescent="0.25">
      <c r="A51">
        <f>A50+Parameters!$B$71</f>
        <v>47</v>
      </c>
      <c r="B51" s="42">
        <f>B50+(B$53-B$50)/3</f>
        <v>6.6355231848431464E-4</v>
      </c>
      <c r="C51" s="42">
        <f t="shared" ref="C51:D51" si="53">C50+(C$53-C$50)/3</f>
        <v>8.9251505023683897E-2</v>
      </c>
      <c r="D51" s="42">
        <f t="shared" si="53"/>
        <v>0.21818366004225778</v>
      </c>
      <c r="E51" s="7">
        <f>MAX((1-Parameters!$B$4)^Parameters!B$71*E50 + B50*Parameters!B$71 - IF(B50&gt;0,Parameters!$B$5,0)*B50^2/E50*Parameters!B$71, 0.0001)</f>
        <v>5.7005784429246073E-2</v>
      </c>
      <c r="F51" s="7">
        <f>(1-Parameters!$B$4)^Parameters!B$71*F50+C50*Parameters!B$71-Parameters!$B$5*C50^2/F50*Parameters!B$71</f>
        <v>1.1760905280161367</v>
      </c>
      <c r="G51" s="7">
        <f>(1-Parameters!$B$4)^Parameters!B$71*G50+D50*Parameters!B$71-Parameters!$B$5*D50^2/G50*Parameters!B$71</f>
        <v>3.3008311880712977</v>
      </c>
      <c r="H51" s="9">
        <f>MAX(H50 * (1-Parameters!$B$4) ^ Parameters!B$71 + (LN(1+EXP(Parameters!$B$21*(-B50+0.004)))/Parameters!$B$21 -0.004) * Parameters!B$71,0)</f>
        <v>3.9379198950358109E-3</v>
      </c>
      <c r="I51" s="23">
        <f>I50*(1+Parameters!$B$52)^Parameters!B$71</f>
        <v>9.3497248516933258</v>
      </c>
      <c r="J51" s="23">
        <f>J50*(1+Parameters!$B$54)^Parameters!B$71</f>
        <v>22.886761478964964</v>
      </c>
      <c r="K51" s="23">
        <f>I51*J51*EXP(-Parameters!$B$43*'6states'!A51)*(Parameters!$B$38/Parameters!$B$39*('6states'!E51+'6states'!H51)/Parameters!$E$25*(EXP(-Parameters!$B$39*Parameters!$E$25*'6states'!H51/('6states'!E51+'6states'!H51))-EXP(-Parameters!$B$39*Parameters!$E$25))  +  Parameters!$B$40*'6states'!E51)</f>
        <v>6.1284870414605663</v>
      </c>
      <c r="L51" s="8">
        <f>L50+K51*Parameters!B$71</f>
        <v>3152.7000083187086</v>
      </c>
      <c r="M51" s="7">
        <f>L51*Parameters!$B$46</f>
        <v>1.8916200049912251</v>
      </c>
      <c r="N51" s="9">
        <f>EXP(-Parameters!$B$47/2*M51^2)</f>
        <v>0.96467774758024316</v>
      </c>
      <c r="O51" s="8">
        <f>MAX((Parameters!$B$63 + Parameters!$B$31*'6states'!A51 - '6states'!L51 + Parameters!$B$48/Parameters!$B$46)/Parameters!B$63,1)</f>
        <v>33.953999833625829</v>
      </c>
      <c r="P51" s="7">
        <f>Parameters!B$62*EXP(-Parameters!B$61*A51)</f>
        <v>0.14055629693139302</v>
      </c>
      <c r="Q51" s="7">
        <f>(1-Parameters!B$62)*O51^-Parameters!B$64</f>
        <v>0.35146405074276305</v>
      </c>
      <c r="R51" s="7">
        <f>Parameters!B$62*EXP(-Parameters!B$61*A51)+(1-Parameters!B$62)*O51^-Parameters!B$64</f>
        <v>0.49202034767415603</v>
      </c>
      <c r="S51" s="7">
        <f>1-R51/Parameters!$B$12</f>
        <v>0.75398982616292198</v>
      </c>
      <c r="T51" s="7">
        <f t="shared" si="0"/>
        <v>4.0648725392237521</v>
      </c>
      <c r="U51" s="7">
        <f>(Parameters!$B$19*(E51+Parameters!$B$20)^S51+Parameters!$B$18*F51^S51)^(1/S51)</f>
        <v>0.33058877748436349</v>
      </c>
      <c r="V51" s="7">
        <f>(Parameters!$B$10*G51^Parameters!$B$9+Parameters!$B$11*U51^Parameters!$B$9)^(Parameters!$B$7/Parameters!$B$9)*N51</f>
        <v>1.3412097242199958</v>
      </c>
      <c r="W51" s="7">
        <f>V51 - C51 - D51 - LN(1+EXP(Parameters!$B$21*B51))/Parameters!$B$21 - IF(B51&gt;0, 0,Parameters!$B$6*B51^2/E51)</f>
        <v>1.031115808270509</v>
      </c>
      <c r="X51" s="7">
        <f>EXP(-Parameters!$B$56*A51)</f>
        <v>0.49179171284640477</v>
      </c>
      <c r="Y51" s="7">
        <f>IF(W51&gt;0,W51^(1-Parameters!$B$53)/(1-Parameters!$B$53)*X51*Parameters!$B$71,-10+W51*1000)</f>
        <v>-1.3901304487885735</v>
      </c>
      <c r="AA51" s="22">
        <f t="shared" si="15"/>
        <v>7.8610302713402937E-3</v>
      </c>
      <c r="AB51" s="22">
        <f t="shared" si="10"/>
        <v>-8.1799669975257672E-4</v>
      </c>
      <c r="AC51" s="22">
        <f t="shared" si="11"/>
        <v>1.5564878606889876E-4</v>
      </c>
      <c r="AD51" s="22">
        <f t="shared" si="32"/>
        <v>3.0731642214058071E-5</v>
      </c>
      <c r="AE51" s="22">
        <f t="shared" si="35"/>
        <v>1.3399027092391019E-2</v>
      </c>
      <c r="AF51" s="22">
        <f t="shared" si="36"/>
        <v>-3.9823332370213238E-4</v>
      </c>
      <c r="AG51" s="22">
        <f t="shared" si="37"/>
        <v>3.7848719122698937E-5</v>
      </c>
      <c r="AH51" s="22">
        <f t="shared" si="33"/>
        <v>8.8371995128287239E-5</v>
      </c>
      <c r="AI51" s="22"/>
      <c r="AK51" s="9"/>
      <c r="AL51" s="9"/>
      <c r="AM51" s="23">
        <f t="shared" si="1"/>
        <v>0.84265548384443634</v>
      </c>
      <c r="AN51" s="23">
        <f t="shared" si="2"/>
        <v>12.198378367399766</v>
      </c>
      <c r="AO51" s="23">
        <f t="shared" si="29"/>
        <v>70.741013954041776</v>
      </c>
      <c r="AP51" s="8">
        <f t="shared" si="4"/>
        <v>286.99865899359185</v>
      </c>
      <c r="AQ51" s="22">
        <f>-X51*V51*W51^(-Parameters!B$53)*Parameters!B$47*Parameters!B$46*M51</f>
        <v>-1.4437568402467869E-5</v>
      </c>
      <c r="AR51" s="7">
        <f>1000*EXP(-(Parameters!$B$55)*'6states'!A51)*AP51*Parameters!B$47*Parameters!B$46*M51</f>
        <v>1.2577822649843822</v>
      </c>
      <c r="AS51" s="7">
        <f>SUM(AR51:AR$204)*EXP(Parameters!$B$55*A51)</f>
        <v>498.15894974047114</v>
      </c>
      <c r="AT51" s="13">
        <f t="shared" si="49"/>
        <v>0.22971703218421433</v>
      </c>
      <c r="AU51">
        <f>(1/$S51-1/Parameters!$B$13) * LN(Parameters!$B$18) / LN(O51)</f>
        <v>0.22768496301069208</v>
      </c>
      <c r="AV51">
        <f>(Parameters!$B$18*'6states'!S51^+Parameters!$B$19*Parameters!$B$25^'6states'!S51)^((1-'6states'!S51)/'6states'!S51)*Parameters!$B$18*Parameters!$B$26^('6states'!S51-1)</f>
        <v>0.28957529167891877</v>
      </c>
      <c r="AW51">
        <f t="shared" si="34"/>
        <v>0.22782972919116981</v>
      </c>
      <c r="AX51">
        <f t="shared" si="45"/>
        <v>0.14599581963687225</v>
      </c>
      <c r="AY51">
        <f t="shared" si="46"/>
        <v>0.18185712759343864</v>
      </c>
      <c r="AZ51">
        <f>(1/$S51-1/Parameters!$B$13) * LN(Parameters!$B$18) / A51</f>
        <v>1.707640450130057E-2</v>
      </c>
    </row>
    <row r="52" spans="1:52" x14ac:dyDescent="0.25">
      <c r="A52">
        <f>A51+Parameters!$B$71</f>
        <v>48</v>
      </c>
      <c r="B52" s="42">
        <f>B51+(B$53-B$50)/3</f>
        <v>1.0981364292610672E-3</v>
      </c>
      <c r="C52" s="42">
        <f t="shared" ref="C52" si="54">C51+(C$53-C$50)/3</f>
        <v>8.8998560180493916E-2</v>
      </c>
      <c r="D52" s="42">
        <f t="shared" ref="D52" si="55">D51+(D$53-D$50)/3</f>
        <v>0.21841307787397729</v>
      </c>
      <c r="E52" s="7">
        <f>MAX((1-Parameters!$B$4)^Parameters!B$71*E51 + B51*Parameters!B$71 - IF(B51&gt;0,Parameters!$B$5,0)*B51^2/E51*Parameters!B$71, 0.0001)</f>
        <v>5.4075949100086063E-2</v>
      </c>
      <c r="F52" s="7">
        <f>(1-Parameters!$B$4)^Parameters!B$71*F51+C51*Parameters!B$71-Parameters!$B$5*C51^2/F51*Parameters!B$71</f>
        <v>1.1845927942785806</v>
      </c>
      <c r="G52" s="7">
        <f>(1-Parameters!$B$4)^Parameters!B$71*G51+D51*Parameters!B$71-Parameters!$B$5*D51^2/G51*Parameters!B$71</f>
        <v>3.2969707111610198</v>
      </c>
      <c r="H52" s="9">
        <f>MAX(H51 * (1-Parameters!$B$4) ^ Parameters!B$71 + (LN(1+EXP(Parameters!$B$21*(-B51+0.004)))/Parameters!$B$21 -0.004) * Parameters!B$71,0)</f>
        <v>4.0700407489922385E-3</v>
      </c>
      <c r="I52" s="23">
        <f>I51*(1+Parameters!$B$52)^Parameters!B$71</f>
        <v>9.376839053763236</v>
      </c>
      <c r="J52" s="23">
        <f>J51*(1+Parameters!$B$54)^Parameters!B$71</f>
        <v>23.344496708544263</v>
      </c>
      <c r="K52" s="23">
        <f>I52*J52*EXP(-Parameters!$B$43*'6states'!A52)*(Parameters!$B$38/Parameters!$B$39*('6states'!E52+'6states'!H52)/Parameters!$E$25*(EXP(-Parameters!$B$39*Parameters!$E$25*'6states'!H52/('6states'!E52+'6states'!H52))-EXP(-Parameters!$B$39*Parameters!$E$25))  +  Parameters!$B$40*'6states'!E52)</f>
        <v>5.8741034724070431</v>
      </c>
      <c r="L52" s="8">
        <f>L51+K52*Parameters!B$71</f>
        <v>3158.5741117911157</v>
      </c>
      <c r="M52" s="7">
        <f>L52*Parameters!$B$46</f>
        <v>1.8951444670746693</v>
      </c>
      <c r="N52" s="9">
        <f>EXP(-Parameters!$B$47/2*M52^2)</f>
        <v>0.96454836365181118</v>
      </c>
      <c r="O52" s="8">
        <f>MAX((Parameters!$B$63 + Parameters!$B$31*'6states'!A52 - '6states'!L52 + Parameters!$B$48/Parameters!$B$46)/Parameters!B$63,1)</f>
        <v>34.900517764177692</v>
      </c>
      <c r="P52" s="7">
        <f>Parameters!B$62*EXP(-Parameters!B$61*A52)</f>
        <v>0.13681205168520402</v>
      </c>
      <c r="Q52" s="7">
        <f>(1-Parameters!B$62)*O52^-Parameters!B$64</f>
        <v>0.35049902752954254</v>
      </c>
      <c r="R52" s="7">
        <f>Parameters!B$62*EXP(-Parameters!B$61*A52)+(1-Parameters!B$62)*O52^-Parameters!B$64</f>
        <v>0.48731107921474659</v>
      </c>
      <c r="S52" s="7">
        <f>1-R52/Parameters!$B$12</f>
        <v>0.75634446039262671</v>
      </c>
      <c r="T52" s="7">
        <f t="shared" si="0"/>
        <v>4.1041545848348067</v>
      </c>
      <c r="U52" s="7">
        <f>(Parameters!$B$19*(E52+Parameters!$B$20)^S52+Parameters!$B$18*F52^S52)^(1/S52)</f>
        <v>0.33014992890975442</v>
      </c>
      <c r="V52" s="7">
        <f>(Parameters!$B$10*G52^Parameters!$B$9+Parameters!$B$11*U52^Parameters!$B$9)^(Parameters!$B$7/Parameters!$B$9)*N52</f>
        <v>1.3405388899621908</v>
      </c>
      <c r="W52" s="7">
        <f>V52 - C52 - D52 - LN(1+EXP(Parameters!$B$21*B52))/Parameters!$B$21 - IF(B52&gt;0, 0,Parameters!$B$6*B52^2/E52)</f>
        <v>1.0302226747354033</v>
      </c>
      <c r="X52" s="7">
        <f>EXP(-Parameters!$B$56*A52)</f>
        <v>0.48442144355629069</v>
      </c>
      <c r="Y52" s="7">
        <f>IF(W52&gt;0,W52^(1-Parameters!$B$53)/(1-Parameters!$B$53)*X52*Parameters!$B$71,-10+W52*1000)</f>
        <v>-1.3697125300197603</v>
      </c>
      <c r="AA52" s="22">
        <f t="shared" si="15"/>
        <v>8.6672108054358637E-3</v>
      </c>
      <c r="AB52" s="22">
        <f t="shared" si="10"/>
        <v>-7.5820766296151587E-4</v>
      </c>
      <c r="AC52" s="22">
        <f t="shared" si="11"/>
        <v>1.469815473600089E-4</v>
      </c>
      <c r="AD52" s="22">
        <f t="shared" si="32"/>
        <v>3.6678950833882953E-5</v>
      </c>
      <c r="AE52" s="22">
        <f t="shared" si="35"/>
        <v>8.0618053409557038E-4</v>
      </c>
      <c r="AF52" s="22">
        <f t="shared" si="36"/>
        <v>5.9789036791060846E-5</v>
      </c>
      <c r="AG52" s="22">
        <f t="shared" si="37"/>
        <v>-8.6672387088898573E-6</v>
      </c>
      <c r="AH52" s="22">
        <f t="shared" si="33"/>
        <v>3.1660666706942087E-7</v>
      </c>
      <c r="AI52" s="22"/>
      <c r="AK52" s="9"/>
      <c r="AL52" s="9"/>
      <c r="AM52" s="23">
        <f t="shared" si="1"/>
        <v>0.89092210475453126</v>
      </c>
      <c r="AN52" s="23">
        <f t="shared" si="2"/>
        <v>11.837094849916808</v>
      </c>
      <c r="AO52" s="23">
        <f t="shared" si="29"/>
        <v>72.269023257732059</v>
      </c>
      <c r="AP52" s="8">
        <f t="shared" si="4"/>
        <v>293.44073020549888</v>
      </c>
      <c r="AQ52" s="22">
        <f>-X52*V52*W52^(-Parameters!B$53)*Parameters!B$47*Parameters!B$46*M52</f>
        <v>-1.4257238546817717E-5</v>
      </c>
      <c r="AR52" s="7">
        <f>1000*EXP(-(Parameters!$B$55)*'6states'!A52)*AP52*Parameters!B$47*Parameters!B$46*M52</f>
        <v>1.2439722181189956</v>
      </c>
      <c r="AS52" s="7">
        <f>SUM(AR52:AR$204)*EXP(Parameters!$B$55*A52)</f>
        <v>509.17364659108176</v>
      </c>
      <c r="AT52" s="13">
        <f t="shared" si="49"/>
        <v>0.23013862320132589</v>
      </c>
      <c r="AU52">
        <f>(1/$S52-1/Parameters!$B$13) * LN(Parameters!$B$18) / LN(O52)</f>
        <v>0.22730734685995874</v>
      </c>
      <c r="AV52">
        <f>(Parameters!$B$18*'6states'!S52^+Parameters!$B$19*Parameters!$B$25^'6states'!S52)^((1-'6states'!S52)/'6states'!S52)*Parameters!$B$18*Parameters!$B$26^('6states'!S52-1)</f>
        <v>0.29031625545867584</v>
      </c>
      <c r="AW52">
        <f t="shared" si="34"/>
        <v>0.226785774111078</v>
      </c>
      <c r="AX52">
        <f t="shared" si="45"/>
        <v>0.14577226027738954</v>
      </c>
      <c r="AY52">
        <f t="shared" si="46"/>
        <v>0.18227721539418529</v>
      </c>
      <c r="AZ52">
        <f>(1/$S52-1/Parameters!$B$13) * LN(Parameters!$B$18) / A52</f>
        <v>1.6823119336030892E-2</v>
      </c>
    </row>
    <row r="53" spans="1:52" x14ac:dyDescent="0.25">
      <c r="A53">
        <f>A52+Parameters!$B$71</f>
        <v>49</v>
      </c>
      <c r="B53" s="20">
        <v>1.53272054003782E-3</v>
      </c>
      <c r="C53" s="20">
        <v>8.8745615337303949E-2</v>
      </c>
      <c r="D53" s="20">
        <v>0.21864249570569677</v>
      </c>
      <c r="E53" s="7">
        <f>MAX((1-Parameters!$B$4)^Parameters!B$71*E52 + B52*Parameters!B$71 - IF(B52&gt;0,Parameters!$B$5,0)*B52^2/E52*Parameters!B$71, 0.0001)</f>
        <v>5.1750408146908011E-2</v>
      </c>
      <c r="F53" s="7">
        <f>(1-Parameters!$B$4)^Parameters!B$71*F52+C52*Parameters!B$71-Parameters!$B$5*C52^2/F52*Parameters!B$71</f>
        <v>1.1923939980931453</v>
      </c>
      <c r="G53" s="7">
        <f>(1-Parameters!$B$4)^Parameters!B$71*G52+D52*Parameters!B$71-Parameters!$B$5*D52^2/G52*Parameters!B$71</f>
        <v>3.2935352089583598</v>
      </c>
      <c r="H53" s="9">
        <f>MAX(H52 * (1-Parameters!$B$4) ^ Parameters!B$71 + (LN(1+EXP(Parameters!$B$21*(-B52+0.004)))/Parameters!$B$21 -0.004) * Parameters!B$71,0)</f>
        <v>3.8817428154010003E-3</v>
      </c>
      <c r="I53" s="23">
        <f>I52*(1+Parameters!$B$52)^Parameters!B$71</f>
        <v>9.4040318870191477</v>
      </c>
      <c r="J53" s="23">
        <f>J52*(1+Parameters!$B$54)^Parameters!B$71</f>
        <v>23.811386642715149</v>
      </c>
      <c r="K53" s="23">
        <f>I53*J53*EXP(-Parameters!$B$43*'6states'!A53)*(Parameters!$B$38/Parameters!$B$39*('6states'!E53+'6states'!H53)/Parameters!$E$25*(EXP(-Parameters!$B$39*Parameters!$E$25*'6states'!H53/('6states'!E53+'6states'!H53))-EXP(-Parameters!$B$39*Parameters!$E$25))  +  Parameters!$B$40*'6states'!E53)</f>
        <v>5.6938155377226023</v>
      </c>
      <c r="L53" s="8">
        <f>L52+K53*Parameters!B$71</f>
        <v>3164.2679273288381</v>
      </c>
      <c r="M53" s="7">
        <f>L53*Parameters!$B$46</f>
        <v>1.8985607563973028</v>
      </c>
      <c r="N53" s="9">
        <f>EXP(-Parameters!$B$47/2*M53^2)</f>
        <v>0.9644227375126404</v>
      </c>
      <c r="O53" s="8">
        <f>MAX((Parameters!$B$63 + Parameters!$B$31*'6states'!A53 - '6states'!L53 + Parameters!$B$48/Parameters!$B$46)/Parameters!B$63,1)</f>
        <v>35.850641453423243</v>
      </c>
      <c r="P53" s="7">
        <f>Parameters!B$62*EXP(-Parameters!B$61*A53)</f>
        <v>0.13316754848380194</v>
      </c>
      <c r="Q53" s="7">
        <f>(1-Parameters!B$62)*O53^-Parameters!B$64</f>
        <v>0.3495588575362944</v>
      </c>
      <c r="R53" s="7">
        <f>Parameters!B$62*EXP(-Parameters!B$61*A53)+(1-Parameters!B$62)*O53^-Parameters!B$64</f>
        <v>0.48272640602009631</v>
      </c>
      <c r="S53" s="7">
        <f>1-R53/Parameters!$B$12</f>
        <v>0.7586367969899519</v>
      </c>
      <c r="T53" s="7">
        <f t="shared" si="0"/>
        <v>4.143133615766482</v>
      </c>
      <c r="U53" s="7">
        <f>(Parameters!$B$19*(E53+Parameters!$B$20)^S53+Parameters!$B$18*F53^S53)^(1/S53)</f>
        <v>0.33016467069144639</v>
      </c>
      <c r="V53" s="7">
        <f>(Parameters!$B$10*G53^Parameters!$B$9+Parameters!$B$11*U53^Parameters!$B$9)^(Parameters!$B$7/Parameters!$B$9)*N53</f>
        <v>1.3400840482216856</v>
      </c>
      <c r="W53" s="7">
        <f>V53 - C53 - D53 - LN(1+EXP(Parameters!$B$21*B53))/Parameters!$B$21 - IF(B53&gt;0, 0,Parameters!$B$6*B53^2/E53)</f>
        <v>1.0295317554247188</v>
      </c>
      <c r="X53" s="7">
        <f>EXP(-Parameters!$B$56*A53)</f>
        <v>0.47716162929823552</v>
      </c>
      <c r="Y53" s="7">
        <f>IF(W53&gt;0,W53^(1-Parameters!$B$53)/(1-Parameters!$B$53)*X53*Parameters!$B$71,-10+W53*1000)</f>
        <v>-1.3495020764100651</v>
      </c>
      <c r="AA53" s="22">
        <f t="shared" si="15"/>
        <v>9.3102563221403971E-3</v>
      </c>
      <c r="AB53" s="22">
        <f t="shared" si="10"/>
        <v>-7.0366839235218304E-4</v>
      </c>
      <c r="AC53" s="22">
        <f t="shared" si="11"/>
        <v>1.3875915087505075E-4</v>
      </c>
      <c r="AD53" s="22">
        <f t="shared" si="32"/>
        <v>4.1606240007312453E-5</v>
      </c>
      <c r="AE53" s="22">
        <f t="shared" si="35"/>
        <v>6.430455167045334E-4</v>
      </c>
      <c r="AF53" s="22">
        <f t="shared" si="36"/>
        <v>5.4539270609332835E-5</v>
      </c>
      <c r="AG53" s="22">
        <f t="shared" si="37"/>
        <v>-8.2223964849581499E-6</v>
      </c>
      <c r="AH53" s="22">
        <f t="shared" si="33"/>
        <v>1.9876152227293715E-7</v>
      </c>
      <c r="AI53" s="22"/>
      <c r="AK53" s="9"/>
      <c r="AL53" s="9"/>
      <c r="AM53" s="23">
        <f t="shared" si="1"/>
        <v>0.86921164885893709</v>
      </c>
      <c r="AN53" s="23">
        <f t="shared" si="2"/>
        <v>11.588108675316773</v>
      </c>
      <c r="AO53" s="23">
        <f t="shared" si="29"/>
        <v>73.93147651824367</v>
      </c>
      <c r="AP53" s="8">
        <f t="shared" si="4"/>
        <v>300.0756929446394</v>
      </c>
      <c r="AQ53" s="22">
        <f>-X53*V53*W53^(-Parameters!B$53)*Parameters!B$47*Parameters!B$46*M53</f>
        <v>-1.4076857029518231E-5</v>
      </c>
      <c r="AR53" s="7">
        <f>1000*EXP(-(Parameters!$B$55)*'6states'!A53)*AP53*Parameters!B$47*Parameters!B$46*M53</f>
        <v>1.2304374634061566</v>
      </c>
      <c r="AS53" s="7">
        <f>SUM(AR53:AR$204)*EXP(Parameters!$B$55*A53)</f>
        <v>520.41669367833674</v>
      </c>
      <c r="AT53" s="13">
        <f t="shared" si="49"/>
        <v>0.23052347499620021</v>
      </c>
      <c r="AU53">
        <f>(1/$S53-1/Parameters!$B$13) * LN(Parameters!$B$18) / LN(O53)</f>
        <v>0.22693125158360519</v>
      </c>
      <c r="AV53">
        <f>(Parameters!$B$18*'6states'!S53^+Parameters!$B$19*Parameters!$B$25^'6states'!S53)^((1-'6states'!S53)/'6states'!S53)*Parameters!$B$18*Parameters!$B$26^('6states'!S53-1)</f>
        <v>0.29102391025312491</v>
      </c>
      <c r="AW53">
        <f t="shared" si="34"/>
        <v>0.22576412412271304</v>
      </c>
      <c r="AX53">
        <f t="shared" si="45"/>
        <v>0.14554954314844448</v>
      </c>
      <c r="AY53">
        <f t="shared" si="46"/>
        <v>0.18267821736312373</v>
      </c>
      <c r="AZ53">
        <f>(1/$S53-1/Parameters!$B$13) * LN(Parameters!$B$18) / A53</f>
        <v>1.6576917875401675E-2</v>
      </c>
    </row>
    <row r="54" spans="1:52" s="4" customFormat="1" x14ac:dyDescent="0.25">
      <c r="A54">
        <f>A53+Parameters!$B$71</f>
        <v>50</v>
      </c>
      <c r="B54" s="37">
        <f>B53+(B$57-B$53)/4</f>
        <v>1.335390739173726E-3</v>
      </c>
      <c r="C54" s="37">
        <f t="shared" ref="C54:D54" si="56">C53+(C$57-C$53)/4</f>
        <v>8.8793822326871441E-2</v>
      </c>
      <c r="D54" s="37">
        <f t="shared" si="56"/>
        <v>0.2189185493712312</v>
      </c>
      <c r="E54" s="7">
        <f>MAX((1-Parameters!$B$4)^Parameters!B$71*E53 + B53*Parameters!B$71 - IF(B53&gt;0,Parameters!$B$5,0)*B53^2/E53*Parameters!B$71, 0.0001)</f>
        <v>4.9982632580189423E-2</v>
      </c>
      <c r="F54" s="7">
        <f>(1-Parameters!$B$4)^Parameters!B$71*F53+C53*Parameters!B$71-Parameters!$B$5*C53^2/F53*Parameters!B$71</f>
        <v>1.1995330125972357</v>
      </c>
      <c r="G54" s="7">
        <f>(1-Parameters!$B$4)^Parameters!B$71*G53+D53*Parameters!B$71-Parameters!$B$5*D53^2/G53*Parameters!B$71</f>
        <v>3.2904996808791198</v>
      </c>
      <c r="H54" s="9">
        <f>MAX(H53 * (1-Parameters!$B$4) ^ Parameters!B$71 + (LN(1+EXP(Parameters!$B$21*(-B53+0.004)))/Parameters!$B$21 -0.004) * Parameters!B$71,0)</f>
        <v>3.4049631526806108E-3</v>
      </c>
      <c r="I54" s="23">
        <f>I53*(1+Parameters!$B$52)^Parameters!B$71</f>
        <v>9.4313035794915017</v>
      </c>
      <c r="J54" s="23">
        <f>J53*(1+Parameters!$B$54)^Parameters!B$71</f>
        <v>24.287614375569454</v>
      </c>
      <c r="K54" s="23">
        <f>I54*J54*EXP(-Parameters!$B$43*'6states'!A54)*(Parameters!$B$38/Parameters!$B$39*('6states'!E54+'6states'!H54)/Parameters!$E$25*(EXP(-Parameters!$B$39*Parameters!$E$25*'6states'!H54/('6states'!E54+'6states'!H54))-EXP(-Parameters!$B$39*Parameters!$E$25))  +  Parameters!$B$40*'6states'!E54)</f>
        <v>5.5844087626694741</v>
      </c>
      <c r="L54" s="8">
        <f>L53+K54*Parameters!B$71</f>
        <v>3169.8523360915078</v>
      </c>
      <c r="M54" s="7">
        <f>L54*Parameters!$B$46</f>
        <v>1.9019114016549046</v>
      </c>
      <c r="N54" s="9">
        <f>EXP(-Parameters!$B$47/2*M54^2)</f>
        <v>0.96429932144099939</v>
      </c>
      <c r="O54" s="8">
        <f>MAX((Parameters!$B$63 + Parameters!$B$31*'6states'!A54 - '6states'!L54 + Parameters!$B$48/Parameters!$B$46)/Parameters!B$63,1)</f>
        <v>36.802953278169845</v>
      </c>
      <c r="P54" s="7">
        <f>Parameters!B$62*EXP(-Parameters!B$61*A54)</f>
        <v>0.12962013032294575</v>
      </c>
      <c r="Q54" s="7">
        <f>(1-Parameters!B$62)*O54^-Parameters!B$64</f>
        <v>0.34864363208697913</v>
      </c>
      <c r="R54" s="7">
        <f>Parameters!B$62*EXP(-Parameters!B$61*A54)+(1-Parameters!B$62)*O54^-Parameters!B$64</f>
        <v>0.47826376240992485</v>
      </c>
      <c r="S54" s="7">
        <f>1-R54/Parameters!$B$12</f>
        <v>0.76086811879503757</v>
      </c>
      <c r="T54" s="7">
        <f t="shared" si="0"/>
        <v>4.1817928875108441</v>
      </c>
      <c r="U54" s="7">
        <f>(Parameters!$B$19*(E54+Parameters!$B$20)^S54+Parameters!$B$18*F54^S54)^(1/S54)</f>
        <v>0.33060115894349357</v>
      </c>
      <c r="V54" s="7">
        <f>(Parameters!$B$10*G54^Parameters!$B$9+Parameters!$B$11*U54^Parameters!$B$9)^(Parameters!$B$7/Parameters!$B$9)*N54</f>
        <v>1.3398272033650811</v>
      </c>
      <c r="W54" s="7">
        <f>V54 - C54 - D54 - LN(1+EXP(Parameters!$B$21*B54))/Parameters!$B$21 - IF(B54&gt;0, 0,Parameters!$B$6*B54^2/E54)</f>
        <v>1.0290702155962792</v>
      </c>
      <c r="X54" s="17">
        <f>EXP(-Parameters!$B$56*A54)</f>
        <v>0.4700106147305379</v>
      </c>
      <c r="Y54" s="7">
        <f>IF(W54&gt;0,W54^(1-Parameters!$B$53)/(1-Parameters!$B$53)*X54*Parameters!$B$71,-10+W54*1000)</f>
        <v>-1.3294863073618872</v>
      </c>
      <c r="Z54"/>
      <c r="AA54" s="22">
        <f t="shared" si="15"/>
        <v>-2.9004596991475812E-3</v>
      </c>
      <c r="AB54" s="22">
        <f t="shared" si="10"/>
        <v>-4.0276031607291984E-4</v>
      </c>
      <c r="AC54" s="22">
        <f t="shared" si="11"/>
        <v>1.451354849751757E-4</v>
      </c>
      <c r="AD54" s="22">
        <f t="shared" si="32"/>
        <v>4.0401861680206478E-6</v>
      </c>
      <c r="AE54" s="22">
        <f t="shared" si="35"/>
        <v>-1.2210716021287978E-2</v>
      </c>
      <c r="AF54" s="22">
        <f t="shared" si="36"/>
        <v>3.0090807627926319E-4</v>
      </c>
      <c r="AG54" s="22">
        <f t="shared" si="37"/>
        <v>6.3763341001249474E-6</v>
      </c>
      <c r="AH54" s="22">
        <f t="shared" si="33"/>
        <v>7.0121904512561396E-5</v>
      </c>
      <c r="AI54" s="22"/>
      <c r="AJ54"/>
      <c r="AK54" s="9"/>
      <c r="AL54" s="9"/>
      <c r="AM54" s="23">
        <f t="shared" si="1"/>
        <v>0.77995401788451546</v>
      </c>
      <c r="AN54" s="23">
        <f t="shared" si="2"/>
        <v>11.449214971584446</v>
      </c>
      <c r="AO54" s="23">
        <f t="shared" si="29"/>
        <v>75.728779041927581</v>
      </c>
      <c r="AP54" s="8">
        <f t="shared" si="4"/>
        <v>306.9059968278579</v>
      </c>
      <c r="AQ54" s="22">
        <f>-X54*V54*W54^(-Parameters!B$53)*Parameters!B$47*Parameters!B$46*M54</f>
        <v>-1.3896111355552177E-5</v>
      </c>
      <c r="AR54" s="7">
        <f>1000*EXP(-(Parameters!$B$55)*'6states'!A54)*AP54*Parameters!B$47*Parameters!B$46*M54</f>
        <v>1.2171837578897939</v>
      </c>
      <c r="AS54" s="7">
        <f>SUM(AR54:AR$204)*EXP(Parameters!$B$55*A54)</f>
        <v>531.89151206560155</v>
      </c>
      <c r="AT54" s="13">
        <f t="shared" si="49"/>
        <v>0.23066240307785862</v>
      </c>
      <c r="AU54">
        <f>(1/$S54-1/Parameters!$B$13) * LN(Parameters!$B$18) / LN(O54)</f>
        <v>0.22655840025816248</v>
      </c>
      <c r="AV54">
        <f>(Parameters!$B$18*'6states'!S54^+Parameters!$B$19*Parameters!$B$25^'6states'!S54)^((1-'6states'!S54)/'6states'!S54)*Parameters!$B$18*Parameters!$B$26^('6states'!S54-1)</f>
        <v>0.2916997928803603</v>
      </c>
      <c r="AW54">
        <f t="shared" si="34"/>
        <v>0.224765937919718</v>
      </c>
      <c r="AX54">
        <f t="shared" si="45"/>
        <v>0.14532868971282131</v>
      </c>
      <c r="AY54">
        <f t="shared" si="46"/>
        <v>0.1830610316095459</v>
      </c>
      <c r="AZ54">
        <f>(1/$S54-1/Parameters!$B$13) * LN(Parameters!$B$18) / A54</f>
        <v>1.633748010000842E-2</v>
      </c>
    </row>
    <row r="55" spans="1:52" x14ac:dyDescent="0.25">
      <c r="A55">
        <f>A54+Parameters!$B$71</f>
        <v>51</v>
      </c>
      <c r="B55" s="37">
        <f t="shared" ref="B55:B56" si="57">B54+(B$57-B$53)/4</f>
        <v>1.138060938309632E-3</v>
      </c>
      <c r="C55" s="37">
        <f t="shared" ref="C55:C56" si="58">C54+(C$57-C$53)/4</f>
        <v>8.8842029316438947E-2</v>
      </c>
      <c r="D55" s="37">
        <f t="shared" ref="D55:D56" si="59">D54+(D$57-D$53)/4</f>
        <v>0.21919460303676563</v>
      </c>
      <c r="E55" s="7">
        <f>MAX((1-Parameters!$B$4)^Parameters!B$71*E54 + B54*Parameters!B$71 - IF(B54&gt;0,Parameters!$B$5,0)*B54^2/E54*Parameters!B$71, 0.0001)</f>
        <v>4.8138437968930706E-2</v>
      </c>
      <c r="F55" s="7">
        <f>(1-Parameters!$B$4)^Parameters!B$71*F54+C54*Parameters!B$71-Parameters!$B$5*C54^2/F54*Parameters!B$71</f>
        <v>1.2063033648329269</v>
      </c>
      <c r="G55" s="7">
        <f>(1-Parameters!$B$4)^Parameters!B$71*G54+D54*Parameters!B$71-Parameters!$B$5*D54^2/G54*Parameters!B$71</f>
        <v>3.2878810424118794</v>
      </c>
      <c r="H55" s="9">
        <f>MAX(H54 * (1-Parameters!$B$4) ^ Parameters!B$71 + (LN(1+EXP(Parameters!$B$21*(-B54+0.004)))/Parameters!$B$21 -0.004) * Parameters!B$71,0)</f>
        <v>3.0930404351723713E-3</v>
      </c>
      <c r="I55" s="23">
        <f>I54*(1+Parameters!$B$52)^Parameters!B$71</f>
        <v>9.4586543598720265</v>
      </c>
      <c r="J55" s="23">
        <f>J54*(1+Parameters!$B$54)^Parameters!B$71</f>
        <v>24.773366663080843</v>
      </c>
      <c r="K55" s="23">
        <f>I55*J55*EXP(-Parameters!$B$43*'6states'!A55)*(Parameters!$B$38/Parameters!$B$39*('6states'!E55+'6states'!H55)/Parameters!$E$25*(EXP(-Parameters!$B$39*Parameters!$E$25*'6states'!H55/('6states'!E55+'6states'!H55))-EXP(-Parameters!$B$39*Parameters!$E$25))  +  Parameters!$B$40*'6states'!E55)</f>
        <v>5.4570985172248454</v>
      </c>
      <c r="L55" s="8">
        <f>L54+K55*Parameters!B$71</f>
        <v>3175.3094346087328</v>
      </c>
      <c r="M55" s="7">
        <f>L55*Parameters!$B$46</f>
        <v>1.9051856607652395</v>
      </c>
      <c r="N55" s="9">
        <f>EXP(-Parameters!$B$47/2*M55^2)</f>
        <v>0.96417852400576642</v>
      </c>
      <c r="O55" s="8">
        <f>MAX((Parameters!$B$63 + Parameters!$B$31*'6states'!A55 - '6states'!L55 + Parameters!$B$48/Parameters!$B$46)/Parameters!B$63,1)</f>
        <v>37.757811307825349</v>
      </c>
      <c r="P55" s="7">
        <f>Parameters!B$62*EXP(-Parameters!B$61*A55)</f>
        <v>0.12616721097768882</v>
      </c>
      <c r="Q55" s="7">
        <f>(1-Parameters!B$62)*O55^-Parameters!B$64</f>
        <v>0.34775174918116752</v>
      </c>
      <c r="R55" s="7">
        <f>Parameters!B$62*EXP(-Parameters!B$61*A55)+(1-Parameters!B$62)*O55^-Parameters!B$64</f>
        <v>0.47391896015885637</v>
      </c>
      <c r="S55" s="7">
        <f>1-R55/Parameters!$B$12</f>
        <v>0.76304051992057187</v>
      </c>
      <c r="T55" s="7">
        <f t="shared" si="0"/>
        <v>4.2201307990075048</v>
      </c>
      <c r="U55" s="7">
        <f>(Parameters!$B$19*(E55+Parameters!$B$20)^S55+Parameters!$B$18*F55^S55)^(1/S55)</f>
        <v>0.33086425295699251</v>
      </c>
      <c r="V55" s="7">
        <f>(Parameters!$B$10*G55^Parameters!$B$9+Parameters!$B$11*U55^Parameters!$B$9)^(Parameters!$B$7/Parameters!$B$9)*N55</f>
        <v>1.3395407290688279</v>
      </c>
      <c r="W55" s="7">
        <f>V55 - C55 - D55 - LN(1+EXP(Parameters!$B$21*B55))/Parameters!$B$21 - IF(B55&gt;0, 0,Parameters!$B$6*B55^2/E55)</f>
        <v>1.0285762403744443</v>
      </c>
      <c r="X55" s="7">
        <f>EXP(-Parameters!$B$56*A55)</f>
        <v>0.46296676931938507</v>
      </c>
      <c r="Y55" s="7">
        <f>IF(W55&gt;0,W55^(1-Parameters!$B$53)/(1-Parameters!$B$53)*X55*Parameters!$B$71,-10+W55*1000)</f>
        <v>-1.3097819594796092</v>
      </c>
      <c r="AA55" s="22">
        <f t="shared" si="15"/>
        <v>-3.0756768317484438E-3</v>
      </c>
      <c r="AB55" s="22">
        <f t="shared" si="10"/>
        <v>-3.754936501281364E-4</v>
      </c>
      <c r="AC55" s="22">
        <f t="shared" si="11"/>
        <v>1.369492857918736E-4</v>
      </c>
      <c r="AD55" s="22">
        <f t="shared" si="32"/>
        <v>4.4535266901699748E-6</v>
      </c>
      <c r="AE55" s="22">
        <f t="shared" si="35"/>
        <v>-1.7521713260086266E-4</v>
      </c>
      <c r="AF55" s="22">
        <f t="shared" si="36"/>
        <v>2.7266665944783441E-5</v>
      </c>
      <c r="AG55" s="22">
        <f t="shared" si="37"/>
        <v>-8.1861991833021008E-6</v>
      </c>
      <c r="AH55" s="22">
        <f t="shared" si="33"/>
        <v>1.4588790539331692E-8</v>
      </c>
      <c r="AI55" s="22"/>
      <c r="AK55" s="9"/>
      <c r="AL55" s="9"/>
      <c r="AM55" s="23">
        <f t="shared" si="1"/>
        <v>0.72476962494011876</v>
      </c>
      <c r="AN55" s="23">
        <f t="shared" si="2"/>
        <v>11.279929365036168</v>
      </c>
      <c r="AO55" s="23">
        <f t="shared" si="29"/>
        <v>77.529009254083107</v>
      </c>
      <c r="AP55" s="8">
        <f t="shared" si="4"/>
        <v>313.88481726884464</v>
      </c>
      <c r="AQ55" s="22">
        <f>-X55*V55*W55^(-Parameters!B$53)*Parameters!B$47*Parameters!B$46*M55</f>
        <v>-1.3717377657300527E-5</v>
      </c>
      <c r="AR55" s="7">
        <f>1000*EXP(-(Parameters!$B$55)*'6states'!A55)*AP55*Parameters!B$47*Parameters!B$46*M55</f>
        <v>1.2039941288367091</v>
      </c>
      <c r="AS55" s="7">
        <f>SUM(AR55:AR$204)*EXP(Parameters!$B$55*A55)</f>
        <v>543.60142600231859</v>
      </c>
      <c r="AT55" s="13">
        <f t="shared" si="49"/>
        <v>0.23080648955439731</v>
      </c>
      <c r="AU55">
        <f>(1/$S55-1/Parameters!$B$13) * LN(Parameters!$B$18) / LN(O55)</f>
        <v>0.22618783931895714</v>
      </c>
      <c r="AV55">
        <f>(Parameters!$B$18*'6states'!S55^+Parameters!$B$19*Parameters!$B$25^'6states'!S55)^((1-'6states'!S55)/'6states'!S55)*Parameters!$B$18*Parameters!$B$26^('6states'!S55-1)</f>
        <v>0.29234561381615581</v>
      </c>
      <c r="AW55">
        <f t="shared" si="34"/>
        <v>0.22378948904926751</v>
      </c>
      <c r="AX55">
        <f t="shared" si="45"/>
        <v>0.14510913639651069</v>
      </c>
      <c r="AY55">
        <f t="shared" si="46"/>
        <v>0.18342665164895633</v>
      </c>
      <c r="AZ55">
        <f>(1/$S55-1/Parameters!$B$13) * LN(Parameters!$B$18) / A55</f>
        <v>1.6104540348202957E-2</v>
      </c>
    </row>
    <row r="56" spans="1:52" x14ac:dyDescent="0.25">
      <c r="A56">
        <f>A55+Parameters!$B$71</f>
        <v>52</v>
      </c>
      <c r="B56" s="37">
        <f t="shared" si="57"/>
        <v>9.407311374455379E-4</v>
      </c>
      <c r="C56" s="37">
        <f t="shared" si="58"/>
        <v>8.8890236306006454E-2</v>
      </c>
      <c r="D56" s="37">
        <f t="shared" si="59"/>
        <v>0.21947065670230007</v>
      </c>
      <c r="E56" s="7">
        <f>MAX((1-Parameters!$B$4)^Parameters!B$71*E55 + B55*Parameters!B$71 - IF(B55&gt;0,Parameters!$B$5,0)*B55^2/E55*Parameters!B$71, 0.0001)</f>
        <v>4.6221685784538079E-2</v>
      </c>
      <c r="F56" s="7">
        <f>(1-Parameters!$B$4)^Parameters!B$71*F55+C55*Parameters!B$71-Parameters!$B$5*C55^2/F55*Parameters!B$71</f>
        <v>1.2127258600626905</v>
      </c>
      <c r="G56" s="7">
        <f>(1-Parameters!$B$4)^Parameters!B$71*G55+D55*Parameters!B$71-Parameters!$B$5*D55^2/G55*Parameters!B$71</f>
        <v>3.2856547854403586</v>
      </c>
      <c r="H56" s="9">
        <f>MAX(H55 * (1-Parameters!$B$4) ^ Parameters!B$71 + (LN(1+EXP(Parameters!$B$21*(-B55+0.004)))/Parameters!$B$21 -0.004) * Parameters!B$71,0)</f>
        <v>2.9381043719058555E-3</v>
      </c>
      <c r="I56" s="23">
        <f>I55*(1+Parameters!$B$52)^Parameters!B$71</f>
        <v>9.4860844575156538</v>
      </c>
      <c r="J56" s="23">
        <f>J55*(1+Parameters!$B$54)^Parameters!B$71</f>
        <v>25.268833996342462</v>
      </c>
      <c r="K56" s="23">
        <f>I56*J56*EXP(-Parameters!$B$43*'6states'!A56)*(Parameters!$B$38/Parameters!$B$39*('6states'!E56+'6states'!H56)/Parameters!$E$25*(EXP(-Parameters!$B$39*Parameters!$E$25*'6states'!H56/('6states'!E56+'6states'!H56))-EXP(-Parameters!$B$39*Parameters!$E$25))  +  Parameters!$B$40*'6states'!E56)</f>
        <v>5.3086611979639988</v>
      </c>
      <c r="L56" s="8">
        <f>L55+K56*Parameters!B$71</f>
        <v>3180.6180958066966</v>
      </c>
      <c r="M56" s="7">
        <f>L56*Parameters!$B$46</f>
        <v>1.9083708574840177</v>
      </c>
      <c r="N56" s="9">
        <f>EXP(-Parameters!$B$47/2*M56^2)</f>
        <v>0.96406082753127043</v>
      </c>
      <c r="O56" s="8">
        <f>MAX((Parameters!$B$63 + Parameters!$B$31*'6states'!A56 - '6states'!L56 + Parameters!$B$48/Parameters!$B$46)/Parameters!B$63,1)</f>
        <v>38.715638083866068</v>
      </c>
      <c r="P56" s="7">
        <f>Parameters!B$62*EXP(-Parameters!B$61*A56)</f>
        <v>0.12280627311690613</v>
      </c>
      <c r="Q56" s="7">
        <f>(1-Parameters!B$62)*O56^-Parameters!B$64</f>
        <v>0.34688167865488839</v>
      </c>
      <c r="R56" s="7">
        <f>Parameters!B$62*EXP(-Parameters!B$61*A56)+(1-Parameters!B$62)*O56^-Parameters!B$64</f>
        <v>0.46968795177179451</v>
      </c>
      <c r="S56" s="7">
        <f>1-R56/Parameters!$B$12</f>
        <v>0.76515602411410277</v>
      </c>
      <c r="T56" s="7">
        <f t="shared" si="0"/>
        <v>4.2581462702107649</v>
      </c>
      <c r="U56" s="7">
        <f>(Parameters!$B$19*(E56+Parameters!$B$20)^S56+Parameters!$B$18*F56^S56)^(1/S56)</f>
        <v>0.33096106523515417</v>
      </c>
      <c r="V56" s="7">
        <f>(Parameters!$B$10*G56^Parameters!$B$9+Parameters!$B$11*U56^Parameters!$B$9)^(Parameters!$B$7/Parameters!$B$9)*N56</f>
        <v>1.339227283976945</v>
      </c>
      <c r="W56" s="7">
        <f>V56 - C56 - D56 - LN(1+EXP(Parameters!$B$21*B56))/Parameters!$B$21 - IF(B56&gt;0, 0,Parameters!$B$6*B56^2/E56)</f>
        <v>1.0280524577863372</v>
      </c>
      <c r="X56" s="7">
        <f>EXP(-Parameters!$B$56*A56)</f>
        <v>0.45602848696706794</v>
      </c>
      <c r="Y56" s="7">
        <f>IF(W56&gt;0,W56^(1-Parameters!$B$53)/(1-Parameters!$B$53)*X56*Parameters!$B$71,-10+W56*1000)</f>
        <v>-1.2903828487916602</v>
      </c>
      <c r="AA56" s="22">
        <f t="shared" si="15"/>
        <v>-3.2888255483176296E-3</v>
      </c>
      <c r="AB56" s="22">
        <f t="shared" si="10"/>
        <v>-3.502836157383421E-4</v>
      </c>
      <c r="AC56" s="22">
        <f t="shared" si="11"/>
        <v>1.2918962586606908E-4</v>
      </c>
      <c r="AD56" s="22">
        <f t="shared" si="32"/>
        <v>4.9961395949506765E-6</v>
      </c>
      <c r="AE56" s="22">
        <f t="shared" si="35"/>
        <v>-2.1314871656918574E-4</v>
      </c>
      <c r="AF56" s="22">
        <f t="shared" si="36"/>
        <v>2.52100343897943E-5</v>
      </c>
      <c r="AG56" s="22">
        <f t="shared" si="37"/>
        <v>-7.7596599258045185E-6</v>
      </c>
      <c r="AH56" s="22">
        <f t="shared" si="33"/>
        <v>2.1035742940843366E-8</v>
      </c>
      <c r="AI56" s="22"/>
      <c r="AK56" s="9"/>
      <c r="AL56" s="9"/>
      <c r="AM56" s="23">
        <f t="shared" si="1"/>
        <v>0.70427035628914636</v>
      </c>
      <c r="AN56" s="23">
        <f t="shared" si="2"/>
        <v>11.079444088858486</v>
      </c>
      <c r="AO56" s="23">
        <f t="shared" si="29"/>
        <v>79.332126373646091</v>
      </c>
      <c r="AP56" s="8">
        <f t="shared" si="4"/>
        <v>321.01585139631339</v>
      </c>
      <c r="AQ56" s="22">
        <f>-X56*V56*W56^(-Parameters!B$53)*Parameters!B$47*Parameters!B$46*M56</f>
        <v>-1.3540531844537722E-5</v>
      </c>
      <c r="AR56" s="7">
        <f>1000*EXP(-(Parameters!$B$55)*'6states'!A56)*AP56*Parameters!B$47*Parameters!B$46*M56</f>
        <v>1.1908642921396893</v>
      </c>
      <c r="AS56" s="7">
        <f>SUM(AR56:AR$204)*EXP(Parameters!$B$55*A56)</f>
        <v>555.55102718903731</v>
      </c>
      <c r="AT56" s="13">
        <f t="shared" si="49"/>
        <v>0.23095528880449298</v>
      </c>
      <c r="AU56">
        <f>(1/$S56-1/Parameters!$B$13) * LN(Parameters!$B$18) / LN(O56)</f>
        <v>0.22581866185724689</v>
      </c>
      <c r="AV56">
        <f>(Parameters!$B$18*'6states'!S56^+Parameters!$B$19*Parameters!$B$25^'6states'!S56)^((1-'6states'!S56)/'6states'!S56)*Parameters!$B$18*Parameters!$B$26^('6states'!S56-1)</f>
        <v>0.2929629829461563</v>
      </c>
      <c r="AW56">
        <f t="shared" si="34"/>
        <v>0.22283313876234995</v>
      </c>
      <c r="AX56">
        <f t="shared" si="45"/>
        <v>0.14489034669077938</v>
      </c>
      <c r="AY56">
        <f t="shared" si="46"/>
        <v>0.18377601122514398</v>
      </c>
      <c r="AZ56">
        <f>(1/$S56-1/Parameters!$B$13) * LN(Parameters!$B$18) / A56</f>
        <v>1.5877846882971506E-2</v>
      </c>
    </row>
    <row r="57" spans="1:52" x14ac:dyDescent="0.25">
      <c r="A57">
        <f>A56+Parameters!$B$71</f>
        <v>53</v>
      </c>
      <c r="B57" s="20">
        <v>7.4340133658144369E-4</v>
      </c>
      <c r="C57" s="20">
        <v>8.8938443295573946E-2</v>
      </c>
      <c r="D57" s="20">
        <v>0.21974671036783447</v>
      </c>
      <c r="E57" s="7">
        <f>MAX((1-Parameters!$B$4)^Parameters!B$71*E56 + B56*Parameters!B$71 - IF(B56&gt;0,Parameters!$B$5,0)*B56^2/E56*Parameters!B$71, 0.0001)</f>
        <v>4.4235926568602785E-2</v>
      </c>
      <c r="F57" s="7">
        <f>(1-Parameters!$B$4)^Parameters!B$71*F56+C56*Parameters!B$71-Parameters!$B$5*C56^2/F56*Parameters!B$71</f>
        <v>1.2188201737691224</v>
      </c>
      <c r="G57" s="7">
        <f>(1-Parameters!$B$4)^Parameters!B$71*G56+D56*Parameters!B$71-Parameters!$B$5*D56^2/G56*Parameters!B$71</f>
        <v>3.2837978565754318</v>
      </c>
      <c r="H57" s="9">
        <f>MAX(H56 * (1-Parameters!$B$4) ^ Parameters!B$71 + (LN(1+EXP(Parameters!$B$21*(-B56+0.004)))/Parameters!$B$21 -0.004) * Parameters!B$71,0)</f>
        <v>2.932722368446803E-3</v>
      </c>
      <c r="I57" s="23">
        <f>I56*(1+Parameters!$B$52)^Parameters!B$71</f>
        <v>9.5135941024424486</v>
      </c>
      <c r="J57" s="23">
        <f>J56*(1+Parameters!$B$54)^Parameters!B$71</f>
        <v>25.774210676269313</v>
      </c>
      <c r="K57" s="23">
        <f>I57*J57*EXP(-Parameters!$B$43*'6states'!A57)*(Parameters!$B$38/Parameters!$B$39*('6states'!E57+'6states'!H57)/Parameters!$E$25*(EXP(-Parameters!$B$39*Parameters!$E$25*'6states'!H57/('6states'!E57+'6states'!H57))-EXP(-Parameters!$B$39*Parameters!$E$25))  +  Parameters!$B$40*'6states'!E57)</f>
        <v>5.1385286583905989</v>
      </c>
      <c r="L57" s="8">
        <f>L56+K57*Parameters!B$71</f>
        <v>3185.756624465087</v>
      </c>
      <c r="M57" s="7">
        <f>L57*Parameters!$B$46</f>
        <v>1.911453974679052</v>
      </c>
      <c r="N57" s="9">
        <f>EXP(-Parameters!$B$47/2*M57^2)</f>
        <v>0.96394672946647009</v>
      </c>
      <c r="O57" s="8">
        <f>MAX((Parameters!$B$63 + Parameters!$B$31*'6states'!A57 - '6states'!L57 + Parameters!$B$48/Parameters!$B$46)/Parameters!B$63,1)</f>
        <v>39.676867510698266</v>
      </c>
      <c r="P57" s="7">
        <f>Parameters!B$62*EXP(-Parameters!B$61*A57)</f>
        <v>0.11953486646804852</v>
      </c>
      <c r="Q57" s="7">
        <f>(1-Parameters!B$62)*O57^-Parameters!B$64</f>
        <v>0.34603200295514619</v>
      </c>
      <c r="R57" s="7">
        <f>Parameters!B$62*EXP(-Parameters!B$61*A57)+(1-Parameters!B$62)*O57^-Parameters!B$64</f>
        <v>0.4655668694231947</v>
      </c>
      <c r="S57" s="7">
        <f>1-R57/Parameters!$B$12</f>
        <v>0.76721656528840265</v>
      </c>
      <c r="T57" s="7">
        <f t="shared" si="0"/>
        <v>4.2958383238864535</v>
      </c>
      <c r="U57" s="7">
        <f>(Parameters!$B$19*(E57+Parameters!$B$20)^S57+Parameters!$B$18*F57^S57)^(1/S57)</f>
        <v>0.33089808479387545</v>
      </c>
      <c r="V57" s="7">
        <f>(Parameters!$B$10*G57^Parameters!$B$9+Parameters!$B$11*U57^Parameters!$B$9)^(Parameters!$B$7/Parameters!$B$9)*N57</f>
        <v>1.3388888554021781</v>
      </c>
      <c r="W57" s="7">
        <f>V57 - C57 - D57 - LN(1+EXP(Parameters!$B$21*B57))/Parameters!$B$21 - IF(B57&gt;0, 0,Parameters!$B$6*B57^2/E57)</f>
        <v>1.0275008290679921</v>
      </c>
      <c r="X57" s="7">
        <f>EXP(-Parameters!$B$56*A57)</f>
        <v>0.44919418564576791</v>
      </c>
      <c r="Y57" s="7">
        <f>IF(W57&gt;0,W57^(1-Parameters!$B$53)/(1-Parameters!$B$53)*X57*Parameters!$B$71,-10+W57*1000)</f>
        <v>-1.2712832310678319</v>
      </c>
      <c r="AA57" s="22">
        <f t="shared" si="15"/>
        <v>-3.5472174954751003E-3</v>
      </c>
      <c r="AB57" s="22">
        <f t="shared" si="10"/>
        <v>-3.2695003126823052E-4</v>
      </c>
      <c r="AC57" s="22">
        <f t="shared" si="11"/>
        <v>1.2183766099796434E-4</v>
      </c>
      <c r="AD57" s="22">
        <f t="shared" si="32"/>
        <v>5.706784251874857E-6</v>
      </c>
      <c r="AE57" s="22">
        <f t="shared" si="35"/>
        <v>-2.5839194715747069E-4</v>
      </c>
      <c r="AF57" s="22">
        <f t="shared" si="36"/>
        <v>2.3333584470111579E-5</v>
      </c>
      <c r="AG57" s="22">
        <f t="shared" si="37"/>
        <v>-7.3519648681047434E-6</v>
      </c>
      <c r="AH57" s="22">
        <f t="shared" si="33"/>
        <v>3.0259924050211918E-8</v>
      </c>
      <c r="AI57" s="22"/>
      <c r="AK57" s="9"/>
      <c r="AL57" s="9"/>
      <c r="AM57" s="23">
        <f t="shared" si="1"/>
        <v>0.71911929893257232</v>
      </c>
      <c r="AN57" s="23">
        <f t="shared" si="2"/>
        <v>10.846887125730124</v>
      </c>
      <c r="AO57" s="23">
        <f t="shared" si="29"/>
        <v>81.137990187978772</v>
      </c>
      <c r="AP57" s="8">
        <f t="shared" si="4"/>
        <v>328.30274880583642</v>
      </c>
      <c r="AQ57" s="22">
        <f>-X57*V57*W57^(-Parameters!B$53)*Parameters!B$47*Parameters!B$46*M57</f>
        <v>-1.3365458491315099E-5</v>
      </c>
      <c r="AR57" s="7">
        <f>1000*EXP(-(Parameters!$B$55)*'6states'!A57)*AP57*Parameters!B$47*Parameters!B$46*M57</f>
        <v>1.1777894161669855</v>
      </c>
      <c r="AS57" s="7">
        <f>SUM(AR57:AR$204)*EXP(Parameters!$B$55*A57)</f>
        <v>567.74503580983844</v>
      </c>
      <c r="AT57" s="13">
        <f t="shared" si="49"/>
        <v>0.23110847009555782</v>
      </c>
      <c r="AU57">
        <f>(1/$S57-1/Parameters!$B$13) * LN(Parameters!$B$18) / LN(O57)</f>
        <v>0.2254500721282332</v>
      </c>
      <c r="AV57">
        <f>(Parameters!$B$18*'6states'!S57^+Parameters!$B$19*Parameters!$B$25^'6states'!S57)^((1-'6states'!S57)/'6states'!S57)*Parameters!$B$18*Parameters!$B$26^('6states'!S57-1)</f>
        <v>0.29355340959808324</v>
      </c>
      <c r="AW57">
        <f t="shared" si="34"/>
        <v>0.22189540288108903</v>
      </c>
      <c r="AX57">
        <f t="shared" si="45"/>
        <v>0.14467184943899514</v>
      </c>
      <c r="AY57">
        <f t="shared" si="46"/>
        <v>0.1841099846451183</v>
      </c>
      <c r="AZ57">
        <f>(1/$S57-1/Parameters!$B$13) * LN(Parameters!$B$18) / A57</f>
        <v>1.5657160126976776E-2</v>
      </c>
    </row>
    <row r="58" spans="1:52" x14ac:dyDescent="0.25">
      <c r="A58">
        <f>A57+Parameters!$B$71</f>
        <v>54</v>
      </c>
      <c r="B58" s="42">
        <f>B57+(B$61-B$57)/4</f>
        <v>8.3780352596044255E-4</v>
      </c>
      <c r="C58" s="42">
        <f t="shared" ref="C58:D58" si="60">C57+(C$61-C$57)/4</f>
        <v>8.8768926216567262E-2</v>
      </c>
      <c r="D58" s="42">
        <f t="shared" si="60"/>
        <v>0.22004877616042884</v>
      </c>
      <c r="E58" s="7">
        <f>MAX((1-Parameters!$B$4)^Parameters!B$71*E57 + B57*Parameters!B$71 - IF(B57&gt;0,Parameters!$B$5,0)*B57^2/E57*Parameters!B$71, 0.0001)</f>
        <v>4.2184394985746672E-2</v>
      </c>
      <c r="F58" s="7">
        <f>(1-Parameters!$B$4)^Parameters!B$71*F57+C57*Parameters!B$71-Parameters!$B$5*C57^2/F57*Parameters!B$71</f>
        <v>1.2246049070895979</v>
      </c>
      <c r="G58" s="7">
        <f>(1-Parameters!$B$4)^Parameters!B$71*G57+D57*Parameters!B$71-Parameters!$B$5*D57^2/G57*Parameters!B$71</f>
        <v>3.2822885693227497</v>
      </c>
      <c r="H58" s="9">
        <f>MAX(H57 * (1-Parameters!$B$4) ^ Parameters!B$71 + (LN(1+EXP(Parameters!$B$21*(-B57+0.004)))/Parameters!$B$21 -0.004) * Parameters!B$71,0)</f>
        <v>3.0698698193694879E-3</v>
      </c>
      <c r="I58" s="23">
        <f>I57*(1+Parameters!$B$52)^Parameters!B$71</f>
        <v>9.5411835253395303</v>
      </c>
      <c r="J58" s="23">
        <f>J57*(1+Parameters!$B$54)^Parameters!B$71</f>
        <v>26.289694889794699</v>
      </c>
      <c r="K58" s="23">
        <f>I58*J58*EXP(-Parameters!$B$43*'6states'!A58)*(Parameters!$B$38/Parameters!$B$39*('6states'!E58+'6states'!H58)/Parameters!$E$25*(EXP(-Parameters!$B$39*Parameters!$E$25*'6states'!H58/('6states'!E58+'6states'!H58))-EXP(-Parameters!$B$39*Parameters!$E$25))  +  Parameters!$B$40*'6states'!E58)</f>
        <v>4.9494545021517826</v>
      </c>
      <c r="L58" s="8">
        <f>L57+K58*Parameters!B$71</f>
        <v>3190.7060789672387</v>
      </c>
      <c r="M58" s="7">
        <f>L58*Parameters!$B$46</f>
        <v>1.9144236473803431</v>
      </c>
      <c r="N58" s="9">
        <f>EXP(-Parameters!$B$47/2*M58^2)</f>
        <v>0.96383666833775938</v>
      </c>
      <c r="O58" s="8">
        <f>MAX((Parameters!$B$63 + Parameters!$B$31*'6states'!A58 - '6states'!L58 + Parameters!$B$48/Parameters!$B$46)/Parameters!B$63,1)</f>
        <v>40.641878420655232</v>
      </c>
      <c r="P58" s="7">
        <f>Parameters!B$62*EXP(-Parameters!B$61*A58)</f>
        <v>0.11635060603078554</v>
      </c>
      <c r="Q58" s="7">
        <f>(1-Parameters!B$62)*O58^-Parameters!B$64</f>
        <v>0.34520146257912909</v>
      </c>
      <c r="R58" s="7">
        <f>Parameters!B$62*EXP(-Parameters!B$61*A58)+(1-Parameters!B$62)*O58^-Parameters!B$64</f>
        <v>0.4615520686099146</v>
      </c>
      <c r="S58" s="7">
        <f>1-R58/Parameters!$B$12</f>
        <v>0.7692239656950427</v>
      </c>
      <c r="T58" s="7">
        <f t="shared" si="0"/>
        <v>4.333205581817726</v>
      </c>
      <c r="U58" s="7">
        <f>(Parameters!$B$19*(E58+Parameters!$B$20)^S58+Parameters!$B$18*F58^S58)^(1/S58)</f>
        <v>0.33068115260345099</v>
      </c>
      <c r="V58" s="7">
        <f>(Parameters!$B$10*G58^Parameters!$B$9+Parameters!$B$11*U58^Parameters!$B$9)^(Parameters!$B$7/Parameters!$B$9)*N58</f>
        <v>1.3385267202735738</v>
      </c>
      <c r="W58" s="7">
        <f>V58 - C58 - D58 - LN(1+EXP(Parameters!$B$21*B58))/Parameters!$B$21 - IF(B58&gt;0, 0,Parameters!$B$6*B58^2/E58)</f>
        <v>1.0269533727220126</v>
      </c>
      <c r="X58" s="7">
        <f>EXP(-Parameters!$B$56*A58)</f>
        <v>0.4424623070368317</v>
      </c>
      <c r="Y58" s="7">
        <f>IF(W58&gt;0,W58^(1-Parameters!$B$53)/(1-Parameters!$B$53)*X58*Parameters!$B$71,-10+W58*1000)</f>
        <v>-1.2524646619061368</v>
      </c>
      <c r="AA58" s="22">
        <f t="shared" si="15"/>
        <v>3.0551332333976083E-3</v>
      </c>
      <c r="AB58" s="22">
        <f t="shared" si="10"/>
        <v>-4.8312272301723191E-4</v>
      </c>
      <c r="AC58" s="22">
        <f t="shared" si="11"/>
        <v>1.2279998225507571E-4</v>
      </c>
      <c r="AD58" s="22">
        <f t="shared" si="32"/>
        <v>4.239818278885584E-6</v>
      </c>
      <c r="AE58" s="22">
        <f t="shared" si="35"/>
        <v>6.6023507288727086E-3</v>
      </c>
      <c r="AF58" s="22">
        <f t="shared" si="36"/>
        <v>-1.5617269174900139E-4</v>
      </c>
      <c r="AG58" s="22">
        <f t="shared" si="37"/>
        <v>9.6232125711137595E-7</v>
      </c>
      <c r="AH58" s="22">
        <f t="shared" si="33"/>
        <v>1.9298182002724531E-5</v>
      </c>
      <c r="AI58" s="22"/>
      <c r="AK58" s="9"/>
      <c r="AL58" s="9"/>
      <c r="AM58" s="23">
        <f t="shared" si="1"/>
        <v>0.77003019373703696</v>
      </c>
      <c r="AN58" s="23">
        <f t="shared" si="2"/>
        <v>10.581314438351605</v>
      </c>
      <c r="AO58" s="23">
        <f t="shared" si="29"/>
        <v>82.946342023298143</v>
      </c>
      <c r="AP58" s="8">
        <f t="shared" si="4"/>
        <v>335.74908721899953</v>
      </c>
      <c r="AQ58" s="22">
        <f>-X58*V58*W58^(-Parameters!B$53)*Parameters!B$47*Parameters!B$46*M58</f>
        <v>-1.3191531021310545E-5</v>
      </c>
      <c r="AR58" s="7">
        <f>1000*EXP(-(Parameters!$B$55)*'6states'!A58)*AP58*Parameters!B$47*Parameters!B$46*M58</f>
        <v>1.1647653366860264</v>
      </c>
      <c r="AS58" s="7">
        <f>SUM(AR58:AR$204)*EXP(Parameters!$B$55*A58)</f>
        <v>580.18831254375664</v>
      </c>
      <c r="AT58" s="13">
        <f t="shared" si="49"/>
        <v>0.23134054868898532</v>
      </c>
      <c r="AU58">
        <f>(1/$S58-1/Parameters!$B$13) * LN(Parameters!$B$18) / LN(O58)</f>
        <v>0.22508145494401399</v>
      </c>
      <c r="AV58">
        <f>(Parameters!$B$18*'6states'!S58^+Parameters!$B$19*Parameters!$B$25^'6states'!S58)^((1-'6states'!S58)/'6states'!S58)*Parameters!$B$18*Parameters!$B$26^('6states'!S58-1)</f>
        <v>0.29411830221170504</v>
      </c>
      <c r="AW58">
        <f t="shared" si="34"/>
        <v>0.22097502320177101</v>
      </c>
      <c r="AX58">
        <f t="shared" si="45"/>
        <v>0.1444532800754067</v>
      </c>
      <c r="AY58">
        <f t="shared" si="46"/>
        <v>0.18442938688209298</v>
      </c>
      <c r="AZ58">
        <f>(1/$S58-1/Parameters!$B$13) * LN(Parameters!$B$18) / A58</f>
        <v>1.5442251007650691E-2</v>
      </c>
    </row>
    <row r="59" spans="1:52" x14ac:dyDescent="0.25">
      <c r="A59">
        <f>A58+Parameters!$B$71</f>
        <v>55</v>
      </c>
      <c r="B59" s="42">
        <f t="shared" ref="B59:B60" si="61">B58+(B$61-B$57)/4</f>
        <v>9.3220571533944141E-4</v>
      </c>
      <c r="C59" s="42">
        <f t="shared" ref="C59:C60" si="62">C58+(C$61-C$57)/4</f>
        <v>8.8599409137560578E-2</v>
      </c>
      <c r="D59" s="42">
        <f t="shared" ref="D59:D60" si="63">D58+(D$61-D$57)/4</f>
        <v>0.22035084195302324</v>
      </c>
      <c r="E59" s="7">
        <f>MAX((1-Parameters!$B$4)^Parameters!B$71*E58 + B58*Parameters!B$71 - IF(B58&gt;0,Parameters!$B$5,0)*B58^2/E58*Parameters!B$71, 0.0001)</f>
        <v>4.0352160863238118E-2</v>
      </c>
      <c r="F59" s="7">
        <f>(1-Parameters!$B$4)^Parameters!B$71*F58+C58*Parameters!B$71-Parameters!$B$5*C58^2/F58*Parameters!B$71</f>
        <v>1.2299115197097061</v>
      </c>
      <c r="G59" s="7">
        <f>(1-Parameters!$B$4)^Parameters!B$71*G58+D58*Parameters!B$71-Parameters!$B$5*D58^2/G58*Parameters!B$71</f>
        <v>3.2811290462660221</v>
      </c>
      <c r="H59" s="9">
        <f>MAX(H58 * (1-Parameters!$B$4) ^ Parameters!B$71 + (LN(1+EXP(Parameters!$B$21*(-B58+0.004)))/Parameters!$B$21 -0.004) * Parameters!B$71,0)</f>
        <v>3.130073443068049E-3</v>
      </c>
      <c r="I59" s="23">
        <f>I58*(1+Parameters!$B$52)^Parameters!B$71</f>
        <v>9.5688529575630135</v>
      </c>
      <c r="J59" s="23">
        <f>J58*(1+Parameters!$B$54)^Parameters!B$71</f>
        <v>26.815488787590592</v>
      </c>
      <c r="K59" s="23">
        <f>I59*J59*EXP(-Parameters!$B$43*'6states'!A59)*(Parameters!$B$38/Parameters!$B$39*('6states'!E59+'6states'!H59)/Parameters!$E$25*(EXP(-Parameters!$B$39*Parameters!$E$25*'6states'!H59/('6states'!E59+'6states'!H59))-EXP(-Parameters!$B$39*Parameters!$E$25))  +  Parameters!$B$40*'6states'!E59)</f>
        <v>4.7872804489475254</v>
      </c>
      <c r="L59" s="8">
        <f>L58+K59*Parameters!B$71</f>
        <v>3195.4933594161862</v>
      </c>
      <c r="M59" s="7">
        <f>L59*Parameters!$B$46</f>
        <v>1.9172960156497116</v>
      </c>
      <c r="N59" s="9">
        <f>EXP(-Parameters!$B$47/2*M59^2)</f>
        <v>0.96373006290541996</v>
      </c>
      <c r="O59" s="8">
        <f>MAX((Parameters!$B$63 + Parameters!$B$31*'6states'!A59 - '6states'!L59 + Parameters!$B$48/Parameters!$B$46)/Parameters!B$63,1)</f>
        <v>41.610132811676273</v>
      </c>
      <c r="P59" s="7">
        <f>Parameters!B$62*EXP(-Parameters!B$61*A59)</f>
        <v>0.1132511703382344</v>
      </c>
      <c r="Q59" s="7">
        <f>(1-Parameters!B$62)*O59^-Parameters!B$64</f>
        <v>0.34438965244651532</v>
      </c>
      <c r="R59" s="7">
        <f>Parameters!B$62*EXP(-Parameters!B$61*A59)+(1-Parameters!B$62)*O59^-Parameters!B$64</f>
        <v>0.45764082278474971</v>
      </c>
      <c r="S59" s="7">
        <f>1-R59/Parameters!$B$12</f>
        <v>0.77117958860762514</v>
      </c>
      <c r="T59" s="7">
        <f t="shared" si="0"/>
        <v>4.370239498806022</v>
      </c>
      <c r="U59" s="7">
        <f>(Parameters!$B$19*(E59+Parameters!$B$20)^S59+Parameters!$B$18*F59^S59)^(1/S59)</f>
        <v>0.33057576533478933</v>
      </c>
      <c r="V59" s="7">
        <f>(Parameters!$B$10*G59^Parameters!$B$9+Parameters!$B$11*U59^Parameters!$B$9)^(Parameters!$B$7/Parameters!$B$9)*N59</f>
        <v>1.3382411592610188</v>
      </c>
      <c r="W59" s="7">
        <f>V59 - C59 - D59 - LN(1+EXP(Parameters!$B$21*B59))/Parameters!$B$21 - IF(B59&gt;0, 0,Parameters!$B$6*B59^2/E59)</f>
        <v>1.0264818325757106</v>
      </c>
      <c r="X59" s="7">
        <f>EXP(-Parameters!$B$56*A59)</f>
        <v>0.43583131617545234</v>
      </c>
      <c r="Y59" s="7">
        <f>IF(W59&gt;0,W59^(1-Parameters!$B$53)/(1-Parameters!$B$53)*X59*Parameters!$B$71,-10+W59*1000)</f>
        <v>-1.233892842117426</v>
      </c>
      <c r="AA59" s="22">
        <f t="shared" si="15"/>
        <v>3.2412462565717393E-3</v>
      </c>
      <c r="AB59" s="22">
        <f t="shared" si="10"/>
        <v>-4.5058672147016421E-4</v>
      </c>
      <c r="AC59" s="22">
        <f t="shared" si="11"/>
        <v>1.1575335172302192E-4</v>
      </c>
      <c r="AD59" s="22">
        <f t="shared" si="32"/>
        <v>4.6730289284959877E-6</v>
      </c>
      <c r="AE59" s="22">
        <f t="shared" si="35"/>
        <v>1.8611302317413092E-4</v>
      </c>
      <c r="AF59" s="22">
        <f t="shared" si="36"/>
        <v>3.2536001547067706E-5</v>
      </c>
      <c r="AG59" s="22">
        <f t="shared" si="37"/>
        <v>-7.0466305320537881E-6</v>
      </c>
      <c r="AH59" s="22">
        <f t="shared" si="33"/>
        <v>1.5579358630746388E-8</v>
      </c>
      <c r="AI59" s="22"/>
      <c r="AK59" s="9"/>
      <c r="AL59" s="9"/>
      <c r="AM59" s="23">
        <f t="shared" si="1"/>
        <v>0.80315640358769347</v>
      </c>
      <c r="AN59" s="23">
        <f t="shared" si="2"/>
        <v>10.354100945357855</v>
      </c>
      <c r="AO59" s="23">
        <f t="shared" si="29"/>
        <v>84.823582458594274</v>
      </c>
      <c r="AP59" s="8">
        <f t="shared" si="4"/>
        <v>343.38394167249538</v>
      </c>
      <c r="AQ59" s="22">
        <f>-X59*V59*W59^(-Parameters!B$53)*Parameters!B$47*Parameters!B$46*M59</f>
        <v>-1.3018623953885563E-5</v>
      </c>
      <c r="AR59" s="7">
        <f>1000*EXP(-(Parameters!$B$55)*'6states'!A59)*AP59*Parameters!B$47*Parameters!B$46*M59</f>
        <v>1.1518898774056219</v>
      </c>
      <c r="AS59" s="7">
        <f>SUM(AR59:AR$204)*EXP(Parameters!$B$55*A59)</f>
        <v>592.8858636842657</v>
      </c>
      <c r="AT59" s="13">
        <f t="shared" si="49"/>
        <v>0.23155950230752234</v>
      </c>
      <c r="AU59">
        <f>(1/$S59-1/Parameters!$B$13) * LN(Parameters!$B$18) / LN(O59)</f>
        <v>0.22471340730429998</v>
      </c>
      <c r="AV59">
        <f>(Parameters!$B$18*'6states'!S59^+Parameters!$B$19*Parameters!$B$25^'6states'!S59)^((1-'6states'!S59)/'6states'!S59)*Parameters!$B$18*Parameters!$B$26^('6states'!S59-1)</f>
        <v>0.29465887915028049</v>
      </c>
      <c r="AW59">
        <f t="shared" si="34"/>
        <v>0.22007207043872756</v>
      </c>
      <c r="AX59">
        <f t="shared" si="45"/>
        <v>0.14423499269631601</v>
      </c>
      <c r="AY59">
        <f t="shared" si="46"/>
        <v>0.18473492344011289</v>
      </c>
      <c r="AZ59">
        <f>(1/$S59-1/Parameters!$B$13) * LN(Parameters!$B$18) / A59</f>
        <v>1.5232887631940369E-2</v>
      </c>
    </row>
    <row r="60" spans="1:52" x14ac:dyDescent="0.25">
      <c r="A60">
        <f>A59+Parameters!$B$71</f>
        <v>56</v>
      </c>
      <c r="B60" s="42">
        <f t="shared" si="61"/>
        <v>1.0266079047184403E-3</v>
      </c>
      <c r="C60" s="42">
        <f t="shared" si="62"/>
        <v>8.8429892058553894E-2</v>
      </c>
      <c r="D60" s="42">
        <f t="shared" si="63"/>
        <v>0.22065290774561763</v>
      </c>
      <c r="E60" s="7">
        <f>MAX((1-Parameters!$B$4)^Parameters!B$71*E59 + B59*Parameters!B$71 - IF(B59&gt;0,Parameters!$B$5,0)*B59^2/E59*Parameters!B$71, 0.0001)</f>
        <v>3.8724680072665212E-2</v>
      </c>
      <c r="F60" s="7">
        <f>(1-Parameters!$B$4)^Parameters!B$71*F59+C59*Parameters!B$71-Parameters!$B$5*C59^2/F59*Parameters!B$71</f>
        <v>1.2347670389558818</v>
      </c>
      <c r="G60" s="7">
        <f>(1-Parameters!$B$4)^Parameters!B$71*G59+D59*Parameters!B$71-Parameters!$B$5*D59^2/G59*Parameters!B$71</f>
        <v>3.2802987657809464</v>
      </c>
      <c r="H60" s="9">
        <f>MAX(H59 * (1-Parameters!$B$4) ^ Parameters!B$71 + (LN(1+EXP(Parameters!$B$21*(-B59+0.004)))/Parameters!$B$21 -0.004) * Parameters!B$71,0)</f>
        <v>3.1187109864699472E-3</v>
      </c>
      <c r="I60" s="23">
        <f>I59*(1+Parameters!$B$52)^Parameters!B$71</f>
        <v>9.5966026311399446</v>
      </c>
      <c r="J60" s="23">
        <f>J59*(1+Parameters!$B$54)^Parameters!B$71</f>
        <v>27.351798563342406</v>
      </c>
      <c r="K60" s="23">
        <f>I60*J60*EXP(-Parameters!$B$43*'6states'!A60)*(Parameters!$B$38/Parameters!$B$39*('6states'!E60+'6states'!H60)/Parameters!$E$25*(EXP(-Parameters!$B$39*Parameters!$E$25*'6states'!H60/('6states'!E60+'6states'!H60))-EXP(-Parameters!$B$39*Parameters!$E$25))  +  Parameters!$B$40*'6states'!E60)</f>
        <v>4.6489281062753793</v>
      </c>
      <c r="L60" s="8">
        <f>L59+K60*Parameters!B$71</f>
        <v>3200.1422875224616</v>
      </c>
      <c r="M60" s="7">
        <f>L60*Parameters!$B$46</f>
        <v>1.9200853725134768</v>
      </c>
      <c r="N60" s="9">
        <f>EXP(-Parameters!$B$47/2*M60^2)</f>
        <v>0.96362639671129313</v>
      </c>
      <c r="O60" s="8">
        <f>MAX((Parameters!$B$63 + Parameters!$B$31*'6states'!A60 - '6states'!L60 + Parameters!$B$48/Parameters!$B$46)/Parameters!B$63,1)</f>
        <v>42.581154249550771</v>
      </c>
      <c r="P60" s="7">
        <f>Parameters!B$62*EXP(-Parameters!B$61*A60)</f>
        <v>0.11023429976450796</v>
      </c>
      <c r="Q60" s="7">
        <f>(1-Parameters!B$62)*O60^-Parameters!B$64</f>
        <v>0.34359612820769897</v>
      </c>
      <c r="R60" s="7">
        <f>Parameters!B$62*EXP(-Parameters!B$61*A60)+(1-Parameters!B$62)*O60^-Parameters!B$64</f>
        <v>0.45383042797220696</v>
      </c>
      <c r="S60" s="7">
        <f>1-R60/Parameters!$B$12</f>
        <v>0.77308478601389652</v>
      </c>
      <c r="T60" s="7">
        <f t="shared" si="0"/>
        <v>4.4069323622401138</v>
      </c>
      <c r="U60" s="7">
        <f>(Parameters!$B$19*(E60+Parameters!$B$20)^S60+Parameters!$B$18*F60^S60)^(1/S60)</f>
        <v>0.33057456696472987</v>
      </c>
      <c r="V60" s="7">
        <f>(Parameters!$B$10*G60^Parameters!$B$9+Parameters!$B$11*U60^Parameters!$B$9)^(Parameters!$B$7/Parameters!$B$9)*N60</f>
        <v>1.3380269514994128</v>
      </c>
      <c r="W60" s="7">
        <f>V60 - C60 - D60 - LN(1+EXP(Parameters!$B$21*B60))/Parameters!$B$21 - IF(B60&gt;0, 0,Parameters!$B$6*B60^2/E60)</f>
        <v>1.0260809902181802</v>
      </c>
      <c r="X60" s="7">
        <f>EXP(-Parameters!$B$56*A60)</f>
        <v>0.42929970110067539</v>
      </c>
      <c r="Y60" s="7">
        <f>IF(W60&gt;0,W60^(1-Parameters!$B$53)/(1-Parameters!$B$53)*X60*Parameters!$B$71,-10+W60*1000)</f>
        <v>-1.2155671840135809</v>
      </c>
      <c r="AA60" s="22">
        <f t="shared" si="15"/>
        <v>3.4086750586549176E-3</v>
      </c>
      <c r="AB60" s="22">
        <f t="shared" si="10"/>
        <v>-4.2056127212290739E-4</v>
      </c>
      <c r="AC60" s="22">
        <f t="shared" si="11"/>
        <v>1.0908303770684746E-4</v>
      </c>
      <c r="AD60" s="22">
        <f t="shared" si="32"/>
        <v>5.0691007007969478E-6</v>
      </c>
      <c r="AE60" s="22">
        <f t="shared" si="35"/>
        <v>1.6742880208317837E-4</v>
      </c>
      <c r="AF60" s="22">
        <f t="shared" si="36"/>
        <v>3.0025449347256816E-5</v>
      </c>
      <c r="AG60" s="22">
        <f t="shared" si="37"/>
        <v>-6.6703140161744612E-6</v>
      </c>
      <c r="AH60" s="22">
        <f t="shared" si="33"/>
        <v>1.2440428961015772E-8</v>
      </c>
      <c r="AI60" s="22"/>
      <c r="AK60" s="9"/>
      <c r="AL60" s="9"/>
      <c r="AM60" s="23">
        <f t="shared" si="1"/>
        <v>0.81861280135692871</v>
      </c>
      <c r="AN60" s="23">
        <f t="shared" si="2"/>
        <v>10.164622170333569</v>
      </c>
      <c r="AO60" s="23">
        <f t="shared" si="29"/>
        <v>86.770647711302061</v>
      </c>
      <c r="AP60" s="8">
        <f t="shared" si="4"/>
        <v>351.21112402204329</v>
      </c>
      <c r="AQ60" s="22">
        <f>-X60*V60*W60^(-Parameters!B$53)*Parameters!B$47*Parameters!B$46*M60</f>
        <v>-1.2846892147279533E-5</v>
      </c>
      <c r="AR60" s="7">
        <f>1000*EXP(-(Parameters!$B$55)*'6states'!A60)*AP60*Parameters!B$47*Parameters!B$46*M60</f>
        <v>1.1391656378318991</v>
      </c>
      <c r="AS60" s="7">
        <f>SUM(AR60:AR$204)*EXP(Parameters!$B$55*A60)</f>
        <v>605.84212275020559</v>
      </c>
      <c r="AT60" s="13">
        <f t="shared" si="49"/>
        <v>0.23176618928443615</v>
      </c>
      <c r="AU60">
        <f>(1/$S60-1/Parameters!$B$13) * LN(Parameters!$B$18) / LN(O60)</f>
        <v>0.22434639706379089</v>
      </c>
      <c r="AV60">
        <f>(Parameters!$B$18*'6states'!S60^+Parameters!$B$19*Parameters!$B$25^'6states'!S60)^((1-'6states'!S60)/'6states'!S60)*Parameters!$B$18*Parameters!$B$26^('6states'!S60-1)</f>
        <v>0.29517630310309223</v>
      </c>
      <c r="AW60">
        <f t="shared" si="34"/>
        <v>0.21918649345561547</v>
      </c>
      <c r="AX60">
        <f t="shared" si="45"/>
        <v>0.14401726513458224</v>
      </c>
      <c r="AY60">
        <f t="shared" si="46"/>
        <v>0.18502726660990909</v>
      </c>
      <c r="AZ60">
        <f>(1/$S60-1/Parameters!$B$13) * LN(Parameters!$B$18) / A60</f>
        <v>1.5028852032200694E-2</v>
      </c>
    </row>
    <row r="61" spans="1:52" x14ac:dyDescent="0.25">
      <c r="A61">
        <f>A60+Parameters!$B$71</f>
        <v>57</v>
      </c>
      <c r="B61" s="20">
        <v>1.1210100940974392E-3</v>
      </c>
      <c r="C61" s="20">
        <v>8.8260374979547224E-2</v>
      </c>
      <c r="D61" s="20">
        <v>0.220954973538212</v>
      </c>
      <c r="E61" s="7">
        <f>MAX((1-Parameters!$B$4)^Parameters!B$71*E60 + B60*Parameters!B$71 - IF(B60&gt;0,Parameters!$B$5,0)*B60^2/E60*Parameters!B$71, 0.0001)</f>
        <v>3.7288289784231626E-2</v>
      </c>
      <c r="F61" s="7">
        <f>(1-Parameters!$B$4)^Parameters!B$71*F60+C60*Parameters!B$71-Parameters!$B$5*C60^2/F60*Parameters!B$71</f>
        <v>1.2391970306898108</v>
      </c>
      <c r="G61" s="7">
        <f>(1-Parameters!$B$4)^Parameters!B$71*G60+D60*Parameters!B$71-Parameters!$B$5*D60^2/G60*Parameters!B$71</f>
        <v>3.2797784204036935</v>
      </c>
      <c r="H61" s="9">
        <f>MAX(H60 * (1-Parameters!$B$4) ^ Parameters!B$71 + (LN(1+EXP(Parameters!$B$21*(-B60+0.004)))/Parameters!$B$21 -0.004) * Parameters!B$71,0)</f>
        <v>3.0408286192419001E-3</v>
      </c>
      <c r="I61" s="23">
        <f>I60*(1+Parameters!$B$52)^Parameters!B$71</f>
        <v>9.6244327787702488</v>
      </c>
      <c r="J61" s="23">
        <f>J60*(1+Parameters!$B$54)^Parameters!B$71</f>
        <v>27.898834534609254</v>
      </c>
      <c r="K61" s="23">
        <f>I61*J61*EXP(-Parameters!$B$43*'6states'!A61)*(Parameters!$B$38/Parameters!$B$39*('6states'!E61+'6states'!H61)/Parameters!$E$25*(EXP(-Parameters!$B$39*Parameters!$E$25*'6states'!H61/('6states'!E61+'6states'!H61))-EXP(-Parameters!$B$39*Parameters!$E$25))  +  Parameters!$B$40*'6states'!E61)</f>
        <v>4.5324660743859013</v>
      </c>
      <c r="L61" s="8">
        <f>L60+K61*Parameters!B$71</f>
        <v>3204.6747535968475</v>
      </c>
      <c r="M61" s="7">
        <f>L61*Parameters!$B$46</f>
        <v>1.9228048521581083</v>
      </c>
      <c r="N61" s="9">
        <f>EXP(-Parameters!$B$47/2*M61^2)</f>
        <v>0.96352519316418939</v>
      </c>
      <c r="O61" s="8">
        <f>MAX((Parameters!$B$63 + Parameters!$B$31*'6states'!A61 - '6states'!L61 + Parameters!$B$48/Parameters!$B$46)/Parameters!B$63,1)</f>
        <v>43.554504928063054</v>
      </c>
      <c r="P61" s="7">
        <f>Parameters!B$62*EXP(-Parameters!B$61*A61)</f>
        <v>0.10729779487734739</v>
      </c>
      <c r="Q61" s="7">
        <f>(1-Parameters!B$62)*O61^-Parameters!B$64</f>
        <v>0.34282043067883378</v>
      </c>
      <c r="R61" s="7">
        <f>Parameters!B$62*EXP(-Parameters!B$61*A61)+(1-Parameters!B$62)*O61^-Parameters!B$64</f>
        <v>0.4501182255561812</v>
      </c>
      <c r="S61" s="7">
        <f>1-R61/Parameters!$B$12</f>
        <v>0.77494088722190946</v>
      </c>
      <c r="T61" s="7">
        <f t="shared" si="0"/>
        <v>4.4432770913213595</v>
      </c>
      <c r="U61" s="7">
        <f>(Parameters!$B$19*(E61+Parameters!$B$20)^S61+Parameters!$B$18*F61^S61)^(1/S61)</f>
        <v>0.33067031661336582</v>
      </c>
      <c r="V61" s="7">
        <f>(Parameters!$B$10*G61^Parameters!$B$9+Parameters!$B$11*U61^Parameters!$B$9)^(Parameters!$B$7/Parameters!$B$9)*N61</f>
        <v>1.3378789978648877</v>
      </c>
      <c r="W61" s="7">
        <f>V61 - C61 - D61 - LN(1+EXP(Parameters!$B$21*B61))/Parameters!$B$21 - IF(B61&gt;0, 0,Parameters!$B$6*B61^2/E61)</f>
        <v>1.0257457492273347</v>
      </c>
      <c r="X61" s="7">
        <f>EXP(-Parameters!$B$56*A61)</f>
        <v>0.42286597251064995</v>
      </c>
      <c r="Y61" s="7">
        <f>IF(W61&gt;0,W61^(1-Parameters!$B$53)/(1-Parameters!$B$53)*X61*Parameters!$B$71,-10+W61*1000)</f>
        <v>-1.1974869548674107</v>
      </c>
      <c r="AA61" s="22">
        <f t="shared" si="15"/>
        <v>3.5528986113443316E-3</v>
      </c>
      <c r="AB61" s="22">
        <f t="shared" si="10"/>
        <v>-3.9281751151264144E-4</v>
      </c>
      <c r="AC61" s="22">
        <f t="shared" si="11"/>
        <v>1.0277139307464378E-4</v>
      </c>
      <c r="AD61" s="22">
        <f t="shared" si="32"/>
        <v>5.4075914922601024E-6</v>
      </c>
      <c r="AE61" s="22">
        <f t="shared" si="35"/>
        <v>1.4422355268941395E-4</v>
      </c>
      <c r="AF61" s="22">
        <f t="shared" si="36"/>
        <v>2.7743760610265955E-5</v>
      </c>
      <c r="AG61" s="22">
        <f t="shared" si="37"/>
        <v>-6.3116446322036834E-6</v>
      </c>
      <c r="AH61" s="22">
        <f t="shared" si="33"/>
        <v>9.1381278562499243E-9</v>
      </c>
      <c r="AI61" s="22"/>
      <c r="AK61" s="9"/>
      <c r="AL61" s="9"/>
      <c r="AM61" s="23">
        <f t="shared" si="1"/>
        <v>0.81649428398832324</v>
      </c>
      <c r="AN61" s="23">
        <f t="shared" si="2"/>
        <v>10.012295752503022</v>
      </c>
      <c r="AO61" s="23">
        <f t="shared" si="29"/>
        <v>88.788438023426906</v>
      </c>
      <c r="AP61" s="8">
        <f t="shared" si="4"/>
        <v>359.23450190923376</v>
      </c>
      <c r="AQ61" s="22">
        <f>-X61*V61*W61^(-Parameters!B$53)*Parameters!B$47*Parameters!B$46*M61</f>
        <v>-1.2676473791668544E-5</v>
      </c>
      <c r="AR61" s="7">
        <f>1000*EXP(-(Parameters!$B$55)*'6states'!A61)*AP61*Parameters!B$47*Parameters!B$46*M61</f>
        <v>1.1265943999778814</v>
      </c>
      <c r="AS61" s="7">
        <f>SUM(AR61:AR$204)*EXP(Parameters!$B$55*A61)</f>
        <v>619.06153506479131</v>
      </c>
      <c r="AT61" s="13">
        <f t="shared" si="49"/>
        <v>0.23196145474076535</v>
      </c>
      <c r="AU61">
        <f>(1/$S61-1/Parameters!$B$13) * LN(Parameters!$B$18) / LN(O61)</f>
        <v>0.22398080583235463</v>
      </c>
      <c r="AV61">
        <f>(Parameters!$B$18*'6states'!S61^+Parameters!$B$19*Parameters!$B$25^'6states'!S61)^((1-'6states'!S61)/'6states'!S61)*Parameters!$B$18*Parameters!$B$26^('6states'!S61-1)</f>
        <v>0.29567168053360215</v>
      </c>
      <c r="AW61">
        <f t="shared" si="34"/>
        <v>0.21831816579959687</v>
      </c>
      <c r="AX61">
        <f t="shared" si="45"/>
        <v>0.14380032432074974</v>
      </c>
      <c r="AY61">
        <f t="shared" si="46"/>
        <v>0.18530705532664304</v>
      </c>
      <c r="AZ61">
        <f>(1/$S61-1/Parameters!$B$13) * LN(Parameters!$B$18) / A61</f>
        <v>1.4829938674676513E-2</v>
      </c>
    </row>
    <row r="62" spans="1:52" x14ac:dyDescent="0.25">
      <c r="A62">
        <f>A61+Parameters!$B$71</f>
        <v>58</v>
      </c>
      <c r="B62" s="42">
        <f>B61+(B$65-B$61)/4</f>
        <v>1.1786891582746023E-3</v>
      </c>
      <c r="C62" s="42">
        <f t="shared" ref="C62:D62" si="64">C61+(C$65-C$61)/4</f>
        <v>8.8340673276015719E-2</v>
      </c>
      <c r="D62" s="42">
        <f t="shared" si="64"/>
        <v>0.2211676409115515</v>
      </c>
      <c r="E62" s="7">
        <f>MAX((1-Parameters!$B$4)^Parameters!B$71*E61 + B61*Parameters!B$71 - IF(B61&gt;0,Parameters!$B$5,0)*B61^2/E61*Parameters!B$71, 0.0001)</f>
        <v>3.6030165156517586E-2</v>
      </c>
      <c r="F62" s="7">
        <f>(1-Parameters!$B$4)^Parameters!B$71*F61+C61*Parameters!B$71-Parameters!$B$5*C61^2/F61*Parameters!B$71</f>
        <v>1.2432256693326615</v>
      </c>
      <c r="G62" s="7">
        <f>(1-Parameters!$B$4)^Parameters!B$71*G61+D61*Parameters!B$71-Parameters!$B$5*D61^2/G61*Parameters!B$71</f>
        <v>3.2795498439047455</v>
      </c>
      <c r="H62" s="9">
        <f>MAX(H61 * (1-Parameters!$B$4) ^ Parameters!B$71 + (LN(1+EXP(Parameters!$B$21*(-B61+0.004)))/Parameters!$B$21 -0.004) * Parameters!B$71,0)</f>
        <v>2.9011616928504703E-3</v>
      </c>
      <c r="I62" s="23">
        <f>I61*(1+Parameters!$B$52)^Parameters!B$71</f>
        <v>9.6523436338286821</v>
      </c>
      <c r="J62" s="23">
        <f>J61*(1+Parameters!$B$54)^Parameters!B$71</f>
        <v>28.45681122530144</v>
      </c>
      <c r="K62" s="23">
        <f>I62*J62*EXP(-Parameters!$B$43*'6states'!A62)*(Parameters!$B$38/Parameters!$B$39*('6states'!E62+'6states'!H62)/Parameters!$E$25*(EXP(-Parameters!$B$39*Parameters!$E$25*'6states'!H62/('6states'!E62+'6states'!H62))-EXP(-Parameters!$B$39*Parameters!$E$25))  +  Parameters!$B$40*'6states'!E62)</f>
        <v>4.4367274784002566</v>
      </c>
      <c r="L62" s="8">
        <f>L61+K62*Parameters!B$71</f>
        <v>3209.1114810752479</v>
      </c>
      <c r="M62" s="7">
        <f>L62*Parameters!$B$46</f>
        <v>1.9254668886451485</v>
      </c>
      <c r="N62" s="9">
        <f>EXP(-Parameters!$B$47/2*M62^2)</f>
        <v>0.96342599891018699</v>
      </c>
      <c r="O62" s="8">
        <f>MAX((Parameters!$B$63 + Parameters!$B$31*'6states'!A62 - '6states'!L62 + Parameters!$B$48/Parameters!$B$46)/Parameters!B$63,1)</f>
        <v>44.529770378495051</v>
      </c>
      <c r="P62" s="7">
        <f>Parameters!B$62*EXP(-Parameters!B$61*A62)</f>
        <v>0.10443951483463847</v>
      </c>
      <c r="Q62" s="7">
        <f>(1-Parameters!B$62)*O62^-Parameters!B$64</f>
        <v>0.34206210089599648</v>
      </c>
      <c r="R62" s="7">
        <f>Parameters!B$62*EXP(-Parameters!B$61*A62)+(1-Parameters!B$62)*O62^-Parameters!B$64</f>
        <v>0.44650161573063496</v>
      </c>
      <c r="S62" s="7">
        <f>1-R62/Parameters!$B$12</f>
        <v>0.77674919213468252</v>
      </c>
      <c r="T62" s="7">
        <f t="shared" si="0"/>
        <v>4.4792671057355324</v>
      </c>
      <c r="U62" s="7">
        <f>(Parameters!$B$19*(E62+Parameters!$B$20)^S62+Parameters!$B$18*F62^S62)^(1/S62)</f>
        <v>0.33085591373838197</v>
      </c>
      <c r="V62" s="7">
        <f>(Parameters!$B$10*G62^Parameters!$B$9+Parameters!$B$11*U62^Parameters!$B$9)^(Parameters!$B$7/Parameters!$B$9)*N62</f>
        <v>1.3377923203214539</v>
      </c>
      <c r="W62" s="7">
        <f>V62 - C62 - D62 - LN(1+EXP(Parameters!$B$21*B62))/Parameters!$B$21 - IF(B62&gt;0, 0,Parameters!$B$6*B62^2/E62)</f>
        <v>1.0253323410877384</v>
      </c>
      <c r="X62" s="7">
        <f>EXP(-Parameters!$B$56*A62)</f>
        <v>0.41652866342304673</v>
      </c>
      <c r="Y62" s="7">
        <f>IF(W62&gt;0,W62^(1-Parameters!$B$53)/(1-Parameters!$B$53)*X62*Parameters!$B$71,-10+W62*1000)</f>
        <v>-1.1797071694093528</v>
      </c>
      <c r="AA62" s="22">
        <f t="shared" si="15"/>
        <v>2.650625590301825E-3</v>
      </c>
      <c r="AB62" s="22">
        <f t="shared" si="10"/>
        <v>-1.662102348309602E-4</v>
      </c>
      <c r="AC62" s="22">
        <f t="shared" si="11"/>
        <v>6.9541957024715773E-5</v>
      </c>
      <c r="AD62" s="22">
        <f t="shared" si="32"/>
        <v>2.9399750788792132E-6</v>
      </c>
      <c r="AE62" s="22">
        <f t="shared" si="35"/>
        <v>-9.0227302104250659E-4</v>
      </c>
      <c r="AF62" s="22">
        <f t="shared" si="36"/>
        <v>2.2660727668168124E-4</v>
      </c>
      <c r="AG62" s="22">
        <f t="shared" si="37"/>
        <v>-3.3229436049928007E-5</v>
      </c>
      <c r="AH62" s="22">
        <f t="shared" si="33"/>
        <v>3.6094360379648726E-7</v>
      </c>
      <c r="AI62" s="22"/>
      <c r="AK62" s="9"/>
      <c r="AL62" s="9"/>
      <c r="AM62" s="23">
        <f t="shared" si="1"/>
        <v>0.79687635783339383</v>
      </c>
      <c r="AN62" s="23">
        <f t="shared" si="2"/>
        <v>9.8965827560791606</v>
      </c>
      <c r="AO62" s="23">
        <f t="shared" si="29"/>
        <v>90.877821859159056</v>
      </c>
      <c r="AP62" s="8">
        <f t="shared" si="4"/>
        <v>367.45799945669938</v>
      </c>
      <c r="AQ62" s="22">
        <f>-X62*V62*W62^(-Parameters!B$53)*Parameters!B$47*Parameters!B$46*M62</f>
        <v>-1.2509779879537778E-5</v>
      </c>
      <c r="AR62" s="7">
        <f>1000*EXP(-(Parameters!$B$55)*'6states'!A62)*AP62*Parameters!B$47*Parameters!B$46*M62</f>
        <v>1.1141774449528945</v>
      </c>
      <c r="AS62" s="7">
        <f>SUM(AR62:AR$204)*EXP(Parameters!$B$55*A62)</f>
        <v>632.54855717243561</v>
      </c>
      <c r="AT62" s="13">
        <f t="shared" si="49"/>
        <v>0.23223859086826557</v>
      </c>
      <c r="AU62">
        <f>(1/$S62-1/Parameters!$B$13) * LN(Parameters!$B$18) / LN(O62)</f>
        <v>0.2236169566297522</v>
      </c>
      <c r="AV62">
        <f>(Parameters!$B$18*'6states'!S62^+Parameters!$B$19*Parameters!$B$25^'6states'!S62)^((1-'6states'!S62)/'6states'!S62)*Parameters!$B$18*Parameters!$B$26^('6states'!S62-1)</f>
        <v>0.29614606256177589</v>
      </c>
      <c r="AW62">
        <f t="shared" si="34"/>
        <v>0.21746691537659768</v>
      </c>
      <c r="AX62">
        <f t="shared" si="45"/>
        <v>0.14358436263271013</v>
      </c>
      <c r="AY62">
        <f t="shared" si="46"/>
        <v>0.18557489582490516</v>
      </c>
      <c r="AZ62">
        <f>(1/$S62-1/Parameters!$B$13) * LN(Parameters!$B$18) / A62</f>
        <v>1.4635953284807305E-2</v>
      </c>
    </row>
    <row r="63" spans="1:52" s="4" customFormat="1" x14ac:dyDescent="0.25">
      <c r="A63">
        <f>A62+Parameters!$B$71</f>
        <v>59</v>
      </c>
      <c r="B63" s="42">
        <f t="shared" ref="B63:B64" si="65">B62+(B$65-B$61)/4</f>
        <v>1.2363682224517654E-3</v>
      </c>
      <c r="C63" s="42">
        <f t="shared" ref="C63:C64" si="66">C62+(C$65-C$61)/4</f>
        <v>8.8420971572484214E-2</v>
      </c>
      <c r="D63" s="42">
        <f t="shared" ref="D63:D64" si="67">D62+(D$65-D$61)/4</f>
        <v>0.22138030828489103</v>
      </c>
      <c r="E63" s="7">
        <f>MAX((1-Parameters!$B$4)^Parameters!B$71*E62 + B62*Parameters!B$71 - IF(B62&gt;0,Parameters!$B$5,0)*B62^2/E62*Parameters!B$71, 0.0001)</f>
        <v>3.4903997343780913E-2</v>
      </c>
      <c r="F63" s="7">
        <f>(1-Parameters!$B$4)^Parameters!B$71*F62+C62*Parameters!B$71-Parameters!$B$5*C62^2/F62*Parameters!B$71</f>
        <v>1.2470901688721208</v>
      </c>
      <c r="G63" s="7">
        <f>(1-Parameters!$B$4)^Parameters!B$71*G62+D62*Parameters!B$71-Parameters!$B$5*D62^2/G62*Parameters!B$71</f>
        <v>3.2795186046492266</v>
      </c>
      <c r="H63" s="9">
        <f>MAX(H62 * (1-Parameters!$B$4) ^ Parameters!B$71 + (LN(1+EXP(Parameters!$B$21*(-B62+0.004)))/Parameters!$B$21 -0.004) * Parameters!B$71,0)</f>
        <v>2.7298108382058615E-3</v>
      </c>
      <c r="I63" s="23">
        <f>I62*(1+Parameters!$B$52)^Parameters!B$71</f>
        <v>9.6803354303667835</v>
      </c>
      <c r="J63" s="23">
        <f>J62*(1+Parameters!$B$54)^Parameters!B$71</f>
        <v>29.025947449807468</v>
      </c>
      <c r="K63" s="23">
        <f>I63*J63*EXP(-Parameters!$B$43*'6states'!A63)*(Parameters!$B$38/Parameters!$B$39*('6states'!E63+'6states'!H63)/Parameters!$E$25*(EXP(-Parameters!$B$39*Parameters!$E$25*'6states'!H63/('6states'!E63+'6states'!H63))-EXP(-Parameters!$B$39*Parameters!$E$25))  +  Parameters!$B$40*'6states'!E63)</f>
        <v>4.3558488910734292</v>
      </c>
      <c r="L63" s="8">
        <f>L62+K63*Parameters!B$71</f>
        <v>3213.4673299663214</v>
      </c>
      <c r="M63" s="7">
        <f>L63*Parameters!$B$46</f>
        <v>1.9280803979797927</v>
      </c>
      <c r="N63" s="9">
        <f>EXP(-Parameters!$B$47/2*M63^2)</f>
        <v>0.96332848935098225</v>
      </c>
      <c r="O63" s="8">
        <f>MAX((Parameters!$B$63 + Parameters!$B$31*'6states'!A63 - '6states'!L63 + Parameters!$B$48/Parameters!$B$46)/Parameters!B$63,1)</f>
        <v>45.506653400673578</v>
      </c>
      <c r="P63" s="7">
        <f>Parameters!B$62*EXP(-Parameters!B$61*A63)</f>
        <v>0.10165737582364309</v>
      </c>
      <c r="Q63" s="7">
        <f>(1-Parameters!B$62)*O63^-Parameters!B$64</f>
        <v>0.34132061108913364</v>
      </c>
      <c r="R63" s="7">
        <f>Parameters!B$62*EXP(-Parameters!B$61*A63)+(1-Parameters!B$62)*O63^-Parameters!B$64</f>
        <v>0.44297798691277673</v>
      </c>
      <c r="S63" s="7">
        <f>1-R63/Parameters!$B$12</f>
        <v>0.77851100654361161</v>
      </c>
      <c r="T63" s="7">
        <f t="shared" si="0"/>
        <v>4.5148970357161424</v>
      </c>
      <c r="U63" s="7">
        <f>(Parameters!$B$19*(E63+Parameters!$B$20)^S63+Parameters!$B$18*F63^S63)^(1/S63)</f>
        <v>0.33113584689777203</v>
      </c>
      <c r="V63" s="7">
        <f>(Parameters!$B$10*G63^Parameters!$B$9+Parameters!$B$11*U63^Parameters!$B$9)^(Parameters!$B$7/Parameters!$B$9)*N63</f>
        <v>1.3377600189821806</v>
      </c>
      <c r="W63" s="7">
        <f>V63 - C63 - D63 - LN(1+EXP(Parameters!$B$21*B63))/Parameters!$B$21 - IF(B63&gt;0, 0,Parameters!$B$6*B63^2/E63)</f>
        <v>1.024973067279465</v>
      </c>
      <c r="X63" s="17">
        <f>EXP(-Parameters!$B$56*A63)</f>
        <v>0.41028632884056476</v>
      </c>
      <c r="Y63" s="7">
        <f>IF(W63&gt;0,W63^(1-Parameters!$B$53)/(1-Parameters!$B$53)*X63*Parameters!$B$71,-10+W63*1000)</f>
        <v>-1.1621699529773819</v>
      </c>
      <c r="Z63"/>
      <c r="AA63" s="22">
        <f t="shared" si="15"/>
        <v>2.7080126393883852E-3</v>
      </c>
      <c r="AB63" s="22">
        <f t="shared" si="10"/>
        <v>-1.5580580952556655E-4</v>
      </c>
      <c r="AC63" s="22">
        <f t="shared" si="11"/>
        <v>6.5489519983044642E-5</v>
      </c>
      <c r="AD63" s="22">
        <f t="shared" si="32"/>
        <v>3.0204856042347958E-6</v>
      </c>
      <c r="AE63" s="22">
        <f t="shared" si="35"/>
        <v>5.7387049086560227E-5</v>
      </c>
      <c r="AF63" s="22">
        <f t="shared" si="36"/>
        <v>1.040442530539365E-5</v>
      </c>
      <c r="AG63" s="22">
        <f t="shared" si="37"/>
        <v>-4.0524370416711308E-6</v>
      </c>
      <c r="AH63" s="22">
        <f t="shared" si="33"/>
        <v>1.4023372200642363E-9</v>
      </c>
      <c r="AI63" s="22"/>
      <c r="AJ63"/>
      <c r="AK63" s="9"/>
      <c r="AL63" s="9"/>
      <c r="AM63" s="23">
        <f t="shared" si="1"/>
        <v>0.76702472661787524</v>
      </c>
      <c r="AN63" s="23">
        <f t="shared" si="2"/>
        <v>9.807356848975056</v>
      </c>
      <c r="AO63" s="23">
        <f t="shared" si="29"/>
        <v>93.04285076656592</v>
      </c>
      <c r="AP63" s="25">
        <f t="shared" si="4"/>
        <v>375.8850241486038</v>
      </c>
      <c r="AQ63" s="22">
        <f>-X63*V63*W63^(-Parameters!B$53)*Parameters!B$47*Parameters!B$46*M63</f>
        <v>-1.234456790120129E-5</v>
      </c>
      <c r="AR63" s="7">
        <f>1000*EXP(-(Parameters!$B$55)*'6states'!A63)*AP63*Parameters!B$47*Parameters!B$46*M63</f>
        <v>1.1019122918842308</v>
      </c>
      <c r="AS63" s="7">
        <f>SUM(AR63:AR$204)*EXP(Parameters!$B$55*A63)</f>
        <v>646.30765438781543</v>
      </c>
      <c r="AT63" s="13">
        <f t="shared" si="49"/>
        <v>0.2325063117946046</v>
      </c>
      <c r="AU63">
        <f>(1/$S63-1/Parameters!$B$13) * LN(Parameters!$B$18) / LN(O63)</f>
        <v>0.22325501807914427</v>
      </c>
      <c r="AV63">
        <f>(Parameters!$B$18*'6states'!S63^+Parameters!$B$19*Parameters!$B$25^'6states'!S63)^((1-'6states'!S63)/'6states'!S63)*Parameters!$B$18*Parameters!$B$26^('6states'!S63-1)</f>
        <v>0.29660045665879259</v>
      </c>
      <c r="AW63">
        <f t="shared" si="34"/>
        <v>0.21663242235833846</v>
      </c>
      <c r="AX63">
        <f t="shared" si="45"/>
        <v>0.14336948096258961</v>
      </c>
      <c r="AY63">
        <f t="shared" si="46"/>
        <v>0.18583136838247671</v>
      </c>
      <c r="AZ63">
        <f>(1/$S63-1/Parameters!$B$13) * LN(Parameters!$B$18) / A63</f>
        <v>1.444671319036386E-2</v>
      </c>
    </row>
    <row r="64" spans="1:52" s="35" customFormat="1" x14ac:dyDescent="0.25">
      <c r="A64" s="35">
        <f>A63+Parameters!$B$71</f>
        <v>60</v>
      </c>
      <c r="B64" s="42">
        <f t="shared" si="65"/>
        <v>1.2940472866289285E-3</v>
      </c>
      <c r="C64" s="42">
        <f t="shared" si="66"/>
        <v>8.8501269868952709E-2</v>
      </c>
      <c r="D64" s="42">
        <f t="shared" si="67"/>
        <v>0.22159297565823055</v>
      </c>
      <c r="E64" s="7">
        <f>MAX((1-Parameters!$B$4)^Parameters!B$71*E63 + B63*Parameters!B$71 - IF(B63&gt;0,Parameters!$B$5,0)*B63^2/E63*Parameters!B$71, 0.0001)</f>
        <v>3.3901109539628577E-2</v>
      </c>
      <c r="F64" s="36">
        <f>(1-Parameters!$B$4)^Parameters!B$71*F63+C63*Parameters!B$71-Parameters!$B$5*C63^2/F63*Parameters!B$71</f>
        <v>1.250799960381195</v>
      </c>
      <c r="G64" s="36">
        <f>(1-Parameters!$B$4)^Parameters!B$71*G63+D63*Parameters!B$71-Parameters!$B$5*D63^2/G63*Parameters!B$71</f>
        <v>3.2796731576756764</v>
      </c>
      <c r="H64" s="9">
        <f>MAX(H63 * (1-Parameters!$B$4) ^ Parameters!B$71 + (LN(1+EXP(Parameters!$B$21*(-B63+0.004)))/Parameters!$B$21 -0.004) * Parameters!B$71,0)</f>
        <v>2.5289786419401116E-3</v>
      </c>
      <c r="I64" s="38">
        <f>I63*(1+Parameters!$B$52)^Parameters!B$71</f>
        <v>9.7084084031148468</v>
      </c>
      <c r="J64" s="38">
        <f>J63*(1+Parameters!$B$54)^Parameters!B$71</f>
        <v>29.606466398803619</v>
      </c>
      <c r="K64" s="23">
        <f>I64*J64*EXP(-Parameters!$B$43*'6states'!A64)*(Parameters!$B$38/Parameters!$B$39*('6states'!E64+'6states'!H64)/Parameters!$E$25*(EXP(-Parameters!$B$39*Parameters!$E$25*'6states'!H64/('6states'!E64+'6states'!H64))-EXP(-Parameters!$B$39*Parameters!$E$25))  +  Parameters!$B$40*'6states'!E64)</f>
        <v>4.2897052533511664</v>
      </c>
      <c r="L64" s="34">
        <f>L63+K64*Parameters!B$71</f>
        <v>3217.7570352196726</v>
      </c>
      <c r="M64" s="36">
        <f>L64*Parameters!$B$46</f>
        <v>1.9306542211318034</v>
      </c>
      <c r="N64" s="9">
        <f>EXP(-Parameters!$B$47/2*M64^2)</f>
        <v>0.96323234087462761</v>
      </c>
      <c r="O64" s="8">
        <f>MAX((Parameters!$B$63 + Parameters!$B$31*'6states'!A64 - '6states'!L64 + Parameters!$B$48/Parameters!$B$46)/Parameters!B$63,1)</f>
        <v>46.484859295606547</v>
      </c>
      <c r="P64" s="7">
        <f>Parameters!B$62*EXP(-Parameters!B$61*A64)</f>
        <v>9.8949349541807355E-2</v>
      </c>
      <c r="Q64" s="7">
        <f>(1-Parameters!B$62)*O64^-Parameters!B$64</f>
        <v>0.34059545809216302</v>
      </c>
      <c r="R64" s="7">
        <f>Parameters!B$62*EXP(-Parameters!B$61*A64)+(1-Parameters!B$62)*O64^-Parameters!B$64</f>
        <v>0.43954480763397036</v>
      </c>
      <c r="S64" s="36">
        <f>1-R64/Parameters!$B$12</f>
        <v>0.78022759618301485</v>
      </c>
      <c r="T64" s="36">
        <f t="shared" si="0"/>
        <v>4.5501618157334587</v>
      </c>
      <c r="U64" s="7">
        <f>(Parameters!$B$19*(E64+Parameters!$B$20)^S64+Parameters!$B$18*F64^S64)^(1/S64)</f>
        <v>0.33150353915804931</v>
      </c>
      <c r="V64" s="36">
        <f>(Parameters!$B$10*G64^Parameters!$B$9+Parameters!$B$11*U64^Parameters!$B$9)^(Parameters!$B$7/Parameters!$B$9)*N64</f>
        <v>1.3377779092318391</v>
      </c>
      <c r="W64" s="7">
        <f>V64 - C64 - D64 - LN(1+EXP(Parameters!$B$21*B64))/Parameters!$B$21 - IF(B64&gt;0, 0,Parameters!$B$6*B64^2/E64)</f>
        <v>1.0246637439359907</v>
      </c>
      <c r="X64" s="36">
        <f>EXP(-Parameters!$B$56*A64)</f>
        <v>0.40413754542145147</v>
      </c>
      <c r="Y64" s="36">
        <f>IF(W64&gt;0,W64^(1-Parameters!$B$53)/(1-Parameters!$B$53)*X64*Parameters!$B$71,-10+W64*1000)</f>
        <v>-1.1448739551102045</v>
      </c>
      <c r="AA64" s="22">
        <f t="shared" si="15"/>
        <v>2.7492705572848899E-3</v>
      </c>
      <c r="AB64" s="22">
        <f t="shared" si="10"/>
        <v>-1.460926651702249E-4</v>
      </c>
      <c r="AC64" s="22">
        <f t="shared" si="11"/>
        <v>6.1662986216209914E-5</v>
      </c>
      <c r="AD64" s="22">
        <f t="shared" si="32"/>
        <v>3.0648312252200316E-6</v>
      </c>
      <c r="AE64" s="22">
        <f t="shared" si="35"/>
        <v>4.1257917896504737E-5</v>
      </c>
      <c r="AF64" s="22">
        <f t="shared" si="36"/>
        <v>9.7131443553416519E-6</v>
      </c>
      <c r="AG64" s="22">
        <f t="shared" si="37"/>
        <v>-3.8265337668347277E-6</v>
      </c>
      <c r="AH64" s="22">
        <f t="shared" si="33"/>
        <v>7.3197526525323658E-10</v>
      </c>
      <c r="AI64" s="22"/>
      <c r="AK64" s="37"/>
      <c r="AL64" s="37"/>
      <c r="AM64" s="38">
        <f t="shared" si="1"/>
        <v>0.72690854729695253</v>
      </c>
      <c r="AN64" s="38">
        <f t="shared" si="2"/>
        <v>9.7442524339791703</v>
      </c>
      <c r="AO64" s="38">
        <f t="shared" si="29"/>
        <v>95.284614933842718</v>
      </c>
      <c r="AP64" s="34">
        <f t="shared" si="4"/>
        <v>384.51973475729295</v>
      </c>
      <c r="AQ64" s="22">
        <f>-X64*V64*W64^(-Parameters!B$53)*Parameters!B$47*Parameters!B$46*M64</f>
        <v>-1.2180922420054104E-5</v>
      </c>
      <c r="AR64" s="36">
        <f>1000*EXP(-(Parameters!$B$55)*'6states'!A64)*AP64*Parameters!B$47*Parameters!B$46*M64</f>
        <v>1.089798640696422</v>
      </c>
      <c r="AS64" s="36">
        <f>SUM(AR64:AR$204)*EXP(Parameters!$B$55*A64)</f>
        <v>660.34332535533417</v>
      </c>
      <c r="AT64" s="39">
        <f t="shared" si="49"/>
        <v>0.23276531228760788</v>
      </c>
      <c r="AU64">
        <f>(1/$S64-1/Parameters!$B$13) * LN(Parameters!$B$18) / LN(O64)</f>
        <v>0.22289514618892178</v>
      </c>
      <c r="AV64">
        <f>(Parameters!$B$18*'6states'!S64^+Parameters!$B$19*Parameters!$B$25^'6states'!S64)^((1-'6states'!S64)/'6states'!S64)*Parameters!$B$18*Parameters!$B$26^('6states'!S64-1)</f>
        <v>0.29703581689440711</v>
      </c>
      <c r="AW64">
        <f t="shared" si="34"/>
        <v>0.21581437062281827</v>
      </c>
      <c r="AX64">
        <f t="shared" si="45"/>
        <v>0.14315577280698477</v>
      </c>
      <c r="AY64">
        <f t="shared" si="46"/>
        <v>0.18607702194103293</v>
      </c>
      <c r="AZ64">
        <f>(1/$S64-1/Parameters!$B$13) * LN(Parameters!$B$18) / A64</f>
        <v>1.4262044942733209E-2</v>
      </c>
    </row>
    <row r="65" spans="1:52" x14ac:dyDescent="0.25">
      <c r="A65">
        <f>A64+Parameters!$B$71</f>
        <v>61</v>
      </c>
      <c r="B65" s="20">
        <v>1.3517263508060918E-3</v>
      </c>
      <c r="C65" s="20">
        <v>8.8581568165421176E-2</v>
      </c>
      <c r="D65" s="20">
        <v>0.22180564303157005</v>
      </c>
      <c r="E65" s="7">
        <f>MAX((1-Parameters!$B$4)^Parameters!B$71*E64 + B64*Parameters!B$71 - IF(B64&gt;0,Parameters!$B$5,0)*B64^2/E64*Parameters!B$71, 0.0001)</f>
        <v>3.3013381650554278E-2</v>
      </c>
      <c r="F65" s="7">
        <f>(1-Parameters!$B$4)^Parameters!B$71*F64+C64*Parameters!B$71-Parameters!$B$5*C64^2/F64*Parameters!B$71</f>
        <v>1.2543639403912679</v>
      </c>
      <c r="G65" s="7">
        <f>(1-Parameters!$B$4)^Parameters!B$71*G64+D64*Parameters!B$71-Parameters!$B$5*D64^2/G64*Parameters!B$71</f>
        <v>3.2800026367275943</v>
      </c>
      <c r="H65" s="9">
        <f>MAX(H64 * (1-Parameters!$B$4) ^ Parameters!B$71 + (LN(1+EXP(Parameters!$B$21*(-B64+0.004)))/Parameters!$B$21 -0.004) * Parameters!B$71,0)</f>
        <v>2.3007305894875867E-3</v>
      </c>
      <c r="I65" s="23">
        <f>I64*(1+Parameters!$B$52)^Parameters!B$71</f>
        <v>9.7365627874838783</v>
      </c>
      <c r="J65" s="23">
        <f>J64*(1+Parameters!$B$54)^Parameters!B$71</f>
        <v>30.198595726779693</v>
      </c>
      <c r="K65" s="23">
        <f>I65*J65*EXP(-Parameters!$B$43*'6states'!A65)*(Parameters!$B$38/Parameters!$B$39*('6states'!E65+'6states'!H65)/Parameters!$E$25*(EXP(-Parameters!$B$39*Parameters!$E$25*'6states'!H65/('6states'!E65+'6states'!H65))-EXP(-Parameters!$B$39*Parameters!$E$25))  +  Parameters!$B$40*'6states'!E65)</f>
        <v>4.2385884275823393</v>
      </c>
      <c r="L65" s="8">
        <f>L64+K65*Parameters!B$71</f>
        <v>3221.9956236472549</v>
      </c>
      <c r="M65" s="7">
        <f>L65*Parameters!$B$46</f>
        <v>1.9331973741883528</v>
      </c>
      <c r="N65" s="9">
        <f>EXP(-Parameters!$B$47/2*M65^2)</f>
        <v>0.96313722158258719</v>
      </c>
      <c r="O65" s="8">
        <f>MAX((Parameters!$B$63 + Parameters!$B$31*'6states'!A65 - '6states'!L65 + Parameters!$B$48/Parameters!$B$46)/Parameters!B$63,1)</f>
        <v>47.464087527054907</v>
      </c>
      <c r="P65" s="7">
        <f>Parameters!B$62*EXP(-Parameters!B$61*A65)</f>
        <v>9.6313461718039159E-2</v>
      </c>
      <c r="Q65" s="7">
        <f>(1-Parameters!B$62)*O65^-Parameters!B$64</f>
        <v>0.33988616785293391</v>
      </c>
      <c r="R65" s="7">
        <f>Parameters!B$62*EXP(-Parameters!B$61*A65)+(1-Parameters!B$62)*O65^-Parameters!B$64</f>
        <v>0.43619962957097308</v>
      </c>
      <c r="S65" s="7">
        <f>1-R65/Parameters!$B$12</f>
        <v>0.78190018521451343</v>
      </c>
      <c r="T65" s="7">
        <f t="shared" si="0"/>
        <v>4.5850566218204092</v>
      </c>
      <c r="U65" s="7">
        <f>(Parameters!$B$19*(E65+Parameters!$B$20)^S65+Parameters!$B$18*F65^S65)^(1/S65)</f>
        <v>0.33195271495119871</v>
      </c>
      <c r="V65" s="7">
        <f>(Parameters!$B$10*G65^Parameters!$B$9+Parameters!$B$11*U65^Parameters!$B$9)^(Parameters!$B$7/Parameters!$B$9)*N65</f>
        <v>1.337841930342009</v>
      </c>
      <c r="W65" s="7">
        <f>V65 - C65 - D65 - LN(1+EXP(Parameters!$B$21*B65))/Parameters!$B$21 - IF(B65&gt;0, 0,Parameters!$B$6*B65^2/E65)</f>
        <v>1.024400311110055</v>
      </c>
      <c r="X65" s="7">
        <f>EXP(-Parameters!$B$56*A65)</f>
        <v>0.39808091115496053</v>
      </c>
      <c r="Y65" s="7">
        <f>IF(W65&gt;0,W65^(1-Parameters!$B$53)/(1-Parameters!$B$53)*X65*Parameters!$B$71,-10+W65*1000)</f>
        <v>-1.1278177172486341</v>
      </c>
      <c r="AA65" s="22">
        <f t="shared" si="15"/>
        <v>2.7735642712175129E-3</v>
      </c>
      <c r="AB65" s="22">
        <f t="shared" si="10"/>
        <v>-1.3702062155809824E-4</v>
      </c>
      <c r="AC65" s="22">
        <f t="shared" si="11"/>
        <v>5.8050543109880448E-5</v>
      </c>
      <c r="AD65" s="22">
        <f t="shared" si="32"/>
        <v>3.0711159202229271E-6</v>
      </c>
      <c r="AE65" s="22">
        <f t="shared" si="35"/>
        <v>2.4293713932622973E-5</v>
      </c>
      <c r="AF65" s="22">
        <f t="shared" si="36"/>
        <v>9.0720436121266568E-6</v>
      </c>
      <c r="AG65" s="22">
        <f t="shared" si="37"/>
        <v>-3.612443106329466E-6</v>
      </c>
      <c r="AH65" s="22">
        <f t="shared" si="33"/>
        <v>2.7289889787082441E-10</v>
      </c>
      <c r="AI65" s="22"/>
      <c r="AM65" s="23">
        <f t="shared" si="1"/>
        <v>0.67648501940097217</v>
      </c>
      <c r="AN65" s="23">
        <f t="shared" si="2"/>
        <v>9.7069418855081473</v>
      </c>
      <c r="AO65" s="23">
        <f t="shared" si="29"/>
        <v>97.604230517046645</v>
      </c>
      <c r="AP65" s="25">
        <f t="shared" si="4"/>
        <v>393.36636298838192</v>
      </c>
      <c r="AQ65" s="22">
        <f>-X65*V65*W65^(-Parameters!B$53)*Parameters!B$47*Parameters!B$46*M65</f>
        <v>-1.2018923286638447E-5</v>
      </c>
      <c r="AR65" s="7">
        <f>1000*EXP(-(Parameters!$B$55)*'6states'!A65)*AP65*Parameters!B$47*Parameters!B$46*M65</f>
        <v>1.0778363089782559</v>
      </c>
      <c r="AS65" s="7">
        <f>SUM(AR65:AR$204)*EXP(Parameters!$B$55*A65)</f>
        <v>674.66008206418371</v>
      </c>
      <c r="AT65" s="13">
        <f t="shared" si="49"/>
        <v>0.23301627081467213</v>
      </c>
      <c r="AU65">
        <f>(1/$S65-1/Parameters!$B$13) * LN(Parameters!$B$18) / LN(O65)</f>
        <v>0.22253749394095909</v>
      </c>
      <c r="AV65">
        <f>(Parameters!$B$18*'6states'!S65^+Parameters!$B$19*Parameters!$B$25^'6states'!S65)^((1-'6states'!S65)/'6states'!S65)*Parameters!$B$18*Parameters!$B$26^('6states'!S65-1)</f>
        <v>0.29745304625740837</v>
      </c>
      <c r="AW65">
        <f t="shared" si="34"/>
        <v>0.21501245730120136</v>
      </c>
      <c r="AX65">
        <f t="shared" si="45"/>
        <v>0.14294332995240677</v>
      </c>
      <c r="AY65">
        <f t="shared" si="46"/>
        <v>0.18631237553653468</v>
      </c>
      <c r="AZ65">
        <f>(1/$S65-1/Parameters!$B$13) * LN(Parameters!$B$18) / A65</f>
        <v>1.4081783624791483E-2</v>
      </c>
    </row>
    <row r="66" spans="1:52" x14ac:dyDescent="0.25">
      <c r="A66">
        <f>A65+Parameters!$B$71</f>
        <v>62</v>
      </c>
      <c r="B66" s="9">
        <f>B65+(B$70-B$65)/5</f>
        <v>1.1813619799487254E-3</v>
      </c>
      <c r="C66" s="9">
        <f t="shared" ref="C66:D66" si="68">C65+(C$70-C$65)/5</f>
        <v>8.8804927156936858E-2</v>
      </c>
      <c r="D66" s="9">
        <f t="shared" si="68"/>
        <v>0.22189271429818963</v>
      </c>
      <c r="E66" s="7">
        <f>MAX((1-Parameters!$B$4)^Parameters!B$71*E65 + B65*Parameters!B$71 - IF(B65&gt;0,Parameters!$B$5,0)*B65^2/E65*Parameters!B$71, 0.0001)</f>
        <v>3.2233220128740511E-2</v>
      </c>
      <c r="F66" s="7">
        <f>(1-Parameters!$B$4)^Parameters!B$71*F65+C65*Parameters!B$71-Parameters!$B$5*C65^2/F65*Parameters!B$71</f>
        <v>1.2577905002917611</v>
      </c>
      <c r="G66" s="7">
        <f>(1-Parameters!$B$4)^Parameters!B$71*G65+D65*Parameters!B$71-Parameters!$B$5*D65^2/G65*Parameters!B$71</f>
        <v>3.2804968139908341</v>
      </c>
      <c r="H66" s="9">
        <f>MAX(H65 * (1-Parameters!$B$4) ^ Parameters!B$71 + (LN(1+EXP(Parameters!$B$21*(-B65+0.004)))/Parameters!$B$21 -0.004) * Parameters!B$71,0)</f>
        <v>2.0470036717390801E-3</v>
      </c>
      <c r="I66" s="23">
        <f>I65*(1+Parameters!$B$52)^Parameters!B$71</f>
        <v>9.7647988195675808</v>
      </c>
      <c r="J66" s="23">
        <f>J65*(1+Parameters!$B$54)^Parameters!B$71</f>
        <v>30.802567641315289</v>
      </c>
      <c r="K66" s="23">
        <f>I66*J66*EXP(-Parameters!$B$43*'6states'!A66)*(Parameters!$B$38/Parameters!$B$39*('6states'!E66+'6states'!H66)/Parameters!$E$25*(EXP(-Parameters!$B$39*Parameters!$E$25*'6states'!H66/('6states'!E66+'6states'!H66))-EXP(-Parameters!$B$39*Parameters!$E$25))  +  Parameters!$B$40*'6states'!E66)</f>
        <v>4.2034421145023275</v>
      </c>
      <c r="L66" s="8">
        <f>L65+K66*Parameters!B$71</f>
        <v>3226.1990657617571</v>
      </c>
      <c r="M66" s="7">
        <f>L66*Parameters!$B$46</f>
        <v>1.935719439457054</v>
      </c>
      <c r="N66" s="9">
        <f>EXP(-Parameters!$B$47/2*M66^2)</f>
        <v>0.96304277665281712</v>
      </c>
      <c r="O66" s="8">
        <f>MAX((Parameters!$B$63 + Parameters!$B$31*'6states'!A66 - '6states'!L66 + Parameters!$B$48/Parameters!$B$46)/Parameters!B$63,1)</f>
        <v>48.444018684764863</v>
      </c>
      <c r="P66" s="7">
        <f>Parameters!B$62*EXP(-Parameters!B$61*A66)</f>
        <v>9.3747790673377282E-2</v>
      </c>
      <c r="Q66" s="7">
        <f>(1-Parameters!B$62)*O66^-Parameters!B$64</f>
        <v>0.3391923025432998</v>
      </c>
      <c r="R66" s="7">
        <f>Parameters!B$62*EXP(-Parameters!B$61*A66)+(1-Parameters!B$62)*O66^-Parameters!B$64</f>
        <v>0.43294009321667709</v>
      </c>
      <c r="S66" s="7">
        <f>1-R66/Parameters!$B$12</f>
        <v>0.78352995339166143</v>
      </c>
      <c r="T66" s="7">
        <f t="shared" si="0"/>
        <v>4.6195767759467898</v>
      </c>
      <c r="U66" s="7">
        <f>(Parameters!$B$19*(E66+Parameters!$B$20)^S66+Parameters!$B$18*F66^S66)^(1/S66)</f>
        <v>0.33247739855249425</v>
      </c>
      <c r="V66" s="7">
        <f>(Parameters!$B$10*G66^Parameters!$B$9+Parameters!$B$11*U66^Parameters!$B$9)^(Parameters!$B$7/Parameters!$B$9)*N66</f>
        <v>1.3379481362336612</v>
      </c>
      <c r="W66" s="7">
        <f>V66 - C66 - D66 - LN(1+EXP(Parameters!$B$21*B66))/Parameters!$B$21 - IF(B66&gt;0, 0,Parameters!$B$6*B66^2/E66)</f>
        <v>1.0242972592115338</v>
      </c>
      <c r="X66" s="7">
        <f>EXP(-Parameters!$B$56*A66)</f>
        <v>0.39211504504167288</v>
      </c>
      <c r="Y66" s="7">
        <f>IF(W66&gt;0,W66^(1-Parameters!$B$53)/(1-Parameters!$B$53)*X66*Parameters!$B$71,-10+W66*1000)</f>
        <v>-1.1109547187846549</v>
      </c>
      <c r="AA66" s="22">
        <f t="shared" si="15"/>
        <v>-4.2943525914672376E-3</v>
      </c>
      <c r="AB66" s="22">
        <f t="shared" si="10"/>
        <v>-1.480394514795369E-5</v>
      </c>
      <c r="AC66" s="22">
        <f t="shared" si="11"/>
        <v>1.6355209450508168E-5</v>
      </c>
      <c r="AD66" s="22">
        <f t="shared" si="32"/>
        <v>7.2313663801694315E-6</v>
      </c>
      <c r="AE66" s="22">
        <f t="shared" si="35"/>
        <v>-7.0679168626847505E-3</v>
      </c>
      <c r="AF66" s="22">
        <f t="shared" si="36"/>
        <v>1.2221667641014455E-4</v>
      </c>
      <c r="AG66" s="22">
        <f t="shared" si="37"/>
        <v>-4.169533365937228E-5</v>
      </c>
      <c r="AH66" s="22">
        <f t="shared" si="33"/>
        <v>1.9594821729419199E-5</v>
      </c>
      <c r="AI66" s="22"/>
      <c r="AM66" s="23">
        <f t="shared" si="1"/>
        <v>0.61569955785477726</v>
      </c>
      <c r="AN66" s="23">
        <f t="shared" si="2"/>
        <v>9.6951361912510023</v>
      </c>
      <c r="AO66" s="23">
        <f t="shared" si="29"/>
        <v>100.00284323455284</v>
      </c>
      <c r="AP66" s="25">
        <f t="shared" si="4"/>
        <v>402.42921265101194</v>
      </c>
      <c r="AQ66" s="22">
        <f>-X66*V66*W66^(-Parameters!B$53)*Parameters!B$47*Parameters!B$46*M66</f>
        <v>-1.1856797149889593E-5</v>
      </c>
      <c r="AR66" s="7">
        <f>1000*EXP(-(Parameters!$B$55)*'6states'!A66)*AP66*Parameters!B$47*Parameters!B$46*M66</f>
        <v>1.066025434521926</v>
      </c>
      <c r="AS66" s="7">
        <f>SUM(AR66:AR$204)*EXP(Parameters!$B$55*A66)</f>
        <v>689.26244401307622</v>
      </c>
      <c r="AT66" s="13">
        <f t="shared" si="49"/>
        <v>0.23310246114099617</v>
      </c>
      <c r="AU66">
        <f>(1/$S66-1/Parameters!$B$13) * LN(Parameters!$B$18) / LN(O66)</f>
        <v>0.22218222417297145</v>
      </c>
      <c r="AV66">
        <f>(Parameters!$B$18*'6states'!S66^+Parameters!$B$19*Parameters!$B$25^'6states'!S66)^((1-'6states'!S66)/'6states'!S66)*Parameters!$B$18*Parameters!$B$26^('6states'!S66-1)</f>
        <v>0.29785299855685621</v>
      </c>
      <c r="AW66">
        <f t="shared" si="34"/>
        <v>0.21422640573830054</v>
      </c>
      <c r="AX66">
        <f t="shared" si="45"/>
        <v>0.14273225012660118</v>
      </c>
      <c r="AY66">
        <f t="shared" si="46"/>
        <v>0.18653791948152676</v>
      </c>
      <c r="AZ66">
        <f>(1/$S66-1/Parameters!$B$13) * LN(Parameters!$B$18) / A66</f>
        <v>1.3905772178575993E-2</v>
      </c>
    </row>
    <row r="67" spans="1:52" x14ac:dyDescent="0.25">
      <c r="A67">
        <f>A66+Parameters!$B$71</f>
        <v>63</v>
      </c>
      <c r="B67" s="9">
        <f t="shared" ref="B67:B69" si="69">B66+(B$70-B$65)/5</f>
        <v>1.010997609091359E-3</v>
      </c>
      <c r="C67" s="9">
        <f t="shared" ref="C67:C69" si="70">C66+(C$70-C$65)/5</f>
        <v>8.902828614845254E-2</v>
      </c>
      <c r="D67" s="9">
        <f t="shared" ref="D67:D69" si="71">D66+(D$70-D$65)/5</f>
        <v>0.22197978556480921</v>
      </c>
      <c r="E67" s="7">
        <f>MAX((1-Parameters!$B$4)^Parameters!B$71*E66 + B66*Parameters!B$71 - IF(B66&gt;0,Parameters!$B$5,0)*B66^2/E66*Parameters!B$71, 0.0001)</f>
        <v>3.1343815115979105E-2</v>
      </c>
      <c r="F67" s="7">
        <f>(1-Parameters!$B$4)^Parameters!B$71*F66+C66*Parameters!B$71-Parameters!$B$5*C66^2/F66*Parameters!B$71</f>
        <v>1.2612104299045928</v>
      </c>
      <c r="G67" s="7">
        <f>(1-Parameters!$B$4)^Parameters!B$71*G66+D66*Parameters!B$71-Parameters!$B$5*D66^2/G66*Parameters!B$71</f>
        <v>3.2810374615950066</v>
      </c>
      <c r="H67" s="9">
        <f>MAX(H66 * (1-Parameters!$B$4) ^ Parameters!B$71 + (LN(1+EXP(Parameters!$B$21*(-B66+0.004)))/Parameters!$B$21 -0.004) * Parameters!B$71,0)</f>
        <v>1.9275091144326762E-3</v>
      </c>
      <c r="I67" s="23">
        <f>I66*(1+Parameters!$B$52)^Parameters!B$71</f>
        <v>9.7931167361443254</v>
      </c>
      <c r="J67" s="23">
        <f>J66*(1+Parameters!$B$54)^Parameters!B$71</f>
        <v>31.418618994141596</v>
      </c>
      <c r="K67" s="23">
        <f>I67*J67*EXP(-Parameters!$B$43*'6states'!A67)*(Parameters!$B$38/Parameters!$B$39*('6states'!E67+'6states'!H67)/Parameters!$E$25*(EXP(-Parameters!$B$39*Parameters!$E$25*'6states'!H67/('6states'!E67+'6states'!H67))-EXP(-Parameters!$B$39*Parameters!$E$25))  +  Parameters!$B$40*'6states'!E67)</f>
        <v>4.1442478935968063</v>
      </c>
      <c r="L67" s="8">
        <f>L66+K67*Parameters!B$71</f>
        <v>3230.343313655354</v>
      </c>
      <c r="M67" s="7">
        <f>L67*Parameters!$B$46</f>
        <v>1.9382059881932123</v>
      </c>
      <c r="N67" s="9">
        <f>EXP(-Parameters!$B$47/2*M67^2)</f>
        <v>0.9629495502664428</v>
      </c>
      <c r="O67" s="8">
        <f>MAX((Parameters!$B$63 + Parameters!$B$31*'6states'!A67 - '6states'!L67 + Parameters!$B$48/Parameters!$B$46)/Parameters!B$63,1)</f>
        <v>49.42513372689293</v>
      </c>
      <c r="P67" s="7">
        <f>Parameters!B$62*EXP(-Parameters!B$61*A67)</f>
        <v>9.1250465920002147E-2</v>
      </c>
      <c r="Q67" s="7">
        <f>(1-Parameters!B$62)*O67^-Parameters!B$64</f>
        <v>0.33851289662152406</v>
      </c>
      <c r="R67" s="7">
        <f>Parameters!B$62*EXP(-Parameters!B$61*A67)+(1-Parameters!B$62)*O67^-Parameters!B$64</f>
        <v>0.42976336254152619</v>
      </c>
      <c r="S67" s="7">
        <f>1-R67/Parameters!$B$12</f>
        <v>0.78511831872923687</v>
      </c>
      <c r="T67" s="7">
        <f t="shared" si="0"/>
        <v>4.6537238264621692</v>
      </c>
      <c r="U67" s="7">
        <f>(Parameters!$B$19*(E67+Parameters!$B$20)^S67+Parameters!$B$18*F67^S67)^(1/S67)</f>
        <v>0.33287161173577562</v>
      </c>
      <c r="V67" s="7">
        <f>(Parameters!$B$10*G67^Parameters!$B$9+Parameters!$B$11*U67^Parameters!$B$9)^(Parameters!$B$7/Parameters!$B$9)*N67</f>
        <v>1.3380106821124036</v>
      </c>
      <c r="W67" s="7">
        <f>V67 - C67 - D67 - LN(1+EXP(Parameters!$B$21*B67))/Parameters!$B$21 - IF(B67&gt;0, 0,Parameters!$B$6*B67^2/E67)</f>
        <v>1.0241484376557397</v>
      </c>
      <c r="X67" s="7">
        <f>EXP(-Parameters!$B$56*A67)</f>
        <v>0.38623858677860945</v>
      </c>
      <c r="Y67" s="7">
        <f>IF(W67&gt;0,W67^(1-Parameters!$B$53)/(1-Parameters!$B$53)*X67*Parameters!$B$71,-10+W67*1000)</f>
        <v>-1.0943609748804901</v>
      </c>
      <c r="AA67" s="22">
        <f t="shared" si="15"/>
        <v>-4.3953576670983929E-3</v>
      </c>
      <c r="AB67" s="22">
        <f t="shared" si="10"/>
        <v>-1.4352411229129336E-5</v>
      </c>
      <c r="AC67" s="22">
        <f t="shared" si="11"/>
        <v>1.5392045391138254E-5</v>
      </c>
      <c r="AD67" s="22">
        <f t="shared" si="32"/>
        <v>7.4619796083711584E-6</v>
      </c>
      <c r="AE67" s="22">
        <f t="shared" si="35"/>
        <v>-1.0100507563115535E-4</v>
      </c>
      <c r="AF67" s="22">
        <f t="shared" si="36"/>
        <v>4.515339188243539E-7</v>
      </c>
      <c r="AG67" s="22">
        <f t="shared" si="37"/>
        <v>-9.6316405936991423E-7</v>
      </c>
      <c r="AH67" s="22">
        <f t="shared" si="33"/>
        <v>3.9408528905897739E-9</v>
      </c>
      <c r="AI67" s="22"/>
      <c r="AM67" s="23">
        <f t="shared" si="1"/>
        <v>0.59306796162771724</v>
      </c>
      <c r="AN67" s="23">
        <f t="shared" si="2"/>
        <v>9.644059476181031</v>
      </c>
      <c r="AO67" s="23">
        <f t="shared" si="29"/>
        <v>102.42000246726442</v>
      </c>
      <c r="AP67" s="25">
        <f t="shared" si="4"/>
        <v>411.68742701902858</v>
      </c>
      <c r="AQ67" s="22">
        <f>-X67*V67*W67^(-Parameters!B$53)*Parameters!B$47*Parameters!B$46*M67</f>
        <v>-1.1696947877089386E-5</v>
      </c>
      <c r="AR67" s="7">
        <f>1000*EXP(-(Parameters!$B$55)*'6states'!A67)*AP67*Parameters!B$47*Parameters!B$46*M67</f>
        <v>1.0542884646736768</v>
      </c>
      <c r="AS67" s="7">
        <f>SUM(AR67:AR$204)*EXP(Parameters!$B$55*A67)</f>
        <v>704.15492989670577</v>
      </c>
      <c r="AT67" s="13">
        <f t="shared" si="49"/>
        <v>0.23319624685637677</v>
      </c>
      <c r="AU67">
        <f>(1/$S67-1/Parameters!$B$13) * LN(Parameters!$B$18) / LN(O67)</f>
        <v>0.22182870403872701</v>
      </c>
      <c r="AV67">
        <f>(Parameters!$B$18*'6states'!S67^+Parameters!$B$19*Parameters!$B$25^'6states'!S67)^((1-'6states'!S67)/'6states'!S67)*Parameters!$B$18*Parameters!$B$26^('6states'!S67-1)</f>
        <v>0.29823654864747551</v>
      </c>
      <c r="AW67">
        <f t="shared" si="34"/>
        <v>0.21345511343984289</v>
      </c>
      <c r="AX67">
        <f t="shared" si="45"/>
        <v>0.1425221582251458</v>
      </c>
      <c r="AY67">
        <f t="shared" si="46"/>
        <v>0.18675415505136861</v>
      </c>
      <c r="AZ67">
        <f>(1/$S67-1/Parameters!$B$13) * LN(Parameters!$B$18) / A67</f>
        <v>1.3733869550763479E-2</v>
      </c>
    </row>
    <row r="68" spans="1:52" x14ac:dyDescent="0.25">
      <c r="A68">
        <f>A67+Parameters!$B$71</f>
        <v>64</v>
      </c>
      <c r="B68" s="9">
        <f t="shared" si="69"/>
        <v>8.4063323823399256E-4</v>
      </c>
      <c r="C68" s="9">
        <f t="shared" si="70"/>
        <v>8.9251645139968222E-2</v>
      </c>
      <c r="D68" s="9">
        <f t="shared" si="71"/>
        <v>0.22206685683142879</v>
      </c>
      <c r="E68" s="7">
        <f>MAX((1-Parameters!$B$4)^Parameters!B$71*E67 + B67*Parameters!B$71 - IF(B67&gt;0,Parameters!$B$5,0)*B67^2/E67*Parameters!B$71, 0.0001)</f>
        <v>3.035067693438567E-2</v>
      </c>
      <c r="F68" s="7">
        <f>(1-Parameters!$B$4)^Parameters!B$71*F67+C67*Parameters!B$71-Parameters!$B$5*C67^2/F67*Parameters!B$71</f>
        <v>1.2646241126887543</v>
      </c>
      <c r="G68" s="7">
        <f>(1-Parameters!$B$4)^Parameters!B$71*G67+D67*Parameters!B$71-Parameters!$B$5*D67^2/G67*Parameters!B$71</f>
        <v>3.2816218675104811</v>
      </c>
      <c r="H68" s="9">
        <f>MAX(H67 * (1-Parameters!$B$4) ^ Parameters!B$71 + (LN(1+EXP(Parameters!$B$21*(-B67+0.004)))/Parameters!$B$21 -0.004) * Parameters!B$71,0)</f>
        <v>1.9356333587999997E-3</v>
      </c>
      <c r="I68" s="23">
        <f>I67*(1+Parameters!$B$52)^Parameters!B$71</f>
        <v>9.821516774679143</v>
      </c>
      <c r="J68" s="23">
        <f>J67*(1+Parameters!$B$54)^Parameters!B$71</f>
        <v>32.046991374024429</v>
      </c>
      <c r="K68" s="23">
        <f>I68*J68*EXP(-Parameters!$B$43*'6states'!A68)*(Parameters!$B$38/Parameters!$B$39*('6states'!E68+'6states'!H68)/Parameters!$E$25*(EXP(-Parameters!$B$39*Parameters!$E$25*'6states'!H68/('6states'!E68+'6states'!H68))-EXP(-Parameters!$B$39*Parameters!$E$25))  +  Parameters!$B$40*'6states'!E68)</f>
        <v>4.0591792326207656</v>
      </c>
      <c r="L68" s="8">
        <f>L67+K68*Parameters!B$71</f>
        <v>3234.4024928879749</v>
      </c>
      <c r="M68" s="7">
        <f>L68*Parameters!$B$46</f>
        <v>1.9406414957327847</v>
      </c>
      <c r="N68" s="9">
        <f>EXP(-Parameters!$B$47/2*M68^2)</f>
        <v>0.96285813027799971</v>
      </c>
      <c r="O68" s="8">
        <f>MAX((Parameters!$B$63 + Parameters!$B$31*'6states'!A68 - '6states'!L68 + Parameters!$B$48/Parameters!$B$46)/Parameters!B$63,1)</f>
        <v>50.407950142240509</v>
      </c>
      <c r="P68" s="7">
        <f>Parameters!B$62*EXP(-Parameters!B$61*A68)</f>
        <v>8.8819666797567476E-2</v>
      </c>
      <c r="Q68" s="7">
        <f>(1-Parameters!B$62)*O68^-Parameters!B$64</f>
        <v>0.33784702628053265</v>
      </c>
      <c r="R68" s="7">
        <f>Parameters!B$62*EXP(-Parameters!B$61*A68)+(1-Parameters!B$62)*O68^-Parameters!B$64</f>
        <v>0.42666669307810012</v>
      </c>
      <c r="S68" s="7">
        <f>1-R68/Parameters!$B$12</f>
        <v>0.78666665346094988</v>
      </c>
      <c r="T68" s="7">
        <f t="shared" si="0"/>
        <v>4.6874997098353424</v>
      </c>
      <c r="U68" s="7">
        <f>(Parameters!$B$19*(E68+Parameters!$B$20)^S68+Parameters!$B$18*F68^S68)^(1/S68)</f>
        <v>0.33314104217717533</v>
      </c>
      <c r="V68" s="7">
        <f>(Parameters!$B$10*G68^Parameters!$B$9+Parameters!$B$11*U68^Parameters!$B$9)^(Parameters!$B$7/Parameters!$B$9)*N68</f>
        <v>1.3380328483783939</v>
      </c>
      <c r="W68" s="7">
        <f>V68 - C68 - D68 - LN(1+EXP(Parameters!$B$21*B68))/Parameters!$B$21 - IF(B68&gt;0, 0,Parameters!$B$6*B68^2/E68)</f>
        <v>1.0239571092051643</v>
      </c>
      <c r="X68" s="7">
        <f>EXP(-Parameters!$B$56*A68)</f>
        <v>0.38045019644906247</v>
      </c>
      <c r="Y68" s="7">
        <f>IF(W68&gt;0,W68^(1-Parameters!$B$53)/(1-Parameters!$B$53)*X68*Parameters!$B$71,-10+W68*1000)</f>
        <v>-1.0780307535606601</v>
      </c>
      <c r="AA68" s="22">
        <f t="shared" si="15"/>
        <v>-4.5577437605757165E-3</v>
      </c>
      <c r="AB68" s="22">
        <f t="shared" si="10"/>
        <v>-1.3926166243419247E-5</v>
      </c>
      <c r="AC68" s="22">
        <f t="shared" si="11"/>
        <v>1.4484627809771555E-5</v>
      </c>
      <c r="AD68" s="22">
        <f t="shared" si="32"/>
        <v>7.9032562585435958E-6</v>
      </c>
      <c r="AE68" s="22">
        <f t="shared" si="35"/>
        <v>-1.6238609347732358E-4</v>
      </c>
      <c r="AF68" s="22">
        <f t="shared" si="36"/>
        <v>4.2624498571008917E-7</v>
      </c>
      <c r="AG68" s="22">
        <f t="shared" si="37"/>
        <v>-9.0741758136669848E-7</v>
      </c>
      <c r="AH68" s="22">
        <f t="shared" si="33"/>
        <v>1.003256620179815E-8</v>
      </c>
      <c r="AI68" s="22"/>
      <c r="AM68" s="23">
        <f t="shared" ref="AM68:AM131" si="72">H68*I68*J68</f>
        <v>0.60924072232011706</v>
      </c>
      <c r="AN68" s="23">
        <f t="shared" ref="AN68:AN131" si="73">E68*I68*J68</f>
        <v>9.552877488055433</v>
      </c>
      <c r="AO68" s="23">
        <f t="shared" ref="AO68:AO99" si="74">U68*I68*J68</f>
        <v>104.85616413240901</v>
      </c>
      <c r="AP68" s="25">
        <f t="shared" ref="AP68:AP131" si="75">V68*J68*I68</f>
        <v>421.14592380215623</v>
      </c>
      <c r="AQ68" s="22">
        <f>-X68*V68*W68^(-Parameters!B$53)*Parameters!B$47*Parameters!B$46*M68</f>
        <v>-1.1539229892647397E-5</v>
      </c>
      <c r="AR68" s="7">
        <f>1000*EXP(-(Parameters!$B$55)*'6states'!A68)*AP68*Parameters!B$47*Parameters!B$46*M68</f>
        <v>1.0426201132700696</v>
      </c>
      <c r="AS68" s="7">
        <f>SUM(AR68:AR$204)*EXP(Parameters!$B$55*A68)</f>
        <v>719.34278569706544</v>
      </c>
      <c r="AT68" s="13">
        <f t="shared" si="49"/>
        <v>0.23329706411015766</v>
      </c>
      <c r="AU68">
        <f>(1/$S68-1/Parameters!$B$13) * LN(Parameters!$B$18) / LN(O68)</f>
        <v>0.22147633519086252</v>
      </c>
      <c r="AV68">
        <f>(Parameters!$B$18*'6states'!S68^+Parameters!$B$19*Parameters!$B$25^'6states'!S68)^((1-'6states'!S68)/'6states'!S68)*Parameters!$B$18*Parameters!$B$26^('6states'!S68-1)</f>
        <v>0.29860452252730962</v>
      </c>
      <c r="AW68">
        <f t="shared" si="34"/>
        <v>0.2126975343293524</v>
      </c>
      <c r="AX68">
        <f t="shared" si="45"/>
        <v>0.14231269928024581</v>
      </c>
      <c r="AY68">
        <f t="shared" si="46"/>
        <v>0.18696155513233936</v>
      </c>
      <c r="AZ68">
        <f>(1/$S68-1/Parameters!$B$13) * LN(Parameters!$B$18) / A68</f>
        <v>1.356594082127875E-2</v>
      </c>
    </row>
    <row r="69" spans="1:52" s="4" customFormat="1" x14ac:dyDescent="0.25">
      <c r="A69" s="4">
        <f>A68+Parameters!$B$71</f>
        <v>65</v>
      </c>
      <c r="B69" s="9">
        <f t="shared" si="69"/>
        <v>6.7026886737662616E-4</v>
      </c>
      <c r="C69" s="9">
        <f t="shared" si="70"/>
        <v>8.9475004131483904E-2</v>
      </c>
      <c r="D69" s="9">
        <f t="shared" si="71"/>
        <v>0.22215392809804838</v>
      </c>
      <c r="E69" s="7">
        <f>MAX((1-Parameters!$B$4)^Parameters!B$71*E68 + B68*Parameters!B$71 - IF(B68&gt;0,Parameters!$B$5,0)*B68^2/E68*Parameters!B$71, 0.0001)</f>
        <v>2.9258969282740046E-2</v>
      </c>
      <c r="F69" s="17">
        <f>(1-Parameters!$B$4)^Parameters!B$71*F68+C68*Parameters!B$71-Parameters!$B$5*C68^2/F68*Parameters!B$71</f>
        <v>1.2680319099381832</v>
      </c>
      <c r="G69" s="17">
        <f>(1-Parameters!$B$4)^Parameters!B$71*G68+D68*Parameters!B$71-Parameters!$B$5*D68^2/G68*Parameters!B$71</f>
        <v>3.2822474781664366</v>
      </c>
      <c r="H69" s="9">
        <f>MAX(H68 * (1-Parameters!$B$4) ^ Parameters!B$71 + (LN(1+EXP(Parameters!$B$21*(-B68+0.004)))/Parameters!$B$21 -0.004) * Parameters!B$71,0)</f>
        <v>2.0651409125136801E-3</v>
      </c>
      <c r="I69" s="40">
        <f>I68*(1+Parameters!$B$52)^Parameters!B$71</f>
        <v>9.8499991733257115</v>
      </c>
      <c r="J69" s="40">
        <f>J68*(1+Parameters!$B$54)^Parameters!B$71</f>
        <v>32.687931201504917</v>
      </c>
      <c r="K69" s="23">
        <f>I69*J69*EXP(-Parameters!$B$43*'6states'!A69)*(Parameters!$B$38/Parameters!$B$39*('6states'!E69+'6states'!H69)/Parameters!$E$25*(EXP(-Parameters!$B$39*Parameters!$E$25*'6states'!H69/('6states'!E69+'6states'!H69))-EXP(-Parameters!$B$39*Parameters!$E$25))  +  Parameters!$B$40*'6states'!E69)</f>
        <v>3.9508676955219926</v>
      </c>
      <c r="L69" s="25">
        <f>L68+K69*Parameters!B$71</f>
        <v>3238.3533605834969</v>
      </c>
      <c r="M69" s="17">
        <f>L69*Parameters!$B$46</f>
        <v>1.9430120163500979</v>
      </c>
      <c r="N69" s="9">
        <f>EXP(-Parameters!$B$47/2*M69^2)</f>
        <v>0.96276904775963013</v>
      </c>
      <c r="O69" s="8">
        <f>MAX((Parameters!$B$63 + Parameters!$B$31*'6states'!A69 - '6states'!L69 + Parameters!$B$48/Parameters!$B$46)/Parameters!B$63,1)</f>
        <v>51.392932788330064</v>
      </c>
      <c r="P69" s="7">
        <f>Parameters!B$62*EXP(-Parameters!B$61*A69)</f>
        <v>8.6453621145858195E-2</v>
      </c>
      <c r="Q69" s="7">
        <f>(1-Parameters!B$62)*O69^-Parameters!B$64</f>
        <v>0.337193864847736</v>
      </c>
      <c r="R69" s="7">
        <f>Parameters!B$62*EXP(-Parameters!B$61*A69)+(1-Parameters!B$62)*O69^-Parameters!B$64</f>
        <v>0.4236474859935942</v>
      </c>
      <c r="S69" s="17">
        <f>1-R69/Parameters!$B$12</f>
        <v>0.78817625700320293</v>
      </c>
      <c r="T69" s="17">
        <f t="shared" ref="T69:T132" si="76">1/(1-S69)</f>
        <v>4.7209060979302997</v>
      </c>
      <c r="U69" s="7">
        <f>(Parameters!$B$19*(E69+Parameters!$B$20)^S69+Parameters!$B$18*F69^S69)^(1/S69)</f>
        <v>0.33329078241256338</v>
      </c>
      <c r="V69" s="17">
        <f>(Parameters!$B$10*G69^Parameters!$B$9+Parameters!$B$11*U69^Parameters!$B$9)^(Parameters!$B$7/Parameters!$B$9)*N69</f>
        <v>1.3380173958330364</v>
      </c>
      <c r="W69" s="7">
        <f>V69 - C69 - D69 - LN(1+EXP(Parameters!$B$21*B69))/Parameters!$B$21 - IF(B69&gt;0, 0,Parameters!$B$6*B69^2/E69)</f>
        <v>1.0237260196114066</v>
      </c>
      <c r="X69" s="17">
        <f>EXP(-Parameters!$B$56*A69)</f>
        <v>0.37474855421707526</v>
      </c>
      <c r="Y69" s="17">
        <f>IF(W69&gt;0,W69^(1-Parameters!$B$53)/(1-Parameters!$B$53)*X69*Parameters!$B$71,-10+W69*1000)</f>
        <v>-1.0619586630212015</v>
      </c>
      <c r="AA69" s="22">
        <f t="shared" si="15"/>
        <v>-4.7891968983392458E-3</v>
      </c>
      <c r="AB69" s="22">
        <f t="shared" si="10"/>
        <v>-1.3523674484025583E-5</v>
      </c>
      <c r="AC69" s="22">
        <f t="shared" si="11"/>
        <v>1.3629772948234309E-5</v>
      </c>
      <c r="AD69" s="22">
        <f t="shared" ref="AD69:AD100" si="77">X69*(AA69^2+AB69^2+AC69^2)</f>
        <v>8.5955234913327746E-6</v>
      </c>
      <c r="AE69" s="22">
        <f t="shared" si="35"/>
        <v>-2.3145313776352927E-4</v>
      </c>
      <c r="AF69" s="22">
        <f t="shared" si="36"/>
        <v>4.0249175939366388E-7</v>
      </c>
      <c r="AG69" s="22">
        <f t="shared" si="37"/>
        <v>-8.5485486153724644E-7</v>
      </c>
      <c r="AH69" s="22">
        <f t="shared" ref="AH69:AH100" si="78">X69*(AE69^2+AF69^2+AG69^2)</f>
        <v>2.0075822594264045E-8</v>
      </c>
      <c r="AI69" s="22"/>
      <c r="AM69" s="40">
        <f t="shared" si="72"/>
        <v>0.66492600728135354</v>
      </c>
      <c r="AN69" s="40">
        <f t="shared" si="73"/>
        <v>9.4206886825265155</v>
      </c>
      <c r="AO69" s="40">
        <f t="shared" si="74"/>
        <v>107.31166472486227</v>
      </c>
      <c r="AP69" s="25">
        <f t="shared" si="75"/>
        <v>430.80961657058924</v>
      </c>
      <c r="AQ69" s="22">
        <f>-X69*V69*W69^(-Parameters!B$53)*Parameters!B$47*Parameters!B$46*M69</f>
        <v>-1.1383517218456106E-5</v>
      </c>
      <c r="AR69" s="17">
        <f>1000*EXP(-(Parameters!$B$55)*'6states'!A69)*AP69*Parameters!B$47*Parameters!B$46*M69</f>
        <v>1.031015805052095</v>
      </c>
      <c r="AS69" s="17">
        <f>SUM(AR69:AR$204)*EXP(Parameters!$B$55*A69)</f>
        <v>734.83140137756948</v>
      </c>
      <c r="AT69" s="39">
        <f t="shared" si="49"/>
        <v>0.23340444008388583</v>
      </c>
      <c r="AU69">
        <f>(1/$S69-1/Parameters!$B$13) * LN(Parameters!$B$18) / LN(O69)</f>
        <v>0.2211246335771519</v>
      </c>
      <c r="AV69">
        <f>(Parameters!$B$18*'6states'!S69^+Parameters!$B$19*Parameters!$B$25^'6states'!S69)^((1-'6states'!S69)/'6states'!S69)*Parameters!$B$18*Parameters!$B$26^('6states'!S69-1)</f>
        <v>0.29895769365016861</v>
      </c>
      <c r="AW69">
        <f t="shared" ref="AW69" si="79">(LN(AV69)-LN(AV$4))/ LN(O69)</f>
        <v>0.21195276153925471</v>
      </c>
      <c r="AX69">
        <f t="shared" si="45"/>
        <v>0.14210358593998529</v>
      </c>
      <c r="AY69">
        <f t="shared" si="46"/>
        <v>0.18716056223304312</v>
      </c>
      <c r="AZ69">
        <f>(1/$S69-1/Parameters!$B$13) * LN(Parameters!$B$18) / A69</f>
        <v>1.3401856028076538E-2</v>
      </c>
    </row>
    <row r="70" spans="1:52" s="35" customFormat="1" x14ac:dyDescent="0.25">
      <c r="A70" s="35">
        <f>A69+Parameters!$B$71</f>
        <v>66</v>
      </c>
      <c r="B70" s="41">
        <v>4.9990449651925964E-4</v>
      </c>
      <c r="C70" s="41">
        <v>8.9698363122999586E-2</v>
      </c>
      <c r="D70" s="41">
        <v>0.2222409993646679</v>
      </c>
      <c r="E70" s="7">
        <f>MAX((1-Parameters!$B$4)^Parameters!B$71*E69 + B69*Parameters!B$71 - IF(B69&gt;0,Parameters!$B$5,0)*B69^2/E69*Parameters!B$71, 0.0001)</f>
        <v>2.8073494362244419E-2</v>
      </c>
      <c r="F70" s="36">
        <f>(1-Parameters!$B$4)^Parameters!B$71*F69+C69*Parameters!B$71-Parameters!$B$5*C69^2/F69*Parameters!B$71</f>
        <v>1.2714341620611309</v>
      </c>
      <c r="G70" s="36">
        <f>(1-Parameters!$B$4)^Parameters!B$71*G69+D69*Parameters!B$71-Parameters!$B$5*D69^2/G69*Parameters!B$71</f>
        <v>3.2829118891716722</v>
      </c>
      <c r="H70" s="9">
        <f>MAX(H69 * (1-Parameters!$B$4) ^ Parameters!B$71 + (LN(1+EXP(Parameters!$B$21*(-B69+0.004)))/Parameters!$B$21 -0.004) * Parameters!B$71,0)</f>
        <v>2.3101494705244207E-3</v>
      </c>
      <c r="I70" s="38">
        <f>I69*(1+Parameters!$B$52)^Parameters!B$71</f>
        <v>9.8785641709283549</v>
      </c>
      <c r="J70" s="38">
        <f>J69*(1+Parameters!$B$54)^Parameters!B$71</f>
        <v>33.341689825535013</v>
      </c>
      <c r="K70" s="23">
        <f>I70*J70*EXP(-Parameters!$B$43*'6states'!A70)*(Parameters!$B$38/Parameters!$B$39*('6states'!E70+'6states'!H70)/Parameters!$E$25*(EXP(-Parameters!$B$39*Parameters!$E$25*'6states'!H70/('6states'!E70+'6states'!H70))-EXP(-Parameters!$B$39*Parameters!$E$25))  +  Parameters!$B$40*'6states'!E70)</f>
        <v>3.8248035411929253</v>
      </c>
      <c r="L70" s="34">
        <f>L69+K70*Parameters!B$71</f>
        <v>3242.1781641246898</v>
      </c>
      <c r="M70" s="36">
        <f>L70*Parameters!$B$46</f>
        <v>1.9453068984748136</v>
      </c>
      <c r="N70" s="9">
        <f>EXP(-Parameters!$B$47/2*M70^2)</f>
        <v>0.96268271194936794</v>
      </c>
      <c r="O70" s="8">
        <f>MAX((Parameters!$B$63 + Parameters!$B$31*'6states'!A70 - '6states'!L70 + Parameters!$B$48/Parameters!$B$46)/Parameters!B$63,1)</f>
        <v>52.380436717506207</v>
      </c>
      <c r="P70" s="7">
        <f>Parameters!B$62*EXP(-Parameters!B$61*A70)</f>
        <v>8.415060401280719E-2</v>
      </c>
      <c r="Q70" s="7">
        <f>(1-Parameters!B$62)*O70^-Parameters!B$64</f>
        <v>0.33655271068975745</v>
      </c>
      <c r="R70" s="7">
        <f>Parameters!B$62*EXP(-Parameters!B$61*A70)+(1-Parameters!B$62)*O70^-Parameters!B$64</f>
        <v>0.42070331470256461</v>
      </c>
      <c r="S70" s="36">
        <f>1-R70/Parameters!$B$12</f>
        <v>0.78964834264871775</v>
      </c>
      <c r="T70" s="36">
        <f t="shared" si="76"/>
        <v>4.7539440030654188</v>
      </c>
      <c r="U70" s="7">
        <f>(Parameters!$B$19*(E70+Parameters!$B$20)^S70+Parameters!$B$18*F70^S70)^(1/S70)</f>
        <v>0.33332531371979257</v>
      </c>
      <c r="V70" s="36">
        <f>(Parameters!$B$10*G70^Parameters!$B$9+Parameters!$B$11*U70^Parameters!$B$9)^(Parameters!$B$7/Parameters!$B$9)*N70</f>
        <v>1.337966501329354</v>
      </c>
      <c r="W70" s="7">
        <f>V70 - C70 - D70 - LN(1+EXP(Parameters!$B$21*B70))/Parameters!$B$21 - IF(B70&gt;0, 0,Parameters!$B$6*B70^2/E70)</f>
        <v>1.0234573333418022</v>
      </c>
      <c r="X70" s="36">
        <f>EXP(-Parameters!$B$56*A70)</f>
        <v>0.36913236002650052</v>
      </c>
      <c r="Y70" s="36">
        <f>IF(W70&gt;0,W70^(1-Parameters!$B$53)/(1-Parameters!$B$53)*X70*Parameters!$B$71,-10+W70*1000)</f>
        <v>-1.046139656047008</v>
      </c>
      <c r="AA70" s="22">
        <f t="shared" ref="AA70:AA133" si="80">B70/E70-B69/E69</f>
        <v>-5.1011580993868752E-3</v>
      </c>
      <c r="AB70" s="22">
        <f t="shared" ref="AB70:AB133" si="81">C70/F70-C69/F69</f>
        <v>-1.3143495378370451E-5</v>
      </c>
      <c r="AC70" s="22">
        <f t="shared" ref="AC70:AC133" si="82">D70/G70-D69/G69</f>
        <v>1.2824474050376899E-5</v>
      </c>
      <c r="AD70" s="22">
        <f t="shared" si="77"/>
        <v>9.6056180756573124E-6</v>
      </c>
      <c r="AE70" s="22">
        <f t="shared" ref="AE70:AE101" si="83">B70/E70-2*B69/E69+B68/E68</f>
        <v>-3.1196120104762942E-4</v>
      </c>
      <c r="AF70" s="22">
        <f t="shared" ref="AF70:AF101" si="84">C70/F70-2*C69/F69+C68/F68</f>
        <v>3.801791056551318E-7</v>
      </c>
      <c r="AG70" s="22">
        <f t="shared" ref="AG70:AG101" si="85">D70/G70-2*D69/G69+D68/G68</f>
        <v>-8.0529889785740938E-7</v>
      </c>
      <c r="AH70" s="22">
        <f t="shared" si="78"/>
        <v>3.5924176851648239E-8</v>
      </c>
      <c r="AI70" s="22"/>
      <c r="AM70" s="38">
        <f t="shared" si="72"/>
        <v>0.76088936280623354</v>
      </c>
      <c r="AN70" s="38">
        <f t="shared" si="73"/>
        <v>9.2465113230026112</v>
      </c>
      <c r="AO70" s="38">
        <f t="shared" si="74"/>
        <v>109.78669943199235</v>
      </c>
      <c r="AP70" s="34">
        <f t="shared" si="75"/>
        <v>440.68338072578229</v>
      </c>
      <c r="AQ70" s="22">
        <f>-X70*V70*W70^(-Parameters!B$53)*Parameters!B$47*Parameters!B$46*M70</f>
        <v>-1.1229712616611157E-5</v>
      </c>
      <c r="AR70" s="36">
        <f>1000*EXP(-(Parameters!$B$55)*'6states'!A70)*AP70*Parameters!B$47*Parameters!B$46*M70</f>
        <v>1.0194724885322106</v>
      </c>
      <c r="AS70" s="36">
        <f>SUM(AR70:AR$204)*EXP(Parameters!$B$55*A70)</f>
        <v>750.62631505276738</v>
      </c>
      <c r="AT70" s="39">
        <f t="shared" ref="AT70:AT133" si="86">(B70+C70+D70)/V70</f>
        <v>0.2335180041307153</v>
      </c>
      <c r="AU70">
        <f>(1/$S70-1/Parameters!$B$13) * LN(Parameters!$B$18) / LN(O70)</f>
        <v>0.2207732684139331</v>
      </c>
      <c r="AV70">
        <f>(Parameters!$B$18*'6states'!S70^+Parameters!$B$19*Parameters!$B$25^'6states'!S70)^((1-'6states'!S70)/'6states'!S70)*Parameters!$B$18*Parameters!$B$26^('6states'!S70-1)</f>
        <v>0.29929678281065403</v>
      </c>
      <c r="AW70">
        <f t="shared" ref="AW70:AW133" si="87">(LN(AV70)-LN(AV$4))/ LN(O70)</f>
        <v>0.2112200665491113</v>
      </c>
      <c r="AX70">
        <f t="shared" ref="AX70:AX133" si="88">1-2^-AU70</f>
        <v>0.14189462173418455</v>
      </c>
      <c r="AY70">
        <f t="shared" ref="AY70:AY133" si="89">1-2^-AV70</f>
        <v>0.18735158850402434</v>
      </c>
      <c r="AZ70">
        <f>(1/$S70-1/Parameters!$B$13) * LN(Parameters!$B$18) / A70</f>
        <v>1.3241489507691689E-2</v>
      </c>
    </row>
    <row r="71" spans="1:52" x14ac:dyDescent="0.25">
      <c r="A71">
        <f>A70+Parameters!$B$71</f>
        <v>67</v>
      </c>
      <c r="B71" s="9">
        <f>B70+(B$75-B$70)/5</f>
        <v>4.6672158945997369E-4</v>
      </c>
      <c r="C71" s="9">
        <f t="shared" ref="C71:D71" si="90">C70+(C$75-C$70)/5</f>
        <v>9.0014361262959725E-2</v>
      </c>
      <c r="D71" s="9">
        <f t="shared" si="90"/>
        <v>0.22213359331317092</v>
      </c>
      <c r="E71" s="7">
        <f>MAX((1-Parameters!$B$4)^Parameters!B$71*E70 + B70*Parameters!B$71 - IF(B70&gt;0,Parameters!$B$5,0)*B70^2/E70*Parameters!B$71, 0.0001)</f>
        <v>2.6798674267883599E-2</v>
      </c>
      <c r="F71" s="7">
        <f>(1-Parameters!$B$4)^Parameters!B$71*F70+C70*Parameters!B$71-Parameters!$B$5*C70^2/F70*Parameters!B$71</f>
        <v>1.2748311897858782</v>
      </c>
      <c r="G71" s="7">
        <f>(1-Parameters!$B$4)^Parameters!B$71*G70+D70*Parameters!B$71-Parameters!$B$5*D70^2/G70*Parameters!B$71</f>
        <v>3.2836128365811281</v>
      </c>
      <c r="H71" s="9">
        <f>MAX(H70 * (1-Parameters!$B$4) ^ Parameters!B$71 + (LN(1+EXP(Parameters!$B$21*(-B70+0.004)))/Parameters!$B$21 -0.004) * Parameters!B$71,0)</f>
        <v>2.6651067477312818E-3</v>
      </c>
      <c r="I71" s="23">
        <f>I70*(1+Parameters!$B$52)^Parameters!B$71</f>
        <v>9.9072120070240466</v>
      </c>
      <c r="J71" s="23">
        <f>J70*(1+Parameters!$B$54)^Parameters!B$71</f>
        <v>34.008523622045715</v>
      </c>
      <c r="K71" s="23">
        <f>I71*J71*EXP(-Parameters!$B$43*'6states'!A71)*(Parameters!$B$38/Parameters!$B$39*('6states'!E71+'6states'!H71)/Parameters!$E$25*(EXP(-Parameters!$B$39*Parameters!$E$25*'6states'!H71/('6states'!E71+'6states'!H71))-EXP(-Parameters!$B$39*Parameters!$E$25))  +  Parameters!$B$40*'6states'!E71)</f>
        <v>3.6858736712107429</v>
      </c>
      <c r="L71" s="8">
        <f>L70+K71*Parameters!B$71</f>
        <v>3245.8640377959005</v>
      </c>
      <c r="M71" s="7">
        <f>L71*Parameters!$B$46</f>
        <v>1.9475184226775402</v>
      </c>
      <c r="N71" s="9">
        <f>EXP(-Parameters!$B$47/2*M71^2)</f>
        <v>0.96259942306211888</v>
      </c>
      <c r="O71" s="8">
        <f>MAX((Parameters!$B$63 + Parameters!$B$31*'6states'!A71 - '6states'!L71 + Parameters!$B$48/Parameters!$B$46)/Parameters!B$63,1)</f>
        <v>53.37071924408199</v>
      </c>
      <c r="P71" s="7">
        <f>Parameters!B$62*EXP(-Parameters!B$61*A71)</f>
        <v>8.1908936396928839E-2</v>
      </c>
      <c r="Q71" s="7">
        <f>(1-Parameters!B$62)*O71^-Parameters!B$64</f>
        <v>0.33592296798879112</v>
      </c>
      <c r="R71" s="7">
        <f>Parameters!B$62*EXP(-Parameters!B$61*A71)+(1-Parameters!B$62)*O71^-Parameters!B$64</f>
        <v>0.41783190438571993</v>
      </c>
      <c r="S71" s="7">
        <f>1-R71/Parameters!$B$12</f>
        <v>0.79108404780714003</v>
      </c>
      <c r="T71" s="7">
        <f t="shared" si="76"/>
        <v>4.7866138966585652</v>
      </c>
      <c r="U71" s="7">
        <f>(Parameters!$B$19*(E71+Parameters!$B$20)^S71+Parameters!$B$18*F71^S71)^(1/S71)</f>
        <v>0.3332484870818867</v>
      </c>
      <c r="V71" s="7">
        <f>(Parameters!$B$10*G71^Parameters!$B$9+Parameters!$B$11*U71^Parameters!$B$9)^(Parameters!$B$7/Parameters!$B$9)*N71</f>
        <v>1.3378817933811735</v>
      </c>
      <c r="W71" s="7">
        <f>V71 - C71 - D71 - LN(1+EXP(Parameters!$B$21*B71))/Parameters!$B$21 - IF(B71&gt;0, 0,Parameters!$B$6*B71^2/E71)</f>
        <v>1.0231818254832457</v>
      </c>
      <c r="X71" s="7">
        <f>EXP(-Parameters!$B$56*A71)</f>
        <v>0.3636003333045692</v>
      </c>
      <c r="Y71" s="7">
        <f>IF(W71&gt;0,W71^(1-Parameters!$B$53)/(1-Parameters!$B$53)*X71*Parameters!$B$71,-10+W71*1000)</f>
        <v>-1.0305587196727477</v>
      </c>
      <c r="AA71" s="22">
        <f t="shared" si="80"/>
        <v>-3.9114604756074894E-4</v>
      </c>
      <c r="AB71" s="22">
        <f t="shared" si="81"/>
        <v>5.9883499391594208E-5</v>
      </c>
      <c r="AC71" s="22">
        <f t="shared" si="82"/>
        <v>-4.7160736578566453E-5</v>
      </c>
      <c r="AD71" s="22">
        <f t="shared" si="77"/>
        <v>5.7741696042020422E-8</v>
      </c>
      <c r="AE71" s="22">
        <f t="shared" si="83"/>
        <v>4.7100120518261263E-3</v>
      </c>
      <c r="AF71" s="22">
        <f t="shared" si="84"/>
        <v>7.3026994769964659E-5</v>
      </c>
      <c r="AG71" s="22">
        <f t="shared" si="85"/>
        <v>-5.9985210628943353E-5</v>
      </c>
      <c r="AH71" s="22">
        <f t="shared" si="78"/>
        <v>8.0694348084718442E-6</v>
      </c>
      <c r="AI71" s="22"/>
      <c r="AM71" s="23">
        <f t="shared" si="72"/>
        <v>0.8979534932388169</v>
      </c>
      <c r="AN71" s="23">
        <f t="shared" si="73"/>
        <v>9.0292680371996852</v>
      </c>
      <c r="AO71" s="23">
        <f t="shared" si="74"/>
        <v>112.28129730505749</v>
      </c>
      <c r="AP71" s="25">
        <f t="shared" si="75"/>
        <v>450.7720491608498</v>
      </c>
      <c r="AQ71" s="22">
        <f>-X71*V71*W71^(-Parameters!B$53)*Parameters!B$47*Parameters!B$46*M71</f>
        <v>-1.1077317287998444E-5</v>
      </c>
      <c r="AR71" s="7">
        <f>1000*EXP(-(Parameters!$B$55)*'6states'!A71)*AP71*Parameters!B$47*Parameters!B$46*M71</f>
        <v>1.0079883864302293</v>
      </c>
      <c r="AS71" s="7">
        <f>SUM(AR71:AR$204)*EXP(Parameters!$B$55*A71)</f>
        <v>766.73320814865463</v>
      </c>
      <c r="AT71" s="39">
        <f t="shared" si="86"/>
        <v>0.23366389894247117</v>
      </c>
      <c r="AU71">
        <f>(1/$S71-1/Parameters!$B$13) * LN(Parameters!$B$18) / LN(O71)</f>
        <v>0.22042203376588271</v>
      </c>
      <c r="AV71">
        <f>(Parameters!$B$18*'6states'!S71^+Parameters!$B$19*Parameters!$B$25^'6states'!S71)^((1-'6states'!S71)/'6states'!S71)*Parameters!$B$18*Parameters!$B$26^('6states'!S71-1)</f>
        <v>0.29962246343075816</v>
      </c>
      <c r="AW71">
        <f t="shared" si="87"/>
        <v>0.21049886730355008</v>
      </c>
      <c r="AX71">
        <f t="shared" si="88"/>
        <v>0.1416856842778752</v>
      </c>
      <c r="AY71">
        <f t="shared" si="89"/>
        <v>0.18753501879255619</v>
      </c>
      <c r="AZ71">
        <f>(1/$S71-1/Parameters!$B$13) * LN(Parameters!$B$18) / A71</f>
        <v>1.3084719965253523E-2</v>
      </c>
    </row>
    <row r="72" spans="1:52" x14ac:dyDescent="0.25">
      <c r="A72">
        <f>A71+Parameters!$B$71</f>
        <v>68</v>
      </c>
      <c r="B72" s="9">
        <f t="shared" ref="B72:B74" si="91">B71+(B$75-B$70)/5</f>
        <v>4.3353868240068774E-4</v>
      </c>
      <c r="C72" s="9">
        <f t="shared" ref="C72:C74" si="92">C71+(C$75-C$70)/5</f>
        <v>9.0330359402919863E-2</v>
      </c>
      <c r="D72" s="9">
        <f t="shared" ref="D72:D74" si="93">D71+(D$75-D$70)/5</f>
        <v>0.22202618726167395</v>
      </c>
      <c r="E72" s="7">
        <f>MAX((1-Parameters!$B$4)^Parameters!B$71*E71 + B71*Parameters!B$71 - IF(B71&gt;0,Parameters!$B$5,0)*B71^2/E71*Parameters!B$71, 0.0001)</f>
        <v>2.5571630894472629E-2</v>
      </c>
      <c r="F72" s="7">
        <f>(1-Parameters!$B$4)^Parameters!B$71*F71+C71*Parameters!B$71-Parameters!$B$5*C71^2/F71*Parameters!B$71</f>
        <v>1.2783028588903025</v>
      </c>
      <c r="G72" s="7">
        <f>(1-Parameters!$B$4)^Parameters!B$71*G71+D71*Parameters!B$71-Parameters!$B$5*D71^2/G71*Parameters!B$71</f>
        <v>3.2841800353235633</v>
      </c>
      <c r="H72" s="9">
        <f>MAX(H71 * (1-Parameters!$B$4) ^ Parameters!B$71 + (LN(1+EXP(Parameters!$B$21*(-B71+0.004)))/Parameters!$B$21 -0.004) * Parameters!B$71,0)</f>
        <v>3.0223501246061093E-3</v>
      </c>
      <c r="I72" s="23">
        <f>I71*(1+Parameters!$B$52)^Parameters!B$71</f>
        <v>9.9359429218444149</v>
      </c>
      <c r="J72" s="23">
        <f>J71*(1+Parameters!$B$54)^Parameters!B$71</f>
        <v>34.688694094486628</v>
      </c>
      <c r="K72" s="23">
        <f>I72*J72*EXP(-Parameters!$B$43*'6states'!A72)*(Parameters!$B$38/Parameters!$B$39*('6states'!E72+'6states'!H72)/Parameters!$E$25*(EXP(-Parameters!$B$39*Parameters!$E$25*'6states'!H72/('6states'!E72+'6states'!H72))-EXP(-Parameters!$B$39*Parameters!$E$25))  +  Parameters!$B$40*'6states'!E72)</f>
        <v>3.5555756098822782</v>
      </c>
      <c r="L72" s="8">
        <f>L71+K72*Parameters!B$71</f>
        <v>3249.4196134057829</v>
      </c>
      <c r="M72" s="7">
        <f>L72*Parameters!$B$46</f>
        <v>1.9496517680434695</v>
      </c>
      <c r="N72" s="9">
        <f>EXP(-Parameters!$B$47/2*M72^2)</f>
        <v>0.96251899565722199</v>
      </c>
      <c r="O72" s="8">
        <f>MAX((Parameters!$B$63 + Parameters!$B$31*'6states'!A72 - '6states'!L72 + Parameters!$B$48/Parameters!$B$46)/Parameters!B$63,1)</f>
        <v>54.36360773188435</v>
      </c>
      <c r="P72" s="7">
        <f>Parameters!B$62*EXP(-Parameters!B$61*A72)</f>
        <v>7.9726984023252581E-2</v>
      </c>
      <c r="Q72" s="7">
        <f>(1-Parameters!B$62)*O72^-Parameters!B$64</f>
        <v>0.33530434199609999</v>
      </c>
      <c r="R72" s="7">
        <f>Parameters!B$62*EXP(-Parameters!B$61*A72)+(1-Parameters!B$62)*O72^-Parameters!B$64</f>
        <v>0.41503132601935255</v>
      </c>
      <c r="S72" s="7">
        <f>1-R72/Parameters!$B$12</f>
        <v>0.79248433699032372</v>
      </c>
      <c r="T72" s="7">
        <f t="shared" si="76"/>
        <v>4.8189133557276147</v>
      </c>
      <c r="U72" s="7">
        <f>(Parameters!$B$19*(E72+Parameters!$B$20)^S72+Parameters!$B$18*F72^S72)^(1/S72)</f>
        <v>0.33322919874882112</v>
      </c>
      <c r="V72" s="7">
        <f>(Parameters!$B$10*G72^Parameters!$B$9+Parameters!$B$11*U72^Parameters!$B$9)^(Parameters!$B$7/Parameters!$B$9)*N72</f>
        <v>1.337810927751456</v>
      </c>
      <c r="W72" s="7">
        <f>V72 - C72 - D72 - LN(1+EXP(Parameters!$B$21*B72))/Parameters!$B$21 - IF(B72&gt;0, 0,Parameters!$B$6*B72^2/E72)</f>
        <v>1.0229200777640199</v>
      </c>
      <c r="X72" s="7">
        <f>EXP(-Parameters!$B$56*A72)</f>
        <v>0.35815121266990152</v>
      </c>
      <c r="Y72" s="7">
        <f>IF(W72&gt;0,W72^(1-Parameters!$B$53)/(1-Parameters!$B$53)*X72*Parameters!$B$71,-10+W72*1000)</f>
        <v>-1.0152050877718086</v>
      </c>
      <c r="AA72" s="22">
        <f t="shared" si="80"/>
        <v>-4.6195365613736772E-4</v>
      </c>
      <c r="AB72" s="22">
        <f t="shared" si="81"/>
        <v>5.543880667334411E-5</v>
      </c>
      <c r="AC72" s="22">
        <f t="shared" si="82"/>
        <v>-4.4387505736084854E-5</v>
      </c>
      <c r="AD72" s="22">
        <f t="shared" si="77"/>
        <v>7.8236303103688546E-8</v>
      </c>
      <c r="AE72" s="22">
        <f t="shared" si="83"/>
        <v>-7.0807608576618775E-5</v>
      </c>
      <c r="AF72" s="22">
        <f t="shared" si="84"/>
        <v>-4.4446927182500984E-6</v>
      </c>
      <c r="AG72" s="22">
        <f t="shared" si="85"/>
        <v>2.7732308424815999E-6</v>
      </c>
      <c r="AH72" s="22">
        <f t="shared" si="78"/>
        <v>1.8054988333293333E-9</v>
      </c>
      <c r="AI72" s="22"/>
      <c r="AM72" s="23">
        <f t="shared" si="72"/>
        <v>1.0416979567856017</v>
      </c>
      <c r="AN72" s="23">
        <f t="shared" si="73"/>
        <v>8.8136432101556448</v>
      </c>
      <c r="AO72" s="23">
        <f t="shared" si="74"/>
        <v>114.85240331749766</v>
      </c>
      <c r="AP72" s="25">
        <f t="shared" si="75"/>
        <v>461.0964489713989</v>
      </c>
      <c r="AQ72" s="22">
        <f>-X72*V72*W72^(-Parameters!B$53)*Parameters!B$47*Parameters!B$46*M72</f>
        <v>-1.0926453498712126E-5</v>
      </c>
      <c r="AR72" s="7">
        <f>1000*EXP(-(Parameters!$B$55)*'6states'!A72)*AP72*Parameters!B$47*Parameters!B$46*M72</f>
        <v>0.99660271031819714</v>
      </c>
      <c r="AS72" s="7">
        <f>SUM(AR72:AR$204)*EXP(Parameters!$B$55*A72)</f>
        <v>783.15790086952859</v>
      </c>
      <c r="AT72" s="39">
        <f t="shared" si="86"/>
        <v>0.23380739300188008</v>
      </c>
      <c r="AU72">
        <f>(1/$S72-1/Parameters!$B$13) * LN(Parameters!$B$18) / LN(O72)</f>
        <v>0.22007112211954563</v>
      </c>
      <c r="AV72">
        <f>(Parameters!$B$18*'6states'!S72^+Parameters!$B$19*Parameters!$B$25^'6states'!S72)^((1-'6states'!S72)/'6states'!S72)*Parameters!$B$18*Parameters!$B$26^('6states'!S72-1)</f>
        <v>0.29993534267122601</v>
      </c>
      <c r="AW72">
        <f t="shared" si="87"/>
        <v>0.20978901336962999</v>
      </c>
      <c r="AX72">
        <f t="shared" si="88"/>
        <v>0.14147688816083259</v>
      </c>
      <c r="AY72">
        <f t="shared" si="89"/>
        <v>0.18771120007570596</v>
      </c>
      <c r="AZ72">
        <f>(1/$S72-1/Parameters!$B$13) * LN(Parameters!$B$18) / A72</f>
        <v>1.2931427533530326E-2</v>
      </c>
    </row>
    <row r="73" spans="1:52" x14ac:dyDescent="0.25">
      <c r="A73">
        <f>A72+Parameters!$B$71</f>
        <v>69</v>
      </c>
      <c r="B73" s="9">
        <f t="shared" si="91"/>
        <v>4.0035577534140178E-4</v>
      </c>
      <c r="C73" s="9">
        <f t="shared" si="92"/>
        <v>9.0646357542880002E-2</v>
      </c>
      <c r="D73" s="9">
        <f t="shared" si="93"/>
        <v>0.22191878121017697</v>
      </c>
      <c r="E73" s="7">
        <f>MAX((1-Parameters!$B$4)^Parameters!B$71*E72 + B72*Parameters!B$71 - IF(B72&gt;0,Parameters!$B$5,0)*B72^2/E72*Parameters!B$71, 0.0001)</f>
        <v>2.438936382537521E-2</v>
      </c>
      <c r="F73" s="7">
        <f>(1-Parameters!$B$4)^Parameters!B$71*F72+C72*Parameters!B$71-Parameters!$B$5*C72^2/F72*Parameters!B$71</f>
        <v>1.2818448380761638</v>
      </c>
      <c r="G73" s="7">
        <f>(1-Parameters!$B$4)^Parameters!B$71*G72+D72*Parameters!B$71-Parameters!$B$5*D72^2/G72*Parameters!B$71</f>
        <v>3.2846212723295656</v>
      </c>
      <c r="H73" s="9">
        <f>MAX(H72 * (1-Parameters!$B$4) ^ Parameters!B$71 + (LN(1+EXP(Parameters!$B$21*(-B72+0.004)))/Parameters!$B$21 -0.004) * Parameters!B$71,0)</f>
        <v>3.3817989327054325E-3</v>
      </c>
      <c r="I73" s="23">
        <f>I72*(1+Parameters!$B$52)^Parameters!B$71</f>
        <v>9.9647571563177628</v>
      </c>
      <c r="J73" s="23">
        <f>J72*(1+Parameters!$B$54)^Parameters!B$71</f>
        <v>35.382467976376361</v>
      </c>
      <c r="K73" s="23">
        <f>I73*J73*EXP(-Parameters!$B$43*'6states'!A73)*(Parameters!$B$38/Parameters!$B$39*('6states'!E73+'6states'!H73)/Parameters!$E$25*(EXP(-Parameters!$B$39*Parameters!$E$25*'6states'!H73/('6states'!E73+'6states'!H73))-EXP(-Parameters!$B$39*Parameters!$E$25))  +  Parameters!$B$40*'6states'!E73)</f>
        <v>3.4311322352279667</v>
      </c>
      <c r="L73" s="8">
        <f>L72+K73*Parameters!B$71</f>
        <v>3252.8507456410107</v>
      </c>
      <c r="M73" s="7">
        <f>L73*Parameters!$B$46</f>
        <v>1.9517104473846063</v>
      </c>
      <c r="N73" s="9">
        <f>EXP(-Parameters!$B$47/2*M73^2)</f>
        <v>0.96244130606833156</v>
      </c>
      <c r="O73" s="8">
        <f>MAX((Parameters!$B$63 + Parameters!$B$31*'6states'!A73 - '6states'!L73 + Parameters!$B$48/Parameters!$B$46)/Parameters!B$63,1)</f>
        <v>55.358985087179789</v>
      </c>
      <c r="P73" s="7">
        <f>Parameters!B$62*EXP(-Parameters!B$61*A73)</f>
        <v>7.7603156151864111E-2</v>
      </c>
      <c r="Q73" s="7">
        <f>(1-Parameters!B$62)*O73^-Parameters!B$64</f>
        <v>0.33469651659007388</v>
      </c>
      <c r="R73" s="7">
        <f>Parameters!B$62*EXP(-Parameters!B$61*A73)+(1-Parameters!B$62)*O73^-Parameters!B$64</f>
        <v>0.41229967274193802</v>
      </c>
      <c r="S73" s="7">
        <f>1-R73/Parameters!$B$12</f>
        <v>0.79385016362903094</v>
      </c>
      <c r="T73" s="7">
        <f t="shared" si="76"/>
        <v>4.8508406196378839</v>
      </c>
      <c r="U73" s="7">
        <f>(Parameters!$B$19*(E73+Parameters!$B$20)^S73+Parameters!$B$18*F73^S73)^(1/S73)</f>
        <v>0.33326362390525566</v>
      </c>
      <c r="V73" s="7">
        <f>(Parameters!$B$10*G73^Parameters!$B$9+Parameters!$B$11*U73^Parameters!$B$9)^(Parameters!$B$7/Parameters!$B$9)*N73</f>
        <v>1.3377530366129773</v>
      </c>
      <c r="W73" s="7">
        <f>V73 - C73 - D73 - LN(1+EXP(Parameters!$B$21*B73))/Parameters!$B$21 - IF(B73&gt;0, 0,Parameters!$B$6*B73^2/E73)</f>
        <v>1.0226712223017305</v>
      </c>
      <c r="X73" s="7">
        <f>EXP(-Parameters!$B$56*A73)</f>
        <v>0.35278375564489362</v>
      </c>
      <c r="Y73" s="7">
        <f>IF(W73&gt;0,W73^(1-Parameters!$B$53)/(1-Parameters!$B$53)*X73*Parameters!$B$71,-10+W73*1000)</f>
        <v>-1.0000758100507237</v>
      </c>
      <c r="AA73" s="22">
        <f t="shared" si="80"/>
        <v>-5.3871344507700619E-4</v>
      </c>
      <c r="AB73" s="22">
        <f t="shared" si="81"/>
        <v>5.1259486471583182E-5</v>
      </c>
      <c r="AC73" s="22">
        <f t="shared" si="82"/>
        <v>-4.1781307458826911E-5</v>
      </c>
      <c r="AD73" s="22">
        <f t="shared" si="77"/>
        <v>1.0392493971773894E-7</v>
      </c>
      <c r="AE73" s="22">
        <f t="shared" si="83"/>
        <v>-7.6759788939638474E-5</v>
      </c>
      <c r="AF73" s="22">
        <f t="shared" si="84"/>
        <v>-4.1793202017609277E-6</v>
      </c>
      <c r="AG73" s="22">
        <f t="shared" si="85"/>
        <v>2.6061982772579428E-6</v>
      </c>
      <c r="AH73" s="22">
        <f t="shared" si="78"/>
        <v>2.0871830655501203E-9</v>
      </c>
      <c r="AI73" s="22"/>
      <c r="AM73" s="23">
        <f t="shared" si="72"/>
        <v>1.1923468928556293</v>
      </c>
      <c r="AN73" s="23">
        <f t="shared" si="73"/>
        <v>8.5991458258126556</v>
      </c>
      <c r="AO73" s="23">
        <f t="shared" si="74"/>
        <v>117.50132233537218</v>
      </c>
      <c r="AP73" s="25">
        <f t="shared" si="75"/>
        <v>471.66189012237254</v>
      </c>
      <c r="AQ73" s="22">
        <f>-X73*V73*W73^(-Parameters!B$53)*Parameters!B$47*Parameters!B$46*M73</f>
        <v>-1.0777141175611932E-5</v>
      </c>
      <c r="AR73" s="7">
        <f>1000*EXP(-(Parameters!$B$55)*'6states'!A73)*AP73*Parameters!B$47*Parameters!B$46*M73</f>
        <v>0.98531631964590849</v>
      </c>
      <c r="AS73" s="7">
        <f>SUM(AR73:AR$204)*EXP(Parameters!$B$55*A73)</f>
        <v>799.90589801569274</v>
      </c>
      <c r="AT73" s="39">
        <f t="shared" si="86"/>
        <v>0.23394863324009918</v>
      </c>
      <c r="AU73">
        <f>(1/$S73-1/Parameters!$B$13) * LN(Parameters!$B$18) / LN(O73)</f>
        <v>0.21972066705154009</v>
      </c>
      <c r="AV73">
        <f>(Parameters!$B$18*'6states'!S73^+Parameters!$B$19*Parameters!$B$25^'6states'!S73)^((1-'6states'!S73)/'6states'!S73)*Parameters!$B$18*Parameters!$B$26^('6states'!S73-1)</f>
        <v>0.30023600083823321</v>
      </c>
      <c r="AW73">
        <f t="shared" si="87"/>
        <v>0.20909030348396127</v>
      </c>
      <c r="AX73">
        <f t="shared" si="88"/>
        <v>0.14126831301941767</v>
      </c>
      <c r="AY73">
        <f t="shared" si="89"/>
        <v>0.18788046371674794</v>
      </c>
      <c r="AZ73">
        <f>(1/$S73-1/Parameters!$B$13) * LN(Parameters!$B$18) / A73</f>
        <v>1.2781498227867647E-2</v>
      </c>
    </row>
    <row r="74" spans="1:52" s="4" customFormat="1" x14ac:dyDescent="0.25">
      <c r="A74" s="4">
        <f>A73+Parameters!$B$71</f>
        <v>70</v>
      </c>
      <c r="B74" s="9">
        <f t="shared" si="91"/>
        <v>3.6717286828211583E-4</v>
      </c>
      <c r="C74" s="9">
        <f t="shared" si="92"/>
        <v>9.096235568284014E-2</v>
      </c>
      <c r="D74" s="9">
        <f t="shared" si="93"/>
        <v>0.22181137515867999</v>
      </c>
      <c r="E74" s="7">
        <f>MAX((1-Parameters!$B$4)^Parameters!B$71*E73 + B73*Parameters!B$71 - IF(B73&gt;0,Parameters!$B$5,0)*B73^2/E73*Parameters!B$71, 0.0001)</f>
        <v>2.3249056704344354E-2</v>
      </c>
      <c r="F74" s="17">
        <f>(1-Parameters!$B$4)^Parameters!B$71*F73+C73*Parameters!B$71-Parameters!$B$5*C73^2/F73*Parameters!B$71</f>
        <v>1.2854530486423736</v>
      </c>
      <c r="G74" s="17">
        <f>(1-Parameters!$B$4)^Parameters!B$71*G73+D73*Parameters!B$71-Parameters!$B$5*D73^2/G73*Parameters!B$71</f>
        <v>3.2849438826930388</v>
      </c>
      <c r="H74" s="9">
        <f>MAX(H73 * (1-Parameters!$B$4) ^ Parameters!B$71 + (LN(1+EXP(Parameters!$B$21*(-B73+0.004)))/Parameters!$B$21 -0.004) * Parameters!B$71,0)</f>
        <v>3.743377272160744E-3</v>
      </c>
      <c r="I74" s="40">
        <f>I73*(1+Parameters!$B$52)^Parameters!B$71</f>
        <v>9.9936549520710827</v>
      </c>
      <c r="J74" s="40">
        <f>J73*(1+Parameters!$B$54)^Parameters!B$71</f>
        <v>36.090117335903891</v>
      </c>
      <c r="K74" s="23">
        <f>I74*J74*EXP(-Parameters!$B$43*'6states'!A74)*(Parameters!$B$38/Parameters!$B$39*('6states'!E74+'6states'!H74)/Parameters!$E$25*(EXP(-Parameters!$B$39*Parameters!$E$25*'6states'!H74/('6states'!E74+'6states'!H74))-EXP(-Parameters!$B$39*Parameters!$E$25))  +  Parameters!$B$40*'6states'!E74)</f>
        <v>3.3107979501552842</v>
      </c>
      <c r="L74" s="25">
        <f>L73+K74*Parameters!B$71</f>
        <v>3256.1615435911658</v>
      </c>
      <c r="M74" s="17">
        <f>L74*Parameters!$B$46</f>
        <v>1.9536969261546993</v>
      </c>
      <c r="N74" s="9">
        <f>EXP(-Parameters!$B$47/2*M74^2)</f>
        <v>0.96236626938062453</v>
      </c>
      <c r="O74" s="8">
        <f>MAX((Parameters!$B$63 + Parameters!$B$31*'6states'!A74 - '6states'!L74 + Parameters!$B$48/Parameters!$B$46)/Parameters!B$63,1)</f>
        <v>56.356769128176687</v>
      </c>
      <c r="P74" s="7">
        <f>Parameters!B$62*EXP(-Parameters!B$61*A74)</f>
        <v>7.5535904418185432E-2</v>
      </c>
      <c r="Q74" s="7">
        <f>(1-Parameters!B$62)*O74^-Parameters!B$64</f>
        <v>0.33409916912190907</v>
      </c>
      <c r="R74" s="7">
        <f>Parameters!B$62*EXP(-Parameters!B$61*A74)+(1-Parameters!B$62)*O74^-Parameters!B$64</f>
        <v>0.40963507354009449</v>
      </c>
      <c r="S74" s="17">
        <f>1-R74/Parameters!$B$12</f>
        <v>0.79518246322995279</v>
      </c>
      <c r="T74" s="17">
        <f t="shared" si="76"/>
        <v>4.8823944266194363</v>
      </c>
      <c r="U74" s="7">
        <f>(Parameters!$B$19*(E74+Parameters!$B$20)^S74+Parameters!$B$18*F74^S74)^(1/S74)</f>
        <v>0.33334815897133369</v>
      </c>
      <c r="V74" s="17">
        <f>(Parameters!$B$10*G74^Parameters!$B$9+Parameters!$B$11*U74^Parameters!$B$9)^(Parameters!$B$7/Parameters!$B$9)*N74</f>
        <v>1.337707295494851</v>
      </c>
      <c r="W74" s="7">
        <f>V74 - C74 - D74 - LN(1+EXP(Parameters!$B$21*B74))/Parameters!$B$21 - IF(B74&gt;0, 0,Parameters!$B$6*B74^2/E74)</f>
        <v>1.0224344345743439</v>
      </c>
      <c r="X74" s="17">
        <f>EXP(-Parameters!$B$56*A74)</f>
        <v>0.34749673837241518</v>
      </c>
      <c r="Y74" s="17">
        <f>IF(W74&gt;0,W74^(1-Parameters!$B$53)/(1-Parameters!$B$53)*X74*Parameters!$B$71,-10+W74*1000)</f>
        <v>-0.98516794975830368</v>
      </c>
      <c r="AA74" s="22">
        <f t="shared" si="80"/>
        <v>-6.2215691681191676E-4</v>
      </c>
      <c r="AB74" s="22">
        <f t="shared" si="81"/>
        <v>4.733083012717354E-5</v>
      </c>
      <c r="AC74" s="22">
        <f t="shared" si="82"/>
        <v>-3.9331742541087733E-5</v>
      </c>
      <c r="AD74" s="22">
        <f t="shared" si="77"/>
        <v>1.3582480698888685E-7</v>
      </c>
      <c r="AE74" s="22">
        <f t="shared" si="83"/>
        <v>-8.3443471734910568E-5</v>
      </c>
      <c r="AF74" s="22">
        <f t="shared" si="84"/>
        <v>-3.9286563444096423E-6</v>
      </c>
      <c r="AG74" s="22">
        <f t="shared" si="85"/>
        <v>2.4495649177391776E-6</v>
      </c>
      <c r="AH74" s="22">
        <f t="shared" si="78"/>
        <v>2.4270032902214879E-9</v>
      </c>
      <c r="AI74" s="22"/>
      <c r="AM74" s="40">
        <f t="shared" si="72"/>
        <v>1.3501320406941968</v>
      </c>
      <c r="AN74" s="40">
        <f t="shared" si="73"/>
        <v>8.3852879606583404</v>
      </c>
      <c r="AO74" s="40">
        <f t="shared" si="74"/>
        <v>120.22940714010248</v>
      </c>
      <c r="AP74" s="25">
        <f t="shared" si="75"/>
        <v>482.47380624701924</v>
      </c>
      <c r="AQ74" s="22">
        <f>-X74*V74*W74^(-Parameters!B$53)*Parameters!B$47*Parameters!B$46*M74</f>
        <v>-1.0629392593542458E-5</v>
      </c>
      <c r="AR74" s="17">
        <f>1000*EXP(-(Parameters!$B$55)*'6states'!A74)*AP74*Parameters!B$47*Parameters!B$46*M74</f>
        <v>0.97412950839575219</v>
      </c>
      <c r="AS74" s="17">
        <f>SUM(AR74:AR$204)*EXP(Parameters!$B$55*A74)</f>
        <v>816.98276229394378</v>
      </c>
      <c r="AT74" s="39">
        <f t="shared" si="86"/>
        <v>0.23408775953035652</v>
      </c>
      <c r="AU74">
        <f>(1/$S74-1/Parameters!$B$13) * LN(Parameters!$B$18) / LN(O74)</f>
        <v>0.21937076645934872</v>
      </c>
      <c r="AV74">
        <f>(Parameters!$B$18*'6states'!S74^+Parameters!$B$19*Parameters!$B$25^'6states'!S74)^((1-'6states'!S74)/'6states'!S74)*Parameters!$B$18*Parameters!$B$26^('6states'!S74-1)</f>
        <v>0.30052499111193265</v>
      </c>
      <c r="AW74">
        <f t="shared" si="87"/>
        <v>0.2084025098746638</v>
      </c>
      <c r="AX74">
        <f t="shared" si="88"/>
        <v>0.14106001732475493</v>
      </c>
      <c r="AY74">
        <f t="shared" si="89"/>
        <v>0.18804312535750722</v>
      </c>
      <c r="AZ74">
        <f>(1/$S74-1/Parameters!$B$13) * LN(Parameters!$B$18) / A74</f>
        <v>1.2634823382836927E-2</v>
      </c>
    </row>
    <row r="75" spans="1:52" s="35" customFormat="1" x14ac:dyDescent="0.25">
      <c r="A75" s="35">
        <f>A74+Parameters!$B$71</f>
        <v>71</v>
      </c>
      <c r="B75" s="41">
        <v>3.3398996122282988E-4</v>
      </c>
      <c r="C75" s="41">
        <v>9.1278353822800307E-2</v>
      </c>
      <c r="D75" s="41">
        <v>0.22170396910718301</v>
      </c>
      <c r="E75" s="7">
        <f>MAX((1-Parameters!$B$4)^Parameters!B$71*E74 + B74*Parameters!B$71 - IF(B74&gt;0,Parameters!$B$5,0)*B74^2/E74*Parameters!B$71, 0.0001)</f>
        <v>2.2148065136669174E-2</v>
      </c>
      <c r="F75" s="36">
        <f>(1-Parameters!$B$4)^Parameters!B$71*F74+C74*Parameters!B$71-Parameters!$B$5*C74^2/F74*Parameters!B$71</f>
        <v>1.2891236495991387</v>
      </c>
      <c r="G75" s="36">
        <f>(1-Parameters!$B$4)^Parameters!B$71*G74+D74*Parameters!B$71-Parameters!$B$5*D74^2/G74*Parameters!B$71</f>
        <v>3.2851547757133042</v>
      </c>
      <c r="H75" s="9">
        <f>MAX(H74 * (1-Parameters!$B$4) ^ Parameters!B$71 + (LN(1+EXP(Parameters!$B$21*(-B74+0.004)))/Parameters!$B$21 -0.004) * Parameters!B$71,0)</f>
        <v>4.1070137108568626E-3</v>
      </c>
      <c r="I75" s="38">
        <f>I74*(1+Parameters!$B$52)^Parameters!B$71</f>
        <v>10.022636551432088</v>
      </c>
      <c r="J75" s="38">
        <f>J74*(1+Parameters!$B$54)^Parameters!B$71</f>
        <v>36.811919682621969</v>
      </c>
      <c r="K75" s="23">
        <f>I75*J75*EXP(-Parameters!$B$43*'6states'!A75)*(Parameters!$B$38/Parameters!$B$39*('6states'!E75+'6states'!H75)/Parameters!$E$25*(EXP(-Parameters!$B$39*Parameters!$E$25*'6states'!H75/('6states'!E75+'6states'!H75))-EXP(-Parameters!$B$39*Parameters!$E$25))  +  Parameters!$B$40*'6states'!E75)</f>
        <v>3.1934855300384233</v>
      </c>
      <c r="L75" s="34">
        <f>L74+K75*Parameters!B$71</f>
        <v>3259.3550291212041</v>
      </c>
      <c r="M75" s="36">
        <f>L75*Parameters!$B$46</f>
        <v>1.9556130174727222</v>
      </c>
      <c r="N75" s="9">
        <f>EXP(-Parameters!$B$47/2*M75^2)</f>
        <v>0.96229382471456293</v>
      </c>
      <c r="O75" s="8">
        <f>MAX((Parameters!$B$63 + Parameters!$B$31*'6states'!A75 - '6states'!L75 + Parameters!$B$48/Parameters!$B$46)/Parameters!B$63,1)</f>
        <v>57.356899417575924</v>
      </c>
      <c r="P75" s="7">
        <f>Parameters!B$62*EXP(-Parameters!B$61*A75)</f>
        <v>7.3523721704148601E-2</v>
      </c>
      <c r="Q75" s="7">
        <f>(1-Parameters!B$62)*O75^-Parameters!B$64</f>
        <v>0.33351197922228432</v>
      </c>
      <c r="R75" s="7">
        <f>Parameters!B$62*EXP(-Parameters!B$61*A75)+(1-Parameters!B$62)*O75^-Parameters!B$64</f>
        <v>0.40703570092643293</v>
      </c>
      <c r="S75" s="36">
        <f>1-R75/Parameters!$B$12</f>
        <v>0.79648214953678353</v>
      </c>
      <c r="T75" s="36">
        <f t="shared" si="76"/>
        <v>4.9135739087453594</v>
      </c>
      <c r="U75" s="7">
        <f>(Parameters!$B$19*(E75+Parameters!$B$20)^S75+Parameters!$B$18*F75^S75)^(1/S75)</f>
        <v>0.3334794066714849</v>
      </c>
      <c r="V75" s="36">
        <f>(Parameters!$B$10*G75^Parameters!$B$9+Parameters!$B$11*U75^Parameters!$B$9)^(Parameters!$B$7/Parameters!$B$9)*N75</f>
        <v>1.3376729104436806</v>
      </c>
      <c r="W75" s="7">
        <f>V75 - C75 - D75 - LN(1+EXP(Parameters!$B$21*B75))/Parameters!$B$21 - IF(B75&gt;0, 0,Parameters!$B$6*B75^2/E75)</f>
        <v>1.022208920581348</v>
      </c>
      <c r="X75" s="36">
        <f>EXP(-Parameters!$B$56*A75)</f>
        <v>0.34228895533675241</v>
      </c>
      <c r="Y75" s="36">
        <f>IF(W75&gt;0,W75^(1-Parameters!$B$53)/(1-Parameters!$B$53)*X75*Parameters!$B$71,-10+W75*1000)</f>
        <v>-0.97047858898364425</v>
      </c>
      <c r="AA75" s="22">
        <f t="shared" si="80"/>
        <v>-7.1315136150471546E-4</v>
      </c>
      <c r="AB75" s="22">
        <f t="shared" si="81"/>
        <v>4.363883695640558E-5</v>
      </c>
      <c r="AC75" s="22">
        <f t="shared" si="82"/>
        <v>-3.7029097449167714E-5</v>
      </c>
      <c r="AD75" s="22">
        <f t="shared" si="77"/>
        <v>1.7520415014976525E-7</v>
      </c>
      <c r="AE75" s="22">
        <f t="shared" si="83"/>
        <v>-9.0994444692800436E-5</v>
      </c>
      <c r="AF75" s="22">
        <f t="shared" si="84"/>
        <v>-3.6919931707679599E-6</v>
      </c>
      <c r="AG75" s="22">
        <f t="shared" si="85"/>
        <v>2.3026450919200192E-6</v>
      </c>
      <c r="AH75" s="22">
        <f t="shared" si="78"/>
        <v>2.840629325694257E-9</v>
      </c>
      <c r="AI75" s="22"/>
      <c r="AM75" s="38">
        <f t="shared" si="72"/>
        <v>1.5152929422286392</v>
      </c>
      <c r="AN75" s="38">
        <f t="shared" si="73"/>
        <v>8.171583819381274</v>
      </c>
      <c r="AO75" s="38">
        <f t="shared" si="74"/>
        <v>123.0380580352308</v>
      </c>
      <c r="AP75" s="34">
        <f t="shared" si="75"/>
        <v>493.53775344053037</v>
      </c>
      <c r="AQ75" s="22">
        <f>-X75*V75*W75^(-Parameters!B$53)*Parameters!B$47*Parameters!B$46*M75</f>
        <v>-1.0483215062976585E-5</v>
      </c>
      <c r="AR75" s="36">
        <f>1000*EXP(-(Parameters!$B$55)*'6states'!A75)*AP75*Parameters!B$47*Parameters!B$46*M75</f>
        <v>0.96304222371719084</v>
      </c>
      <c r="AS75" s="36">
        <f>SUM(AR75:AR$204)*EXP(Parameters!$B$55*A75)</f>
        <v>834.39411863924499</v>
      </c>
      <c r="AT75" s="39">
        <f t="shared" si="86"/>
        <v>0.2342249068849612</v>
      </c>
      <c r="AU75">
        <f>(1/$S75-1/Parameters!$B$13) * LN(Parameters!$B$18) / LN(O75)</f>
        <v>0.21902149677969784</v>
      </c>
      <c r="AV75">
        <f>(Parameters!$B$18*'6states'!S75^+Parameters!$B$19*Parameters!$B$25^'6states'!S75)^((1-'6states'!S75)/'6states'!S75)*Parameters!$B$18*Parameters!$B$26^('6states'!S75-1)</f>
        <v>0.3008028399889392</v>
      </c>
      <c r="AW75">
        <f t="shared" si="87"/>
        <v>0.20772539295648471</v>
      </c>
      <c r="AX75">
        <f t="shared" si="88"/>
        <v>0.14085204682405028</v>
      </c>
      <c r="AY75">
        <f t="shared" si="89"/>
        <v>0.18819948520938301</v>
      </c>
      <c r="AZ75">
        <f>(1/$S75-1/Parameters!$B$13) * LN(Parameters!$B$18) / A75</f>
        <v>1.2491299217361435E-2</v>
      </c>
    </row>
    <row r="76" spans="1:52" x14ac:dyDescent="0.25">
      <c r="A76">
        <f>A75+Parameters!$B$71</f>
        <v>72</v>
      </c>
      <c r="B76" s="9">
        <f>B75+(B$85-B$75)/10</f>
        <v>3.0211748047270873E-4</v>
      </c>
      <c r="C76" s="9">
        <f t="shared" ref="C76:D76" si="94">C75+(C$85-C$75)/10</f>
        <v>9.131991176366959E-2</v>
      </c>
      <c r="D76" s="9">
        <f t="shared" si="94"/>
        <v>0.22179645822657529</v>
      </c>
      <c r="E76" s="7">
        <f>MAX((1-Parameters!$B$4)^Parameters!B$71*E75 + B75*Parameters!B$71 - IF(B75&gt;0,Parameters!$B$5,0)*B75^2/E75*Parameters!B$71, 0.0001)</f>
        <v>2.1083905275324357E-2</v>
      </c>
      <c r="F76" s="7">
        <f>(1-Parameters!$B$4)^Parameters!B$71*F75+C75*Parameters!B$71-Parameters!$B$5*C75^2/F75*Parameters!B$71</f>
        <v>1.2928530236770439</v>
      </c>
      <c r="G76" s="7">
        <f>(1-Parameters!$B$4)^Parameters!B$71*G75+D75*Parameters!B$71-Parameters!$B$5*D75^2/G75*Parameters!B$71</f>
        <v>3.2852604594567594</v>
      </c>
      <c r="H76" s="9">
        <f>MAX(H75 * (1-Parameters!$B$4) ^ Parameters!B$71 + (LN(1+EXP(Parameters!$B$21*(-B75+0.004)))/Parameters!$B$21 -0.004) * Parameters!B$71,0)</f>
        <v>4.4726410025707208E-3</v>
      </c>
      <c r="I76" s="23">
        <f>I75*(1+Parameters!$B$52)^Parameters!B$71</f>
        <v>10.05170219743124</v>
      </c>
      <c r="J76" s="23">
        <f>J75*(1+Parameters!$B$54)^Parameters!B$71</f>
        <v>37.548158076274412</v>
      </c>
      <c r="K76" s="23">
        <f>I76*J76*EXP(-Parameters!$B$43*'6states'!A76)*(Parameters!$B$38/Parameters!$B$39*('6states'!E76+'6states'!H76)/Parameters!$E$25*(EXP(-Parameters!$B$39*Parameters!$E$25*'6states'!H76/('6states'!E76+'6states'!H76))-EXP(-Parameters!$B$39*Parameters!$E$25))  +  Parameters!$B$40*'6states'!E76)</f>
        <v>3.0785077438043538</v>
      </c>
      <c r="L76" s="8">
        <f>L75+K76*Parameters!B$71</f>
        <v>3262.4335368650086</v>
      </c>
      <c r="M76" s="7">
        <f>L76*Parameters!$B$46</f>
        <v>1.9574601221190049</v>
      </c>
      <c r="N76" s="9">
        <f>EXP(-Parameters!$B$47/2*M76^2)</f>
        <v>0.96222392627938313</v>
      </c>
      <c r="O76" s="8">
        <f>MAX((Parameters!$B$63 + Parameters!$B$31*'6states'!A76 - '6states'!L76 + Parameters!$B$48/Parameters!$B$46)/Parameters!B$63,1)</f>
        <v>58.359329262699831</v>
      </c>
      <c r="P76" s="7">
        <f>Parameters!B$62*EXP(-Parameters!B$61*A76)</f>
        <v>7.1565141039439908E-2</v>
      </c>
      <c r="Q76" s="7">
        <f>(1-Parameters!B$62)*O76^-Parameters!B$64</f>
        <v>0.33293463365221904</v>
      </c>
      <c r="R76" s="7">
        <f>Parameters!B$62*EXP(-Parameters!B$61*A76)+(1-Parameters!B$62)*O76^-Parameters!B$64</f>
        <v>0.40449977469165893</v>
      </c>
      <c r="S76" s="7">
        <f>1-R76/Parameters!$B$12</f>
        <v>0.79775011265417051</v>
      </c>
      <c r="T76" s="7">
        <f t="shared" si="76"/>
        <v>4.9443785266000573</v>
      </c>
      <c r="U76" s="7">
        <f>(Parameters!$B$19*(E76+Parameters!$B$20)^S76+Parameters!$B$18*F76^S76)^(1/S76)</f>
        <v>0.33365416240718138</v>
      </c>
      <c r="V76" s="7">
        <f>(Parameters!$B$10*G76^Parameters!$B$9+Parameters!$B$11*U76^Parameters!$B$9)^(Parameters!$B$7/Parameters!$B$9)*N76</f>
        <v>1.3376491120651639</v>
      </c>
      <c r="W76" s="7">
        <f>V76 - C76 - D76 - LN(1+EXP(Parameters!$B$21*B76))/Parameters!$B$21 - IF(B76&gt;0, 0,Parameters!$B$6*B76^2/E76)</f>
        <v>1.0220677710922885</v>
      </c>
      <c r="X76" s="7">
        <f>EXP(-Parameters!$B$56*A76)</f>
        <v>0.33715921908873309</v>
      </c>
      <c r="Y76" s="7">
        <f>IF(W76&gt;0,W76^(1-Parameters!$B$53)/(1-Parameters!$B$53)*X76*Parameters!$B$71,-10+W76*1000)</f>
        <v>-0.95598065056194026</v>
      </c>
      <c r="AA76" s="22">
        <f t="shared" si="80"/>
        <v>-7.5057667449222529E-4</v>
      </c>
      <c r="AB76" s="22">
        <f t="shared" si="81"/>
        <v>-1.721046700056128E-4</v>
      </c>
      <c r="AC76" s="22">
        <f t="shared" si="82"/>
        <v>2.5981769953109524E-5</v>
      </c>
      <c r="AD76" s="22">
        <f t="shared" si="77"/>
        <v>2.001580816216628E-7</v>
      </c>
      <c r="AE76" s="22">
        <f t="shared" si="83"/>
        <v>-3.7425312987511561E-5</v>
      </c>
      <c r="AF76" s="22">
        <f t="shared" si="84"/>
        <v>-2.1574350696201838E-4</v>
      </c>
      <c r="AG76" s="22">
        <f t="shared" si="85"/>
        <v>6.3010867402277237E-5</v>
      </c>
      <c r="AH76" s="22">
        <f t="shared" si="78"/>
        <v>1.750405385884451E-8</v>
      </c>
      <c r="AI76" s="22"/>
      <c r="AM76" s="23">
        <f t="shared" si="72"/>
        <v>1.6880771514673705</v>
      </c>
      <c r="AN76" s="23">
        <f t="shared" si="73"/>
        <v>7.9575487365341351</v>
      </c>
      <c r="AO76" s="23">
        <f t="shared" si="74"/>
        <v>125.92872258869392</v>
      </c>
      <c r="AP76" s="25">
        <f t="shared" si="75"/>
        <v>504.85941113091053</v>
      </c>
      <c r="AQ76" s="22">
        <f>-X76*V76*W76^(-Parameters!B$53)*Parameters!B$47*Parameters!B$46*M76</f>
        <v>-1.0337603939681393E-5</v>
      </c>
      <c r="AR76" s="7">
        <f>1000*EXP(-(Parameters!$B$55)*'6states'!A76)*AP76*Parameters!B$47*Parameters!B$46*M76</f>
        <v>0.9520541989572886</v>
      </c>
      <c r="AS76" s="7">
        <f>SUM(AR76:AR$204)*EXP(Parameters!$B$55*A76)</f>
        <v>852.1456569353669</v>
      </c>
      <c r="AT76" s="39">
        <f t="shared" si="86"/>
        <v>0.23430545771965447</v>
      </c>
      <c r="AU76">
        <f>(1/$S76-1/Parameters!$B$13) * LN(Parameters!$B$18) / LN(O76)</f>
        <v>0.21867292132512225</v>
      </c>
      <c r="AV76">
        <f>(Parameters!$B$18*'6states'!S76^+Parameters!$B$19*Parameters!$B$25^'6states'!S76)^((1-'6states'!S76)/'6states'!S76)*Parameters!$B$18*Parameters!$B$26^('6states'!S76-1)</f>
        <v>0.30107004814717503</v>
      </c>
      <c r="AW76">
        <f t="shared" si="87"/>
        <v>0.20705870977212337</v>
      </c>
      <c r="AX76">
        <f t="shared" si="88"/>
        <v>0.14064443949069816</v>
      </c>
      <c r="AY76">
        <f t="shared" si="89"/>
        <v>0.18834982857867255</v>
      </c>
      <c r="AZ76">
        <f>(1/$S76-1/Parameters!$B$13) * LN(Parameters!$B$18) / A76</f>
        <v>1.235082648677651E-2</v>
      </c>
    </row>
    <row r="77" spans="1:52" x14ac:dyDescent="0.25">
      <c r="A77">
        <f>A76+Parameters!$B$71</f>
        <v>73</v>
      </c>
      <c r="B77" s="9">
        <f t="shared" ref="B77:B84" si="95">B76+(B$85-B$75)/10</f>
        <v>2.7024499972258759E-4</v>
      </c>
      <c r="C77" s="9">
        <f t="shared" ref="C77:C84" si="96">C76+(C$85-C$75)/10</f>
        <v>9.1361469704538872E-2</v>
      </c>
      <c r="D77" s="9">
        <f t="shared" ref="D77:D84" si="97">D76+(D$85-D$75)/10</f>
        <v>0.22188894734596756</v>
      </c>
      <c r="E77" s="7">
        <f>MAX((1-Parameters!$B$4)^Parameters!B$71*E76 + B76*Parameters!B$71 - IF(B76&gt;0,Parameters!$B$5,0)*B76^2/E76*Parameters!B$71, 0.0001)</f>
        <v>2.0055515983734302E-2</v>
      </c>
      <c r="F77" s="7">
        <f>(1-Parameters!$B$4)^Parameters!B$71*F76+C76*Parameters!B$71-Parameters!$B$5*C76^2/F76*Parameters!B$71</f>
        <v>1.296402152076608</v>
      </c>
      <c r="G77" s="7">
        <f>(1-Parameters!$B$4)^Parameters!B$71*G76+D76*Parameters!B$71-Parameters!$B$5*D76^2/G76*Parameters!B$71</f>
        <v>3.2854399803701786</v>
      </c>
      <c r="H77" s="9">
        <f>MAX(H76 * (1-Parameters!$B$4) ^ Parameters!B$71 + (LN(1+EXP(Parameters!$B$21*(-B76+0.004)))/Parameters!$B$21 -0.004) * Parameters!B$71,0)</f>
        <v>4.8392103202862038E-3</v>
      </c>
      <c r="I77" s="23">
        <f>I76*(1+Parameters!$B$52)^Parameters!B$71</f>
        <v>10.08085213380379</v>
      </c>
      <c r="J77" s="23">
        <f>J76*(1+Parameters!$B$54)^Parameters!B$71</f>
        <v>38.299121237799902</v>
      </c>
      <c r="K77" s="23">
        <f>I77*J77*EXP(-Parameters!$B$43*'6states'!A77)*(Parameters!$B$38/Parameters!$B$39*('6states'!E77+'6states'!H77)/Parameters!$E$25*(EXP(-Parameters!$B$39*Parameters!$E$25*'6states'!H77/('6states'!E77+'6states'!H77))-EXP(-Parameters!$B$39*Parameters!$E$25))  +  Parameters!$B$40*'6states'!E77)</f>
        <v>2.965598184125612</v>
      </c>
      <c r="L77" s="8">
        <f>L76+K77*Parameters!B$71</f>
        <v>3265.3991350491342</v>
      </c>
      <c r="M77" s="7">
        <f>L77*Parameters!$B$46</f>
        <v>1.9592394810294804</v>
      </c>
      <c r="N77" s="9">
        <f>EXP(-Parameters!$B$47/2*M77^2)</f>
        <v>0.96215653389443423</v>
      </c>
      <c r="O77" s="8">
        <f>MAX((Parameters!$B$63 + Parameters!$B$31*'6states'!A77 - '6states'!L77 + Parameters!$B$48/Parameters!$B$46)/Parameters!B$63,1)</f>
        <v>59.36401729901732</v>
      </c>
      <c r="P77" s="7">
        <f>Parameters!B$62*EXP(-Parameters!B$61*A77)</f>
        <v>6.9658734532013489E-2</v>
      </c>
      <c r="Q77" s="7">
        <f>(1-Parameters!B$62)*O77^-Parameters!B$64</f>
        <v>0.33236683082646445</v>
      </c>
      <c r="R77" s="7">
        <f>Parameters!B$62*EXP(-Parameters!B$61*A77)+(1-Parameters!B$62)*O77^-Parameters!B$64</f>
        <v>0.40202556535847794</v>
      </c>
      <c r="S77" s="7">
        <f>1-R77/Parameters!$B$12</f>
        <v>0.79898721732076106</v>
      </c>
      <c r="T77" s="7">
        <f t="shared" si="76"/>
        <v>4.9748080031095565</v>
      </c>
      <c r="U77" s="7">
        <f>(Parameters!$B$19*(E77+Parameters!$B$20)^S77+Parameters!$B$18*F77^S77)^(1/S77)</f>
        <v>0.33381634015694334</v>
      </c>
      <c r="V77" s="7">
        <f>(Parameters!$B$10*G77^Parameters!$B$9+Parameters!$B$11*U77^Parameters!$B$9)^(Parameters!$B$7/Parameters!$B$9)*N77</f>
        <v>1.3376303120614297</v>
      </c>
      <c r="W77" s="7">
        <f>V77 - C77 - D77 - LN(1+EXP(Parameters!$B$21*B77))/Parameters!$B$21 - IF(B77&gt;0, 0,Parameters!$B$6*B77^2/E77)</f>
        <v>1.0219315439454268</v>
      </c>
      <c r="X77" s="7">
        <f>EXP(-Parameters!$B$56*A77)</f>
        <v>0.33210635997497118</v>
      </c>
      <c r="Y77" s="7">
        <f>IF(W77&gt;0,W77^(1-Parameters!$B$53)/(1-Parameters!$B$53)*X77*Parameters!$B$71,-10+W77*1000)</f>
        <v>-0.94169771494961496</v>
      </c>
      <c r="AA77" s="22">
        <f t="shared" si="80"/>
        <v>-8.5444762959297101E-4</v>
      </c>
      <c r="AB77" s="22">
        <f t="shared" si="81"/>
        <v>-1.6131773050592768E-4</v>
      </c>
      <c r="AC77" s="22">
        <f t="shared" si="82"/>
        <v>2.4462232512498239E-5</v>
      </c>
      <c r="AD77" s="22">
        <f t="shared" si="77"/>
        <v>2.5130573368605642E-7</v>
      </c>
      <c r="AE77" s="22">
        <f t="shared" si="83"/>
        <v>-1.0387095510074572E-4</v>
      </c>
      <c r="AF77" s="22">
        <f t="shared" si="84"/>
        <v>1.0786939499685122E-5</v>
      </c>
      <c r="AG77" s="22">
        <f t="shared" si="85"/>
        <v>-1.5195374406112849E-6</v>
      </c>
      <c r="AH77" s="22">
        <f t="shared" si="78"/>
        <v>3.6225638251279528E-9</v>
      </c>
      <c r="AI77" s="22"/>
      <c r="AM77" s="23">
        <f t="shared" si="72"/>
        <v>1.8683599600898912</v>
      </c>
      <c r="AN77" s="23">
        <f t="shared" si="73"/>
        <v>7.7431896038641002</v>
      </c>
      <c r="AO77" s="23">
        <f t="shared" si="74"/>
        <v>128.88240904894036</v>
      </c>
      <c r="AP77" s="25">
        <f t="shared" si="75"/>
        <v>516.44271503998482</v>
      </c>
      <c r="AQ77" s="22">
        <f>-X77*V77*W77^(-Parameters!B$53)*Parameters!B$47*Parameters!B$46*M77</f>
        <v>-1.0193625861387E-5</v>
      </c>
      <c r="AR77" s="7">
        <f>1000*EXP(-(Parameters!$B$55)*'6states'!A77)*AP77*Parameters!B$47*Parameters!B$46*M77</f>
        <v>0.9411616798421909</v>
      </c>
      <c r="AS77" s="7">
        <f>SUM(AR77:AR$204)*EXP(Parameters!$B$55*A77)</f>
        <v>870.24313371652113</v>
      </c>
      <c r="AT77" s="39">
        <f t="shared" si="86"/>
        <v>0.2343851355813405</v>
      </c>
      <c r="AU77">
        <f>(1/$S77-1/Parameters!$B$13) * LN(Parameters!$B$18) / LN(O77)</f>
        <v>0.21832509790589846</v>
      </c>
      <c r="AV77">
        <f>(Parameters!$B$18*'6states'!S77^+Parameters!$B$19*Parameters!$B$25^'6states'!S77)^((1-'6states'!S77)/'6states'!S77)*Parameters!$B$18*Parameters!$B$26^('6states'!S77-1)</f>
        <v>0.30132709131434587</v>
      </c>
      <c r="AW77">
        <f t="shared" si="87"/>
        <v>0.20640222162775612</v>
      </c>
      <c r="AX77">
        <f t="shared" si="88"/>
        <v>0.14043723005584763</v>
      </c>
      <c r="AY77">
        <f t="shared" si="89"/>
        <v>0.18849442639060976</v>
      </c>
      <c r="AZ77">
        <f>(1/$S77-1/Parameters!$B$13) * LN(Parameters!$B$18) / A77</f>
        <v>1.2213310165970187E-2</v>
      </c>
    </row>
    <row r="78" spans="1:52" x14ac:dyDescent="0.25">
      <c r="A78">
        <f>A77+Parameters!$B$71</f>
        <v>74</v>
      </c>
      <c r="B78" s="9">
        <f t="shared" si="95"/>
        <v>2.3837251897246644E-4</v>
      </c>
      <c r="C78" s="9">
        <f t="shared" si="96"/>
        <v>9.1403027645408155E-2</v>
      </c>
      <c r="D78" s="9">
        <f t="shared" si="97"/>
        <v>0.22198143646535984</v>
      </c>
      <c r="E78" s="7">
        <f>MAX((1-Parameters!$B$4)^Parameters!B$71*E77 + B77*Parameters!B$71 - IF(B77&gt;0,Parameters!$B$5,0)*B77^2/E77*Parameters!B$71, 0.0001)</f>
        <v>1.9060627518186452E-2</v>
      </c>
      <c r="F78" s="7">
        <f>(1-Parameters!$B$4)^Parameters!B$71*F77+C77*Parameters!B$71-Parameters!$B$5*C77^2/F77*Parameters!B$71</f>
        <v>1.2997814010449842</v>
      </c>
      <c r="G78" s="7">
        <f>(1-Parameters!$B$4)^Parameters!B$71*G77+D77*Parameters!B$71-Parameters!$B$5*D77^2/G77*Parameters!B$71</f>
        <v>3.2856890264580736</v>
      </c>
      <c r="H78" s="9">
        <f>MAX(H77 * (1-Parameters!$B$4) ^ Parameters!B$71 + (LN(1+EXP(Parameters!$B$21*(-B77+0.004)))/Parameters!$B$21 -0.004) * Parameters!B$71,0)</f>
        <v>5.2067192447482679E-3</v>
      </c>
      <c r="I78" s="23">
        <f>I77*(1+Parameters!$B$52)^Parameters!B$71</f>
        <v>10.110086604991819</v>
      </c>
      <c r="J78" s="23">
        <f>J77*(1+Parameters!$B$54)^Parameters!B$71</f>
        <v>39.065103662555899</v>
      </c>
      <c r="K78" s="23">
        <f>I78*J78*EXP(-Parameters!$B$43*'6states'!A78)*(Parameters!$B$38/Parameters!$B$39*('6states'!E78+'6states'!H78)/Parameters!$E$25*(EXP(-Parameters!$B$39*Parameters!$E$25*'6states'!H78/('6states'!E78+'6states'!H78))-EXP(-Parameters!$B$39*Parameters!$E$25))  +  Parameters!$B$40*'6states'!E78)</f>
        <v>2.8544273282272776</v>
      </c>
      <c r="L78" s="8">
        <f>L77+K78*Parameters!B$71</f>
        <v>3268.2535623773615</v>
      </c>
      <c r="M78" s="7">
        <f>L78*Parameters!$B$46</f>
        <v>1.9609521374264167</v>
      </c>
      <c r="N78" s="9">
        <f>EXP(-Parameters!$B$47/2*M78^2)</f>
        <v>0.962091614467116</v>
      </c>
      <c r="O78" s="8">
        <f>MAX((Parameters!$B$63 + Parameters!$B$31*'6states'!A78 - '6states'!L78 + Parameters!$B$48/Parameters!$B$46)/Parameters!B$63,1)</f>
        <v>60.370928752452777</v>
      </c>
      <c r="P78" s="7">
        <f>Parameters!B$62*EXP(-Parameters!B$61*A78)</f>
        <v>6.780311232709485E-2</v>
      </c>
      <c r="Q78" s="7">
        <f>(1-Parameters!B$62)*O78^-Parameters!B$64</f>
        <v>0.33180827949645558</v>
      </c>
      <c r="R78" s="7">
        <f>Parameters!B$62*EXP(-Parameters!B$61*A78)+(1-Parameters!B$62)*O78^-Parameters!B$64</f>
        <v>0.39961139182355043</v>
      </c>
      <c r="S78" s="7">
        <f>1-R78/Parameters!$B$12</f>
        <v>0.80019430408822478</v>
      </c>
      <c r="T78" s="7">
        <f t="shared" si="76"/>
        <v>5.0048623260547735</v>
      </c>
      <c r="U78" s="7">
        <f>(Parameters!$B$19*(E78+Parameters!$B$20)^S78+Parameters!$B$18*F78^S78)^(1/S78)</f>
        <v>0.33396596186099403</v>
      </c>
      <c r="V78" s="7">
        <f>(Parameters!$B$10*G78^Parameters!$B$9+Parameters!$B$11*U78^Parameters!$B$9)^(Parameters!$B$7/Parameters!$B$9)*N78</f>
        <v>1.3376161396844997</v>
      </c>
      <c r="W78" s="7">
        <f>V78 - C78 - D78 - LN(1+EXP(Parameters!$B$21*B78))/Parameters!$B$21 - IF(B78&gt;0, 0,Parameters!$B$6*B78^2/E78)</f>
        <v>1.0217998683615896</v>
      </c>
      <c r="X78" s="7">
        <f>EXP(-Parameters!$B$56*A78)</f>
        <v>0.32712922587116899</v>
      </c>
      <c r="Y78" s="7">
        <f>IF(W78&gt;0,W78^(1-Parameters!$B$53)/(1-Parameters!$B$53)*X78*Parameters!$B$71,-10+W78*1000)</f>
        <v>-0.92762673467047829</v>
      </c>
      <c r="AA78" s="22">
        <f t="shared" si="80"/>
        <v>-9.688301896982731E-4</v>
      </c>
      <c r="AB78" s="22">
        <f t="shared" si="81"/>
        <v>-1.5124711471499463E-4</v>
      </c>
      <c r="AC78" s="22">
        <f t="shared" si="82"/>
        <v>2.3029957777476184E-5</v>
      </c>
      <c r="AD78" s="22">
        <f t="shared" si="77"/>
        <v>3.1471074787866396E-7</v>
      </c>
      <c r="AE78" s="22">
        <f t="shared" si="83"/>
        <v>-1.1438256010530209E-4</v>
      </c>
      <c r="AF78" s="22">
        <f t="shared" si="84"/>
        <v>1.0070615790933046E-5</v>
      </c>
      <c r="AG78" s="22">
        <f t="shared" si="85"/>
        <v>-1.4322747350220544E-6</v>
      </c>
      <c r="AH78" s="22">
        <f t="shared" si="78"/>
        <v>4.3138003583767702E-9</v>
      </c>
      <c r="AI78" s="22"/>
      <c r="AM78" s="23">
        <f t="shared" si="72"/>
        <v>2.0564019988976119</v>
      </c>
      <c r="AN78" s="23">
        <f t="shared" si="73"/>
        <v>7.5280249781427369</v>
      </c>
      <c r="AO78" s="23">
        <f t="shared" si="74"/>
        <v>131.90038472449177</v>
      </c>
      <c r="AP78" s="25">
        <f t="shared" si="75"/>
        <v>528.29360948919395</v>
      </c>
      <c r="AQ78" s="22">
        <f>-X78*V78*W78^(-Parameters!B$53)*Parameters!B$47*Parameters!B$46*M78</f>
        <v>-1.005127743261625E-5</v>
      </c>
      <c r="AR78" s="7">
        <f>1000*EXP(-(Parameters!$B$55)*'6states'!A78)*AP78*Parameters!B$47*Parameters!B$46*M78</f>
        <v>0.93036458733612204</v>
      </c>
      <c r="AS78" s="7">
        <f>SUM(AR78:AR$204)*EXP(Parameters!$B$55*A78)</f>
        <v>888.69241826726227</v>
      </c>
      <c r="AT78" s="39">
        <f t="shared" si="86"/>
        <v>0.23446400452652577</v>
      </c>
      <c r="AU78">
        <f>(1/$S78-1/Parameters!$B$13) * LN(Parameters!$B$18) / LN(O78)</f>
        <v>0.21797807818356751</v>
      </c>
      <c r="AV78">
        <f>(Parameters!$B$18*'6states'!S78^+Parameters!$B$19*Parameters!$B$25^'6states'!S78)^((1-'6states'!S78)/'6states'!S78)*Parameters!$B$18*Parameters!$B$26^('6states'!S78-1)</f>
        <v>0.3015744216974402</v>
      </c>
      <c r="AW78">
        <f t="shared" si="87"/>
        <v>0.20575569308087191</v>
      </c>
      <c r="AX78">
        <f t="shared" si="88"/>
        <v>0.14023044961902376</v>
      </c>
      <c r="AY78">
        <f t="shared" si="89"/>
        <v>0.18863353602584443</v>
      </c>
      <c r="AZ78">
        <f>(1/$S78-1/Parameters!$B$13) * LN(Parameters!$B$18) / A78</f>
        <v>1.2078659229937986E-2</v>
      </c>
    </row>
    <row r="79" spans="1:52" s="4" customFormat="1" x14ac:dyDescent="0.25">
      <c r="A79" s="4">
        <f>A78+Parameters!$B$71</f>
        <v>75</v>
      </c>
      <c r="B79" s="9">
        <f t="shared" si="95"/>
        <v>2.065000382223453E-4</v>
      </c>
      <c r="C79" s="9">
        <f t="shared" si="96"/>
        <v>9.1444585586277438E-2</v>
      </c>
      <c r="D79" s="9">
        <f t="shared" si="97"/>
        <v>0.22207392558475211</v>
      </c>
      <c r="E79" s="7">
        <f>MAX((1-Parameters!$B$4)^Parameters!B$71*E78 + B78*Parameters!B$71 - IF(B78&gt;0,Parameters!$B$5,0)*B78^2/E78*Parameters!B$71, 0.0001)</f>
        <v>1.8097105475650473E-2</v>
      </c>
      <c r="F79" s="17">
        <f>(1-Parameters!$B$4)^Parameters!B$71*F78+C78*Parameters!B$71-Parameters!$B$5*C78^2/F78*Parameters!B$71</f>
        <v>1.3030005489216856</v>
      </c>
      <c r="G79" s="17">
        <f>(1-Parameters!$B$4)^Parameters!B$71*G78+D78*Parameters!B$71-Parameters!$B$5*D78^2/G78*Parameters!B$71</f>
        <v>3.2860035380003909</v>
      </c>
      <c r="H79" s="9">
        <f>MAX(H78 * (1-Parameters!$B$4) ^ Parameters!B$71 + (LN(1+EXP(Parameters!$B$21*(-B78+0.004)))/Parameters!$B$21 -0.004) * Parameters!B$71,0)</f>
        <v>5.5751652346691964E-3</v>
      </c>
      <c r="I79" s="40">
        <f>I78*(1+Parameters!$B$52)^Parameters!B$71</f>
        <v>10.139405856146295</v>
      </c>
      <c r="J79" s="40">
        <f>J78*(1+Parameters!$B$54)^Parameters!B$71</f>
        <v>39.846405735807018</v>
      </c>
      <c r="K79" s="23">
        <f>I79*J79*EXP(-Parameters!$B$43*'6states'!A79)*(Parameters!$B$38/Parameters!$B$39*('6states'!E79+'6states'!H79)/Parameters!$E$25*(EXP(-Parameters!$B$39*Parameters!$E$25*'6states'!H79/('6states'!E79+'6states'!H79))-EXP(-Parameters!$B$39*Parameters!$E$25))  +  Parameters!$B$40*'6states'!E79)</f>
        <v>2.7447371050877951</v>
      </c>
      <c r="L79" s="25">
        <f>L78+K79*Parameters!B$71</f>
        <v>3270.9982994824495</v>
      </c>
      <c r="M79" s="17">
        <f>L79*Parameters!$B$46</f>
        <v>1.9625989796894696</v>
      </c>
      <c r="N79" s="9">
        <f>EXP(-Parameters!$B$47/2*M79^2)</f>
        <v>0.9620291404101794</v>
      </c>
      <c r="O79" s="8">
        <f>MAX((Parameters!$B$63 + Parameters!$B$31*'6states'!A79 - '6states'!L79 + Parameters!$B$48/Parameters!$B$46)/Parameters!B$63,1)</f>
        <v>61.380034010351011</v>
      </c>
      <c r="P79" s="7">
        <f>Parameters!B$62*EXP(-Parameters!B$61*A79)</f>
        <v>6.5996921593915112E-2</v>
      </c>
      <c r="Q79" s="7">
        <f>(1-Parameters!B$62)*O79^-Parameters!B$64</f>
        <v>0.3312586990019406</v>
      </c>
      <c r="R79" s="7">
        <f>Parameters!B$62*EXP(-Parameters!B$61*A79)+(1-Parameters!B$62)*O79^-Parameters!B$64</f>
        <v>0.39725562059585573</v>
      </c>
      <c r="S79" s="17">
        <f>1-R79/Parameters!$B$12</f>
        <v>0.80137218970207214</v>
      </c>
      <c r="T79" s="17">
        <f t="shared" si="76"/>
        <v>5.0345417315937269</v>
      </c>
      <c r="U79" s="7">
        <f>(Parameters!$B$19*(E79+Parameters!$B$20)^S79+Parameters!$B$18*F79^S79)^(1/S79)</f>
        <v>0.33410305226088427</v>
      </c>
      <c r="V79" s="17">
        <f>(Parameters!$B$10*G79^Parameters!$B$9+Parameters!$B$11*U79^Parameters!$B$9)^(Parameters!$B$7/Parameters!$B$9)*N79</f>
        <v>1.3376062490978204</v>
      </c>
      <c r="W79" s="7">
        <f>V79 - C79 - D79 - LN(1+EXP(Parameters!$B$21*B79))/Parameters!$B$21 - IF(B79&gt;0, 0,Parameters!$B$6*B79^2/E79)</f>
        <v>1.0216723984764879</v>
      </c>
      <c r="X79" s="17">
        <f>EXP(-Parameters!$B$56*A79)</f>
        <v>0.32222668191941661</v>
      </c>
      <c r="Y79" s="17">
        <f>IF(W79&gt;0,W79^(1-Parameters!$B$53)/(1-Parameters!$B$53)*X79*Parameters!$B$71,-10+W79*1000)</f>
        <v>-0.91376469374930669</v>
      </c>
      <c r="AA79" s="22">
        <f t="shared" si="80"/>
        <v>-1.0953496613057834E-3</v>
      </c>
      <c r="AB79" s="22">
        <f t="shared" si="81"/>
        <v>-1.4184067753153506E-4</v>
      </c>
      <c r="AC79" s="22">
        <f t="shared" si="82"/>
        <v>2.1680041244212522E-5</v>
      </c>
      <c r="AD79" s="22">
        <f t="shared" si="77"/>
        <v>3.9323889577824456E-7</v>
      </c>
      <c r="AE79" s="22">
        <f t="shared" si="83"/>
        <v>-1.2651947160751027E-4</v>
      </c>
      <c r="AF79" s="22">
        <f t="shared" si="84"/>
        <v>9.4064371834595706E-6</v>
      </c>
      <c r="AG79" s="22">
        <f t="shared" si="85"/>
        <v>-1.349916533263662E-6</v>
      </c>
      <c r="AH79" s="22">
        <f t="shared" si="78"/>
        <v>5.1870375776457045E-9</v>
      </c>
      <c r="AI79" s="22"/>
      <c r="AM79" s="40">
        <f t="shared" si="72"/>
        <v>2.2524720120528583</v>
      </c>
      <c r="AN79" s="40">
        <f t="shared" si="73"/>
        <v>7.3115722794339604</v>
      </c>
      <c r="AO79" s="40">
        <f t="shared" si="74"/>
        <v>134.983940866773</v>
      </c>
      <c r="AP79" s="25">
        <f t="shared" si="75"/>
        <v>540.41817819209746</v>
      </c>
      <c r="AQ79" s="22">
        <f>-X79*V79*W79^(-Parameters!B$53)*Parameters!B$47*Parameters!B$46*M79</f>
        <v>-9.9105537891159237E-6</v>
      </c>
      <c r="AR79" s="17">
        <f>1000*EXP(-(Parameters!$B$55)*'6states'!A79)*AP79*Parameters!B$47*Parameters!B$46*M79</f>
        <v>0.91966276230798871</v>
      </c>
      <c r="AS79" s="17">
        <f>SUM(AR79:AR$204)*EXP(Parameters!$B$55*A79)</f>
        <v>907.49944901820584</v>
      </c>
      <c r="AT79" s="39">
        <f t="shared" si="86"/>
        <v>0.23454212435150554</v>
      </c>
      <c r="AU79" s="46">
        <f>(1/$S79-1/Parameters!$B$13) * LN(Parameters!$B$18) / LN(O79)</f>
        <v>0.21763190911971472</v>
      </c>
      <c r="AV79">
        <f>(Parameters!$B$18*'6states'!S79^+Parameters!$B$19*Parameters!$B$25^'6states'!S79)^((1-'6states'!S79)/'6states'!S79)*Parameters!$B$18*Parameters!$B$26^('6states'!S79-1)</f>
        <v>0.30181246917339061</v>
      </c>
      <c r="AW79">
        <f t="shared" si="87"/>
        <v>0.20511889312396878</v>
      </c>
      <c r="AX79" s="46">
        <f t="shared" si="88"/>
        <v>0.14002412650716767</v>
      </c>
      <c r="AY79">
        <f t="shared" si="89"/>
        <v>0.1887674020194724</v>
      </c>
      <c r="AZ79" s="46">
        <f>(1/$S79-1/Parameters!$B$13) * LN(Parameters!$B$18) / A79</f>
        <v>1.1946786429608136E-2</v>
      </c>
    </row>
    <row r="80" spans="1:52" x14ac:dyDescent="0.25">
      <c r="A80">
        <f>A79+Parameters!$B$71</f>
        <v>76</v>
      </c>
      <c r="B80" s="9">
        <f t="shared" si="95"/>
        <v>1.7462755747222415E-4</v>
      </c>
      <c r="C80" s="9">
        <f t="shared" si="96"/>
        <v>9.1486143527146721E-2</v>
      </c>
      <c r="D80" s="9">
        <f t="shared" si="97"/>
        <v>0.22216641470414439</v>
      </c>
      <c r="E80" s="7">
        <f>MAX((1-Parameters!$B$4)^Parameters!B$71*E79 + B79*Parameters!B$71 - IF(B79&gt;0,Parameters!$B$5,0)*B79^2/E79*Parameters!B$71, 0.0001)</f>
        <v>1.7162941276351502E-2</v>
      </c>
      <c r="F80" s="7">
        <f>(1-Parameters!$B$4)^Parameters!B$71*F79+C79*Parameters!B$71-Parameters!$B$5*C79^2/F79*Parameters!B$71</f>
        <v>1.3060688184686662</v>
      </c>
      <c r="G80" s="7">
        <f>(1-Parameters!$B$4)^Parameters!B$71*G79+D79*Parameters!B$71-Parameters!$B$5*D79^2/G79*Parameters!B$71</f>
        <v>3.2863796927412703</v>
      </c>
      <c r="H80" s="9">
        <f>MAX(H79 * (1-Parameters!$B$4) ^ Parameters!B$71 + (LN(1+EXP(Parameters!$B$21*(-B79+0.004)))/Parameters!$B$21 -0.004) * Parameters!B$71,0)</f>
        <v>5.9445456338172616E-3</v>
      </c>
      <c r="I80" s="23">
        <f>I79*(1+Parameters!$B$52)^Parameters!B$71</f>
        <v>10.168810133129119</v>
      </c>
      <c r="J80" s="23">
        <f>J79*(1+Parameters!$B$54)^Parameters!B$71</f>
        <v>40.643333850523156</v>
      </c>
      <c r="K80" s="23">
        <f>I80*J80*EXP(-Parameters!$B$43*'6states'!A80)*(Parameters!$B$38/Parameters!$B$39*('6states'!E80+'6states'!H80)/Parameters!$E$25*(EXP(-Parameters!$B$39*Parameters!$E$25*'6states'!H80/('6states'!E80+'6states'!H80))-EXP(-Parameters!$B$39*Parameters!$E$25))  +  Parameters!$B$40*'6states'!E80)</f>
        <v>2.6363077087769256</v>
      </c>
      <c r="L80" s="8">
        <f>L79+K80*Parameters!B$71</f>
        <v>3273.6346071912262</v>
      </c>
      <c r="M80" s="7">
        <f>L80*Parameters!$B$46</f>
        <v>1.9641807643147355</v>
      </c>
      <c r="N80" s="9">
        <f>EXP(-Parameters!$B$47/2*M80^2)</f>
        <v>0.96196908880426002</v>
      </c>
      <c r="O80" s="8">
        <f>MAX((Parameters!$B$63 + Parameters!$B$31*'6states'!A80 - '6states'!L80 + Parameters!$B$48/Parameters!$B$46)/Parameters!B$63,1)</f>
        <v>62.39130785617548</v>
      </c>
      <c r="P80" s="7">
        <f>Parameters!B$62*EXP(-Parameters!B$61*A80)</f>
        <v>6.4238845539437511E-2</v>
      </c>
      <c r="Q80" s="7">
        <f>(1-Parameters!B$62)*O80^-Parameters!B$64</f>
        <v>0.33071781912016651</v>
      </c>
      <c r="R80" s="7">
        <f>Parameters!B$62*EXP(-Parameters!B$61*A80)+(1-Parameters!B$62)*O80^-Parameters!B$64</f>
        <v>0.394956664659604</v>
      </c>
      <c r="S80" s="7">
        <f>1-R80/Parameters!$B$12</f>
        <v>0.80252166767019806</v>
      </c>
      <c r="T80" s="7">
        <f t="shared" si="76"/>
        <v>5.0638466924560284</v>
      </c>
      <c r="U80" s="7">
        <f>(Parameters!$B$19*(E80+Parameters!$B$20)^S80+Parameters!$B$18*F80^S80)^(1/S80)</f>
        <v>0.33422763685818707</v>
      </c>
      <c r="V80" s="7">
        <f>(Parameters!$B$10*G80^Parameters!$B$9+Parameters!$B$11*U80^Parameters!$B$9)^(Parameters!$B$7/Parameters!$B$9)*N80</f>
        <v>1.3376003165924981</v>
      </c>
      <c r="W80" s="7">
        <f>V80 - C80 - D80 - LN(1+EXP(Parameters!$B$21*B80))/Parameters!$B$21 - IF(B80&gt;0, 0,Parameters!$B$6*B80^2/E80)</f>
        <v>1.0215488105569583</v>
      </c>
      <c r="X80" s="7">
        <f>EXP(-Parameters!$B$56*A80)</f>
        <v>0.31739761026942775</v>
      </c>
      <c r="Y80" s="7">
        <f>IF(W80&gt;0,W80^(1-Parameters!$B$53)/(1-Parameters!$B$53)*X80*Parameters!$B$71,-10+W80*1000)</f>
        <v>-0.90010860872778287</v>
      </c>
      <c r="AA80" s="22">
        <f t="shared" si="80"/>
        <v>-1.2359795514066893E-3</v>
      </c>
      <c r="AB80" s="22">
        <f t="shared" si="81"/>
        <v>-1.3305059435782252E-4</v>
      </c>
      <c r="AC80" s="22">
        <f t="shared" si="82"/>
        <v>2.0407841940114912E-5</v>
      </c>
      <c r="AD80" s="22">
        <f t="shared" si="77"/>
        <v>4.9062192411341319E-7</v>
      </c>
      <c r="AE80" s="22">
        <f t="shared" si="83"/>
        <v>-1.4062989010090593E-4</v>
      </c>
      <c r="AF80" s="22">
        <f t="shared" si="84"/>
        <v>8.7900831737125484E-6</v>
      </c>
      <c r="AG80" s="22">
        <f t="shared" si="85"/>
        <v>-1.2721993040976098E-6</v>
      </c>
      <c r="AH80" s="22">
        <f t="shared" si="78"/>
        <v>6.3021358740142595E-9</v>
      </c>
      <c r="AI80" s="22"/>
      <c r="AM80" s="23">
        <f t="shared" si="72"/>
        <v>2.4568470946654815</v>
      </c>
      <c r="AN80" s="23">
        <f t="shared" si="73"/>
        <v>7.0933465748569411</v>
      </c>
      <c r="AO80" s="23">
        <f t="shared" si="74"/>
        <v>138.13439229074459</v>
      </c>
      <c r="AP80" s="25">
        <f t="shared" si="75"/>
        <v>552.82264685612961</v>
      </c>
      <c r="AQ80" s="22">
        <f>-X80*V80*W80^(-Parameters!B$53)*Parameters!B$47*Parameters!B$46*M80</f>
        <v>-9.7714488167747101E-6</v>
      </c>
      <c r="AR80" s="7">
        <f>1000*EXP(-(Parameters!$B$55)*'6states'!A80)*AP80*Parameters!B$47*Parameters!B$46*M80</f>
        <v>0.90905597869774457</v>
      </c>
      <c r="AS80" s="7">
        <f>SUM(AR80:AR$204)*EXP(Parameters!$B$55*A80)</f>
        <v>926.67023385250286</v>
      </c>
      <c r="AT80" s="39">
        <f t="shared" si="86"/>
        <v>0.23461955106905918</v>
      </c>
      <c r="AU80">
        <f>(1/$S80-1/Parameters!$B$13) * LN(Parameters!$B$18) / LN(O80)</f>
        <v>0.2172866337822513</v>
      </c>
      <c r="AV80">
        <f>(Parameters!$B$18*'6states'!S80^+Parameters!$B$19*Parameters!$B$25^'6states'!S80)^((1-'6states'!S80)/'6states'!S80)*Parameters!$B$18*Parameters!$B$26^('6states'!S80-1)</f>
        <v>0.30204164245568915</v>
      </c>
      <c r="AW80">
        <f t="shared" si="87"/>
        <v>0.20449159570435577</v>
      </c>
      <c r="AX80">
        <f t="shared" si="88"/>
        <v>0.13981828675185404</v>
      </c>
      <c r="AY80">
        <f t="shared" si="89"/>
        <v>0.18889625674378829</v>
      </c>
      <c r="AZ80">
        <f>(1/$S80-1/Parameters!$B$13) * LN(Parameters!$B$18) / A80</f>
        <v>1.1817608087929315E-2</v>
      </c>
    </row>
    <row r="81" spans="1:52" x14ac:dyDescent="0.25">
      <c r="A81">
        <f>A80+Parameters!$B$71</f>
        <v>77</v>
      </c>
      <c r="B81" s="9">
        <f t="shared" si="95"/>
        <v>1.4275507672210301E-4</v>
      </c>
      <c r="C81" s="9">
        <f t="shared" si="96"/>
        <v>9.1527701468016004E-2</v>
      </c>
      <c r="D81" s="9">
        <f t="shared" si="97"/>
        <v>0.22225890382353666</v>
      </c>
      <c r="E81" s="7">
        <f>MAX((1-Parameters!$B$4)^Parameters!B$71*E80 + B80*Parameters!B$71 - IF(B80&gt;0,Parameters!$B$5,0)*B80^2/E80*Parameters!B$71, 0.0001)</f>
        <v>1.6256243046782158E-2</v>
      </c>
      <c r="F81" s="7">
        <f>(1-Parameters!$B$4)^Parameters!B$71*F80+C80*Parameters!B$71-Parameters!$B$5*C80^2/F80*Parameters!B$71</f>
        <v>1.3089949075512672</v>
      </c>
      <c r="G81" s="7">
        <f>(1-Parameters!$B$4)^Parameters!B$71*G80+D80*Parameters!B$71-Parameters!$B$5*D80^2/G80*Parameters!B$71</f>
        <v>3.2868138919531451</v>
      </c>
      <c r="H81" s="9">
        <f>MAX(H80 * (1-Parameters!$B$4) ^ Parameters!B$71 + (LN(1+EXP(Parameters!$B$21*(-B80+0.004)))/Parameters!$B$21 -0.004) * Parameters!B$71,0)</f>
        <v>6.3148576776902157E-3</v>
      </c>
      <c r="I81" s="23">
        <f>I80*(1+Parameters!$B$52)^Parameters!B$71</f>
        <v>10.198299682515193</v>
      </c>
      <c r="J81" s="23">
        <f>J80*(1+Parameters!$B$54)^Parameters!B$71</f>
        <v>41.456200527533618</v>
      </c>
      <c r="K81" s="23">
        <f>I81*J81*EXP(-Parameters!$B$43*'6states'!A81)*(Parameters!$B$38/Parameters!$B$39*('6states'!E81+'6states'!H81)/Parameters!$E$25*(EXP(-Parameters!$B$39*Parameters!$E$25*'6states'!H81/('6states'!E81+'6states'!H81))-EXP(-Parameters!$B$39*Parameters!$E$25))  +  Parameters!$B$40*'6states'!E81)</f>
        <v>2.5289402381634392</v>
      </c>
      <c r="L81" s="8">
        <f>L80+K81*Parameters!B$71</f>
        <v>3276.1635474293898</v>
      </c>
      <c r="M81" s="7">
        <f>L81*Parameters!$B$46</f>
        <v>1.9656981284576338</v>
      </c>
      <c r="N81" s="9">
        <f>EXP(-Parameters!$B$47/2*M81^2)</f>
        <v>0.96191144094967262</v>
      </c>
      <c r="O81" s="8">
        <f>MAX((Parameters!$B$63 + Parameters!$B$31*'6states'!A81 - '6states'!L81 + Parameters!$B$48/Parameters!$B$46)/Parameters!B$63,1)</f>
        <v>63.404729051412211</v>
      </c>
      <c r="P81" s="7">
        <f>Parameters!B$62*EXP(-Parameters!B$61*A81)</f>
        <v>6.2527602448356992E-2</v>
      </c>
      <c r="Q81" s="7">
        <f>(1-Parameters!B$62)*O81^-Parameters!B$64</f>
        <v>0.33018537972754997</v>
      </c>
      <c r="R81" s="7">
        <f>Parameters!B$62*EXP(-Parameters!B$61*A81)+(1-Parameters!B$62)*O81^-Parameters!B$64</f>
        <v>0.39271298217590694</v>
      </c>
      <c r="S81" s="7">
        <f>1-R81/Parameters!$B$12</f>
        <v>0.8036435089120465</v>
      </c>
      <c r="T81" s="7">
        <f t="shared" si="76"/>
        <v>5.0927779084831597</v>
      </c>
      <c r="U81" s="7">
        <f>(Parameters!$B$19*(E81+Parameters!$B$20)^S81+Parameters!$B$18*F81^S81)^(1/S81)</f>
        <v>0.33433973968894909</v>
      </c>
      <c r="V81" s="7">
        <f>(Parameters!$B$10*G81^Parameters!$B$9+Parameters!$B$11*U81^Parameters!$B$9)^(Parameters!$B$7/Parameters!$B$9)*N81</f>
        <v>1.3375980383166561</v>
      </c>
      <c r="W81" s="7">
        <f>V81 - C81 - D81 - LN(1+EXP(Parameters!$B$21*B81))/Parameters!$B$21 - IF(B81&gt;0, 0,Parameters!$B$6*B81^2/E81)</f>
        <v>1.0214288007303234</v>
      </c>
      <c r="X81" s="7">
        <f>EXP(-Parameters!$B$56*A81)</f>
        <v>0.31264090982365395</v>
      </c>
      <c r="Y81" s="7">
        <f>IF(W81&gt;0,W81^(1-Parameters!$B$53)/(1-Parameters!$B$53)*X81*Parameters!$B$71,-10+W81*1000)</f>
        <v>-0.88665552942615966</v>
      </c>
      <c r="AA81" s="22">
        <f t="shared" si="80"/>
        <v>-1.3931330806699199E-3</v>
      </c>
      <c r="AB81" s="22">
        <f t="shared" si="81"/>
        <v>-1.2483294470770623E-4</v>
      </c>
      <c r="AC81" s="22">
        <f t="shared" si="82"/>
        <v>1.9208969663231379E-5</v>
      </c>
      <c r="AD81" s="22">
        <f t="shared" si="77"/>
        <v>6.117669874817897E-7</v>
      </c>
      <c r="AE81" s="22">
        <f t="shared" si="83"/>
        <v>-1.5715352926323062E-4</v>
      </c>
      <c r="AF81" s="22">
        <f t="shared" si="84"/>
        <v>8.2176496501162877E-6</v>
      </c>
      <c r="AG81" s="22">
        <f t="shared" si="85"/>
        <v>-1.1988722768835336E-6</v>
      </c>
      <c r="AH81" s="22">
        <f t="shared" si="78"/>
        <v>7.7429269320825542E-9</v>
      </c>
      <c r="AI81" s="22"/>
      <c r="AM81" s="23">
        <f t="shared" si="72"/>
        <v>2.6698129370045693</v>
      </c>
      <c r="AN81" s="23">
        <f t="shared" si="73"/>
        <v>6.872859248549906</v>
      </c>
      <c r="AO81" s="23">
        <f t="shared" si="74"/>
        <v>141.35307681277649</v>
      </c>
      <c r="AP81" s="25">
        <f t="shared" si="75"/>
        <v>565.51338596691164</v>
      </c>
      <c r="AQ81" s="22">
        <f>-X81*V81*W81^(-Parameters!B$53)*Parameters!B$47*Parameters!B$46*M81</f>
        <v>-9.6339553018002208E-6</v>
      </c>
      <c r="AR81" s="7">
        <f>1000*EXP(-(Parameters!$B$55)*'6states'!A81)*AP81*Parameters!B$47*Parameters!B$46*M81</f>
        <v>0.89854395143778976</v>
      </c>
      <c r="AS81" s="7">
        <f>SUM(AR81:AR$204)*EXP(Parameters!$B$55*A81)</f>
        <v>946.21085032095561</v>
      </c>
      <c r="AT81" s="39">
        <f t="shared" si="86"/>
        <v>0.23469633729677822</v>
      </c>
      <c r="AU81">
        <f>(1/$S81-1/Parameters!$B$13) * LN(Parameters!$B$18) / LN(O81)</f>
        <v>0.21694229182220029</v>
      </c>
      <c r="AV81">
        <f>(Parameters!$B$18*'6states'!S81^+Parameters!$B$19*Parameters!$B$25^'6states'!S81)^((1-'6states'!S81)/'6states'!S81)*Parameters!$B$18*Parameters!$B$26^('6states'!S81-1)</f>
        <v>0.30226233021566418</v>
      </c>
      <c r="AW81">
        <f t="shared" si="87"/>
        <v>0.20387357991013486</v>
      </c>
      <c r="AX81">
        <f t="shared" si="88"/>
        <v>0.13961295437070964</v>
      </c>
      <c r="AY81">
        <f t="shared" si="89"/>
        <v>0.18902032106302857</v>
      </c>
      <c r="AZ81">
        <f>(1/$S81-1/Parameters!$B$13) * LN(Parameters!$B$18) / A81</f>
        <v>1.1691043911848571E-2</v>
      </c>
    </row>
    <row r="82" spans="1:52" x14ac:dyDescent="0.25">
      <c r="A82">
        <f>A81+Parameters!$B$71</f>
        <v>78</v>
      </c>
      <c r="B82" s="9">
        <f t="shared" si="95"/>
        <v>1.1088259597198186E-4</v>
      </c>
      <c r="C82" s="9">
        <f t="shared" si="96"/>
        <v>9.1569259408885287E-2</v>
      </c>
      <c r="D82" s="9">
        <f t="shared" si="97"/>
        <v>0.22235139294292894</v>
      </c>
      <c r="E82" s="7">
        <f>MAX((1-Parameters!$B$4)^Parameters!B$71*E81 + B81*Parameters!B$71 - IF(B81&gt;0,Parameters!$B$5,0)*B81^2/E81*Parameters!B$71, 0.0001)</f>
        <v>1.5375226824441653E-2</v>
      </c>
      <c r="F82" s="7">
        <f>(1-Parameters!$B$4)^Parameters!B$71*F81+C81*Parameters!B$71-Parameters!$B$5*C81^2/F81*Parameters!B$71</f>
        <v>1.3117870182367317</v>
      </c>
      <c r="G82" s="7">
        <f>(1-Parameters!$B$4)^Parameters!B$71*G81+D81*Parameters!B$71-Parameters!$B$5*D81^2/G81*Parameters!B$71</f>
        <v>3.2873027473238206</v>
      </c>
      <c r="H82" s="9">
        <f>MAX(H81 * (1-Parameters!$B$4) ^ Parameters!B$71 + (LN(1+EXP(Parameters!$B$21*(-B81+0.004)))/Parameters!$B$21 -0.004) * Parameters!B$71,0)</f>
        <v>6.686098499799481E-3</v>
      </c>
      <c r="I82" s="23">
        <f>I81*(1+Parameters!$B$52)^Parameters!B$71</f>
        <v>10.227874751594486</v>
      </c>
      <c r="J82" s="23">
        <f>J81*(1+Parameters!$B$54)^Parameters!B$71</f>
        <v>42.285324538084289</v>
      </c>
      <c r="K82" s="23">
        <f>I82*J82*EXP(-Parameters!$B$43*'6states'!A82)*(Parameters!$B$38/Parameters!$B$39*('6states'!E82+'6states'!H82)/Parameters!$E$25*(EXP(-Parameters!$B$39*Parameters!$E$25*'6states'!H82/('6states'!E82+'6states'!H82))-EXP(-Parameters!$B$39*Parameters!$E$25))  +  Parameters!$B$40*'6states'!E82)</f>
        <v>2.4224478412521253</v>
      </c>
      <c r="L82" s="8">
        <f>L81+K82*Parameters!B$71</f>
        <v>3278.5859952706419</v>
      </c>
      <c r="M82" s="7">
        <f>L82*Parameters!$B$46</f>
        <v>1.967151597162385</v>
      </c>
      <c r="N82" s="9">
        <f>EXP(-Parameters!$B$47/2*M82^2)</f>
        <v>0.96185618211591983</v>
      </c>
      <c r="O82" s="8">
        <f>MAX((Parameters!$B$63 + Parameters!$B$31*'6states'!A82 - '6states'!L82 + Parameters!$B$48/Parameters!$B$46)/Parameters!B$63,1)</f>
        <v>64.42028009458717</v>
      </c>
      <c r="P82" s="7">
        <f>Parameters!B$62*EXP(-Parameters!B$61*A82)</f>
        <v>6.0861944748672944E-2</v>
      </c>
      <c r="Q82" s="7">
        <f>(1-Parameters!B$62)*O82^-Parameters!B$64</f>
        <v>0.32966113038470546</v>
      </c>
      <c r="R82" s="7">
        <f>Parameters!B$62*EXP(-Parameters!B$61*A82)+(1-Parameters!B$62)*O82^-Parameters!B$64</f>
        <v>0.39052307513337842</v>
      </c>
      <c r="S82" s="7">
        <f>1-R82/Parameters!$B$12</f>
        <v>0.80473846243331082</v>
      </c>
      <c r="T82" s="7">
        <f t="shared" si="76"/>
        <v>5.1213362982889672</v>
      </c>
      <c r="U82" s="7">
        <f>(Parameters!$B$19*(E82+Parameters!$B$20)^S82+Parameters!$B$18*F82^S82)^(1/S82)</f>
        <v>0.33443938084366537</v>
      </c>
      <c r="V82" s="7">
        <f>(Parameters!$B$10*G82^Parameters!$B$9+Parameters!$B$11*U82^Parameters!$B$9)^(Parameters!$B$7/Parameters!$B$9)*N82</f>
        <v>1.3375991282231112</v>
      </c>
      <c r="W82" s="7">
        <f>V82 - C82 - D82 - LN(1+EXP(Parameters!$B$21*B82))/Parameters!$B$21 - IF(B82&gt;0, 0,Parameters!$B$6*B82^2/E82)</f>
        <v>1.0213120829320721</v>
      </c>
      <c r="X82" s="7">
        <f>EXP(-Parameters!$B$56*A82)</f>
        <v>0.30795549598621846</v>
      </c>
      <c r="Y82" s="7">
        <f>IF(W82&gt;0,W82^(1-Parameters!$B$53)/(1-Parameters!$B$53)*X82*Parameters!$B$71,-10+W82*1000)</f>
        <v>-0.87340253955966529</v>
      </c>
      <c r="AA82" s="22">
        <f t="shared" si="80"/>
        <v>-1.5697842681267485E-3</v>
      </c>
      <c r="AB82" s="22">
        <f t="shared" si="81"/>
        <v>-1.1714734225139189E-4</v>
      </c>
      <c r="AC82" s="22">
        <f t="shared" si="82"/>
        <v>1.8079272672472113E-5</v>
      </c>
      <c r="AD82" s="22">
        <f t="shared" si="77"/>
        <v>7.6319779347727161E-7</v>
      </c>
      <c r="AE82" s="22">
        <f t="shared" si="83"/>
        <v>-1.7665118745682946E-4</v>
      </c>
      <c r="AF82" s="22">
        <f t="shared" si="84"/>
        <v>7.6856024563143333E-6</v>
      </c>
      <c r="AG82" s="22">
        <f t="shared" si="85"/>
        <v>-1.1296969907592658E-6</v>
      </c>
      <c r="AH82" s="22">
        <f t="shared" si="78"/>
        <v>9.628532451032785E-9</v>
      </c>
      <c r="AI82" s="22"/>
      <c r="AM82" s="23">
        <f t="shared" si="72"/>
        <v>2.891664075515751</v>
      </c>
      <c r="AN82" s="23">
        <f t="shared" si="73"/>
        <v>6.6496165233697084</v>
      </c>
      <c r="AO82" s="23">
        <f t="shared" si="74"/>
        <v>144.64135445392574</v>
      </c>
      <c r="AP82" s="25">
        <f t="shared" si="75"/>
        <v>578.49691365449632</v>
      </c>
      <c r="AQ82" s="22">
        <f>-X82*V82*W82^(-Parameters!B$53)*Parameters!B$47*Parameters!B$46*M82</f>
        <v>-9.4980650446402057E-6</v>
      </c>
      <c r="AR82" s="7">
        <f>1000*EXP(-(Parameters!$B$55)*'6states'!A82)*AP82*Parameters!B$47*Parameters!B$46*M82</f>
        <v>0.88812634165726922</v>
      </c>
      <c r="AS82" s="7">
        <f>SUM(AR82:AR$204)*EXP(Parameters!$B$55*A82)</f>
        <v>966.12744581789673</v>
      </c>
      <c r="AT82" s="39">
        <f t="shared" si="86"/>
        <v>0.23477253260844369</v>
      </c>
      <c r="AU82">
        <f>(1/$S82-1/Parameters!$B$13) * LN(Parameters!$B$18) / LN(O82)</f>
        <v>0.21659891978361778</v>
      </c>
      <c r="AV82">
        <f>(Parameters!$B$18*'6states'!S82^+Parameters!$B$19*Parameters!$B$25^'6states'!S82)^((1-'6states'!S82)/'6states'!S82)*Parameters!$B$18*Parameters!$B$26^('6states'!S82-1)</f>
        <v>0.30247490214957706</v>
      </c>
      <c r="AW82">
        <f t="shared" si="87"/>
        <v>0.20326462999320966</v>
      </c>
      <c r="AX82">
        <f t="shared" si="88"/>
        <v>0.13940815154971153</v>
      </c>
      <c r="AY82">
        <f t="shared" si="89"/>
        <v>0.1891398049553672</v>
      </c>
      <c r="AZ82">
        <f>(1/$S82-1/Parameters!$B$13) * LN(Parameters!$B$18) / A82</f>
        <v>1.1567016817539038E-2</v>
      </c>
    </row>
    <row r="83" spans="1:52" x14ac:dyDescent="0.25">
      <c r="A83">
        <f>A82+Parameters!$B$71</f>
        <v>79</v>
      </c>
      <c r="B83" s="9">
        <f t="shared" si="95"/>
        <v>7.9010115221860716E-5</v>
      </c>
      <c r="C83" s="9">
        <f t="shared" si="96"/>
        <v>9.161081734975457E-2</v>
      </c>
      <c r="D83" s="9">
        <f t="shared" si="97"/>
        <v>0.22244388206232121</v>
      </c>
      <c r="E83" s="7">
        <f>MAX((1-Parameters!$B$4)^Parameters!B$71*E82 + B82*Parameters!B$71 - IF(B82&gt;0,Parameters!$B$5,0)*B82^2/E82*Parameters!B$71, 0.0001)</f>
        <v>1.4518207993402947E-2</v>
      </c>
      <c r="F83" s="7">
        <f>(1-Parameters!$B$4)^Parameters!B$71*F82+C82*Parameters!B$71-Parameters!$B$5*C82^2/F82*Parameters!B$71</f>
        <v>1.3144528843769148</v>
      </c>
      <c r="G83" s="7">
        <f>(1-Parameters!$B$4)^Parameters!B$71*G82+D82*Parameters!B$71-Parameters!$B$5*D82^2/G82*Parameters!B$71</f>
        <v>3.287843068617367</v>
      </c>
      <c r="H83" s="9">
        <f>MAX(H82 * (1-Parameters!$B$4) ^ Parameters!B$71 + (LN(1+EXP(Parameters!$B$21*(-B82+0.004)))/Parameters!$B$21 -0.004) * Parameters!B$71,0)</f>
        <v>7.0582651375893481E-3</v>
      </c>
      <c r="I83" s="23">
        <f>I82*(1+Parameters!$B$52)^Parameters!B$71</f>
        <v>10.257535588374109</v>
      </c>
      <c r="J83" s="23">
        <f>J82*(1+Parameters!$B$54)^Parameters!B$71</f>
        <v>43.131031028845975</v>
      </c>
      <c r="K83" s="23">
        <f>I83*J83*EXP(-Parameters!$B$43*'6states'!A83)*(Parameters!$B$38/Parameters!$B$39*('6states'!E83+'6states'!H83)/Parameters!$E$25*(EXP(-Parameters!$B$39*Parameters!$E$25*'6states'!H83/('6states'!E83+'6states'!H83))-EXP(-Parameters!$B$39*Parameters!$E$25))  +  Parameters!$B$40*'6states'!E83)</f>
        <v>2.3166511823745011</v>
      </c>
      <c r="L83" s="8">
        <f>L82+K83*Parameters!B$71</f>
        <v>3280.9026464530166</v>
      </c>
      <c r="M83" s="7">
        <f>L83*Parameters!$B$46</f>
        <v>1.9685415878718098</v>
      </c>
      <c r="N83" s="9">
        <f>EXP(-Parameters!$B$47/2*M83^2)</f>
        <v>0.96180330139148251</v>
      </c>
      <c r="O83" s="8">
        <f>MAX((Parameters!$B$63 + Parameters!$B$31*'6states'!A83 - '6states'!L83 + Parameters!$B$48/Parameters!$B$46)/Parameters!B$63,1)</f>
        <v>65.437947070939671</v>
      </c>
      <c r="P83" s="7">
        <f>Parameters!B$62*EXP(-Parameters!B$61*A83)</f>
        <v>5.9240658102153877E-2</v>
      </c>
      <c r="Q83" s="7">
        <f>(1-Parameters!B$62)*O83^-Parameters!B$64</f>
        <v>0.32914482989874505</v>
      </c>
      <c r="R83" s="7">
        <f>Parameters!B$62*EXP(-Parameters!B$61*A83)+(1-Parameters!B$62)*O83^-Parameters!B$64</f>
        <v>0.38838548800089895</v>
      </c>
      <c r="S83" s="7">
        <f>1-R83/Parameters!$B$12</f>
        <v>0.8058072559995505</v>
      </c>
      <c r="T83" s="7">
        <f t="shared" si="76"/>
        <v>5.1495229914341456</v>
      </c>
      <c r="U83" s="7">
        <f>(Parameters!$B$19*(E83+Parameters!$B$20)^S83+Parameters!$B$18*F83^S83)^(1/S83)</f>
        <v>0.33452657365154742</v>
      </c>
      <c r="V83" s="7">
        <f>(Parameters!$B$10*G83^Parameters!$B$9+Parameters!$B$11*U83^Parameters!$B$9)^(Parameters!$B$7/Parameters!$B$9)*N83</f>
        <v>1.3376033160670853</v>
      </c>
      <c r="W83" s="7">
        <f>V83 - C83 - D83 - LN(1+EXP(Parameters!$B$21*B83))/Parameters!$B$21 - IF(B83&gt;0, 0,Parameters!$B$6*B83^2/E83)</f>
        <v>1.0211983869035757</v>
      </c>
      <c r="X83" s="7">
        <f>EXP(-Parameters!$B$56*A83)</f>
        <v>0.30334030041561322</v>
      </c>
      <c r="Y83" s="7">
        <f>IF(W83&gt;0,W83^(1-Parameters!$B$53)/(1-Parameters!$B$53)*X83*Parameters!$B$71,-10+W83*1000)</f>
        <v>-0.86034675726980414</v>
      </c>
      <c r="AA83" s="22">
        <f t="shared" si="80"/>
        <v>-1.7696301269711102E-3</v>
      </c>
      <c r="AB83" s="22">
        <f t="shared" si="81"/>
        <v>-1.0995660543562658E-4</v>
      </c>
      <c r="AC83" s="22">
        <f t="shared" si="82"/>
        <v>1.7014825834688052E-5</v>
      </c>
      <c r="AD83" s="22">
        <f t="shared" si="77"/>
        <v>9.5369303048667632E-7</v>
      </c>
      <c r="AE83" s="22">
        <f t="shared" si="83"/>
        <v>-1.9984585884436253E-4</v>
      </c>
      <c r="AF83" s="22">
        <f t="shared" si="84"/>
        <v>7.1907368157653195E-6</v>
      </c>
      <c r="AG83" s="22">
        <f t="shared" si="85"/>
        <v>-1.064446837784061E-6</v>
      </c>
      <c r="AH83" s="22">
        <f t="shared" si="78"/>
        <v>1.2130944757576954E-8</v>
      </c>
      <c r="AI83" s="22"/>
      <c r="AM83" s="23">
        <f t="shared" si="72"/>
        <v>3.1227041508293425</v>
      </c>
      <c r="AN83" s="23">
        <f t="shared" si="73"/>
        <v>6.4231177888405337</v>
      </c>
      <c r="AO83" s="23">
        <f t="shared" si="74"/>
        <v>148.00060634463256</v>
      </c>
      <c r="AP83" s="25">
        <f t="shared" si="75"/>
        <v>591.77989857609055</v>
      </c>
      <c r="AQ83" s="22">
        <f>-X83*V83*W83^(-Parameters!B$53)*Parameters!B$47*Parameters!B$46*M83</f>
        <v>-9.3637689540706111E-6</v>
      </c>
      <c r="AR83" s="7">
        <f>1000*EXP(-(Parameters!$B$55)*'6states'!A83)*AP83*Parameters!B$47*Parameters!B$46*M83</f>
        <v>0.87780276043131189</v>
      </c>
      <c r="AS83" s="7">
        <f>SUM(AR83:AR$204)*EXP(Parameters!$B$55*A83)</f>
        <v>986.42623774785955</v>
      </c>
      <c r="AT83" s="39">
        <f t="shared" si="86"/>
        <v>0.23484818387781478</v>
      </c>
      <c r="AU83">
        <f>(1/$S83-1/Parameters!$B$13) * LN(Parameters!$B$18) / LN(O83)</f>
        <v>0.21625655132738461</v>
      </c>
      <c r="AV83">
        <f>(Parameters!$B$18*'6states'!S83^+Parameters!$B$19*Parameters!$B$25^'6states'!S83)^((1-'6states'!S83)/'6states'!S83)*Parameters!$B$18*Parameters!$B$26^('6states'!S83-1)</f>
        <v>0.30267970998920524</v>
      </c>
      <c r="AW83">
        <f t="shared" si="87"/>
        <v>0.20266453531371303</v>
      </c>
      <c r="AX83">
        <f t="shared" si="88"/>
        <v>0.13920389877437112</v>
      </c>
      <c r="AY83">
        <f t="shared" si="89"/>
        <v>0.18925490810106937</v>
      </c>
      <c r="AZ83">
        <f>(1/$S83-1/Parameters!$B$13) * LN(Parameters!$B$18) / A83</f>
        <v>1.1445452767188547E-2</v>
      </c>
    </row>
    <row r="84" spans="1:52" s="4" customFormat="1" x14ac:dyDescent="0.25">
      <c r="A84" s="4">
        <f>A83+Parameters!$B$71</f>
        <v>80</v>
      </c>
      <c r="B84" s="9">
        <f t="shared" si="95"/>
        <v>4.7137634471739578E-5</v>
      </c>
      <c r="C84" s="9">
        <f t="shared" si="96"/>
        <v>9.1652375290623853E-2</v>
      </c>
      <c r="D84" s="9">
        <f t="shared" si="97"/>
        <v>0.22253637118171349</v>
      </c>
      <c r="E84" s="7">
        <f>MAX((1-Parameters!$B$4)^Parameters!B$71*E83 + B83*Parameters!B$71 - IF(B83&gt;0,Parameters!$B$5,0)*B83^2/E83*Parameters!B$71, 0.0001)</f>
        <v>1.3683592841759759E-2</v>
      </c>
      <c r="F84" s="17">
        <f>(1-Parameters!$B$4)^Parameters!B$71*F83+C83*Parameters!B$71-Parameters!$B$5*C83^2/F83*Parameters!B$71</f>
        <v>1.3169997977412422</v>
      </c>
      <c r="G84" s="17">
        <f>(1-Parameters!$B$4)^Parameters!B$71*G83+D83*Parameters!B$71-Parameters!$B$5*D83^2/G83*Parameters!B$71</f>
        <v>3.2884318520626499</v>
      </c>
      <c r="H84" s="9">
        <f>MAX(H83 * (1-Parameters!$B$4) ^ Parameters!B$71 + (LN(1+EXP(Parameters!$B$21*(-B83+0.004)))/Parameters!$B$21 -0.004) * Parameters!B$71,0)</f>
        <v>7.431354538013888E-3</v>
      </c>
      <c r="I84" s="40">
        <f>I83*(1+Parameters!$B$52)^Parameters!B$71</f>
        <v>10.287282441580393</v>
      </c>
      <c r="J84" s="40">
        <f>J83*(1+Parameters!$B$54)^Parameters!B$71</f>
        <v>43.993651649422894</v>
      </c>
      <c r="K84" s="23">
        <f>I84*J84*EXP(-Parameters!$B$43*'6states'!A84)*(Parameters!$B$38/Parameters!$B$39*('6states'!E84+'6states'!H84)/Parameters!$E$25*(EXP(-Parameters!$B$39*Parameters!$E$25*'6states'!H84/('6states'!E84+'6states'!H84))-EXP(-Parameters!$B$39*Parameters!$E$25))  +  Parameters!$B$40*'6states'!E84)</f>
        <v>2.2113759760129668</v>
      </c>
      <c r="L84" s="25">
        <f>L83+K84*Parameters!B$71</f>
        <v>3283.1140224290298</v>
      </c>
      <c r="M84" s="17">
        <f>L84*Parameters!$B$46</f>
        <v>1.9698684134574176</v>
      </c>
      <c r="N84" s="9">
        <f>EXP(-Parameters!$B$47/2*M84^2)</f>
        <v>0.96175279158733706</v>
      </c>
      <c r="O84" s="8">
        <f>MAX((Parameters!$B$63 + Parameters!$B$31*'6states'!A84 - '6states'!L84 + Parameters!$B$48/Parameters!$B$46)/Parameters!B$63,1)</f>
        <v>66.457719551419402</v>
      </c>
      <c r="P84" s="7">
        <f>Parameters!B$62*EXP(-Parameters!B$61*A84)</f>
        <v>5.7662560519031257E-2</v>
      </c>
      <c r="Q84" s="7">
        <f>(1-Parameters!B$62)*O84^-Parameters!B$64</f>
        <v>0.3286362458872425</v>
      </c>
      <c r="R84" s="7">
        <f>Parameters!B$62*EXP(-Parameters!B$61*A84)+(1-Parameters!B$62)*O84^-Parameters!B$64</f>
        <v>0.38629880640627373</v>
      </c>
      <c r="S84" s="17">
        <f>1-R84/Parameters!$B$12</f>
        <v>0.80685059679686311</v>
      </c>
      <c r="T84" s="17">
        <f t="shared" si="76"/>
        <v>5.1773393208380325</v>
      </c>
      <c r="U84" s="7">
        <f>(Parameters!$B$19*(E84+Parameters!$B$20)^S84+Parameters!$B$18*F84^S84)^(1/S84)</f>
        <v>0.33460132142456173</v>
      </c>
      <c r="V84" s="17">
        <f>(Parameters!$B$10*G84^Parameters!$B$9+Parameters!$B$11*U84^Parameters!$B$9)^(Parameters!$B$7/Parameters!$B$9)*N84</f>
        <v>1.3376103453474488</v>
      </c>
      <c r="W84" s="7">
        <f>V84 - C84 - D84 - LN(1+EXP(Parameters!$B$21*B84))/Parameters!$B$21 - IF(B84&gt;0, 0,Parameters!$B$6*B84^2/E84)</f>
        <v>1.0210874561333316</v>
      </c>
      <c r="X84" s="17">
        <f>EXP(-Parameters!$B$56*A84)</f>
        <v>0.29879427078110121</v>
      </c>
      <c r="Y84" s="17">
        <f>IF(W84&gt;0,W84^(1-Parameters!$B$53)/(1-Parameters!$B$53)*X84*Parameters!$B$71,-10+W84*1000)</f>
        <v>-0.84748533560636163</v>
      </c>
      <c r="AA84" s="22">
        <f t="shared" si="80"/>
        <v>-1.9973108572668165E-3</v>
      </c>
      <c r="AB84" s="22">
        <f t="shared" si="81"/>
        <v>-1.0322646363837562E-4</v>
      </c>
      <c r="AC84" s="22">
        <f t="shared" si="82"/>
        <v>1.601191923086831E-5</v>
      </c>
      <c r="AD84" s="22">
        <f t="shared" si="77"/>
        <v>1.195225710370707E-6</v>
      </c>
      <c r="AE84" s="22">
        <f t="shared" si="83"/>
        <v>-2.2768073029570592E-4</v>
      </c>
      <c r="AF84" s="22">
        <f t="shared" si="84"/>
        <v>6.7301417972509547E-6</v>
      </c>
      <c r="AG84" s="22">
        <f t="shared" si="85"/>
        <v>-1.0029066038197421E-6</v>
      </c>
      <c r="AH84" s="22">
        <f t="shared" si="78"/>
        <v>1.5502885635316046E-8</v>
      </c>
      <c r="AI84" s="22"/>
      <c r="AM84" s="40">
        <f t="shared" si="72"/>
        <v>3.3632461729494438</v>
      </c>
      <c r="AN84" s="40">
        <f t="shared" si="73"/>
        <v>6.1928536744993758</v>
      </c>
      <c r="AO84" s="40">
        <f t="shared" si="74"/>
        <v>151.43223324744582</v>
      </c>
      <c r="AP84" s="25">
        <f t="shared" si="75"/>
        <v>605.36916276500551</v>
      </c>
      <c r="AQ84" s="22">
        <f>-X84*V84*W84^(-Parameters!B$53)*Parameters!B$47*Parameters!B$46*M84</f>
        <v>-9.2310571294629038E-6</v>
      </c>
      <c r="AR84" s="17">
        <f>1000*EXP(-(Parameters!$B$55)*'6states'!A84)*AP84*Parameters!B$47*Parameters!B$46*M84</f>
        <v>0.86757277166652547</v>
      </c>
      <c r="AS84" s="17">
        <f>SUM(AR84:AR$204)*EXP(Parameters!$B$55*A84)</f>
        <v>1007.1135137021412</v>
      </c>
      <c r="AT84" s="39">
        <f t="shared" si="86"/>
        <v>0.2349233356334316</v>
      </c>
      <c r="AU84">
        <f>(1/$S84-1/Parameters!$B$13) * LN(Parameters!$B$18) / LN(O84)</f>
        <v>0.21591521740728553</v>
      </c>
      <c r="AV84">
        <f>(Parameters!$B$18*'6states'!S84^+Parameters!$B$19*Parameters!$B$25^'6states'!S84)^((1-'6states'!S84)/'6states'!S84)*Parameters!$B$18*Parameters!$B$26^('6states'!S84-1)</f>
        <v>0.30287708845675726</v>
      </c>
      <c r="AW84">
        <f t="shared" si="87"/>
        <v>0.202073090245703</v>
      </c>
      <c r="AX84">
        <f t="shared" si="88"/>
        <v>0.13900021493264414</v>
      </c>
      <c r="AY84">
        <f t="shared" si="89"/>
        <v>0.18936582043747885</v>
      </c>
      <c r="AZ84">
        <f>(1/$S84-1/Parameters!$B$13) * LN(Parameters!$B$18) / A84</f>
        <v>1.1326280616172822E-2</v>
      </c>
    </row>
    <row r="85" spans="1:52" x14ac:dyDescent="0.25">
      <c r="A85">
        <f>A84+Parameters!$B$71</f>
        <v>81</v>
      </c>
      <c r="B85" s="20">
        <v>1.52651537216185E-5</v>
      </c>
      <c r="C85" s="20">
        <v>9.1693933231493108E-2</v>
      </c>
      <c r="D85" s="20">
        <v>0.22262886030110587</v>
      </c>
      <c r="E85" s="7">
        <f>MAX((1-Parameters!$B$4)^Parameters!B$71*E84 + B84*Parameters!B$71 - IF(B84&gt;0,Parameters!$B$5,0)*B84^2/E84*Parameters!B$71, 0.0001)</f>
        <v>1.2869870105404834E-2</v>
      </c>
      <c r="F85" s="7">
        <f>(1-Parameters!$B$4)^Parameters!B$71*F84+C84*Parameters!B$71-Parameters!$B$5*C84^2/F84*Parameters!B$71</f>
        <v>1.319434632764974</v>
      </c>
      <c r="G85" s="7">
        <f>(1-Parameters!$B$4)^Parameters!B$71*G84+D84*Parameters!B$71-Parameters!$B$5*D84^2/G84*Parameters!B$71</f>
        <v>3.2890662694261494</v>
      </c>
      <c r="H85" s="9">
        <f>MAX(H84 * (1-Parameters!$B$4) ^ Parameters!B$71 + (LN(1+EXP(Parameters!$B$21*(-B84+0.004)))/Parameters!$B$21 -0.004) * Parameters!B$71,0)</f>
        <v>7.8053635627929113E-3</v>
      </c>
      <c r="I85" s="23">
        <f>I84*(1+Parameters!$B$52)^Parameters!B$71</f>
        <v>10.317115560660975</v>
      </c>
      <c r="J85" s="23">
        <f>J84*(1+Parameters!$B$54)^Parameters!B$71</f>
        <v>44.87352468241135</v>
      </c>
      <c r="K85" s="23">
        <f>I85*J85*EXP(-Parameters!$B$43*'6states'!A85)*(Parameters!$B$38/Parameters!$B$39*('6states'!E85+'6states'!H85)/Parameters!$E$25*(EXP(-Parameters!$B$39*Parameters!$E$25*'6states'!H85/('6states'!E85+'6states'!H85))-EXP(-Parameters!$B$39*Parameters!$E$25))  +  Parameters!$B$40*'6states'!E85)</f>
        <v>2.1064514263563234</v>
      </c>
      <c r="L85" s="8">
        <f>L84+K85*Parameters!B$71</f>
        <v>3285.220473855386</v>
      </c>
      <c r="M85" s="7">
        <f>L85*Parameters!$B$46</f>
        <v>1.9711322843132315</v>
      </c>
      <c r="N85" s="9">
        <f>EXP(-Parameters!$B$47/2*M85^2)</f>
        <v>0.96170464917386678</v>
      </c>
      <c r="O85" s="8">
        <f>MAX((Parameters!$B$63 + Parameters!$B$31*'6states'!A85 - '6states'!L85 + Parameters!$B$48/Parameters!$B$46)/Parameters!B$63,1)</f>
        <v>67.479590522892281</v>
      </c>
      <c r="P85" s="7">
        <f>Parameters!B$62*EXP(-Parameters!B$61*A85)</f>
        <v>5.6126501496276487E-2</v>
      </c>
      <c r="Q85" s="7">
        <f>(1-Parameters!B$62)*O85^-Parameters!B$64</f>
        <v>0.32813515435370005</v>
      </c>
      <c r="R85" s="7">
        <f>Parameters!B$62*EXP(-Parameters!B$61*A85)+(1-Parameters!B$62)*O85^-Parameters!B$64</f>
        <v>0.38426165584997651</v>
      </c>
      <c r="S85" s="7">
        <f>1-R85/Parameters!$B$12</f>
        <v>0.80786917207501174</v>
      </c>
      <c r="T85" s="7">
        <f t="shared" si="76"/>
        <v>5.2047868153174264</v>
      </c>
      <c r="U85" s="7">
        <f>(Parameters!$B$19*(E85+Parameters!$B$20)^S85+Parameters!$B$18*F85^S85)^(1/S85)</f>
        <v>0.33466361361966351</v>
      </c>
      <c r="V85" s="7">
        <f>(Parameters!$B$10*G85^Parameters!$B$9+Parameters!$B$11*U85^Parameters!$B$9)^(Parameters!$B$7/Parameters!$B$9)*N85</f>
        <v>1.3376199711073569</v>
      </c>
      <c r="W85" s="7">
        <f>V85 - C85 - D85 - LN(1+EXP(Parameters!$B$21*B85))/Parameters!$B$21 - IF(B85&gt;0, 0,Parameters!$B$6*B85^2/E85)</f>
        <v>1.0209790456576036</v>
      </c>
      <c r="X85" s="7">
        <f>EXP(-Parameters!$B$56*A85)</f>
        <v>0.29431637052277015</v>
      </c>
      <c r="Y85" s="7">
        <f>IF(W85&gt;0,W85^(1-Parameters!$B$53)/(1-Parameters!$B$53)*X85*Parameters!$B$71,-10+W85*1000)</f>
        <v>-0.83481546298566234</v>
      </c>
      <c r="AA85" s="22">
        <f t="shared" si="80"/>
        <v>-2.258713181153105E-3</v>
      </c>
      <c r="AB85" s="22">
        <f t="shared" si="81"/>
        <v>-9.6925294509275783E-5</v>
      </c>
      <c r="AC85" s="22">
        <f t="shared" si="82"/>
        <v>1.5067047219818885E-5</v>
      </c>
      <c r="AD85" s="22">
        <f t="shared" si="77"/>
        <v>1.5043706868524791E-6</v>
      </c>
      <c r="AE85" s="22">
        <f t="shared" si="83"/>
        <v>-2.6140232388628844E-4</v>
      </c>
      <c r="AF85" s="22">
        <f t="shared" si="84"/>
        <v>6.3011691290998373E-6</v>
      </c>
      <c r="AG85" s="22">
        <f t="shared" si="85"/>
        <v>-9.4487201104942464E-7</v>
      </c>
      <c r="AH85" s="22">
        <f t="shared" si="78"/>
        <v>2.0122931913299179E-8</v>
      </c>
      <c r="AI85" s="22"/>
      <c r="AM85" s="23">
        <f t="shared" si="72"/>
        <v>3.61361279381912</v>
      </c>
      <c r="AN85" s="23">
        <f t="shared" si="73"/>
        <v>5.958303786049413</v>
      </c>
      <c r="AO85" s="23">
        <f t="shared" si="74"/>
        <v>154.93765358561049</v>
      </c>
      <c r="AP85" s="25">
        <f t="shared" si="75"/>
        <v>619.27168439697061</v>
      </c>
      <c r="AQ85" s="22">
        <f>-X85*V85*W85^(-Parameters!B$53)*Parameters!B$47*Parameters!B$46*M85</f>
        <v>-9.0999189350701382E-6</v>
      </c>
      <c r="AR85" s="7">
        <f>1000*EXP(-(Parameters!$B$55)*'6states'!A85)*AP85*Parameters!B$47*Parameters!B$46*M85</f>
        <v>0.85743589437236056</v>
      </c>
      <c r="AS85" s="7">
        <f>SUM(AR85:AR$204)*EXP(Parameters!$B$55*A85)</f>
        <v>1028.1956316598951</v>
      </c>
      <c r="AT85" s="39">
        <f t="shared" si="86"/>
        <v>0.2349980304391642</v>
      </c>
      <c r="AU85">
        <f>(1/$S85-1/Parameters!$B$13) * LN(Parameters!$B$18) / LN(O85)</f>
        <v>0.21557494641590375</v>
      </c>
      <c r="AV85">
        <f>(Parameters!$B$18*'6states'!S85^+Parameters!$B$19*Parameters!$B$25^'6states'!S85)^((1-'6states'!S85)/'6states'!S85)*Parameters!$B$18*Parameters!$B$26^('6states'!S85-1)</f>
        <v>0.30306735616637859</v>
      </c>
      <c r="AW85">
        <f t="shared" si="87"/>
        <v>0.20149009406205254</v>
      </c>
      <c r="AX85">
        <f t="shared" si="88"/>
        <v>0.13879711739998402</v>
      </c>
      <c r="AY85">
        <f t="shared" si="89"/>
        <v>0.18947272268228366</v>
      </c>
      <c r="AZ85">
        <f>(1/$S85-1/Parameters!$B$13) * LN(Parameters!$B$18) / A85</f>
        <v>1.1209431969715036E-2</v>
      </c>
    </row>
    <row r="86" spans="1:52" x14ac:dyDescent="0.25">
      <c r="A86">
        <f>A85+Parameters!$B$71</f>
        <v>82</v>
      </c>
      <c r="B86" s="9">
        <f>B85+(B$95-B$85)/10</f>
        <v>-2.4165757324978211E-6</v>
      </c>
      <c r="C86" s="9">
        <f t="shared" ref="C86:D86" si="98">C85+(C$95-C$85)/10</f>
        <v>9.1842148810240595E-2</v>
      </c>
      <c r="D86" s="9">
        <f t="shared" si="98"/>
        <v>0.22260892982894426</v>
      </c>
      <c r="E86" s="7">
        <f>MAX((1-Parameters!$B$4)^Parameters!B$71*E85 + B85*Parameters!B$71 - IF(B85&gt;0,Parameters!$B$5,0)*B85^2/E85*Parameters!B$71, 0.0001)</f>
        <v>1.2075602323259502E-2</v>
      </c>
      <c r="F86" s="7">
        <f>(1-Parameters!$B$4)^Parameters!B$71*F85+C85*Parameters!B$71-Parameters!$B$5*C85^2/F85*Parameters!B$71</f>
        <v>1.3217638699765106</v>
      </c>
      <c r="G86" s="7">
        <f>(1-Parameters!$B$4)^Parameters!B$71*G85+D85*Parameters!B$71-Parameters!$B$5*D85^2/G85*Parameters!B$71</f>
        <v>3.2897436577283314</v>
      </c>
      <c r="H86" s="9">
        <f>MAX(H85 * (1-Parameters!$B$4) ^ Parameters!B$71 + (LN(1+EXP(Parameters!$B$21*(-B85+0.004)))/Parameters!$B$21 -0.004) * Parameters!B$71,0)</f>
        <v>8.1802889933669052E-3</v>
      </c>
      <c r="I86" s="23">
        <f>I85*(1+Parameters!$B$52)^Parameters!B$71</f>
        <v>10.347035195786891</v>
      </c>
      <c r="J86" s="23">
        <f>J85*(1+Parameters!$B$54)^Parameters!B$71</f>
        <v>45.770995176059579</v>
      </c>
      <c r="K86" s="23">
        <f>I86*J86*EXP(-Parameters!$B$43*'6states'!A86)*(Parameters!$B$38/Parameters!$B$39*('6states'!E86+'6states'!H86)/Parameters!$E$25*(EXP(-Parameters!$B$39*Parameters!$E$25*'6states'!H86/('6states'!E86+'6states'!H86))-EXP(-Parameters!$B$39*Parameters!$E$25))  +  Parameters!$B$40*'6states'!E86)</f>
        <v>2.001708991780903</v>
      </c>
      <c r="L86" s="8">
        <f>L85+K86*Parameters!B$71</f>
        <v>3287.222182847167</v>
      </c>
      <c r="M86" s="7">
        <f>L86*Parameters!$B$46</f>
        <v>1.9723333097083</v>
      </c>
      <c r="N86" s="9">
        <f>EXP(-Parameters!$B$47/2*M86^2)</f>
        <v>0.96165887424396779</v>
      </c>
      <c r="O86" s="8">
        <f>MAX((Parameters!$B$63 + Parameters!$B$31*'6states'!A86 - '6states'!L86 + Parameters!$B$48/Parameters!$B$46)/Parameters!B$63,1)</f>
        <v>68.503556343056673</v>
      </c>
      <c r="P86" s="7">
        <f>Parameters!B$62*EXP(-Parameters!B$61*A86)</f>
        <v>5.4631361178833215E-2</v>
      </c>
      <c r="Q86" s="7">
        <f>(1-Parameters!B$62)*O86^-Parameters!B$64</f>
        <v>0.32764133927745093</v>
      </c>
      <c r="R86" s="7">
        <f>Parameters!B$62*EXP(-Parameters!B$61*A86)+(1-Parameters!B$62)*O86^-Parameters!B$64</f>
        <v>0.38227270045628414</v>
      </c>
      <c r="S86" s="7">
        <f>1-R86/Parameters!$B$12</f>
        <v>0.80886364977185798</v>
      </c>
      <c r="T86" s="7">
        <f t="shared" si="76"/>
        <v>5.2318671922237252</v>
      </c>
      <c r="U86" s="7">
        <f>(Parameters!$B$19*(E86+Parameters!$B$20)^S86+Parameters!$B$18*F86^S86)^(1/S86)</f>
        <v>0.334713421222543</v>
      </c>
      <c r="V86" s="7">
        <f>(Parameters!$B$10*G86^Parameters!$B$9+Parameters!$B$11*U86^Parameters!$B$9)^(Parameters!$B$7/Parameters!$B$9)*N86</f>
        <v>1.3376319575074587</v>
      </c>
      <c r="W86" s="7">
        <f>V86 - C86 - D86 - LN(1+EXP(Parameters!$B$21*B86))/Parameters!$B$21 - IF(B86&gt;0, 0,Parameters!$B$6*B86^2/E86)</f>
        <v>1.0208715939172479</v>
      </c>
      <c r="X86" s="7">
        <f>EXP(-Parameters!$B$56*A86)</f>
        <v>0.28990557861518201</v>
      </c>
      <c r="Y86" s="7">
        <f>IF(W86&gt;0,W86^(1-Parameters!$B$53)/(1-Parameters!$B$53)*X86*Parameters!$B$71,-10+W86*1000)</f>
        <v>-0.82233473741109153</v>
      </c>
      <c r="AA86" s="22">
        <f t="shared" si="80"/>
        <v>-1.3862361145896688E-3</v>
      </c>
      <c r="AB86" s="22">
        <f t="shared" si="81"/>
        <v>-1.0330475714845355E-5</v>
      </c>
      <c r="AC86" s="22">
        <f t="shared" si="82"/>
        <v>-1.9995853252269269E-5</v>
      </c>
      <c r="AD86" s="22">
        <f t="shared" si="77"/>
        <v>5.5724407156090387E-7</v>
      </c>
      <c r="AE86" s="22">
        <f t="shared" si="83"/>
        <v>8.7247706656343616E-4</v>
      </c>
      <c r="AF86" s="22">
        <f t="shared" si="84"/>
        <v>8.6594818794430428E-5</v>
      </c>
      <c r="AG86" s="22">
        <f t="shared" si="85"/>
        <v>-3.5062900472088154E-5</v>
      </c>
      <c r="AH86" s="22">
        <f t="shared" si="78"/>
        <v>2.2321114817293891E-7</v>
      </c>
      <c r="AI86" s="22"/>
      <c r="AM86" s="23">
        <f t="shared" si="72"/>
        <v>3.8741365874618987</v>
      </c>
      <c r="AN86" s="23">
        <f t="shared" si="73"/>
        <v>5.7189339904878391</v>
      </c>
      <c r="AO86" s="23">
        <f t="shared" si="74"/>
        <v>158.51830082338984</v>
      </c>
      <c r="AP86" s="25">
        <f t="shared" si="75"/>
        <v>633.49460041570114</v>
      </c>
      <c r="AQ86" s="22">
        <f>-X86*V86*W86^(-Parameters!B$53)*Parameters!B$47*Parameters!B$46*M86</f>
        <v>-8.9703587943575673E-6</v>
      </c>
      <c r="AR86" s="7">
        <f>1000*EXP(-(Parameters!$B$55)*'6states'!A86)*AP86*Parameters!B$47*Parameters!B$46*M86</f>
        <v>0.84739160439496186</v>
      </c>
      <c r="AS86" s="7">
        <f>SUM(AR86:AR$204)*EXP(Parameters!$B$55*A86)</f>
        <v>1049.6790202277055</v>
      </c>
      <c r="AT86" s="39">
        <f t="shared" si="86"/>
        <v>0.23507861059883431</v>
      </c>
      <c r="AU86">
        <f>(1/$S86-1/Parameters!$B$13) * LN(Parameters!$B$18) / LN(O86)</f>
        <v>0.21523576430788441</v>
      </c>
      <c r="AV86">
        <f>(Parameters!$B$18*'6states'!S86^+Parameters!$B$19*Parameters!$B$25^'6states'!S86)^((1-'6states'!S86)/'6states'!S86)*Parameters!$B$18*Parameters!$B$26^('6states'!S86-1)</f>
        <v>0.30325081647505342</v>
      </c>
      <c r="AW86">
        <f t="shared" si="87"/>
        <v>0.20091535080602971</v>
      </c>
      <c r="AX86">
        <f t="shared" si="88"/>
        <v>0.13859462211101692</v>
      </c>
      <c r="AY86">
        <f t="shared" si="89"/>
        <v>0.18957578682680598</v>
      </c>
      <c r="AZ86">
        <f>(1/$S86-1/Parameters!$B$13) * LN(Parameters!$B$18) / A86</f>
        <v>1.1094841048292602E-2</v>
      </c>
    </row>
    <row r="87" spans="1:52" x14ac:dyDescent="0.25">
      <c r="A87">
        <f>A86+Parameters!$B$71</f>
        <v>83</v>
      </c>
      <c r="B87" s="9">
        <f t="shared" ref="B87:B94" si="99">B86+(B$95-B$85)/10</f>
        <v>-2.0098305186614142E-5</v>
      </c>
      <c r="C87" s="9">
        <f t="shared" ref="C87:C94" si="100">C86+(C$95-C$85)/10</f>
        <v>9.1990364388988083E-2</v>
      </c>
      <c r="D87" s="9">
        <f t="shared" ref="D87:D94" si="101">D86+(D$95-D$85)/10</f>
        <v>0.22258899935678264</v>
      </c>
      <c r="E87" s="7">
        <f>MAX((1-Parameters!$B$4)^Parameters!B$71*E86 + B86*Parameters!B$71 - IF(B86&gt;0,Parameters!$B$5,0)*B86^2/E86*Parameters!B$71, 0.0001)</f>
        <v>1.1313630361393982E-2</v>
      </c>
      <c r="F87" s="7">
        <f>(1-Parameters!$B$4)^Parameters!B$71*F86+C86*Parameters!B$71-Parameters!$B$5*C86^2/F86*Parameters!B$71</f>
        <v>1.3240854622974667</v>
      </c>
      <c r="G87" s="7">
        <f>(1-Parameters!$B$4)^Parameters!B$71*G86+D86*Parameters!B$71-Parameters!$B$5*D86^2/G86*Parameters!B$71</f>
        <v>3.290364308134607</v>
      </c>
      <c r="H87" s="9">
        <f>MAX(H86 * (1-Parameters!$B$4) ^ Parameters!B$71 + (LN(1+EXP(Parameters!$B$21*(-B86+0.004)))/Parameters!$B$21 -0.004) * Parameters!B$71,0)</f>
        <v>8.5452143942968475E-3</v>
      </c>
      <c r="I87" s="23">
        <f>I86*(1+Parameters!$B$52)^Parameters!B$71</f>
        <v>10.377041597854671</v>
      </c>
      <c r="J87" s="23">
        <f>J86*(1+Parameters!$B$54)^Parameters!B$71</f>
        <v>46.686415079580769</v>
      </c>
      <c r="K87" s="23">
        <f>I87*J87*EXP(-Parameters!$B$43*'6states'!A87)*(Parameters!$B$38/Parameters!$B$39*('6states'!E87+'6states'!H87)/Parameters!$E$25*(EXP(-Parameters!$B$39*Parameters!$E$25*'6states'!H87/('6states'!E87+'6states'!H87))-EXP(-Parameters!$B$39*Parameters!$E$25))  +  Parameters!$B$40*'6states'!E87)</f>
        <v>1.8993673990544837</v>
      </c>
      <c r="L87" s="8">
        <f>L86+K87*Parameters!B$71</f>
        <v>3289.1215502462214</v>
      </c>
      <c r="M87" s="7">
        <f>L87*Parameters!$B$46</f>
        <v>1.9734729301477327</v>
      </c>
      <c r="N87" s="9">
        <f>EXP(-Parameters!$B$47/2*M87^2)</f>
        <v>0.96161541588957011</v>
      </c>
      <c r="O87" s="8">
        <f>MAX((Parameters!$B$63 + Parameters!$B$31*'6states'!A87 - '6states'!L87 + Parameters!$B$48/Parameters!$B$46)/Parameters!B$63,1)</f>
        <v>69.529568995075579</v>
      </c>
      <c r="P87" s="7">
        <f>Parameters!B$62*EXP(-Parameters!B$61*A87)</f>
        <v>5.3176049543193549E-2</v>
      </c>
      <c r="Q87" s="7">
        <f>(1-Parameters!B$62)*O87^-Parameters!B$64</f>
        <v>0.32715461467326162</v>
      </c>
      <c r="R87" s="7">
        <f>Parameters!B$62*EXP(-Parameters!B$61*A87)+(1-Parameters!B$62)*O87^-Parameters!B$64</f>
        <v>0.38033066421645517</v>
      </c>
      <c r="S87" s="7">
        <f>1-R87/Parameters!$B$12</f>
        <v>0.80983466789177239</v>
      </c>
      <c r="T87" s="7">
        <f t="shared" si="76"/>
        <v>5.2585820397109826</v>
      </c>
      <c r="U87" s="7">
        <f>(Parameters!$B$19*(E87+Parameters!$B$20)^S87+Parameters!$B$18*F87^S87)^(1/S87)</f>
        <v>0.33478887778432359</v>
      </c>
      <c r="V87" s="7">
        <f>(Parameters!$B$10*G87^Parameters!$B$9+Parameters!$B$11*U87^Parameters!$B$9)^(Parameters!$B$7/Parameters!$B$9)*N87</f>
        <v>1.3376517028915726</v>
      </c>
      <c r="W87" s="7">
        <f>V87 - C87 - D87 - LN(1+EXP(Parameters!$B$21*B87))/Parameters!$B$21 - IF(B87&gt;0, 0,Parameters!$B$6*B87^2/E87)</f>
        <v>1.0207717040287259</v>
      </c>
      <c r="X87" s="7">
        <f>EXP(-Parameters!$B$56*A87)</f>
        <v>0.28556088933456458</v>
      </c>
      <c r="Y87" s="7">
        <f>IF(W87&gt;0,W87^(1-Parameters!$B$53)/(1-Parameters!$B$53)*X87*Parameters!$B$71,-10+W87*1000)</f>
        <v>-0.81003850505778086</v>
      </c>
      <c r="AA87" s="22">
        <f t="shared" si="80"/>
        <v>-1.5763477420052885E-3</v>
      </c>
      <c r="AB87" s="22">
        <f t="shared" si="81"/>
        <v>-9.8930062534668961E-6</v>
      </c>
      <c r="AC87" s="22">
        <f t="shared" si="82"/>
        <v>-1.8821129098581246E-5</v>
      </c>
      <c r="AD87" s="22">
        <f t="shared" si="77"/>
        <v>7.0971142030508209E-7</v>
      </c>
      <c r="AE87" s="22">
        <f t="shared" si="83"/>
        <v>-1.9011162741561986E-4</v>
      </c>
      <c r="AF87" s="22">
        <f t="shared" si="84"/>
        <v>4.374694613784591E-7</v>
      </c>
      <c r="AG87" s="22">
        <f t="shared" si="85"/>
        <v>1.1747241536880226E-6</v>
      </c>
      <c r="AH87" s="22">
        <f t="shared" si="78"/>
        <v>1.0321313422332053E-8</v>
      </c>
      <c r="AI87" s="22"/>
      <c r="AM87" s="23">
        <f t="shared" si="72"/>
        <v>4.1398732824962376</v>
      </c>
      <c r="AN87" s="23">
        <f t="shared" si="73"/>
        <v>5.4810791046310827</v>
      </c>
      <c r="AO87" s="23">
        <f t="shared" si="74"/>
        <v>162.19412017810075</v>
      </c>
      <c r="AP87" s="25">
        <f t="shared" si="75"/>
        <v>648.04793543650976</v>
      </c>
      <c r="AQ87" s="22">
        <f>-X87*V87*W87^(-Parameters!B$53)*Parameters!B$47*Parameters!B$46*M87</f>
        <v>-8.8423278468895113E-6</v>
      </c>
      <c r="AR87" s="7">
        <f>1000*EXP(-(Parameters!$B$55)*'6states'!A87)*AP87*Parameters!B$47*Parameters!B$46*M87</f>
        <v>0.83744346647890022</v>
      </c>
      <c r="AS87" s="7">
        <f>SUM(AR87:AR$204)*EXP(Parameters!$B$55*A87)</f>
        <v>1071.5701789332313</v>
      </c>
      <c r="AT87" s="39">
        <f t="shared" si="86"/>
        <v>0.23515782528486912</v>
      </c>
      <c r="AU87">
        <f>(1/$S87-1/Parameters!$B$13) * LN(Parameters!$B$18) / LN(O87)</f>
        <v>0.2148977246695318</v>
      </c>
      <c r="AV87">
        <f>(Parameters!$B$18*'6states'!S87^+Parameters!$B$19*Parameters!$B$25^'6states'!S87)^((1-'6states'!S87)/'6states'!S87)*Parameters!$B$18*Parameters!$B$26^('6states'!S87-1)</f>
        <v>0.30342775625241486</v>
      </c>
      <c r="AW87">
        <f t="shared" si="87"/>
        <v>0.20034869999215266</v>
      </c>
      <c r="AX87">
        <f t="shared" si="88"/>
        <v>0.13839276151590041</v>
      </c>
      <c r="AY87">
        <f t="shared" si="89"/>
        <v>0.18967517545898549</v>
      </c>
      <c r="AZ87">
        <f>(1/$S87-1/Parameters!$B$13) * LN(Parameters!$B$18) / A87</f>
        <v>1.0982444315434547E-2</v>
      </c>
    </row>
    <row r="88" spans="1:52" x14ac:dyDescent="0.25">
      <c r="A88">
        <f>A87+Parameters!$B$71</f>
        <v>84</v>
      </c>
      <c r="B88" s="9">
        <f t="shared" si="99"/>
        <v>-3.7780034640730464E-5</v>
      </c>
      <c r="C88" s="9">
        <f t="shared" si="100"/>
        <v>9.213857996773557E-2</v>
      </c>
      <c r="D88" s="9">
        <f t="shared" si="101"/>
        <v>0.22256906888462102</v>
      </c>
      <c r="E88" s="7">
        <f>MAX((1-Parameters!$B$4)^Parameters!B$71*E87 + B87*Parameters!B$71 - IF(B87&gt;0,Parameters!$B$5,0)*B87^2/E87*Parameters!B$71, 0.0001)</f>
        <v>1.0581904706475688E-2</v>
      </c>
      <c r="F88" s="7">
        <f>(1-Parameters!$B$4)^Parameters!B$71*F87+C87*Parameters!B$71-Parameters!$B$5*C87^2/F87*Parameters!B$71</f>
        <v>1.3263998534107595</v>
      </c>
      <c r="G88" s="7">
        <f>(1-Parameters!$B$4)^Parameters!B$71*G87+D87*Parameters!B$71-Parameters!$B$5*D87^2/G87*Parameters!B$71</f>
        <v>3.2909315271809012</v>
      </c>
      <c r="H88" s="9">
        <f>MAX(H87 * (1-Parameters!$B$4) ^ Parameters!B$71 + (LN(1+EXP(Parameters!$B$21*(-B87+0.004)))/Parameters!$B$21 -0.004) * Parameters!B$71,0)</f>
        <v>8.9007854462132725E-3</v>
      </c>
      <c r="I88" s="23">
        <f>I87*(1+Parameters!$B$52)^Parameters!B$71</f>
        <v>10.407135018488448</v>
      </c>
      <c r="J88" s="23">
        <f>J87*(1+Parameters!$B$54)^Parameters!B$71</f>
        <v>47.620143381172383</v>
      </c>
      <c r="K88" s="23">
        <f>I88*J88*EXP(-Parameters!$B$43*'6states'!A88)*(Parameters!$B$38/Parameters!$B$39*('6states'!E88+'6states'!H88)/Parameters!$E$25*(EXP(-Parameters!$B$39*Parameters!$E$25*'6states'!H88/('6states'!E88+'6states'!H88))-EXP(-Parameters!$B$39*Parameters!$E$25))  +  Parameters!$B$40*'6states'!E88)</f>
        <v>1.7992259155929355</v>
      </c>
      <c r="L88" s="8">
        <f>L87+K88*Parameters!B$71</f>
        <v>3290.9207761618145</v>
      </c>
      <c r="M88" s="7">
        <f>L88*Parameters!$B$46</f>
        <v>1.9745524656970885</v>
      </c>
      <c r="N88" s="9">
        <f>EXP(-Parameters!$B$47/2*M88^2)</f>
        <v>0.96157422747611798</v>
      </c>
      <c r="O88" s="8">
        <f>MAX((Parameters!$B$63 + Parameters!$B$31*'6states'!A88 - '6states'!L88 + Parameters!$B$48/Parameters!$B$46)/Parameters!B$63,1)</f>
        <v>70.557584476763708</v>
      </c>
      <c r="P88" s="7">
        <f>Parameters!B$62*EXP(-Parameters!B$61*A88)</f>
        <v>5.1759505602722529E-2</v>
      </c>
      <c r="Q88" s="7">
        <f>(1-Parameters!B$62)*O88^-Parameters!B$64</f>
        <v>0.3266748000084248</v>
      </c>
      <c r="R88" s="7">
        <f>Parameters!B$62*EXP(-Parameters!B$61*A88)+(1-Parameters!B$62)*O88^-Parameters!B$64</f>
        <v>0.37843430561114733</v>
      </c>
      <c r="S88" s="7">
        <f>1-R88/Parameters!$B$12</f>
        <v>0.81078284719442628</v>
      </c>
      <c r="T88" s="7">
        <f t="shared" si="76"/>
        <v>5.2849331319741921</v>
      </c>
      <c r="U88" s="7">
        <f>(Parameters!$B$19*(E88+Parameters!$B$20)^S88+Parameters!$B$18*F88^S88)^(1/S88)</f>
        <v>0.33488806102644886</v>
      </c>
      <c r="V88" s="7">
        <f>(Parameters!$B$10*G88^Parameters!$B$9+Parameters!$B$11*U88^Parameters!$B$9)^(Parameters!$B$7/Parameters!$B$9)*N88</f>
        <v>1.3376787150385701</v>
      </c>
      <c r="W88" s="7">
        <f>V88 - C88 - D88 - LN(1+EXP(Parameters!$B$21*B88))/Parameters!$B$21 - IF(B88&gt;0, 0,Parameters!$B$6*B88^2/E88)</f>
        <v>1.0206787376563871</v>
      </c>
      <c r="X88" s="7">
        <f>EXP(-Parameters!$B$56*A88)</f>
        <v>0.28128131202949208</v>
      </c>
      <c r="Y88" s="7">
        <f>IF(W88&gt;0,W88^(1-Parameters!$B$53)/(1-Parameters!$B$53)*X88*Parameters!$B$71,-10+W88*1000)</f>
        <v>-0.79792424447335497</v>
      </c>
      <c r="AA88" s="22">
        <f t="shared" si="80"/>
        <v>-1.7937807396699685E-3</v>
      </c>
      <c r="AB88" s="22">
        <f t="shared" si="81"/>
        <v>-9.4812411729205959E-6</v>
      </c>
      <c r="AC88" s="22">
        <f t="shared" si="82"/>
        <v>-1.7715994825875936E-5</v>
      </c>
      <c r="AD88" s="22">
        <f t="shared" si="77"/>
        <v>9.0517819601583997E-7</v>
      </c>
      <c r="AE88" s="22">
        <f t="shared" si="83"/>
        <v>-2.1743299766467997E-4</v>
      </c>
      <c r="AF88" s="22">
        <f t="shared" si="84"/>
        <v>4.1176508054630023E-7</v>
      </c>
      <c r="AG88" s="22">
        <f t="shared" si="85"/>
        <v>1.1051342727053104E-6</v>
      </c>
      <c r="AH88" s="22">
        <f t="shared" si="78"/>
        <v>1.3298558326741443E-8</v>
      </c>
      <c r="AI88" s="22"/>
      <c r="AM88" s="23">
        <f t="shared" si="72"/>
        <v>4.41113368844099</v>
      </c>
      <c r="AN88" s="23">
        <f t="shared" si="73"/>
        <v>5.2442783415778012</v>
      </c>
      <c r="AO88" s="23">
        <f t="shared" si="74"/>
        <v>165.96692693889415</v>
      </c>
      <c r="AP88" s="25">
        <f t="shared" si="75"/>
        <v>662.93920686825027</v>
      </c>
      <c r="AQ88" s="22">
        <f>-X88*V88*W88^(-Parameters!B$53)*Parameters!B$47*Parameters!B$46*M88</f>
        <v>-8.7158237597393242E-6</v>
      </c>
      <c r="AR88" s="7">
        <f>1000*EXP(-(Parameters!$B$55)*'6states'!A88)*AP88*Parameters!B$47*Parameters!B$46*M88</f>
        <v>0.82759115335345534</v>
      </c>
      <c r="AS88" s="7">
        <f>SUM(AR88:AR$204)*EXP(Parameters!$B$55*A88)</f>
        <v>1093.8755997936964</v>
      </c>
      <c r="AT88" s="39">
        <f t="shared" si="86"/>
        <v>0.23523575973819902</v>
      </c>
      <c r="AU88">
        <f>(1/$S88-1/Parameters!$B$13) * LN(Parameters!$B$18) / LN(O88)</f>
        <v>0.21456087613469299</v>
      </c>
      <c r="AV88">
        <f>(Parameters!$B$18*'6states'!S88^+Parameters!$B$19*Parameters!$B$25^'6states'!S88)^((1-'6states'!S88)/'6states'!S88)*Parameters!$B$18*Parameters!$B$26^('6states'!S88-1)</f>
        <v>0.30359844892615323</v>
      </c>
      <c r="AW88">
        <f t="shared" si="87"/>
        <v>0.19978998271411705</v>
      </c>
      <c r="AX88">
        <f t="shared" si="88"/>
        <v>0.13819156513503139</v>
      </c>
      <c r="AY88">
        <f t="shared" si="89"/>
        <v>0.18977104348710749</v>
      </c>
      <c r="AZ88">
        <f>(1/$S88-1/Parameters!$B$13) * LN(Parameters!$B$18) / A88</f>
        <v>1.0872180637274832E-2</v>
      </c>
    </row>
    <row r="89" spans="1:52" x14ac:dyDescent="0.25">
      <c r="A89">
        <f>A88+Parameters!$B$71</f>
        <v>85</v>
      </c>
      <c r="B89" s="9">
        <f t="shared" si="99"/>
        <v>-5.5461764094846785E-5</v>
      </c>
      <c r="C89" s="9">
        <f t="shared" si="100"/>
        <v>9.2286795546483058E-2</v>
      </c>
      <c r="D89" s="9">
        <f t="shared" si="101"/>
        <v>0.22254913841245941</v>
      </c>
      <c r="E89" s="7">
        <f>MAX((1-Parameters!$B$4)^Parameters!B$71*E88 + B88*Parameters!B$71 - IF(B88&gt;0,Parameters!$B$5,0)*B88^2/E88*Parameters!B$71, 0.0001)</f>
        <v>9.8785228657976374E-3</v>
      </c>
      <c r="F89" s="7">
        <f>(1-Parameters!$B$4)^Parameters!B$71*F88+C88*Parameters!B$71-Parameters!$B$5*C88^2/F88*Parameters!B$71</f>
        <v>1.3287074612654965</v>
      </c>
      <c r="G89" s="7">
        <f>(1-Parameters!$B$4)^Parameters!B$71*G88+D88*Parameters!B$71-Parameters!$B$5*D88^2/G88*Parameters!B$71</f>
        <v>3.2914484289808223</v>
      </c>
      <c r="H89" s="9">
        <f>MAX(H88 * (1-Parameters!$B$4) ^ Parameters!B$71 + (LN(1+EXP(Parameters!$B$21*(-B88+0.004)))/Parameters!$B$21 -0.004) * Parameters!B$71,0)</f>
        <v>9.2476071688826003E-3</v>
      </c>
      <c r="I89" s="23">
        <f>I88*(1+Parameters!$B$52)^Parameters!B$71</f>
        <v>10.437315710042064</v>
      </c>
      <c r="J89" s="23">
        <f>J88*(1+Parameters!$B$54)^Parameters!B$71</f>
        <v>48.572546248795831</v>
      </c>
      <c r="K89" s="23">
        <f>I89*J89*EXP(-Parameters!$B$43*'6states'!A89)*(Parameters!$B$38/Parameters!$B$39*('6states'!E89+'6states'!H89)/Parameters!$E$25*(EXP(-Parameters!$B$39*Parameters!$E$25*'6states'!H89/('6states'!E89+'6states'!H89))-EXP(-Parameters!$B$39*Parameters!$E$25))  +  Parameters!$B$40*'6states'!E89)</f>
        <v>1.701095591911483</v>
      </c>
      <c r="L89" s="8">
        <f>L88+K89*Parameters!B$71</f>
        <v>3292.6218717537258</v>
      </c>
      <c r="M89" s="7">
        <f>L89*Parameters!$B$46</f>
        <v>1.9755731230522353</v>
      </c>
      <c r="N89" s="9">
        <f>EXP(-Parameters!$B$47/2*M89^2)</f>
        <v>0.96153526639933884</v>
      </c>
      <c r="O89" s="8">
        <f>MAX((Parameters!$B$63 + Parameters!$B$31*'6states'!A89 - '6states'!L89 + Parameters!$B$48/Parameters!$B$46)/Parameters!B$63,1)</f>
        <v>71.587562564925477</v>
      </c>
      <c r="P89" s="7">
        <f>Parameters!B$62*EXP(-Parameters!B$61*A89)</f>
        <v>5.0380696634151866E-2</v>
      </c>
      <c r="Q89" s="7">
        <f>(1-Parameters!B$62)*O89^-Parameters!B$64</f>
        <v>0.32620172007895137</v>
      </c>
      <c r="R89" s="7">
        <f>Parameters!B$62*EXP(-Parameters!B$61*A89)+(1-Parameters!B$62)*O89^-Parameters!B$64</f>
        <v>0.37658241671310322</v>
      </c>
      <c r="S89" s="7">
        <f>1-R89/Parameters!$B$12</f>
        <v>0.81170879164344845</v>
      </c>
      <c r="T89" s="7">
        <f t="shared" si="76"/>
        <v>5.3109224202671337</v>
      </c>
      <c r="U89" s="7">
        <f>(Parameters!$B$19*(E89+Parameters!$B$20)^S89+Parameters!$B$18*F89^S89)^(1/S89)</f>
        <v>0.3350091859803811</v>
      </c>
      <c r="V89" s="7">
        <f>(Parameters!$B$10*G89^Parameters!$B$9+Parameters!$B$11*U89^Parameters!$B$9)^(Parameters!$B$7/Parameters!$B$9)*N89</f>
        <v>1.337712532587835</v>
      </c>
      <c r="W89" s="7">
        <f>V89 - C89 - D89 - LN(1+EXP(Parameters!$B$21*B89))/Parameters!$B$21 - IF(B89&gt;0, 0,Parameters!$B$6*B89^2/E89)</f>
        <v>1.020592166643516</v>
      </c>
      <c r="X89" s="7">
        <f>EXP(-Parameters!$B$56*A89)</f>
        <v>0.27706587089500223</v>
      </c>
      <c r="Y89" s="7">
        <f>IF(W89&gt;0,W89^(1-Parameters!$B$53)/(1-Parameters!$B$53)*X89*Parameters!$B$71,-10+W89*1000)</f>
        <v>-0.78598943310389269</v>
      </c>
      <c r="AA89" s="22">
        <f t="shared" si="80"/>
        <v>-2.044129272973557E-3</v>
      </c>
      <c r="AB89" s="22">
        <f t="shared" si="81"/>
        <v>-9.0936295633753383E-6</v>
      </c>
      <c r="AC89" s="22">
        <f t="shared" si="82"/>
        <v>-1.6676266193643707E-5</v>
      </c>
      <c r="AD89" s="22">
        <f t="shared" si="77"/>
        <v>1.1578098645737415E-6</v>
      </c>
      <c r="AE89" s="22">
        <f t="shared" si="83"/>
        <v>-2.5034853330358842E-4</v>
      </c>
      <c r="AF89" s="22">
        <f t="shared" si="84"/>
        <v>3.8761160954525753E-7</v>
      </c>
      <c r="AG89" s="22">
        <f t="shared" si="85"/>
        <v>1.0397286322322286E-6</v>
      </c>
      <c r="AH89" s="22">
        <f t="shared" si="78"/>
        <v>1.7365275074509139E-8</v>
      </c>
      <c r="AI89" s="22"/>
      <c r="AM89" s="23">
        <f t="shared" si="72"/>
        <v>4.6882316639503498</v>
      </c>
      <c r="AN89" s="23">
        <f t="shared" si="73"/>
        <v>5.0080851020930712</v>
      </c>
      <c r="AO89" s="23">
        <f t="shared" si="74"/>
        <v>169.83860200208221</v>
      </c>
      <c r="AP89" s="25">
        <f t="shared" si="75"/>
        <v>678.17610956103101</v>
      </c>
      <c r="AQ89" s="22">
        <f>-X89*V89*W89^(-Parameters!B$53)*Parameters!B$47*Parameters!B$46*M89</f>
        <v>-8.5908420423300182E-6</v>
      </c>
      <c r="AR89" s="7">
        <f>1000*EXP(-(Parameters!$B$55)*'6states'!A89)*AP89*Parameters!B$47*Parameters!B$46*M89</f>
        <v>0.817834292167818</v>
      </c>
      <c r="AS89" s="7">
        <f>SUM(AR89:AR$204)*EXP(Parameters!$B$55*A89)</f>
        <v>1116.6018297806211</v>
      </c>
      <c r="AT89" s="39">
        <f t="shared" si="86"/>
        <v>0.23531249392266493</v>
      </c>
      <c r="AU89">
        <f>(1/$S89-1/Parameters!$B$13) * LN(Parameters!$B$18) / LN(O89)</f>
        <v>0.21422526282823007</v>
      </c>
      <c r="AV89">
        <f>(Parameters!$B$18*'6states'!S89^+Parameters!$B$19*Parameters!$B$25^'6states'!S89)^((1-'6states'!S89)/'6states'!S89)*Parameters!$B$18*Parameters!$B$26^('6states'!S89-1)</f>
        <v>0.30376315516092778</v>
      </c>
      <c r="AW89">
        <f t="shared" si="87"/>
        <v>0.19923904189469063</v>
      </c>
      <c r="AX89">
        <f t="shared" si="88"/>
        <v>0.13799105982033533</v>
      </c>
      <c r="AY89">
        <f t="shared" si="89"/>
        <v>0.18986353853252602</v>
      </c>
      <c r="AZ89">
        <f>(1/$S89-1/Parameters!$B$13) * LN(Parameters!$B$18) / A89</f>
        <v>1.0763991165684708E-2</v>
      </c>
    </row>
    <row r="90" spans="1:52" x14ac:dyDescent="0.25">
      <c r="A90">
        <f>A89+Parameters!$B$71</f>
        <v>86</v>
      </c>
      <c r="B90" s="9">
        <f t="shared" si="99"/>
        <v>-7.3143493548963106E-5</v>
      </c>
      <c r="C90" s="9">
        <f t="shared" si="100"/>
        <v>9.2435011125230546E-2</v>
      </c>
      <c r="D90" s="9">
        <f t="shared" si="101"/>
        <v>0.22252920794029779</v>
      </c>
      <c r="E90" s="7">
        <f>MAX((1-Parameters!$B$4)^Parameters!B$71*E89 + B89*Parameters!B$71 - IF(B89&gt;0,Parameters!$B$5,0)*B89^2/E89*Parameters!B$71, 0.0001)</f>
        <v>9.2017020134441199E-3</v>
      </c>
      <c r="F90" s="7">
        <f>(1-Parameters!$B$4)^Parameters!B$71*F89+C89*Parameters!B$71-Parameters!$B$5*C89^2/F89*Parameters!B$71</f>
        <v>1.3310086795677429</v>
      </c>
      <c r="G90" s="7">
        <f>(1-Parameters!$B$4)^Parameters!B$71*G89+D89*Parameters!B$71-Parameters!$B$5*D89^2/G89*Parameters!B$71</f>
        <v>3.2919179463922803</v>
      </c>
      <c r="H90" s="9">
        <f>MAX(H89 * (1-Parameters!$B$4) ^ Parameters!B$71 + (LN(1+EXP(Parameters!$B$21*(-B89+0.004)))/Parameters!$B$21 -0.004) * Parameters!B$71,0)</f>
        <v>9.5862464787455897E-3</v>
      </c>
      <c r="I90" s="23">
        <f>I89*(1+Parameters!$B$52)^Parameters!B$71</f>
        <v>10.467583925601184</v>
      </c>
      <c r="J90" s="23">
        <f>J89*(1+Parameters!$B$54)^Parameters!B$71</f>
        <v>49.54399717377175</v>
      </c>
      <c r="K90" s="23">
        <f>I90*J90*EXP(-Parameters!$B$43*'6states'!A90)*(Parameters!$B$38/Parameters!$B$39*('6states'!E90+'6states'!H90)/Parameters!$E$25*(EXP(-Parameters!$B$39*Parameters!$E$25*'6states'!H90/('6states'!E90+'6states'!H90))-EXP(-Parameters!$B$39*Parameters!$E$25))  +  Parameters!$B$40*'6states'!E90)</f>
        <v>1.6047956296066839</v>
      </c>
      <c r="L90" s="8">
        <f>L89+K90*Parameters!B$71</f>
        <v>3294.2266673833324</v>
      </c>
      <c r="M90" s="7">
        <f>L90*Parameters!$B$46</f>
        <v>1.9765360004299992</v>
      </c>
      <c r="N90" s="9">
        <f>EXP(-Parameters!$B$47/2*M90^2)</f>
        <v>0.96149849392228537</v>
      </c>
      <c r="O90" s="8">
        <f>MAX((Parameters!$B$63 + Parameters!$B$31*'6states'!A90 - '6states'!L90 + Parameters!$B$48/Parameters!$B$46)/Parameters!B$63,1)</f>
        <v>72.619466652333344</v>
      </c>
      <c r="P90" s="7">
        <f>Parameters!B$62*EXP(-Parameters!B$61*A90)</f>
        <v>4.9038617424679028E-2</v>
      </c>
      <c r="Q90" s="7">
        <f>(1-Parameters!B$62)*O90^-Parameters!B$64</f>
        <v>0.32573520485492807</v>
      </c>
      <c r="R90" s="7">
        <f>Parameters!B$62*EXP(-Parameters!B$61*A90)+(1-Parameters!B$62)*O90^-Parameters!B$64</f>
        <v>0.37477382227960709</v>
      </c>
      <c r="S90" s="7">
        <f>1-R90/Parameters!$B$12</f>
        <v>0.81261308886019645</v>
      </c>
      <c r="T90" s="7">
        <f t="shared" si="76"/>
        <v>5.3365520244577329</v>
      </c>
      <c r="U90" s="7">
        <f>(Parameters!$B$19*(E90+Parameters!$B$20)^S90+Parameters!$B$18*F90^S90)^(1/S90)</f>
        <v>0.33515057588409775</v>
      </c>
      <c r="V90" s="7">
        <f>(Parameters!$B$10*G90^Parameters!$B$9+Parameters!$B$11*U90^Parameters!$B$9)^(Parameters!$B$7/Parameters!$B$9)*N90</f>
        <v>1.3377527172985906</v>
      </c>
      <c r="W90" s="7">
        <f>V90 - C90 - D90 - LN(1+EXP(Parameters!$B$21*B90))/Parameters!$B$21 - IF(B90&gt;0, 0,Parameters!$B$6*B90^2/E90)</f>
        <v>1.0205114717031614</v>
      </c>
      <c r="X90" s="7">
        <f>EXP(-Parameters!$B$56*A90)</f>
        <v>0.27291360475009885</v>
      </c>
      <c r="Y90" s="7">
        <f>IF(W90&gt;0,W90^(1-Parameters!$B$53)/(1-Parameters!$B$53)*X90*Parameters!$B$71,-10+W90*1000)</f>
        <v>-0.77423157621716321</v>
      </c>
      <c r="AA90" s="22">
        <f t="shared" si="80"/>
        <v>-2.3345309060562522E-3</v>
      </c>
      <c r="AB90" s="22">
        <f t="shared" si="81"/>
        <v>-8.7287152270715263E-6</v>
      </c>
      <c r="AC90" s="22">
        <f t="shared" si="82"/>
        <v>-1.5698017538173792E-5</v>
      </c>
      <c r="AD90" s="22">
        <f t="shared" si="77"/>
        <v>1.4874766223190655E-6</v>
      </c>
      <c r="AE90" s="22">
        <f t="shared" si="83"/>
        <v>-2.9040163308269524E-4</v>
      </c>
      <c r="AF90" s="22">
        <f t="shared" si="84"/>
        <v>3.6491433630381209E-7</v>
      </c>
      <c r="AG90" s="22">
        <f t="shared" si="85"/>
        <v>9.7824865546991546E-7</v>
      </c>
      <c r="AH90" s="22">
        <f t="shared" si="78"/>
        <v>2.3015950151824448E-8</v>
      </c>
      <c r="AI90" s="22"/>
      <c r="AM90" s="23">
        <f t="shared" si="72"/>
        <v>4.9714844469572119</v>
      </c>
      <c r="AN90" s="23">
        <f t="shared" si="73"/>
        <v>4.7720573998174958</v>
      </c>
      <c r="AO90" s="23">
        <f t="shared" si="74"/>
        <v>173.81108227196086</v>
      </c>
      <c r="AP90" s="25">
        <f t="shared" si="75"/>
        <v>693.76651671436673</v>
      </c>
      <c r="AQ90" s="22">
        <f>-X90*V90*W90^(-Parameters!B$53)*Parameters!B$47*Parameters!B$46*M90</f>
        <v>-8.4673772885176686E-6</v>
      </c>
      <c r="AR90" s="7">
        <f>1000*EXP(-(Parameters!$B$55)*'6states'!A90)*AP90*Parameters!B$47*Parameters!B$46*M90</f>
        <v>0.80817246439148549</v>
      </c>
      <c r="AS90" s="7">
        <f>SUM(AR90:AR$204)*EXP(Parameters!$B$55*A90)</f>
        <v>1139.7554694984267</v>
      </c>
      <c r="AT90" s="39">
        <f t="shared" si="86"/>
        <v>0.23538810387009268</v>
      </c>
      <c r="AU90">
        <f>(1/$S90-1/Parameters!$B$13) * LN(Parameters!$B$18) / LN(O90)</f>
        <v>0.21389092473030241</v>
      </c>
      <c r="AV90">
        <f>(Parameters!$B$18*'6states'!S90^+Parameters!$B$19*Parameters!$B$25^'6states'!S90)^((1-'6states'!S90)/'6states'!S90)*Parameters!$B$18*Parameters!$B$26^('6states'!S90-1)</f>
        <v>0.30392212350391679</v>
      </c>
      <c r="AW90">
        <f t="shared" si="87"/>
        <v>0.19869572245926309</v>
      </c>
      <c r="AX90">
        <f t="shared" si="88"/>
        <v>0.13779126996962088</v>
      </c>
      <c r="AY90">
        <f t="shared" si="89"/>
        <v>0.18995280130263126</v>
      </c>
      <c r="AZ90">
        <f>(1/$S90-1/Parameters!$B$13) * LN(Parameters!$B$18) / A90</f>
        <v>1.065781922876707E-2</v>
      </c>
    </row>
    <row r="91" spans="1:52" x14ac:dyDescent="0.25">
      <c r="A91">
        <f>A90+Parameters!$B$71</f>
        <v>87</v>
      </c>
      <c r="B91" s="9">
        <f t="shared" si="99"/>
        <v>-9.0825223003079434E-5</v>
      </c>
      <c r="C91" s="9">
        <f t="shared" si="100"/>
        <v>9.2583226703978033E-2</v>
      </c>
      <c r="D91" s="9">
        <f t="shared" si="101"/>
        <v>0.22250927746813617</v>
      </c>
      <c r="E91" s="7">
        <f>MAX((1-Parameters!$B$4)^Parameters!B$71*E90 + B90*Parameters!B$71 - IF(B90&gt;0,Parameters!$B$5,0)*B90^2/E90*Parameters!B$71, 0.0001)</f>
        <v>8.5497714632495215E-3</v>
      </c>
      <c r="F91" s="7">
        <f>(1-Parameters!$B$4)^Parameters!B$71*F90+C90*Parameters!B$71-Parameters!$B$5*C90^2/F90*Parameters!B$71</f>
        <v>1.3333038791851248</v>
      </c>
      <c r="G91" s="7">
        <f>(1-Parameters!$B$4)^Parameters!B$71*G90+D90*Parameters!B$71-Parameters!$B$5*D90^2/G90*Parameters!B$71</f>
        <v>3.292342841539678</v>
      </c>
      <c r="H91" s="9">
        <f>MAX(H90 * (1-Parameters!$B$4) ^ Parameters!B$71 + (LN(1+EXP(Parameters!$B$21*(-B90+0.004)))/Parameters!$B$21 -0.004) * Parameters!B$71,0)</f>
        <v>9.9172345855881132E-3</v>
      </c>
      <c r="I91" s="23">
        <f>I90*(1+Parameters!$B$52)^Parameters!B$71</f>
        <v>10.497939918985427</v>
      </c>
      <c r="J91" s="23">
        <f>J90*(1+Parameters!$B$54)^Parameters!B$71</f>
        <v>50.534877117247184</v>
      </c>
      <c r="K91" s="23">
        <f>I91*J91*EXP(-Parameters!$B$43*'6states'!A91)*(Parameters!$B$38/Parameters!$B$39*('6states'!E91+'6states'!H91)/Parameters!$E$25*(EXP(-Parameters!$B$39*Parameters!$E$25*'6states'!H91/('6states'!E91+'6states'!H91))-EXP(-Parameters!$B$39*Parameters!$E$25))  +  Parameters!$B$40*'6states'!E91)</f>
        <v>1.5101529392858024</v>
      </c>
      <c r="L91" s="8">
        <f>L90+K91*Parameters!B$71</f>
        <v>3295.7368203226183</v>
      </c>
      <c r="M91" s="7">
        <f>L91*Parameters!$B$46</f>
        <v>1.9774420921935709</v>
      </c>
      <c r="N91" s="9">
        <f>EXP(-Parameters!$B$47/2*M91^2)</f>
        <v>0.96146387501999997</v>
      </c>
      <c r="O91" s="8">
        <f>MAX((Parameters!$B$63 + Parameters!$B$31*'6states'!A91 - '6states'!L91 + Parameters!$B$48/Parameters!$B$46)/Parameters!B$63,1)</f>
        <v>73.653263593547649</v>
      </c>
      <c r="P91" s="7">
        <f>Parameters!B$62*EXP(-Parameters!B$61*A91)</f>
        <v>4.773228953912257E-2</v>
      </c>
      <c r="Q91" s="7">
        <f>(1-Parameters!B$62)*O91^-Parameters!B$64</f>
        <v>0.32527508932701321</v>
      </c>
      <c r="R91" s="7">
        <f>Parameters!B$62*EXP(-Parameters!B$61*A91)+(1-Parameters!B$62)*O91^-Parameters!B$64</f>
        <v>0.37300737886613577</v>
      </c>
      <c r="S91" s="7">
        <f>1-R91/Parameters!$B$12</f>
        <v>0.81349631056693217</v>
      </c>
      <c r="T91" s="7">
        <f t="shared" si="76"/>
        <v>5.3618242247099275</v>
      </c>
      <c r="U91" s="7">
        <f>(Parameters!$B$19*(E91+Parameters!$B$20)^S91+Parameters!$B$18*F91^S91)^(1/S91)</f>
        <v>0.33531065593062154</v>
      </c>
      <c r="V91" s="7">
        <f>(Parameters!$B$10*G91^Parameters!$B$9+Parameters!$B$11*U91^Parameters!$B$9)^(Parameters!$B$7/Parameters!$B$9)*N91</f>
        <v>1.3377988542650288</v>
      </c>
      <c r="W91" s="7">
        <f>V91 - C91 - D91 - LN(1+EXP(Parameters!$B$21*B91))/Parameters!$B$21 - IF(B91&gt;0, 0,Parameters!$B$6*B91^2/E91)</f>
        <v>1.0204361385314509</v>
      </c>
      <c r="X91" s="7">
        <f>EXP(-Parameters!$B$56*A91)</f>
        <v>0.26882356681858899</v>
      </c>
      <c r="Y91" s="7">
        <f>IF(W91&gt;0,W91^(1-Parameters!$B$53)/(1-Parameters!$B$53)*X91*Parameters!$B$71,-10+W91*1000)</f>
        <v>-0.76264820784246967</v>
      </c>
      <c r="AA91" s="22">
        <f t="shared" si="80"/>
        <v>-2.6742078760230575E-3</v>
      </c>
      <c r="AB91" s="22">
        <f t="shared" si="81"/>
        <v>-8.3851307831755983E-6</v>
      </c>
      <c r="AC91" s="22">
        <f t="shared" si="82"/>
        <v>-1.477756500793681E-5</v>
      </c>
      <c r="AD91" s="22">
        <f t="shared" si="77"/>
        <v>1.9225391722982763E-6</v>
      </c>
      <c r="AE91" s="22">
        <f t="shared" si="83"/>
        <v>-3.3967696996680535E-4</v>
      </c>
      <c r="AF91" s="22">
        <f t="shared" si="84"/>
        <v>3.435844438959279E-7</v>
      </c>
      <c r="AG91" s="22">
        <f t="shared" si="85"/>
        <v>9.2045253023698148E-7</v>
      </c>
      <c r="AH91" s="22">
        <f t="shared" si="78"/>
        <v>3.1017241968107949E-8</v>
      </c>
      <c r="AI91" s="22"/>
      <c r="AM91" s="23">
        <f t="shared" si="72"/>
        <v>5.2612129837810082</v>
      </c>
      <c r="AN91" s="23">
        <f t="shared" si="73"/>
        <v>4.5357572458936843</v>
      </c>
      <c r="AO91" s="23">
        <f t="shared" si="74"/>
        <v>177.88636150101667</v>
      </c>
      <c r="AP91" s="25">
        <f t="shared" si="75"/>
        <v>709.71848462422258</v>
      </c>
      <c r="AQ91" s="22">
        <f>-X91*V91*W91^(-Parameters!B$53)*Parameters!B$47*Parameters!B$46*M91</f>
        <v>-8.3454232916378493E-6</v>
      </c>
      <c r="AR91" s="7">
        <f>1000*EXP(-(Parameters!$B$55)*'6states'!A91)*AP91*Parameters!B$47*Parameters!B$46*M91</f>
        <v>0.79860521043398591</v>
      </c>
      <c r="AS91" s="7">
        <f>SUM(AR91:AR$204)*EXP(Parameters!$B$55*A91)</f>
        <v>1163.3431718502047</v>
      </c>
      <c r="AT91" s="39">
        <f t="shared" si="86"/>
        <v>0.23546266162873147</v>
      </c>
      <c r="AU91">
        <f>(1/$S91-1/Parameters!$B$13) * LN(Parameters!$B$18) / LN(O91)</f>
        <v>0.21355789800738587</v>
      </c>
      <c r="AV91">
        <f>(Parameters!$B$18*'6states'!S91^+Parameters!$B$19*Parameters!$B$25^'6states'!S91)^((1-'6states'!S91)/'6states'!S91)*Parameters!$B$18*Parameters!$B$26^('6states'!S91-1)</f>
        <v>0.30407559099601045</v>
      </c>
      <c r="AW91">
        <f t="shared" si="87"/>
        <v>0.19815987148053649</v>
      </c>
      <c r="AX91">
        <f t="shared" si="88"/>
        <v>0.13759221772137942</v>
      </c>
      <c r="AY91">
        <f t="shared" si="89"/>
        <v>0.19003896594358838</v>
      </c>
      <c r="AZ91">
        <f>(1/$S91-1/Parameters!$B$13) * LN(Parameters!$B$18) / A91</f>
        <v>1.0553610227846576E-2</v>
      </c>
    </row>
    <row r="92" spans="1:52" x14ac:dyDescent="0.25">
      <c r="A92">
        <f>A91+Parameters!$B$71</f>
        <v>88</v>
      </c>
      <c r="B92" s="9">
        <f t="shared" si="99"/>
        <v>-1.0850695245719576E-4</v>
      </c>
      <c r="C92" s="9">
        <f t="shared" si="100"/>
        <v>9.2731442282725521E-2</v>
      </c>
      <c r="D92" s="9">
        <f t="shared" si="101"/>
        <v>0.22248934699597456</v>
      </c>
      <c r="E92" s="7">
        <f>MAX((1-Parameters!$B$4)^Parameters!B$71*E91 + B91*Parameters!B$71 - IF(B91&gt;0,Parameters!$B$5,0)*B91^2/E91*Parameters!B$71, 0.0001)</f>
        <v>7.9211656152080485E-3</v>
      </c>
      <c r="F92" s="7">
        <f>(1-Parameters!$B$4)^Parameters!B$71*F91+C91*Parameters!B$71-Parameters!$B$5*C91^2/F91*Parameters!B$71</f>
        <v>1.3355934094702269</v>
      </c>
      <c r="G92" s="7">
        <f>(1-Parameters!$B$4)^Parameters!B$71*G91+D91*Parameters!B$71-Parameters!$B$5*D91^2/G91*Parameters!B$71</f>
        <v>3.2927257157284613</v>
      </c>
      <c r="H92" s="9">
        <f>MAX(H91 * (1-Parameters!$B$4) ^ Parameters!B$71 + (LN(1+EXP(Parameters!$B$21*(-B91+0.004)))/Parameters!$B$21 -0.004) * Parameters!B$71,0)</f>
        <v>1.0241069238462849E-2</v>
      </c>
      <c r="I92" s="23">
        <f>I91*(1+Parameters!$B$52)^Parameters!B$71</f>
        <v>10.528383944750484</v>
      </c>
      <c r="J92" s="23">
        <f>J91*(1+Parameters!$B$54)^Parameters!B$71</f>
        <v>51.545574659592127</v>
      </c>
      <c r="K92" s="23">
        <f>I92*J92*EXP(-Parameters!$B$43*'6states'!A92)*(Parameters!$B$38/Parameters!$B$39*('6states'!E92+'6states'!H92)/Parameters!$E$25*(EXP(-Parameters!$B$39*Parameters!$E$25*'6states'!H92/('6states'!E92+'6states'!H92))-EXP(-Parameters!$B$39*Parameters!$E$25))  +  Parameters!$B$40*'6states'!E92)</f>
        <v>1.417001721887668</v>
      </c>
      <c r="L92" s="8">
        <f>L91+K92*Parameters!B$71</f>
        <v>3297.1538220445059</v>
      </c>
      <c r="M92" s="7">
        <f>L92*Parameters!$B$46</f>
        <v>1.9782922932267033</v>
      </c>
      <c r="N92" s="9">
        <f>EXP(-Parameters!$B$47/2*M92^2)</f>
        <v>0.96143137823147329</v>
      </c>
      <c r="O92" s="8">
        <f>MAX((Parameters!$B$63 + Parameters!$B$31*'6states'!A92 - '6states'!L92 + Parameters!$B$48/Parameters!$B$46)/Parameters!B$63,1)</f>
        <v>74.688923559109895</v>
      </c>
      <c r="P92" s="7">
        <f>Parameters!B$62*EXP(-Parameters!B$61*A92)</f>
        <v>4.6460760606599448E-2</v>
      </c>
      <c r="Q92" s="7">
        <f>(1-Parameters!B$62)*O92^-Parameters!B$64</f>
        <v>0.32482121335462727</v>
      </c>
      <c r="R92" s="7">
        <f>Parameters!B$62*EXP(-Parameters!B$61*A92)+(1-Parameters!B$62)*O92^-Parameters!B$64</f>
        <v>0.3712819739612267</v>
      </c>
      <c r="S92" s="7">
        <f>1-R92/Parameters!$B$12</f>
        <v>0.81435901301938662</v>
      </c>
      <c r="T92" s="7">
        <f t="shared" si="76"/>
        <v>5.3867414533000231</v>
      </c>
      <c r="U92" s="7">
        <f>(Parameters!$B$19*(E92+Parameters!$B$20)^S92+Parameters!$B$18*F92^S92)^(1/S92)</f>
        <v>0.33548794732841841</v>
      </c>
      <c r="V92" s="7">
        <f>(Parameters!$B$10*G92^Parameters!$B$9+Parameters!$B$11*U92^Parameters!$B$9)^(Parameters!$B$7/Parameters!$B$9)*N92</f>
        <v>1.3378505519022179</v>
      </c>
      <c r="W92" s="7">
        <f>V92 - C92 - D92 - LN(1+EXP(Parameters!$B$21*B92))/Parameters!$B$21 - IF(B92&gt;0, 0,Parameters!$B$6*B92^2/E92)</f>
        <v>1.0203656521666977</v>
      </c>
      <c r="X92" s="7">
        <f>EXP(-Parameters!$B$56*A92)</f>
        <v>0.26479482451320413</v>
      </c>
      <c r="Y92" s="7">
        <f>IF(W92&gt;0,W92^(1-Parameters!$B$53)/(1-Parameters!$B$53)*X92*Parameters!$B$71,-10+W92*1000)</f>
        <v>-0.75123689206458044</v>
      </c>
      <c r="AA92" s="22">
        <f t="shared" si="80"/>
        <v>-3.0752396982177566E-3</v>
      </c>
      <c r="AB92" s="22">
        <f t="shared" si="81"/>
        <v>-8.0615921523169431E-6</v>
      </c>
      <c r="AC92" s="22">
        <f t="shared" si="82"/>
        <v>-1.3911450972931005E-5</v>
      </c>
      <c r="AD92" s="22">
        <f t="shared" si="77"/>
        <v>2.5042593776222743E-6</v>
      </c>
      <c r="AE92" s="22">
        <f t="shared" si="83"/>
        <v>-4.0103182219469909E-4</v>
      </c>
      <c r="AF92" s="22">
        <f t="shared" si="84"/>
        <v>3.235386308586552E-7</v>
      </c>
      <c r="AG92" s="22">
        <f t="shared" si="85"/>
        <v>8.6611403500580497E-7</v>
      </c>
      <c r="AH92" s="22">
        <f t="shared" si="78"/>
        <v>4.2586257134129475E-8</v>
      </c>
      <c r="AI92" s="22"/>
      <c r="AM92" s="23">
        <f t="shared" si="72"/>
        <v>5.5577422575833282</v>
      </c>
      <c r="AN92" s="23">
        <f t="shared" si="73"/>
        <v>4.2987500468813984</v>
      </c>
      <c r="AO92" s="23">
        <f t="shared" si="74"/>
        <v>182.06649114081225</v>
      </c>
      <c r="AP92" s="25">
        <f t="shared" si="75"/>
        <v>726.04025746770253</v>
      </c>
      <c r="AQ92" s="22">
        <f>-X92*V92*W92^(-Parameters!B$53)*Parameters!B$47*Parameters!B$46*M92</f>
        <v>-8.2249731687871334E-6</v>
      </c>
      <c r="AR92" s="7">
        <f>1000*EXP(-(Parameters!$B$55)*'6states'!A92)*AP92*Parameters!B$47*Parameters!B$46*M92</f>
        <v>0.78913203377547403</v>
      </c>
      <c r="AS92" s="7">
        <f>SUM(AR92:AR$204)*EXP(Parameters!$B$55*A92)</f>
        <v>1187.3716405988778</v>
      </c>
      <c r="AT92" s="39">
        <f t="shared" si="86"/>
        <v>0.23553623525303455</v>
      </c>
      <c r="AU92">
        <f>(1/$S92-1/Parameters!$B$13) * LN(Parameters!$B$18) / LN(O92)</f>
        <v>0.21322621531336605</v>
      </c>
      <c r="AV92">
        <f>(Parameters!$B$18*'6states'!S92^+Parameters!$B$19*Parameters!$B$25^'6states'!S92)^((1-'6states'!S92)/'6states'!S92)*Parameters!$B$18*Parameters!$B$26^('6states'!S92-1)</f>
        <v>0.30422378375049769</v>
      </c>
      <c r="AW92">
        <f t="shared" si="87"/>
        <v>0.19763133829782817</v>
      </c>
      <c r="AX92">
        <f t="shared" si="88"/>
        <v>0.13739392313198695</v>
      </c>
      <c r="AY92">
        <f t="shared" si="89"/>
        <v>0.19012216037397789</v>
      </c>
      <c r="AZ92">
        <f>(1/$S92-1/Parameters!$B$13) * LN(Parameters!$B$18) / A92</f>
        <v>1.0451311540490811E-2</v>
      </c>
    </row>
    <row r="93" spans="1:52" x14ac:dyDescent="0.25">
      <c r="A93">
        <f>A92+Parameters!$B$71</f>
        <v>89</v>
      </c>
      <c r="B93" s="9">
        <f t="shared" si="99"/>
        <v>-1.2618868191131209E-4</v>
      </c>
      <c r="C93" s="9">
        <f t="shared" si="100"/>
        <v>9.2879657861473008E-2</v>
      </c>
      <c r="D93" s="9">
        <f t="shared" si="101"/>
        <v>0.22246941652381294</v>
      </c>
      <c r="E93" s="7">
        <f>MAX((1-Parameters!$B$4)^Parameters!B$71*E92 + B92*Parameters!B$71 - IF(B92&gt;0,Parameters!$B$5,0)*B92^2/E92*Parameters!B$71, 0.0001)</f>
        <v>7.3144173455542668E-3</v>
      </c>
      <c r="F93" s="7">
        <f>(1-Parameters!$B$4)^Parameters!B$71*F92+C92*Parameters!B$71-Parameters!$B$5*C92^2/F92*Parameters!B$71</f>
        <v>1.3378775995074594</v>
      </c>
      <c r="G93" s="7">
        <f>(1-Parameters!$B$4)^Parameters!B$71*G92+D92*Parameters!B$71-Parameters!$B$5*D92^2/G92*Parameters!B$71</f>
        <v>3.2930690187867317</v>
      </c>
      <c r="H93" s="9">
        <f>MAX(H92 * (1-Parameters!$B$4) ^ Parameters!B$71 + (LN(1+EXP(Parameters!$B$21*(-B92+0.004)))/Parameters!$B$21 -0.004) * Parameters!B$71,0)</f>
        <v>1.0558216830343983E-2</v>
      </c>
      <c r="I93" s="23">
        <f>I92*(1+Parameters!$B$52)^Parameters!B$71</f>
        <v>10.558916258190258</v>
      </c>
      <c r="J93" s="23">
        <f>J92*(1+Parameters!$B$54)^Parameters!B$71</f>
        <v>52.576486152783971</v>
      </c>
      <c r="K93" s="23">
        <f>I93*J93*EXP(-Parameters!$B$43*'6states'!A93)*(Parameters!$B$38/Parameters!$B$39*('6states'!E93+'6states'!H93)/Parameters!$E$25*(EXP(-Parameters!$B$39*Parameters!$E$25*'6states'!H93/('6states'!E93+'6states'!H93))-EXP(-Parameters!$B$39*Parameters!$E$25))  +  Parameters!$B$40*'6states'!E93)</f>
        <v>1.3251830713234205</v>
      </c>
      <c r="L93" s="8">
        <f>L92+K93*Parameters!B$71</f>
        <v>3298.4790051158293</v>
      </c>
      <c r="M93" s="7">
        <f>L93*Parameters!$B$46</f>
        <v>1.9790874030694974</v>
      </c>
      <c r="N93" s="9">
        <f>EXP(-Parameters!$B$47/2*M93^2)</f>
        <v>0.96140097551859971</v>
      </c>
      <c r="O93" s="8">
        <f>MAX((Parameters!$B$63 + Parameters!$B$31*'6states'!A93 - '6states'!L93 + Parameters!$B$48/Parameters!$B$46)/Parameters!B$63,1)</f>
        <v>75.726419897683414</v>
      </c>
      <c r="P93" s="7">
        <f>Parameters!B$62*EXP(-Parameters!B$61*A93)</f>
        <v>4.522310362620463E-2</v>
      </c>
      <c r="Q93" s="7">
        <f>(1-Parameters!B$62)*O93^-Parameters!B$64</f>
        <v>0.32437342151628862</v>
      </c>
      <c r="R93" s="7">
        <f>Parameters!B$62*EXP(-Parameters!B$61*A93)+(1-Parameters!B$62)*O93^-Parameters!B$64</f>
        <v>0.36959652514249325</v>
      </c>
      <c r="S93" s="7">
        <f>1-R93/Parameters!$B$12</f>
        <v>0.81520173742875335</v>
      </c>
      <c r="T93" s="7">
        <f t="shared" si="76"/>
        <v>5.4113062865754085</v>
      </c>
      <c r="U93" s="7">
        <f>(Parameters!$B$19*(E93+Parameters!$B$20)^S93+Parameters!$B$18*F93^S93)^(1/S93)</f>
        <v>0.33568106165855482</v>
      </c>
      <c r="V93" s="7">
        <f>(Parameters!$B$10*G93^Parameters!$B$9+Parameters!$B$11*U93^Parameters!$B$9)^(Parameters!$B$7/Parameters!$B$9)*N93</f>
        <v>1.3379074417397945</v>
      </c>
      <c r="W93" s="7">
        <f>V93 - C93 - D93 - LN(1+EXP(Parameters!$B$21*B93))/Parameters!$B$21 - IF(B93&gt;0, 0,Parameters!$B$6*B93^2/E93)</f>
        <v>1.0202994889286459</v>
      </c>
      <c r="X93" s="7">
        <f>EXP(-Parameters!$B$56*A93)</f>
        <v>0.26082645922295711</v>
      </c>
      <c r="Y93" s="7">
        <f>IF(W93&gt;0,W93^(1-Parameters!$B$53)/(1-Parameters!$B$53)*X93*Parameters!$B$71,-10+W93*1000)</f>
        <v>-0.7399952247983731</v>
      </c>
      <c r="AA93" s="22">
        <f t="shared" si="80"/>
        <v>-3.5536916312098061E-3</v>
      </c>
      <c r="AB93" s="22">
        <f t="shared" si="81"/>
        <v>-7.7568933942590013E-6</v>
      </c>
      <c r="AC93" s="22">
        <f t="shared" si="82"/>
        <v>-1.3096429515760399E-5</v>
      </c>
      <c r="AD93" s="22">
        <f t="shared" si="77"/>
        <v>3.2939658499300996E-6</v>
      </c>
      <c r="AE93" s="22">
        <f t="shared" si="83"/>
        <v>-4.7845193299204947E-4</v>
      </c>
      <c r="AF93" s="22">
        <f t="shared" si="84"/>
        <v>3.0469875805794189E-7</v>
      </c>
      <c r="AG93" s="22">
        <f t="shared" si="85"/>
        <v>8.1502145717060603E-7</v>
      </c>
      <c r="AH93" s="22">
        <f t="shared" si="78"/>
        <v>5.9707612987751182E-8</v>
      </c>
      <c r="AI93" s="22"/>
      <c r="AM93" s="23">
        <f t="shared" si="72"/>
        <v>5.8614016165477576</v>
      </c>
      <c r="AN93" s="23">
        <f t="shared" si="73"/>
        <v>4.060604015075902</v>
      </c>
      <c r="AO93" s="23">
        <f t="shared" si="74"/>
        <v>186.35358120276624</v>
      </c>
      <c r="AP93" s="25">
        <f t="shared" si="75"/>
        <v>742.74027213262082</v>
      </c>
      <c r="AQ93" s="22">
        <f>-X93*V93*W93^(-Parameters!B$53)*Parameters!B$47*Parameters!B$46*M93</f>
        <v>-8.1060195003820965E-6</v>
      </c>
      <c r="AR93" s="7">
        <f>1000*EXP(-(Parameters!$B$55)*'6states'!A93)*AP93*Parameters!B$47*Parameters!B$46*M93</f>
        <v>0.77975240466556339</v>
      </c>
      <c r="AS93" s="7">
        <f>SUM(AR93:AR$204)*EXP(Parameters!$B$55*A93)</f>
        <v>1211.847628822446</v>
      </c>
      <c r="AT93" s="39">
        <f t="shared" si="86"/>
        <v>0.23560888882826125</v>
      </c>
      <c r="AU93">
        <f>(1/$S93-1/Parameters!$B$13) * LN(Parameters!$B$18) / LN(O93)</f>
        <v>0.21289590606367692</v>
      </c>
      <c r="AV93">
        <f>(Parameters!$B$18*'6states'!S93^+Parameters!$B$19*Parameters!$B$25^'6states'!S93)^((1-'6states'!S93)/'6states'!S93)*Parameters!$B$18*Parameters!$B$26^('6states'!S93-1)</f>
        <v>0.30436691750100597</v>
      </c>
      <c r="AW93">
        <f t="shared" si="87"/>
        <v>0.19710997461404689</v>
      </c>
      <c r="AX93">
        <f t="shared" si="88"/>
        <v>0.13719640433705882</v>
      </c>
      <c r="AY93">
        <f t="shared" si="89"/>
        <v>0.19020250660040172</v>
      </c>
      <c r="AZ93">
        <f>(1/$S93-1/Parameters!$B$13) * LN(Parameters!$B$18) / A93</f>
        <v>1.0350872429137181E-2</v>
      </c>
    </row>
    <row r="94" spans="1:52" x14ac:dyDescent="0.25">
      <c r="A94">
        <f>A93+Parameters!$B$71</f>
        <v>90</v>
      </c>
      <c r="B94" s="9">
        <f t="shared" si="99"/>
        <v>-1.4387041136542842E-4</v>
      </c>
      <c r="C94" s="9">
        <f t="shared" si="100"/>
        <v>9.3027873440220496E-2</v>
      </c>
      <c r="D94" s="9">
        <f t="shared" si="101"/>
        <v>0.22244948605165132</v>
      </c>
      <c r="E94" s="7">
        <f>MAX((1-Parameters!$B$4)^Parameters!B$71*E93 + B93*Parameters!B$71 - IF(B93&gt;0,Parameters!$B$5,0)*B93^2/E93*Parameters!B$71, 0.0001)</f>
        <v>6.7281518126075914E-3</v>
      </c>
      <c r="F94" s="7">
        <f>(1-Parameters!$B$4)^Parameters!B$71*F93+C93*Parameters!B$71-Parameters!$B$5*C93^2/F93*Parameters!B$71</f>
        <v>1.3401567592878043</v>
      </c>
      <c r="G94" s="7">
        <f>(1-Parameters!$B$4)^Parameters!B$71*G93+D93*Parameters!B$71-Parameters!$B$5*D93^2/G93*Parameters!B$71</f>
        <v>3.2933750578667285</v>
      </c>
      <c r="H94" s="9">
        <f>MAX(H93 * (1-Parameters!$B$4) ^ Parameters!B$71 + (LN(1+EXP(Parameters!$B$21*(-B93+0.004)))/Parameters!$B$21 -0.004) * Parameters!B$71,0)</f>
        <v>1.0869114370400623E-2</v>
      </c>
      <c r="I94" s="23">
        <f>I93*(1+Parameters!$B$52)^Parameters!B$71</f>
        <v>10.589537115339009</v>
      </c>
      <c r="J94" s="23">
        <f>J93*(1+Parameters!$B$54)^Parameters!B$71</f>
        <v>53.628015875839651</v>
      </c>
      <c r="K94" s="23">
        <f>I94*J94*EXP(-Parameters!$B$43*'6states'!A94)*(Parameters!$B$38/Parameters!$B$39*('6states'!E94+'6states'!H94)/Parameters!$E$25*(EXP(-Parameters!$B$39*Parameters!$E$25*'6states'!H94/('6states'!E94+'6states'!H94))-EXP(-Parameters!$B$39*Parameters!$E$25))  +  Parameters!$B$40*'6states'!E94)</f>
        <v>1.2345445970670981</v>
      </c>
      <c r="L94" s="8">
        <f>L93+K94*Parameters!B$71</f>
        <v>3299.7135497128966</v>
      </c>
      <c r="M94" s="7">
        <f>L94*Parameters!$B$46</f>
        <v>1.9798281298277378</v>
      </c>
      <c r="N94" s="9">
        <f>EXP(-Parameters!$B$47/2*M94^2)</f>
        <v>0.96137264213184037</v>
      </c>
      <c r="O94" s="8">
        <f>MAX((Parameters!$B$63 + Parameters!$B$31*'6states'!A94 - '6states'!L94 + Parameters!$B$48/Parameters!$B$46)/Parameters!B$63,1)</f>
        <v>76.765729005742074</v>
      </c>
      <c r="P94" s="7">
        <f>Parameters!B$62*EXP(-Parameters!B$61*A94)</f>
        <v>4.4018416291186274E-2</v>
      </c>
      <c r="Q94" s="7">
        <f>(1-Parameters!B$62)*O94^-Parameters!B$64</f>
        <v>0.32393156296246306</v>
      </c>
      <c r="R94" s="7">
        <f>Parameters!B$62*EXP(-Parameters!B$61*A94)+(1-Parameters!B$62)*O94^-Parameters!B$64</f>
        <v>0.36794997925364936</v>
      </c>
      <c r="S94" s="7">
        <f>1-R94/Parameters!$B$12</f>
        <v>0.81602501037317532</v>
      </c>
      <c r="T94" s="7">
        <f t="shared" si="76"/>
        <v>5.4355214370627358</v>
      </c>
      <c r="U94" s="7">
        <f>(Parameters!$B$19*(E94+Parameters!$B$20)^S94+Parameters!$B$18*F94^S94)^(1/S94)</f>
        <v>0.33588869551403766</v>
      </c>
      <c r="V94" s="7">
        <f>(Parameters!$B$10*G94^Parameters!$B$9+Parameters!$B$11*U94^Parameters!$B$9)^(Parameters!$B$7/Parameters!$B$9)*N94</f>
        <v>1.3379691780561001</v>
      </c>
      <c r="W94" s="7">
        <f>V94 - C94 - D94 - LN(1+EXP(Parameters!$B$21*B94))/Parameters!$B$21 - IF(B94&gt;0, 0,Parameters!$B$6*B94^2/E94)</f>
        <v>1.0202371048718735</v>
      </c>
      <c r="X94" s="7">
        <f>EXP(-Parameters!$B$56*A94)</f>
        <v>0.25691756610368538</v>
      </c>
      <c r="Y94" s="7">
        <f>IF(W94&gt;0,W94^(1-Parameters!$B$53)/(1-Parameters!$B$53)*X94*Parameters!$B$71,-10+W94*1000)</f>
        <v>-0.728920836253379</v>
      </c>
      <c r="AA94" s="22">
        <f t="shared" si="80"/>
        <v>-4.1312995850504089E-3</v>
      </c>
      <c r="AB94" s="22">
        <f t="shared" si="81"/>
        <v>-7.4699018756535507E-6</v>
      </c>
      <c r="AC94" s="22">
        <f t="shared" si="82"/>
        <v>-1.2329452922080208E-5</v>
      </c>
      <c r="AD94" s="22">
        <f t="shared" si="77"/>
        <v>4.3850289587153377E-6</v>
      </c>
      <c r="AE94" s="22">
        <f t="shared" si="83"/>
        <v>-5.776079538406028E-4</v>
      </c>
      <c r="AF94" s="22">
        <f t="shared" si="84"/>
        <v>2.8699151860545058E-7</v>
      </c>
      <c r="AG94" s="22">
        <f t="shared" si="85"/>
        <v>7.6697659368019089E-7</v>
      </c>
      <c r="AH94" s="22">
        <f t="shared" si="78"/>
        <v>8.5715823517704424E-8</v>
      </c>
      <c r="AI94" s="22"/>
      <c r="AM94" s="23">
        <f t="shared" si="72"/>
        <v>6.1725251021540348</v>
      </c>
      <c r="AN94" s="23">
        <f t="shared" si="73"/>
        <v>3.8208895903717308</v>
      </c>
      <c r="AO94" s="23">
        <f t="shared" si="74"/>
        <v>190.74980112788637</v>
      </c>
      <c r="AP94" s="25">
        <f t="shared" si="75"/>
        <v>759.8271630989633</v>
      </c>
      <c r="AQ94" s="22">
        <f>-X94*V94*W94^(-Parameters!B$53)*Parameters!B$47*Parameters!B$46*M94</f>
        <v>-7.9885544944597394E-6</v>
      </c>
      <c r="AR94" s="7">
        <f>1000*EXP(-(Parameters!$B$55)*'6states'!A94)*AP94*Parameters!B$47*Parameters!B$46*M94</f>
        <v>0.77046576344103701</v>
      </c>
      <c r="AS94" s="7">
        <f>SUM(AR94:AR$204)*EXP(Parameters!$B$55*A94)</f>
        <v>1236.7779372619507</v>
      </c>
      <c r="AT94" s="39">
        <f t="shared" si="86"/>
        <v>0.23568068252412666</v>
      </c>
      <c r="AU94">
        <f>(1/$S94-1/Parameters!$B$13) * LN(Parameters!$B$18) / LN(O94)</f>
        <v>0.21256699668513557</v>
      </c>
      <c r="AV94">
        <f>(Parameters!$B$18*'6states'!S94^+Parameters!$B$19*Parameters!$B$25^'6states'!S94)^((1-'6states'!S94)/'6states'!S94)*Parameters!$B$18*Parameters!$B$26^('6states'!S94-1)</f>
        <v>0.30450519812036231</v>
      </c>
      <c r="AW94">
        <f t="shared" si="87"/>
        <v>0.1965956345730448</v>
      </c>
      <c r="AX94">
        <f t="shared" si="88"/>
        <v>0.1369996776985124</v>
      </c>
      <c r="AY94">
        <f t="shared" si="89"/>
        <v>0.19028012101605896</v>
      </c>
      <c r="AZ94">
        <f>(1/$S94-1/Parameters!$B$13) * LN(Parameters!$B$18) / A94</f>
        <v>1.0252243954935559E-2</v>
      </c>
    </row>
    <row r="95" spans="1:52" x14ac:dyDescent="0.25">
      <c r="A95">
        <f>A94+Parameters!$B$71</f>
        <v>91</v>
      </c>
      <c r="B95" s="20">
        <v>-1.6155214081954469E-4</v>
      </c>
      <c r="C95" s="20">
        <v>9.3176089018967928E-2</v>
      </c>
      <c r="D95" s="20">
        <v>0.22242955557948962</v>
      </c>
      <c r="E95" s="7">
        <f>MAX((1-Parameters!$B$4)^Parameters!B$71*E94 + B94*Parameters!B$71 - IF(B94&gt;0,Parameters!$B$5,0)*B94^2/E94*Parameters!B$71, 0.0001)</f>
        <v>6.1610806522291459E-3</v>
      </c>
      <c r="F95" s="7">
        <f>(1-Parameters!$B$4)^Parameters!B$71*F94+C94*Parameters!B$71-Parameters!$B$5*C94^2/F94*Parameters!B$71</f>
        <v>1.3424311808155942</v>
      </c>
      <c r="G95" s="7">
        <f>(1-Parameters!$B$4)^Parameters!B$71*G94+D94*Parameters!B$71-Parameters!$B$5*D94^2/G94*Parameters!B$71</f>
        <v>3.2936460057370986</v>
      </c>
      <c r="H95" s="9">
        <f>MAX(H94 * (1-Parameters!$B$4) ^ Parameters!B$71 + (LN(1+EXP(Parameters!$B$21*(-B94+0.004)))/Parameters!$B$21 -0.004) * Parameters!B$71,0)</f>
        <v>1.1174171332215677E-2</v>
      </c>
      <c r="I95" s="23">
        <f>I94*(1+Parameters!$B$52)^Parameters!B$71</f>
        <v>10.620246772973491</v>
      </c>
      <c r="J95" s="23">
        <f>J94*(1+Parameters!$B$54)^Parameters!B$71</f>
        <v>54.700576193356447</v>
      </c>
      <c r="K95" s="23">
        <f>I95*J95*EXP(-Parameters!$B$43*'6states'!A95)*(Parameters!$B$38/Parameters!$B$39*('6states'!E95+'6states'!H95)/Parameters!$E$25*(EXP(-Parameters!$B$39*Parameters!$E$25*'6states'!H95/('6states'!E95+'6states'!H95))-EXP(-Parameters!$B$39*Parameters!$E$25))  +  Parameters!$B$40*'6states'!E95)</f>
        <v>1.1449400655859239</v>
      </c>
      <c r="L95" s="8">
        <f>L94+K95*Parameters!B$71</f>
        <v>3300.8584897784826</v>
      </c>
      <c r="M95" s="7">
        <f>L95*Parameters!$B$46</f>
        <v>1.9805150938670895</v>
      </c>
      <c r="N95" s="9">
        <f>EXP(-Parameters!$B$47/2*M95^2)</f>
        <v>0.96134635648231581</v>
      </c>
      <c r="O95" s="8">
        <f>MAX((Parameters!$B$63 + Parameters!$B$31*'6states'!A95 - '6states'!L95 + Parameters!$B$48/Parameters!$B$46)/Parameters!B$63,1)</f>
        <v>77.806830204430341</v>
      </c>
      <c r="P95" s="7">
        <f>Parameters!B$62*EXP(-Parameters!B$61*A95)</f>
        <v>4.2845820331124176E-2</v>
      </c>
      <c r="Q95" s="7">
        <f>(1-Parameters!B$62)*O95^-Parameters!B$64</f>
        <v>0.32349549127122257</v>
      </c>
      <c r="R95" s="7">
        <f>Parameters!B$62*EXP(-Parameters!B$61*A95)+(1-Parameters!B$62)*O95^-Parameters!B$64</f>
        <v>0.36634131160234673</v>
      </c>
      <c r="S95" s="7">
        <f>1-R95/Parameters!$B$12</f>
        <v>0.81682934419882658</v>
      </c>
      <c r="T95" s="7">
        <f t="shared" si="76"/>
        <v>5.4593897457323717</v>
      </c>
      <c r="U95" s="7">
        <f>(Parameters!$B$19*(E95+Parameters!$B$20)^S95+Parameters!$B$18*F95^S95)^(1/S95)</f>
        <v>0.33610962540722972</v>
      </c>
      <c r="V95" s="7">
        <f>(Parameters!$B$10*G95^Parameters!$B$9+Parameters!$B$11*U95^Parameters!$B$9)^(Parameters!$B$7/Parameters!$B$9)*N95</f>
        <v>1.3380354373814412</v>
      </c>
      <c r="W95" s="7">
        <f>V95 - C95 - D95 - LN(1+EXP(Parameters!$B$21*B95))/Parameters!$B$21 - IF(B95&gt;0, 0,Parameters!$B$6*B95^2/E95)</f>
        <v>1.0201779190172842</v>
      </c>
      <c r="X95" s="7">
        <f>EXP(-Parameters!$B$56*A95)</f>
        <v>0.2530672538717339</v>
      </c>
      <c r="Y95" s="7">
        <f>IF(W95&gt;0,W95^(1-Parameters!$B$53)/(1-Parameters!$B$53)*X95*Parameters!$B$71,-10+W95*1000)</f>
        <v>-0.71801139443425277</v>
      </c>
      <c r="AA95" s="22">
        <f t="shared" si="80"/>
        <v>-4.8380488877721069E-3</v>
      </c>
      <c r="AB95" s="22">
        <f t="shared" si="81"/>
        <v>-7.1995537449520697E-6</v>
      </c>
      <c r="AC95" s="22">
        <f t="shared" si="82"/>
        <v>-1.1607659093193501E-5</v>
      </c>
      <c r="AD95" s="22">
        <f t="shared" si="77"/>
        <v>5.9235208186777526E-6</v>
      </c>
      <c r="AE95" s="22">
        <f t="shared" si="83"/>
        <v>-7.0674930272169798E-4</v>
      </c>
      <c r="AF95" s="22">
        <f t="shared" si="84"/>
        <v>2.70348130701481E-7</v>
      </c>
      <c r="AG95" s="22">
        <f t="shared" si="85"/>
        <v>7.2179382888670762E-7</v>
      </c>
      <c r="AH95" s="22">
        <f t="shared" si="78"/>
        <v>1.2640587124008877E-7</v>
      </c>
      <c r="AI95" s="22"/>
      <c r="AM95" s="23">
        <f t="shared" si="72"/>
        <v>6.4914517779107541</v>
      </c>
      <c r="AN95" s="23">
        <f t="shared" si="73"/>
        <v>3.5791788728403304</v>
      </c>
      <c r="AO95" s="23">
        <f t="shared" si="74"/>
        <v>195.257380664312</v>
      </c>
      <c r="AP95" s="25">
        <f t="shared" si="75"/>
        <v>777.30976737897231</v>
      </c>
      <c r="AQ95" s="22">
        <f>-X95*V95*W95^(-Parameters!B$53)*Parameters!B$47*Parameters!B$46*M95</f>
        <v>-7.8725701909178749E-6</v>
      </c>
      <c r="AR95" s="7">
        <f>1000*EXP(-(Parameters!$B$55)*'6states'!A95)*AP95*Parameters!B$47*Parameters!B$46*M95</f>
        <v>0.76127152350709559</v>
      </c>
      <c r="AS95" s="7">
        <f>SUM(AR95:AR$204)*EXP(Parameters!$B$55*A95)</f>
        <v>1262.1694125607189</v>
      </c>
      <c r="AT95" s="39">
        <f t="shared" si="86"/>
        <v>0.23575167267241265</v>
      </c>
      <c r="AU95">
        <f>(1/$S95-1/Parameters!$B$13) * LN(Parameters!$B$18) / LN(O95)</f>
        <v>0.21223951084384565</v>
      </c>
      <c r="AV95">
        <f>(Parameters!$B$18*'6states'!S95^+Parameters!$B$19*Parameters!$B$25^'6states'!S95)^((1-'6states'!S95)/'6states'!S95)*Parameters!$B$18*Parameters!$B$26^('6states'!S95-1)</f>
        <v>0.30463882211195675</v>
      </c>
      <c r="AW95">
        <f t="shared" si="87"/>
        <v>0.19608817481973539</v>
      </c>
      <c r="AX95">
        <f t="shared" si="88"/>
        <v>0.13680375793873545</v>
      </c>
      <c r="AY95">
        <f t="shared" si="89"/>
        <v>0.19035511468324628</v>
      </c>
      <c r="AZ95">
        <f>(1/$S95-1/Parameters!$B$13) * LN(Parameters!$B$18) / A95</f>
        <v>1.0155378896448753E-2</v>
      </c>
    </row>
    <row r="96" spans="1:52" x14ac:dyDescent="0.25">
      <c r="A96">
        <f>A95+Parameters!$B$71</f>
        <v>92</v>
      </c>
      <c r="B96" s="9">
        <f>B95+(B$119-B$95)/24</f>
        <v>-1.5494400459015225E-4</v>
      </c>
      <c r="C96" s="9">
        <f t="shared" ref="C96:D96" si="102">C95+(C$119-C$95)/24</f>
        <v>9.3083335051187419E-2</v>
      </c>
      <c r="D96" s="9">
        <f t="shared" si="102"/>
        <v>0.22257730595722594</v>
      </c>
      <c r="E96" s="7">
        <f>MAX((1-Parameters!$B$4)^Parameters!B$71*E95 + B95*Parameters!B$71 - IF(B95&gt;0,Parameters!$B$5,0)*B95^2/E95*Parameters!B$71, 0.0001)</f>
        <v>5.6119965383843876E-3</v>
      </c>
      <c r="F96" s="7">
        <f>(1-Parameters!$B$4)^Parameters!B$71*F95+C95*Parameters!B$71-Parameters!$B$5*C95^2/F95*Parameters!B$71</f>
        <v>1.3447011391512445</v>
      </c>
      <c r="G96" s="7">
        <f>(1-Parameters!$B$4)^Parameters!B$71*G95+D95*Parameters!B$71-Parameters!$B$5*D95^2/G95*Parameters!B$71</f>
        <v>3.2938839085951837</v>
      </c>
      <c r="H96" s="9">
        <f>MAX(H95 * (1-Parameters!$B$4) ^ Parameters!B$71 + (LN(1+EXP(Parameters!$B$21*(-B95+0.004)))/Parameters!$B$21 -0.004) * Parameters!B$71,0)</f>
        <v>1.1473771385753249E-2</v>
      </c>
      <c r="I96" s="23">
        <f>I95*(1+Parameters!$B$52)^Parameters!B$71</f>
        <v>10.651045488615113</v>
      </c>
      <c r="J96" s="23">
        <f>J95*(1+Parameters!$B$54)^Parameters!B$71</f>
        <v>55.794587717223578</v>
      </c>
      <c r="K96" s="23">
        <f>I96*J96*EXP(-Parameters!$B$43*'6states'!A96)*(Parameters!$B$38/Parameters!$B$39*('6states'!E96+'6states'!H96)/Parameters!$E$25*(EXP(-Parameters!$B$39*Parameters!$E$25*'6states'!H96/('6states'!E96+'6states'!H96))-EXP(-Parameters!$B$39*Parameters!$E$25))  +  Parameters!$B$40*'6states'!E96)</f>
        <v>1.0562290596168649</v>
      </c>
      <c r="L96" s="8">
        <f>L95+K96*Parameters!B$71</f>
        <v>3301.9147188380994</v>
      </c>
      <c r="M96" s="7">
        <f>L96*Parameters!$B$46</f>
        <v>1.9811488313028593</v>
      </c>
      <c r="N96" s="9">
        <f>EXP(-Parameters!$B$47/2*M96^2)</f>
        <v>0.96132210002005725</v>
      </c>
      <c r="O96" s="8">
        <f>MAX((Parameters!$B$63 + Parameters!$B$31*'6states'!A96 - '6states'!L96 + Parameters!$B$48/Parameters!$B$46)/Parameters!B$63,1)</f>
        <v>78.849705623238023</v>
      </c>
      <c r="P96" s="7">
        <f>Parameters!B$62*EXP(-Parameters!B$61*A96)</f>
        <v>4.1704460871631696E-2</v>
      </c>
      <c r="Q96" s="7">
        <f>(1-Parameters!B$62)*O96^-Parameters!B$64</f>
        <v>0.32306506430694909</v>
      </c>
      <c r="R96" s="7">
        <f>Parameters!B$62*EXP(-Parameters!B$61*A96)+(1-Parameters!B$62)*O96^-Parameters!B$64</f>
        <v>0.3647695251785808</v>
      </c>
      <c r="S96" s="7">
        <f>1-R96/Parameters!$B$12</f>
        <v>0.81761523741070963</v>
      </c>
      <c r="T96" s="7">
        <f t="shared" si="76"/>
        <v>5.4829141744252263</v>
      </c>
      <c r="U96" s="7">
        <f>(Parameters!$B$19*(E96+Parameters!$B$20)^S96+Parameters!$B$18*F96^S96)^(1/S96)</f>
        <v>0.33634270293165114</v>
      </c>
      <c r="V96" s="7">
        <f>(Parameters!$B$10*G96^Parameters!$B$9+Parameters!$B$11*U96^Parameters!$B$9)^(Parameters!$B$7/Parameters!$B$9)*N96</f>
        <v>1.3381059178955124</v>
      </c>
      <c r="W96" s="7">
        <f>V96 - C96 - D96 - LN(1+EXP(Parameters!$B$21*B96))/Parameters!$B$21 - IF(B96&gt;0, 0,Parameters!$B$6*B96^2/E96)</f>
        <v>1.0201899685065516</v>
      </c>
      <c r="X96" s="7">
        <f>EXP(-Parameters!$B$56*A96)</f>
        <v>0.24927464460072962</v>
      </c>
      <c r="Y96" s="7">
        <f>IF(W96&gt;0,W96^(1-Parameters!$B$53)/(1-Parameters!$B$53)*X96*Parameters!$B$71,-10+W96*1000)</f>
        <v>-0.70724794511854761</v>
      </c>
      <c r="AA96" s="22">
        <f t="shared" si="80"/>
        <v>-1.3880294065765526E-3</v>
      </c>
      <c r="AB96" s="22">
        <f t="shared" si="81"/>
        <v>-1.8614418217942352E-4</v>
      </c>
      <c r="AC96" s="22">
        <f t="shared" si="82"/>
        <v>3.9978367489562627E-5</v>
      </c>
      <c r="AD96" s="22">
        <f t="shared" si="77"/>
        <v>4.8929460905211545E-7</v>
      </c>
      <c r="AE96" s="22">
        <f t="shared" si="83"/>
        <v>3.4500194811955542E-3</v>
      </c>
      <c r="AF96" s="22">
        <f t="shared" si="84"/>
        <v>-1.7894462843447145E-4</v>
      </c>
      <c r="AG96" s="22">
        <f t="shared" si="85"/>
        <v>5.1586026582756128E-5</v>
      </c>
      <c r="AH96" s="22">
        <f t="shared" si="78"/>
        <v>2.9756703825684557E-6</v>
      </c>
      <c r="AI96" s="22"/>
      <c r="AM96" s="23">
        <f t="shared" si="72"/>
        <v>6.8185260589055234</v>
      </c>
      <c r="AN96" s="23">
        <f t="shared" si="73"/>
        <v>3.3350450652150077</v>
      </c>
      <c r="AO96" s="23">
        <f t="shared" si="74"/>
        <v>199.87861075128299</v>
      </c>
      <c r="AP96" s="25">
        <f t="shared" si="75"/>
        <v>795.19712952231396</v>
      </c>
      <c r="AQ96" s="22">
        <f>-X96*V96*W96^(-Parameters!B$53)*Parameters!B$47*Parameters!B$46*M96</f>
        <v>-7.757353662491459E-6</v>
      </c>
      <c r="AR96" s="7">
        <f>1000*EXP(-(Parameters!$B$55)*'6states'!A96)*AP96*Parameters!B$47*Parameters!B$46*M96</f>
        <v>0.75216907402144662</v>
      </c>
      <c r="AS96" s="7">
        <f>SUM(AR96:AR$204)*EXP(Parameters!$B$55*A96)</f>
        <v>1288.0289453934301</v>
      </c>
      <c r="AT96" s="39">
        <f t="shared" si="86"/>
        <v>0.23578529381293703</v>
      </c>
      <c r="AU96">
        <f>(1/$S96-1/Parameters!$B$13) * LN(Parameters!$B$18) / LN(O96)</f>
        <v>0.2119134696532918</v>
      </c>
      <c r="AV96">
        <f>(Parameters!$B$18*'6states'!S96^+Parameters!$B$19*Parameters!$B$25^'6states'!S96)^((1-'6states'!S96)/'6states'!S96)*Parameters!$B$18*Parameters!$B$26^('6states'!S96-1)</f>
        <v>0.30476797707510689</v>
      </c>
      <c r="AW96">
        <f t="shared" si="87"/>
        <v>0.19558745454509452</v>
      </c>
      <c r="AX96">
        <f t="shared" si="88"/>
        <v>0.13660865826310542</v>
      </c>
      <c r="AY96">
        <f t="shared" si="89"/>
        <v>0.19042759360068096</v>
      </c>
      <c r="AZ96">
        <f>(1/$S96-1/Parameters!$B$13) * LN(Parameters!$B$18) / A96</f>
        <v>1.0060231672881659E-2</v>
      </c>
    </row>
    <row r="97" spans="1:52" x14ac:dyDescent="0.25">
      <c r="A97">
        <f>A96+Parameters!$B$71</f>
        <v>93</v>
      </c>
      <c r="B97" s="9">
        <f t="shared" ref="B97:B118" si="103">B96+(B$119-B$95)/24</f>
        <v>-1.483358683607598E-4</v>
      </c>
      <c r="C97" s="9">
        <f t="shared" ref="C97:C118" si="104">C96+(C$119-C$95)/24</f>
        <v>9.2990581083406909E-2</v>
      </c>
      <c r="D97" s="9">
        <f t="shared" ref="D97:D118" si="105">D96+(D$119-D$95)/24</f>
        <v>0.22272505633496226</v>
      </c>
      <c r="E97" s="7">
        <f>MAX((1-Parameters!$B$4)^Parameters!B$71*E96 + B96*Parameters!B$71 - IF(B96&gt;0,Parameters!$B$5,0)*B96^2/E96*Parameters!B$71, 0.0001)</f>
        <v>5.104057951529857E-3</v>
      </c>
      <c r="F97" s="7">
        <f>(1-Parameters!$B$4)^Parameters!B$71*F96+C96*Parameters!B$71-Parameters!$B$5*C96^2/F96*Parameters!B$71</f>
        <v>1.3467593279717021</v>
      </c>
      <c r="G97" s="7">
        <f>(1-Parameters!$B$4)^Parameters!B$71*G96+D96*Parameters!B$71-Parameters!$B$5*D96^2/G96*Parameters!B$71</f>
        <v>3.2942357214484113</v>
      </c>
      <c r="H97" s="9">
        <f>MAX(H96 * (1-Parameters!$B$4) ^ Parameters!B$71 + (LN(1+EXP(Parameters!$B$21*(-B96+0.004)))/Parameters!$B$21 -0.004) * Parameters!B$71,0)</f>
        <v>1.1749392983685547E-2</v>
      </c>
      <c r="I97" s="23">
        <f>I96*(1+Parameters!$B$52)^Parameters!B$71</f>
        <v>10.681933520532095</v>
      </c>
      <c r="J97" s="23">
        <f>J96*(1+Parameters!$B$54)^Parameters!B$71</f>
        <v>56.910479471568053</v>
      </c>
      <c r="K97" s="23">
        <f>I97*J97*EXP(-Parameters!$B$43*'6states'!A97)*(Parameters!$B$38/Parameters!$B$39*('6states'!E97+'6states'!H97)/Parameters!$E$25*(EXP(-Parameters!$B$39*Parameters!$E$25*'6states'!H97/('6states'!E97+'6states'!H97))-EXP(-Parameters!$B$39*Parameters!$E$25))  +  Parameters!$B$40*'6states'!E97)</f>
        <v>0.97290665114516994</v>
      </c>
      <c r="L97" s="8">
        <f>L96+K97*Parameters!B$71</f>
        <v>3302.8876254892443</v>
      </c>
      <c r="M97" s="7">
        <f>L97*Parameters!$B$46</f>
        <v>1.9817325752935464</v>
      </c>
      <c r="N97" s="9">
        <f>EXP(-Parameters!$B$47/2*M97^2)</f>
        <v>0.96129975074510488</v>
      </c>
      <c r="O97" s="8">
        <f>MAX((Parameters!$B$63 + Parameters!$B$31*'6states'!A97 - '6states'!L97 + Parameters!$B$48/Parameters!$B$46)/Parameters!B$63,1)</f>
        <v>79.894247490215122</v>
      </c>
      <c r="P97" s="7">
        <f>Parameters!B$62*EXP(-Parameters!B$61*A97)</f>
        <v>4.0593505811114546E-2</v>
      </c>
      <c r="Q97" s="7">
        <f>(1-Parameters!B$62)*O97^-Parameters!B$64</f>
        <v>0.32264018147724943</v>
      </c>
      <c r="R97" s="7">
        <f>Parameters!B$62*EXP(-Parameters!B$61*A97)+(1-Parameters!B$62)*O97^-Parameters!B$64</f>
        <v>0.36323368728836397</v>
      </c>
      <c r="S97" s="7">
        <f>1-R97/Parameters!$B$12</f>
        <v>0.81838315635581804</v>
      </c>
      <c r="T97" s="7">
        <f t="shared" si="76"/>
        <v>5.5060972315936114</v>
      </c>
      <c r="U97" s="7">
        <f>(Parameters!$B$19*(E97+Parameters!$B$20)^S97+Parameters!$B$18*F97^S97)^(1/S97)</f>
        <v>0.33656753502286874</v>
      </c>
      <c r="V97" s="7">
        <f>(Parameters!$B$10*G97^Parameters!$B$9+Parameters!$B$11*U97^Parameters!$B$9)^(Parameters!$B$7/Parameters!$B$9)*N97</f>
        <v>1.3381856068425813</v>
      </c>
      <c r="W97" s="7">
        <f>V97 - C97 - D97 - LN(1+EXP(Parameters!$B$21*B97))/Parameters!$B$21 - IF(B97&gt;0, 0,Parameters!$B$6*B97^2/E97)</f>
        <v>1.0202112667549146</v>
      </c>
      <c r="X97" s="7">
        <f>EXP(-Parameters!$B$56*A97)</f>
        <v>0.24553887352140147</v>
      </c>
      <c r="Y97" s="7">
        <f>IF(W97&gt;0,W97^(1-Parameters!$B$53)/(1-Parameters!$B$53)*X97*Parameters!$B$71,-10+W97*1000)</f>
        <v>-0.69664363639587568</v>
      </c>
      <c r="AA97" s="22">
        <f t="shared" si="80"/>
        <v>-1.4529138968832449E-3</v>
      </c>
      <c r="AB97" s="22">
        <f t="shared" si="81"/>
        <v>-1.7466118248454787E-4</v>
      </c>
      <c r="AC97" s="22">
        <f t="shared" si="82"/>
        <v>3.7634635632707858E-5</v>
      </c>
      <c r="AD97" s="22">
        <f t="shared" si="77"/>
        <v>5.2616075532472954E-7</v>
      </c>
      <c r="AE97" s="22">
        <f t="shared" si="83"/>
        <v>-6.4884490306692244E-5</v>
      </c>
      <c r="AF97" s="22">
        <f t="shared" si="84"/>
        <v>1.1482999694875651E-5</v>
      </c>
      <c r="AG97" s="22">
        <f t="shared" si="85"/>
        <v>-2.3437318568547694E-6</v>
      </c>
      <c r="AH97" s="22">
        <f t="shared" si="78"/>
        <v>1.0674432851286153E-9</v>
      </c>
      <c r="AI97" s="22"/>
      <c r="AM97" s="23">
        <f t="shared" si="72"/>
        <v>7.1426199967680386</v>
      </c>
      <c r="AN97" s="23">
        <f t="shared" si="73"/>
        <v>3.1028280728954267</v>
      </c>
      <c r="AO97" s="23">
        <f t="shared" si="74"/>
        <v>204.60410246344415</v>
      </c>
      <c r="AP97" s="25">
        <f t="shared" si="75"/>
        <v>813.50170924513543</v>
      </c>
      <c r="AQ97" s="22">
        <f>-X97*V97*W97^(-Parameters!B$53)*Parameters!B$47*Parameters!B$46*M97</f>
        <v>-7.6435887720461907E-6</v>
      </c>
      <c r="AR97" s="7">
        <f>1000*EXP(-(Parameters!$B$55)*'6states'!A97)*AP97*Parameters!B$47*Parameters!B$46*M97</f>
        <v>0.74316174971967008</v>
      </c>
      <c r="AS97" s="7">
        <f>SUM(AR97:AR$204)*EXP(Parameters!$B$55*A97)</f>
        <v>1314.363468483489</v>
      </c>
      <c r="AT97" s="39">
        <f t="shared" si="86"/>
        <v>0.2358172886753597</v>
      </c>
      <c r="AU97">
        <f>(1/$S97-1/Parameters!$B$13) * LN(Parameters!$B$18) / LN(O97)</f>
        <v>0.21158894025423625</v>
      </c>
      <c r="AV97">
        <f>(Parameters!$B$18*'6states'!S97^+Parameters!$B$19*Parameters!$B$25^'6states'!S97)^((1-'6states'!S97)/'6states'!S97)*Parameters!$B$18*Parameters!$B$26^('6states'!S97-1)</f>
        <v>0.30489283912175918</v>
      </c>
      <c r="AW97">
        <f t="shared" si="87"/>
        <v>0.19509338487086486</v>
      </c>
      <c r="AX97">
        <f t="shared" si="88"/>
        <v>0.13641441943766797</v>
      </c>
      <c r="AY97">
        <f t="shared" si="89"/>
        <v>0.19049765725966794</v>
      </c>
      <c r="AZ97">
        <f>(1/$S97-1/Parameters!$B$13) * LN(Parameters!$B$18) / A97</f>
        <v>9.9667579139339334E-3</v>
      </c>
    </row>
    <row r="98" spans="1:52" x14ac:dyDescent="0.25">
      <c r="A98">
        <f>A97+Parameters!$B$71</f>
        <v>94</v>
      </c>
      <c r="B98" s="9">
        <f t="shared" si="103"/>
        <v>-1.4172773213136735E-4</v>
      </c>
      <c r="C98" s="9">
        <f t="shared" si="104"/>
        <v>9.28978271156264E-2</v>
      </c>
      <c r="D98" s="9">
        <f t="shared" si="105"/>
        <v>0.22287280671269857</v>
      </c>
      <c r="E98" s="7">
        <f>MAX((1-Parameters!$B$4)^Parameters!B$71*E97 + B97*Parameters!B$71 - IF(B97&gt;0,Parameters!$B$5,0)*B97^2/E97*Parameters!B$71, 0.0001)</f>
        <v>4.6346768380178694E-3</v>
      </c>
      <c r="F98" s="7">
        <f>(1-Parameters!$B$4)^Parameters!B$71*F97+C97*Parameters!B$71-Parameters!$B$5*C97^2/F97*Parameters!B$71</f>
        <v>1.3486179652374348</v>
      </c>
      <c r="G98" s="7">
        <f>(1-Parameters!$B$4)^Parameters!B$71*G97+D97*Parameters!B$71-Parameters!$B$5*D97^2/G97*Parameters!B$71</f>
        <v>3.2946947895522589</v>
      </c>
      <c r="H98" s="9">
        <f>MAX(H97 * (1-Parameters!$B$4) ^ Parameters!B$71 + (LN(1+EXP(Parameters!$B$21*(-B97+0.004)))/Parameters!$B$21 -0.004) * Parameters!B$71,0)</f>
        <v>1.2002546643006685E-2</v>
      </c>
      <c r="I98" s="23">
        <f>I97*(1+Parameters!$B$52)^Parameters!B$71</f>
        <v>10.712911127741636</v>
      </c>
      <c r="J98" s="23">
        <f>J97*(1+Parameters!$B$54)^Parameters!B$71</f>
        <v>58.048689060999415</v>
      </c>
      <c r="K98" s="23">
        <f>I98*J98*EXP(-Parameters!$B$43*'6states'!A98)*(Parameters!$B$38/Parameters!$B$39*('6states'!E98+'6states'!H98)/Parameters!$E$25*(EXP(-Parameters!$B$39*Parameters!$E$25*'6states'!H98/('6states'!E98+'6states'!H98))-EXP(-Parameters!$B$39*Parameters!$E$25))  +  Parameters!$B$40*'6states'!E98)</f>
        <v>0.89472565730697062</v>
      </c>
      <c r="L98" s="8">
        <f>L97+K98*Parameters!B$71</f>
        <v>3303.7823511465513</v>
      </c>
      <c r="M98" s="7">
        <f>L98*Parameters!$B$46</f>
        <v>1.9822694106879306</v>
      </c>
      <c r="N98" s="9">
        <f>EXP(-Parameters!$B$47/2*M98^2)</f>
        <v>0.96127919206387724</v>
      </c>
      <c r="O98" s="8">
        <f>MAX((Parameters!$B$63 + Parameters!$B$31*'6states'!A98 - '6states'!L98 + Parameters!$B$48/Parameters!$B$46)/Parameters!B$63,1)</f>
        <v>80.940352977068983</v>
      </c>
      <c r="P98" s="7">
        <f>Parameters!B$62*EXP(-Parameters!B$61*A98)</f>
        <v>3.9512145214131843E-2</v>
      </c>
      <c r="Q98" s="7">
        <f>(1-Parameters!B$62)*O98^-Parameters!B$64</f>
        <v>0.32222074314275118</v>
      </c>
      <c r="R98" s="7">
        <f>Parameters!B$62*EXP(-Parameters!B$61*A98)+(1-Parameters!B$62)*O98^-Parameters!B$64</f>
        <v>0.361732888356883</v>
      </c>
      <c r="S98" s="7">
        <f>1-R98/Parameters!$B$12</f>
        <v>0.81913355582155845</v>
      </c>
      <c r="T98" s="7">
        <f t="shared" si="76"/>
        <v>5.5289415598473708</v>
      </c>
      <c r="U98" s="7">
        <f>(Parameters!$B$19*(E98+Parameters!$B$20)^S98+Parameters!$B$18*F98^S98)^(1/S98)</f>
        <v>0.33678426447667947</v>
      </c>
      <c r="V98" s="7">
        <f>(Parameters!$B$10*G98^Parameters!$B$9+Parameters!$B$11*U98^Parameters!$B$9)^(Parameters!$B$7/Parameters!$B$9)*N98</f>
        <v>1.3382738647538093</v>
      </c>
      <c r="W98" s="7">
        <f>V98 - C98 - D98 - LN(1+EXP(Parameters!$B$21*B98))/Parameters!$B$21 - IF(B98&gt;0, 0,Parameters!$B$6*B98^2/E98)</f>
        <v>1.0202411809278695</v>
      </c>
      <c r="X98" s="7">
        <f>EXP(-Parameters!$B$56*A98)</f>
        <v>0.24185908882440066</v>
      </c>
      <c r="Y98" s="7">
        <f>IF(W98&gt;0,W98^(1-Parameters!$B$53)/(1-Parameters!$B$53)*X98*Parameters!$B$71,-10+W98*1000)</f>
        <v>-0.68619629804600457</v>
      </c>
      <c r="AA98" s="22">
        <f t="shared" si="80"/>
        <v>-1.5175119215150162E-3</v>
      </c>
      <c r="AB98" s="22">
        <f t="shared" si="81"/>
        <v>-1.6393710354921376E-4</v>
      </c>
      <c r="AC98" s="22">
        <f t="shared" si="82"/>
        <v>3.5424384578458534E-5</v>
      </c>
      <c r="AD98" s="22">
        <f t="shared" si="77"/>
        <v>5.6376693157525767E-7</v>
      </c>
      <c r="AE98" s="22">
        <f t="shared" si="83"/>
        <v>-6.4598024631771361E-5</v>
      </c>
      <c r="AF98" s="22">
        <f t="shared" si="84"/>
        <v>1.0724078935334114E-5</v>
      </c>
      <c r="AG98" s="22">
        <f t="shared" si="85"/>
        <v>-2.2102510542493237E-6</v>
      </c>
      <c r="AH98" s="22">
        <f t="shared" si="78"/>
        <v>1.0382516964328148E-9</v>
      </c>
      <c r="AI98" s="22"/>
      <c r="AM98" s="23">
        <f t="shared" si="72"/>
        <v>7.4640290459336347</v>
      </c>
      <c r="AN98" s="23">
        <f t="shared" si="73"/>
        <v>2.8821685569234714</v>
      </c>
      <c r="AO98" s="23">
        <f t="shared" si="74"/>
        <v>209.43618109011757</v>
      </c>
      <c r="AP98" s="25">
        <f t="shared" si="75"/>
        <v>832.23296647269115</v>
      </c>
      <c r="AQ98" s="22">
        <f>-X98*V98*W98^(-Parameters!B$53)*Parameters!B$47*Parameters!B$46*M98</f>
        <v>-7.5312757550474013E-6</v>
      </c>
      <c r="AR98" s="7">
        <f>1000*EXP(-(Parameters!$B$55)*'6states'!A98)*AP98*Parameters!B$47*Parameters!B$46*M98</f>
        <v>0.7342495491698644</v>
      </c>
      <c r="AS98" s="7">
        <f>SUM(AR98:AR$204)*EXP(Parameters!$B$55*A98)</f>
        <v>1341.1798470049191</v>
      </c>
      <c r="AT98" s="39">
        <f t="shared" si="86"/>
        <v>0.235847769585082</v>
      </c>
      <c r="AU98">
        <f>(1/$S98-1/Parameters!$B$13) * LN(Parameters!$B$18) / LN(O98)</f>
        <v>0.21126598308193353</v>
      </c>
      <c r="AV98">
        <f>(Parameters!$B$18*'6states'!S98^+Parameters!$B$19*Parameters!$B$25^'6states'!S98)^((1-'6states'!S98)/'6states'!S98)*Parameters!$B$18*Parameters!$B$26^('6states'!S98-1)</f>
        <v>0.30501357668861417</v>
      </c>
      <c r="AW98">
        <f t="shared" si="87"/>
        <v>0.19460587475817304</v>
      </c>
      <c r="AX98">
        <f t="shared" si="88"/>
        <v>0.13622107824737384</v>
      </c>
      <c r="AY98">
        <f t="shared" si="89"/>
        <v>0.19056540078883</v>
      </c>
      <c r="AZ98">
        <f>(1/$S98-1/Parameters!$B$13) * LN(Parameters!$B$18) / A98</f>
        <v>9.8749147955162885E-3</v>
      </c>
    </row>
    <row r="99" spans="1:52" x14ac:dyDescent="0.25">
      <c r="A99">
        <f>A98+Parameters!$B$71</f>
        <v>95</v>
      </c>
      <c r="B99" s="9">
        <f t="shared" si="103"/>
        <v>-1.3511959590197491E-4</v>
      </c>
      <c r="C99" s="9">
        <f t="shared" si="104"/>
        <v>9.280507314784589E-2</v>
      </c>
      <c r="D99" s="9">
        <f t="shared" si="105"/>
        <v>0.22302055709043489</v>
      </c>
      <c r="E99" s="7">
        <f>MAX((1-Parameters!$B$4)^Parameters!B$71*E98 + B98*Parameters!B$71 - IF(B98&gt;0,Parameters!$B$5,0)*B98^2/E98*Parameters!B$71, 0.0001)</f>
        <v>4.201427932775178E-3</v>
      </c>
      <c r="F99" s="7">
        <f>(1-Parameters!$B$4)^Parameters!B$71*F98+C98*Parameters!B$71-Parameters!$B$5*C98^2/F98*Parameters!B$71</f>
        <v>1.3502885740965693</v>
      </c>
      <c r="G99" s="7">
        <f>(1-Parameters!$B$4)^Parameters!B$71*G98+D98*Parameters!B$71-Parameters!$B$5*D98^2/G98*Parameters!B$71</f>
        <v>3.2952548480352557</v>
      </c>
      <c r="H99" s="9">
        <f>MAX(H98 * (1-Parameters!$B$4) ^ Parameters!B$71 + (LN(1+EXP(Parameters!$B$21*(-B98+0.004)))/Parameters!$B$21 -0.004) * Parameters!B$71,0)</f>
        <v>1.2234647871684297E-2</v>
      </c>
      <c r="I99" s="23">
        <f>I98*(1+Parameters!$B$52)^Parameters!B$71</f>
        <v>10.743978570012086</v>
      </c>
      <c r="J99" s="23">
        <f>J98*(1+Parameters!$B$54)^Parameters!B$71</f>
        <v>59.209662842219402</v>
      </c>
      <c r="K99" s="23">
        <f>I99*J99*EXP(-Parameters!$B$43*'6states'!A99)*(Parameters!$B$38/Parameters!$B$39*('6states'!E99+'6states'!H99)/Parameters!$E$25*(EXP(-Parameters!$B$39*Parameters!$E$25*'6states'!H99/('6states'!E99+'6states'!H99))-EXP(-Parameters!$B$39*Parameters!$E$25))  +  Parameters!$B$40*'6states'!E99)</f>
        <v>0.82145203655618226</v>
      </c>
      <c r="L99" s="8">
        <f>L98+K99*Parameters!B$71</f>
        <v>3304.6038031831076</v>
      </c>
      <c r="M99" s="7">
        <f>L99*Parameters!$B$46</f>
        <v>1.9827622819098645</v>
      </c>
      <c r="N99" s="9">
        <f>EXP(-Parameters!$B$47/2*M99^2)</f>
        <v>0.96126031252152488</v>
      </c>
      <c r="O99" s="8">
        <f>MAX((Parameters!$B$63 + Parameters!$B$31*'6states'!A99 - '6states'!L99 + Parameters!$B$48/Parameters!$B$46)/Parameters!B$63,1)</f>
        <v>81.98792393633785</v>
      </c>
      <c r="P99" s="7">
        <f>Parameters!B$62*EXP(-Parameters!B$61*A99)</f>
        <v>3.8459590720917251E-2</v>
      </c>
      <c r="Q99" s="7">
        <f>(1-Parameters!B$62)*O99^-Parameters!B$64</f>
        <v>0.32180665075080706</v>
      </c>
      <c r="R99" s="7">
        <f>Parameters!B$62*EXP(-Parameters!B$61*A99)+(1-Parameters!B$62)*O99^-Parameters!B$64</f>
        <v>0.36026624147172431</v>
      </c>
      <c r="S99" s="7">
        <f>1-R99/Parameters!$B$12</f>
        <v>0.81986687926413782</v>
      </c>
      <c r="T99" s="7">
        <f t="shared" si="76"/>
        <v>5.5514499272254758</v>
      </c>
      <c r="U99" s="7">
        <f>(Parameters!$B$19*(E99+Parameters!$B$20)^S99+Parameters!$B$18*F99^S99)^(1/S99)</f>
        <v>0.33699302048136337</v>
      </c>
      <c r="V99" s="7">
        <f>(Parameters!$B$10*G99^Parameters!$B$9+Parameters!$B$11*U99^Parameters!$B$9)^(Parameters!$B$7/Parameters!$B$9)*N99</f>
        <v>1.3383700815267705</v>
      </c>
      <c r="W99" s="7">
        <f>V99 - C99 - D99 - LN(1+EXP(Parameters!$B$21*B99))/Parameters!$B$21 - IF(B99&gt;0, 0,Parameters!$B$6*B99^2/E99)</f>
        <v>1.0202791083823621</v>
      </c>
      <c r="X99" s="7">
        <f>EXP(-Parameters!$B$56*A99)</f>
        <v>0.23823445146607616</v>
      </c>
      <c r="Y99" s="7">
        <f>IF(W99&gt;0,W99^(1-Parameters!$B$53)/(1-Parameters!$B$53)*X99*Parameters!$B$71,-10+W99*1000)</f>
        <v>-0.67590377723559114</v>
      </c>
      <c r="AA99" s="22">
        <f t="shared" si="80"/>
        <v>-1.58054625991709E-3</v>
      </c>
      <c r="AB99" s="22">
        <f t="shared" si="81"/>
        <v>-1.5391652614824003E-4</v>
      </c>
      <c r="AC99" s="22">
        <f t="shared" si="82"/>
        <v>3.3340268523765482E-5</v>
      </c>
      <c r="AD99" s="22">
        <f t="shared" si="77"/>
        <v>6.010484516135185E-7</v>
      </c>
      <c r="AE99" s="22">
        <f t="shared" si="83"/>
        <v>-6.3034338402073731E-5</v>
      </c>
      <c r="AF99" s="22">
        <f t="shared" si="84"/>
        <v>1.0020577400973729E-5</v>
      </c>
      <c r="AG99" s="22">
        <f t="shared" si="85"/>
        <v>-2.0841160546930526E-6</v>
      </c>
      <c r="AH99" s="22">
        <f t="shared" si="78"/>
        <v>9.7153994490904157E-10</v>
      </c>
      <c r="AI99" s="22"/>
      <c r="AM99" s="23">
        <f t="shared" si="72"/>
        <v>7.7830388060268065</v>
      </c>
      <c r="AN99" s="23">
        <f t="shared" si="73"/>
        <v>2.672727240249746</v>
      </c>
      <c r="AO99" s="23">
        <f t="shared" si="74"/>
        <v>214.37721651449235</v>
      </c>
      <c r="AP99" s="25">
        <f t="shared" si="75"/>
        <v>851.4005789619921</v>
      </c>
      <c r="AQ99" s="22">
        <f>-X99*V99*W99^(-Parameters!B$53)*Parameters!B$47*Parameters!B$46*M99</f>
        <v>-7.4204133835978859E-6</v>
      </c>
      <c r="AR99" s="7">
        <f>1000*EXP(-(Parameters!$B$55)*'6states'!A99)*AP99*Parameters!B$47*Parameters!B$46*M99</f>
        <v>0.72543239868291787</v>
      </c>
      <c r="AS99" s="7">
        <f>SUM(AR99:AR$204)*EXP(Parameters!$B$55*A99)</f>
        <v>1368.4849502463899</v>
      </c>
      <c r="AT99" s="39">
        <f t="shared" si="86"/>
        <v>0.23587684378169077</v>
      </c>
      <c r="AU99">
        <f>(1/$S99-1/Parameters!$B$13) * LN(Parameters!$B$18) / LN(O99)</f>
        <v>0.21094465243941521</v>
      </c>
      <c r="AV99">
        <f>(Parameters!$B$18*'6states'!S99^+Parameters!$B$19*Parameters!$B$25^'6states'!S99)^((1-'6states'!S99)/'6states'!S99)*Parameters!$B$18*Parameters!$B$26^('6states'!S99-1)</f>
        <v>0.30513035089142759</v>
      </c>
      <c r="AW99">
        <f t="shared" si="87"/>
        <v>0.19412483146650852</v>
      </c>
      <c r="AX99">
        <f t="shared" si="88"/>
        <v>0.13602866783451018</v>
      </c>
      <c r="AY99">
        <f t="shared" si="89"/>
        <v>0.19063091515751374</v>
      </c>
      <c r="AZ99">
        <f>(1/$S99-1/Parameters!$B$13) * LN(Parameters!$B$18) / A99</f>
        <v>9.7846609694939579E-3</v>
      </c>
    </row>
    <row r="100" spans="1:52" x14ac:dyDescent="0.25">
      <c r="A100">
        <f>A99+Parameters!$B$71</f>
        <v>96</v>
      </c>
      <c r="B100" s="9">
        <f t="shared" si="103"/>
        <v>-1.2851145967258246E-4</v>
      </c>
      <c r="C100" s="9">
        <f t="shared" si="104"/>
        <v>9.2712319180065381E-2</v>
      </c>
      <c r="D100" s="9">
        <f t="shared" si="105"/>
        <v>0.22316830746817121</v>
      </c>
      <c r="E100" s="7">
        <f>MAX((1-Parameters!$B$4)^Parameters!B$71*E99 + B99*Parameters!B$71 - IF(B99&gt;0,Parameters!$B$5,0)*B99^2/E99*Parameters!B$71, 0.0001)</f>
        <v>3.8020385199016449E-3</v>
      </c>
      <c r="F100" s="7">
        <f>(1-Parameters!$B$4)^Parameters!B$71*F99+C99*Parameters!B$71-Parameters!$B$5*C99^2/F99*Parameters!B$71</f>
        <v>1.3517820211638278</v>
      </c>
      <c r="G100" s="7">
        <f>(1-Parameters!$B$4)^Parameters!B$71*G99+D99*Parameters!B$71-Parameters!$B$5*D99^2/G99*Parameters!B$71</f>
        <v>3.2959099989353438</v>
      </c>
      <c r="H100" s="9">
        <f>MAX(H99 * (1-Parameters!$B$4) ^ Parameters!B$71 + (LN(1+EXP(Parameters!$B$21*(-B99+0.004)))/Parameters!$B$21 -0.004) * Parameters!B$71,0)</f>
        <v>1.2447023144726935E-2</v>
      </c>
      <c r="I100" s="23">
        <f>I99*(1+Parameters!$B$52)^Parameters!B$71</f>
        <v>10.775136107865119</v>
      </c>
      <c r="J100" s="23">
        <f>J99*(1+Parameters!$B$54)^Parameters!B$71</f>
        <v>60.39385609906379</v>
      </c>
      <c r="K100" s="23">
        <f>I100*J100*EXP(-Parameters!$B$43*'6states'!A100)*(Parameters!$B$38/Parameters!$B$39*('6states'!E100+'6states'!H100)/Parameters!$E$25*(EXP(-Parameters!$B$39*Parameters!$E$25*'6states'!H100/('6states'!E100+'6states'!H100))-EXP(-Parameters!$B$39*Parameters!$E$25))  +  Parameters!$B$40*'6states'!E100)</f>
        <v>0.75286422915482476</v>
      </c>
      <c r="L100" s="8">
        <f>L99+K100*Parameters!B$71</f>
        <v>3305.3566674122626</v>
      </c>
      <c r="M100" s="7">
        <f>L100*Parameters!$B$46</f>
        <v>1.9832140004473573</v>
      </c>
      <c r="N100" s="9">
        <f>EXP(-Parameters!$B$47/2*M100^2)</f>
        <v>0.96124300554557562</v>
      </c>
      <c r="O100" s="8">
        <f>MAX((Parameters!$B$63 + Parameters!$B$31*'6states'!A100 - '6states'!L100 + Parameters!$B$48/Parameters!$B$46)/Parameters!B$63,1)</f>
        <v>83.03686665175475</v>
      </c>
      <c r="P100" s="7">
        <f>Parameters!B$62*EXP(-Parameters!B$61*A100)</f>
        <v>3.7435074972629871E-2</v>
      </c>
      <c r="Q100" s="7">
        <f>(1-Parameters!B$62)*O100^-Parameters!B$64</f>
        <v>0.32139780695004866</v>
      </c>
      <c r="R100" s="7">
        <f>Parameters!B$62*EXP(-Parameters!B$61*A100)+(1-Parameters!B$62)*O100^-Parameters!B$64</f>
        <v>0.35883288192267854</v>
      </c>
      <c r="S100" s="7">
        <f>1-R100/Parameters!$B$12</f>
        <v>0.82058355903866076</v>
      </c>
      <c r="T100" s="7">
        <f t="shared" si="76"/>
        <v>5.5736252187472637</v>
      </c>
      <c r="U100" s="7">
        <f>(Parameters!$B$19*(E100+Parameters!$B$20)^S100+Parameters!$B$18*F100^S100)^(1/S100)</f>
        <v>0.33719392027947465</v>
      </c>
      <c r="V100" s="7">
        <f>(Parameters!$B$10*G100^Parameters!$B$9+Parameters!$B$11*U100^Parameters!$B$9)^(Parameters!$B$7/Parameters!$B$9)*N100</f>
        <v>1.3384736754499755</v>
      </c>
      <c r="W100" s="7">
        <f>V100 - C100 - D100 - LN(1+EXP(Parameters!$B$21*B100))/Parameters!$B$21 - IF(B100&gt;0, 0,Parameters!$B$6*B100^2/E100)</f>
        <v>1.0203244757792935</v>
      </c>
      <c r="X100" s="7">
        <f>EXP(-Parameters!$B$56*A100)</f>
        <v>0.23466413497716049</v>
      </c>
      <c r="Y100" s="7">
        <f>IF(W100&gt;0,W100^(1-Parameters!$B$53)/(1-Parameters!$B$53)*X100*Parameters!$B$71,-10+W100*1000)</f>
        <v>-0.66576393909381393</v>
      </c>
      <c r="AA100" s="22">
        <f t="shared" si="80"/>
        <v>-1.6402743811065532E-3</v>
      </c>
      <c r="AB100" s="22">
        <f t="shared" si="81"/>
        <v>-1.4454867240465408E-4</v>
      </c>
      <c r="AC100" s="22">
        <f t="shared" si="82"/>
        <v>3.1375316785084428E-5</v>
      </c>
      <c r="AD100" s="22">
        <f t="shared" si="77"/>
        <v>6.3649801885122171E-7</v>
      </c>
      <c r="AE100" s="22">
        <f t="shared" si="83"/>
        <v>-5.972812118946319E-5</v>
      </c>
      <c r="AF100" s="22">
        <f t="shared" si="84"/>
        <v>9.3678537435859521E-6</v>
      </c>
      <c r="AG100" s="22">
        <f t="shared" si="85"/>
        <v>-1.9649517386810533E-6</v>
      </c>
      <c r="AH100" s="22">
        <f t="shared" si="78"/>
        <v>8.5865159993505476E-10</v>
      </c>
      <c r="AI100" s="22"/>
      <c r="AM100" s="23">
        <f t="shared" si="72"/>
        <v>8.0999254487697474</v>
      </c>
      <c r="AN100" s="23">
        <f t="shared" si="73"/>
        <v>2.4741842452185634</v>
      </c>
      <c r="AO100" s="23">
        <f t="shared" ref="AO100:AO131" si="106">U100*I100*J100</f>
        <v>219.42962460057939</v>
      </c>
      <c r="AP100" s="25">
        <f t="shared" si="75"/>
        <v>871.01444740853981</v>
      </c>
      <c r="AQ100" s="22">
        <f>-X100*V100*W100^(-Parameters!B$53)*Parameters!B$47*Parameters!B$46*M100</f>
        <v>-7.3109990789166567E-6</v>
      </c>
      <c r="AR100" s="7">
        <f>1000*EXP(-(Parameters!$B$55)*'6states'!A100)*AP100*Parameters!B$47*Parameters!B$46*M100</f>
        <v>0.71671015814972217</v>
      </c>
      <c r="AS100" s="7">
        <f>SUM(AR100:AR$204)*EXP(Parameters!$B$55*A100)</f>
        <v>1396.2856462370007</v>
      </c>
      <c r="AT100" s="39">
        <f t="shared" si="86"/>
        <v>0.23590461357591713</v>
      </c>
      <c r="AU100">
        <f>(1/$S100-1/Parameters!$B$13) * LN(Parameters!$B$18) / LN(O100)</f>
        <v>0.21062499702013615</v>
      </c>
      <c r="AV100">
        <f>(Parameters!$B$18*'6states'!S100^+Parameters!$B$19*Parameters!$B$25^'6states'!S100)^((1-'6states'!S100)/'6states'!S100)*Parameters!$B$18*Parameters!$B$26^('6states'!S100-1)</f>
        <v>0.3052433158629681</v>
      </c>
      <c r="AW100">
        <f t="shared" si="87"/>
        <v>0.1936501609621458</v>
      </c>
      <c r="AX100">
        <f t="shared" si="88"/>
        <v>0.13583721800730642</v>
      </c>
      <c r="AY100">
        <f t="shared" si="89"/>
        <v>0.19069428736964233</v>
      </c>
      <c r="AZ100">
        <f>(1/$S100-1/Parameters!$B$13) * LN(Parameters!$B$18) / A100</f>
        <v>9.6959564974799985E-3</v>
      </c>
    </row>
    <row r="101" spans="1:52" x14ac:dyDescent="0.25">
      <c r="A101">
        <f>A100+Parameters!$B$71</f>
        <v>97</v>
      </c>
      <c r="B101" s="9">
        <f t="shared" si="103"/>
        <v>-1.2190332344319001E-4</v>
      </c>
      <c r="C101" s="9">
        <f t="shared" si="104"/>
        <v>9.2619565212284871E-2</v>
      </c>
      <c r="D101" s="9">
        <f t="shared" si="105"/>
        <v>0.22331605784590752</v>
      </c>
      <c r="E101" s="7">
        <f>MAX((1-Parameters!$B$4)^Parameters!B$71*E100 + B100*Parameters!B$71 - IF(B100&gt;0,Parameters!$B$5,0)*B100^2/E100*Parameters!B$71, 0.0001)</f>
        <v>3.4343788373272493E-3</v>
      </c>
      <c r="F101" s="7">
        <f>(1-Parameters!$B$4)^Parameters!B$71*F100+C100*Parameters!B$71-Parameters!$B$5*C100^2/F100*Parameters!B$71</f>
        <v>1.3531085528477365</v>
      </c>
      <c r="G101" s="7">
        <f>(1-Parameters!$B$4)^Parameters!B$71*G100+D100*Parameters!B$71-Parameters!$B$5*D100^2/G100*Parameters!B$71</f>
        <v>3.2966546896023678</v>
      </c>
      <c r="H101" s="9">
        <f>MAX(H100 * (1-Parameters!$B$4) ^ Parameters!B$71 + (LN(1+EXP(Parameters!$B$21*(-B100+0.004)))/Parameters!$B$21 -0.004) * Parameters!B$71,0)</f>
        <v>1.2640915504356804E-2</v>
      </c>
      <c r="I101" s="23">
        <f>I100*(1+Parameters!$B$52)^Parameters!B$71</f>
        <v>10.806384002577927</v>
      </c>
      <c r="J101" s="23">
        <f>J100*(1+Parameters!$B$54)^Parameters!B$71</f>
        <v>61.601733221045066</v>
      </c>
      <c r="K101" s="23">
        <f>I101*J101*EXP(-Parameters!$B$43*'6states'!A101)*(Parameters!$B$38/Parameters!$B$39*('6states'!E101+'6states'!H101)/Parameters!$E$25*(EXP(-Parameters!$B$39*Parameters!$E$25*'6states'!H101/('6states'!E101+'6states'!H101))-EXP(-Parameters!$B$39*Parameters!$E$25))  +  Parameters!$B$40*'6states'!E101)</f>
        <v>0.68875253140614912</v>
      </c>
      <c r="L101" s="8">
        <f>L100+K101*Parameters!B$71</f>
        <v>3306.0454199436685</v>
      </c>
      <c r="M101" s="7">
        <f>L101*Parameters!$B$46</f>
        <v>1.983627251966201</v>
      </c>
      <c r="N101" s="9">
        <f>EXP(-Parameters!$B$47/2*M101^2)</f>
        <v>0.96122716920050633</v>
      </c>
      <c r="O101" s="8">
        <f>MAX((Parameters!$B$63 + Parameters!$B$31*'6states'!A101 - '6states'!L101 + Parameters!$B$48/Parameters!$B$46)/Parameters!B$63,1)</f>
        <v>84.08709160112663</v>
      </c>
      <c r="P101" s="7">
        <f>Parameters!B$62*EXP(-Parameters!B$61*A101)</f>
        <v>3.6437851051915653E-2</v>
      </c>
      <c r="Q101" s="7">
        <f>(1-Parameters!B$62)*O101^-Parameters!B$64</f>
        <v>0.3209941156878226</v>
      </c>
      <c r="R101" s="7">
        <f>Parameters!B$62*EXP(-Parameters!B$61*A101)+(1-Parameters!B$62)*O101^-Parameters!B$64</f>
        <v>0.35743196673973826</v>
      </c>
      <c r="S101" s="7">
        <f>1-R101/Parameters!$B$12</f>
        <v>0.82128401663013084</v>
      </c>
      <c r="T101" s="7">
        <f t="shared" si="76"/>
        <v>5.5954704282403664</v>
      </c>
      <c r="U101" s="7">
        <f>(Parameters!$B$19*(E101+Parameters!$B$20)^S101+Parameters!$B$18*F101^S101)^(1/S101)</f>
        <v>0.33738707072776719</v>
      </c>
      <c r="V101" s="7">
        <f>(Parameters!$B$10*G101^Parameters!$B$9+Parameters!$B$11*U101^Parameters!$B$9)^(Parameters!$B$7/Parameters!$B$9)*N101</f>
        <v>1.3385840922276171</v>
      </c>
      <c r="W101" s="7">
        <f>V101 - C101 - D101 - LN(1+EXP(Parameters!$B$21*B101))/Parameters!$B$21 - IF(B101&gt;0, 0,Parameters!$B$6*B101^2/E101)</f>
        <v>1.020376738193971</v>
      </c>
      <c r="X101" s="7">
        <f>EXP(-Parameters!$B$56*A101)</f>
        <v>0.23114732527432291</v>
      </c>
      <c r="Y101" s="7">
        <f>IF(W101&gt;0,W101^(1-Parameters!$B$53)/(1-Parameters!$B$53)*X101*Parameters!$B$71,-10+W101*1000)</f>
        <v>-0.65577466724652944</v>
      </c>
      <c r="AA101" s="22">
        <f t="shared" si="80"/>
        <v>-1.6943408542117247E-3</v>
      </c>
      <c r="AB101" s="22">
        <f t="shared" si="81"/>
        <v>-1.3578695195544388E-4</v>
      </c>
      <c r="AC101" s="22">
        <f t="shared" si="82"/>
        <v>2.9522918047628077E-5</v>
      </c>
      <c r="AD101" s="22">
        <f t="shared" ref="AD101:AD132" si="107">X101*(AA101^2+AB101^2+AC101^2)</f>
        <v>6.6803903022762138E-7</v>
      </c>
      <c r="AE101" s="22">
        <f t="shared" si="83"/>
        <v>-5.4066473105171542E-5</v>
      </c>
      <c r="AF101" s="22">
        <f t="shared" si="84"/>
        <v>8.7617204492101974E-6</v>
      </c>
      <c r="AG101" s="22">
        <f t="shared" si="85"/>
        <v>-1.8523987374563511E-6</v>
      </c>
      <c r="AH101" s="22">
        <f t="shared" ref="AH101:AH132" si="108">X101*(AE101^2+AF101^2+AG101^2)</f>
        <v>6.9422386409105182E-10</v>
      </c>
      <c r="AI101" s="22"/>
      <c r="AM101" s="23">
        <f t="shared" si="72"/>
        <v>8.4149561268667377</v>
      </c>
      <c r="AN101" s="23">
        <f t="shared" si="73"/>
        <v>2.2862384634394326</v>
      </c>
      <c r="AO101" s="23">
        <f t="shared" si="106"/>
        <v>224.59586862737319</v>
      </c>
      <c r="AP101" s="25">
        <f t="shared" si="75"/>
        <v>891.08470065596543</v>
      </c>
      <c r="AQ101" s="22">
        <f>-X101*V101*W101^(-Parameters!B$53)*Parameters!B$47*Parameters!B$46*M101</f>
        <v>-7.2030290168182539E-6</v>
      </c>
      <c r="AR101" s="7">
        <f>1000*EXP(-(Parameters!$B$55)*'6states'!A101)*AP101*Parameters!B$47*Parameters!B$46*M101</f>
        <v>0.70808262643935271</v>
      </c>
      <c r="AS101" s="7">
        <f>SUM(AR101:AR$204)*EXP(Parameters!$B$55*A101)</f>
        <v>1424.5887960253283</v>
      </c>
      <c r="AT101" s="39">
        <f t="shared" si="86"/>
        <v>0.235931176508444</v>
      </c>
      <c r="AU101">
        <f>(1/$S101-1/Parameters!$B$13) * LN(Parameters!$B$18) / LN(O101)</f>
        <v>0.21030706038464111</v>
      </c>
      <c r="AV101">
        <f>(Parameters!$B$18*'6states'!S101^+Parameters!$B$19*Parameters!$B$25^'6states'!S101)^((1-'6states'!S101)/'6states'!S101)*Parameters!$B$18*Parameters!$B$26^('6states'!S101-1)</f>
        <v>0.3053526190752941</v>
      </c>
      <c r="AW101">
        <f t="shared" si="87"/>
        <v>0.19318176828111414</v>
      </c>
      <c r="AX101">
        <f t="shared" si="88"/>
        <v>0.13564675552145333</v>
      </c>
      <c r="AY101">
        <f t="shared" si="89"/>
        <v>0.19075560064841968</v>
      </c>
      <c r="AZ101">
        <f>(1/$S101-1/Parameters!$B$13) * LN(Parameters!$B$18) / A101</f>
        <v>9.6087627883908108E-3</v>
      </c>
    </row>
    <row r="102" spans="1:52" x14ac:dyDescent="0.25">
      <c r="A102">
        <f>A101+Parameters!$B$71</f>
        <v>98</v>
      </c>
      <c r="B102" s="9">
        <f t="shared" si="103"/>
        <v>-1.1529518721379756E-4</v>
      </c>
      <c r="C102" s="9">
        <f t="shared" si="104"/>
        <v>9.2526811244504362E-2</v>
      </c>
      <c r="D102" s="9">
        <f t="shared" si="105"/>
        <v>0.22346380822364384</v>
      </c>
      <c r="E102" s="7">
        <f>MAX((1-Parameters!$B$4)^Parameters!B$71*E101 + B101*Parameters!B$71 - IF(B101&gt;0,Parameters!$B$5,0)*B101^2/E101*Parameters!B$71, 0.0001)</f>
        <v>3.0964530850161754E-3</v>
      </c>
      <c r="F102" s="7">
        <f>(1-Parameters!$B$4)^Parameters!B$71*F101+C101*Parameters!B$71-Parameters!$B$5*C101^2/F101*Parameters!B$71</f>
        <v>1.354277829804243</v>
      </c>
      <c r="G102" s="7">
        <f>(1-Parameters!$B$4)^Parameters!B$71*G101+D101*Parameters!B$71-Parameters!$B$5*D101^2/G101*Parameters!B$71</f>
        <v>3.2974836923839415</v>
      </c>
      <c r="H102" s="9">
        <f>MAX(H101 * (1-Parameters!$B$4) ^ Parameters!B$71 + (LN(1+EXP(Parameters!$B$21*(-B101+0.004)))/Parameters!$B$21 -0.004) * Parameters!B$71,0)</f>
        <v>1.2817489807931631E-2</v>
      </c>
      <c r="I102" s="23">
        <f>I101*(1+Parameters!$B$52)^Parameters!B$71</f>
        <v>10.837722516185401</v>
      </c>
      <c r="J102" s="23">
        <f>J101*(1+Parameters!$B$54)^Parameters!B$71</f>
        <v>62.833767885465967</v>
      </c>
      <c r="K102" s="23">
        <f>I102*J102*EXP(-Parameters!$B$43*'6states'!A102)*(Parameters!$B$38/Parameters!$B$39*('6states'!E102+'6states'!H102)/Parameters!$E$25*(EXP(-Parameters!$B$39*Parameters!$E$25*'6states'!H102/('6states'!E102+'6states'!H102))-EXP(-Parameters!$B$39*Parameters!$E$25))  +  Parameters!$B$40*'6states'!E102)</f>
        <v>0.62891850191464915</v>
      </c>
      <c r="L102" s="8">
        <f>L101+K102*Parameters!B$71</f>
        <v>3306.6743384455831</v>
      </c>
      <c r="M102" s="7">
        <f>L102*Parameters!$B$46</f>
        <v>1.9840046030673497</v>
      </c>
      <c r="N102" s="9">
        <f>EXP(-Parameters!$B$47/2*M102^2)</f>
        <v>0.96121270595286956</v>
      </c>
      <c r="O102" s="8">
        <f>MAX((Parameters!$B$63 + Parameters!$B$31*'6states'!A102 - '6states'!L102 + Parameters!$B$48/Parameters!$B$46)/Parameters!B$63,1)</f>
        <v>85.138513231088339</v>
      </c>
      <c r="P102" s="7">
        <f>Parameters!B$62*EXP(-Parameters!B$61*A102)</f>
        <v>3.5467191938371473E-2</v>
      </c>
      <c r="Q102" s="7">
        <f>(1-Parameters!B$62)*O102^-Parameters!B$64</f>
        <v>0.32059548229234069</v>
      </c>
      <c r="R102" s="7">
        <f>Parameters!B$62*EXP(-Parameters!B$61*A102)+(1-Parameters!B$62)*O102^-Parameters!B$64</f>
        <v>0.35606267423071214</v>
      </c>
      <c r="S102" s="7">
        <f>1-R102/Parameters!$B$12</f>
        <v>0.82196866288464387</v>
      </c>
      <c r="T102" s="7">
        <f t="shared" si="76"/>
        <v>5.616988650442174</v>
      </c>
      <c r="U102" s="7">
        <f>(Parameters!$B$19*(E102+Parameters!$B$20)^S102+Parameters!$B$18*F102^S102)^(1/S102)</f>
        <v>0.33757256976081296</v>
      </c>
      <c r="V102" s="7">
        <f>(Parameters!$B$10*G102^Parameters!$B$9+Parameters!$B$11*U102^Parameters!$B$9)^(Parameters!$B$7/Parameters!$B$9)*N102</f>
        <v>1.3387008040110688</v>
      </c>
      <c r="W102" s="7">
        <f>V102 - C102 - D102 - LN(1+EXP(Parameters!$B$21*B102))/Parameters!$B$21 - IF(B102&gt;0, 0,Parameters!$B$6*B102^2/E102)</f>
        <v>1.02043537822276</v>
      </c>
      <c r="X102" s="7">
        <f>EXP(-Parameters!$B$56*A102)</f>
        <v>0.22768322047454675</v>
      </c>
      <c r="Y102" s="7">
        <f>IF(W102&gt;0,W102^(1-Parameters!$B$53)/(1-Parameters!$B$53)*X102*Parameters!$B$71,-10+W102*1000)</f>
        <v>-0.64593386431075039</v>
      </c>
      <c r="AA102" s="22">
        <f t="shared" si="80"/>
        <v>-1.7395848693360291E-3</v>
      </c>
      <c r="AB102" s="22">
        <f t="shared" si="81"/>
        <v>-1.275885594453352E-4</v>
      </c>
      <c r="AC102" s="22">
        <f t="shared" si="82"/>
        <v>2.7776804855383919E-5</v>
      </c>
      <c r="AD102" s="22">
        <f t="shared" si="107"/>
        <v>6.9288692193105899E-7</v>
      </c>
      <c r="AE102" s="22">
        <f t="shared" ref="AE102:AE133" si="109">B102/E102-2*B101/E101+B100/E100</f>
        <v>-4.5244015124304426E-5</v>
      </c>
      <c r="AF102" s="22">
        <f t="shared" ref="AF102:AF133" si="110">C102/F102-2*C101/F101+C100/F100</f>
        <v>8.1983925101086763E-6</v>
      </c>
      <c r="AG102" s="22">
        <f t="shared" ref="AG102:AG133" si="111">D102/G102-2*D101/G101+D100/G100</f>
        <v>-1.7461131922441586E-6</v>
      </c>
      <c r="AH102" s="22">
        <f t="shared" si="108"/>
        <v>4.8206991582808038E-10</v>
      </c>
      <c r="AI102" s="22"/>
      <c r="AM102" s="23">
        <f t="shared" si="72"/>
        <v>8.7283893655843983</v>
      </c>
      <c r="AN102" s="23">
        <f t="shared" si="73"/>
        <v>2.10860695684435</v>
      </c>
      <c r="AO102" s="23">
        <f t="shared" si="106"/>
        <v>229.87846077240226</v>
      </c>
      <c r="AP102" s="25">
        <f t="shared" si="75"/>
        <v>911.62170101347374</v>
      </c>
      <c r="AQ102" s="22">
        <f>-X102*V102*W102^(-Parameters!B$53)*Parameters!B$47*Parameters!B$46*M102</f>
        <v>-7.0964982266523863E-6</v>
      </c>
      <c r="AR102" s="7">
        <f>1000*EXP(-(Parameters!$B$55)*'6states'!A102)*AP102*Parameters!B$47*Parameters!B$46*M102</f>
        <v>0.69954954639390188</v>
      </c>
      <c r="AS102" s="7">
        <f>SUM(AR102:AR$204)*EXP(Parameters!$B$55*A102)</f>
        <v>1453.4012475958232</v>
      </c>
      <c r="AT102" s="39">
        <f t="shared" si="86"/>
        <v>0.23595662550922217</v>
      </c>
      <c r="AU102">
        <f>(1/$S102-1/Parameters!$B$13) * LN(Parameters!$B$18) / LN(O102)</f>
        <v>0.20999088139547137</v>
      </c>
      <c r="AV102">
        <f>(Parameters!$B$18*'6states'!S102^+Parameters!$B$19*Parameters!$B$25^'6states'!S102)^((1-'6states'!S102)/'6states'!S102)*Parameters!$B$18*Parameters!$B$26^('6states'!S102-1)</f>
        <v>0.30545840164699728</v>
      </c>
      <c r="AW102">
        <f t="shared" si="87"/>
        <v>0.19271955785130726</v>
      </c>
      <c r="AX102">
        <f t="shared" si="88"/>
        <v>0.13545730433701964</v>
      </c>
      <c r="AY102">
        <f t="shared" si="89"/>
        <v>0.19081493461227605</v>
      </c>
      <c r="AZ102">
        <f>(1/$S102-1/Parameters!$B$13) * LN(Parameters!$B$18) / A102</f>
        <v>9.5230425395006601E-3</v>
      </c>
    </row>
    <row r="103" spans="1:52" x14ac:dyDescent="0.25">
      <c r="A103">
        <f>A102+Parameters!$B$71</f>
        <v>99</v>
      </c>
      <c r="B103" s="9">
        <f t="shared" si="103"/>
        <v>-1.0868705098440512E-4</v>
      </c>
      <c r="C103" s="9">
        <f t="shared" si="104"/>
        <v>9.2434057276723852E-2</v>
      </c>
      <c r="D103" s="9">
        <f t="shared" si="105"/>
        <v>0.22361155860138016</v>
      </c>
      <c r="E103" s="7">
        <f>MAX((1-Parameters!$B$4)^Parameters!B$71*E102 + B102*Parameters!B$71 - IF(B102&gt;0,Parameters!$B$5,0)*B102^2/E102*Parameters!B$71, 0.0001)</f>
        <v>2.7863909987548606E-3</v>
      </c>
      <c r="F103" s="7">
        <f>(1-Parameters!$B$4)^Parameters!B$71*F102+C102*Parameters!B$71-Parameters!$B$5*C102^2/F102*Parameters!B$71</f>
        <v>1.355298959595028</v>
      </c>
      <c r="G103" s="7">
        <f>(1-Parameters!$B$4)^Parameters!B$71*G102+D102*Parameters!B$71-Parameters!$B$5*D102^2/G102*Parameters!B$71</f>
        <v>3.2983920855171176</v>
      </c>
      <c r="H103" s="9">
        <f>MAX(H102 * (1-Parameters!$B$4) ^ Parameters!B$71 + (LN(1+EXP(Parameters!$B$21*(-B102+0.004)))/Parameters!$B$21 -0.004) * Parameters!B$71,0)</f>
        <v>1.297783764577224E-2</v>
      </c>
      <c r="I103" s="23">
        <f>I102*(1+Parameters!$B$52)^Parameters!B$71</f>
        <v>10.869151911482337</v>
      </c>
      <c r="J103" s="23">
        <f>J102*(1+Parameters!$B$54)^Parameters!B$71</f>
        <v>64.090443243175287</v>
      </c>
      <c r="K103" s="23">
        <f>I103*J103*EXP(-Parameters!$B$43*'6states'!A103)*(Parameters!$B$38/Parameters!$B$39*('6states'!E103+'6states'!H103)/Parameters!$E$25*(EXP(-Parameters!$B$39*Parameters!$E$25*'6states'!H103/('6states'!E103+'6states'!H103))-EXP(-Parameters!$B$39*Parameters!$E$25))  +  Parameters!$B$40*'6states'!E103)</f>
        <v>0.57317439824448135</v>
      </c>
      <c r="L103" s="8">
        <f>L102+K103*Parameters!B$71</f>
        <v>3307.2475128438277</v>
      </c>
      <c r="M103" s="7">
        <f>L103*Parameters!$B$46</f>
        <v>1.9843485077062966</v>
      </c>
      <c r="N103" s="9">
        <f>EXP(-Parameters!$B$47/2*M103^2)</f>
        <v>0.96119952244660289</v>
      </c>
      <c r="O103" s="8">
        <f>MAX((Parameters!$B$63 + Parameters!$B$31*'6states'!A103 - '6states'!L103 + Parameters!$B$48/Parameters!$B$46)/Parameters!B$63,1)</f>
        <v>86.191049743123443</v>
      </c>
      <c r="P103" s="7">
        <f>Parameters!B$62*EXP(-Parameters!B$61*A103)</f>
        <v>3.4522389978515207E-2</v>
      </c>
      <c r="Q103" s="7">
        <f>(1-Parameters!B$62)*O103^-Parameters!B$64</f>
        <v>0.32020181354119143</v>
      </c>
      <c r="R103" s="7">
        <f>Parameters!B$62*EXP(-Parameters!B$61*A103)+(1-Parameters!B$62)*O103^-Parameters!B$64</f>
        <v>0.35472420351970663</v>
      </c>
      <c r="S103" s="7">
        <f>1-R103/Parameters!$B$12</f>
        <v>0.82263789824014666</v>
      </c>
      <c r="T103" s="7">
        <f t="shared" si="76"/>
        <v>5.6381830733715077</v>
      </c>
      <c r="U103" s="7">
        <f>(Parameters!$B$19*(E103+Parameters!$B$20)^S103+Parameters!$B$18*F103^S103)^(1/S103)</f>
        <v>0.33775050776184545</v>
      </c>
      <c r="V103" s="7">
        <f>(Parameters!$B$10*G103^Parameters!$B$9+Parameters!$B$11*U103^Parameters!$B$9)^(Parameters!$B$7/Parameters!$B$9)*N103</f>
        <v>1.3388233084419054</v>
      </c>
      <c r="W103" s="7">
        <f>V103 - C103 - D103 - LN(1+EXP(Parameters!$B$21*B103))/Parameters!$B$21 - IF(B103&gt;0, 0,Parameters!$B$6*B103^2/E103)</f>
        <v>1.0204999050773276</v>
      </c>
      <c r="X103" s="7">
        <f>EXP(-Parameters!$B$56*A103)</f>
        <v>0.22427103071228871</v>
      </c>
      <c r="Y103" s="7">
        <f>IF(W103&gt;0,W103^(1-Parameters!$B$53)/(1-Parameters!$B$53)*X103*Parameters!$B$71,-10+W103*1000)</f>
        <v>-0.63623945235268919</v>
      </c>
      <c r="AA103" s="22">
        <f t="shared" si="80"/>
        <v>-1.771790479769407E-3</v>
      </c>
      <c r="AB103" s="22">
        <f t="shared" si="81"/>
        <v>-1.1991411679196373E-4</v>
      </c>
      <c r="AC103" s="22">
        <f t="shared" si="82"/>
        <v>2.6131038400267759E-5</v>
      </c>
      <c r="AD103" s="22">
        <f t="shared" si="107"/>
        <v>7.0741894888061178E-7</v>
      </c>
      <c r="AE103" s="22">
        <f t="shared" si="109"/>
        <v>-3.2205610433377885E-5</v>
      </c>
      <c r="AF103" s="22">
        <f t="shared" si="110"/>
        <v>7.6744426533714716E-6</v>
      </c>
      <c r="AG103" s="22">
        <f t="shared" si="111"/>
        <v>-1.6457664551161599E-6</v>
      </c>
      <c r="AH103" s="22">
        <f t="shared" si="108"/>
        <v>2.4643056961907542E-10</v>
      </c>
      <c r="AI103" s="22"/>
      <c r="AM103" s="23">
        <f t="shared" si="72"/>
        <v>9.0404754377170828</v>
      </c>
      <c r="AN103" s="23">
        <f t="shared" si="73"/>
        <v>1.9410243887837102</v>
      </c>
      <c r="AO103" s="23">
        <f t="shared" si="106"/>
        <v>235.27996364572675</v>
      </c>
      <c r="AP103" s="25">
        <f t="shared" si="75"/>
        <v>932.63604968545189</v>
      </c>
      <c r="AQ103" s="22">
        <f>-X103*V103*W103^(-Parameters!B$53)*Parameters!B$47*Parameters!B$46*M103</f>
        <v>-6.991400684188863E-6</v>
      </c>
      <c r="AR103" s="7">
        <f>1000*EXP(-(Parameters!$B$55)*'6states'!A103)*AP103*Parameters!B$47*Parameters!B$46*M103</f>
        <v>0.69111060945208291</v>
      </c>
      <c r="AS103" s="7">
        <f>SUM(AR103:AR$204)*EXP(Parameters!$B$55*A103)</f>
        <v>1482.7298294058526</v>
      </c>
      <c r="AT103" s="39">
        <f t="shared" si="86"/>
        <v>0.23598104905627942</v>
      </c>
      <c r="AU103">
        <f>(1/$S103-1/Parameters!$B$13) * LN(Parameters!$B$18) / LN(O103)</f>
        <v>0.20967649461412965</v>
      </c>
      <c r="AV103">
        <f>(Parameters!$B$18*'6states'!S103^+Parameters!$B$19*Parameters!$B$25^'6states'!S103)^((1-'6states'!S103)/'6states'!S103)*Parameters!$B$18*Parameters!$B$26^('6states'!S103-1)</f>
        <v>0.30556079863605184</v>
      </c>
      <c r="AW103">
        <f t="shared" si="87"/>
        <v>0.19226343377786609</v>
      </c>
      <c r="AX103">
        <f t="shared" si="88"/>
        <v>0.13526888585301411</v>
      </c>
      <c r="AY103">
        <f t="shared" si="89"/>
        <v>0.19087236544244357</v>
      </c>
      <c r="AZ103">
        <f>(1/$S103-1/Parameters!$B$13) * LN(Parameters!$B$18) / A103</f>
        <v>9.4387596807538662E-3</v>
      </c>
    </row>
    <row r="104" spans="1:52" s="57" customFormat="1" x14ac:dyDescent="0.25">
      <c r="A104" s="57">
        <f>A103+Parameters!$B$71</f>
        <v>100</v>
      </c>
      <c r="B104" s="9">
        <f t="shared" si="103"/>
        <v>-1.0207891475501267E-4</v>
      </c>
      <c r="C104" s="9">
        <f t="shared" si="104"/>
        <v>9.2341303308943343E-2</v>
      </c>
      <c r="D104" s="9">
        <f t="shared" si="105"/>
        <v>0.22375930897911647</v>
      </c>
      <c r="E104" s="59">
        <f>MAX((1-Parameters!$B$4)^Parameters!B$71*E103 + B103*Parameters!B$71 - IF(B103&gt;0,Parameters!$B$5,0)*B103^2/E103*Parameters!B$71, 0.0001)</f>
        <v>2.502439953948775E-3</v>
      </c>
      <c r="F104" s="59">
        <f>(1-Parameters!$B$4)^Parameters!B$71*F103+C103*Parameters!B$71-Parameters!$B$5*C103^2/F103*Parameters!B$71</f>
        <v>1.3561805276282533</v>
      </c>
      <c r="G104" s="59">
        <f>(1-Parameters!$B$4)^Parameters!B$71*G103+D103*Parameters!B$71-Parameters!$B$5*D103^2/G103*Parameters!B$71</f>
        <v>3.2993752351531169</v>
      </c>
      <c r="H104" s="58">
        <f>MAX(H103 * (1-Parameters!$B$4) ^ Parameters!B$71 + (LN(1+EXP(Parameters!$B$21*(-B103+0.004)))/Parameters!$B$21 -0.004) * Parameters!B$71,0)</f>
        <v>1.3122981949658748E-2</v>
      </c>
      <c r="I104" s="54">
        <f>I103*(1+Parameters!$B$52)^Parameters!B$71</f>
        <v>10.900672452025635</v>
      </c>
      <c r="J104" s="54">
        <f>J103*(1+Parameters!$B$54)^Parameters!B$71</f>
        <v>65.372252108038793</v>
      </c>
      <c r="K104" s="54">
        <f>I104*J104*EXP(-Parameters!$B$43*'6states'!A104)*(Parameters!$B$38/Parameters!$B$39*('6states'!E104+'6states'!H104)/Parameters!$E$25*(EXP(-Parameters!$B$39*Parameters!$E$25*'6states'!H104/('6states'!E104+'6states'!H104))-EXP(-Parameters!$B$39*Parameters!$E$25))  +  Parameters!$B$40*'6states'!E104)</f>
        <v>0.52134264243078421</v>
      </c>
      <c r="L104" s="60">
        <f>L103+K104*Parameters!B$71</f>
        <v>3307.7688554862584</v>
      </c>
      <c r="M104" s="59">
        <f>L104*Parameters!$B$46</f>
        <v>1.9846613132917548</v>
      </c>
      <c r="N104" s="58">
        <f>EXP(-Parameters!$B$47/2*M104^2)</f>
        <v>0.96118752928815387</v>
      </c>
      <c r="O104" s="60">
        <f>MAX((Parameters!$B$63 + Parameters!$B$31*'6states'!A104 - '6states'!L104 + Parameters!$B$48/Parameters!$B$46)/Parameters!B$63,1)</f>
        <v>87.24462289027484</v>
      </c>
      <c r="P104" s="59">
        <f>Parameters!B$62*EXP(-Parameters!B$61*A104)</f>
        <v>3.3602756369874878E-2</v>
      </c>
      <c r="Q104" s="59">
        <f>(1-Parameters!B$62)*O104^-Parameters!B$64</f>
        <v>0.31981301771769649</v>
      </c>
      <c r="R104" s="59">
        <f>Parameters!B$62*EXP(-Parameters!B$61*A104)+(1-Parameters!B$62)*O104^-Parameters!B$64</f>
        <v>0.35341577408757135</v>
      </c>
      <c r="S104" s="59">
        <f>1-R104/Parameters!$B$12</f>
        <v>0.82329211295621429</v>
      </c>
      <c r="T104" s="59">
        <f t="shared" si="76"/>
        <v>5.6590569709670868</v>
      </c>
      <c r="U104" s="59">
        <f>(Parameters!$B$19*(E104+Parameters!$B$20)^S104+Parameters!$B$18*F104^S104)^(1/S104)</f>
        <v>0.33792096884276152</v>
      </c>
      <c r="V104" s="59">
        <f>(Parameters!$B$10*G104^Parameters!$B$9+Parameters!$B$11*U104^Parameters!$B$9)^(Parameters!$B$7/Parameters!$B$9)*N104</f>
        <v>1.3389511277097768</v>
      </c>
      <c r="W104" s="59">
        <f>V104 - C104 - D104 - LN(1+EXP(Parameters!$B$21*B104))/Parameters!$B$21 - IF(B104&gt;0, 0,Parameters!$B$6*B104^2/E104)</f>
        <v>1.0205698536487182</v>
      </c>
      <c r="X104" s="59">
        <f>EXP(-Parameters!$B$56*A104)</f>
        <v>0.22090997795937814</v>
      </c>
      <c r="Y104" s="59">
        <f>IF(W104&gt;0,W104^(1-Parameters!$B$53)/(1-Parameters!$B$53)*X104*Parameters!$B$71,-10+W104*1000)</f>
        <v>-0.62668937331433949</v>
      </c>
      <c r="AA104" s="62">
        <f t="shared" si="80"/>
        <v>-1.7853649802425306E-3</v>
      </c>
      <c r="AB104" s="62">
        <f t="shared" si="81"/>
        <v>-1.1272735458957295E-4</v>
      </c>
      <c r="AC104" s="62">
        <f t="shared" si="82"/>
        <v>2.4579993657083965E-5</v>
      </c>
      <c r="AD104" s="62">
        <f t="shared" si="107"/>
        <v>7.0709743757188615E-7</v>
      </c>
      <c r="AE104" s="62">
        <f t="shared" si="109"/>
        <v>-1.3574500473123585E-5</v>
      </c>
      <c r="AF104" s="62">
        <f t="shared" si="110"/>
        <v>7.186762202390784E-6</v>
      </c>
      <c r="AG104" s="62">
        <f t="shared" si="111"/>
        <v>-1.5510447431837937E-6</v>
      </c>
      <c r="AH104" s="62">
        <f t="shared" si="108"/>
        <v>5.2647785934883814E-11</v>
      </c>
      <c r="AI104" s="62"/>
      <c r="AM104" s="54">
        <f t="shared" si="72"/>
        <v>9.3514567225970211</v>
      </c>
      <c r="AN104" s="54">
        <f t="shared" si="73"/>
        <v>1.7832424840650023</v>
      </c>
      <c r="AO104" s="54">
        <f t="shared" si="106"/>
        <v>240.80299187436705</v>
      </c>
      <c r="AP104" s="61">
        <f t="shared" si="75"/>
        <v>954.13859231712615</v>
      </c>
      <c r="AQ104" s="62">
        <f>-X104*V104*W104^(-Parameters!B$53)*Parameters!B$47*Parameters!B$46*M104</f>
        <v>-6.8877293989745337E-6</v>
      </c>
      <c r="AR104" s="59">
        <f>1000*EXP(-(Parameters!$B$55)*'6states'!A104)*AP104*Parameters!B$47*Parameters!B$46*M104</f>
        <v>0.68276545993059512</v>
      </c>
      <c r="AS104" s="59">
        <f>SUM(AR104:AR$204)*EXP(Parameters!$B$55*A104)</f>
        <v>1512.5813435259179</v>
      </c>
      <c r="AT104" s="39">
        <f t="shared" si="86"/>
        <v>0.23600453133327418</v>
      </c>
      <c r="AU104">
        <f>(1/$S104-1/Parameters!$B$13) * LN(Parameters!$B$18) / LN(O104)</f>
        <v>0.2093639306635619</v>
      </c>
      <c r="AV104">
        <f>(Parameters!$B$18*'6states'!S104^+Parameters!$B$19*Parameters!$B$25^'6states'!S104)^((1-'6states'!S104)/'6states'!S104)*Parameters!$B$18*Parameters!$B$26^('6states'!S104-1)</f>
        <v>0.30565993931888935</v>
      </c>
      <c r="AW104">
        <f t="shared" si="87"/>
        <v>0.19181330009555414</v>
      </c>
      <c r="AX104">
        <f t="shared" si="88"/>
        <v>0.13508151912162547</v>
      </c>
      <c r="AY104">
        <f t="shared" si="89"/>
        <v>0.1909279660425337</v>
      </c>
      <c r="AZ104">
        <f>(1/$S104-1/Parameters!$B$13) * LN(Parameters!$B$18) / A104</f>
        <v>9.3558793221132433E-3</v>
      </c>
    </row>
    <row r="105" spans="1:52" x14ac:dyDescent="0.25">
      <c r="A105">
        <f>A104+Parameters!$B$71</f>
        <v>101</v>
      </c>
      <c r="B105" s="9">
        <f t="shared" si="103"/>
        <v>-9.5470778525620224E-5</v>
      </c>
      <c r="C105" s="9">
        <f t="shared" si="104"/>
        <v>9.2248549341162833E-2</v>
      </c>
      <c r="D105" s="9">
        <f t="shared" si="105"/>
        <v>0.22390705935685279</v>
      </c>
      <c r="E105" s="7">
        <f>MAX((1-Parameters!$B$4)^Parameters!B$71*E104 + B104*Parameters!B$71 - IF(B104&gt;0,Parameters!$B$5,0)*B104^2/E104*Parameters!B$71, 0.0001)</f>
        <v>2.2429575660903845E-3</v>
      </c>
      <c r="F105" s="7">
        <f>(1-Parameters!$B$4)^Parameters!B$71*F104+C104*Parameters!B$71-Parameters!$B$5*C104^2/F104*Parameters!B$71</f>
        <v>1.3569306264584606</v>
      </c>
      <c r="G105" s="7">
        <f>(1-Parameters!$B$4)^Parameters!B$71*G104+D104*Parameters!B$71-Parameters!$B$5*D104^2/G104*Parameters!B$71</f>
        <v>3.3004287784468693</v>
      </c>
      <c r="H105" s="9">
        <f>MAX(H104 * (1-Parameters!$B$4) ^ Parameters!B$71 + (LN(1+EXP(Parameters!$B$21*(-B104+0.004)))/Parameters!$B$21 -0.004) * Parameters!B$71,0)</f>
        <v>1.3253881311452356E-2</v>
      </c>
      <c r="I105" s="23">
        <f>I104*(1+Parameters!$B$52)^Parameters!B$71</f>
        <v>10.932284402136508</v>
      </c>
      <c r="J105" s="23">
        <f>J104*(1+Parameters!$B$54)^Parameters!B$71</f>
        <v>66.679697150199573</v>
      </c>
      <c r="K105" s="23">
        <f>I105*J105*EXP(-Parameters!$B$43*'6states'!A105)*(Parameters!$B$38/Parameters!$B$39*('6states'!E105+'6states'!H105)/Parameters!$E$25*(EXP(-Parameters!$B$39*Parameters!$E$25*'6states'!H105/('6states'!E105+'6states'!H105))-EXP(-Parameters!$B$39*Parameters!$E$25))  +  Parameters!$B$40*'6states'!E105)</f>
        <v>0.47325531387713732</v>
      </c>
      <c r="L105" s="8">
        <f>L104+K105*Parameters!B$71</f>
        <v>3308.2421108001354</v>
      </c>
      <c r="M105" s="7">
        <f>L105*Parameters!$B$46</f>
        <v>1.9849452664800811</v>
      </c>
      <c r="N105" s="9">
        <f>EXP(-Parameters!$B$47/2*M105^2)</f>
        <v>0.9611766408410507</v>
      </c>
      <c r="O105" s="8">
        <f>MAX((Parameters!$B$63 + Parameters!$B$31*'6states'!A105 - '6states'!L105 + Parameters!$B$48/Parameters!$B$46)/Parameters!B$63,1)</f>
        <v>88.299157783997302</v>
      </c>
      <c r="P105" s="59">
        <f>Parameters!B$62*EXP(-Parameters!B$61*A105)</f>
        <v>3.2707620658821233E-2</v>
      </c>
      <c r="Q105" s="59">
        <f>(1-Parameters!B$62)*O105^-Parameters!B$64</f>
        <v>0.31942900465644625</v>
      </c>
      <c r="R105" s="7">
        <f>Parameters!B$62*EXP(-Parameters!B$61*A105)+(1-Parameters!B$62)*O105^-Parameters!B$64</f>
        <v>0.35213662531526746</v>
      </c>
      <c r="S105" s="7">
        <f>1-R105/Parameters!$B$12</f>
        <v>0.82393168734236633</v>
      </c>
      <c r="T105" s="7">
        <f t="shared" si="76"/>
        <v>5.6796136959891728</v>
      </c>
      <c r="U105" s="7">
        <f>(Parameters!$B$19*(E105+Parameters!$B$20)^S105+Parameters!$B$18*F105^S105)^(1/S105)</f>
        <v>0.33808403203404702</v>
      </c>
      <c r="V105" s="7">
        <f>(Parameters!$B$10*G105^Parameters!$B$9+Parameters!$B$11*U105^Parameters!$B$9)^(Parameters!$B$7/Parameters!$B$9)*N105</f>
        <v>1.3390838076273004</v>
      </c>
      <c r="W105" s="7">
        <f>V105 - C105 - D105 - LN(1+EXP(Parameters!$B$21*B105))/Parameters!$B$21 - IF(B105&gt;0, 0,Parameters!$B$6*B105^2/E105)</f>
        <v>1.0206447835109784</v>
      </c>
      <c r="X105" s="7">
        <f>EXP(-Parameters!$B$56*A105)</f>
        <v>0.21759929584761534</v>
      </c>
      <c r="Y105" s="7">
        <f>IF(W105&gt;0,W105^(1-Parameters!$B$53)/(1-Parameters!$B$53)*X105*Parameters!$B$71,-10+W105*1000)</f>
        <v>-0.6172815894157585</v>
      </c>
      <c r="AA105" s="22">
        <f t="shared" si="80"/>
        <v>-1.772929429448955E-3</v>
      </c>
      <c r="AB105" s="22">
        <f t="shared" si="81"/>
        <v>-1.0599482780442038E-4</v>
      </c>
      <c r="AC105" s="22">
        <f t="shared" si="82"/>
        <v>2.3118344903497179E-5</v>
      </c>
      <c r="AD105" s="22">
        <f t="shared" si="107"/>
        <v>6.8653624997334769E-7</v>
      </c>
      <c r="AE105" s="22">
        <f t="shared" si="109"/>
        <v>1.2435550793575556E-5</v>
      </c>
      <c r="AF105" s="22">
        <f t="shared" si="110"/>
        <v>6.7325267851525705E-6</v>
      </c>
      <c r="AG105" s="22">
        <f t="shared" si="111"/>
        <v>-1.4616487535867861E-6</v>
      </c>
      <c r="AH105" s="22">
        <f t="shared" si="108"/>
        <v>4.3978179325198156E-11</v>
      </c>
      <c r="AI105" s="22"/>
      <c r="AM105" s="23">
        <f t="shared" si="72"/>
        <v>9.661568049780616</v>
      </c>
      <c r="AN105" s="23">
        <f t="shared" si="73"/>
        <v>1.6350295168878275</v>
      </c>
      <c r="AO105" s="23">
        <f t="shared" si="106"/>
        <v>246.45021373616191</v>
      </c>
      <c r="AP105" s="25">
        <f t="shared" si="75"/>
        <v>976.14042465971011</v>
      </c>
      <c r="AQ105" s="22">
        <f>-X105*V105*W105^(-Parameters!B$53)*Parameters!B$47*Parameters!B$46*M105</f>
        <v>-6.7854764967544979E-6</v>
      </c>
      <c r="AR105" s="7">
        <f>1000*EXP(-(Parameters!$B$55)*'6states'!A105)*AP105*Parameters!B$47*Parameters!B$46*M105</f>
        <v>0.67451369898950309</v>
      </c>
      <c r="AS105" s="59">
        <f>SUM(AR105:AR$204)*EXP(Parameters!$B$55*A105)</f>
        <v>1542.9625583647748</v>
      </c>
      <c r="AT105" s="39">
        <f t="shared" si="86"/>
        <v>0.23602715238526523</v>
      </c>
      <c r="AU105">
        <f>(1/$S105-1/Parameters!$B$13) * LN(Parameters!$B$18) / LN(O105)</f>
        <v>0.20905321655928957</v>
      </c>
      <c r="AV105">
        <f>(Parameters!$B$18*'6states'!S105^+Parameters!$B$19*Parameters!$B$25^'6states'!S105)^((1-'6states'!S105)/'6states'!S105)*Parameters!$B$18*Parameters!$B$26^('6states'!S105-1)</f>
        <v>0.3057559474563028</v>
      </c>
      <c r="AW105">
        <f t="shared" si="87"/>
        <v>0.19136906099147216</v>
      </c>
      <c r="AX105">
        <f t="shared" si="88"/>
        <v>0.13489522104398699</v>
      </c>
      <c r="AY105">
        <f t="shared" si="89"/>
        <v>0.19098180619047711</v>
      </c>
      <c r="AZ105">
        <f>(1/$S105-1/Parameters!$B$13) * LN(Parameters!$B$18) / A105</f>
        <v>9.2743677037413746E-3</v>
      </c>
    </row>
    <row r="106" spans="1:52" x14ac:dyDescent="0.25">
      <c r="A106">
        <f>A105+Parameters!$B$71</f>
        <v>102</v>
      </c>
      <c r="B106" s="9">
        <f t="shared" si="103"/>
        <v>-8.8862642296227778E-5</v>
      </c>
      <c r="C106" s="9">
        <f t="shared" si="104"/>
        <v>9.2155795373382324E-2</v>
      </c>
      <c r="D106" s="9">
        <f t="shared" si="105"/>
        <v>0.22405480973458911</v>
      </c>
      <c r="E106" s="7">
        <f>MAX((1-Parameters!$B$4)^Parameters!B$71*E105 + B105*Parameters!B$71 - IF(B105&gt;0,Parameters!$B$5,0)*B105^2/E105*Parameters!B$71, 0.0001)</f>
        <v>2.0064047566576795E-3</v>
      </c>
      <c r="F106" s="7">
        <f>(1-Parameters!$B$4)^Parameters!B$71*F105+C105*Parameters!B$71-Parameters!$B$5*C105^2/F105*Parameters!B$71</f>
        <v>1.357556883520872</v>
      </c>
      <c r="G106" s="7">
        <f>(1-Parameters!$B$4)^Parameters!B$71*G105+D105*Parameters!B$71-Parameters!$B$5*D105^2/G105*Parameters!B$71</f>
        <v>3.3015486076473697</v>
      </c>
      <c r="H106" s="9">
        <f>MAX(H105 * (1-Parameters!$B$4) ^ Parameters!B$71 + (LN(1+EXP(Parameters!$B$21*(-B105+0.004)))/Parameters!$B$21 -0.004) * Parameters!B$71,0)</f>
        <v>1.3371434030075806E-2</v>
      </c>
      <c r="I106" s="23">
        <f>I105*(1+Parameters!$B$52)^Parameters!B$71</f>
        <v>10.963988026902703</v>
      </c>
      <c r="J106" s="23">
        <f>J105*(1+Parameters!$B$54)^Parameters!B$71</f>
        <v>68.013291093203563</v>
      </c>
      <c r="K106" s="23">
        <f>I106*J106*EXP(-Parameters!$B$43*'6states'!A106)*(Parameters!$B$38/Parameters!$B$39*('6states'!E106+'6states'!H106)/Parameters!$E$25*(EXP(-Parameters!$B$39*Parameters!$E$25*'6states'!H106/('6states'!E106+'6states'!H106))-EXP(-Parameters!$B$39*Parameters!$E$25))  +  Parameters!$B$40*'6states'!E106)</f>
        <v>0.42875366824712791</v>
      </c>
      <c r="L106" s="8">
        <f>L105+K106*Parameters!B$71</f>
        <v>3308.6708644683827</v>
      </c>
      <c r="M106" s="7">
        <f>L106*Parameters!$B$46</f>
        <v>1.9852025186810294</v>
      </c>
      <c r="N106" s="9">
        <f>EXP(-Parameters!$B$47/2*M106^2)</f>
        <v>0.96116677502955961</v>
      </c>
      <c r="O106" s="8">
        <f>MAX((Parameters!$B$63 + Parameters!$B$31*'6states'!A106 - '6states'!L106 + Parameters!$B$48/Parameters!$B$46)/Parameters!B$63,1)</f>
        <v>89.354582710632343</v>
      </c>
      <c r="P106" s="59">
        <f>Parameters!B$62*EXP(-Parameters!B$61*A106)</f>
        <v>3.1836330251777283E-2</v>
      </c>
      <c r="Q106" s="59">
        <f>(1-Parameters!B$62)*O106^-Parameters!B$64</f>
        <v>0.31904968577921539</v>
      </c>
      <c r="R106" s="7">
        <f>Parameters!B$62*EXP(-Parameters!B$61*A106)+(1-Parameters!B$62)*O106^-Parameters!B$64</f>
        <v>0.35088601603099268</v>
      </c>
      <c r="S106" s="7">
        <f>1-R106/Parameters!$B$12</f>
        <v>0.82455699198450372</v>
      </c>
      <c r="T106" s="7">
        <f t="shared" si="76"/>
        <v>5.6998566731805775</v>
      </c>
      <c r="U106" s="7">
        <f>(Parameters!$B$19*(E106+Parameters!$B$20)^S106+Parameters!$B$18*F106^S106)^(1/S106)</f>
        <v>0.33823977238462294</v>
      </c>
      <c r="V106" s="7">
        <f>(Parameters!$B$10*G106^Parameters!$B$9+Parameters!$B$11*U106^Parameters!$B$9)^(Parameters!$B$7/Parameters!$B$9)*N106</f>
        <v>1.3392209167232336</v>
      </c>
      <c r="W106" s="7">
        <f>V106 - C106 - D106 - LN(1+EXP(Parameters!$B$21*B106))/Parameters!$B$21 - IF(B106&gt;0, 0,Parameters!$B$6*B106^2/E106)</f>
        <v>1.0207242778166763</v>
      </c>
      <c r="X106" s="7">
        <f>EXP(-Parameters!$B$56*A106)</f>
        <v>0.2143382294940287</v>
      </c>
      <c r="Y106" s="7">
        <f>IF(W106&gt;0,W106^(1-Parameters!$B$53)/(1-Parameters!$B$53)*X106*Parameters!$B$71,-10+W106*1000)</f>
        <v>-0.60801408354307951</v>
      </c>
      <c r="AA106" s="22">
        <f t="shared" si="80"/>
        <v>-1.7248061158635572E-3</v>
      </c>
      <c r="AB106" s="22">
        <f t="shared" si="81"/>
        <v>-9.9685661577864071E-5</v>
      </c>
      <c r="AC106" s="22">
        <f t="shared" si="82"/>
        <v>2.1741051653756394E-5</v>
      </c>
      <c r="AD106" s="22">
        <f t="shared" si="107"/>
        <v>6.3987807178491237E-7</v>
      </c>
      <c r="AE106" s="22">
        <f t="shared" si="109"/>
        <v>4.8123313585397842E-5</v>
      </c>
      <c r="AF106" s="22">
        <f t="shared" si="110"/>
        <v>6.3091662265563064E-6</v>
      </c>
      <c r="AG106" s="22">
        <f t="shared" si="111"/>
        <v>-1.3772932497407853E-6</v>
      </c>
      <c r="AH106" s="22">
        <f t="shared" si="108"/>
        <v>5.0531434159428825E-10</v>
      </c>
      <c r="AI106" s="22"/>
      <c r="AM106" s="23">
        <f t="shared" si="72"/>
        <v>9.971037028014937</v>
      </c>
      <c r="AN106" s="23">
        <f t="shared" si="73"/>
        <v>1.4961698256761773</v>
      </c>
      <c r="AO106" s="23">
        <f t="shared" si="106"/>
        <v>252.22435284118134</v>
      </c>
      <c r="AP106" s="25">
        <f t="shared" si="75"/>
        <v>998.65289835811029</v>
      </c>
      <c r="AQ106" s="22">
        <f>-X106*V106*W106^(-Parameters!B$53)*Parameters!B$47*Parameters!B$46*M106</f>
        <v>-6.6846332976472453E-6</v>
      </c>
      <c r="AR106" s="7">
        <f>1000*EXP(-(Parameters!$B$55)*'6states'!A106)*AP106*Parameters!B$47*Parameters!B$46*M106</f>
        <v>0.66635488830549605</v>
      </c>
      <c r="AS106" s="59">
        <f>SUM(AR106:AR$204)*EXP(Parameters!$B$55*A106)</f>
        <v>1573.8802009603401</v>
      </c>
      <c r="AT106" s="39">
        <f t="shared" si="86"/>
        <v>0.23604898827234017</v>
      </c>
      <c r="AU106">
        <f>(1/$S106-1/Parameters!$B$13) * LN(Parameters!$B$18) / LN(O106)</f>
        <v>0.20874437601202683</v>
      </c>
      <c r="AV106">
        <f>(Parameters!$B$18*'6states'!S106^+Parameters!$B$19*Parameters!$B$25^'6states'!S106)^((1-'6states'!S106)/'6states'!S106)*Parameters!$B$18*Parameters!$B$26^('6states'!S106-1)</f>
        <v>0.30584894154676817</v>
      </c>
      <c r="AW106">
        <f t="shared" si="87"/>
        <v>0.19093062100112673</v>
      </c>
      <c r="AX106">
        <f t="shared" si="88"/>
        <v>0.13471000654913412</v>
      </c>
      <c r="AY106">
        <f t="shared" si="89"/>
        <v>0.19103395268317802</v>
      </c>
      <c r="AZ106">
        <f>(1/$S106-1/Parameters!$B$13) * LN(Parameters!$B$18) / A106</f>
        <v>9.1941921488274177E-3</v>
      </c>
    </row>
    <row r="107" spans="1:52" x14ac:dyDescent="0.25">
      <c r="A107">
        <f>A106+Parameters!$B$71</f>
        <v>103</v>
      </c>
      <c r="B107" s="9">
        <f t="shared" si="103"/>
        <v>-8.2254506066835331E-5</v>
      </c>
      <c r="C107" s="9">
        <f t="shared" si="104"/>
        <v>9.2063041405601814E-2</v>
      </c>
      <c r="D107" s="9">
        <f t="shared" si="105"/>
        <v>0.22420256011232542</v>
      </c>
      <c r="E107" s="7">
        <f>MAX((1-Parameters!$B$4)^Parameters!B$71*E106 + B106*Parameters!B$71 - IF(B106&gt;0,Parameters!$B$5,0)*B106^2/E106*Parameters!B$71, 0.0001)</f>
        <v>1.7913392551676837E-3</v>
      </c>
      <c r="F107" s="7">
        <f>(1-Parameters!$B$4)^Parameters!B$71*F106+C106*Parameters!B$71-Parameters!$B$5*C106^2/F106*Parameters!B$71</f>
        <v>1.3580664873735679</v>
      </c>
      <c r="G107" s="7">
        <f>(1-Parameters!$B$4)^Parameters!B$71*G106+D106*Parameters!B$71-Parameters!$B$5*D106^2/G106*Parameters!B$71</f>
        <v>3.3027308551287722</v>
      </c>
      <c r="H107" s="9">
        <f>MAX(H106 * (1-Parameters!$B$4) ^ Parameters!B$71 + (LN(1+EXP(Parameters!$B$21*(-B106+0.004)))/Parameters!$B$21 -0.004) * Parameters!B$71,0)</f>
        <v>1.347648190393877E-2</v>
      </c>
      <c r="I107" s="23">
        <f>I106*(1+Parameters!$B$52)^Parameters!B$71</f>
        <v>10.99578359218072</v>
      </c>
      <c r="J107" s="23">
        <f>J106*(1+Parameters!$B$54)^Parameters!B$71</f>
        <v>69.373556915067638</v>
      </c>
      <c r="K107" s="23">
        <f>I107*J107*EXP(-Parameters!$B$43*'6states'!A107)*(Parameters!$B$38/Parameters!$B$39*('6states'!E107+'6states'!H107)/Parameters!$E$25*(EXP(-Parameters!$B$39*Parameters!$E$25*'6states'!H107/('6states'!E107+'6states'!H107))-EXP(-Parameters!$B$39*Parameters!$E$25))  +  Parameters!$B$40*'6states'!E107)</f>
        <v>0.38768768102892393</v>
      </c>
      <c r="L107" s="8">
        <f>L106+K107*Parameters!B$71</f>
        <v>3309.0585521494118</v>
      </c>
      <c r="M107" s="7">
        <f>L107*Parameters!$B$46</f>
        <v>1.9854351312896468</v>
      </c>
      <c r="N107" s="9">
        <f>EXP(-Parameters!$B$47/2*M107^2)</f>
        <v>0.96115785315107105</v>
      </c>
      <c r="O107" s="8">
        <f>MAX((Parameters!$B$63 + Parameters!$B$31*'6states'!A107 - '6states'!L107 + Parameters!$B$48/Parameters!$B$46)/Parameters!B$63,1)</f>
        <v>90.410828957011759</v>
      </c>
      <c r="P107" s="59">
        <f>Parameters!B$62*EXP(-Parameters!B$61*A107)</f>
        <v>3.0988249939448733E-2</v>
      </c>
      <c r="Q107" s="59">
        <f>(1-Parameters!B$62)*O107^-Parameters!B$64</f>
        <v>0.31867497412233653</v>
      </c>
      <c r="R107" s="7">
        <f>Parameters!B$62*EXP(-Parameters!B$61*A107)+(1-Parameters!B$62)*O107^-Parameters!B$64</f>
        <v>0.34966322406178524</v>
      </c>
      <c r="S107" s="7">
        <f>1-R107/Parameters!$B$12</f>
        <v>0.82516838796910741</v>
      </c>
      <c r="T107" s="7">
        <f t="shared" si="76"/>
        <v>5.7197893926831771</v>
      </c>
      <c r="U107" s="7">
        <f>(Parameters!$B$19*(E107+Parameters!$B$20)^S107+Parameters!$B$18*F107^S107)^(1/S107)</f>
        <v>0.33838826197122374</v>
      </c>
      <c r="V107" s="7">
        <f>(Parameters!$B$10*G107^Parameters!$B$9+Parameters!$B$11*U107^Parameters!$B$9)^(Parameters!$B$7/Parameters!$B$9)*N107</f>
        <v>1.3393620453545192</v>
      </c>
      <c r="W107" s="7">
        <f>V107 - C107 - D107 - LN(1+EXP(Parameters!$B$21*B107))/Parameters!$B$21 - IF(B107&gt;0, 0,Parameters!$B$6*B107^2/E107)</f>
        <v>1.0208079420126865</v>
      </c>
      <c r="X107" s="7">
        <f>EXP(-Parameters!$B$56*A107)</f>
        <v>0.21112603532875074</v>
      </c>
      <c r="Y107" s="7">
        <f>IF(W107&gt;0,W107^(1-Parameters!$B$53)/(1-Parameters!$B$53)*X107*Parameters!$B$71,-10+W107*1000)</f>
        <v>-0.59888485963606275</v>
      </c>
      <c r="AA107" s="22">
        <f t="shared" si="80"/>
        <v>-1.6283934050062843E-3</v>
      </c>
      <c r="AB107" s="22">
        <f t="shared" si="81"/>
        <v>-9.3771323519314942E-5</v>
      </c>
      <c r="AC107" s="22">
        <f t="shared" si="82"/>
        <v>2.0443345029583226E-5</v>
      </c>
      <c r="AD107" s="22">
        <f t="shared" si="107"/>
        <v>5.6178021578064619E-7</v>
      </c>
      <c r="AE107" s="22">
        <f t="shared" si="109"/>
        <v>9.6412710857272932E-5</v>
      </c>
      <c r="AF107" s="22">
        <f t="shared" si="110"/>
        <v>5.914338058549129E-6</v>
      </c>
      <c r="AG107" s="22">
        <f t="shared" si="111"/>
        <v>-1.2977066241731672E-6</v>
      </c>
      <c r="AH107" s="22">
        <f t="shared" si="108"/>
        <v>1.9702438382185596E-9</v>
      </c>
      <c r="AI107" s="22"/>
      <c r="AM107" s="23">
        <f t="shared" si="72"/>
        <v>10.280084360062464</v>
      </c>
      <c r="AN107" s="23">
        <f t="shared" si="73"/>
        <v>1.3664633538544704</v>
      </c>
      <c r="AO107" s="23">
        <f t="shared" si="106"/>
        <v>258.1281898580956</v>
      </c>
      <c r="AP107" s="25">
        <f t="shared" si="75"/>
        <v>1021.6876268639571</v>
      </c>
      <c r="AQ107" s="22">
        <f>-X107*V107*W107^(-Parameters!B$53)*Parameters!B$47*Parameters!B$46*M107</f>
        <v>-6.5851903909029762E-6</v>
      </c>
      <c r="AR107" s="7">
        <f>1000*EXP(-(Parameters!$B$55)*'6states'!A107)*AP107*Parameters!B$47*Parameters!B$46*M107</f>
        <v>0.65828855347480675</v>
      </c>
      <c r="AS107" s="59">
        <f>SUM(AR107:AR$204)*EXP(Parameters!$B$55*A107)</f>
        <v>1605.3409488164566</v>
      </c>
      <c r="AT107" s="39">
        <f t="shared" si="86"/>
        <v>0.23607011122087532</v>
      </c>
      <c r="AU107">
        <f>(1/$S107-1/Parameters!$B$13) * LN(Parameters!$B$18) / LN(O107)</f>
        <v>0.208437429704358</v>
      </c>
      <c r="AV107">
        <f>(Parameters!$B$18*'6states'!S107^+Parameters!$B$19*Parameters!$B$25^'6states'!S107)^((1-'6states'!S107)/'6states'!S107)*Parameters!$B$18*Parameters!$B$26^('6states'!S107-1)</f>
        <v>0.3059390350677495</v>
      </c>
      <c r="AW107">
        <f t="shared" si="87"/>
        <v>0.19049788518056399</v>
      </c>
      <c r="AX107">
        <f t="shared" si="88"/>
        <v>0.13452588875766724</v>
      </c>
      <c r="AY107">
        <f t="shared" si="89"/>
        <v>0.19108446947421842</v>
      </c>
      <c r="AZ107">
        <f>(1/$S107-1/Parameters!$B$13) * LN(Parameters!$B$18) / A107</f>
        <v>9.1153210188872156E-3</v>
      </c>
    </row>
    <row r="108" spans="1:52" x14ac:dyDescent="0.25">
      <c r="A108">
        <f>A107+Parameters!$B$71</f>
        <v>104</v>
      </c>
      <c r="B108" s="9">
        <f t="shared" si="103"/>
        <v>-7.5646369837442884E-5</v>
      </c>
      <c r="C108" s="9">
        <f t="shared" si="104"/>
        <v>9.1970287437821305E-2</v>
      </c>
      <c r="D108" s="9">
        <f t="shared" si="105"/>
        <v>0.22435031049006174</v>
      </c>
      <c r="E108" s="7">
        <f>MAX((1-Parameters!$B$4)^Parameters!B$71*E107 + B107*Parameters!B$71 - IF(B107&gt;0,Parameters!$B$5,0)*B107^2/E107*Parameters!B$71, 0.0001)</f>
        <v>1.5964095099508012E-3</v>
      </c>
      <c r="F108" s="7">
        <f>(1-Parameters!$B$4)^Parameters!B$71*F107+C107*Parameters!B$71-Parameters!$B$5*C107^2/F107*Parameters!B$71</f>
        <v>1.358466212519009</v>
      </c>
      <c r="G108" s="7">
        <f>(1-Parameters!$B$4)^Parameters!B$71*G107+D107*Parameters!B$71-Parameters!$B$5*D107^2/G107*Parameters!B$71</f>
        <v>3.303971879305859</v>
      </c>
      <c r="H108" s="9">
        <f>MAX(H107 * (1-Parameters!$B$4) ^ Parameters!B$71 + (LN(1+EXP(Parameters!$B$21*(-B107+0.004)))/Parameters!$B$21 -0.004) * Parameters!B$71,0)</f>
        <v>1.3569813784819647E-2</v>
      </c>
      <c r="I108" s="23">
        <f>I107*(1+Parameters!$B$52)^Parameters!B$71</f>
        <v>11.027671364598042</v>
      </c>
      <c r="J108" s="23">
        <f>J107*(1+Parameters!$B$54)^Parameters!B$71</f>
        <v>70.761028053368989</v>
      </c>
      <c r="K108" s="23">
        <f>I108*J108*EXP(-Parameters!$B$43*'6states'!A108)*(Parameters!$B$38/Parameters!$B$39*('6states'!E108+'6states'!H108)/Parameters!$E$25*(EXP(-Parameters!$B$39*Parameters!$E$25*'6states'!H108/('6states'!E108+'6states'!H108))-EXP(-Parameters!$B$39*Parameters!$E$25))  +  Parameters!$B$40*'6states'!E108)</f>
        <v>0.34991561451906483</v>
      </c>
      <c r="L108" s="8">
        <f>L107+K108*Parameters!B$71</f>
        <v>3309.4084677639307</v>
      </c>
      <c r="M108" s="7">
        <f>L108*Parameters!$B$46</f>
        <v>1.9856450806583583</v>
      </c>
      <c r="N108" s="9">
        <f>EXP(-Parameters!$B$47/2*M108^2)</f>
        <v>0.96114979969686376</v>
      </c>
      <c r="O108" s="8">
        <f>MAX((Parameters!$B$63 + Parameters!$B$31*'6states'!A108 - '6states'!L108 + Parameters!$B$48/Parameters!$B$46)/Parameters!B$63,1)</f>
        <v>91.467830644721403</v>
      </c>
      <c r="P108" s="59">
        <f>Parameters!B$62*EXP(-Parameters!B$61*A108)</f>
        <v>3.0162761433728282E-2</v>
      </c>
      <c r="Q108" s="59">
        <f>(1-Parameters!B$62)*O108^-Parameters!B$64</f>
        <v>0.3183047843565045</v>
      </c>
      <c r="R108" s="7">
        <f>Parameters!B$62*EXP(-Parameters!B$61*A108)+(1-Parameters!B$62)*O108^-Parameters!B$64</f>
        <v>0.34846754579023276</v>
      </c>
      <c r="S108" s="7">
        <f>1-R108/Parameters!$B$12</f>
        <v>0.82576622710488357</v>
      </c>
      <c r="T108" s="7">
        <f t="shared" si="76"/>
        <v>5.7394154037057463</v>
      </c>
      <c r="U108" s="7">
        <f>(Parameters!$B$19*(E108+Parameters!$B$20)^S108+Parameters!$B$18*F108^S108)^(1/S108)</f>
        <v>0.33852957081685825</v>
      </c>
      <c r="V108" s="7">
        <f>(Parameters!$B$10*G108^Parameters!$B$9+Parameters!$B$11*U108^Parameters!$B$9)^(Parameters!$B$7/Parameters!$B$9)*N108</f>
        <v>1.3395068048373009</v>
      </c>
      <c r="W108" s="7">
        <f>V108 - C108 - D108 - LN(1+EXP(Parameters!$B$21*B108))/Parameters!$B$21 - IF(B108&gt;0, 0,Parameters!$B$6*B108^2/E108)</f>
        <v>1.0208954022722063</v>
      </c>
      <c r="X108" s="7">
        <f>EXP(-Parameters!$B$56*A108)</f>
        <v>0.20796198092547327</v>
      </c>
      <c r="Y108" s="7">
        <f>IF(W108&gt;0,W108^(1-Parameters!$B$53)/(1-Parameters!$B$53)*X108*Parameters!$B$71,-10+W108*1000)</f>
        <v>-0.58989194309388338</v>
      </c>
      <c r="AA108" s="22">
        <f t="shared" si="80"/>
        <v>-1.467433613511343E-3</v>
      </c>
      <c r="AB108" s="22">
        <f t="shared" si="81"/>
        <v>-8.8225419353549217E-5</v>
      </c>
      <c r="AC108" s="22">
        <f t="shared" si="82"/>
        <v>1.9220714584239351E-5</v>
      </c>
      <c r="AD108" s="22">
        <f t="shared" si="107"/>
        <v>4.4951285189130834E-7</v>
      </c>
      <c r="AE108" s="22">
        <f t="shared" si="109"/>
        <v>1.6095979149494122E-4</v>
      </c>
      <c r="AF108" s="22">
        <f t="shared" si="110"/>
        <v>5.5459041657657249E-6</v>
      </c>
      <c r="AG108" s="22">
        <f t="shared" si="111"/>
        <v>-1.2226304453438752E-6</v>
      </c>
      <c r="AH108" s="22">
        <f t="shared" si="108"/>
        <v>5.3945974956732651E-9</v>
      </c>
      <c r="AI108" s="22"/>
      <c r="AM108" s="23">
        <f t="shared" si="72"/>
        <v>10.588924143936882</v>
      </c>
      <c r="AN108" s="23">
        <f t="shared" si="73"/>
        <v>1.2457252156576413</v>
      </c>
      <c r="AO108" s="23">
        <f t="shared" si="106"/>
        <v>264.1645642823288</v>
      </c>
      <c r="AP108" s="25">
        <f t="shared" si="75"/>
        <v>1045.2564914764571</v>
      </c>
      <c r="AQ108" s="22">
        <f>-X108*V108*W108^(-Parameters!B$53)*Parameters!B$47*Parameters!B$46*M108</f>
        <v>-6.4871377072630637E-6</v>
      </c>
      <c r="AR108" s="7">
        <f>1000*EXP(-(Parameters!$B$55)*'6states'!A108)*AP108*Parameters!B$47*Parameters!B$46*M108</f>
        <v>0.65031418716572387</v>
      </c>
      <c r="AS108" s="59">
        <f>SUM(AR108:AR$204)*EXP(Parameters!$B$55*A108)</f>
        <v>1637.3514212646821</v>
      </c>
      <c r="AT108" s="39">
        <f t="shared" si="86"/>
        <v>0.23609058977229858</v>
      </c>
      <c r="AU108">
        <f>(1/$S108-1/Parameters!$B$13) * LN(Parameters!$B$18) / LN(O108)</f>
        <v>0.208132395543803</v>
      </c>
      <c r="AV108">
        <f>(Parameters!$B$18*'6states'!S108^+Parameters!$B$19*Parameters!$B$25^'6states'!S108)^((1-'6states'!S108)/'6states'!S108)*Parameters!$B$18*Parameters!$B$26^('6states'!S108-1)</f>
        <v>0.30602633670553669</v>
      </c>
      <c r="AW108">
        <f t="shared" si="87"/>
        <v>0.19007075925701286</v>
      </c>
      <c r="AX108">
        <f t="shared" si="88"/>
        <v>0.13434287913149401</v>
      </c>
      <c r="AY108">
        <f t="shared" si="89"/>
        <v>0.19113341780493887</v>
      </c>
      <c r="AZ108">
        <f>(1/$S108-1/Parameters!$B$13) * LN(Parameters!$B$18) / A108</f>
        <v>9.037723671377557E-3</v>
      </c>
    </row>
    <row r="109" spans="1:52" x14ac:dyDescent="0.25">
      <c r="A109">
        <f>A108+Parameters!$B$71</f>
        <v>105</v>
      </c>
      <c r="B109" s="9">
        <f t="shared" si="103"/>
        <v>-6.9038233608050437E-5</v>
      </c>
      <c r="C109" s="9">
        <f t="shared" si="104"/>
        <v>9.1877533470040795E-2</v>
      </c>
      <c r="D109" s="9">
        <f t="shared" si="105"/>
        <v>0.22449806086779805</v>
      </c>
      <c r="E109" s="7">
        <f>MAX((1-Parameters!$B$4)^Parameters!B$71*E108 + B108*Parameters!B$71 - IF(B108&gt;0,Parameters!$B$5,0)*B108^2/E108*Parameters!B$71, 0.0001)</f>
        <v>1.4203489819374529E-3</v>
      </c>
      <c r="F109" s="7">
        <f>(1-Parameters!$B$4)^Parameters!B$71*F108+C108*Parameters!B$71-Parameters!$B$5*C108^2/F108*Parameters!B$71</f>
        <v>1.3587624428741563</v>
      </c>
      <c r="G109" s="7">
        <f>(1-Parameters!$B$4)^Parameters!B$71*G108+D108*Parameters!B$71-Parameters!$B$5*D108^2/G108*Parameters!B$71</f>
        <v>3.3052682513809675</v>
      </c>
      <c r="H109" s="9">
        <f>MAX(H108 * (1-Parameters!$B$4) ^ Parameters!B$71 + (LN(1+EXP(Parameters!$B$21*(-B108+0.004)))/Parameters!$B$21 -0.004) * Parameters!B$71,0)</f>
        <v>1.3652168908208216E-2</v>
      </c>
      <c r="I109" s="23">
        <f>I108*(1+Parameters!$B$52)^Parameters!B$71</f>
        <v>11.059651611555376</v>
      </c>
      <c r="J109" s="23">
        <f>J108*(1+Parameters!$B$54)^Parameters!B$71</f>
        <v>72.176248614436375</v>
      </c>
      <c r="K109" s="23">
        <f>I109*J109*EXP(-Parameters!$B$43*'6states'!A109)*(Parameters!$B$38/Parameters!$B$39*('6states'!E109+'6states'!H109)/Parameters!$E$25*(EXP(-Parameters!$B$39*Parameters!$E$25*'6states'!H109/('6states'!E109+'6states'!H109))-EXP(-Parameters!$B$39*Parameters!$E$25))  +  Parameters!$B$40*'6states'!E109)</f>
        <v>0.31530360703557514</v>
      </c>
      <c r="L109" s="8">
        <f>L108+K109*Parameters!B$71</f>
        <v>3309.7237713709665</v>
      </c>
      <c r="M109" s="7">
        <f>L109*Parameters!$B$46</f>
        <v>1.9858342628225798</v>
      </c>
      <c r="N109" s="9">
        <f>EXP(-Parameters!$B$47/2*M109^2)</f>
        <v>0.96114254218090744</v>
      </c>
      <c r="O109" s="8">
        <f>MAX((Parameters!$B$63 + Parameters!$B$31*'6states'!A109 - '6states'!L109 + Parameters!$B$48/Parameters!$B$46)/Parameters!B$63,1)</f>
        <v>92.525524572580665</v>
      </c>
      <c r="P109" s="59">
        <f>Parameters!B$62*EXP(-Parameters!B$61*A109)</f>
        <v>2.9359262916936142E-2</v>
      </c>
      <c r="Q109" s="59">
        <f>(1-Parameters!B$62)*O109^-Parameters!B$64</f>
        <v>0.31793903279988173</v>
      </c>
      <c r="R109" s="7">
        <f>Parameters!B$62*EXP(-Parameters!B$61*A109)+(1-Parameters!B$62)*O109^-Parameters!B$64</f>
        <v>0.34729829571681786</v>
      </c>
      <c r="S109" s="7">
        <f>1-R109/Parameters!$B$12</f>
        <v>0.8263508521415911</v>
      </c>
      <c r="T109" s="7">
        <f t="shared" si="76"/>
        <v>5.7587383084389572</v>
      </c>
      <c r="U109" s="7">
        <f>(Parameters!$B$19*(E109+Parameters!$B$20)^S109+Parameters!$B$18*F109^S109)^(1/S109)</f>
        <v>0.33866376771812839</v>
      </c>
      <c r="V109" s="7">
        <f>(Parameters!$B$10*G109^Parameters!$B$9+Parameters!$B$11*U109^Parameters!$B$9)^(Parameters!$B$7/Parameters!$B$9)*N109</f>
        <v>1.3396548265967199</v>
      </c>
      <c r="W109" s="7">
        <f>V109 - C109 - D109 - LN(1+EXP(Parameters!$B$21*B109))/Parameters!$B$21 - IF(B109&gt;0, 0,Parameters!$B$6*B109^2/E109)</f>
        <v>1.02098630349717</v>
      </c>
      <c r="X109" s="7">
        <f>EXP(-Parameters!$B$56*A109)</f>
        <v>0.2048453448344438</v>
      </c>
      <c r="Y109" s="7">
        <f>IF(W109&gt;0,W109^(1-Parameters!$B$53)/(1-Parameters!$B$53)*X109*Parameters!$B$71,-10+W109*1000)</f>
        <v>-0.58103338122383397</v>
      </c>
      <c r="AA109" s="22">
        <f t="shared" si="80"/>
        <v>-1.2212122722297172E-3</v>
      </c>
      <c r="AB109" s="22">
        <f t="shared" si="81"/>
        <v>-8.3023509197990841E-5</v>
      </c>
      <c r="AC109" s="22">
        <f t="shared" si="82"/>
        <v>1.8068895591402678E-5</v>
      </c>
      <c r="AD109" s="22">
        <f t="shared" si="107"/>
        <v>3.0697689143923308E-7</v>
      </c>
      <c r="AE109" s="22">
        <f t="shared" si="109"/>
        <v>2.4622134128162582E-4</v>
      </c>
      <c r="AF109" s="22">
        <f t="shared" si="110"/>
        <v>5.2019101555583758E-6</v>
      </c>
      <c r="AG109" s="22">
        <f t="shared" si="111"/>
        <v>-1.1518189928366729E-6</v>
      </c>
      <c r="AH109" s="22">
        <f t="shared" si="108"/>
        <v>1.2424553417413317E-8</v>
      </c>
      <c r="AI109" s="22"/>
      <c r="AM109" s="23">
        <f t="shared" si="72"/>
        <v>10.897764161078904</v>
      </c>
      <c r="AN109" s="23">
        <f t="shared" si="73"/>
        <v>1.1337852861076547</v>
      </c>
      <c r="AO109" s="23">
        <f t="shared" si="106"/>
        <v>270.3363762424292</v>
      </c>
      <c r="AP109" s="25">
        <f t="shared" si="75"/>
        <v>1069.3716475134197</v>
      </c>
      <c r="AQ109" s="22">
        <f>-X109*V109*W109^(-Parameters!B$53)*Parameters!B$47*Parameters!B$46*M109</f>
        <v>-6.3904645901765332E-6</v>
      </c>
      <c r="AR109" s="7">
        <f>1000*EXP(-(Parameters!$B$55)*'6states'!A109)*AP109*Parameters!B$47*Parameters!B$46*M109</f>
        <v>0.64243125203904761</v>
      </c>
      <c r="AS109" s="59">
        <f>SUM(AR109:AR$204)*EXP(Parameters!$B$55*A109)</f>
        <v>1669.9181703294073</v>
      </c>
      <c r="AT109" s="39">
        <f t="shared" si="86"/>
        <v>0.23611048892928707</v>
      </c>
      <c r="AU109">
        <f>(1/$S109-1/Parameters!$B$13) * LN(Parameters!$B$18) / LN(O109)</f>
        <v>0.20782928889438518</v>
      </c>
      <c r="AV109">
        <f>(Parameters!$B$18*'6states'!S109^+Parameters!$B$19*Parameters!$B$25^'6states'!S109)^((1-'6states'!S109)/'6states'!S109)*Parameters!$B$18*Parameters!$B$26^('6states'!S109-1)</f>
        <v>0.30611095057414378</v>
      </c>
      <c r="AW109">
        <f t="shared" si="87"/>
        <v>0.18964914976023495</v>
      </c>
      <c r="AX109">
        <f t="shared" si="88"/>
        <v>0.13416098761089323</v>
      </c>
      <c r="AY109">
        <f t="shared" si="89"/>
        <v>0.19118085632920678</v>
      </c>
      <c r="AZ109">
        <f>(1/$S109-1/Parameters!$B$13) * LN(Parameters!$B$18) / A109</f>
        <v>8.9613704194778966E-3</v>
      </c>
    </row>
    <row r="110" spans="1:52" x14ac:dyDescent="0.25">
      <c r="A110">
        <f>A109+Parameters!$B$71</f>
        <v>106</v>
      </c>
      <c r="B110" s="9">
        <f t="shared" si="103"/>
        <v>-6.2430097378657991E-5</v>
      </c>
      <c r="C110" s="9">
        <f t="shared" si="104"/>
        <v>9.1784779502260286E-2</v>
      </c>
      <c r="D110" s="9">
        <f t="shared" si="105"/>
        <v>0.22464581124553437</v>
      </c>
      <c r="E110" s="7">
        <f>MAX((1-Parameters!$B$4)^Parameters!B$71*E109 + B109*Parameters!B$71 - IF(B109&gt;0,Parameters!$B$5,0)*B109^2/E109*Parameters!B$71, 0.0001)</f>
        <v>1.2619707973655367E-3</v>
      </c>
      <c r="F110" s="7">
        <f>(1-Parameters!$B$4)^Parameters!B$71*F109+C109*Parameters!B$71-Parameters!$B$5*C109^2/F109*Parameters!B$71</f>
        <v>1.3589611939561297</v>
      </c>
      <c r="G110" s="7">
        <f>(1-Parameters!$B$4)^Parameters!B$71*G109+D109*Parameters!B$71-Parameters!$B$5*D109^2/G109*Parameters!B$71</f>
        <v>3.306616742872706</v>
      </c>
      <c r="H110" s="9">
        <f>MAX(H109 * (1-Parameters!$B$4) ^ Parameters!B$71 + (LN(1+EXP(Parameters!$B$21*(-B109+0.004)))/Parameters!$B$21 -0.004) * Parameters!B$71,0)</f>
        <v>1.3724240014169706E-2</v>
      </c>
      <c r="I110" s="23">
        <f>I109*(1+Parameters!$B$52)^Parameters!B$71</f>
        <v>11.091724601228885</v>
      </c>
      <c r="J110" s="23">
        <f>J109*(1+Parameters!$B$54)^Parameters!B$71</f>
        <v>73.619773586725103</v>
      </c>
      <c r="K110" s="23">
        <f>I110*J110*EXP(-Parameters!$B$43*'6states'!A110)*(Parameters!$B$38/Parameters!$B$39*('6states'!E110+'6states'!H110)/Parameters!$E$25*(EXP(-Parameters!$B$39*Parameters!$E$25*'6states'!H110/('6states'!E110+'6states'!H110))-EXP(-Parameters!$B$39*Parameters!$E$25))  +  Parameters!$B$40*'6states'!E110)</f>
        <v>0.28372528323113466</v>
      </c>
      <c r="L110" s="8">
        <f>L109+K110*Parameters!B$71</f>
        <v>3310.0074966541974</v>
      </c>
      <c r="M110" s="7">
        <f>L110*Parameters!$B$46</f>
        <v>1.9860044979925182</v>
      </c>
      <c r="N110" s="9">
        <f>EXP(-Parameters!$B$47/2*M110^2)</f>
        <v>0.96113601097636647</v>
      </c>
      <c r="O110" s="8">
        <f>MAX((Parameters!$B$63 + Parameters!$B$31*'6states'!A110 - '6states'!L110 + Parameters!$B$48/Parameters!$B$46)/Parameters!B$63,1)</f>
        <v>93.583850066916057</v>
      </c>
      <c r="P110" s="59">
        <f>Parameters!B$62*EXP(-Parameters!B$61*A110)</f>
        <v>2.857716860306838E-2</v>
      </c>
      <c r="Q110" s="59">
        <f>(1-Parameters!B$62)*O110^-Parameters!B$64</f>
        <v>0.31757763742528916</v>
      </c>
      <c r="R110" s="7">
        <f>Parameters!B$62*EXP(-Parameters!B$61*A110)+(1-Parameters!B$62)*O110^-Parameters!B$64</f>
        <v>0.34615480602835752</v>
      </c>
      <c r="S110" s="7">
        <f>1-R110/Parameters!$B$12</f>
        <v>0.82692259698582127</v>
      </c>
      <c r="T110" s="7">
        <f t="shared" si="76"/>
        <v>5.7777617562130779</v>
      </c>
      <c r="U110" s="7">
        <f>(Parameters!$B$19*(E110+Parameters!$B$20)^S110+Parameters!$B$18*F110^S110)^(1/S110)</f>
        <v>0.33879092098163821</v>
      </c>
      <c r="V110" s="7">
        <f>(Parameters!$B$10*G110^Parameters!$B$9+Parameters!$B$11*U110^Parameters!$B$9)^(Parameters!$B$7/Parameters!$B$9)*N110</f>
        <v>1.3398057613351122</v>
      </c>
      <c r="W110" s="7">
        <f>V110 - C110 - D110 - LN(1+EXP(Parameters!$B$21*B110))/Parameters!$B$21 - IF(B110&gt;0, 0,Parameters!$B$6*B110^2/E110)</f>
        <v>1.0210803066953567</v>
      </c>
      <c r="X110" s="7">
        <f>EXP(-Parameters!$B$56*A110)</f>
        <v>0.20177541641796462</v>
      </c>
      <c r="Y110" s="7">
        <f>IF(W110&gt;0,W110^(1-Parameters!$B$53)/(1-Parameters!$B$53)*X110*Parameters!$B$71,-10+W110*1000)</f>
        <v>-0.5723072437642166</v>
      </c>
      <c r="AA110" s="22">
        <f t="shared" si="80"/>
        <v>-8.6378983784458907E-4</v>
      </c>
      <c r="AB110" s="22">
        <f t="shared" si="81"/>
        <v>-7.8142942099748702E-5</v>
      </c>
      <c r="AC110" s="22">
        <f t="shared" si="82"/>
        <v>1.6983856804514419E-5</v>
      </c>
      <c r="AD110" s="22">
        <f t="shared" si="107"/>
        <v>1.5184158090433391E-7</v>
      </c>
      <c r="AE110" s="22">
        <f t="shared" si="109"/>
        <v>3.5742243438512816E-4</v>
      </c>
      <c r="AF110" s="22">
        <f t="shared" si="110"/>
        <v>4.880567098242139E-6</v>
      </c>
      <c r="AG110" s="22">
        <f t="shared" si="111"/>
        <v>-1.0850387868882594E-6</v>
      </c>
      <c r="AH110" s="22">
        <f t="shared" si="108"/>
        <v>2.5782014011445086E-8</v>
      </c>
      <c r="AI110" s="22"/>
      <c r="AM110" s="23">
        <f t="shared" si="72"/>
        <v>11.206806151977645</v>
      </c>
      <c r="AN110" s="23">
        <f t="shared" si="73"/>
        <v>1.0304878143292833</v>
      </c>
      <c r="AO110" s="23">
        <f t="shared" si="106"/>
        <v>276.64658834086225</v>
      </c>
      <c r="AP110" s="25">
        <f t="shared" si="75"/>
        <v>1094.0455306146735</v>
      </c>
      <c r="AQ110" s="22">
        <f>-X110*V110*W110^(-Parameters!B$53)*Parameters!B$47*Parameters!B$46*M110</f>
        <v>-6.2951598673946061E-6</v>
      </c>
      <c r="AR110" s="7">
        <f>1000*EXP(-(Parameters!$B$55)*'6states'!A110)*AP110*Parameters!B$47*Parameters!B$46*M110</f>
        <v>0.63463918345339765</v>
      </c>
      <c r="AS110" s="59">
        <f>SUM(AR110:AR$204)*EXP(Parameters!$B$55*A110)</f>
        <v>1703.047671073635</v>
      </c>
      <c r="AT110" s="39">
        <f t="shared" si="86"/>
        <v>0.23612987029937543</v>
      </c>
      <c r="AU110">
        <f>(1/$S110-1/Parameters!$B$13) * LN(Parameters!$B$18) / LN(O110)</f>
        <v>0.20752812278861779</v>
      </c>
      <c r="AV110">
        <f>(Parameters!$B$18*'6states'!S110^+Parameters!$B$19*Parameters!$B$25^'6states'!S110)^((1-'6states'!S110)/'6states'!S110)*Parameters!$B$18*Parameters!$B$26^('6states'!S110-1)</f>
        <v>0.30619297642377824</v>
      </c>
      <c r="AW110">
        <f t="shared" si="87"/>
        <v>0.18923296413656376</v>
      </c>
      <c r="AX110">
        <f t="shared" si="88"/>
        <v>0.13398022274002974</v>
      </c>
      <c r="AY110">
        <f t="shared" si="89"/>
        <v>0.19122684123217437</v>
      </c>
      <c r="AZ110">
        <f>(1/$S110-1/Parameters!$B$13) * LN(Parameters!$B$18) / A110</f>
        <v>8.8862324939038857E-3</v>
      </c>
    </row>
    <row r="111" spans="1:52" x14ac:dyDescent="0.25">
      <c r="A111">
        <f>A110+Parameters!$B$71</f>
        <v>107</v>
      </c>
      <c r="B111" s="9">
        <f t="shared" si="103"/>
        <v>-5.5821961149265544E-5</v>
      </c>
      <c r="C111" s="9">
        <f t="shared" si="104"/>
        <v>9.1692025534479776E-2</v>
      </c>
      <c r="D111" s="9">
        <f t="shared" si="105"/>
        <v>0.22479356162327069</v>
      </c>
      <c r="E111" s="7">
        <f>MAX((1-Parameters!$B$4)^Parameters!B$71*E110 + B110*Parameters!B$71 - IF(B110&gt;0,Parameters!$B$5,0)*B110^2/E110*Parameters!B$71, 0.0001)</f>
        <v>1.1201627368325865E-3</v>
      </c>
      <c r="F111" s="7">
        <f>(1-Parameters!$B$4)^Parameters!B$71*F110+C110*Parameters!B$71-Parameters!$B$5*C110^2/F110*Parameters!B$71</f>
        <v>1.3590681338479174</v>
      </c>
      <c r="G111" s="7">
        <f>(1-Parameters!$B$4)^Parameters!B$71*G110+D110*Parameters!B$71-Parameters!$B$5*D110^2/G110*Parameters!B$71</f>
        <v>3.3080143138798159</v>
      </c>
      <c r="H111" s="9">
        <f>MAX(H110 * (1-Parameters!$B$4) ^ Parameters!B$71 + (LN(1+EXP(Parameters!$B$21*(-B110+0.004)))/Parameters!$B$21 -0.004) * Parameters!B$71,0)</f>
        <v>1.3786676271906498E-2</v>
      </c>
      <c r="I111" s="23">
        <f>I110*(1+Parameters!$B$52)^Parameters!B$71</f>
        <v>11.123890602572446</v>
      </c>
      <c r="J111" s="23">
        <f>J110*(1+Parameters!$B$54)^Parameters!B$71</f>
        <v>75.092169058459604</v>
      </c>
      <c r="K111" s="23">
        <f>I111*J111*EXP(-Parameters!$B$43*'6states'!A111)*(Parameters!$B$38/Parameters!$B$39*('6states'!E111+'6states'!H111)/Parameters!$E$25*(EXP(-Parameters!$B$39*Parameters!$E$25*'6states'!H111/('6states'!E111+'6states'!H111))-EXP(-Parameters!$B$39*Parameters!$E$25))  +  Parameters!$B$40*'6states'!E111)</f>
        <v>0.25506138443459342</v>
      </c>
      <c r="L111" s="8">
        <f>L110+K111*Parameters!B$71</f>
        <v>3310.2625580386321</v>
      </c>
      <c r="M111" s="7">
        <f>L111*Parameters!$B$46</f>
        <v>1.986157534823179</v>
      </c>
      <c r="N111" s="9">
        <f>EXP(-Parameters!$B$47/2*M111^2)</f>
        <v>0.96113013915948176</v>
      </c>
      <c r="O111" s="8">
        <f>MAX((Parameters!$B$63 + Parameters!$B$31*'6states'!A111 - '6states'!L111 + Parameters!$B$48/Parameters!$B$46)/Parameters!B$63,1)</f>
        <v>94.642748839227366</v>
      </c>
      <c r="P111" s="59">
        <f>Parameters!B$62*EXP(-Parameters!B$61*A111)</f>
        <v>2.7815908310732943E-2</v>
      </c>
      <c r="Q111" s="59">
        <f>(1-Parameters!B$62)*O111^-Parameters!B$64</f>
        <v>0.31722051786218719</v>
      </c>
      <c r="R111" s="7">
        <f>Parameters!B$62*EXP(-Parameters!B$61*A111)+(1-Parameters!B$62)*O111^-Parameters!B$64</f>
        <v>0.34503642617292013</v>
      </c>
      <c r="S111" s="7">
        <f>1-R111/Parameters!$B$12</f>
        <v>0.82748178691353991</v>
      </c>
      <c r="T111" s="7">
        <f t="shared" si="76"/>
        <v>5.7964894378939285</v>
      </c>
      <c r="U111" s="7">
        <f>(Parameters!$B$19*(E111+Parameters!$B$20)^S111+Parameters!$B$18*F111^S111)^(1/S111)</f>
        <v>0.33891109907033856</v>
      </c>
      <c r="V111" s="7">
        <f>(Parameters!$B$10*G111^Parameters!$B$9+Parameters!$B$11*U111^Parameters!$B$9)^(Parameters!$B$7/Parameters!$B$9)*N111</f>
        <v>1.3399592782181715</v>
      </c>
      <c r="W111" s="7">
        <f>V111 - C111 - D111 - LN(1+EXP(Parameters!$B$21*B111))/Parameters!$B$21 - IF(B111&gt;0, 0,Parameters!$B$6*B111^2/E111)</f>
        <v>1.021177085485989</v>
      </c>
      <c r="X111" s="7">
        <f>EXP(-Parameters!$B$56*A111)</f>
        <v>0.19875149568835732</v>
      </c>
      <c r="Y111" s="7">
        <f>IF(W111&gt;0,W111^(1-Parameters!$B$53)/(1-Parameters!$B$53)*X111*Parameters!$B$71,-10+W111*1000)</f>
        <v>-0.56371162351829351</v>
      </c>
      <c r="AA111" s="22">
        <f t="shared" si="80"/>
        <v>-3.6347727732710666E-4</v>
      </c>
      <c r="AB111" s="22">
        <f t="shared" si="81"/>
        <v>-7.3562706763688479E-5</v>
      </c>
      <c r="AC111" s="22">
        <f t="shared" si="82"/>
        <v>1.5961788689761169E-5</v>
      </c>
      <c r="AD111" s="22">
        <f t="shared" si="107"/>
        <v>2.738437493337437E-8</v>
      </c>
      <c r="AE111" s="22">
        <f t="shared" si="109"/>
        <v>5.0031256051748241E-4</v>
      </c>
      <c r="AF111" s="22">
        <f t="shared" si="110"/>
        <v>4.5802353360602233E-6</v>
      </c>
      <c r="AG111" s="22">
        <f t="shared" si="111"/>
        <v>-1.0220681147532495E-6</v>
      </c>
      <c r="AH111" s="22">
        <f t="shared" si="108"/>
        <v>4.9754392349035102E-8</v>
      </c>
      <c r="AI111" s="22"/>
      <c r="AM111" s="23">
        <f t="shared" si="72"/>
        <v>11.516246079721235</v>
      </c>
      <c r="AN111" s="23">
        <f t="shared" si="73"/>
        <v>0.93569105941690378</v>
      </c>
      <c r="AO111" s="23">
        <f t="shared" si="106"/>
        <v>283.09822752536962</v>
      </c>
      <c r="AP111" s="25">
        <f t="shared" si="75"/>
        <v>1119.2908631800481</v>
      </c>
      <c r="AQ111" s="22">
        <f>-X111*V111*W111^(-Parameters!B$53)*Parameters!B$47*Parameters!B$46*M111</f>
        <v>-6.2012119246894989E-6</v>
      </c>
      <c r="AR111" s="7">
        <f>1000*EXP(-(Parameters!$B$55)*'6states'!A111)*AP111*Parameters!B$47*Parameters!B$46*M111</f>
        <v>0.62693739197103415</v>
      </c>
      <c r="AS111" s="59">
        <f>SUM(AR111:AR$204)*EXP(Parameters!$B$55*A111)</f>
        <v>1736.7463114018235</v>
      </c>
      <c r="AT111" s="39">
        <f t="shared" si="86"/>
        <v>0.23614879223596844</v>
      </c>
      <c r="AU111">
        <f>(1/$S111-1/Parameters!$B$13) * LN(Parameters!$B$18) / LN(O111)</f>
        <v>0.20722890812164829</v>
      </c>
      <c r="AV111">
        <f>(Parameters!$B$18*'6states'!S111^+Parameters!$B$19*Parameters!$B$25^'6states'!S111)^((1-'6states'!S111)/'6states'!S111)*Parameters!$B$18*Parameters!$B$26^('6states'!S111-1)</f>
        <v>0.30627250983936721</v>
      </c>
      <c r="AW111">
        <f t="shared" si="87"/>
        <v>0.1888221108474154</v>
      </c>
      <c r="AX111">
        <f t="shared" si="88"/>
        <v>0.13380059178194315</v>
      </c>
      <c r="AY111">
        <f t="shared" si="89"/>
        <v>0.19127142634331085</v>
      </c>
      <c r="AZ111">
        <f>(1/$S111-1/Parameters!$B$13) * LN(Parameters!$B$18) / A111</f>
        <v>8.81228200662716E-3</v>
      </c>
    </row>
    <row r="112" spans="1:52" x14ac:dyDescent="0.25">
      <c r="A112">
        <f>A111+Parameters!$B$71</f>
        <v>108</v>
      </c>
      <c r="B112" s="9">
        <f t="shared" si="103"/>
        <v>-4.9213824919873097E-5</v>
      </c>
      <c r="C112" s="9">
        <f t="shared" si="104"/>
        <v>9.1599271566699267E-2</v>
      </c>
      <c r="D112" s="9">
        <f t="shared" si="105"/>
        <v>0.224941312001007</v>
      </c>
      <c r="E112" s="7">
        <f>MAX((1-Parameters!$B$4)^Parameters!B$71*E111 + B111*Parameters!B$71 - IF(B111&gt;0,Parameters!$B$5,0)*B111^2/E111*Parameters!B$71, 0.0001)</f>
        <v>9.9388253953655126E-4</v>
      </c>
      <c r="F112" s="7">
        <f>(1-Parameters!$B$4)^Parameters!B$71*F111+C111*Parameters!B$71-Parameters!$B$5*C111^2/F111*Parameters!B$71</f>
        <v>1.3590886030061902</v>
      </c>
      <c r="G112" s="7">
        <f>(1-Parameters!$B$4)^Parameters!B$71*G111+D111*Parameters!B$71-Parameters!$B$5*D111^2/G111*Parameters!B$71</f>
        <v>3.3094581020363685</v>
      </c>
      <c r="H112" s="9">
        <f>MAX(H111 * (1-Parameters!$B$4) ^ Parameters!B$71 + (LN(1+EXP(Parameters!$B$21*(-B111+0.004)))/Parameters!$B$21 -0.004) * Parameters!B$71,0)</f>
        <v>1.3840086020364909E-2</v>
      </c>
      <c r="I112" s="23">
        <f>I111*(1+Parameters!$B$52)^Parameters!B$71</f>
        <v>11.156149885319905</v>
      </c>
      <c r="J112" s="23">
        <f>J111*(1+Parameters!$B$54)^Parameters!B$71</f>
        <v>76.594012439628798</v>
      </c>
      <c r="K112" s="23">
        <f>I112*J112*EXP(-Parameters!$B$43*'6states'!A112)*(Parameters!$B$38/Parameters!$B$39*('6states'!E112+'6states'!H112)/Parameters!$E$25*(EXP(-Parameters!$B$39*Parameters!$E$25*'6states'!H112/('6states'!E112+'6states'!H112))-EXP(-Parameters!$B$39*Parameters!$E$25))  +  Parameters!$B$40*'6states'!E112)</f>
        <v>0.22919941800373447</v>
      </c>
      <c r="L112" s="8">
        <f>L111+K112*Parameters!B$71</f>
        <v>3310.4917574566357</v>
      </c>
      <c r="M112" s="7">
        <f>L112*Parameters!$B$46</f>
        <v>1.9862950544739812</v>
      </c>
      <c r="N112" s="9">
        <f>EXP(-Parameters!$B$47/2*M112^2)</f>
        <v>0.96112486236051153</v>
      </c>
      <c r="O112" s="8">
        <f>MAX((Parameters!$B$63 + Parameters!$B$31*'6states'!A112 - '6states'!L112 + Parameters!$B$48/Parameters!$B$46)/Parameters!B$63,1)</f>
        <v>95.702164850867305</v>
      </c>
      <c r="P112" s="59">
        <f>Parameters!B$62*EXP(-Parameters!B$61*A112)</f>
        <v>2.7074927047462134E-2</v>
      </c>
      <c r="Q112" s="59">
        <f>(1-Parameters!B$62)*O112^-Parameters!B$64</f>
        <v>0.31686759539407805</v>
      </c>
      <c r="R112" s="7">
        <f>Parameters!B$62*EXP(-Parameters!B$61*A112)+(1-Parameters!B$62)*O112^-Parameters!B$64</f>
        <v>0.34394252244154017</v>
      </c>
      <c r="S112" s="7">
        <f>1-R112/Parameters!$B$12</f>
        <v>0.82802873877922989</v>
      </c>
      <c r="T112" s="7">
        <f t="shared" si="76"/>
        <v>5.8149250805123671</v>
      </c>
      <c r="U112" s="7">
        <f>(Parameters!$B$19*(E112+Parameters!$B$20)^S112+Parameters!$B$18*F112^S112)^(1/S112)</f>
        <v>0.33902437116139733</v>
      </c>
      <c r="V112" s="7">
        <f>(Parameters!$B$10*G112^Parameters!$B$9+Parameters!$B$11*U112^Parameters!$B$9)^(Parameters!$B$7/Parameters!$B$9)*N112</f>
        <v>1.340115064078671</v>
      </c>
      <c r="W112" s="7">
        <f>V112 - C112 - D112 - LN(1+EXP(Parameters!$B$21*B112))/Parameters!$B$21 - IF(B112&gt;0, 0,Parameters!$B$6*B112^2/E112)</f>
        <v>1.021276321456096</v>
      </c>
      <c r="X112" s="7">
        <f>EXP(-Parameters!$B$56*A112)</f>
        <v>0.19577289314835553</v>
      </c>
      <c r="Y112" s="7">
        <f>IF(W112&gt;0,W112^(1-Parameters!$B$53)/(1-Parameters!$B$53)*X112*Parameters!$B$71,-10+W112*1000)</f>
        <v>-0.55524463713712879</v>
      </c>
      <c r="AA112" s="22">
        <f t="shared" si="80"/>
        <v>3.1705422376503145E-4</v>
      </c>
      <c r="AB112" s="22">
        <f t="shared" si="81"/>
        <v>-6.9263296665122986E-5</v>
      </c>
      <c r="AC112" s="22">
        <f t="shared" si="82"/>
        <v>1.4999092131928737E-5</v>
      </c>
      <c r="AD112" s="22">
        <f t="shared" si="107"/>
        <v>2.0662998371275337E-8</v>
      </c>
      <c r="AE112" s="22">
        <f t="shared" si="109"/>
        <v>6.8053150109213811E-4</v>
      </c>
      <c r="AF112" s="22">
        <f t="shared" si="110"/>
        <v>4.2994100985654926E-6</v>
      </c>
      <c r="AG112" s="22">
        <f t="shared" si="111"/>
        <v>-9.6269655783243202E-7</v>
      </c>
      <c r="AH112" s="22">
        <f t="shared" si="108"/>
        <v>9.0670754152209742E-8</v>
      </c>
      <c r="AI112" s="22"/>
      <c r="AM112" s="23">
        <f t="shared" si="72"/>
        <v>11.826274381938703</v>
      </c>
      <c r="AN112" s="23">
        <f t="shared" si="73"/>
        <v>0.84926694810148229</v>
      </c>
      <c r="AO112" s="23">
        <f t="shared" si="106"/>
        <v>289.69438698714094</v>
      </c>
      <c r="AP112" s="25">
        <f t="shared" si="75"/>
        <v>1145.1206609441192</v>
      </c>
      <c r="AQ112" s="22">
        <f>-X112*V112*W112^(-Parameters!B$53)*Parameters!B$47*Parameters!B$46*M112</f>
        <v>-6.1086087834725627E-6</v>
      </c>
      <c r="AR112" s="7">
        <f>1000*EXP(-(Parameters!$B$55)*'6states'!A112)*AP112*Parameters!B$47*Parameters!B$46*M112</f>
        <v>0.61932526567872037</v>
      </c>
      <c r="AS112" s="59">
        <f>SUM(AR112:AR$204)*EXP(Parameters!$B$55*A112)</f>
        <v>1771.0203812951772</v>
      </c>
      <c r="AT112" s="39">
        <f t="shared" si="86"/>
        <v>0.23616730997675503</v>
      </c>
      <c r="AU112">
        <f>(1/$S112-1/Parameters!$B$13) * LN(Parameters!$B$18) / LN(O112)</f>
        <v>0.20693165382913903</v>
      </c>
      <c r="AV112">
        <f>(Parameters!$B$18*'6states'!S112^+Parameters!$B$19*Parameters!$B$25^'6states'!S112)^((1-'6states'!S112)/'6states'!S112)*Parameters!$B$18*Parameters!$B$26^('6states'!S112-1)</f>
        <v>0.30634964242961399</v>
      </c>
      <c r="AW112">
        <f t="shared" si="87"/>
        <v>0.18841649945387923</v>
      </c>
      <c r="AX112">
        <f t="shared" si="88"/>
        <v>0.13362210082394155</v>
      </c>
      <c r="AY112">
        <f t="shared" si="89"/>
        <v>0.19131466324398827</v>
      </c>
      <c r="AZ112">
        <f>(1/$S112-1/Parameters!$B$13) * LN(Parameters!$B$18) / A112</f>
        <v>8.739491916385185E-3</v>
      </c>
    </row>
    <row r="113" spans="1:52" x14ac:dyDescent="0.25">
      <c r="A113">
        <f>A112+Parameters!$B$71</f>
        <v>109</v>
      </c>
      <c r="B113" s="9">
        <f t="shared" si="103"/>
        <v>-4.260568869048065E-5</v>
      </c>
      <c r="C113" s="9">
        <f t="shared" si="104"/>
        <v>9.1506517598918757E-2</v>
      </c>
      <c r="D113" s="9">
        <f t="shared" si="105"/>
        <v>0.22508906237874332</v>
      </c>
      <c r="E113" s="7">
        <f>MAX((1-Parameters!$B$4)^Parameters!B$71*E112 + B112*Parameters!B$71 - IF(B112&gt;0,Parameters!$B$5,0)*B112^2/E112*Parameters!B$71, 0.0001)</f>
        <v>8.8215350287982914E-4</v>
      </c>
      <c r="F113" s="7">
        <f>(1-Parameters!$B$4)^Parameters!B$71*F112+C112*Parameters!B$71-Parameters!$B$5*C112^2/F112*Parameters!B$71</f>
        <v>1.3590276329707875</v>
      </c>
      <c r="G113" s="7">
        <f>(1-Parameters!$B$4)^Parameters!B$71*G112+D112*Parameters!B$71-Parameters!$B$5*D112^2/G112*Parameters!B$71</f>
        <v>3.3109454121171704</v>
      </c>
      <c r="H113" s="9">
        <f>MAX(H112 * (1-Parameters!$B$4) ^ Parameters!B$71 + (LN(1+EXP(Parameters!$B$21*(-B112+0.004)))/Parameters!$B$21 -0.004) * Parameters!B$71,0)</f>
        <v>1.388503933645778E-2</v>
      </c>
      <c r="I113" s="23">
        <f>I112*(1+Parameters!$B$52)^Parameters!B$71</f>
        <v>11.188502719987332</v>
      </c>
      <c r="J113" s="23">
        <f>J112*(1+Parameters!$B$54)^Parameters!B$71</f>
        <v>78.125892688421374</v>
      </c>
      <c r="K113" s="23">
        <f>I113*J113*EXP(-Parameters!$B$43*'6states'!A113)*(Parameters!$B$38/Parameters!$B$39*('6states'!E113+'6states'!H113)/Parameters!$E$25*(EXP(-Parameters!$B$39*Parameters!$E$25*'6states'!H113/('6states'!E113+'6states'!H113))-EXP(-Parameters!$B$39*Parameters!$E$25))  +  Parameters!$B$40*'6states'!E113)</f>
        <v>0.20603332472402541</v>
      </c>
      <c r="L113" s="8">
        <f>L112+K113*Parameters!B$71</f>
        <v>3310.6977907813598</v>
      </c>
      <c r="M113" s="7">
        <f>L113*Parameters!$B$46</f>
        <v>1.9864186744688157</v>
      </c>
      <c r="N113" s="9">
        <f>EXP(-Parameters!$B$47/2*M113^2)</f>
        <v>0.96112011862142555</v>
      </c>
      <c r="O113" s="8">
        <f>MAX((Parameters!$B$63 + Parameters!$B$31*'6states'!A113 - '6states'!L113 + Parameters!$B$48/Parameters!$B$46)/Parameters!B$63,1)</f>
        <v>96.762044184372812</v>
      </c>
      <c r="P113" s="59">
        <f>Parameters!B$62*EXP(-Parameters!B$61*A113)</f>
        <v>2.6353684605098585E-2</v>
      </c>
      <c r="Q113" s="59">
        <f>(1-Parameters!B$62)*O113^-Parameters!B$64</f>
        <v>0.31651879295189755</v>
      </c>
      <c r="R113" s="7">
        <f>Parameters!B$62*EXP(-Parameters!B$61*A113)+(1-Parameters!B$62)*O113^-Parameters!B$64</f>
        <v>0.34287247755699612</v>
      </c>
      <c r="S113" s="7">
        <f>1-R113/Parameters!$B$12</f>
        <v>0.82856376122150199</v>
      </c>
      <c r="T113" s="7">
        <f t="shared" si="76"/>
        <v>5.8330724421225622</v>
      </c>
      <c r="U113" s="7">
        <f>(Parameters!$B$19*(E113+Parameters!$B$20)^S113+Parameters!$B$18*F113^S113)^(1/S113)</f>
        <v>0.33913080761795911</v>
      </c>
      <c r="V113" s="7">
        <f>(Parameters!$B$10*G113^Parameters!$B$9+Parameters!$B$11*U113^Parameters!$B$9)^(Parameters!$B$7/Parameters!$B$9)*N113</f>
        <v>1.3402728226374079</v>
      </c>
      <c r="W113" s="7">
        <f>V113 - C113 - D113 - LN(1+EXP(Parameters!$B$21*B113))/Parameters!$B$21 - IF(B113&gt;0, 0,Parameters!$B$6*B113^2/E113)</f>
        <v>1.0213776981187699</v>
      </c>
      <c r="X113" s="7">
        <f>EXP(-Parameters!$B$56*A113)</f>
        <v>0.19283892963388949</v>
      </c>
      <c r="Y113" s="7">
        <f>IF(W113&gt;0,W113^(1-Parameters!$B$53)/(1-Parameters!$B$53)*X113*Parameters!$B$71,-10+W113*1000)</f>
        <v>-0.54690442607832579</v>
      </c>
      <c r="AA113" s="22">
        <f t="shared" si="80"/>
        <v>1.2193777900164765E-3</v>
      </c>
      <c r="AB113" s="22">
        <f t="shared" si="81"/>
        <v>-6.5226587964359317E-5</v>
      </c>
      <c r="AC113" s="22">
        <f t="shared" si="82"/>
        <v>1.4092367608478651E-5</v>
      </c>
      <c r="AD113" s="22">
        <f t="shared" si="107"/>
        <v>2.8758750247349215E-7</v>
      </c>
      <c r="AE113" s="22">
        <f t="shared" si="109"/>
        <v>9.0232356625144505E-4</v>
      </c>
      <c r="AF113" s="22">
        <f t="shared" si="110"/>
        <v>4.0367087007636693E-6</v>
      </c>
      <c r="AG113" s="22">
        <f t="shared" si="111"/>
        <v>-9.0672452345008647E-7</v>
      </c>
      <c r="AH113" s="22">
        <f t="shared" si="108"/>
        <v>1.5701040824115938E-7</v>
      </c>
      <c r="AI113" s="22"/>
      <c r="AM113" s="23">
        <f t="shared" si="72"/>
        <v>12.137076211574955</v>
      </c>
      <c r="AN113" s="23">
        <f t="shared" si="73"/>
        <v>0.77110075350292107</v>
      </c>
      <c r="AO113" s="23">
        <f t="shared" si="106"/>
        <v>296.43822808226798</v>
      </c>
      <c r="AP113" s="25">
        <f t="shared" si="75"/>
        <v>1171.5482396899556</v>
      </c>
      <c r="AQ113" s="22">
        <f>-X113*V113*W113^(-Parameters!B$53)*Parameters!B$47*Parameters!B$46*M113</f>
        <v>-6.0173381836172084E-6</v>
      </c>
      <c r="AR113" s="7">
        <f>1000*EXP(-(Parameters!$B$55)*'6states'!A113)*AP113*Parameters!B$47*Parameters!B$46*M113</f>
        <v>0.61180217233713297</v>
      </c>
      <c r="AS113" s="59">
        <f>SUM(AR113:AR$204)*EXP(Parameters!$B$55*A113)</f>
        <v>1805.8760614537305</v>
      </c>
      <c r="AT113" s="39">
        <f t="shared" si="86"/>
        <v>0.23618547577951643</v>
      </c>
      <c r="AU113">
        <f>(1/$S113-1/Parameters!$B$13) * LN(Parameters!$B$18) / LN(O113)</f>
        <v>0.20663636705031521</v>
      </c>
      <c r="AV113">
        <f>(Parameters!$B$18*'6states'!S113^+Parameters!$B$19*Parameters!$B$25^'6states'!S113)^((1-'6states'!S113)/'6states'!S113)*Parameters!$B$18*Parameters!$B$26^('6states'!S113-1)</f>
        <v>0.30642446200703138</v>
      </c>
      <c r="AW113">
        <f t="shared" si="87"/>
        <v>0.18801604068883515</v>
      </c>
      <c r="AX113">
        <f t="shared" si="88"/>
        <v>0.13344475487424023</v>
      </c>
      <c r="AY113">
        <f t="shared" si="89"/>
        <v>0.19135660136988097</v>
      </c>
      <c r="AZ113">
        <f>(1/$S113-1/Parameters!$B$13) * LN(Parameters!$B$18) / A113</f>
        <v>8.6678359958732836E-3</v>
      </c>
    </row>
    <row r="114" spans="1:52" x14ac:dyDescent="0.25">
      <c r="A114">
        <f>A113+Parameters!$B$71</f>
        <v>110</v>
      </c>
      <c r="B114" s="9">
        <f t="shared" si="103"/>
        <v>-3.5997552461088203E-5</v>
      </c>
      <c r="C114" s="9">
        <f t="shared" si="104"/>
        <v>9.1413763631138248E-2</v>
      </c>
      <c r="D114" s="9">
        <f t="shared" si="105"/>
        <v>0.22523681275647964</v>
      </c>
      <c r="E114" s="7">
        <f>MAX((1-Parameters!$B$4)^Parameters!B$71*E113 + B113*Parameters!B$71 - IF(B113&gt;0,Parameters!$B$5,0)*B113^2/E113*Parameters!B$71, 0.0001)</f>
        <v>7.8406035885820731E-4</v>
      </c>
      <c r="F114" s="7">
        <f>(1-Parameters!$B$4)^Parameters!B$71*F113+C113*Parameters!B$71-Parameters!$B$5*C113^2/F113*Parameters!B$71</f>
        <v>1.3588899640329446</v>
      </c>
      <c r="G114" s="7">
        <f>(1-Parameters!$B$4)^Parameters!B$71*G113+D113*Parameters!B$71-Parameters!$B$5*D113^2/G113*Parameters!B$71</f>
        <v>3.3124737062547158</v>
      </c>
      <c r="H114" s="9">
        <f>MAX(H113 * (1-Parameters!$B$4) ^ Parameters!B$71 + (LN(1+EXP(Parameters!$B$21*(-B113+0.004)))/Parameters!$B$21 -0.004) * Parameters!B$71,0)</f>
        <v>1.3922070441745855E-2</v>
      </c>
      <c r="I114" s="23">
        <f>I113*(1+Parameters!$B$52)^Parameters!B$71</f>
        <v>11.220949377875295</v>
      </c>
      <c r="J114" s="23">
        <f>J113*(1+Parameters!$B$54)^Parameters!B$71</f>
        <v>79.6884105421898</v>
      </c>
      <c r="K114" s="23">
        <f>I114*J114*EXP(-Parameters!$B$43*'6states'!A114)*(Parameters!$B$38/Parameters!$B$39*('6states'!E114+'6states'!H114)/Parameters!$E$25*(EXP(-Parameters!$B$39*Parameters!$E$25*'6states'!H114/('6states'!E114+'6states'!H114))-EXP(-Parameters!$B$39*Parameters!$E$25))  +  Parameters!$B$40*'6states'!E114)</f>
        <v>0.18546316333729948</v>
      </c>
      <c r="L114" s="8">
        <f>L113+K114*Parameters!B$71</f>
        <v>3310.8832539446971</v>
      </c>
      <c r="M114" s="7">
        <f>L114*Parameters!$B$46</f>
        <v>1.9865299523668181</v>
      </c>
      <c r="N114" s="9">
        <f>EXP(-Parameters!$B$47/2*M114^2)</f>
        <v>0.96111584826005469</v>
      </c>
      <c r="O114" s="8">
        <f>MAX((Parameters!$B$63 + Parameters!$B$31*'6states'!A114 - '6states'!L114 + Parameters!$B$48/Parameters!$B$46)/Parameters!B$63,1)</f>
        <v>97.822334921106048</v>
      </c>
      <c r="P114" s="59">
        <f>Parameters!B$62*EXP(-Parameters!B$61*A114)</f>
        <v>2.5651655165959568E-2</v>
      </c>
      <c r="Q114" s="59">
        <f>(1-Parameters!B$62)*O114^-Parameters!B$64</f>
        <v>0.31617403510390468</v>
      </c>
      <c r="R114" s="7">
        <f>Parameters!B$62*EXP(-Parameters!B$61*A114)+(1-Parameters!B$62)*O114^-Parameters!B$64</f>
        <v>0.34182569026986426</v>
      </c>
      <c r="S114" s="7">
        <f>1-R114/Parameters!$B$12</f>
        <v>0.8290871548650679</v>
      </c>
      <c r="T114" s="7">
        <f t="shared" si="76"/>
        <v>5.8509353068841667</v>
      </c>
      <c r="U114" s="7">
        <f>(Parameters!$B$19*(E114+Parameters!$B$20)^S114+Parameters!$B$18*F114^S114)^(1/S114)</f>
        <v>0.33923048037795983</v>
      </c>
      <c r="V114" s="7">
        <f>(Parameters!$B$10*G114^Parameters!$B$9+Parameters!$B$11*U114^Parameters!$B$9)^(Parameters!$B$7/Parameters!$B$9)*N114</f>
        <v>1.340432273741164</v>
      </c>
      <c r="W114" s="7">
        <f>V114 - C114 - D114 - LN(1+EXP(Parameters!$B$21*B114))/Parameters!$B$21 - IF(B114&gt;0, 0,Parameters!$B$6*B114^2/E114)</f>
        <v>1.0214808933886603</v>
      </c>
      <c r="X114" s="7">
        <f>EXP(-Parameters!$B$56*A114)</f>
        <v>0.18994893615922709</v>
      </c>
      <c r="Y114" s="7">
        <f>IF(W114&gt;0,W114^(1-Parameters!$B$53)/(1-Parameters!$B$53)*X114*Parameters!$B$71,-10+W114*1000)</f>
        <v>-0.53868915773298687</v>
      </c>
      <c r="AA114" s="22">
        <f t="shared" si="80"/>
        <v>2.3856530193512721E-3</v>
      </c>
      <c r="AB114" s="22">
        <f t="shared" si="81"/>
        <v>-6.1435728834727255E-5</v>
      </c>
      <c r="AC114" s="22">
        <f t="shared" si="82"/>
        <v>1.3238404827184413E-5</v>
      </c>
      <c r="AD114" s="22">
        <f t="shared" si="107"/>
        <v>1.0818142638688478E-6</v>
      </c>
      <c r="AE114" s="22">
        <f t="shared" si="109"/>
        <v>1.1662752293347955E-3</v>
      </c>
      <c r="AF114" s="22">
        <f t="shared" si="110"/>
        <v>3.7908591296320626E-6</v>
      </c>
      <c r="AG114" s="22">
        <f t="shared" si="111"/>
        <v>-8.5396278129423742E-7</v>
      </c>
      <c r="AH114" s="22">
        <f t="shared" si="108"/>
        <v>2.583710142802259E-7</v>
      </c>
      <c r="AI114" s="22"/>
      <c r="AM114" s="23">
        <f t="shared" si="72"/>
        <v>12.448831666920785</v>
      </c>
      <c r="AN114" s="23">
        <f t="shared" si="73"/>
        <v>0.70109079428758603</v>
      </c>
      <c r="AO114" s="23">
        <f t="shared" si="106"/>
        <v>303.33298227331193</v>
      </c>
      <c r="AP114" s="25">
        <f t="shared" si="75"/>
        <v>1198.5872221042341</v>
      </c>
      <c r="AQ114" s="22">
        <f>-X114*V114*W114^(-Parameters!B$53)*Parameters!B$47*Parameters!B$46*M114</f>
        <v>-5.9273876713101039E-6</v>
      </c>
      <c r="AR114" s="7">
        <f>1000*EXP(-(Parameters!$B$55)*'6states'!A114)*AP114*Parameters!B$47*Parameters!B$46*M114</f>
        <v>0.60436746137139574</v>
      </c>
      <c r="AS114" s="59">
        <f>SUM(AR114:AR$204)*EXP(Parameters!$B$55*A114)</f>
        <v>1841.3194113184957</v>
      </c>
      <c r="AT114" s="39">
        <f t="shared" si="86"/>
        <v>0.23620333905530444</v>
      </c>
      <c r="AU114">
        <f>(1/$S114-1/Parameters!$B$13) * LN(Parameters!$B$18) / LN(O114)</f>
        <v>0.20634305327748378</v>
      </c>
      <c r="AV114">
        <f>(Parameters!$B$18*'6states'!S114^+Parameters!$B$19*Parameters!$B$25^'6states'!S114)^((1-'6states'!S114)/'6states'!S114)*Parameters!$B$18*Parameters!$B$26^('6states'!S114-1)</f>
        <v>0.30649705275938438</v>
      </c>
      <c r="AW114">
        <f t="shared" si="87"/>
        <v>0.18762064651790106</v>
      </c>
      <c r="AX114">
        <f t="shared" si="88"/>
        <v>0.13326855795061698</v>
      </c>
      <c r="AY114">
        <f t="shared" si="89"/>
        <v>0.19139728810843304</v>
      </c>
      <c r="AZ114">
        <f>(1/$S114-1/Parameters!$B$13) * LN(Parameters!$B$18) / A114</f>
        <v>8.5972888005189183E-3</v>
      </c>
    </row>
    <row r="115" spans="1:52" x14ac:dyDescent="0.25">
      <c r="A115">
        <f>A114+Parameters!$B$71</f>
        <v>111</v>
      </c>
      <c r="B115" s="9">
        <f t="shared" si="103"/>
        <v>-2.9389416231695757E-5</v>
      </c>
      <c r="C115" s="9">
        <f t="shared" si="104"/>
        <v>9.1321009663357738E-2</v>
      </c>
      <c r="D115" s="9">
        <f t="shared" si="105"/>
        <v>0.22538456313421595</v>
      </c>
      <c r="E115" s="7">
        <f>MAX((1-Parameters!$B$4)^Parameters!B$71*E114 + B114*Parameters!B$71 - IF(B114&gt;0,Parameters!$B$5,0)*B114^2/E114*Parameters!B$71, 0.0001)</f>
        <v>6.9874540982493784E-4</v>
      </c>
      <c r="F115" s="7">
        <f>(1-Parameters!$B$4)^Parameters!B$71*F114+C114*Parameters!B$71-Parameters!$B$5*C114^2/F114*Parameters!B$71</f>
        <v>1.3586800619168746</v>
      </c>
      <c r="G115" s="7">
        <f>(1-Parameters!$B$4)^Parameters!B$71*G114+D114*Parameters!B$71-Parameters!$B$5*D114^2/G114*Parameters!B$71</f>
        <v>3.3140405947313858</v>
      </c>
      <c r="H115" s="9">
        <f>MAX(H114 * (1-Parameters!$B$4) ^ Parameters!B$71 + (LN(1+EXP(Parameters!$B$21*(-B114+0.004)))/Parameters!$B$21 -0.004) * Parameters!B$71,0)</f>
        <v>1.3951679957738893E-2</v>
      </c>
      <c r="I115" s="23">
        <f>I114*(1+Parameters!$B$52)^Parameters!B$71</f>
        <v>11.253490131071132</v>
      </c>
      <c r="J115" s="23">
        <f>J114*(1+Parameters!$B$54)^Parameters!B$71</f>
        <v>81.282178753033591</v>
      </c>
      <c r="K115" s="23">
        <f>I115*J115*EXP(-Parameters!$B$43*'6states'!A115)*(Parameters!$B$38/Parameters!$B$39*('6states'!E115+'6states'!H115)/Parameters!$E$25*(EXP(-Parameters!$B$39*Parameters!$E$25*'6states'!H115/('6states'!E115+'6states'!H115))-EXP(-Parameters!$B$39*Parameters!$E$25))  +  Parameters!$B$40*'6states'!E115)</f>
        <v>0.16739481133099926</v>
      </c>
      <c r="L115" s="8">
        <f>L114+K115*Parameters!B$71</f>
        <v>3311.0506487560283</v>
      </c>
      <c r="M115" s="7">
        <f>L115*Parameters!$B$46</f>
        <v>1.9866303892536168</v>
      </c>
      <c r="N115" s="9">
        <f>EXP(-Parameters!$B$47/2*M115^2)</f>
        <v>0.96111199374040512</v>
      </c>
      <c r="O115" s="8">
        <f>MAX((Parameters!$B$63 + Parameters!$B$31*'6states'!A115 - '6states'!L115 + Parameters!$B$48/Parameters!$B$46)/Parameters!B$63,1)</f>
        <v>98.882987024879441</v>
      </c>
      <c r="P115" s="59">
        <f>Parameters!B$62*EXP(-Parameters!B$61*A115)</f>
        <v>2.4968326919492568E-2</v>
      </c>
      <c r="Q115" s="59">
        <f>(1-Parameters!B$62)*O115^-Parameters!B$64</f>
        <v>0.31583324804252616</v>
      </c>
      <c r="R115" s="7">
        <f>Parameters!B$62*EXP(-Parameters!B$61*A115)+(1-Parameters!B$62)*O115^-Parameters!B$64</f>
        <v>0.34080157496201874</v>
      </c>
      <c r="S115" s="7">
        <f>1-R115/Parameters!$B$12</f>
        <v>0.8295992125189906</v>
      </c>
      <c r="T115" s="7">
        <f t="shared" si="76"/>
        <v>5.8685174803634439</v>
      </c>
      <c r="U115" s="7">
        <f>(Parameters!$B$19*(E115+Parameters!$B$20)^S115+Parameters!$B$18*F115^S115)^(1/S115)</f>
        <v>0.33932346326390944</v>
      </c>
      <c r="V115" s="7">
        <f>(Parameters!$B$10*G115^Parameters!$B$9+Parameters!$B$11*U115^Parameters!$B$9)^(Parameters!$B$7/Parameters!$B$9)*N115</f>
        <v>1.3405931526175998</v>
      </c>
      <c r="W115" s="7">
        <f>V115 - C115 - D115 - LN(1+EXP(Parameters!$B$21*B115))/Parameters!$B$21 - IF(B115&gt;0, 0,Parameters!$B$6*B115^2/E115)</f>
        <v>1.0215855709032224</v>
      </c>
      <c r="X115" s="7">
        <f>EXP(-Parameters!$B$56*A115)</f>
        <v>0.18710225376443562</v>
      </c>
      <c r="Y115" s="7">
        <f>IF(W115&gt;0,W115^(1-Parameters!$B$53)/(1-Parameters!$B$53)*X115*Parameters!$B$71,-10+W115*1000)</f>
        <v>-0.53059702663773611</v>
      </c>
      <c r="AA115" s="22">
        <f t="shared" si="80"/>
        <v>3.8514470691890165E-3</v>
      </c>
      <c r="AB115" s="22">
        <f t="shared" si="81"/>
        <v>-5.7875038984717131E-5</v>
      </c>
      <c r="AC115" s="22">
        <f t="shared" si="82"/>
        <v>1.243417281814041E-5</v>
      </c>
      <c r="AD115" s="22">
        <f t="shared" si="107"/>
        <v>2.7760639528924594E-6</v>
      </c>
      <c r="AE115" s="22">
        <f t="shared" si="109"/>
        <v>1.4657940498377445E-3</v>
      </c>
      <c r="AF115" s="22">
        <f t="shared" si="110"/>
        <v>3.5606898500101236E-6</v>
      </c>
      <c r="AG115" s="22">
        <f t="shared" si="111"/>
        <v>-8.042320090440036E-7</v>
      </c>
      <c r="AH115" s="22">
        <f t="shared" si="108"/>
        <v>4.0200145149702464E-7</v>
      </c>
      <c r="AI115" s="22"/>
      <c r="AM115" s="23">
        <f t="shared" si="72"/>
        <v>12.761716011301084</v>
      </c>
      <c r="AN115" s="23">
        <f t="shared" si="73"/>
        <v>0.63914815358416721</v>
      </c>
      <c r="AO115" s="23">
        <f t="shared" si="106"/>
        <v>310.38195308824834</v>
      </c>
      <c r="AP115" s="25">
        <f t="shared" si="75"/>
        <v>1226.2515447762109</v>
      </c>
      <c r="AQ115" s="22">
        <f>-X115*V115*W115^(-Parameters!B$53)*Parameters!B$47*Parameters!B$46*M115</f>
        <v>-5.8387446885405493E-6</v>
      </c>
      <c r="AR115" s="7">
        <f>1000*EXP(-(Parameters!$B$55)*'6states'!A115)*AP115*Parameters!B$47*Parameters!B$46*M115</f>
        <v>0.5970204657144621</v>
      </c>
      <c r="AS115" s="59">
        <f>SUM(AR115:AR$204)*EXP(Parameters!$B$55*A115)</f>
        <v>1877.3563564457936</v>
      </c>
      <c r="AT115" s="39">
        <f t="shared" si="86"/>
        <v>0.23622094649895092</v>
      </c>
      <c r="AU115">
        <f>(1/$S115-1/Parameters!$B$13) * LN(Parameters!$B$18) / LN(O115)</f>
        <v>0.20605171649320334</v>
      </c>
      <c r="AV115">
        <f>(Parameters!$B$18*'6states'!S115^+Parameters!$B$19*Parameters!$B$25^'6states'!S115)^((1-'6states'!S115)/'6states'!S115)*Parameters!$B$18*Parameters!$B$26^('6states'!S115-1)</f>
        <v>0.30656749541295492</v>
      </c>
      <c r="AW115">
        <f t="shared" si="87"/>
        <v>0.18723023019038756</v>
      </c>
      <c r="AX115">
        <f t="shared" si="88"/>
        <v>0.13309351316177465</v>
      </c>
      <c r="AY115">
        <f t="shared" si="89"/>
        <v>0.19143676889163319</v>
      </c>
      <c r="AZ115">
        <f>(1/$S115-1/Parameters!$B$13) * LN(Parameters!$B$18) / A115</f>
        <v>8.5278256387451793E-3</v>
      </c>
    </row>
    <row r="116" spans="1:52" x14ac:dyDescent="0.25">
      <c r="A116">
        <f>A115+Parameters!$B$71</f>
        <v>112</v>
      </c>
      <c r="B116" s="9">
        <f t="shared" si="103"/>
        <v>-2.278128000230331E-5</v>
      </c>
      <c r="C116" s="9">
        <f t="shared" si="104"/>
        <v>9.1228255695577229E-2</v>
      </c>
      <c r="D116" s="9">
        <f t="shared" si="105"/>
        <v>0.22553231351195227</v>
      </c>
      <c r="E116" s="7">
        <f>MAX((1-Parameters!$B$4)^Parameters!B$71*E115 + B115*Parameters!B$71 - IF(B115&gt;0,Parameters!$B$5,0)*B115^2/E115*Parameters!B$71, 0.0001)</f>
        <v>6.2540490731525351E-4</v>
      </c>
      <c r="F116" s="7">
        <f>(1-Parameters!$B$4)^Parameters!B$71*F115+C115*Parameters!B$71-Parameters!$B$5*C115^2/F115*Parameters!B$71</f>
        <v>1.3584021335268808</v>
      </c>
      <c r="G116" s="7">
        <f>(1-Parameters!$B$4)^Parameters!B$71*G115+D115*Parameters!B$71-Parameters!$B$5*D115^2/G115*Parameters!B$71</f>
        <v>3.3156438273127709</v>
      </c>
      <c r="H116" s="9">
        <f>MAX(H115 * (1-Parameters!$B$4) ^ Parameters!B$71 + (LN(1+EXP(Parameters!$B$21*(-B115+0.004)))/Parameters!$B$21 -0.004) * Parameters!B$71,0)</f>
        <v>1.3974337019338335E-2</v>
      </c>
      <c r="I116" s="23">
        <f>I115*(1+Parameters!$B$52)^Parameters!B$71</f>
        <v>11.286125252451237</v>
      </c>
      <c r="J116" s="23">
        <f>J115*(1+Parameters!$B$54)^Parameters!B$71</f>
        <v>82.907822328094269</v>
      </c>
      <c r="K116" s="23">
        <f>I116*J116*EXP(-Parameters!$B$43*'6states'!A116)*(Parameters!$B$38/Parameters!$B$39*('6states'!E116+'6states'!H116)/Parameters!$E$25*(EXP(-Parameters!$B$39*Parameters!$E$25*'6states'!H116/('6states'!E116+'6states'!H116))-EXP(-Parameters!$B$39*Parameters!$E$25))  +  Parameters!$B$40*'6states'!E116)</f>
        <v>0.15173968116293216</v>
      </c>
      <c r="L116" s="8">
        <f>L115+K116*Parameters!B$71</f>
        <v>3311.2023884371911</v>
      </c>
      <c r="M116" s="7">
        <f>L116*Parameters!$B$46</f>
        <v>1.9867214330623144</v>
      </c>
      <c r="N116" s="9">
        <f>EXP(-Parameters!$B$47/2*M116^2)</f>
        <v>0.96110849954886179</v>
      </c>
      <c r="O116" s="8">
        <f>MAX((Parameters!$B$63 + Parameters!$B$31*'6states'!A116 - '6states'!L116 + Parameters!$B$48/Parameters!$B$46)/Parameters!B$63,1)</f>
        <v>99.943952231256191</v>
      </c>
      <c r="P116" s="59">
        <f>Parameters!B$62*EXP(-Parameters!B$61*A116)</f>
        <v>2.4303201689142802E-2</v>
      </c>
      <c r="Q116" s="59">
        <f>(1-Parameters!B$62)*O116^-Parameters!B$64</f>
        <v>0.31549635956856459</v>
      </c>
      <c r="R116" s="7">
        <f>Parameters!B$62*EXP(-Parameters!B$61*A116)+(1-Parameters!B$62)*O116^-Parameters!B$64</f>
        <v>0.33979956125770738</v>
      </c>
      <c r="S116" s="7">
        <f>1-R116/Parameters!$B$12</f>
        <v>0.83010021937114631</v>
      </c>
      <c r="T116" s="7">
        <f t="shared" si="76"/>
        <v>5.8858227850482123</v>
      </c>
      <c r="U116" s="7">
        <f>(Parameters!$B$19*(E116+Parameters!$B$20)^S116+Parameters!$B$18*F116^S116)^(1/S116)</f>
        <v>0.33940983221823046</v>
      </c>
      <c r="V116" s="7">
        <f>(Parameters!$B$10*G116^Parameters!$B$9+Parameters!$B$11*U116^Parameters!$B$9)^(Parameters!$B$7/Parameters!$B$9)*N116</f>
        <v>1.3407552091471469</v>
      </c>
      <c r="W116" s="7">
        <f>V116 - C116 - D116 - LN(1+EXP(Parameters!$B$21*B116))/Parameters!$B$21 - IF(B116&gt;0, 0,Parameters!$B$6*B116^2/E116)</f>
        <v>1.0216913713101097</v>
      </c>
      <c r="X116" s="7">
        <f>EXP(-Parameters!$B$56*A116)</f>
        <v>0.18429823336512921</v>
      </c>
      <c r="Y116" s="7">
        <f>IF(W116&gt;0,W116^(1-Parameters!$B$53)/(1-Parameters!$B$53)*X116*Parameters!$B$71,-10+W116*1000)</f>
        <v>-0.52262625555565012</v>
      </c>
      <c r="AA116" s="22">
        <f t="shared" si="80"/>
        <v>5.6338146839388856E-3</v>
      </c>
      <c r="AB116" s="22">
        <f t="shared" si="81"/>
        <v>-5.4529918299309199E-5</v>
      </c>
      <c r="AC116" s="22">
        <f t="shared" si="82"/>
        <v>1.1676810471067389E-5</v>
      </c>
      <c r="AD116" s="22">
        <f t="shared" si="107"/>
        <v>5.8501747216003113E-6</v>
      </c>
      <c r="AE116" s="22">
        <f t="shared" si="109"/>
        <v>1.782367614749869E-3</v>
      </c>
      <c r="AF116" s="22">
        <f t="shared" si="110"/>
        <v>3.3451206854079318E-6</v>
      </c>
      <c r="AG116" s="22">
        <f t="shared" si="111"/>
        <v>-7.5736234707302064E-7</v>
      </c>
      <c r="AH116" s="22">
        <f t="shared" si="108"/>
        <v>5.8548711976342636E-7</v>
      </c>
      <c r="AI116" s="22"/>
      <c r="AM116" s="23">
        <f t="shared" si="72"/>
        <v>13.075899882806242</v>
      </c>
      <c r="AN116" s="23">
        <f t="shared" si="73"/>
        <v>0.58519641704313041</v>
      </c>
      <c r="AO116" s="23">
        <f t="shared" si="106"/>
        <v>317.5885180945624</v>
      </c>
      <c r="AP116" s="25">
        <f t="shared" si="75"/>
        <v>1254.5554653432234</v>
      </c>
      <c r="AQ116" s="22">
        <f>-X116*V116*W116^(-Parameters!B$53)*Parameters!B$47*Parameters!B$46*M116</f>
        <v>-5.7513966551824398E-6</v>
      </c>
      <c r="AR116" s="7">
        <f>1000*EXP(-(Parameters!$B$55)*'6states'!A116)*AP116*Parameters!B$47*Parameters!B$46*M116</f>
        <v>0.58976050351426712</v>
      </c>
      <c r="AS116" s="59">
        <f>SUM(AR116:AR$204)*EXP(Parameters!$B$55*A116)</f>
        <v>1913.9926752047295</v>
      </c>
      <c r="AT116" s="39">
        <f t="shared" si="86"/>
        <v>0.23623834221684945</v>
      </c>
      <c r="AU116">
        <f>(1/$S116-1/Parameters!$B$13) * LN(Parameters!$B$18) / LN(O116)</f>
        <v>0.20576235929618109</v>
      </c>
      <c r="AV116">
        <f>(Parameters!$B$18*'6states'!S116^+Parameters!$B$19*Parameters!$B$25^'6states'!S116)^((1-'6states'!S116)/'6states'!S116)*Parameters!$B$18*Parameters!$B$26^('6states'!S116-1)</f>
        <v>0.30663586738802123</v>
      </c>
      <c r="AW116">
        <f t="shared" si="87"/>
        <v>0.18684470628131589</v>
      </c>
      <c r="AX116">
        <f t="shared" si="88"/>
        <v>0.13291962278204972</v>
      </c>
      <c r="AY116">
        <f t="shared" si="89"/>
        <v>0.19147508728432716</v>
      </c>
      <c r="AZ116">
        <f>(1/$S116-1/Parameters!$B$13) * LN(Parameters!$B$18) / A116</f>
        <v>8.4594225436371243E-3</v>
      </c>
    </row>
    <row r="117" spans="1:52" x14ac:dyDescent="0.25">
      <c r="A117">
        <f>A116+Parameters!$B$71</f>
        <v>113</v>
      </c>
      <c r="B117" s="9">
        <f t="shared" si="103"/>
        <v>-1.6173143772910863E-5</v>
      </c>
      <c r="C117" s="9">
        <f t="shared" si="104"/>
        <v>9.1135501727796719E-2</v>
      </c>
      <c r="D117" s="9">
        <f t="shared" si="105"/>
        <v>0.22568006388968859</v>
      </c>
      <c r="E117" s="7">
        <f>MAX((1-Parameters!$B$4)^Parameters!B$71*E116 + B116*Parameters!B$71 - IF(B116&gt;0,Parameters!$B$5,0)*B116^2/E116*Parameters!B$71, 0.0001)</f>
        <v>5.632856586428208E-4</v>
      </c>
      <c r="F117" s="7">
        <f>(1-Parameters!$B$4)^Parameters!B$71*F116+C116*Parameters!B$71-Parameters!$B$5*C116^2/F116*Parameters!B$71</f>
        <v>1.3580601418097886</v>
      </c>
      <c r="G117" s="7">
        <f>(1-Parameters!$B$4)^Parameters!B$71*G116+D116*Parameters!B$71-Parameters!$B$5*D116^2/G116*Parameters!B$71</f>
        <v>3.317281285090059</v>
      </c>
      <c r="H117" s="9">
        <f>MAX(H116 * (1-Parameters!$B$4) ^ Parameters!B$71 + (LN(1+EXP(Parameters!$B$21*(-B116+0.004)))/Parameters!$B$21 -0.004) * Parameters!B$71,0)</f>
        <v>1.3990481255344401E-2</v>
      </c>
      <c r="I117" s="23">
        <f>I116*(1+Parameters!$B$52)^Parameters!B$71</f>
        <v>11.318855015683344</v>
      </c>
      <c r="J117" s="23">
        <f>J116*(1+Parameters!$B$54)^Parameters!B$71</f>
        <v>84.565978774656159</v>
      </c>
      <c r="K117" s="23">
        <f>I117*J117*EXP(-Parameters!$B$43*'6states'!A117)*(Parameters!$B$38/Parameters!$B$39*('6states'!E117+'6states'!H117)/Parameters!$E$25*(EXP(-Parameters!$B$39*Parameters!$E$25*'6states'!H117/('6states'!E117+'6states'!H117))-EXP(-Parameters!$B$39*Parameters!$E$25))  +  Parameters!$B$40*'6states'!E117)</f>
        <v>0.13841445113854758</v>
      </c>
      <c r="L117" s="8">
        <f>L116+K117*Parameters!B$71</f>
        <v>3311.3408028883296</v>
      </c>
      <c r="M117" s="7">
        <f>L117*Parameters!$B$46</f>
        <v>1.9868044817329975</v>
      </c>
      <c r="N117" s="9">
        <f>EXP(-Parameters!$B$47/2*M117^2)</f>
        <v>0.96110531207600913</v>
      </c>
      <c r="O117" s="8">
        <f>MAX((Parameters!$B$63 + Parameters!$B$31*'6states'!A117 - '6states'!L117 + Parameters!$B$48/Parameters!$B$46)/Parameters!B$63,1)</f>
        <v>101.00518394223342</v>
      </c>
      <c r="P117" s="59">
        <f>Parameters!B$62*EXP(-Parameters!B$61*A117)</f>
        <v>2.3655794569160393E-2</v>
      </c>
      <c r="Q117" s="59">
        <f>(1-Parameters!B$62)*O117^-Parameters!B$64</f>
        <v>0.31516329907313662</v>
      </c>
      <c r="R117" s="7">
        <f>Parameters!B$62*EXP(-Parameters!B$61*A117)+(1-Parameters!B$62)*O117^-Parameters!B$64</f>
        <v>0.33881909364229701</v>
      </c>
      <c r="S117" s="7">
        <f>1-R117/Parameters!$B$12</f>
        <v>0.8305904531788515</v>
      </c>
      <c r="T117" s="7">
        <f t="shared" si="76"/>
        <v>5.9028550560715116</v>
      </c>
      <c r="U117" s="7">
        <f>(Parameters!$B$19*(E117+Parameters!$B$20)^S117+Parameters!$B$18*F117^S117)^(1/S117)</f>
        <v>0.33948966546931864</v>
      </c>
      <c r="V117" s="7">
        <f>(Parameters!$B$10*G117^Parameters!$B$9+Parameters!$B$11*U117^Parameters!$B$9)^(Parameters!$B$7/Parameters!$B$9)*N117</f>
        <v>1.3409182071520844</v>
      </c>
      <c r="W117" s="7">
        <f>V117 - C117 - D117 - LN(1+EXP(Parameters!$B$21*B117))/Parameters!$B$21 - IF(B117&gt;0, 0,Parameters!$B$6*B117^2/E117)</f>
        <v>1.021797905866874</v>
      </c>
      <c r="X117" s="7">
        <f>EXP(-Parameters!$B$56*A117)</f>
        <v>0.18153623560446847</v>
      </c>
      <c r="Y117" s="7">
        <f>IF(W117&gt;0,W117^(1-Parameters!$B$53)/(1-Parameters!$B$53)*X117*Parameters!$B$71,-10+W117*1000)</f>
        <v>-0.51477509601918559</v>
      </c>
      <c r="AA117" s="22">
        <f t="shared" si="80"/>
        <v>7.7142964939708111E-3</v>
      </c>
      <c r="AB117" s="22">
        <f t="shared" si="81"/>
        <v>-5.1386763653793466E-5</v>
      </c>
      <c r="AC117" s="22">
        <f t="shared" si="82"/>
        <v>1.0963617507131485E-5</v>
      </c>
      <c r="AD117" s="22">
        <f t="shared" si="107"/>
        <v>1.0803789806588701E-5</v>
      </c>
      <c r="AE117" s="22">
        <f t="shared" si="109"/>
        <v>2.0804818100319256E-3</v>
      </c>
      <c r="AF117" s="22">
        <f t="shared" si="110"/>
        <v>3.1431546455157333E-6</v>
      </c>
      <c r="AG117" s="22">
        <f t="shared" si="111"/>
        <v>-7.131929639359047E-7</v>
      </c>
      <c r="AH117" s="22">
        <f t="shared" si="108"/>
        <v>7.8576415614603828E-7</v>
      </c>
      <c r="AI117" s="22"/>
      <c r="AM117" s="23">
        <f t="shared" si="72"/>
        <v>13.391549494434154</v>
      </c>
      <c r="AN117" s="23">
        <f t="shared" si="73"/>
        <v>0.53917142945591867</v>
      </c>
      <c r="AO117" s="23">
        <f t="shared" si="106"/>
        <v>324.95613088681836</v>
      </c>
      <c r="AP117" s="25">
        <f t="shared" si="75"/>
        <v>1283.5135697855596</v>
      </c>
      <c r="AQ117" s="22">
        <f>-X117*V117*W117^(-Parameters!B$53)*Parameters!B$47*Parameters!B$46*M117</f>
        <v>-5.6653310265146448E-6</v>
      </c>
      <c r="AR117" s="7">
        <f>1000*EXP(-(Parameters!$B$55)*'6states'!A117)*AP117*Parameters!B$47*Parameters!B$46*M117</f>
        <v>0.58258687971482626</v>
      </c>
      <c r="AS117" s="59">
        <f>SUM(AR117:AR$204)*EXP(Parameters!$B$55*A117)</f>
        <v>1951.2339847675387</v>
      </c>
      <c r="AT117" s="39">
        <f t="shared" si="86"/>
        <v>0.23625556785193358</v>
      </c>
      <c r="AU117">
        <f>(1/$S117-1/Parameters!$B$13) * LN(Parameters!$B$18) / LN(O117)</f>
        <v>0.2054749830168722</v>
      </c>
      <c r="AV117">
        <f>(Parameters!$B$18*'6states'!S117^+Parameters!$B$19*Parameters!$B$25^'6states'!S117)^((1-'6states'!S117)/'6states'!S117)*Parameters!$B$18*Parameters!$B$26^('6states'!S117-1)</f>
        <v>0.3067022429469306</v>
      </c>
      <c r="AW117">
        <f t="shared" si="87"/>
        <v>0.18646399072545627</v>
      </c>
      <c r="AX117">
        <f t="shared" si="88"/>
        <v>0.13274688832003712</v>
      </c>
      <c r="AY117">
        <f t="shared" si="89"/>
        <v>0.19151228506828788</v>
      </c>
      <c r="AZ117">
        <f>(1/$S117-1/Parameters!$B$13) * LN(Parameters!$B$18) / A117</f>
        <v>8.3920562459304428E-3</v>
      </c>
    </row>
    <row r="118" spans="1:52" x14ac:dyDescent="0.25">
      <c r="A118">
        <f>A117+Parameters!$B$71</f>
        <v>114</v>
      </c>
      <c r="B118" s="9">
        <f t="shared" si="103"/>
        <v>-9.5650075435184162E-6</v>
      </c>
      <c r="C118" s="9">
        <f t="shared" si="104"/>
        <v>9.104274776001621E-2</v>
      </c>
      <c r="D118" s="9">
        <f t="shared" si="105"/>
        <v>0.2258278142674249</v>
      </c>
      <c r="E118" s="7">
        <f>MAX((1-Parameters!$B$4)^Parameters!B$71*E117 + B117*Parameters!B$71 - IF(B117&gt;0,Parameters!$B$5,0)*B117^2/E117*Parameters!B$71, 0.0001)</f>
        <v>5.1168184694127649E-4</v>
      </c>
      <c r="F118" s="7">
        <f>(1-Parameters!$B$4)^Parameters!B$71*F117+C117*Parameters!B$71-Parameters!$B$5*C117^2/F117*Parameters!B$71</f>
        <v>1.3576578197801641</v>
      </c>
      <c r="G118" s="7">
        <f>(1-Parameters!$B$4)^Parameters!B$71*G117+D117*Parameters!B$71-Parameters!$B$5*D117^2/G117*Parameters!B$71</f>
        <v>3.318950972801356</v>
      </c>
      <c r="H118" s="9">
        <f>MAX(H117 * (1-Parameters!$B$4) ^ Parameters!B$71 + (LN(1+EXP(Parameters!$B$21*(-B117+0.004)))/Parameters!$B$21 -0.004) * Parameters!B$71,0)</f>
        <v>1.4000524644389299E-2</v>
      </c>
      <c r="I118" s="23">
        <f>I117*(1+Parameters!$B$52)^Parameters!B$71</f>
        <v>11.351679695228825</v>
      </c>
      <c r="J118" s="23">
        <f>J117*(1+Parameters!$B$54)^Parameters!B$71</f>
        <v>86.257298350149284</v>
      </c>
      <c r="K118" s="23">
        <f>I118*J118*EXP(-Parameters!$B$43*'6states'!A118)*(Parameters!$B$38/Parameters!$B$39*('6states'!E118+'6states'!H118)/Parameters!$E$25*(EXP(-Parameters!$B$39*Parameters!$E$25*'6states'!H118/('6states'!E118+'6states'!H118))-EXP(-Parameters!$B$39*Parameters!$E$25))  +  Parameters!$B$40*'6states'!E118)</f>
        <v>0.12734081019766622</v>
      </c>
      <c r="L118" s="8">
        <f>L117+K118*Parameters!B$71</f>
        <v>3311.4681436985275</v>
      </c>
      <c r="M118" s="7">
        <f>L118*Parameters!$B$46</f>
        <v>1.9868808862191163</v>
      </c>
      <c r="N118" s="9">
        <f>EXP(-Parameters!$B$47/2*M118^2)</f>
        <v>0.96110237950381039</v>
      </c>
      <c r="O118" s="8">
        <f>MAX((Parameters!$B$63 + Parameters!$B$31*'6states'!A118 - '6states'!L118 + Parameters!$B$48/Parameters!$B$46)/Parameters!B$63,1)</f>
        <v>102.06663712602945</v>
      </c>
      <c r="P118" s="59">
        <f>Parameters!B$62*EXP(-Parameters!B$61*A118)</f>
        <v>2.3025633571082633E-2</v>
      </c>
      <c r="Q118" s="59">
        <f>(1-Parameters!B$62)*O118^-Parameters!B$64</f>
        <v>0.31483399751766916</v>
      </c>
      <c r="R118" s="7">
        <f>Parameters!B$62*EXP(-Parameters!B$61*A118)+(1-Parameters!B$62)*O118^-Parameters!B$64</f>
        <v>0.33785963108875178</v>
      </c>
      <c r="S118" s="7">
        <f>1-R118/Parameters!$B$12</f>
        <v>0.83107018445562408</v>
      </c>
      <c r="T118" s="7">
        <f t="shared" si="76"/>
        <v>5.9196181371388024</v>
      </c>
      <c r="U118" s="7">
        <f>(Parameters!$B$19*(E118+Parameters!$B$20)^S118+Parameters!$B$18*F118^S118)^(1/S118)</f>
        <v>0.33956304363394524</v>
      </c>
      <c r="V118" s="7">
        <f>(Parameters!$B$10*G118^Parameters!$B$9+Parameters!$B$11*U118^Parameters!$B$9)^(Parameters!$B$7/Parameters!$B$9)*N118</f>
        <v>1.3410819237030958</v>
      </c>
      <c r="W118" s="7">
        <f>V118 - C118 - D118 - LN(1+EXP(Parameters!$B$21*B118))/Parameters!$B$21 - IF(B118&gt;0, 0,Parameters!$B$6*B118^2/E118)</f>
        <v>1.0219047561403087</v>
      </c>
      <c r="X118" s="7">
        <f>EXP(-Parameters!$B$56*A118)</f>
        <v>0.17881563070737777</v>
      </c>
      <c r="Y118" s="7">
        <f>IF(W118&gt;0,W118^(1-Parameters!$B$53)/(1-Parameters!$B$53)*X118*Parameters!$B$71,-10+W118*1000)</f>
        <v>-0.50704182772775575</v>
      </c>
      <c r="AA118" s="22">
        <f t="shared" si="80"/>
        <v>1.0018881352025499E-2</v>
      </c>
      <c r="AB118" s="22">
        <f t="shared" si="81"/>
        <v>-4.8432893062361204E-5</v>
      </c>
      <c r="AC118" s="22">
        <f t="shared" si="82"/>
        <v>1.0292045872689615E-5</v>
      </c>
      <c r="AD118" s="22">
        <f t="shared" si="107"/>
        <v>1.7949590834063099E-5</v>
      </c>
      <c r="AE118" s="22">
        <f t="shared" si="109"/>
        <v>2.3045848580546882E-3</v>
      </c>
      <c r="AF118" s="22">
        <f t="shared" si="110"/>
        <v>2.9538705914322616E-6</v>
      </c>
      <c r="AG118" s="22">
        <f t="shared" si="111"/>
        <v>-6.7157163444186985E-7</v>
      </c>
      <c r="AH118" s="22">
        <f t="shared" si="108"/>
        <v>9.497113698981528E-7</v>
      </c>
      <c r="AI118" s="22"/>
      <c r="AM118" s="23">
        <f t="shared" si="72"/>
        <v>13.708826824993631</v>
      </c>
      <c r="AN118" s="23">
        <f t="shared" si="73"/>
        <v>0.50102106937984892</v>
      </c>
      <c r="AO118" s="23">
        <f t="shared" si="106"/>
        <v>332.48832308659257</v>
      </c>
      <c r="AP118" s="25">
        <f t="shared" si="75"/>
        <v>1313.1407798737528</v>
      </c>
      <c r="AQ118" s="22">
        <f>-X118*V118*W118^(-Parameters!B$53)*Parameters!B$47*Parameters!B$46*M118</f>
        <v>-5.5805353005038693E-6</v>
      </c>
      <c r="AR118" s="7">
        <f>1000*EXP(-(Parameters!$B$55)*'6states'!A118)*AP118*Parameters!B$47*Parameters!B$46*M118</f>
        <v>0.57549888752076395</v>
      </c>
      <c r="AS118" s="59">
        <f>SUM(AR118:AR$204)*EXP(Parameters!$B$55*A118)</f>
        <v>1989.0857263612363</v>
      </c>
      <c r="AT118" s="39">
        <f t="shared" si="86"/>
        <v>0.23627266270576316</v>
      </c>
      <c r="AU118">
        <f>(1/$S118-1/Parameters!$B$13) * LN(Parameters!$B$18) / LN(O118)</f>
        <v>0.20518958782367078</v>
      </c>
      <c r="AV118">
        <f>(Parameters!$B$18*'6states'!S118^+Parameters!$B$19*Parameters!$B$25^'6states'!S118)^((1-'6states'!S118)/'6states'!S118)*Parameters!$B$18*Parameters!$B$26^('6states'!S118-1)</f>
        <v>0.30676669333512235</v>
      </c>
      <c r="AW118">
        <f t="shared" si="87"/>
        <v>0.18608800084424262</v>
      </c>
      <c r="AX118">
        <f t="shared" si="88"/>
        <v>0.1325753105816585</v>
      </c>
      <c r="AY118">
        <f t="shared" si="89"/>
        <v>0.1915484023222499</v>
      </c>
      <c r="AZ118">
        <f>(1/$S118-1/Parameters!$B$13) * LN(Parameters!$B$18) / A118</f>
        <v>8.3257041482475685E-3</v>
      </c>
    </row>
    <row r="119" spans="1:52" x14ac:dyDescent="0.25">
      <c r="A119">
        <f>A118+Parameters!$B$71</f>
        <v>115</v>
      </c>
      <c r="B119" s="41">
        <v>-2.9568713141259393E-6</v>
      </c>
      <c r="C119" s="41">
        <v>9.0949993792235756E-2</v>
      </c>
      <c r="D119" s="41">
        <v>0.22597556464516125</v>
      </c>
      <c r="E119" s="7">
        <f>MAX((1-Parameters!$B$4)^Parameters!B$71*E118 + B118*Parameters!B$71 - IF(B118&gt;0,Parameters!$B$5,0)*B118^2/E118*Parameters!B$71, 0.0001)</f>
        <v>4.6993205122515178E-4</v>
      </c>
      <c r="F119" s="7">
        <f>(1-Parameters!$B$4)^Parameters!B$71*F118+C118*Parameters!B$71-Parameters!$B$5*C118^2/F118*Parameters!B$71</f>
        <v>1.3571986837535184</v>
      </c>
      <c r="G119" s="7">
        <f>(1-Parameters!$B$4)^Parameters!B$71*G118+D118*Parameters!B$71-Parameters!$B$5*D118^2/G118*Parameters!B$71</f>
        <v>3.3206510116036085</v>
      </c>
      <c r="H119" s="9">
        <f>MAX(H118 * (1-Parameters!$B$4) ^ Parameters!B$71 + (LN(1+EXP(Parameters!$B$21*(-B118+0.004)))/Parameters!$B$21 -0.004) * Parameters!B$71,0)</f>
        <v>1.4004853254132204E-2</v>
      </c>
      <c r="I119" s="23">
        <f>I118*(1+Parameters!$B$52)^Parameters!B$71</f>
        <v>11.384599566344987</v>
      </c>
      <c r="J119" s="23">
        <f>J118*(1+Parameters!$B$54)^Parameters!B$71</f>
        <v>87.982444317152272</v>
      </c>
      <c r="K119" s="23">
        <f>I119*J119*EXP(-Parameters!$B$43*'6states'!A119)*(Parameters!$B$38/Parameters!$B$39*('6states'!E119+'6states'!H119)/Parameters!$E$25*(EXP(-Parameters!$B$39*Parameters!$E$25*'6states'!H119/('6states'!E119+'6states'!H119))-EXP(-Parameters!$B$39*Parameters!$E$25))  +  Parameters!$B$40*'6states'!E119)</f>
        <v>0.11844521590547506</v>
      </c>
      <c r="L119" s="8">
        <f>L118+K119*Parameters!B$71</f>
        <v>3311.5865889144329</v>
      </c>
      <c r="M119" s="7">
        <f>L119*Parameters!$B$46</f>
        <v>1.9869519533486595</v>
      </c>
      <c r="N119" s="9">
        <f>EXP(-Parameters!$B$47/2*M119^2)</f>
        <v>0.96109965169789602</v>
      </c>
      <c r="O119" s="8">
        <f>MAX((Parameters!$B$63 + Parameters!$B$31*'6states'!A119 - '6states'!L119 + Parameters!$B$48/Parameters!$B$46)/Parameters!B$63,1)</f>
        <v>103.12826822171134</v>
      </c>
      <c r="P119" s="59">
        <f>Parameters!B$62*EXP(-Parameters!B$61*A119)</f>
        <v>2.2412259279633435E-2</v>
      </c>
      <c r="Q119" s="59">
        <f>(1-Parameters!B$62)*O119^-Parameters!B$64</f>
        <v>0.31450838741224729</v>
      </c>
      <c r="R119" s="7">
        <f>Parameters!B$62*EXP(-Parameters!B$61*A119)+(1-Parameters!B$62)*O119^-Parameters!B$64</f>
        <v>0.33692064669188071</v>
      </c>
      <c r="S119" s="7">
        <f>1-R119/Parameters!$B$12</f>
        <v>0.8315396766540597</v>
      </c>
      <c r="T119" s="7">
        <f t="shared" si="76"/>
        <v>5.9361158766533899</v>
      </c>
      <c r="U119" s="7">
        <f>(Parameters!$B$19*(E119+Parameters!$B$20)^S119+Parameters!$B$18*F119^S119)^(1/S119)</f>
        <v>0.33963004976194267</v>
      </c>
      <c r="V119" s="7">
        <f>(Parameters!$B$10*G119^Parameters!$B$9+Parameters!$B$11*U119^Parameters!$B$9)^(Parameters!$B$7/Parameters!$B$9)*N119</f>
        <v>1.3412461484436891</v>
      </c>
      <c r="W119" s="7">
        <f>V119 - C119 - D119 - LN(1+EXP(Parameters!$B$21*B119))/Parameters!$B$21 - IF(B119&gt;0, 0,Parameters!$B$6*B119^2/E119)</f>
        <v>1.0220114844871937</v>
      </c>
      <c r="X119" s="7">
        <f>EXP(-Parameters!$B$56*A119)</f>
        <v>0.17613579833694784</v>
      </c>
      <c r="Y119" s="7">
        <f>IF(W119&gt;0,W119^(1-Parameters!$B$53)/(1-Parameters!$B$53)*X119*Parameters!$B$71,-10+W119*1000)</f>
        <v>-0.4994247561163625</v>
      </c>
      <c r="AA119" s="22">
        <f t="shared" si="80"/>
        <v>1.2401145994349693E-2</v>
      </c>
      <c r="AB119" s="22">
        <f t="shared" si="81"/>
        <v>-4.5656476421282455E-5</v>
      </c>
      <c r="AC119" s="22">
        <f t="shared" si="82"/>
        <v>9.6596915430680053E-6</v>
      </c>
      <c r="AD119" s="22">
        <f t="shared" si="107"/>
        <v>2.7088030071901938E-5</v>
      </c>
      <c r="AE119" s="22">
        <f t="shared" si="109"/>
        <v>2.3822646423241958E-3</v>
      </c>
      <c r="AF119" s="22">
        <f t="shared" si="110"/>
        <v>2.7764166410787494E-6</v>
      </c>
      <c r="AG119" s="22">
        <f t="shared" si="111"/>
        <v>-6.3235432962160942E-7</v>
      </c>
      <c r="AH119" s="22">
        <f t="shared" si="108"/>
        <v>9.9960463822192668E-7</v>
      </c>
      <c r="AI119" s="22"/>
      <c r="AM119" s="23">
        <f t="shared" si="72"/>
        <v>14.027889801103733</v>
      </c>
      <c r="AN119" s="23">
        <f t="shared" si="73"/>
        <v>0.47070504124332851</v>
      </c>
      <c r="AO119" s="23">
        <f t="shared" si="106"/>
        <v>340.18870635421899</v>
      </c>
      <c r="AP119" s="25">
        <f t="shared" si="75"/>
        <v>1343.4523607715396</v>
      </c>
      <c r="AQ119" s="22">
        <f>-X119*V119*W119^(-Parameters!B$53)*Parameters!B$47*Parameters!B$46*M119</f>
        <v>-5.4969969459220219E-6</v>
      </c>
      <c r="AR119" s="7">
        <f>1000*EXP(-(Parameters!$B$55)*'6states'!A119)*AP119*Parameters!B$47*Parameters!B$46*M119</f>
        <v>0.5684958097540741</v>
      </c>
      <c r="AS119" s="59">
        <f>SUM(AR119:AR$204)*EXP(Parameters!$B$55*A119)</f>
        <v>2027.5531497476904</v>
      </c>
      <c r="AT119" s="39">
        <f t="shared" si="86"/>
        <v>0.23628966385761707</v>
      </c>
      <c r="AU119">
        <f>(1/$S119-1/Parameters!$B$13) * LN(Parameters!$B$18) / LN(O119)</f>
        <v>0.20490617282050097</v>
      </c>
      <c r="AV119">
        <f>(Parameters!$B$18*'6states'!S119^+Parameters!$B$19*Parameters!$B$25^'6states'!S119)^((1-'6states'!S119)/'6states'!S119)*Parameters!$B$18*Parameters!$B$26^('6states'!S119-1)</f>
        <v>0.30682928691544642</v>
      </c>
      <c r="AW119">
        <f t="shared" si="87"/>
        <v>0.18571665536634219</v>
      </c>
      <c r="AX119">
        <f t="shared" si="88"/>
        <v>0.13240488972814779</v>
      </c>
      <c r="AY119">
        <f t="shared" si="89"/>
        <v>0.19158347749810811</v>
      </c>
      <c r="AZ119">
        <f>(1/$S119-1/Parameters!$B$13) * LN(Parameters!$B$18) / A119</f>
        <v>8.2603443005112714E-3</v>
      </c>
    </row>
    <row r="120" spans="1:52" x14ac:dyDescent="0.25">
      <c r="A120">
        <f>A119+Parameters!$B$71</f>
        <v>116</v>
      </c>
      <c r="B120" s="9">
        <f>B119</f>
        <v>-2.9568713141259393E-6</v>
      </c>
      <c r="C120" s="9">
        <f t="shared" ref="C120:C136" si="112">C119</f>
        <v>9.0949993792235756E-2</v>
      </c>
      <c r="D120" s="9">
        <f t="shared" ref="D120:D136" si="113">D119</f>
        <v>0.22597556464516125</v>
      </c>
      <c r="E120" s="7">
        <f>MAX((1-Parameters!$B$4)^Parameters!B$71*E119 + B119*Parameters!B$71 - IF(B119&gt;0,Parameters!$B$5,0)*B119^2/E119*Parameters!B$71, 0.0001)</f>
        <v>4.3741645388896384E-4</v>
      </c>
      <c r="F120" s="7">
        <f>(1-Parameters!$B$4)^Parameters!B$71*F119+C119*Parameters!B$71-Parameters!$B$5*C119^2/F119*Parameters!B$71</f>
        <v>1.3566860458305019</v>
      </c>
      <c r="G120" s="7">
        <f>(1-Parameters!$B$4)^Parameters!B$71*G119+D119*Parameters!B$71-Parameters!$B$5*D119^2/G119*Parameters!B$71</f>
        <v>3.3223796322685155</v>
      </c>
      <c r="H120" s="9">
        <f>MAX(H119 * (1-Parameters!$B$4) ^ Parameters!B$71 + (LN(1+EXP(Parameters!$B$21*(-B119+0.004)))/Parameters!$B$21 -0.004) * Parameters!B$71,0)</f>
        <v>1.4003828871058879E-2</v>
      </c>
      <c r="I120" s="23">
        <f>I119*(1+Parameters!$B$52)^Parameters!B$71</f>
        <v>11.417614905087387</v>
      </c>
      <c r="J120" s="23">
        <f>J119*(1+Parameters!$B$54)^Parameters!B$71</f>
        <v>89.742093203495315</v>
      </c>
      <c r="K120" s="23">
        <f>I120*J120*EXP(-Parameters!$B$43*'6states'!A120)*(Parameters!$B$38/Parameters!$B$39*('6states'!E120+'6states'!H120)/Parameters!$E$25*(EXP(-Parameters!$B$39*Parameters!$E$25*'6states'!H120/('6states'!E120+'6states'!H120))-EXP(-Parameters!$B$39*Parameters!$E$25))  +  Parameters!$B$40*'6states'!E120)</f>
        <v>0.11165866497856342</v>
      </c>
      <c r="L120" s="8">
        <f>L119+K120*Parameters!B$71</f>
        <v>3311.6982475794116</v>
      </c>
      <c r="M120" s="7">
        <f>L120*Parameters!$B$46</f>
        <v>1.9870189485476468</v>
      </c>
      <c r="N120" s="9">
        <f>EXP(-Parameters!$B$47/2*M120^2)</f>
        <v>0.96109708010471906</v>
      </c>
      <c r="O120" s="8">
        <f>MAX((Parameters!$B$63 + Parameters!$B$31*'6states'!A120 - '6states'!L120 + Parameters!$B$48/Parameters!$B$46)/Parameters!B$63,1)</f>
        <v>104.19003504841177</v>
      </c>
      <c r="P120" s="59">
        <f>Parameters!B$62*EXP(-Parameters!B$61*A120)</f>
        <v>2.1815224517789337E-2</v>
      </c>
      <c r="Q120" s="59">
        <f>(1-Parameters!B$62)*O120^-Parameters!B$64</f>
        <v>0.31418640279257504</v>
      </c>
      <c r="R120" s="7">
        <f>Parameters!B$62*EXP(-Parameters!B$61*A120)+(1-Parameters!B$62)*O120^-Parameters!B$64</f>
        <v>0.33600162731036437</v>
      </c>
      <c r="S120" s="7">
        <f>1-R120/Parameters!$B$12</f>
        <v>0.83199918634481784</v>
      </c>
      <c r="T120" s="7">
        <f t="shared" si="76"/>
        <v>5.9523521240348112</v>
      </c>
      <c r="U120" s="7">
        <f>(Parameters!$B$19*(E120+Parameters!$B$20)^S120+Parameters!$B$18*F120^S120)^(1/S120)</f>
        <v>0.3396907693293123</v>
      </c>
      <c r="V120" s="7">
        <f>(Parameters!$B$10*G120^Parameters!$B$9+Parameters!$B$11*U120^Parameters!$B$9)^(Parameters!$B$7/Parameters!$B$9)*N120</f>
        <v>1.3414106829329091</v>
      </c>
      <c r="W120" s="7">
        <f>V120 - C120 - D120 - LN(1+EXP(Parameters!$B$21*B120))/Parameters!$B$21 - IF(B120&gt;0, 0,Parameters!$B$6*B120^2/E120)</f>
        <v>1.0221760120613466</v>
      </c>
      <c r="X120" s="7">
        <f>EXP(-Parameters!$B$56*A120)</f>
        <v>0.17349612745298973</v>
      </c>
      <c r="Y120" s="7">
        <f>IF(W120&gt;0,W120^(1-Parameters!$B$53)/(1-Parameters!$B$53)*X120*Parameters!$B$71,-10+W120*1000)</f>
        <v>-0.49191237864356258</v>
      </c>
      <c r="AA120" s="22">
        <f t="shared" si="80"/>
        <v>-4.6772865635450519E-4</v>
      </c>
      <c r="AB120" s="22">
        <f t="shared" si="81"/>
        <v>2.5321569234251773E-5</v>
      </c>
      <c r="AC120" s="22">
        <f t="shared" si="82"/>
        <v>-3.5406964034603861E-5</v>
      </c>
      <c r="AD120" s="22">
        <f t="shared" si="107"/>
        <v>3.8284510983781782E-8</v>
      </c>
      <c r="AE120" s="22">
        <f t="shared" si="109"/>
        <v>-1.2868874650704198E-2</v>
      </c>
      <c r="AF120" s="22">
        <f t="shared" si="110"/>
        <v>7.0978045655534228E-5</v>
      </c>
      <c r="AG120" s="22">
        <f t="shared" si="111"/>
        <v>-4.5066655577671866E-5</v>
      </c>
      <c r="AH120" s="22">
        <f t="shared" si="108"/>
        <v>2.8733561783460535E-5</v>
      </c>
      <c r="AI120" s="22"/>
      <c r="AM120" s="23">
        <f t="shared" si="72"/>
        <v>14.348892470608128</v>
      </c>
      <c r="AN120" s="23">
        <f t="shared" si="73"/>
        <v>0.44819468443367783</v>
      </c>
      <c r="AO120" s="23">
        <f t="shared" si="106"/>
        <v>348.06097441234277</v>
      </c>
      <c r="AP120" s="25">
        <f t="shared" si="75"/>
        <v>1374.4639287979198</v>
      </c>
      <c r="AQ120" s="22">
        <f>-X120*V120*W120^(-Parameters!B$53)*Parameters!B$47*Parameters!B$46*M120</f>
        <v>-5.414285939397432E-6</v>
      </c>
      <c r="AR120" s="7">
        <f>1000*EXP(-(Parameters!$B$55)*'6states'!A120)*AP120*Parameters!B$47*Parameters!B$46*M120</f>
        <v>0.56157692011131699</v>
      </c>
      <c r="AS120" s="59">
        <f>SUM(AR120:AR$204)*EXP(Parameters!$B$55*A120)</f>
        <v>2066.6412968977806</v>
      </c>
      <c r="AT120" s="39">
        <f t="shared" si="86"/>
        <v>0.2362606810862366</v>
      </c>
      <c r="AU120">
        <f>(1/$S120-1/Parameters!$B$13) * LN(Parameters!$B$18) / LN(O120)</f>
        <v>0.20462473613654336</v>
      </c>
      <c r="AV120">
        <f>(Parameters!$B$18*'6states'!S120^+Parameters!$B$19*Parameters!$B$25^'6states'!S120)^((1-'6states'!S120)/'6states'!S120)*Parameters!$B$18*Parameters!$B$26^('6states'!S120-1)</f>
        <v>0.30689008929610245</v>
      </c>
      <c r="AW120">
        <f t="shared" si="87"/>
        <v>0.18534987444257472</v>
      </c>
      <c r="AX120">
        <f t="shared" si="88"/>
        <v>0.13223562532939215</v>
      </c>
      <c r="AY120">
        <f t="shared" si="89"/>
        <v>0.1916175474934716</v>
      </c>
      <c r="AZ120">
        <f>(1/$S120-1/Parameters!$B$13) * LN(Parameters!$B$18) / A120</f>
        <v>8.1959553764705245E-3</v>
      </c>
    </row>
    <row r="121" spans="1:52" x14ac:dyDescent="0.25">
      <c r="A121">
        <f>A120+Parameters!$B$71</f>
        <v>117</v>
      </c>
      <c r="B121" s="9">
        <f t="shared" ref="B121:B184" si="114">B120</f>
        <v>-2.9568713141259393E-6</v>
      </c>
      <c r="C121" s="9">
        <f t="shared" si="112"/>
        <v>9.0949993792235756E-2</v>
      </c>
      <c r="D121" s="9">
        <f t="shared" si="113"/>
        <v>0.22597556464516125</v>
      </c>
      <c r="E121" s="7">
        <f>MAX((1-Parameters!$B$4)^Parameters!B$71*E120 + B120*Parameters!B$71 - IF(B120&gt;0,Parameters!$B$5,0)*B120^2/E120*Parameters!B$71, 0.0001)</f>
        <v>4.0694608762522212E-4</v>
      </c>
      <c r="F121" s="7">
        <f>(1-Parameters!$B$4)^Parameters!B$71*F120+C120*Parameters!B$71-Parameters!$B$5*C120^2/F120*Parameters!B$71</f>
        <v>1.3562033498362784</v>
      </c>
      <c r="G121" s="7">
        <f>(1-Parameters!$B$4)^Parameters!B$71*G120+D120*Parameters!B$71-Parameters!$B$5*D120^2/G120*Parameters!B$71</f>
        <v>3.3240075238022904</v>
      </c>
      <c r="H121" s="9">
        <f>MAX(H120 * (1-Parameters!$B$4) ^ Parameters!B$71 + (LN(1+EXP(Parameters!$B$21*(-B120+0.004)))/Parameters!$B$21 -0.004) * Parameters!B$71,0)</f>
        <v>1.4002868921680865E-2</v>
      </c>
      <c r="I121" s="23">
        <f>I120*(1+Parameters!$B$52)^Parameters!B$71</f>
        <v>11.450725988312138</v>
      </c>
      <c r="J121" s="23">
        <f>J120*(1+Parameters!$B$54)^Parameters!B$71</f>
        <v>91.536935067565224</v>
      </c>
      <c r="K121" s="23">
        <f>I121*J121*EXP(-Parameters!$B$43*'6states'!A121)*(Parameters!$B$38/Parameters!$B$39*('6states'!E121+'6states'!H121)/Parameters!$E$25*(EXP(-Parameters!$B$39*Parameters!$E$25*'6states'!H121/('6states'!E121+'6states'!H121))-EXP(-Parameters!$B$39*Parameters!$E$25))  +  Parameters!$B$40*'6states'!E121)</f>
        <v>0.10520806942241258</v>
      </c>
      <c r="L121" s="8">
        <f>L120+K121*Parameters!B$71</f>
        <v>3311.8034556488342</v>
      </c>
      <c r="M121" s="7">
        <f>L121*Parameters!$B$46</f>
        <v>1.9870820733893004</v>
      </c>
      <c r="N121" s="9">
        <f>EXP(-Parameters!$B$47/2*M121^2)</f>
        <v>0.96109465700115415</v>
      </c>
      <c r="O121" s="8">
        <f>MAX((Parameters!$B$63 + Parameters!$B$31*'6states'!A121 - '6states'!L121 + Parameters!$B$48/Parameters!$B$46)/Parameters!B$63,1)</f>
        <v>105.25193088702333</v>
      </c>
      <c r="P121" s="59">
        <f>Parameters!B$62*EXP(-Parameters!B$61*A121)</f>
        <v>2.1234094020767588E-2</v>
      </c>
      <c r="Q121" s="59">
        <f>(1-Parameters!B$62)*O121^-Parameters!B$64</f>
        <v>0.31386796900662961</v>
      </c>
      <c r="R121" s="7">
        <f>Parameters!B$62*EXP(-Parameters!B$61*A121)+(1-Parameters!B$62)*O121^-Parameters!B$64</f>
        <v>0.3351020630273972</v>
      </c>
      <c r="S121" s="7">
        <f>1-R121/Parameters!$B$12</f>
        <v>0.83244896848630145</v>
      </c>
      <c r="T121" s="7">
        <f t="shared" si="76"/>
        <v>5.9683309076986646</v>
      </c>
      <c r="U121" s="7">
        <f>(Parameters!$B$19*(E121+Parameters!$B$20)^S121+Parameters!$B$18*F121^S121)^(1/S121)</f>
        <v>0.33975639680201575</v>
      </c>
      <c r="V121" s="7">
        <f>(Parameters!$B$10*G121^Parameters!$B$9+Parameters!$B$11*U121^Parameters!$B$9)^(Parameters!$B$7/Parameters!$B$9)*N121</f>
        <v>1.3415685463802107</v>
      </c>
      <c r="W121" s="7">
        <f>V121 - C121 - D121 - LN(1+EXP(Parameters!$B$21*B121))/Parameters!$B$21 - IF(B121&gt;0, 0,Parameters!$B$6*B121^2/E121)</f>
        <v>1.0223338680255658</v>
      </c>
      <c r="X121" s="7">
        <f>EXP(-Parameters!$B$56*A121)</f>
        <v>0.17089601617270908</v>
      </c>
      <c r="Y121" s="7">
        <f>IF(W121&gt;0,W121^(1-Parameters!$B$53)/(1-Parameters!$B$53)*X121*Parameters!$B$71,-10+W121*1000)</f>
        <v>-0.48451411385218235</v>
      </c>
      <c r="AA121" s="22">
        <f t="shared" si="80"/>
        <v>-5.0614867658170005E-4</v>
      </c>
      <c r="AB121" s="22">
        <f t="shared" si="81"/>
        <v>2.3860096600769598E-5</v>
      </c>
      <c r="AC121" s="22">
        <f t="shared" si="82"/>
        <v>-3.3310081167900463E-5</v>
      </c>
      <c r="AD121" s="22">
        <f t="shared" si="107"/>
        <v>4.4068160771502344E-8</v>
      </c>
      <c r="AE121" s="22">
        <f t="shared" si="109"/>
        <v>-3.8420020227194866E-5</v>
      </c>
      <c r="AF121" s="22">
        <f t="shared" si="110"/>
        <v>-1.4614726334821748E-6</v>
      </c>
      <c r="AG121" s="22">
        <f t="shared" si="111"/>
        <v>2.0968828667033979E-6</v>
      </c>
      <c r="AH121" s="22">
        <f t="shared" si="108"/>
        <v>2.5337569277834116E-10</v>
      </c>
      <c r="AI121" s="22"/>
      <c r="AM121" s="23">
        <f t="shared" si="72"/>
        <v>14.67730815922169</v>
      </c>
      <c r="AN121" s="23">
        <f t="shared" si="73"/>
        <v>0.42654638600645067</v>
      </c>
      <c r="AO121" s="23">
        <f t="shared" si="106"/>
        <v>356.1205466409092</v>
      </c>
      <c r="AP121" s="25">
        <f t="shared" si="75"/>
        <v>1406.184338514671</v>
      </c>
      <c r="AQ121" s="22">
        <f>-X121*V121*W121^(-Parameters!B$53)*Parameters!B$47*Parameters!B$46*M121</f>
        <v>-5.332829627658004E-6</v>
      </c>
      <c r="AR121" s="7">
        <f>1000*EXP(-(Parameters!$B$55)*'6states'!A121)*AP121*Parameters!B$47*Parameters!B$46*M121</f>
        <v>0.55473838899991668</v>
      </c>
      <c r="AS121" s="59">
        <f>SUM(AR121:AR$204)*EXP(Parameters!$B$55*A121)</f>
        <v>2106.3549848239531</v>
      </c>
      <c r="AT121" s="39">
        <f t="shared" si="86"/>
        <v>0.2362328801023221</v>
      </c>
      <c r="AU121">
        <f>(1/$S121-1/Parameters!$B$13) * LN(Parameters!$B$18) / LN(O121)</f>
        <v>0.20434526264309949</v>
      </c>
      <c r="AV121">
        <f>(Parameters!$B$18*'6states'!S121^+Parameters!$B$19*Parameters!$B$25^'6states'!S121)^((1-'6states'!S121)/'6states'!S121)*Parameters!$B$18*Parameters!$B$26^('6states'!S121-1)</f>
        <v>0.30694916411917378</v>
      </c>
      <c r="AW121">
        <f t="shared" si="87"/>
        <v>0.18498756722528525</v>
      </c>
      <c r="AX121">
        <f t="shared" si="88"/>
        <v>0.13206750897376929</v>
      </c>
      <c r="AY121">
        <f t="shared" si="89"/>
        <v>0.19165064809428445</v>
      </c>
      <c r="AZ121">
        <f>(1/$S121-1/Parameters!$B$13) * LN(Parameters!$B$18) / A121</f>
        <v>8.1325167261326707E-3</v>
      </c>
    </row>
    <row r="122" spans="1:52" x14ac:dyDescent="0.25">
      <c r="A122">
        <f>A121+Parameters!$B$71</f>
        <v>118</v>
      </c>
      <c r="B122" s="9">
        <f t="shared" si="114"/>
        <v>-2.9568713141259393E-6</v>
      </c>
      <c r="C122" s="9">
        <f t="shared" si="112"/>
        <v>9.0949993792235756E-2</v>
      </c>
      <c r="D122" s="9">
        <f t="shared" si="113"/>
        <v>0.22597556464516125</v>
      </c>
      <c r="E122" s="7">
        <f>MAX((1-Parameters!$B$4)^Parameters!B$71*E121 + B121*Parameters!B$71 - IF(B121&gt;0,Parameters!$B$5,0)*B121^2/E121*Parameters!B$71, 0.0001)</f>
        <v>3.7839230739946978E-4</v>
      </c>
      <c r="F122" s="7">
        <f>(1-Parameters!$B$4)^Parameters!B$71*F121+C121*Parameters!B$71-Parameters!$B$5*C121^2/F121*Parameters!B$71</f>
        <v>1.3557488453444539</v>
      </c>
      <c r="G122" s="7">
        <f>(1-Parameters!$B$4)^Parameters!B$71*G121+D121*Parameters!B$71-Parameters!$B$5*D121^2/G121*Parameters!B$71</f>
        <v>3.3255405482229907</v>
      </c>
      <c r="H122" s="9">
        <f>MAX(H121 * (1-Parameters!$B$4) ^ Parameters!B$71 + (LN(1+EXP(Parameters!$B$21*(-B121+0.004)))/Parameters!$B$21 -0.004) * Parameters!B$71,0)</f>
        <v>1.4001969353118728E-2</v>
      </c>
      <c r="I122" s="23">
        <f>I121*(1+Parameters!$B$52)^Parameters!B$71</f>
        <v>11.483933093678242</v>
      </c>
      <c r="J122" s="23">
        <f>J121*(1+Parameters!$B$54)^Parameters!B$71</f>
        <v>93.367673768916532</v>
      </c>
      <c r="K122" s="23">
        <f>I122*J122*EXP(-Parameters!$B$43*'6states'!A122)*(Parameters!$B$38/Parameters!$B$39*('6states'!E122+'6states'!H122)/Parameters!$E$25*(EXP(-Parameters!$B$39*Parameters!$E$25*'6states'!H122/('6states'!E122+'6states'!H122))-EXP(-Parameters!$B$39*Parameters!$E$25))  +  Parameters!$B$40*'6states'!E122)</f>
        <v>9.9076197634458754E-2</v>
      </c>
      <c r="L122" s="8">
        <f>L121+K122*Parameters!B$71</f>
        <v>3311.9025318464687</v>
      </c>
      <c r="M122" s="7">
        <f>L122*Parameters!$B$46</f>
        <v>1.9871415191078809</v>
      </c>
      <c r="N122" s="9">
        <f>EXP(-Parameters!$B$47/2*M122^2)</f>
        <v>0.96109237505922973</v>
      </c>
      <c r="O122" s="8">
        <f>MAX((Parameters!$B$63 + Parameters!$B$31*'6states'!A122 - '6states'!L122 + Parameters!$B$48/Parameters!$B$46)/Parameters!B$63,1)</f>
        <v>106.31394936307065</v>
      </c>
      <c r="P122" s="59">
        <f>Parameters!B$62*EXP(-Parameters!B$61*A122)</f>
        <v>2.0668444118698833E-2</v>
      </c>
      <c r="Q122" s="59">
        <f>(1-Parameters!B$62)*O122^-Parameters!B$64</f>
        <v>0.31355301358190141</v>
      </c>
      <c r="R122" s="7">
        <f>Parameters!B$62*EXP(-Parameters!B$61*A122)+(1-Parameters!B$62)*O122^-Parameters!B$64</f>
        <v>0.33422145770060024</v>
      </c>
      <c r="S122" s="7">
        <f>1-R122/Parameters!$B$12</f>
        <v>0.83288927114969991</v>
      </c>
      <c r="T122" s="7">
        <f t="shared" si="76"/>
        <v>5.9840562415104577</v>
      </c>
      <c r="U122" s="7">
        <f>(Parameters!$B$19*(E122+Parameters!$B$20)^S122+Parameters!$B$18*F122^S122)^(1/S122)</f>
        <v>0.33982648173251151</v>
      </c>
      <c r="V122" s="7">
        <f>(Parameters!$B$10*G122^Parameters!$B$9+Parameters!$B$11*U122^Parameters!$B$9)^(Parameters!$B$7/Parameters!$B$9)*N122</f>
        <v>1.3417200867096104</v>
      </c>
      <c r="W122" s="7">
        <f>V122 - C122 - D122 - LN(1+EXP(Parameters!$B$21*B122))/Parameters!$B$21 - IF(B122&gt;0, 0,Parameters!$B$6*B122^2/E122)</f>
        <v>1.0224854002487285</v>
      </c>
      <c r="X122" s="7">
        <f>EXP(-Parameters!$B$56*A122)</f>
        <v>0.16833487163346803</v>
      </c>
      <c r="Y122" s="7">
        <f>IF(W122&gt;0,W122^(1-Parameters!$B$53)/(1-Parameters!$B$53)*X122*Parameters!$B$71,-10+W122*1000)</f>
        <v>-0.47722815450213774</v>
      </c>
      <c r="AA122" s="22">
        <f t="shared" si="80"/>
        <v>-5.4829825061703755E-4</v>
      </c>
      <c r="AB122" s="22">
        <f t="shared" si="81"/>
        <v>2.2482095973871963E-5</v>
      </c>
      <c r="AC122" s="22">
        <f t="shared" si="82"/>
        <v>-3.1339084665099604E-5</v>
      </c>
      <c r="AD122" s="22">
        <f t="shared" si="107"/>
        <v>5.0857088089295687E-8</v>
      </c>
      <c r="AE122" s="22">
        <f t="shared" si="109"/>
        <v>-4.2149574035337499E-5</v>
      </c>
      <c r="AF122" s="22">
        <f t="shared" si="110"/>
        <v>-1.3780006268976353E-6</v>
      </c>
      <c r="AG122" s="22">
        <f t="shared" si="111"/>
        <v>1.9709965028008591E-6</v>
      </c>
      <c r="AH122" s="22">
        <f t="shared" si="108"/>
        <v>3.0003507637801286E-10</v>
      </c>
      <c r="AI122" s="22"/>
      <c r="AM122" s="23">
        <f t="shared" si="72"/>
        <v>15.013305257234103</v>
      </c>
      <c r="AN122" s="23">
        <f t="shared" si="73"/>
        <v>0.4057228718838799</v>
      </c>
      <c r="AO122" s="23">
        <f t="shared" si="106"/>
        <v>364.37150918386408</v>
      </c>
      <c r="AP122" s="25">
        <f t="shared" si="75"/>
        <v>1438.6300043605863</v>
      </c>
      <c r="AQ122" s="22">
        <f>-X122*V122*W122^(-Parameters!B$53)*Parameters!B$47*Parameters!B$46*M122</f>
        <v>-5.252608269413871E-6</v>
      </c>
      <c r="AR122" s="7">
        <f>1000*EXP(-(Parameters!$B$55)*'6states'!A122)*AP122*Parameters!B$47*Parameters!B$46*M122</f>
        <v>0.54797952805551375</v>
      </c>
      <c r="AS122" s="59">
        <f>SUM(AR122:AR$204)*EXP(Parameters!$B$55*A122)</f>
        <v>2146.6989822794453</v>
      </c>
      <c r="AT122" s="39">
        <f t="shared" si="86"/>
        <v>0.23620619882295515</v>
      </c>
      <c r="AU122">
        <f>(1/$S122-1/Parameters!$B$13) * LN(Parameters!$B$18) / LN(O122)</f>
        <v>0.20406773736525816</v>
      </c>
      <c r="AV122">
        <f>(Parameters!$B$18*'6states'!S122^+Parameters!$B$19*Parameters!$B$25^'6states'!S122)^((1-'6states'!S122)/'6states'!S122)*Parameters!$B$18*Parameters!$B$26^('6states'!S122-1)</f>
        <v>0.30700657244510493</v>
      </c>
      <c r="AW122">
        <f t="shared" si="87"/>
        <v>0.18462964530094525</v>
      </c>
      <c r="AX122">
        <f t="shared" si="88"/>
        <v>0.13190053233056398</v>
      </c>
      <c r="AY122">
        <f t="shared" si="89"/>
        <v>0.19168281363062734</v>
      </c>
      <c r="AZ122">
        <f>(1/$S122-1/Parameters!$B$13) * LN(Parameters!$B$18) / A122</f>
        <v>8.0700082715117263E-3</v>
      </c>
    </row>
    <row r="123" spans="1:52" x14ac:dyDescent="0.25">
      <c r="A123">
        <f>A122+Parameters!$B$71</f>
        <v>119</v>
      </c>
      <c r="B123" s="9">
        <f t="shared" si="114"/>
        <v>-2.9568713141259393E-6</v>
      </c>
      <c r="C123" s="9">
        <f t="shared" si="112"/>
        <v>9.0949993792235756E-2</v>
      </c>
      <c r="D123" s="9">
        <f t="shared" si="113"/>
        <v>0.22597556464516125</v>
      </c>
      <c r="E123" s="7">
        <f>MAX((1-Parameters!$B$4)^Parameters!B$71*E122 + B122*Parameters!B$71 - IF(B122&gt;0,Parameters!$B$5,0)*B122^2/E122*Parameters!B$71, 0.0001)</f>
        <v>3.5163455994991725E-4</v>
      </c>
      <c r="F123" s="7">
        <f>(1-Parameters!$B$4)^Parameters!B$71*F122+C122*Parameters!B$71-Parameters!$B$5*C122^2/F122*Parameters!B$71</f>
        <v>1.3553208844386759</v>
      </c>
      <c r="G123" s="7">
        <f>(1-Parameters!$B$4)^Parameters!B$71*G122+D122*Parameters!B$71-Parameters!$B$5*D122^2/G122*Parameters!B$71</f>
        <v>3.3269842272749819</v>
      </c>
      <c r="H123" s="9">
        <f>MAX(H122 * (1-Parameters!$B$4) ^ Parameters!B$71 + (LN(1+EXP(Parameters!$B$21*(-B122+0.004)))/Parameters!$B$21 -0.004) * Parameters!B$71,0)</f>
        <v>1.400112636741915E-2</v>
      </c>
      <c r="I123" s="23">
        <f>I122*(1+Parameters!$B$52)^Parameters!B$71</f>
        <v>11.517236499649908</v>
      </c>
      <c r="J123" s="23">
        <f>J122*(1+Parameters!$B$54)^Parameters!B$71</f>
        <v>95.235027244294869</v>
      </c>
      <c r="K123" s="23">
        <f>I123*J123*EXP(-Parameters!$B$43*'6states'!A123)*(Parameters!$B$38/Parameters!$B$39*('6states'!E123+'6states'!H123)/Parameters!$E$25*(EXP(-Parameters!$B$39*Parameters!$E$25*'6states'!H123/('6states'!E123+'6states'!H123))-EXP(-Parameters!$B$39*Parameters!$E$25))  +  Parameters!$B$40*'6states'!E123)</f>
        <v>9.3246693946321305E-2</v>
      </c>
      <c r="L123" s="8">
        <f>L122+K123*Parameters!B$71</f>
        <v>3311.9957785404149</v>
      </c>
      <c r="M123" s="7">
        <f>L123*Parameters!$B$46</f>
        <v>1.9871974671242487</v>
      </c>
      <c r="N123" s="9">
        <f>EXP(-Parameters!$B$47/2*M123^2)</f>
        <v>0.96109022732613913</v>
      </c>
      <c r="O123" s="8">
        <f>MAX((Parameters!$B$63 + Parameters!$B$31*'6states'!A123 - '6states'!L123 + Parameters!$B$48/Parameters!$B$46)/Parameters!B$63,1)</f>
        <v>107.37608442919171</v>
      </c>
      <c r="P123" s="59">
        <f>Parameters!B$62*EXP(-Parameters!B$61*A123)</f>
        <v>2.0117862427753069E-2</v>
      </c>
      <c r="Q123" s="59">
        <f>(1-Parameters!B$62)*O123^-Parameters!B$64</f>
        <v>0.31324146614468185</v>
      </c>
      <c r="R123" s="7">
        <f>Parameters!B$62*EXP(-Parameters!B$61*A123)+(1-Parameters!B$62)*O123^-Parameters!B$64</f>
        <v>0.33335932857243489</v>
      </c>
      <c r="S123" s="7">
        <f>1-R123/Parameters!$B$12</f>
        <v>0.83332033571378261</v>
      </c>
      <c r="T123" s="7">
        <f t="shared" si="76"/>
        <v>5.999532122183961</v>
      </c>
      <c r="U123" s="7">
        <f>(Parameters!$B$19*(E123+Parameters!$B$20)^S123+Parameters!$B$18*F123^S123)^(1/S123)</f>
        <v>0.33990060420461321</v>
      </c>
      <c r="V123" s="7">
        <f>(Parameters!$B$10*G123^Parameters!$B$9+Parameters!$B$11*U123^Parameters!$B$9)^(Parameters!$B$7/Parameters!$B$9)*N123</f>
        <v>1.3418656302042653</v>
      </c>
      <c r="W123" s="7">
        <f>V123 - C123 - D123 - LN(1+EXP(Parameters!$B$21*B123))/Parameters!$B$21 - IF(B123&gt;0, 0,Parameters!$B$6*B123^2/E123)</f>
        <v>1.022630934952135</v>
      </c>
      <c r="X123" s="7">
        <f>EXP(-Parameters!$B$56*A123)</f>
        <v>0.16581210985760431</v>
      </c>
      <c r="Y123" s="7">
        <f>IF(W123&gt;0,W123^(1-Parameters!$B$53)/(1-Parameters!$B$53)*X123*Parameters!$B$71,-10+W123*1000)</f>
        <v>-0.47005272742058435</v>
      </c>
      <c r="AA123" s="22">
        <f t="shared" si="80"/>
        <v>-5.946317893004878E-4</v>
      </c>
      <c r="AB123" s="22">
        <f t="shared" si="81"/>
        <v>2.1182899123617371E-5</v>
      </c>
      <c r="AC123" s="22">
        <f t="shared" si="82"/>
        <v>-2.9486222990898758E-5</v>
      </c>
      <c r="AD123" s="22">
        <f t="shared" si="107"/>
        <v>5.8847566316722718E-8</v>
      </c>
      <c r="AE123" s="22">
        <f t="shared" si="109"/>
        <v>-4.6333538683450241E-5</v>
      </c>
      <c r="AF123" s="22">
        <f t="shared" si="110"/>
        <v>-1.2991968502545914E-6</v>
      </c>
      <c r="AG123" s="22">
        <f t="shared" si="111"/>
        <v>1.8528616742008452E-6</v>
      </c>
      <c r="AH123" s="22">
        <f t="shared" si="108"/>
        <v>3.5681403327302655E-10</v>
      </c>
      <c r="AI123" s="22"/>
      <c r="AM123" s="23">
        <f t="shared" si="72"/>
        <v>15.357056095243292</v>
      </c>
      <c r="AN123" s="23">
        <f t="shared" si="73"/>
        <v>0.38568837395419303</v>
      </c>
      <c r="AO123" s="23">
        <f t="shared" si="106"/>
        <v>372.81805110509265</v>
      </c>
      <c r="AP123" s="25">
        <f t="shared" si="75"/>
        <v>1471.8177105578422</v>
      </c>
      <c r="AQ123" s="22">
        <f>-X123*V123*W123^(-Parameters!B$53)*Parameters!B$47*Parameters!B$46*M123</f>
        <v>-5.1736024925087213E-6</v>
      </c>
      <c r="AR123" s="7">
        <f>1000*EXP(-(Parameters!$B$55)*'6states'!A123)*AP123*Parameters!B$47*Parameters!B$46*M123</f>
        <v>0.54129963697243411</v>
      </c>
      <c r="AS123" s="59">
        <f>SUM(AR123:AR$204)*EXP(Parameters!$B$55*A123)</f>
        <v>2187.6778204370298</v>
      </c>
      <c r="AT123" s="39">
        <f t="shared" si="86"/>
        <v>0.23618057906277798</v>
      </c>
      <c r="AU123">
        <f>(1/$S123-1/Parameters!$B$13) * LN(Parameters!$B$18) / LN(O123)</f>
        <v>0.20379214547233068</v>
      </c>
      <c r="AV123">
        <f>(Parameters!$B$18*'6states'!S123^+Parameters!$B$19*Parameters!$B$25^'6states'!S123)^((1-'6states'!S123)/'6states'!S123)*Parameters!$B$18*Parameters!$B$26^('6states'!S123-1)</f>
        <v>0.30706237286955185</v>
      </c>
      <c r="AW123">
        <f t="shared" si="87"/>
        <v>0.18427602260842707</v>
      </c>
      <c r="AX123">
        <f t="shared" si="88"/>
        <v>0.13173468714441594</v>
      </c>
      <c r="AY123">
        <f t="shared" si="89"/>
        <v>0.19171407704288523</v>
      </c>
      <c r="AZ123">
        <f>(1/$S123-1/Parameters!$B$13) * LN(Parameters!$B$18) / A123</f>
        <v>8.0084104869147157E-3</v>
      </c>
    </row>
    <row r="124" spans="1:52" x14ac:dyDescent="0.25">
      <c r="A124">
        <f>A123+Parameters!$B$71</f>
        <v>120</v>
      </c>
      <c r="B124" s="9">
        <f t="shared" si="114"/>
        <v>-2.9568713141259393E-6</v>
      </c>
      <c r="C124" s="9">
        <f t="shared" si="112"/>
        <v>9.0949993792235756E-2</v>
      </c>
      <c r="D124" s="9">
        <f t="shared" si="113"/>
        <v>0.22597556464516125</v>
      </c>
      <c r="E124" s="7">
        <f>MAX((1-Parameters!$B$4)^Parameters!B$71*E123 + B123*Parameters!B$71 - IF(B123&gt;0,Parameters!$B$5,0)*B123^2/E123*Parameters!B$71, 0.0001)</f>
        <v>3.2655987481494154E-4</v>
      </c>
      <c r="F124" s="7">
        <f>(1-Parameters!$B$4)^Parameters!B$71*F123+C123*Parameters!B$71-Parameters!$B$5*C123^2/F123*Parameters!B$71</f>
        <v>1.3549179156893276</v>
      </c>
      <c r="G124" s="7">
        <f>(1-Parameters!$B$4)^Parameters!B$71*G123+D123*Parameters!B$71-Parameters!$B$5*D123^2/G123*Parameters!B$71</f>
        <v>3.3283437620804923</v>
      </c>
      <c r="H124" s="9">
        <f>MAX(H123 * (1-Parameters!$B$4) ^ Parameters!B$71 + (LN(1+EXP(Parameters!$B$21*(-B123+0.004)))/Parameters!$B$21 -0.004) * Parameters!B$71,0)</f>
        <v>1.4000336405520074E-2</v>
      </c>
      <c r="I124" s="23">
        <f>I123*(1+Parameters!$B$52)^Parameters!B$71</f>
        <v>11.550636485498892</v>
      </c>
      <c r="J124" s="23">
        <f>J123*(1+Parameters!$B$54)^Parameters!B$71</f>
        <v>97.139727789180768</v>
      </c>
      <c r="K124" s="23">
        <f>I124*J124*EXP(-Parameters!$B$43*'6states'!A124)*(Parameters!$B$38/Parameters!$B$39*('6states'!E124+'6states'!H124)/Parameters!$E$25*(EXP(-Parameters!$B$39*Parameters!$E$25*'6states'!H124/('6states'!E124+'6states'!H124))-EXP(-Parameters!$B$39*Parameters!$E$25))  +  Parameters!$B$40*'6states'!E124)</f>
        <v>8.7704033997225789E-2</v>
      </c>
      <c r="L124" s="8">
        <f>L123+K124*Parameters!B$71</f>
        <v>3312.0834825744123</v>
      </c>
      <c r="M124" s="7">
        <f>L124*Parameters!$B$46</f>
        <v>1.9872500895446472</v>
      </c>
      <c r="N124" s="9">
        <f>EXP(-Parameters!$B$47/2*M124^2)</f>
        <v>0.96108820720526078</v>
      </c>
      <c r="O124" s="8">
        <f>MAX((Parameters!$B$63 + Parameters!$B$31*'6states'!A124 - '6states'!L124 + Parameters!$B$48/Parameters!$B$46)/Parameters!B$63,1)</f>
        <v>108.43833034851176</v>
      </c>
      <c r="P124" s="59">
        <f>Parameters!B$62*EXP(-Parameters!B$61*A124)</f>
        <v>1.958194754949354E-2</v>
      </c>
      <c r="Q124" s="59">
        <f>(1-Parameters!B$62)*O124^-Parameters!B$64</f>
        <v>0.31293325834293251</v>
      </c>
      <c r="R124" s="7">
        <f>Parameters!B$62*EXP(-Parameters!B$61*A124)+(1-Parameters!B$62)*O124^-Parameters!B$64</f>
        <v>0.33251520589242606</v>
      </c>
      <c r="S124" s="7">
        <f>1-R124/Parameters!$B$12</f>
        <v>0.83374239705378694</v>
      </c>
      <c r="T124" s="7">
        <f t="shared" si="76"/>
        <v>6.0147625268211984</v>
      </c>
      <c r="U124" s="7">
        <f>(Parameters!$B$19*(E124+Parameters!$B$20)^S124+Parameters!$B$18*F124^S124)^(1/S124)</f>
        <v>0.33997837293469957</v>
      </c>
      <c r="V124" s="7">
        <f>(Parameters!$B$10*G124^Parameters!$B$9+Parameters!$B$11*U124^Parameters!$B$9)^(Parameters!$B$7/Parameters!$B$9)*N124</f>
        <v>1.3420054831291999</v>
      </c>
      <c r="W124" s="7">
        <f>V124 - C124 - D124 - LN(1+EXP(Parameters!$B$21*B124))/Parameters!$B$21 - IF(B124&gt;0, 0,Parameters!$B$6*B124^2/E124)</f>
        <v>1.0227707783311897</v>
      </c>
      <c r="X124" s="7">
        <f>EXP(-Parameters!$B$56*A124)</f>
        <v>0.16332715561927577</v>
      </c>
      <c r="Y124" s="7">
        <f>IF(W124&gt;0,W124^(1-Parameters!$B$53)/(1-Parameters!$B$53)*X124*Parameters!$B$71,-10+W124*1000)</f>
        <v>-0.46298609241976008</v>
      </c>
      <c r="AA124" s="22">
        <f t="shared" si="80"/>
        <v>-6.4567435715317395E-4</v>
      </c>
      <c r="AB124" s="22">
        <f t="shared" si="81"/>
        <v>1.995808763805007E-5</v>
      </c>
      <c r="AC124" s="22">
        <f t="shared" si="82"/>
        <v>-2.7744243885616249E-5</v>
      </c>
      <c r="AD124" s="22">
        <f t="shared" si="107"/>
        <v>6.8281113146885308E-8</v>
      </c>
      <c r="AE124" s="22">
        <f t="shared" si="109"/>
        <v>-5.1042567852686155E-5</v>
      </c>
      <c r="AF124" s="22">
        <f t="shared" si="110"/>
        <v>-1.2248114855673009E-6</v>
      </c>
      <c r="AG124" s="22">
        <f t="shared" si="111"/>
        <v>1.7419791052825095E-6</v>
      </c>
      <c r="AH124" s="22">
        <f t="shared" si="108"/>
        <v>4.2626401352209758E-10</v>
      </c>
      <c r="AI124" s="22"/>
      <c r="AM124" s="23">
        <f t="shared" si="72"/>
        <v>15.708737031537749</v>
      </c>
      <c r="AN124" s="23">
        <f t="shared" si="73"/>
        <v>0.36640856690394963</v>
      </c>
      <c r="AO124" s="23">
        <f t="shared" si="106"/>
        <v>381.46446643493181</v>
      </c>
      <c r="AP124" s="25">
        <f t="shared" si="75"/>
        <v>1505.7646201305872</v>
      </c>
      <c r="AQ124" s="22">
        <f>-X124*V124*W124^(-Parameters!B$53)*Parameters!B$47*Parameters!B$46*M124</f>
        <v>-5.0957932814581068E-6</v>
      </c>
      <c r="AR124" s="7">
        <f>1000*EXP(-(Parameters!$B$55)*'6states'!A124)*AP124*Parameters!B$47*Parameters!B$46*M124</f>
        <v>0.53469800519070654</v>
      </c>
      <c r="AS124" s="59">
        <f>SUM(AR124:AR$204)*EXP(Parameters!$B$55*A124)</f>
        <v>2229.2957752467073</v>
      </c>
      <c r="AT124" s="39">
        <f t="shared" si="86"/>
        <v>0.23615596623875459</v>
      </c>
      <c r="AU124">
        <f>(1/$S124-1/Parameters!$B$13) * LN(Parameters!$B$18) / LN(O124)</f>
        <v>0.20351847226914904</v>
      </c>
      <c r="AV124">
        <f>(Parameters!$B$18*'6states'!S124^+Parameters!$B$19*Parameters!$B$25^'6states'!S124)^((1-'6states'!S124)/'6states'!S124)*Parameters!$B$18*Parameters!$B$26^('6states'!S124-1)</f>
        <v>0.3071166216344306</v>
      </c>
      <c r="AW124">
        <f t="shared" si="87"/>
        <v>0.18392661536062319</v>
      </c>
      <c r="AX124">
        <f t="shared" si="88"/>
        <v>0.13156996523027642</v>
      </c>
      <c r="AY124">
        <f t="shared" si="89"/>
        <v>0.19174446994460925</v>
      </c>
      <c r="AZ124">
        <f>(1/$S124-1/Parameters!$B$13) * LN(Parameters!$B$18) / A124</f>
        <v>7.9477043800455453E-3</v>
      </c>
    </row>
    <row r="125" spans="1:52" x14ac:dyDescent="0.25">
      <c r="A125">
        <f>A124+Parameters!$B$71</f>
        <v>121</v>
      </c>
      <c r="B125" s="9">
        <f t="shared" si="114"/>
        <v>-2.9568713141259393E-6</v>
      </c>
      <c r="C125" s="9">
        <f t="shared" si="112"/>
        <v>9.0949993792235756E-2</v>
      </c>
      <c r="D125" s="9">
        <f t="shared" si="113"/>
        <v>0.22597556464516125</v>
      </c>
      <c r="E125" s="7">
        <f>MAX((1-Parameters!$B$4)^Parameters!B$71*E124 + B124*Parameters!B$71 - IF(B124&gt;0,Parameters!$B$5,0)*B124^2/E124*Parameters!B$71, 0.0001)</f>
        <v>3.0306238737495584E-4</v>
      </c>
      <c r="F125" s="7">
        <f>(1-Parameters!$B$4)^Parameters!B$71*F124+C124*Parameters!B$71-Parameters!$B$5*C124^2/F124*Parameters!B$71</f>
        <v>1.3545384784863665</v>
      </c>
      <c r="G125" s="7">
        <f>(1-Parameters!$B$4)^Parameters!B$71*G124+D124*Parameters!B$71-Parameters!$B$5*D124^2/G124*Parameters!B$71</f>
        <v>3.3296240516679139</v>
      </c>
      <c r="H125" s="9">
        <f>MAX(H124 * (1-Parameters!$B$4) ^ Parameters!B$71 + (LN(1+EXP(Parameters!$B$21*(-B124+0.004)))/Parameters!$B$21 -0.004) * Parameters!B$71,0)</f>
        <v>1.3999596132224451E-2</v>
      </c>
      <c r="I125" s="23">
        <f>I124*(1+Parameters!$B$52)^Parameters!B$71</f>
        <v>11.584133331306838</v>
      </c>
      <c r="J125" s="23">
        <f>J124*(1+Parameters!$B$54)^Parameters!B$71</f>
        <v>99.082522344964389</v>
      </c>
      <c r="K125" s="23">
        <f>I125*J125*EXP(-Parameters!$B$43*'6states'!A125)*(Parameters!$B$38/Parameters!$B$39*('6states'!E125+'6states'!H125)/Parameters!$E$25*(EXP(-Parameters!$B$39*Parameters!$E$25*'6states'!H125/('6states'!E125+'6states'!H125))-EXP(-Parameters!$B$39*Parameters!$E$25))  +  Parameters!$B$40*'6states'!E125)</f>
        <v>8.243348237975251E-2</v>
      </c>
      <c r="L125" s="8">
        <f>L124+K125*Parameters!B$71</f>
        <v>3312.165916056792</v>
      </c>
      <c r="M125" s="7">
        <f>L125*Parameters!$B$46</f>
        <v>1.9872995496340751</v>
      </c>
      <c r="N125" s="9">
        <f>EXP(-Parameters!$B$47/2*M125^2)</f>
        <v>0.96108630843813592</v>
      </c>
      <c r="O125" s="8">
        <f>MAX((Parameters!$B$63 + Parameters!$B$31*'6states'!A125 - '6states'!L125 + Parameters!$B$48/Parameters!$B$46)/Parameters!B$63,1)</f>
        <v>109.50068167886417</v>
      </c>
      <c r="P125" s="59">
        <f>Parameters!B$62*EXP(-Parameters!B$61*A125)</f>
        <v>1.9060308778239474E-2</v>
      </c>
      <c r="Q125" s="59">
        <f>(1-Parameters!B$62)*O125^-Parameters!B$64</f>
        <v>0.31262832377255012</v>
      </c>
      <c r="R125" s="7">
        <f>Parameters!B$62*EXP(-Parameters!B$61*A125)+(1-Parameters!B$62)*O125^-Parameters!B$64</f>
        <v>0.33168863255078962</v>
      </c>
      <c r="S125" s="7">
        <f>1-R125/Parameters!$B$12</f>
        <v>0.83415568372460513</v>
      </c>
      <c r="T125" s="7">
        <f t="shared" si="76"/>
        <v>6.0297514105906256</v>
      </c>
      <c r="U125" s="7">
        <f>(Parameters!$B$19*(E125+Parameters!$B$20)^S125+Parameters!$B$18*F125^S125)^(1/S125)</f>
        <v>0.34005942348632823</v>
      </c>
      <c r="V125" s="7">
        <f>(Parameters!$B$10*G125^Parameters!$B$9+Parameters!$B$11*U125^Parameters!$B$9)^(Parameters!$B$7/Parameters!$B$9)*N125</f>
        <v>1.3421399332087538</v>
      </c>
      <c r="W125" s="7">
        <f>V125 - C125 - D125 - LN(1+EXP(Parameters!$B$21*B125))/Parameters!$B$21 - IF(B125&gt;0, 0,Parameters!$B$6*B125^2/E125)</f>
        <v>1.0229052180316025</v>
      </c>
      <c r="X125" s="7">
        <f>EXP(-Parameters!$B$56*A125)</f>
        <v>0.16087944231330067</v>
      </c>
      <c r="Y125" s="7">
        <f>IF(W125&gt;0,W125^(1-Parameters!$B$53)/(1-Parameters!$B$53)*X125*Parameters!$B$71,-10+W125*1000)</f>
        <v>-0.45602654128468684</v>
      </c>
      <c r="AA125" s="22">
        <f t="shared" si="80"/>
        <v>-7.0203536331567111E-4</v>
      </c>
      <c r="AB125" s="22">
        <f t="shared" si="81"/>
        <v>1.8803480845971943E-5</v>
      </c>
      <c r="AC125" s="22">
        <f t="shared" si="82"/>
        <v>-2.610635974828468E-5</v>
      </c>
      <c r="AD125" s="22">
        <f t="shared" si="107"/>
        <v>7.945654895847106E-8</v>
      </c>
      <c r="AE125" s="22">
        <f t="shared" si="109"/>
        <v>-5.636100616249716E-5</v>
      </c>
      <c r="AF125" s="22">
        <f t="shared" si="110"/>
        <v>-1.1546067920781278E-6</v>
      </c>
      <c r="AG125" s="22">
        <f t="shared" si="111"/>
        <v>1.6378841373315689E-6</v>
      </c>
      <c r="AH125" s="22">
        <f t="shared" si="108"/>
        <v>5.1168974308532506E-10</v>
      </c>
      <c r="AI125" s="22"/>
      <c r="AM125" s="23">
        <f t="shared" si="72"/>
        <v>16.068528541612395</v>
      </c>
      <c r="AN125" s="23">
        <f t="shared" si="73"/>
        <v>0.34785050764531544</v>
      </c>
      <c r="AO125" s="23">
        <f t="shared" si="106"/>
        <v>390.31515627487499</v>
      </c>
      <c r="AP125" s="25">
        <f t="shared" si="75"/>
        <v>1540.4882840842261</v>
      </c>
      <c r="AQ125" s="22">
        <f>-X125*V125*W125^(-Parameters!B$53)*Parameters!B$47*Parameters!B$46*M125</f>
        <v>-5.0191619659306115E-6</v>
      </c>
      <c r="AR125" s="7">
        <f>1000*EXP(-(Parameters!$B$55)*'6states'!A125)*AP125*Parameters!B$47*Parameters!B$46*M125</f>
        <v>0.52817391343017683</v>
      </c>
      <c r="AS125" s="59">
        <f>SUM(AR125:AR$204)*EXP(Parameters!$B$55*A125)</f>
        <v>2271.5568489393208</v>
      </c>
      <c r="AT125" s="39">
        <f t="shared" si="86"/>
        <v>0.23613230910162433</v>
      </c>
      <c r="AU125">
        <f>(1/$S125-1/Parameters!$B$13) * LN(Parameters!$B$18) / LN(O125)</f>
        <v>0.20324670318815999</v>
      </c>
      <c r="AV125">
        <f>(Parameters!$B$18*'6states'!S125^+Parameters!$B$19*Parameters!$B$25^'6states'!S125)^((1-'6states'!S125)/'6states'!S125)*Parameters!$B$18*Parameters!$B$26^('6states'!S125-1)</f>
        <v>0.30716937273347567</v>
      </c>
      <c r="AW125">
        <f t="shared" si="87"/>
        <v>0.18358134196924422</v>
      </c>
      <c r="AX125">
        <f t="shared" si="88"/>
        <v>0.13140635846883719</v>
      </c>
      <c r="AY125">
        <f t="shared" si="89"/>
        <v>0.19177402268225441</v>
      </c>
      <c r="AZ125">
        <f>(1/$S125-1/Parameters!$B$13) * LN(Parameters!$B$18) / A125</f>
        <v>7.8878714738868389E-3</v>
      </c>
    </row>
    <row r="126" spans="1:52" x14ac:dyDescent="0.25">
      <c r="A126">
        <f>A125+Parameters!$B$71</f>
        <v>122</v>
      </c>
      <c r="B126" s="9">
        <f t="shared" si="114"/>
        <v>-2.9568713141259393E-6</v>
      </c>
      <c r="C126" s="9">
        <f t="shared" si="112"/>
        <v>9.0949993792235756E-2</v>
      </c>
      <c r="D126" s="9">
        <f t="shared" si="113"/>
        <v>0.22597556464516125</v>
      </c>
      <c r="E126" s="7">
        <f>MAX((1-Parameters!$B$4)^Parameters!B$71*E125 + B125*Parameters!B$71 - IF(B125&gt;0,Parameters!$B$5,0)*B125^2/E125*Parameters!B$71, 0.0001)</f>
        <v>2.8104289189494522E-4</v>
      </c>
      <c r="F126" s="7">
        <f>(1-Parameters!$B$4)^Parameters!B$71*F125+C125*Parameters!B$71-Parameters!$B$5*C125^2/F125*Parameters!B$71</f>
        <v>1.3541811977070055</v>
      </c>
      <c r="G126" s="7">
        <f>(1-Parameters!$B$4)^Parameters!B$71*G125+D125*Parameters!B$71-Parameters!$B$5*D125^2/G125*Parameters!B$71</f>
        <v>3.3308297104396716</v>
      </c>
      <c r="H126" s="9">
        <f>MAX(H125 * (1-Parameters!$B$4) ^ Parameters!B$71 + (LN(1+EXP(Parameters!$B$21*(-B125+0.004)))/Parameters!$B$21 -0.004) * Parameters!B$71,0)</f>
        <v>1.3998902422119123E-2</v>
      </c>
      <c r="I126" s="23">
        <f>I125*(1+Parameters!$B$52)^Parameters!B$71</f>
        <v>11.617727317967626</v>
      </c>
      <c r="J126" s="23">
        <f>J125*(1+Parameters!$B$54)^Parameters!B$71</f>
        <v>101.06417279186368</v>
      </c>
      <c r="K126" s="23">
        <f>I126*J126*EXP(-Parameters!$B$43*'6states'!A126)*(Parameters!$B$38/Parameters!$B$39*('6states'!E126+'6states'!H126)/Parameters!$E$25*(EXP(-Parameters!$B$39*Parameters!$E$25*'6states'!H126/('6states'!E126+'6states'!H126))-EXP(-Parameters!$B$39*Parameters!$E$25))  +  Parameters!$B$40*'6states'!E126)</f>
        <v>7.7421052442190427E-2</v>
      </c>
      <c r="L126" s="8">
        <f>L125+K126*Parameters!B$71</f>
        <v>3312.2433371092343</v>
      </c>
      <c r="M126" s="7">
        <f>L126*Parameters!$B$46</f>
        <v>1.9873460022655405</v>
      </c>
      <c r="N126" s="9">
        <f>EXP(-Parameters!$B$47/2*M126^2)</f>
        <v>0.96108452508735698</v>
      </c>
      <c r="O126" s="8">
        <f>MAX((Parameters!$B$63 + Parameters!$B$31*'6states'!A126 - '6states'!L126 + Parameters!$B$48/Parameters!$B$46)/Parameters!B$63,1)</f>
        <v>110.56313325781531</v>
      </c>
      <c r="P126" s="59">
        <f>Parameters!B$62*EXP(-Parameters!B$61*A126)</f>
        <v>1.8552565816224387E-2</v>
      </c>
      <c r="Q126" s="59">
        <f>(1-Parameters!B$62)*O126^-Parameters!B$64</f>
        <v>0.31232659790685507</v>
      </c>
      <c r="R126" s="7">
        <f>Parameters!B$62*EXP(-Parameters!B$61*A126)+(1-Parameters!B$62)*O126^-Parameters!B$64</f>
        <v>0.33087916372307946</v>
      </c>
      <c r="S126" s="7">
        <f>1-R126/Parameters!$B$12</f>
        <v>0.83456041813846027</v>
      </c>
      <c r="T126" s="7">
        <f t="shared" si="76"/>
        <v>6.0445027045397364</v>
      </c>
      <c r="U126" s="7">
        <f>(Parameters!$B$19*(E126+Parameters!$B$20)^S126+Parameters!$B$18*F126^S126)^(1/S126)</f>
        <v>0.34014341659170449</v>
      </c>
      <c r="V126" s="7">
        <f>(Parameters!$B$10*G126^Parameters!$B$9+Parameters!$B$11*U126^Parameters!$B$9)^(Parameters!$B$7/Parameters!$B$9)*N126</f>
        <v>1.3422692509735068</v>
      </c>
      <c r="W126" s="7">
        <f>V126 - C126 - D126 - LN(1+EXP(Parameters!$B$21*B126))/Parameters!$B$21 - IF(B126&gt;0, 0,Parameters!$B$6*B126^2/E126)</f>
        <v>1.0230345244948169</v>
      </c>
      <c r="X126" s="7">
        <f>EXP(-Parameters!$B$56*A126)</f>
        <v>0.15846841182596355</v>
      </c>
      <c r="Y126" s="7">
        <f>IF(W126&gt;0,W126^(1-Parameters!$B$53)/(1-Parameters!$B$53)*X126*Parameters!$B$71,-10+W126*1000)</f>
        <v>-0.44917239682401394</v>
      </c>
      <c r="AA126" s="22">
        <f t="shared" si="80"/>
        <v>-7.6442545835917614E-4</v>
      </c>
      <c r="AB126" s="22">
        <f t="shared" si="81"/>
        <v>1.7715124170161745E-5</v>
      </c>
      <c r="AC126" s="22">
        <f t="shared" si="82"/>
        <v>-2.4566215688207049E-5</v>
      </c>
      <c r="AD126" s="22">
        <f t="shared" si="107"/>
        <v>9.2745794136848148E-8</v>
      </c>
      <c r="AE126" s="22">
        <f t="shared" si="109"/>
        <v>-6.2390095043505026E-5</v>
      </c>
      <c r="AF126" s="22">
        <f t="shared" si="110"/>
        <v>-1.0883566758101981E-6</v>
      </c>
      <c r="AG126" s="22">
        <f t="shared" si="111"/>
        <v>1.5401440600776306E-6</v>
      </c>
      <c r="AH126" s="22">
        <f t="shared" si="108"/>
        <v>6.1740569290783347E-10</v>
      </c>
      <c r="AI126" s="22"/>
      <c r="AM126" s="23">
        <f t="shared" si="72"/>
        <v>16.436615309861729</v>
      </c>
      <c r="AN126" s="23">
        <f t="shared" si="73"/>
        <v>0.32998257723043678</v>
      </c>
      <c r="AO126" s="23">
        <f t="shared" si="106"/>
        <v>399.37463096150094</v>
      </c>
      <c r="AP126" s="25">
        <f t="shared" si="75"/>
        <v>1576.0066507534116</v>
      </c>
      <c r="AQ126" s="22">
        <f>-X126*V126*W126^(-Parameters!B$53)*Parameters!B$47*Parameters!B$46*M126</f>
        <v>-4.9436902100682773E-6</v>
      </c>
      <c r="AR126" s="7">
        <f>1000*EXP(-(Parameters!$B$55)*'6states'!A126)*AP126*Parameters!B$47*Parameters!B$46*M126</f>
        <v>0.52172663508652439</v>
      </c>
      <c r="AS126" s="59">
        <f>SUM(AR126:AR$204)*EXP(Parameters!$B$55*A126)</f>
        <v>2314.4647506416277</v>
      </c>
      <c r="AT126" s="39">
        <f t="shared" si="86"/>
        <v>0.23610955949130819</v>
      </c>
      <c r="AU126">
        <f>(1/$S126-1/Parameters!$B$13) * LN(Parameters!$B$18) / LN(O126)</f>
        <v>0.20297682378224963</v>
      </c>
      <c r="AV126">
        <f>(Parameters!$B$18*'6states'!S126^+Parameters!$B$19*Parameters!$B$25^'6states'!S126)^((1-'6states'!S126)/'6states'!S126)*Parameters!$B$18*Parameters!$B$26^('6states'!S126-1)</f>
        <v>0.30722067801260206</v>
      </c>
      <c r="AW126">
        <f t="shared" si="87"/>
        <v>0.18324012297264036</v>
      </c>
      <c r="AX126">
        <f t="shared" si="88"/>
        <v>0.13124385880239176</v>
      </c>
      <c r="AY126">
        <f t="shared" si="89"/>
        <v>0.19180276439195953</v>
      </c>
      <c r="AZ126">
        <f>(1/$S126-1/Parameters!$B$13) * LN(Parameters!$B$18) / A126</f>
        <v>7.8288937893222482E-3</v>
      </c>
    </row>
    <row r="127" spans="1:52" x14ac:dyDescent="0.25">
      <c r="A127">
        <f>A126+Parameters!$B$71</f>
        <v>123</v>
      </c>
      <c r="B127" s="9">
        <f t="shared" si="114"/>
        <v>-2.9568713141259393E-6</v>
      </c>
      <c r="C127" s="9">
        <f t="shared" si="112"/>
        <v>9.0949993792235756E-2</v>
      </c>
      <c r="D127" s="9">
        <f t="shared" si="113"/>
        <v>0.22597556464516125</v>
      </c>
      <c r="E127" s="7">
        <f>MAX((1-Parameters!$B$4)^Parameters!B$71*E126 + B126*Parameters!B$71 - IF(B126&gt;0,Parameters!$B$5,0)*B126^2/E126*Parameters!B$71, 0.0001)</f>
        <v>2.6040842268062727E-4</v>
      </c>
      <c r="F127" s="7">
        <f>(1-Parameters!$B$4)^Parameters!B$71*F126+C126*Parameters!B$71-Parameters!$B$5*C126^2/F126*Parameters!B$71</f>
        <v>1.3538447786982328</v>
      </c>
      <c r="G127" s="7">
        <f>(1-Parameters!$B$4)^Parameters!B$71*G126+D126*Parameters!B$71-Parameters!$B$5*D126^2/G126*Parameters!B$71</f>
        <v>3.3319650846391466</v>
      </c>
      <c r="H127" s="9">
        <f>MAX(H126 * (1-Parameters!$B$4) ^ Parameters!B$71 + (LN(1+EXP(Parameters!$B$21*(-B126+0.004)))/Parameters!$B$21 -0.004) * Parameters!B$71,0)</f>
        <v>1.3998252346379421E-2</v>
      </c>
      <c r="I127" s="23">
        <f>I126*(1+Parameters!$B$52)^Parameters!B$71</f>
        <v>11.65141872718973</v>
      </c>
      <c r="J127" s="23">
        <f>J126*(1+Parameters!$B$54)^Parameters!B$71</f>
        <v>103.08545624770096</v>
      </c>
      <c r="K127" s="23">
        <f>I127*J127*EXP(-Parameters!$B$43*'6states'!A127)*(Parameters!$B$38/Parameters!$B$39*('6states'!E127+'6states'!H127)/Parameters!$E$25*(EXP(-Parameters!$B$39*Parameters!$E$25*'6states'!H127/('6states'!E127+'6states'!H127))-EXP(-Parameters!$B$39*Parameters!$E$25))  +  Parameters!$B$40*'6states'!E127)</f>
        <v>7.2653468137669319E-2</v>
      </c>
      <c r="L127" s="8">
        <f>L126+K127*Parameters!B$71</f>
        <v>3312.3159905773718</v>
      </c>
      <c r="M127" s="7">
        <f>L127*Parameters!$B$46</f>
        <v>1.987389594346423</v>
      </c>
      <c r="N127" s="9">
        <f>EXP(-Parameters!$B$47/2*M127^2)</f>
        <v>0.96108285152032069</v>
      </c>
      <c r="O127" s="8">
        <f>MAX((Parameters!$B$63 + Parameters!$B$31*'6states'!A127 - '6states'!L127 + Parameters!$B$48/Parameters!$B$46)/Parameters!B$63,1)</f>
        <v>111.62568018845258</v>
      </c>
      <c r="P127" s="59">
        <f>Parameters!B$62*EXP(-Parameters!B$61*A127)</f>
        <v>1.8058348496342139E-2</v>
      </c>
      <c r="Q127" s="59">
        <f>(1-Parameters!B$62)*O127^-Parameters!B$64</f>
        <v>0.31202801802913871</v>
      </c>
      <c r="R127" s="7">
        <f>Parameters!B$62*EXP(-Parameters!B$61*A127)+(1-Parameters!B$62)*O127^-Parameters!B$64</f>
        <v>0.33008636652548085</v>
      </c>
      <c r="S127" s="7">
        <f>1-R127/Parameters!$B$12</f>
        <v>0.83495681673725963</v>
      </c>
      <c r="T127" s="7">
        <f t="shared" si="76"/>
        <v>6.0590203135384924</v>
      </c>
      <c r="U127" s="7">
        <f>(Parameters!$B$19*(E127+Parameters!$B$20)^S127+Parameters!$B$18*F127^S127)^(1/S127)</f>
        <v>0.34023003657382173</v>
      </c>
      <c r="V127" s="7">
        <f>(Parameters!$B$10*G127^Parameters!$B$9+Parameters!$B$11*U127^Parameters!$B$9)^(Parameters!$B$7/Parameters!$B$9)*N127</f>
        <v>1.3423936909898357</v>
      </c>
      <c r="W127" s="7">
        <f>V127 - C127 - D127 - LN(1+EXP(Parameters!$B$21*B127))/Parameters!$B$21 - IF(B127&gt;0, 0,Parameters!$B$6*B127^2/E127)</f>
        <v>1.02315895218576</v>
      </c>
      <c r="X127" s="7">
        <f>EXP(-Parameters!$B$56*A127)</f>
        <v>0.15609351440775748</v>
      </c>
      <c r="Y127" s="7">
        <f>IF(W127&gt;0,W127^(1-Parameters!$B$53)/(1-Parameters!$B$53)*X127*Parameters!$B$71,-10+W127*1000)</f>
        <v>-0.44242201197804021</v>
      </c>
      <c r="AA127" s="22">
        <f t="shared" si="80"/>
        <v>-8.3367752444491947E-4</v>
      </c>
      <c r="AB127" s="22">
        <f t="shared" si="81"/>
        <v>1.6689277916467904E-5</v>
      </c>
      <c r="AC127" s="22">
        <f t="shared" si="82"/>
        <v>-2.3117860011204194E-5</v>
      </c>
      <c r="AD127" s="22">
        <f t="shared" si="107"/>
        <v>1.0861473466620675E-7</v>
      </c>
      <c r="AE127" s="22">
        <f t="shared" si="109"/>
        <v>-6.925206608574333E-5</v>
      </c>
      <c r="AF127" s="22">
        <f t="shared" si="110"/>
        <v>-1.0258462536938406E-6</v>
      </c>
      <c r="AG127" s="22">
        <f t="shared" si="111"/>
        <v>1.4483556770028549E-6</v>
      </c>
      <c r="AH127" s="22">
        <f t="shared" si="108"/>
        <v>7.4909258081431564E-10</v>
      </c>
      <c r="AI127" s="22"/>
      <c r="AM127" s="23">
        <f t="shared" si="72"/>
        <v>16.813186323495174</v>
      </c>
      <c r="AN127" s="23">
        <f t="shared" si="73"/>
        <v>0.31277442514952924</v>
      </c>
      <c r="AO127" s="23">
        <f t="shared" si="106"/>
        <v>408.64751229068833</v>
      </c>
      <c r="AP127" s="25">
        <f t="shared" si="75"/>
        <v>1612.3380753265324</v>
      </c>
      <c r="AQ127" s="22">
        <f>-X127*V127*W127^(-Parameters!B$53)*Parameters!B$47*Parameters!B$46*M127</f>
        <v>-4.8693600025553172E-6</v>
      </c>
      <c r="AR127" s="7">
        <f>1000*EXP(-(Parameters!$B$55)*'6states'!A127)*AP127*Parameters!B$47*Parameters!B$46*M127</f>
        <v>0.51535543750238855</v>
      </c>
      <c r="AS127" s="59">
        <f>SUM(AR127:AR$204)*EXP(Parameters!$B$55*A127)</f>
        <v>2358.0228760669047</v>
      </c>
      <c r="AT127" s="39">
        <f t="shared" si="86"/>
        <v>0.23608767211383039</v>
      </c>
      <c r="AU127">
        <f>(1/$S127-1/Parameters!$B$13) * LN(Parameters!$B$18) / LN(O127)</f>
        <v>0.2027088197182427</v>
      </c>
      <c r="AV127">
        <f>(Parameters!$B$18*'6states'!S127^+Parameters!$B$19*Parameters!$B$25^'6states'!S127)^((1-'6states'!S127)/'6states'!S127)*Parameters!$B$18*Parameters!$B$26^('6states'!S127-1)</f>
        <v>0.30727058726534673</v>
      </c>
      <c r="AW127">
        <f t="shared" si="87"/>
        <v>0.18290288096649779</v>
      </c>
      <c r="AX127">
        <f t="shared" si="88"/>
        <v>0.13108245823109466</v>
      </c>
      <c r="AY127">
        <f t="shared" si="89"/>
        <v>0.19183072305353011</v>
      </c>
      <c r="AZ127">
        <f>(1/$S127-1/Parameters!$B$13) * LN(Parameters!$B$18) / A127</f>
        <v>7.770753828463932E-3</v>
      </c>
    </row>
    <row r="128" spans="1:52" x14ac:dyDescent="0.25">
      <c r="A128">
        <f>A127+Parameters!$B$71</f>
        <v>124</v>
      </c>
      <c r="B128" s="9">
        <f t="shared" si="114"/>
        <v>-2.9568713141259393E-6</v>
      </c>
      <c r="C128" s="9">
        <f t="shared" si="112"/>
        <v>9.0949993792235756E-2</v>
      </c>
      <c r="D128" s="9">
        <f t="shared" si="113"/>
        <v>0.22597556464516125</v>
      </c>
      <c r="E128" s="7">
        <f>MAX((1-Parameters!$B$4)^Parameters!B$71*E127 + B127*Parameters!B$71 - IF(B127&gt;0,Parameters!$B$5,0)*B127^2/E127*Parameters!B$71, 0.0001)</f>
        <v>2.4107186157988988E-4</v>
      </c>
      <c r="F128" s="7">
        <f>(1-Parameters!$B$4)^Parameters!B$71*F127+C127*Parameters!B$71-Parameters!$B$5*C127^2/F127*Parameters!B$71</f>
        <v>1.3535280025553891</v>
      </c>
      <c r="G128" s="7">
        <f>(1-Parameters!$B$4)^Parameters!B$71*G127+D127*Parameters!B$71-Parameters!$B$5*D127^2/G127*Parameters!B$71</f>
        <v>3.3330342678729443</v>
      </c>
      <c r="H128" s="9">
        <f>MAX(H127 * (1-Parameters!$B$4) ^ Parameters!B$71 + (LN(1+EXP(Parameters!$B$21*(-B127+0.004)))/Parameters!$B$21 -0.004) * Parameters!B$71,0)</f>
        <v>1.3997643160403745E-2</v>
      </c>
      <c r="I128" s="23">
        <f>I127*(1+Parameters!$B$52)^Parameters!B$71</f>
        <v>11.685207841498579</v>
      </c>
      <c r="J128" s="23">
        <f>J127*(1+Parameters!$B$54)^Parameters!B$71</f>
        <v>105.14716537265498</v>
      </c>
      <c r="K128" s="23">
        <f>I128*J128*EXP(-Parameters!$B$43*'6states'!A128)*(Parameters!$B$38/Parameters!$B$39*('6states'!E128+'6states'!H128)/Parameters!$E$25*(EXP(-Parameters!$B$39*Parameters!$E$25*'6states'!H128/('6states'!E128+'6states'!H128))-EXP(-Parameters!$B$39*Parameters!$E$25))  +  Parameters!$B$40*'6states'!E128)</f>
        <v>6.8118127815835622E-2</v>
      </c>
      <c r="L128" s="8">
        <f>L127+K128*Parameters!B$71</f>
        <v>3312.3841087051878</v>
      </c>
      <c r="M128" s="7">
        <f>L128*Parameters!$B$46</f>
        <v>1.9874304652231125</v>
      </c>
      <c r="N128" s="9">
        <f>EXP(-Parameters!$B$47/2*M128^2)</f>
        <v>0.96108128239380297</v>
      </c>
      <c r="O128" s="8">
        <f>MAX((Parameters!$B$63 + Parameters!$B$31*'6states'!A128 - '6states'!L128 + Parameters!$B$48/Parameters!$B$46)/Parameters!B$63,1)</f>
        <v>112.68831782589625</v>
      </c>
      <c r="P128" s="59">
        <f>Parameters!B$62*EXP(-Parameters!B$61*A128)</f>
        <v>1.7577296512278729E-2</v>
      </c>
      <c r="Q128" s="59">
        <f>(1-Parameters!B$62)*O128^-Parameters!B$64</f>
        <v>0.31173252316811617</v>
      </c>
      <c r="R128" s="7">
        <f>Parameters!B$62*EXP(-Parameters!B$61*A128)+(1-Parameters!B$62)*O128^-Parameters!B$64</f>
        <v>0.32930981968039491</v>
      </c>
      <c r="S128" s="7">
        <f>1-R128/Parameters!$B$12</f>
        <v>0.83534509015980252</v>
      </c>
      <c r="T128" s="7">
        <f t="shared" si="76"/>
        <v>6.0733081143497634</v>
      </c>
      <c r="U128" s="7">
        <f>(Parameters!$B$19*(E128+Parameters!$B$20)^S128+Parameters!$B$18*F128^S128)^(1/S128)</f>
        <v>0.34031898986342235</v>
      </c>
      <c r="V128" s="7">
        <f>(Parameters!$B$10*G128^Parameters!$B$9+Parameters!$B$11*U128^Parameters!$B$9)^(Parameters!$B$7/Parameters!$B$9)*N128</f>
        <v>1.3425134929838443</v>
      </c>
      <c r="W128" s="7">
        <f>V128 - C128 - D128 - LN(1+EXP(Parameters!$B$21*B128))/Parameters!$B$21 - IF(B128&gt;0, 0,Parameters!$B$6*B128^2/E128)</f>
        <v>1.0232787407145769</v>
      </c>
      <c r="X128" s="7">
        <f>EXP(-Parameters!$B$56*A128)</f>
        <v>0.15375420854803312</v>
      </c>
      <c r="Y128" s="7">
        <f>IF(W128&gt;0,W128^(1-Parameters!$B$53)/(1-Parameters!$B$53)*X128*Parameters!$B$71,-10+W128*1000)</f>
        <v>-0.4357737689786203</v>
      </c>
      <c r="AA128" s="22">
        <f t="shared" si="80"/>
        <v>-9.1077293253278777E-4</v>
      </c>
      <c r="AB128" s="22">
        <f t="shared" si="81"/>
        <v>1.5722406498802632E-5</v>
      </c>
      <c r="AC128" s="22">
        <f t="shared" si="82"/>
        <v>-2.1755716930221825E-5</v>
      </c>
      <c r="AD128" s="22">
        <f t="shared" si="107"/>
        <v>1.2765102444138669E-7</v>
      </c>
      <c r="AE128" s="22">
        <f t="shared" si="109"/>
        <v>-7.70954080878683E-5</v>
      </c>
      <c r="AF128" s="22">
        <f t="shared" si="110"/>
        <v>-9.6687141766527152E-7</v>
      </c>
      <c r="AG128" s="22">
        <f t="shared" si="111"/>
        <v>1.3621430809823698E-6</v>
      </c>
      <c r="AH128" s="22">
        <f t="shared" si="108"/>
        <v>9.1429820528389232E-10</v>
      </c>
      <c r="AI128" s="22"/>
      <c r="AM128" s="23">
        <f t="shared" si="72"/>
        <v>17.198434968720765</v>
      </c>
      <c r="AN128" s="23">
        <f t="shared" si="73"/>
        <v>0.29619691591356456</v>
      </c>
      <c r="AO128" s="23">
        <f t="shared" si="106"/>
        <v>418.13853580319375</v>
      </c>
      <c r="AP128" s="25">
        <f t="shared" si="75"/>
        <v>1649.5013295543126</v>
      </c>
      <c r="AQ128" s="22">
        <f>-X128*V128*W128^(-Parameters!B$53)*Parameters!B$47*Parameters!B$46*M128</f>
        <v>-4.7961536473554693E-6</v>
      </c>
      <c r="AR128" s="7">
        <f>1000*EXP(-(Parameters!$B$55)*'6states'!A128)*AP128*Parameters!B$47*Parameters!B$46*M128</f>
        <v>0.50905958312543131</v>
      </c>
      <c r="AS128" s="59">
        <f>SUM(AR128:AR$204)*EXP(Parameters!$B$55*A128)</f>
        <v>2402.2342862437085</v>
      </c>
      <c r="AT128" s="39">
        <f t="shared" si="86"/>
        <v>0.23606660433758239</v>
      </c>
      <c r="AU128">
        <f>(1/$S128-1/Parameters!$B$13) * LN(Parameters!$B$18) / LN(O128)</f>
        <v>0.20244267677102115</v>
      </c>
      <c r="AV128">
        <f>(Parameters!$B$18*'6states'!S128^+Parameters!$B$19*Parameters!$B$25^'6states'!S128)^((1-'6states'!S128)/'6states'!S128)*Parameters!$B$18*Parameters!$B$26^('6states'!S128-1)</f>
        <v>0.30731914832365131</v>
      </c>
      <c r="AW128">
        <f t="shared" si="87"/>
        <v>0.18256954053727342</v>
      </c>
      <c r="AX128">
        <f t="shared" si="88"/>
        <v>0.13092214880958908</v>
      </c>
      <c r="AY128">
        <f t="shared" si="89"/>
        <v>0.19185792554176972</v>
      </c>
      <c r="AZ128">
        <f>(1/$S128-1/Parameters!$B$13) * LN(Parameters!$B$18) / A128</f>
        <v>7.7134345586517159E-3</v>
      </c>
    </row>
    <row r="129" spans="1:52" x14ac:dyDescent="0.25">
      <c r="A129">
        <f>A128+Parameters!$B$71</f>
        <v>125</v>
      </c>
      <c r="B129" s="9">
        <f t="shared" si="114"/>
        <v>-2.9568713141259393E-6</v>
      </c>
      <c r="C129" s="9">
        <f t="shared" si="112"/>
        <v>9.0949993792235756E-2</v>
      </c>
      <c r="D129" s="9">
        <f t="shared" si="113"/>
        <v>0.22597556464516125</v>
      </c>
      <c r="E129" s="7">
        <f>MAX((1-Parameters!$B$4)^Parameters!B$71*E128 + B128*Parameters!B$71 - IF(B128&gt;0,Parameters!$B$5,0)*B128^2/E128*Parameters!B$71, 0.0001)</f>
        <v>2.2295157017238886E-4</v>
      </c>
      <c r="F129" s="7">
        <f>(1-Parameters!$B$4)^Parameters!B$71*F128+C128*Parameters!B$71-Parameters!$B$5*C128^2/F128*Parameters!B$71</f>
        <v>1.3532297216791569</v>
      </c>
      <c r="G129" s="7">
        <f>(1-Parameters!$B$4)^Parameters!B$71*G128+D128*Parameters!B$71-Parameters!$B$5*D128^2/G128*Parameters!B$71</f>
        <v>3.334041115741754</v>
      </c>
      <c r="H129" s="9">
        <f>MAX(H128 * (1-Parameters!$B$4) ^ Parameters!B$71 + (LN(1+EXP(Parameters!$B$21*(-B128+0.004)))/Parameters!$B$21 -0.004) * Parameters!B$71,0)</f>
        <v>1.3997072292225939E-2</v>
      </c>
      <c r="I129" s="23">
        <f>I128*(1+Parameters!$B$52)^Parameters!B$71</f>
        <v>11.719094944238924</v>
      </c>
      <c r="J129" s="23">
        <f>J128*(1+Parameters!$B$54)^Parameters!B$71</f>
        <v>107.25010868010808</v>
      </c>
      <c r="K129" s="23">
        <f>I129*J129*EXP(-Parameters!$B$43*'6states'!A129)*(Parameters!$B$38/Parameters!$B$39*('6states'!E129+'6states'!H129)/Parameters!$E$25*(EXP(-Parameters!$B$39*Parameters!$E$25*'6states'!H129/('6states'!E129+'6states'!H129))-EXP(-Parameters!$B$39*Parameters!$E$25))  +  Parameters!$B$40*'6states'!E129)</f>
        <v>6.3803069858146058E-2</v>
      </c>
      <c r="L129" s="8">
        <f>L128+K129*Parameters!B$71</f>
        <v>3312.4479117750461</v>
      </c>
      <c r="M129" s="7">
        <f>L129*Parameters!$B$46</f>
        <v>1.9874687470650274</v>
      </c>
      <c r="N129" s="9">
        <f>EXP(-Parameters!$B$47/2*M129^2)</f>
        <v>0.9610798126393133</v>
      </c>
      <c r="O129" s="8">
        <f>MAX((Parameters!$B$63 + Parameters!$B$31*'6states'!A129 - '6states'!L129 + Parameters!$B$48/Parameters!$B$46)/Parameters!B$63,1)</f>
        <v>113.75104176449908</v>
      </c>
      <c r="P129" s="59">
        <f>Parameters!B$62*EXP(-Parameters!B$61*A129)</f>
        <v>1.7109059155833016E-2</v>
      </c>
      <c r="Q129" s="59">
        <f>(1-Parameters!B$62)*O129^-Parameters!B$64</f>
        <v>0.31144005403613934</v>
      </c>
      <c r="R129" s="7">
        <f>Parameters!B$62*EXP(-Parameters!B$61*A129)+(1-Parameters!B$62)*O129^-Parameters!B$64</f>
        <v>0.32854911319197233</v>
      </c>
      <c r="S129" s="7">
        <f>1-R129/Parameters!$B$12</f>
        <v>0.83572544340401378</v>
      </c>
      <c r="T129" s="7">
        <f t="shared" si="76"/>
        <v>6.0873699538229848</v>
      </c>
      <c r="U129" s="7">
        <f>(Parameters!$B$19*(E129+Parameters!$B$20)^S129+Parameters!$B$18*F129^S129)^(1/S129)</f>
        <v>0.34041000360526308</v>
      </c>
      <c r="V129" s="7">
        <f>(Parameters!$B$10*G129^Parameters!$B$9+Parameters!$B$11*U129^Parameters!$B$9)^(Parameters!$B$7/Parameters!$B$9)*N129</f>
        <v>1.3426288828701378</v>
      </c>
      <c r="W129" s="7">
        <f>V129 - C129 - D129 - LN(1+EXP(Parameters!$B$21*B129))/Parameters!$B$21 - IF(B129&gt;0, 0,Parameters!$B$6*B129^2/E129)</f>
        <v>1.0233941158627204</v>
      </c>
      <c r="X129" s="7">
        <f>EXP(-Parameters!$B$56*A129)</f>
        <v>0.15144996085152654</v>
      </c>
      <c r="Y129" s="7">
        <f>IF(W129&gt;0,W129^(1-Parameters!$B$53)/(1-Parameters!$B$53)*X129*Parameters!$B$71,-10+W129*1000)</f>
        <v>-0.42922607855625061</v>
      </c>
      <c r="AA129" s="22">
        <f t="shared" si="80"/>
        <v>-9.9687463294514077E-4</v>
      </c>
      <c r="AB129" s="22">
        <f t="shared" si="81"/>
        <v>1.4811168098954886E-5</v>
      </c>
      <c r="AC129" s="22">
        <f t="shared" si="82"/>
        <v>-2.0474561309921646E-5</v>
      </c>
      <c r="AD129" s="22">
        <f t="shared" si="107"/>
        <v>1.5060147943411887E-7</v>
      </c>
      <c r="AE129" s="22">
        <f t="shared" si="109"/>
        <v>-8.6101700412353002E-5</v>
      </c>
      <c r="AF129" s="22">
        <f t="shared" si="110"/>
        <v>-9.112383998477469E-7</v>
      </c>
      <c r="AG129" s="22">
        <f t="shared" si="111"/>
        <v>1.2811556203001784E-6</v>
      </c>
      <c r="AH129" s="22">
        <f t="shared" si="108"/>
        <v>1.1231490520995369E-9</v>
      </c>
      <c r="AI129" s="22"/>
      <c r="AM129" s="23">
        <f t="shared" si="72"/>
        <v>17.592559129244716</v>
      </c>
      <c r="AN129" s="23">
        <f t="shared" si="73"/>
        <v>0.28022207782652997</v>
      </c>
      <c r="AO129" s="23">
        <f t="shared" si="106"/>
        <v>427.85255313271114</v>
      </c>
      <c r="AP129" s="25">
        <f t="shared" si="75"/>
        <v>1687.5156116499825</v>
      </c>
      <c r="AQ129" s="22">
        <f>-X129*V129*W129^(-Parameters!B$53)*Parameters!B$47*Parameters!B$46*M129</f>
        <v>-4.7240537550480508E-6</v>
      </c>
      <c r="AR129" s="7">
        <f>1000*EXP(-(Parameters!$B$55)*'6states'!A129)*AP129*Parameters!B$47*Parameters!B$46*M129</f>
        <v>0.50283833056391247</v>
      </c>
      <c r="AS129" s="59">
        <f>SUM(AR129:AR$204)*EXP(Parameters!$B$55*A129)</f>
        <v>2447.1016852438656</v>
      </c>
      <c r="AT129" s="39">
        <f t="shared" si="86"/>
        <v>0.23604631600699474</v>
      </c>
      <c r="AU129">
        <f>(1/$S129-1/Parameters!$B$13) * LN(Parameters!$B$18) / LN(O129)</f>
        <v>0.20217838081821307</v>
      </c>
      <c r="AV129">
        <f>(Parameters!$B$18*'6states'!S129^+Parameters!$B$19*Parameters!$B$25^'6states'!S129)^((1-'6states'!S129)/'6states'!S129)*Parameters!$B$18*Parameters!$B$26^('6states'!S129-1)</f>
        <v>0.30736640714423202</v>
      </c>
      <c r="AW129">
        <f t="shared" si="87"/>
        <v>0.18224002819823665</v>
      </c>
      <c r="AX129">
        <f t="shared" si="88"/>
        <v>0.13076292264397038</v>
      </c>
      <c r="AY129">
        <f t="shared" si="89"/>
        <v>0.19188439767530718</v>
      </c>
      <c r="AZ129">
        <f>(1/$S129-1/Parameters!$B$13) * LN(Parameters!$B$18) / A129</f>
        <v>7.6569193970922765E-3</v>
      </c>
    </row>
    <row r="130" spans="1:52" x14ac:dyDescent="0.25">
      <c r="A130">
        <f>A129+Parameters!$B$71</f>
        <v>126</v>
      </c>
      <c r="B130" s="9">
        <f t="shared" si="114"/>
        <v>-2.9568713141259393E-6</v>
      </c>
      <c r="C130" s="9">
        <f t="shared" si="112"/>
        <v>9.0949993792235756E-2</v>
      </c>
      <c r="D130" s="9">
        <f t="shared" si="113"/>
        <v>0.22597556464516125</v>
      </c>
      <c r="E130" s="7">
        <f>MAX((1-Parameters!$B$4)^Parameters!B$71*E129 + B129*Parameters!B$71 - IF(B129&gt;0,Parameters!$B$5,0)*B129^2/E129*Parameters!B$71, 0.0001)</f>
        <v>2.0597104509441968E-4</v>
      </c>
      <c r="F130" s="7">
        <f>(1-Parameters!$B$4)^Parameters!B$71*F129+C129*Parameters!B$71-Parameters!$B$5*C129^2/F129*Parameters!B$71</f>
        <v>1.3529488555943929</v>
      </c>
      <c r="G130" s="7">
        <f>(1-Parameters!$B$4)^Parameters!B$71*G129+D129*Parameters!B$71-Parameters!$B$5*D129^2/G129*Parameters!B$71</f>
        <v>3.3349892596301682</v>
      </c>
      <c r="H130" s="9">
        <f>MAX(H129 * (1-Parameters!$B$4) ^ Parameters!B$71 + (LN(1+EXP(Parameters!$B$21*(-B129+0.004)))/Parameters!$B$21 -0.004) * Parameters!B$71,0)</f>
        <v>1.3996537331656518E-2</v>
      </c>
      <c r="I130" s="23">
        <f>I129*(1+Parameters!$B$52)^Parameters!B$71</f>
        <v>11.753080319577215</v>
      </c>
      <c r="J130" s="23">
        <f>J129*(1+Parameters!$B$54)^Parameters!B$71</f>
        <v>109.39511085371025</v>
      </c>
      <c r="K130" s="23">
        <f>I130*J130*EXP(-Parameters!$B$43*'6states'!A130)*(Parameters!$B$38/Parameters!$B$39*('6states'!E130+'6states'!H130)/Parameters!$E$25*(EXP(-Parameters!$B$39*Parameters!$E$25*'6states'!H130/('6states'!E130+'6states'!H130))-EXP(-Parameters!$B$39*Parameters!$E$25))  +  Parameters!$B$40*'6states'!E130)</f>
        <v>5.9696940062889538E-2</v>
      </c>
      <c r="L130" s="8">
        <f>L129+K130*Parameters!B$71</f>
        <v>3312.5076087151092</v>
      </c>
      <c r="M130" s="7">
        <f>L130*Parameters!$B$46</f>
        <v>1.9875045652290653</v>
      </c>
      <c r="N130" s="9">
        <f>EXP(-Parameters!$B$47/2*M130^2)</f>
        <v>0.96107843744919064</v>
      </c>
      <c r="O130" s="8">
        <f>MAX((Parameters!$B$63 + Parameters!$B$31*'6states'!A130 - '6states'!L130 + Parameters!$B$48/Parameters!$B$46)/Parameters!B$63,1)</f>
        <v>114.81384782569783</v>
      </c>
      <c r="P130" s="59">
        <f>Parameters!B$62*EXP(-Parameters!B$61*A130)</f>
        <v>1.6653295061234946E-2</v>
      </c>
      <c r="Q130" s="59">
        <f>(1-Parameters!B$62)*O130^-Parameters!B$64</f>
        <v>0.3111505529700323</v>
      </c>
      <c r="R130" s="7">
        <f>Parameters!B$62*EXP(-Parameters!B$61*A130)+(1-Parameters!B$62)*O130^-Parameters!B$64</f>
        <v>0.32780384803126728</v>
      </c>
      <c r="S130" s="7">
        <f>1-R130/Parameters!$B$12</f>
        <v>0.83609807598436636</v>
      </c>
      <c r="T130" s="7">
        <f t="shared" si="76"/>
        <v>6.1012096472071669</v>
      </c>
      <c r="U130" s="7">
        <f>(Parameters!$B$19*(E130+Parameters!$B$20)^S130+Parameters!$B$18*F130^S130)^(1/S130)</f>
        <v>0.34050282434846768</v>
      </c>
      <c r="V130" s="7">
        <f>(Parameters!$B$10*G130^Parameters!$B$9+Parameters!$B$11*U130^Parameters!$B$9)^(Parameters!$B$7/Parameters!$B$9)*N130</f>
        <v>1.3427400736947988</v>
      </c>
      <c r="W130" s="7">
        <f>V130 - C130 - D130 - LN(1+EXP(Parameters!$B$21*B130))/Parameters!$B$21 - IF(B130&gt;0, 0,Parameters!$B$6*B130^2/E130)</f>
        <v>1.0235052905226214</v>
      </c>
      <c r="X130" s="7">
        <f>EXP(-Parameters!$B$56*A130)</f>
        <v>0.14918024591673743</v>
      </c>
      <c r="Y130" s="7">
        <f>IF(W130&gt;0,W130^(1-Parameters!$B$53)/(1-Parameters!$B$53)*X130*Parameters!$B$71,-10+W130*1000)</f>
        <v>-0.42277737919014519</v>
      </c>
      <c r="AA130" s="22">
        <f t="shared" si="80"/>
        <v>-1.0933691897462728E-3</v>
      </c>
      <c r="AB130" s="22">
        <f t="shared" si="81"/>
        <v>1.3952404756378822E-5</v>
      </c>
      <c r="AC130" s="22">
        <f t="shared" si="82"/>
        <v>-1.9269495274712445E-5</v>
      </c>
      <c r="AD130" s="22">
        <f t="shared" si="107"/>
        <v>1.7842288116395773E-7</v>
      </c>
      <c r="AE130" s="22">
        <f t="shared" si="109"/>
        <v>-9.6494556801132031E-5</v>
      </c>
      <c r="AF130" s="22">
        <f t="shared" si="110"/>
        <v>-8.5876334257606324E-7</v>
      </c>
      <c r="AG130" s="22">
        <f t="shared" si="111"/>
        <v>1.2050660352092013E-6</v>
      </c>
      <c r="AH130" s="22">
        <f t="shared" si="108"/>
        <v>1.3893736838457564E-9</v>
      </c>
      <c r="AI130" s="22"/>
      <c r="AM130" s="23">
        <f t="shared" si="72"/>
        <v>17.995761287135405</v>
      </c>
      <c r="AN130" s="23">
        <f t="shared" si="73"/>
        <v>0.26482305385615645</v>
      </c>
      <c r="AO130" s="23">
        <f t="shared" si="106"/>
        <v>437.79453441754981</v>
      </c>
      <c r="AP130" s="25">
        <f t="shared" si="75"/>
        <v>1726.4005563883552</v>
      </c>
      <c r="AQ130" s="22">
        <f>-X130*V130*W130^(-Parameters!B$53)*Parameters!B$47*Parameters!B$46*M130</f>
        <v>-4.6530432347014577E-6</v>
      </c>
      <c r="AR130" s="7">
        <f>1000*EXP(-(Parameters!$B$55)*'6states'!A130)*AP130*Parameters!B$47*Parameters!B$46*M130</f>
        <v>0.49669093554924354</v>
      </c>
      <c r="AS130" s="59">
        <f>SUM(AR130:AR$204)*EXP(Parameters!$B$55*A130)</f>
        <v>2492.6273968692462</v>
      </c>
      <c r="AT130" s="39">
        <f t="shared" si="86"/>
        <v>0.23602676927189004</v>
      </c>
      <c r="AU130">
        <f>(1/$S130-1/Parameters!$B$13) * LN(Parameters!$B$18) / LN(O130)</f>
        <v>0.20191591783540533</v>
      </c>
      <c r="AV130">
        <f>(Parameters!$B$18*'6states'!S130^+Parameters!$B$19*Parameters!$B$25^'6states'!S130)^((1-'6states'!S130)/'6states'!S130)*Parameters!$B$18*Parameters!$B$26^('6states'!S130-1)</f>
        <v>0.30741240789076779</v>
      </c>
      <c r="AW130">
        <f t="shared" si="87"/>
        <v>0.18191427232799504</v>
      </c>
      <c r="AX130">
        <f t="shared" si="88"/>
        <v>0.13060477188906128</v>
      </c>
      <c r="AY130">
        <f t="shared" si="89"/>
        <v>0.19191016426304486</v>
      </c>
      <c r="AZ130">
        <f>(1/$S130-1/Parameters!$B$13) * LN(Parameters!$B$18) / A130</f>
        <v>7.6011921961084633E-3</v>
      </c>
    </row>
    <row r="131" spans="1:52" x14ac:dyDescent="0.25">
      <c r="A131">
        <f>A130+Parameters!$B$71</f>
        <v>127</v>
      </c>
      <c r="B131" s="9">
        <f t="shared" si="114"/>
        <v>-2.9568713141259393E-6</v>
      </c>
      <c r="C131" s="9">
        <f t="shared" si="112"/>
        <v>9.0949993792235756E-2</v>
      </c>
      <c r="D131" s="9">
        <f t="shared" si="113"/>
        <v>0.22597556464516125</v>
      </c>
      <c r="E131" s="7">
        <f>MAX((1-Parameters!$B$4)^Parameters!B$71*E130 + B130*Parameters!B$71 - IF(B130&gt;0,Parameters!$B$5,0)*B130^2/E130*Parameters!B$71, 0.0001)</f>
        <v>1.9005859504385474E-4</v>
      </c>
      <c r="F131" s="7">
        <f>(1-Parameters!$B$4)^Parameters!B$71*F130+C130*Parameters!B$71-Parameters!$B$5*C130^2/F130*Parameters!B$71</f>
        <v>1.3526843870152345</v>
      </c>
      <c r="G131" s="7">
        <f>(1-Parameters!$B$4)^Parameters!B$71*G130+D130*Parameters!B$71-Parameters!$B$5*D130^2/G130*Parameters!B$71</f>
        <v>3.3358821197030766</v>
      </c>
      <c r="H131" s="9">
        <f>MAX(H130 * (1-Parameters!$B$4) ^ Parameters!B$71 + (LN(1+EXP(Parameters!$B$21*(-B130+0.004)))/Parameters!$B$21 -0.004) * Parameters!B$71,0)</f>
        <v>1.3996036020106913E-2</v>
      </c>
      <c r="I131" s="23">
        <f>I130*(1+Parameters!$B$52)^Parameters!B$71</f>
        <v>11.787164252503988</v>
      </c>
      <c r="J131" s="23">
        <f>J130*(1+Parameters!$B$54)^Parameters!B$71</f>
        <v>111.58301307078446</v>
      </c>
      <c r="K131" s="23">
        <f>I131*J131*EXP(-Parameters!$B$43*'6states'!A131)*(Parameters!$B$38/Parameters!$B$39*('6states'!E131+'6states'!H131)/Parameters!$E$25*(EXP(-Parameters!$B$39*Parameters!$E$25*'6states'!H131/('6states'!E131+'6states'!H131))-EXP(-Parameters!$B$39*Parameters!$E$25))  +  Parameters!$B$40*'6states'!E131)</f>
        <v>5.5788960690830988E-2</v>
      </c>
      <c r="L131" s="8">
        <f>L130+K131*Parameters!B$71</f>
        <v>3312.5633976757999</v>
      </c>
      <c r="M131" s="7">
        <f>L131*Parameters!$B$46</f>
        <v>1.9875380386054797</v>
      </c>
      <c r="N131" s="9">
        <f>EXP(-Parameters!$B$47/2*M131^2)</f>
        <v>0.96107715226340362</v>
      </c>
      <c r="O131" s="8">
        <f>MAX((Parameters!$B$63 + Parameters!$B$31*'6states'!A131 - '6states'!L131 + Parameters!$B$48/Parameters!$B$46)/Parameters!B$63,1)</f>
        <v>115.87673204648401</v>
      </c>
      <c r="P131" s="59">
        <f>Parameters!B$62*EXP(-Parameters!B$61*A131)</f>
        <v>1.6209671956274756E-2</v>
      </c>
      <c r="Q131" s="59">
        <f>(1-Parameters!B$62)*O131^-Parameters!B$64</f>
        <v>0.31086396387442106</v>
      </c>
      <c r="R131" s="7">
        <f>Parameters!B$62*EXP(-Parameters!B$61*A131)+(1-Parameters!B$62)*O131^-Parameters!B$64</f>
        <v>0.32707363583069582</v>
      </c>
      <c r="S131" s="7">
        <f>1-R131/Parameters!$B$12</f>
        <v>0.83646318208465209</v>
      </c>
      <c r="T131" s="7">
        <f t="shared" si="76"/>
        <v>6.1148309765794346</v>
      </c>
      <c r="U131" s="7">
        <f>(Parameters!$B$19*(E131+Parameters!$B$20)^S131+Parameters!$B$18*F131^S131)^(1/S131)</f>
        <v>0.34059721681604882</v>
      </c>
      <c r="V131" s="7">
        <f>(Parameters!$B$10*G131^Parameters!$B$9+Parameters!$B$11*U131^Parameters!$B$9)^(Parameters!$B$7/Parameters!$B$9)*N131</f>
        <v>1.3428472665009057</v>
      </c>
      <c r="W131" s="7">
        <f>V131 - C131 - D131 - LN(1+EXP(Parameters!$B$21*B131))/Parameters!$B$21 - IF(B131&gt;0, 0,Parameters!$B$6*B131^2/E131)</f>
        <v>1.023612465559105</v>
      </c>
      <c r="X131" s="7">
        <f>EXP(-Parameters!$B$56*A131)</f>
        <v>0.14694454621613023</v>
      </c>
      <c r="Y131" s="7">
        <f>IF(W131&gt;0,W131^(1-Parameters!$B$53)/(1-Parameters!$B$53)*X131*Parameters!$B$71,-10+W131*1000)</f>
        <v>-0.41642613639757631</v>
      </c>
      <c r="AA131" s="22">
        <f t="shared" si="80"/>
        <v>-1.2019206320360229E-3</v>
      </c>
      <c r="AB131" s="22">
        <f t="shared" si="81"/>
        <v>1.3143132882045827E-5</v>
      </c>
      <c r="AC131" s="22">
        <f t="shared" si="82"/>
        <v>-1.8135926524207036E-5</v>
      </c>
      <c r="AD131" s="22">
        <f t="shared" si="107"/>
        <v>2.1235174725746279E-7</v>
      </c>
      <c r="AE131" s="22">
        <f t="shared" si="109"/>
        <v>-1.085514422897501E-4</v>
      </c>
      <c r="AF131" s="22">
        <f t="shared" si="110"/>
        <v>-8.0927187433299519E-7</v>
      </c>
      <c r="AG131" s="22">
        <f t="shared" si="111"/>
        <v>1.1335687505054093E-6</v>
      </c>
      <c r="AH131" s="22">
        <f t="shared" si="108"/>
        <v>1.7317937192147973E-9</v>
      </c>
      <c r="AI131" s="22"/>
      <c r="AM131" s="23">
        <f t="shared" si="72"/>
        <v>18.408248626101951</v>
      </c>
      <c r="AN131" s="23">
        <f t="shared" si="73"/>
        <v>0.24997405451577143</v>
      </c>
      <c r="AO131" s="23">
        <f t="shared" si="106"/>
        <v>447.96957077710385</v>
      </c>
      <c r="AP131" s="25">
        <f t="shared" si="75"/>
        <v>1766.1762454110367</v>
      </c>
      <c r="AQ131" s="22">
        <f>-X131*V131*W131^(-Parameters!B$53)*Parameters!B$47*Parameters!B$46*M131</f>
        <v>-4.5831052862304304E-6</v>
      </c>
      <c r="AR131" s="7">
        <f>1000*EXP(-(Parameters!$B$55)*'6states'!A131)*AP131*Parameters!B$47*Parameters!B$46*M131</f>
        <v>0.49061665181403763</v>
      </c>
      <c r="AS131" s="59">
        <f>SUM(AR131:AR$204)*EXP(Parameters!$B$55*A131)</f>
        <v>2538.8133402551657</v>
      </c>
      <c r="AT131" s="39">
        <f t="shared" si="86"/>
        <v>0.23600792843098001</v>
      </c>
      <c r="AU131">
        <f>(1/$S131-1/Parameters!$B$13) * LN(Parameters!$B$18) / LN(O131)</f>
        <v>0.20165527389183885</v>
      </c>
      <c r="AV131">
        <f>(Parameters!$B$18*'6states'!S131^+Parameters!$B$19*Parameters!$B$25^'6states'!S131)^((1-'6states'!S131)/'6states'!S131)*Parameters!$B$18*Parameters!$B$26^('6states'!S131-1)</f>
        <v>0.30745719301212754</v>
      </c>
      <c r="AW131">
        <f t="shared" si="87"/>
        <v>0.18159220311138954</v>
      </c>
      <c r="AX131">
        <f t="shared" si="88"/>
        <v>0.13044768874597268</v>
      </c>
      <c r="AY131">
        <f t="shared" si="89"/>
        <v>0.19193524914835991</v>
      </c>
      <c r="AZ131">
        <f>(1/$S131-1/Parameters!$B$13) * LN(Parameters!$B$18) / A131</f>
        <v>7.5462372289703651E-3</v>
      </c>
    </row>
    <row r="132" spans="1:52" x14ac:dyDescent="0.25">
      <c r="A132">
        <f>A131+Parameters!$B$71</f>
        <v>128</v>
      </c>
      <c r="B132" s="9">
        <f t="shared" si="114"/>
        <v>-2.9568713141259393E-6</v>
      </c>
      <c r="C132" s="9">
        <f t="shared" si="112"/>
        <v>9.0949993792235756E-2</v>
      </c>
      <c r="D132" s="9">
        <f t="shared" si="113"/>
        <v>0.22597556464516125</v>
      </c>
      <c r="E132" s="7">
        <f>MAX((1-Parameters!$B$4)^Parameters!B$71*E131 + B131*Parameters!B$71 - IF(B131&gt;0,Parameters!$B$5,0)*B131^2/E131*Parameters!B$71, 0.0001)</f>
        <v>1.7514703810147034E-4</v>
      </c>
      <c r="F132" s="7">
        <f>(1-Parameters!$B$4)^Parameters!B$71*F131+C131*Parameters!B$71-Parameters!$B$5*C131^2/F131*Parameters!B$71</f>
        <v>1.3524353581418511</v>
      </c>
      <c r="G132" s="7">
        <f>(1-Parameters!$B$4)^Parameters!B$71*G131+D131*Parameters!B$71-Parameters!$B$5*D131^2/G131*Parameters!B$71</f>
        <v>3.3367229171536352</v>
      </c>
      <c r="H132" s="9">
        <f>MAX(H131 * (1-Parameters!$B$4) ^ Parameters!B$71 + (LN(1+EXP(Parameters!$B$21*(-B131+0.004)))/Parameters!$B$21 -0.004) * Parameters!B$71,0)</f>
        <v>1.3995566241053777E-2</v>
      </c>
      <c r="I132" s="23">
        <f>I131*(1+Parameters!$B$52)^Parameters!B$71</f>
        <v>11.821347028836248</v>
      </c>
      <c r="J132" s="23">
        <f>J131*(1+Parameters!$B$54)^Parameters!B$71</f>
        <v>113.81467333220016</v>
      </c>
      <c r="K132" s="23">
        <f>I132*J132*EXP(-Parameters!$B$43*'6states'!A132)*(Parameters!$B$38/Parameters!$B$39*('6states'!E132+'6states'!H132)/Parameters!$E$25*(EXP(-Parameters!$B$39*Parameters!$E$25*'6states'!H132/('6states'!E132+'6states'!H132))-EXP(-Parameters!$B$39*Parameters!$E$25))  +  Parameters!$B$40*'6states'!E132)</f>
        <v>5.2068901086906628E-2</v>
      </c>
      <c r="L132" s="8">
        <f>L131+K132*Parameters!B$71</f>
        <v>3312.6154665768868</v>
      </c>
      <c r="M132" s="7">
        <f>L132*Parameters!$B$46</f>
        <v>1.987569279946132</v>
      </c>
      <c r="N132" s="9">
        <f>EXP(-Parameters!$B$47/2*M132^2)</f>
        <v>0.96107595275701863</v>
      </c>
      <c r="O132" s="8">
        <f>MAX((Parameters!$B$63 + Parameters!$B$31*'6states'!A132 - '6states'!L132 + Parameters!$B$48/Parameters!$B$46)/Parameters!B$63,1)</f>
        <v>116.93969066846228</v>
      </c>
      <c r="P132" s="59">
        <f>Parameters!B$62*EXP(-Parameters!B$61*A132)</f>
        <v>1.577786642006182E-2</v>
      </c>
      <c r="Q132" s="59">
        <f>(1-Parameters!B$62)*O132^-Parameters!B$64</f>
        <v>0.31058023216743486</v>
      </c>
      <c r="R132" s="7">
        <f>Parameters!B$62*EXP(-Parameters!B$61*A132)+(1-Parameters!B$62)*O132^-Parameters!B$64</f>
        <v>0.32635809858749665</v>
      </c>
      <c r="S132" s="7">
        <f>1-R132/Parameters!$B$12</f>
        <v>0.83682095070625162</v>
      </c>
      <c r="T132" s="7">
        <f t="shared" si="76"/>
        <v>6.1282376893852355</v>
      </c>
      <c r="U132" s="7">
        <f>(Parameters!$B$19*(E132+Parameters!$B$20)^S132+Parameters!$B$18*F132^S132)^(1/S132)</f>
        <v>0.34069296274895194</v>
      </c>
      <c r="V132" s="7">
        <f>(Parameters!$B$10*G132^Parameters!$B$9+Parameters!$B$11*U132^Parameters!$B$9)^(Parameters!$B$7/Parameters!$B$9)*N132</f>
        <v>1.3429506511240548</v>
      </c>
      <c r="W132" s="7">
        <f>V132 - C132 - D132 - LN(1+EXP(Parameters!$B$21*B132))/Parameters!$B$21 - IF(B132&gt;0, 0,Parameters!$B$6*B132^2/E132)</f>
        <v>1.0237158305997813</v>
      </c>
      <c r="X132" s="7">
        <f>EXP(-Parameters!$B$56*A132)</f>
        <v>0.14474235197813023</v>
      </c>
      <c r="Y132" s="7">
        <f>IF(W132&gt;0,W132^(1-Parameters!$B$53)/(1-Parameters!$B$53)*X132*Parameters!$B$71,-10+W132*1000)</f>
        <v>-0.41017084205915527</v>
      </c>
      <c r="AA132" s="22">
        <f t="shared" si="80"/>
        <v>-1.3245400769113218E-3</v>
      </c>
      <c r="AB132" s="22">
        <f t="shared" si="81"/>
        <v>1.2380534188380365E-5</v>
      </c>
      <c r="AC132" s="22">
        <f t="shared" si="82"/>
        <v>-1.7069548216674946E-5</v>
      </c>
      <c r="AD132" s="22">
        <f t="shared" si="107"/>
        <v>2.540012701499518E-7</v>
      </c>
      <c r="AE132" s="22">
        <f t="shared" si="109"/>
        <v>-1.2261944487529895E-4</v>
      </c>
      <c r="AF132" s="22">
        <f t="shared" si="110"/>
        <v>-7.6259869366546162E-7</v>
      </c>
      <c r="AG132" s="22">
        <f t="shared" si="111"/>
        <v>1.0663783075320898E-6</v>
      </c>
      <c r="AH132" s="22">
        <f t="shared" si="108"/>
        <v>2.1765264953043623E-9</v>
      </c>
      <c r="AI132" s="22"/>
      <c r="AM132" s="23">
        <f t="shared" ref="AM132:AM195" si="115">H132*I132*J132</f>
        <v>18.83023313723865</v>
      </c>
      <c r="AN132" s="23">
        <f t="shared" ref="AN132:AN195" si="116">E132*I132*J132</f>
        <v>0.23565031267353598</v>
      </c>
      <c r="AO132" s="23">
        <f t="shared" ref="AO132:AO155" si="117">U132*I132*J132</f>
        <v>458.38287685431254</v>
      </c>
      <c r="AP132" s="25">
        <f t="shared" ref="AP132:AP195" si="118">V132*J132*I132</f>
        <v>1806.8632177449053</v>
      </c>
      <c r="AQ132" s="22">
        <f>-X132*V132*W132^(-Parameters!B$53)*Parameters!B$47*Parameters!B$46*M132</f>
        <v>-4.5142233931901339E-6</v>
      </c>
      <c r="AR132" s="7">
        <f>1000*EXP(-(Parameters!$B$55)*'6states'!A132)*AP132*Parameters!B$47*Parameters!B$46*M132</f>
        <v>0.48461473189326942</v>
      </c>
      <c r="AS132" s="59">
        <f>SUM(AR132:AR$204)*EXP(Parameters!$B$55*A132)</f>
        <v>2585.6610043466585</v>
      </c>
      <c r="AT132" s="39">
        <f t="shared" si="86"/>
        <v>0.23598975978813327</v>
      </c>
      <c r="AU132">
        <f>(1/$S132-1/Parameters!$B$13) * LN(Parameters!$B$18) / LN(O132)</f>
        <v>0.20139643514654579</v>
      </c>
      <c r="AV132">
        <f>(Parameters!$B$18*'6states'!S132^+Parameters!$B$19*Parameters!$B$25^'6states'!S132)^((1-'6states'!S132)/'6states'!S132)*Parameters!$B$18*Parameters!$B$26^('6states'!S132-1)</f>
        <v>0.3075008033168421</v>
      </c>
      <c r="AW132">
        <f t="shared" si="87"/>
        <v>0.18127375248264813</v>
      </c>
      <c r="AX132">
        <f t="shared" si="88"/>
        <v>0.13029166545992532</v>
      </c>
      <c r="AY132">
        <f t="shared" si="89"/>
        <v>0.19195967525117263</v>
      </c>
      <c r="AZ132">
        <f>(1/$S132-1/Parameters!$B$13) * LN(Parameters!$B$18) / A132</f>
        <v>7.4920391762813184E-3</v>
      </c>
    </row>
    <row r="133" spans="1:52" x14ac:dyDescent="0.25">
      <c r="A133">
        <f>A132+Parameters!$B$71</f>
        <v>129</v>
      </c>
      <c r="B133" s="9">
        <f t="shared" si="114"/>
        <v>-2.9568713141259393E-6</v>
      </c>
      <c r="C133" s="9">
        <f t="shared" si="112"/>
        <v>9.0949993792235756E-2</v>
      </c>
      <c r="D133" s="9">
        <f t="shared" si="113"/>
        <v>0.22597556464516125</v>
      </c>
      <c r="E133" s="7">
        <f>MAX((1-Parameters!$B$4)^Parameters!B$71*E132 + B132*Parameters!B$71 - IF(B132&gt;0,Parameters!$B$5,0)*B132^2/E132*Parameters!B$71, 0.0001)</f>
        <v>1.6117341809076193E-4</v>
      </c>
      <c r="F133" s="7">
        <f>(1-Parameters!$B$4)^Parameters!B$71*F132+C132*Parameters!B$71-Parameters!$B$5*C132^2/F132*Parameters!B$71</f>
        <v>1.3522008671750962</v>
      </c>
      <c r="G133" s="7">
        <f>(1-Parameters!$B$4)^Parameters!B$71*G132+D132*Parameters!B$71-Parameters!$B$5*D132^2/G132*Parameters!B$71</f>
        <v>3.3375146857453504</v>
      </c>
      <c r="H133" s="9">
        <f>MAX(H132 * (1-Parameters!$B$4) ^ Parameters!B$71 + (LN(1+EXP(Parameters!$B$21*(-B132+0.004)))/Parameters!$B$21 -0.004) * Parameters!B$71,0)</f>
        <v>1.3995126011103084E-2</v>
      </c>
      <c r="I133" s="23">
        <f>I132*(1+Parameters!$B$52)^Parameters!B$71</f>
        <v>11.855628935219872</v>
      </c>
      <c r="J133" s="23">
        <f>J132*(1+Parameters!$B$54)^Parameters!B$71</f>
        <v>116.09096679884416</v>
      </c>
      <c r="K133" s="23">
        <f>I133*J133*EXP(-Parameters!$B$43*'6states'!A133)*(Parameters!$B$38/Parameters!$B$39*('6states'!E133+'6states'!H133)/Parameters!$E$25*(EXP(-Parameters!$B$39*Parameters!$E$25*'6states'!H133/('6states'!E133+'6states'!H133))-EXP(-Parameters!$B$39*Parameters!$E$25))  +  Parameters!$B$40*'6states'!E133)</f>
        <v>4.8527049797707743E-2</v>
      </c>
      <c r="L133" s="8">
        <f>L132+K133*Parameters!B$71</f>
        <v>3312.6639936266843</v>
      </c>
      <c r="M133" s="7">
        <f>L133*Parameters!$B$46</f>
        <v>1.9875983961760104</v>
      </c>
      <c r="N133" s="9">
        <f>EXP(-Parameters!$B$47/2*M133^2)</f>
        <v>0.9610748348283028</v>
      </c>
      <c r="O133" s="8">
        <f>MAX((Parameters!$B$63 + Parameters!$B$31*'6states'!A133 - '6states'!L133 + Parameters!$B$48/Parameters!$B$46)/Parameters!B$63,1)</f>
        <v>118.0027201274663</v>
      </c>
      <c r="P133" s="59">
        <f>Parameters!B$62*EXP(-Parameters!B$61*A133)</f>
        <v>1.5357563647236516E-2</v>
      </c>
      <c r="Q133" s="59">
        <f>(1-Parameters!B$62)*O133^-Parameters!B$64</f>
        <v>0.31029930472866391</v>
      </c>
      <c r="R133" s="7">
        <f>Parameters!B$62*EXP(-Parameters!B$61*A133)+(1-Parameters!B$62)*O133^-Parameters!B$64</f>
        <v>0.32565686837590041</v>
      </c>
      <c r="S133" s="7">
        <f>1-R133/Parameters!$B$12</f>
        <v>0.83717156581204977</v>
      </c>
      <c r="T133" s="7">
        <f t="shared" ref="T133:T196" si="119">1/(1-S133)</f>
        <v>6.1414334970863633</v>
      </c>
      <c r="U133" s="7">
        <f>(Parameters!$B$19*(E133+Parameters!$B$20)^S133+Parameters!$B$18*F133^S133)^(1/S133)</f>
        <v>0.34078985982024179</v>
      </c>
      <c r="V133" s="7">
        <f>(Parameters!$B$10*G133^Parameters!$B$9+Parameters!$B$11*U133^Parameters!$B$9)^(Parameters!$B$7/Parameters!$B$9)*N133</f>
        <v>1.3430504069245541</v>
      </c>
      <c r="W133" s="7">
        <f>V133 - C133 - D133 - LN(1+EXP(Parameters!$B$21*B133))/Parameters!$B$21 - IF(B133&gt;0, 0,Parameters!$B$6*B133^2/E133)</f>
        <v>1.0238155647607634</v>
      </c>
      <c r="X133" s="7">
        <f>EXP(-Parameters!$B$56*A133)</f>
        <v>0.14257316107088844</v>
      </c>
      <c r="Y133" s="7">
        <f>IF(W133&gt;0,W133^(1-Parameters!$B$53)/(1-Parameters!$B$53)*X133*Parameters!$B$71,-10+W133*1000)</f>
        <v>-0.40401001377709617</v>
      </c>
      <c r="AA133" s="22">
        <f t="shared" si="80"/>
        <v>-1.4636766327229891E-3</v>
      </c>
      <c r="AB133" s="22">
        <f t="shared" si="81"/>
        <v>1.1661947025995434E-5</v>
      </c>
      <c r="AC133" s="22">
        <f t="shared" si="82"/>
        <v>-1.6066320292593139E-5</v>
      </c>
      <c r="AD133" s="22">
        <f t="shared" ref="AD133:AD164" si="120">X133*(AA133^2+AB133^2+AC133^2)</f>
        <v>3.054977017317794E-7</v>
      </c>
      <c r="AE133" s="22">
        <f t="shared" si="109"/>
        <v>-1.391365558116673E-4</v>
      </c>
      <c r="AF133" s="22">
        <f t="shared" si="110"/>
        <v>-7.1858716238493159E-7</v>
      </c>
      <c r="AG133" s="22">
        <f t="shared" si="111"/>
        <v>1.0032279240818065E-6</v>
      </c>
      <c r="AH133" s="22">
        <f t="shared" ref="AH133:AH164" si="121">X133*(AE133^2+AF133^2+AG133^2)</f>
        <v>2.7602882547651444E-9</v>
      </c>
      <c r="AI133" s="22"/>
      <c r="AM133" s="23">
        <f t="shared" si="115"/>
        <v>19.261931727287966</v>
      </c>
      <c r="AN133" s="23">
        <f t="shared" si="116"/>
        <v>0.22182804020877839</v>
      </c>
      <c r="AO133" s="23">
        <f t="shared" si="117"/>
        <v>469.03979342535001</v>
      </c>
      <c r="AP133" s="25">
        <f t="shared" si="118"/>
        <v>1848.482480540956</v>
      </c>
      <c r="AQ133" s="22">
        <f>-X133*V133*W133^(-Parameters!B$53)*Parameters!B$47*Parameters!B$46*M133</f>
        <v>-4.446381315966133E-6</v>
      </c>
      <c r="AR133" s="7">
        <f>1000*EXP(-(Parameters!$B$55)*'6states'!A133)*AP133*Parameters!B$47*Parameters!B$46*M133</f>
        <v>0.4786844278554172</v>
      </c>
      <c r="AS133" s="59">
        <f>SUM(AR133:AR$204)*EXP(Parameters!$B$55*A133)</f>
        <v>2633.1714212020688</v>
      </c>
      <c r="AT133" s="39">
        <f t="shared" si="86"/>
        <v>0.23597223152018745</v>
      </c>
      <c r="AU133">
        <f>(1/$S133-1/Parameters!$B$13) * LN(Parameters!$B$18) / LN(O133)</f>
        <v>0.2011393878448941</v>
      </c>
      <c r="AV133">
        <f>(Parameters!$B$18*'6states'!S133^+Parameters!$B$19*Parameters!$B$25^'6states'!S133)^((1-'6states'!S133)/'6states'!S133)*Parameters!$B$18*Parameters!$B$26^('6states'!S133-1)</f>
        <v>0.30754327804401665</v>
      </c>
      <c r="AW133">
        <f t="shared" si="87"/>
        <v>0.18095885407069559</v>
      </c>
      <c r="AX133">
        <f t="shared" si="88"/>
        <v>0.13013669431831443</v>
      </c>
      <c r="AY133">
        <f t="shared" si="89"/>
        <v>0.19198346460799531</v>
      </c>
      <c r="AZ133">
        <f>(1/$S133-1/Parameters!$B$13) * LN(Parameters!$B$18) / A133</f>
        <v>7.4385831128934389E-3</v>
      </c>
    </row>
    <row r="134" spans="1:52" x14ac:dyDescent="0.25">
      <c r="A134">
        <f>A133+Parameters!$B$71</f>
        <v>130</v>
      </c>
      <c r="B134" s="9">
        <f t="shared" si="114"/>
        <v>-2.9568713141259393E-6</v>
      </c>
      <c r="C134" s="9">
        <f t="shared" si="112"/>
        <v>9.0949993792235756E-2</v>
      </c>
      <c r="D134" s="9">
        <f t="shared" si="113"/>
        <v>0.22597556464516125</v>
      </c>
      <c r="E134" s="7">
        <f>MAX((1-Parameters!$B$4)^Parameters!B$71*E133 + B133*Parameters!B$71 - IF(B133&gt;0,Parameters!$B$5,0)*B133^2/E133*Parameters!B$71, 0.0001)</f>
        <v>1.4807873877872708E-4</v>
      </c>
      <c r="F134" s="7">
        <f>(1-Parameters!$B$4)^Parameters!B$71*F133+C133*Parameters!B$71-Parameters!$B$5*C133^2/F133*Parameters!B$71</f>
        <v>1.3519800650361404</v>
      </c>
      <c r="G134" s="7">
        <f>(1-Parameters!$B$4)^Parameters!B$71*G133+D133*Parameters!B$71-Parameters!$B$5*D133^2/G133*Parameters!B$71</f>
        <v>3.3382602826884469</v>
      </c>
      <c r="H134" s="9">
        <f>MAX(H133 * (1-Parameters!$B$4) ^ Parameters!B$71 + (LN(1+EXP(Parameters!$B$21*(-B133+0.004)))/Parameters!$B$21 -0.004) * Parameters!B$71,0)</f>
        <v>1.399471347161629E-2</v>
      </c>
      <c r="I134" s="23">
        <f>I133*(1+Parameters!$B$52)^Parameters!B$71</f>
        <v>11.890010259132008</v>
      </c>
      <c r="J134" s="23">
        <f>J133*(1+Parameters!$B$54)^Parameters!B$71</f>
        <v>118.41278613482105</v>
      </c>
      <c r="K134" s="23">
        <f>I134*J134*EXP(-Parameters!$B$43*'6states'!A134)*(Parameters!$B$38/Parameters!$B$39*('6states'!E134+'6states'!H134)/Parameters!$E$25*(EXP(-Parameters!$B$39*Parameters!$E$25*'6states'!H134/('6states'!E134+'6states'!H134))-EXP(-Parameters!$B$39*Parameters!$E$25))  +  Parameters!$B$40*'6states'!E134)</f>
        <v>4.5154188108577228E-2</v>
      </c>
      <c r="L134" s="8">
        <f>L133+K134*Parameters!B$71</f>
        <v>3312.7091478147927</v>
      </c>
      <c r="M134" s="7">
        <f>L134*Parameters!$B$46</f>
        <v>1.9876254886888753</v>
      </c>
      <c r="N134" s="9">
        <f>EXP(-Parameters!$B$47/2*M134^2)</f>
        <v>0.96107379458743025</v>
      </c>
      <c r="O134" s="8">
        <f>MAX((Parameters!$B$63 + Parameters!$B$31*'6states'!A134 - '6states'!L134 + Parameters!$B$48/Parameters!$B$46)/Parameters!B$63,1)</f>
        <v>119.06581704370416</v>
      </c>
      <c r="P134" s="59">
        <f>Parameters!B$62*EXP(-Parameters!B$61*A134)</f>
        <v>1.4948457218463161E-2</v>
      </c>
      <c r="Q134" s="59">
        <f>(1-Parameters!B$62)*O134^-Parameters!B$64</f>
        <v>0.31002112984926533</v>
      </c>
      <c r="R134" s="7">
        <f>Parameters!B$62*EXP(-Parameters!B$61*A134)+(1-Parameters!B$62)*O134^-Parameters!B$64</f>
        <v>0.32496958706772849</v>
      </c>
      <c r="S134" s="7">
        <f>1-R134/Parameters!$B$12</f>
        <v>0.83751520646613575</v>
      </c>
      <c r="T134" s="7">
        <f t="shared" si="119"/>
        <v>6.1544220739129356</v>
      </c>
      <c r="U134" s="7">
        <f>(Parameters!$B$19*(E134+Parameters!$B$20)^S134+Parameters!$B$18*F134^S134)^(1/S134)</f>
        <v>0.34088772061529532</v>
      </c>
      <c r="V134" s="7">
        <f>(Parameters!$B$10*G134^Parameters!$B$9+Parameters!$B$11*U134^Parameters!$B$9)^(Parameters!$B$7/Parameters!$B$9)*N134</f>
        <v>1.3431467034622471</v>
      </c>
      <c r="W134" s="7">
        <f>V134 - C134 - D134 - LN(1+EXP(Parameters!$B$21*B134))/Parameters!$B$21 - IF(B134&gt;0, 0,Parameters!$B$6*B134^2/E134)</f>
        <v>1.0239118373132425</v>
      </c>
      <c r="X134" s="7">
        <f>EXP(-Parameters!$B$56*A134)</f>
        <v>0.14043647888778818</v>
      </c>
      <c r="Y134" s="7">
        <f>IF(W134&gt;0,W134^(1-Parameters!$B$53)/(1-Parameters!$B$53)*X134*Parameters!$B$71,-10+W134*1000)</f>
        <v>-0.39794219426382516</v>
      </c>
      <c r="AA134" s="22">
        <f t="shared" ref="AA134:AA197" si="122">B134/E134-B133/E133</f>
        <v>-1.6223373544731155E-3</v>
      </c>
      <c r="AB134" s="22">
        <f t="shared" ref="AB134:AB197" si="123">C134/F134-C133/F133</f>
        <v>1.0984858116999674E-5</v>
      </c>
      <c r="AC134" s="22">
        <f t="shared" ref="AC134:AC197" si="124">D134/G134-D133/G133</f>
        <v>-1.5122452123220165E-5</v>
      </c>
      <c r="AD134" s="22">
        <f t="shared" si="120"/>
        <v>3.6967485416500597E-7</v>
      </c>
      <c r="AE134" s="22">
        <f t="shared" ref="AE134:AE165" si="125">B134/E134-2*B133/E133+B132/E132</f>
        <v>-1.5866072175012638E-4</v>
      </c>
      <c r="AF134" s="22">
        <f t="shared" ref="AF134:AF165" si="126">C134/F134-2*C133/F133+C132/F132</f>
        <v>-6.7708890899575991E-7</v>
      </c>
      <c r="AG134" s="22">
        <f t="shared" ref="AG134:AG165" si="127">D134/G134-2*D133/G133+D132/G132</f>
        <v>9.4386816937297446E-7</v>
      </c>
      <c r="AH134" s="22">
        <f t="shared" si="121"/>
        <v>3.5354285248334182E-9</v>
      </c>
      <c r="AI134" s="22"/>
      <c r="AM134" s="23">
        <f t="shared" si="115"/>
        <v>19.703566329476121</v>
      </c>
      <c r="AN134" s="23">
        <f t="shared" si="116"/>
        <v>0.20848438643844885</v>
      </c>
      <c r="AO134" s="23">
        <f t="shared" si="117"/>
        <v>479.94579007780601</v>
      </c>
      <c r="AP134" s="25">
        <f t="shared" si="118"/>
        <v>1891.0555200405317</v>
      </c>
      <c r="AQ134" s="22">
        <f>-X134*V134*W134^(-Parameters!B$53)*Parameters!B$47*Parameters!B$46*M134</f>
        <v>-4.379563085324756E-6</v>
      </c>
      <c r="AR134" s="7">
        <f>1000*EXP(-(Parameters!$B$55)*'6states'!A134)*AP134*Parameters!B$47*Parameters!B$46*M134</f>
        <v>0.47282499196975497</v>
      </c>
      <c r="AS134" s="59">
        <f>SUM(AR134:AR$204)*EXP(Parameters!$B$55*A134)</f>
        <v>2681.3451380766428</v>
      </c>
      <c r="AT134" s="39">
        <f t="shared" ref="AT134:AT197" si="128">(B134+C134+D134)/V134</f>
        <v>0.23595531355521127</v>
      </c>
      <c r="AU134">
        <f>(1/$S134-1/Parameters!$B$13) * LN(Parameters!$B$18) / LN(O134)</f>
        <v>0.20088411831550435</v>
      </c>
      <c r="AV134">
        <f>(Parameters!$B$18*'6states'!S134^+Parameters!$B$19*Parameters!$B$25^'6states'!S134)^((1-'6states'!S134)/'6states'!S134)*Parameters!$B$18*Parameters!$B$26^('6states'!S134-1)</f>
        <v>0.30758465493086712</v>
      </c>
      <c r="AW134">
        <f t="shared" ref="AW134:AW197" si="129">(LN(AV134)-LN(AV$4))/ LN(O134)</f>
        <v>0.18064744314652129</v>
      </c>
      <c r="AX134">
        <f t="shared" ref="AX134:AX197" si="130">1-2^-AU134</f>
        <v>0.12998276764899364</v>
      </c>
      <c r="AY134">
        <f t="shared" ref="AY134:AY197" si="131">1-2^-AV134</f>
        <v>0.19200663841006615</v>
      </c>
      <c r="AZ134">
        <f>(1/$S134-1/Parameters!$B$13) * LN(Parameters!$B$18) / A134</f>
        <v>7.3858544953285298E-3</v>
      </c>
    </row>
    <row r="135" spans="1:52" x14ac:dyDescent="0.25">
      <c r="A135">
        <f>A134+Parameters!$B$71</f>
        <v>131</v>
      </c>
      <c r="B135" s="9">
        <f t="shared" si="114"/>
        <v>-2.9568713141259393E-6</v>
      </c>
      <c r="C135" s="9">
        <f t="shared" si="112"/>
        <v>9.0949993792235756E-2</v>
      </c>
      <c r="D135" s="9">
        <f t="shared" si="113"/>
        <v>0.22597556464516125</v>
      </c>
      <c r="E135" s="7">
        <f>MAX((1-Parameters!$B$4)^Parameters!B$71*E134 + B134*Parameters!B$71 - IF(B134&gt;0,Parameters!$B$5,0)*B134^2/E134*Parameters!B$71, 0.0001)</f>
        <v>1.3580771479541922E-4</v>
      </c>
      <c r="F135" s="7">
        <f>(1-Parameters!$B$4)^Parameters!B$71*F134+C134*Parameters!B$71-Parameters!$B$5*C134^2/F134*Parameters!B$71</f>
        <v>1.3517721522789474</v>
      </c>
      <c r="G135" s="7">
        <f>(1-Parameters!$B$4)^Parameters!B$71*G134+D134*Parameters!B$71-Parameters!$B$5*D134^2/G134*Parameters!B$71</f>
        <v>3.33896239888848</v>
      </c>
      <c r="H135" s="9">
        <f>MAX(H134 * (1-Parameters!$B$4) ^ Parameters!B$71 + (LN(1+EXP(Parameters!$B$21*(-B134+0.004)))/Parameters!$B$21 -0.004) * Parameters!B$71,0)</f>
        <v>1.3994326880863215E-2</v>
      </c>
      <c r="I135" s="23">
        <f>I134*(1+Parameters!$B$52)^Parameters!B$71</f>
        <v>11.924491288883489</v>
      </c>
      <c r="J135" s="23">
        <f>J134*(1+Parameters!$B$54)^Parameters!B$71</f>
        <v>120.78104185751747</v>
      </c>
      <c r="K135" s="23">
        <f>I135*J135*EXP(-Parameters!$B$43*'6states'!A135)*(Parameters!$B$38/Parameters!$B$39*('6states'!E135+'6states'!H135)/Parameters!$E$25*(EXP(-Parameters!$B$39*Parameters!$E$25*'6states'!H135/('6states'!E135+'6states'!H135))-EXP(-Parameters!$B$39*Parameters!$E$25))  +  Parameters!$B$40*'6states'!E135)</f>
        <v>4.1941564928022278E-2</v>
      </c>
      <c r="L135" s="8">
        <f>L134+K135*Parameters!B$71</f>
        <v>3312.7510893797207</v>
      </c>
      <c r="M135" s="7">
        <f>L135*Parameters!$B$46</f>
        <v>1.9876506536278322</v>
      </c>
      <c r="N135" s="9">
        <f>EXP(-Parameters!$B$47/2*M135^2)</f>
        <v>0.96107282834576091</v>
      </c>
      <c r="O135" s="8">
        <f>MAX((Parameters!$B$63 + Parameters!$B$31*'6states'!A135 - '6states'!L135 + Parameters!$B$48/Parameters!$B$46)/Parameters!B$63,1)</f>
        <v>120.1289782124056</v>
      </c>
      <c r="P135" s="59">
        <f>Parameters!B$62*EXP(-Parameters!B$61*A135)</f>
        <v>1.4550248877036735E-2</v>
      </c>
      <c r="Q135" s="59">
        <f>(1-Parameters!B$62)*O135^-Parameters!B$64</f>
        <v>0.3097456571841134</v>
      </c>
      <c r="R135" s="7">
        <f>Parameters!B$62*EXP(-Parameters!B$61*A135)+(1-Parameters!B$62)*O135^-Parameters!B$64</f>
        <v>0.32429590606115011</v>
      </c>
      <c r="S135" s="7">
        <f>1-R135/Parameters!$B$12</f>
        <v>0.83785204696942495</v>
      </c>
      <c r="T135" s="7">
        <f t="shared" si="119"/>
        <v>6.1672070557155738</v>
      </c>
      <c r="U135" s="7">
        <f>(Parameters!$B$19*(E135+Parameters!$B$20)^S135+Parameters!$B$18*F135^S135)^(1/S135)</f>
        <v>0.340986371674107</v>
      </c>
      <c r="V135" s="7">
        <f>(Parameters!$B$10*G135^Parameters!$B$9+Parameters!$B$11*U135^Parameters!$B$9)^(Parameters!$B$7/Parameters!$B$9)*N135</f>
        <v>1.3432397011193007</v>
      </c>
      <c r="W135" s="7">
        <f>V135 - C135 - D135 - LN(1+EXP(Parameters!$B$21*B135))/Parameters!$B$21 - IF(B135&gt;0, 0,Parameters!$B$6*B135^2/E135)</f>
        <v>1.0240048082956597</v>
      </c>
      <c r="X135" s="7">
        <f>EXP(-Parameters!$B$56*A135)</f>
        <v>0.13833181823466795</v>
      </c>
      <c r="Y135" s="7">
        <f>IF(W135&gt;0,W135^(1-Parameters!$B$53)/(1-Parameters!$B$53)*X135*Parameters!$B$71,-10+W135*1000)</f>
        <v>-0.39196595075859525</v>
      </c>
      <c r="AA135" s="22">
        <f t="shared" si="122"/>
        <v>-1.8042473689980493E-3</v>
      </c>
      <c r="AB135" s="22">
        <f t="shared" si="123"/>
        <v>1.0346894673565754E-5</v>
      </c>
      <c r="AC135" s="22">
        <f t="shared" si="124"/>
        <v>-1.423438637891683E-5</v>
      </c>
      <c r="AD135" s="22">
        <f t="shared" si="120"/>
        <v>4.503555912425966E-7</v>
      </c>
      <c r="AE135" s="22">
        <f t="shared" si="125"/>
        <v>-1.8191001452493374E-4</v>
      </c>
      <c r="AF135" s="22">
        <f t="shared" si="126"/>
        <v>-6.3796344343391986E-7</v>
      </c>
      <c r="AG135" s="22">
        <f t="shared" si="127"/>
        <v>8.8806574430333463E-7</v>
      </c>
      <c r="AH135" s="22">
        <f t="shared" si="121"/>
        <v>4.5777386458985986E-9</v>
      </c>
      <c r="AI135" s="22"/>
      <c r="AM135" s="23">
        <f t="shared" si="115"/>
        <v>20.155364016976794</v>
      </c>
      <c r="AN135" s="23">
        <f t="shared" si="116"/>
        <v>0.19559739823989281</v>
      </c>
      <c r="AO135" s="23">
        <f t="shared" si="117"/>
        <v>491.10646795866757</v>
      </c>
      <c r="AP135" s="25">
        <f t="shared" si="118"/>
        <v>1934.6043127759663</v>
      </c>
      <c r="AQ135" s="22">
        <f>-X135*V135*W135^(-Parameters!B$53)*Parameters!B$47*Parameters!B$46*M135</f>
        <v>-4.313752996293421E-6</v>
      </c>
      <c r="AR135" s="7">
        <f>1000*EXP(-(Parameters!$B$55)*'6states'!A135)*AP135*Parameters!B$47*Parameters!B$46*M135</f>
        <v>0.46703567731536483</v>
      </c>
      <c r="AS135" s="59">
        <f>SUM(AR135:AR$204)*EXP(Parameters!$B$55*A135)</f>
        <v>2730.1821882369072</v>
      </c>
      <c r="AT135" s="39">
        <f t="shared" si="128"/>
        <v>0.23593897746023754</v>
      </c>
      <c r="AU135">
        <f>(1/$S135-1/Parameters!$B$13) * LN(Parameters!$B$18) / LN(O135)</f>
        <v>0.20063061296750917</v>
      </c>
      <c r="AV135">
        <f>(Parameters!$B$18*'6states'!S135^+Parameters!$B$19*Parameters!$B$25^'6states'!S135)^((1-'6states'!S135)/'6states'!S135)*Parameters!$B$18*Parameters!$B$26^('6states'!S135-1)</f>
        <v>0.30762497027705632</v>
      </c>
      <c r="AW135">
        <f t="shared" si="129"/>
        <v>0.18033945657251332</v>
      </c>
      <c r="AX135">
        <f t="shared" si="130"/>
        <v>0.12982987781876287</v>
      </c>
      <c r="AY135">
        <f t="shared" si="131"/>
        <v>0.19202921703966769</v>
      </c>
      <c r="AZ135">
        <f>(1/$S135-1/Parameters!$B$13) * LN(Parameters!$B$18) / A135</f>
        <v>7.3338391496815952E-3</v>
      </c>
    </row>
    <row r="136" spans="1:52" x14ac:dyDescent="0.25">
      <c r="A136">
        <f>A135+Parameters!$B$71</f>
        <v>132</v>
      </c>
      <c r="B136" s="9">
        <f t="shared" si="114"/>
        <v>-2.9568713141259393E-6</v>
      </c>
      <c r="C136" s="9">
        <f t="shared" si="112"/>
        <v>9.0949993792235756E-2</v>
      </c>
      <c r="D136" s="9">
        <f t="shared" si="113"/>
        <v>0.22597556464516125</v>
      </c>
      <c r="E136" s="7">
        <f>MAX((1-Parameters!$B$4)^Parameters!B$71*E135 + B135*Parameters!B$71 - IF(B135&gt;0,Parameters!$B$5,0)*B135^2/E135*Parameters!B$71, 0.0001)</f>
        <v>1.2430853822066143E-4</v>
      </c>
      <c r="F136" s="7">
        <f>(1-Parameters!$B$4)^Parameters!B$71*F135+C135*Parameters!B$71-Parameters!$B$5*C135^2/F135*Parameters!B$71</f>
        <v>1.3515763761841755</v>
      </c>
      <c r="G136" s="7">
        <f>(1-Parameters!$B$4)^Parameters!B$71*G135+D135*Parameters!B$71-Parameters!$B$5*D135^2/G135*Parameters!B$71</f>
        <v>3.33962356860303</v>
      </c>
      <c r="H136" s="9">
        <f>MAX(H135 * (1-Parameters!$B$4) ^ Parameters!B$71 + (LN(1+EXP(Parameters!$B$21*(-B135+0.004)))/Parameters!$B$21 -0.004) * Parameters!B$71,0)</f>
        <v>1.3993964606668508E-2</v>
      </c>
      <c r="I136" s="23">
        <f>I135*(1+Parameters!$B$52)^Parameters!B$71</f>
        <v>11.959072313621251</v>
      </c>
      <c r="J136" s="23">
        <f>J135*(1+Parameters!$B$54)^Parameters!B$71</f>
        <v>123.19666269466782</v>
      </c>
      <c r="K136" s="23">
        <f>I136*J136*EXP(-Parameters!$B$43*'6states'!A136)*(Parameters!$B$38/Parameters!$B$39*('6states'!E136+'6states'!H136)/Parameters!$E$25*(EXP(-Parameters!$B$39*Parameters!$E$25*'6states'!H136/('6states'!E136+'6states'!H136))-EXP(-Parameters!$B$39*Parameters!$E$25))  +  Parameters!$B$40*'6states'!E136)</f>
        <v>3.8880872950827997E-2</v>
      </c>
      <c r="L136" s="8">
        <f>L135+K136*Parameters!B$71</f>
        <v>3312.7899702526715</v>
      </c>
      <c r="M136" s="7">
        <f>L136*Parameters!$B$46</f>
        <v>1.9876739821516027</v>
      </c>
      <c r="N136" s="9">
        <f>EXP(-Parameters!$B$47/2*M136^2)</f>
        <v>0.96107193260566293</v>
      </c>
      <c r="O136" s="8">
        <f>MAX((Parameters!$B$63 + Parameters!$B$31*'6states'!A136 - '6states'!L136 + Parameters!$B$48/Parameters!$B$46)/Parameters!B$63,1)</f>
        <v>121.19220059494658</v>
      </c>
      <c r="P136" s="59">
        <f>Parameters!B$62*EXP(-Parameters!B$61*A136)</f>
        <v>1.4162648311440561E-2</v>
      </c>
      <c r="Q136" s="59">
        <f>(1-Parameters!B$62)*O136^-Parameters!B$64</f>
        <v>0.30947283770589779</v>
      </c>
      <c r="R136" s="7">
        <f>Parameters!B$62*EXP(-Parameters!B$61*A136)+(1-Parameters!B$62)*O136^-Parameters!B$64</f>
        <v>0.32363548601733833</v>
      </c>
      <c r="S136" s="7">
        <f>1-R136/Parameters!$B$12</f>
        <v>0.83818225699133087</v>
      </c>
      <c r="T136" s="7">
        <f t="shared" si="119"/>
        <v>6.1797920389139689</v>
      </c>
      <c r="U136" s="7">
        <f>(Parameters!$B$19*(E136+Parameters!$B$20)^S136+Parameters!$B$18*F136^S136)^(1/S136)</f>
        <v>0.34108565259202617</v>
      </c>
      <c r="V136" s="7">
        <f>(Parameters!$B$10*G136^Parameters!$B$9+Parameters!$B$11*U136^Parameters!$B$9)^(Parameters!$B$7/Parameters!$B$9)*N136</f>
        <v>1.3433295516757358</v>
      </c>
      <c r="W136" s="7">
        <f>V136 - C136 - D136 - LN(1+EXP(Parameters!$B$21*B136))/Parameters!$B$21 - IF(B136&gt;0, 0,Parameters!$B$6*B136^2/E136)</f>
        <v>1.0240946290754203</v>
      </c>
      <c r="X136" s="7">
        <f>EXP(-Parameters!$B$56*A136)</f>
        <v>0.13625869921873399</v>
      </c>
      <c r="Y136" s="7">
        <f>IF(W136&gt;0,W136^(1-Parameters!$B$53)/(1-Parameters!$B$53)*X136*Parameters!$B$71,-10+W136*1000)</f>
        <v>-0.38607987447002623</v>
      </c>
      <c r="AA136" s="22">
        <f t="shared" si="122"/>
        <v>-2.0140663142046052E-3</v>
      </c>
      <c r="AB136" s="22">
        <f t="shared" si="123"/>
        <v>9.745816890199821E-6</v>
      </c>
      <c r="AC136" s="22">
        <f t="shared" si="124"/>
        <v>-1.3398784021873E-5</v>
      </c>
      <c r="AD136" s="22">
        <f t="shared" si="120"/>
        <v>5.5276579204139463E-7</v>
      </c>
      <c r="AE136" s="22">
        <f t="shared" si="125"/>
        <v>-2.0981894520655589E-4</v>
      </c>
      <c r="AF136" s="22">
        <f t="shared" si="126"/>
        <v>-6.0107778336593309E-7</v>
      </c>
      <c r="AG136" s="22">
        <f t="shared" si="127"/>
        <v>8.3560235704382979E-7</v>
      </c>
      <c r="AH136" s="22">
        <f t="shared" si="121"/>
        <v>5.9987959497583003E-9</v>
      </c>
      <c r="AI136" s="22"/>
      <c r="AM136" s="23">
        <f t="shared" si="115"/>
        <v>20.61755711905974</v>
      </c>
      <c r="AN136" s="23">
        <f t="shared" si="116"/>
        <v>0.18314598179918201</v>
      </c>
      <c r="AO136" s="23">
        <f t="shared" si="117"/>
        <v>502.52756259343101</v>
      </c>
      <c r="AP136" s="25">
        <f t="shared" si="118"/>
        <v>1979.1513370126297</v>
      </c>
      <c r="AQ136" s="22">
        <f>-X136*V136*W136^(-Parameters!B$53)*Parameters!B$47*Parameters!B$46*M136</f>
        <v>-4.2489356023452052E-6</v>
      </c>
      <c r="AR136" s="7">
        <f>1000*EXP(-(Parameters!$B$55)*'6states'!A136)*AP136*Parameters!B$47*Parameters!B$46*M136</f>
        <v>0.46131573833688649</v>
      </c>
      <c r="AS136" s="59">
        <f>SUM(AR136:AR$204)*EXP(Parameters!$B$55*A136)</f>
        <v>2779.6820604547161</v>
      </c>
      <c r="AT136" s="39">
        <f t="shared" si="128"/>
        <v>0.23592319633759112</v>
      </c>
      <c r="AU136">
        <f>(1/$S136-1/Parameters!$B$13) * LN(Parameters!$B$18) / LN(O136)</f>
        <v>0.20037885828812613</v>
      </c>
      <c r="AV136">
        <f>(Parameters!$B$18*'6states'!S136^+Parameters!$B$19*Parameters!$B$25^'6states'!S136)^((1-'6states'!S136)/'6states'!S136)*Parameters!$B$18*Parameters!$B$26^('6states'!S136-1)</f>
        <v>0.30766425900599337</v>
      </c>
      <c r="AW136">
        <f t="shared" si="129"/>
        <v>0.18003483275367052</v>
      </c>
      <c r="AX136">
        <f t="shared" si="130"/>
        <v>0.12967801723204164</v>
      </c>
      <c r="AY136">
        <f t="shared" si="131"/>
        <v>0.19205122010472508</v>
      </c>
      <c r="AZ136">
        <f>(1/$S136-1/Parameters!$B$13) * LN(Parameters!$B$18) / A136</f>
        <v>7.282523259985246E-3</v>
      </c>
    </row>
    <row r="137" spans="1:52" x14ac:dyDescent="0.25">
      <c r="A137">
        <f>A136+Parameters!$B$71</f>
        <v>133</v>
      </c>
      <c r="B137" s="9">
        <f t="shared" si="114"/>
        <v>-2.9568713141259393E-6</v>
      </c>
      <c r="C137" s="9">
        <f t="shared" ref="C137:C168" si="132">C136</f>
        <v>9.0949993792235756E-2</v>
      </c>
      <c r="D137" s="9">
        <f t="shared" ref="D137:D168" si="133">D136</f>
        <v>0.22597556464516125</v>
      </c>
      <c r="E137" s="7">
        <f>MAX((1-Parameters!$B$4)^Parameters!B$71*E136 + B136*Parameters!B$71 - IF(B136&gt;0,Parameters!$B$5,0)*B136^2/E136*Parameters!B$71, 0.0001)</f>
        <v>1.1353265985245589E-4</v>
      </c>
      <c r="F137" s="7">
        <f>(1-Parameters!$B$4)^Parameters!B$71*F136+C136*Parameters!B$71-Parameters!$B$5*C136^2/F136*Parameters!B$71</f>
        <v>1.351392028023779</v>
      </c>
      <c r="G137" s="7">
        <f>(1-Parameters!$B$4)^Parameters!B$71*G136+D136*Parameters!B$71-Parameters!$B$5*D136^2/G136*Parameters!B$71</f>
        <v>3.3402461785403199</v>
      </c>
      <c r="H137" s="9">
        <f>MAX(H136 * (1-Parameters!$B$4) ^ Parameters!B$71 + (LN(1+EXP(Parameters!$B$21*(-B136+0.004)))/Parameters!$B$21 -0.004) * Parameters!B$71,0)</f>
        <v>1.3993625119520649E-2</v>
      </c>
      <c r="I137" s="23">
        <f>I136*(1+Parameters!$B$52)^Parameters!B$71</f>
        <v>11.99375362333075</v>
      </c>
      <c r="J137" s="23">
        <f>J136*(1+Parameters!$B$54)^Parameters!B$71</f>
        <v>125.66059594856118</v>
      </c>
      <c r="K137" s="23">
        <f>I137*J137*EXP(-Parameters!$B$43*'6states'!A137)*(Parameters!$B$38/Parameters!$B$39*('6states'!E137+'6states'!H137)/Parameters!$E$25*(EXP(-Parameters!$B$39*Parameters!$E$25*'6states'!H137/('6states'!E137+'6states'!H137))-EXP(-Parameters!$B$39*Parameters!$E$25))  +  Parameters!$B$40*'6states'!E137)</f>
        <v>3.5964226034751273E-2</v>
      </c>
      <c r="L137" s="8">
        <f>L136+K137*Parameters!B$71</f>
        <v>3312.8259344787061</v>
      </c>
      <c r="M137" s="7">
        <f>L137*Parameters!$B$46</f>
        <v>1.9876955606872235</v>
      </c>
      <c r="N137" s="9">
        <f>EXP(-Parameters!$B$47/2*M137^2)</f>
        <v>0.96107110405085128</v>
      </c>
      <c r="O137" s="8">
        <f>MAX((Parameters!$B$63 + Parameters!$B$31*'6states'!A137 - '6states'!L137 + Parameters!$B$48/Parameters!$B$46)/Parameters!B$63,1)</f>
        <v>122.25548131042589</v>
      </c>
      <c r="P137" s="59">
        <f>Parameters!B$62*EXP(-Parameters!B$61*A137)</f>
        <v>1.378537294369634E-2</v>
      </c>
      <c r="Q137" s="59">
        <f>(1-Parameters!B$62)*O137^-Parameters!B$64</f>
        <v>0.30920262366107731</v>
      </c>
      <c r="R137" s="7">
        <f>Parameters!B$62*EXP(-Parameters!B$61*A137)+(1-Parameters!B$62)*O137^-Parameters!B$64</f>
        <v>0.32298799660477368</v>
      </c>
      <c r="S137" s="7">
        <f>1-R137/Parameters!$B$12</f>
        <v>0.83850600169761313</v>
      </c>
      <c r="T137" s="7">
        <f t="shared" si="119"/>
        <v>6.1921805795381069</v>
      </c>
      <c r="U137" s="7">
        <f>(Parameters!$B$19*(E137+Parameters!$B$20)^S137+Parameters!$B$18*F137^S137)^(1/S137)</f>
        <v>0.34118541517546602</v>
      </c>
      <c r="V137" s="7">
        <f>(Parameters!$B$10*G137^Parameters!$B$9+Parameters!$B$11*U137^Parameters!$B$9)^(Parameters!$B$7/Parameters!$B$9)*N137</f>
        <v>1.3434163988419798</v>
      </c>
      <c r="W137" s="7">
        <f>V137 - C137 - D137 - LN(1+EXP(Parameters!$B$21*B137))/Parameters!$B$21 - IF(B137&gt;0, 0,Parameters!$B$6*B137^2/E137)</f>
        <v>1.0241814428632454</v>
      </c>
      <c r="X137" s="7">
        <f>EXP(-Parameters!$B$56*A137)</f>
        <v>0.13421664913913783</v>
      </c>
      <c r="Y137" s="7">
        <f>IF(W137&gt;0,W137^(1-Parameters!$B$53)/(1-Parameters!$B$53)*X137*Parameters!$B$71,-10+W137*1000)</f>
        <v>-0.38028258004274895</v>
      </c>
      <c r="AA137" s="22">
        <f t="shared" si="122"/>
        <v>-2.2576849220354508E-3</v>
      </c>
      <c r="AB137" s="22">
        <f t="shared" si="123"/>
        <v>9.1795107970277234E-6</v>
      </c>
      <c r="AC137" s="22">
        <f t="shared" si="124"/>
        <v>-1.261251033610189E-5</v>
      </c>
      <c r="AD137" s="22">
        <f t="shared" si="120"/>
        <v>6.8415387314065407E-7</v>
      </c>
      <c r="AE137" s="22">
        <f t="shared" si="125"/>
        <v>-2.4361860783084568E-4</v>
      </c>
      <c r="AF137" s="22">
        <f t="shared" si="126"/>
        <v>-5.6630609317209757E-7</v>
      </c>
      <c r="AG137" s="22">
        <f t="shared" si="127"/>
        <v>7.8627368577111056E-7</v>
      </c>
      <c r="AH137" s="22">
        <f t="shared" si="121"/>
        <v>7.9658876468619809E-9</v>
      </c>
      <c r="AI137" s="22"/>
      <c r="AM137" s="23">
        <f t="shared" si="115"/>
        <v>21.090383339982722</v>
      </c>
      <c r="AN137" s="23">
        <f t="shared" si="116"/>
        <v>0.1711098659171586</v>
      </c>
      <c r="AO137" s="23">
        <f t="shared" si="117"/>
        <v>514.21494677772432</v>
      </c>
      <c r="AP137" s="25">
        <f t="shared" si="118"/>
        <v>2024.7195844393912</v>
      </c>
      <c r="AQ137" s="22">
        <f>-X137*V137*W137^(-Parameters!B$53)*Parameters!B$47*Parameters!B$46*M137</f>
        <v>-4.185095709866842E-6</v>
      </c>
      <c r="AR137" s="7">
        <f>1000*EXP(-(Parameters!$B$55)*'6states'!A137)*AP137*Parameters!B$47*Parameters!B$46*M137</f>
        <v>0.4556644313515435</v>
      </c>
      <c r="AS137" s="59">
        <f>SUM(AR137:AR$204)*EXP(Parameters!$B$55*A137)</f>
        <v>2829.8436671278437</v>
      </c>
      <c r="AT137" s="39">
        <f t="shared" si="128"/>
        <v>0.23590794472902746</v>
      </c>
      <c r="AU137">
        <f>(1/$S137-1/Parameters!$B$13) * LN(Parameters!$B$18) / LN(O137)</f>
        <v>0.20012884084051757</v>
      </c>
      <c r="AV137">
        <f>(Parameters!$B$18*'6states'!S137^+Parameters!$B$19*Parameters!$B$25^'6states'!S137)^((1-'6states'!S137)/'6states'!S137)*Parameters!$B$18*Parameters!$B$26^('6states'!S137-1)</f>
        <v>0.30770255472325075</v>
      </c>
      <c r="AW137">
        <f t="shared" si="129"/>
        <v>0.17973351159061027</v>
      </c>
      <c r="AX137">
        <f t="shared" si="130"/>
        <v>0.12952717832971261</v>
      </c>
      <c r="AY137">
        <f t="shared" si="131"/>
        <v>0.19207266647176913</v>
      </c>
      <c r="AZ137">
        <f>(1/$S137-1/Parameters!$B$13) * LN(Parameters!$B$18) / A137</f>
        <v>7.2318933570144593E-3</v>
      </c>
    </row>
    <row r="138" spans="1:52" x14ac:dyDescent="0.25">
      <c r="A138">
        <f>A137+Parameters!$B$71</f>
        <v>134</v>
      </c>
      <c r="B138" s="9">
        <f t="shared" si="114"/>
        <v>-2.9568713141259393E-6</v>
      </c>
      <c r="C138" s="9">
        <f t="shared" si="132"/>
        <v>9.0949993792235756E-2</v>
      </c>
      <c r="D138" s="9">
        <f t="shared" si="133"/>
        <v>0.22597556464516125</v>
      </c>
      <c r="E138" s="7">
        <f>MAX((1-Parameters!$B$4)^Parameters!B$71*E137 + B137*Parameters!B$71 - IF(B137&gt;0,Parameters!$B$5,0)*B137^2/E137*Parameters!B$71, 0.0001)</f>
        <v>1.0343458423361048E-4</v>
      </c>
      <c r="F138" s="7">
        <f>(1-Parameters!$B$4)^Parameters!B$71*F137+C137*Parameters!B$71-Parameters!$B$5*C137^2/F137*Parameters!B$71</f>
        <v>1.3512184404862215</v>
      </c>
      <c r="G138" s="7">
        <f>(1-Parameters!$B$4)^Parameters!B$71*G137+D137*Parameters!B$71-Parameters!$B$5*D137^2/G137*Parameters!B$71</f>
        <v>3.3408324764316988</v>
      </c>
      <c r="H138" s="9">
        <f>MAX(H137 * (1-Parameters!$B$4) ^ Parameters!B$71 + (LN(1+EXP(Parameters!$B$21*(-B137+0.004)))/Parameters!$B$21 -0.004) * Parameters!B$71,0)</f>
        <v>1.399330698611439E-2</v>
      </c>
      <c r="I138" s="23">
        <f>I137*(1+Parameters!$B$52)^Parameters!B$71</f>
        <v>12.028535508838408</v>
      </c>
      <c r="J138" s="23">
        <f>J137*(1+Parameters!$B$54)^Parameters!B$71</f>
        <v>128.17380786753242</v>
      </c>
      <c r="K138" s="23">
        <f>I138*J138*EXP(-Parameters!$B$43*'6states'!A138)*(Parameters!$B$38/Parameters!$B$39*('6states'!E138+'6states'!H138)/Parameters!$E$25*(EXP(-Parameters!$B$39*Parameters!$E$25*'6states'!H138/('6states'!E138+'6states'!H138))-EXP(-Parameters!$B$39*Parameters!$E$25))  +  Parameters!$B$40*'6states'!E138)</f>
        <v>3.3184137728989996E-2</v>
      </c>
      <c r="L138" s="8">
        <f>L137+K138*Parameters!B$71</f>
        <v>3312.8591186164349</v>
      </c>
      <c r="M138" s="7">
        <f>L138*Parameters!$B$46</f>
        <v>1.9877154711698608</v>
      </c>
      <c r="N138" s="9">
        <f>EXP(-Parameters!$B$47/2*M138^2)</f>
        <v>0.9610703395372171</v>
      </c>
      <c r="O138" s="8">
        <f>MAX((Parameters!$B$63 + Parameters!$B$31*'6states'!A138 - '6states'!L138 + Parameters!$B$48/Parameters!$B$46)/Parameters!B$63,1)</f>
        <v>123.31881762767131</v>
      </c>
      <c r="P138" s="59">
        <f>Parameters!B$62*EXP(-Parameters!B$61*A138)</f>
        <v>1.3418147723352271E-2</v>
      </c>
      <c r="Q138" s="59">
        <f>(1-Parameters!B$62)*O138^-Parameters!B$64</f>
        <v>0.30893496852760233</v>
      </c>
      <c r="R138" s="7">
        <f>Parameters!B$62*EXP(-Parameters!B$61*A138)+(1-Parameters!B$62)*O138^-Parameters!B$64</f>
        <v>0.32235311625095459</v>
      </c>
      <c r="S138" s="7">
        <f>1-R138/Parameters!$B$12</f>
        <v>0.83882344187452273</v>
      </c>
      <c r="T138" s="7">
        <f t="shared" si="119"/>
        <v>6.2043761923585183</v>
      </c>
      <c r="U138" s="7">
        <f>(Parameters!$B$19*(E138+Parameters!$B$20)^S138+Parameters!$B$18*F138^S138)^(1/S138)</f>
        <v>0.34128552264931883</v>
      </c>
      <c r="V138" s="7">
        <f>(Parameters!$B$10*G138^Parameters!$B$9+Parameters!$B$11*U138^Parameters!$B$9)^(Parameters!$B$7/Parameters!$B$9)*N138</f>
        <v>1.3435003787522839</v>
      </c>
      <c r="W138" s="7">
        <f>V138 - C138 - D138 - LN(1+EXP(Parameters!$B$21*B138))/Parameters!$B$21 - IF(B138&gt;0, 0,Parameters!$B$6*B138^2/E138)</f>
        <v>1.0242653851822892</v>
      </c>
      <c r="X138" s="7">
        <f>EXP(-Parameters!$B$56*A138)</f>
        <v>0.13220520237919381</v>
      </c>
      <c r="Y138" s="7">
        <f>IF(W138&gt;0,W138^(1-Parameters!$B$53)/(1-Parameters!$B$53)*X138*Parameters!$B$71,-10+W138*1000)</f>
        <v>-0.37457270504657197</v>
      </c>
      <c r="AA138" s="22">
        <f t="shared" si="122"/>
        <v>-2.5426375524049416E-3</v>
      </c>
      <c r="AB138" s="22">
        <f t="shared" si="123"/>
        <v>8.6459814620659659E-6</v>
      </c>
      <c r="AC138" s="22">
        <f t="shared" si="124"/>
        <v>-1.1872621915098858E-5</v>
      </c>
      <c r="AD138" s="22">
        <f t="shared" si="120"/>
        <v>8.5473590824660768E-7</v>
      </c>
      <c r="AE138" s="22">
        <f t="shared" si="125"/>
        <v>-2.8495263036949076E-4</v>
      </c>
      <c r="AF138" s="22">
        <f t="shared" si="126"/>
        <v>-5.3352933496175758E-7</v>
      </c>
      <c r="AG138" s="22">
        <f t="shared" si="127"/>
        <v>7.3988842100303209E-7</v>
      </c>
      <c r="AH138" s="22">
        <f t="shared" si="121"/>
        <v>1.0734908234716523E-8</v>
      </c>
      <c r="AI138" s="22"/>
      <c r="AM138" s="23">
        <f t="shared" si="115"/>
        <v>21.574085880686493</v>
      </c>
      <c r="AN138" s="23">
        <f t="shared" si="116"/>
        <v>0.15946956680814231</v>
      </c>
      <c r="AO138" s="23">
        <f t="shared" si="117"/>
        <v>526.17463354285269</v>
      </c>
      <c r="AP138" s="25">
        <f t="shared" si="118"/>
        <v>2071.3325721145343</v>
      </c>
      <c r="AQ138" s="22">
        <f>-X138*V138*W138^(-Parameters!B$53)*Parameters!B$47*Parameters!B$46*M138</f>
        <v>-4.1222183728943137E-6</v>
      </c>
      <c r="AR138" s="7">
        <f>1000*EXP(-(Parameters!$B$55)*'6states'!A138)*AP138*Parameters!B$47*Parameters!B$46*M138</f>
        <v>0.45008101501155323</v>
      </c>
      <c r="AS138" s="59">
        <f>SUM(AR138:AR$204)*EXP(Parameters!$B$55*A138)</f>
        <v>2880.665310971895</v>
      </c>
      <c r="AT138" s="39">
        <f t="shared" si="128"/>
        <v>0.23589319852697818</v>
      </c>
      <c r="AU138">
        <f>(1/$S138-1/Parameters!$B$13) * LN(Parameters!$B$18) / LN(O138)</f>
        <v>0.19988054726191354</v>
      </c>
      <c r="AV138">
        <f>(Parameters!$B$18*'6states'!S138^+Parameters!$B$19*Parameters!$B$25^'6states'!S138)^((1-'6states'!S138)/'6states'!S138)*Parameters!$B$18*Parameters!$B$26^('6states'!S138-1)</f>
        <v>0.30773988977224886</v>
      </c>
      <c r="AW138">
        <f t="shared" si="129"/>
        <v>0.17943543443429349</v>
      </c>
      <c r="AX138">
        <f t="shared" si="130"/>
        <v>0.12937735358812064</v>
      </c>
      <c r="AY138">
        <f t="shared" si="131"/>
        <v>0.19209357429735263</v>
      </c>
      <c r="AZ138">
        <f>(1/$S138-1/Parameters!$B$13) * LN(Parameters!$B$18) / A138</f>
        <v>7.1819363075122178E-3</v>
      </c>
    </row>
    <row r="139" spans="1:52" x14ac:dyDescent="0.25">
      <c r="A139">
        <f>A138+Parameters!$B$71</f>
        <v>135</v>
      </c>
      <c r="B139" s="9">
        <f t="shared" si="114"/>
        <v>-2.9568713141259393E-6</v>
      </c>
      <c r="C139" s="9">
        <f t="shared" si="132"/>
        <v>9.0949993792235756E-2</v>
      </c>
      <c r="D139" s="9">
        <f t="shared" si="133"/>
        <v>0.22597556464516125</v>
      </c>
      <c r="E139" s="7">
        <f>MAX((1-Parameters!$B$4)^Parameters!B$71*E138 + B138*Parameters!B$71 - IF(B138&gt;0,Parameters!$B$5,0)*B138^2/E138*Parameters!B$71, 0.0001)</f>
        <v>1E-4</v>
      </c>
      <c r="F139" s="7">
        <f>(1-Parameters!$B$4)^Parameters!B$71*F138+C138*Parameters!B$71-Parameters!$B$5*C138^2/F138*Parameters!B$71</f>
        <v>1.3510549852528162</v>
      </c>
      <c r="G139" s="7">
        <f>(1-Parameters!$B$4)^Parameters!B$71*G138+D138*Parameters!B$71-Parameters!$B$5*D138^2/G138*Parameters!B$71</f>
        <v>3.3413845791081513</v>
      </c>
      <c r="H139" s="9">
        <f>MAX(H138 * (1-Parameters!$B$4) ^ Parameters!B$71 + (LN(1+EXP(Parameters!$B$21*(-B138+0.004)))/Parameters!$B$21 -0.004) * Parameters!B$71,0)</f>
        <v>1.3993008863299385E-2</v>
      </c>
      <c r="I139" s="23">
        <f>I138*(1+Parameters!$B$52)^Parameters!B$71</f>
        <v>12.063418261814038</v>
      </c>
      <c r="J139" s="23">
        <f>J138*(1+Parameters!$B$54)^Parameters!B$71</f>
        <v>130.73728402488308</v>
      </c>
      <c r="K139" s="23">
        <f>I139*J139*EXP(-Parameters!$B$43*'6states'!A139)*(Parameters!$B$38/Parameters!$B$39*('6states'!E139+'6states'!H139)/Parameters!$E$25*(EXP(-Parameters!$B$39*Parameters!$E$25*'6states'!H139/('6states'!E139+'6states'!H139))-EXP(-Parameters!$B$39*Parameters!$E$25))  +  Parameters!$B$40*'6states'!E139)</f>
        <v>3.2492237751783316E-2</v>
      </c>
      <c r="L139" s="8">
        <f>L138+K139*Parameters!B$71</f>
        <v>3312.8916108541866</v>
      </c>
      <c r="M139" s="7">
        <f>L139*Parameters!$B$46</f>
        <v>1.9877349665125119</v>
      </c>
      <c r="N139" s="9">
        <f>EXP(-Parameters!$B$47/2*M139^2)</f>
        <v>0.96106959095710787</v>
      </c>
      <c r="O139" s="8">
        <f>MAX((Parameters!$B$63 + Parameters!$B$31*'6states'!A139 - '6states'!L139 + Parameters!$B$48/Parameters!$B$46)/Parameters!B$63,1)</f>
        <v>124.38216778291626</v>
      </c>
      <c r="P139" s="59">
        <f>Parameters!B$62*EXP(-Parameters!B$61*A139)</f>
        <v>1.3060704926959116E-2</v>
      </c>
      <c r="Q139" s="59">
        <f>(1-Parameters!B$62)*O139^-Parameters!B$64</f>
        <v>0.30866983669602016</v>
      </c>
      <c r="R139" s="7">
        <f>Parameters!B$62*EXP(-Parameters!B$61*A139)+(1-Parameters!B$62)*O139^-Parameters!B$64</f>
        <v>0.32173054162297926</v>
      </c>
      <c r="S139" s="7">
        <f>1-R139/Parameters!$B$12</f>
        <v>0.8391347291885104</v>
      </c>
      <c r="T139" s="7">
        <f t="shared" si="119"/>
        <v>6.2163821622620627</v>
      </c>
      <c r="U139" s="7">
        <f>(Parameters!$B$19*(E139+Parameters!$B$20)^S139+Parameters!$B$18*F139^S139)^(1/S139)</f>
        <v>0.34139324059861442</v>
      </c>
      <c r="V139" s="7">
        <f>(Parameters!$B$10*G139^Parameters!$B$9+Parameters!$B$11*U139^Parameters!$B$9)^(Parameters!$B$7/Parameters!$B$9)*N139</f>
        <v>1.3435841853014083</v>
      </c>
      <c r="W139" s="7">
        <f>V139 - C139 - D139 - LN(1+EXP(Parameters!$B$21*B139))/Parameters!$B$21 - IF(B139&gt;0, 0,Parameters!$B$6*B139^2/E139)</f>
        <v>1.0243491772155375</v>
      </c>
      <c r="X139" s="7">
        <f>EXP(-Parameters!$B$56*A139)</f>
        <v>0.13022390030021183</v>
      </c>
      <c r="Y139" s="7">
        <f>IF(W139&gt;0,W139^(1-Parameters!$B$53)/(1-Parameters!$B$53)*X139*Parameters!$B$71,-10+W139*1000)</f>
        <v>-0.36894858261601021</v>
      </c>
      <c r="AA139" s="22">
        <f t="shared" si="122"/>
        <v>-9.8184022989595415E-4</v>
      </c>
      <c r="AB139" s="22">
        <f t="shared" si="123"/>
        <v>8.1433465291685936E-6</v>
      </c>
      <c r="AC139" s="22">
        <f t="shared" si="124"/>
        <v>-1.1176354535083477E-5</v>
      </c>
      <c r="AD139" s="22">
        <f t="shared" si="120"/>
        <v>1.2556207506143311E-7</v>
      </c>
      <c r="AE139" s="22">
        <f t="shared" si="125"/>
        <v>1.5607973225089875E-3</v>
      </c>
      <c r="AF139" s="22">
        <f t="shared" si="126"/>
        <v>-5.0263493289737227E-7</v>
      </c>
      <c r="AG139" s="22">
        <f t="shared" si="127"/>
        <v>6.9626738001538069E-7</v>
      </c>
      <c r="AH139" s="22">
        <f t="shared" si="121"/>
        <v>3.1723701358235963E-7</v>
      </c>
      <c r="AI139" s="22"/>
      <c r="AM139" s="23">
        <f t="shared" si="115"/>
        <v>22.068913563354212</v>
      </c>
      <c r="AN139" s="23">
        <f t="shared" si="116"/>
        <v>0.15771385396057433</v>
      </c>
      <c r="AO139" s="23">
        <f t="shared" si="117"/>
        <v>538.42443690897085</v>
      </c>
      <c r="AP139" s="25">
        <f t="shared" si="118"/>
        <v>2119.0183998436355</v>
      </c>
      <c r="AQ139" s="22">
        <f>-X139*V139*W139^(-Parameters!B$53)*Parameters!B$47*Parameters!B$46*M139</f>
        <v>-4.0602851647771543E-6</v>
      </c>
      <c r="AR139" s="7">
        <f>1000*EXP(-(Parameters!$B$55)*'6states'!A139)*AP139*Parameters!B$47*Parameters!B$46*M139</f>
        <v>0.44456586224185096</v>
      </c>
      <c r="AS139" s="59">
        <f>SUM(AR139:AR$204)*EXP(Parameters!$B$55*A139)</f>
        <v>2932.1446502262465</v>
      </c>
      <c r="AT139" s="39">
        <f t="shared" si="128"/>
        <v>0.23587848460346914</v>
      </c>
      <c r="AU139">
        <f>(1/$S139-1/Parameters!$B$13) * LN(Parameters!$B$18) / LN(O139)</f>
        <v>0.1996339755926724</v>
      </c>
      <c r="AV139">
        <f>(Parameters!$B$18*'6states'!S139^+Parameters!$B$19*Parameters!$B$25^'6states'!S139)^((1-'6states'!S139)/'6states'!S139)*Parameters!$B$18*Parameters!$B$26^('6states'!S139-1)</f>
        <v>0.30777629472046425</v>
      </c>
      <c r="AW139">
        <f t="shared" si="129"/>
        <v>0.17914055535800852</v>
      </c>
      <c r="AX139">
        <f t="shared" si="130"/>
        <v>0.12922854235711589</v>
      </c>
      <c r="AY139">
        <f t="shared" si="131"/>
        <v>0.1921139607405522</v>
      </c>
      <c r="AZ139">
        <f>(1/$S139-1/Parameters!$B$13) * LN(Parameters!$B$18) / A139</f>
        <v>7.1326392429018554E-3</v>
      </c>
    </row>
    <row r="140" spans="1:52" x14ac:dyDescent="0.25">
      <c r="A140">
        <f>A139+Parameters!$B$71</f>
        <v>136</v>
      </c>
      <c r="B140" s="9">
        <f t="shared" si="114"/>
        <v>-2.9568713141259393E-6</v>
      </c>
      <c r="C140" s="9">
        <f t="shared" si="132"/>
        <v>9.0949993792235756E-2</v>
      </c>
      <c r="D140" s="9">
        <f t="shared" si="133"/>
        <v>0.22597556464516125</v>
      </c>
      <c r="E140" s="7">
        <f>MAX((1-Parameters!$B$4)^Parameters!B$71*E139 + B139*Parameters!B$71 - IF(B139&gt;0,Parameters!$B$5,0)*B139^2/E139*Parameters!B$71, 0.0001)</f>
        <v>1E-4</v>
      </c>
      <c r="F140" s="7">
        <f>(1-Parameters!$B$4)^Parameters!B$71*F139+C139*Parameters!B$71-Parameters!$B$5*C139^2/F139*Parameters!B$71</f>
        <v>1.3509010707162756</v>
      </c>
      <c r="G140" s="7">
        <f>(1-Parameters!$B$4)^Parameters!B$71*G139+D139*Parameters!B$71-Parameters!$B$5*D139^2/G139*Parameters!B$71</f>
        <v>3.3419044801092816</v>
      </c>
      <c r="H140" s="9">
        <f>MAX(H139 * (1-Parameters!$B$4) ^ Parameters!B$71 + (LN(1+EXP(Parameters!$B$21*(-B139+0.004)))/Parameters!$B$21 -0.004) * Parameters!B$71,0)</f>
        <v>1.3992729492409444E-2</v>
      </c>
      <c r="I140" s="23">
        <f>I139*(1+Parameters!$B$52)^Parameters!B$71</f>
        <v>12.098402174773296</v>
      </c>
      <c r="J140" s="23">
        <f>J139*(1+Parameters!$B$54)^Parameters!B$71</f>
        <v>133.35202970538074</v>
      </c>
      <c r="K140" s="23">
        <f>I140*J140*EXP(-Parameters!$B$43*'6states'!A140)*(Parameters!$B$38/Parameters!$B$39*('6states'!E140+'6states'!H140)/Parameters!$E$25*(EXP(-Parameters!$B$39*Parameters!$E$25*'6states'!H140/('6states'!E140+'6states'!H140))-EXP(-Parameters!$B$39*Parameters!$E$25))  +  Parameters!$B$40*'6states'!E140)</f>
        <v>3.2907468984477675E-2</v>
      </c>
      <c r="L140" s="8">
        <f>L139+K140*Parameters!B$71</f>
        <v>3312.924518323171</v>
      </c>
      <c r="M140" s="7">
        <f>L140*Parameters!$B$46</f>
        <v>1.9877547109939024</v>
      </c>
      <c r="N140" s="9">
        <f>EXP(-Parameters!$B$47/2*M140^2)</f>
        <v>0.9610688328037067</v>
      </c>
      <c r="O140" s="8">
        <f>MAX((Parameters!$B$63 + Parameters!$B$31*'6states'!A140 - '6states'!L140 + Parameters!$B$48/Parameters!$B$46)/Parameters!B$63,1)</f>
        <v>125.4455096335366</v>
      </c>
      <c r="P140" s="59">
        <f>Parameters!B$62*EXP(-Parameters!B$61*A140)</f>
        <v>1.2712783962887947E-2</v>
      </c>
      <c r="Q140" s="59">
        <f>(1-Parameters!B$62)*O140^-Parameters!B$64</f>
        <v>0.30840718855567506</v>
      </c>
      <c r="R140" s="7">
        <f>Parameters!B$62*EXP(-Parameters!B$61*A140)+(1-Parameters!B$62)*O140^-Parameters!B$64</f>
        <v>0.321119972518563</v>
      </c>
      <c r="S140" s="7">
        <f>1-R140/Parameters!$B$12</f>
        <v>0.83944001374071853</v>
      </c>
      <c r="T140" s="7">
        <f t="shared" si="119"/>
        <v>6.2282018284751386</v>
      </c>
      <c r="U140" s="7">
        <f>(Parameters!$B$19*(E140+Parameters!$B$20)^S140+Parameters!$B$18*F140^S140)^(1/S140)</f>
        <v>0.34150452293390038</v>
      </c>
      <c r="V140" s="7">
        <f>(Parameters!$B$10*G140^Parameters!$B$9+Parameters!$B$11*U140^Parameters!$B$9)^(Parameters!$B$7/Parameters!$B$9)*N140</f>
        <v>1.3436665074468226</v>
      </c>
      <c r="W140" s="7">
        <f>V140 - C140 - D140 - LN(1+EXP(Parameters!$B$21*B140))/Parameters!$B$21 - IF(B140&gt;0, 0,Parameters!$B$6*B140^2/E140)</f>
        <v>1.0244314993609518</v>
      </c>
      <c r="X140" s="7">
        <f>EXP(-Parameters!$B$56*A140)</f>
        <v>0.12827229113692101</v>
      </c>
      <c r="Y140" s="7">
        <f>IF(W140&gt;0,W140^(1-Parameters!$B$53)/(1-Parameters!$B$53)*X140*Parameters!$B$71,-10+W140*1000)</f>
        <v>-0.36340908843327285</v>
      </c>
      <c r="AA140" s="22">
        <f t="shared" si="122"/>
        <v>0</v>
      </c>
      <c r="AB140" s="22">
        <f t="shared" si="123"/>
        <v>7.6698300790073448E-6</v>
      </c>
      <c r="AC140" s="22">
        <f t="shared" si="124"/>
        <v>-1.0521111846670261E-5</v>
      </c>
      <c r="AD140" s="22">
        <f t="shared" si="120"/>
        <v>2.1744730072640543E-11</v>
      </c>
      <c r="AE140" s="22">
        <f t="shared" si="125"/>
        <v>9.8184022989595415E-4</v>
      </c>
      <c r="AF140" s="22">
        <f t="shared" si="126"/>
        <v>-4.7351645016124877E-7</v>
      </c>
      <c r="AG140" s="22">
        <f t="shared" si="127"/>
        <v>6.5524268841321565E-7</v>
      </c>
      <c r="AH140" s="22">
        <f t="shared" si="121"/>
        <v>1.2365588561858404E-7</v>
      </c>
      <c r="AI140" s="22"/>
      <c r="AM140" s="23">
        <f t="shared" si="115"/>
        <v>22.575120958898061</v>
      </c>
      <c r="AN140" s="23">
        <f t="shared" si="116"/>
        <v>0.16133464861980118</v>
      </c>
      <c r="AO140" s="23">
        <f t="shared" si="117"/>
        <v>550.96512209613638</v>
      </c>
      <c r="AP140" s="25">
        <f t="shared" si="118"/>
        <v>2167.7996384112857</v>
      </c>
      <c r="AQ140" s="22">
        <f>-X140*V140*W140^(-Parameters!B$53)*Parameters!B$47*Parameters!B$46*M140</f>
        <v>-3.9992863061646912E-6</v>
      </c>
      <c r="AR140" s="7">
        <f>1000*EXP(-(Parameters!$B$55)*'6states'!A140)*AP140*Parameters!B$47*Parameters!B$46*M140</f>
        <v>0.43911785861419894</v>
      </c>
      <c r="AS140" s="59">
        <f>SUM(AR140:AR$204)*EXP(Parameters!$B$55*A140)</f>
        <v>2984.2785307725303</v>
      </c>
      <c r="AT140" s="39">
        <f t="shared" si="128"/>
        <v>0.23586403308383833</v>
      </c>
      <c r="AU140">
        <f>(1/$S140-1/Parameters!$B$13) * LN(Parameters!$B$18) / LN(O140)</f>
        <v>0.19938911785621921</v>
      </c>
      <c r="AV140">
        <f>(Parameters!$B$18*'6states'!S140^+Parameters!$B$19*Parameters!$B$25^'6states'!S140)^((1-'6states'!S140)/'6states'!S140)*Parameters!$B$18*Parameters!$B$26^('6states'!S140-1)</f>
        <v>0.3078117992882638</v>
      </c>
      <c r="AW140">
        <f t="shared" si="129"/>
        <v>0.17884882370842936</v>
      </c>
      <c r="AX140">
        <f t="shared" si="130"/>
        <v>0.12908074034992545</v>
      </c>
      <c r="AY140">
        <f t="shared" si="131"/>
        <v>0.19213384248332832</v>
      </c>
      <c r="AZ140">
        <f>(1/$S140-1/Parameters!$B$13) * LN(Parameters!$B$18) / A140</f>
        <v>7.0839896442113134E-3</v>
      </c>
    </row>
    <row r="141" spans="1:52" x14ac:dyDescent="0.25">
      <c r="A141">
        <f>A140+Parameters!$B$71</f>
        <v>137</v>
      </c>
      <c r="B141" s="9">
        <f t="shared" si="114"/>
        <v>-2.9568713141259393E-6</v>
      </c>
      <c r="C141" s="9">
        <f t="shared" si="132"/>
        <v>9.0949993792235756E-2</v>
      </c>
      <c r="D141" s="9">
        <f t="shared" si="133"/>
        <v>0.22597556464516125</v>
      </c>
      <c r="E141" s="7">
        <f>MAX((1-Parameters!$B$4)^Parameters!B$71*E140 + B140*Parameters!B$71 - IF(B140&gt;0,Parameters!$B$5,0)*B140^2/E140*Parameters!B$71, 0.0001)</f>
        <v>1E-4</v>
      </c>
      <c r="F141" s="7">
        <f>(1-Parameters!$B$4)^Parameters!B$71*F140+C140*Parameters!B$71-Parameters!$B$5*C140^2/F140*Parameters!B$71</f>
        <v>1.3507561398330854</v>
      </c>
      <c r="G141" s="7">
        <f>(1-Parameters!$B$4)^Parameters!B$71*G140+D140*Parameters!B$71-Parameters!$B$5*D140^2/G140*Parameters!B$71</f>
        <v>3.342394056851631</v>
      </c>
      <c r="H141" s="9">
        <f>MAX(H140 * (1-Parameters!$B$4) ^ Parameters!B$71 + (LN(1+EXP(Parameters!$B$21*(-B140+0.004)))/Parameters!$B$21 -0.004) * Parameters!B$71,0)</f>
        <v>1.399246769394848E-2</v>
      </c>
      <c r="I141" s="23">
        <f>I140*(1+Parameters!$B$52)^Parameters!B$71</f>
        <v>12.133487541080138</v>
      </c>
      <c r="J141" s="23">
        <f>J140*(1+Parameters!$B$54)^Parameters!B$71</f>
        <v>136.01907029948836</v>
      </c>
      <c r="K141" s="23">
        <f>I141*J141*EXP(-Parameters!$B$43*'6states'!A141)*(Parameters!$B$38/Parameters!$B$39*('6states'!E141+'6states'!H141)/Parameters!$E$25*(EXP(-Parameters!$B$39*Parameters!$E$25*'6states'!H141/('6states'!E141+'6states'!H141))-EXP(-Parameters!$B$39*Parameters!$E$25))  +  Parameters!$B$40*'6states'!E141)</f>
        <v>3.3328006622287062E-2</v>
      </c>
      <c r="L141" s="8">
        <f>L140+K141*Parameters!B$71</f>
        <v>3312.9578463297935</v>
      </c>
      <c r="M141" s="7">
        <f>L141*Parameters!$B$46</f>
        <v>1.987774707797876</v>
      </c>
      <c r="N141" s="9">
        <f>EXP(-Parameters!$B$47/2*M141^2)</f>
        <v>0.96106806495449526</v>
      </c>
      <c r="O141" s="8">
        <f>MAX((Parameters!$B$63 + Parameters!$B$31*'6states'!A141 - '6states'!L141 + Parameters!$B$48/Parameters!$B$46)/Parameters!B$63,1)</f>
        <v>126.50884307340414</v>
      </c>
      <c r="P141" s="59">
        <f>Parameters!B$62*EXP(-Parameters!B$61*A141)</f>
        <v>1.2374131181347293E-2</v>
      </c>
      <c r="Q141" s="59">
        <f>(1-Parameters!B$62)*O141^-Parameters!B$64</f>
        <v>0.30814698010463037</v>
      </c>
      <c r="R141" s="7">
        <f>Parameters!B$62*EXP(-Parameters!B$61*A141)+(1-Parameters!B$62)*O141^-Parameters!B$64</f>
        <v>0.32052111128597766</v>
      </c>
      <c r="S141" s="7">
        <f>1-R141/Parameters!$B$12</f>
        <v>0.8397394443570112</v>
      </c>
      <c r="T141" s="7">
        <f t="shared" si="119"/>
        <v>6.2398385927707141</v>
      </c>
      <c r="U141" s="7">
        <f>(Parameters!$B$19*(E141+Parameters!$B$20)^S141+Parameters!$B$18*F141^S141)^(1/S141)</f>
        <v>0.34161509475578472</v>
      </c>
      <c r="V141" s="7">
        <f>(Parameters!$B$10*G141^Parameters!$B$9+Parameters!$B$11*U141^Parameters!$B$9)^(Parameters!$B$7/Parameters!$B$9)*N141</f>
        <v>1.3437459821605717</v>
      </c>
      <c r="W141" s="7">
        <f>V141 - C141 - D141 - LN(1+EXP(Parameters!$B$21*B141))/Parameters!$B$21 - IF(B141&gt;0, 0,Parameters!$B$6*B141^2/E141)</f>
        <v>1.0245109740747009</v>
      </c>
      <c r="X141" s="7">
        <f>EXP(-Parameters!$B$56*A141)</f>
        <v>0.12634992989446087</v>
      </c>
      <c r="Y141" s="7">
        <f>IF(W141&gt;0,W141^(1-Parameters!$B$53)/(1-Parameters!$B$53)*X141*Parameters!$B$71,-10+W141*1000)</f>
        <v>-0.35795311473014424</v>
      </c>
      <c r="AA141" s="22">
        <f t="shared" si="122"/>
        <v>0</v>
      </c>
      <c r="AB141" s="22">
        <f t="shared" si="123"/>
        <v>7.2237568003313823E-6</v>
      </c>
      <c r="AC141" s="22">
        <f t="shared" si="124"/>
        <v>-9.9044548253213183E-6</v>
      </c>
      <c r="AD141" s="22">
        <f t="shared" si="120"/>
        <v>1.8987979625014101E-11</v>
      </c>
      <c r="AE141" s="22">
        <f t="shared" si="125"/>
        <v>0</v>
      </c>
      <c r="AF141" s="22">
        <f t="shared" si="126"/>
        <v>-4.4607327867596247E-7</v>
      </c>
      <c r="AG141" s="22">
        <f t="shared" si="127"/>
        <v>6.1665702134894307E-7</v>
      </c>
      <c r="AH141" s="22">
        <f t="shared" si="121"/>
        <v>7.318784967262069E-14</v>
      </c>
      <c r="AI141" s="22"/>
      <c r="AM141" s="23">
        <f t="shared" si="115"/>
        <v>23.092968517437537</v>
      </c>
      <c r="AN141" s="23">
        <f t="shared" si="116"/>
        <v>0.16503856948281456</v>
      </c>
      <c r="AO141" s="23">
        <f t="shared" si="117"/>
        <v>563.79666552230856</v>
      </c>
      <c r="AP141" s="25">
        <f t="shared" si="118"/>
        <v>2217.6991464406037</v>
      </c>
      <c r="AQ141" s="22">
        <f>-X141*V141*W141^(-Parameters!B$53)*Parameters!B$47*Parameters!B$46*M141</f>
        <v>-3.9392108034238026E-6</v>
      </c>
      <c r="AR141" s="7">
        <f>1000*EXP(-(Parameters!$B$55)*'6states'!A141)*AP141*Parameters!B$47*Parameters!B$46*M141</f>
        <v>0.43373575270981246</v>
      </c>
      <c r="AS141" s="59">
        <f>SUM(AR141:AR$204)*EXP(Parameters!$B$55*A141)</f>
        <v>3037.0631073850677</v>
      </c>
      <c r="AT141" s="39">
        <f t="shared" si="128"/>
        <v>0.23585008310611791</v>
      </c>
      <c r="AU141">
        <f>(1/$S141-1/Parameters!$B$13) * LN(Parameters!$B$18) / LN(O141)</f>
        <v>0.19914595971278767</v>
      </c>
      <c r="AV141">
        <f>(Parameters!$B$18*'6states'!S141^+Parameters!$B$19*Parameters!$B$25^'6states'!S141)^((1-'6states'!S141)/'6states'!S141)*Parameters!$B$18*Parameters!$B$26^('6states'!S141-1)</f>
        <v>0.3078464324087804</v>
      </c>
      <c r="AW141">
        <f t="shared" si="129"/>
        <v>0.1785601837300819</v>
      </c>
      <c r="AX141">
        <f t="shared" si="130"/>
        <v>0.12893393943104059</v>
      </c>
      <c r="AY141">
        <f t="shared" si="131"/>
        <v>0.19215323576421961</v>
      </c>
      <c r="AZ141">
        <f>(1/$S141-1/Parameters!$B$13) * LN(Parameters!$B$18) / A141</f>
        <v>7.035975333265115E-3</v>
      </c>
    </row>
    <row r="142" spans="1:52" x14ac:dyDescent="0.25">
      <c r="A142">
        <f>A141+Parameters!$B$71</f>
        <v>138</v>
      </c>
      <c r="B142" s="9">
        <f t="shared" si="114"/>
        <v>-2.9568713141259393E-6</v>
      </c>
      <c r="C142" s="9">
        <f t="shared" si="132"/>
        <v>9.0949993792235756E-2</v>
      </c>
      <c r="D142" s="9">
        <f t="shared" si="133"/>
        <v>0.22597556464516125</v>
      </c>
      <c r="E142" s="7">
        <f>MAX((1-Parameters!$B$4)^Parameters!B$71*E141 + B141*Parameters!B$71 - IF(B141&gt;0,Parameters!$B$5,0)*B141^2/E141*Parameters!B$71, 0.0001)</f>
        <v>1E-4</v>
      </c>
      <c r="F142" s="7">
        <f>(1-Parameters!$B$4)^Parameters!B$71*F141+C141*Parameters!B$71-Parameters!$B$5*C141^2/F141*Parameters!B$71</f>
        <v>1.3506196681018119</v>
      </c>
      <c r="G142" s="7">
        <f>(1-Parameters!$B$4)^Parameters!B$71*G141+D141*Parameters!B$71-Parameters!$B$5*D141^2/G141*Parameters!B$71</f>
        <v>3.3428550773816585</v>
      </c>
      <c r="H142" s="9">
        <f>MAX(H141 * (1-Parameters!$B$4) ^ Parameters!B$71 + (LN(1+EXP(Parameters!$B$21*(-B141+0.004)))/Parameters!$B$21 -0.004) * Parameters!B$71,0)</f>
        <v>1.3992222362610711E-2</v>
      </c>
      <c r="I142" s="23">
        <f>I141*(1+Parameters!$B$52)^Parameters!B$71</f>
        <v>12.168674654949269</v>
      </c>
      <c r="J142" s="23">
        <f>J141*(1+Parameters!$B$54)^Parameters!B$71</f>
        <v>138.73945170547813</v>
      </c>
      <c r="K142" s="23">
        <f>I142*J142*EXP(-Parameters!$B$43*'6states'!A142)*(Parameters!$B$38/Parameters!$B$39*('6states'!E142+'6states'!H142)/Parameters!$E$25*(EXP(-Parameters!$B$39*Parameters!$E$25*'6states'!H142/('6states'!E142+'6states'!H142))-EXP(-Parameters!$B$39*Parameters!$E$25))  +  Parameters!$B$40*'6states'!E142)</f>
        <v>3.3753918477873505E-2</v>
      </c>
      <c r="L142" s="8">
        <f>L141+K142*Parameters!B$71</f>
        <v>3312.9916002482714</v>
      </c>
      <c r="M142" s="7">
        <f>L142*Parameters!$B$46</f>
        <v>1.9877949601489626</v>
      </c>
      <c r="N142" s="9">
        <f>EXP(-Parameters!$B$47/2*M142^2)</f>
        <v>0.96106728728538549</v>
      </c>
      <c r="O142" s="8">
        <f>MAX((Parameters!$B$63 + Parameters!$B$31*'6states'!A142 - '6states'!L142 + Parameters!$B$48/Parameters!$B$46)/Parameters!B$63,1)</f>
        <v>127.57216799503458</v>
      </c>
      <c r="P142" s="59">
        <f>Parameters!B$62*EXP(-Parameters!B$61*A142)</f>
        <v>1.2044499689461209E-2</v>
      </c>
      <c r="Q142" s="59">
        <f>(1-Parameters!B$62)*O142^-Parameters!B$64</f>
        <v>0.30788916848280046</v>
      </c>
      <c r="R142" s="7">
        <f>Parameters!B$62*EXP(-Parameters!B$61*A142)+(1-Parameters!B$62)*O142^-Parameters!B$64</f>
        <v>0.31993366817226165</v>
      </c>
      <c r="S142" s="7">
        <f>1-R142/Parameters!$B$12</f>
        <v>0.84003316591386912</v>
      </c>
      <c r="T142" s="7">
        <f t="shared" si="119"/>
        <v>6.2512958121154689</v>
      </c>
      <c r="U142" s="7">
        <f>(Parameters!$B$19*(E142+Parameters!$B$20)^S142+Parameters!$B$18*F142^S142)^(1/S142)</f>
        <v>0.34172490351017287</v>
      </c>
      <c r="V142" s="7">
        <f>(Parameters!$B$10*G142^Parameters!$B$9+Parameters!$B$11*U142^Parameters!$B$9)^(Parameters!$B$7/Parameters!$B$9)*N142</f>
        <v>1.3438227393738131</v>
      </c>
      <c r="W142" s="7">
        <f>V142 - C142 - D142 - LN(1+EXP(Parameters!$B$21*B142))/Parameters!$B$21 - IF(B142&gt;0, 0,Parameters!$B$6*B142^2/E142)</f>
        <v>1.0245877312879423</v>
      </c>
      <c r="X142" s="7">
        <f>EXP(-Parameters!$B$56*A142)</f>
        <v>0.12445637824691602</v>
      </c>
      <c r="Y142" s="7">
        <f>IF(W142&gt;0,W142^(1-Parameters!$B$53)/(1-Parameters!$B$53)*X142*Parameters!$B$71,-10+W142*1000)</f>
        <v>-0.35257938129917976</v>
      </c>
      <c r="AA142" s="22">
        <f t="shared" si="122"/>
        <v>0</v>
      </c>
      <c r="AB142" s="22">
        <f t="shared" si="123"/>
        <v>6.8035464584198513E-6</v>
      </c>
      <c r="AC142" s="22">
        <f t="shared" si="124"/>
        <v>-9.3240919236958764E-6</v>
      </c>
      <c r="AD142" s="22">
        <f t="shared" si="120"/>
        <v>1.6580941766923451E-11</v>
      </c>
      <c r="AE142" s="22">
        <f t="shared" si="125"/>
        <v>0</v>
      </c>
      <c r="AF142" s="22">
        <f t="shared" si="126"/>
        <v>-4.2021034191153106E-7</v>
      </c>
      <c r="AG142" s="22">
        <f t="shared" si="127"/>
        <v>5.8036290162544191E-7</v>
      </c>
      <c r="AH142" s="22">
        <f t="shared" si="121"/>
        <v>6.3895634401215365E-14</v>
      </c>
      <c r="AI142" s="22"/>
      <c r="AM142" s="23">
        <f t="shared" si="115"/>
        <v>23.622722701835361</v>
      </c>
      <c r="AN142" s="23">
        <f t="shared" si="116"/>
        <v>0.16882752496100101</v>
      </c>
      <c r="AO142" s="23">
        <f t="shared" si="117"/>
        <v>576.92569677159372</v>
      </c>
      <c r="AP142" s="25">
        <f t="shared" si="118"/>
        <v>2268.7426707479317</v>
      </c>
      <c r="AQ142" s="22">
        <f>-X142*V142*W142^(-Parameters!B$53)*Parameters!B$47*Parameters!B$46*M142</f>
        <v>-3.880044291102319E-6</v>
      </c>
      <c r="AR142" s="7">
        <f>1000*EXP(-(Parameters!$B$55)*'6states'!A142)*AP142*Parameters!B$47*Parameters!B$46*M142</f>
        <v>0.42841880047500375</v>
      </c>
      <c r="AS142" s="59">
        <f>SUM(AR142:AR$204)*EXP(Parameters!$B$55*A142)</f>
        <v>3090.4938285646322</v>
      </c>
      <c r="AT142" s="39">
        <f t="shared" si="128"/>
        <v>0.23583661169014053</v>
      </c>
      <c r="AU142">
        <f>(1/$S142-1/Parameters!$B$13) * LN(Parameters!$B$18) / LN(O142)</f>
        <v>0.19890448697564223</v>
      </c>
      <c r="AV142">
        <f>(Parameters!$B$18*'6states'!S142^+Parameters!$B$19*Parameters!$B$25^'6states'!S142)^((1-'6states'!S142)/'6states'!S142)*Parameters!$B$18*Parameters!$B$26^('6states'!S142-1)</f>
        <v>0.30788022194572889</v>
      </c>
      <c r="AW142">
        <f t="shared" si="129"/>
        <v>0.17827458103851268</v>
      </c>
      <c r="AX142">
        <f t="shared" si="130"/>
        <v>0.12878813154805668</v>
      </c>
      <c r="AY142">
        <f t="shared" si="131"/>
        <v>0.19217215622048867</v>
      </c>
      <c r="AZ142">
        <f>(1/$S142-1/Parameters!$B$13) * LN(Parameters!$B$18) / A142</f>
        <v>6.9885844279703969E-3</v>
      </c>
    </row>
    <row r="143" spans="1:52" x14ac:dyDescent="0.25">
      <c r="A143">
        <f>A142+Parameters!$B$71</f>
        <v>139</v>
      </c>
      <c r="B143" s="9">
        <f t="shared" si="114"/>
        <v>-2.9568713141259393E-6</v>
      </c>
      <c r="C143" s="9">
        <f t="shared" si="132"/>
        <v>9.0949993792235756E-2</v>
      </c>
      <c r="D143" s="9">
        <f t="shared" si="133"/>
        <v>0.22597556464516125</v>
      </c>
      <c r="E143" s="7">
        <f>MAX((1-Parameters!$B$4)^Parameters!B$71*E142 + B142*Parameters!B$71 - IF(B142&gt;0,Parameters!$B$5,0)*B142^2/E142*Parameters!B$71, 0.0001)</f>
        <v>1E-4</v>
      </c>
      <c r="F143" s="7">
        <f>(1-Parameters!$B$4)^Parameters!B$71*F142+C142*Parameters!B$71-Parameters!$B$5*C142^2/F142*Parameters!B$71</f>
        <v>1.3504911616599273</v>
      </c>
      <c r="G143" s="7">
        <f>(1-Parameters!$B$4)^Parameters!B$71*G142+D142*Parameters!B$71-Parameters!$B$5*D142^2/G142*Parameters!B$71</f>
        <v>3.3432892067372841</v>
      </c>
      <c r="H143" s="9">
        <f>MAX(H142 * (1-Parameters!$B$4) ^ Parameters!B$71 + (LN(1+EXP(Parameters!$B$21*(-B142+0.004)))/Parameters!$B$21 -0.004) * Parameters!B$71,0)</f>
        <v>1.3991992462614088E-2</v>
      </c>
      <c r="I143" s="23">
        <f>I142*(1+Parameters!$B$52)^Parameters!B$71</f>
        <v>12.20396381144862</v>
      </c>
      <c r="J143" s="23">
        <f>J142*(1+Parameters!$B$54)^Parameters!B$71</f>
        <v>141.51424073958771</v>
      </c>
      <c r="K143" s="23">
        <f>I143*J143*EXP(-Parameters!$B$43*'6states'!A143)*(Parameters!$B$38/Parameters!$B$39*('6states'!E143+'6states'!H143)/Parameters!$E$25*(EXP(-Parameters!$B$39*Parameters!$E$25*'6states'!H143/('6states'!E143+'6states'!H143))-EXP(-Parameters!$B$39*Parameters!$E$25))  +  Parameters!$B$40*'6states'!E143)</f>
        <v>3.4185273230504028E-2</v>
      </c>
      <c r="L143" s="8">
        <f>L142+K143*Parameters!B$71</f>
        <v>3313.0257855215018</v>
      </c>
      <c r="M143" s="7">
        <f>L143*Parameters!$B$46</f>
        <v>1.9878154713129008</v>
      </c>
      <c r="N143" s="9">
        <f>EXP(-Parameters!$B$47/2*M143^2)</f>
        <v>0.96106649967069835</v>
      </c>
      <c r="O143" s="8">
        <f>MAX((Parameters!$B$63 + Parameters!$B$31*'6states'!A143 - '6states'!L143 + Parameters!$B$48/Parameters!$B$46)/Parameters!B$63,1)</f>
        <v>128.63548428956997</v>
      </c>
      <c r="P143" s="59">
        <f>Parameters!B$62*EXP(-Parameters!B$61*A143)</f>
        <v>1.1723649171273449E-2</v>
      </c>
      <c r="Q143" s="59">
        <f>(1-Parameters!B$62)*O143^-Parameters!B$64</f>
        <v>0.30763371193309741</v>
      </c>
      <c r="R143" s="7">
        <f>Parameters!B$62*EXP(-Parameters!B$61*A143)+(1-Parameters!B$62)*O143^-Parameters!B$64</f>
        <v>0.31935736110437085</v>
      </c>
      <c r="S143" s="7">
        <f>1-R143/Parameters!$B$12</f>
        <v>0.84032131944781452</v>
      </c>
      <c r="T143" s="7">
        <f t="shared" si="119"/>
        <v>6.2625767982419198</v>
      </c>
      <c r="U143" s="7">
        <f>(Parameters!$B$19*(E143+Parameters!$B$20)^S143+Parameters!$B$18*F143^S143)^(1/S143)</f>
        <v>0.34183390182777018</v>
      </c>
      <c r="V143" s="7">
        <f>(Parameters!$B$10*G143^Parameters!$B$9+Parameters!$B$11*U143^Parameters!$B$9)^(Parameters!$B$7/Parameters!$B$9)*N143</f>
        <v>1.343896902214097</v>
      </c>
      <c r="W143" s="7">
        <f>V143 - C143 - D143 - LN(1+EXP(Parameters!$B$21*B143))/Parameters!$B$21 - IF(B143&gt;0, 0,Parameters!$B$6*B143^2/E143)</f>
        <v>1.0246618941282262</v>
      </c>
      <c r="X143" s="7">
        <f>EXP(-Parameters!$B$56*A143)</f>
        <v>0.12259120443737162</v>
      </c>
      <c r="Y143" s="7">
        <f>IF(W143&gt;0,W143^(1-Parameters!$B$53)/(1-Parameters!$B$53)*X143*Parameters!$B$71,-10+W143*1000)</f>
        <v>-0.34728662891396361</v>
      </c>
      <c r="AA143" s="22">
        <f t="shared" si="122"/>
        <v>0</v>
      </c>
      <c r="AB143" s="22">
        <f t="shared" si="123"/>
        <v>6.4077086486952206E-6</v>
      </c>
      <c r="AC143" s="22">
        <f t="shared" si="124"/>
        <v>-8.7778698759088947E-6</v>
      </c>
      <c r="AD143" s="22">
        <f t="shared" si="120"/>
        <v>1.4479214017850697E-11</v>
      </c>
      <c r="AE143" s="22">
        <f t="shared" si="125"/>
        <v>0</v>
      </c>
      <c r="AF143" s="22">
        <f t="shared" si="126"/>
        <v>-3.9583780972463067E-7</v>
      </c>
      <c r="AG143" s="22">
        <f t="shared" si="127"/>
        <v>5.4622204778698169E-7</v>
      </c>
      <c r="AH143" s="22">
        <f t="shared" si="121"/>
        <v>5.5784649117547898E-14</v>
      </c>
      <c r="AI143" s="22"/>
      <c r="AM143" s="23">
        <f t="shared" si="115"/>
        <v>24.16465612435865</v>
      </c>
      <c r="AN143" s="23">
        <f t="shared" si="116"/>
        <v>0.17270346727905564</v>
      </c>
      <c r="AO143" s="23">
        <f t="shared" si="117"/>
        <v>590.35900079184228</v>
      </c>
      <c r="AP143" s="25">
        <f t="shared" si="118"/>
        <v>2320.9565467795655</v>
      </c>
      <c r="AQ143" s="22">
        <f>-X143*V143*W143^(-Parameters!B$53)*Parameters!B$47*Parameters!B$46*M143</f>
        <v>-3.821772652298529E-6</v>
      </c>
      <c r="AR143" s="7">
        <f>1000*EXP(-(Parameters!$B$55)*'6states'!A143)*AP143*Parameters!B$47*Parameters!B$46*M143</f>
        <v>0.42316626288544729</v>
      </c>
      <c r="AS143" s="59">
        <f>SUM(AR143:AR$204)*EXP(Parameters!$B$55*A143)</f>
        <v>3144.5653395436852</v>
      </c>
      <c r="AT143" s="39">
        <f t="shared" si="128"/>
        <v>0.23582359706607445</v>
      </c>
      <c r="AU143">
        <f>(1/$S143-1/Parameters!$B$13) * LN(Parameters!$B$18) / LN(O143)</f>
        <v>0.19866468560427047</v>
      </c>
      <c r="AV143">
        <f>(Parameters!$B$18*'6states'!S143^+Parameters!$B$19*Parameters!$B$25^'6states'!S143)^((1-'6states'!S143)/'6states'!S143)*Parameters!$B$18*Parameters!$B$26^('6states'!S143-1)</f>
        <v>0.30791319473777778</v>
      </c>
      <c r="AW143">
        <f t="shared" si="129"/>
        <v>0.1779919625764208</v>
      </c>
      <c r="AX143">
        <f t="shared" si="130"/>
        <v>0.12864330872773577</v>
      </c>
      <c r="AY143">
        <f t="shared" si="131"/>
        <v>0.19219061891313327</v>
      </c>
      <c r="AZ143">
        <f>(1/$S143-1/Parameters!$B$13) * LN(Parameters!$B$18) / A143</f>
        <v>6.9418053334382194E-3</v>
      </c>
    </row>
    <row r="144" spans="1:52" x14ac:dyDescent="0.25">
      <c r="A144">
        <f>A143+Parameters!$B$71</f>
        <v>140</v>
      </c>
      <c r="B144" s="9">
        <f t="shared" si="114"/>
        <v>-2.9568713141259393E-6</v>
      </c>
      <c r="C144" s="9">
        <f t="shared" si="132"/>
        <v>9.0949993792235756E-2</v>
      </c>
      <c r="D144" s="9">
        <f t="shared" si="133"/>
        <v>0.22597556464516125</v>
      </c>
      <c r="E144" s="7">
        <f>MAX((1-Parameters!$B$4)^Parameters!B$71*E143 + B143*Parameters!B$71 - IF(B143&gt;0,Parameters!$B$5,0)*B143^2/E143*Parameters!B$71, 0.0001)</f>
        <v>1E-4</v>
      </c>
      <c r="F144" s="7">
        <f>(1-Parameters!$B$4)^Parameters!B$71*F143+C143*Parameters!B$71-Parameters!$B$5*C143^2/F143*Parameters!B$71</f>
        <v>1.3503701554921754</v>
      </c>
      <c r="G144" s="7">
        <f>(1-Parameters!$B$4)^Parameters!B$71*G143+D143*Parameters!B$71-Parameters!$B$5*D143^2/G143*Parameters!B$71</f>
        <v>3.3436980129405427</v>
      </c>
      <c r="H144" s="9">
        <f>MAX(H143 * (1-Parameters!$B$4) ^ Parameters!B$71 + (LN(1+EXP(Parameters!$B$21*(-B143+0.004)))/Parameters!$B$21 -0.004) * Parameters!B$71,0)</f>
        <v>1.3991777023327252E-2</v>
      </c>
      <c r="I144" s="23">
        <f>I143*(1+Parameters!$B$52)^Parameters!B$71</f>
        <v>12.239355306501819</v>
      </c>
      <c r="J144" s="23">
        <f>J143*(1+Parameters!$B$54)^Parameters!B$71</f>
        <v>144.34452555437946</v>
      </c>
      <c r="K144" s="23">
        <f>I144*J144*EXP(-Parameters!$B$43*'6states'!A144)*(Parameters!$B$38/Parameters!$B$39*('6states'!E144+'6states'!H144)/Parameters!$E$25*(EXP(-Parameters!$B$39*Parameters!$E$25*'6states'!H144/('6states'!E144+'6states'!H144))-EXP(-Parameters!$B$39*Parameters!$E$25))  +  Parameters!$B$40*'6states'!E144)</f>
        <v>3.4622140437125283E-2</v>
      </c>
      <c r="L144" s="8">
        <f>L143+K144*Parameters!B$71</f>
        <v>3313.0604076619388</v>
      </c>
      <c r="M144" s="7">
        <f>L144*Parameters!$B$46</f>
        <v>1.9878362445971631</v>
      </c>
      <c r="N144" s="9">
        <f>EXP(-Parameters!$B$47/2*M144^2)</f>
        <v>0.96106570198314434</v>
      </c>
      <c r="O144" s="8">
        <f>MAX((Parameters!$B$63 + Parameters!$B$31*'6states'!A144 - '6states'!L144 + Parameters!$B$48/Parameters!$B$46)/Parameters!B$63,1)</f>
        <v>129.69879184676122</v>
      </c>
      <c r="P144" s="59">
        <f>Parameters!B$62*EXP(-Parameters!B$61*A144)</f>
        <v>1.141134571254649E-2</v>
      </c>
      <c r="Q144" s="59">
        <f>(1-Parameters!B$62)*O144^-Parameters!B$64</f>
        <v>0.30738056976420913</v>
      </c>
      <c r="R144" s="7">
        <f>Parameters!B$62*EXP(-Parameters!B$61*A144)+(1-Parameters!B$62)*O144^-Parameters!B$64</f>
        <v>0.31879191547675562</v>
      </c>
      <c r="S144" s="7">
        <f>1-R144/Parameters!$B$12</f>
        <v>0.84060404226162222</v>
      </c>
      <c r="T144" s="7">
        <f t="shared" si="119"/>
        <v>6.273684817285865</v>
      </c>
      <c r="U144" s="7">
        <f>(Parameters!$B$19*(E144+Parameters!$B$20)^S144+Parameters!$B$18*F144^S144)^(1/S144)</f>
        <v>0.3419420471741404</v>
      </c>
      <c r="V144" s="7">
        <f>(Parameters!$B$10*G144^Parameters!$B$9+Parameters!$B$11*U144^Parameters!$B$9)^(Parameters!$B$7/Parameters!$B$9)*N144</f>
        <v>1.3439685873952747</v>
      </c>
      <c r="W144" s="7">
        <f>V144 - C144 - D144 - LN(1+EXP(Parameters!$B$21*B144))/Parameters!$B$21 - IF(B144&gt;0, 0,Parameters!$B$6*B144^2/E144)</f>
        <v>1.0247335793094039</v>
      </c>
      <c r="X144" s="7">
        <f>EXP(-Parameters!$B$56*A144)</f>
        <v>0.12075398317946676</v>
      </c>
      <c r="Y144" s="7">
        <f>IF(W144&gt;0,W144^(1-Parameters!$B$53)/(1-Parameters!$B$53)*X144*Parameters!$B$71,-10+W144*1000)</f>
        <v>-0.34207361889278376</v>
      </c>
      <c r="AA144" s="22">
        <f t="shared" si="122"/>
        <v>0</v>
      </c>
      <c r="AB144" s="22">
        <f t="shared" si="123"/>
        <v>6.0348378222718768E-6</v>
      </c>
      <c r="AC144" s="22">
        <f t="shared" si="124"/>
        <v>-8.2637651059869199E-6</v>
      </c>
      <c r="AD144" s="22">
        <f t="shared" si="120"/>
        <v>1.2644038638179548E-11</v>
      </c>
      <c r="AE144" s="22">
        <f t="shared" si="125"/>
        <v>0</v>
      </c>
      <c r="AF144" s="22">
        <f t="shared" si="126"/>
        <v>-3.7287082642334379E-7</v>
      </c>
      <c r="AG144" s="22">
        <f t="shared" si="127"/>
        <v>5.1410476992197474E-7</v>
      </c>
      <c r="AH144" s="22">
        <f t="shared" si="121"/>
        <v>4.8704472955376927E-14</v>
      </c>
      <c r="AI144" s="22"/>
      <c r="AM144" s="23">
        <f t="shared" si="115"/>
        <v>24.719047686534694</v>
      </c>
      <c r="AN144" s="23">
        <f t="shared" si="116"/>
        <v>0.17666839348084817</v>
      </c>
      <c r="AO144" s="23">
        <f t="shared" si="117"/>
        <v>604.10352137807786</v>
      </c>
      <c r="AP144" s="25">
        <f t="shared" si="118"/>
        <v>2374.3677122384806</v>
      </c>
      <c r="AQ144" s="22">
        <f>-X144*V144*W144^(-Parameters!B$53)*Parameters!B$47*Parameters!B$46*M144</f>
        <v>-3.7643820126732365E-6</v>
      </c>
      <c r="AR144" s="7">
        <f>1000*EXP(-(Parameters!$B$55)*'6states'!A144)*AP144*Parameters!B$47*Parameters!B$46*M144</f>
        <v>0.41797740615618223</v>
      </c>
      <c r="AS144" s="59">
        <f>SUM(AR144:AR$204)*EXP(Parameters!$B$55*A144)</f>
        <v>3199.2714389185226</v>
      </c>
      <c r="AT144" s="39">
        <f t="shared" si="128"/>
        <v>0.23581101860446441</v>
      </c>
      <c r="AU144">
        <f>(1/$S144-1/Parameters!$B$13) * LN(Parameters!$B$18) / LN(O144)</f>
        <v>0.19842654169815629</v>
      </c>
      <c r="AV144">
        <f>(Parameters!$B$18*'6states'!S144^+Parameters!$B$19*Parameters!$B$25^'6states'!S144)^((1-'6states'!S144)/'6states'!S144)*Parameters!$B$18*Parameters!$B$26^('6states'!S144-1)</f>
        <v>0.30794537664088084</v>
      </c>
      <c r="AW144">
        <f t="shared" si="129"/>
        <v>0.17771227657156521</v>
      </c>
      <c r="AX144">
        <f t="shared" si="130"/>
        <v>0.12849946307241122</v>
      </c>
      <c r="AY144">
        <f t="shared" si="131"/>
        <v>0.19220863835074153</v>
      </c>
      <c r="AZ144">
        <f>(1/$S144-1/Parameters!$B$13) * LN(Parameters!$B$18) / A144</f>
        <v>6.8956267334233795E-3</v>
      </c>
    </row>
    <row r="145" spans="1:52" x14ac:dyDescent="0.25">
      <c r="A145">
        <f>A144+Parameters!$B$71</f>
        <v>141</v>
      </c>
      <c r="B145" s="9">
        <f t="shared" si="114"/>
        <v>-2.9568713141259393E-6</v>
      </c>
      <c r="C145" s="9">
        <f t="shared" si="132"/>
        <v>9.0949993792235756E-2</v>
      </c>
      <c r="D145" s="9">
        <f t="shared" si="133"/>
        <v>0.22597556464516125</v>
      </c>
      <c r="E145" s="7">
        <f>MAX((1-Parameters!$B$4)^Parameters!B$71*E144 + B144*Parameters!B$71 - IF(B144&gt;0,Parameters!$B$5,0)*B144^2/E144*Parameters!B$71, 0.0001)</f>
        <v>1E-4</v>
      </c>
      <c r="F145" s="7">
        <f>(1-Parameters!$B$4)^Parameters!B$71*F144+C144*Parameters!B$71-Parameters!$B$5*C144^2/F144*Parameters!B$71</f>
        <v>1.3502562117439127</v>
      </c>
      <c r="G145" s="7">
        <f>(1-Parameters!$B$4)^Parameters!B$71*G144+D144*Parameters!B$71-Parameters!$B$5*D144^2/G144*Parameters!B$71</f>
        <v>3.3440829726426022</v>
      </c>
      <c r="H145" s="9">
        <f>MAX(H144 * (1-Parameters!$B$4) ^ Parameters!B$71 + (LN(1+EXP(Parameters!$B$21*(-B144+0.004)))/Parameters!$B$21 -0.004) * Parameters!B$71,0)</f>
        <v>1.3991575135171557E-2</v>
      </c>
      <c r="I145" s="23">
        <f>I144*(1+Parameters!$B$52)^Parameters!B$71</f>
        <v>12.274849436890673</v>
      </c>
      <c r="J145" s="23">
        <f>J144*(1+Parameters!$B$54)^Parameters!B$71</f>
        <v>147.23141606546704</v>
      </c>
      <c r="K145" s="23">
        <f>I145*J145*EXP(-Parameters!$B$43*'6states'!A145)*(Parameters!$B$38/Parameters!$B$39*('6states'!E145+'6states'!H145)/Parameters!$E$25*(EXP(-Parameters!$B$39*Parameters!$E$25*'6states'!H145/('6states'!E145+'6states'!H145))-EXP(-Parameters!$B$39*Parameters!$E$25))  +  Parameters!$B$40*'6states'!E145)</f>
        <v>3.5064590543579896E-2</v>
      </c>
      <c r="L145" s="8">
        <f>L144+K145*Parameters!B$71</f>
        <v>3313.0954722524825</v>
      </c>
      <c r="M145" s="7">
        <f>L145*Parameters!$B$46</f>
        <v>1.9878572833514894</v>
      </c>
      <c r="N145" s="9">
        <f>EXP(-Parameters!$B$47/2*M145^2)</f>
        <v>0.96106489409380191</v>
      </c>
      <c r="O145" s="8">
        <f>MAX((Parameters!$B$63 + Parameters!$B$31*'6states'!A145 - '6states'!L145 + Parameters!$B$48/Parameters!$B$46)/Parameters!B$63,1)</f>
        <v>130.76209055495036</v>
      </c>
      <c r="P145" s="59">
        <f>Parameters!B$62*EXP(-Parameters!B$61*A145)</f>
        <v>1.1107361630227668E-2</v>
      </c>
      <c r="Q145" s="59">
        <f>(1-Parameters!B$62)*O145^-Parameters!B$64</f>
        <v>0.3071297023149272</v>
      </c>
      <c r="R145" s="7">
        <f>Parameters!B$62*EXP(-Parameters!B$61*A145)+(1-Parameters!B$62)*O145^-Parameters!B$64</f>
        <v>0.31823706394515489</v>
      </c>
      <c r="S145" s="7">
        <f>1-R145/Parameters!$B$12</f>
        <v>0.84088146802742259</v>
      </c>
      <c r="T145" s="7">
        <f t="shared" si="119"/>
        <v>6.284623089486149</v>
      </c>
      <c r="U145" s="7">
        <f>(Parameters!$B$19*(E145+Parameters!$B$20)^S145+Parameters!$B$18*F145^S145)^(1/S145)</f>
        <v>0.34204930152090041</v>
      </c>
      <c r="V145" s="7">
        <f>(Parameters!$B$10*G145^Parameters!$B$9+Parameters!$B$11*U145^Parameters!$B$9)^(Parameters!$B$7/Parameters!$B$9)*N145</f>
        <v>1.3440379055827292</v>
      </c>
      <c r="W145" s="7">
        <f>V145 - C145 - D145 - LN(1+EXP(Parameters!$B$21*B145))/Parameters!$B$21 - IF(B145&gt;0, 0,Parameters!$B$6*B145^2/E145)</f>
        <v>1.0248028974968584</v>
      </c>
      <c r="X145" s="7">
        <f>EXP(-Parameters!$B$56*A145)</f>
        <v>0.11894429556042277</v>
      </c>
      <c r="Y145" s="7">
        <f>IF(W145&gt;0,W145^(1-Parameters!$B$53)/(1-Parameters!$B$53)*X145*Parameters!$B$71,-10+W145*1000)</f>
        <v>-0.33693913267771625</v>
      </c>
      <c r="AA145" s="22">
        <f t="shared" si="122"/>
        <v>0</v>
      </c>
      <c r="AB145" s="22">
        <f t="shared" si="123"/>
        <v>5.683608572171206E-6</v>
      </c>
      <c r="AC145" s="22">
        <f t="shared" si="124"/>
        <v>-7.7798756978469941E-6</v>
      </c>
      <c r="AD145" s="22">
        <f t="shared" si="120"/>
        <v>1.1041583764786244E-11</v>
      </c>
      <c r="AE145" s="22">
        <f t="shared" si="125"/>
        <v>0</v>
      </c>
      <c r="AF145" s="22">
        <f t="shared" si="126"/>
        <v>-3.5122925010067085E-7</v>
      </c>
      <c r="AG145" s="22">
        <f t="shared" si="127"/>
        <v>4.8388940813992587E-7</v>
      </c>
      <c r="AH145" s="22">
        <f t="shared" si="121"/>
        <v>4.252388756005994E-14</v>
      </c>
      <c r="AI145" s="22"/>
      <c r="AM145" s="23">
        <f t="shared" si="115"/>
        <v>25.286182722272198</v>
      </c>
      <c r="AN145" s="23">
        <f t="shared" si="116"/>
        <v>0.18072434645838145</v>
      </c>
      <c r="AO145" s="23">
        <f t="shared" si="117"/>
        <v>618.1663647391058</v>
      </c>
      <c r="AP145" s="25">
        <f t="shared" si="118"/>
        <v>2429.0037210173055</v>
      </c>
      <c r="AQ145" s="22">
        <f>-X145*V145*W145^(-Parameters!B$53)*Parameters!B$47*Parameters!B$46*M145</f>
        <v>-3.707858734716665E-6</v>
      </c>
      <c r="AR145" s="7">
        <f>1000*EXP(-(Parameters!$B$55)*'6states'!A145)*AP145*Parameters!B$47*Parameters!B$46*M145</f>
        <v>0.4128515019298431</v>
      </c>
      <c r="AS145" s="59">
        <f>SUM(AR145:AR$204)*EXP(Parameters!$B$55*A145)</f>
        <v>3254.6050333916105</v>
      </c>
      <c r="AT145" s="39">
        <f t="shared" si="128"/>
        <v>0.23579885675075213</v>
      </c>
      <c r="AU145">
        <f>(1/$S145-1/Parameters!$B$13) * LN(Parameters!$B$18) / LN(O145)</f>
        <v>0.19819004149108671</v>
      </c>
      <c r="AV145">
        <f>(Parameters!$B$18*'6states'!S145^+Parameters!$B$19*Parameters!$B$25^'6states'!S145)^((1-'6states'!S145)/'6states'!S145)*Parameters!$B$18*Parameters!$B$26^('6states'!S145-1)</f>
        <v>0.30797679256867044</v>
      </c>
      <c r="AW145">
        <f t="shared" si="129"/>
        <v>0.17743547249635733</v>
      </c>
      <c r="AX145">
        <f t="shared" si="130"/>
        <v>0.12835658675671036</v>
      </c>
      <c r="AY145">
        <f t="shared" si="131"/>
        <v>0.19222622851225224</v>
      </c>
      <c r="AZ145">
        <f>(1/$S145-1/Parameters!$B$13) * LN(Parameters!$B$18) / A145</f>
        <v>6.8500375820694324E-3</v>
      </c>
    </row>
    <row r="146" spans="1:52" x14ac:dyDescent="0.25">
      <c r="A146">
        <f>A145+Parameters!$B$71</f>
        <v>142</v>
      </c>
      <c r="B146" s="9">
        <f t="shared" si="114"/>
        <v>-2.9568713141259393E-6</v>
      </c>
      <c r="C146" s="9">
        <f t="shared" si="132"/>
        <v>9.0949993792235756E-2</v>
      </c>
      <c r="D146" s="9">
        <f t="shared" si="133"/>
        <v>0.22597556464516125</v>
      </c>
      <c r="E146" s="7">
        <f>MAX((1-Parameters!$B$4)^Parameters!B$71*E145 + B145*Parameters!B$71 - IF(B145&gt;0,Parameters!$B$5,0)*B145^2/E145*Parameters!B$71, 0.0001)</f>
        <v>1E-4</v>
      </c>
      <c r="F146" s="7">
        <f>(1-Parameters!$B$4)^Parameters!B$71*F145+C145*Parameters!B$71-Parameters!$B$5*C145^2/F145*Parameters!B$71</f>
        <v>1.3501489181332513</v>
      </c>
      <c r="G146" s="7">
        <f>(1-Parameters!$B$4)^Parameters!B$71*G145+D145*Parameters!B$71-Parameters!$B$5*D145^2/G145*Parameters!B$71</f>
        <v>3.3444454764412059</v>
      </c>
      <c r="H146" s="9">
        <f>MAX(H145 * (1-Parameters!$B$4) ^ Parameters!B$71 + (LN(1+EXP(Parameters!$B$21*(-B145+0.004)))/Parameters!$B$21 -0.004) * Parameters!B$71,0)</f>
        <v>1.3991385945780857E-2</v>
      </c>
      <c r="I146" s="23">
        <f>I145*(1+Parameters!$B$52)^Parameters!B$71</f>
        <v>12.310446500257655</v>
      </c>
      <c r="J146" s="23">
        <f>J145*(1+Parameters!$B$54)^Parameters!B$71</f>
        <v>150.1760443867764</v>
      </c>
      <c r="K146" s="23">
        <f>I146*J146*EXP(-Parameters!$B$43*'6states'!A146)*(Parameters!$B$38/Parameters!$B$39*('6states'!E146+'6states'!H146)/Parameters!$E$25*(EXP(-Parameters!$B$39*Parameters!$E$25*'6states'!H146/('6states'!E146+'6states'!H146))-EXP(-Parameters!$B$39*Parameters!$E$25))  +  Parameters!$B$40*'6states'!E146)</f>
        <v>3.5512694895965861E-2</v>
      </c>
      <c r="L146" s="8">
        <f>L145+K146*Parameters!B$71</f>
        <v>3313.1309849473787</v>
      </c>
      <c r="M146" s="7">
        <f>L146*Parameters!$B$46</f>
        <v>1.9878785909684271</v>
      </c>
      <c r="N146" s="9">
        <f>EXP(-Parameters!$B$47/2*M146^2)</f>
        <v>0.96106407587209741</v>
      </c>
      <c r="O146" s="8">
        <f>MAX((Parameters!$B$63 + Parameters!$B$31*'6states'!A146 - '6states'!L146 + Parameters!$B$48/Parameters!$B$46)/Parameters!B$63,1)</f>
        <v>131.82538030105243</v>
      </c>
      <c r="P146" s="59">
        <f>Parameters!B$62*EXP(-Parameters!B$61*A146)</f>
        <v>1.0811475306458183E-2</v>
      </c>
      <c r="Q146" s="59">
        <f>(1-Parameters!B$62)*O146^-Parameters!B$64</f>
        <v>0.30688107091994776</v>
      </c>
      <c r="R146" s="7">
        <f>Parameters!B$62*EXP(-Parameters!B$61*A146)+(1-Parameters!B$62)*O146^-Parameters!B$64</f>
        <v>0.31769254622640597</v>
      </c>
      <c r="S146" s="7">
        <f>1-R146/Parameters!$B$12</f>
        <v>0.84115372688679702</v>
      </c>
      <c r="T146" s="7">
        <f t="shared" si="119"/>
        <v>6.2953947889437893</v>
      </c>
      <c r="U146" s="7">
        <f>(Parameters!$B$19*(E146+Parameters!$B$20)^S146+Parameters!$B$18*F146^S146)^(1/S146)</f>
        <v>0.34215563103684116</v>
      </c>
      <c r="V146" s="7">
        <f>(Parameters!$B$10*G146^Parameters!$B$9+Parameters!$B$11*U146^Parameters!$B$9)^(Parameters!$B$7/Parameters!$B$9)*N146</f>
        <v>1.3441049617357106</v>
      </c>
      <c r="W146" s="7">
        <f>V146 - C146 - D146 - LN(1+EXP(Parameters!$B$21*B146))/Parameters!$B$21 - IF(B146&gt;0, 0,Parameters!$B$6*B146^2/E146)</f>
        <v>1.0248699536498398</v>
      </c>
      <c r="X146" s="7">
        <f>EXP(-Parameters!$B$56*A146)</f>
        <v>0.11716172894552528</v>
      </c>
      <c r="Y146" s="7">
        <f>IF(W146&gt;0,W146^(1-Parameters!$B$53)/(1-Parameters!$B$53)*X146*Parameters!$B$71,-10+W146*1000)</f>
        <v>-0.33188197142818815</v>
      </c>
      <c r="AA146" s="22">
        <f t="shared" si="122"/>
        <v>0</v>
      </c>
      <c r="AB146" s="22">
        <f t="shared" si="123"/>
        <v>5.3527711677409107E-6</v>
      </c>
      <c r="AC146" s="22">
        <f t="shared" si="124"/>
        <v>-7.3244138868583386E-6</v>
      </c>
      <c r="AD146" s="22">
        <f t="shared" si="120"/>
        <v>9.6423163238472741E-12</v>
      </c>
      <c r="AE146" s="22">
        <f t="shared" si="125"/>
        <v>0</v>
      </c>
      <c r="AF146" s="22">
        <f t="shared" si="126"/>
        <v>-3.308374044302953E-7</v>
      </c>
      <c r="AG146" s="22">
        <f t="shared" si="127"/>
        <v>4.5546181098865546E-7</v>
      </c>
      <c r="AH146" s="22">
        <f t="shared" si="121"/>
        <v>3.7128417101149118E-14</v>
      </c>
      <c r="AI146" s="22"/>
      <c r="AM146" s="23">
        <f t="shared" si="115"/>
        <v>25.866353144320815</v>
      </c>
      <c r="AN146" s="23">
        <f t="shared" si="116"/>
        <v>0.18487341600437299</v>
      </c>
      <c r="AO146" s="23">
        <f t="shared" si="117"/>
        <v>632.55480314912677</v>
      </c>
      <c r="AP146" s="25">
        <f t="shared" si="118"/>
        <v>2484.8927574450781</v>
      </c>
      <c r="AQ146" s="22">
        <f>-X146*V146*W146^(-Parameters!B$53)*Parameters!B$47*Parameters!B$46*M146</f>
        <v>-3.652189412253379E-6</v>
      </c>
      <c r="AR146" s="7">
        <f>1000*EXP(-(Parameters!$B$55)*'6states'!A146)*AP146*Parameters!B$47*Parameters!B$46*M146</f>
        <v>0.40778782744485453</v>
      </c>
      <c r="AS146" s="59">
        <f>SUM(AR146:AR$204)*EXP(Parameters!$B$55*A146)</f>
        <v>3310.5580905489314</v>
      </c>
      <c r="AT146" s="39">
        <f t="shared" si="128"/>
        <v>0.23578709296394881</v>
      </c>
      <c r="AU146">
        <f>(1/$S146-1/Parameters!$B$13) * LN(Parameters!$B$18) / LN(O146)</f>
        <v>0.1979551713459502</v>
      </c>
      <c r="AV146">
        <f>(Parameters!$B$18*'6states'!S146^+Parameters!$B$19*Parameters!$B$25^'6states'!S146)^((1-'6states'!S146)/'6states'!S146)*Parameters!$B$18*Parameters!$B$26^('6states'!S146-1)</f>
        <v>0.3080074665310123</v>
      </c>
      <c r="AW146">
        <f t="shared" si="129"/>
        <v>0.17716150102905728</v>
      </c>
      <c r="AX146">
        <f t="shared" si="130"/>
        <v>0.12821467202456815</v>
      </c>
      <c r="AY146">
        <f t="shared" si="131"/>
        <v>0.19224340286867647</v>
      </c>
      <c r="AZ146">
        <f>(1/$S146-1/Parameters!$B$13) * LN(Parameters!$B$18) / A146</f>
        <v>6.8050270959462301E-3</v>
      </c>
    </row>
    <row r="147" spans="1:52" x14ac:dyDescent="0.25">
      <c r="A147">
        <f>A146+Parameters!$B$71</f>
        <v>143</v>
      </c>
      <c r="B147" s="9">
        <f t="shared" si="114"/>
        <v>-2.9568713141259393E-6</v>
      </c>
      <c r="C147" s="9">
        <f t="shared" si="132"/>
        <v>9.0949993792235756E-2</v>
      </c>
      <c r="D147" s="9">
        <f t="shared" si="133"/>
        <v>0.22597556464516125</v>
      </c>
      <c r="E147" s="7">
        <f>MAX((1-Parameters!$B$4)^Parameters!B$71*E146 + B146*Parameters!B$71 - IF(B146&gt;0,Parameters!$B$5,0)*B146^2/E146*Parameters!B$71, 0.0001)</f>
        <v>1E-4</v>
      </c>
      <c r="F147" s="7">
        <f>(1-Parameters!$B$4)^Parameters!B$71*F146+C146*Parameters!B$71-Parameters!$B$5*C146^2/F146*Parameters!B$71</f>
        <v>1.350047886456196</v>
      </c>
      <c r="G147" s="7">
        <f>(1-Parameters!$B$4)^Parameters!B$71*G146+D146*Parameters!B$71-Parameters!$B$5*D146^2/G146*Parameters!B$71</f>
        <v>3.3447868338894411</v>
      </c>
      <c r="H147" s="9">
        <f>MAX(H146 * (1-Parameters!$B$4) ^ Parameters!B$71 + (LN(1+EXP(Parameters!$B$21*(-B146+0.004)))/Parameters!$B$21 -0.004) * Parameters!B$71,0)</f>
        <v>1.3991208656402831E-2</v>
      </c>
      <c r="I147" s="23">
        <f>I146*(1+Parameters!$B$52)^Parameters!B$71</f>
        <v>12.346146795108401</v>
      </c>
      <c r="J147" s="23">
        <f>J146*(1+Parameters!$B$54)^Parameters!B$71</f>
        <v>153.17956527451193</v>
      </c>
      <c r="K147" s="23">
        <f>I147*J147*EXP(-Parameters!$B$43*'6states'!A147)*(Parameters!$B$38/Parameters!$B$39*('6states'!E147+'6states'!H147)/Parameters!$E$25*(EXP(-Parameters!$B$39*Parameters!$E$25*'6states'!H147/('6states'!E147+'6states'!H147))-EXP(-Parameters!$B$39*Parameters!$E$25))  +  Parameters!$B$40*'6states'!E147)</f>
        <v>3.5966525752141397E-2</v>
      </c>
      <c r="L147" s="8">
        <f>L146+K147*Parameters!B$71</f>
        <v>3313.1669514731307</v>
      </c>
      <c r="M147" s="7">
        <f>L147*Parameters!$B$46</f>
        <v>1.9879001708838782</v>
      </c>
      <c r="N147" s="9">
        <f>EXP(-Parameters!$B$47/2*M147^2)</f>
        <v>0.96106324718578306</v>
      </c>
      <c r="O147" s="8">
        <f>MAX((Parameters!$B$63 + Parameters!$B$31*'6states'!A147 - '6states'!L147 + Parameters!$B$48/Parameters!$B$46)/Parameters!B$63,1)</f>
        <v>132.88866097053739</v>
      </c>
      <c r="P147" s="59">
        <f>Parameters!B$62*EXP(-Parameters!B$61*A147)</f>
        <v>1.052347102700385E-2</v>
      </c>
      <c r="Q147" s="59">
        <f>(1-Parameters!B$62)*O147^-Parameters!B$64</f>
        <v>0.30663463787707401</v>
      </c>
      <c r="R147" s="7">
        <f>Parameters!B$62*EXP(-Parameters!B$61*A147)+(1-Parameters!B$62)*O147^-Parameters!B$64</f>
        <v>0.31715810890407786</v>
      </c>
      <c r="S147" s="7">
        <f>1-R147/Parameters!$B$12</f>
        <v>0.8414209455479611</v>
      </c>
      <c r="T147" s="7">
        <f t="shared" si="119"/>
        <v>6.3060030434375101</v>
      </c>
      <c r="U147" s="7">
        <f>(Parameters!$B$19*(E147+Parameters!$B$20)^S147+Parameters!$B$18*F147^S147)^(1/S147)</f>
        <v>0.34226100579783225</v>
      </c>
      <c r="V147" s="7">
        <f>(Parameters!$B$10*G147^Parameters!$B$9+Parameters!$B$11*U147^Parameters!$B$9)^(Parameters!$B$7/Parameters!$B$9)*N147</f>
        <v>1.3441698554283887</v>
      </c>
      <c r="W147" s="7">
        <f>V147 - C147 - D147 - LN(1+EXP(Parameters!$B$21*B147))/Parameters!$B$21 - IF(B147&gt;0, 0,Parameters!$B$6*B147^2/E147)</f>
        <v>1.0249348473425179</v>
      </c>
      <c r="X147" s="7">
        <f>EXP(-Parameters!$B$56*A147)</f>
        <v>0.11540587688403768</v>
      </c>
      <c r="Y147" s="7">
        <f>IF(W147&gt;0,W147^(1-Parameters!$B$53)/(1-Parameters!$B$53)*X147*Parameters!$B$71,-10+W147*1000)</f>
        <v>-0.32690095562816762</v>
      </c>
      <c r="AA147" s="22">
        <f t="shared" si="122"/>
        <v>0</v>
      </c>
      <c r="AB147" s="22">
        <f t="shared" si="123"/>
        <v>5.0411473260791873E-6</v>
      </c>
      <c r="AC147" s="22">
        <f t="shared" si="124"/>
        <v>-6.8956990365576232E-6</v>
      </c>
      <c r="AD147" s="22">
        <f t="shared" si="120"/>
        <v>8.4204549626954285E-12</v>
      </c>
      <c r="AE147" s="22">
        <f t="shared" si="125"/>
        <v>0</v>
      </c>
      <c r="AF147" s="22">
        <f t="shared" si="126"/>
        <v>-3.1162384166172341E-7</v>
      </c>
      <c r="AG147" s="22">
        <f t="shared" si="127"/>
        <v>4.2871485030071543E-7</v>
      </c>
      <c r="AH147" s="22">
        <f t="shared" si="121"/>
        <v>3.2418184967123711E-14</v>
      </c>
      <c r="AI147" s="22"/>
      <c r="AM147" s="23">
        <f t="shared" si="115"/>
        <v>26.459857594143347</v>
      </c>
      <c r="AN147" s="23">
        <f t="shared" si="116"/>
        <v>0.18911773988900138</v>
      </c>
      <c r="AO147" s="23">
        <f t="shared" si="117"/>
        <v>647.27627868622426</v>
      </c>
      <c r="AP147" s="25">
        <f t="shared" si="118"/>
        <v>2542.0636508554257</v>
      </c>
      <c r="AQ147" s="22">
        <f>-X147*V147*W147^(-Parameters!B$53)*Parameters!B$47*Parameters!B$46*M147</f>
        <v>-3.5973608651697288E-6</v>
      </c>
      <c r="AR147" s="7">
        <f>1000*EXP(-(Parameters!$B$55)*'6states'!A147)*AP147*Parameters!B$47*Parameters!B$46*M147</f>
        <v>0.40278566568518637</v>
      </c>
      <c r="AS147" s="59">
        <f>SUM(AR147:AR$204)*EXP(Parameters!$B$55*A147)</f>
        <v>3367.1215895942519</v>
      </c>
      <c r="AT147" s="39">
        <f t="shared" si="128"/>
        <v>0.235775709659163</v>
      </c>
      <c r="AU147">
        <f>(1/$S147-1/Parameters!$B$13) * LN(Parameters!$B$18) / LN(O147)</f>
        <v>0.1977219177499864</v>
      </c>
      <c r="AV147">
        <f>(Parameters!$B$18*'6states'!S147^+Parameters!$B$19*Parameters!$B$25^'6states'!S147)^((1-'6states'!S147)/'6states'!S147)*Parameters!$B$18*Parameters!$B$26^('6states'!S147-1)</f>
        <v>0.308037421670809</v>
      </c>
      <c r="AW147">
        <f t="shared" si="129"/>
        <v>0.17689031401649263</v>
      </c>
      <c r="AX147">
        <f t="shared" si="130"/>
        <v>0.12807371118650956</v>
      </c>
      <c r="AY147">
        <f t="shared" si="131"/>
        <v>0.19226017440382781</v>
      </c>
      <c r="AZ147">
        <f>(1/$S147-1/Parameters!$B$13) * LN(Parameters!$B$18) / A147</f>
        <v>6.7605847463679475E-3</v>
      </c>
    </row>
    <row r="148" spans="1:52" x14ac:dyDescent="0.25">
      <c r="A148">
        <f>A147+Parameters!$B$71</f>
        <v>144</v>
      </c>
      <c r="B148" s="9">
        <f t="shared" si="114"/>
        <v>-2.9568713141259393E-6</v>
      </c>
      <c r="C148" s="9">
        <f t="shared" si="132"/>
        <v>9.0949993792235756E-2</v>
      </c>
      <c r="D148" s="9">
        <f t="shared" si="133"/>
        <v>0.22597556464516125</v>
      </c>
      <c r="E148" s="7">
        <f>MAX((1-Parameters!$B$4)^Parameters!B$71*E147 + B147*Parameters!B$71 - IF(B147&gt;0,Parameters!$B$5,0)*B147^2/E147*Parameters!B$71, 0.0001)</f>
        <v>1E-4</v>
      </c>
      <c r="F148" s="7">
        <f>(1-Parameters!$B$4)^Parameters!B$71*F147+C147*Parameters!B$71-Parameters!$B$5*C147^2/F147*Parameters!B$71</f>
        <v>1.3499527511793095</v>
      </c>
      <c r="G148" s="7">
        <f>(1-Parameters!$B$4)^Parameters!B$71*G147+D147*Parameters!B$71-Parameters!$B$5*D147^2/G147*Parameters!B$71</f>
        <v>3.3451082782136656</v>
      </c>
      <c r="H148" s="9">
        <f>MAX(H147 * (1-Parameters!$B$4) ^ Parameters!B$71 + (LN(1+EXP(Parameters!$B$21*(-B147+0.004)))/Parameters!$B$21 -0.004) * Parameters!B$71,0)</f>
        <v>1.3991042518526684E-2</v>
      </c>
      <c r="I148" s="23">
        <f>I147*(1+Parameters!$B$52)^Parameters!B$71</f>
        <v>12.381950620814214</v>
      </c>
      <c r="J148" s="23">
        <f>J147*(1+Parameters!$B$54)^Parameters!B$71</f>
        <v>156.24315658000216</v>
      </c>
      <c r="K148" s="23">
        <f>I148*J148*EXP(-Parameters!$B$43*'6states'!A148)*(Parameters!$B$38/Parameters!$B$39*('6states'!E148+'6states'!H148)/Parameters!$E$25*(EXP(-Parameters!$B$39*Parameters!$E$25*'6states'!H148/('6states'!E148+'6states'!H148))-EXP(-Parameters!$B$39*Parameters!$E$25))  +  Parameters!$B$40*'6states'!E148)</f>
        <v>3.6426156293376595E-2</v>
      </c>
      <c r="L148" s="8">
        <f>L147+K148*Parameters!B$71</f>
        <v>3313.2033776294243</v>
      </c>
      <c r="M148" s="7">
        <f>L148*Parameters!$B$46</f>
        <v>1.9879220265776545</v>
      </c>
      <c r="N148" s="9">
        <f>EXP(-Parameters!$B$47/2*M148^2)</f>
        <v>0.96106240790091579</v>
      </c>
      <c r="O148" s="8">
        <f>MAX((Parameters!$B$63 + Parameters!$B$31*'6states'!A148 - '6states'!L148 + Parameters!$B$48/Parameters!$B$46)/Parameters!B$63,1)</f>
        <v>133.95193244741154</v>
      </c>
      <c r="P148" s="59">
        <f>Parameters!B$62*EXP(-Parameters!B$61*A148)</f>
        <v>1.0243138823989853E-2</v>
      </c>
      <c r="Q148" s="59">
        <f>(1-Parameters!B$62)*O148^-Parameters!B$64</f>
        <v>0.30639036641575124</v>
      </c>
      <c r="R148" s="7">
        <f>Parameters!B$62*EXP(-Parameters!B$61*A148)+(1-Parameters!B$62)*O148^-Parameters!B$64</f>
        <v>0.3166335052397411</v>
      </c>
      <c r="S148" s="7">
        <f>1-R148/Parameters!$B$12</f>
        <v>0.84168324738012945</v>
      </c>
      <c r="T148" s="7">
        <f t="shared" si="119"/>
        <v>6.3164509342929049</v>
      </c>
      <c r="U148" s="7">
        <f>(Parameters!$B$19*(E148+Parameters!$B$20)^S148+Parameters!$B$18*F148^S148)^(1/S148)</f>
        <v>0.34236539951442574</v>
      </c>
      <c r="V148" s="7">
        <f>(Parameters!$B$10*G148^Parameters!$B$9+Parameters!$B$11*U148^Parameters!$B$9)^(Parameters!$B$7/Parameters!$B$9)*N148</f>
        <v>1.3442326811511267</v>
      </c>
      <c r="W148" s="7">
        <f>V148 - C148 - D148 - LN(1+EXP(Parameters!$B$21*B148))/Parameters!$B$21 - IF(B148&gt;0, 0,Parameters!$B$6*B148^2/E148)</f>
        <v>1.0249976730652559</v>
      </c>
      <c r="X148" s="7">
        <f>EXP(-Parameters!$B$56*A148)</f>
        <v>0.11367633901652432</v>
      </c>
      <c r="Y148" s="7">
        <f>IF(W148&gt;0,W148^(1-Parameters!$B$53)/(1-Parameters!$B$53)*X148*Parameters!$B$71,-10+W148*1000)</f>
        <v>-0.32199492470618929</v>
      </c>
      <c r="AA148" s="22">
        <f t="shared" si="122"/>
        <v>0</v>
      </c>
      <c r="AB148" s="22">
        <f t="shared" si="123"/>
        <v>4.7476262091672439E-6</v>
      </c>
      <c r="AC148" s="22">
        <f t="shared" si="124"/>
        <v>-6.4921510667670379E-6</v>
      </c>
      <c r="AD148" s="22">
        <f t="shared" si="120"/>
        <v>7.3534927556525298E-12</v>
      </c>
      <c r="AE148" s="22">
        <f t="shared" si="125"/>
        <v>0</v>
      </c>
      <c r="AF148" s="22">
        <f t="shared" si="126"/>
        <v>-2.9352111691194338E-7</v>
      </c>
      <c r="AG148" s="22">
        <f t="shared" si="127"/>
        <v>4.0354796979058527E-7</v>
      </c>
      <c r="AH148" s="22">
        <f t="shared" si="121"/>
        <v>2.8306046138846464E-14</v>
      </c>
      <c r="AI148" s="22"/>
      <c r="AM148" s="23">
        <f t="shared" si="115"/>
        <v>27.067001595276942</v>
      </c>
      <c r="AN148" s="23">
        <f t="shared" si="116"/>
        <v>0.19345950496137304</v>
      </c>
      <c r="AO148" s="23">
        <f t="shared" si="117"/>
        <v>662.33840705963507</v>
      </c>
      <c r="AP148" s="25">
        <f t="shared" si="118"/>
        <v>2600.5458904839616</v>
      </c>
      <c r="AQ148" s="22">
        <f>-X148*V148*W148^(-Parameters!B$53)*Parameters!B$47*Parameters!B$46*M148</f>
        <v>-3.5433601343495962E-6</v>
      </c>
      <c r="AR148" s="7">
        <f>1000*EXP(-(Parameters!$B$55)*'6states'!A148)*AP148*Parameters!B$47*Parameters!B$46*M148</f>
        <v>0.39784430551312228</v>
      </c>
      <c r="AS148" s="59">
        <f>SUM(AR148:AR$204)*EXP(Parameters!$B$55*A148)</f>
        <v>3424.2854699592785</v>
      </c>
      <c r="AT148" s="39">
        <f t="shared" si="128"/>
        <v>0.23576469015370749</v>
      </c>
      <c r="AU148">
        <f>(1/$S148-1/Parameters!$B$13) * LN(Parameters!$B$18) / LN(O148)</f>
        <v>0.19749026731044983</v>
      </c>
      <c r="AV148">
        <f>(Parameters!$B$18*'6states'!S148^+Parameters!$B$19*Parameters!$B$25^'6states'!S148)^((1-'6states'!S148)/'6states'!S148)*Parameters!$B$18*Parameters!$B$26^('6states'!S148-1)</f>
        <v>0.30806668029914369</v>
      </c>
      <c r="AW148">
        <f t="shared" si="129"/>
        <v>0.17662186443822767</v>
      </c>
      <c r="AX148">
        <f t="shared" si="130"/>
        <v>0.1279336966171748</v>
      </c>
      <c r="AY148">
        <f t="shared" si="131"/>
        <v>0.19227655563411661</v>
      </c>
      <c r="AZ148">
        <f>(1/$S148-1/Parameters!$B$13) * LN(Parameters!$B$18) / A148</f>
        <v>6.7167002519800401E-3</v>
      </c>
    </row>
    <row r="149" spans="1:52" x14ac:dyDescent="0.25">
      <c r="A149">
        <f>A148+Parameters!$B$71</f>
        <v>145</v>
      </c>
      <c r="B149" s="9">
        <f t="shared" si="114"/>
        <v>-2.9568713141259393E-6</v>
      </c>
      <c r="C149" s="9">
        <f t="shared" si="132"/>
        <v>9.0949993792235756E-2</v>
      </c>
      <c r="D149" s="9">
        <f t="shared" si="133"/>
        <v>0.22597556464516125</v>
      </c>
      <c r="E149" s="7">
        <f>MAX((1-Parameters!$B$4)^Parameters!B$71*E148 + B148*Parameters!B$71 - IF(B148&gt;0,Parameters!$B$5,0)*B148^2/E148*Parameters!B$71, 0.0001)</f>
        <v>1E-4</v>
      </c>
      <c r="F149" s="7">
        <f>(1-Parameters!$B$4)^Parameters!B$71*F148+C148*Parameters!B$71-Parameters!$B$5*C148^2/F148*Parameters!B$71</f>
        <v>1.3498631681147648</v>
      </c>
      <c r="G149" s="7">
        <f>(1-Parameters!$B$4)^Parameters!B$71*G148+D148*Parameters!B$71-Parameters!$B$5*D148^2/G148*Parameters!B$71</f>
        <v>3.3454109707573996</v>
      </c>
      <c r="H149" s="9">
        <f>MAX(H148 * (1-Parameters!$B$4) ^ Parameters!B$71 + (LN(1+EXP(Parameters!$B$21*(-B148+0.004)))/Parameters!$B$21 -0.004) * Parameters!B$71,0)</f>
        <v>1.3990886830722945E-2</v>
      </c>
      <c r="I149" s="23">
        <f>I148*(1+Parameters!$B$52)^Parameters!B$71</f>
        <v>12.417858277614574</v>
      </c>
      <c r="J149" s="23">
        <f>J148*(1+Parameters!$B$54)^Parameters!B$71</f>
        <v>159.36801971160222</v>
      </c>
      <c r="K149" s="23">
        <f>I149*J149*EXP(-Parameters!$B$43*'6states'!A149)*(Parameters!$B$38/Parameters!$B$39*('6states'!E149+'6states'!H149)/Parameters!$E$25*(EXP(-Parameters!$B$39*Parameters!$E$25*'6states'!H149/('6states'!E149+'6states'!H149))-EXP(-Parameters!$B$39*Parameters!$E$25))  +  Parameters!$B$40*'6states'!E149)</f>
        <v>3.6891660636154157E-2</v>
      </c>
      <c r="L149" s="8">
        <f>L148+K149*Parameters!B$71</f>
        <v>3313.2402692900605</v>
      </c>
      <c r="M149" s="7">
        <f>L149*Parameters!$B$46</f>
        <v>1.9879441615740361</v>
      </c>
      <c r="N149" s="9">
        <f>EXP(-Parameters!$B$47/2*M149^2)</f>
        <v>0.96106155788183534</v>
      </c>
      <c r="O149" s="8">
        <f>MAX((Parameters!$B$63 + Parameters!$B$31*'6states'!A149 - '6states'!L149 + Parameters!$B$48/Parameters!$B$46)/Parameters!B$63,1)</f>
        <v>135.01519461419878</v>
      </c>
      <c r="P149" s="59">
        <f>Parameters!B$62*EXP(-Parameters!B$61*A149)</f>
        <v>9.9702743228248982E-3</v>
      </c>
      <c r="Q149" s="59">
        <f>(1-Parameters!B$62)*O149^-Parameters!B$64</f>
        <v>0.30614822066687108</v>
      </c>
      <c r="R149" s="7">
        <f>Parameters!B$62*EXP(-Parameters!B$61*A149)+(1-Parameters!B$62)*O149^-Parameters!B$64</f>
        <v>0.31611849498969596</v>
      </c>
      <c r="S149" s="7">
        <f>1-R149/Parameters!$B$12</f>
        <v>0.84194075250515199</v>
      </c>
      <c r="T149" s="7">
        <f t="shared" si="119"/>
        <v>6.3267414963024882</v>
      </c>
      <c r="U149" s="7">
        <f>(Parameters!$B$19*(E149+Parameters!$B$20)^S149+Parameters!$B$18*F149^S149)^(1/S149)</f>
        <v>0.34246878927614161</v>
      </c>
      <c r="V149" s="7">
        <f>(Parameters!$B$10*G149^Parameters!$B$9+Parameters!$B$11*U149^Parameters!$B$9)^(Parameters!$B$7/Parameters!$B$9)*N149</f>
        <v>1.3442935285933393</v>
      </c>
      <c r="W149" s="7">
        <f>V149 - C149 - D149 - LN(1+EXP(Parameters!$B$21*B149))/Parameters!$B$21 - IF(B149&gt;0, 0,Parameters!$B$6*B149^2/E149)</f>
        <v>1.0250585205074685</v>
      </c>
      <c r="X149" s="7">
        <f>EXP(-Parameters!$B$56*A149)</f>
        <v>0.11197272098356298</v>
      </c>
      <c r="Y149" s="7">
        <f>IF(W149&gt;0,W149^(1-Parameters!$B$53)/(1-Parameters!$B$53)*X149*Parameters!$B$71,-10+W149*1000)</f>
        <v>-0.31716273666749295</v>
      </c>
      <c r="AA149" s="22">
        <f t="shared" si="122"/>
        <v>0</v>
      </c>
      <c r="AB149" s="22">
        <f t="shared" si="123"/>
        <v>4.471160635816096E-6</v>
      </c>
      <c r="AC149" s="22">
        <f t="shared" si="124"/>
        <v>-6.1122843018068806E-6</v>
      </c>
      <c r="AD149" s="22">
        <f t="shared" si="120"/>
        <v>6.4217807565786912E-12</v>
      </c>
      <c r="AE149" s="22">
        <f t="shared" si="125"/>
        <v>0</v>
      </c>
      <c r="AF149" s="22">
        <f t="shared" si="126"/>
        <v>-2.7646557335114785E-7</v>
      </c>
      <c r="AG149" s="22">
        <f t="shared" si="127"/>
        <v>3.7986676496015725E-7</v>
      </c>
      <c r="AH149" s="22">
        <f t="shared" si="121"/>
        <v>2.4715959554301073E-14</v>
      </c>
      <c r="AI149" s="22"/>
      <c r="AM149" s="23">
        <f t="shared" si="115"/>
        <v>27.688097710261353</v>
      </c>
      <c r="AN149" s="23">
        <f t="shared" si="116"/>
        <v>0.19790094827627625</v>
      </c>
      <c r="AO149" s="23">
        <f t="shared" si="117"/>
        <v>677.74898152776643</v>
      </c>
      <c r="AP149" s="25">
        <f t="shared" si="118"/>
        <v>2660.3696407028324</v>
      </c>
      <c r="AQ149" s="22">
        <f>-X149*V149*W149^(-Parameters!B$53)*Parameters!B$47*Parameters!B$46*M149</f>
        <v>-3.4901744768053778E-6</v>
      </c>
      <c r="AR149" s="7">
        <f>1000*EXP(-(Parameters!$B$55)*'6states'!A149)*AP149*Parameters!B$47*Parameters!B$46*M149</f>
        <v>0.39296304178638969</v>
      </c>
      <c r="AS149" s="59">
        <f>SUM(AR149:AR$204)*EXP(Parameters!$B$55*A149)</f>
        <v>3482.0385777055267</v>
      </c>
      <c r="AT149" s="39">
        <f t="shared" si="128"/>
        <v>0.23575401861653592</v>
      </c>
      <c r="AU149">
        <f>(1/$S149-1/Parameters!$B$13) * LN(Parameters!$B$18) / LN(O149)</f>
        <v>0.19726020675065611</v>
      </c>
      <c r="AV149">
        <f>(Parameters!$B$18*'6states'!S149^+Parameters!$B$19*Parameters!$B$25^'6states'!S149)^((1-'6states'!S149)/'6states'!S149)*Parameters!$B$18*Parameters!$B$26^('6states'!S149-1)</f>
        <v>0.30809526392884184</v>
      </c>
      <c r="AW149">
        <f t="shared" si="129"/>
        <v>0.17635610637211196</v>
      </c>
      <c r="AX149">
        <f t="shared" si="130"/>
        <v>0.12779462075307502</v>
      </c>
      <c r="AY149">
        <f t="shared" si="131"/>
        <v>0.19229255862744887</v>
      </c>
      <c r="AZ149">
        <f>(1/$S149-1/Parameters!$B$13) * LN(Parameters!$B$18) / A149</f>
        <v>6.6733635716042239E-3</v>
      </c>
    </row>
    <row r="150" spans="1:52" x14ac:dyDescent="0.25">
      <c r="A150">
        <f>A149+Parameters!$B$71</f>
        <v>146</v>
      </c>
      <c r="B150" s="9">
        <f t="shared" si="114"/>
        <v>-2.9568713141259393E-6</v>
      </c>
      <c r="C150" s="9">
        <f t="shared" si="132"/>
        <v>9.0949993792235756E-2</v>
      </c>
      <c r="D150" s="9">
        <f t="shared" si="133"/>
        <v>0.22597556464516125</v>
      </c>
      <c r="E150" s="7">
        <f>MAX((1-Parameters!$B$4)^Parameters!B$71*E149 + B149*Parameters!B$71 - IF(B149&gt;0,Parameters!$B$5,0)*B149^2/E149*Parameters!B$71, 0.0001)</f>
        <v>1E-4</v>
      </c>
      <c r="F150" s="7">
        <f>(1-Parameters!$B$4)^Parameters!B$71*F149+C149*Parameters!B$71-Parameters!$B$5*C149^2/F149*Parameters!B$71</f>
        <v>1.3497788131729478</v>
      </c>
      <c r="G150" s="7">
        <f>(1-Parameters!$B$4)^Parameters!B$71*G149+D149*Parameters!B$71-Parameters!$B$5*D149^2/G149*Parameters!B$71</f>
        <v>3.3456960051670288</v>
      </c>
      <c r="H150" s="9">
        <f>MAX(H149 * (1-Parameters!$B$4) ^ Parameters!B$71 + (LN(1+EXP(Parameters!$B$21*(-B149+0.004)))/Parameters!$B$21 -0.004) * Parameters!B$71,0)</f>
        <v>1.3990740935682061E-2</v>
      </c>
      <c r="I150" s="23">
        <f>I149*(1+Parameters!$B$52)^Parameters!B$71</f>
        <v>12.453870066619654</v>
      </c>
      <c r="J150" s="23">
        <f>J149*(1+Parameters!$B$54)^Parameters!B$71</f>
        <v>162.55538010583427</v>
      </c>
      <c r="K150" s="23">
        <f>I150*J150*EXP(-Parameters!$B$43*'6states'!A150)*(Parameters!$B$38/Parameters!$B$39*('6states'!E150+'6states'!H150)/Parameters!$E$25*(EXP(-Parameters!$B$39*Parameters!$E$25*'6states'!H150/('6states'!E150+'6states'!H150))-EXP(-Parameters!$B$39*Parameters!$E$25))  +  Parameters!$B$40*'6states'!E150)</f>
        <v>3.736311384412077E-2</v>
      </c>
      <c r="L150" s="8">
        <f>L149+K150*Parameters!B$71</f>
        <v>3313.2776324039046</v>
      </c>
      <c r="M150" s="7">
        <f>L150*Parameters!$B$46</f>
        <v>1.9879665794423427</v>
      </c>
      <c r="N150" s="9">
        <f>EXP(-Parameters!$B$47/2*M150^2)</f>
        <v>0.96106069699114227</v>
      </c>
      <c r="O150" s="8">
        <f>MAX((Parameters!$B$63 + Parameters!$B$31*'6states'!A150 - '6states'!L150 + Parameters!$B$48/Parameters!$B$46)/Parameters!B$63,1)</f>
        <v>136.07844735192194</v>
      </c>
      <c r="P150" s="59">
        <f>Parameters!B$62*EXP(-Parameters!B$61*A150)</f>
        <v>9.7046785932030574E-3</v>
      </c>
      <c r="Q150" s="59">
        <f>(1-Parameters!B$62)*O150^-Parameters!B$64</f>
        <v>0.30590816563378359</v>
      </c>
      <c r="R150" s="7">
        <f>Parameters!B$62*EXP(-Parameters!B$61*A150)+(1-Parameters!B$62)*O150^-Parameters!B$64</f>
        <v>0.31561284422698666</v>
      </c>
      <c r="S150" s="7">
        <f>1-R150/Parameters!$B$12</f>
        <v>0.84219357788650662</v>
      </c>
      <c r="T150" s="7">
        <f t="shared" si="119"/>
        <v>6.3368777176939375</v>
      </c>
      <c r="U150" s="7">
        <f>(Parameters!$B$19*(E150+Parameters!$B$20)^S150+Parameters!$B$18*F150^S150)^(1/S150)</f>
        <v>0.34257115531146909</v>
      </c>
      <c r="V150" s="7">
        <f>(Parameters!$B$10*G150^Parameters!$B$9+Parameters!$B$11*U150^Parameters!$B$9)^(Parameters!$B$7/Parameters!$B$9)*N150</f>
        <v>1.3443524829092</v>
      </c>
      <c r="W150" s="7">
        <f>V150 - C150 - D150 - LN(1+EXP(Parameters!$B$21*B150))/Parameters!$B$21 - IF(B150&gt;0, 0,Parameters!$B$6*B150^2/E150)</f>
        <v>1.0251174748233292</v>
      </c>
      <c r="X150" s="7">
        <f>EXP(-Parameters!$B$56*A150)</f>
        <v>0.11029463433582516</v>
      </c>
      <c r="Y150" s="7">
        <f>IF(W150&gt;0,W150^(1-Parameters!$B$53)/(1-Parameters!$B$53)*X150*Parameters!$B$71,-10+W150*1000)</f>
        <v>-0.31240326773760302</v>
      </c>
      <c r="AA150" s="22">
        <f t="shared" si="122"/>
        <v>0</v>
      </c>
      <c r="AB150" s="22">
        <f t="shared" si="123"/>
        <v>4.2107634982274655E-6</v>
      </c>
      <c r="AC150" s="22">
        <f t="shared" si="124"/>
        <v>-5.7547017104225828E-6</v>
      </c>
      <c r="AD150" s="22">
        <f t="shared" si="120"/>
        <v>5.6081646192625598E-12</v>
      </c>
      <c r="AE150" s="22">
        <f t="shared" si="125"/>
        <v>0</v>
      </c>
      <c r="AF150" s="22">
        <f t="shared" si="126"/>
        <v>-2.6039713758863048E-7</v>
      </c>
      <c r="AG150" s="22">
        <f t="shared" si="127"/>
        <v>3.5758259138429782E-7</v>
      </c>
      <c r="AH150" s="22">
        <f t="shared" si="121"/>
        <v>2.1581569365351105E-14</v>
      </c>
      <c r="AI150" s="22"/>
      <c r="AM150" s="23">
        <f t="shared" si="115"/>
        <v>28.323465701214303</v>
      </c>
      <c r="AN150" s="23">
        <f t="shared" si="116"/>
        <v>0.20244435824680296</v>
      </c>
      <c r="AO150" s="23">
        <f t="shared" si="117"/>
        <v>693.51597690896222</v>
      </c>
      <c r="AP150" s="25">
        <f t="shared" si="118"/>
        <v>2721.5657566004911</v>
      </c>
      <c r="AQ150" s="22">
        <f>-X150*V150*W150^(-Parameters!B$53)*Parameters!B$47*Parameters!B$46*M150</f>
        <v>-3.4377913609921279E-6</v>
      </c>
      <c r="AR150" s="7">
        <f>1000*EXP(-(Parameters!$B$55)*'6states'!A150)*AP150*Parameters!B$47*Parameters!B$46*M150</f>
        <v>0.38814117546087523</v>
      </c>
      <c r="AS150" s="59">
        <f>SUM(AR150:AR$204)*EXP(Parameters!$B$55*A150)</f>
        <v>3540.3686096305628</v>
      </c>
      <c r="AT150" s="39">
        <f t="shared" si="128"/>
        <v>0.23574368002077653</v>
      </c>
      <c r="AU150">
        <f>(1/$S150-1/Parameters!$B$13) * LN(Parameters!$B$18) / LN(O150)</f>
        <v>0.19703172290637708</v>
      </c>
      <c r="AV150">
        <f>(Parameters!$B$18*'6states'!S150^+Parameters!$B$19*Parameters!$B$25^'6states'!S150)^((1-'6states'!S150)/'6states'!S150)*Parameters!$B$18*Parameters!$B$26^('6states'!S150-1)</f>
        <v>0.30812319330653237</v>
      </c>
      <c r="AW150">
        <f t="shared" si="129"/>
        <v>0.17609299496114411</v>
      </c>
      <c r="AX150">
        <f t="shared" si="130"/>
        <v>0.12765647609055264</v>
      </c>
      <c r="AY150">
        <f t="shared" si="131"/>
        <v>0.19230819502127838</v>
      </c>
      <c r="AZ150">
        <f>(1/$S150-1/Parameters!$B$13) * LN(Parameters!$B$18) / A150</f>
        <v>6.6305648973309589E-3</v>
      </c>
    </row>
    <row r="151" spans="1:52" x14ac:dyDescent="0.25">
      <c r="A151">
        <f>A150+Parameters!$B$71</f>
        <v>147</v>
      </c>
      <c r="B151" s="9">
        <f t="shared" si="114"/>
        <v>-2.9568713141259393E-6</v>
      </c>
      <c r="C151" s="9">
        <f t="shared" si="132"/>
        <v>9.0949993792235756E-2</v>
      </c>
      <c r="D151" s="9">
        <f t="shared" si="133"/>
        <v>0.22597556464516125</v>
      </c>
      <c r="E151" s="7">
        <f>MAX((1-Parameters!$B$4)^Parameters!B$71*E150 + B150*Parameters!B$71 - IF(B150&gt;0,Parameters!$B$5,0)*B150^2/E150*Parameters!B$71, 0.0001)</f>
        <v>1E-4</v>
      </c>
      <c r="F151" s="7">
        <f>(1-Parameters!$B$4)^Parameters!B$71*F150+C150*Parameters!B$71-Parameters!$B$5*C150^2/F150*Parameters!B$71</f>
        <v>1.3496993811880573</v>
      </c>
      <c r="G151" s="7">
        <f>(1-Parameters!$B$4)^Parameters!B$71*G150+D150*Parameters!B$71-Parameters!$B$5*D150^2/G150*Parameters!B$71</f>
        <v>3.3459644113342608</v>
      </c>
      <c r="H151" s="9">
        <f>MAX(H150 * (1-Parameters!$B$4) ^ Parameters!B$71 + (LN(1+EXP(Parameters!$B$21*(-B150+0.004)))/Parameters!$B$21 -0.004) * Parameters!B$71,0)</f>
        <v>1.3990604217439249E-2</v>
      </c>
      <c r="I151" s="23">
        <f>I150*(1+Parameters!$B$52)^Parameters!B$71</f>
        <v>12.489986289812849</v>
      </c>
      <c r="J151" s="23">
        <f>J150*(1+Parameters!$B$54)^Parameters!B$71</f>
        <v>165.80648770795096</v>
      </c>
      <c r="K151" s="23">
        <f>I151*J151*EXP(-Parameters!$B$43*'6states'!A151)*(Parameters!$B$38/Parameters!$B$39*('6states'!E151+'6states'!H151)/Parameters!$E$25*(EXP(-Parameters!$B$39*Parameters!$E$25*'6states'!H151/('6states'!E151+'6states'!H151))-EXP(-Parameters!$B$39*Parameters!$E$25))  +  Parameters!$B$40*'6states'!E151)</f>
        <v>3.7840591940191341E-2</v>
      </c>
      <c r="L151" s="8">
        <f>L150+K151*Parameters!B$71</f>
        <v>3313.3154729958446</v>
      </c>
      <c r="M151" s="7">
        <f>L151*Parameters!$B$46</f>
        <v>1.9879892837975066</v>
      </c>
      <c r="N151" s="9">
        <f>EXP(-Parameters!$B$47/2*M151^2)</f>
        <v>0.96105982508967569</v>
      </c>
      <c r="O151" s="8">
        <f>MAX((Parameters!$B$63 + Parameters!$B$31*'6states'!A151 - '6states'!L151 + Parameters!$B$48/Parameters!$B$46)/Parameters!B$63,1)</f>
        <v>137.14169054008312</v>
      </c>
      <c r="P151" s="59">
        <f>Parameters!B$62*EXP(-Parameters!B$61*A151)</f>
        <v>9.4461580040747853E-3</v>
      </c>
      <c r="Q151" s="59">
        <f>(1-Parameters!B$62)*O151^-Parameters!B$64</f>
        <v>0.30567016716445955</v>
      </c>
      <c r="R151" s="7">
        <f>Parameters!B$62*EXP(-Parameters!B$61*A151)+(1-Parameters!B$62)*O151^-Parameters!B$64</f>
        <v>0.31511632516853433</v>
      </c>
      <c r="S151" s="7">
        <f>1-R151/Parameters!$B$12</f>
        <v>0.84244183741573286</v>
      </c>
      <c r="T151" s="7">
        <f t="shared" si="119"/>
        <v>6.3468625401439809</v>
      </c>
      <c r="U151" s="7">
        <f>(Parameters!$B$19*(E151+Parameters!$B$20)^S151+Parameters!$B$18*F151^S151)^(1/S151)</f>
        <v>0.34267248076267243</v>
      </c>
      <c r="V151" s="7">
        <f>(Parameters!$B$10*G151^Parameters!$B$9+Parameters!$B$11*U151^Parameters!$B$9)^(Parameters!$B$7/Parameters!$B$9)*N151</f>
        <v>1.3444096249673558</v>
      </c>
      <c r="W151" s="7">
        <f>V151 - C151 - D151 - LN(1+EXP(Parameters!$B$21*B151))/Parameters!$B$21 - IF(B151&gt;0, 0,Parameters!$B$6*B151^2/E151)</f>
        <v>1.025174616881485</v>
      </c>
      <c r="X151" s="7">
        <f>EXP(-Parameters!$B$56*A151)</f>
        <v>0.1086416964455041</v>
      </c>
      <c r="Y151" s="7">
        <f>IF(W151&gt;0,W151^(1-Parameters!$B$53)/(1-Parameters!$B$53)*X151*Parameters!$B$71,-10+W151*1000)</f>
        <v>-0.30771541201673019</v>
      </c>
      <c r="AA151" s="22">
        <f t="shared" si="122"/>
        <v>0</v>
      </c>
      <c r="AB151" s="22">
        <f t="shared" si="123"/>
        <v>3.9655043728159534E-6</v>
      </c>
      <c r="AC151" s="22">
        <f t="shared" si="124"/>
        <v>-5.4180895103506099E-6</v>
      </c>
      <c r="AD151" s="22">
        <f t="shared" si="120"/>
        <v>4.8976675036841847E-12</v>
      </c>
      <c r="AE151" s="22">
        <f t="shared" si="125"/>
        <v>0</v>
      </c>
      <c r="AF151" s="22">
        <f t="shared" si="126"/>
        <v>-2.4525912541151218E-7</v>
      </c>
      <c r="AG151" s="22">
        <f t="shared" si="127"/>
        <v>3.366122000719729E-7</v>
      </c>
      <c r="AH151" s="22">
        <f t="shared" si="121"/>
        <v>1.8844968222862959E-14</v>
      </c>
      <c r="AI151" s="22"/>
      <c r="AM151" s="23">
        <f t="shared" si="115"/>
        <v>28.97343269413571</v>
      </c>
      <c r="AN151" s="23">
        <f t="shared" si="116"/>
        <v>0.20709207582343303</v>
      </c>
      <c r="AO151" s="23">
        <f t="shared" si="117"/>
        <v>709.64755368707256</v>
      </c>
      <c r="AP151" s="25">
        <f t="shared" si="118"/>
        <v>2784.1657999149284</v>
      </c>
      <c r="AQ151" s="22">
        <f>-X151*V151*W151^(-Parameters!B$53)*Parameters!B$47*Parameters!B$46*M151</f>
        <v>-3.3861984622938078E-6</v>
      </c>
      <c r="AR151" s="7">
        <f>1000*EXP(-(Parameters!$B$55)*'6states'!A151)*AP151*Parameters!B$47*Parameters!B$46*M151</f>
        <v>0.38337801368005725</v>
      </c>
      <c r="AS151" s="59">
        <f>SUM(AR151:AR$204)*EXP(Parameters!$B$55*A151)</f>
        <v>3599.2620549879448</v>
      </c>
      <c r="AT151" s="39">
        <f t="shared" si="128"/>
        <v>0.23573366009915184</v>
      </c>
      <c r="AU151">
        <f>(1/$S151-1/Parameters!$B$13) * LN(Parameters!$B$18) / LN(O151)</f>
        <v>0.19680480272255785</v>
      </c>
      <c r="AV151">
        <f>(Parameters!$B$18*'6states'!S151^+Parameters!$B$19*Parameters!$B$25^'6states'!S151)^((1-'6states'!S151)/'6states'!S151)*Parameters!$B$18*Parameters!$B$26^('6states'!S151-1)</f>
        <v>0.30815048844327891</v>
      </c>
      <c r="AW151">
        <f t="shared" si="129"/>
        <v>0.17583248638158705</v>
      </c>
      <c r="AX151">
        <f t="shared" si="130"/>
        <v>0.12751925518393215</v>
      </c>
      <c r="AY151">
        <f t="shared" si="131"/>
        <v>0.19232347603985245</v>
      </c>
      <c r="AZ151">
        <f>(1/$S151-1/Parameters!$B$13) * LN(Parameters!$B$18) / A151</f>
        <v>6.5882946478495056E-3</v>
      </c>
    </row>
    <row r="152" spans="1:52" x14ac:dyDescent="0.25">
      <c r="A152">
        <f>A151+Parameters!$B$71</f>
        <v>148</v>
      </c>
      <c r="B152" s="9">
        <f t="shared" si="114"/>
        <v>-2.9568713141259393E-6</v>
      </c>
      <c r="C152" s="9">
        <f t="shared" si="132"/>
        <v>9.0949993792235756E-2</v>
      </c>
      <c r="D152" s="9">
        <f t="shared" si="133"/>
        <v>0.22597556464516125</v>
      </c>
      <c r="E152" s="7">
        <f>MAX((1-Parameters!$B$4)^Parameters!B$71*E151 + B151*Parameters!B$71 - IF(B151&gt;0,Parameters!$B$5,0)*B151^2/E151*Parameters!B$71, 0.0001)</f>
        <v>1E-4</v>
      </c>
      <c r="F152" s="7">
        <f>(1-Parameters!$B$4)^Parameters!B$71*F151+C151*Parameters!B$71-Parameters!$B$5*C151^2/F151*Parameters!B$71</f>
        <v>1.3496245848124182</v>
      </c>
      <c r="G152" s="7">
        <f>(1-Parameters!$B$4)^Parameters!B$71*G151+D151*Parameters!B$71-Parameters!$B$5*D151^2/G151*Parameters!B$71</f>
        <v>3.3462171591094108</v>
      </c>
      <c r="H152" s="9">
        <f>MAX(H151 * (1-Parameters!$B$4) ^ Parameters!B$71 + (LN(1+EXP(Parameters!$B$21*(-B151+0.004)))/Parameters!$B$21 -0.004) * Parameters!B$71,0)</f>
        <v>1.3990476098773911E-2</v>
      </c>
      <c r="I152" s="23">
        <f>I151*(1+Parameters!$B$52)^Parameters!B$71</f>
        <v>12.526207250053305</v>
      </c>
      <c r="J152" s="23">
        <f>J151*(1+Parameters!$B$54)^Parameters!B$71</f>
        <v>169.12261746210999</v>
      </c>
      <c r="K152" s="23">
        <f>I152*J152*EXP(-Parameters!$B$43*'6states'!A152)*(Parameters!$B$38/Parameters!$B$39*('6states'!E152+'6states'!H152)/Parameters!$E$25*(EXP(-Parameters!$B$39*Parameters!$E$25*'6states'!H152/('6states'!E152+'6states'!H152))-EXP(-Parameters!$B$39*Parameters!$E$25))  +  Parameters!$B$40*'6states'!E152)</f>
        <v>3.8324171918807853E-2</v>
      </c>
      <c r="L152" s="8">
        <f>L151+K152*Parameters!B$71</f>
        <v>3313.3537971677633</v>
      </c>
      <c r="M152" s="7">
        <f>L152*Parameters!$B$46</f>
        <v>1.9880122783006577</v>
      </c>
      <c r="N152" s="9">
        <f>EXP(-Parameters!$B$47/2*M152^2)</f>
        <v>0.96105894203649</v>
      </c>
      <c r="O152" s="8">
        <f>MAX((Parameters!$B$63 + Parameters!$B$31*'6states'!A152 - '6states'!L152 + Parameters!$B$48/Parameters!$B$46)/Parameters!B$63,1)</f>
        <v>138.20492405664473</v>
      </c>
      <c r="P152" s="59">
        <f>Parameters!B$62*EXP(-Parameters!B$61*A152)</f>
        <v>9.194524082481283E-3</v>
      </c>
      <c r="Q152" s="59">
        <f>(1-Parameters!B$62)*O152^-Parameters!B$64</f>
        <v>0.3054341919247503</v>
      </c>
      <c r="R152" s="7">
        <f>Parameters!B$62*EXP(-Parameters!B$61*A152)+(1-Parameters!B$62)*O152^-Parameters!B$64</f>
        <v>0.31462871600723158</v>
      </c>
      <c r="S152" s="7">
        <f>1-R152/Parameters!$B$12</f>
        <v>0.84268564199638418</v>
      </c>
      <c r="T152" s="7">
        <f t="shared" si="119"/>
        <v>6.3566988588353475</v>
      </c>
      <c r="U152" s="7">
        <f>(Parameters!$B$19*(E152+Parameters!$B$20)^S152+Parameters!$B$18*F152^S152)^(1/S152)</f>
        <v>0.34277275147454372</v>
      </c>
      <c r="V152" s="7">
        <f>(Parameters!$B$10*G152^Parameters!$B$9+Parameters!$B$11*U152^Parameters!$B$9)^(Parameters!$B$7/Parameters!$B$9)*N152</f>
        <v>1.3444650315857229</v>
      </c>
      <c r="W152" s="7">
        <f>V152 - C152 - D152 - LN(1+EXP(Parameters!$B$21*B152))/Parameters!$B$21 - IF(B152&gt;0, 0,Parameters!$B$6*B152^2/E152)</f>
        <v>1.0252300234998521</v>
      </c>
      <c r="X152" s="7">
        <f>EXP(-Parameters!$B$56*A152)</f>
        <v>0.10701353041907032</v>
      </c>
      <c r="Y152" s="7">
        <f>IF(W152&gt;0,W152^(1-Parameters!$B$53)/(1-Parameters!$B$53)*X152*Parameters!$B$71,-10+W152*1000)</f>
        <v>-0.30309808114442066</v>
      </c>
      <c r="AA152" s="22">
        <f t="shared" si="122"/>
        <v>0</v>
      </c>
      <c r="AB152" s="22">
        <f t="shared" si="123"/>
        <v>3.7345063157584457E-6</v>
      </c>
      <c r="AC152" s="22">
        <f t="shared" si="124"/>
        <v>-5.1012121134869082E-6</v>
      </c>
      <c r="AD152" s="22">
        <f t="shared" si="120"/>
        <v>4.2772133580670248E-12</v>
      </c>
      <c r="AE152" s="22">
        <f t="shared" si="125"/>
        <v>0</v>
      </c>
      <c r="AF152" s="22">
        <f t="shared" si="126"/>
        <v>-2.3099805705750764E-7</v>
      </c>
      <c r="AG152" s="22">
        <f t="shared" si="127"/>
        <v>3.1687739686370175E-7</v>
      </c>
      <c r="AH152" s="22">
        <f t="shared" si="121"/>
        <v>1.6455619001105399E-14</v>
      </c>
      <c r="AI152" s="22"/>
      <c r="AM152" s="23">
        <f t="shared" si="115"/>
        <v>29.638333347024815</v>
      </c>
      <c r="AN152" s="23">
        <f t="shared" si="116"/>
        <v>0.2118464957001874</v>
      </c>
      <c r="AO152" s="23">
        <f t="shared" si="117"/>
        <v>726.15206221393328</v>
      </c>
      <c r="AP152" s="25">
        <f t="shared" si="118"/>
        <v>2848.2020553287716</v>
      </c>
      <c r="AQ152" s="22">
        <f>-X152*V152*W152^(-Parameters!B$53)*Parameters!B$47*Parameters!B$46*M152</f>
        <v>-3.3353836586713533E-6</v>
      </c>
      <c r="AR152" s="7">
        <f>1000*EXP(-(Parameters!$B$55)*'6states'!A152)*AP152*Parameters!B$47*Parameters!B$46*M152</f>
        <v>0.3786728698521985</v>
      </c>
      <c r="AS152" s="59">
        <f>SUM(AR152:AR$204)*EXP(Parameters!$B$55*A152)</f>
        <v>3658.7041347267245</v>
      </c>
      <c r="AT152" s="39">
        <f t="shared" si="128"/>
        <v>0.23572394530208793</v>
      </c>
      <c r="AU152">
        <f>(1/$S152-1/Parameters!$B$13) * LN(Parameters!$B$18) / LN(O152)</f>
        <v>0.19657943325032837</v>
      </c>
      <c r="AV152">
        <f>(Parameters!$B$18*'6states'!S152^+Parameters!$B$19*Parameters!$B$25^'6states'!S152)^((1-'6states'!S152)/'6states'!S152)*Parameters!$B$18*Parameters!$B$26^('6states'!S152-1)</f>
        <v>0.30817716864385253</v>
      </c>
      <c r="AW152">
        <f t="shared" si="129"/>
        <v>0.17557453781227822</v>
      </c>
      <c r="AX152">
        <f t="shared" si="130"/>
        <v>0.12738295064384753</v>
      </c>
      <c r="AY152">
        <f t="shared" si="131"/>
        <v>0.19233841251068839</v>
      </c>
      <c r="AZ152">
        <f>(1/$S152-1/Parameters!$B$13) * LN(Parameters!$B$18) / A152</f>
        <v>6.5465434620059987E-3</v>
      </c>
    </row>
    <row r="153" spans="1:52" x14ac:dyDescent="0.25">
      <c r="A153">
        <f>A152+Parameters!$B$71</f>
        <v>149</v>
      </c>
      <c r="B153" s="9">
        <f t="shared" si="114"/>
        <v>-2.9568713141259393E-6</v>
      </c>
      <c r="C153" s="9">
        <f t="shared" si="132"/>
        <v>9.0949993792235756E-2</v>
      </c>
      <c r="D153" s="9">
        <f t="shared" si="133"/>
        <v>0.22597556464516125</v>
      </c>
      <c r="E153" s="7">
        <f>MAX((1-Parameters!$B$4)^Parameters!B$71*E152 + B152*Parameters!B$71 - IF(B152&gt;0,Parameters!$B$5,0)*B152^2/E152*Parameters!B$71, 0.0001)</f>
        <v>1E-4</v>
      </c>
      <c r="F153" s="7">
        <f>(1-Parameters!$B$4)^Parameters!B$71*F152+C152*Parameters!B$71-Parameters!$B$5*C152^2/F152*Parameters!B$71</f>
        <v>1.3495541534754807</v>
      </c>
      <c r="G153" s="7">
        <f>(1-Parameters!$B$4)^Parameters!B$71*G152+D152*Parameters!B$71-Parameters!$B$5*D152^2/G152*Parameters!B$71</f>
        <v>3.3464551617987914</v>
      </c>
      <c r="H153" s="9">
        <f>MAX(H152 * (1-Parameters!$B$4) ^ Parameters!B$71 + (LN(1+EXP(Parameters!$B$21*(-B152+0.004)))/Parameters!$B$21 -0.004) * Parameters!B$71,0)</f>
        <v>1.3990356038772621E-2</v>
      </c>
      <c r="I153" s="23">
        <f>I152*(1+Parameters!$B$52)^Parameters!B$71</f>
        <v>12.56253325107846</v>
      </c>
      <c r="J153" s="23">
        <f>J152*(1+Parameters!$B$54)^Parameters!B$71</f>
        <v>172.5050698113522</v>
      </c>
      <c r="K153" s="23">
        <f>I153*J153*EXP(-Parameters!$B$43*'6states'!A153)*(Parameters!$B$38/Parameters!$B$39*('6states'!E153+'6states'!H153)/Parameters!$E$25*(EXP(-Parameters!$B$39*Parameters!$E$25*'6states'!H153/('6states'!E153+'6states'!H153))-EXP(-Parameters!$B$39*Parameters!$E$25))  +  Parameters!$B$40*'6states'!E153)</f>
        <v>3.8813931758354889E-2</v>
      </c>
      <c r="L153" s="8">
        <f>L152+K153*Parameters!B$71</f>
        <v>3313.3926110995217</v>
      </c>
      <c r="M153" s="7">
        <f>L153*Parameters!$B$46</f>
        <v>1.9880355666597129</v>
      </c>
      <c r="N153" s="9">
        <f>EXP(-Parameters!$B$47/2*M153^2)</f>
        <v>0.96105804768883274</v>
      </c>
      <c r="O153" s="8">
        <f>MAX((Parameters!$B$63 + Parameters!$B$31*'6states'!A153 - '6states'!L153 + Parameters!$B$48/Parameters!$B$46)/Parameters!B$63,1)</f>
        <v>139.26814777800956</v>
      </c>
      <c r="P153" s="59">
        <f>Parameters!B$62*EXP(-Parameters!B$61*A153)</f>
        <v>8.9495933761493968E-3</v>
      </c>
      <c r="Q153" s="59">
        <f>(1-Parameters!B$62)*O153^-Parameters!B$64</f>
        <v>0.3052002073726916</v>
      </c>
      <c r="R153" s="7">
        <f>Parameters!B$62*EXP(-Parameters!B$61*A153)+(1-Parameters!B$62)*O153^-Parameters!B$64</f>
        <v>0.31414980074884102</v>
      </c>
      <c r="S153" s="7">
        <f>1-R153/Parameters!$B$12</f>
        <v>0.84292509962557949</v>
      </c>
      <c r="T153" s="7">
        <f t="shared" si="119"/>
        <v>6.3663895225544831</v>
      </c>
      <c r="U153" s="7">
        <f>(Parameters!$B$19*(E153+Parameters!$B$20)^S153+Parameters!$B$18*F153^S153)^(1/S153)</f>
        <v>0.34287195579628921</v>
      </c>
      <c r="V153" s="7">
        <f>(Parameters!$B$10*G153^Parameters!$B$9+Parameters!$B$11*U153^Parameters!$B$9)^(Parameters!$B$7/Parameters!$B$9)*N153</f>
        <v>1.3445187757523509</v>
      </c>
      <c r="W153" s="7">
        <f>V153 - C153 - D153 - LN(1+EXP(Parameters!$B$21*B153))/Parameters!$B$21 - IF(B153&gt;0, 0,Parameters!$B$6*B153^2/E153)</f>
        <v>1.0252837676664801</v>
      </c>
      <c r="X153" s="7">
        <f>EXP(-Parameters!$B$56*A153)</f>
        <v>0.10540976501133419</v>
      </c>
      <c r="Y153" s="7">
        <f>IF(W153&gt;0,W153^(1-Parameters!$B$53)/(1-Parameters!$B$53)*X153*Parameters!$B$71,-10+W153*1000)</f>
        <v>-0.29855020397392179</v>
      </c>
      <c r="AA153" s="22">
        <f t="shared" si="122"/>
        <v>0</v>
      </c>
      <c r="AB153" s="22">
        <f t="shared" si="123"/>
        <v>3.5169428338893693E-6</v>
      </c>
      <c r="AC153" s="22">
        <f t="shared" si="124"/>
        <v>-4.8029073882460693E-6</v>
      </c>
      <c r="AD153" s="22">
        <f t="shared" si="120"/>
        <v>3.7353854224017264E-12</v>
      </c>
      <c r="AE153" s="22">
        <f t="shared" si="125"/>
        <v>0</v>
      </c>
      <c r="AF153" s="22">
        <f t="shared" si="126"/>
        <v>-2.1756348186907637E-7</v>
      </c>
      <c r="AG153" s="22">
        <f t="shared" si="127"/>
        <v>2.9830472524083884E-7</v>
      </c>
      <c r="AH153" s="22">
        <f t="shared" si="121"/>
        <v>1.4369414656440216E-14</v>
      </c>
      <c r="AI153" s="22"/>
      <c r="AM153" s="23">
        <f t="shared" si="115"/>
        <v>30.318510021895918</v>
      </c>
      <c r="AN153" s="23">
        <f t="shared" si="116"/>
        <v>0.2167100675484723</v>
      </c>
      <c r="AO153" s="23">
        <f t="shared" si="117"/>
        <v>743.03804701090644</v>
      </c>
      <c r="AP153" s="25">
        <f t="shared" si="118"/>
        <v>2913.7075471348126</v>
      </c>
      <c r="AQ153" s="22">
        <f>-X153*V153*W153^(-Parameters!B$53)*Parameters!B$47*Parameters!B$46*M153</f>
        <v>-3.2853350264630876E-6</v>
      </c>
      <c r="AR153" s="7">
        <f>1000*EXP(-(Parameters!$B$55)*'6states'!A153)*AP153*Parameters!B$47*Parameters!B$46*M153</f>
        <v>0.37402506371625344</v>
      </c>
      <c r="AS153" s="59">
        <f>SUM(AR153:AR$204)*EXP(Parameters!$B$55*A153)</f>
        <v>3718.678738152812</v>
      </c>
      <c r="AT153" s="39">
        <f t="shared" si="128"/>
        <v>0.23571452275833252</v>
      </c>
      <c r="AU153">
        <f>(1/$S153-1/Parameters!$B$13) * LN(Parameters!$B$18) / LN(O153)</f>
        <v>0.19635560164428542</v>
      </c>
      <c r="AV153">
        <f>(Parameters!$B$18*'6states'!S153^+Parameters!$B$19*Parameters!$B$25^'6states'!S153)^((1-'6states'!S153)/'6states'!S153)*Parameters!$B$18*Parameters!$B$26^('6states'!S153-1)</f>
        <v>0.30820325253471176</v>
      </c>
      <c r="AW153">
        <f t="shared" si="129"/>
        <v>0.17531910740507892</v>
      </c>
      <c r="AX153">
        <f t="shared" si="130"/>
        <v>0.12724755513572772</v>
      </c>
      <c r="AY153">
        <f t="shared" si="131"/>
        <v>0.19235301488032186</v>
      </c>
      <c r="AZ153">
        <f>(1/$S153-1/Parameters!$B$13) * LN(Parameters!$B$18) / A153</f>
        <v>6.5053021925804578E-3</v>
      </c>
    </row>
    <row r="154" spans="1:52" x14ac:dyDescent="0.25">
      <c r="A154">
        <f>A153+Parameters!$B$71</f>
        <v>150</v>
      </c>
      <c r="B154" s="9">
        <f t="shared" si="114"/>
        <v>-2.9568713141259393E-6</v>
      </c>
      <c r="C154" s="9">
        <f t="shared" si="132"/>
        <v>9.0949993792235756E-2</v>
      </c>
      <c r="D154" s="9">
        <f t="shared" si="133"/>
        <v>0.22597556464516125</v>
      </c>
      <c r="E154" s="7">
        <f>MAX((1-Parameters!$B$4)^Parameters!B$71*E153 + B153*Parameters!B$71 - IF(B153&gt;0,Parameters!$B$5,0)*B153^2/E153*Parameters!B$71, 0.0001)</f>
        <v>1E-4</v>
      </c>
      <c r="F154" s="7">
        <f>(1-Parameters!$B$4)^Parameters!B$71*F153+C153*Parameters!B$71-Parameters!$B$5*C153^2/F153*Parameters!B$71</f>
        <v>1.3494878324037076</v>
      </c>
      <c r="G154" s="7">
        <f>(1-Parameters!$B$4)^Parameters!B$71*G153+D153*Parameters!B$71-Parameters!$B$5*D153^2/G153*Parameters!B$71</f>
        <v>3.3466792794587192</v>
      </c>
      <c r="H154" s="9">
        <f>MAX(H153 * (1-Parameters!$B$4) ^ Parameters!B$71 + (LN(1+EXP(Parameters!$B$21*(-B153+0.004)))/Parameters!$B$21 -0.004) * Parameters!B$71,0)</f>
        <v>1.3990243530545413E-2</v>
      </c>
      <c r="I154" s="23">
        <f>I153*(1+Parameters!$B$52)^Parameters!B$71</f>
        <v>12.598964597506585</v>
      </c>
      <c r="J154" s="23">
        <f>J153*(1+Parameters!$B$54)^Parameters!B$71</f>
        <v>175.95517120757924</v>
      </c>
      <c r="K154" s="23">
        <f>I154*J154*EXP(-Parameters!$B$43*'6states'!A154)*(Parameters!$B$38/Parameters!$B$39*('6states'!E154+'6states'!H154)/Parameters!$E$25*(EXP(-Parameters!$B$39*Parameters!$E$25*'6states'!H154/('6states'!E154+'6states'!H154))-EXP(-Parameters!$B$39*Parameters!$E$25))  +  Parameters!$B$40*'6states'!E154)</f>
        <v>3.9309950433733802E-2</v>
      </c>
      <c r="L154" s="8">
        <f>L153+K154*Parameters!B$71</f>
        <v>3313.4319210499552</v>
      </c>
      <c r="M154" s="7">
        <f>L154*Parameters!$B$46</f>
        <v>1.9880591526299729</v>
      </c>
      <c r="N154" s="9">
        <f>EXP(-Parameters!$B$47/2*M154^2)</f>
        <v>0.96105714190212099</v>
      </c>
      <c r="O154" s="8">
        <f>MAX((Parameters!$B$63 + Parameters!$B$31*'6states'!A154 - '6states'!L154 + Parameters!$B$48/Parameters!$B$46)/Parameters!B$63,1)</f>
        <v>140.33136157900088</v>
      </c>
      <c r="P154" s="59">
        <f>Parameters!B$62*EXP(-Parameters!B$61*A154)</f>
        <v>8.7111873197467573E-3</v>
      </c>
      <c r="Q154" s="59">
        <f>(1-Parameters!B$62)*O154^-Parameters!B$64</f>
        <v>0.30496818173380513</v>
      </c>
      <c r="R154" s="7">
        <f>Parameters!B$62*EXP(-Parameters!B$61*A154)+(1-Parameters!B$62)*O154^-Parameters!B$64</f>
        <v>0.31367936905355187</v>
      </c>
      <c r="S154" s="7">
        <f>1-R154/Parameters!$B$12</f>
        <v>0.84316031547322412</v>
      </c>
      <c r="T154" s="7">
        <f t="shared" si="119"/>
        <v>6.3759373338275154</v>
      </c>
      <c r="U154" s="7">
        <f>(Parameters!$B$19*(E154+Parameters!$B$20)^S154+Parameters!$B$18*F154^S154)^(1/S154)</f>
        <v>0.3429700843957828</v>
      </c>
      <c r="V154" s="7">
        <f>(Parameters!$B$10*G154^Parameters!$B$9+Parameters!$B$11*U154^Parameters!$B$9)^(Parameters!$B$7/Parameters!$B$9)*N154</f>
        <v>1.3445709268332657</v>
      </c>
      <c r="W154" s="7">
        <f>V154 - C154 - D154 - LN(1+EXP(Parameters!$B$21*B154))/Parameters!$B$21 - IF(B154&gt;0, 0,Parameters!$B$6*B154^2/E154)</f>
        <v>1.0253359187473949</v>
      </c>
      <c r="X154" s="7">
        <f>EXP(-Parameters!$B$56*A154)</f>
        <v>0.10383003454079688</v>
      </c>
      <c r="Y154" s="7">
        <f>IF(W154&gt;0,W154^(1-Parameters!$B$53)/(1-Parameters!$B$53)*X154*Parameters!$B$71,-10+W154*1000)</f>
        <v>-0.29407072625577219</v>
      </c>
      <c r="AA154" s="22">
        <f t="shared" si="122"/>
        <v>0</v>
      </c>
      <c r="AB154" s="22">
        <f t="shared" si="123"/>
        <v>3.3120350221016448E-6</v>
      </c>
      <c r="AC154" s="22">
        <f t="shared" si="124"/>
        <v>-4.5220822186275988E-6</v>
      </c>
      <c r="AD154" s="22">
        <f t="shared" si="120"/>
        <v>3.2622154609061696E-12</v>
      </c>
      <c r="AE154" s="22">
        <f t="shared" si="125"/>
        <v>0</v>
      </c>
      <c r="AF154" s="22">
        <f t="shared" si="126"/>
        <v>-2.0490781178772455E-7</v>
      </c>
      <c r="AG154" s="22">
        <f t="shared" si="127"/>
        <v>2.8082516961847048E-7</v>
      </c>
      <c r="AH154" s="22">
        <f t="shared" si="121"/>
        <v>1.2547858347606105E-14</v>
      </c>
      <c r="AI154" s="22"/>
      <c r="AM154" s="23">
        <f t="shared" si="115"/>
        <v>31.01431296078065</v>
      </c>
      <c r="AN154" s="23">
        <f t="shared" si="116"/>
        <v>0.22168529727925007</v>
      </c>
      <c r="AO154" s="23">
        <f t="shared" si="117"/>
        <v>760.31425117168601</v>
      </c>
      <c r="AP154" s="25">
        <f t="shared" si="118"/>
        <v>2980.7160562806935</v>
      </c>
      <c r="AQ154" s="22">
        <f>-X154*V154*W154^(-Parameters!B$53)*Parameters!B$47*Parameters!B$46*M154</f>
        <v>-3.2360408363287592E-6</v>
      </c>
      <c r="AR154" s="7">
        <f>1000*EXP(-(Parameters!$B$55)*'6states'!A154)*AP154*Parameters!B$47*Parameters!B$46*M154</f>
        <v>0.3694339213973723</v>
      </c>
      <c r="AS154" s="59">
        <f>SUM(AR154:AR$204)*EXP(Parameters!$B$55*A154)</f>
        <v>3779.168356910795</v>
      </c>
      <c r="AT154" s="39">
        <f t="shared" si="128"/>
        <v>0.23570538023791662</v>
      </c>
      <c r="AU154">
        <f>(1/$S154-1/Parameters!$B$13) * LN(Parameters!$B$18) / LN(O154)</f>
        <v>0.19613329516002256</v>
      </c>
      <c r="AV154">
        <f>(Parameters!$B$18*'6states'!S154^+Parameters!$B$19*Parameters!$B$25^'6states'!S154)^((1-'6states'!S154)/'6states'!S154)*Parameters!$B$18*Parameters!$B$26^('6states'!S154-1)</f>
        <v>0.30822875809075156</v>
      </c>
      <c r="AW154">
        <f t="shared" si="129"/>
        <v>0.17506615425641053</v>
      </c>
      <c r="AX154">
        <f t="shared" si="130"/>
        <v>0.12711306137843081</v>
      </c>
      <c r="AY154">
        <f t="shared" si="131"/>
        <v>0.19236729322936053</v>
      </c>
      <c r="AZ154">
        <f>(1/$S154-1/Parameters!$B$13) * LN(Parameters!$B$18) / A154</f>
        <v>6.4645619002740833E-3</v>
      </c>
    </row>
    <row r="155" spans="1:52" x14ac:dyDescent="0.25">
      <c r="A155">
        <f>A154+Parameters!$B$71</f>
        <v>151</v>
      </c>
      <c r="B155" s="9">
        <f t="shared" si="114"/>
        <v>-2.9568713141259393E-6</v>
      </c>
      <c r="C155" s="9">
        <f t="shared" si="132"/>
        <v>9.0949993792235756E-2</v>
      </c>
      <c r="D155" s="9">
        <f t="shared" si="133"/>
        <v>0.22597556464516125</v>
      </c>
      <c r="E155" s="7">
        <f>MAX((1-Parameters!$B$4)^Parameters!B$71*E154 + B154*Parameters!B$71 - IF(B154&gt;0,Parameters!$B$5,0)*B154^2/E154*Parameters!B$71, 0.0001)</f>
        <v>1E-4</v>
      </c>
      <c r="F155" s="7">
        <f>(1-Parameters!$B$4)^Parameters!B$71*F154+C154*Parameters!B$71-Parameters!$B$5*C154^2/F154*Parameters!B$71</f>
        <v>1.3494253816977841</v>
      </c>
      <c r="G155" s="7">
        <f>(1-Parameters!$B$4)^Parameters!B$71*G154+D154*Parameters!B$71-Parameters!$B$5*D154^2/G154*Parameters!B$71</f>
        <v>3.34689032199792</v>
      </c>
      <c r="H155" s="9">
        <f>MAX(H154 * (1-Parameters!$B$4) ^ Parameters!B$71 + (LN(1+EXP(Parameters!$B$21*(-B154+0.004)))/Parameters!$B$21 -0.004) * Parameters!B$71,0)</f>
        <v>1.3990138099085695E-2</v>
      </c>
      <c r="I155" s="23">
        <f>I154*(1+Parameters!$B$52)^Parameters!B$71</f>
        <v>12.635501594839353</v>
      </c>
      <c r="J155" s="23">
        <f>J154*(1+Parameters!$B$54)^Parameters!B$71</f>
        <v>179.47427463173082</v>
      </c>
      <c r="K155" s="23">
        <f>I155*J155*EXP(-Parameters!$B$43*'6states'!A155)*(Parameters!$B$38/Parameters!$B$39*('6states'!E155+'6states'!H155)/Parameters!$E$25*(EXP(-Parameters!$B$39*Parameters!$E$25*'6states'!H155/('6states'!E155+'6states'!H155))-EXP(-Parameters!$B$39*Parameters!$E$25))  +  Parameters!$B$40*'6states'!E155)</f>
        <v>3.9812307929097679E-2</v>
      </c>
      <c r="L155" s="8">
        <f>L154+K155*Parameters!B$71</f>
        <v>3313.4717333578842</v>
      </c>
      <c r="M155" s="7">
        <f>L155*Parameters!$B$46</f>
        <v>1.9880830400147302</v>
      </c>
      <c r="N155" s="9">
        <f>EXP(-Parameters!$B$47/2*M155^2)</f>
        <v>0.96105622452991757</v>
      </c>
      <c r="O155" s="8">
        <f>MAX((Parameters!$B$63 + Parameters!$B$31*'6states'!A155 - '6states'!L155 + Parameters!$B$48/Parameters!$B$46)/Parameters!B$63,1)</f>
        <v>141.39456533284232</v>
      </c>
      <c r="P155" s="59">
        <f>Parameters!B$62*EXP(-Parameters!B$61*A155)</f>
        <v>8.4791321046997631E-3</v>
      </c>
      <c r="Q155" s="59">
        <f>(1-Parameters!B$62)*O155^-Parameters!B$64</f>
        <v>0.30473808397735019</v>
      </c>
      <c r="R155" s="7">
        <f>Parameters!B$62*EXP(-Parameters!B$61*A155)+(1-Parameters!B$62)*O155^-Parameters!B$64</f>
        <v>0.31321721608204994</v>
      </c>
      <c r="S155" s="7">
        <f>1-R155/Parameters!$B$12</f>
        <v>0.84339139195897506</v>
      </c>
      <c r="T155" s="7">
        <f t="shared" si="119"/>
        <v>6.3853450490923311</v>
      </c>
      <c r="U155" s="7">
        <f>(Parameters!$B$19*(E155+Parameters!$B$20)^S155+Parameters!$B$18*F155^S155)^(1/S155)</f>
        <v>0.3430671300854648</v>
      </c>
      <c r="V155" s="7">
        <f>(Parameters!$B$10*G155^Parameters!$B$9+Parameters!$B$11*U155^Parameters!$B$9)^(Parameters!$B$7/Parameters!$B$9)*N155</f>
        <v>1.344621550768144</v>
      </c>
      <c r="W155" s="7">
        <f>V155 - C155 - D155 - LN(1+EXP(Parameters!$B$21*B155))/Parameters!$B$21 - IF(B155&gt;0, 0,Parameters!$B$6*B155^2/E155)</f>
        <v>1.0253865426822732</v>
      </c>
      <c r="X155" s="7">
        <f>EXP(-Parameters!$B$56*A155)</f>
        <v>0.10227397880626984</v>
      </c>
      <c r="Y155" s="7">
        <f>IF(W155&gt;0,W155^(1-Parameters!$B$53)/(1-Parameters!$B$53)*X155*Parameters!$B$71,-10+W155*1000)</f>
        <v>-0.28965861033015677</v>
      </c>
      <c r="AA155" s="22">
        <f t="shared" si="122"/>
        <v>0</v>
      </c>
      <c r="AB155" s="22">
        <f t="shared" si="123"/>
        <v>3.1190488586352316E-6</v>
      </c>
      <c r="AC155" s="22">
        <f t="shared" si="124"/>
        <v>-4.2577083398803728E-6</v>
      </c>
      <c r="AD155" s="22">
        <f t="shared" si="120"/>
        <v>2.8489998044286935E-12</v>
      </c>
      <c r="AE155" s="22">
        <f t="shared" si="125"/>
        <v>0</v>
      </c>
      <c r="AF155" s="22">
        <f t="shared" si="126"/>
        <v>-1.9298616346641317E-7</v>
      </c>
      <c r="AG155" s="22">
        <f t="shared" si="127"/>
        <v>2.6437387874722607E-7</v>
      </c>
      <c r="AH155" s="22">
        <f t="shared" si="121"/>
        <v>1.0957348443536048E-14</v>
      </c>
      <c r="AI155" s="22"/>
      <c r="AM155" s="23">
        <f t="shared" si="115"/>
        <v>31.726100465806809</v>
      </c>
      <c r="AN155" s="23">
        <f t="shared" si="116"/>
        <v>0.22677474833418709</v>
      </c>
      <c r="AO155" s="23">
        <f t="shared" si="117"/>
        <v>777.98962086863105</v>
      </c>
      <c r="AP155" s="25">
        <f t="shared" si="118"/>
        <v>3049.262137801702</v>
      </c>
      <c r="AQ155" s="22">
        <f>-X155*V155*W155^(-Parameters!B$53)*Parameters!B$47*Parameters!B$46*M155</f>
        <v>-3.187489549329088E-6</v>
      </c>
      <c r="AR155" s="7">
        <f>1000*EXP(-(Parameters!$B$55)*'6states'!A155)*AP155*Parameters!B$47*Parameters!B$46*M155</f>
        <v>0.36489877545281851</v>
      </c>
      <c r="AS155" s="59">
        <f>SUM(AR155:AR$204)*EXP(Parameters!$B$55*A155)</f>
        <v>3840.1540161809721</v>
      </c>
      <c r="AT155" s="39">
        <f t="shared" si="128"/>
        <v>0.23569650611730417</v>
      </c>
      <c r="AU155">
        <f>(1/$S155-1/Parameters!$B$13) * LN(Parameters!$B$18) / LN(O155)</f>
        <v>0.19591250115188683</v>
      </c>
      <c r="AV155">
        <f>(Parameters!$B$18*'6states'!S155^+Parameters!$B$19*Parameters!$B$25^'6states'!S155)^((1-'6states'!S155)/'6states'!S155)*Parameters!$B$18*Parameters!$B$26^('6states'!S155-1)</f>
        <v>0.30825370266088148</v>
      </c>
      <c r="AW155">
        <f t="shared" si="129"/>
        <v>0.17481563837982894</v>
      </c>
      <c r="AX155">
        <f t="shared" si="130"/>
        <v>0.12697946214301115</v>
      </c>
      <c r="AY155">
        <f t="shared" si="131"/>
        <v>0.19238125728687649</v>
      </c>
      <c r="AZ155">
        <f>(1/$S155-1/Parameters!$B$13) * LN(Parameters!$B$18) / A155</f>
        <v>6.4243138478985128E-3</v>
      </c>
    </row>
    <row r="156" spans="1:52" x14ac:dyDescent="0.25">
      <c r="A156">
        <f>A155+Parameters!$B$71</f>
        <v>152</v>
      </c>
      <c r="B156" s="9">
        <f t="shared" si="114"/>
        <v>-2.9568713141259393E-6</v>
      </c>
      <c r="C156" s="9">
        <f t="shared" si="132"/>
        <v>9.0949993792235756E-2</v>
      </c>
      <c r="D156" s="9">
        <f t="shared" si="133"/>
        <v>0.22597556464516125</v>
      </c>
      <c r="E156" s="7">
        <f>MAX((1-Parameters!$B$4)^Parameters!B$71*E155 + B155*Parameters!B$71 - IF(B155&gt;0,Parameters!$B$5,0)*B155^2/E155*Parameters!B$71, 0.0001)</f>
        <v>1E-4</v>
      </c>
      <c r="F156" s="7">
        <f>(1-Parameters!$B$4)^Parameters!B$71*F155+C155*Parameters!B$71-Parameters!$B$5*C155^2/F155*Parameters!B$71</f>
        <v>1.3493665754637891</v>
      </c>
      <c r="G156" s="7">
        <f>(1-Parameters!$B$4)^Parameters!B$71*G155+D155*Parameters!B$71-Parameters!$B$5*D155^2/G155*Parameters!B$71</f>
        <v>3.3470890520994514</v>
      </c>
      <c r="H156" s="9">
        <f>MAX(H155 * (1-Parameters!$B$4) ^ Parameters!B$71 + (LN(1+EXP(Parameters!$B$21*(-B155+0.004)))/Parameters!$B$21 -0.004) * Parameters!B$71,0)</f>
        <v>1.3990039299264794E-2</v>
      </c>
      <c r="I156" s="23">
        <f>I155*(1+Parameters!$B$52)^Parameters!B$71</f>
        <v>12.672144549464386</v>
      </c>
      <c r="J156" s="23">
        <f>J155*(1+Parameters!$B$54)^Parameters!B$71</f>
        <v>183.06376012436544</v>
      </c>
      <c r="K156" s="23">
        <f>I156*J156*EXP(-Parameters!$B$43*'6states'!A156)*(Parameters!$B$38/Parameters!$B$39*('6states'!E156+'6states'!H156)/Parameters!$E$25*(EXP(-Parameters!$B$39*Parameters!$E$25*'6states'!H156/('6states'!E156+'6states'!H156))-EXP(-Parameters!$B$39*Parameters!$E$25))  +  Parameters!$B$40*'6states'!E156)</f>
        <v>4.0321085250748886E-2</v>
      </c>
      <c r="L156" s="8">
        <f>L155+K156*Parameters!B$71</f>
        <v>3313.5120544431347</v>
      </c>
      <c r="M156" s="7">
        <f>L156*Parameters!$B$46</f>
        <v>1.9881072326658806</v>
      </c>
      <c r="N156" s="9">
        <f>EXP(-Parameters!$B$47/2*M156^2)</f>
        <v>0.96105529542390766</v>
      </c>
      <c r="O156" s="8">
        <f>MAX((Parameters!$B$63 + Parameters!$B$31*'6states'!A156 - '6states'!L156 + Parameters!$B$48/Parameters!$B$46)/Parameters!B$63,1)</f>
        <v>142.45775891113732</v>
      </c>
      <c r="P156" s="59">
        <f>Parameters!B$62*EXP(-Parameters!B$61*A156)</f>
        <v>8.2532585524794227E-3</v>
      </c>
      <c r="Q156" s="59">
        <f>(1-Parameters!B$62)*O156^-Parameters!B$64</f>
        <v>0.30450988379348315</v>
      </c>
      <c r="R156" s="7">
        <f>Parameters!B$62*EXP(-Parameters!B$61*A156)+(1-Parameters!B$62)*O156^-Parameters!B$64</f>
        <v>0.31276314234596259</v>
      </c>
      <c r="S156" s="7">
        <f>1-R156/Parameters!$B$12</f>
        <v>0.84361842882701876</v>
      </c>
      <c r="T156" s="7">
        <f t="shared" si="119"/>
        <v>6.3946153789045352</v>
      </c>
      <c r="U156" s="7">
        <f>(Parameters!$B$19*(E156+Parameters!$B$20)^S156+Parameters!$B$18*F156^S156)^(1/S156)</f>
        <v>0.34316308765920261</v>
      </c>
      <c r="V156" s="7">
        <f>(Parameters!$B$10*G156^Parameters!$B$9+Parameters!$B$11*U156^Parameters!$B$9)^(Parameters!$B$7/Parameters!$B$9)*N156</f>
        <v>1.3446707102545903</v>
      </c>
      <c r="W156" s="7">
        <f>V156 - C156 - D156 - LN(1+EXP(Parameters!$B$21*B156))/Parameters!$B$21 - IF(B156&gt;0, 0,Parameters!$B$6*B156^2/E156)</f>
        <v>1.0254357021687195</v>
      </c>
      <c r="X156" s="7">
        <f>EXP(-Parameters!$B$56*A156)</f>
        <v>0.10074124300474355</v>
      </c>
      <c r="Y156" s="7">
        <f>IF(W156&gt;0,W156^(1-Parameters!$B$53)/(1-Parameters!$B$53)*X156*Parameters!$B$71,-10+W156*1000)</f>
        <v>-0.28531283482760211</v>
      </c>
      <c r="AA156" s="22">
        <f t="shared" si="122"/>
        <v>0</v>
      </c>
      <c r="AB156" s="22">
        <f t="shared" si="123"/>
        <v>2.9372926498710816E-6</v>
      </c>
      <c r="AC156" s="22">
        <f t="shared" si="124"/>
        <v>-4.0088184329878374E-6</v>
      </c>
      <c r="AD156" s="22">
        <f t="shared" si="120"/>
        <v>2.4881387859569536E-12</v>
      </c>
      <c r="AE156" s="22">
        <f t="shared" si="125"/>
        <v>0</v>
      </c>
      <c r="AF156" s="22">
        <f t="shared" si="126"/>
        <v>-1.8175620876415E-7</v>
      </c>
      <c r="AG156" s="22">
        <f t="shared" si="127"/>
        <v>2.4888990689253543E-7</v>
      </c>
      <c r="AH156" s="22">
        <f t="shared" si="121"/>
        <v>9.5685548940219035E-15</v>
      </c>
      <c r="AI156" s="22"/>
      <c r="AM156" s="23">
        <f t="shared" si="115"/>
        <v>32.454239083445792</v>
      </c>
      <c r="AN156" s="23">
        <f t="shared" si="116"/>
        <v>0.23198104300644334</v>
      </c>
      <c r="AO156" s="23">
        <f t="shared" ref="AO156:AO204" si="134">U156*I156*J156</f>
        <v>796.07330996493363</v>
      </c>
      <c r="AP156" s="25">
        <f t="shared" si="118"/>
        <v>3119.3811386507482</v>
      </c>
      <c r="AQ156" s="22">
        <f>-X156*V156*W156^(-Parameters!B$53)*Parameters!B$47*Parameters!B$46*M156</f>
        <v>-3.1396698131332758E-6</v>
      </c>
      <c r="AR156" s="7">
        <f>1000*EXP(-(Parameters!$B$55)*'6states'!A156)*AP156*Parameters!B$47*Parameters!B$46*M156</f>
        <v>0.36041896490904646</v>
      </c>
      <c r="AS156" s="59">
        <f>SUM(AR156:AR$204)*EXP(Parameters!$B$55*A156)</f>
        <v>3901.6152029823234</v>
      </c>
      <c r="AT156" s="39">
        <f t="shared" si="128"/>
        <v>0.23568788934658882</v>
      </c>
      <c r="AU156">
        <f>(1/$S156-1/Parameters!$B$13) * LN(Parameters!$B$18) / LN(O156)</f>
        <v>0.19569320707094345</v>
      </c>
      <c r="AV156">
        <f>(Parameters!$B$18*'6states'!S156^+Parameters!$B$19*Parameters!$B$25^'6states'!S156)^((1-'6states'!S156)/'6states'!S156)*Parameters!$B$18*Parameters!$B$26^('6states'!S156-1)</f>
        <v>0.30827810299248953</v>
      </c>
      <c r="AW156">
        <f t="shared" si="129"/>
        <v>0.17456752067959125</v>
      </c>
      <c r="AX156">
        <f t="shared" si="130"/>
        <v>0.12684675025160985</v>
      </c>
      <c r="AY156">
        <f t="shared" si="131"/>
        <v>0.19239491644417039</v>
      </c>
      <c r="AZ156">
        <f>(1/$S156-1/Parameters!$B$13) * LN(Parameters!$B$18) / A156</f>
        <v>6.3845494947591614E-3</v>
      </c>
    </row>
    <row r="157" spans="1:52" x14ac:dyDescent="0.25">
      <c r="A157">
        <f>A156+Parameters!$B$71</f>
        <v>153</v>
      </c>
      <c r="B157" s="9">
        <f t="shared" si="114"/>
        <v>-2.9568713141259393E-6</v>
      </c>
      <c r="C157" s="9">
        <f t="shared" si="132"/>
        <v>9.0949993792235756E-2</v>
      </c>
      <c r="D157" s="9">
        <f t="shared" si="133"/>
        <v>0.22597556464516125</v>
      </c>
      <c r="E157" s="7">
        <f>MAX((1-Parameters!$B$4)^Parameters!B$71*E156 + B156*Parameters!B$71 - IF(B156&gt;0,Parameters!$B$5,0)*B156^2/E156*Parameters!B$71, 0.0001)</f>
        <v>1E-4</v>
      </c>
      <c r="F157" s="7">
        <f>(1-Parameters!$B$4)^Parameters!B$71*F156+C156*Parameters!B$71-Parameters!$B$5*C156^2/F156*Parameters!B$71</f>
        <v>1.3493112009951642</v>
      </c>
      <c r="G157" s="7">
        <f>(1-Parameters!$B$4)^Parameters!B$71*G156+D156*Parameters!B$71-Parameters!$B$5*D156^2/G156*Parameters!B$71</f>
        <v>3.3472761879726054</v>
      </c>
      <c r="H157" s="9">
        <f>MAX(H156 * (1-Parameters!$B$4) ^ Parameters!B$71 + (LN(1+EXP(Parameters!$B$21*(-B156+0.004)))/Parameters!$B$21 -0.004) * Parameters!B$71,0)</f>
        <v>1.3989946713952629E-2</v>
      </c>
      <c r="I157" s="23">
        <f>I156*(1+Parameters!$B$52)^Parameters!B$71</f>
        <v>12.708893768657832</v>
      </c>
      <c r="J157" s="23">
        <f>J156*(1+Parameters!$B$54)^Parameters!B$71</f>
        <v>186.72503532685275</v>
      </c>
      <c r="K157" s="23">
        <f>I157*J157*EXP(-Parameters!$B$43*'6states'!A157)*(Parameters!$B$38/Parameters!$B$39*('6states'!E157+'6states'!H157)/Parameters!$E$25*(EXP(-Parameters!$B$39*Parameters!$E$25*'6states'!H157/('6states'!E157+'6states'!H157))-EXP(-Parameters!$B$39*Parameters!$E$25))  +  Parameters!$B$40*'6states'!E157)</f>
        <v>4.083636444020157E-2</v>
      </c>
      <c r="L157" s="8">
        <f>L156+K157*Parameters!B$71</f>
        <v>3313.5528908075748</v>
      </c>
      <c r="M157" s="7">
        <f>L157*Parameters!$B$46</f>
        <v>1.9881317344845448</v>
      </c>
      <c r="N157" s="9">
        <f>EXP(-Parameters!$B$47/2*M157^2)</f>
        <v>0.9610543544338741</v>
      </c>
      <c r="O157" s="8">
        <f>MAX((Parameters!$B$63 + Parameters!$B$31*'6states'!A157 - '6states'!L157 + Parameters!$B$48/Parameters!$B$46)/Parameters!B$63,1)</f>
        <v>143.52094218384852</v>
      </c>
      <c r="P157" s="59">
        <f>Parameters!B$62*EXP(-Parameters!B$61*A157)</f>
        <v>8.0334019912627203E-3</v>
      </c>
      <c r="Q157" s="59">
        <f>(1-Parameters!B$62)*O157^-Parameters!B$64</f>
        <v>0.30428355157128295</v>
      </c>
      <c r="R157" s="7">
        <f>Parameters!B$62*EXP(-Parameters!B$61*A157)+(1-Parameters!B$62)*O157^-Parameters!B$64</f>
        <v>0.31231695356254568</v>
      </c>
      <c r="S157" s="7">
        <f>1-R157/Parameters!$B$12</f>
        <v>0.84384152321872719</v>
      </c>
      <c r="T157" s="7">
        <f t="shared" si="119"/>
        <v>6.4037509881751369</v>
      </c>
      <c r="U157" s="7">
        <f>(Parameters!$B$19*(E157+Parameters!$B$20)^S157+Parameters!$B$18*F157^S157)^(1/S157)</f>
        <v>0.34325795373946805</v>
      </c>
      <c r="V157" s="7">
        <f>(Parameters!$B$10*G157^Parameters!$B$9+Parameters!$B$11*U157^Parameters!$B$9)^(Parameters!$B$7/Parameters!$B$9)*N157</f>
        <v>1.3447184649217516</v>
      </c>
      <c r="W157" s="7">
        <f>V157 - C157 - D157 - LN(1+EXP(Parameters!$B$21*B157))/Parameters!$B$21 - IF(B157&gt;0, 0,Parameters!$B$6*B157^2/E157)</f>
        <v>1.0254834568358808</v>
      </c>
      <c r="X157" s="7">
        <f>EXP(-Parameters!$B$56*A157)</f>
        <v>9.9231477650487412E-2</v>
      </c>
      <c r="Y157" s="7">
        <f>IF(W157&gt;0,W157^(1-Parameters!$B$53)/(1-Parameters!$B$53)*X157*Parameters!$B$71,-10+W157*1000)</f>
        <v>-0.28103239437761596</v>
      </c>
      <c r="AA157" s="22">
        <f t="shared" si="122"/>
        <v>0</v>
      </c>
      <c r="AB157" s="22">
        <f t="shared" si="123"/>
        <v>2.7661146174695617E-6</v>
      </c>
      <c r="AC157" s="22">
        <f t="shared" si="124"/>
        <v>-3.7745024606683497E-6</v>
      </c>
      <c r="AD157" s="22">
        <f t="shared" si="120"/>
        <v>2.1729965888749828E-12</v>
      </c>
      <c r="AE157" s="22">
        <f t="shared" si="125"/>
        <v>0</v>
      </c>
      <c r="AF157" s="22">
        <f t="shared" si="126"/>
        <v>-1.7117803240151996E-7</v>
      </c>
      <c r="AG157" s="22">
        <f t="shared" si="127"/>
        <v>2.3431597231948764E-7</v>
      </c>
      <c r="AH157" s="22">
        <f t="shared" si="121"/>
        <v>8.3558752548492034E-15</v>
      </c>
      <c r="AI157" s="22"/>
      <c r="AM157" s="23">
        <f t="shared" si="115"/>
        <v>33.1991037930229</v>
      </c>
      <c r="AN157" s="23">
        <f t="shared" si="116"/>
        <v>0.23730686379178526</v>
      </c>
      <c r="AO157" s="23">
        <f t="shared" si="134"/>
        <v>814.57468473498875</v>
      </c>
      <c r="AP157" s="25">
        <f t="shared" si="118"/>
        <v>3191.1092159348464</v>
      </c>
      <c r="AQ157" s="22">
        <f>-X157*V157*W157^(-Parameters!B$53)*Parameters!B$47*Parameters!B$46*M157</f>
        <v>-3.0925704583475745E-6</v>
      </c>
      <c r="AR157" s="7">
        <f>1000*EXP(-(Parameters!$B$55)*'6states'!A157)*AP157*Parameters!B$47*Parameters!B$46*M157</f>
        <v>0.35599383529063078</v>
      </c>
      <c r="AS157" s="59">
        <f>SUM(AR157:AR$204)*EXP(Parameters!$B$55*A157)</f>
        <v>3963.5297914681169</v>
      </c>
      <c r="AT157" s="39">
        <f t="shared" si="128"/>
        <v>0.23567951941860515</v>
      </c>
      <c r="AU157">
        <f>(1/$S157-1/Parameters!$B$13) * LN(Parameters!$B$18) / LN(O157)</f>
        <v>0.19547540046313022</v>
      </c>
      <c r="AV157">
        <f>(Parameters!$B$18*'6states'!S157^+Parameters!$B$19*Parameters!$B$25^'6states'!S157)^((1-'6states'!S157)/'6states'!S157)*Parameters!$B$18*Parameters!$B$26^('6states'!S157-1)</f>
        <v>0.30830197525484293</v>
      </c>
      <c r="AW157">
        <f t="shared" si="129"/>
        <v>0.17432176292516949</v>
      </c>
      <c r="AX157">
        <f t="shared" si="130"/>
        <v>0.12671491857645878</v>
      </c>
      <c r="AY157">
        <f t="shared" si="131"/>
        <v>0.19240827976793551</v>
      </c>
      <c r="AZ157">
        <f>(1/$S157-1/Parameters!$B$13) * LN(Parameters!$B$18) / A157</f>
        <v>6.3452604912250573E-3</v>
      </c>
    </row>
    <row r="158" spans="1:52" x14ac:dyDescent="0.25">
      <c r="A158">
        <f>A157+Parameters!$B$71</f>
        <v>154</v>
      </c>
      <c r="B158" s="9">
        <f t="shared" si="114"/>
        <v>-2.9568713141259393E-6</v>
      </c>
      <c r="C158" s="9">
        <f t="shared" si="132"/>
        <v>9.0949993792235756E-2</v>
      </c>
      <c r="D158" s="9">
        <f t="shared" si="133"/>
        <v>0.22597556464516125</v>
      </c>
      <c r="E158" s="7">
        <f>MAX((1-Parameters!$B$4)^Parameters!B$71*E157 + B157*Parameters!B$71 - IF(B157&gt;0,Parameters!$B$5,0)*B157^2/E157*Parameters!B$71, 0.0001)</f>
        <v>1E-4</v>
      </c>
      <c r="F158" s="7">
        <f>(1-Parameters!$B$4)^Parameters!B$71*F157+C157*Parameters!B$71-Parameters!$B$5*C157^2/F157*Parameters!B$71</f>
        <v>1.3492590580025086</v>
      </c>
      <c r="G158" s="7">
        <f>(1-Parameters!$B$4)^Parameters!B$71*G157+D157*Parameters!B$71-Parameters!$B$5*D157^2/G157*Parameters!B$71</f>
        <v>3.3474524059446629</v>
      </c>
      <c r="H158" s="9">
        <f>MAX(H157 * (1-Parameters!$B$4) ^ Parameters!B$71 + (LN(1+EXP(Parameters!$B$21*(-B157+0.004)))/Parameters!$B$21 -0.004) * Parameters!B$71,0)</f>
        <v>1.3989859952256599E-2</v>
      </c>
      <c r="I158" s="23">
        <f>I157*(1+Parameters!$B$52)^Parameters!B$71</f>
        <v>12.745749560586939</v>
      </c>
      <c r="J158" s="23">
        <f>J157*(1+Parameters!$B$54)^Parameters!B$71</f>
        <v>190.45953603338981</v>
      </c>
      <c r="K158" s="23">
        <f>I158*J158*EXP(-Parameters!$B$43*'6states'!A158)*(Parameters!$B$38/Parameters!$B$39*('6states'!E158+'6states'!H158)/Parameters!$E$25*(EXP(-Parameters!$B$39*Parameters!$E$25*'6states'!H158/('6states'!E158+'6states'!H158))-EXP(-Parameters!$B$39*Parameters!$E$25))  +  Parameters!$B$40*'6states'!E158)</f>
        <v>4.1358228587411019E-2</v>
      </c>
      <c r="L158" s="8">
        <f>L157+K158*Parameters!B$71</f>
        <v>3313.5942490361622</v>
      </c>
      <c r="M158" s="7">
        <f>L158*Parameters!$B$46</f>
        <v>1.9881565494216971</v>
      </c>
      <c r="N158" s="9">
        <f>EXP(-Parameters!$B$47/2*M158^2)</f>
        <v>0.96105340140767359</v>
      </c>
      <c r="O158" s="8">
        <f>MAX((Parameters!$B$63 + Parameters!$B$31*'6states'!A158 - '6states'!L158 + Parameters!$B$48/Parameters!$B$46)/Parameters!B$63,1)</f>
        <v>144.58411501927677</v>
      </c>
      <c r="P158" s="59">
        <f>Parameters!B$62*EXP(-Parameters!B$61*A158)</f>
        <v>7.8194021358795589E-3</v>
      </c>
      <c r="Q158" s="59">
        <f>(1-Parameters!B$62)*O158^-Parameters!B$64</f>
        <v>0.30405905837760389</v>
      </c>
      <c r="R158" s="7">
        <f>Parameters!B$62*EXP(-Parameters!B$61*A158)+(1-Parameters!B$62)*O158^-Parameters!B$64</f>
        <v>0.31187846051348345</v>
      </c>
      <c r="S158" s="7">
        <f>1-R158/Parameters!$B$12</f>
        <v>0.84406076974325828</v>
      </c>
      <c r="T158" s="7">
        <f t="shared" si="119"/>
        <v>6.4127544964379926</v>
      </c>
      <c r="U158" s="7">
        <f>(Parameters!$B$19*(E158+Parameters!$B$20)^S158+Parameters!$B$18*F158^S158)^(1/S158)</f>
        <v>0.34335172663422686</v>
      </c>
      <c r="V158" s="7">
        <f>(Parameters!$B$10*G158^Parameters!$B$9+Parameters!$B$11*U158^Parameters!$B$9)^(Parameters!$B$7/Parameters!$B$9)*N158</f>
        <v>1.3447648714939378</v>
      </c>
      <c r="W158" s="7">
        <f>V158 - C158 - D158 - LN(1+EXP(Parameters!$B$21*B158))/Parameters!$B$21 - IF(B158&gt;0, 0,Parameters!$B$6*B158^2/E158)</f>
        <v>1.025529863408067</v>
      </c>
      <c r="X158" s="7">
        <f>EXP(-Parameters!$B$56*A158)</f>
        <v>9.7744338495362112E-2</v>
      </c>
      <c r="Y158" s="7">
        <f>IF(W158&gt;0,W158^(1-Parameters!$B$53)/(1-Parameters!$B$53)*X158*Parameters!$B$71,-10+W158*1000)</f>
        <v>-0.27681629932490176</v>
      </c>
      <c r="AA158" s="22">
        <f t="shared" si="122"/>
        <v>0</v>
      </c>
      <c r="AB158" s="22">
        <f t="shared" si="123"/>
        <v>2.604900619346262E-6</v>
      </c>
      <c r="AC158" s="22">
        <f t="shared" si="124"/>
        <v>-3.5539042296806045E-6</v>
      </c>
      <c r="AD158" s="22">
        <f t="shared" si="120"/>
        <v>1.8977789080765246E-12</v>
      </c>
      <c r="AE158" s="22">
        <f t="shared" si="125"/>
        <v>0</v>
      </c>
      <c r="AF158" s="22">
        <f t="shared" si="126"/>
        <v>-1.6121399812329962E-7</v>
      </c>
      <c r="AG158" s="22">
        <f t="shared" si="127"/>
        <v>2.2059823098774523E-7</v>
      </c>
      <c r="AH158" s="22">
        <f t="shared" si="121"/>
        <v>7.2969601706724386E-15</v>
      </c>
      <c r="AI158" s="22"/>
      <c r="AM158" s="23">
        <f t="shared" si="115"/>
        <v>33.961078199587163</v>
      </c>
      <c r="AN158" s="23">
        <f t="shared" si="116"/>
        <v>0.24275495477071704</v>
      </c>
      <c r="AO158" s="23">
        <f t="shared" si="134"/>
        <v>833.50332869539341</v>
      </c>
      <c r="AP158" s="25">
        <f t="shared" si="118"/>
        <v>3264.4833555676</v>
      </c>
      <c r="AQ158" s="22">
        <f>-X158*V158*W158^(-Parameters!B$53)*Parameters!B$47*Parameters!B$46*M158</f>
        <v>-3.0461804949583999E-6</v>
      </c>
      <c r="AR158" s="7">
        <f>1000*EXP(-(Parameters!$B$55)*'6states'!A158)*AP158*Parameters!B$47*Parameters!B$46*M158</f>
        <v>0.35162273864169175</v>
      </c>
      <c r="AS158" s="59">
        <f>SUM(AR158:AR$204)*EXP(Parameters!$B$55*A158)</f>
        <v>4025.8739650964158</v>
      </c>
      <c r="AT158" s="39">
        <f t="shared" si="128"/>
        <v>0.23567138633983239</v>
      </c>
      <c r="AU158">
        <f>(1/$S158-1/Parameters!$B$13) * LN(Parameters!$B$18) / LN(O158)</f>
        <v>0.19525906896758582</v>
      </c>
      <c r="AV158">
        <f>(Parameters!$B$18*'6states'!S158^+Parameters!$B$19*Parameters!$B$25^'6states'!S158)^((1-'6states'!S158)/'6states'!S158)*Parameters!$B$18*Parameters!$B$26^('6states'!S158-1)</f>
        <v>0.30832533506147908</v>
      </c>
      <c r="AW158">
        <f t="shared" si="129"/>
        <v>0.17407832772667098</v>
      </c>
      <c r="AX158">
        <f t="shared" si="130"/>
        <v>0.1265839600389852</v>
      </c>
      <c r="AY158">
        <f t="shared" si="131"/>
        <v>0.19242135601285293</v>
      </c>
      <c r="AZ158">
        <f>(1/$S158-1/Parameters!$B$13) * LN(Parameters!$B$18) / A158</f>
        <v>6.3064386734779723E-3</v>
      </c>
    </row>
    <row r="159" spans="1:52" x14ac:dyDescent="0.25">
      <c r="A159">
        <f>A158+Parameters!$B$71</f>
        <v>155</v>
      </c>
      <c r="B159" s="9">
        <f t="shared" si="114"/>
        <v>-2.9568713141259393E-6</v>
      </c>
      <c r="C159" s="9">
        <f t="shared" si="132"/>
        <v>9.0949993792235756E-2</v>
      </c>
      <c r="D159" s="9">
        <f t="shared" si="133"/>
        <v>0.22597556464516125</v>
      </c>
      <c r="E159" s="7">
        <f>MAX((1-Parameters!$B$4)^Parameters!B$71*E158 + B158*Parameters!B$71 - IF(B158&gt;0,Parameters!$B$5,0)*B158^2/E158*Parameters!B$71, 0.0001)</f>
        <v>1E-4</v>
      </c>
      <c r="F159" s="7">
        <f>(1-Parameters!$B$4)^Parameters!B$71*F158+C158*Parameters!B$71-Parameters!$B$5*C158^2/F158*Parameters!B$71</f>
        <v>1.3492099578883956</v>
      </c>
      <c r="G159" s="7">
        <f>(1-Parameters!$B$4)^Parameters!B$71*G158+D158*Parameters!B$71-Parameters!$B$5*D158^2/G158*Parameters!B$71</f>
        <v>3.3476183429017929</v>
      </c>
      <c r="H159" s="9">
        <f>MAX(H158 * (1-Parameters!$B$4) ^ Parameters!B$71 + (LN(1+EXP(Parameters!$B$21*(-B158+0.004)))/Parameters!$B$21 -0.004) * Parameters!B$71,0)</f>
        <v>1.3989778647871248E-2</v>
      </c>
      <c r="I159" s="23">
        <f>I158*(1+Parameters!$B$52)^Parameters!B$71</f>
        <v>12.782712234312639</v>
      </c>
      <c r="J159" s="23">
        <f>J158*(1+Parameters!$B$54)^Parameters!B$71</f>
        <v>194.26872675405761</v>
      </c>
      <c r="K159" s="23">
        <f>I159*J159*EXP(-Parameters!$B$43*'6states'!A159)*(Parameters!$B$38/Parameters!$B$39*('6states'!E159+'6states'!H159)/Parameters!$E$25*(EXP(-Parameters!$B$39*Parameters!$E$25*'6states'!H159/('6states'!E159+'6states'!H159))-EXP(-Parameters!$B$39*Parameters!$E$25))  +  Parameters!$B$40*'6states'!E159)</f>
        <v>4.1886761844172109E-2</v>
      </c>
      <c r="L159" s="8">
        <f>L158+K159*Parameters!B$71</f>
        <v>3313.6361357980063</v>
      </c>
      <c r="M159" s="7">
        <f>L159*Parameters!$B$46</f>
        <v>1.9881816814788036</v>
      </c>
      <c r="N159" s="9">
        <f>EXP(-Parameters!$B$47/2*M159^2)</f>
        <v>0.96105243619121128</v>
      </c>
      <c r="O159" s="8">
        <f>MAX((Parameters!$B$63 + Parameters!$B$31*'6states'!A159 - '6states'!L159 + Parameters!$B$48/Parameters!$B$46)/Parameters!B$63,1)</f>
        <v>145.64727728403989</v>
      </c>
      <c r="P159" s="59">
        <f>Parameters!B$62*EXP(-Parameters!B$61*A159)</f>
        <v>7.6111029709577845E-3</v>
      </c>
      <c r="Q159" s="59">
        <f>(1-Parameters!B$62)*O159^-Parameters!B$64</f>
        <v>0.30383637593671869</v>
      </c>
      <c r="R159" s="7">
        <f>Parameters!B$62*EXP(-Parameters!B$61*A159)+(1-Parameters!B$62)*O159^-Parameters!B$64</f>
        <v>0.31144747890767649</v>
      </c>
      <c r="S159" s="7">
        <f>1-R159/Parameters!$B$12</f>
        <v>0.84427626054616178</v>
      </c>
      <c r="T159" s="7">
        <f t="shared" si="119"/>
        <v>6.4216284781450028</v>
      </c>
      <c r="U159" s="7">
        <f>(Parameters!$B$19*(E159+Parameters!$B$20)^S159+Parameters!$B$18*F159^S159)^(1/S159)</f>
        <v>0.34344440620296302</v>
      </c>
      <c r="V159" s="7">
        <f>(Parameters!$B$10*G159^Parameters!$B$9+Parameters!$B$11*U159^Parameters!$B$9)^(Parameters!$B$7/Parameters!$B$9)*N159</f>
        <v>1.3448099839448755</v>
      </c>
      <c r="W159" s="7">
        <f>V159 - C159 - D159 - LN(1+EXP(Parameters!$B$21*B159))/Parameters!$B$21 - IF(B159&gt;0, 0,Parameters!$B$6*B159^2/E159)</f>
        <v>1.0255749758590047</v>
      </c>
      <c r="X159" s="7">
        <f>EXP(-Parameters!$B$56*A159)</f>
        <v>9.6279486450325927E-2</v>
      </c>
      <c r="Y159" s="7">
        <f>IF(W159&gt;0,W159^(1-Parameters!$B$53)/(1-Parameters!$B$53)*X159*Parameters!$B$71,-10+W159*1000)</f>
        <v>-0.27266357545280301</v>
      </c>
      <c r="AA159" s="22">
        <f t="shared" si="122"/>
        <v>0</v>
      </c>
      <c r="AB159" s="22">
        <f t="shared" si="123"/>
        <v>2.4530719983789639E-6</v>
      </c>
      <c r="AC159" s="22">
        <f t="shared" si="124"/>
        <v>-3.346218164529402E-6</v>
      </c>
      <c r="AD159" s="22">
        <f t="shared" si="120"/>
        <v>1.6574261565325894E-12</v>
      </c>
      <c r="AE159" s="22">
        <f t="shared" si="125"/>
        <v>0</v>
      </c>
      <c r="AF159" s="22">
        <f t="shared" si="126"/>
        <v>-1.518286209672981E-7</v>
      </c>
      <c r="AG159" s="22">
        <f t="shared" si="127"/>
        <v>2.0768606515120247E-7</v>
      </c>
      <c r="AH159" s="22">
        <f t="shared" si="121"/>
        <v>6.3722993844686737E-15</v>
      </c>
      <c r="AI159" s="22"/>
      <c r="AM159" s="23">
        <f t="shared" si="115"/>
        <v>34.7405547312392</v>
      </c>
      <c r="AN159" s="23">
        <f t="shared" si="116"/>
        <v>0.24832812302234317</v>
      </c>
      <c r="AO159" s="23">
        <f t="shared" si="134"/>
        <v>852.86904754904981</v>
      </c>
      <c r="AP159" s="25">
        <f t="shared" si="118"/>
        <v>3339.5413913473831</v>
      </c>
      <c r="AQ159" s="22">
        <f>-X159*V159*W159^(-Parameters!B$53)*Parameters!B$47*Parameters!B$46*M159</f>
        <v>-3.0004891088839977E-6</v>
      </c>
      <c r="AR159" s="7">
        <f>1000*EXP(-(Parameters!$B$55)*'6states'!A159)*AP159*Parameters!B$47*Parameters!B$46*M159</f>
        <v>0.3473050335404046</v>
      </c>
      <c r="AS159" s="59">
        <f>SUM(AR159:AR$204)*EXP(Parameters!$B$55*A159)</f>
        <v>4088.622135553439</v>
      </c>
      <c r="AT159" s="39">
        <f t="shared" si="128"/>
        <v>0.23566348060297693</v>
      </c>
      <c r="AU159">
        <f>(1/$S159-1/Parameters!$B$13) * LN(Parameters!$B$18) / LN(O159)</f>
        <v>0.19504420031513631</v>
      </c>
      <c r="AV159">
        <f>(Parameters!$B$18*'6states'!S159^+Parameters!$B$19*Parameters!$B$25^'6states'!S159)^((1-'6states'!S159)/'6states'!S159)*Parameters!$B$18*Parameters!$B$26^('6states'!S159-1)</f>
        <v>0.30834819749163284</v>
      </c>
      <c r="AW159">
        <f t="shared" si="129"/>
        <v>0.17383717851112571</v>
      </c>
      <c r="AX159">
        <f t="shared" si="130"/>
        <v>0.12645386760901189</v>
      </c>
      <c r="AY159">
        <f t="shared" si="131"/>
        <v>0.19243415363364313</v>
      </c>
      <c r="AZ159">
        <f>(1/$S159-1/Parameters!$B$13) * LN(Parameters!$B$18) / A159</f>
        <v>6.2680760584339201E-3</v>
      </c>
    </row>
    <row r="160" spans="1:52" x14ac:dyDescent="0.25">
      <c r="A160">
        <f>A159+Parameters!$B$71</f>
        <v>156</v>
      </c>
      <c r="B160" s="9">
        <f t="shared" si="114"/>
        <v>-2.9568713141259393E-6</v>
      </c>
      <c r="C160" s="9">
        <f t="shared" si="132"/>
        <v>9.0949993792235756E-2</v>
      </c>
      <c r="D160" s="9">
        <f t="shared" si="133"/>
        <v>0.22597556464516125</v>
      </c>
      <c r="E160" s="7">
        <f>MAX((1-Parameters!$B$4)^Parameters!B$71*E159 + B159*Parameters!B$71 - IF(B159&gt;0,Parameters!$B$5,0)*B159^2/E159*Parameters!B$71, 0.0001)</f>
        <v>1E-4</v>
      </c>
      <c r="F160" s="7">
        <f>(1-Parameters!$B$4)^Parameters!B$71*F159+C159*Parameters!B$71-Parameters!$B$5*C159^2/F159*Parameters!B$71</f>
        <v>1.3491637230645774</v>
      </c>
      <c r="G160" s="7">
        <f>(1-Parameters!$B$4)^Parameters!B$71*G159+D159*Parameters!B$71-Parameters!$B$5*D159^2/G159*Parameters!B$71</f>
        <v>3.3477745985878586</v>
      </c>
      <c r="H160" s="9">
        <f>MAX(H159 * (1-Parameters!$B$4) ^ Parameters!B$71 + (LN(1+EXP(Parameters!$B$21*(-B159+0.004)))/Parameters!$B$21 -0.004) * Parameters!B$71,0)</f>
        <v>1.3989702457531736E-2</v>
      </c>
      <c r="I160" s="23">
        <f>I159*(1+Parameters!$B$52)^Parameters!B$71</f>
        <v>12.819782099792144</v>
      </c>
      <c r="J160" s="23">
        <f>J159*(1+Parameters!$B$54)^Parameters!B$71</f>
        <v>198.15410128913877</v>
      </c>
      <c r="K160" s="23">
        <f>I160*J160*EXP(-Parameters!$B$43*'6states'!A160)*(Parameters!$B$38/Parameters!$B$39*('6states'!E160+'6states'!H160)/Parameters!$E$25*(EXP(-Parameters!$B$39*Parameters!$E$25*'6states'!H160/('6states'!E160+'6states'!H160))-EXP(-Parameters!$B$39*Parameters!$E$25))  +  Parameters!$B$40*'6states'!E160)</f>
        <v>4.2422049437688993E-2</v>
      </c>
      <c r="L160" s="8">
        <f>L159+K160*Parameters!B$71</f>
        <v>3313.6785578474442</v>
      </c>
      <c r="M160" s="7">
        <f>L160*Parameters!$B$46</f>
        <v>1.9882071347084662</v>
      </c>
      <c r="N160" s="9">
        <f>EXP(-Parameters!$B$47/2*M160^2)</f>
        <v>0.9610514586284159</v>
      </c>
      <c r="O160" s="8">
        <f>MAX((Parameters!$B$63 + Parameters!$B$31*'6states'!A160 - '6states'!L160 + Parameters!$B$48/Parameters!$B$46)/Parameters!B$63,1)</f>
        <v>146.71042884305112</v>
      </c>
      <c r="P160" s="59">
        <f>Parameters!B$62*EXP(-Parameters!B$61*A160)</f>
        <v>7.4083526371810362E-3</v>
      </c>
      <c r="Q160" s="59">
        <f>(1-Parameters!B$62)*O160^-Parameters!B$64</f>
        <v>0.30361547661071653</v>
      </c>
      <c r="R160" s="7">
        <f>Parameters!B$62*EXP(-Parameters!B$61*A160)+(1-Parameters!B$62)*O160^-Parameters!B$64</f>
        <v>0.31102382924789757</v>
      </c>
      <c r="S160" s="7">
        <f>1-R160/Parameters!$B$12</f>
        <v>0.84448808537605125</v>
      </c>
      <c r="T160" s="7">
        <f t="shared" si="119"/>
        <v>6.4303754629871976</v>
      </c>
      <c r="U160" s="7">
        <f>(Parameters!$B$19*(E160+Parameters!$B$20)^S160+Parameters!$B$18*F160^S160)^(1/S160)</f>
        <v>0.34353599373130062</v>
      </c>
      <c r="V160" s="7">
        <f>(Parameters!$B$10*G160^Parameters!$B$9+Parameters!$B$11*U160^Parameters!$B$9)^(Parameters!$B$7/Parameters!$B$9)*N160</f>
        <v>1.3448538536431709</v>
      </c>
      <c r="W160" s="7">
        <f>V160 - C160 - D160 - LN(1+EXP(Parameters!$B$21*B160))/Parameters!$B$21 - IF(B160&gt;0, 0,Parameters!$B$6*B160^2/E160)</f>
        <v>1.0256188455573001</v>
      </c>
      <c r="X160" s="7">
        <f>EXP(-Parameters!$B$56*A160)</f>
        <v>9.4836587508117826E-2</v>
      </c>
      <c r="Y160" s="7">
        <f>IF(W160&gt;0,W160^(1-Parameters!$B$53)/(1-Parameters!$B$53)*X160*Parameters!$B$71,-10+W160*1000)</f>
        <v>-0.26857326371365903</v>
      </c>
      <c r="AA160" s="22">
        <f t="shared" si="122"/>
        <v>0</v>
      </c>
      <c r="AB160" s="22">
        <f t="shared" si="123"/>
        <v>2.3100835513656381E-6</v>
      </c>
      <c r="AC160" s="22">
        <f t="shared" si="124"/>
        <v>-3.1506862789298928E-6</v>
      </c>
      <c r="AD160" s="22">
        <f t="shared" si="120"/>
        <v>1.4475202385116619E-12</v>
      </c>
      <c r="AE160" s="22">
        <f t="shared" si="125"/>
        <v>0</v>
      </c>
      <c r="AF160" s="22">
        <f t="shared" si="126"/>
        <v>-1.429884470133258E-7</v>
      </c>
      <c r="AG160" s="22">
        <f t="shared" si="127"/>
        <v>1.9553188559950918E-7</v>
      </c>
      <c r="AH160" s="22">
        <f t="shared" si="121"/>
        <v>5.5648605693165114E-15</v>
      </c>
      <c r="AI160" s="22"/>
      <c r="AM160" s="23">
        <f t="shared" si="115"/>
        <v>35.537934841018526</v>
      </c>
      <c r="AN160" s="23">
        <f t="shared" si="116"/>
        <v>0.25402924007069011</v>
      </c>
      <c r="AO160" s="23">
        <f t="shared" si="134"/>
        <v>872.68187424491646</v>
      </c>
      <c r="AP160" s="25">
        <f t="shared" si="118"/>
        <v>3416.3220244711374</v>
      </c>
      <c r="AQ160" s="22">
        <f>-X160*V160*W160^(-Parameters!B$53)*Parameters!B$47*Parameters!B$46*M160</f>
        <v>-2.9554856586290975E-6</v>
      </c>
      <c r="AR160" s="7">
        <f>1000*EXP(-(Parameters!$B$55)*'6states'!A160)*AP160*Parameters!B$47*Parameters!B$46*M160</f>
        <v>0.34304008510713768</v>
      </c>
      <c r="AS160" s="59">
        <f>SUM(AR160:AR$204)*EXP(Parameters!$B$55*A160)</f>
        <v>4151.7468583030459</v>
      </c>
      <c r="AT160" s="39">
        <f t="shared" si="128"/>
        <v>0.23565579316112939</v>
      </c>
      <c r="AU160">
        <f>(1/$S160-1/Parameters!$B$13) * LN(Parameters!$B$18) / LN(O160)</f>
        <v>0.19483078232692658</v>
      </c>
      <c r="AV160">
        <f>(Parameters!$B$18*'6states'!S160^+Parameters!$B$19*Parameters!$B$25^'6states'!S160)^((1-'6states'!S160)/'6states'!S160)*Parameters!$B$18*Parameters!$B$26^('6states'!S160-1)</f>
        <v>0.30837057711074556</v>
      </c>
      <c r="AW160">
        <f t="shared" si="129"/>
        <v>0.17359827949960288</v>
      </c>
      <c r="AX160">
        <f t="shared" si="130"/>
        <v>0.12632463430404095</v>
      </c>
      <c r="AY160">
        <f t="shared" si="131"/>
        <v>0.19244668079659921</v>
      </c>
      <c r="AZ160">
        <f>(1/$S160-1/Parameters!$B$13) * LN(Parameters!$B$18) / A160</f>
        <v>6.230164838830439E-3</v>
      </c>
    </row>
    <row r="161" spans="1:52" x14ac:dyDescent="0.25">
      <c r="A161">
        <f>A160+Parameters!$B$71</f>
        <v>157</v>
      </c>
      <c r="B161" s="9">
        <f t="shared" si="114"/>
        <v>-2.9568713141259393E-6</v>
      </c>
      <c r="C161" s="9">
        <f t="shared" si="132"/>
        <v>9.0949993792235756E-2</v>
      </c>
      <c r="D161" s="9">
        <f t="shared" si="133"/>
        <v>0.22597556464516125</v>
      </c>
      <c r="E161" s="7">
        <f>MAX((1-Parameters!$B$4)^Parameters!B$71*E160 + B160*Parameters!B$71 - IF(B160&gt;0,Parameters!$B$5,0)*B160^2/E160*Parameters!B$71, 0.0001)</f>
        <v>1E-4</v>
      </c>
      <c r="F161" s="7">
        <f>(1-Parameters!$B$4)^Parameters!B$71*F160+C160*Parameters!B$71-Parameters!$B$5*C160^2/F160*Parameters!B$71</f>
        <v>1.3491201863090927</v>
      </c>
      <c r="G161" s="7">
        <f>(1-Parameters!$B$4)^Parameters!B$71*G160+D160*Parameters!B$71-Parameters!$B$5*D160^2/G160*Parameters!B$71</f>
        <v>3.347921737769382</v>
      </c>
      <c r="H161" s="9">
        <f>MAX(H160 * (1-Parameters!$B$4) ^ Parameters!B$71 + (LN(1+EXP(Parameters!$B$21*(-B160+0.004)))/Parameters!$B$21 -0.004) * Parameters!B$71,0)</f>
        <v>1.398963105956458E-2</v>
      </c>
      <c r="I161" s="23">
        <f>I160*(1+Parameters!$B$52)^Parameters!B$71</f>
        <v>12.85695946788154</v>
      </c>
      <c r="J161" s="23">
        <f>J160*(1+Parameters!$B$54)^Parameters!B$71</f>
        <v>202.11718331492153</v>
      </c>
      <c r="K161" s="23">
        <f>I161*J161*EXP(-Parameters!$B$43*'6states'!A161)*(Parameters!$B$38/Parameters!$B$39*('6states'!E161+'6states'!H161)/Parameters!$E$25*(EXP(-Parameters!$B$39*Parameters!$E$25*'6states'!H161/('6states'!E161+'6states'!H161))-EXP(-Parameters!$B$39*Parameters!$E$25))  +  Parameters!$B$40*'6states'!E161)</f>
        <v>4.2964177684318171E-2</v>
      </c>
      <c r="L161" s="8">
        <f>L160+K161*Parameters!B$71</f>
        <v>3313.7215220251283</v>
      </c>
      <c r="M161" s="7">
        <f>L161*Parameters!$B$46</f>
        <v>1.9882329132150767</v>
      </c>
      <c r="N161" s="9">
        <f>EXP(-Parameters!$B$47/2*M161^2)</f>
        <v>0.96105046856121434</v>
      </c>
      <c r="O161" s="8">
        <f>MAX((Parameters!$B$63 + Parameters!$B$31*'6states'!A161 - '6states'!L161 + Parameters!$B$48/Parameters!$B$46)/Parameters!B$63,1)</f>
        <v>147.77356955949742</v>
      </c>
      <c r="P161" s="59">
        <f>Parameters!B$62*EXP(-Parameters!B$61*A161)</f>
        <v>7.2110033205766274E-3</v>
      </c>
      <c r="Q161" s="59">
        <f>(1-Parameters!B$62)*O161^-Parameters!B$64</f>
        <v>0.30339633338062344</v>
      </c>
      <c r="R161" s="7">
        <f>Parameters!B$62*EXP(-Parameters!B$61*A161)+(1-Parameters!B$62)*O161^-Parameters!B$64</f>
        <v>0.31060733670120005</v>
      </c>
      <c r="S161" s="7">
        <f>1-R161/Parameters!$B$12</f>
        <v>0.84469633164939995</v>
      </c>
      <c r="T161" s="7">
        <f t="shared" si="119"/>
        <v>6.4389979362399021</v>
      </c>
      <c r="U161" s="7">
        <f>(Parameters!$B$19*(E161+Parameters!$B$20)^S161+Parameters!$B$18*F161^S161)^(1/S161)</f>
        <v>0.34362649181371008</v>
      </c>
      <c r="V161" s="7">
        <f>(Parameters!$B$10*G161^Parameters!$B$9+Parameters!$B$11*U161^Parameters!$B$9)^(Parameters!$B$7/Parameters!$B$9)*N161</f>
        <v>1.3448965294895292</v>
      </c>
      <c r="W161" s="7">
        <f>V161 - C161 - D161 - LN(1+EXP(Parameters!$B$21*B161))/Parameters!$B$21 - IF(B161&gt;0, 0,Parameters!$B$6*B161^2/E161)</f>
        <v>1.0256615214036584</v>
      </c>
      <c r="X161" s="7">
        <f>EXP(-Parameters!$B$56*A161)</f>
        <v>9.3415312667098696E-2</v>
      </c>
      <c r="Y161" s="7">
        <f>IF(W161&gt;0,W161^(1-Parameters!$B$53)/(1-Parameters!$B$53)*X161*Parameters!$B$71,-10+W161*1000)</f>
        <v>-0.26454441996576716</v>
      </c>
      <c r="AA161" s="22">
        <f t="shared" si="122"/>
        <v>0</v>
      </c>
      <c r="AB161" s="22">
        <f t="shared" si="123"/>
        <v>2.1754216122521486E-6</v>
      </c>
      <c r="AC161" s="22">
        <f t="shared" si="124"/>
        <v>-2.9665953326929451E-6</v>
      </c>
      <c r="AD161" s="22">
        <f t="shared" si="120"/>
        <v>1.2642031638871811E-12</v>
      </c>
      <c r="AE161" s="22">
        <f t="shared" si="125"/>
        <v>0</v>
      </c>
      <c r="AF161" s="22">
        <f t="shared" si="126"/>
        <v>-1.3466193911348956E-7</v>
      </c>
      <c r="AG161" s="22">
        <f t="shared" si="127"/>
        <v>1.8409094623694777E-7</v>
      </c>
      <c r="AH161" s="22">
        <f t="shared" si="121"/>
        <v>4.8597741743230845E-15</v>
      </c>
      <c r="AI161" s="22"/>
      <c r="AM161" s="23">
        <f t="shared" si="115"/>
        <v>36.353629213453431</v>
      </c>
      <c r="AN161" s="23">
        <f t="shared" si="116"/>
        <v>0.25986124336423294</v>
      </c>
      <c r="AO161" s="23">
        <f t="shared" si="134"/>
        <v>892.95207415600112</v>
      </c>
      <c r="AP161" s="25">
        <f t="shared" si="118"/>
        <v>3494.8648434939078</v>
      </c>
      <c r="AQ161" s="22">
        <f>-X161*V161*W161^(-Parameters!B$53)*Parameters!B$47*Parameters!B$46*M161</f>
        <v>-2.9111596720373038E-6</v>
      </c>
      <c r="AR161" s="7">
        <f>1000*EXP(-(Parameters!$B$55)*'6states'!A161)*AP161*Parameters!B$47*Parameters!B$46*M161</f>
        <v>0.33882726500672944</v>
      </c>
      <c r="AS161" s="59">
        <f>SUM(AR161:AR$204)*EXP(Parameters!$B$55*A161)</f>
        <v>4215.2187446308762</v>
      </c>
      <c r="AT161" s="39">
        <f t="shared" si="128"/>
        <v>0.2356483154033972</v>
      </c>
      <c r="AU161">
        <f>(1/$S161-1/Parameters!$B$13) * LN(Parameters!$B$18) / LN(O161)</f>
        <v>0.19461880291318306</v>
      </c>
      <c r="AV161">
        <f>(Parameters!$B$18*'6states'!S161^+Parameters!$B$19*Parameters!$B$25^'6states'!S161)^((1-'6states'!S161)/'6states'!S161)*Parameters!$B$18*Parameters!$B$26^('6states'!S161-1)</f>
        <v>0.30839248799010088</v>
      </c>
      <c r="AW161">
        <f t="shared" si="129"/>
        <v>0.17336159568512247</v>
      </c>
      <c r="AX161">
        <f t="shared" si="130"/>
        <v>0.12619625318861694</v>
      </c>
      <c r="AY161">
        <f t="shared" si="131"/>
        <v>0.19245894539062935</v>
      </c>
      <c r="AZ161">
        <f>(1/$S161-1/Parameters!$B$13) * LN(Parameters!$B$18) / A161</f>
        <v>6.1926973784733269E-3</v>
      </c>
    </row>
    <row r="162" spans="1:52" x14ac:dyDescent="0.25">
      <c r="A162">
        <f>A161+Parameters!$B$71</f>
        <v>158</v>
      </c>
      <c r="B162" s="9">
        <f t="shared" si="114"/>
        <v>-2.9568713141259393E-6</v>
      </c>
      <c r="C162" s="9">
        <f t="shared" si="132"/>
        <v>9.0949993792235756E-2</v>
      </c>
      <c r="D162" s="9">
        <f t="shared" si="133"/>
        <v>0.22597556464516125</v>
      </c>
      <c r="E162" s="7">
        <f>MAX((1-Parameters!$B$4)^Parameters!B$71*E161 + B161*Parameters!B$71 - IF(B161&gt;0,Parameters!$B$5,0)*B161^2/E161*Parameters!B$71, 0.0001)</f>
        <v>1E-4</v>
      </c>
      <c r="F162" s="7">
        <f>(1-Parameters!$B$4)^Parameters!B$71*F161+C161*Parameters!B$71-Parameters!$B$5*C161^2/F161*Parameters!B$71</f>
        <v>1.3490791901609458</v>
      </c>
      <c r="G162" s="7">
        <f>(1-Parameters!$B$4)^Parameters!B$71*G161+D161*Parameters!B$71-Parameters!$B$5*D161^2/G161*Parameters!B$71</f>
        <v>3.3480602922744427</v>
      </c>
      <c r="H162" s="9">
        <f>MAX(H161 * (1-Parameters!$B$4) ^ Parameters!B$71 + (LN(1+EXP(Parameters!$B$21*(-B161+0.004)))/Parameters!$B$21 -0.004) * Parameters!B$71,0)</f>
        <v>1.3989564152529558E-2</v>
      </c>
      <c r="I162" s="23">
        <f>I161*(1+Parameters!$B$52)^Parameters!B$71</f>
        <v>12.894244650338395</v>
      </c>
      <c r="J162" s="23">
        <f>J161*(1+Parameters!$B$54)^Parameters!B$71</f>
        <v>206.15952698121995</v>
      </c>
      <c r="K162" s="23">
        <f>I162*J162*EXP(-Parameters!$B$43*'6states'!A162)*(Parameters!$B$38/Parameters!$B$39*('6states'!E162+'6states'!H162)/Parameters!$E$25*(EXP(-Parameters!$B$39*Parameters!$E$25*'6states'!H162/('6states'!E162+'6states'!H162))-EXP(-Parameters!$B$39*Parameters!$E$25))  +  Parameters!$B$40*'6states'!E162)</f>
        <v>4.3513234003487195E-2</v>
      </c>
      <c r="L162" s="8">
        <f>L161+K162*Parameters!B$71</f>
        <v>3313.7650352591318</v>
      </c>
      <c r="M162" s="7">
        <f>L162*Parameters!$B$46</f>
        <v>1.9882590211554789</v>
      </c>
      <c r="N162" s="9">
        <f>EXP(-Parameters!$B$47/2*M162^2)</f>
        <v>0.96104946582950568</v>
      </c>
      <c r="O162" s="8">
        <f>MAX((Parameters!$B$63 + Parameters!$B$31*'6states'!A162 - '6states'!L162 + Parameters!$B$48/Parameters!$B$46)/Parameters!B$63,1)</f>
        <v>148.83669929481738</v>
      </c>
      <c r="P162" s="59">
        <f>Parameters!B$62*EXP(-Parameters!B$61*A162)</f>
        <v>7.0189111447525807E-3</v>
      </c>
      <c r="Q162" s="59">
        <f>(1-Parameters!B$62)*O162^-Parameters!B$64</f>
        <v>0.30317891982821255</v>
      </c>
      <c r="R162" s="7">
        <f>Parameters!B$62*EXP(-Parameters!B$61*A162)+(1-Parameters!B$62)*O162^-Parameters!B$64</f>
        <v>0.31019783097296511</v>
      </c>
      <c r="S162" s="7">
        <f>1-R162/Parameters!$B$12</f>
        <v>0.84490108451351742</v>
      </c>
      <c r="T162" s="7">
        <f t="shared" si="119"/>
        <v>6.4474983391302532</v>
      </c>
      <c r="U162" s="7">
        <f>(Parameters!$B$19*(E162+Parameters!$B$20)^S162+Parameters!$B$18*F162^S162)^(1/S162)</f>
        <v>0.3437159042438207</v>
      </c>
      <c r="V162" s="7">
        <f>(Parameters!$B$10*G162^Parameters!$B$9+Parameters!$B$11*U162^Parameters!$B$9)^(Parameters!$B$7/Parameters!$B$9)*N162</f>
        <v>1.3449380580462313</v>
      </c>
      <c r="W162" s="7">
        <f>V162 - C162 - D162 - LN(1+EXP(Parameters!$B$21*B162))/Parameters!$B$21 - IF(B162&gt;0, 0,Parameters!$B$6*B162^2/E162)</f>
        <v>1.0257030499603605</v>
      </c>
      <c r="X162" s="7">
        <f>EXP(-Parameters!$B$56*A162)</f>
        <v>9.2015337856234475E-2</v>
      </c>
      <c r="Y162" s="7">
        <f>IF(W162&gt;0,W162^(1-Parameters!$B$53)/(1-Parameters!$B$53)*X162*Parameters!$B$71,-10+W162*1000)</f>
        <v>-0.2605761147166758</v>
      </c>
      <c r="AA162" s="22">
        <f t="shared" si="122"/>
        <v>0</v>
      </c>
      <c r="AB162" s="22">
        <f t="shared" si="123"/>
        <v>2.0486022429128115E-6</v>
      </c>
      <c r="AC162" s="22">
        <f t="shared" si="124"/>
        <v>-2.7932741619163259E-6</v>
      </c>
      <c r="AD162" s="22">
        <f t="shared" si="120"/>
        <v>1.1041059970469088E-12</v>
      </c>
      <c r="AE162" s="22">
        <f t="shared" si="125"/>
        <v>0</v>
      </c>
      <c r="AF162" s="22">
        <f t="shared" si="126"/>
        <v>-1.2681936933933713E-7</v>
      </c>
      <c r="AG162" s="22">
        <f t="shared" si="127"/>
        <v>1.7332117077661913E-7</v>
      </c>
      <c r="AH162" s="22">
        <f t="shared" si="121"/>
        <v>4.2440584562503785E-15</v>
      </c>
      <c r="AI162" s="22"/>
      <c r="AM162" s="23">
        <f t="shared" si="115"/>
        <v>37.188057975879708</v>
      </c>
      <c r="AN162" s="23">
        <f t="shared" si="116"/>
        <v>0.26582713778938893</v>
      </c>
      <c r="AO162" s="23">
        <f t="shared" si="134"/>
        <v>913.69015037826546</v>
      </c>
      <c r="AP162" s="25">
        <f t="shared" si="118"/>
        <v>3575.210344744487</v>
      </c>
      <c r="AQ162" s="22">
        <f>-X162*V162*W162^(-Parameters!B$53)*Parameters!B$47*Parameters!B$46*M162</f>
        <v>-2.8675008431364306E-6</v>
      </c>
      <c r="AR162" s="7">
        <f>1000*EXP(-(Parameters!$B$55)*'6states'!A162)*AP162*Parameters!B$47*Parameters!B$46*M162</f>
        <v>0.33466595144536793</v>
      </c>
      <c r="AS162" s="59">
        <f>SUM(AR162:AR$204)*EXP(Parameters!$B$55*A162)</f>
        <v>4279.0063700466762</v>
      </c>
      <c r="AT162" s="39">
        <f t="shared" si="128"/>
        <v>0.23564103913192178</v>
      </c>
      <c r="AU162">
        <f>(1/$S162-1/Parameters!$B$13) * LN(Parameters!$B$18) / LN(O162)</f>
        <v>0.19440825007209658</v>
      </c>
      <c r="AV162">
        <f>(Parameters!$B$18*'6states'!S162^+Parameters!$B$19*Parameters!$B$25^'6states'!S162)^((1-'6states'!S162)/'6states'!S162)*Parameters!$B$18*Parameters!$B$26^('6states'!S162-1)</f>
        <v>0.30841394372562519</v>
      </c>
      <c r="AW162">
        <f t="shared" si="129"/>
        <v>0.17312709281132638</v>
      </c>
      <c r="AX162">
        <f t="shared" si="130"/>
        <v>0.12606871737375946</v>
      </c>
      <c r="AY162">
        <f t="shared" si="131"/>
        <v>0.19247095503782674</v>
      </c>
      <c r="AZ162">
        <f>(1/$S162-1/Parameters!$B$13) * LN(Parameters!$B$18) / A162</f>
        <v>6.1556662076368042E-3</v>
      </c>
    </row>
    <row r="163" spans="1:52" x14ac:dyDescent="0.25">
      <c r="A163">
        <f>A162+Parameters!$B$71</f>
        <v>159</v>
      </c>
      <c r="B163" s="9">
        <f t="shared" si="114"/>
        <v>-2.9568713141259393E-6</v>
      </c>
      <c r="C163" s="9">
        <f t="shared" si="132"/>
        <v>9.0949993792235756E-2</v>
      </c>
      <c r="D163" s="9">
        <f t="shared" si="133"/>
        <v>0.22597556464516125</v>
      </c>
      <c r="E163" s="7">
        <f>MAX((1-Parameters!$B$4)^Parameters!B$71*E162 + B162*Parameters!B$71 - IF(B162&gt;0,Parameters!$B$5,0)*B162^2/E162*Parameters!B$71, 0.0001)</f>
        <v>1E-4</v>
      </c>
      <c r="F163" s="7">
        <f>(1-Parameters!$B$4)^Parameters!B$71*F162+C162*Parameters!B$71-Parameters!$B$5*C162^2/F162*Parameters!B$71</f>
        <v>1.3490405863501562</v>
      </c>
      <c r="G163" s="7">
        <f>(1-Parameters!$B$4)^Parameters!B$71*G162+D162*Parameters!B$71-Parameters!$B$5*D162^2/G162*Parameters!B$71</f>
        <v>3.3481907629128411</v>
      </c>
      <c r="H163" s="9">
        <f>MAX(H162 * (1-Parameters!$B$4) ^ Parameters!B$71 + (LN(1+EXP(Parameters!$B$21*(-B162+0.004)))/Parameters!$B$21 -0.004) * Parameters!B$71,0)</f>
        <v>1.3989501453947039E-2</v>
      </c>
      <c r="I163" s="23">
        <f>I162*(1+Parameters!$B$52)^Parameters!B$71</f>
        <v>12.931637959824375</v>
      </c>
      <c r="J163" s="23">
        <f>J162*(1+Parameters!$B$54)^Parameters!B$71</f>
        <v>210.28271752084436</v>
      </c>
      <c r="K163" s="23">
        <f>I163*J163*EXP(-Parameters!$B$43*'6states'!A163)*(Parameters!$B$38/Parameters!$B$39*('6states'!E163+'6states'!H163)/Parameters!$E$25*(EXP(-Parameters!$B$39*Parameters!$E$25*'6states'!H163/('6states'!E163+'6states'!H163))-EXP(-Parameters!$B$39*Parameters!$E$25))  +  Parameters!$B$40*'6states'!E163)</f>
        <v>4.4069306931791265E-2</v>
      </c>
      <c r="L163" s="8">
        <f>L162+K163*Parameters!B$71</f>
        <v>3313.8091045660635</v>
      </c>
      <c r="M163" s="7">
        <f>L163*Parameters!$B$46</f>
        <v>1.988285462739638</v>
      </c>
      <c r="N163" s="9">
        <f>EXP(-Parameters!$B$47/2*M163^2)</f>
        <v>0.9610484502711355</v>
      </c>
      <c r="O163" s="8">
        <f>MAX((Parameters!$B$63 + Parameters!$B$31*'6states'!A163 - '6states'!L163 + Parameters!$B$48/Parameters!$B$46)/Parameters!B$63,1)</f>
        <v>149.89981790867876</v>
      </c>
      <c r="P163" s="59">
        <f>Parameters!B$62*EXP(-Parameters!B$61*A163)</f>
        <v>6.831936066005375E-3</v>
      </c>
      <c r="Q163" s="59">
        <f>(1-Parameters!B$62)*O163^-Parameters!B$64</f>
        <v>0.30296321011847488</v>
      </c>
      <c r="R163" s="7">
        <f>Parameters!B$62*EXP(-Parameters!B$61*A163)+(1-Parameters!B$62)*O163^-Parameters!B$64</f>
        <v>0.30979514618448023</v>
      </c>
      <c r="S163" s="7">
        <f>1-R163/Parameters!$B$12</f>
        <v>0.84510242690775983</v>
      </c>
      <c r="T163" s="7">
        <f t="shared" si="119"/>
        <v>6.4558790692253689</v>
      </c>
      <c r="U163" s="7">
        <f>(Parameters!$B$19*(E163+Parameters!$B$20)^S163+Parameters!$B$18*F163^S163)^(1/S163)</f>
        <v>0.34380423591188336</v>
      </c>
      <c r="V163" s="7">
        <f>(Parameters!$B$10*G163^Parameters!$B$9+Parameters!$B$11*U163^Parameters!$B$9)^(Parameters!$B$7/Parameters!$B$9)*N163</f>
        <v>1.3449784836593359</v>
      </c>
      <c r="W163" s="7">
        <f>V163 - C163 - D163 - LN(1+EXP(Parameters!$B$21*B163))/Parameters!$B$21 - IF(B163&gt;0, 0,Parameters!$B$6*B163^2/E163)</f>
        <v>1.0257434755734651</v>
      </c>
      <c r="X163" s="7">
        <f>EXP(-Parameters!$B$56*A163)</f>
        <v>9.0636343861203325E-2</v>
      </c>
      <c r="Y163" s="7">
        <f>IF(W163&gt;0,W163^(1-Parameters!$B$53)/(1-Parameters!$B$53)*X163*Parameters!$B$71,-10+W163*1000)</f>
        <v>-0.25666743287254129</v>
      </c>
      <c r="AA163" s="22">
        <f t="shared" si="122"/>
        <v>0</v>
      </c>
      <c r="AB163" s="22">
        <f t="shared" si="123"/>
        <v>1.9291695262935171E-6</v>
      </c>
      <c r="AC163" s="22">
        <f t="shared" si="124"/>
        <v>-2.6300911717402897E-6</v>
      </c>
      <c r="AD163" s="22">
        <f t="shared" si="120"/>
        <v>9.6428682678761395E-13</v>
      </c>
      <c r="AE163" s="22">
        <f t="shared" si="125"/>
        <v>0</v>
      </c>
      <c r="AF163" s="22">
        <f t="shared" si="126"/>
        <v>-1.1943271661929433E-7</v>
      </c>
      <c r="AG163" s="22">
        <f t="shared" si="127"/>
        <v>1.6318299017603621E-7</v>
      </c>
      <c r="AH163" s="22">
        <f t="shared" si="121"/>
        <v>3.7063795091199533E-15</v>
      </c>
      <c r="AI163" s="22"/>
      <c r="AM163" s="23">
        <f t="shared" si="115"/>
        <v>38.04165091463625</v>
      </c>
      <c r="AN163" s="23">
        <f t="shared" si="116"/>
        <v>0.27192999721875771</v>
      </c>
      <c r="AO163" s="23">
        <f t="shared" si="134"/>
        <v>934.90684915315558</v>
      </c>
      <c r="AP163" s="25">
        <f t="shared" si="118"/>
        <v>3657.3999532077223</v>
      </c>
      <c r="AQ163" s="22">
        <f>-X163*V163*W163^(-Parameters!B$53)*Parameters!B$47*Parameters!B$46*M163</f>
        <v>-2.8244990290722337E-6</v>
      </c>
      <c r="AR163" s="7">
        <f>1000*EXP(-(Parameters!$B$55)*'6states'!A163)*AP163*Parameters!B$47*Parameters!B$46*M163</f>
        <v>0.33055552916250847</v>
      </c>
      <c r="AS163" s="59">
        <f>SUM(AR163:AR$204)*EXP(Parameters!$B$55*A163)</f>
        <v>4343.0761789032713</v>
      </c>
      <c r="AT163" s="39">
        <f t="shared" si="128"/>
        <v>0.23563395654019614</v>
      </c>
      <c r="AU163">
        <f>(1/$S163-1/Parameters!$B$13) * LN(Parameters!$B$18) / LN(O163)</f>
        <v>0.19419911188881375</v>
      </c>
      <c r="AV163">
        <f>(Parameters!$B$18*'6states'!S163^+Parameters!$B$19*Parameters!$B$25^'6states'!S163)^((1-'6states'!S163)/'6states'!S163)*Parameters!$B$18*Parameters!$B$26^('6states'!S163-1)</f>
        <v>0.30843495745589461</v>
      </c>
      <c r="AW163">
        <f t="shared" si="129"/>
        <v>0.1728947373518793</v>
      </c>
      <c r="AX163">
        <f t="shared" si="130"/>
        <v>0.12594202001645971</v>
      </c>
      <c r="AY163">
        <f t="shared" si="131"/>
        <v>0.19248271710359388</v>
      </c>
      <c r="AZ163">
        <f>(1/$S163-1/Parameters!$B$13) * LN(Parameters!$B$18) / A163</f>
        <v>6.1190640186113169E-3</v>
      </c>
    </row>
    <row r="164" spans="1:52" x14ac:dyDescent="0.25">
      <c r="A164">
        <f>A163+Parameters!$B$71</f>
        <v>160</v>
      </c>
      <c r="B164" s="9">
        <f t="shared" si="114"/>
        <v>-2.9568713141259393E-6</v>
      </c>
      <c r="C164" s="9">
        <f t="shared" si="132"/>
        <v>9.0949993792235756E-2</v>
      </c>
      <c r="D164" s="9">
        <f t="shared" si="133"/>
        <v>0.22597556464516125</v>
      </c>
      <c r="E164" s="7">
        <f>MAX((1-Parameters!$B$4)^Parameters!B$71*E163 + B163*Parameters!B$71 - IF(B163&gt;0,Parameters!$B$5,0)*B163^2/E163*Parameters!B$71, 0.0001)</f>
        <v>1E-4</v>
      </c>
      <c r="F164" s="7">
        <f>(1-Parameters!$B$4)^Parameters!B$71*F163+C163*Parameters!B$71-Parameters!$B$5*C163^2/F163*Parameters!B$71</f>
        <v>1.3490042352611087</v>
      </c>
      <c r="G164" s="7">
        <f>(1-Parameters!$B$4)^Parameters!B$71*G163+D163*Parameters!B$71-Parameters!$B$5*D163^2/G163*Parameters!B$71</f>
        <v>3.3483136212844218</v>
      </c>
      <c r="H164" s="9">
        <f>MAX(H163 * (1-Parameters!$B$4) ^ Parameters!B$71 + (LN(1+EXP(Parameters!$B$21*(-B163+0.004)))/Parameters!$B$21 -0.004) * Parameters!B$71,0)</f>
        <v>1.398944269910536E-2</v>
      </c>
      <c r="I164" s="23">
        <f>I163*(1+Parameters!$B$52)^Parameters!B$71</f>
        <v>12.969139709907864</v>
      </c>
      <c r="J164" s="23">
        <f>J163*(1+Parameters!$B$54)^Parameters!B$71</f>
        <v>214.48837187126125</v>
      </c>
      <c r="K164" s="23">
        <f>I164*J164*EXP(-Parameters!$B$43*'6states'!A164)*(Parameters!$B$38/Parameters!$B$39*('6states'!E164+'6states'!H164)/Parameters!$E$25*(EXP(-Parameters!$B$39*Parameters!$E$25*'6states'!H164/('6states'!E164+'6states'!H164))-EXP(-Parameters!$B$39*Parameters!$E$25))  +  Parameters!$B$40*'6states'!E164)</f>
        <v>4.4632486137269937E-2</v>
      </c>
      <c r="L164" s="8">
        <f>L163+K164*Parameters!B$71</f>
        <v>3313.8537370522008</v>
      </c>
      <c r="M164" s="7">
        <f>L164*Parameters!$B$46</f>
        <v>1.9883122422313204</v>
      </c>
      <c r="N164" s="9">
        <f>EXP(-Parameters!$B$47/2*M164^2)</f>
        <v>0.96104742172186919</v>
      </c>
      <c r="O164" s="8">
        <f>MAX((Parameters!$B$63 + Parameters!$B$31*'6states'!A164 - '6states'!L164 + Parameters!$B$48/Parameters!$B$46)/Parameters!B$63,1)</f>
        <v>150.96292525895598</v>
      </c>
      <c r="P164" s="59">
        <f>Parameters!B$62*EXP(-Parameters!B$61*A164)</f>
        <v>6.6499417712218836E-3</v>
      </c>
      <c r="Q164" s="59">
        <f>(1-Parameters!B$62)*O164^-Parameters!B$64</f>
        <v>0.30274917898272252</v>
      </c>
      <c r="R164" s="7">
        <f>Parameters!B$62*EXP(-Parameters!B$61*A164)+(1-Parameters!B$62)*O164^-Parameters!B$64</f>
        <v>0.30939912075394438</v>
      </c>
      <c r="S164" s="7">
        <f>1-R164/Parameters!$B$12</f>
        <v>0.84530043962302781</v>
      </c>
      <c r="T164" s="7">
        <f t="shared" si="119"/>
        <v>6.4641424808396231</v>
      </c>
      <c r="U164" s="7">
        <f>(Parameters!$B$19*(E164+Parameters!$B$20)^S164+Parameters!$B$18*F164^S164)^(1/S164)</f>
        <v>0.34389149270895647</v>
      </c>
      <c r="V164" s="7">
        <f>(Parameters!$B$10*G164^Parameters!$B$9+Parameters!$B$11*U164^Parameters!$B$9)^(Parameters!$B$7/Parameters!$B$9)*N164</f>
        <v>1.3450178485740458</v>
      </c>
      <c r="W164" s="7">
        <f>V164 - C164 - D164 - LN(1+EXP(Parameters!$B$21*B164))/Parameters!$B$21 - IF(B164&gt;0, 0,Parameters!$B$6*B164^2/E164)</f>
        <v>1.025782840488175</v>
      </c>
      <c r="X164" s="7">
        <f>EXP(-Parameters!$B$56*A164)</f>
        <v>8.9278016251610026E-2</v>
      </c>
      <c r="Y164" s="7">
        <f>IF(W164&gt;0,W164^(1-Parameters!$B$53)/(1-Parameters!$B$53)*X164*Parameters!$B$71,-10+W164*1000)</f>
        <v>-0.25281747349330363</v>
      </c>
      <c r="AA164" s="22">
        <f t="shared" si="122"/>
        <v>0</v>
      </c>
      <c r="AB164" s="22">
        <f t="shared" si="123"/>
        <v>1.8166939559222106E-6</v>
      </c>
      <c r="AC164" s="22">
        <f t="shared" si="124"/>
        <v>-2.476451981398009E-6</v>
      </c>
      <c r="AD164" s="22">
        <f t="shared" si="120"/>
        <v>8.4217661026188192E-13</v>
      </c>
      <c r="AE164" s="22">
        <f t="shared" si="125"/>
        <v>0</v>
      </c>
      <c r="AF164" s="22">
        <f t="shared" si="126"/>
        <v>-1.1247557037130651E-7</v>
      </c>
      <c r="AG164" s="22">
        <f t="shared" si="127"/>
        <v>1.5363919034228068E-7</v>
      </c>
      <c r="AH164" s="22">
        <f t="shared" si="121"/>
        <v>3.2368418608369582E-15</v>
      </c>
      <c r="AI164" s="22"/>
      <c r="AM164" s="23">
        <f t="shared" si="115"/>
        <v>38.914847696248643</v>
      </c>
      <c r="AN164" s="23">
        <f t="shared" si="116"/>
        <v>0.27817296609490594</v>
      </c>
      <c r="AO164" s="23">
        <f t="shared" si="134"/>
        <v>956.61316541655128</v>
      </c>
      <c r="AP164" s="25">
        <f t="shared" si="118"/>
        <v>3741.4760438843136</v>
      </c>
      <c r="AQ164" s="22">
        <f>-X164*V164*W164^(-Parameters!B$53)*Parameters!B$47*Parameters!B$46*M164</f>
        <v>-2.7821442471263211E-6</v>
      </c>
      <c r="AR164" s="7">
        <f>1000*EXP(-(Parameters!$B$55)*'6states'!A164)*AP164*Parameters!B$47*Parameters!B$46*M164</f>
        <v>0.32649538941822931</v>
      </c>
      <c r="AS164" s="59">
        <f>SUM(AR164:AR$204)*EXP(Parameters!$B$55*A164)</f>
        <v>4407.3923850852589</v>
      </c>
      <c r="AT164" s="39">
        <f t="shared" si="128"/>
        <v>0.2356270601926036</v>
      </c>
      <c r="AU164">
        <f>(1/$S164-1/Parameters!$B$13) * LN(Parameters!$B$18) / LN(O164)</f>
        <v>0.19399137653452753</v>
      </c>
      <c r="AV164">
        <f>(Parameters!$B$18*'6states'!S164^+Parameters!$B$19*Parameters!$B$25^'6states'!S164)^((1-'6states'!S164)/'6states'!S164)*Parameters!$B$18*Parameters!$B$26^('6states'!S164-1)</f>
        <v>0.30845554187938368</v>
      </c>
      <c r="AW164">
        <f t="shared" si="129"/>
        <v>0.17266449649056806</v>
      </c>
      <c r="AX164">
        <f t="shared" si="130"/>
        <v>0.12581615431923632</v>
      </c>
      <c r="AY164">
        <f t="shared" si="131"/>
        <v>0.19249423870633853</v>
      </c>
      <c r="AZ164">
        <f>(1/$S164-1/Parameters!$B$13) * LN(Parameters!$B$18) / A164</f>
        <v>6.0828836613934494E-3</v>
      </c>
    </row>
    <row r="165" spans="1:52" x14ac:dyDescent="0.25">
      <c r="A165">
        <f>A164+Parameters!$B$71</f>
        <v>161</v>
      </c>
      <c r="B165" s="9">
        <f t="shared" si="114"/>
        <v>-2.9568713141259393E-6</v>
      </c>
      <c r="C165" s="9">
        <f t="shared" si="132"/>
        <v>9.0949993792235756E-2</v>
      </c>
      <c r="D165" s="9">
        <f t="shared" si="133"/>
        <v>0.22597556464516125</v>
      </c>
      <c r="E165" s="7">
        <f>MAX((1-Parameters!$B$4)^Parameters!B$71*E164 + B164*Parameters!B$71 - IF(B164&gt;0,Parameters!$B$5,0)*B164^2/E164*Parameters!B$71, 0.0001)</f>
        <v>1E-4</v>
      </c>
      <c r="F165" s="7">
        <f>(1-Parameters!$B$4)^Parameters!B$71*F164+C164*Parameters!B$71-Parameters!$B$5*C164^2/F164*Parameters!B$71</f>
        <v>1.3489700054272582</v>
      </c>
      <c r="G165" s="7">
        <f>(1-Parameters!$B$4)^Parameters!B$71*G164+D164*Parameters!B$71-Parameters!$B$5*D164^2/G164*Parameters!B$71</f>
        <v>3.3484293114820649</v>
      </c>
      <c r="H165" s="9">
        <f>MAX(H164 * (1-Parameters!$B$4) ^ Parameters!B$71 + (LN(1+EXP(Parameters!$B$21*(-B164+0.004)))/Parameters!$B$21 -0.004) * Parameters!B$71,0)</f>
        <v>1.3989387639943222E-2</v>
      </c>
      <c r="I165" s="23">
        <f>I164*(1+Parameters!$B$52)^Parameters!B$71</f>
        <v>13.006750215066596</v>
      </c>
      <c r="J165" s="23">
        <f>J164*(1+Parameters!$B$54)^Parameters!B$71</f>
        <v>218.77813930868649</v>
      </c>
      <c r="K165" s="23">
        <f>I165*J165*EXP(-Parameters!$B$43*'6states'!A165)*(Parameters!$B$38/Parameters!$B$39*('6states'!E165+'6states'!H165)/Parameters!$E$25*(EXP(-Parameters!$B$39*Parameters!$E$25*'6states'!H165/('6states'!E165+'6states'!H165))-EXP(-Parameters!$B$39*Parameters!$E$25))  +  Parameters!$B$40*'6states'!E165)</f>
        <v>4.5202862433866363E-2</v>
      </c>
      <c r="L165" s="8">
        <f>L164+K165*Parameters!B$71</f>
        <v>3313.8989399146349</v>
      </c>
      <c r="M165" s="7">
        <f>L165*Parameters!$B$46</f>
        <v>1.9883393639487807</v>
      </c>
      <c r="N165" s="9">
        <f>EXP(-Parameters!$B$47/2*M165^2)</f>
        <v>0.96104638001536469</v>
      </c>
      <c r="O165" s="8">
        <f>MAX((Parameters!$B$63 + Parameters!$B$31*'6states'!A165 - '6states'!L165 + Parameters!$B$48/Parameters!$B$46)/Parameters!B$63,1)</f>
        <v>152.02602120170732</v>
      </c>
      <c r="P165" s="59">
        <f>Parameters!B$62*EXP(-Parameters!B$61*A165)</f>
        <v>6.4727955785010846E-3</v>
      </c>
      <c r="Q165" s="59">
        <f>(1-Parameters!B$62)*O165^-Parameters!B$64</f>
        <v>0.30253680170229569</v>
      </c>
      <c r="R165" s="7">
        <f>Parameters!B$62*EXP(-Parameters!B$61*A165)+(1-Parameters!B$62)*O165^-Parameters!B$64</f>
        <v>0.3090095972807968</v>
      </c>
      <c r="S165" s="7">
        <f>1-R165/Parameters!$B$12</f>
        <v>0.84549520135960154</v>
      </c>
      <c r="T165" s="7">
        <f t="shared" si="119"/>
        <v>6.4722908854594596</v>
      </c>
      <c r="U165" s="7">
        <f>(Parameters!$B$19*(E165+Parameters!$B$20)^S165+Parameters!$B$18*F165^S165)^(1/S165)</f>
        <v>0.34397768143741309</v>
      </c>
      <c r="V165" s="7">
        <f>(Parameters!$B$10*G165^Parameters!$B$9+Parameters!$B$11*U165^Parameters!$B$9)^(Parameters!$B$7/Parameters!$B$9)*N165</f>
        <v>1.3450561930436473</v>
      </c>
      <c r="W165" s="7">
        <f>V165 - C165 - D165 - LN(1+EXP(Parameters!$B$21*B165))/Parameters!$B$21 - IF(B165&gt;0, 0,Parameters!$B$6*B165^2/E165)</f>
        <v>1.0258211849577765</v>
      </c>
      <c r="X165" s="7">
        <f>EXP(-Parameters!$B$56*A165)</f>
        <v>8.7940045309291504E-2</v>
      </c>
      <c r="Y165" s="7">
        <f>IF(W165&gt;0,W165^(1-Parameters!$B$53)/(1-Parameters!$B$53)*X165*Parameters!$B$71,-10+W165*1000)</f>
        <v>-0.24902534955345013</v>
      </c>
      <c r="AA165" s="22">
        <f t="shared" si="122"/>
        <v>0</v>
      </c>
      <c r="AB165" s="22">
        <f t="shared" si="123"/>
        <v>1.7107709164576601E-6</v>
      </c>
      <c r="AC165" s="22">
        <f t="shared" si="124"/>
        <v>-2.3317972116659869E-6</v>
      </c>
      <c r="AD165" s="22">
        <f t="shared" ref="AD165:AD196" si="135">X165*(AA165^2+AB165^2+AC165^2)</f>
        <v>7.3553189015961203E-13</v>
      </c>
      <c r="AE165" s="22">
        <f t="shared" si="125"/>
        <v>0</v>
      </c>
      <c r="AF165" s="22">
        <f t="shared" si="126"/>
        <v>-1.0592303946455051E-7</v>
      </c>
      <c r="AG165" s="22">
        <f t="shared" si="127"/>
        <v>1.4465476973202218E-7</v>
      </c>
      <c r="AH165" s="22">
        <f t="shared" ref="AH165:AH196" si="136">X165*(AE165^2+AF165^2+AG165^2)</f>
        <v>2.8268057321072252E-15</v>
      </c>
      <c r="AI165" s="22"/>
      <c r="AM165" s="23">
        <f t="shared" si="115"/>
        <v>39.8080980937142</v>
      </c>
      <c r="AN165" s="23">
        <f t="shared" si="116"/>
        <v>0.28455926105051277</v>
      </c>
      <c r="AO165" s="23">
        <f t="shared" si="134"/>
        <v>978.82034847698947</v>
      </c>
      <c r="AP165" s="25">
        <f t="shared" si="118"/>
        <v>3827.4819636391612</v>
      </c>
      <c r="AQ165" s="22">
        <f>-X165*V165*W165^(-Parameters!B$53)*Parameters!B$47*Parameters!B$46*M165</f>
        <v>-2.7404266718143327E-6</v>
      </c>
      <c r="AR165" s="7">
        <f>1000*EXP(-(Parameters!$B$55)*'6states'!A165)*AP165*Parameters!B$47*Parameters!B$46*M165</f>
        <v>0.32248492997639955</v>
      </c>
      <c r="AS165" s="59">
        <f>SUM(AR165:AR$204)*EXP(Parameters!$B$55*A165)</f>
        <v>4471.9168686149924</v>
      </c>
      <c r="AT165" s="39">
        <f t="shared" si="128"/>
        <v>0.23562034300510348</v>
      </c>
      <c r="AU165">
        <f>(1/$S165-1/Parameters!$B$13) * LN(Parameters!$B$18) / LN(O165)</f>
        <v>0.1937850322656566</v>
      </c>
      <c r="AV165">
        <f>(Parameters!$B$18*'6states'!S165^+Parameters!$B$19*Parameters!$B$25^'6states'!S165)^((1-'6states'!S165)/'6states'!S165)*Parameters!$B$18*Parameters!$B$26^('6states'!S165-1)</f>
        <v>0.30847570927099099</v>
      </c>
      <c r="AW165">
        <f t="shared" si="129"/>
        <v>0.1724363381020701</v>
      </c>
      <c r="AX165">
        <f t="shared" si="130"/>
        <v>0.12569111352974127</v>
      </c>
      <c r="AY165">
        <f t="shared" si="131"/>
        <v>0.19250552672676302</v>
      </c>
      <c r="AZ165">
        <f>(1/$S165-1/Parameters!$B$13) * LN(Parameters!$B$18) / A165</f>
        <v>6.0471181395126599E-3</v>
      </c>
    </row>
    <row r="166" spans="1:52" x14ac:dyDescent="0.25">
      <c r="A166">
        <f>A165+Parameters!$B$71</f>
        <v>162</v>
      </c>
      <c r="B166" s="9">
        <f t="shared" si="114"/>
        <v>-2.9568713141259393E-6</v>
      </c>
      <c r="C166" s="9">
        <f t="shared" si="132"/>
        <v>9.0949993792235756E-2</v>
      </c>
      <c r="D166" s="9">
        <f t="shared" si="133"/>
        <v>0.22597556464516125</v>
      </c>
      <c r="E166" s="7">
        <f>MAX((1-Parameters!$B$4)^Parameters!B$71*E165 + B165*Parameters!B$71 - IF(B165&gt;0,Parameters!$B$5,0)*B165^2/E165*Parameters!B$71, 0.0001)</f>
        <v>1E-4</v>
      </c>
      <c r="F166" s="7">
        <f>(1-Parameters!$B$4)^Parameters!B$71*F165+C165*Parameters!B$71-Parameters!$B$5*C165^2/F165*Parameters!B$71</f>
        <v>1.3489377730553527</v>
      </c>
      <c r="G166" s="7">
        <f>(1-Parameters!$B$4)^Parameters!B$71*G165+D165*Parameters!B$71-Parameters!$B$5*D165^2/G165*Parameters!B$71</f>
        <v>3.3485382516954676</v>
      </c>
      <c r="H166" s="9">
        <f>MAX(H165 * (1-Parameters!$B$4) ^ Parameters!B$71 + (LN(1+EXP(Parameters!$B$21*(-B165+0.004)))/Parameters!$B$21 -0.004) * Parameters!B$71,0)</f>
        <v>1.3989336044002383E-2</v>
      </c>
      <c r="I166" s="23">
        <f>I165*(1+Parameters!$B$52)^Parameters!B$71</f>
        <v>13.044469790690288</v>
      </c>
      <c r="J166" s="23">
        <f>J165*(1+Parameters!$B$54)^Parameters!B$71</f>
        <v>223.15370209486022</v>
      </c>
      <c r="K166" s="23">
        <f>I166*J166*EXP(-Parameters!$B$43*'6states'!A166)*(Parameters!$B$38/Parameters!$B$39*('6states'!E166+'6states'!H166)/Parameters!$E$25*(EXP(-Parameters!$B$39*Parameters!$E$25*'6states'!H166/('6states'!E166+'6states'!H166))-EXP(-Parameters!$B$39*Parameters!$E$25))  +  Parameters!$B$40*'6states'!E166)</f>
        <v>4.5780527796071148E-2</v>
      </c>
      <c r="L166" s="8">
        <f>L165+K166*Parameters!B$71</f>
        <v>3313.9447204424309</v>
      </c>
      <c r="M166" s="7">
        <f>L166*Parameters!$B$46</f>
        <v>1.9883668322654584</v>
      </c>
      <c r="N166" s="9">
        <f>EXP(-Parameters!$B$47/2*M166^2)</f>
        <v>0.96104532498314643</v>
      </c>
      <c r="O166" s="8">
        <f>MAX((Parameters!$B$63 + Parameters!$B$31*'6states'!A166 - '6states'!L166 + Parameters!$B$48/Parameters!$B$46)/Parameters!B$63,1)</f>
        <v>153.08910559115139</v>
      </c>
      <c r="P166" s="59">
        <f>Parameters!B$62*EXP(-Parameters!B$61*A166)</f>
        <v>6.3003683404230532E-3</v>
      </c>
      <c r="Q166" s="59">
        <f>(1-Parameters!B$62)*O166^-Parameters!B$64</f>
        <v>0.30232605409284991</v>
      </c>
      <c r="R166" s="7">
        <f>Parameters!B$62*EXP(-Parameters!B$61*A166)+(1-Parameters!B$62)*O166^-Parameters!B$64</f>
        <v>0.30862642243327298</v>
      </c>
      <c r="S166" s="7">
        <f>1-R166/Parameters!$B$12</f>
        <v>0.84568678878336345</v>
      </c>
      <c r="T166" s="7">
        <f t="shared" si="119"/>
        <v>6.480326552184339</v>
      </c>
      <c r="U166" s="7">
        <f>(Parameters!$B$19*(E166+Parameters!$B$20)^S166+Parameters!$B$18*F166^S166)^(1/S166)</f>
        <v>0.34406280972738723</v>
      </c>
      <c r="V166" s="7">
        <f>(Parameters!$B$10*G166^Parameters!$B$9+Parameters!$B$11*U166^Parameters!$B$9)^(Parameters!$B$7/Parameters!$B$9)*N166</f>
        <v>1.3450935554324064</v>
      </c>
      <c r="W166" s="7">
        <f>V166 - C166 - D166 - LN(1+EXP(Parameters!$B$21*B166))/Parameters!$B$21 - IF(B166&gt;0, 0,Parameters!$B$6*B166^2/E166)</f>
        <v>1.0258585473465356</v>
      </c>
      <c r="X166" s="7">
        <f>EXP(-Parameters!$B$56*A166)</f>
        <v>8.6622125957696541E-2</v>
      </c>
      <c r="Y166" s="7">
        <f>IF(W166&gt;0,W166^(1-Parameters!$B$53)/(1-Parameters!$B$53)*X166*Parameters!$B$71,-10+W166*1000)</f>
        <v>-0.24529018770814923</v>
      </c>
      <c r="AA166" s="22">
        <f t="shared" si="122"/>
        <v>0</v>
      </c>
      <c r="AB166" s="22">
        <f t="shared" si="123"/>
        <v>1.6110192507245991E-6</v>
      </c>
      <c r="AC166" s="22">
        <f t="shared" si="124"/>
        <v>-2.1956004063877765E-6</v>
      </c>
      <c r="AD166" s="22">
        <f t="shared" si="135"/>
        <v>6.4239351226528453E-13</v>
      </c>
      <c r="AE166" s="22">
        <f t="shared" ref="AE166:AE197" si="137">B166/E166-2*B165/E165+B164/E164</f>
        <v>0</v>
      </c>
      <c r="AF166" s="22">
        <f t="shared" ref="AF166:AF197" si="138">C166/F166-2*C165/F165+C164/F164</f>
        <v>-9.9751665733061046E-8</v>
      </c>
      <c r="AG166" s="22">
        <f t="shared" ref="AG166:AG197" si="139">D166/G166-2*D165/G165+D164/G164</f>
        <v>1.3619680527821032E-7</v>
      </c>
      <c r="AH166" s="22">
        <f t="shared" si="136"/>
        <v>2.4687275220294096E-15</v>
      </c>
      <c r="AI166" s="22"/>
      <c r="AM166" s="23">
        <f t="shared" si="115"/>
        <v>40.721862218004539</v>
      </c>
      <c r="AN166" s="23">
        <f t="shared" si="116"/>
        <v>0.29109217256571046</v>
      </c>
      <c r="AO166" s="23">
        <f t="shared" si="134"/>
        <v>1001.539907826078</v>
      </c>
      <c r="AP166" s="25">
        <f t="shared" si="118"/>
        <v>3915.4620535495501</v>
      </c>
      <c r="AQ166" s="22">
        <f>-X166*V166*W166^(-Parameters!B$53)*Parameters!B$47*Parameters!B$46*M166</f>
        <v>-2.6993366320606667E-6</v>
      </c>
      <c r="AR166" s="7">
        <f>1000*EXP(-(Parameters!$B$55)*'6states'!A166)*AP166*Parameters!B$47*Parameters!B$46*M166</f>
        <v>0.31852355508399854</v>
      </c>
      <c r="AS166" s="59">
        <f>SUM(AR166:AR$204)*EXP(Parameters!$B$55*A166)</f>
        <v>4536.6090680177431</v>
      </c>
      <c r="AT166" s="39">
        <f t="shared" si="128"/>
        <v>0.23561379822699541</v>
      </c>
      <c r="AU166">
        <f>(1/$S166-1/Parameters!$B$13) * LN(Parameters!$B$18) / LN(O166)</f>
        <v>0.19358006742310632</v>
      </c>
      <c r="AV166">
        <f>(Parameters!$B$18*'6states'!S166^+Parameters!$B$19*Parameters!$B$25^'6states'!S166)^((1-'6states'!S166)/'6states'!S166)*Parameters!$B$18*Parameters!$B$26^('6states'!S166-1)</f>
        <v>0.30849547149787598</v>
      </c>
      <c r="AW166">
        <f t="shared" si="129"/>
        <v>0.17221023073336569</v>
      </c>
      <c r="AX166">
        <f t="shared" si="130"/>
        <v>0.12556689094041584</v>
      </c>
      <c r="AY166">
        <f t="shared" si="131"/>
        <v>0.19251658781676528</v>
      </c>
      <c r="AZ166">
        <f>(1/$S166-1/Parameters!$B$13) * LN(Parameters!$B$18) / A166</f>
        <v>6.0117606059897615E-3</v>
      </c>
    </row>
    <row r="167" spans="1:52" x14ac:dyDescent="0.25">
      <c r="A167">
        <f>A166+Parameters!$B$71</f>
        <v>163</v>
      </c>
      <c r="B167" s="9">
        <f t="shared" si="114"/>
        <v>-2.9568713141259393E-6</v>
      </c>
      <c r="C167" s="9">
        <f t="shared" si="132"/>
        <v>9.0949993792235756E-2</v>
      </c>
      <c r="D167" s="9">
        <f t="shared" si="133"/>
        <v>0.22597556464516125</v>
      </c>
      <c r="E167" s="7">
        <f>MAX((1-Parameters!$B$4)^Parameters!B$71*E166 + B166*Parameters!B$71 - IF(B166&gt;0,Parameters!$B$5,0)*B166^2/E166*Parameters!B$71, 0.0001)</f>
        <v>1E-4</v>
      </c>
      <c r="F167" s="7">
        <f>(1-Parameters!$B$4)^Parameters!B$71*F166+C166*Parameters!B$71-Parameters!$B$5*C166^2/F166*Parameters!B$71</f>
        <v>1.348907421577449</v>
      </c>
      <c r="G167" s="7">
        <f>(1-Parameters!$B$4)^Parameters!B$71*G166+D166*Parameters!B$71-Parameters!$B$5*D166^2/G166*Parameters!B$71</f>
        <v>3.348640835721489</v>
      </c>
      <c r="H167" s="9">
        <f>MAX(H166 * (1-Parameters!$B$4) ^ Parameters!B$71 + (LN(1+EXP(Parameters!$B$21*(-B166+0.004)))/Parameters!$B$21 -0.004) * Parameters!B$71,0)</f>
        <v>1.3989287693446224E-2</v>
      </c>
      <c r="I167" s="23">
        <f>I166*(1+Parameters!$B$52)^Parameters!B$71</f>
        <v>13.082298753083288</v>
      </c>
      <c r="J167" s="23">
        <f>J166*(1+Parameters!$B$54)^Parameters!B$71</f>
        <v>227.61677613675744</v>
      </c>
      <c r="K167" s="23">
        <f>I167*J167*EXP(-Parameters!$B$43*'6states'!A167)*(Parameters!$B$38/Parameters!$B$39*('6states'!E167+'6states'!H167)/Parameters!$E$25*(EXP(-Parameters!$B$39*Parameters!$E$25*'6states'!H167/('6states'!E167+'6states'!H167))-EXP(-Parameters!$B$39*Parameters!$E$25))  +  Parameters!$B$40*'6states'!E167)</f>
        <v>4.6365575373753541E-2</v>
      </c>
      <c r="L167" s="8">
        <f>L166+K167*Parameters!B$71</f>
        <v>3313.9910860178047</v>
      </c>
      <c r="M167" s="7">
        <f>L167*Parameters!$B$46</f>
        <v>1.9883946516106827</v>
      </c>
      <c r="N167" s="9">
        <f>EXP(-Parameters!$B$47/2*M167^2)</f>
        <v>0.96104425645457681</v>
      </c>
      <c r="O167" s="8">
        <f>MAX((Parameters!$B$63 + Parameters!$B$31*'6states'!A167 - '6states'!L167 + Parameters!$B$48/Parameters!$B$46)/Parameters!B$63,1)</f>
        <v>154.15217827964392</v>
      </c>
      <c r="P167" s="59">
        <f>Parameters!B$62*EXP(-Parameters!B$61*A167)</f>
        <v>6.1325343498948078E-3</v>
      </c>
      <c r="Q167" s="59">
        <f>(1-Parameters!B$62)*O167^-Parameters!B$64</f>
        <v>0.3021169124891972</v>
      </c>
      <c r="R167" s="7">
        <f>Parameters!B$62*EXP(-Parameters!B$61*A167)+(1-Parameters!B$62)*O167^-Parameters!B$64</f>
        <v>0.308249446839092</v>
      </c>
      <c r="S167" s="7">
        <f>1-R167/Parameters!$B$12</f>
        <v>0.84587527658045403</v>
      </c>
      <c r="T167" s="7">
        <f t="shared" si="119"/>
        <v>6.4882517081823412</v>
      </c>
      <c r="U167" s="7">
        <f>(Parameters!$B$19*(E167+Parameters!$B$20)^S167+Parameters!$B$18*F167^S167)^(1/S167)</f>
        <v>0.34414688595880277</v>
      </c>
      <c r="V167" s="7">
        <f>(Parameters!$B$10*G167^Parameters!$B$9+Parameters!$B$11*U167^Parameters!$B$9)^(Parameters!$B$7/Parameters!$B$9)*N167</f>
        <v>1.345129972312775</v>
      </c>
      <c r="W167" s="7">
        <f>V167 - C167 - D167 - LN(1+EXP(Parameters!$B$21*B167))/Parameters!$B$21 - IF(B167&gt;0, 0,Parameters!$B$6*B167^2/E167)</f>
        <v>1.0258949642269042</v>
      </c>
      <c r="X167" s="7">
        <f>EXP(-Parameters!$B$56*A167)</f>
        <v>8.5323957692323968E-2</v>
      </c>
      <c r="Y167" s="7">
        <f>IF(W167&gt;0,W167^(1-Parameters!$B$53)/(1-Parameters!$B$53)*X167*Parameters!$B$71,-10+W167*1000)</f>
        <v>-0.24161112806455004</v>
      </c>
      <c r="AA167" s="22">
        <f t="shared" si="122"/>
        <v>0</v>
      </c>
      <c r="AB167" s="22">
        <f t="shared" si="123"/>
        <v>1.5170799080171937E-6</v>
      </c>
      <c r="AC167" s="22">
        <f t="shared" si="124"/>
        <v>-2.0673660792169812E-6</v>
      </c>
      <c r="AD167" s="22">
        <f t="shared" si="135"/>
        <v>5.6105058079369746E-13</v>
      </c>
      <c r="AE167" s="22">
        <f t="shared" si="137"/>
        <v>0</v>
      </c>
      <c r="AF167" s="22">
        <f t="shared" si="138"/>
        <v>-9.3939342707405338E-8</v>
      </c>
      <c r="AG167" s="22">
        <f t="shared" si="139"/>
        <v>1.282343271707953E-7</v>
      </c>
      <c r="AH167" s="22">
        <f t="shared" si="136"/>
        <v>2.1560206069268825E-15</v>
      </c>
      <c r="AI167" s="22"/>
      <c r="AM167" s="23">
        <f t="shared" si="115"/>
        <v>41.656610754904648</v>
      </c>
      <c r="AN167" s="23">
        <f t="shared" si="116"/>
        <v>0.29777506666347398</v>
      </c>
      <c r="AO167" s="23">
        <f t="shared" si="134"/>
        <v>1024.7836190840947</v>
      </c>
      <c r="AP167" s="25">
        <f t="shared" si="118"/>
        <v>4005.4616717647345</v>
      </c>
      <c r="AQ167" s="22">
        <f>-X167*V167*W167^(-Parameters!B$53)*Parameters!B$47*Parameters!B$46*M167</f>
        <v>-2.6588646084463474E-6</v>
      </c>
      <c r="AR167" s="7">
        <f>1000*EXP(-(Parameters!$B$55)*'6states'!A167)*AP167*Parameters!B$47*Parameters!B$46*M167</f>
        <v>0.31461067544691285</v>
      </c>
      <c r="AS167" s="59">
        <f>SUM(AR167:AR$204)*EXP(Parameters!$B$55*A167)</f>
        <v>4601.42586828191</v>
      </c>
      <c r="AT167" s="39">
        <f t="shared" si="128"/>
        <v>0.23560741942369773</v>
      </c>
      <c r="AU167">
        <f>(1/$S167-1/Parameters!$B$13) * LN(Parameters!$B$18) / LN(O167)</f>
        <v>0.19337647043160203</v>
      </c>
      <c r="AV167">
        <f>(Parameters!$B$18*'6states'!S167^+Parameters!$B$19*Parameters!$B$25^'6states'!S167)^((1-'6states'!S167)/'6states'!S167)*Parameters!$B$18*Parameters!$B$26^('6states'!S167-1)</f>
        <v>0.30851484003463681</v>
      </c>
      <c r="AW167">
        <f t="shared" si="129"/>
        <v>0.17198614358576539</v>
      </c>
      <c r="AX167">
        <f t="shared" si="130"/>
        <v>0.12544347988818783</v>
      </c>
      <c r="AY167">
        <f t="shared" si="131"/>
        <v>0.19252742840796844</v>
      </c>
      <c r="AZ167">
        <f>(1/$S167-1/Parameters!$B$13) * LN(Parameters!$B$18) / A167</f>
        <v>5.9768043594222945E-3</v>
      </c>
    </row>
    <row r="168" spans="1:52" x14ac:dyDescent="0.25">
      <c r="A168">
        <f>A167+Parameters!$B$71</f>
        <v>164</v>
      </c>
      <c r="B168" s="9">
        <f t="shared" si="114"/>
        <v>-2.9568713141259393E-6</v>
      </c>
      <c r="C168" s="9">
        <f t="shared" si="132"/>
        <v>9.0949993792235756E-2</v>
      </c>
      <c r="D168" s="9">
        <f t="shared" si="133"/>
        <v>0.22597556464516125</v>
      </c>
      <c r="E168" s="7">
        <f>MAX((1-Parameters!$B$4)^Parameters!B$71*E167 + B167*Parameters!B$71 - IF(B167&gt;0,Parameters!$B$5,0)*B167^2/E167*Parameters!B$71, 0.0001)</f>
        <v>1E-4</v>
      </c>
      <c r="F168" s="7">
        <f>(1-Parameters!$B$4)^Parameters!B$71*F167+C167*Parameters!B$71-Parameters!$B$5*C167^2/F167*Parameters!B$71</f>
        <v>1.3488788412290973</v>
      </c>
      <c r="G168" s="7">
        <f>(1-Parameters!$B$4)^Parameters!B$71*G167+D167*Parameters!B$71-Parameters!$B$5*D167^2/G167*Parameters!B$71</f>
        <v>3.3487374343864906</v>
      </c>
      <c r="H168" s="9">
        <f>MAX(H167 * (1-Parameters!$B$4) ^ Parameters!B$71 + (LN(1+EXP(Parameters!$B$21*(-B167+0.004)))/Parameters!$B$21 -0.004) * Parameters!B$71,0)</f>
        <v>1.3989242384140047E-2</v>
      </c>
      <c r="I168" s="23">
        <f>I167*(1+Parameters!$B$52)^Parameters!B$71</f>
        <v>13.120237419467228</v>
      </c>
      <c r="J168" s="23">
        <f>J167*(1+Parameters!$B$54)^Parameters!B$71</f>
        <v>232.16911165949259</v>
      </c>
      <c r="K168" s="23">
        <f>I168*J168*EXP(-Parameters!$B$43*'6states'!A168)*(Parameters!$B$38/Parameters!$B$39*('6states'!E168+'6states'!H168)/Parameters!$E$25*(EXP(-Parameters!$B$39*Parameters!$E$25*'6states'!H168/('6states'!E168+'6states'!H168))-EXP(-Parameters!$B$39*Parameters!$E$25))  +  Parameters!$B$40*'6states'!E168)</f>
        <v>4.6958099507181994E-2</v>
      </c>
      <c r="L168" s="8">
        <f>L167+K168*Parameters!B$71</f>
        <v>3314.038044117312</v>
      </c>
      <c r="M168" s="7">
        <f>L168*Parameters!$B$46</f>
        <v>1.9884228264703869</v>
      </c>
      <c r="N168" s="9">
        <f>EXP(-Parameters!$B$47/2*M168^2)</f>
        <v>0.96104317425682895</v>
      </c>
      <c r="O168" s="8">
        <f>MAX((Parameters!$B$63 + Parameters!$B$31*'6states'!A168 - '6states'!L168 + Parameters!$B$48/Parameters!$B$46)/Parameters!B$63,1)</f>
        <v>155.21523911765379</v>
      </c>
      <c r="P168" s="59">
        <f>Parameters!B$62*EXP(-Parameters!B$61*A168)</f>
        <v>5.9691712485042507E-3</v>
      </c>
      <c r="Q168" s="59">
        <f>(1-Parameters!B$62)*O168^-Parameters!B$64</f>
        <v>0.30190935373067906</v>
      </c>
      <c r="R168" s="7">
        <f>Parameters!B$62*EXP(-Parameters!B$61*A168)+(1-Parameters!B$62)*O168^-Parameters!B$64</f>
        <v>0.30787852497918333</v>
      </c>
      <c r="S168" s="7">
        <f>1-R168/Parameters!$B$12</f>
        <v>0.84606073751040833</v>
      </c>
      <c r="T168" s="7">
        <f t="shared" si="119"/>
        <v>6.4960685391591584</v>
      </c>
      <c r="U168" s="7">
        <f>(Parameters!$B$19*(E168+Parameters!$B$20)^S168+Parameters!$B$18*F168^S168)^(1/S168)</f>
        <v>0.34422991918864543</v>
      </c>
      <c r="V168" s="7">
        <f>(Parameters!$B$10*G168^Parameters!$B$9+Parameters!$B$11*U168^Parameters!$B$9)^(Parameters!$B$7/Parameters!$B$9)*N168</f>
        <v>1.3451654785572411</v>
      </c>
      <c r="W168" s="7">
        <f>V168 - C168 - D168 - LN(1+EXP(Parameters!$B$21*B168))/Parameters!$B$21 - IF(B168&gt;0, 0,Parameters!$B$6*B168^2/E168)</f>
        <v>1.0259304704713703</v>
      </c>
      <c r="X168" s="7">
        <f>EXP(-Parameters!$B$56*A168)</f>
        <v>8.4045244512203479E-2</v>
      </c>
      <c r="Y168" s="7">
        <f>IF(W168&gt;0,W168^(1-Parameters!$B$53)/(1-Parameters!$B$53)*X168*Parameters!$B$71,-10+W168*1000)</f>
        <v>-0.23798732395805741</v>
      </c>
      <c r="AA168" s="22">
        <f t="shared" si="122"/>
        <v>0</v>
      </c>
      <c r="AB168" s="22">
        <f t="shared" si="123"/>
        <v>1.4286146692576995E-6</v>
      </c>
      <c r="AC168" s="22">
        <f t="shared" si="124"/>
        <v>-1.9466278780161383E-6</v>
      </c>
      <c r="AD168" s="22">
        <f t="shared" si="135"/>
        <v>4.9000898644786682E-13</v>
      </c>
      <c r="AE168" s="22">
        <f t="shared" si="137"/>
        <v>0</v>
      </c>
      <c r="AF168" s="22">
        <f t="shared" si="138"/>
        <v>-8.8465238759494191E-8</v>
      </c>
      <c r="AG168" s="22">
        <f t="shared" si="139"/>
        <v>1.2073820120084289E-7</v>
      </c>
      <c r="AH168" s="22">
        <f t="shared" si="136"/>
        <v>1.8829338321628946E-15</v>
      </c>
      <c r="AI168" s="22"/>
      <c r="AM168" s="23">
        <f t="shared" si="115"/>
        <v>42.612825207309925</v>
      </c>
      <c r="AN168" s="23">
        <f t="shared" si="116"/>
        <v>0.304611386643934</v>
      </c>
      <c r="AO168" s="23">
        <f t="shared" si="134"/>
        <v>1048.5635300838262</v>
      </c>
      <c r="AP168" s="25">
        <f t="shared" si="118"/>
        <v>4097.5272168887232</v>
      </c>
      <c r="AQ168" s="22">
        <f>-X168*V168*W168^(-Parameters!B$53)*Parameters!B$47*Parameters!B$46*M168</f>
        <v>-2.6190012305267972E-6</v>
      </c>
      <c r="AR168" s="7">
        <f>1000*EXP(-(Parameters!$B$55)*'6states'!A168)*AP168*Parameters!B$47*Parameters!B$46*M168</f>
        <v>0.31074570820250152</v>
      </c>
      <c r="AS168" s="59">
        <f>SUM(AR168:AR$204)*EXP(Parameters!$B$55*A168)</f>
        <v>4666.3214842440566</v>
      </c>
      <c r="AT168" s="39">
        <f t="shared" si="128"/>
        <v>0.23560120046048058</v>
      </c>
      <c r="AU168">
        <f>(1/$S168-1/Parameters!$B$13) * LN(Parameters!$B$18) / LN(O168)</f>
        <v>0.19317422979908808</v>
      </c>
      <c r="AV168">
        <f>(Parameters!$B$18*'6states'!S168^+Parameters!$B$19*Parameters!$B$25^'6states'!S168)^((1-'6states'!S168)/'6states'!S168)*Parameters!$B$18*Parameters!$B$26^('6states'!S168-1)</f>
        <v>0.30853382597786178</v>
      </c>
      <c r="AW168">
        <f t="shared" si="129"/>
        <v>0.17176404649753071</v>
      </c>
      <c r="AX168">
        <f t="shared" si="130"/>
        <v>0.1253208737542062</v>
      </c>
      <c r="AY168">
        <f t="shared" si="131"/>
        <v>0.1925380547198986</v>
      </c>
      <c r="AZ168">
        <f>(1/$S168-1/Parameters!$B$13) * LN(Parameters!$B$18) / A168</f>
        <v>5.9422428401921489E-3</v>
      </c>
    </row>
    <row r="169" spans="1:52" x14ac:dyDescent="0.25">
      <c r="A169">
        <f>A168+Parameters!$B$71</f>
        <v>165</v>
      </c>
      <c r="B169" s="9">
        <f t="shared" si="114"/>
        <v>-2.9568713141259393E-6</v>
      </c>
      <c r="C169" s="9">
        <f t="shared" ref="C169:C204" si="140">C168</f>
        <v>9.0949993792235756E-2</v>
      </c>
      <c r="D169" s="9">
        <f t="shared" ref="D169:D204" si="141">D168</f>
        <v>0.22597556464516125</v>
      </c>
      <c r="E169" s="7">
        <f>MAX((1-Parameters!$B$4)^Parameters!B$71*E168 + B168*Parameters!B$71 - IF(B168&gt;0,Parameters!$B$5,0)*B168^2/E168*Parameters!B$71, 0.0001)</f>
        <v>1E-4</v>
      </c>
      <c r="F169" s="7">
        <f>(1-Parameters!$B$4)^Parameters!B$71*F168+C168*Parameters!B$71-Parameters!$B$5*C168^2/F168*Parameters!B$71</f>
        <v>1.3488519286521619</v>
      </c>
      <c r="G169" s="7">
        <f>(1-Parameters!$B$4)^Parameters!B$71*G168+D168*Parameters!B$71-Parameters!$B$5*D168^2/G168*Parameters!B$71</f>
        <v>3.3488283968857977</v>
      </c>
      <c r="H169" s="9">
        <f>MAX(H168 * (1-Parameters!$B$4) ^ Parameters!B$71 + (LN(1+EXP(Parameters!$B$21*(-B168+0.004)))/Parameters!$B$21 -0.004) * Parameters!B$71,0)</f>
        <v>1.3989199924789229E-2</v>
      </c>
      <c r="I169" s="23">
        <f>I168*(1+Parameters!$B$52)^Parameters!B$71</f>
        <v>13.158286107983683</v>
      </c>
      <c r="J169" s="23">
        <f>J168*(1+Parameters!$B$54)^Parameters!B$71</f>
        <v>236.81249389268245</v>
      </c>
      <c r="K169" s="23">
        <f>I169*J169*EXP(-Parameters!$B$43*'6states'!A169)*(Parameters!$B$38/Parameters!$B$39*('6states'!E169+'6states'!H169)/Parameters!$E$25*(EXP(-Parameters!$B$39*Parameters!$E$25*'6states'!H169/('6states'!E169+'6states'!H169))-EXP(-Parameters!$B$39*Parameters!$E$25))  +  Parameters!$B$40*'6states'!E169)</f>
        <v>4.7558195742236818E-2</v>
      </c>
      <c r="L169" s="8">
        <f>L168+K169*Parameters!B$71</f>
        <v>3314.0856023130541</v>
      </c>
      <c r="M169" s="7">
        <f>L169*Parameters!$B$46</f>
        <v>1.9884513613878323</v>
      </c>
      <c r="N169" s="9">
        <f>EXP(-Parameters!$B$47/2*M169^2)</f>
        <v>0.9610420782148581</v>
      </c>
      <c r="O169" s="8">
        <f>MAX((Parameters!$B$63 + Parameters!$B$31*'6states'!A169 - '6states'!L169 + Parameters!$B$48/Parameters!$B$46)/Parameters!B$63,1)</f>
        <v>156.2782879537389</v>
      </c>
      <c r="P169" s="59">
        <f>Parameters!B$62*EXP(-Parameters!B$61*A169)</f>
        <v>5.8101599373154723E-3</v>
      </c>
      <c r="Q169" s="59">
        <f>(1-Parameters!B$62)*O169^-Parameters!B$64</f>
        <v>0.3017033551470486</v>
      </c>
      <c r="R169" s="7">
        <f>Parameters!B$62*EXP(-Parameters!B$61*A169)+(1-Parameters!B$62)*O169^-Parameters!B$64</f>
        <v>0.30751351508436409</v>
      </c>
      <c r="S169" s="7">
        <f>1-R169/Parameters!$B$12</f>
        <v>0.8462432424578179</v>
      </c>
      <c r="T169" s="7">
        <f t="shared" si="119"/>
        <v>6.5037791898392303</v>
      </c>
      <c r="U169" s="7">
        <f>(Parameters!$B$19*(E169+Parameters!$B$20)^S169+Parameters!$B$18*F169^S169)^(1/S169)</f>
        <v>0.34431191908316211</v>
      </c>
      <c r="V169" s="7">
        <f>(Parameters!$B$10*G169^Parameters!$B$9+Parameters!$B$11*U169^Parameters!$B$9)^(Parameters!$B$7/Parameters!$B$9)*N169</f>
        <v>1.3452001074251445</v>
      </c>
      <c r="W169" s="7">
        <f>V169 - C169 - D169 - LN(1+EXP(Parameters!$B$21*B169))/Parameters!$B$21 - IF(B169&gt;0, 0,Parameters!$B$6*B169^2/E169)</f>
        <v>1.0259650993392737</v>
      </c>
      <c r="X169" s="7">
        <f>EXP(-Parameters!$B$56*A169)</f>
        <v>8.2785694852402933E-2</v>
      </c>
      <c r="Y169" s="7">
        <f>IF(W169&gt;0,W169^(1-Parameters!$B$53)/(1-Parameters!$B$53)*X169*Parameters!$B$71,-10+W169*1000)</f>
        <v>-0.23441794173339789</v>
      </c>
      <c r="AA169" s="22">
        <f t="shared" si="122"/>
        <v>0</v>
      </c>
      <c r="AB169" s="22">
        <f t="shared" si="123"/>
        <v>1.3453049450412591E-6</v>
      </c>
      <c r="AC169" s="22">
        <f t="shared" si="124"/>
        <v>-1.8329468596672838E-6</v>
      </c>
      <c r="AD169" s="22">
        <f t="shared" si="135"/>
        <v>4.2796392665399663E-13</v>
      </c>
      <c r="AE169" s="22">
        <f t="shared" si="137"/>
        <v>0</v>
      </c>
      <c r="AF169" s="22">
        <f t="shared" si="138"/>
        <v>-8.3309724216440451E-8</v>
      </c>
      <c r="AG169" s="22">
        <f t="shared" si="139"/>
        <v>1.1368101834885458E-7</v>
      </c>
      <c r="AH169" s="22">
        <f t="shared" si="136"/>
        <v>1.6444454461837017E-15</v>
      </c>
      <c r="AI169" s="22"/>
      <c r="AM169" s="23">
        <f t="shared" si="115"/>
        <v>43.590998143105779</v>
      </c>
      <c r="AN169" s="23">
        <f t="shared" si="116"/>
        <v>0.31160465485850541</v>
      </c>
      <c r="AO169" s="23">
        <f t="shared" si="134"/>
        <v>1072.8919670957839</v>
      </c>
      <c r="AP169" s="25">
        <f t="shared" si="118"/>
        <v>4191.7061518983655</v>
      </c>
      <c r="AQ169" s="22">
        <f>-X169*V169*W169^(-Parameters!B$53)*Parameters!B$47*Parameters!B$46*M169</f>
        <v>-2.5797372742164698E-6</v>
      </c>
      <c r="AR169" s="7">
        <f>1000*EXP(-(Parameters!$B$55)*'6states'!A169)*AP169*Parameters!B$47*Parameters!B$46*M169</f>
        <v>0.30692807688920865</v>
      </c>
      <c r="AS169" s="59">
        <f>SUM(AR169:AR$204)*EXP(Parameters!$B$55*A169)</f>
        <v>4731.24733922216</v>
      </c>
      <c r="AT169" s="39">
        <f t="shared" si="128"/>
        <v>0.2355951354870959</v>
      </c>
      <c r="AU169">
        <f>(1/$S169-1/Parameters!$B$13) * LN(Parameters!$B$18) / LN(O169)</f>
        <v>0.19297333411618633</v>
      </c>
      <c r="AV169">
        <f>(Parameters!$B$18*'6states'!S169^+Parameters!$B$19*Parameters!$B$25^'6states'!S169)^((1-'6states'!S169)/'6states'!S169)*Parameters!$B$18*Parameters!$B$26^('6states'!S169-1)</f>
        <v>0.3085524400600802</v>
      </c>
      <c r="AW169">
        <f t="shared" si="129"/>
        <v>0.17154390992706176</v>
      </c>
      <c r="AX169">
        <f t="shared" si="130"/>
        <v>0.12519906596361141</v>
      </c>
      <c r="AY169">
        <f t="shared" si="131"/>
        <v>0.19254847276782305</v>
      </c>
      <c r="AZ169">
        <f>(1/$S169-1/Parameters!$B$13) * LN(Parameters!$B$18) / A169</f>
        <v>5.9080696267909769E-3</v>
      </c>
    </row>
    <row r="170" spans="1:52" x14ac:dyDescent="0.25">
      <c r="A170">
        <f>A169+Parameters!$B$71</f>
        <v>166</v>
      </c>
      <c r="B170" s="9">
        <f t="shared" si="114"/>
        <v>-2.9568713141259393E-6</v>
      </c>
      <c r="C170" s="9">
        <f t="shared" si="140"/>
        <v>9.0949993792235756E-2</v>
      </c>
      <c r="D170" s="9">
        <f t="shared" si="141"/>
        <v>0.22597556464516125</v>
      </c>
      <c r="E170" s="7">
        <f>MAX((1-Parameters!$B$4)^Parameters!B$71*E169 + B169*Parameters!B$71 - IF(B169&gt;0,Parameters!$B$5,0)*B169^2/E169*Parameters!B$71, 0.0001)</f>
        <v>1E-4</v>
      </c>
      <c r="F170" s="7">
        <f>(1-Parameters!$B$4)^Parameters!B$71*F169+C169*Parameters!B$71-Parameters!$B$5*C169^2/F169*Parameters!B$71</f>
        <v>1.3488265865208391</v>
      </c>
      <c r="G170" s="7">
        <f>(1-Parameters!$B$4)^Parameters!B$71*G169+D169*Parameters!B$71-Parameters!$B$5*D169^2/G169*Parameters!B$71</f>
        <v>3.3489140520450995</v>
      </c>
      <c r="H170" s="9">
        <f>MAX(H169 * (1-Parameters!$B$4) ^ Parameters!B$71 + (LN(1+EXP(Parameters!$B$21*(-B169+0.004)))/Parameters!$B$21 -0.004) * Parameters!B$71,0)</f>
        <v>1.3989160136131575E-2</v>
      </c>
      <c r="I170" s="23">
        <f>I169*(1+Parameters!$B$52)^Parameters!B$71</f>
        <v>13.196445137696834</v>
      </c>
      <c r="J170" s="23">
        <f>J169*(1+Parameters!$B$54)^Parameters!B$71</f>
        <v>241.54874377053611</v>
      </c>
      <c r="K170" s="23">
        <f>I170*J170*EXP(-Parameters!$B$43*'6states'!A170)*(Parameters!$B$38/Parameters!$B$39*('6states'!E170+'6states'!H170)/Parameters!$E$25*(EXP(-Parameters!$B$39*Parameters!$E$25*'6states'!H170/('6states'!E170+'6states'!H170))-EXP(-Parameters!$B$39*Parameters!$E$25))  +  Parameters!$B$40*'6states'!E170)</f>
        <v>4.8165960845817139E-2</v>
      </c>
      <c r="L170" s="8">
        <f>L169+K170*Parameters!B$71</f>
        <v>3314.1337682738999</v>
      </c>
      <c r="M170" s="7">
        <f>L170*Parameters!$B$46</f>
        <v>1.9884802609643397</v>
      </c>
      <c r="N170" s="9">
        <f>EXP(-Parameters!$B$47/2*M170^2)</f>
        <v>0.96104096815137352</v>
      </c>
      <c r="O170" s="8">
        <f>MAX((Parameters!$B$63 + Parameters!$B$31*'6states'!A170 - '6states'!L170 + Parameters!$B$48/Parameters!$B$46)/Parameters!B$63,1)</f>
        <v>157.34132463452204</v>
      </c>
      <c r="P170" s="59">
        <f>Parameters!B$62*EXP(-Parameters!B$61*A170)</f>
        <v>5.6553844900403497E-3</v>
      </c>
      <c r="Q170" s="59">
        <f>(1-Parameters!B$62)*O170^-Parameters!B$64</f>
        <v>0.30149889454484086</v>
      </c>
      <c r="R170" s="7">
        <f>Parameters!B$62*EXP(-Parameters!B$61*A170)+(1-Parameters!B$62)*O170^-Parameters!B$64</f>
        <v>0.30715427903488118</v>
      </c>
      <c r="S170" s="7">
        <f>1-R170/Parameters!$B$12</f>
        <v>0.84642286048255944</v>
      </c>
      <c r="T170" s="7">
        <f t="shared" si="119"/>
        <v>6.5113857644577227</v>
      </c>
      <c r="U170" s="7">
        <f>(Parameters!$B$19*(E170+Parameters!$B$20)^S170+Parameters!$B$18*F170^S170)^(1/S170)</f>
        <v>0.34439289585468535</v>
      </c>
      <c r="V170" s="7">
        <f>(Parameters!$B$10*G170^Parameters!$B$9+Parameters!$B$11*U170^Parameters!$B$9)^(Parameters!$B$7/Parameters!$B$9)*N170</f>
        <v>1.3452338906447379</v>
      </c>
      <c r="W170" s="7">
        <f>V170 - C170 - D170 - LN(1+EXP(Parameters!$B$21*B170))/Parameters!$B$21 - IF(B170&gt;0, 0,Parameters!$B$6*B170^2/E170)</f>
        <v>1.0259988825588671</v>
      </c>
      <c r="X170" s="7">
        <f>EXP(-Parameters!$B$56*A170)</f>
        <v>8.1545021517547445E-2</v>
      </c>
      <c r="Y170" s="7">
        <f>IF(W170&gt;0,W170^(1-Parameters!$B$53)/(1-Parameters!$B$53)*X170*Parameters!$B$71,-10+W170*1000)</f>
        <v>-0.2309021605303106</v>
      </c>
      <c r="AA170" s="22">
        <f t="shared" si="122"/>
        <v>0</v>
      </c>
      <c r="AB170" s="22">
        <f t="shared" si="123"/>
        <v>1.2668506422369719E-6</v>
      </c>
      <c r="AC170" s="22">
        <f t="shared" si="124"/>
        <v>-1.7259098682442797E-6</v>
      </c>
      <c r="AD170" s="22">
        <f t="shared" si="135"/>
        <v>3.737759110011862E-13</v>
      </c>
      <c r="AE170" s="22">
        <f t="shared" si="137"/>
        <v>0</v>
      </c>
      <c r="AF170" s="22">
        <f t="shared" si="138"/>
        <v>-7.8454302804287224E-8</v>
      </c>
      <c r="AG170" s="22">
        <f t="shared" si="139"/>
        <v>1.0703699142300405E-7</v>
      </c>
      <c r="AH170" s="22">
        <f t="shared" si="136"/>
        <v>1.4361705244028993E-15</v>
      </c>
      <c r="AI170" s="22"/>
      <c r="AM170" s="23">
        <f t="shared" si="115"/>
        <v>44.591633448757023</v>
      </c>
      <c r="AN170" s="23">
        <f t="shared" si="116"/>
        <v>0.31875847452474698</v>
      </c>
      <c r="AO170" s="23">
        <f t="shared" si="134"/>
        <v>1097.7815411979955</v>
      </c>
      <c r="AP170" s="25">
        <f t="shared" si="118"/>
        <v>4288.0470286090695</v>
      </c>
      <c r="AQ170" s="22">
        <f>-X170*V170*W170^(-Parameters!B$53)*Parameters!B$47*Parameters!B$46*M170</f>
        <v>-2.5410636592375497E-6</v>
      </c>
      <c r="AR170" s="7">
        <f>1000*EXP(-(Parameters!$B$55)*'6states'!A170)*AP170*Parameters!B$47*Parameters!B$46*M170</f>
        <v>0.30315721141347474</v>
      </c>
      <c r="AS170" s="59">
        <f>SUM(AR170:AR$204)*EXP(Parameters!$B$55*A170)</f>
        <v>4796.1519387138105</v>
      </c>
      <c r="AT170" s="39">
        <f t="shared" si="128"/>
        <v>0.23558921892325324</v>
      </c>
      <c r="AU170">
        <f>(1/$S170-1/Parameters!$B$13) * LN(Parameters!$B$18) / LN(O170)</f>
        <v>0.19277377205570675</v>
      </c>
      <c r="AV170">
        <f>(Parameters!$B$18*'6states'!S170^+Parameters!$B$19*Parameters!$B$25^'6states'!S170)^((1-'6states'!S170)/'6states'!S170)*Parameters!$B$18*Parameters!$B$26^('6states'!S170-1)</f>
        <v>0.30857069266314219</v>
      </c>
      <c r="AW170">
        <f t="shared" si="129"/>
        <v>0.17132570493663182</v>
      </c>
      <c r="AX170">
        <f t="shared" si="130"/>
        <v>0.12507804998533589</v>
      </c>
      <c r="AY170">
        <f t="shared" si="131"/>
        <v>0.19255868837026824</v>
      </c>
      <c r="AZ170">
        <f>(1/$S170-1/Parameters!$B$13) * LN(Parameters!$B$18) / A170</f>
        <v>5.8742784322591201E-3</v>
      </c>
    </row>
    <row r="171" spans="1:52" x14ac:dyDescent="0.25">
      <c r="A171">
        <f>A170+Parameters!$B$71</f>
        <v>167</v>
      </c>
      <c r="B171" s="9">
        <f t="shared" si="114"/>
        <v>-2.9568713141259393E-6</v>
      </c>
      <c r="C171" s="9">
        <f t="shared" si="140"/>
        <v>9.0949993792235756E-2</v>
      </c>
      <c r="D171" s="9">
        <f t="shared" si="141"/>
        <v>0.22597556464516125</v>
      </c>
      <c r="E171" s="7">
        <f>MAX((1-Parameters!$B$4)^Parameters!B$71*E170 + B170*Parameters!B$71 - IF(B170&gt;0,Parameters!$B$5,0)*B170^2/E170*Parameters!B$71, 0.0001)</f>
        <v>1E-4</v>
      </c>
      <c r="F171" s="7">
        <f>(1-Parameters!$B$4)^Parameters!B$71*F170+C170*Parameters!B$71-Parameters!$B$5*C170^2/F170*Parameters!B$71</f>
        <v>1.3488027231895185</v>
      </c>
      <c r="G171" s="7">
        <f>(1-Parameters!$B$4)^Parameters!B$71*G170+D170*Parameters!B$71-Parameters!$B$5*D170^2/G170*Parameters!B$71</f>
        <v>3.3489947095083386</v>
      </c>
      <c r="H171" s="9">
        <f>MAX(H170 * (1-Parameters!$B$4) ^ Parameters!B$71 + (LN(1+EXP(Parameters!$B$21*(-B170+0.004)))/Parameters!$B$21 -0.004) * Parameters!B$71,0)</f>
        <v>1.3989122850180488E-2</v>
      </c>
      <c r="I171" s="23">
        <f>I170*(1+Parameters!$B$52)^Parameters!B$71</f>
        <v>13.234714828596154</v>
      </c>
      <c r="J171" s="23">
        <f>J170*(1+Parameters!$B$54)^Parameters!B$71</f>
        <v>246.37971864594684</v>
      </c>
      <c r="K171" s="23">
        <f>I171*J171*EXP(-Parameters!$B$43*'6states'!A171)*(Parameters!$B$38/Parameters!$B$39*('6states'!E171+'6states'!H171)/Parameters!$E$25*(EXP(-Parameters!$B$39*Parameters!$E$25*'6states'!H171/('6states'!E171+'6states'!H171))-EXP(-Parameters!$B$39*Parameters!$E$25))  +  Parameters!$B$40*'6states'!E171)</f>
        <v>4.8781492821444755E-2</v>
      </c>
      <c r="L171" s="8">
        <f>L170+K171*Parameters!B$71</f>
        <v>3314.1825497667214</v>
      </c>
      <c r="M171" s="7">
        <f>L171*Parameters!$B$46</f>
        <v>1.9885095298600326</v>
      </c>
      <c r="N171" s="9">
        <f>EXP(-Parameters!$B$47/2*M171^2)</f>
        <v>0.96103984388680919</v>
      </c>
      <c r="O171" s="8">
        <f>MAX((Parameters!$B$63 + Parameters!$B$31*'6states'!A171 - '6states'!L171 + Parameters!$B$48/Parameters!$B$46)/Parameters!B$63,1)</f>
        <v>158.40434900466556</v>
      </c>
      <c r="P171" s="59">
        <f>Parameters!B$62*EXP(-Parameters!B$61*A171)</f>
        <v>5.5047320685231525E-3</v>
      </c>
      <c r="Q171" s="59">
        <f>(1-Parameters!B$62)*O171^-Parameters!B$64</f>
        <v>0.30129595019421174</v>
      </c>
      <c r="R171" s="7">
        <f>Parameters!B$62*EXP(-Parameters!B$61*A171)+(1-Parameters!B$62)*O171^-Parameters!B$64</f>
        <v>0.30680068226273488</v>
      </c>
      <c r="S171" s="7">
        <f>1-R171/Parameters!$B$12</f>
        <v>0.84659965886863253</v>
      </c>
      <c r="T171" s="7">
        <f t="shared" si="119"/>
        <v>6.5188903272622447</v>
      </c>
      <c r="U171" s="7">
        <f>(Parameters!$B$19*(E171+Parameters!$B$20)^S171+Parameters!$B$18*F171^S171)^(1/S171)</f>
        <v>0.34447286020280282</v>
      </c>
      <c r="V171" s="7">
        <f>(Parameters!$B$10*G171^Parameters!$B$9+Parameters!$B$11*U171^Parameters!$B$9)^(Parameters!$B$7/Parameters!$B$9)*N171</f>
        <v>1.3452668584907745</v>
      </c>
      <c r="W171" s="7">
        <f>V171 - C171 - D171 - LN(1+EXP(Parameters!$B$21*B171))/Parameters!$B$21 - IF(B171&gt;0, 0,Parameters!$B$6*B171^2/E171)</f>
        <v>1.0260318504049037</v>
      </c>
      <c r="X171" s="7">
        <f>EXP(-Parameters!$B$56*A171)</f>
        <v>8.0322941616334922E-2</v>
      </c>
      <c r="Y171" s="7">
        <f>IF(W171&gt;0,W171^(1-Parameters!$B$53)/(1-Parameters!$B$53)*X171*Parameters!$B$71,-10+W171*1000)</f>
        <v>-0.22743917207369954</v>
      </c>
      <c r="AA171" s="22">
        <f t="shared" si="122"/>
        <v>0</v>
      </c>
      <c r="AB171" s="22">
        <f t="shared" si="123"/>
        <v>1.1929690950790439E-6</v>
      </c>
      <c r="AC171" s="22">
        <f t="shared" si="124"/>
        <v>-1.6251280107182353E-6</v>
      </c>
      <c r="AD171" s="22">
        <f t="shared" si="135"/>
        <v>3.2644980962804394E-13</v>
      </c>
      <c r="AE171" s="22">
        <f t="shared" si="137"/>
        <v>0</v>
      </c>
      <c r="AF171" s="22">
        <f t="shared" si="138"/>
        <v>-7.388154715792794E-8</v>
      </c>
      <c r="AG171" s="22">
        <f t="shared" si="139"/>
        <v>1.007818575260444E-7</v>
      </c>
      <c r="AH171" s="22">
        <f t="shared" si="136"/>
        <v>1.2542801491186393E-15</v>
      </c>
      <c r="AI171" s="22"/>
      <c r="AM171" s="23">
        <f t="shared" si="115"/>
        <v>45.615246588737513</v>
      </c>
      <c r="AN171" s="23">
        <f t="shared" si="116"/>
        <v>0.32607653158288613</v>
      </c>
      <c r="AO171" s="23">
        <f t="shared" si="134"/>
        <v>1123.2451547936635</v>
      </c>
      <c r="AP171" s="25">
        <f t="shared" si="118"/>
        <v>4386.59951270077</v>
      </c>
      <c r="AQ171" s="22">
        <f>-X171*V171*W171^(-Parameters!B$53)*Parameters!B$47*Parameters!B$46*M171</f>
        <v>-2.502971446630046E-6</v>
      </c>
      <c r="AR171" s="7">
        <f>1000*EXP(-(Parameters!$B$55)*'6states'!A171)*AP171*Parameters!B$47*Parameters!B$46*M171</f>
        <v>0.29943254801418512</v>
      </c>
      <c r="AS171" s="59">
        <f>SUM(AR171:AR$204)*EXP(Parameters!$B$55*A171)</f>
        <v>4860.9807389692887</v>
      </c>
      <c r="AT171" s="39">
        <f t="shared" si="128"/>
        <v>0.23558344544489218</v>
      </c>
      <c r="AU171">
        <f>(1/$S171-1/Parameters!$B$13) * LN(Parameters!$B$18) / LN(O171)</f>
        <v>0.19257553237220548</v>
      </c>
      <c r="AV171">
        <f>(Parameters!$B$18*'6states'!S171^+Parameters!$B$19*Parameters!$B$25^'6states'!S171)^((1-'6states'!S171)/'6states'!S171)*Parameters!$B$18*Parameters!$B$26^('6states'!S171-1)</f>
        <v>0.30858859383105114</v>
      </c>
      <c r="AW171">
        <f t="shared" si="129"/>
        <v>0.17110940317664558</v>
      </c>
      <c r="AX171">
        <f t="shared" si="130"/>
        <v>0.1249578193319314</v>
      </c>
      <c r="AY171">
        <f t="shared" si="131"/>
        <v>0.19256870715622953</v>
      </c>
      <c r="AZ171">
        <f>(1/$S171-1/Parameters!$B$13) * LN(Parameters!$B$18) / A171</f>
        <v>5.8408631007339602E-3</v>
      </c>
    </row>
    <row r="172" spans="1:52" x14ac:dyDescent="0.25">
      <c r="A172">
        <f>A171+Parameters!$B$71</f>
        <v>168</v>
      </c>
      <c r="B172" s="9">
        <f t="shared" si="114"/>
        <v>-2.9568713141259393E-6</v>
      </c>
      <c r="C172" s="9">
        <f t="shared" si="140"/>
        <v>9.0949993792235756E-2</v>
      </c>
      <c r="D172" s="9">
        <f t="shared" si="141"/>
        <v>0.22597556464516125</v>
      </c>
      <c r="E172" s="7">
        <f>MAX((1-Parameters!$B$4)^Parameters!B$71*E171 + B171*Parameters!B$71 - IF(B171&gt;0,Parameters!$B$5,0)*B171^2/E171*Parameters!B$71, 0.0001)</f>
        <v>1E-4</v>
      </c>
      <c r="F172" s="7">
        <f>(1-Parameters!$B$4)^Parameters!B$71*F171+C171*Parameters!B$71-Parameters!$B$5*C171^2/F171*Parameters!B$71</f>
        <v>1.3487802523612062</v>
      </c>
      <c r="G172" s="7">
        <f>(1-Parameters!$B$4)^Parameters!B$71*G171+D171*Parameters!B$71-Parameters!$B$5*D171^2/G171*Parameters!B$71</f>
        <v>3.3490706608563596</v>
      </c>
      <c r="H172" s="9">
        <f>MAX(H171 * (1-Parameters!$B$4) ^ Parameters!B$71 + (LN(1+EXP(Parameters!$B$21*(-B171+0.004)))/Parameters!$B$21 -0.004) * Parameters!B$71,0)</f>
        <v>1.3989087909515726E-2</v>
      </c>
      <c r="I172" s="23">
        <f>I171*(1+Parameters!$B$52)^Parameters!B$71</f>
        <v>13.273095501599082</v>
      </c>
      <c r="J172" s="23">
        <f>J171*(1+Parameters!$B$54)^Parameters!B$71</f>
        <v>251.30731301886578</v>
      </c>
      <c r="K172" s="23">
        <f>I172*J172*EXP(-Parameters!$B$43*'6states'!A172)*(Parameters!$B$38/Parameters!$B$39*('6states'!E172+'6states'!H172)/Parameters!$E$25*(EXP(-Parameters!$B$39*Parameters!$E$25*'6states'!H172/('6states'!E172+'6states'!H172))-EXP(-Parameters!$B$39*Parameters!$E$25))  +  Parameters!$B$40*'6states'!E172)</f>
        <v>4.9404890925067453E-2</v>
      </c>
      <c r="L172" s="8">
        <f>L171+K172*Parameters!B$71</f>
        <v>3314.2319546576464</v>
      </c>
      <c r="M172" s="7">
        <f>L172*Parameters!$B$46</f>
        <v>1.9885391727945876</v>
      </c>
      <c r="N172" s="9">
        <f>EXP(-Parameters!$B$47/2*M172^2)</f>
        <v>0.96103870523929458</v>
      </c>
      <c r="O172" s="8">
        <f>MAX((Parameters!$B$63 + Parameters!$B$31*'6states'!A172 - '6states'!L172 + Parameters!$B$48/Parameters!$B$46)/Parameters!B$63,1)</f>
        <v>159.46736090684709</v>
      </c>
      <c r="P172" s="59">
        <f>Parameters!B$62*EXP(-Parameters!B$61*A172)</f>
        <v>5.3580928404765304E-3</v>
      </c>
      <c r="Q172" s="59">
        <f>(1-Parameters!B$62)*O172^-Parameters!B$64</f>
        <v>0.30109450081622513</v>
      </c>
      <c r="R172" s="7">
        <f>Parameters!B$62*EXP(-Parameters!B$61*A172)+(1-Parameters!B$62)*O172^-Parameters!B$64</f>
        <v>0.30645259365670163</v>
      </c>
      <c r="S172" s="7">
        <f>1-R172/Parameters!$B$12</f>
        <v>0.84677370317164913</v>
      </c>
      <c r="T172" s="7">
        <f t="shared" si="119"/>
        <v>6.52629490302329</v>
      </c>
      <c r="U172" s="7">
        <f>(Parameters!$B$19*(E172+Parameters!$B$20)^S172+Parameters!$B$18*F172^S172)^(1/S172)</f>
        <v>0.34455182325960371</v>
      </c>
      <c r="V172" s="7">
        <f>(Parameters!$B$10*G172^Parameters!$B$9+Parameters!$B$11*U172^Parameters!$B$9)^(Parameters!$B$7/Parameters!$B$9)*N172</f>
        <v>1.345299039857885</v>
      </c>
      <c r="W172" s="7">
        <f>V172 - C172 - D172 - LN(1+EXP(Parameters!$B$21*B172))/Parameters!$B$21 - IF(B172&gt;0, 0,Parameters!$B$6*B172^2/E172)</f>
        <v>1.0260640317720142</v>
      </c>
      <c r="X172" s="7">
        <f>EXP(-Parameters!$B$56*A172)</f>
        <v>7.9119176497032498E-2</v>
      </c>
      <c r="Y172" s="7">
        <f>IF(W172&gt;0,W172^(1-Parameters!$B$53)/(1-Parameters!$B$53)*X172*Parameters!$B$71,-10+W172*1000)</f>
        <v>-0.22402818046809511</v>
      </c>
      <c r="AA172" s="22">
        <f t="shared" si="122"/>
        <v>0</v>
      </c>
      <c r="AB172" s="22">
        <f t="shared" si="123"/>
        <v>1.1233940579724599E-6</v>
      </c>
      <c r="AC172" s="22">
        <f t="shared" si="124"/>
        <v>-1.5302352233126371E-6</v>
      </c>
      <c r="AD172" s="22">
        <f t="shared" si="135"/>
        <v>2.8511655828665214E-13</v>
      </c>
      <c r="AE172" s="22">
        <f t="shared" si="137"/>
        <v>0</v>
      </c>
      <c r="AF172" s="22">
        <f t="shared" si="138"/>
        <v>-6.957503710658397E-8</v>
      </c>
      <c r="AG172" s="22">
        <f t="shared" si="139"/>
        <v>9.4892787405598256E-8</v>
      </c>
      <c r="AH172" s="22">
        <f t="shared" si="136"/>
        <v>1.0954308618679601E-15</v>
      </c>
      <c r="AI172" s="22"/>
      <c r="AM172" s="23">
        <f t="shared" si="115"/>
        <v>46.662364870933096</v>
      </c>
      <c r="AN172" s="23">
        <f t="shared" si="116"/>
        <v>0.33356259659496601</v>
      </c>
      <c r="AO172" s="23">
        <f t="shared" si="134"/>
        <v>1149.2960082800321</v>
      </c>
      <c r="AP172" s="25">
        <f t="shared" si="118"/>
        <v>4487.414409317108</v>
      </c>
      <c r="AQ172" s="22">
        <f>-X172*V172*W172^(-Parameters!B$53)*Parameters!B$47*Parameters!B$46*M172</f>
        <v>-2.4654518363207512E-6</v>
      </c>
      <c r="AR172" s="7">
        <f>1000*EXP(-(Parameters!$B$55)*'6states'!A172)*AP172*Parameters!B$47*Parameters!B$46*M172</f>
        <v>0.29575352922487574</v>
      </c>
      <c r="AS172" s="59">
        <f>SUM(AR172:AR$204)*EXP(Parameters!$B$55*A172)</f>
        <v>4925.6760102422804</v>
      </c>
      <c r="AT172" s="39">
        <f t="shared" si="128"/>
        <v>0.23557780997120314</v>
      </c>
      <c r="AU172">
        <f>(1/$S172-1/Parameters!$B$13) * LN(Parameters!$B$18) / LN(O172)</f>
        <v>0.1923786039015844</v>
      </c>
      <c r="AV172">
        <f>(Parameters!$B$18*'6states'!S172^+Parameters!$B$19*Parameters!$B$25^'6states'!S172)^((1-'6states'!S172)/'6states'!S172)*Parameters!$B$18*Parameters!$B$26^('6states'!S172-1)</f>
        <v>0.30860615328227603</v>
      </c>
      <c r="AW172">
        <f t="shared" si="129"/>
        <v>0.17089497687040256</v>
      </c>
      <c r="AX172">
        <f t="shared" si="130"/>
        <v>0.12483836755941979</v>
      </c>
      <c r="AY172">
        <f t="shared" si="131"/>
        <v>0.19257853457208662</v>
      </c>
      <c r="AZ172">
        <f>(1/$S172-1/Parameters!$B$13) * LN(Parameters!$B$18) / A172</f>
        <v>5.8078176041037799E-3</v>
      </c>
    </row>
    <row r="173" spans="1:52" x14ac:dyDescent="0.25">
      <c r="A173">
        <f>A172+Parameters!$B$71</f>
        <v>169</v>
      </c>
      <c r="B173" s="9">
        <f t="shared" si="114"/>
        <v>-2.9568713141259393E-6</v>
      </c>
      <c r="C173" s="9">
        <f t="shared" si="140"/>
        <v>9.0949993792235756E-2</v>
      </c>
      <c r="D173" s="9">
        <f t="shared" si="141"/>
        <v>0.22597556464516125</v>
      </c>
      <c r="E173" s="7">
        <f>MAX((1-Parameters!$B$4)^Parameters!B$71*E172 + B172*Parameters!B$71 - IF(B172&gt;0,Parameters!$B$5,0)*B172^2/E172*Parameters!B$71, 0.0001)</f>
        <v>1E-4</v>
      </c>
      <c r="F173" s="7">
        <f>(1-Parameters!$B$4)^Parameters!B$71*F172+C172*Parameters!B$71-Parameters!$B$5*C172^2/F172*Parameters!B$71</f>
        <v>1.3487590927753124</v>
      </c>
      <c r="G173" s="7">
        <f>(1-Parameters!$B$4)^Parameters!B$71*G172+D172*Parameters!B$71-Parameters!$B$5*D172^2/G172*Parameters!B$71</f>
        <v>3.3491421806603587</v>
      </c>
      <c r="H173" s="9">
        <f>MAX(H172 * (1-Parameters!$B$4) ^ Parameters!B$71 + (LN(1+EXP(Parameters!$B$21*(-B172+0.004)))/Parameters!$B$21 -0.004) * Parameters!B$71,0)</f>
        <v>1.3989055166618776E-2</v>
      </c>
      <c r="I173" s="23">
        <f>I172*(1+Parameters!$B$52)^Parameters!B$71</f>
        <v>13.311587478553719</v>
      </c>
      <c r="J173" s="23">
        <f>J172*(1+Parameters!$B$54)^Parameters!B$71</f>
        <v>256.33345927924313</v>
      </c>
      <c r="K173" s="23">
        <f>I173*J173*EXP(-Parameters!$B$43*'6states'!A173)*(Parameters!$B$38/Parameters!$B$39*('6states'!E173+'6states'!H173)/Parameters!$E$25*(EXP(-Parameters!$B$39*Parameters!$E$25*'6states'!H173/('6states'!E173+'6states'!H173))-EXP(-Parameters!$B$39*Parameters!$E$25))  +  Parameters!$B$40*'6states'!E173)</f>
        <v>5.0036255681064304E-2</v>
      </c>
      <c r="L173" s="8">
        <f>L172+K173*Parameters!B$71</f>
        <v>3314.2819909133273</v>
      </c>
      <c r="M173" s="7">
        <f>L173*Parameters!$B$46</f>
        <v>1.9885691945479962</v>
      </c>
      <c r="N173" s="9">
        <f>EXP(-Parameters!$B$47/2*M173^2)</f>
        <v>0.96103755202462482</v>
      </c>
      <c r="O173" s="8">
        <f>MAX((Parameters!$B$63 + Parameters!$B$31*'6states'!A173 - '6states'!L173 + Parameters!$B$48/Parameters!$B$46)/Parameters!B$63,1)</f>
        <v>160.5303601817335</v>
      </c>
      <c r="P173" s="59">
        <f>Parameters!B$62*EXP(-Parameters!B$61*A173)</f>
        <v>5.2153598994088947E-3</v>
      </c>
      <c r="Q173" s="59">
        <f>(1-Parameters!B$62)*O173^-Parameters!B$64</f>
        <v>0.30089452557057195</v>
      </c>
      <c r="R173" s="7">
        <f>Parameters!B$62*EXP(-Parameters!B$61*A173)+(1-Parameters!B$62)*O173^-Parameters!B$64</f>
        <v>0.30610988546998086</v>
      </c>
      <c r="S173" s="7">
        <f>1-R173/Parameters!$B$12</f>
        <v>0.84694505726500957</v>
      </c>
      <c r="T173" s="7">
        <f t="shared" si="119"/>
        <v>6.5336014775521942</v>
      </c>
      <c r="U173" s="7">
        <f>(Parameters!$B$19*(E173+Parameters!$B$20)^S173+Parameters!$B$18*F173^S173)^(1/S173)</f>
        <v>0.34462979653875264</v>
      </c>
      <c r="V173" s="7">
        <f>(Parameters!$B$10*G173^Parameters!$B$9+Parameters!$B$11*U173^Parameters!$B$9)^(Parameters!$B$7/Parameters!$B$9)*N173</f>
        <v>1.3453304623299713</v>
      </c>
      <c r="W173" s="7">
        <f>V173 - C173 - D173 - LN(1+EXP(Parameters!$B$21*B173))/Parameters!$B$21 - IF(B173&gt;0, 0,Parameters!$B$6*B173^2/E173)</f>
        <v>1.0260954542441005</v>
      </c>
      <c r="X173" s="7">
        <f>EXP(-Parameters!$B$56*A173)</f>
        <v>7.79334516839401E-2</v>
      </c>
      <c r="Y173" s="7">
        <f>IF(W173&gt;0,W173^(1-Parameters!$B$53)/(1-Parameters!$B$53)*X173*Parameters!$B$71,-10+W173*1000)</f>
        <v>-0.22066840199628301</v>
      </c>
      <c r="AA173" s="22">
        <f t="shared" si="122"/>
        <v>0</v>
      </c>
      <c r="AB173" s="22">
        <f t="shared" si="123"/>
        <v>1.0578747554473855E-6</v>
      </c>
      <c r="AC173" s="22">
        <f t="shared" si="124"/>
        <v>-1.4408869241228084E-6</v>
      </c>
      <c r="AD173" s="22">
        <f t="shared" si="135"/>
        <v>2.4901718307154427E-13</v>
      </c>
      <c r="AE173" s="22">
        <f t="shared" si="137"/>
        <v>0</v>
      </c>
      <c r="AF173" s="22">
        <f t="shared" si="138"/>
        <v>-6.551930252507443E-8</v>
      </c>
      <c r="AG173" s="22">
        <f t="shared" si="139"/>
        <v>8.9348299189828673E-8</v>
      </c>
      <c r="AH173" s="22">
        <f t="shared" si="136"/>
        <v>9.56703070264508E-16</v>
      </c>
      <c r="AI173" s="22"/>
      <c r="AM173" s="23">
        <f t="shared" si="115"/>
        <v>47.733527718154569</v>
      </c>
      <c r="AN173" s="23">
        <f t="shared" si="116"/>
        <v>0.34122052668759323</v>
      </c>
      <c r="AO173" s="23">
        <f t="shared" si="134"/>
        <v>1175.9476068719127</v>
      </c>
      <c r="AP173" s="25">
        <f t="shared" si="118"/>
        <v>4590.5436892509615</v>
      </c>
      <c r="AQ173" s="22">
        <f>-X173*V173*W173^(-Parameters!B$53)*Parameters!B$47*Parameters!B$46*M173</f>
        <v>-2.4284961647487811E-6</v>
      </c>
      <c r="AR173" s="7">
        <f>1000*EXP(-(Parameters!$B$55)*'6states'!A173)*AP173*Parameters!B$47*Parameters!B$46*M173</f>
        <v>0.29211960383389746</v>
      </c>
      <c r="AS173" s="59">
        <f>SUM(AR173:AR$204)*EXP(Parameters!$B$55*A173)</f>
        <v>4990.1766945136669</v>
      </c>
      <c r="AT173" s="39">
        <f t="shared" si="128"/>
        <v>0.2355723076523564</v>
      </c>
      <c r="AU173">
        <f>(1/$S173-1/Parameters!$B$13) * LN(Parameters!$B$18) / LN(O173)</f>
        <v>0.19218297556072858</v>
      </c>
      <c r="AV173">
        <f>(Parameters!$B$18*'6states'!S173^+Parameters!$B$19*Parameters!$B$25^'6states'!S173)^((1-'6states'!S173)/'6states'!S173)*Parameters!$B$18*Parameters!$B$26^('6states'!S173-1)</f>
        <v>0.30862338042156356</v>
      </c>
      <c r="AW173">
        <f t="shared" si="129"/>
        <v>0.1706823987993441</v>
      </c>
      <c r="AX173">
        <f t="shared" si="130"/>
        <v>0.12471968826716706</v>
      </c>
      <c r="AY173">
        <f t="shared" si="131"/>
        <v>0.19258817588824018</v>
      </c>
      <c r="AZ173">
        <f>(1/$S173-1/Parameters!$B$13) * LN(Parameters!$B$18) / A173</f>
        <v>5.7751360387633599E-3</v>
      </c>
    </row>
    <row r="174" spans="1:52" x14ac:dyDescent="0.25">
      <c r="A174">
        <f>A173+Parameters!$B$71</f>
        <v>170</v>
      </c>
      <c r="B174" s="9">
        <f t="shared" si="114"/>
        <v>-2.9568713141259393E-6</v>
      </c>
      <c r="C174" s="9">
        <f t="shared" si="140"/>
        <v>9.0949993792235756E-2</v>
      </c>
      <c r="D174" s="9">
        <f t="shared" si="141"/>
        <v>0.22597556464516125</v>
      </c>
      <c r="E174" s="7">
        <f>MAX((1-Parameters!$B$4)^Parameters!B$71*E173 + B173*Parameters!B$71 - IF(B173&gt;0,Parameters!$B$5,0)*B173^2/E173*Parameters!B$71, 0.0001)</f>
        <v>1E-4</v>
      </c>
      <c r="F174" s="7">
        <f>(1-Parameters!$B$4)^Parameters!B$71*F173+C173*Parameters!B$71-Parameters!$B$5*C173^2/F173*Parameters!B$71</f>
        <v>1.3487391679136687</v>
      </c>
      <c r="G174" s="7">
        <f>(1-Parameters!$B$4)^Parameters!B$71*G173+D173*Parameters!B$71-Parameters!$B$5*D173^2/G173*Parameters!B$71</f>
        <v>3.3492095274739229</v>
      </c>
      <c r="H174" s="9">
        <f>MAX(H173 * (1-Parameters!$B$4) ^ Parameters!B$71 + (LN(1+EXP(Parameters!$B$21*(-B173+0.004)))/Parameters!$B$21 -0.004) * Parameters!B$71,0)</f>
        <v>1.3989024483250045E-2</v>
      </c>
      <c r="I174" s="23">
        <f>I173*(1+Parameters!$B$52)^Parameters!B$71</f>
        <v>13.350191082241523</v>
      </c>
      <c r="J174" s="23">
        <f>J173*(1+Parameters!$B$54)^Parameters!B$71</f>
        <v>261.46012846482802</v>
      </c>
      <c r="K174" s="23">
        <f>I174*J174*EXP(-Parameters!$B$43*'6states'!A174)*(Parameters!$B$38/Parameters!$B$39*('6states'!E174+'6states'!H174)/Parameters!$E$25*(EXP(-Parameters!$B$39*Parameters!$E$25*'6states'!H174/('6states'!E174+'6states'!H174))-EXP(-Parameters!$B$39*Parameters!$E$25))  +  Parameters!$B$40*'6states'!E174)</f>
        <v>5.0675688898455383E-2</v>
      </c>
      <c r="L174" s="8">
        <f>L173+K174*Parameters!B$71</f>
        <v>3314.3326666022258</v>
      </c>
      <c r="M174" s="7">
        <f>L174*Parameters!$B$46</f>
        <v>1.9885995999613353</v>
      </c>
      <c r="N174" s="9">
        <f>EXP(-Parameters!$B$47/2*M174^2)</f>
        <v>0.96103638405623093</v>
      </c>
      <c r="O174" s="8">
        <f>MAX((Parameters!$B$63 + Parameters!$B$31*'6states'!A174 - '6states'!L174 + Parameters!$B$48/Parameters!$B$46)/Parameters!B$63,1)</f>
        <v>161.59334666795547</v>
      </c>
      <c r="P174" s="59">
        <f>Parameters!B$62*EXP(-Parameters!B$61*A174)</f>
        <v>5.0764291866848815E-3</v>
      </c>
      <c r="Q174" s="59">
        <f>(1-Parameters!B$62)*O174^-Parameters!B$64</f>
        <v>0.30069600404370178</v>
      </c>
      <c r="R174" s="7">
        <f>Parameters!B$62*EXP(-Parameters!B$61*A174)+(1-Parameters!B$62)*O174^-Parameters!B$64</f>
        <v>0.30577243323038666</v>
      </c>
      <c r="S174" s="7">
        <f>1-R174/Parameters!$B$12</f>
        <v>0.8471137833848067</v>
      </c>
      <c r="T174" s="7">
        <f t="shared" si="119"/>
        <v>6.5408119982257675</v>
      </c>
      <c r="U174" s="7">
        <f>(Parameters!$B$19*(E174+Parameters!$B$20)^S174+Parameters!$B$18*F174^S174)^(1/S174)</f>
        <v>0.34470679188815562</v>
      </c>
      <c r="V174" s="7">
        <f>(Parameters!$B$10*G174^Parameters!$B$9+Parameters!$B$11*U174^Parameters!$B$9)^(Parameters!$B$7/Parameters!$B$9)*N174</f>
        <v>1.3453611522458591</v>
      </c>
      <c r="W174" s="7">
        <f>V174 - C174 - D174 - LN(1+EXP(Parameters!$B$21*B174))/Parameters!$B$21 - IF(B174&gt;0, 0,Parameters!$B$6*B174^2/E174)</f>
        <v>1.0261261441599883</v>
      </c>
      <c r="X174" s="7">
        <f>EXP(-Parameters!$B$56*A174)</f>
        <v>7.6765496814806045E-2</v>
      </c>
      <c r="Y174" s="7">
        <f>IF(W174&gt;0,W174^(1-Parameters!$B$53)/(1-Parameters!$B$53)*X174*Parameters!$B$71,-10+W174*1000)</f>
        <v>-0.21735906492196386</v>
      </c>
      <c r="AA174" s="22">
        <f t="shared" si="122"/>
        <v>0</v>
      </c>
      <c r="AB174" s="22">
        <f t="shared" si="123"/>
        <v>9.9617498704185348E-7</v>
      </c>
      <c r="AC174" s="22">
        <f t="shared" si="124"/>
        <v>-1.3567587455881602E-6</v>
      </c>
      <c r="AD174" s="22">
        <f t="shared" si="135"/>
        <v>2.174888504015425E-13</v>
      </c>
      <c r="AE174" s="22">
        <f t="shared" si="137"/>
        <v>0</v>
      </c>
      <c r="AF174" s="22">
        <f t="shared" si="138"/>
        <v>-6.1699768405532041E-8</v>
      </c>
      <c r="AG174" s="22">
        <f t="shared" si="139"/>
        <v>8.4128178534648157E-8</v>
      </c>
      <c r="AH174" s="22">
        <f t="shared" si="136"/>
        <v>8.3554728280717113E-16</v>
      </c>
      <c r="AI174" s="22"/>
      <c r="AM174" s="23">
        <f t="shared" si="115"/>
        <v>48.829286945899966</v>
      </c>
      <c r="AN174" s="23">
        <f t="shared" si="116"/>
        <v>0.34905426753928698</v>
      </c>
      <c r="AO174" s="23">
        <f t="shared" si="134"/>
        <v>1203.213767583376</v>
      </c>
      <c r="AP174" s="25">
        <f t="shared" si="118"/>
        <v>4696.0405157298947</v>
      </c>
      <c r="AQ174" s="22">
        <f>-X174*V174*W174^(-Parameters!B$53)*Parameters!B$47*Parameters!B$46*M174</f>
        <v>-2.3920959025454292E-6</v>
      </c>
      <c r="AR174" s="7">
        <f>1000*EXP(-(Parameters!$B$55)*'6states'!A174)*AP174*Parameters!B$47*Parameters!B$46*M174</f>
        <v>0.28853022684273055</v>
      </c>
      <c r="AS174" s="59">
        <f>SUM(AR174:AR$204)*EXP(Parameters!$B$55*A174)</f>
        <v>5054.4182574761544</v>
      </c>
      <c r="AT174" s="39">
        <f t="shared" si="128"/>
        <v>0.23556693385789587</v>
      </c>
      <c r="AU174">
        <f>(1/$S174-1/Parameters!$B$13) * LN(Parameters!$B$18) / LN(O174)</f>
        <v>0.19198863634717533</v>
      </c>
      <c r="AV174">
        <f>(Parameters!$B$18*'6states'!S174^+Parameters!$B$19*Parameters!$B$25^'6states'!S174)^((1-'6states'!S174)/'6states'!S174)*Parameters!$B$18*Parameters!$B$26^('6states'!S174-1)</f>
        <v>0.30864028435127555</v>
      </c>
      <c r="AW174">
        <f t="shared" si="129"/>
        <v>0.17047164228876738</v>
      </c>
      <c r="AX174">
        <f t="shared" si="130"/>
        <v>0.12460177509777337</v>
      </c>
      <c r="AY174">
        <f t="shared" si="131"/>
        <v>0.19259763620547854</v>
      </c>
      <c r="AZ174">
        <f>(1/$S174-1/Parameters!$B$13) * LN(Parameters!$B$18) / A174</f>
        <v>5.7428126224676954E-3</v>
      </c>
    </row>
    <row r="175" spans="1:52" x14ac:dyDescent="0.25">
      <c r="A175">
        <f>A174+Parameters!$B$71</f>
        <v>171</v>
      </c>
      <c r="B175" s="9">
        <f t="shared" si="114"/>
        <v>-2.9568713141259393E-6</v>
      </c>
      <c r="C175" s="9">
        <f t="shared" si="140"/>
        <v>9.0949993792235756E-2</v>
      </c>
      <c r="D175" s="9">
        <f t="shared" si="141"/>
        <v>0.22597556464516125</v>
      </c>
      <c r="E175" s="7">
        <f>MAX((1-Parameters!$B$4)^Parameters!B$71*E174 + B174*Parameters!B$71 - IF(B174&gt;0,Parameters!$B$5,0)*B174^2/E174*Parameters!B$71, 0.0001)</f>
        <v>1E-4</v>
      </c>
      <c r="F175" s="7">
        <f>(1-Parameters!$B$4)^Parameters!B$71*F174+C174*Parameters!B$71-Parameters!$B$5*C174^2/F174*Parameters!B$71</f>
        <v>1.3487204057237134</v>
      </c>
      <c r="G175" s="7">
        <f>(1-Parameters!$B$4)^Parameters!B$71*G174+D174*Parameters!B$71-Parameters!$B$5*D174^2/G174*Parameters!B$71</f>
        <v>3.3492729447672369</v>
      </c>
      <c r="H175" s="9">
        <f>MAX(H174 * (1-Parameters!$B$4) ^ Parameters!B$71 + (LN(1+EXP(Parameters!$B$21*(-B174+0.004)))/Parameters!$B$21 -0.004) * Parameters!B$71,0)</f>
        <v>1.3988995729865207E-2</v>
      </c>
      <c r="I175" s="23">
        <f>I174*(1+Parameters!$B$52)^Parameters!B$71</f>
        <v>13.388906636380021</v>
      </c>
      <c r="J175" s="23">
        <f>J174*(1+Parameters!$B$54)^Parameters!B$71</f>
        <v>266.68933103412456</v>
      </c>
      <c r="K175" s="23">
        <f>I175*J175*EXP(-Parameters!$B$43*'6states'!A175)*(Parameters!$B$38/Parameters!$B$39*('6states'!E175+'6states'!H175)/Parameters!$E$25*(EXP(-Parameters!$B$39*Parameters!$E$25*'6states'!H175/('6states'!E175+'6states'!H175))-EXP(-Parameters!$B$39*Parameters!$E$25))  +  Parameters!$B$40*'6states'!E175)</f>
        <v>5.1323293687318729E-2</v>
      </c>
      <c r="L175" s="8">
        <f>L174+K175*Parameters!B$71</f>
        <v>3314.3839898959131</v>
      </c>
      <c r="M175" s="7">
        <f>L175*Parameters!$B$46</f>
        <v>1.9886303939375478</v>
      </c>
      <c r="N175" s="9">
        <f>EXP(-Parameters!$B$47/2*M175^2)</f>
        <v>0.96103520114514907</v>
      </c>
      <c r="O175" s="8">
        <f>MAX((Parameters!$B$63 + Parameters!$B$31*'6states'!A175 - '6states'!L175 + Parameters!$B$48/Parameters!$B$46)/Parameters!B$63,1)</f>
        <v>162.65632020208176</v>
      </c>
      <c r="P175" s="59">
        <f>Parameters!B$62*EXP(-Parameters!B$61*A175)</f>
        <v>4.9411994156619747E-3</v>
      </c>
      <c r="Q175" s="59">
        <f>(1-Parameters!B$62)*O175^-Parameters!B$64</f>
        <v>0.30049891623735242</v>
      </c>
      <c r="R175" s="7">
        <f>Parameters!B$62*EXP(-Parameters!B$61*A175)+(1-Parameters!B$62)*O175^-Parameters!B$64</f>
        <v>0.30544011565301438</v>
      </c>
      <c r="S175" s="7">
        <f>1-R175/Parameters!$B$12</f>
        <v>0.84727994217349278</v>
      </c>
      <c r="T175" s="7">
        <f t="shared" si="119"/>
        <v>6.5479283745165837</v>
      </c>
      <c r="U175" s="7">
        <f>(Parameters!$B$19*(E175+Parameters!$B$20)^S175+Parameters!$B$18*F175^S175)^(1/S175)</f>
        <v>0.34478282144599448</v>
      </c>
      <c r="V175" s="7">
        <f>(Parameters!$B$10*G175^Parameters!$B$9+Parameters!$B$11*U175^Parameters!$B$9)^(Parameters!$B$7/Parameters!$B$9)*N175</f>
        <v>1.3453911347614114</v>
      </c>
      <c r="W175" s="7">
        <f>V175 - C175 - D175 - LN(1+EXP(Parameters!$B$21*B175))/Parameters!$B$21 - IF(B175&gt;0, 0,Parameters!$B$6*B175^2/E175)</f>
        <v>1.0261561266755406</v>
      </c>
      <c r="X175" s="7">
        <f>EXP(-Parameters!$B$56*A175)</f>
        <v>7.5615045579180543E-2</v>
      </c>
      <c r="Y175" s="7">
        <f>IF(W175&gt;0,W175^(1-Parameters!$B$53)/(1-Parameters!$B$53)*X175*Parameters!$B$71,-10+W175*1000)</f>
        <v>-0.21409940929631427</v>
      </c>
      <c r="AA175" s="22">
        <f t="shared" si="122"/>
        <v>0</v>
      </c>
      <c r="AB175" s="22">
        <f t="shared" si="123"/>
        <v>9.3807228331022063E-7</v>
      </c>
      <c r="AC175" s="22">
        <f t="shared" si="124"/>
        <v>-1.2775453429314521E-6</v>
      </c>
      <c r="AD175" s="22">
        <f t="shared" si="135"/>
        <v>1.8995268544944521E-13</v>
      </c>
      <c r="AE175" s="22">
        <f t="shared" si="137"/>
        <v>0</v>
      </c>
      <c r="AF175" s="22">
        <f t="shared" si="138"/>
        <v>-5.8102703731632843E-8</v>
      </c>
      <c r="AG175" s="22">
        <f t="shared" si="139"/>
        <v>7.9213402656708176E-8</v>
      </c>
      <c r="AH175" s="22">
        <f t="shared" si="136"/>
        <v>7.2973716318884539E-16</v>
      </c>
      <c r="AI175" s="22"/>
      <c r="AM175" s="23">
        <f t="shared" si="115"/>
        <v>49.950207046509334</v>
      </c>
      <c r="AN175" s="23">
        <f t="shared" si="116"/>
        <v>0.35706785541345387</v>
      </c>
      <c r="AO175" s="23">
        <f t="shared" si="134"/>
        <v>1231.1086263712104</v>
      </c>
      <c r="AP175" s="25">
        <f t="shared" si="118"/>
        <v>4803.9592718153026</v>
      </c>
      <c r="AQ175" s="22">
        <f>-X175*V175*W175^(-Parameters!B$53)*Parameters!B$47*Parameters!B$46*M175</f>
        <v>-2.3562426522662891E-6</v>
      </c>
      <c r="AR175" s="7">
        <f>1000*EXP(-(Parameters!$B$55)*'6states'!A175)*AP175*Parameters!B$47*Parameters!B$46*M175</f>
        <v>0.28498485942262586</v>
      </c>
      <c r="AS175" s="59">
        <f>SUM(AR175:AR$204)*EXP(Parameters!$B$55*A175)</f>
        <v>5118.3325345595676</v>
      </c>
      <c r="AT175" s="39">
        <f t="shared" si="128"/>
        <v>0.23556168416576137</v>
      </c>
      <c r="AU175">
        <f>(1/$S175-1/Parameters!$B$13) * LN(Parameters!$B$18) / LN(O175)</f>
        <v>0.19179557533881261</v>
      </c>
      <c r="AV175">
        <f>(Parameters!$B$18*'6states'!S175^+Parameters!$B$19*Parameters!$B$25^'6states'!S175)^((1-'6states'!S175)/'6states'!S175)*Parameters!$B$18*Parameters!$B$26^('6states'!S175-1)</f>
        <v>0.30865687388227075</v>
      </c>
      <c r="AW175">
        <f t="shared" si="129"/>
        <v>0.17026268119398769</v>
      </c>
      <c r="AX175">
        <f t="shared" si="130"/>
        <v>0.12448462173698038</v>
      </c>
      <c r="AY175">
        <f t="shared" si="131"/>
        <v>0.19260692046109007</v>
      </c>
      <c r="AZ175">
        <f>(1/$S175-1/Parameters!$B$13) * LN(Parameters!$B$18) / A175</f>
        <v>5.7108416912803927E-3</v>
      </c>
    </row>
    <row r="176" spans="1:52" x14ac:dyDescent="0.25">
      <c r="A176">
        <f>A175+Parameters!$B$71</f>
        <v>172</v>
      </c>
      <c r="B176" s="9">
        <f t="shared" si="114"/>
        <v>-2.9568713141259393E-6</v>
      </c>
      <c r="C176" s="9">
        <f t="shared" si="140"/>
        <v>9.0949993792235756E-2</v>
      </c>
      <c r="D176" s="9">
        <f t="shared" si="141"/>
        <v>0.22597556464516125</v>
      </c>
      <c r="E176" s="7">
        <f>MAX((1-Parameters!$B$4)^Parameters!B$71*E175 + B175*Parameters!B$71 - IF(B175&gt;0,Parameters!$B$5,0)*B175^2/E175*Parameters!B$71, 0.0001)</f>
        <v>1E-4</v>
      </c>
      <c r="F176" s="7">
        <f>(1-Parameters!$B$4)^Parameters!B$71*F175+C175*Parameters!B$71-Parameters!$B$5*C175^2/F175*Parameters!B$71</f>
        <v>1.348702738357838</v>
      </c>
      <c r="G176" s="7">
        <f>(1-Parameters!$B$4)^Parameters!B$71*G175+D175*Parameters!B$71-Parameters!$B$5*D175^2/G175*Parameters!B$71</f>
        <v>3.349332661806832</v>
      </c>
      <c r="H176" s="9">
        <f>MAX(H175 * (1-Parameters!$B$4) ^ Parameters!B$71 + (LN(1+EXP(Parameters!$B$21*(-B175+0.004)))/Parameters!$B$21 -0.004) * Parameters!B$71,0)</f>
        <v>1.3988968785068275E-2</v>
      </c>
      <c r="I176" s="23">
        <f>I175*(1+Parameters!$B$52)^Parameters!B$71</f>
        <v>13.427734465625521</v>
      </c>
      <c r="J176" s="23">
        <f>J175*(1+Parameters!$B$54)^Parameters!B$71</f>
        <v>272.02311765480704</v>
      </c>
      <c r="K176" s="23">
        <f>I176*J176*EXP(-Parameters!$B$43*'6states'!A176)*(Parameters!$B$38/Parameters!$B$39*('6states'!E176+'6states'!H176)/Parameters!$E$25*(EXP(-Parameters!$B$39*Parameters!$E$25*'6states'!H176/('6states'!E176+'6states'!H176))-EXP(-Parameters!$B$39*Parameters!$E$25))  +  Parameters!$B$40*'6states'!E176)</f>
        <v>5.1979174475417111E-2</v>
      </c>
      <c r="L176" s="8">
        <f>L175+K176*Parameters!B$71</f>
        <v>3314.4359690703886</v>
      </c>
      <c r="M176" s="7">
        <f>L176*Parameters!$B$46</f>
        <v>1.988661581442233</v>
      </c>
      <c r="N176" s="9">
        <f>EXP(-Parameters!$B$47/2*M176^2)</f>
        <v>0.96103400309998988</v>
      </c>
      <c r="O176" s="8">
        <f>MAX((Parameters!$B$63 + Parameters!$B$31*'6states'!A176 - '6states'!L176 + Parameters!$B$48/Parameters!$B$46)/Parameters!B$63,1)</f>
        <v>163.71928061859222</v>
      </c>
      <c r="P176" s="59">
        <f>Parameters!B$62*EXP(-Parameters!B$61*A176)</f>
        <v>4.8095719978480667E-3</v>
      </c>
      <c r="Q176" s="59">
        <f>(1-Parameters!B$62)*O176^-Parameters!B$64</f>
        <v>0.30030324255745949</v>
      </c>
      <c r="R176" s="7">
        <f>Parameters!B$62*EXP(-Parameters!B$61*A176)+(1-Parameters!B$62)*O176^-Parameters!B$64</f>
        <v>0.30511281455530759</v>
      </c>
      <c r="S176" s="7">
        <f>1-R176/Parameters!$B$12</f>
        <v>0.84744359272234626</v>
      </c>
      <c r="T176" s="7">
        <f t="shared" si="119"/>
        <v>6.5549524785281088</v>
      </c>
      <c r="U176" s="7">
        <f>(Parameters!$B$19*(E176+Parameters!$B$20)^S176+Parameters!$B$18*F176^S176)^(1/S176)</f>
        <v>0.34485789759992208</v>
      </c>
      <c r="V176" s="7">
        <f>(Parameters!$B$10*G176^Parameters!$B$9+Parameters!$B$11*U176^Parameters!$B$9)^(Parameters!$B$7/Parameters!$B$9)*N176</f>
        <v>1.34542043390831</v>
      </c>
      <c r="W176" s="7">
        <f>V176 - C176 - D176 - LN(1+EXP(Parameters!$B$21*B176))/Parameters!$B$21 - IF(B176&gt;0, 0,Parameters!$B$6*B176^2/E176)</f>
        <v>1.0261854258224392</v>
      </c>
      <c r="X176" s="7">
        <f>EXP(-Parameters!$B$56*A176)</f>
        <v>7.4481835657693174E-2</v>
      </c>
      <c r="Y176" s="7">
        <f>IF(W176&gt;0,W176^(1-Parameters!$B$53)/(1-Parameters!$B$53)*X176*Parameters!$B$71,-10+W176*1000)</f>
        <v>-0.21088868676832939</v>
      </c>
      <c r="AA176" s="22">
        <f t="shared" si="122"/>
        <v>0</v>
      </c>
      <c r="AB176" s="22">
        <f t="shared" si="123"/>
        <v>8.8335711041775955E-7</v>
      </c>
      <c r="AC176" s="22">
        <f t="shared" si="124"/>
        <v>-1.2029592731249705E-6</v>
      </c>
      <c r="AD176" s="22">
        <f t="shared" si="135"/>
        <v>1.6590313458509403E-13</v>
      </c>
      <c r="AE176" s="22">
        <f t="shared" si="137"/>
        <v>0</v>
      </c>
      <c r="AF176" s="22">
        <f t="shared" si="138"/>
        <v>-5.4715172892461084E-8</v>
      </c>
      <c r="AG176" s="22">
        <f t="shared" si="139"/>
        <v>7.4586069806481525E-8</v>
      </c>
      <c r="AH176" s="22">
        <f t="shared" si="136"/>
        <v>6.3732855133560719E-16</v>
      </c>
      <c r="AI176" s="22"/>
      <c r="AM176" s="23">
        <f t="shared" si="115"/>
        <v>51.096865479857613</v>
      </c>
      <c r="AN176" s="23">
        <f t="shared" si="116"/>
        <v>0.36526541923803585</v>
      </c>
      <c r="AO176" s="23">
        <f t="shared" si="134"/>
        <v>1259.6466454438319</v>
      </c>
      <c r="AP176" s="25">
        <f t="shared" si="118"/>
        <v>4914.3555884293901</v>
      </c>
      <c r="AQ176" s="22">
        <f>-X176*V176*W176^(-Parameters!B$53)*Parameters!B$47*Parameters!B$46*M176</f>
        <v>-2.3209281461736755E-6</v>
      </c>
      <c r="AR176" s="7">
        <f>1000*EXP(-(Parameters!$B$55)*'6states'!A176)*AP176*Parameters!B$47*Parameters!B$46*M176</f>
        <v>0.28148296886972968</v>
      </c>
      <c r="AS176" s="59">
        <f>SUM(AR176:AR$204)*EXP(Parameters!$B$55*A176)</f>
        <v>5181.8475707684875</v>
      </c>
      <c r="AT176" s="39">
        <f t="shared" si="128"/>
        <v>0.23555655435190234</v>
      </c>
      <c r="AU176">
        <f>(1/$S176-1/Parameters!$B$13) * LN(Parameters!$B$18) / LN(O176)</f>
        <v>0.19160378169360212</v>
      </c>
      <c r="AV176">
        <f>(Parameters!$B$18*'6states'!S176^+Parameters!$B$19*Parameters!$B$25^'6states'!S176)^((1-'6states'!S176)/'6states'!S176)*Parameters!$B$18*Parameters!$B$26^('6states'!S176-1)</f>
        <v>0.30867315754435198</v>
      </c>
      <c r="AW176">
        <f t="shared" si="129"/>
        <v>0.17005548988693228</v>
      </c>
      <c r="AX176">
        <f t="shared" si="130"/>
        <v>0.12436822191359342</v>
      </c>
      <c r="AY176">
        <f t="shared" si="131"/>
        <v>0.19261603343472955</v>
      </c>
      <c r="AZ176">
        <f>(1/$S176-1/Parameters!$B$13) * LN(Parameters!$B$18) / A176</f>
        <v>5.6792176966133966E-3</v>
      </c>
    </row>
    <row r="177" spans="1:52" x14ac:dyDescent="0.25">
      <c r="A177">
        <f>A176+Parameters!$B$71</f>
        <v>173</v>
      </c>
      <c r="B177" s="9">
        <f t="shared" si="114"/>
        <v>-2.9568713141259393E-6</v>
      </c>
      <c r="C177" s="9">
        <f t="shared" si="140"/>
        <v>9.0949993792235756E-2</v>
      </c>
      <c r="D177" s="9">
        <f t="shared" si="141"/>
        <v>0.22597556464516125</v>
      </c>
      <c r="E177" s="7">
        <f>MAX((1-Parameters!$B$4)^Parameters!B$71*E176 + B176*Parameters!B$71 - IF(B176&gt;0,Parameters!$B$5,0)*B176^2/E176*Parameters!B$71, 0.0001)</f>
        <v>1E-4</v>
      </c>
      <c r="F177" s="7">
        <f>(1-Parameters!$B$4)^Parameters!B$71*F176+C176*Parameters!B$71-Parameters!$B$5*C176^2/F176*Parameters!B$71</f>
        <v>1.3486861019279526</v>
      </c>
      <c r="G177" s="7">
        <f>(1-Parameters!$B$4)^Parameters!B$71*G176+D176*Parameters!B$71-Parameters!$B$5*D176^2/G176*Parameters!B$71</f>
        <v>3.3493888944840373</v>
      </c>
      <c r="H177" s="9">
        <f>MAX(H176 * (1-Parameters!$B$4) ^ Parameters!B$71 + (LN(1+EXP(Parameters!$B$21*(-B176+0.004)))/Parameters!$B$21 -0.004) * Parameters!B$71,0)</f>
        <v>1.3988943535099071E-2</v>
      </c>
      <c r="I177" s="23">
        <f>I176*(1+Parameters!$B$52)^Parameters!B$71</f>
        <v>13.466674895575833</v>
      </c>
      <c r="J177" s="23">
        <f>J176*(1+Parameters!$B$54)^Parameters!B$71</f>
        <v>277.4635800079032</v>
      </c>
      <c r="K177" s="23">
        <f>I177*J177*EXP(-Parameters!$B$43*'6states'!A177)*(Parameters!$B$38/Parameters!$B$39*('6states'!E177+'6states'!H177)/Parameters!$E$25*(EXP(-Parameters!$B$39*Parameters!$E$25*'6states'!H177/('6states'!E177+'6states'!H177))-EXP(-Parameters!$B$39*Parameters!$E$25))  +  Parameters!$B$40*'6states'!E177)</f>
        <v>5.2643437025037237E-2</v>
      </c>
      <c r="L177" s="8">
        <f>L176+K177*Parameters!B$71</f>
        <v>3314.4886125074136</v>
      </c>
      <c r="M177" s="7">
        <f>L177*Parameters!$B$46</f>
        <v>1.9886931675044479</v>
      </c>
      <c r="N177" s="9">
        <f>EXP(-Parameters!$B$47/2*M177^2)</f>
        <v>0.96103278972690687</v>
      </c>
      <c r="O177" s="8">
        <f>MAX((Parameters!$B$63 + Parameters!$B$31*'6states'!A177 - '6states'!L177 + Parameters!$B$48/Parameters!$B$46)/Parameters!B$63,1)</f>
        <v>164.78222774985173</v>
      </c>
      <c r="P177" s="59">
        <f>Parameters!B$62*EXP(-Parameters!B$61*A177)</f>
        <v>4.6814509710260783E-3</v>
      </c>
      <c r="Q177" s="59">
        <f>(1-Parameters!B$62)*O177^-Parameters!B$64</f>
        <v>0.30010896380343344</v>
      </c>
      <c r="R177" s="7">
        <f>Parameters!B$62*EXP(-Parameters!B$61*A177)+(1-Parameters!B$62)*O177^-Parameters!B$64</f>
        <v>0.30479041477445951</v>
      </c>
      <c r="S177" s="7">
        <f>1-R177/Parameters!$B$12</f>
        <v>0.84760479261277022</v>
      </c>
      <c r="T177" s="7">
        <f t="shared" si="119"/>
        <v>6.5618861455337125</v>
      </c>
      <c r="U177" s="7">
        <f>(Parameters!$B$19*(E177+Parameters!$B$20)^S177+Parameters!$B$18*F177^S177)^(1/S177)</f>
        <v>0.34493203294921948</v>
      </c>
      <c r="V177" s="7">
        <f>(Parameters!$B$10*G177^Parameters!$B$9+Parameters!$B$11*U177^Parameters!$B$9)^(Parameters!$B$7/Parameters!$B$9)*N177</f>
        <v>1.3454490726496855</v>
      </c>
      <c r="W177" s="7">
        <f>V177 - C177 - D177 - LN(1+EXP(Parameters!$B$21*B177))/Parameters!$B$21 - IF(B177&gt;0, 0,Parameters!$B$6*B177^2/E177)</f>
        <v>1.0262140645638147</v>
      </c>
      <c r="X177" s="7">
        <f>EXP(-Parameters!$B$56*A177)</f>
        <v>7.3365608662240192E-2</v>
      </c>
      <c r="Y177" s="7">
        <f>IF(W177&gt;0,W177^(1-Parameters!$B$53)/(1-Parameters!$B$53)*X177*Parameters!$B$71,-10+W177*1000)</f>
        <v>-0.20772616039882863</v>
      </c>
      <c r="AA177" s="22">
        <f t="shared" si="122"/>
        <v>0</v>
      </c>
      <c r="AB177" s="22">
        <f t="shared" si="123"/>
        <v>8.3183212058746125E-7</v>
      </c>
      <c r="AC177" s="22">
        <f t="shared" si="124"/>
        <v>-1.1327299408725455E-6</v>
      </c>
      <c r="AD177" s="22">
        <f t="shared" si="135"/>
        <v>1.4489867616933525E-13</v>
      </c>
      <c r="AE177" s="22">
        <f t="shared" si="137"/>
        <v>0</v>
      </c>
      <c r="AF177" s="22">
        <f t="shared" si="138"/>
        <v>-5.1524989830298296E-8</v>
      </c>
      <c r="AG177" s="22">
        <f t="shared" si="139"/>
        <v>7.0229332252425003E-8</v>
      </c>
      <c r="AH177" s="22">
        <f t="shared" si="136"/>
        <v>5.5662367600701348E-16</v>
      </c>
      <c r="AI177" s="22"/>
      <c r="AM177" s="23">
        <f t="shared" si="115"/>
        <v>52.269852970735606</v>
      </c>
      <c r="AN177" s="23">
        <f t="shared" si="116"/>
        <v>0.37365118273290271</v>
      </c>
      <c r="AO177" s="23">
        <f t="shared" si="134"/>
        <v>1288.8426207394041</v>
      </c>
      <c r="AP177" s="25">
        <f t="shared" si="118"/>
        <v>5027.2863730244208</v>
      </c>
      <c r="AQ177" s="22">
        <f>-X177*V177*W177^(-Parameters!B$53)*Parameters!B$47*Parameters!B$46*M177</f>
        <v>-2.2861442440675111E-6</v>
      </c>
      <c r="AR177" s="7">
        <f>1000*EXP(-(Parameters!$B$55)*'6states'!A177)*AP177*Parameters!B$47*Parameters!B$46*M177</f>
        <v>0.27802402855885172</v>
      </c>
      <c r="AS177" s="59">
        <f>SUM(AR177:AR$204)*EXP(Parameters!$B$55*A177)</f>
        <v>5244.8874540952856</v>
      </c>
      <c r="AT177" s="39">
        <f t="shared" si="128"/>
        <v>0.23555154038045109</v>
      </c>
      <c r="AU177">
        <f>(1/$S177-1/Parameters!$B$13) * LN(Parameters!$B$18) / LN(O177)</f>
        <v>0.19141324464932385</v>
      </c>
      <c r="AV177">
        <f>(Parameters!$B$18*'6states'!S177^+Parameters!$B$19*Parameters!$B$25^'6states'!S177)^((1-'6states'!S177)/'6states'!S177)*Parameters!$B$18*Parameters!$B$26^('6states'!S177-1)</f>
        <v>0.30868914359629696</v>
      </c>
      <c r="AW177">
        <f t="shared" si="129"/>
        <v>0.16985004324314951</v>
      </c>
      <c r="AX177">
        <f t="shared" si="130"/>
        <v>0.12425256939941309</v>
      </c>
      <c r="AY177">
        <f t="shared" si="131"/>
        <v>0.19262497975405202</v>
      </c>
      <c r="AZ177">
        <f>(1/$S177-1/Parameters!$B$13) * LN(Parameters!$B$18) / A177</f>
        <v>5.6479352023548713E-3</v>
      </c>
    </row>
    <row r="178" spans="1:52" x14ac:dyDescent="0.25">
      <c r="A178">
        <f>A177+Parameters!$B$71</f>
        <v>174</v>
      </c>
      <c r="B178" s="9">
        <f t="shared" si="114"/>
        <v>-2.9568713141259393E-6</v>
      </c>
      <c r="C178" s="9">
        <f t="shared" si="140"/>
        <v>9.0949993792235756E-2</v>
      </c>
      <c r="D178" s="9">
        <f t="shared" si="141"/>
        <v>0.22597556464516125</v>
      </c>
      <c r="E178" s="7">
        <f>MAX((1-Parameters!$B$4)^Parameters!B$71*E177 + B177*Parameters!B$71 - IF(B177&gt;0,Parameters!$B$5,0)*B177^2/E177*Parameters!B$71, 0.0001)</f>
        <v>1E-4</v>
      </c>
      <c r="F178" s="7">
        <f>(1-Parameters!$B$4)^Parameters!B$71*F177+C177*Parameters!B$71-Parameters!$B$5*C177^2/F177*Parameters!B$71</f>
        <v>1.3486704362743804</v>
      </c>
      <c r="G178" s="7">
        <f>(1-Parameters!$B$4)^Parameters!B$71*G177+D177*Parameters!B$71-Parameters!$B$5*D177^2/G177*Parameters!B$71</f>
        <v>3.3494418460951345</v>
      </c>
      <c r="H178" s="9">
        <f>MAX(H177 * (1-Parameters!$B$4) ^ Parameters!B$71 + (LN(1+EXP(Parameters!$B$21*(-B177+0.004)))/Parameters!$B$21 -0.004) * Parameters!B$71,0)</f>
        <v>1.3988919873352929E-2</v>
      </c>
      <c r="I178" s="23">
        <f>I177*(1+Parameters!$B$52)^Parameters!B$71</f>
        <v>13.505728252773002</v>
      </c>
      <c r="J178" s="23">
        <f>J177*(1+Parameters!$B$54)^Parameters!B$71</f>
        <v>283.01285160806128</v>
      </c>
      <c r="K178" s="23">
        <f>I178*J178*EXP(-Parameters!$B$43*'6states'!A178)*(Parameters!$B$38/Parameters!$B$39*('6states'!E178+'6states'!H178)/Parameters!$E$25*(EXP(-Parameters!$B$39*Parameters!$E$25*'6states'!H178/('6states'!E178+'6states'!H178))-EXP(-Parameters!$B$39*Parameters!$E$25))  +  Parameters!$B$40*'6states'!E178)</f>
        <v>5.3316188450044093E-2</v>
      </c>
      <c r="L178" s="8">
        <f>L177+K178*Parameters!B$71</f>
        <v>3314.5419286958636</v>
      </c>
      <c r="M178" s="7">
        <f>L178*Parameters!$B$46</f>
        <v>1.988725157217518</v>
      </c>
      <c r="N178" s="9">
        <f>EXP(-Parameters!$B$47/2*M178^2)</f>
        <v>0.96103156082956509</v>
      </c>
      <c r="O178" s="8">
        <f>MAX((Parameters!$B$63 + Parameters!$B$31*'6states'!A178 - '6states'!L178 + Parameters!$B$48/Parameters!$B$46)/Parameters!B$63,1)</f>
        <v>165.84516142608274</v>
      </c>
      <c r="P178" s="59">
        <f>Parameters!B$62*EXP(-Parameters!B$61*A178)</f>
        <v>4.5567429292932594E-3</v>
      </c>
      <c r="Q178" s="59">
        <f>(1-Parameters!B$62)*O178^-Parameters!B$64</f>
        <v>0.29991606115778735</v>
      </c>
      <c r="R178" s="7">
        <f>Parameters!B$62*EXP(-Parameters!B$61*A178)+(1-Parameters!B$62)*O178^-Parameters!B$64</f>
        <v>0.30447280408708061</v>
      </c>
      <c r="S178" s="7">
        <f>1-R178/Parameters!$B$12</f>
        <v>0.84776359795645972</v>
      </c>
      <c r="T178" s="7">
        <f t="shared" si="119"/>
        <v>6.5687311745189279</v>
      </c>
      <c r="U178" s="7">
        <f>(Parameters!$B$19*(E178+Parameters!$B$20)^S178+Parameters!$B$18*F178^S178)^(1/S178)</f>
        <v>0.34500524026973267</v>
      </c>
      <c r="V178" s="7">
        <f>(Parameters!$B$10*G178^Parameters!$B$9+Parameters!$B$11*U178^Parameters!$B$9)^(Parameters!$B$7/Parameters!$B$9)*N178</f>
        <v>1.3454770729327816</v>
      </c>
      <c r="W178" s="7">
        <f>V178 - C178 - D178 - LN(1+EXP(Parameters!$B$21*B178))/Parameters!$B$21 - IF(B178&gt;0, 0,Parameters!$B$6*B178^2/E178)</f>
        <v>1.0262420648469108</v>
      </c>
      <c r="X178" s="7">
        <f>EXP(-Parameters!$B$56*A178)</f>
        <v>7.226611007706836E-2</v>
      </c>
      <c r="Y178" s="7">
        <f>IF(W178&gt;0,W178^(1-Parameters!$B$53)/(1-Parameters!$B$53)*X178*Parameters!$B$71,-10+W178*1000)</f>
        <v>-0.20461110447801759</v>
      </c>
      <c r="AA178" s="22">
        <f t="shared" si="122"/>
        <v>0</v>
      </c>
      <c r="AB178" s="22">
        <f t="shared" si="123"/>
        <v>7.8331144555410237E-7</v>
      </c>
      <c r="AC178" s="22">
        <f t="shared" si="124"/>
        <v>-1.0666026068612E-6</v>
      </c>
      <c r="AD178" s="22">
        <f t="shared" si="135"/>
        <v>1.2655370854376896E-13</v>
      </c>
      <c r="AE178" s="22">
        <f t="shared" si="137"/>
        <v>0</v>
      </c>
      <c r="AF178" s="22">
        <f t="shared" si="138"/>
        <v>-4.8520675033358884E-8</v>
      </c>
      <c r="AG178" s="22">
        <f t="shared" si="139"/>
        <v>6.6127334011345518E-8</v>
      </c>
      <c r="AH178" s="22">
        <f t="shared" si="136"/>
        <v>4.8613991889104208E-16</v>
      </c>
      <c r="AI178" s="22"/>
      <c r="AM178" s="23">
        <f t="shared" si="115"/>
        <v>53.46977381307169</v>
      </c>
      <c r="AN178" s="23">
        <f t="shared" si="116"/>
        <v>0.38222946658608464</v>
      </c>
      <c r="AO178" s="23">
        <f t="shared" si="134"/>
        <v>1318.7116895770389</v>
      </c>
      <c r="AP178" s="25">
        <f t="shared" si="118"/>
        <v>5142.8098389090364</v>
      </c>
      <c r="AQ178" s="22">
        <f>-X178*V178*W178^(-Parameters!B$53)*Parameters!B$47*Parameters!B$46*M178</f>
        <v>-2.2518829311629052E-6</v>
      </c>
      <c r="AR178" s="7">
        <f>1000*EXP(-(Parameters!$B$55)*'6states'!A178)*AP178*Parameters!B$47*Parameters!B$46*M178</f>
        <v>0.27460751789601112</v>
      </c>
      <c r="AS178" s="59">
        <f>SUM(AR178:AR$204)*EXP(Parameters!$B$55*A178)</f>
        <v>5307.3721422628569</v>
      </c>
      <c r="AT178" s="39">
        <f t="shared" si="128"/>
        <v>0.23554663839442169</v>
      </c>
      <c r="AU178">
        <f>(1/$S178-1/Parameters!$B$13) * LN(Parameters!$B$18) / LN(O178)</f>
        <v>0.19122395352333954</v>
      </c>
      <c r="AV178">
        <f>(Parameters!$B$18*'6states'!S178^+Parameters!$B$19*Parameters!$B$25^'6states'!S178)^((1-'6states'!S178)/'6states'!S178)*Parameters!$B$18*Parameters!$B$26^('6states'!S178-1)</f>
        <v>0.30870484003549298</v>
      </c>
      <c r="AW178">
        <f t="shared" si="129"/>
        <v>0.16964631662921884</v>
      </c>
      <c r="AX178">
        <f t="shared" si="130"/>
        <v>0.12413765800917953</v>
      </c>
      <c r="AY178">
        <f t="shared" si="131"/>
        <v>0.19263376390012199</v>
      </c>
      <c r="AZ178">
        <f>(1/$S178-1/Parameters!$B$13) * LN(Parameters!$B$18) / A178</f>
        <v>5.6169888820821797E-3</v>
      </c>
    </row>
    <row r="179" spans="1:52" x14ac:dyDescent="0.25">
      <c r="A179">
        <f>A178+Parameters!$B$71</f>
        <v>175</v>
      </c>
      <c r="B179" s="9">
        <f t="shared" si="114"/>
        <v>-2.9568713141259393E-6</v>
      </c>
      <c r="C179" s="9">
        <f t="shared" si="140"/>
        <v>9.0949993792235756E-2</v>
      </c>
      <c r="D179" s="9">
        <f t="shared" si="141"/>
        <v>0.22597556464516125</v>
      </c>
      <c r="E179" s="7">
        <f>MAX((1-Parameters!$B$4)^Parameters!B$71*E178 + B178*Parameters!B$71 - IF(B178&gt;0,Parameters!$B$5,0)*B178^2/E178*Parameters!B$71, 0.0001)</f>
        <v>1E-4</v>
      </c>
      <c r="F179" s="7">
        <f>(1-Parameters!$B$4)^Parameters!B$71*F178+C178*Parameters!B$71-Parameters!$B$5*C178^2/F178*Parameters!B$71</f>
        <v>1.3486556847482469</v>
      </c>
      <c r="G179" s="7">
        <f>(1-Parameters!$B$4)^Parameters!B$71*G178+D178*Parameters!B$71-Parameters!$B$5*D178^2/G178*Parameters!B$71</f>
        <v>3.34949170807602</v>
      </c>
      <c r="H179" s="9">
        <f>MAX(H178 * (1-Parameters!$B$4) ^ Parameters!B$71 + (LN(1+EXP(Parameters!$B$21*(-B178+0.004)))/Parameters!$B$21 -0.004) * Parameters!B$71,0)</f>
        <v>1.3988897699930619E-2</v>
      </c>
      <c r="I179" s="23">
        <f>I178*(1+Parameters!$B$52)^Parameters!B$71</f>
        <v>13.544894864706043</v>
      </c>
      <c r="J179" s="23">
        <f>J178*(1+Parameters!$B$54)^Parameters!B$71</f>
        <v>288.67310864022249</v>
      </c>
      <c r="K179" s="23">
        <f>I179*J179*EXP(-Parameters!$B$43*'6states'!A179)*(Parameters!$B$38/Parameters!$B$39*('6states'!E179+'6states'!H179)/Parameters!$E$25*(EXP(-Parameters!$B$39*Parameters!$E$25*'6states'!H179/('6states'!E179+'6states'!H179))-EXP(-Parameters!$B$39*Parameters!$E$25))  +  Parameters!$B$40*'6states'!E179)</f>
        <v>5.3997537233153432E-2</v>
      </c>
      <c r="L179" s="8">
        <f>L178+K179*Parameters!B$71</f>
        <v>3314.5959262330966</v>
      </c>
      <c r="M179" s="7">
        <f>L179*Parameters!$B$46</f>
        <v>1.9887575557398578</v>
      </c>
      <c r="N179" s="9">
        <f>EXP(-Parameters!$B$47/2*M179^2)</f>
        <v>0.96103031620910884</v>
      </c>
      <c r="O179" s="8">
        <f>MAX((Parameters!$B$63 + Parameters!$B$31*'6states'!A179 - '6states'!L179 + Parameters!$B$48/Parameters!$B$46)/Parameters!B$63,1)</f>
        <v>166.90808147533807</v>
      </c>
      <c r="P179" s="59">
        <f>Parameters!B$62*EXP(-Parameters!B$61*A179)</f>
        <v>4.4353569549641291E-3</v>
      </c>
      <c r="Q179" s="59">
        <f>(1-Parameters!B$62)*O179^-Parameters!B$64</f>
        <v>0.29972451617610329</v>
      </c>
      <c r="R179" s="7">
        <f>Parameters!B$62*EXP(-Parameters!B$61*A179)+(1-Parameters!B$62)*O179^-Parameters!B$64</f>
        <v>0.3041598731310674</v>
      </c>
      <c r="S179" s="7">
        <f>1-R179/Parameters!$B$12</f>
        <v>0.84792006343446635</v>
      </c>
      <c r="T179" s="7">
        <f t="shared" si="119"/>
        <v>6.575489328726043</v>
      </c>
      <c r="U179" s="7">
        <f>(Parameters!$B$19*(E179+Parameters!$B$20)^S179+Parameters!$B$18*F179^S179)^(1/S179)</f>
        <v>0.34507753248141099</v>
      </c>
      <c r="V179" s="7">
        <f>(Parameters!$B$10*G179^Parameters!$B$9+Parameters!$B$11*U179^Parameters!$B$9)^(Parameters!$B$7/Parameters!$B$9)*N179</f>
        <v>1.3455044557388141</v>
      </c>
      <c r="W179" s="7">
        <f>V179 - C179 - D179 - LN(1+EXP(Parameters!$B$21*B179))/Parameters!$B$21 - IF(B179&gt;0, 0,Parameters!$B$6*B179^2/E179)</f>
        <v>1.0262694476529433</v>
      </c>
      <c r="X179" s="7">
        <f>EXP(-Parameters!$B$56*A179)</f>
        <v>7.1183089200741873E-2</v>
      </c>
      <c r="Y179" s="7">
        <f>IF(W179&gt;0,W179^(1-Parameters!$B$53)/(1-Parameters!$B$53)*X179*Parameters!$B$71,-10+W179*1000)</f>
        <v>-0.2015428043465001</v>
      </c>
      <c r="AA179" s="22">
        <f t="shared" si="122"/>
        <v>0</v>
      </c>
      <c r="AB179" s="22">
        <f t="shared" si="123"/>
        <v>7.3762003068023052E-7</v>
      </c>
      <c r="AC179" s="22">
        <f t="shared" si="124"/>
        <v>-1.0043374550766648E-6</v>
      </c>
      <c r="AD179" s="22">
        <f t="shared" si="135"/>
        <v>1.1053146607243372E-13</v>
      </c>
      <c r="AE179" s="22">
        <f t="shared" si="137"/>
        <v>0</v>
      </c>
      <c r="AF179" s="22">
        <f t="shared" si="138"/>
        <v>-4.569141487387185E-8</v>
      </c>
      <c r="AG179" s="22">
        <f t="shared" si="139"/>
        <v>6.2265151784535178E-8</v>
      </c>
      <c r="AH179" s="22">
        <f t="shared" si="136"/>
        <v>4.2458253474360613E-16</v>
      </c>
      <c r="AI179" s="22"/>
      <c r="AM179" s="23">
        <f t="shared" si="115"/>
        <v>54.697246181150867</v>
      </c>
      <c r="AN179" s="23">
        <f t="shared" si="116"/>
        <v>0.39100469067996796</v>
      </c>
      <c r="AO179" s="23">
        <f t="shared" si="134"/>
        <v>1349.269338485007</v>
      </c>
      <c r="AP179" s="25">
        <f t="shared" si="118"/>
        <v>5260.9855352467366</v>
      </c>
      <c r="AQ179" s="22">
        <f>-X179*V179*W179^(-Parameters!B$53)*Parameters!B$47*Parameters!B$46*M179</f>
        <v>-2.2181363160128271E-6</v>
      </c>
      <c r="AR179" s="7">
        <f>1000*EXP(-(Parameters!$B$55)*'6states'!A179)*AP179*Parameters!B$47*Parameters!B$46*M179</f>
        <v>0.27123292226989321</v>
      </c>
      <c r="AS179" s="59">
        <f>SUM(AR179:AR$204)*EXP(Parameters!$B$55*A179)</f>
        <v>5369.2172825422076</v>
      </c>
      <c r="AT179" s="39">
        <f t="shared" si="128"/>
        <v>0.23554184470690678</v>
      </c>
      <c r="AU179">
        <f>(1/$S179-1/Parameters!$B$13) * LN(Parameters!$B$18) / LN(O179)</f>
        <v>0.19103589771237084</v>
      </c>
      <c r="AV179">
        <f>(Parameters!$B$18*'6states'!S179^+Parameters!$B$19*Parameters!$B$25^'6states'!S179)^((1-'6states'!S179)/'6states'!S179)*Parameters!$B$18*Parameters!$B$26^('6states'!S179-1)</f>
        <v>0.30872025460719005</v>
      </c>
      <c r="AW179">
        <f t="shared" si="129"/>
        <v>0.16944428589054505</v>
      </c>
      <c r="AX179">
        <f t="shared" si="130"/>
        <v>0.12402348160052301</v>
      </c>
      <c r="AY179">
        <f t="shared" si="131"/>
        <v>0.19264239021260932</v>
      </c>
      <c r="AZ179">
        <f>(1/$S179-1/Parameters!$B$13) * LN(Parameters!$B$18) / A179</f>
        <v>5.5863735163569931E-3</v>
      </c>
    </row>
    <row r="180" spans="1:52" x14ac:dyDescent="0.25">
      <c r="A180">
        <f>A179+Parameters!$B$71</f>
        <v>176</v>
      </c>
      <c r="B180" s="9">
        <f t="shared" si="114"/>
        <v>-2.9568713141259393E-6</v>
      </c>
      <c r="C180" s="9">
        <f t="shared" si="140"/>
        <v>9.0949993792235756E-2</v>
      </c>
      <c r="D180" s="9">
        <f t="shared" si="141"/>
        <v>0.22597556464516125</v>
      </c>
      <c r="E180" s="7">
        <f>MAX((1-Parameters!$B$4)^Parameters!B$71*E179 + B179*Parameters!B$71 - IF(B179&gt;0,Parameters!$B$5,0)*B179^2/E179*Parameters!B$71, 0.0001)</f>
        <v>1E-4</v>
      </c>
      <c r="F180" s="7">
        <f>(1-Parameters!$B$4)^Parameters!B$71*F179+C179*Parameters!B$71-Parameters!$B$5*C179^2/F179*Parameters!B$71</f>
        <v>1.34864179400657</v>
      </c>
      <c r="G180" s="7">
        <f>(1-Parameters!$B$4)^Parameters!B$71*G179+D179*Parameters!B$71-Parameters!$B$5*D179^2/G179*Parameters!B$71</f>
        <v>3.3495386606940314</v>
      </c>
      <c r="H180" s="9">
        <f>MAX(H179 * (1-Parameters!$B$4) ^ Parameters!B$71 + (LN(1+EXP(Parameters!$B$21*(-B179+0.004)))/Parameters!$B$21 -0.004) * Parameters!B$71,0)</f>
        <v>1.3988876921216573E-2</v>
      </c>
      <c r="I180" s="23">
        <f>I179*(1+Parameters!$B$52)^Parameters!B$71</f>
        <v>13.584175059813688</v>
      </c>
      <c r="J180" s="23">
        <f>J179*(1+Parameters!$B$54)^Parameters!B$71</f>
        <v>294.44657081302694</v>
      </c>
      <c r="K180" s="23">
        <f>I180*J180*EXP(-Parameters!$B$43*'6states'!A180)*(Parameters!$B$38/Parameters!$B$39*('6states'!E180+'6states'!H180)/Parameters!$E$25*(EXP(-Parameters!$B$39*Parameters!$E$25*'6states'!H180/('6states'!E180+'6states'!H180))-EXP(-Parameters!$B$39*Parameters!$E$25))  +  Parameters!$B$40*'6states'!E180)</f>
        <v>5.4687593243424718E-2</v>
      </c>
      <c r="L180" s="8">
        <f>L179+K180*Parameters!B$71</f>
        <v>3314.6506138263398</v>
      </c>
      <c r="M180" s="7">
        <f>L180*Parameters!$B$46</f>
        <v>1.9887903682958037</v>
      </c>
      <c r="N180" s="9">
        <f>EXP(-Parameters!$B$47/2*M180^2)</f>
        <v>0.96102905566412911</v>
      </c>
      <c r="O180" s="8">
        <f>MAX((Parameters!$B$63 + Parameters!$B$31*'6states'!A180 - '6states'!L180 + Parameters!$B$48/Parameters!$B$46)/Parameters!B$63,1)</f>
        <v>167.97098772347323</v>
      </c>
      <c r="P180" s="59">
        <f>Parameters!B$62*EXP(-Parameters!B$61*A180)</f>
        <v>4.3172045522874864E-3</v>
      </c>
      <c r="Q180" s="59">
        <f>(1-Parameters!B$62)*O180^-Parameters!B$64</f>
        <v>0.29953431077732368</v>
      </c>
      <c r="R180" s="7">
        <f>Parameters!B$62*EXP(-Parameters!B$61*A180)+(1-Parameters!B$62)*O180^-Parameters!B$64</f>
        <v>0.30385151532961119</v>
      </c>
      <c r="S180" s="7">
        <f>1-R180/Parameters!$B$12</f>
        <v>0.84807424233519435</v>
      </c>
      <c r="T180" s="7">
        <f t="shared" si="119"/>
        <v>6.5821623362004464</v>
      </c>
      <c r="U180" s="7">
        <f>(Parameters!$B$19*(E180+Parameters!$B$20)^S180+Parameters!$B$18*F180^S180)^(1/S180)</f>
        <v>0.34514892261828617</v>
      </c>
      <c r="V180" s="7">
        <f>(Parameters!$B$10*G180^Parameters!$B$9+Parameters!$B$11*U180^Parameters!$B$9)^(Parameters!$B$7/Parameters!$B$9)*N180</f>
        <v>1.3455312411301792</v>
      </c>
      <c r="W180" s="7">
        <f>V180 - C180 - D180 - LN(1+EXP(Parameters!$B$21*B180))/Parameters!$B$21 - IF(B180&gt;0, 0,Parameters!$B$6*B180^2/E180)</f>
        <v>1.0262962330443084</v>
      </c>
      <c r="X180" s="7">
        <f>EXP(-Parameters!$B$56*A180)</f>
        <v>7.0116299088978581E-2</v>
      </c>
      <c r="Y180" s="7">
        <f>IF(W180&gt;0,W180^(1-Parameters!$B$53)/(1-Parameters!$B$53)*X180*Parameters!$B$71,-10+W180*1000)</f>
        <v>-0.19852055621964182</v>
      </c>
      <c r="AA180" s="22">
        <f t="shared" si="122"/>
        <v>0</v>
      </c>
      <c r="AB180" s="22">
        <f t="shared" si="123"/>
        <v>6.9459300780505551E-7</v>
      </c>
      <c r="AC180" s="22">
        <f t="shared" si="124"/>
        <v>-9.457087152553445E-7</v>
      </c>
      <c r="AD180" s="22">
        <f t="shared" si="135"/>
        <v>9.6537832867910596E-14</v>
      </c>
      <c r="AE180" s="22">
        <f t="shared" si="137"/>
        <v>0</v>
      </c>
      <c r="AF180" s="22">
        <f t="shared" si="138"/>
        <v>-4.3027022875175014E-8</v>
      </c>
      <c r="AG180" s="22">
        <f t="shared" si="139"/>
        <v>5.862873982132033E-8</v>
      </c>
      <c r="AH180" s="22">
        <f t="shared" si="136"/>
        <v>3.7082083375999795E-16</v>
      </c>
      <c r="AI180" s="22"/>
      <c r="AM180" s="23">
        <f t="shared" si="115"/>
        <v>55.952902447991278</v>
      </c>
      <c r="AN180" s="23">
        <f t="shared" si="116"/>
        <v>0.3999813763685986</v>
      </c>
      <c r="AO180" s="23">
        <f t="shared" si="134"/>
        <v>1380.5314112100102</v>
      </c>
      <c r="AP180" s="25">
        <f t="shared" si="118"/>
        <v>5381.8743777419777</v>
      </c>
      <c r="AQ180" s="22">
        <f>-X180*V180*W180^(-Parameters!B$53)*Parameters!B$47*Parameters!B$46*M180</f>
        <v>-2.1848966284742665E-6</v>
      </c>
      <c r="AR180" s="7">
        <f>1000*EXP(-(Parameters!$B$55)*'6states'!A180)*AP180*Parameters!B$47*Parameters!B$46*M180</f>
        <v>0.26789973300233672</v>
      </c>
      <c r="AS180" s="59">
        <f>SUM(AR180:AR$204)*EXP(Parameters!$B$55*A180)</f>
        <v>5430.3340243804714</v>
      </c>
      <c r="AT180" s="39">
        <f t="shared" si="128"/>
        <v>0.23553715579274376</v>
      </c>
      <c r="AU180">
        <f>(1/$S180-1/Parameters!$B$13) * LN(Parameters!$B$18) / LN(O180)</f>
        <v>0.19084906669229118</v>
      </c>
      <c r="AV180">
        <f>(Parameters!$B$18*'6states'!S180^+Parameters!$B$19*Parameters!$B$25^'6states'!S180)^((1-'6states'!S180)/'6states'!S180)*Parameters!$B$18*Parameters!$B$26^('6states'!S180-1)</f>
        <v>0.30873539481339118</v>
      </c>
      <c r="AW180">
        <f t="shared" si="129"/>
        <v>0.16924392733952434</v>
      </c>
      <c r="AX180">
        <f t="shared" si="130"/>
        <v>0.12391003407392209</v>
      </c>
      <c r="AY180">
        <f t="shared" si="131"/>
        <v>0.19265086289478017</v>
      </c>
      <c r="AZ180">
        <f>(1/$S180-1/Parameters!$B$13) * LN(Parameters!$B$18) / A180</f>
        <v>5.556083990099739E-3</v>
      </c>
    </row>
    <row r="181" spans="1:52" x14ac:dyDescent="0.25">
      <c r="A181">
        <f>A180+Parameters!$B$71</f>
        <v>177</v>
      </c>
      <c r="B181" s="9">
        <f t="shared" si="114"/>
        <v>-2.9568713141259393E-6</v>
      </c>
      <c r="C181" s="9">
        <f t="shared" si="140"/>
        <v>9.0949993792235756E-2</v>
      </c>
      <c r="D181" s="9">
        <f t="shared" si="141"/>
        <v>0.22597556464516125</v>
      </c>
      <c r="E181" s="7">
        <f>MAX((1-Parameters!$B$4)^Parameters!B$71*E180 + B180*Parameters!B$71 - IF(B180&gt;0,Parameters!$B$5,0)*B180^2/E180*Parameters!B$71, 0.0001)</f>
        <v>1E-4</v>
      </c>
      <c r="F181" s="7">
        <f>(1-Parameters!$B$4)^Parameters!B$71*F180+C180*Parameters!B$71-Parameters!$B$5*C180^2/F180*Parameters!B$71</f>
        <v>1.3486287138193149</v>
      </c>
      <c r="G181" s="7">
        <f>(1-Parameters!$B$4)^Parameters!B$71*G180+D180*Parameters!B$71-Parameters!$B$5*D180^2/G180*Parameters!B$71</f>
        <v>3.3495828736994309</v>
      </c>
      <c r="H181" s="9">
        <f>MAX(H180 * (1-Parameters!$B$4) ^ Parameters!B$71 + (LN(1+EXP(Parameters!$B$21*(-B180+0.004)))/Parameters!$B$21 -0.004) * Parameters!B$71,0)</f>
        <v>1.398885744948364E-2</v>
      </c>
      <c r="I181" s="23">
        <f>I180*(1+Parameters!$B$52)^Parameters!B$71</f>
        <v>13.623569167487148</v>
      </c>
      <c r="J181" s="23">
        <f>J180*(1+Parameters!$B$54)^Parameters!B$71</f>
        <v>300.3355022292875</v>
      </c>
      <c r="K181" s="23">
        <f>I181*J181*EXP(-Parameters!$B$43*'6states'!A181)*(Parameters!$B$38/Parameters!$B$39*('6states'!E181+'6states'!H181)/Parameters!$E$25*(EXP(-Parameters!$B$39*Parameters!$E$25*'6states'!H181/('6states'!E181+'6states'!H181))-EXP(-Parameters!$B$39*Parameters!$E$25))  +  Parameters!$B$40*'6states'!E181)</f>
        <v>5.5386467753977903E-2</v>
      </c>
      <c r="L181" s="8">
        <f>L180+K181*Parameters!B$71</f>
        <v>3314.7060002940939</v>
      </c>
      <c r="M181" s="7">
        <f>L181*Parameters!$B$46</f>
        <v>1.9888236001764561</v>
      </c>
      <c r="N181" s="9">
        <f>EXP(-Parameters!$B$47/2*M181^2)</f>
        <v>0.96102777899063097</v>
      </c>
      <c r="O181" s="8">
        <f>MAX((Parameters!$B$63 + Parameters!$B$31*'6states'!A181 - '6states'!L181 + Parameters!$B$48/Parameters!$B$46)/Parameters!B$63,1)</f>
        <v>169.03387999411811</v>
      </c>
      <c r="P181" s="59">
        <f>Parameters!B$62*EXP(-Parameters!B$61*A181)</f>
        <v>4.2021995829290655E-3</v>
      </c>
      <c r="Q181" s="59">
        <f>(1-Parameters!B$62)*O181^-Parameters!B$64</f>
        <v>0.29934542723435481</v>
      </c>
      <c r="R181" s="7">
        <f>Parameters!B$62*EXP(-Parameters!B$61*A181)+(1-Parameters!B$62)*O181^-Parameters!B$64</f>
        <v>0.30354762681728387</v>
      </c>
      <c r="S181" s="7">
        <f>1-R181/Parameters!$B$12</f>
        <v>0.84822618659135807</v>
      </c>
      <c r="T181" s="7">
        <f t="shared" si="119"/>
        <v>6.5887518903380231</v>
      </c>
      <c r="U181" s="7">
        <f>(Parameters!$B$19*(E181+Parameters!$B$20)^S181+Parameters!$B$18*F181^S181)^(1/S181)</f>
        <v>0.34521942380073523</v>
      </c>
      <c r="V181" s="7">
        <f>(Parameters!$B$10*G181^Parameters!$B$9+Parameters!$B$11*U181^Parameters!$B$9)^(Parameters!$B$7/Parameters!$B$9)*N181</f>
        <v>1.3455574482951698</v>
      </c>
      <c r="W181" s="7">
        <f>V181 - C181 - D181 - LN(1+EXP(Parameters!$B$21*B181))/Parameters!$B$21 - IF(B181&gt;0, 0,Parameters!$B$6*B181^2/E181)</f>
        <v>1.026322440209299</v>
      </c>
      <c r="X181" s="7">
        <f>EXP(-Parameters!$B$56*A181)</f>
        <v>6.9065496498343315E-2</v>
      </c>
      <c r="Y181" s="7">
        <f>IF(W181&gt;0,W181^(1-Parameters!$B$53)/(1-Parameters!$B$53)*X181*Parameters!$B$71,-10+W181*1000)</f>
        <v>-0.19554366701519027</v>
      </c>
      <c r="AA181" s="22">
        <f t="shared" si="122"/>
        <v>0</v>
      </c>
      <c r="AB181" s="22">
        <f t="shared" si="123"/>
        <v>6.5407510388415524E-7</v>
      </c>
      <c r="AC181" s="22">
        <f t="shared" si="124"/>
        <v>-8.9050383750288731E-7</v>
      </c>
      <c r="AD181" s="22">
        <f t="shared" si="135"/>
        <v>8.4315940369861436E-14</v>
      </c>
      <c r="AE181" s="22">
        <f t="shared" si="137"/>
        <v>0</v>
      </c>
      <c r="AF181" s="22">
        <f t="shared" si="138"/>
        <v>-4.0517903920900267E-8</v>
      </c>
      <c r="AG181" s="22">
        <f t="shared" si="139"/>
        <v>5.5204877752457193E-8</v>
      </c>
      <c r="AH181" s="22">
        <f t="shared" si="136"/>
        <v>3.2386738689925131E-16</v>
      </c>
      <c r="AI181" s="22"/>
      <c r="AM181" s="23">
        <f t="shared" si="115"/>
        <v>57.237389511041954</v>
      </c>
      <c r="AN181" s="23">
        <f t="shared" si="116"/>
        <v>0.40916414880726887</v>
      </c>
      <c r="AO181" s="23">
        <f t="shared" si="134"/>
        <v>1412.5141169116364</v>
      </c>
      <c r="AP181" s="25">
        <f t="shared" si="118"/>
        <v>5505.5386800297383</v>
      </c>
      <c r="AQ181" s="22">
        <f>-X181*V181*W181^(-Parameters!B$53)*Parameters!B$47*Parameters!B$46*M181</f>
        <v>-2.1521562177164516E-6</v>
      </c>
      <c r="AR181" s="7">
        <f>1000*EXP(-(Parameters!$B$55)*'6states'!A181)*AP181*Parameters!B$47*Parameters!B$46*M181</f>
        <v>0.26460744729796593</v>
      </c>
      <c r="AS181" s="59">
        <f>SUM(AR181:AR$204)*EXP(Parameters!$B$55*A181)</f>
        <v>5490.6288245652195</v>
      </c>
      <c r="AT181" s="39">
        <f t="shared" si="128"/>
        <v>0.23553256828062297</v>
      </c>
      <c r="AU181">
        <f>(1/$S181-1/Parameters!$B$13) * LN(Parameters!$B$18) / LN(O181)</f>
        <v>0.19066345001792839</v>
      </c>
      <c r="AV181">
        <f>(Parameters!$B$18*'6states'!S181^+Parameters!$B$19*Parameters!$B$25^'6states'!S181)^((1-'6states'!S181)/'6states'!S181)*Parameters!$B$18*Parameters!$B$26^('6states'!S181-1)</f>
        <v>0.30875026792139493</v>
      </c>
      <c r="AW181">
        <f t="shared" si="129"/>
        <v>0.16904521774406825</v>
      </c>
      <c r="AX181">
        <f t="shared" si="130"/>
        <v>0.12379730937266764</v>
      </c>
      <c r="AY181">
        <f t="shared" si="131"/>
        <v>0.19265918601829357</v>
      </c>
      <c r="AZ181">
        <f>(1/$S181-1/Parameters!$B$13) * LN(Parameters!$B$18) / A181</f>
        <v>5.5261152900406658E-3</v>
      </c>
    </row>
    <row r="182" spans="1:52" x14ac:dyDescent="0.25">
      <c r="A182">
        <f>A181+Parameters!$B$71</f>
        <v>178</v>
      </c>
      <c r="B182" s="9">
        <f t="shared" si="114"/>
        <v>-2.9568713141259393E-6</v>
      </c>
      <c r="C182" s="9">
        <f t="shared" si="140"/>
        <v>9.0949993792235756E-2</v>
      </c>
      <c r="D182" s="9">
        <f t="shared" si="141"/>
        <v>0.22597556464516125</v>
      </c>
      <c r="E182" s="7">
        <f>MAX((1-Parameters!$B$4)^Parameters!B$71*E181 + B181*Parameters!B$71 - IF(B181&gt;0,Parameters!$B$5,0)*B181^2/E181*Parameters!B$71, 0.0001)</f>
        <v>1E-4</v>
      </c>
      <c r="F182" s="7">
        <f>(1-Parameters!$B$4)^Parameters!B$71*F181+C181*Parameters!B$71-Parameters!$B$5*C181^2/F181*Parameters!B$71</f>
        <v>1.3486163968877116</v>
      </c>
      <c r="G182" s="7">
        <f>(1-Parameters!$B$4)^Parameters!B$71*G181+D181*Parameters!B$71-Parameters!$B$5*D181^2/G181*Parameters!B$71</f>
        <v>3.3496245069388983</v>
      </c>
      <c r="H182" s="9">
        <f>MAX(H181 * (1-Parameters!$B$4) ^ Parameters!B$71 + (LN(1+EXP(Parameters!$B$21*(-B181+0.004)))/Parameters!$B$21 -0.004) * Parameters!B$71,0)</f>
        <v>1.3988839202522708E-2</v>
      </c>
      <c r="I182" s="23">
        <f>I181*(1+Parameters!$B$52)^Parameters!B$71</f>
        <v>13.663077518072859</v>
      </c>
      <c r="J182" s="23">
        <f>J181*(1+Parameters!$B$54)^Parameters!B$71</f>
        <v>306.34221227387326</v>
      </c>
      <c r="K182" s="23">
        <f>I182*J182*EXP(-Parameters!$B$43*'6states'!A182)*(Parameters!$B$38/Parameters!$B$39*('6states'!E182+'6states'!H182)/Parameters!$E$25*(EXP(-Parameters!$B$39*Parameters!$E$25*'6states'!H182/('6states'!E182+'6states'!H182))-EXP(-Parameters!$B$39*Parameters!$E$25))  +  Parameters!$B$40*'6states'!E182)</f>
        <v>5.6094273459936346E-2</v>
      </c>
      <c r="L182" s="8">
        <f>L181+K182*Parameters!B$71</f>
        <v>3314.762094567554</v>
      </c>
      <c r="M182" s="7">
        <f>L182*Parameters!$B$46</f>
        <v>1.9888572567405323</v>
      </c>
      <c r="N182" s="9">
        <f>EXP(-Parameters!$B$47/2*M182^2)</f>
        <v>0.96102648598199969</v>
      </c>
      <c r="O182" s="8">
        <f>MAX((Parameters!$B$63 + Parameters!$B$31*'6states'!A182 - '6states'!L182 + Parameters!$B$48/Parameters!$B$46)/Parameters!B$63,1)</f>
        <v>170.09675810864894</v>
      </c>
      <c r="P182" s="59">
        <f>Parameters!B$62*EXP(-Parameters!B$61*A182)</f>
        <v>4.090258203172885E-3</v>
      </c>
      <c r="Q182" s="59">
        <f>(1-Parameters!B$62)*O182^-Parameters!B$64</f>
        <v>0.29915784816497126</v>
      </c>
      <c r="R182" s="7">
        <f>Parameters!B$62*EXP(-Parameters!B$61*A182)+(1-Parameters!B$62)*O182^-Parameters!B$64</f>
        <v>0.30324810636814414</v>
      </c>
      <c r="S182" s="7">
        <f>1-R182/Parameters!$B$12</f>
        <v>0.84837594681592798</v>
      </c>
      <c r="T182" s="7">
        <f t="shared" si="119"/>
        <v>6.5952596504328849</v>
      </c>
      <c r="U182" s="7">
        <f>(Parameters!$B$19*(E182+Parameters!$B$20)^S182+Parameters!$B$18*F182^S182)^(1/S182)</f>
        <v>0.34528904920988346</v>
      </c>
      <c r="V182" s="7">
        <f>(Parameters!$B$10*G182^Parameters!$B$9+Parameters!$B$11*U182^Parameters!$B$9)^(Parameters!$B$7/Parameters!$B$9)*N182</f>
        <v>1.3455830955903216</v>
      </c>
      <c r="W182" s="7">
        <f>V182 - C182 - D182 - LN(1+EXP(Parameters!$B$21*B182))/Parameters!$B$21 - IF(B182&gt;0, 0,Parameters!$B$6*B182^2/E182)</f>
        <v>1.0263480875044508</v>
      </c>
      <c r="X182" s="7">
        <f>EXP(-Parameters!$B$56*A182)</f>
        <v>6.8030441830784896E-2</v>
      </c>
      <c r="Y182" s="7">
        <f>IF(W182&gt;0,W182^(1-Parameters!$B$53)/(1-Parameters!$B$53)*X182*Parameters!$B$71,-10+W182*1000)</f>
        <v>-0.19261145418406336</v>
      </c>
      <c r="AA182" s="22">
        <f t="shared" si="122"/>
        <v>0</v>
      </c>
      <c r="AB182" s="22">
        <f t="shared" si="123"/>
        <v>6.1592008394895092E-7</v>
      </c>
      <c r="AC182" s="22">
        <f t="shared" si="124"/>
        <v>-8.3852271541562384E-7</v>
      </c>
      <c r="AD182" s="22">
        <f t="shared" si="135"/>
        <v>7.3641449406297811E-14</v>
      </c>
      <c r="AE182" s="22">
        <f t="shared" si="137"/>
        <v>0</v>
      </c>
      <c r="AF182" s="22">
        <f t="shared" si="138"/>
        <v>-3.8155019935204315E-8</v>
      </c>
      <c r="AG182" s="22">
        <f t="shared" si="139"/>
        <v>5.1981122087263465E-8</v>
      </c>
      <c r="AH182" s="22">
        <f t="shared" si="136"/>
        <v>2.8285986912091485E-16</v>
      </c>
      <c r="AI182" s="22"/>
      <c r="AM182" s="23">
        <f t="shared" si="115"/>
        <v>58.551369125369277</v>
      </c>
      <c r="AN182" s="23">
        <f t="shared" si="116"/>
        <v>0.4185577393355861</v>
      </c>
      <c r="AO182" s="23">
        <f t="shared" si="134"/>
        <v>1445.2340385462278</v>
      </c>
      <c r="AP182" s="25">
        <f t="shared" si="118"/>
        <v>5632.0421857846486</v>
      </c>
      <c r="AQ182" s="22">
        <f>-X182*V182*W182^(-Parameters!B$53)*Parameters!B$47*Parameters!B$46*M182</f>
        <v>-2.119907550269713E-6</v>
      </c>
      <c r="AR182" s="7">
        <f>1000*EXP(-(Parameters!$B$55)*'6states'!A182)*AP182*Parameters!B$47*Parameters!B$46*M182</f>
        <v>0.26135556819306938</v>
      </c>
      <c r="AS182" s="59">
        <f>SUM(AR182:AR$204)*EXP(Parameters!$B$55*A182)</f>
        <v>5550.0032446406003</v>
      </c>
      <c r="AT182" s="39">
        <f t="shared" si="128"/>
        <v>0.23552807894561542</v>
      </c>
      <c r="AU182">
        <f>(1/$S182-1/Parameters!$B$13) * LN(Parameters!$B$18) / LN(O182)</f>
        <v>0.19047903732287499</v>
      </c>
      <c r="AV182">
        <f>(Parameters!$B$18*'6states'!S182^+Parameters!$B$19*Parameters!$B$25^'6states'!S182)^((1-'6states'!S182)/'6states'!S182)*Parameters!$B$18*Parameters!$B$26^('6states'!S182-1)</f>
        <v>0.30876488097200477</v>
      </c>
      <c r="AW182">
        <f t="shared" si="129"/>
        <v>0.16884813431647205</v>
      </c>
      <c r="AX182">
        <f t="shared" si="130"/>
        <v>0.12368530148282941</v>
      </c>
      <c r="AY182">
        <f t="shared" si="131"/>
        <v>0.19266736352780911</v>
      </c>
      <c r="AZ182">
        <f>(1/$S182-1/Parameters!$B$13) * LN(Parameters!$B$18) / A182</f>
        <v>5.4964625022448808E-3</v>
      </c>
    </row>
    <row r="183" spans="1:52" x14ac:dyDescent="0.25">
      <c r="A183">
        <f>A182+Parameters!$B$71</f>
        <v>179</v>
      </c>
      <c r="B183" s="9">
        <f t="shared" si="114"/>
        <v>-2.9568713141259393E-6</v>
      </c>
      <c r="C183" s="9">
        <f t="shared" si="140"/>
        <v>9.0949993792235756E-2</v>
      </c>
      <c r="D183" s="9">
        <f t="shared" si="141"/>
        <v>0.22597556464516125</v>
      </c>
      <c r="E183" s="7">
        <f>MAX((1-Parameters!$B$4)^Parameters!B$71*E182 + B182*Parameters!B$71 - IF(B182&gt;0,Parameters!$B$5,0)*B182^2/E182*Parameters!B$71, 0.0001)</f>
        <v>1E-4</v>
      </c>
      <c r="F183" s="7">
        <f>(1-Parameters!$B$4)^Parameters!B$71*F182+C182*Parameters!B$71-Parameters!$B$5*C182^2/F182*Parameters!B$71</f>
        <v>1.3486047986731782</v>
      </c>
      <c r="G183" s="7">
        <f>(1-Parameters!$B$4)^Parameters!B$71*G182+D182*Parameters!B$71-Parameters!$B$5*D182^2/G182*Parameters!B$71</f>
        <v>3.3496637109332474</v>
      </c>
      <c r="H183" s="9">
        <f>MAX(H182 * (1-Parameters!$B$4) ^ Parameters!B$71 + (LN(1+EXP(Parameters!$B$21*(-B182+0.004)))/Parameters!$B$21 -0.004) * Parameters!B$71,0)</f>
        <v>1.398882210329562E-2</v>
      </c>
      <c r="I183" s="23">
        <f>I182*(1+Parameters!$B$52)^Parameters!B$71</f>
        <v>13.702700442875269</v>
      </c>
      <c r="J183" s="23">
        <f>J182*(1+Parameters!$B$54)^Parameters!B$71</f>
        <v>312.46905651935072</v>
      </c>
      <c r="K183" s="23">
        <f>I183*J183*EXP(-Parameters!$B$43*'6states'!A183)*(Parameters!$B$38/Parameters!$B$39*('6states'!E183+'6states'!H183)/Parameters!$E$25*(EXP(-Parameters!$B$39*Parameters!$E$25*'6states'!H183/('6states'!E183+'6states'!H183))-EXP(-Parameters!$B$39*Parameters!$E$25))  +  Parameters!$B$40*'6states'!E183)</f>
        <v>5.6811124496599252E-2</v>
      </c>
      <c r="L183" s="8">
        <f>L182+K183*Parameters!B$71</f>
        <v>3314.8189056920505</v>
      </c>
      <c r="M183" s="7">
        <f>L183*Parameters!$B$46</f>
        <v>1.9888913434152302</v>
      </c>
      <c r="N183" s="9">
        <f>EXP(-Parameters!$B$47/2*M183^2)</f>
        <v>0.96102517642896756</v>
      </c>
      <c r="O183" s="8">
        <f>MAX((Parameters!$B$63 + Parameters!$B$31*'6states'!A183 - '6states'!L183 + Parameters!$B$48/Parameters!$B$46)/Parameters!B$63,1)</f>
        <v>171.15962188615902</v>
      </c>
      <c r="P183" s="59">
        <f>Parameters!B$62*EXP(-Parameters!B$61*A183)</f>
        <v>3.9812988027954624E-3</v>
      </c>
      <c r="Q183" s="59">
        <f>(1-Parameters!B$62)*O183^-Parameters!B$64</f>
        <v>0.29897155652300911</v>
      </c>
      <c r="R183" s="7">
        <f>Parameters!B$62*EXP(-Parameters!B$61*A183)+(1-Parameters!B$62)*O183^-Parameters!B$64</f>
        <v>0.30295285532580457</v>
      </c>
      <c r="S183" s="7">
        <f>1-R183/Parameters!$B$12</f>
        <v>0.84852357233709774</v>
      </c>
      <c r="T183" s="7">
        <f t="shared" si="119"/>
        <v>6.601687242225001</v>
      </c>
      <c r="U183" s="7">
        <f>(Parameters!$B$19*(E183+Parameters!$B$20)^S183+Parameters!$B$18*F183^S183)^(1/S183)</f>
        <v>0.34535781206400951</v>
      </c>
      <c r="V183" s="7">
        <f>(Parameters!$B$10*G183^Parameters!$B$9+Parameters!$B$11*U183^Parameters!$B$9)^(Parameters!$B$7/Parameters!$B$9)*N183</f>
        <v>1.3456082005805352</v>
      </c>
      <c r="W183" s="7">
        <f>V183 - C183 - D183 - LN(1+EXP(Parameters!$B$21*B183))/Parameters!$B$21 - IF(B183&gt;0, 0,Parameters!$B$6*B183^2/E183)</f>
        <v>1.0263731924946644</v>
      </c>
      <c r="X183" s="7">
        <f>EXP(-Parameters!$B$56*A183)</f>
        <v>6.701089907900426E-2</v>
      </c>
      <c r="Y183" s="7">
        <f>IF(W183&gt;0,W183^(1-Parameters!$B$53)/(1-Parameters!$B$53)*X183*Parameters!$B$71,-10+W183*1000)</f>
        <v>-0.18972324554421754</v>
      </c>
      <c r="AA183" s="22">
        <f t="shared" si="122"/>
        <v>0</v>
      </c>
      <c r="AB183" s="22">
        <f t="shared" si="123"/>
        <v>5.7999022629040553E-7</v>
      </c>
      <c r="AC183" s="22">
        <f t="shared" si="124"/>
        <v>-7.895769554289167E-7</v>
      </c>
      <c r="AD183" s="22">
        <f t="shared" si="135"/>
        <v>6.4318430044874008E-14</v>
      </c>
      <c r="AE183" s="22">
        <f t="shared" si="137"/>
        <v>0</v>
      </c>
      <c r="AF183" s="22">
        <f t="shared" si="138"/>
        <v>-3.5929857658545394E-8</v>
      </c>
      <c r="AG183" s="22">
        <f t="shared" si="139"/>
        <v>4.8945759986707138E-8</v>
      </c>
      <c r="AH183" s="22">
        <f t="shared" si="136"/>
        <v>2.4704520117007978E-16</v>
      </c>
      <c r="AI183" s="22"/>
      <c r="AM183" s="23">
        <f t="shared" si="115"/>
        <v>59.895518244503918</v>
      </c>
      <c r="AN183" s="23">
        <f t="shared" si="116"/>
        <v>0.42816698791525248</v>
      </c>
      <c r="AO183" s="23">
        <f t="shared" si="134"/>
        <v>1478.7081414444879</v>
      </c>
      <c r="AP183" s="25">
        <f t="shared" si="118"/>
        <v>5761.4501015663063</v>
      </c>
      <c r="AQ183" s="22">
        <f>-X183*V183*W183^(-Parameters!B$53)*Parameters!B$47*Parameters!B$46*M183</f>
        <v>-2.088143208113671E-6</v>
      </c>
      <c r="AR183" s="7">
        <f>1000*EXP(-(Parameters!$B$55)*'6states'!A183)*AP183*Parameters!B$47*Parameters!B$46*M183</f>
        <v>0.25814360450382384</v>
      </c>
      <c r="AS183" s="59">
        <f>SUM(AR183:AR$204)*EXP(Parameters!$B$55*A183)</f>
        <v>5608.3537402803913</v>
      </c>
      <c r="AT183" s="39">
        <f t="shared" si="128"/>
        <v>0.23552368470209462</v>
      </c>
      <c r="AU183">
        <f>(1/$S183-1/Parameters!$B$13) * LN(Parameters!$B$18) / LN(O183)</f>
        <v>0.19029581831930598</v>
      </c>
      <c r="AV183">
        <f>(Parameters!$B$18*'6states'!S183^+Parameters!$B$19*Parameters!$B$25^'6states'!S183)^((1-'6states'!S183)/'6states'!S183)*Parameters!$B$18*Parameters!$B$26^('6states'!S183-1)</f>
        <v>0.30877924078742014</v>
      </c>
      <c r="AW183">
        <f t="shared" si="129"/>
        <v>0.16865265470261545</v>
      </c>
      <c r="AX183">
        <f t="shared" si="130"/>
        <v>0.12357400443322719</v>
      </c>
      <c r="AY183">
        <f t="shared" si="131"/>
        <v>0.19267539924541688</v>
      </c>
      <c r="AZ183">
        <f>(1/$S183-1/Parameters!$B$13) * LN(Parameters!$B$18) / A183</f>
        <v>5.467120809708923E-3</v>
      </c>
    </row>
    <row r="184" spans="1:52" x14ac:dyDescent="0.25">
      <c r="A184">
        <f>A183+Parameters!$B$71</f>
        <v>180</v>
      </c>
      <c r="B184" s="9">
        <f t="shared" si="114"/>
        <v>-2.9568713141259393E-6</v>
      </c>
      <c r="C184" s="9">
        <f t="shared" si="140"/>
        <v>9.0949993792235756E-2</v>
      </c>
      <c r="D184" s="9">
        <f t="shared" si="141"/>
        <v>0.22597556464516125</v>
      </c>
      <c r="E184" s="7">
        <f>MAX((1-Parameters!$B$4)^Parameters!B$71*E183 + B183*Parameters!B$71 - IF(B183&gt;0,Parameters!$B$5,0)*B183^2/E183*Parameters!B$71, 0.0001)</f>
        <v>1E-4</v>
      </c>
      <c r="F184" s="7">
        <f>(1-Parameters!$B$4)^Parameters!B$71*F183+C183*Parameters!B$71-Parameters!$B$5*C183^2/F183*Parameters!B$71</f>
        <v>1.3485938772362316</v>
      </c>
      <c r="G184" s="7">
        <f>(1-Parameters!$B$4)^Parameters!B$71*G183+D183*Parameters!B$71-Parameters!$B$5*D183^2/G183*Parameters!B$71</f>
        <v>3.3497006274214502</v>
      </c>
      <c r="H184" s="9">
        <f>MAX(H183 * (1-Parameters!$B$4) ^ Parameters!B$71 + (LN(1+EXP(Parameters!$B$21*(-B183+0.004)))/Parameters!$B$21 -0.004) * Parameters!B$71,0)</f>
        <v>1.3988806079609915E-2</v>
      </c>
      <c r="I184" s="23">
        <f>I183*(1+Parameters!$B$52)^Parameters!B$71</f>
        <v>13.742438274159605</v>
      </c>
      <c r="J184" s="23">
        <f>J183*(1+Parameters!$B$54)^Parameters!B$71</f>
        <v>318.71843764973772</v>
      </c>
      <c r="K184" s="23">
        <f>I184*J184*EXP(-Parameters!$B$43*'6states'!A184)*(Parameters!$B$38/Parameters!$B$39*('6states'!E184+'6states'!H184)/Parameters!$E$25*(EXP(-Parameters!$B$39*Parameters!$E$25*'6states'!H184/('6states'!E184+'6states'!H184))-EXP(-Parameters!$B$39*Parameters!$E$25))  +  Parameters!$B$40*'6states'!E184)</f>
        <v>5.7537136457846243E-2</v>
      </c>
      <c r="L184" s="8">
        <f>L183+K184*Parameters!B$71</f>
        <v>3314.8764428285085</v>
      </c>
      <c r="M184" s="7">
        <f>L184*Parameters!$B$46</f>
        <v>1.9889258656971049</v>
      </c>
      <c r="N184" s="9">
        <f>EXP(-Parameters!$B$47/2*M184^2)</f>
        <v>0.96102385011957914</v>
      </c>
      <c r="O184" s="8">
        <f>MAX((Parameters!$B$63 + Parameters!$B$31*'6states'!A184 - '6states'!L184 + Parameters!$B$48/Parameters!$B$46)/Parameters!B$63,1)</f>
        <v>172.22247114342983</v>
      </c>
      <c r="P184" s="59">
        <f>Parameters!B$62*EXP(-Parameters!B$61*A184)</f>
        <v>3.875241945568346E-3</v>
      </c>
      <c r="Q184" s="59">
        <f>(1-Parameters!B$62)*O184^-Parameters!B$64</f>
        <v>0.29878653558983748</v>
      </c>
      <c r="R184" s="7">
        <f>Parameters!B$62*EXP(-Parameters!B$61*A184)+(1-Parameters!B$62)*O184^-Parameters!B$64</f>
        <v>0.3026617775354058</v>
      </c>
      <c r="S184" s="7">
        <f>1-R184/Parameters!$B$12</f>
        <v>0.84866911123229705</v>
      </c>
      <c r="T184" s="7">
        <f t="shared" si="119"/>
        <v>6.6080362584470596</v>
      </c>
      <c r="U184" s="7">
        <f>(Parameters!$B$19*(E184+Parameters!$B$20)^S184+Parameters!$B$18*F184^S184)^(1/S184)</f>
        <v>0.34542572559682627</v>
      </c>
      <c r="V184" s="7">
        <f>(Parameters!$B$10*G184^Parameters!$B$9+Parameters!$B$11*U184^Parameters!$B$9)^(Parameters!$B$7/Parameters!$B$9)*N184</f>
        <v>1.3456327800770853</v>
      </c>
      <c r="W184" s="7">
        <f>V184 - C184 - D184 - LN(1+EXP(Parameters!$B$21*B184))/Parameters!$B$21 - IF(B184&gt;0, 0,Parameters!$B$6*B184^2/E184)</f>
        <v>1.0263977719912145</v>
      </c>
      <c r="X184" s="7">
        <f>EXP(-Parameters!$B$56*A184)</f>
        <v>6.6006635772641528E-2</v>
      </c>
      <c r="Y184" s="7">
        <f>IF(W184&gt;0,W184^(1-Parameters!$B$53)/(1-Parameters!$B$53)*X184*Parameters!$B$71,-10+W184*1000)</f>
        <v>-0.18687837911751687</v>
      </c>
      <c r="AA184" s="22">
        <f t="shared" si="122"/>
        <v>0</v>
      </c>
      <c r="AB184" s="22">
        <f t="shared" si="123"/>
        <v>5.461558278824219E-7</v>
      </c>
      <c r="AC184" s="22">
        <f t="shared" si="124"/>
        <v>-7.4348918928379693E-7</v>
      </c>
      <c r="AD184" s="22">
        <f t="shared" si="135"/>
        <v>5.6175763408523585E-14</v>
      </c>
      <c r="AE184" s="22">
        <f t="shared" si="137"/>
        <v>0</v>
      </c>
      <c r="AF184" s="22">
        <f t="shared" si="138"/>
        <v>-3.3834398407983635E-8</v>
      </c>
      <c r="AG184" s="22">
        <f t="shared" si="139"/>
        <v>4.608776614511978E-8</v>
      </c>
      <c r="AH184" s="22">
        <f t="shared" si="136"/>
        <v>2.1576570579270782E-16</v>
      </c>
      <c r="AI184" s="22"/>
      <c r="AM184" s="23">
        <f t="shared" si="115"/>
        <v>61.270529369123288</v>
      </c>
      <c r="AN184" s="23">
        <f t="shared" si="116"/>
        <v>0.4379968456238108</v>
      </c>
      <c r="AO184" s="23">
        <f t="shared" si="134"/>
        <v>1512.9537820872592</v>
      </c>
      <c r="AP184" s="25">
        <f t="shared" si="118"/>
        <v>5893.8291304176237</v>
      </c>
      <c r="AQ184" s="22">
        <f>-X184*V184*W184^(-Parameters!B$53)*Parameters!B$47*Parameters!B$46*M184</f>
        <v>-2.0568558868035205E-6</v>
      </c>
      <c r="AR184" s="7">
        <f>1000*EXP(-(Parameters!$B$55)*'6states'!A184)*AP184*Parameters!B$47*Parameters!B$46*M184</f>
        <v>0.25497107077395303</v>
      </c>
      <c r="AS184" s="59">
        <f>SUM(AR184:AR$204)*EXP(Parameters!$B$55*A184)</f>
        <v>5665.5714423119571</v>
      </c>
      <c r="AT184" s="39">
        <f t="shared" si="128"/>
        <v>0.23551938259703201</v>
      </c>
      <c r="AU184">
        <f>(1/$S184-1/Parameters!$B$13) * LN(Parameters!$B$18) / LN(O184)</f>
        <v>0.19011378279780064</v>
      </c>
      <c r="AV184">
        <f>(Parameters!$B$18*'6states'!S184^+Parameters!$B$19*Parameters!$B$25^'6states'!S184)^((1-'6states'!S184)/'6states'!S184)*Parameters!$B$18*Parameters!$B$26^('6states'!S184-1)</f>
        <v>0.30879335397882279</v>
      </c>
      <c r="AW184">
        <f t="shared" si="129"/>
        <v>0.16845875697148474</v>
      </c>
      <c r="AX184">
        <f t="shared" si="130"/>
        <v>0.12346341229540259</v>
      </c>
      <c r="AY184">
        <f t="shared" si="131"/>
        <v>0.19268329687489583</v>
      </c>
      <c r="AZ184">
        <f>(1/$S184-1/Parameters!$B$13) * LN(Parameters!$B$18) / A184</f>
        <v>5.4380854900263967E-3</v>
      </c>
    </row>
    <row r="185" spans="1:52" x14ac:dyDescent="0.25">
      <c r="A185">
        <f>A184+Parameters!$B$71</f>
        <v>181</v>
      </c>
      <c r="B185" s="9">
        <f t="shared" ref="B185:B204" si="142">B184</f>
        <v>-2.9568713141259393E-6</v>
      </c>
      <c r="C185" s="9">
        <f t="shared" si="140"/>
        <v>9.0949993792235756E-2</v>
      </c>
      <c r="D185" s="9">
        <f t="shared" si="141"/>
        <v>0.22597556464516125</v>
      </c>
      <c r="E185" s="7">
        <f>MAX((1-Parameters!$B$4)^Parameters!B$71*E184 + B184*Parameters!B$71 - IF(B184&gt;0,Parameters!$B$5,0)*B184^2/E184*Parameters!B$71, 0.0001)</f>
        <v>1E-4</v>
      </c>
      <c r="F185" s="7">
        <f>(1-Parameters!$B$4)^Parameters!B$71*F184+C184*Parameters!B$71-Parameters!$B$5*C184^2/F184*Parameters!B$71</f>
        <v>1.3485835930847998</v>
      </c>
      <c r="G185" s="7">
        <f>(1-Parameters!$B$4)^Parameters!B$71*G184+D184*Parameters!B$71-Parameters!$B$5*D184^2/G184*Parameters!B$71</f>
        <v>3.3497353898729343</v>
      </c>
      <c r="H185" s="9">
        <f>MAX(H184 * (1-Parameters!$B$4) ^ Parameters!B$71 + (LN(1+EXP(Parameters!$B$21*(-B184+0.004)))/Parameters!$B$21 -0.004) * Parameters!B$71,0)</f>
        <v>1.3988791063814041E-2</v>
      </c>
      <c r="I185" s="23">
        <f>I184*(1+Parameters!$B$52)^Parameters!B$71</f>
        <v>13.782291345154666</v>
      </c>
      <c r="J185" s="23">
        <f>J184*(1+Parameters!$B$54)^Parameters!B$71</f>
        <v>325.09280640273249</v>
      </c>
      <c r="K185" s="23">
        <f>I185*J185*EXP(-Parameters!$B$43*'6states'!A185)*(Parameters!$B$38/Parameters!$B$39*('6states'!E185+'6states'!H185)/Parameters!$E$25*(EXP(-Parameters!$B$39*Parameters!$E$25*'6states'!H185/('6states'!E185+'6states'!H185))-EXP(-Parameters!$B$39*Parameters!$E$25))  +  Parameters!$B$40*'6states'!E185)</f>
        <v>5.8272426414777076E-2</v>
      </c>
      <c r="L185" s="8">
        <f>L184+K185*Parameters!B$71</f>
        <v>3314.9347152549235</v>
      </c>
      <c r="M185" s="7">
        <f>L185*Parameters!$B$46</f>
        <v>1.9889608291529539</v>
      </c>
      <c r="N185" s="9">
        <f>EXP(-Parameters!$B$47/2*M185^2)</f>
        <v>0.96102250683915658</v>
      </c>
      <c r="O185" s="8">
        <f>MAX((Parameters!$B$63 + Parameters!$B$31*'6states'!A185 - '6states'!L185 + Parameters!$B$48/Parameters!$B$46)/Parameters!B$63,1)</f>
        <v>173.28530569490155</v>
      </c>
      <c r="P185" s="59">
        <f>Parameters!B$62*EXP(-Parameters!B$61*A185)</f>
        <v>3.7720103113455944E-3</v>
      </c>
      <c r="Q185" s="59">
        <f>(1-Parameters!B$62)*O185^-Parameters!B$64</f>
        <v>0.29860276896609794</v>
      </c>
      <c r="R185" s="7">
        <f>Parameters!B$62*EXP(-Parameters!B$61*A185)+(1-Parameters!B$62)*O185^-Parameters!B$64</f>
        <v>0.30237477927744355</v>
      </c>
      <c r="S185" s="7">
        <f>1-R185/Parameters!$B$12</f>
        <v>0.8488126103612782</v>
      </c>
      <c r="T185" s="7">
        <f t="shared" si="119"/>
        <v>6.6143082593700795</v>
      </c>
      <c r="U185" s="7">
        <f>(Parameters!$B$19*(E185+Parameters!$B$20)^S185+Parameters!$B$18*F185^S185)^(1/S185)</f>
        <v>0.34549280303751428</v>
      </c>
      <c r="V185" s="7">
        <f>(Parameters!$B$10*G185^Parameters!$B$9+Parameters!$B$11*U185^Parameters!$B$9)^(Parameters!$B$7/Parameters!$B$9)*N185</f>
        <v>1.3456568501736459</v>
      </c>
      <c r="W185" s="7">
        <f>V185 - C185 - D185 - LN(1+EXP(Parameters!$B$21*B185))/Parameters!$B$21 - IF(B185&gt;0, 0,Parameters!$B$6*B185^2/E185)</f>
        <v>1.0264218420877751</v>
      </c>
      <c r="X185" s="7">
        <f>EXP(-Parameters!$B$56*A185)</f>
        <v>6.5017422925269325E-2</v>
      </c>
      <c r="Y185" s="7">
        <f>IF(W185&gt;0,W185^(1-Parameters!$B$53)/(1-Parameters!$B$53)*X185*Parameters!$B$71,-10+W185*1000)</f>
        <v>-0.18407620296952179</v>
      </c>
      <c r="AA185" s="22">
        <f t="shared" si="122"/>
        <v>0</v>
      </c>
      <c r="AB185" s="22">
        <f t="shared" si="123"/>
        <v>5.1429473856001717E-7</v>
      </c>
      <c r="AC185" s="22">
        <f t="shared" si="124"/>
        <v>-7.0009242693347407E-7</v>
      </c>
      <c r="AD185" s="22">
        <f t="shared" si="135"/>
        <v>4.9063999319096793E-14</v>
      </c>
      <c r="AE185" s="22">
        <f t="shared" si="137"/>
        <v>0</v>
      </c>
      <c r="AF185" s="22">
        <f t="shared" si="138"/>
        <v>-3.1861089322404723E-8</v>
      </c>
      <c r="AG185" s="22">
        <f t="shared" si="139"/>
        <v>4.3396762350322859E-8</v>
      </c>
      <c r="AH185" s="22">
        <f t="shared" si="136"/>
        <v>1.8844701844044448E-16</v>
      </c>
      <c r="AI185" s="22"/>
      <c r="AM185" s="23">
        <f t="shared" si="115"/>
        <v>62.677110903749245</v>
      </c>
      <c r="AN185" s="23">
        <f t="shared" si="116"/>
        <v>0.44805237720564223</v>
      </c>
      <c r="AO185" s="23">
        <f t="shared" si="134"/>
        <v>1547.9887170839897</v>
      </c>
      <c r="AP185" s="25">
        <f t="shared" si="118"/>
        <v>6029.247506233587</v>
      </c>
      <c r="AQ185" s="22">
        <f>-X185*V185*W185^(-Parameters!B$53)*Parameters!B$47*Parameters!B$46*M185</f>
        <v>-2.0260383936331804E-6</v>
      </c>
      <c r="AR185" s="7">
        <f>1000*EXP(-(Parameters!$B$55)*'6states'!A185)*AP185*Parameters!B$47*Parameters!B$46*M185</f>
        <v>0.25183748722190341</v>
      </c>
      <c r="AS185" s="59">
        <f>SUM(AR185:AR$204)*EXP(Parameters!$B$55*A185)</f>
        <v>5721.5419290739328</v>
      </c>
      <c r="AT185" s="39">
        <f t="shared" si="128"/>
        <v>0.23551516980364395</v>
      </c>
      <c r="AU185">
        <f>(1/$S185-1/Parameters!$B$13) * LN(Parameters!$B$18) / LN(O185)</f>
        <v>0.18993292062716821</v>
      </c>
      <c r="AV185">
        <f>(Parameters!$B$18*'6states'!S185^+Parameters!$B$19*Parameters!$B$25^'6states'!S185)^((1-'6states'!S185)/'6states'!S185)*Parameters!$B$18*Parameters!$B$26^('6states'!S185-1)</f>
        <v>0.30880722695367091</v>
      </c>
      <c r="AW185">
        <f t="shared" si="129"/>
        <v>0.16826641960500313</v>
      </c>
      <c r="AX185">
        <f t="shared" si="130"/>
        <v>0.12335351918359205</v>
      </c>
      <c r="AY185">
        <f t="shared" si="131"/>
        <v>0.19269106000580738</v>
      </c>
      <c r="AZ185">
        <f>(1/$S185-1/Parameters!$B$13) * LN(Parameters!$B$18) / A185</f>
        <v>5.4093519131204011E-3</v>
      </c>
    </row>
    <row r="186" spans="1:52" x14ac:dyDescent="0.25">
      <c r="A186">
        <f>A185+Parameters!$B$71</f>
        <v>182</v>
      </c>
      <c r="B186" s="9">
        <f t="shared" si="142"/>
        <v>-2.9568713141259393E-6</v>
      </c>
      <c r="C186" s="9">
        <f t="shared" si="140"/>
        <v>9.0949993792235756E-2</v>
      </c>
      <c r="D186" s="9">
        <f t="shared" si="141"/>
        <v>0.22597556464516125</v>
      </c>
      <c r="E186" s="7">
        <f>MAX((1-Parameters!$B$4)^Parameters!B$71*E185 + B185*Parameters!B$71 - IF(B185&gt;0,Parameters!$B$5,0)*B185^2/E185*Parameters!B$71, 0.0001)</f>
        <v>1E-4</v>
      </c>
      <c r="F186" s="7">
        <f>(1-Parameters!$B$4)^Parameters!B$71*F185+C185*Parameters!B$71-Parameters!$B$5*C185^2/F185*Parameters!B$71</f>
        <v>1.3485739090313897</v>
      </c>
      <c r="G186" s="7">
        <f>(1-Parameters!$B$4)^Parameters!B$71*G185+D185*Parameters!B$71-Parameters!$B$5*D185^2/G185*Parameters!B$71</f>
        <v>3.3497681239700015</v>
      </c>
      <c r="H186" s="9">
        <f>MAX(H185 * (1-Parameters!$B$4) ^ Parameters!B$71 + (LN(1+EXP(Parameters!$B$21*(-B185+0.004)))/Parameters!$B$21 -0.004) * Parameters!B$71,0)</f>
        <v>1.3988776992511729E-2</v>
      </c>
      <c r="I186" s="23">
        <f>I185*(1+Parameters!$B$52)^Parameters!B$71</f>
        <v>13.822259990055613</v>
      </c>
      <c r="J186" s="23">
        <f>J185*(1+Parameters!$B$54)^Parameters!B$71</f>
        <v>331.59466253078716</v>
      </c>
      <c r="K186" s="23">
        <f>I186*J186*EXP(-Parameters!$B$43*'6states'!A186)*(Parameters!$B$38/Parameters!$B$39*('6states'!E186+'6states'!H186)/Parameters!$E$25*(EXP(-Parameters!$B$39*Parameters!$E$25*'6states'!H186/('6states'!E186+'6states'!H186))-EXP(-Parameters!$B$39*Parameters!$E$25))  +  Parameters!$B$40*'6states'!E186)</f>
        <v>5.9017112934589673E-2</v>
      </c>
      <c r="L186" s="8">
        <f>L185+K186*Parameters!B$71</f>
        <v>3314.9937323678582</v>
      </c>
      <c r="M186" s="7">
        <f>L186*Parameters!$B$46</f>
        <v>1.9889962394207148</v>
      </c>
      <c r="N186" s="9">
        <f>EXP(-Parameters!$B$47/2*M186^2)</f>
        <v>0.96102114637026481</v>
      </c>
      <c r="O186" s="8">
        <f>MAX((Parameters!$B$63 + Parameters!$B$31*'6states'!A186 - '6states'!L186 + Parameters!$B$48/Parameters!$B$46)/Parameters!B$63,1)</f>
        <v>174.34812535264282</v>
      </c>
      <c r="P186" s="59">
        <f>Parameters!B$62*EXP(-Parameters!B$61*A186)</f>
        <v>3.6715286396939474E-3</v>
      </c>
      <c r="Q186" s="59">
        <f>(1-Parameters!B$62)*O186^-Parameters!B$64</f>
        <v>0.29842024056370131</v>
      </c>
      <c r="R186" s="7">
        <f>Parameters!B$62*EXP(-Parameters!B$61*A186)+(1-Parameters!B$62)*O186^-Parameters!B$64</f>
        <v>0.30209176920339526</v>
      </c>
      <c r="S186" s="7">
        <f>1-R186/Parameters!$B$12</f>
        <v>0.84895411539830234</v>
      </c>
      <c r="T186" s="7">
        <f t="shared" si="119"/>
        <v>6.6205047733472684</v>
      </c>
      <c r="U186" s="7">
        <f>(Parameters!$B$19*(E186+Parameters!$B$20)^S186+Parameters!$B$18*F186^S186)^(1/S186)</f>
        <v>0.34555905759239403</v>
      </c>
      <c r="V186" s="7">
        <f>(Parameters!$B$10*G186^Parameters!$B$9+Parameters!$B$11*U186^Parameters!$B$9)^(Parameters!$B$7/Parameters!$B$9)*N186</f>
        <v>1.3456804262804241</v>
      </c>
      <c r="W186" s="7">
        <f>V186 - C186 - D186 - LN(1+EXP(Parameters!$B$21*B186))/Parameters!$B$21 - IF(B186&gt;0, 0,Parameters!$B$6*B186^2/E186)</f>
        <v>1.0264454181945533</v>
      </c>
      <c r="X186" s="7">
        <f>EXP(-Parameters!$B$56*A186)</f>
        <v>6.4043034982180613E-2</v>
      </c>
      <c r="Y186" s="7">
        <f>IF(W186&gt;0,W186^(1-Parameters!$B$53)/(1-Parameters!$B$53)*X186*Parameters!$B$71,-10+W186*1000)</f>
        <v>-0.18131607505212533</v>
      </c>
      <c r="AA186" s="22">
        <f t="shared" si="122"/>
        <v>0</v>
      </c>
      <c r="AB186" s="22">
        <f t="shared" si="123"/>
        <v>4.8429192187060544E-7</v>
      </c>
      <c r="AC186" s="22">
        <f t="shared" si="124"/>
        <v>-6.5922944769702951E-7</v>
      </c>
      <c r="AD186" s="22">
        <f t="shared" si="135"/>
        <v>4.2852611998157648E-14</v>
      </c>
      <c r="AE186" s="22">
        <f t="shared" si="137"/>
        <v>0</v>
      </c>
      <c r="AF186" s="22">
        <f t="shared" si="138"/>
        <v>-3.0002816689411738E-8</v>
      </c>
      <c r="AG186" s="22">
        <f t="shared" si="139"/>
        <v>4.0862979236444552E-8</v>
      </c>
      <c r="AH186" s="22">
        <f t="shared" si="136"/>
        <v>1.6458753105012575E-16</v>
      </c>
      <c r="AI186" s="22"/>
      <c r="AM186" s="23">
        <f t="shared" si="115"/>
        <v>64.11598752164447</v>
      </c>
      <c r="AN186" s="23">
        <f t="shared" si="116"/>
        <v>0.45833876368152926</v>
      </c>
      <c r="AO186" s="23">
        <f t="shared" si="134"/>
        <v>1583.8311123585224</v>
      </c>
      <c r="AP186" s="25">
        <f t="shared" si="118"/>
        <v>6167.7750289180276</v>
      </c>
      <c r="AQ186" s="22">
        <f>-X186*V186*W186^(-Parameters!B$53)*Parameters!B$47*Parameters!B$46*M186</f>
        <v>-1.9956836458342377E-6</v>
      </c>
      <c r="AR186" s="7">
        <f>1000*EXP(-(Parameters!$B$55)*'6states'!A186)*AP186*Parameters!B$47*Parameters!B$46*M186</f>
        <v>0.24874237968761426</v>
      </c>
      <c r="AS186" s="59">
        <f>SUM(AR186:AR$204)*EXP(Parameters!$B$55*A186)</f>
        <v>5776.1449897784205</v>
      </c>
      <c r="AT186" s="39">
        <f t="shared" si="128"/>
        <v>0.23551104361537314</v>
      </c>
      <c r="AU186">
        <f>(1/$S186-1/Parameters!$B$13) * LN(Parameters!$B$18) / LN(O186)</f>
        <v>0.18975322175427473</v>
      </c>
      <c r="AV186">
        <f>(Parameters!$B$18*'6states'!S186^+Parameters!$B$19*Parameters!$B$25^'6states'!S186)^((1-'6states'!S186)/'6states'!S186)*Parameters!$B$18*Parameters!$B$26^('6states'!S186-1)</f>
        <v>0.30882086592271379</v>
      </c>
      <c r="AW186">
        <f t="shared" si="129"/>
        <v>0.16807562148816024</v>
      </c>
      <c r="AX186">
        <f t="shared" si="130"/>
        <v>0.1232443192547007</v>
      </c>
      <c r="AY186">
        <f t="shared" si="131"/>
        <v>0.19269869211743273</v>
      </c>
      <c r="AZ186">
        <f>(1/$S186-1/Parameters!$B$13) * LN(Parameters!$B$18) / A186</f>
        <v>5.3809155390404911E-3</v>
      </c>
    </row>
    <row r="187" spans="1:52" x14ac:dyDescent="0.25">
      <c r="A187">
        <f>A186+Parameters!$B$71</f>
        <v>183</v>
      </c>
      <c r="B187" s="9">
        <f t="shared" si="142"/>
        <v>-2.9568713141259393E-6</v>
      </c>
      <c r="C187" s="9">
        <f t="shared" si="140"/>
        <v>9.0949993792235756E-2</v>
      </c>
      <c r="D187" s="9">
        <f t="shared" si="141"/>
        <v>0.22597556464516125</v>
      </c>
      <c r="E187" s="7">
        <f>MAX((1-Parameters!$B$4)^Parameters!B$71*E186 + B186*Parameters!B$71 - IF(B186&gt;0,Parameters!$B$5,0)*B186^2/E186*Parameters!B$71, 0.0001)</f>
        <v>1E-4</v>
      </c>
      <c r="F187" s="7">
        <f>(1-Parameters!$B$4)^Parameters!B$71*F186+C186*Parameters!B$71-Parameters!$B$5*C186^2/F186*Parameters!B$71</f>
        <v>1.3485647900585918</v>
      </c>
      <c r="G187" s="7">
        <f>(1-Parameters!$B$4)^Parameters!B$71*G186+D186*Parameters!B$71-Parameters!$B$5*D186^2/G186*Parameters!B$71</f>
        <v>3.34979894806211</v>
      </c>
      <c r="H187" s="9">
        <f>MAX(H186 * (1-Parameters!$B$4) ^ Parameters!B$71 + (LN(1+EXP(Parameters!$B$21*(-B186+0.004)))/Parameters!$B$21 -0.004) * Parameters!B$71,0)</f>
        <v>1.3988763806294331E-2</v>
      </c>
      <c r="I187" s="23">
        <f>I186*(1+Parameters!$B$52)^Parameters!B$71</f>
        <v>13.862344544026774</v>
      </c>
      <c r="J187" s="23">
        <f>J186*(1+Parameters!$B$54)^Parameters!B$71</f>
        <v>338.22655578140291</v>
      </c>
      <c r="K187" s="23">
        <f>I187*J187*EXP(-Parameters!$B$43*'6states'!A187)*(Parameters!$B$38/Parameters!$B$39*('6states'!E187+'6states'!H187)/Parameters!$E$25*(EXP(-Parameters!$B$39*Parameters!$E$25*'6states'!H187/('6states'!E187+'6states'!H187))-EXP(-Parameters!$B$39*Parameters!$E$25))  +  Parameters!$B$40*'6states'!E187)</f>
        <v>5.9771316099699379E-2</v>
      </c>
      <c r="L187" s="8">
        <f>L186+K187*Parameters!B$71</f>
        <v>3315.0535036839578</v>
      </c>
      <c r="M187" s="7">
        <f>L187*Parameters!$B$46</f>
        <v>1.9890321022103745</v>
      </c>
      <c r="N187" s="9">
        <f>EXP(-Parameters!$B$47/2*M187^2)</f>
        <v>0.96101976849267601</v>
      </c>
      <c r="O187" s="8">
        <f>MAX((Parameters!$B$63 + Parameters!$B$31*'6states'!A187 - '6states'!L187 + Parameters!$B$48/Parameters!$B$46)/Parameters!B$63,1)</f>
        <v>175.41092992632085</v>
      </c>
      <c r="P187" s="59">
        <f>Parameters!B$62*EXP(-Parameters!B$61*A187)</f>
        <v>3.5737236750246599E-3</v>
      </c>
      <c r="Q187" s="59">
        <f>(1-Parameters!B$62)*O187^-Parameters!B$64</f>
        <v>0.29823893459807294</v>
      </c>
      <c r="R187" s="7">
        <f>Parameters!B$62*EXP(-Parameters!B$61*A187)+(1-Parameters!B$62)*O187^-Parameters!B$64</f>
        <v>0.30181265827309761</v>
      </c>
      <c r="S187" s="7">
        <f>1-R187/Parameters!$B$12</f>
        <v>0.84909367086345122</v>
      </c>
      <c r="T187" s="7">
        <f t="shared" si="119"/>
        <v>6.6266272973557134</v>
      </c>
      <c r="U187" s="7">
        <f>(Parameters!$B$19*(E187+Parameters!$B$20)^S187+Parameters!$B$18*F187^S187)^(1/S187)</f>
        <v>0.34562450242813408</v>
      </c>
      <c r="V187" s="7">
        <f>(Parameters!$B$10*G187^Parameters!$B$9+Parameters!$B$11*U187^Parameters!$B$9)^(Parameters!$B$7/Parameters!$B$9)*N187</f>
        <v>1.3457035231565224</v>
      </c>
      <c r="W187" s="7">
        <f>V187 - C187 - D187 - LN(1+EXP(Parameters!$B$21*B187))/Parameters!$B$21 - IF(B187&gt;0, 0,Parameters!$B$6*B187^2/E187)</f>
        <v>1.0264685150706516</v>
      </c>
      <c r="X187" s="7">
        <f>EXP(-Parameters!$B$56*A187)</f>
        <v>6.3083249768959085E-2</v>
      </c>
      <c r="Y187" s="7">
        <f>IF(W187&gt;0,W187^(1-Parameters!$B$53)/(1-Parameters!$B$53)*X187*Parameters!$B$71,-10+W187*1000)</f>
        <v>-0.17859736304896423</v>
      </c>
      <c r="AA187" s="22">
        <f t="shared" si="122"/>
        <v>0</v>
      </c>
      <c r="AB187" s="22">
        <f t="shared" si="123"/>
        <v>4.5603904177959897E-7</v>
      </c>
      <c r="AC187" s="22">
        <f t="shared" si="124"/>
        <v>-6.2075222742596914E-7</v>
      </c>
      <c r="AD187" s="22">
        <f t="shared" si="135"/>
        <v>3.7427603434139212E-14</v>
      </c>
      <c r="AE187" s="22">
        <f t="shared" si="137"/>
        <v>0</v>
      </c>
      <c r="AF187" s="22">
        <f t="shared" si="138"/>
        <v>-2.825288009100646E-8</v>
      </c>
      <c r="AG187" s="22">
        <f t="shared" si="139"/>
        <v>3.8477220271060375E-8</v>
      </c>
      <c r="AH187" s="22">
        <f t="shared" si="136"/>
        <v>1.4374917098929078E-16</v>
      </c>
      <c r="AI187" s="22"/>
      <c r="AM187" s="23">
        <f t="shared" si="115"/>
        <v>65.587900538095411</v>
      </c>
      <c r="AN187" s="23">
        <f t="shared" si="116"/>
        <v>0.46886130501812984</v>
      </c>
      <c r="AO187" s="23">
        <f t="shared" si="134"/>
        <v>1620.4995525469672</v>
      </c>
      <c r="AP187" s="25">
        <f t="shared" si="118"/>
        <v>6309.4831003466215</v>
      </c>
      <c r="AQ187" s="22">
        <f>-X187*V187*W187^(-Parameters!B$53)*Parameters!B$47*Parameters!B$46*M187</f>
        <v>-1.9657846688095697E-6</v>
      </c>
      <c r="AR187" s="7">
        <f>1000*EXP(-(Parameters!$B$55)*'6states'!A187)*AP187*Parameters!B$47*Parameters!B$46*M187</f>
        <v>0.24568527957895572</v>
      </c>
      <c r="AS187" s="59">
        <f>SUM(AR187:AR$204)*EXP(Parameters!$B$55*A187)</f>
        <v>5829.2543785365297</v>
      </c>
      <c r="AT187" s="39">
        <f t="shared" si="128"/>
        <v>0.2355070014401833</v>
      </c>
      <c r="AU187">
        <f>(1/$S187-1/Parameters!$B$13) * LN(Parameters!$B$18) / LN(O187)</f>
        <v>0.18957467620387028</v>
      </c>
      <c r="AV187">
        <f>(Parameters!$B$18*'6states'!S187^+Parameters!$B$19*Parameters!$B$25^'6states'!S187)^((1-'6states'!S187)/'6states'!S187)*Parameters!$B$18*Parameters!$B$26^('6states'!S187-1)</f>
        <v>0.30883427690673948</v>
      </c>
      <c r="AW187">
        <f t="shared" si="129"/>
        <v>0.16788634189942944</v>
      </c>
      <c r="AX187">
        <f t="shared" si="130"/>
        <v>0.12313580670827307</v>
      </c>
      <c r="AY187">
        <f t="shared" si="131"/>
        <v>0.1927061965825595</v>
      </c>
      <c r="AZ187">
        <f>(1/$S187-1/Parameters!$B$13) * LN(Parameters!$B$18) / A187</f>
        <v>5.3527719158220442E-3</v>
      </c>
    </row>
    <row r="188" spans="1:52" x14ac:dyDescent="0.25">
      <c r="A188">
        <f>A187+Parameters!$B$71</f>
        <v>184</v>
      </c>
      <c r="B188" s="9">
        <f t="shared" si="142"/>
        <v>-2.9568713141259393E-6</v>
      </c>
      <c r="C188" s="9">
        <f t="shared" si="140"/>
        <v>9.0949993792235756E-2</v>
      </c>
      <c r="D188" s="9">
        <f t="shared" si="141"/>
        <v>0.22597556464516125</v>
      </c>
      <c r="E188" s="7">
        <f>MAX((1-Parameters!$B$4)^Parameters!B$71*E187 + B187*Parameters!B$71 - IF(B187&gt;0,Parameters!$B$5,0)*B187^2/E187*Parameters!B$71, 0.0001)</f>
        <v>1E-4</v>
      </c>
      <c r="F188" s="7">
        <f>(1-Parameters!$B$4)^Parameters!B$71*F187+C187*Parameters!B$71-Parameters!$B$5*C187^2/F187*Parameters!B$71</f>
        <v>1.3485562031924347</v>
      </c>
      <c r="G188" s="7">
        <f>(1-Parameters!$B$4)^Parameters!B$71*G187+D187*Parameters!B$71-Parameters!$B$5*D187^2/G187*Parameters!B$71</f>
        <v>3.3498279735936598</v>
      </c>
      <c r="H188" s="9">
        <f>MAX(H187 * (1-Parameters!$B$4) ^ Parameters!B$71 + (LN(1+EXP(Parameters!$B$21*(-B187+0.004)))/Parameters!$B$21 -0.004) * Parameters!B$71,0)</f>
        <v>1.3988751449490008E-2</v>
      </c>
      <c r="I188" s="23">
        <f>I187*(1+Parameters!$B$52)^Parameters!B$71</f>
        <v>13.90254534320445</v>
      </c>
      <c r="J188" s="23">
        <f>J187*(1+Parameters!$B$54)^Parameters!B$71</f>
        <v>344.99108689703098</v>
      </c>
      <c r="K188" s="23">
        <f>I188*J188*EXP(-Parameters!$B$43*'6states'!A188)*(Parameters!$B$38/Parameters!$B$39*('6states'!E188+'6states'!H188)/Parameters!$E$25*(EXP(-Parameters!$B$39*Parameters!$E$25*'6states'!H188/('6states'!E188+'6states'!H188))-EXP(-Parameters!$B$39*Parameters!$E$25))  +  Parameters!$B$40*'6states'!E188)</f>
        <v>6.0535157527102458E-2</v>
      </c>
      <c r="L188" s="8">
        <f>L187+K188*Parameters!B$71</f>
        <v>3315.1140388414851</v>
      </c>
      <c r="M188" s="7">
        <f>L188*Parameters!$B$46</f>
        <v>1.989068423304891</v>
      </c>
      <c r="N188" s="9">
        <f>EXP(-Parameters!$B$47/2*M188^2)</f>
        <v>0.96101837298333292</v>
      </c>
      <c r="O188" s="8">
        <f>MAX((Parameters!$B$63 + Parameters!$B$31*'6states'!A188 - '6states'!L188 + Parameters!$B$48/Parameters!$B$46)/Parameters!B$63,1)</f>
        <v>176.47371922317035</v>
      </c>
      <c r="P188" s="59">
        <f>Parameters!B$62*EXP(-Parameters!B$61*A188)</f>
        <v>3.4785241131869179E-3</v>
      </c>
      <c r="Q188" s="59">
        <f>(1-Parameters!B$62)*O188^-Parameters!B$64</f>
        <v>0.29805883558063695</v>
      </c>
      <c r="R188" s="7">
        <f>Parameters!B$62*EXP(-Parameters!B$61*A188)+(1-Parameters!B$62)*O188^-Parameters!B$64</f>
        <v>0.30153735969382389</v>
      </c>
      <c r="S188" s="7">
        <f>1-R188/Parameters!$B$12</f>
        <v>0.84923132015308811</v>
      </c>
      <c r="T188" s="7">
        <f t="shared" si="119"/>
        <v>6.6326772975354302</v>
      </c>
      <c r="U188" s="7">
        <f>(Parameters!$B$19*(E188+Parameters!$B$20)^S188+Parameters!$B$18*F188^S188)^(1/S188)</f>
        <v>0.34568915065638878</v>
      </c>
      <c r="V188" s="7">
        <f>(Parameters!$B$10*G188^Parameters!$B$9+Parameters!$B$11*U188^Parameters!$B$9)^(Parameters!$B$7/Parameters!$B$9)*N188</f>
        <v>1.345726154940617</v>
      </c>
      <c r="W188" s="7">
        <f>V188 - C188 - D188 - LN(1+EXP(Parameters!$B$21*B188))/Parameters!$B$21 - IF(B188&gt;0, 0,Parameters!$B$6*B188^2/E188)</f>
        <v>1.0264911468547462</v>
      </c>
      <c r="X188" s="7">
        <f>EXP(-Parameters!$B$56*A188)</f>
        <v>6.2137848440820063E-2</v>
      </c>
      <c r="Y188" s="7">
        <f>IF(W188&gt;0,W188^(1-Parameters!$B$53)/(1-Parameters!$B$53)*X188*Parameters!$B$71,-10+W188*1000)</f>
        <v>-0.17591944422353528</v>
      </c>
      <c r="AA188" s="22">
        <f t="shared" si="122"/>
        <v>0</v>
      </c>
      <c r="AB188" s="22">
        <f t="shared" si="123"/>
        <v>4.2943407278783763E-7</v>
      </c>
      <c r="AC188" s="22">
        <f t="shared" si="124"/>
        <v>-5.8452139924114466E-7</v>
      </c>
      <c r="AD188" s="22">
        <f t="shared" si="135"/>
        <v>3.2689410275205268E-14</v>
      </c>
      <c r="AE188" s="22">
        <f t="shared" si="137"/>
        <v>0</v>
      </c>
      <c r="AF188" s="22">
        <f t="shared" si="138"/>
        <v>-2.6604968991761346E-8</v>
      </c>
      <c r="AG188" s="22">
        <f t="shared" si="139"/>
        <v>3.6230828184824482E-8</v>
      </c>
      <c r="AH188" s="22">
        <f t="shared" si="136"/>
        <v>1.2554935413323075E-16</v>
      </c>
      <c r="AI188" s="22"/>
      <c r="AM188" s="23">
        <f t="shared" si="115"/>
        <v>67.093608292274013</v>
      </c>
      <c r="AN188" s="23">
        <f t="shared" si="116"/>
        <v>0.47962542285873594</v>
      </c>
      <c r="AO188" s="23">
        <f t="shared" si="134"/>
        <v>1658.0130506124776</v>
      </c>
      <c r="AP188" s="25">
        <f t="shared" si="118"/>
        <v>6454.444761154542</v>
      </c>
      <c r="AQ188" s="22">
        <f>-X188*V188*W188^(-Parameters!B$53)*Parameters!B$47*Parameters!B$46*M188</f>
        <v>-1.9363345944006478E-6</v>
      </c>
      <c r="AR188" s="7">
        <f>1000*EXP(-(Parameters!$B$55)*'6states'!A188)*AP188*Parameters!B$47*Parameters!B$46*M188</f>
        <v>0.24266572381789828</v>
      </c>
      <c r="AS188" s="59">
        <f>SUM(AR188:AR$204)*EXP(Parameters!$B$55*A188)</f>
        <v>5880.7375586932749</v>
      </c>
      <c r="AT188" s="39">
        <f t="shared" si="128"/>
        <v>0.23550304079515177</v>
      </c>
      <c r="AU188">
        <f>(1/$S188-1/Parameters!$B$13) * LN(Parameters!$B$18) / LN(O188)</f>
        <v>0.18939727407841608</v>
      </c>
      <c r="AV188">
        <f>(Parameters!$B$18*'6states'!S188^+Parameters!$B$19*Parameters!$B$25^'6states'!S188)^((1-'6states'!S188)/'6states'!S188)*Parameters!$B$18*Parameters!$B$26^('6states'!S188-1)</f>
        <v>0.30884746574306499</v>
      </c>
      <c r="AW188">
        <f t="shared" si="129"/>
        <v>0.16769856050146292</v>
      </c>
      <c r="AX188">
        <f t="shared" si="130"/>
        <v>0.12302797578646574</v>
      </c>
      <c r="AY188">
        <f t="shared" si="131"/>
        <v>0.19271357667112332</v>
      </c>
      <c r="AZ188">
        <f>(1/$S188-1/Parameters!$B$13) * LN(Parameters!$B$18) / A188</f>
        <v>5.3249166774059897E-3</v>
      </c>
    </row>
    <row r="189" spans="1:52" x14ac:dyDescent="0.25">
      <c r="A189">
        <f>A188+Parameters!$B$71</f>
        <v>185</v>
      </c>
      <c r="B189" s="9">
        <f t="shared" si="142"/>
        <v>-2.9568713141259393E-6</v>
      </c>
      <c r="C189" s="9">
        <f t="shared" si="140"/>
        <v>9.0949993792235756E-2</v>
      </c>
      <c r="D189" s="9">
        <f t="shared" si="141"/>
        <v>0.22597556464516125</v>
      </c>
      <c r="E189" s="7">
        <f>MAX((1-Parameters!$B$4)^Parameters!B$71*E188 + B188*Parameters!B$71 - IF(B188&gt;0,Parameters!$B$5,0)*B188^2/E188*Parameters!B$71, 0.0001)</f>
        <v>1E-4</v>
      </c>
      <c r="F189" s="7">
        <f>(1-Parameters!$B$4)^Parameters!B$71*F188+C188*Parameters!B$71-Parameters!$B$5*C188^2/F188*Parameters!B$71</f>
        <v>1.3485481173831328</v>
      </c>
      <c r="G189" s="7">
        <f>(1-Parameters!$B$4)^Parameters!B$71*G188+D188*Parameters!B$71-Parameters!$B$5*D188^2/G188*Parameters!B$71</f>
        <v>3.3498553055068281</v>
      </c>
      <c r="H189" s="9">
        <f>MAX(H188 * (1-Parameters!$B$4) ^ Parameters!B$71 + (LN(1+EXP(Parameters!$B$21*(-B188+0.004)))/Parameters!$B$21 -0.004) * Parameters!B$71,0)</f>
        <v>1.3988739869928676E-2</v>
      </c>
      <c r="I189" s="23">
        <f>I188*(1+Parameters!$B$52)^Parameters!B$71</f>
        <v>13.942862724699742</v>
      </c>
      <c r="J189" s="23">
        <f>J188*(1+Parameters!$B$54)^Parameters!B$71</f>
        <v>351.89090863497159</v>
      </c>
      <c r="K189" s="23">
        <f>I189*J189*EXP(-Parameters!$B$43*'6states'!A189)*(Parameters!$B$38/Parameters!$B$39*('6states'!E189+'6states'!H189)/Parameters!$E$25*(EXP(-Parameters!$B$39*Parameters!$E$25*'6states'!H189/('6states'!E189+'6states'!H189))-EXP(-Parameters!$B$39*Parameters!$E$25))  +  Parameters!$B$40*'6states'!E189)</f>
        <v>6.1308760387987181E-2</v>
      </c>
      <c r="L189" s="8">
        <f>L188+K189*Parameters!B$71</f>
        <v>3315.175347601873</v>
      </c>
      <c r="M189" s="7">
        <f>L189*Parameters!$B$46</f>
        <v>1.9891052085611236</v>
      </c>
      <c r="N189" s="9">
        <f>EXP(-Parameters!$B$47/2*M189^2)</f>
        <v>0.96101695961631306</v>
      </c>
      <c r="O189" s="8">
        <f>MAX((Parameters!$B$63 + Parameters!$B$31*'6states'!A189 - '6states'!L189 + Parameters!$B$48/Parameters!$B$46)/Parameters!B$63,1)</f>
        <v>177.53649304796255</v>
      </c>
      <c r="P189" s="59">
        <f>Parameters!B$62*EXP(-Parameters!B$61*A189)</f>
        <v>3.3858605494839606E-3</v>
      </c>
      <c r="Q189" s="59">
        <f>(1-Parameters!B$62)*O189^-Parameters!B$64</f>
        <v>0.29787992831153076</v>
      </c>
      <c r="R189" s="7">
        <f>Parameters!B$62*EXP(-Parameters!B$61*A189)+(1-Parameters!B$62)*O189^-Parameters!B$64</f>
        <v>0.30126578886101474</v>
      </c>
      <c r="S189" s="7">
        <f>1-R189/Parameters!$B$12</f>
        <v>0.84936710556949269</v>
      </c>
      <c r="T189" s="7">
        <f t="shared" si="119"/>
        <v>6.6386562097254131</v>
      </c>
      <c r="U189" s="7">
        <f>(Parameters!$B$19*(E189+Parameters!$B$20)^S189+Parameters!$B$18*F189^S189)^(1/S189)</f>
        <v>0.34575301531977665</v>
      </c>
      <c r="V189" s="7">
        <f>(Parameters!$B$10*G189^Parameters!$B$9+Parameters!$B$11*U189^Parameters!$B$9)^(Parameters!$B$7/Parameters!$B$9)*N189</f>
        <v>1.3457483351800428</v>
      </c>
      <c r="W189" s="7">
        <f>V189 - C189 - D189 - LN(1+EXP(Parameters!$B$21*B189))/Parameters!$B$21 - IF(B189&gt;0, 0,Parameters!$B$6*B189^2/E189)</f>
        <v>1.026513327094172</v>
      </c>
      <c r="X189" s="7">
        <f>EXP(-Parameters!$B$56*A189)</f>
        <v>6.1206615432710852E-2</v>
      </c>
      <c r="Y189" s="7">
        <f>IF(W189&gt;0,W189^(1-Parameters!$B$53)/(1-Parameters!$B$53)*X189*Parameters!$B$71,-10+W189*1000)</f>
        <v>-0.17328170526995379</v>
      </c>
      <c r="AA189" s="22">
        <f t="shared" si="122"/>
        <v>0</v>
      </c>
      <c r="AB189" s="22">
        <f t="shared" si="123"/>
        <v>4.0438093323880153E-7</v>
      </c>
      <c r="AC189" s="22">
        <f t="shared" si="124"/>
        <v>-5.5040574614695359E-7</v>
      </c>
      <c r="AD189" s="22">
        <f t="shared" si="135"/>
        <v>2.8551075886695805E-14</v>
      </c>
      <c r="AE189" s="22">
        <f t="shared" si="137"/>
        <v>0</v>
      </c>
      <c r="AF189" s="22">
        <f t="shared" si="138"/>
        <v>-2.5053139549036096E-8</v>
      </c>
      <c r="AG189" s="22">
        <f t="shared" si="139"/>
        <v>3.4115653094191067E-8</v>
      </c>
      <c r="AH189" s="22">
        <f t="shared" si="136"/>
        <v>1.0965395213952569E-16</v>
      </c>
      <c r="AI189" s="22"/>
      <c r="AM189" s="23">
        <f t="shared" si="115"/>
        <v>68.633886537874687</v>
      </c>
      <c r="AN189" s="23">
        <f t="shared" si="116"/>
        <v>0.49063666331672684</v>
      </c>
      <c r="AO189" s="23">
        <f t="shared" si="134"/>
        <v>1696.3910576819233</v>
      </c>
      <c r="AP189" s="25">
        <f t="shared" si="118"/>
        <v>6602.7347283677627</v>
      </c>
      <c r="AQ189" s="22">
        <f>-X189*V189*W189^(-Parameters!B$53)*Parameters!B$47*Parameters!B$46*M189</f>
        <v>-1.9073266591875492E-6</v>
      </c>
      <c r="AR189" s="7">
        <f>1000*EXP(-(Parameters!$B$55)*'6states'!A189)*AP189*Parameters!B$47*Parameters!B$46*M189</f>
        <v>0.23968325478647656</v>
      </c>
      <c r="AS189" s="59">
        <f>SUM(AR189:AR$204)*EXP(Parameters!$B$55*A189)</f>
        <v>5930.4554371047952</v>
      </c>
      <c r="AT189" s="39">
        <f t="shared" si="128"/>
        <v>0.23549915930134363</v>
      </c>
      <c r="AU189">
        <f>(1/$S189-1/Parameters!$B$13) * LN(Parameters!$B$18) / LN(O189)</f>
        <v>0.18922100555790899</v>
      </c>
      <c r="AV189">
        <f>(Parameters!$B$18*'6states'!S189^+Parameters!$B$19*Parameters!$B$25^'6states'!S189)^((1-'6states'!S189)/'6states'!S189)*Parameters!$B$18*Parameters!$B$26^('6states'!S189-1)</f>
        <v>0.30886043809178176</v>
      </c>
      <c r="AW189">
        <f t="shared" si="129"/>
        <v>0.16751225733205541</v>
      </c>
      <c r="AX189">
        <f t="shared" si="130"/>
        <v>0.12292082077401467</v>
      </c>
      <c r="AY189">
        <f t="shared" si="131"/>
        <v>0.19272083555371355</v>
      </c>
      <c r="AZ189">
        <f>(1/$S189-1/Parameters!$B$13) * LN(Parameters!$B$18) / A189</f>
        <v>5.2973455416168765E-3</v>
      </c>
    </row>
    <row r="190" spans="1:52" x14ac:dyDescent="0.25">
      <c r="A190">
        <f>A189+Parameters!$B$71</f>
        <v>186</v>
      </c>
      <c r="B190" s="9">
        <f t="shared" si="142"/>
        <v>-2.9568713141259393E-6</v>
      </c>
      <c r="C190" s="9">
        <f t="shared" si="140"/>
        <v>9.0949993792235756E-2</v>
      </c>
      <c r="D190" s="9">
        <f t="shared" si="141"/>
        <v>0.22597556464516125</v>
      </c>
      <c r="E190" s="7">
        <f>MAX((1-Parameters!$B$4)^Parameters!B$71*E189 + B189*Parameters!B$71 - IF(B189&gt;0,Parameters!$B$5,0)*B189^2/E189*Parameters!B$71, 0.0001)</f>
        <v>1E-4</v>
      </c>
      <c r="F190" s="7">
        <f>(1-Parameters!$B$4)^Parameters!B$71*F189+C189*Parameters!B$71-Parameters!$B$5*C189^2/F189*Parameters!B$71</f>
        <v>1.3485405033927926</v>
      </c>
      <c r="G190" s="7">
        <f>(1-Parameters!$B$4)^Parameters!B$71*G189+D189*Parameters!B$71-Parameters!$B$5*D189^2/G189*Parameters!B$71</f>
        <v>3.3498810426209076</v>
      </c>
      <c r="H190" s="9">
        <f>MAX(H189 * (1-Parameters!$B$4) ^ Parameters!B$71 + (LN(1+EXP(Parameters!$B$21*(-B189+0.004)))/Parameters!$B$21 -0.004) * Parameters!B$71,0)</f>
        <v>1.3988729018721752E-2</v>
      </c>
      <c r="I190" s="23">
        <f>I189*(1+Parameters!$B$52)^Parameters!B$71</f>
        <v>13.98329702660137</v>
      </c>
      <c r="J190" s="23">
        <f>J189*(1+Parameters!$B$54)^Parameters!B$71</f>
        <v>358.92872680767101</v>
      </c>
      <c r="K190" s="23">
        <f>I190*J190*EXP(-Parameters!$B$43*'6states'!A190)*(Parameters!$B$38/Parameters!$B$39*('6states'!E190+'6states'!H190)/Parameters!$E$25*(EXP(-Parameters!$B$39*Parameters!$E$25*'6states'!H190/('6states'!E190+'6states'!H190))-EXP(-Parameters!$B$39*Parameters!$E$25))  +  Parameters!$B$40*'6states'!E190)</f>
        <v>6.209224942759542E-2</v>
      </c>
      <c r="L190" s="8">
        <f>L189+K190*Parameters!B$71</f>
        <v>3315.2374398513007</v>
      </c>
      <c r="M190" s="7">
        <f>L190*Parameters!$B$46</f>
        <v>1.9891424639107802</v>
      </c>
      <c r="N190" s="9">
        <f>EXP(-Parameters!$B$47/2*M190^2)</f>
        <v>0.96101552816279101</v>
      </c>
      <c r="O190" s="8">
        <f>MAX((Parameters!$B$63 + Parameters!$B$31*'6states'!A190 - '6states'!L190 + Parameters!$B$48/Parameters!$B$46)/Parameters!B$63,1)</f>
        <v>178.59925120297402</v>
      </c>
      <c r="P190" s="59">
        <f>Parameters!B$62*EXP(-Parameters!B$61*A190)</f>
        <v>3.2956654280739805E-3</v>
      </c>
      <c r="Q190" s="59">
        <f>(1-Parameters!B$62)*O190^-Parameters!B$64</f>
        <v>0.29770219787254154</v>
      </c>
      <c r="R190" s="7">
        <f>Parameters!B$62*EXP(-Parameters!B$61*A190)+(1-Parameters!B$62)*O190^-Parameters!B$64</f>
        <v>0.30099786330061551</v>
      </c>
      <c r="S190" s="7">
        <f>1-R190/Parameters!$B$12</f>
        <v>0.84950106834969219</v>
      </c>
      <c r="T190" s="7">
        <f t="shared" si="119"/>
        <v>6.6445654399962963</v>
      </c>
      <c r="U190" s="7">
        <f>(Parameters!$B$19*(E190+Parameters!$B$20)^S190+Parameters!$B$18*F190^S190)^(1/S190)</f>
        <v>0.34581610937910651</v>
      </c>
      <c r="V190" s="7">
        <f>(Parameters!$B$10*G190^Parameters!$B$9+Parameters!$B$11*U190^Parameters!$B$9)^(Parameters!$B$7/Parameters!$B$9)*N190</f>
        <v>1.3457700768583793</v>
      </c>
      <c r="W190" s="7">
        <f>V190 - C190 - D190 - LN(1+EXP(Parameters!$B$21*B190))/Parameters!$B$21 - IF(B190&gt;0, 0,Parameters!$B$6*B190^2/E190)</f>
        <v>1.0265350687725086</v>
      </c>
      <c r="X190" s="7">
        <f>EXP(-Parameters!$B$56*A190)</f>
        <v>6.0289338410158787E-2</v>
      </c>
      <c r="Y190" s="7">
        <f>IF(W190&gt;0,W190^(1-Parameters!$B$53)/(1-Parameters!$B$53)*X190*Parameters!$B$71,-10+W190*1000)</f>
        <v>-0.17068354216628848</v>
      </c>
      <c r="AA190" s="22">
        <f t="shared" si="122"/>
        <v>0</v>
      </c>
      <c r="AB190" s="22">
        <f t="shared" si="123"/>
        <v>3.8078913933148328E-7</v>
      </c>
      <c r="AC190" s="22">
        <f t="shared" si="124"/>
        <v>-5.1828172344114964E-7</v>
      </c>
      <c r="AD190" s="22">
        <f t="shared" si="135"/>
        <v>2.4936653895716168E-14</v>
      </c>
      <c r="AE190" s="22">
        <f t="shared" si="137"/>
        <v>0</v>
      </c>
      <c r="AF190" s="22">
        <f t="shared" si="138"/>
        <v>-2.3591793907318248E-8</v>
      </c>
      <c r="AG190" s="22">
        <f t="shared" si="139"/>
        <v>3.2124022705803945E-8</v>
      </c>
      <c r="AH190" s="22">
        <f t="shared" si="136"/>
        <v>9.5771155938345353E-17</v>
      </c>
      <c r="AI190" s="22"/>
      <c r="AM190" s="23">
        <f t="shared" si="115"/>
        <v>70.209528842727721</v>
      </c>
      <c r="AN190" s="23">
        <f t="shared" si="116"/>
        <v>0.50190069983315222</v>
      </c>
      <c r="AO190" s="23">
        <f t="shared" si="134"/>
        <v>1735.6534731095144</v>
      </c>
      <c r="AP190" s="25">
        <f t="shared" si="118"/>
        <v>6754.429433897355</v>
      </c>
      <c r="AQ190" s="22">
        <f>-X190*V190*W190^(-Parameters!B$53)*Parameters!B$47*Parameters!B$46*M190</f>
        <v>-1.8787542028207485E-6</v>
      </c>
      <c r="AR190" s="7">
        <f>1000*EXP(-(Parameters!$B$55)*'6states'!A190)*AP190*Parameters!B$47*Parameters!B$46*M190</f>
        <v>0.23673742027260414</v>
      </c>
      <c r="AS190" s="59">
        <f>SUM(AR190:AR$204)*EXP(Parameters!$B$55*A190)</f>
        <v>5978.2620879772276</v>
      </c>
      <c r="AT190" s="39">
        <f t="shared" si="128"/>
        <v>0.23549535467895077</v>
      </c>
      <c r="AU190">
        <f>(1/$S190-1/Parameters!$B$13) * LN(Parameters!$B$18) / LN(O190)</f>
        <v>0.18904586089970393</v>
      </c>
      <c r="AV190">
        <f>(Parameters!$B$18*'6states'!S190^+Parameters!$B$19*Parameters!$B$25^'6states'!S190)^((1-'6states'!S190)/'6states'!S190)*Parameters!$B$18*Parameters!$B$26^('6states'!S190-1)</f>
        <v>0.30887319944176539</v>
      </c>
      <c r="AW190">
        <f t="shared" si="129"/>
        <v>0.16732741279536698</v>
      </c>
      <c r="AX190">
        <f t="shared" si="130"/>
        <v>0.12281433599820168</v>
      </c>
      <c r="AY190">
        <f t="shared" si="131"/>
        <v>0.19272797630494443</v>
      </c>
      <c r="AZ190">
        <f>(1/$S190-1/Parameters!$B$13) * LN(Parameters!$B$18) / A190</f>
        <v>5.2700543081974239E-3</v>
      </c>
    </row>
    <row r="191" spans="1:52" x14ac:dyDescent="0.25">
      <c r="A191">
        <f>A190+Parameters!$B$71</f>
        <v>187</v>
      </c>
      <c r="B191" s="9">
        <f t="shared" si="142"/>
        <v>-2.9568713141259393E-6</v>
      </c>
      <c r="C191" s="9">
        <f t="shared" si="140"/>
        <v>9.0949993792235756E-2</v>
      </c>
      <c r="D191" s="9">
        <f t="shared" si="141"/>
        <v>0.22597556464516125</v>
      </c>
      <c r="E191" s="7">
        <f>MAX((1-Parameters!$B$4)^Parameters!B$71*E190 + B190*Parameters!B$71 - IF(B190&gt;0,Parameters!$B$5,0)*B190^2/E190*Parameters!B$71, 0.0001)</f>
        <v>1E-4</v>
      </c>
      <c r="F191" s="7">
        <f>(1-Parameters!$B$4)^Parameters!B$71*F190+C190*Parameters!B$71-Parameters!$B$5*C190^2/F190*Parameters!B$71</f>
        <v>1.348533333689675</v>
      </c>
      <c r="G191" s="7">
        <f>(1-Parameters!$B$4)^Parameters!B$71*G190+D190*Parameters!B$71-Parameters!$B$5*D190^2/G190*Parameters!B$71</f>
        <v>3.3499052779895169</v>
      </c>
      <c r="H191" s="9">
        <f>MAX(H190 * (1-Parameters!$B$4) ^ Parameters!B$71 + (LN(1+EXP(Parameters!$B$21*(-B190+0.004)))/Parameters!$B$21 -0.004) * Parameters!B$71,0)</f>
        <v>1.3988718850055743E-2</v>
      </c>
      <c r="I191" s="23">
        <f>I190*(1+Parameters!$B$52)^Parameters!B$71</f>
        <v>14.023848587978513</v>
      </c>
      <c r="J191" s="23">
        <f>J190*(1+Parameters!$B$54)^Parameters!B$71</f>
        <v>366.10730134382442</v>
      </c>
      <c r="K191" s="23">
        <f>I191*J191*EXP(-Parameters!$B$43*'6states'!A191)*(Parameters!$B$38/Parameters!$B$39*('6states'!E191+'6states'!H191)/Parameters!$E$25*(EXP(-Parameters!$B$39*Parameters!$E$25*'6states'!H191/('6states'!E191+'6states'!H191))-EXP(-Parameters!$B$39*Parameters!$E$25))  +  Parameters!$B$40*'6states'!E191)</f>
        <v>6.2885750985338093E-2</v>
      </c>
      <c r="L191" s="8">
        <f>L190+K191*Parameters!B$71</f>
        <v>3315.3003256022862</v>
      </c>
      <c r="M191" s="7">
        <f>L191*Parameters!$B$46</f>
        <v>1.9891801953613715</v>
      </c>
      <c r="N191" s="9">
        <f>EXP(-Parameters!$B$47/2*M191^2)</f>
        <v>0.96101407839100172</v>
      </c>
      <c r="O191" s="8">
        <f>MAX((Parameters!$B$63 + Parameters!$B$31*'6states'!A191 - '6states'!L191 + Parameters!$B$48/Parameters!$B$46)/Parameters!B$63,1)</f>
        <v>179.66199348795428</v>
      </c>
      <c r="P191" s="59">
        <f>Parameters!B$62*EXP(-Parameters!B$61*A191)</f>
        <v>3.2078729927189241E-3</v>
      </c>
      <c r="Q191" s="59">
        <f>(1-Parameters!B$62)*O191^-Parameters!B$64</f>
        <v>0.29752562962025642</v>
      </c>
      <c r="R191" s="7">
        <f>Parameters!B$62*EXP(-Parameters!B$61*A191)+(1-Parameters!B$62)*O191^-Parameters!B$64</f>
        <v>0.30073350261297532</v>
      </c>
      <c r="S191" s="7">
        <f>1-R191/Parameters!$B$12</f>
        <v>0.84963324869351231</v>
      </c>
      <c r="T191" s="7">
        <f t="shared" si="119"/>
        <v>6.6504063651793093</v>
      </c>
      <c r="U191" s="7">
        <f>(Parameters!$B$19*(E191+Parameters!$B$20)^S191+Parameters!$B$18*F191^S191)^(1/S191)</f>
        <v>0.34587844570177184</v>
      </c>
      <c r="V191" s="7">
        <f>(Parameters!$B$10*G191^Parameters!$B$9+Parameters!$B$11*U191^Parameters!$B$9)^(Parameters!$B$7/Parameters!$B$9)*N191</f>
        <v>1.3457913924216121</v>
      </c>
      <c r="W191" s="7">
        <f>V191 - C191 - D191 - LN(1+EXP(Parameters!$B$21*B191))/Parameters!$B$21 - IF(B191&gt;0, 0,Parameters!$B$6*B191^2/E191)</f>
        <v>1.0265563843357413</v>
      </c>
      <c r="X191" s="7">
        <f>EXP(-Parameters!$B$56*A191)</f>
        <v>5.9385808220855908E-2</v>
      </c>
      <c r="Y191" s="7">
        <f>IF(W191&gt;0,W191^(1-Parameters!$B$53)/(1-Parameters!$B$53)*X191*Parameters!$B$71,-10+W191*1000)</f>
        <v>-0.16812436003041423</v>
      </c>
      <c r="AA191" s="22">
        <f t="shared" si="122"/>
        <v>0</v>
      </c>
      <c r="AB191" s="22">
        <f t="shared" si="123"/>
        <v>3.5857347953360819E-7</v>
      </c>
      <c r="AC191" s="22">
        <f t="shared" si="124"/>
        <v>-4.8803300932431792E-7</v>
      </c>
      <c r="AD191" s="22">
        <f t="shared" si="135"/>
        <v>2.1779813958409267E-14</v>
      </c>
      <c r="AE191" s="22">
        <f t="shared" si="137"/>
        <v>0</v>
      </c>
      <c r="AF191" s="22">
        <f t="shared" si="138"/>
        <v>-2.2215659797875098E-8</v>
      </c>
      <c r="AG191" s="22">
        <f t="shared" si="139"/>
        <v>3.0248714116831721E-8</v>
      </c>
      <c r="AH191" s="22">
        <f t="shared" si="136"/>
        <v>8.3646113202767385E-17</v>
      </c>
      <c r="AI191" s="22"/>
      <c r="AM191" s="23">
        <f t="shared" si="115"/>
        <v>71.821346997594787</v>
      </c>
      <c r="AN191" s="23">
        <f t="shared" si="116"/>
        <v>0.51342333609992163</v>
      </c>
      <c r="AO191" s="23">
        <f t="shared" si="134"/>
        <v>1775.8206547725927</v>
      </c>
      <c r="AP191" s="25">
        <f t="shared" si="118"/>
        <v>6909.6070639166273</v>
      </c>
      <c r="AQ191" s="22">
        <f>-X191*V191*W191^(-Parameters!B$53)*Parameters!B$47*Parameters!B$46*M191</f>
        <v>-1.8506106663838138E-6</v>
      </c>
      <c r="AR191" s="7">
        <f>1000*EXP(-(Parameters!$B$55)*'6states'!A191)*AP191*Parameters!B$47*Parameters!B$46*M191</f>
        <v>0.23382777341579197</v>
      </c>
      <c r="AS191" s="59">
        <f>SUM(AR191:AR$204)*EXP(Parameters!$B$55*A191)</f>
        <v>6024.0044658725301</v>
      </c>
      <c r="AT191" s="39">
        <f t="shared" si="128"/>
        <v>0.23549162474268284</v>
      </c>
      <c r="AU191">
        <f>(1/$S191-1/Parameters!$B$13) * LN(Parameters!$B$18) / LN(O191)</f>
        <v>0.18887183043833242</v>
      </c>
      <c r="AV191">
        <f>(Parameters!$B$18*'6states'!S191^+Parameters!$B$19*Parameters!$B$25^'6states'!S191)^((1-'6states'!S191)/'6states'!S191)*Parameters!$B$18*Parameters!$B$26^('6states'!S191-1)</f>
        <v>0.30888575511645955</v>
      </c>
      <c r="AW191">
        <f t="shared" si="129"/>
        <v>0.16714400765339626</v>
      </c>
      <c r="AX191">
        <f t="shared" si="130"/>
        <v>0.12270851582881792</v>
      </c>
      <c r="AY191">
        <f t="shared" si="131"/>
        <v>0.19273500190670112</v>
      </c>
      <c r="AZ191">
        <f>(1/$S191-1/Parameters!$B$13) * LN(Parameters!$B$18) / A191</f>
        <v>5.2430388568976668E-3</v>
      </c>
    </row>
    <row r="192" spans="1:52" x14ac:dyDescent="0.25">
      <c r="A192">
        <f>A191+Parameters!$B$71</f>
        <v>188</v>
      </c>
      <c r="B192" s="9">
        <f t="shared" si="142"/>
        <v>-2.9568713141259393E-6</v>
      </c>
      <c r="C192" s="9">
        <f t="shared" si="140"/>
        <v>9.0949993792235756E-2</v>
      </c>
      <c r="D192" s="9">
        <f t="shared" si="141"/>
        <v>0.22597556464516125</v>
      </c>
      <c r="E192" s="7">
        <f>MAX((1-Parameters!$B$4)^Parameters!B$71*E191 + B191*Parameters!B$71 - IF(B191&gt;0,Parameters!$B$5,0)*B191^2/E191*Parameters!B$71, 0.0001)</f>
        <v>1E-4</v>
      </c>
      <c r="F192" s="7">
        <f>(1-Parameters!$B$4)^Parameters!B$71*F191+C191*Parameters!B$71-Parameters!$B$5*C191^2/F191*Parameters!B$71</f>
        <v>1.3485265823486277</v>
      </c>
      <c r="G192" s="7">
        <f>(1-Parameters!$B$4)^Parameters!B$71*G191+D191*Parameters!B$71-Parameters!$B$5*D191^2/G191*Parameters!B$71</f>
        <v>3.3499280992369753</v>
      </c>
      <c r="H192" s="9">
        <f>MAX(H191 * (1-Parameters!$B$4) ^ Parameters!B$71 + (LN(1+EXP(Parameters!$B$21*(-B191+0.004)))/Parameters!$B$21 -0.004) * Parameters!B$71,0)</f>
        <v>1.3988709320998827E-2</v>
      </c>
      <c r="I192" s="23">
        <f>I191*(1+Parameters!$B$52)^Parameters!B$71</f>
        <v>14.064517748883649</v>
      </c>
      <c r="J192" s="23">
        <f>J191*(1+Parameters!$B$54)^Parameters!B$71</f>
        <v>373.42944737070093</v>
      </c>
      <c r="K192" s="23">
        <f>I192*J192*EXP(-Parameters!$B$43*'6states'!A192)*(Parameters!$B$38/Parameters!$B$39*('6states'!E192+'6states'!H192)/Parameters!$E$25*(EXP(-Parameters!$B$39*Parameters!$E$25*'6states'!H192/('6states'!E192+'6states'!H192))-EXP(-Parameters!$B$39*Parameters!$E$25))  +  Parameters!$B$40*'6states'!E192)</f>
        <v>6.3689393015167808E-2</v>
      </c>
      <c r="L192" s="8">
        <f>L191+K192*Parameters!B$71</f>
        <v>3315.3640149953012</v>
      </c>
      <c r="M192" s="7">
        <f>L192*Parameters!$B$46</f>
        <v>1.9892184089971805</v>
      </c>
      <c r="N192" s="9">
        <f>EXP(-Parameters!$B$47/2*M192^2)</f>
        <v>0.96101261006620187</v>
      </c>
      <c r="O192" s="8">
        <f>MAX((Parameters!$B$63 + Parameters!$B$31*'6states'!A192 - '6states'!L192 + Parameters!$B$48/Parameters!$B$46)/Parameters!B$63,1)</f>
        <v>180.724719700094</v>
      </c>
      <c r="P192" s="59">
        <f>Parameters!B$62*EXP(-Parameters!B$61*A192)</f>
        <v>3.1224192388452842E-3</v>
      </c>
      <c r="Q192" s="59">
        <f>(1-Parameters!B$62)*O192^-Parameters!B$64</f>
        <v>0.29735020917941896</v>
      </c>
      <c r="R192" s="7">
        <f>Parameters!B$62*EXP(-Parameters!B$61*A192)+(1-Parameters!B$62)*O192^-Parameters!B$64</f>
        <v>0.30047262841826422</v>
      </c>
      <c r="S192" s="7">
        <f>1-R192/Parameters!$B$12</f>
        <v>0.84976368579086792</v>
      </c>
      <c r="T192" s="7">
        <f t="shared" si="119"/>
        <v>6.6561803333911609</v>
      </c>
      <c r="U192" s="7">
        <f>(Parameters!$B$19*(E192+Parameters!$B$20)^S192+Parameters!$B$18*F192^S192)^(1/S192)</f>
        <v>0.34594003705123122</v>
      </c>
      <c r="V192" s="7">
        <f>(Parameters!$B$10*G192^Parameters!$B$9+Parameters!$B$11*U192^Parameters!$B$9)^(Parameters!$B$7/Parameters!$B$9)*N192</f>
        <v>1.3458122938029493</v>
      </c>
      <c r="W192" s="7">
        <f>V192 - C192 - D192 - LN(1+EXP(Parameters!$B$21*B192))/Parameters!$B$21 - IF(B192&gt;0, 0,Parameters!$B$6*B192^2/E192)</f>
        <v>1.0265772857170785</v>
      </c>
      <c r="X192" s="7">
        <f>EXP(-Parameters!$B$56*A192)</f>
        <v>5.8495818846969333E-2</v>
      </c>
      <c r="Y192" s="7">
        <f>IF(W192&gt;0,W192^(1-Parameters!$B$53)/(1-Parameters!$B$53)*X192*Parameters!$B$71,-10+W192*1000)</f>
        <v>-0.16560357297832365</v>
      </c>
      <c r="AA192" s="22">
        <f t="shared" si="122"/>
        <v>0</v>
      </c>
      <c r="AB192" s="22">
        <f t="shared" si="123"/>
        <v>3.3765370782701254E-7</v>
      </c>
      <c r="AC192" s="22">
        <f t="shared" si="124"/>
        <v>-4.5955008168285794E-7</v>
      </c>
      <c r="AD192" s="22">
        <f t="shared" si="135"/>
        <v>1.9022624087555017E-14</v>
      </c>
      <c r="AE192" s="22">
        <f t="shared" si="137"/>
        <v>0</v>
      </c>
      <c r="AF192" s="22">
        <f t="shared" si="138"/>
        <v>-2.0919771706595647E-8</v>
      </c>
      <c r="AG192" s="22">
        <f t="shared" si="139"/>
        <v>2.8482927641459987E-8</v>
      </c>
      <c r="AH192" s="22">
        <f t="shared" si="136"/>
        <v>7.3056247993536375E-17</v>
      </c>
      <c r="AI192" s="22"/>
      <c r="AM192" s="23">
        <f t="shared" si="115"/>
        <v>73.470171434357226</v>
      </c>
      <c r="AN192" s="23">
        <f t="shared" si="116"/>
        <v>0.52521050905010358</v>
      </c>
      <c r="AO192" s="23">
        <f t="shared" si="134"/>
        <v>1816.9134296048885</v>
      </c>
      <c r="AP192" s="25">
        <f t="shared" si="118"/>
        <v>7068.3475991413452</v>
      </c>
      <c r="AQ192" s="22">
        <f>-X192*V192*W192^(-Parameters!B$53)*Parameters!B$47*Parameters!B$46*M192</f>
        <v>-1.8228895907861676E-6</v>
      </c>
      <c r="AR192" s="7">
        <f>1000*EXP(-(Parameters!$B$55)*'6states'!A192)*AP192*Parameters!B$47*Parameters!B$46*M192</f>
        <v>0.23095387265281872</v>
      </c>
      <c r="AS192" s="59">
        <f>SUM(AR192:AR$204)*EXP(Parameters!$B$55*A192)</f>
        <v>6067.5221074718602</v>
      </c>
      <c r="AT192" s="39">
        <f t="shared" si="128"/>
        <v>0.23548796739739541</v>
      </c>
      <c r="AU192">
        <f>(1/$S192-1/Parameters!$B$13) * LN(Parameters!$B$18) / LN(O192)</f>
        <v>0.18869890458531657</v>
      </c>
      <c r="AV192">
        <f>(Parameters!$B$18*'6states'!S192^+Parameters!$B$19*Parameters!$B$25^'6states'!S192)^((1-'6states'!S192)/'6states'!S192)*Parameters!$B$18*Parameters!$B$26^('6states'!S192-1)</f>
        <v>0.30889811027944414</v>
      </c>
      <c r="AW192">
        <f t="shared" si="129"/>
        <v>0.16696202301769555</v>
      </c>
      <c r="AX192">
        <f t="shared" si="130"/>
        <v>0.12260335467812211</v>
      </c>
      <c r="AY192">
        <f t="shared" si="131"/>
        <v>0.19274191525126294</v>
      </c>
      <c r="AZ192">
        <f>(1/$S192-1/Parameters!$B$13) * LN(Parameters!$B$18) / A192</f>
        <v>5.2162951456169622E-3</v>
      </c>
    </row>
    <row r="193" spans="1:52" x14ac:dyDescent="0.25">
      <c r="A193">
        <f>A192+Parameters!$B$71</f>
        <v>189</v>
      </c>
      <c r="B193" s="9">
        <f t="shared" si="142"/>
        <v>-2.9568713141259393E-6</v>
      </c>
      <c r="C193" s="9">
        <f t="shared" si="140"/>
        <v>9.0949993792235756E-2</v>
      </c>
      <c r="D193" s="9">
        <f t="shared" si="141"/>
        <v>0.22597556464516125</v>
      </c>
      <c r="E193" s="7">
        <f>MAX((1-Parameters!$B$4)^Parameters!B$71*E192 + B192*Parameters!B$71 - IF(B192&gt;0,Parameters!$B$5,0)*B192^2/E192*Parameters!B$71, 0.0001)</f>
        <v>1E-4</v>
      </c>
      <c r="F193" s="7">
        <f>(1-Parameters!$B$4)^Parameters!B$71*F192+C192*Parameters!B$71-Parameters!$B$5*C192^2/F192*Parameters!B$71</f>
        <v>1.3485202249573296</v>
      </c>
      <c r="G193" s="7">
        <f>(1-Parameters!$B$4)^Parameters!B$71*G192+D192*Parameters!B$71-Parameters!$B$5*D192^2/G192*Parameters!B$71</f>
        <v>3.3499495888750577</v>
      </c>
      <c r="H193" s="9">
        <f>MAX(H192 * (1-Parameters!$B$4) ^ Parameters!B$71 + (LN(1+EXP(Parameters!$B$21*(-B192+0.004)))/Parameters!$B$21 -0.004) * Parameters!B$71,0)</f>
        <v>1.3988700391319591E-2</v>
      </c>
      <c r="I193" s="23">
        <f>I192*(1+Parameters!$B$52)^Parameters!B$71</f>
        <v>14.105304850355409</v>
      </c>
      <c r="J193" s="23">
        <f>J192*(1+Parameters!$B$54)^Parameters!B$71</f>
        <v>380.89803631811498</v>
      </c>
      <c r="K193" s="23">
        <f>I193*J193*EXP(-Parameters!$B$43*'6states'!A193)*(Parameters!$B$38/Parameters!$B$39*('6states'!E193+'6states'!H193)/Parameters!$E$25*(EXP(-Parameters!$B$39*Parameters!$E$25*'6states'!H193/('6states'!E193+'6states'!H193))-EXP(-Parameters!$B$39*Parameters!$E$25))  +  Parameters!$B$40*'6states'!E193)</f>
        <v>6.4503305106211536E-2</v>
      </c>
      <c r="L193" s="8">
        <f>L192+K193*Parameters!B$71</f>
        <v>3315.4285183004076</v>
      </c>
      <c r="M193" s="7">
        <f>L193*Parameters!$B$46</f>
        <v>1.9892571109802444</v>
      </c>
      <c r="N193" s="9">
        <f>EXP(-Parameters!$B$47/2*M193^2)</f>
        <v>0.9610111229506314</v>
      </c>
      <c r="O193" s="8">
        <f>MAX((Parameters!$B$63 + Parameters!$B$31*'6states'!A193 - '6states'!L193 + Parameters!$B$48/Parameters!$B$46)/Parameters!B$63,1)</f>
        <v>181.78742963399185</v>
      </c>
      <c r="P193" s="59">
        <f>Parameters!B$62*EXP(-Parameters!B$61*A193)</f>
        <v>3.0392418668819202E-3</v>
      </c>
      <c r="Q193" s="59">
        <f>(1-Parameters!B$62)*O193^-Parameters!B$64</f>
        <v>0.29717592243648444</v>
      </c>
      <c r="R193" s="7">
        <f>Parameters!B$62*EXP(-Parameters!B$61*A193)+(1-Parameters!B$62)*O193^-Parameters!B$64</f>
        <v>0.30021516430336637</v>
      </c>
      <c r="S193" s="7">
        <f>1-R193/Parameters!$B$12</f>
        <v>0.84989241784831682</v>
      </c>
      <c r="T193" s="7">
        <f t="shared" si="119"/>
        <v>6.6618886645546231</v>
      </c>
      <c r="U193" s="7">
        <f>(Parameters!$B$19*(E193+Parameters!$B$20)^S193+Parameters!$B$18*F193^S193)^(1/S193)</f>
        <v>0.34600089607750589</v>
      </c>
      <c r="V193" s="7">
        <f>(Parameters!$B$10*G193^Parameters!$B$9+Parameters!$B$11*U193^Parameters!$B$9)^(Parameters!$B$7/Parameters!$B$9)*N193</f>
        <v>1.345832792446366</v>
      </c>
      <c r="W193" s="7">
        <f>V193 - C193 - D193 - LN(1+EXP(Parameters!$B$21*B193))/Parameters!$B$21 - IF(B193&gt;0, 0,Parameters!$B$6*B193^2/E193)</f>
        <v>1.0265977843604952</v>
      </c>
      <c r="X193" s="7">
        <f>EXP(-Parameters!$B$56*A193)</f>
        <v>5.7619167358166093E-2</v>
      </c>
      <c r="Y193" s="7">
        <f>IF(W193&gt;0,W193^(1-Parameters!$B$53)/(1-Parameters!$B$53)*X193*Parameters!$B$71,-10+W193*1000)</f>
        <v>-0.16312060398484182</v>
      </c>
      <c r="AA193" s="22">
        <f t="shared" si="122"/>
        <v>0</v>
      </c>
      <c r="AB193" s="22">
        <f t="shared" si="123"/>
        <v>3.179542546472014E-7</v>
      </c>
      <c r="AC193" s="22">
        <f t="shared" si="124"/>
        <v>-4.3272982018505157E-7</v>
      </c>
      <c r="AD193" s="22">
        <f t="shared" si="135"/>
        <v>1.661448721458639E-14</v>
      </c>
      <c r="AE193" s="22">
        <f t="shared" si="137"/>
        <v>0</v>
      </c>
      <c r="AF193" s="22">
        <f t="shared" si="138"/>
        <v>-1.9699453179811144E-8</v>
      </c>
      <c r="AG193" s="22">
        <f t="shared" si="139"/>
        <v>2.6820261497806364E-8</v>
      </c>
      <c r="AH193" s="22">
        <f t="shared" si="136"/>
        <v>6.3807171060253018E-17</v>
      </c>
      <c r="AI193" s="22"/>
      <c r="AM193" s="23">
        <f t="shared" si="115"/>
        <v>75.156851653812097</v>
      </c>
      <c r="AN193" s="23">
        <f t="shared" si="116"/>
        <v>0.53726829191687575</v>
      </c>
      <c r="AO193" s="23">
        <f t="shared" si="134"/>
        <v>1858.9531043727004</v>
      </c>
      <c r="AP193" s="25">
        <f t="shared" si="118"/>
        <v>7230.7328560337837</v>
      </c>
      <c r="AQ193" s="22">
        <f>-X193*V193*W193^(-Parameters!B$53)*Parameters!B$47*Parameters!B$46*M193</f>
        <v>-1.7955846151850977E-6</v>
      </c>
      <c r="AR193" s="7">
        <f>1000*EXP(-(Parameters!$B$55)*'6states'!A193)*AP193*Parameters!B$47*Parameters!B$46*M193</f>
        <v>0.22811528166339895</v>
      </c>
      <c r="AS193" s="59">
        <f>SUM(AR193:AR$204)*EXP(Parameters!$B$55*A193)</f>
        <v>6108.6468216720223</v>
      </c>
      <c r="AT193" s="39">
        <f t="shared" si="128"/>
        <v>0.23548438063394331</v>
      </c>
      <c r="AU193">
        <f>(1/$S193-1/Parameters!$B$13) * LN(Parameters!$B$18) / LN(O193)</f>
        <v>0.18852707382897874</v>
      </c>
      <c r="AV193">
        <f>(Parameters!$B$18*'6states'!S193^+Parameters!$B$19*Parameters!$B$25^'6states'!S193)^((1-'6states'!S193)/'6states'!S193)*Parameters!$B$18*Parameters!$B$26^('6states'!S193-1)</f>
        <v>0.30891026993979565</v>
      </c>
      <c r="AW193">
        <f t="shared" si="129"/>
        <v>0.16678144034131967</v>
      </c>
      <c r="AX193">
        <f t="shared" si="130"/>
        <v>0.12249884700079672</v>
      </c>
      <c r="AY193">
        <f t="shared" si="131"/>
        <v>0.19274871914431158</v>
      </c>
      <c r="AZ193">
        <f>(1/$S193-1/Parameters!$B$13) * LN(Parameters!$B$18) / A193</f>
        <v>5.1898192085971483E-3</v>
      </c>
    </row>
    <row r="194" spans="1:52" x14ac:dyDescent="0.25">
      <c r="A194">
        <f>A193+Parameters!$B$71</f>
        <v>190</v>
      </c>
      <c r="B194" s="9">
        <f t="shared" si="142"/>
        <v>-2.9568713141259393E-6</v>
      </c>
      <c r="C194" s="9">
        <f t="shared" si="140"/>
        <v>9.0949993792235756E-2</v>
      </c>
      <c r="D194" s="9">
        <f t="shared" si="141"/>
        <v>0.22597556464516125</v>
      </c>
      <c r="E194" s="7">
        <f>MAX((1-Parameters!$B$4)^Parameters!B$71*E193 + B193*Parameters!B$71 - IF(B193&gt;0,Parameters!$B$5,0)*B193^2/E193*Parameters!B$71, 0.0001)</f>
        <v>1E-4</v>
      </c>
      <c r="F194" s="7">
        <f>(1-Parameters!$B$4)^Parameters!B$71*F193+C193*Parameters!B$71-Parameters!$B$5*C193^2/F193*Parameters!B$71</f>
        <v>1.3485142385280069</v>
      </c>
      <c r="G194" s="7">
        <f>(1-Parameters!$B$4)^Parameters!B$71*G193+D193*Parameters!B$71-Parameters!$B$5*D193^2/G193*Parameters!B$71</f>
        <v>3.3499698246012706</v>
      </c>
      <c r="H194" s="9">
        <f>MAX(H193 * (1-Parameters!$B$4) ^ Parameters!B$71 + (LN(1+EXP(Parameters!$B$21*(-B193+0.004)))/Parameters!$B$21 -0.004) * Parameters!B$71,0)</f>
        <v>1.3988692023317179E-2</v>
      </c>
      <c r="I194" s="23">
        <f>I193*(1+Parameters!$B$52)^Parameters!B$71</f>
        <v>14.146210234421439</v>
      </c>
      <c r="J194" s="23">
        <f>J193*(1+Parameters!$B$54)^Parameters!B$71</f>
        <v>388.51599704447727</v>
      </c>
      <c r="K194" s="23">
        <f>I194*J194*EXP(-Parameters!$B$43*'6states'!A194)*(Parameters!$B$38/Parameters!$B$39*('6states'!E194+'6states'!H194)/Parameters!$E$25*(EXP(-Parameters!$B$39*Parameters!$E$25*'6states'!H194/('6states'!E194+'6states'!H194))-EXP(-Parameters!$B$39*Parameters!$E$25))  +  Parameters!$B$40*'6states'!E194)</f>
        <v>6.5327618503667292E-2</v>
      </c>
      <c r="L194" s="8">
        <f>L193+K194*Parameters!B$71</f>
        <v>3315.4938459189111</v>
      </c>
      <c r="M194" s="7">
        <f>L194*Parameters!$B$46</f>
        <v>1.9892963075513466</v>
      </c>
      <c r="N194" s="9">
        <f>EXP(-Parameters!$B$47/2*M194^2)</f>
        <v>0.96100961680347541</v>
      </c>
      <c r="O194" s="8">
        <f>MAX((Parameters!$B$63 + Parameters!$B$31*'6states'!A194 - '6states'!L194 + Parameters!$B$48/Parameters!$B$46)/Parameters!B$63,1)</f>
        <v>182.85012308162177</v>
      </c>
      <c r="P194" s="59">
        <f>Parameters!B$62*EXP(-Parameters!B$61*A194)</f>
        <v>2.9582802368409286E-3</v>
      </c>
      <c r="Q194" s="59">
        <f>(1-Parameters!B$62)*O194^-Parameters!B$64</f>
        <v>0.2970027555333668</v>
      </c>
      <c r="R194" s="7">
        <f>Parameters!B$62*EXP(-Parameters!B$61*A194)+(1-Parameters!B$62)*O194^-Parameters!B$64</f>
        <v>0.29996103577020772</v>
      </c>
      <c r="S194" s="7">
        <f>1-R194/Parameters!$B$12</f>
        <v>0.85001948211489609</v>
      </c>
      <c r="T194" s="7">
        <f t="shared" si="119"/>
        <v>6.6675326509145236</v>
      </c>
      <c r="U194" s="7">
        <f>(Parameters!$B$19*(E194+Parameters!$B$20)^S194+Parameters!$B$18*F194^S194)^(1/S194)</f>
        <v>0.34606103530862026</v>
      </c>
      <c r="V194" s="7">
        <f>(Parameters!$B$10*G194^Parameters!$B$9+Parameters!$B$11*U194^Parameters!$B$9)^(Parameters!$B$7/Parameters!$B$9)*N194</f>
        <v>1.3458528993289458</v>
      </c>
      <c r="W194" s="7">
        <f>V194 - C194 - D194 - LN(1+EXP(Parameters!$B$21*B194))/Parameters!$B$21 - IF(B194&gt;0, 0,Parameters!$B$6*B194^2/E194)</f>
        <v>1.026617891243075</v>
      </c>
      <c r="X194" s="7">
        <f>EXP(-Parameters!$B$56*A194)</f>
        <v>5.6755653865342197E-2</v>
      </c>
      <c r="Y194" s="7">
        <f>IF(W194&gt;0,W194^(1-Parameters!$B$53)/(1-Parameters!$B$53)*X194*Parameters!$B$71,-10+W194*1000)</f>
        <v>-0.16067488474669039</v>
      </c>
      <c r="AA194" s="22">
        <f t="shared" si="122"/>
        <v>0</v>
      </c>
      <c r="AB194" s="22">
        <f t="shared" si="123"/>
        <v>2.9940395472605186E-7</v>
      </c>
      <c r="AC194" s="22">
        <f t="shared" si="124"/>
        <v>-4.074751312338476E-7</v>
      </c>
      <c r="AD194" s="22">
        <f t="shared" si="135"/>
        <v>1.4511212404070676E-14</v>
      </c>
      <c r="AE194" s="22">
        <f t="shared" si="137"/>
        <v>0</v>
      </c>
      <c r="AF194" s="22">
        <f t="shared" si="138"/>
        <v>-1.8550299921149538E-8</v>
      </c>
      <c r="AG194" s="22">
        <f t="shared" si="139"/>
        <v>2.5254688951203974E-8</v>
      </c>
      <c r="AH194" s="22">
        <f t="shared" si="136"/>
        <v>5.5729111015890447E-17</v>
      </c>
      <c r="AI194" s="22"/>
      <c r="AM194" s="23">
        <f t="shared" si="115"/>
        <v>76.882256663296587</v>
      </c>
      <c r="AN194" s="23">
        <f t="shared" si="116"/>
        <v>0.5496028973627034</v>
      </c>
      <c r="AO194" s="23">
        <f t="shared" si="134"/>
        <v>1901.9614766995448</v>
      </c>
      <c r="AP194" s="25">
        <f t="shared" si="118"/>
        <v>7396.8465289518344</v>
      </c>
      <c r="AQ194" s="22">
        <f>-X194*V194*W194^(-Parameters!B$53)*Parameters!B$47*Parameters!B$46*M194</f>
        <v>-1.7686894754362683E-6</v>
      </c>
      <c r="AR194" s="7">
        <f>1000*EXP(-(Parameters!$B$55)*'6states'!A194)*AP194*Parameters!B$47*Parameters!B$46*M194</f>
        <v>0.22531156931588889</v>
      </c>
      <c r="AS194" s="59">
        <f>SUM(AR194:AR$204)*EXP(Parameters!$B$55*A194)</f>
        <v>6147.2023675748333</v>
      </c>
      <c r="AT194" s="39">
        <f t="shared" si="128"/>
        <v>0.23548086252524572</v>
      </c>
      <c r="AU194">
        <f>(1/$S194-1/Parameters!$B$13) * LN(Parameters!$B$18) / LN(O194)</f>
        <v>0.18835632873424496</v>
      </c>
      <c r="AV194">
        <f>(Parameters!$B$18*'6states'!S194^+Parameters!$B$19*Parameters!$B$25^'6states'!S194)^((1-'6states'!S194)/'6states'!S194)*Parameters!$B$18*Parameters!$B$26^('6states'!S194-1)</f>
        <v>0.30892223895724924</v>
      </c>
      <c r="AW194">
        <f t="shared" si="129"/>
        <v>0.1666022414110008</v>
      </c>
      <c r="AX194">
        <f t="shared" si="130"/>
        <v>0.12239498729389797</v>
      </c>
      <c r="AY194">
        <f t="shared" si="131"/>
        <v>0.19275541630782633</v>
      </c>
      <c r="AZ194">
        <f>(1/$S194-1/Parameters!$B$13) * LN(Parameters!$B$18) / A194</f>
        <v>5.1636071546652092E-3</v>
      </c>
    </row>
    <row r="195" spans="1:52" x14ac:dyDescent="0.25">
      <c r="A195">
        <f>A194+Parameters!$B$71</f>
        <v>191</v>
      </c>
      <c r="B195" s="9">
        <f t="shared" si="142"/>
        <v>-2.9568713141259393E-6</v>
      </c>
      <c r="C195" s="9">
        <f t="shared" si="140"/>
        <v>9.0949993792235756E-2</v>
      </c>
      <c r="D195" s="9">
        <f t="shared" si="141"/>
        <v>0.22597556464516125</v>
      </c>
      <c r="E195" s="7">
        <f>MAX((1-Parameters!$B$4)^Parameters!B$71*E194 + B194*Parameters!B$71 - IF(B194&gt;0,Parameters!$B$5,0)*B194^2/E194*Parameters!B$71, 0.0001)</f>
        <v>1E-4</v>
      </c>
      <c r="F195" s="7">
        <f>(1-Parameters!$B$4)^Parameters!B$71*F194+C194*Parameters!B$71-Parameters!$B$5*C194^2/F194*Parameters!B$71</f>
        <v>1.3485086014143006</v>
      </c>
      <c r="G195" s="7">
        <f>(1-Parameters!$B$4)^Parameters!B$71*G194+D194*Parameters!B$71-Parameters!$B$5*D194^2/G194*Parameters!B$71</f>
        <v>3.349988879579727</v>
      </c>
      <c r="H195" s="9">
        <f>MAX(H194 * (1-Parameters!$B$4) ^ Parameters!B$71 + (LN(1+EXP(Parameters!$B$21*(-B194+0.004)))/Parameters!$B$21 -0.004) * Parameters!B$71,0)</f>
        <v>1.3988684181662117E-2</v>
      </c>
      <c r="I195" s="23">
        <f>I194*(1+Parameters!$B$52)^Parameters!B$71</f>
        <v>14.18723424410126</v>
      </c>
      <c r="J195" s="23">
        <f>J194*(1+Parameters!$B$54)^Parameters!B$71</f>
        <v>396.28631698536685</v>
      </c>
      <c r="K195" s="23">
        <f>I195*J195*EXP(-Parameters!$B$43*'6states'!A195)*(Parameters!$B$38/Parameters!$B$39*('6states'!E195+'6states'!H195)/Parameters!$E$25*(EXP(-Parameters!$B$39*Parameters!$E$25*'6states'!H195/('6states'!E195+'6states'!H195))-EXP(-Parameters!$B$39*Parameters!$E$25))  +  Parameters!$B$40*'6states'!E195)</f>
        <v>6.6162466129967692E-2</v>
      </c>
      <c r="L195" s="8">
        <f>L194+K195*Parameters!B$71</f>
        <v>3315.5600083850409</v>
      </c>
      <c r="M195" s="7">
        <f>L195*Parameters!$B$46</f>
        <v>1.9893360050310243</v>
      </c>
      <c r="N195" s="9">
        <f>EXP(-Parameters!$B$47/2*M195^2)</f>
        <v>0.96100809138082333</v>
      </c>
      <c r="O195" s="8">
        <f>MAX((Parameters!$B$63 + Parameters!$B$31*'6states'!A195 - '6states'!L195 + Parameters!$B$48/Parameters!$B$46)/Parameters!B$63,1)</f>
        <v>183.91279983229921</v>
      </c>
      <c r="P195" s="59">
        <f>Parameters!B$62*EXP(-Parameters!B$61*A195)</f>
        <v>2.8794753241083949E-3</v>
      </c>
      <c r="Q195" s="59">
        <f>(1-Parameters!B$62)*O195^-Parameters!B$64</f>
        <v>0.29683069486137048</v>
      </c>
      <c r="R195" s="7">
        <f>Parameters!B$62*EXP(-Parameters!B$61*A195)+(1-Parameters!B$62)*O195^-Parameters!B$64</f>
        <v>0.29971017018547885</v>
      </c>
      <c r="S195" s="7">
        <f>1-R195/Parameters!$B$12</f>
        <v>0.85014491490726063</v>
      </c>
      <c r="T195" s="7">
        <f t="shared" si="119"/>
        <v>6.6731135575488789</v>
      </c>
      <c r="U195" s="7">
        <f>(Parameters!$B$19*(E195+Parameters!$B$20)^S195+Parameters!$B$18*F195^S195)^(1/S195)</f>
        <v>0.34612046714292521</v>
      </c>
      <c r="V195" s="7">
        <f>(Parameters!$B$10*G195^Parameters!$B$9+Parameters!$B$11*U195^Parameters!$B$9)^(Parameters!$B$7/Parameters!$B$9)*N195</f>
        <v>1.3458726249820816</v>
      </c>
      <c r="W195" s="7">
        <f>V195 - C195 - D195 - LN(1+EXP(Parameters!$B$21*B195))/Parameters!$B$21 - IF(B195&gt;0, 0,Parameters!$B$6*B195^2/E195)</f>
        <v>1.0266376168962108</v>
      </c>
      <c r="X195" s="7">
        <f>EXP(-Parameters!$B$56*A195)</f>
        <v>5.5905081475045089E-2</v>
      </c>
      <c r="Y195" s="7">
        <f>IF(W195&gt;0,W195^(1-Parameters!$B$53)/(1-Parameters!$B$53)*X195*Parameters!$B$71,-10+W195*1000)</f>
        <v>-0.15826585554784936</v>
      </c>
      <c r="AA195" s="22">
        <f t="shared" si="122"/>
        <v>0</v>
      </c>
      <c r="AB195" s="22">
        <f t="shared" si="123"/>
        <v>2.8193579074131669E-7</v>
      </c>
      <c r="AC195" s="22">
        <f t="shared" si="124"/>
        <v>-3.8369459537390682E-7</v>
      </c>
      <c r="AD195" s="22">
        <f t="shared" si="135"/>
        <v>1.2674203711278535E-14</v>
      </c>
      <c r="AE195" s="22">
        <f t="shared" si="137"/>
        <v>0</v>
      </c>
      <c r="AF195" s="22">
        <f t="shared" si="138"/>
        <v>-1.7468163984735163E-8</v>
      </c>
      <c r="AG195" s="22">
        <f t="shared" si="139"/>
        <v>2.3780535859940777E-8</v>
      </c>
      <c r="AH195" s="22">
        <f t="shared" si="136"/>
        <v>4.8673794897493181E-17</v>
      </c>
      <c r="AI195" s="22"/>
      <c r="AM195" s="23">
        <f t="shared" si="115"/>
        <v>78.647275424366086</v>
      </c>
      <c r="AN195" s="23">
        <f t="shared" si="116"/>
        <v>0.56222068068035636</v>
      </c>
      <c r="AO195" s="23">
        <f t="shared" si="134"/>
        <v>1945.9608463449833</v>
      </c>
      <c r="AP195" s="25">
        <f t="shared" si="118"/>
        <v>7566.7742332648395</v>
      </c>
      <c r="AQ195" s="22">
        <f>-X195*V195*W195^(-Parameters!B$53)*Parameters!B$47*Parameters!B$46*M195</f>
        <v>-1.7421980025719912E-6</v>
      </c>
      <c r="AR195" s="7">
        <f>1000*EXP(-(Parameters!$B$55)*'6states'!A195)*AP195*Parameters!B$47*Parameters!B$46*M195</f>
        <v>0.22254230961307048</v>
      </c>
      <c r="AS195" s="59">
        <f>SUM(AR195:AR$204)*EXP(Parameters!$B$55*A195)</f>
        <v>6183.0041199128964</v>
      </c>
      <c r="AT195" s="39">
        <f t="shared" si="128"/>
        <v>0.23547741122255328</v>
      </c>
      <c r="AU195">
        <f>(1/$S195-1/Parameters!$B$13) * LN(Parameters!$B$18) / LN(O195)</f>
        <v>0.18818665994244296</v>
      </c>
      <c r="AV195">
        <f>(Parameters!$B$18*'6states'!S195^+Parameters!$B$19*Parameters!$B$25^'6states'!S195)^((1-'6states'!S195)/'6states'!S195)*Parameters!$B$18*Parameters!$B$26^('6states'!S195-1)</f>
        <v>0.30893402204716958</v>
      </c>
      <c r="AW195">
        <f t="shared" si="129"/>
        <v>0.16642440833954142</v>
      </c>
      <c r="AX195">
        <f t="shared" si="130"/>
        <v>0.12229177009680392</v>
      </c>
      <c r="AY195">
        <f t="shared" si="131"/>
        <v>0.19276200938287291</v>
      </c>
      <c r="AZ195">
        <f>(1/$S195-1/Parameters!$B$13) * LN(Parameters!$B$18) / A195</f>
        <v>5.1376551655238677E-3</v>
      </c>
    </row>
    <row r="196" spans="1:52" x14ac:dyDescent="0.25">
      <c r="A196">
        <f>A195+Parameters!$B$71</f>
        <v>192</v>
      </c>
      <c r="B196" s="9">
        <f t="shared" si="142"/>
        <v>-2.9568713141259393E-6</v>
      </c>
      <c r="C196" s="9">
        <f t="shared" si="140"/>
        <v>9.0949993792235756E-2</v>
      </c>
      <c r="D196" s="9">
        <f t="shared" si="141"/>
        <v>0.22597556464516125</v>
      </c>
      <c r="E196" s="7">
        <f>MAX((1-Parameters!$B$4)^Parameters!B$71*E195 + B195*Parameters!B$71 - IF(B195&gt;0,Parameters!$B$5,0)*B195^2/E195*Parameters!B$71, 0.0001)</f>
        <v>1E-4</v>
      </c>
      <c r="F196" s="7">
        <f>(1-Parameters!$B$4)^Parameters!B$71*F195+C195*Parameters!B$71-Parameters!$B$5*C195^2/F195*Parameters!B$71</f>
        <v>1.3485032932329881</v>
      </c>
      <c r="G196" s="7">
        <f>(1-Parameters!$B$4)^Parameters!B$71*G195+D195*Parameters!B$71-Parameters!$B$5*D195^2/G195*Parameters!B$71</f>
        <v>3.3500068227056414</v>
      </c>
      <c r="H196" s="9">
        <f>MAX(H195 * (1-Parameters!$B$4) ^ Parameters!B$71 + (LN(1+EXP(Parameters!$B$21*(-B195+0.004)))/Parameters!$B$21 -0.004) * Parameters!B$71,0)</f>
        <v>1.3988676833247159E-2</v>
      </c>
      <c r="I196" s="23">
        <f>I195*(1+Parameters!$B$52)^Parameters!B$71</f>
        <v>14.228377223409153</v>
      </c>
      <c r="J196" s="23">
        <f>J195*(1+Parameters!$B$54)^Parameters!B$71</f>
        <v>404.21204332507421</v>
      </c>
      <c r="K196" s="23">
        <f>I196*J196*EXP(-Parameters!$B$43*'6states'!A196)*(Parameters!$B$38/Parameters!$B$39*('6states'!E196+'6states'!H196)/Parameters!$E$25*(EXP(-Parameters!$B$39*Parameters!$E$25*'6states'!H196/('6states'!E196+'6states'!H196))-EXP(-Parameters!$B$39*Parameters!$E$25))  +  Parameters!$B$40*'6states'!E196)</f>
        <v>6.7007982606214031E-2</v>
      </c>
      <c r="L196" s="8">
        <f>L195+K196*Parameters!B$71</f>
        <v>3315.6270163676472</v>
      </c>
      <c r="M196" s="7">
        <f>L196*Parameters!$B$46</f>
        <v>1.9893762098205883</v>
      </c>
      <c r="N196" s="9">
        <f>EXP(-Parameters!$B$47/2*M196^2)</f>
        <v>0.96100654643562999</v>
      </c>
      <c r="O196" s="8">
        <f>MAX((Parameters!$B$63 + Parameters!$B$31*'6states'!A196 - '6states'!L196 + Parameters!$B$48/Parameters!$B$46)/Parameters!B$63,1)</f>
        <v>184.97545967264708</v>
      </c>
      <c r="P196" s="59">
        <f>Parameters!B$62*EXP(-Parameters!B$61*A196)</f>
        <v>2.802769676412839E-3</v>
      </c>
      <c r="Q196" s="59">
        <f>(1-Parameters!B$62)*O196^-Parameters!B$64</f>
        <v>0.29665972705530091</v>
      </c>
      <c r="R196" s="7">
        <f>Parameters!B$62*EXP(-Parameters!B$61*A196)+(1-Parameters!B$62)*O196^-Parameters!B$64</f>
        <v>0.29946249673171377</v>
      </c>
      <c r="S196" s="7">
        <f>1-R196/Parameters!$B$12</f>
        <v>0.85026875163414317</v>
      </c>
      <c r="T196" s="7">
        <f t="shared" si="119"/>
        <v>6.6786326228749306</v>
      </c>
      <c r="U196" s="7">
        <f>(Parameters!$B$19*(E196+Parameters!$B$20)^S196+Parameters!$B$18*F196^S196)^(1/S196)</f>
        <v>0.34617920384224138</v>
      </c>
      <c r="V196" s="7">
        <f>(Parameters!$B$10*G196^Parameters!$B$9+Parameters!$B$11*U196^Parameters!$B$9)^(Parameters!$B$7/Parameters!$B$9)*N196</f>
        <v>1.3458919795115996</v>
      </c>
      <c r="W196" s="7">
        <f>V196 - C196 - D196 - LN(1+EXP(Parameters!$B$21*B196))/Parameters!$B$21 - IF(B196&gt;0, 0,Parameters!$B$6*B196^2/E196)</f>
        <v>1.0266569714257288</v>
      </c>
      <c r="X196" s="7">
        <f>EXP(-Parameters!$B$56*A196)</f>
        <v>5.5067256244579005E-2</v>
      </c>
      <c r="Y196" s="7">
        <f>IF(W196&gt;0,W196^(1-Parameters!$B$53)/(1-Parameters!$B$53)*X196*Parameters!$B$71,-10+W196*1000)</f>
        <v>-0.15589296512716652</v>
      </c>
      <c r="AA196" s="22">
        <f t="shared" si="122"/>
        <v>0</v>
      </c>
      <c r="AB196" s="22">
        <f t="shared" si="123"/>
        <v>2.6548665164882745E-7</v>
      </c>
      <c r="AC196" s="22">
        <f t="shared" si="124"/>
        <v>-3.6130213515450649E-7</v>
      </c>
      <c r="AD196" s="22">
        <f t="shared" si="135"/>
        <v>1.1069751740268857E-14</v>
      </c>
      <c r="AE196" s="22">
        <f t="shared" si="137"/>
        <v>0</v>
      </c>
      <c r="AF196" s="22">
        <f t="shared" si="138"/>
        <v>-1.644913909248924E-8</v>
      </c>
      <c r="AG196" s="22">
        <f t="shared" si="139"/>
        <v>2.2392460219400334E-8</v>
      </c>
      <c r="AH196" s="22">
        <f t="shared" si="136"/>
        <v>4.251172641804197E-17</v>
      </c>
      <c r="AI196" s="22"/>
      <c r="AM196" s="23">
        <f t="shared" ref="AM196:AM204" si="143">H196*I196*J196</f>
        <v>80.452817310756188</v>
      </c>
      <c r="AN196" s="23">
        <f t="shared" ref="AN196:AN204" si="144">E196*I196*J196</f>
        <v>0.575128143067416</v>
      </c>
      <c r="AO196" s="23">
        <f t="shared" si="134"/>
        <v>1990.9740267434474</v>
      </c>
      <c r="AP196" s="25">
        <f t="shared" ref="AP196:AP204" si="145">V196*J196*I196</f>
        <v>7740.6035494583493</v>
      </c>
      <c r="AQ196" s="22">
        <f>-X196*V196*W196^(-Parameters!B$53)*Parameters!B$47*Parameters!B$46*M196</f>
        <v>-1.7161041213065427E-6</v>
      </c>
      <c r="AR196" s="7">
        <f>1000*EXP(-(Parameters!$B$55)*'6states'!A196)*AP196*Parameters!B$47*Parameters!B$46*M196</f>
        <v>0.21980708163804757</v>
      </c>
      <c r="AS196" s="59">
        <f>SUM(AR196:AR$204)*EXP(Parameters!$B$55*A196)</f>
        <v>6215.858721438477</v>
      </c>
      <c r="AT196" s="39">
        <f t="shared" si="128"/>
        <v>0.23547402495190475</v>
      </c>
      <c r="AU196">
        <f>(1/$S196-1/Parameters!$B$13) * LN(Parameters!$B$18) / LN(O196)</f>
        <v>0.18801805817109313</v>
      </c>
      <c r="AV196">
        <f>(Parameters!$B$18*'6states'!S196^+Parameters!$B$19*Parameters!$B$25^'6states'!S196)^((1-'6states'!S196)/'6states'!S196)*Parameters!$B$18*Parameters!$B$26^('6states'!S196-1)</f>
        <v>0.30894562378533935</v>
      </c>
      <c r="AW196">
        <f t="shared" si="129"/>
        <v>0.16624792355841905</v>
      </c>
      <c r="AX196">
        <f t="shared" si="130"/>
        <v>0.1221891899911538</v>
      </c>
      <c r="AY196">
        <f t="shared" si="131"/>
        <v>0.19276850093228959</v>
      </c>
      <c r="AZ196">
        <f>(1/$S196-1/Parameters!$B$13) * LN(Parameters!$B$18) / A196</f>
        <v>5.1119594940885861E-3</v>
      </c>
    </row>
    <row r="197" spans="1:52" x14ac:dyDescent="0.25">
      <c r="A197">
        <f>A196+Parameters!$B$71</f>
        <v>193</v>
      </c>
      <c r="B197" s="9">
        <f t="shared" si="142"/>
        <v>-2.9568713141259393E-6</v>
      </c>
      <c r="C197" s="9">
        <f t="shared" si="140"/>
        <v>9.0949993792235756E-2</v>
      </c>
      <c r="D197" s="9">
        <f t="shared" si="141"/>
        <v>0.22597556464516125</v>
      </c>
      <c r="E197" s="7">
        <f>MAX((1-Parameters!$B$4)^Parameters!B$71*E196 + B196*Parameters!B$71 - IF(B196&gt;0,Parameters!$B$5,0)*B196^2/E196*Parameters!B$71, 0.0001)</f>
        <v>1E-4</v>
      </c>
      <c r="F197" s="7">
        <f>(1-Parameters!$B$4)^Parameters!B$71*F196+C196*Parameters!B$71-Parameters!$B$5*C196^2/F196*Parameters!B$71</f>
        <v>1.3484982947902708</v>
      </c>
      <c r="G197" s="7">
        <f>(1-Parameters!$B$4)^Parameters!B$71*G196+D196*Parameters!B$71-Parameters!$B$5*D196^2/G196*Parameters!B$71</f>
        <v>3.35002371885439</v>
      </c>
      <c r="H197" s="9">
        <f>MAX(H196 * (1-Parameters!$B$4) ^ Parameters!B$71 + (LN(1+EXP(Parameters!$B$21*(-B196+0.004)))/Parameters!$B$21 -0.004) * Parameters!B$71,0)</f>
        <v>1.3988669947047503E-2</v>
      </c>
      <c r="I197" s="23">
        <f>I196*(1+Parameters!$B$52)^Parameters!B$71</f>
        <v>14.269639517357037</v>
      </c>
      <c r="J197" s="23">
        <f>J196*(1+Parameters!$B$54)^Parameters!B$71</f>
        <v>412.29628419157569</v>
      </c>
      <c r="K197" s="23">
        <f>I197*J197*EXP(-Parameters!$B$43*'6states'!A197)*(Parameters!$B$38/Parameters!$B$39*('6states'!E197+'6states'!H197)/Parameters!$E$25*(EXP(-Parameters!$B$39*Parameters!$E$25*'6states'!H197/('6states'!E197+'6states'!H197))-EXP(-Parameters!$B$39*Parameters!$E$25))  +  Parameters!$B$40*'6states'!E197)</f>
        <v>6.7864304273884124E-2</v>
      </c>
      <c r="L197" s="8">
        <f>L196+K197*Parameters!B$71</f>
        <v>3315.6948806719211</v>
      </c>
      <c r="M197" s="7">
        <f>L197*Parameters!$B$46</f>
        <v>1.9894169284031524</v>
      </c>
      <c r="N197" s="9">
        <f>EXP(-Parameters!$B$47/2*M197^2)</f>
        <v>0.96100498171767468</v>
      </c>
      <c r="O197" s="8">
        <f>MAX((Parameters!$B$63 + Parameters!$B$31*'6states'!A197 - '6states'!L197 + Parameters!$B$48/Parameters!$B$46)/Parameters!B$63,1)</f>
        <v>186.03810238656158</v>
      </c>
      <c r="P197" s="59">
        <f>Parameters!B$62*EXP(-Parameters!B$61*A197)</f>
        <v>2.7281073719399641E-3</v>
      </c>
      <c r="Q197" s="59">
        <f>(1-Parameters!B$62)*O197^-Parameters!B$64</f>
        <v>0.29648983898774706</v>
      </c>
      <c r="R197" s="7">
        <f>Parameters!B$62*EXP(-Parameters!B$61*A197)+(1-Parameters!B$62)*O197^-Parameters!B$64</f>
        <v>0.29921794635968701</v>
      </c>
      <c r="S197" s="7">
        <f>1-R197/Parameters!$B$12</f>
        <v>0.85039102682015644</v>
      </c>
      <c r="T197" s="7">
        <f t="shared" ref="T197:T204" si="146">1/(1-S197)</f>
        <v>6.6840910591499698</v>
      </c>
      <c r="U197" s="7">
        <f>(Parameters!$B$19*(E197+Parameters!$B$20)^S197+Parameters!$B$18*F197^S197)^(1/S197)</f>
        <v>0.34623725752576429</v>
      </c>
      <c r="V197" s="7">
        <f>(Parameters!$B$10*G197^Parameters!$B$9+Parameters!$B$11*U197^Parameters!$B$9)^(Parameters!$B$7/Parameters!$B$9)*N197</f>
        <v>1.3459109726168634</v>
      </c>
      <c r="W197" s="7">
        <f>V197 - C197 - D197 - LN(1+EXP(Parameters!$B$21*B197))/Parameters!$B$21 - IF(B197&gt;0, 0,Parameters!$B$6*B197^2/E197)</f>
        <v>1.0266759645309926</v>
      </c>
      <c r="X197" s="7">
        <f>EXP(-Parameters!$B$56*A197)</f>
        <v>5.4241987137783339E-2</v>
      </c>
      <c r="Y197" s="7">
        <f>IF(W197&gt;0,W197^(1-Parameters!$B$53)/(1-Parameters!$B$53)*X197*Parameters!$B$71,-10+W197*1000)</f>
        <v>-0.15355567054816643</v>
      </c>
      <c r="AA197" s="22">
        <f t="shared" si="122"/>
        <v>0</v>
      </c>
      <c r="AB197" s="22">
        <f t="shared" si="123"/>
        <v>2.4999710536433017E-7</v>
      </c>
      <c r="AC197" s="22">
        <f t="shared" si="124"/>
        <v>-3.4021670258788106E-7</v>
      </c>
      <c r="AD197" s="22">
        <f t="shared" ref="AD197:AD204" si="147">X197*(AA197^2+AB197^2+AC197^2)</f>
        <v>9.6684149292121689E-15</v>
      </c>
      <c r="AE197" s="22">
        <f t="shared" si="137"/>
        <v>0</v>
      </c>
      <c r="AF197" s="22">
        <f t="shared" si="138"/>
        <v>-1.548954628449728E-8</v>
      </c>
      <c r="AG197" s="22">
        <f t="shared" si="139"/>
        <v>2.1085432566625428E-8</v>
      </c>
      <c r="AH197" s="22">
        <f t="shared" ref="AH197:AH204" si="148">X197*(AE197^2+AF197^2+AG197^2)</f>
        <v>3.7129806974656129E-17</v>
      </c>
      <c r="AI197" s="22"/>
      <c r="AM197" s="23">
        <f t="shared" si="143"/>
        <v>82.299812576864838</v>
      </c>
      <c r="AN197" s="23">
        <f t="shared" si="144"/>
        <v>0.58833193497595759</v>
      </c>
      <c r="AO197" s="23">
        <f t="shared" si="134"/>
        <v>2037.0243568090186</v>
      </c>
      <c r="AP197" s="25">
        <f t="shared" si="145"/>
        <v>7918.4240682505233</v>
      </c>
      <c r="AQ197" s="22">
        <f>-X197*V197*W197^(-Parameters!B$53)*Parameters!B$47*Parameters!B$46*M197</f>
        <v>-1.6904018485678743E-6</v>
      </c>
      <c r="AR197" s="7">
        <f>1000*EXP(-(Parameters!$B$55)*'6states'!A197)*AP197*Parameters!B$47*Parameters!B$46*M197</f>
        <v>0.21710546950028661</v>
      </c>
      <c r="AS197" s="59">
        <f>SUM(AR197:AR$204)*EXP(Parameters!$B$55*A197)</f>
        <v>6245.5637217846934</v>
      </c>
      <c r="AT197" s="39">
        <f t="shared" si="128"/>
        <v>0.23547070201076392</v>
      </c>
      <c r="AU197">
        <f>(1/$S197-1/Parameters!$B$13) * LN(Parameters!$B$18) / LN(O197)</f>
        <v>0.18785051421369331</v>
      </c>
      <c r="AV197">
        <f>(Parameters!$B$18*'6states'!S197^+Parameters!$B$19*Parameters!$B$25^'6states'!S197)^((1-'6states'!S197)/'6states'!S197)*Parameters!$B$18*Parameters!$B$26^('6states'!S197-1)</f>
        <v>0.30895704861257167</v>
      </c>
      <c r="AW197">
        <f t="shared" si="129"/>
        <v>0.16607276981059468</v>
      </c>
      <c r="AX197">
        <f t="shared" si="130"/>
        <v>0.12208724160078588</v>
      </c>
      <c r="AY197">
        <f t="shared" si="131"/>
        <v>0.19277489344327448</v>
      </c>
      <c r="AZ197">
        <f>(1/$S197-1/Parameters!$B$13) * LN(Parameters!$B$18) / A197</f>
        <v>5.0865164628695119E-3</v>
      </c>
    </row>
    <row r="198" spans="1:52" x14ac:dyDescent="0.25">
      <c r="A198">
        <f>A197+Parameters!$B$71</f>
        <v>194</v>
      </c>
      <c r="B198" s="9">
        <f t="shared" si="142"/>
        <v>-2.9568713141259393E-6</v>
      </c>
      <c r="C198" s="9">
        <f t="shared" si="140"/>
        <v>9.0949993792235756E-2</v>
      </c>
      <c r="D198" s="9">
        <f t="shared" si="141"/>
        <v>0.22597556464516125</v>
      </c>
      <c r="E198" s="7">
        <f>MAX((1-Parameters!$B$4)^Parameters!B$71*E197 + B197*Parameters!B$71 - IF(B197&gt;0,Parameters!$B$5,0)*B197^2/E197*Parameters!B$71, 0.0001)</f>
        <v>1E-4</v>
      </c>
      <c r="F198" s="7">
        <f>(1-Parameters!$B$4)^Parameters!B$71*F197+C197*Parameters!B$71-Parameters!$B$5*C197^2/F197*Parameters!B$71</f>
        <v>1.3484935880123654</v>
      </c>
      <c r="G198" s="7">
        <f>(1-Parameters!$B$4)^Parameters!B$71*G197+D197*Parameters!B$71-Parameters!$B$5*D197^2/G197*Parameters!B$71</f>
        <v>3.3500396291160435</v>
      </c>
      <c r="H198" s="9">
        <f>MAX(H197 * (1-Parameters!$B$4) ^ Parameters!B$71 + (LN(1+EXP(Parameters!$B$21*(-B197+0.004)))/Parameters!$B$21 -0.004) * Parameters!B$71,0)</f>
        <v>1.3988663493989806E-2</v>
      </c>
      <c r="I198" s="23">
        <f>I197*(1+Parameters!$B$52)^Parameters!B$71</f>
        <v>14.311021471957371</v>
      </c>
      <c r="J198" s="23">
        <f>J197*(1+Parameters!$B$54)^Parameters!B$71</f>
        <v>420.5422098754072</v>
      </c>
      <c r="K198" s="23">
        <f>I198*J198*EXP(-Parameters!$B$43*'6states'!A198)*(Parameters!$B$38/Parameters!$B$39*('6states'!E198+'6states'!H198)/Parameters!$E$25*(EXP(-Parameters!$B$39*Parameters!$E$25*'6states'!H198/('6states'!E198+'6states'!H198))-EXP(-Parameters!$B$39*Parameters!$E$25))  +  Parameters!$B$40*'6states'!E198)</f>
        <v>6.8731569216817862E-2</v>
      </c>
      <c r="L198" s="8">
        <f>L197+K198*Parameters!B$71</f>
        <v>3315.7636122411377</v>
      </c>
      <c r="M198" s="7">
        <f>L198*Parameters!$B$46</f>
        <v>1.9894581673446825</v>
      </c>
      <c r="N198" s="9">
        <f>EXP(-Parameters!$B$47/2*M198^2)</f>
        <v>0.96100339697352</v>
      </c>
      <c r="O198" s="8">
        <f>MAX((Parameters!$B$63 + Parameters!$B$31*'6states'!A198 - '6states'!L198 + Parameters!$B$48/Parameters!$B$46)/Parameters!B$63,1)</f>
        <v>187.10072775517727</v>
      </c>
      <c r="P198" s="59">
        <f>Parameters!B$62*EXP(-Parameters!B$61*A198)</f>
        <v>2.655433978563181E-3</v>
      </c>
      <c r="Q198" s="59">
        <f>(1-Parameters!B$62)*O198^-Parameters!B$64</f>
        <v>0.29632101776352993</v>
      </c>
      <c r="R198" s="7">
        <f>Parameters!B$62*EXP(-Parameters!B$61*A198)+(1-Parameters!B$62)*O198^-Parameters!B$64</f>
        <v>0.29897645174209309</v>
      </c>
      <c r="S198" s="7">
        <f>1-R198/Parameters!$B$12</f>
        <v>0.8505117741289534</v>
      </c>
      <c r="T198" s="7">
        <f t="shared" si="146"/>
        <v>6.6894900529666632</v>
      </c>
      <c r="U198" s="7">
        <f>(Parameters!$B$19*(E198+Parameters!$B$20)^S198+Parameters!$B$18*F198^S198)^(1/S198)</f>
        <v>0.34629464016468103</v>
      </c>
      <c r="V198" s="7">
        <f>(Parameters!$B$10*G198^Parameters!$B$9+Parameters!$B$11*U198^Parameters!$B$9)^(Parameters!$B$7/Parameters!$B$9)*N198</f>
        <v>1.3459296136089121</v>
      </c>
      <c r="W198" s="7">
        <f>V198 - C198 - D198 - LN(1+EXP(Parameters!$B$21*B198))/Parameters!$B$21 - IF(B198&gt;0, 0,Parameters!$B$6*B198^2/E198)</f>
        <v>1.0266946055230413</v>
      </c>
      <c r="X198" s="7">
        <f>EXP(-Parameters!$B$56*A198)</f>
        <v>5.3429085981473647E-2</v>
      </c>
      <c r="Y198" s="7">
        <f>IF(W198&gt;0,W198^(1-Parameters!$B$53)/(1-Parameters!$B$53)*X198*Parameters!$B$71,-10+W198*1000)</f>
        <v>-0.15125343707101249</v>
      </c>
      <c r="AA198" s="22">
        <f t="shared" ref="AA198:AA204" si="149">B198/E198-B197/E197</f>
        <v>0</v>
      </c>
      <c r="AB198" s="22">
        <f t="shared" ref="AB198:AB204" si="150">C198/F198-C197/F197</f>
        <v>2.3541118449044163E-7</v>
      </c>
      <c r="AC198" s="22">
        <f t="shared" ref="AC198:AC204" si="151">D198/G198-D197/G197</f>
        <v>-3.203619848152206E-7</v>
      </c>
      <c r="AD198" s="22">
        <f t="shared" si="147"/>
        <v>8.4444791730072936E-15</v>
      </c>
      <c r="AE198" s="22">
        <f t="shared" ref="AE198:AE204" si="152">B198/E198-2*B197/E197+B196/E196</f>
        <v>0</v>
      </c>
      <c r="AF198" s="22">
        <f t="shared" ref="AF198:AF204" si="153">C198/F198-2*C197/F197+C196/F196</f>
        <v>-1.4585920873888547E-8</v>
      </c>
      <c r="AG198" s="22">
        <f t="shared" ref="AG198:AG204" si="154">D198/G198-2*D197/G197+D196/G196</f>
        <v>1.9854717772660457E-8</v>
      </c>
      <c r="AH198" s="22">
        <f t="shared" si="148"/>
        <v>3.2429259552992093E-17</v>
      </c>
      <c r="AI198" s="22"/>
      <c r="AM198" s="23">
        <f t="shared" si="143"/>
        <v>84.189212836995637</v>
      </c>
      <c r="AN198" s="23">
        <f t="shared" si="144"/>
        <v>0.60183885953913563</v>
      </c>
      <c r="AO198" s="23">
        <f t="shared" si="134"/>
        <v>2084.1357130122697</v>
      </c>
      <c r="AP198" s="25">
        <f t="shared" si="145"/>
        <v>8100.3274367433705</v>
      </c>
      <c r="AQ198" s="22">
        <f>-X198*V198*W198^(-Parameters!B$53)*Parameters!B$47*Parameters!B$46*M198</f>
        <v>-1.6650852920550554E-6</v>
      </c>
      <c r="AR198" s="7">
        <f>1000*EXP(-(Parameters!$B$55)*'6states'!A198)*AP198*Parameters!B$47*Parameters!B$46*M198</f>
        <v>0.21443706228183393</v>
      </c>
      <c r="AS198" s="59">
        <f>SUM(AR198:AR$204)*EXP(Parameters!$B$55*A198)</f>
        <v>6271.9072022900928</v>
      </c>
      <c r="AT198" s="39">
        <f t="shared" ref="AT198:AT204" si="155">(B198+C198+D198)/V198</f>
        <v>0.23546744076482692</v>
      </c>
      <c r="AU198">
        <f>(1/$S198-1/Parameters!$B$13) * LN(Parameters!$B$18) / LN(O198)</f>
        <v>0.18768401893949613</v>
      </c>
      <c r="AV198">
        <f>(Parameters!$B$18*'6states'!S198^+Parameters!$B$19*Parameters!$B$25^'6states'!S198)^((1-'6states'!S198)/'6states'!S198)*Parameters!$B$18*Parameters!$B$26^('6states'!S198-1)</f>
        <v>0.30896830083915483</v>
      </c>
      <c r="AW198">
        <f t="shared" ref="AW198:AW204" si="156">(LN(AV198)-LN(AV$4))/ LN(O198)</f>
        <v>0.16589893014351892</v>
      </c>
      <c r="AX198">
        <f t="shared" ref="AX198:AX204" si="157">1-2^-AU198</f>
        <v>0.1219859195916686</v>
      </c>
      <c r="AY198">
        <f t="shared" ref="AY198:AY204" si="158">1-2^-AV198</f>
        <v>0.1927811893298782</v>
      </c>
      <c r="AZ198">
        <f>(1/$S198-1/Parameters!$B$13) * LN(Parameters!$B$18) / A198</f>
        <v>5.061322462396961E-3</v>
      </c>
    </row>
    <row r="199" spans="1:52" x14ac:dyDescent="0.25">
      <c r="A199">
        <f>A198+Parameters!$B$71</f>
        <v>195</v>
      </c>
      <c r="B199" s="9">
        <f t="shared" si="142"/>
        <v>-2.9568713141259393E-6</v>
      </c>
      <c r="C199" s="9">
        <f t="shared" si="140"/>
        <v>9.0949993792235756E-2</v>
      </c>
      <c r="D199" s="9">
        <f t="shared" si="141"/>
        <v>0.22597556464516125</v>
      </c>
      <c r="E199" s="7">
        <f>MAX((1-Parameters!$B$4)^Parameters!B$71*E198 + B198*Parameters!B$71 - IF(B198&gt;0,Parameters!$B$5,0)*B198^2/E198*Parameters!B$71, 0.0001)</f>
        <v>1E-4</v>
      </c>
      <c r="F199" s="7">
        <f>(1-Parameters!$B$4)^Parameters!B$71*F198+C198*Parameters!B$71-Parameters!$B$5*C198^2/F198*Parameters!B$71</f>
        <v>1.3484891558801442</v>
      </c>
      <c r="G199" s="7">
        <f>(1-Parameters!$B$4)^Parameters!B$71*G198+D198*Parameters!B$71-Parameters!$B$5*D198^2/G198*Parameters!B$71</f>
        <v>3.3500546110162195</v>
      </c>
      <c r="H199" s="9">
        <f>MAX(H198 * (1-Parameters!$B$4) ^ Parameters!B$71 + (LN(1+EXP(Parameters!$B$21*(-B198+0.004)))/Parameters!$B$21 -0.004) * Parameters!B$71,0)</f>
        <v>1.3988657446829436E-2</v>
      </c>
      <c r="I199" s="23">
        <f>I198*(1+Parameters!$B$52)^Parameters!B$71</f>
        <v>14.352523434226047</v>
      </c>
      <c r="J199" s="23">
        <f>J198*(1+Parameters!$B$54)^Parameters!B$71</f>
        <v>428.95305407291534</v>
      </c>
      <c r="K199" s="23">
        <f>I199*J199*EXP(-Parameters!$B$43*'6states'!A199)*(Parameters!$B$38/Parameters!$B$39*('6states'!E199+'6states'!H199)/Parameters!$E$25*(EXP(-Parameters!$B$39*Parameters!$E$25*'6states'!H199/('6states'!E199+'6states'!H199))-EXP(-Parameters!$B$39*Parameters!$E$25))  +  Parameters!$B$40*'6states'!E199)</f>
        <v>6.9609917283483438E-2</v>
      </c>
      <c r="L199" s="8">
        <f>L198+K199*Parameters!B$71</f>
        <v>3315.833222158421</v>
      </c>
      <c r="M199" s="7">
        <f>L199*Parameters!$B$46</f>
        <v>1.9894999332950525</v>
      </c>
      <c r="N199" s="9">
        <f>EXP(-Parameters!$B$47/2*M199^2)</f>
        <v>0.96100179194647062</v>
      </c>
      <c r="O199" s="8">
        <f>MAX((Parameters!$B$63 + Parameters!$B$31*'6states'!A199 - '6states'!L199 + Parameters!$B$48/Parameters!$B$46)/Parameters!B$63,1)</f>
        <v>188.16333555683158</v>
      </c>
      <c r="P199" s="59">
        <f>Parameters!B$62*EXP(-Parameters!B$61*A199)</f>
        <v>2.5846965141601667E-3</v>
      </c>
      <c r="Q199" s="59">
        <f>(1-Parameters!B$62)*O199^-Parameters!B$64</f>
        <v>0.29615325071431209</v>
      </c>
      <c r="R199" s="7">
        <f>Parameters!B$62*EXP(-Parameters!B$61*A199)+(1-Parameters!B$62)*O199^-Parameters!B$64</f>
        <v>0.29873794722847224</v>
      </c>
      <c r="S199" s="7">
        <f>1-R199/Parameters!$B$12</f>
        <v>0.85063102638576393</v>
      </c>
      <c r="T199" s="7">
        <f t="shared" si="146"/>
        <v>6.6948307657427186</v>
      </c>
      <c r="U199" s="7">
        <f>(Parameters!$B$19*(E199+Parameters!$B$20)^S199+Parameters!$B$18*F199^S199)^(1/S199)</f>
        <v>0.34635136357744367</v>
      </c>
      <c r="V199" s="7">
        <f>(Parameters!$B$10*G199^Parameters!$B$9+Parameters!$B$11*U199^Parameters!$B$9)^(Parameters!$B$7/Parameters!$B$9)*N199</f>
        <v>1.3459479114276844</v>
      </c>
      <c r="W199" s="7">
        <f>V199 - C199 - D199 - LN(1+EXP(Parameters!$B$21*B199))/Parameters!$B$21 - IF(B199&gt;0, 0,Parameters!$B$6*B199^2/E199)</f>
        <v>1.0267129033418136</v>
      </c>
      <c r="X199" s="7">
        <f>EXP(-Parameters!$B$56*A199)</f>
        <v>5.2628367422535426E-2</v>
      </c>
      <c r="Y199" s="7">
        <f>IF(W199&gt;0,W199^(1-Parameters!$B$53)/(1-Parameters!$B$53)*X199*Parameters!$B$71,-10+W199*1000)</f>
        <v>-0.14898573802657716</v>
      </c>
      <c r="AA199" s="22">
        <f t="shared" si="149"/>
        <v>0</v>
      </c>
      <c r="AB199" s="22">
        <f t="shared" si="150"/>
        <v>2.2167618443647008E-7</v>
      </c>
      <c r="AC199" s="22">
        <f t="shared" si="151"/>
        <v>-3.0166612731419296E-7</v>
      </c>
      <c r="AD199" s="22">
        <f t="shared" si="147"/>
        <v>7.3754858813957973E-15</v>
      </c>
      <c r="AE199" s="22">
        <f t="shared" si="152"/>
        <v>0</v>
      </c>
      <c r="AF199" s="22">
        <f t="shared" si="153"/>
        <v>-1.3735000053971547E-8</v>
      </c>
      <c r="AG199" s="22">
        <f t="shared" si="154"/>
        <v>1.8695857501027646E-8</v>
      </c>
      <c r="AH199" s="22">
        <f t="shared" si="148"/>
        <v>2.8323814456147706E-17</v>
      </c>
      <c r="AI199" s="22"/>
      <c r="AM199" s="23">
        <f t="shared" si="143"/>
        <v>86.121991555609227</v>
      </c>
      <c r="AN199" s="23">
        <f t="shared" si="144"/>
        <v>0.61565587607643502</v>
      </c>
      <c r="AO199" s="23">
        <f t="shared" si="134"/>
        <v>2132.3325217353895</v>
      </c>
      <c r="AP199" s="25">
        <f t="shared" si="145"/>
        <v>8286.4074056325899</v>
      </c>
      <c r="AQ199" s="22">
        <f>-X199*V199*W199^(-Parameters!B$53)*Parameters!B$47*Parameters!B$46*M199</f>
        <v>-1.6401486488208364E-6</v>
      </c>
      <c r="AR199" s="7">
        <f>1000*EXP(-(Parameters!$B$55)*'6states'!A199)*AP199*Parameters!B$47*Parameters!B$46*M199</f>
        <v>0.21180145398373415</v>
      </c>
      <c r="AS199" s="59">
        <f>SUM(AR199:AR$204)*EXP(Parameters!$B$55*A199)</f>
        <v>6294.6673862589232</v>
      </c>
      <c r="AT199" s="39">
        <f t="shared" si="155"/>
        <v>0.23546423964499061</v>
      </c>
      <c r="AU199">
        <f>(1/$S199-1/Parameters!$B$13) * LN(Parameters!$B$18) / LN(O199)</f>
        <v>0.18751856329327873</v>
      </c>
      <c r="AV199">
        <f>(Parameters!$B$18*'6states'!S199^+Parameters!$B$19*Parameters!$B$25^'6states'!S199)^((1-'6states'!S199)/'6states'!S199)*Parameters!$B$18*Parameters!$B$26^('6states'!S199-1)</f>
        <v>0.30897938464913488</v>
      </c>
      <c r="AW199">
        <f t="shared" si="156"/>
        <v>0.16572638790232941</v>
      </c>
      <c r="AX199">
        <f t="shared" si="157"/>
        <v>0.12188521867182556</v>
      </c>
      <c r="AY199">
        <f t="shared" si="158"/>
        <v>0.19278739093540631</v>
      </c>
      <c r="AZ199">
        <f>(1/$S199-1/Parameters!$B$13) * LN(Parameters!$B$18) / A199</f>
        <v>5.0363739496890421E-3</v>
      </c>
    </row>
    <row r="200" spans="1:52" x14ac:dyDescent="0.25">
      <c r="A200">
        <f>A199+Parameters!$B$71</f>
        <v>196</v>
      </c>
      <c r="B200" s="9">
        <f t="shared" si="142"/>
        <v>-2.9568713141259393E-6</v>
      </c>
      <c r="C200" s="9">
        <f t="shared" si="140"/>
        <v>9.0949993792235756E-2</v>
      </c>
      <c r="D200" s="9">
        <f t="shared" si="141"/>
        <v>0.22597556464516125</v>
      </c>
      <c r="E200" s="7">
        <f>MAX((1-Parameters!$B$4)^Parameters!B$71*E199 + B199*Parameters!B$71 - IF(B199&gt;0,Parameters!$B$5,0)*B199^2/E199*Parameters!B$71, 0.0001)</f>
        <v>1E-4</v>
      </c>
      <c r="F200" s="7">
        <f>(1-Parameters!$B$4)^Parameters!B$71*F199+C199*Parameters!B$71-Parameters!$B$5*C199^2/F199*Parameters!B$71</f>
        <v>1.3484849823675924</v>
      </c>
      <c r="G200" s="7">
        <f>(1-Parameters!$B$4)^Parameters!B$71*G199+D199*Parameters!B$71-Parameters!$B$5*D199^2/G199*Parameters!B$71</f>
        <v>3.3500687187240481</v>
      </c>
      <c r="H200" s="9">
        <f>MAX(H199 * (1-Parameters!$B$4) ^ Parameters!B$71 + (LN(1+EXP(Parameters!$B$21*(-B199+0.004)))/Parameters!$B$21 -0.004) * Parameters!B$71,0)</f>
        <v>1.3988651780035454E-2</v>
      </c>
      <c r="I200" s="23">
        <f>I199*(1+Parameters!$B$52)^Parameters!B$71</f>
        <v>14.394145752185301</v>
      </c>
      <c r="J200" s="23">
        <f>J199*(1+Parameters!$B$54)^Parameters!B$71</f>
        <v>437.53211515437363</v>
      </c>
      <c r="K200" s="23">
        <f>I200*J200*EXP(-Parameters!$B$43*'6states'!A200)*(Parameters!$B$38/Parameters!$B$39*('6states'!E200+'6states'!H200)/Parameters!$E$25*(EXP(-Parameters!$B$39*Parameters!$E$25*'6states'!H200/('6states'!E200+'6states'!H200))-EXP(-Parameters!$B$39*Parameters!$E$25))  +  Parameters!$B$40*'6states'!E200)</f>
        <v>7.0499490109528232E-2</v>
      </c>
      <c r="L200" s="8">
        <f>L199+K200*Parameters!B$71</f>
        <v>3315.9037216485303</v>
      </c>
      <c r="M200" s="7">
        <f>L200*Parameters!$B$46</f>
        <v>1.9895422329891179</v>
      </c>
      <c r="N200" s="9">
        <f>EXP(-Parameters!$B$47/2*M200^2)</f>
        <v>0.96100016637653074</v>
      </c>
      <c r="O200" s="8">
        <f>MAX((Parameters!$B$63 + Parameters!$B$31*'6states'!A200 - '6states'!L200 + Parameters!$B$48/Parameters!$B$46)/Parameters!B$63,1)</f>
        <v>189.22592556702941</v>
      </c>
      <c r="P200" s="59">
        <f>Parameters!B$62*EXP(-Parameters!B$61*A200)</f>
        <v>2.5158434079865654E-3</v>
      </c>
      <c r="Q200" s="59">
        <f>(1-Parameters!B$62)*O200^-Parameters!B$64</f>
        <v>0.29598652539336173</v>
      </c>
      <c r="R200" s="7">
        <f>Parameters!B$62*EXP(-Parameters!B$61*A200)+(1-Parameters!B$62)*O200^-Parameters!B$64</f>
        <v>0.29850236880134828</v>
      </c>
      <c r="S200" s="7">
        <f>1-R200/Parameters!$B$12</f>
        <v>0.85074881559932591</v>
      </c>
      <c r="T200" s="7">
        <f t="shared" si="146"/>
        <v>6.7001143342047982</v>
      </c>
      <c r="U200" s="7">
        <f>(Parameters!$B$19*(E200+Parameters!$B$20)^S200+Parameters!$B$18*F200^S200)^(1/S200)</f>
        <v>0.34640743942565827</v>
      </c>
      <c r="V200" s="7">
        <f>(Parameters!$B$10*G200^Parameters!$B$9+Parameters!$B$11*U200^Parameters!$B$9)^(Parameters!$B$7/Parameters!$B$9)*N200</f>
        <v>1.3459658746583782</v>
      </c>
      <c r="W200" s="7">
        <f>V200 - C200 - D200 - LN(1+EXP(Parameters!$B$21*B200))/Parameters!$B$21 - IF(B200&gt;0, 0,Parameters!$B$6*B200^2/E200)</f>
        <v>1.0267308665725075</v>
      </c>
      <c r="X200" s="7">
        <f>EXP(-Parameters!$B$56*A200)</f>
        <v>5.1839648885661067E-2</v>
      </c>
      <c r="Y200" s="7">
        <f>IF(W200&gt;0,W200^(1-Parameters!$B$53)/(1-Parameters!$B$53)*X200*Parameters!$B$71,-10+W200*1000)</f>
        <v>-0.14675205469257738</v>
      </c>
      <c r="AA200" s="22">
        <f t="shared" si="149"/>
        <v>0</v>
      </c>
      <c r="AB200" s="22">
        <f t="shared" si="150"/>
        <v>2.0874247341762242E-7</v>
      </c>
      <c r="AC200" s="22">
        <f t="shared" si="151"/>
        <v>-2.840614729410218E-7</v>
      </c>
      <c r="AD200" s="22">
        <f t="shared" si="147"/>
        <v>6.4418197866416648E-15</v>
      </c>
      <c r="AE200" s="22">
        <f t="shared" si="152"/>
        <v>0</v>
      </c>
      <c r="AF200" s="22">
        <f t="shared" si="153"/>
        <v>-1.293371101884766E-8</v>
      </c>
      <c r="AG200" s="22">
        <f t="shared" si="154"/>
        <v>1.7604654373171158E-8</v>
      </c>
      <c r="AH200" s="22">
        <f t="shared" si="148"/>
        <v>2.4738125977293149E-17</v>
      </c>
      <c r="AI200" s="22"/>
      <c r="AM200" s="23">
        <f t="shared" si="143"/>
        <v>88.099144548835199</v>
      </c>
      <c r="AN200" s="23">
        <f t="shared" si="144"/>
        <v>0.62979010367939769</v>
      </c>
      <c r="AO200" s="23">
        <f t="shared" si="134"/>
        <v>2181.639771912</v>
      </c>
      <c r="AP200" s="25">
        <f t="shared" si="145"/>
        <v>8476.7598775003116</v>
      </c>
      <c r="AQ200" s="22">
        <f>-X200*V200*W200^(-Parameters!B$53)*Parameters!B$47*Parameters!B$46*M200</f>
        <v>-1.6155862038787398E-6</v>
      </c>
      <c r="AR200" s="7">
        <f>1000*EXP(-(Parameters!$B$55)*'6states'!A200)*AP200*Parameters!B$47*Parameters!B$46*M200</f>
        <v>0.20919824347267829</v>
      </c>
      <c r="AS200" s="59">
        <f>SUM(AR200:AR$204)*EXP(Parameters!$B$55*A200)</f>
        <v>6313.6122341099508</v>
      </c>
      <c r="AT200" s="39">
        <f t="shared" si="155"/>
        <v>0.23546109714447366</v>
      </c>
      <c r="AU200">
        <f>(1/$S200-1/Parameters!$B$13) * LN(Parameters!$B$18) / LN(O200)</f>
        <v>0.18735413829510561</v>
      </c>
      <c r="AV200">
        <f>(Parameters!$B$18*'6states'!S200^+Parameters!$B$19*Parameters!$B$25^'6states'!S200)^((1-'6states'!S200)/'6states'!S200)*Parameters!$B$18*Parameters!$B$26^('6states'!S200-1)</f>
        <v>0.30899030410444334</v>
      </c>
      <c r="AW200">
        <f t="shared" si="156"/>
        <v>0.16555512672323311</v>
      </c>
      <c r="AX200">
        <f t="shared" si="157"/>
        <v>0.12178513359125653</v>
      </c>
      <c r="AY200">
        <f t="shared" si="158"/>
        <v>0.19279350053473432</v>
      </c>
      <c r="AZ200">
        <f>(1/$S200-1/Parameters!$B$13) * LN(Parameters!$B$18) / A200</f>
        <v>5.0116674467601584E-3</v>
      </c>
    </row>
    <row r="201" spans="1:52" x14ac:dyDescent="0.25">
      <c r="A201">
        <f>A200+Parameters!$B$71</f>
        <v>197</v>
      </c>
      <c r="B201" s="9">
        <f t="shared" si="142"/>
        <v>-2.9568713141259393E-6</v>
      </c>
      <c r="C201" s="9">
        <f t="shared" si="140"/>
        <v>9.0949993792235756E-2</v>
      </c>
      <c r="D201" s="9">
        <f>D200</f>
        <v>0.22597556464516125</v>
      </c>
      <c r="E201" s="7">
        <f>MAX((1-Parameters!$B$4)^Parameters!B$71*E200 + B200*Parameters!B$71 - IF(B200&gt;0,Parameters!$B$5,0)*B200^2/E200*Parameters!B$71, 0.0001)</f>
        <v>1E-4</v>
      </c>
      <c r="F201" s="7">
        <f>(1-Parameters!$B$4)^Parameters!B$71*F200+C200*Parameters!B$71-Parameters!$B$5*C200^2/F200*Parameters!B$71</f>
        <v>1.3484810523838533</v>
      </c>
      <c r="G201" s="7">
        <f>(1-Parameters!$B$4)^Parameters!B$71*G200+D200*Parameters!B$71-Parameters!$B$5*D200^2/G200*Parameters!B$71</f>
        <v>3.3500820032480059</v>
      </c>
      <c r="H201" s="9">
        <f>MAX(H200 * (1-Parameters!$B$4) ^ Parameters!B$71 + (LN(1+EXP(Parameters!$B$21*(-B200+0.004)))/Parameters!$B$21 -0.004) * Parameters!B$71,0)</f>
        <v>1.3988646469682814E-2</v>
      </c>
      <c r="I201" s="23">
        <f>I200*(1+Parameters!$B$52)^Parameters!B$71</f>
        <v>14.435888774866637</v>
      </c>
      <c r="J201" s="23">
        <f>J200*(1+Parameters!$B$54)^Parameters!B$71</f>
        <v>446.28275745746112</v>
      </c>
      <c r="K201" s="23">
        <f>I201*J201*EXP(-Parameters!$B$43*'6states'!A201)*(Parameters!$B$38/Parameters!$B$39*('6states'!E201+'6states'!H201)/Parameters!$E$25*(EXP(-Parameters!$B$39*Parameters!$E$25*'6states'!H201/('6states'!E201+'6states'!H201))-EXP(-Parameters!$B$39*Parameters!$E$25))  +  Parameters!$B$40*'6states'!E201)</f>
        <v>7.140043114061792E-2</v>
      </c>
      <c r="L201" s="8">
        <f>L200+K201*Parameters!B$71</f>
        <v>3315.9751220796711</v>
      </c>
      <c r="M201" s="7">
        <f>L201*Parameters!$B$46</f>
        <v>1.9895850732478024</v>
      </c>
      <c r="N201" s="9">
        <f>EXP(-Parameters!$B$47/2*M201^2)</f>
        <v>0.96099852000036157</v>
      </c>
      <c r="O201" s="8">
        <f>MAX((Parameters!$B$63 + Parameters!$B$31*'6states'!A201 - '6states'!L201 + Parameters!$B$48/Parameters!$B$46)/Parameters!B$63,1)</f>
        <v>190.28849755840659</v>
      </c>
      <c r="P201" s="59">
        <f>Parameters!B$62*EXP(-Parameters!B$61*A201)</f>
        <v>2.4488244630786211E-3</v>
      </c>
      <c r="Q201" s="59">
        <f>(1-Parameters!B$62)*O201^-Parameters!B$64</f>
        <v>0.29582082957046668</v>
      </c>
      <c r="R201" s="7">
        <f>Parameters!B$62*EXP(-Parameters!B$61*A201)+(1-Parameters!B$62)*O201^-Parameters!B$64</f>
        <v>0.29826965403354533</v>
      </c>
      <c r="S201" s="7">
        <f>1-R201/Parameters!$B$12</f>
        <v>0.85086517298322728</v>
      </c>
      <c r="T201" s="7">
        <f t="shared" si="146"/>
        <v>6.7053418708665093</v>
      </c>
      <c r="U201" s="7">
        <f>(Parameters!$B$19*(E201+Parameters!$B$20)^S201+Parameters!$B$18*F201^S201)^(1/S201)</f>
        <v>0.34646287921053864</v>
      </c>
      <c r="V201" s="7">
        <f>(Parameters!$B$10*G201^Parameters!$B$9+Parameters!$B$11*U201^Parameters!$B$9)^(Parameters!$B$7/Parameters!$B$9)*N201</f>
        <v>1.3459835115469887</v>
      </c>
      <c r="W201" s="7">
        <f>V201 - C201 - D201 - LN(1+EXP(Parameters!$B$21*B201))/Parameters!$B$21 - IF(B201&gt;0, 0,Parameters!$B$6*B201^2/E201)</f>
        <v>1.0267485034611179</v>
      </c>
      <c r="X201" s="7">
        <f>EXP(-Parameters!$B$56*A201)</f>
        <v>5.1062750531719887E-2</v>
      </c>
      <c r="Y201" s="7">
        <f>IF(W201&gt;0,W201^(1-Parameters!$B$53)/(1-Parameters!$B$53)*X201*Parameters!$B$71,-10+W201*1000)</f>
        <v>-0.1445518761717321</v>
      </c>
      <c r="AA201" s="22">
        <f t="shared" si="149"/>
        <v>0</v>
      </c>
      <c r="AB201" s="22">
        <f t="shared" si="150"/>
        <v>1.9656331345929701E-7</v>
      </c>
      <c r="AC201" s="22">
        <f t="shared" si="151"/>
        <v>-2.6748431659895378E-7</v>
      </c>
      <c r="AD201" s="22">
        <f t="shared" si="147"/>
        <v>5.6263489541254079E-15</v>
      </c>
      <c r="AE201" s="22">
        <f t="shared" si="152"/>
        <v>0</v>
      </c>
      <c r="AF201" s="22">
        <f t="shared" si="153"/>
        <v>-1.2179159958325414E-8</v>
      </c>
      <c r="AG201" s="22">
        <f t="shared" si="154"/>
        <v>1.6577156342068022E-8</v>
      </c>
      <c r="AH201" s="22">
        <f t="shared" si="148"/>
        <v>2.16063884202782E-17</v>
      </c>
      <c r="AI201" s="22"/>
      <c r="AM201" s="23">
        <f t="shared" si="143"/>
        <v>90.121690497502868</v>
      </c>
      <c r="AN201" s="23">
        <f t="shared" si="144"/>
        <v>0.64424882487966939</v>
      </c>
      <c r="AO201" s="23">
        <f t="shared" si="134"/>
        <v>2232.0830279581633</v>
      </c>
      <c r="AP201" s="25">
        <f t="shared" si="145"/>
        <v>8671.4829562155828</v>
      </c>
      <c r="AQ201" s="22">
        <f>-X201*V201*W201^(-Parameters!B$53)*Parameters!B$47*Parameters!B$46*M201</f>
        <v>-1.5913923288340977E-6</v>
      </c>
      <c r="AR201" s="7">
        <f>1000*EXP(-(Parameters!$B$55)*'6states'!A201)*AP201*Parameters!B$47*Parameters!B$46*M201</f>
        <v>0.20662703442790212</v>
      </c>
      <c r="AS201" s="59">
        <f>SUM(AR201:AR$204)*EXP(Parameters!$B$55*A201)</f>
        <v>6328.4990228464903</v>
      </c>
      <c r="AT201" s="39">
        <f t="shared" si="155"/>
        <v>0.23545801181608234</v>
      </c>
      <c r="AU201">
        <f>(1/$S201-1/Parameters!$B$13) * LN(Parameters!$B$18) / LN(O201)</f>
        <v>0.18719073504008293</v>
      </c>
      <c r="AV201">
        <f>(Parameters!$B$18*'6states'!S201^+Parameters!$B$19*Parameters!$B$25^'6states'!S201)^((1-'6states'!S201)/'6states'!S201)*Parameters!$B$18*Parameters!$B$26^('6states'!S201-1)</f>
        <v>0.30900106314887593</v>
      </c>
      <c r="AW201">
        <f t="shared" si="156"/>
        <v>0.16538513052706746</v>
      </c>
      <c r="AX201">
        <f t="shared" si="157"/>
        <v>0.12168565914185159</v>
      </c>
      <c r="AY201">
        <f t="shared" si="158"/>
        <v>0.19279952033653869</v>
      </c>
      <c r="AZ201">
        <f>(1/$S201-1/Parameters!$B$13) * LN(Parameters!$B$18) / A201</f>
        <v>4.9871995391690847E-3</v>
      </c>
    </row>
    <row r="202" spans="1:52" x14ac:dyDescent="0.25">
      <c r="A202">
        <f>A201+Parameters!$B$71</f>
        <v>198</v>
      </c>
      <c r="B202" s="9">
        <f t="shared" si="142"/>
        <v>-2.9568713141259393E-6</v>
      </c>
      <c r="C202" s="9">
        <f t="shared" si="140"/>
        <v>9.0949993792235756E-2</v>
      </c>
      <c r="D202" s="9">
        <f t="shared" si="141"/>
        <v>0.22597556464516125</v>
      </c>
      <c r="E202" s="7">
        <f>MAX((1-Parameters!$B$4)^Parameters!B$71*E201 + B201*Parameters!B$71 - IF(B201&gt;0,Parameters!$B$5,0)*B201^2/E201*Parameters!B$71, 0.0001)</f>
        <v>1E-4</v>
      </c>
      <c r="F202" s="7">
        <f>(1-Parameters!$B$4)^Parameters!B$71*F201+C201*Parameters!B$71-Parameters!$B$5*C201^2/F201*Parameters!B$71</f>
        <v>1.348477351718659</v>
      </c>
      <c r="G202" s="7">
        <f>(1-Parameters!$B$4)^Parameters!B$71*G201+D201*Parameters!B$71-Parameters!$B$5*D201^2/G201*Parameters!B$71</f>
        <v>3.3500945126203265</v>
      </c>
      <c r="H202" s="9">
        <f>MAX(H201 * (1-Parameters!$B$4) ^ Parameters!B$71 + (LN(1+EXP(Parameters!$B$21*(-B201+0.004)))/Parameters!$B$21 -0.004) * Parameters!B$71,0)</f>
        <v>1.3988641493351354E-2</v>
      </c>
      <c r="I202" s="23">
        <f>I201*(1+Parameters!$B$52)^Parameters!B$71</f>
        <v>14.477752852313749</v>
      </c>
      <c r="J202" s="23">
        <f>J201*(1+Parameters!$B$54)^Parameters!B$71</f>
        <v>455.20841260661035</v>
      </c>
      <c r="K202" s="23">
        <f>I202*J202*EXP(-Parameters!$B$43*'6states'!A202)*(Parameters!$B$38/Parameters!$B$39*('6states'!E202+'6states'!H202)/Parameters!$E$25*(EXP(-Parameters!$B$39*Parameters!$E$25*'6states'!H202/('6states'!E202+'6states'!H202))-EXP(-Parameters!$B$39*Parameters!$E$25))  +  Parameters!$B$40*'6states'!E202)</f>
        <v>7.2312885655567441E-2</v>
      </c>
      <c r="L202" s="8">
        <f>L201+K202*Parameters!B$71</f>
        <v>3316.0474349653268</v>
      </c>
      <c r="M202" s="7">
        <f>L202*Parameters!$B$46</f>
        <v>1.9896284609791959</v>
      </c>
      <c r="N202" s="9">
        <f>EXP(-Parameters!$B$47/2*M202^2)</f>
        <v>0.96099685255123835</v>
      </c>
      <c r="O202" s="8">
        <f>MAX((Parameters!$B$63 + Parameters!$B$31*'6states'!A202 - '6states'!L202 + Parameters!$B$48/Parameters!$B$46)/Parameters!B$63,1)</f>
        <v>191.35105130069348</v>
      </c>
      <c r="P202" s="59">
        <f>Parameters!B$62*EXP(-Parameters!B$61*A202)</f>
        <v>2.3835908196573738E-3</v>
      </c>
      <c r="Q202" s="59">
        <f>(1-Parameters!B$62)*O202^-Parameters!B$64</f>
        <v>0.29565615122699251</v>
      </c>
      <c r="R202" s="7">
        <f>Parameters!B$62*EXP(-Parameters!B$61*A202)+(1-Parameters!B$62)*O202^-Parameters!B$64</f>
        <v>0.2980397420466499</v>
      </c>
      <c r="S202" s="7">
        <f>1-R202/Parameters!$B$12</f>
        <v>0.85098012897667508</v>
      </c>
      <c r="T202" s="7">
        <f t="shared" si="146"/>
        <v>6.7105144645003598</v>
      </c>
      <c r="U202" s="7">
        <f>(Parameters!$B$19*(E202+Parameters!$B$20)^S202+Parameters!$B$18*F202^S202)^(1/S202)</f>
        <v>0.34651769426988971</v>
      </c>
      <c r="V202" s="7">
        <f>(Parameters!$B$10*G202^Parameters!$B$9+Parameters!$B$11*U202^Parameters!$B$9)^(Parameters!$B$7/Parameters!$B$9)*N202</f>
        <v>1.3460008300150728</v>
      </c>
      <c r="W202" s="7">
        <f>V202 - C202 - D202 - LN(1+EXP(Parameters!$B$21*B202))/Parameters!$B$21 - IF(B202&gt;0, 0,Parameters!$B$6*B202^2/E202)</f>
        <v>1.026765821929202</v>
      </c>
      <c r="X202" s="7">
        <f>EXP(-Parameters!$B$56*A202)</f>
        <v>5.0297495216752343E-2</v>
      </c>
      <c r="Y202" s="7">
        <f>IF(W202&gt;0,W202^(1-Parameters!$B$53)/(1-Parameters!$B$53)*X202*Parameters!$B$71,-10+W202*1000)</f>
        <v>-0.14238469927190281</v>
      </c>
      <c r="AA202" s="22">
        <f t="shared" si="149"/>
        <v>0</v>
      </c>
      <c r="AB202" s="22">
        <f t="shared" si="150"/>
        <v>1.8509469176808402E-7</v>
      </c>
      <c r="AC202" s="22">
        <f t="shared" si="151"/>
        <v>-2.5187467417309151E-7</v>
      </c>
      <c r="AD202" s="22">
        <f t="shared" si="147"/>
        <v>4.9141103698806986E-15</v>
      </c>
      <c r="AE202" s="22">
        <f t="shared" si="152"/>
        <v>0</v>
      </c>
      <c r="AF202" s="22">
        <f t="shared" si="153"/>
        <v>-1.1468621691212988E-8</v>
      </c>
      <c r="AG202" s="22">
        <f t="shared" si="154"/>
        <v>1.5609642425862269E-8</v>
      </c>
      <c r="AH202" s="22">
        <f t="shared" si="148"/>
        <v>1.8871128303841712E-17</v>
      </c>
      <c r="AI202" s="22"/>
      <c r="AM202" s="23">
        <f t="shared" si="143"/>
        <v>92.190671471955099</v>
      </c>
      <c r="AN202" s="23">
        <f t="shared" si="144"/>
        <v>0.65903948940125678</v>
      </c>
      <c r="AO202" s="23">
        <f t="shared" si="134"/>
        <v>2283.6884430012892</v>
      </c>
      <c r="AP202" s="25">
        <f t="shared" si="145"/>
        <v>8870.6769974680137</v>
      </c>
      <c r="AQ202" s="22">
        <f>-X202*V202*W202^(-Parameters!B$53)*Parameters!B$47*Parameters!B$46*M202</f>
        <v>-1.5675614805384996E-6</v>
      </c>
      <c r="AR202" s="7">
        <f>1000*EXP(-(Parameters!$B$55)*'6states'!A202)*AP202*Parameters!B$47*Parameters!B$46*M202</f>
        <v>0.20408743528835882</v>
      </c>
      <c r="AS202" s="59">
        <f>SUM(AR202:AR$204)*EXP(Parameters!$B$55*A202)</f>
        <v>6339.073909259404</v>
      </c>
      <c r="AT202" s="39">
        <f t="shared" si="155"/>
        <v>0.23545498226961264</v>
      </c>
      <c r="AU202">
        <f>(1/$S202-1/Parameters!$B$13) * LN(Parameters!$B$18) / LN(O202)</f>
        <v>0.1870283446981062</v>
      </c>
      <c r="AV202">
        <f>(Parameters!$B$18*'6states'!S202^+Parameters!$B$19*Parameters!$B$25^'6states'!S202)^((1-'6states'!S202)/'6states'!S202)*Parameters!$B$18*Parameters!$B$26^('6states'!S202-1)</f>
        <v>0.30901166561192872</v>
      </c>
      <c r="AW202">
        <f t="shared" si="156"/>
        <v>0.16521638351303516</v>
      </c>
      <c r="AX202">
        <f t="shared" si="157"/>
        <v>0.12158679015730123</v>
      </c>
      <c r="AY202">
        <f t="shared" si="158"/>
        <v>0.19280545248544856</v>
      </c>
      <c r="AZ202">
        <f>(1/$S202-1/Parameters!$B$13) * LN(Parameters!$B$18) / A202</f>
        <v>4.9629668746054194E-3</v>
      </c>
    </row>
    <row r="203" spans="1:52" x14ac:dyDescent="0.25">
      <c r="A203">
        <f>A202+Parameters!$B$71</f>
        <v>199</v>
      </c>
      <c r="B203" s="9">
        <f t="shared" si="142"/>
        <v>-2.9568713141259393E-6</v>
      </c>
      <c r="C203" s="9">
        <f t="shared" si="140"/>
        <v>9.0949993792235756E-2</v>
      </c>
      <c r="D203" s="9">
        <f t="shared" si="141"/>
        <v>0.22597556464516125</v>
      </c>
      <c r="E203" s="7">
        <f>MAX((1-Parameters!$B$4)^Parameters!B$71*E202 + B202*Parameters!B$71 - IF(B202&gt;0,Parameters!$B$5,0)*B202^2/E202*Parameters!B$71, 0.0001)</f>
        <v>1E-4</v>
      </c>
      <c r="F203" s="7">
        <f>(1-Parameters!$B$4)^Parameters!B$71*F202+C202*Parameters!B$71-Parameters!$B$5*C202^2/F202*Parameters!B$71</f>
        <v>1.3484738669909446</v>
      </c>
      <c r="G203" s="7">
        <f>(1-Parameters!$B$4)^Parameters!B$71*G202+D202*Parameters!B$71-Parameters!$B$5*D202^2/G202*Parameters!B$71</f>
        <v>3.3501062920706492</v>
      </c>
      <c r="H203" s="9">
        <f>MAX(H202 * (1-Parameters!$B$4) ^ Parameters!B$71 + (LN(1+EXP(Parameters!$B$21*(-B202+0.004)))/Parameters!$B$21 -0.004) * Parameters!B$71,0)</f>
        <v>1.3988636830031143E-2</v>
      </c>
      <c r="I203" s="23">
        <f>I202*(1+Parameters!$B$52)^Parameters!B$71</f>
        <v>14.519738335585458</v>
      </c>
      <c r="J203" s="23">
        <f>J202*(1+Parameters!$B$54)^Parameters!B$71</f>
        <v>464.31258085874259</v>
      </c>
      <c r="K203" s="23">
        <f>I203*J203*EXP(-Parameters!$B$43*'6states'!A203)*(Parameters!$B$38/Parameters!$B$39*('6states'!E203+'6states'!H203)/Parameters!$E$25*(EXP(-Parameters!$B$39*Parameters!$E$25*'6states'!H203/('6states'!E203+'6states'!H203))-EXP(-Parameters!$B$39*Parameters!$E$25))  +  Parameters!$B$40*'6states'!E203)</f>
        <v>7.3237000789767442E-2</v>
      </c>
      <c r="L203" s="8">
        <f>L202+K203*Parameters!B$71</f>
        <v>3316.1206719661168</v>
      </c>
      <c r="M203" s="7">
        <f>L203*Parameters!$B$46</f>
        <v>1.98967240317967</v>
      </c>
      <c r="N203" s="9">
        <f>EXP(-Parameters!$B$47/2*M203^2)</f>
        <v>0.96099516375900607</v>
      </c>
      <c r="O203" s="8">
        <f>MAX((Parameters!$B$63 + Parameters!$B$31*'6states'!A203 - '6states'!L203 + Parameters!$B$48/Parameters!$B$46)/Parameters!B$63,1)</f>
        <v>192.41358656067769</v>
      </c>
      <c r="P203" s="59">
        <f>Parameters!B$62*EXP(-Parameters!B$61*A203)</f>
        <v>2.3200949195077126E-3</v>
      </c>
      <c r="Q203" s="59">
        <f>(1-Parameters!B$62)*O203^-Parameters!B$64</f>
        <v>0.29549247855108096</v>
      </c>
      <c r="R203" s="7">
        <f>Parameters!B$62*EXP(-Parameters!B$61*A203)+(1-Parameters!B$62)*O203^-Parameters!B$64</f>
        <v>0.29781257347058865</v>
      </c>
      <c r="S203" s="7">
        <f>1-R203/Parameters!$B$12</f>
        <v>0.85109371326470562</v>
      </c>
      <c r="T203" s="7">
        <f t="shared" si="146"/>
        <v>6.7156331806034881</v>
      </c>
      <c r="U203" s="7">
        <f>(Parameters!$B$19*(E203+Parameters!$B$20)^S203+Parameters!$B$18*F203^S203)^(1/S203)</f>
        <v>0.34657189577557701</v>
      </c>
      <c r="V203" s="7">
        <f>(Parameters!$B$10*G203^Parameters!$B$9+Parameters!$B$11*U203^Parameters!$B$9)^(Parameters!$B$7/Parameters!$B$9)*N203</f>
        <v>1.3460178376737786</v>
      </c>
      <c r="W203" s="7">
        <f>V203 - C203 - D203 - LN(1+EXP(Parameters!$B$21*B203))/Parameters!$B$21 - IF(B203&gt;0, 0,Parameters!$B$6*B203^2/E203)</f>
        <v>1.0267828295879078</v>
      </c>
      <c r="X203" s="7">
        <f>EXP(-Parameters!$B$56*A203)</f>
        <v>4.9543708451578718E-2</v>
      </c>
      <c r="Y203" s="7">
        <f>IF(W203&gt;0,W203^(1-Parameters!$B$53)/(1-Parameters!$B$53)*X203*Parameters!$B$71,-10+W203*1000)</f>
        <v>-0.14025002838817677</v>
      </c>
      <c r="AA203" s="22">
        <f t="shared" si="149"/>
        <v>0</v>
      </c>
      <c r="AB203" s="22">
        <f t="shared" si="150"/>
        <v>1.7429516188660621E-7</v>
      </c>
      <c r="AC203" s="22">
        <f t="shared" si="151"/>
        <v>-2.3717606488504739E-7</v>
      </c>
      <c r="AD203" s="22">
        <f t="shared" si="147"/>
        <v>4.2920353354757063E-15</v>
      </c>
      <c r="AE203" s="22">
        <f t="shared" si="152"/>
        <v>0</v>
      </c>
      <c r="AF203" s="22">
        <f t="shared" si="153"/>
        <v>-1.079952988147781E-8</v>
      </c>
      <c r="AG203" s="22">
        <f t="shared" si="154"/>
        <v>1.4698609288044118E-8</v>
      </c>
      <c r="AH203" s="22">
        <f t="shared" si="148"/>
        <v>1.6482149435087113E-17</v>
      </c>
      <c r="AI203" s="22"/>
      <c r="AM203" s="23">
        <f t="shared" si="143"/>
        <v>94.30715346891553</v>
      </c>
      <c r="AN203" s="23">
        <f t="shared" si="144"/>
        <v>0.67416971799893077</v>
      </c>
      <c r="AO203" s="23">
        <f t="shared" si="134"/>
        <v>2336.4827724137558</v>
      </c>
      <c r="AP203" s="25">
        <f t="shared" si="145"/>
        <v>9074.4446604606183</v>
      </c>
      <c r="AQ203" s="22">
        <f>-X203*V203*W203^(-Parameters!B$53)*Parameters!B$47*Parameters!B$46*M203</f>
        <v>-1.5440881997671169E-6</v>
      </c>
      <c r="AR203" s="7">
        <f>1000*EXP(-(Parameters!$B$55)*'6states'!A203)*AP203*Parameters!B$47*Parameters!B$46*M203</f>
        <v>0.20157905920018235</v>
      </c>
      <c r="AS203" s="59">
        <f>SUM(AR203:AR$204)*EXP(Parameters!$B$55*A203)</f>
        <v>6345.071476253238</v>
      </c>
      <c r="AT203" s="39">
        <f t="shared" si="155"/>
        <v>0.23545200716938222</v>
      </c>
      <c r="AU203">
        <f>(1/$S203-1/Parameters!$B$13) * LN(Parameters!$B$18) / LN(O203)</f>
        <v>0.18686695851359836</v>
      </c>
      <c r="AV203">
        <f>(Parameters!$B$18*'6states'!S203^+Parameters!$B$19*Parameters!$B$25^'6states'!S203)^((1-'6states'!S203)/'6states'!S203)*Parameters!$B$18*Parameters!$B$26^('6states'!S203-1)</f>
        <v>0.30902211521249584</v>
      </c>
      <c r="AW203">
        <f t="shared" si="156"/>
        <v>0.16504887015260633</v>
      </c>
      <c r="AX203">
        <f t="shared" si="157"/>
        <v>0.12148852151299838</v>
      </c>
      <c r="AY203">
        <f t="shared" si="158"/>
        <v>0.1928112990641192</v>
      </c>
      <c r="AZ203">
        <f>(1/$S203-1/Parameters!$B$13) * LN(Parameters!$B$18) / A203</f>
        <v>4.9389661615132007E-3</v>
      </c>
    </row>
    <row r="204" spans="1:52" x14ac:dyDescent="0.25">
      <c r="A204">
        <f>A203+Parameters!$B$71</f>
        <v>200</v>
      </c>
      <c r="B204" s="9">
        <f t="shared" si="142"/>
        <v>-2.9568713141259393E-6</v>
      </c>
      <c r="C204" s="9">
        <f t="shared" si="140"/>
        <v>9.0949993792235756E-2</v>
      </c>
      <c r="D204" s="9">
        <f t="shared" si="141"/>
        <v>0.22597556464516125</v>
      </c>
      <c r="E204" s="7">
        <f>MAX((1-Parameters!$B$4)^Parameters!B$71*E203 + B203*Parameters!B$71 - IF(B203&gt;0,Parameters!$B$5,0)*B203^2/E203*Parameters!B$71, 0.0001)</f>
        <v>1E-4</v>
      </c>
      <c r="F204" s="7">
        <f>(1-Parameters!$B$4)^Parameters!B$71*F203+C203*Parameters!B$71-Parameters!$B$5*C203^2/F203*Parameters!B$71</f>
        <v>1.3484705856004595</v>
      </c>
      <c r="G204" s="7">
        <f>(1-Parameters!$B$4)^Parameters!B$71*G203+D203*Parameters!B$71-Parameters!$B$5*D203^2/G203*Parameters!B$71</f>
        <v>3.350117384189542</v>
      </c>
      <c r="H204" s="9">
        <f>MAX(H203 * (1-Parameters!$B$4) ^ Parameters!B$71 + (LN(1+EXP(Parameters!$B$21*(-B203+0.004)))/Parameters!$B$21 -0.004) * Parameters!B$71,0)</f>
        <v>1.3988632460033774E-2</v>
      </c>
      <c r="I204" s="23">
        <f>I203*(1+Parameters!$B$52)^Parameters!B$71</f>
        <v>14.561845576758655</v>
      </c>
      <c r="J204" s="23">
        <f>J203*(1+Parameters!$B$54)^Parameters!B$71</f>
        <v>473.59883247591745</v>
      </c>
      <c r="K204" s="23">
        <f>I204*J204*EXP(-Parameters!$B$43*'6states'!A204)*(Parameters!$B$38/Parameters!$B$39*('6states'!E204+'6states'!H204)/Parameters!$E$25*(EXP(-Parameters!$B$39*Parameters!$E$25*'6states'!H204/('6states'!E204+'6states'!H204))-EXP(-Parameters!$B$39*Parameters!$E$25))  +  Parameters!$B$40*'6states'!E204)</f>
        <v>7.4172925558910321E-2</v>
      </c>
      <c r="L204" s="8">
        <f>L203+K204*Parameters!B$71</f>
        <v>3316.1948448916755</v>
      </c>
      <c r="M204" s="7">
        <f>L204*Parameters!$B$46</f>
        <v>1.9897169069350051</v>
      </c>
      <c r="N204" s="9">
        <f>EXP(-Parameters!$B$47/2*M204^2)</f>
        <v>0.96099345335003528</v>
      </c>
      <c r="O204" s="8">
        <f>MAX((Parameters!$B$63 + Parameters!$B$31*'6states'!A204 - '6states'!L204 + Parameters!$B$48/Parameters!$B$46)/Parameters!B$63,1)</f>
        <v>193.47610310216649</v>
      </c>
      <c r="P204" s="59">
        <f>Parameters!B$62*EXP(-Parameters!B$61*A204)</f>
        <v>2.258290471306333E-3</v>
      </c>
      <c r="Q204" s="59">
        <f>(1-Parameters!B$62)*O204^-Parameters!B$64</f>
        <v>0.29532979993298308</v>
      </c>
      <c r="R204" s="7">
        <f>Parameters!B$62*EXP(-Parameters!B$61*A204)+(1-Parameters!B$62)*O204^-Parameters!B$64</f>
        <v>0.29758809040428941</v>
      </c>
      <c r="S204" s="7">
        <f>1-R204/Parameters!$B$12</f>
        <v>0.85120595479785532</v>
      </c>
      <c r="T204" s="7">
        <f t="shared" si="146"/>
        <v>6.7206990618572569</v>
      </c>
      <c r="U204" s="7">
        <f>(Parameters!$B$19*(E204+Parameters!$B$20)^S204+Parameters!$B$18*F204^S204)^(1/S204)</f>
        <v>0.34662549473144894</v>
      </c>
      <c r="V204" s="7">
        <f>(Parameters!$B$10*G204^Parameters!$B$9+Parameters!$B$11*U204^Parameters!$B$9)^(Parameters!$B$7/Parameters!$B$9)*N204</f>
        <v>1.3460345418371762</v>
      </c>
      <c r="W204" s="7">
        <f>V204 - C204 - D204 - LN(1+EXP(Parameters!$B$21*B204))/Parameters!$B$21 - IF(B204&gt;0, 0,Parameters!$B$6*B204^2/E204)</f>
        <v>1.0267995337513054</v>
      </c>
      <c r="X204" s="7">
        <f>EXP(-Parameters!$B$56*A204)</f>
        <v>4.8801218362012941E-2</v>
      </c>
      <c r="Y204" s="7">
        <f>IF(W204&gt;0,W204^(1-Parameters!$B$53)/(1-Parameters!$B$53)*X204*Parameters!$B$71/Parameters!$B$56,-10+W204*1000)</f>
        <v>-9.1488328070764808</v>
      </c>
      <c r="AA204" s="22">
        <f t="shared" si="149"/>
        <v>0</v>
      </c>
      <c r="AB204" s="22">
        <f t="shared" si="150"/>
        <v>1.6412569429913315E-7</v>
      </c>
      <c r="AC204" s="22">
        <f t="shared" si="151"/>
        <v>-2.2333530662332901E-7</v>
      </c>
      <c r="AD204" s="22">
        <f t="shared" si="147"/>
        <v>3.7487096420068505E-15</v>
      </c>
      <c r="AE204" s="22">
        <f t="shared" si="152"/>
        <v>0</v>
      </c>
      <c r="AF204" s="22">
        <f t="shared" si="153"/>
        <v>-1.0169467587473058E-8</v>
      </c>
      <c r="AG204" s="22">
        <f t="shared" si="154"/>
        <v>1.3840758261718378E-8</v>
      </c>
      <c r="AH204" s="22">
        <f t="shared" si="148"/>
        <v>1.4395610819377618E-17</v>
      </c>
      <c r="AI204" s="22"/>
      <c r="AM204" s="23">
        <f t="shared" si="143"/>
        <v>96.472226960685731</v>
      </c>
      <c r="AN204" s="23">
        <f t="shared" si="144"/>
        <v>0.68964730638475014</v>
      </c>
      <c r="AO204" s="23">
        <f t="shared" si="134"/>
        <v>2390.4933876582518</v>
      </c>
      <c r="AP204" s="25">
        <f t="shared" si="145"/>
        <v>9282.8909607883998</v>
      </c>
      <c r="AQ204" s="22">
        <f>-X204*V204*W204^(-Parameters!B$53)*Parameters!B$47*Parameters!B$46*M204</f>
        <v>-1.5209671099183814E-6</v>
      </c>
      <c r="AR204" s="7">
        <f>EXP(-(Parameters!B$56+Parameters!B$54)*'6states'!A204)*AP204*Parameters!B$47*Parameters!B$46*1000*M204/Parameters!$B$55</f>
        <v>5.6724080901556313</v>
      </c>
      <c r="AS204" s="59">
        <f>SUM(AR204:AR$204)*EXP(Parameters!$B$55*A204)</f>
        <v>6346.2142616630381</v>
      </c>
      <c r="AT204" s="39">
        <f t="shared" si="155"/>
        <v>0.23544908523188524</v>
      </c>
      <c r="AU204">
        <f>(1/$S204-1/Parameters!$B$13) * LN(Parameters!$B$18) / LN(O204)</f>
        <v>0.1867065678052417</v>
      </c>
      <c r="AV204">
        <f>(Parameters!$B$18*'6states'!S204^+Parameters!$B$19*Parameters!$B$25^'6states'!S204)^((1-'6states'!S204)/'6states'!S204)*Parameters!$B$18*Parameters!$B$26^('6states'!S204-1)</f>
        <v>0.30903241556243671</v>
      </c>
      <c r="AW204">
        <f t="shared" si="156"/>
        <v>0.16488257518358335</v>
      </c>
      <c r="AX204">
        <f t="shared" si="157"/>
        <v>0.12139084812593659</v>
      </c>
      <c r="AY204">
        <f t="shared" si="158"/>
        <v>0.19281706209523219</v>
      </c>
      <c r="AZ204">
        <f>(1/$S204-1/Parameters!$B$13) * LN(Parameters!$B$18) / A204</f>
        <v>4.9151941677505976E-3</v>
      </c>
    </row>
    <row r="205" spans="1:52" x14ac:dyDescent="0.25">
      <c r="B205" s="9"/>
      <c r="C205" s="9"/>
      <c r="D205" s="9"/>
      <c r="E205" s="7"/>
      <c r="F205" s="7"/>
      <c r="G205" s="7"/>
      <c r="H205" s="9"/>
      <c r="I205" s="23"/>
      <c r="J205" s="23"/>
      <c r="K205" s="23"/>
      <c r="L205" s="8"/>
      <c r="M205" s="7"/>
      <c r="N205" s="9"/>
      <c r="O205" s="8"/>
      <c r="P205" s="8"/>
      <c r="Q205" s="8"/>
      <c r="R205" s="7"/>
      <c r="S205" s="7"/>
      <c r="T205" s="7"/>
      <c r="U205" s="7"/>
      <c r="V205" s="7"/>
      <c r="X205" s="7"/>
      <c r="Y205" s="7"/>
      <c r="AM205" s="23"/>
      <c r="AN205" s="23"/>
      <c r="AO205" s="9"/>
      <c r="AP205" s="25"/>
      <c r="AQ205" s="22"/>
      <c r="AR205" s="7"/>
    </row>
    <row r="206" spans="1:52" x14ac:dyDescent="0.25">
      <c r="B206" s="9"/>
      <c r="C206" s="9"/>
      <c r="D206" s="9"/>
      <c r="E206" s="7"/>
      <c r="F206" s="7"/>
      <c r="G206" s="7"/>
      <c r="H206" s="9"/>
      <c r="I206" s="23"/>
      <c r="J206" s="23"/>
      <c r="K206" s="23"/>
      <c r="L206" s="8"/>
      <c r="M206" s="7"/>
      <c r="N206" s="9"/>
      <c r="O206" s="8"/>
      <c r="P206" s="8"/>
      <c r="Q206" s="8"/>
      <c r="R206" s="7"/>
      <c r="S206" s="7"/>
      <c r="T206" s="7"/>
      <c r="U206" s="7"/>
      <c r="V206" s="7"/>
      <c r="X206" s="7"/>
      <c r="Y206" s="7"/>
      <c r="AM206" s="23"/>
      <c r="AN206" s="23"/>
      <c r="AO206" s="9"/>
      <c r="AP206" s="25"/>
      <c r="AQ206" s="22"/>
      <c r="AR206" s="7"/>
    </row>
    <row r="207" spans="1:52" x14ac:dyDescent="0.25">
      <c r="B207" s="9"/>
      <c r="C207" s="9"/>
      <c r="D207" s="9"/>
      <c r="E207" s="7"/>
      <c r="F207" s="7"/>
      <c r="G207" s="7"/>
      <c r="H207" s="9"/>
      <c r="I207" s="23"/>
      <c r="J207" s="23"/>
      <c r="K207" s="23"/>
      <c r="L207" s="8"/>
      <c r="M207" s="7"/>
      <c r="N207" s="9"/>
      <c r="O207" s="8"/>
      <c r="P207" s="8"/>
      <c r="Q207" s="8"/>
      <c r="R207" s="7"/>
      <c r="S207" s="7"/>
      <c r="T207" s="7"/>
      <c r="U207" s="7"/>
      <c r="V207" s="7"/>
      <c r="X207" s="7"/>
      <c r="Y207" s="7"/>
      <c r="AM207" s="23"/>
      <c r="AN207" s="23"/>
      <c r="AO207" s="9"/>
      <c r="AP207" s="25"/>
      <c r="AQ207" s="22"/>
      <c r="AR207" s="7"/>
    </row>
    <row r="208" spans="1:52" x14ac:dyDescent="0.25">
      <c r="B208" s="9"/>
      <c r="C208" s="9"/>
      <c r="D208" s="9"/>
      <c r="E208" s="7"/>
      <c r="F208" s="7"/>
      <c r="G208" s="7"/>
      <c r="H208" s="9"/>
      <c r="I208" s="23"/>
      <c r="J208" s="23"/>
      <c r="K208" s="23"/>
      <c r="L208" s="8"/>
      <c r="M208" s="7"/>
      <c r="N208" s="9"/>
      <c r="O208" s="8"/>
      <c r="P208" s="8"/>
      <c r="Q208" s="8"/>
      <c r="R208" s="7"/>
      <c r="S208" s="7"/>
      <c r="T208" s="7"/>
      <c r="U208" s="7"/>
      <c r="V208" s="7"/>
      <c r="X208" s="7"/>
      <c r="Y208" s="7"/>
      <c r="AM208" s="23"/>
      <c r="AN208" s="23"/>
      <c r="AO208" s="9"/>
      <c r="AP208" s="25"/>
      <c r="AQ208" s="22"/>
      <c r="AR208" s="7"/>
    </row>
    <row r="209" spans="2:44" x14ac:dyDescent="0.25">
      <c r="B209" s="9"/>
      <c r="C209" s="9"/>
      <c r="D209" s="9"/>
      <c r="E209" s="7"/>
      <c r="F209" s="7"/>
      <c r="G209" s="7"/>
      <c r="H209" s="9"/>
      <c r="I209" s="23"/>
      <c r="J209" s="23"/>
      <c r="K209" s="23"/>
      <c r="L209" s="8"/>
      <c r="M209" s="7"/>
      <c r="N209" s="9"/>
      <c r="O209" s="8"/>
      <c r="P209" s="8"/>
      <c r="Q209" s="8"/>
      <c r="R209" s="7"/>
      <c r="S209" s="7"/>
      <c r="T209" s="7"/>
      <c r="U209" s="7"/>
      <c r="V209" s="7"/>
      <c r="X209" s="7"/>
      <c r="Y209" s="7"/>
      <c r="AM209" s="23"/>
      <c r="AN209" s="23"/>
      <c r="AO209" s="9"/>
      <c r="AP209" s="25"/>
      <c r="AQ209" s="22"/>
      <c r="AR209" s="7"/>
    </row>
    <row r="210" spans="2:44" x14ac:dyDescent="0.25">
      <c r="B210" s="9"/>
      <c r="C210" s="9"/>
      <c r="D210" s="9"/>
      <c r="E210" s="7"/>
      <c r="F210" s="7"/>
      <c r="G210" s="7"/>
      <c r="H210" s="9"/>
      <c r="I210" s="23"/>
      <c r="J210" s="23"/>
      <c r="K210" s="23"/>
      <c r="L210" s="8"/>
      <c r="M210" s="7"/>
      <c r="N210" s="9"/>
      <c r="O210" s="8"/>
      <c r="P210" s="8"/>
      <c r="Q210" s="8"/>
      <c r="R210" s="7"/>
      <c r="S210" s="7"/>
      <c r="T210" s="7"/>
      <c r="U210" s="7"/>
      <c r="V210" s="7"/>
      <c r="X210" s="7"/>
      <c r="Y210" s="7"/>
      <c r="AM210" s="23"/>
      <c r="AN210" s="23"/>
      <c r="AO210" s="9"/>
      <c r="AP210" s="25"/>
      <c r="AQ210" s="22"/>
      <c r="AR210" s="7"/>
    </row>
    <row r="211" spans="2:44" x14ac:dyDescent="0.25">
      <c r="B211" s="9"/>
      <c r="C211" s="9"/>
      <c r="D211" s="9"/>
      <c r="E211" s="7"/>
      <c r="F211" s="7"/>
      <c r="G211" s="7"/>
      <c r="H211" s="9"/>
      <c r="I211" s="23"/>
      <c r="J211" s="23"/>
      <c r="K211" s="23"/>
      <c r="L211" s="8"/>
      <c r="M211" s="7"/>
      <c r="N211" s="9"/>
      <c r="O211" s="8"/>
      <c r="P211" s="8"/>
      <c r="Q211" s="8"/>
      <c r="R211" s="7"/>
      <c r="S211" s="7"/>
      <c r="T211" s="7"/>
      <c r="U211" s="7"/>
      <c r="V211" s="7"/>
      <c r="X211" s="7"/>
      <c r="Y211" s="7"/>
      <c r="AM211" s="23"/>
      <c r="AN211" s="23"/>
      <c r="AO211" s="9"/>
      <c r="AP211" s="25"/>
      <c r="AQ211" s="22"/>
      <c r="AR211" s="7"/>
    </row>
    <row r="212" spans="2:44" x14ac:dyDescent="0.25">
      <c r="B212" s="9"/>
      <c r="C212" s="9"/>
      <c r="D212" s="9"/>
      <c r="E212" s="7"/>
      <c r="F212" s="7"/>
      <c r="G212" s="7"/>
      <c r="H212" s="9"/>
      <c r="I212" s="23"/>
      <c r="J212" s="23"/>
      <c r="K212" s="23"/>
      <c r="L212" s="8"/>
      <c r="M212" s="7"/>
      <c r="N212" s="9"/>
      <c r="O212" s="8"/>
      <c r="P212" s="8"/>
      <c r="Q212" s="8"/>
      <c r="R212" s="7"/>
      <c r="S212" s="7"/>
      <c r="T212" s="7"/>
      <c r="U212" s="7"/>
      <c r="V212" s="7"/>
      <c r="X212" s="7"/>
      <c r="Y212" s="7"/>
      <c r="AM212" s="23"/>
      <c r="AN212" s="23"/>
      <c r="AO212" s="9"/>
      <c r="AP212" s="25"/>
      <c r="AQ212" s="22"/>
      <c r="AR212" s="7"/>
    </row>
    <row r="213" spans="2:44" x14ac:dyDescent="0.25">
      <c r="B213" s="9"/>
      <c r="C213" s="9"/>
      <c r="D213" s="9"/>
      <c r="E213" s="7"/>
      <c r="F213" s="7"/>
      <c r="G213" s="7"/>
      <c r="H213" s="9"/>
      <c r="I213" s="23"/>
      <c r="J213" s="23"/>
      <c r="K213" s="23"/>
      <c r="L213" s="8"/>
      <c r="M213" s="7"/>
      <c r="N213" s="9"/>
      <c r="O213" s="8"/>
      <c r="P213" s="8"/>
      <c r="Q213" s="8"/>
      <c r="R213" s="7"/>
      <c r="S213" s="7"/>
      <c r="T213" s="7"/>
      <c r="U213" s="7"/>
      <c r="V213" s="7"/>
      <c r="X213" s="7"/>
      <c r="Y213" s="7"/>
      <c r="AM213" s="23"/>
      <c r="AN213" s="23"/>
      <c r="AO213" s="9"/>
      <c r="AP213" s="25"/>
      <c r="AQ213" s="22"/>
      <c r="AR213" s="7"/>
    </row>
    <row r="214" spans="2:44" x14ac:dyDescent="0.25">
      <c r="B214" s="9"/>
      <c r="C214" s="9"/>
      <c r="D214" s="9"/>
      <c r="E214" s="7"/>
      <c r="F214" s="7"/>
      <c r="G214" s="7"/>
      <c r="H214" s="9"/>
      <c r="I214" s="23"/>
      <c r="J214" s="23"/>
      <c r="K214" s="23"/>
      <c r="L214" s="8"/>
      <c r="M214" s="7"/>
      <c r="N214" s="9"/>
      <c r="O214" s="8"/>
      <c r="P214" s="8"/>
      <c r="Q214" s="8"/>
      <c r="R214" s="7"/>
      <c r="S214" s="7"/>
      <c r="T214" s="7"/>
      <c r="U214" s="7"/>
      <c r="V214" s="7"/>
      <c r="X214" s="7"/>
      <c r="Y214" s="7"/>
      <c r="AM214" s="23"/>
      <c r="AN214" s="23"/>
      <c r="AO214" s="9"/>
      <c r="AP214" s="25"/>
      <c r="AQ214" s="22"/>
      <c r="AR214" s="7"/>
    </row>
    <row r="215" spans="2:44" x14ac:dyDescent="0.25">
      <c r="B215" s="9"/>
      <c r="C215" s="9"/>
      <c r="D215" s="9"/>
      <c r="E215" s="7"/>
      <c r="F215" s="7"/>
      <c r="G215" s="7"/>
      <c r="H215" s="9"/>
      <c r="I215" s="23"/>
      <c r="J215" s="23"/>
      <c r="K215" s="23"/>
      <c r="L215" s="8"/>
      <c r="M215" s="7"/>
      <c r="N215" s="9"/>
      <c r="O215" s="8"/>
      <c r="P215" s="8"/>
      <c r="Q215" s="8"/>
      <c r="R215" s="7"/>
      <c r="S215" s="7"/>
      <c r="T215" s="7"/>
      <c r="U215" s="7"/>
      <c r="V215" s="7"/>
      <c r="X215" s="7"/>
      <c r="Y215" s="7"/>
      <c r="AM215" s="23"/>
      <c r="AN215" s="23"/>
      <c r="AO215" s="9"/>
      <c r="AP215" s="25"/>
      <c r="AQ215" s="22"/>
      <c r="AR215" s="7"/>
    </row>
    <row r="216" spans="2:44" x14ac:dyDescent="0.25">
      <c r="B216" s="9"/>
      <c r="C216" s="9"/>
      <c r="D216" s="9"/>
      <c r="E216" s="7"/>
      <c r="F216" s="7"/>
      <c r="G216" s="7"/>
      <c r="H216" s="9"/>
      <c r="I216" s="23"/>
      <c r="J216" s="23"/>
      <c r="K216" s="23"/>
      <c r="L216" s="8"/>
      <c r="M216" s="7"/>
      <c r="N216" s="9"/>
      <c r="O216" s="8"/>
      <c r="P216" s="8"/>
      <c r="Q216" s="8"/>
      <c r="R216" s="7"/>
      <c r="S216" s="7"/>
      <c r="T216" s="7"/>
      <c r="U216" s="7"/>
      <c r="V216" s="7"/>
      <c r="X216" s="7"/>
      <c r="Y216" s="7"/>
      <c r="AM216" s="23"/>
      <c r="AN216" s="23"/>
      <c r="AO216" s="9"/>
      <c r="AP216" s="25"/>
      <c r="AQ216" s="22"/>
      <c r="AR216" s="7"/>
    </row>
    <row r="217" spans="2:44" x14ac:dyDescent="0.25">
      <c r="B217" s="9"/>
      <c r="C217" s="9"/>
      <c r="D217" s="9"/>
      <c r="E217" s="7"/>
      <c r="F217" s="7"/>
      <c r="G217" s="7"/>
      <c r="H217" s="9"/>
      <c r="I217" s="23"/>
      <c r="J217" s="23"/>
      <c r="K217" s="23"/>
      <c r="L217" s="8"/>
      <c r="M217" s="7"/>
      <c r="N217" s="9"/>
      <c r="O217" s="8"/>
      <c r="P217" s="8"/>
      <c r="Q217" s="8"/>
      <c r="R217" s="7"/>
      <c r="S217" s="7"/>
      <c r="T217" s="7"/>
      <c r="U217" s="7"/>
      <c r="V217" s="7"/>
      <c r="X217" s="7"/>
      <c r="Y217" s="7"/>
      <c r="AM217" s="23"/>
      <c r="AN217" s="23"/>
      <c r="AO217" s="9"/>
      <c r="AP217" s="25"/>
      <c r="AQ217" s="22"/>
      <c r="AR217" s="7"/>
    </row>
    <row r="218" spans="2:44" x14ac:dyDescent="0.25">
      <c r="B218" s="9"/>
      <c r="C218" s="9"/>
      <c r="D218" s="9"/>
      <c r="E218" s="7"/>
      <c r="F218" s="7"/>
      <c r="G218" s="7"/>
      <c r="H218" s="9"/>
      <c r="I218" s="23"/>
      <c r="J218" s="23"/>
      <c r="K218" s="23"/>
      <c r="L218" s="8"/>
      <c r="M218" s="7"/>
      <c r="N218" s="9"/>
      <c r="O218" s="8"/>
      <c r="P218" s="8"/>
      <c r="Q218" s="8"/>
      <c r="R218" s="7"/>
      <c r="S218" s="7"/>
      <c r="T218" s="7"/>
      <c r="U218" s="7"/>
      <c r="V218" s="7"/>
      <c r="X218" s="7"/>
      <c r="Y218" s="7"/>
      <c r="AM218" s="23"/>
      <c r="AN218" s="23"/>
      <c r="AO218" s="9"/>
      <c r="AP218" s="25"/>
      <c r="AQ218" s="22"/>
      <c r="AR218" s="7"/>
    </row>
    <row r="219" spans="2:44" x14ac:dyDescent="0.25">
      <c r="B219" s="9"/>
      <c r="C219" s="9"/>
      <c r="D219" s="9"/>
      <c r="E219" s="7"/>
      <c r="F219" s="7"/>
      <c r="G219" s="7"/>
      <c r="H219" s="9"/>
      <c r="I219" s="23"/>
      <c r="J219" s="23"/>
      <c r="K219" s="23"/>
      <c r="L219" s="8"/>
      <c r="M219" s="7"/>
      <c r="N219" s="9"/>
      <c r="O219" s="8"/>
      <c r="P219" s="8"/>
      <c r="Q219" s="8"/>
      <c r="R219" s="7"/>
      <c r="S219" s="7"/>
      <c r="T219" s="7"/>
      <c r="U219" s="7"/>
      <c r="V219" s="7"/>
      <c r="X219" s="7"/>
      <c r="Y219" s="7"/>
      <c r="AM219" s="23"/>
      <c r="AN219" s="23"/>
      <c r="AO219" s="9"/>
      <c r="AP219" s="25"/>
      <c r="AQ219" s="22"/>
      <c r="AR219" s="7"/>
    </row>
    <row r="220" spans="2:44" x14ac:dyDescent="0.25">
      <c r="B220" s="9"/>
      <c r="C220" s="9"/>
      <c r="D220" s="9"/>
      <c r="E220" s="7"/>
      <c r="F220" s="7"/>
      <c r="G220" s="7"/>
      <c r="H220" s="9"/>
      <c r="I220" s="23"/>
      <c r="J220" s="23"/>
      <c r="K220" s="23"/>
      <c r="L220" s="8"/>
      <c r="M220" s="7"/>
      <c r="N220" s="9"/>
      <c r="O220" s="8"/>
      <c r="P220" s="8"/>
      <c r="Q220" s="8"/>
      <c r="R220" s="7"/>
      <c r="S220" s="7"/>
      <c r="T220" s="7"/>
      <c r="U220" s="7"/>
      <c r="V220" s="7"/>
      <c r="X220" s="7"/>
      <c r="Y220" s="7"/>
      <c r="AM220" s="23"/>
      <c r="AN220" s="23"/>
      <c r="AO220" s="9"/>
      <c r="AP220" s="25"/>
      <c r="AQ220" s="22"/>
      <c r="AR220" s="7"/>
    </row>
    <row r="221" spans="2:44" x14ac:dyDescent="0.25">
      <c r="B221" s="9"/>
      <c r="C221" s="9"/>
      <c r="D221" s="9"/>
      <c r="E221" s="7"/>
      <c r="F221" s="7"/>
      <c r="G221" s="7"/>
      <c r="H221" s="9"/>
      <c r="I221" s="23"/>
      <c r="J221" s="23"/>
      <c r="K221" s="23"/>
      <c r="L221" s="8"/>
      <c r="M221" s="7"/>
      <c r="N221" s="9"/>
      <c r="O221" s="8"/>
      <c r="P221" s="8"/>
      <c r="Q221" s="8"/>
      <c r="R221" s="7"/>
      <c r="S221" s="7"/>
      <c r="T221" s="7"/>
      <c r="U221" s="7"/>
      <c r="V221" s="7"/>
      <c r="X221" s="7"/>
      <c r="Y221" s="7"/>
      <c r="AM221" s="23"/>
      <c r="AN221" s="23"/>
      <c r="AO221" s="9"/>
      <c r="AP221" s="25"/>
      <c r="AQ221" s="22"/>
      <c r="AR221" s="7"/>
    </row>
    <row r="222" spans="2:44" x14ac:dyDescent="0.25">
      <c r="B222" s="9"/>
      <c r="C222" s="9"/>
      <c r="D222" s="9"/>
      <c r="E222" s="7"/>
      <c r="F222" s="7"/>
      <c r="G222" s="7"/>
      <c r="H222" s="9"/>
      <c r="I222" s="23"/>
      <c r="J222" s="23"/>
      <c r="K222" s="23"/>
      <c r="L222" s="8"/>
      <c r="M222" s="7"/>
      <c r="N222" s="9"/>
      <c r="O222" s="8"/>
      <c r="P222" s="8"/>
      <c r="Q222" s="8"/>
      <c r="R222" s="7"/>
      <c r="S222" s="7"/>
      <c r="T222" s="7"/>
      <c r="U222" s="7"/>
      <c r="V222" s="7"/>
      <c r="X222" s="7"/>
      <c r="Y222" s="7"/>
      <c r="AM222" s="23"/>
      <c r="AN222" s="23"/>
      <c r="AO222" s="9"/>
      <c r="AP222" s="25"/>
      <c r="AQ222" s="22"/>
      <c r="AR222" s="7"/>
    </row>
    <row r="223" spans="2:44" x14ac:dyDescent="0.25">
      <c r="B223" s="9"/>
      <c r="C223" s="9"/>
      <c r="D223" s="9"/>
      <c r="E223" s="7"/>
      <c r="F223" s="7"/>
      <c r="G223" s="7"/>
      <c r="H223" s="9"/>
      <c r="I223" s="23"/>
      <c r="J223" s="23"/>
      <c r="K223" s="23"/>
      <c r="L223" s="8"/>
      <c r="M223" s="7"/>
      <c r="N223" s="9"/>
      <c r="O223" s="8"/>
      <c r="P223" s="8"/>
      <c r="Q223" s="8"/>
      <c r="R223" s="7"/>
      <c r="S223" s="7"/>
      <c r="T223" s="7"/>
      <c r="U223" s="7"/>
      <c r="V223" s="7"/>
      <c r="X223" s="7"/>
      <c r="Y223" s="7"/>
      <c r="AM223" s="23"/>
      <c r="AN223" s="23"/>
      <c r="AO223" s="9"/>
      <c r="AP223" s="25"/>
      <c r="AQ223" s="22"/>
      <c r="AR223" s="7"/>
    </row>
    <row r="224" spans="2:44" x14ac:dyDescent="0.25">
      <c r="B224" s="9"/>
      <c r="C224" s="9"/>
      <c r="D224" s="9"/>
      <c r="E224" s="7"/>
      <c r="F224" s="7"/>
      <c r="G224" s="7"/>
      <c r="H224" s="9"/>
      <c r="I224" s="23"/>
      <c r="J224" s="23"/>
      <c r="K224" s="23"/>
      <c r="L224" s="8"/>
      <c r="M224" s="7"/>
      <c r="N224" s="9"/>
      <c r="O224" s="8"/>
      <c r="P224" s="8"/>
      <c r="Q224" s="8"/>
      <c r="R224" s="7"/>
      <c r="S224" s="7"/>
      <c r="T224" s="7"/>
      <c r="U224" s="7"/>
      <c r="V224" s="7"/>
      <c r="X224" s="7"/>
      <c r="Y224" s="7"/>
      <c r="AM224" s="23"/>
      <c r="AN224" s="23"/>
      <c r="AO224" s="9"/>
      <c r="AP224" s="25"/>
      <c r="AQ224" s="22"/>
      <c r="AR224" s="7"/>
    </row>
    <row r="225" spans="2:44" x14ac:dyDescent="0.25">
      <c r="B225" s="9"/>
      <c r="C225" s="9"/>
      <c r="D225" s="9"/>
      <c r="E225" s="7"/>
      <c r="F225" s="7"/>
      <c r="G225" s="7"/>
      <c r="H225" s="9"/>
      <c r="I225" s="23"/>
      <c r="J225" s="23"/>
      <c r="K225" s="23"/>
      <c r="L225" s="8"/>
      <c r="M225" s="7"/>
      <c r="N225" s="9"/>
      <c r="O225" s="8"/>
      <c r="P225" s="8"/>
      <c r="Q225" s="8"/>
      <c r="R225" s="7"/>
      <c r="S225" s="7"/>
      <c r="T225" s="7"/>
      <c r="U225" s="7"/>
      <c r="V225" s="7"/>
      <c r="X225" s="7"/>
      <c r="Y225" s="7"/>
      <c r="AM225" s="23"/>
      <c r="AN225" s="23"/>
      <c r="AO225" s="9"/>
      <c r="AP225" s="25"/>
      <c r="AQ225" s="22"/>
      <c r="AR225" s="7"/>
    </row>
    <row r="226" spans="2:44" x14ac:dyDescent="0.25">
      <c r="B226" s="9"/>
      <c r="C226" s="9"/>
      <c r="D226" s="9"/>
      <c r="E226" s="7"/>
      <c r="F226" s="7"/>
      <c r="G226" s="7"/>
      <c r="H226" s="9"/>
      <c r="I226" s="23"/>
      <c r="J226" s="23"/>
      <c r="K226" s="23"/>
      <c r="L226" s="8"/>
      <c r="M226" s="7"/>
      <c r="N226" s="9"/>
      <c r="O226" s="8"/>
      <c r="P226" s="8"/>
      <c r="Q226" s="8"/>
      <c r="R226" s="7"/>
      <c r="S226" s="7"/>
      <c r="T226" s="7"/>
      <c r="U226" s="7"/>
      <c r="V226" s="7"/>
      <c r="X226" s="7"/>
      <c r="Y226" s="7"/>
      <c r="AM226" s="23"/>
      <c r="AN226" s="23"/>
      <c r="AO226" s="9"/>
      <c r="AP226" s="25"/>
      <c r="AQ226" s="22"/>
      <c r="AR226" s="7"/>
    </row>
    <row r="227" spans="2:44" x14ac:dyDescent="0.25">
      <c r="B227" s="9"/>
      <c r="C227" s="9"/>
      <c r="D227" s="9"/>
      <c r="E227" s="7"/>
      <c r="F227" s="7"/>
      <c r="G227" s="7"/>
      <c r="H227" s="9"/>
      <c r="I227" s="23"/>
      <c r="J227" s="23"/>
      <c r="K227" s="23"/>
      <c r="L227" s="8"/>
      <c r="M227" s="7"/>
      <c r="N227" s="9"/>
      <c r="O227" s="8"/>
      <c r="P227" s="8"/>
      <c r="Q227" s="8"/>
      <c r="R227" s="7"/>
      <c r="S227" s="7"/>
      <c r="T227" s="7"/>
      <c r="U227" s="7"/>
      <c r="V227" s="7"/>
      <c r="X227" s="7"/>
      <c r="Y227" s="7"/>
      <c r="AM227" s="23"/>
      <c r="AN227" s="23"/>
      <c r="AO227" s="9"/>
      <c r="AP227" s="25"/>
      <c r="AQ227" s="22"/>
      <c r="AR227" s="7"/>
    </row>
    <row r="228" spans="2:44" x14ac:dyDescent="0.25">
      <c r="B228" s="9"/>
      <c r="C228" s="9"/>
      <c r="D228" s="9"/>
      <c r="E228" s="7"/>
      <c r="F228" s="7"/>
      <c r="G228" s="7"/>
      <c r="H228" s="9"/>
      <c r="I228" s="23"/>
      <c r="J228" s="23"/>
      <c r="K228" s="23"/>
      <c r="L228" s="8"/>
      <c r="M228" s="7"/>
      <c r="N228" s="9"/>
      <c r="O228" s="8"/>
      <c r="P228" s="8"/>
      <c r="Q228" s="8"/>
      <c r="R228" s="7"/>
      <c r="S228" s="7"/>
      <c r="T228" s="7"/>
      <c r="U228" s="7"/>
      <c r="V228" s="7"/>
      <c r="X228" s="7"/>
      <c r="Y228" s="7"/>
      <c r="AM228" s="23"/>
      <c r="AN228" s="23"/>
      <c r="AO228" s="9"/>
      <c r="AP228" s="25"/>
      <c r="AQ228" s="22"/>
      <c r="AR228" s="7"/>
    </row>
    <row r="229" spans="2:44" x14ac:dyDescent="0.25">
      <c r="B229" s="9"/>
      <c r="C229" s="9"/>
      <c r="D229" s="9"/>
      <c r="E229" s="7"/>
      <c r="F229" s="7"/>
      <c r="G229" s="7"/>
      <c r="H229" s="9"/>
      <c r="I229" s="23"/>
      <c r="J229" s="23"/>
      <c r="K229" s="23"/>
      <c r="L229" s="8"/>
      <c r="M229" s="7"/>
      <c r="N229" s="9"/>
      <c r="O229" s="8"/>
      <c r="P229" s="8"/>
      <c r="Q229" s="8"/>
      <c r="R229" s="7"/>
      <c r="S229" s="7"/>
      <c r="T229" s="7"/>
      <c r="U229" s="7"/>
      <c r="V229" s="7"/>
      <c r="X229" s="7"/>
      <c r="Y229" s="7"/>
      <c r="AM229" s="23"/>
      <c r="AN229" s="23"/>
      <c r="AO229" s="9"/>
      <c r="AP229" s="25"/>
      <c r="AQ229" s="22"/>
      <c r="AR229" s="7"/>
    </row>
    <row r="230" spans="2:44" x14ac:dyDescent="0.25">
      <c r="B230" s="9"/>
      <c r="C230" s="9"/>
      <c r="D230" s="9"/>
      <c r="E230" s="7"/>
      <c r="F230" s="7"/>
      <c r="G230" s="7"/>
      <c r="H230" s="9"/>
      <c r="I230" s="23"/>
      <c r="J230" s="23"/>
      <c r="K230" s="23"/>
      <c r="L230" s="8"/>
      <c r="M230" s="7"/>
      <c r="N230" s="9"/>
      <c r="O230" s="8"/>
      <c r="P230" s="8"/>
      <c r="Q230" s="8"/>
      <c r="R230" s="7"/>
      <c r="S230" s="7"/>
      <c r="T230" s="7"/>
      <c r="U230" s="7"/>
      <c r="V230" s="7"/>
      <c r="X230" s="7"/>
      <c r="Y230" s="7"/>
      <c r="AM230" s="23"/>
      <c r="AN230" s="23"/>
      <c r="AO230" s="9"/>
      <c r="AP230" s="25"/>
      <c r="AQ230" s="22"/>
      <c r="AR230" s="7"/>
    </row>
    <row r="231" spans="2:44" x14ac:dyDescent="0.25">
      <c r="B231" s="9"/>
      <c r="C231" s="9"/>
      <c r="D231" s="9"/>
      <c r="E231" s="7"/>
      <c r="F231" s="7"/>
      <c r="G231" s="7"/>
      <c r="H231" s="9"/>
      <c r="I231" s="23"/>
      <c r="J231" s="23"/>
      <c r="K231" s="23"/>
      <c r="L231" s="8"/>
      <c r="M231" s="7"/>
      <c r="N231" s="9"/>
      <c r="O231" s="8"/>
      <c r="P231" s="8"/>
      <c r="Q231" s="8"/>
      <c r="R231" s="7"/>
      <c r="S231" s="7"/>
      <c r="T231" s="7"/>
      <c r="U231" s="7"/>
      <c r="V231" s="7"/>
      <c r="X231" s="7"/>
      <c r="Y231" s="7"/>
      <c r="AM231" s="23"/>
      <c r="AN231" s="23"/>
      <c r="AO231" s="9"/>
      <c r="AP231" s="25"/>
      <c r="AQ231" s="22"/>
      <c r="AR231" s="7"/>
    </row>
    <row r="232" spans="2:44" x14ac:dyDescent="0.25">
      <c r="B232" s="9"/>
      <c r="C232" s="9"/>
      <c r="D232" s="9"/>
      <c r="E232" s="7"/>
      <c r="F232" s="7"/>
      <c r="G232" s="7"/>
      <c r="H232" s="9"/>
      <c r="I232" s="23"/>
      <c r="J232" s="23"/>
      <c r="K232" s="23"/>
      <c r="L232" s="8"/>
      <c r="M232" s="7"/>
      <c r="N232" s="9"/>
      <c r="O232" s="8"/>
      <c r="P232" s="8"/>
      <c r="Q232" s="8"/>
      <c r="R232" s="7"/>
      <c r="S232" s="7"/>
      <c r="T232" s="7"/>
      <c r="U232" s="7"/>
      <c r="V232" s="7"/>
      <c r="X232" s="7"/>
      <c r="Y232" s="7"/>
      <c r="AM232" s="23"/>
      <c r="AN232" s="23"/>
      <c r="AO232" s="9"/>
      <c r="AP232" s="25"/>
      <c r="AQ232" s="22"/>
      <c r="AR232" s="7"/>
    </row>
    <row r="233" spans="2:44" x14ac:dyDescent="0.25">
      <c r="B233" s="9"/>
      <c r="C233" s="9"/>
      <c r="D233" s="9"/>
      <c r="E233" s="7"/>
      <c r="F233" s="7"/>
      <c r="G233" s="7"/>
      <c r="H233" s="9"/>
      <c r="I233" s="23"/>
      <c r="J233" s="23"/>
      <c r="K233" s="23"/>
      <c r="L233" s="8"/>
      <c r="M233" s="7"/>
      <c r="N233" s="9"/>
      <c r="O233" s="8"/>
      <c r="P233" s="8"/>
      <c r="Q233" s="8"/>
      <c r="R233" s="7"/>
      <c r="S233" s="7"/>
      <c r="T233" s="7"/>
      <c r="U233" s="7"/>
      <c r="V233" s="7"/>
      <c r="X233" s="7"/>
      <c r="Y233" s="7"/>
      <c r="AM233" s="23"/>
      <c r="AN233" s="23"/>
      <c r="AO233" s="9"/>
      <c r="AP233" s="25"/>
      <c r="AQ233" s="22"/>
      <c r="AR233" s="7"/>
    </row>
    <row r="234" spans="2:44" x14ac:dyDescent="0.25">
      <c r="B234" s="9"/>
      <c r="C234" s="9"/>
      <c r="D234" s="9"/>
      <c r="E234" s="7"/>
      <c r="F234" s="7"/>
      <c r="G234" s="7"/>
      <c r="H234" s="9"/>
      <c r="I234" s="23"/>
      <c r="J234" s="23"/>
      <c r="K234" s="23"/>
      <c r="L234" s="8"/>
      <c r="M234" s="7"/>
      <c r="N234" s="9"/>
      <c r="O234" s="8"/>
      <c r="P234" s="8"/>
      <c r="Q234" s="8"/>
      <c r="R234" s="7"/>
      <c r="S234" s="7"/>
      <c r="T234" s="7"/>
      <c r="U234" s="7"/>
      <c r="V234" s="7"/>
      <c r="X234" s="7"/>
      <c r="Y234" s="7"/>
      <c r="AM234" s="23"/>
      <c r="AN234" s="23"/>
      <c r="AO234" s="9"/>
      <c r="AP234" s="25"/>
      <c r="AQ234" s="22"/>
      <c r="AR234" s="7"/>
    </row>
    <row r="235" spans="2:44" x14ac:dyDescent="0.25">
      <c r="B235" s="9"/>
      <c r="C235" s="9"/>
      <c r="D235" s="9"/>
      <c r="E235" s="7"/>
      <c r="F235" s="7"/>
      <c r="G235" s="7"/>
      <c r="H235" s="9"/>
      <c r="I235" s="23"/>
      <c r="J235" s="23"/>
      <c r="K235" s="23"/>
      <c r="L235" s="8"/>
      <c r="M235" s="7"/>
      <c r="N235" s="9"/>
      <c r="O235" s="8"/>
      <c r="P235" s="8"/>
      <c r="Q235" s="8"/>
      <c r="R235" s="7"/>
      <c r="S235" s="7"/>
      <c r="T235" s="7"/>
      <c r="U235" s="7"/>
      <c r="V235" s="7"/>
      <c r="X235" s="7"/>
      <c r="Y235" s="7"/>
      <c r="AM235" s="23"/>
      <c r="AN235" s="23"/>
      <c r="AO235" s="9"/>
      <c r="AP235" s="25"/>
      <c r="AQ235" s="22"/>
      <c r="AR235" s="7"/>
    </row>
    <row r="236" spans="2:44" x14ac:dyDescent="0.25">
      <c r="B236" s="9"/>
      <c r="C236" s="9"/>
      <c r="D236" s="9"/>
      <c r="E236" s="7"/>
      <c r="F236" s="7"/>
      <c r="G236" s="7"/>
      <c r="H236" s="9"/>
      <c r="I236" s="23"/>
      <c r="J236" s="23"/>
      <c r="K236" s="23"/>
      <c r="L236" s="8"/>
      <c r="M236" s="7"/>
      <c r="N236" s="9"/>
      <c r="O236" s="8"/>
      <c r="P236" s="8"/>
      <c r="Q236" s="8"/>
      <c r="R236" s="7"/>
      <c r="S236" s="7"/>
      <c r="T236" s="7"/>
      <c r="U236" s="7"/>
      <c r="V236" s="7"/>
      <c r="X236" s="7"/>
      <c r="Y236" s="7"/>
      <c r="AM236" s="23"/>
      <c r="AN236" s="23"/>
      <c r="AO236" s="9"/>
      <c r="AP236" s="25"/>
      <c r="AQ236" s="22"/>
      <c r="AR236" s="7"/>
    </row>
    <row r="237" spans="2:44" x14ac:dyDescent="0.25">
      <c r="B237" s="9"/>
      <c r="C237" s="9"/>
      <c r="D237" s="9"/>
      <c r="E237" s="7"/>
      <c r="F237" s="7"/>
      <c r="G237" s="7"/>
      <c r="H237" s="9"/>
      <c r="I237" s="23"/>
      <c r="J237" s="23"/>
      <c r="K237" s="23"/>
      <c r="L237" s="8"/>
      <c r="M237" s="7"/>
      <c r="N237" s="9"/>
      <c r="O237" s="8"/>
      <c r="P237" s="8"/>
      <c r="Q237" s="8"/>
      <c r="R237" s="7"/>
      <c r="S237" s="7"/>
      <c r="T237" s="7"/>
      <c r="U237" s="7"/>
      <c r="V237" s="7"/>
      <c r="X237" s="7"/>
      <c r="Y237" s="7"/>
      <c r="AM237" s="23"/>
      <c r="AN237" s="23"/>
      <c r="AO237" s="9"/>
      <c r="AP237" s="25"/>
      <c r="AQ237" s="22"/>
      <c r="AR237" s="7"/>
    </row>
    <row r="238" spans="2:44" x14ac:dyDescent="0.25">
      <c r="B238" s="9"/>
      <c r="C238" s="9"/>
      <c r="D238" s="9"/>
      <c r="E238" s="7"/>
      <c r="F238" s="7"/>
      <c r="G238" s="7"/>
      <c r="H238" s="9"/>
      <c r="I238" s="23"/>
      <c r="J238" s="23"/>
      <c r="K238" s="23"/>
      <c r="L238" s="8"/>
      <c r="M238" s="7"/>
      <c r="N238" s="9"/>
      <c r="O238" s="8"/>
      <c r="P238" s="8"/>
      <c r="Q238" s="8"/>
      <c r="R238" s="7"/>
      <c r="S238" s="7"/>
      <c r="T238" s="7"/>
      <c r="U238" s="7"/>
      <c r="V238" s="7"/>
      <c r="X238" s="7"/>
      <c r="Y238" s="7"/>
      <c r="AM238" s="23"/>
      <c r="AN238" s="23"/>
      <c r="AO238" s="9"/>
      <c r="AP238" s="25"/>
      <c r="AQ238" s="22"/>
      <c r="AR238" s="7"/>
    </row>
    <row r="239" spans="2:44" x14ac:dyDescent="0.25">
      <c r="B239" s="9"/>
      <c r="C239" s="9"/>
      <c r="D239" s="9"/>
      <c r="E239" s="7"/>
      <c r="F239" s="7"/>
      <c r="G239" s="7"/>
      <c r="H239" s="9"/>
      <c r="I239" s="23"/>
      <c r="J239" s="23"/>
      <c r="K239" s="23"/>
      <c r="L239" s="8"/>
      <c r="M239" s="7"/>
      <c r="N239" s="9"/>
      <c r="O239" s="8"/>
      <c r="P239" s="8"/>
      <c r="Q239" s="8"/>
      <c r="R239" s="7"/>
      <c r="S239" s="7"/>
      <c r="T239" s="7"/>
      <c r="U239" s="7"/>
      <c r="V239" s="7"/>
      <c r="X239" s="7"/>
      <c r="Y239" s="7"/>
      <c r="AM239" s="23"/>
      <c r="AN239" s="23"/>
      <c r="AO239" s="9"/>
      <c r="AP239" s="25"/>
      <c r="AQ239" s="22"/>
      <c r="AR239" s="7"/>
    </row>
    <row r="240" spans="2:44" x14ac:dyDescent="0.25">
      <c r="B240" s="9"/>
      <c r="C240" s="9"/>
      <c r="D240" s="9"/>
      <c r="E240" s="7"/>
      <c r="F240" s="7"/>
      <c r="G240" s="7"/>
      <c r="H240" s="9"/>
      <c r="I240" s="23"/>
      <c r="J240" s="23"/>
      <c r="K240" s="23"/>
      <c r="L240" s="8"/>
      <c r="M240" s="7"/>
      <c r="N240" s="9"/>
      <c r="O240" s="8"/>
      <c r="P240" s="8"/>
      <c r="Q240" s="8"/>
      <c r="R240" s="7"/>
      <c r="S240" s="7"/>
      <c r="T240" s="7"/>
      <c r="U240" s="7"/>
      <c r="V240" s="7"/>
      <c r="X240" s="7"/>
      <c r="Y240" s="7"/>
      <c r="AM240" s="23"/>
      <c r="AN240" s="23"/>
      <c r="AO240" s="9"/>
      <c r="AP240" s="25"/>
      <c r="AQ240" s="22"/>
      <c r="AR240" s="7"/>
    </row>
    <row r="241" spans="2:44" x14ac:dyDescent="0.25">
      <c r="B241" s="9"/>
      <c r="C241" s="9"/>
      <c r="D241" s="9"/>
      <c r="E241" s="7"/>
      <c r="F241" s="7"/>
      <c r="G241" s="7"/>
      <c r="H241" s="9"/>
      <c r="I241" s="23"/>
      <c r="J241" s="23"/>
      <c r="K241" s="23"/>
      <c r="L241" s="8"/>
      <c r="M241" s="7"/>
      <c r="N241" s="9"/>
      <c r="O241" s="8"/>
      <c r="P241" s="8"/>
      <c r="Q241" s="8"/>
      <c r="R241" s="7"/>
      <c r="S241" s="7"/>
      <c r="T241" s="7"/>
      <c r="U241" s="7"/>
      <c r="V241" s="7"/>
      <c r="X241" s="7"/>
      <c r="Y241" s="7"/>
      <c r="AM241" s="23"/>
      <c r="AN241" s="23"/>
      <c r="AO241" s="9"/>
      <c r="AP241" s="25"/>
      <c r="AQ241" s="22"/>
      <c r="AR241" s="7"/>
    </row>
    <row r="242" spans="2:44" x14ac:dyDescent="0.25">
      <c r="B242" s="9"/>
      <c r="C242" s="9"/>
      <c r="D242" s="9"/>
      <c r="E242" s="7"/>
      <c r="F242" s="7"/>
      <c r="G242" s="7"/>
      <c r="H242" s="9"/>
      <c r="I242" s="23"/>
      <c r="J242" s="23"/>
      <c r="K242" s="23"/>
      <c r="L242" s="8"/>
      <c r="M242" s="7"/>
      <c r="N242" s="9"/>
      <c r="O242" s="8"/>
      <c r="P242" s="8"/>
      <c r="Q242" s="8"/>
      <c r="R242" s="7"/>
      <c r="S242" s="7"/>
      <c r="T242" s="7"/>
      <c r="U242" s="7"/>
      <c r="V242" s="7"/>
      <c r="X242" s="7"/>
      <c r="Y242" s="7"/>
      <c r="AM242" s="23"/>
      <c r="AN242" s="23"/>
      <c r="AO242" s="9"/>
      <c r="AP242" s="25"/>
      <c r="AQ242" s="22"/>
      <c r="AR242" s="7"/>
    </row>
    <row r="243" spans="2:44" x14ac:dyDescent="0.25">
      <c r="B243" s="9"/>
      <c r="C243" s="9"/>
      <c r="D243" s="9"/>
      <c r="E243" s="7"/>
      <c r="F243" s="7"/>
      <c r="G243" s="7"/>
      <c r="H243" s="9"/>
      <c r="I243" s="23"/>
      <c r="J243" s="23"/>
      <c r="K243" s="23"/>
      <c r="L243" s="8"/>
      <c r="M243" s="7"/>
      <c r="N243" s="9"/>
      <c r="O243" s="8"/>
      <c r="P243" s="8"/>
      <c r="Q243" s="8"/>
      <c r="R243" s="7"/>
      <c r="S243" s="7"/>
      <c r="T243" s="7"/>
      <c r="U243" s="7"/>
      <c r="V243" s="7"/>
      <c r="X243" s="7"/>
      <c r="Y243" s="7"/>
      <c r="AM243" s="23"/>
      <c r="AN243" s="23"/>
      <c r="AO243" s="9"/>
      <c r="AP243" s="25"/>
      <c r="AQ243" s="22"/>
      <c r="AR243" s="7"/>
    </row>
    <row r="244" spans="2:44" x14ac:dyDescent="0.25">
      <c r="B244" s="9"/>
      <c r="C244" s="9"/>
      <c r="D244" s="9"/>
      <c r="E244" s="7"/>
      <c r="F244" s="7"/>
      <c r="G244" s="7"/>
      <c r="H244" s="9"/>
      <c r="I244" s="23"/>
      <c r="J244" s="23"/>
      <c r="K244" s="23"/>
      <c r="L244" s="8"/>
      <c r="M244" s="7"/>
      <c r="N244" s="9"/>
      <c r="O244" s="8"/>
      <c r="P244" s="8"/>
      <c r="Q244" s="8"/>
      <c r="R244" s="7"/>
      <c r="S244" s="7"/>
      <c r="T244" s="7"/>
      <c r="U244" s="7"/>
      <c r="V244" s="7"/>
      <c r="X244" s="7"/>
      <c r="Y244" s="7"/>
      <c r="AM244" s="23"/>
      <c r="AN244" s="23"/>
      <c r="AO244" s="9"/>
      <c r="AP244" s="25"/>
      <c r="AQ244" s="22"/>
      <c r="AR244" s="7"/>
    </row>
    <row r="245" spans="2:44" x14ac:dyDescent="0.25">
      <c r="B245" s="9"/>
      <c r="C245" s="9"/>
      <c r="D245" s="9"/>
      <c r="E245" s="7"/>
      <c r="F245" s="7"/>
      <c r="G245" s="7"/>
      <c r="H245" s="9"/>
      <c r="I245" s="23"/>
      <c r="J245" s="23"/>
      <c r="K245" s="23"/>
      <c r="L245" s="8"/>
      <c r="M245" s="7"/>
      <c r="N245" s="9"/>
      <c r="O245" s="8"/>
      <c r="P245" s="8"/>
      <c r="Q245" s="8"/>
      <c r="R245" s="7"/>
      <c r="S245" s="7"/>
      <c r="T245" s="7"/>
      <c r="U245" s="7"/>
      <c r="V245" s="7"/>
      <c r="X245" s="7"/>
      <c r="Y245" s="7"/>
      <c r="AM245" s="23"/>
      <c r="AN245" s="23"/>
      <c r="AO245" s="9"/>
      <c r="AP245" s="25"/>
      <c r="AQ245" s="22"/>
      <c r="AR245" s="7"/>
    </row>
    <row r="246" spans="2:44" x14ac:dyDescent="0.25">
      <c r="B246" s="9"/>
      <c r="C246" s="9"/>
      <c r="D246" s="9"/>
      <c r="E246" s="7"/>
      <c r="F246" s="7"/>
      <c r="G246" s="7"/>
      <c r="H246" s="9"/>
      <c r="I246" s="23"/>
      <c r="J246" s="23"/>
      <c r="K246" s="23"/>
      <c r="L246" s="8"/>
      <c r="M246" s="7"/>
      <c r="N246" s="9"/>
      <c r="O246" s="8"/>
      <c r="P246" s="8"/>
      <c r="Q246" s="8"/>
      <c r="R246" s="7"/>
      <c r="S246" s="7"/>
      <c r="T246" s="7"/>
      <c r="U246" s="7"/>
      <c r="V246" s="7"/>
      <c r="X246" s="7"/>
      <c r="Y246" s="7"/>
      <c r="AM246" s="23"/>
      <c r="AN246" s="23"/>
      <c r="AO246" s="9"/>
      <c r="AP246" s="25"/>
      <c r="AQ246" s="22"/>
      <c r="AR246" s="7"/>
    </row>
    <row r="247" spans="2:44" x14ac:dyDescent="0.25">
      <c r="B247" s="9"/>
      <c r="C247" s="9"/>
      <c r="D247" s="9"/>
      <c r="E247" s="7"/>
      <c r="F247" s="7"/>
      <c r="G247" s="7"/>
      <c r="H247" s="9"/>
      <c r="I247" s="23"/>
      <c r="J247" s="23"/>
      <c r="K247" s="23"/>
      <c r="L247" s="8"/>
      <c r="M247" s="7"/>
      <c r="N247" s="9"/>
      <c r="O247" s="8"/>
      <c r="P247" s="8"/>
      <c r="Q247" s="8"/>
      <c r="R247" s="7"/>
      <c r="S247" s="7"/>
      <c r="T247" s="7"/>
      <c r="U247" s="7"/>
      <c r="V247" s="7"/>
      <c r="X247" s="7"/>
      <c r="Y247" s="7"/>
      <c r="AM247" s="23"/>
      <c r="AN247" s="23"/>
      <c r="AO247" s="9"/>
      <c r="AP247" s="25"/>
      <c r="AQ247" s="22"/>
      <c r="AR247" s="7"/>
    </row>
    <row r="248" spans="2:44" x14ac:dyDescent="0.25">
      <c r="B248" s="9"/>
      <c r="C248" s="9"/>
      <c r="D248" s="9"/>
      <c r="E248" s="7"/>
      <c r="F248" s="7"/>
      <c r="G248" s="7"/>
      <c r="H248" s="9"/>
      <c r="I248" s="23"/>
      <c r="J248" s="23"/>
      <c r="K248" s="23"/>
      <c r="L248" s="8"/>
      <c r="M248" s="7"/>
      <c r="N248" s="9"/>
      <c r="O248" s="8"/>
      <c r="P248" s="8"/>
      <c r="Q248" s="8"/>
      <c r="R248" s="7"/>
      <c r="S248" s="7"/>
      <c r="T248" s="7"/>
      <c r="U248" s="7"/>
      <c r="V248" s="7"/>
      <c r="X248" s="7"/>
      <c r="Y248" s="7"/>
      <c r="AM248" s="23"/>
      <c r="AN248" s="23"/>
      <c r="AO248" s="9"/>
      <c r="AP248" s="25"/>
      <c r="AQ248" s="22"/>
      <c r="AR248" s="7"/>
    </row>
    <row r="249" spans="2:44" x14ac:dyDescent="0.25">
      <c r="B249" s="9"/>
      <c r="C249" s="9"/>
      <c r="D249" s="9"/>
      <c r="E249" s="7"/>
      <c r="F249" s="7"/>
      <c r="G249" s="7"/>
      <c r="H249" s="9"/>
      <c r="I249" s="23"/>
      <c r="J249" s="23"/>
      <c r="K249" s="23"/>
      <c r="L249" s="8"/>
      <c r="M249" s="7"/>
      <c r="N249" s="9"/>
      <c r="O249" s="8"/>
      <c r="P249" s="8"/>
      <c r="Q249" s="8"/>
      <c r="R249" s="7"/>
      <c r="S249" s="7"/>
      <c r="T249" s="7"/>
      <c r="U249" s="7"/>
      <c r="V249" s="7"/>
      <c r="X249" s="7"/>
      <c r="Y249" s="7"/>
      <c r="AM249" s="23"/>
      <c r="AN249" s="23"/>
      <c r="AO249" s="9"/>
      <c r="AP249" s="25"/>
      <c r="AQ249" s="22"/>
      <c r="AR249" s="7"/>
    </row>
    <row r="250" spans="2:44" x14ac:dyDescent="0.25">
      <c r="B250" s="9"/>
      <c r="C250" s="9"/>
      <c r="D250" s="9"/>
      <c r="E250" s="7"/>
      <c r="F250" s="7"/>
      <c r="G250" s="7"/>
      <c r="H250" s="9"/>
      <c r="I250" s="23"/>
      <c r="J250" s="23"/>
      <c r="K250" s="23"/>
      <c r="L250" s="8"/>
      <c r="M250" s="7"/>
      <c r="N250" s="9"/>
      <c r="O250" s="8"/>
      <c r="P250" s="8"/>
      <c r="Q250" s="8"/>
      <c r="R250" s="7"/>
      <c r="S250" s="7"/>
      <c r="T250" s="7"/>
      <c r="U250" s="7"/>
      <c r="V250" s="7"/>
      <c r="X250" s="7"/>
      <c r="Y250" s="7"/>
      <c r="AM250" s="23"/>
      <c r="AN250" s="23"/>
      <c r="AO250" s="9"/>
      <c r="AP250" s="25"/>
      <c r="AQ250" s="22"/>
      <c r="AR250" s="7"/>
    </row>
    <row r="251" spans="2:44" x14ac:dyDescent="0.25">
      <c r="B251" s="9"/>
      <c r="C251" s="9"/>
      <c r="D251" s="9"/>
      <c r="E251" s="7"/>
      <c r="F251" s="7"/>
      <c r="G251" s="7"/>
      <c r="H251" s="9"/>
      <c r="I251" s="23"/>
      <c r="J251" s="23"/>
      <c r="K251" s="23"/>
      <c r="L251" s="8"/>
      <c r="M251" s="7"/>
      <c r="N251" s="9"/>
      <c r="O251" s="8"/>
      <c r="P251" s="8"/>
      <c r="Q251" s="8"/>
      <c r="R251" s="7"/>
      <c r="S251" s="7"/>
      <c r="T251" s="7"/>
      <c r="U251" s="7"/>
      <c r="V251" s="7"/>
      <c r="X251" s="7"/>
      <c r="Y251" s="7"/>
      <c r="AM251" s="23"/>
      <c r="AN251" s="23"/>
      <c r="AO251" s="9"/>
      <c r="AP251" s="25"/>
      <c r="AQ251" s="22"/>
      <c r="AR251" s="7"/>
    </row>
    <row r="252" spans="2:44" x14ac:dyDescent="0.25">
      <c r="B252" s="9"/>
      <c r="C252" s="9"/>
      <c r="D252" s="9"/>
      <c r="E252" s="7"/>
      <c r="F252" s="7"/>
      <c r="G252" s="7"/>
      <c r="H252" s="9"/>
      <c r="I252" s="23"/>
      <c r="J252" s="23"/>
      <c r="K252" s="23"/>
      <c r="L252" s="8"/>
      <c r="M252" s="7"/>
      <c r="N252" s="9"/>
      <c r="O252" s="8"/>
      <c r="P252" s="8"/>
      <c r="Q252" s="8"/>
      <c r="R252" s="7"/>
      <c r="S252" s="7"/>
      <c r="T252" s="7"/>
      <c r="U252" s="7"/>
      <c r="V252" s="7"/>
      <c r="X252" s="7"/>
      <c r="Y252" s="7"/>
      <c r="AM252" s="23"/>
      <c r="AN252" s="23"/>
      <c r="AO252" s="9"/>
      <c r="AP252" s="25"/>
      <c r="AQ252" s="22"/>
      <c r="AR252" s="7"/>
    </row>
    <row r="253" spans="2:44" x14ac:dyDescent="0.25">
      <c r="B253" s="9"/>
      <c r="C253" s="9"/>
      <c r="D253" s="9"/>
      <c r="E253" s="7"/>
      <c r="F253" s="7"/>
      <c r="G253" s="7"/>
      <c r="H253" s="9"/>
      <c r="I253" s="23"/>
      <c r="J253" s="23"/>
      <c r="K253" s="23"/>
      <c r="L253" s="8"/>
      <c r="M253" s="7"/>
      <c r="N253" s="9"/>
      <c r="O253" s="8"/>
      <c r="P253" s="8"/>
      <c r="Q253" s="8"/>
      <c r="R253" s="7"/>
      <c r="S253" s="7"/>
      <c r="T253" s="7"/>
      <c r="U253" s="7"/>
      <c r="V253" s="7"/>
      <c r="X253" s="7"/>
      <c r="Y253" s="7"/>
      <c r="AM253" s="23"/>
      <c r="AN253" s="23"/>
      <c r="AO253" s="9"/>
      <c r="AP253" s="25"/>
      <c r="AQ253" s="22"/>
      <c r="AR253" s="7"/>
    </row>
    <row r="254" spans="2:44" x14ac:dyDescent="0.25">
      <c r="B254" s="9"/>
      <c r="C254" s="9"/>
      <c r="D254" s="9"/>
      <c r="E254" s="7"/>
      <c r="F254" s="7"/>
      <c r="G254" s="7"/>
      <c r="H254" s="9"/>
      <c r="I254" s="23"/>
      <c r="J254" s="23"/>
      <c r="K254" s="23"/>
      <c r="L254" s="8"/>
      <c r="M254" s="7"/>
      <c r="N254" s="9"/>
      <c r="O254" s="8"/>
      <c r="P254" s="8"/>
      <c r="Q254" s="8"/>
      <c r="R254" s="7"/>
      <c r="S254" s="7"/>
      <c r="T254" s="7"/>
      <c r="U254" s="7"/>
      <c r="V254" s="7"/>
      <c r="X254" s="7"/>
      <c r="Y254" s="7"/>
      <c r="AM254" s="23"/>
      <c r="AN254" s="23"/>
      <c r="AO254" s="9"/>
      <c r="AP254" s="25"/>
      <c r="AQ254" s="22"/>
      <c r="AR254" s="7"/>
    </row>
    <row r="255" spans="2:44" x14ac:dyDescent="0.25">
      <c r="B255" s="9"/>
      <c r="C255" s="9"/>
      <c r="D255" s="9"/>
      <c r="E255" s="7"/>
      <c r="F255" s="7"/>
      <c r="G255" s="7"/>
      <c r="H255" s="9"/>
      <c r="I255" s="23"/>
      <c r="J255" s="23"/>
      <c r="K255" s="23"/>
      <c r="L255" s="8"/>
      <c r="M255" s="7"/>
      <c r="N255" s="9"/>
      <c r="O255" s="8"/>
      <c r="P255" s="8"/>
      <c r="Q255" s="8"/>
      <c r="R255" s="7"/>
      <c r="S255" s="7"/>
      <c r="T255" s="7"/>
      <c r="U255" s="7"/>
      <c r="V255" s="7"/>
      <c r="X255" s="7"/>
      <c r="Y255" s="7"/>
      <c r="AM255" s="23"/>
      <c r="AN255" s="23"/>
      <c r="AO255" s="9"/>
      <c r="AP255" s="25"/>
      <c r="AQ255" s="22"/>
      <c r="AR255" s="7"/>
    </row>
    <row r="256" spans="2:44" x14ac:dyDescent="0.25">
      <c r="B256" s="9"/>
      <c r="C256" s="9"/>
      <c r="D256" s="9"/>
      <c r="E256" s="7"/>
      <c r="F256" s="7"/>
      <c r="G256" s="7"/>
      <c r="H256" s="9"/>
      <c r="I256" s="23"/>
      <c r="J256" s="23"/>
      <c r="K256" s="23"/>
      <c r="L256" s="8"/>
      <c r="M256" s="7"/>
      <c r="N256" s="9"/>
      <c r="O256" s="8"/>
      <c r="P256" s="8"/>
      <c r="Q256" s="8"/>
      <c r="R256" s="7"/>
      <c r="S256" s="7"/>
      <c r="T256" s="7"/>
      <c r="U256" s="7"/>
      <c r="V256" s="7"/>
      <c r="X256" s="7"/>
      <c r="Y256" s="7"/>
      <c r="AM256" s="23"/>
      <c r="AN256" s="23"/>
      <c r="AO256" s="9"/>
      <c r="AP256" s="25"/>
      <c r="AQ256" s="22"/>
      <c r="AR256" s="7"/>
    </row>
    <row r="257" spans="2:44" x14ac:dyDescent="0.25">
      <c r="B257" s="9"/>
      <c r="C257" s="9"/>
      <c r="D257" s="9"/>
      <c r="E257" s="7"/>
      <c r="F257" s="7"/>
      <c r="G257" s="7"/>
      <c r="H257" s="9"/>
      <c r="I257" s="23"/>
      <c r="J257" s="23"/>
      <c r="K257" s="23"/>
      <c r="L257" s="8"/>
      <c r="M257" s="7"/>
      <c r="N257" s="9"/>
      <c r="O257" s="8"/>
      <c r="P257" s="8"/>
      <c r="Q257" s="8"/>
      <c r="R257" s="7"/>
      <c r="S257" s="7"/>
      <c r="T257" s="7"/>
      <c r="U257" s="7"/>
      <c r="V257" s="7"/>
      <c r="X257" s="7"/>
      <c r="Y257" s="7"/>
      <c r="AM257" s="23"/>
      <c r="AN257" s="23"/>
      <c r="AO257" s="9"/>
      <c r="AP257" s="25"/>
      <c r="AQ257" s="22"/>
      <c r="AR257" s="7"/>
    </row>
    <row r="258" spans="2:44" x14ac:dyDescent="0.25">
      <c r="B258" s="9"/>
      <c r="C258" s="9"/>
      <c r="D258" s="9"/>
      <c r="E258" s="7"/>
      <c r="F258" s="7"/>
      <c r="G258" s="7"/>
      <c r="H258" s="9"/>
      <c r="I258" s="23"/>
      <c r="J258" s="23"/>
      <c r="K258" s="23"/>
      <c r="L258" s="8"/>
      <c r="M258" s="7"/>
      <c r="N258" s="9"/>
      <c r="O258" s="8"/>
      <c r="P258" s="8"/>
      <c r="Q258" s="8"/>
      <c r="R258" s="7"/>
      <c r="S258" s="7"/>
      <c r="T258" s="7"/>
      <c r="U258" s="7"/>
      <c r="V258" s="7"/>
      <c r="X258" s="7"/>
      <c r="Y258" s="7"/>
      <c r="AM258" s="23"/>
      <c r="AN258" s="23"/>
      <c r="AO258" s="9"/>
      <c r="AP258" s="25"/>
      <c r="AQ258" s="22"/>
      <c r="AR258" s="7"/>
    </row>
    <row r="259" spans="2:44" x14ac:dyDescent="0.25">
      <c r="B259" s="9"/>
      <c r="C259" s="9"/>
      <c r="D259" s="9"/>
      <c r="E259" s="7"/>
      <c r="F259" s="7"/>
      <c r="G259" s="7"/>
      <c r="H259" s="9"/>
      <c r="I259" s="23"/>
      <c r="J259" s="23"/>
      <c r="K259" s="23"/>
      <c r="L259" s="8"/>
      <c r="M259" s="7"/>
      <c r="N259" s="9"/>
      <c r="O259" s="8"/>
      <c r="P259" s="8"/>
      <c r="Q259" s="8"/>
      <c r="R259" s="7"/>
      <c r="S259" s="7"/>
      <c r="T259" s="7"/>
      <c r="U259" s="7"/>
      <c r="V259" s="7"/>
      <c r="X259" s="7"/>
      <c r="Y259" s="7"/>
      <c r="AM259" s="23"/>
      <c r="AN259" s="23"/>
      <c r="AO259" s="9"/>
      <c r="AP259" s="25"/>
      <c r="AQ259" s="22"/>
      <c r="AR259" s="7"/>
    </row>
    <row r="260" spans="2:44" x14ac:dyDescent="0.25">
      <c r="B260" s="9"/>
      <c r="C260" s="9"/>
      <c r="D260" s="9"/>
      <c r="E260" s="7"/>
      <c r="F260" s="7"/>
      <c r="G260" s="7"/>
      <c r="H260" s="9"/>
      <c r="I260" s="23"/>
      <c r="J260" s="23"/>
      <c r="K260" s="23"/>
      <c r="L260" s="8"/>
      <c r="M260" s="7"/>
      <c r="N260" s="9"/>
      <c r="O260" s="8"/>
      <c r="P260" s="8"/>
      <c r="Q260" s="8"/>
      <c r="R260" s="7"/>
      <c r="S260" s="7"/>
      <c r="T260" s="7"/>
      <c r="U260" s="7"/>
      <c r="V260" s="7"/>
      <c r="X260" s="7"/>
      <c r="Y260" s="7"/>
      <c r="AM260" s="23"/>
      <c r="AN260" s="23"/>
      <c r="AO260" s="9"/>
      <c r="AP260" s="25"/>
      <c r="AQ260" s="22"/>
      <c r="AR260" s="7"/>
    </row>
    <row r="261" spans="2:44" x14ac:dyDescent="0.25">
      <c r="B261" s="9"/>
      <c r="C261" s="9"/>
      <c r="D261" s="9"/>
      <c r="E261" s="7"/>
      <c r="F261" s="7"/>
      <c r="G261" s="7"/>
      <c r="H261" s="9"/>
      <c r="I261" s="23"/>
      <c r="J261" s="23"/>
      <c r="K261" s="23"/>
      <c r="L261" s="8"/>
      <c r="M261" s="7"/>
      <c r="N261" s="9"/>
      <c r="O261" s="8"/>
      <c r="P261" s="8"/>
      <c r="Q261" s="8"/>
      <c r="R261" s="7"/>
      <c r="S261" s="7"/>
      <c r="T261" s="7"/>
      <c r="U261" s="7"/>
      <c r="V261" s="7"/>
      <c r="X261" s="7"/>
      <c r="Y261" s="7"/>
      <c r="AM261" s="23"/>
      <c r="AN261" s="23"/>
      <c r="AO261" s="9"/>
      <c r="AP261" s="25"/>
      <c r="AQ261" s="22"/>
      <c r="AR261" s="7"/>
    </row>
    <row r="262" spans="2:44" x14ac:dyDescent="0.25">
      <c r="B262" s="9"/>
      <c r="C262" s="9"/>
      <c r="D262" s="9"/>
      <c r="E262" s="7"/>
      <c r="F262" s="7"/>
      <c r="G262" s="7"/>
      <c r="H262" s="9"/>
      <c r="I262" s="23"/>
      <c r="J262" s="23"/>
      <c r="K262" s="23"/>
      <c r="L262" s="8"/>
      <c r="M262" s="7"/>
      <c r="N262" s="9"/>
      <c r="O262" s="8"/>
      <c r="P262" s="8"/>
      <c r="Q262" s="8"/>
      <c r="R262" s="7"/>
      <c r="S262" s="7"/>
      <c r="T262" s="7"/>
      <c r="U262" s="7"/>
      <c r="V262" s="7"/>
      <c r="X262" s="7"/>
      <c r="Y262" s="7"/>
      <c r="AM262" s="23"/>
      <c r="AN262" s="23"/>
      <c r="AO262" s="9"/>
      <c r="AP262" s="25"/>
      <c r="AQ262" s="22"/>
      <c r="AR262" s="7"/>
    </row>
    <row r="263" spans="2:44" x14ac:dyDescent="0.25">
      <c r="B263" s="9"/>
      <c r="C263" s="9"/>
      <c r="D263" s="9"/>
      <c r="E263" s="7"/>
      <c r="F263" s="7"/>
      <c r="G263" s="7"/>
      <c r="H263" s="9"/>
      <c r="I263" s="23"/>
      <c r="J263" s="23"/>
      <c r="K263" s="23"/>
      <c r="L263" s="8"/>
      <c r="M263" s="7"/>
      <c r="N263" s="9"/>
      <c r="O263" s="8"/>
      <c r="P263" s="8"/>
      <c r="Q263" s="8"/>
      <c r="R263" s="7"/>
      <c r="S263" s="7"/>
      <c r="T263" s="7"/>
      <c r="U263" s="7"/>
      <c r="V263" s="7"/>
      <c r="X263" s="7"/>
      <c r="Y263" s="7"/>
      <c r="AM263" s="23"/>
      <c r="AN263" s="23"/>
      <c r="AO263" s="9"/>
      <c r="AP263" s="25"/>
      <c r="AQ263" s="22"/>
      <c r="AR263" s="7"/>
    </row>
    <row r="264" spans="2:44" x14ac:dyDescent="0.25">
      <c r="B264" s="9"/>
      <c r="C264" s="9"/>
      <c r="D264" s="9"/>
      <c r="E264" s="7"/>
      <c r="F264" s="7"/>
      <c r="G264" s="7"/>
      <c r="H264" s="9"/>
      <c r="I264" s="23"/>
      <c r="J264" s="23"/>
      <c r="K264" s="23"/>
      <c r="L264" s="8"/>
      <c r="M264" s="7"/>
      <c r="N264" s="9"/>
      <c r="O264" s="8"/>
      <c r="P264" s="8"/>
      <c r="Q264" s="8"/>
      <c r="R264" s="7"/>
      <c r="S264" s="7"/>
      <c r="T264" s="7"/>
      <c r="U264" s="7"/>
      <c r="V264" s="7"/>
      <c r="X264" s="7"/>
      <c r="Y264" s="7"/>
      <c r="AM264" s="23"/>
      <c r="AN264" s="23"/>
      <c r="AO264" s="9"/>
      <c r="AP264" s="25"/>
      <c r="AQ264" s="22"/>
      <c r="AR264" s="7"/>
    </row>
    <row r="265" spans="2:44" x14ac:dyDescent="0.25">
      <c r="B265" s="9"/>
      <c r="C265" s="9"/>
      <c r="D265" s="9"/>
      <c r="E265" s="7"/>
      <c r="F265" s="7"/>
      <c r="G265" s="7"/>
      <c r="H265" s="9"/>
      <c r="I265" s="23"/>
      <c r="J265" s="23"/>
      <c r="K265" s="23"/>
      <c r="L265" s="8"/>
      <c r="M265" s="7"/>
      <c r="N265" s="9"/>
      <c r="O265" s="8"/>
      <c r="P265" s="8"/>
      <c r="Q265" s="8"/>
      <c r="R265" s="7"/>
      <c r="S265" s="7"/>
      <c r="T265" s="7"/>
      <c r="U265" s="7"/>
      <c r="V265" s="7"/>
      <c r="X265" s="7"/>
      <c r="Y265" s="7"/>
      <c r="AM265" s="23"/>
      <c r="AN265" s="23"/>
      <c r="AO265" s="9"/>
      <c r="AP265" s="25"/>
      <c r="AQ265" s="22"/>
      <c r="AR265" s="7"/>
    </row>
    <row r="266" spans="2:44" x14ac:dyDescent="0.25">
      <c r="B266" s="9"/>
      <c r="C266" s="9"/>
      <c r="D266" s="9"/>
      <c r="E266" s="7"/>
      <c r="F266" s="7"/>
      <c r="G266" s="7"/>
      <c r="H266" s="9"/>
      <c r="I266" s="23"/>
      <c r="J266" s="23"/>
      <c r="K266" s="23"/>
      <c r="L266" s="8"/>
      <c r="M266" s="7"/>
      <c r="N266" s="9"/>
      <c r="O266" s="8"/>
      <c r="P266" s="8"/>
      <c r="Q266" s="8"/>
      <c r="R266" s="7"/>
      <c r="S266" s="7"/>
      <c r="T266" s="7"/>
      <c r="U266" s="7"/>
      <c r="V266" s="7"/>
      <c r="X266" s="7"/>
      <c r="Y266" s="7"/>
      <c r="AM266" s="23"/>
      <c r="AN266" s="23"/>
      <c r="AO266" s="9"/>
      <c r="AP266" s="25"/>
      <c r="AQ266" s="22"/>
      <c r="AR266" s="7"/>
    </row>
    <row r="267" spans="2:44" x14ac:dyDescent="0.25">
      <c r="B267" s="9"/>
      <c r="C267" s="9"/>
      <c r="D267" s="9"/>
      <c r="E267" s="7"/>
      <c r="F267" s="7"/>
      <c r="G267" s="7"/>
      <c r="H267" s="9"/>
      <c r="I267" s="23"/>
      <c r="J267" s="23"/>
      <c r="K267" s="23"/>
      <c r="L267" s="8"/>
      <c r="M267" s="7"/>
      <c r="N267" s="9"/>
      <c r="O267" s="8"/>
      <c r="P267" s="8"/>
      <c r="Q267" s="8"/>
      <c r="R267" s="7"/>
      <c r="S267" s="7"/>
      <c r="T267" s="7"/>
      <c r="U267" s="7"/>
      <c r="V267" s="7"/>
      <c r="X267" s="7"/>
      <c r="Y267" s="7"/>
      <c r="AM267" s="23"/>
      <c r="AN267" s="23"/>
      <c r="AO267" s="9"/>
      <c r="AP267" s="25"/>
      <c r="AQ267" s="22"/>
      <c r="AR267" s="7"/>
    </row>
    <row r="268" spans="2:44" x14ac:dyDescent="0.25">
      <c r="B268" s="9"/>
      <c r="C268" s="9"/>
      <c r="D268" s="9"/>
      <c r="E268" s="7"/>
      <c r="F268" s="7"/>
      <c r="G268" s="7"/>
      <c r="H268" s="9"/>
      <c r="I268" s="23"/>
      <c r="J268" s="23"/>
      <c r="K268" s="23"/>
      <c r="L268" s="8"/>
      <c r="M268" s="7"/>
      <c r="N268" s="9"/>
      <c r="O268" s="8"/>
      <c r="P268" s="8"/>
      <c r="Q268" s="8"/>
      <c r="R268" s="7"/>
      <c r="S268" s="7"/>
      <c r="T268" s="7"/>
      <c r="U268" s="7"/>
      <c r="V268" s="7"/>
      <c r="X268" s="7"/>
      <c r="Y268" s="7"/>
      <c r="AM268" s="23"/>
      <c r="AN268" s="23"/>
      <c r="AO268" s="9"/>
      <c r="AP268" s="25"/>
      <c r="AQ268" s="22"/>
      <c r="AR268" s="7"/>
    </row>
    <row r="269" spans="2:44" x14ac:dyDescent="0.25">
      <c r="B269" s="9"/>
      <c r="C269" s="9"/>
      <c r="D269" s="9"/>
      <c r="E269" s="7"/>
      <c r="F269" s="7"/>
      <c r="G269" s="7"/>
      <c r="H269" s="9"/>
      <c r="I269" s="23"/>
      <c r="J269" s="23"/>
      <c r="K269" s="23"/>
      <c r="L269" s="8"/>
      <c r="M269" s="7"/>
      <c r="N269" s="9"/>
      <c r="O269" s="8"/>
      <c r="P269" s="8"/>
      <c r="Q269" s="8"/>
      <c r="R269" s="7"/>
      <c r="S269" s="7"/>
      <c r="T269" s="7"/>
      <c r="U269" s="7"/>
      <c r="V269" s="7"/>
      <c r="X269" s="7"/>
      <c r="Y269" s="7"/>
      <c r="AM269" s="23"/>
      <c r="AN269" s="23"/>
      <c r="AO269" s="9"/>
      <c r="AP269" s="25"/>
      <c r="AQ269" s="22"/>
      <c r="AR269" s="7"/>
    </row>
    <row r="270" spans="2:44" x14ac:dyDescent="0.25">
      <c r="B270" s="9"/>
      <c r="C270" s="9"/>
      <c r="D270" s="9"/>
      <c r="E270" s="7"/>
      <c r="F270" s="7"/>
      <c r="G270" s="7"/>
      <c r="H270" s="9"/>
      <c r="I270" s="23"/>
      <c r="J270" s="23"/>
      <c r="K270" s="23"/>
      <c r="L270" s="8"/>
      <c r="M270" s="7"/>
      <c r="N270" s="9"/>
      <c r="O270" s="8"/>
      <c r="P270" s="8"/>
      <c r="Q270" s="8"/>
      <c r="R270" s="7"/>
      <c r="S270" s="7"/>
      <c r="T270" s="7"/>
      <c r="U270" s="7"/>
      <c r="V270" s="7"/>
      <c r="X270" s="7"/>
      <c r="Y270" s="7"/>
      <c r="AM270" s="23"/>
      <c r="AN270" s="23"/>
      <c r="AO270" s="9"/>
      <c r="AP270" s="25"/>
      <c r="AQ270" s="22"/>
      <c r="AR270" s="7"/>
    </row>
    <row r="271" spans="2:44" x14ac:dyDescent="0.25">
      <c r="B271" s="9"/>
      <c r="C271" s="9"/>
      <c r="D271" s="9"/>
      <c r="E271" s="7"/>
      <c r="F271" s="7"/>
      <c r="G271" s="7"/>
      <c r="H271" s="9"/>
      <c r="I271" s="23"/>
      <c r="J271" s="23"/>
      <c r="K271" s="23"/>
      <c r="L271" s="8"/>
      <c r="M271" s="7"/>
      <c r="N271" s="9"/>
      <c r="O271" s="8"/>
      <c r="P271" s="8"/>
      <c r="Q271" s="8"/>
      <c r="R271" s="7"/>
      <c r="S271" s="7"/>
      <c r="T271" s="7"/>
      <c r="U271" s="7"/>
      <c r="V271" s="7"/>
      <c r="X271" s="7"/>
      <c r="Y271" s="7"/>
      <c r="AM271" s="23"/>
      <c r="AN271" s="23"/>
      <c r="AO271" s="9"/>
      <c r="AP271" s="25"/>
      <c r="AQ271" s="22"/>
      <c r="AR271" s="7"/>
    </row>
    <row r="272" spans="2:44" x14ac:dyDescent="0.25">
      <c r="B272" s="9"/>
      <c r="C272" s="9"/>
      <c r="D272" s="9"/>
      <c r="E272" s="7"/>
      <c r="F272" s="7"/>
      <c r="G272" s="7"/>
      <c r="H272" s="9"/>
      <c r="I272" s="23"/>
      <c r="J272" s="23"/>
      <c r="K272" s="23"/>
      <c r="L272" s="8"/>
      <c r="M272" s="7"/>
      <c r="N272" s="9"/>
      <c r="O272" s="8"/>
      <c r="P272" s="8"/>
      <c r="Q272" s="8"/>
      <c r="R272" s="7"/>
      <c r="S272" s="7"/>
      <c r="T272" s="7"/>
      <c r="U272" s="7"/>
      <c r="V272" s="7"/>
      <c r="X272" s="7"/>
      <c r="Y272" s="7"/>
      <c r="AM272" s="23"/>
      <c r="AN272" s="23"/>
      <c r="AO272" s="9"/>
      <c r="AP272" s="25"/>
      <c r="AQ272" s="22"/>
      <c r="AR272" s="7"/>
    </row>
    <row r="273" spans="2:44" x14ac:dyDescent="0.25">
      <c r="B273" s="9"/>
      <c r="C273" s="9"/>
      <c r="D273" s="9"/>
      <c r="E273" s="7"/>
      <c r="F273" s="7"/>
      <c r="G273" s="7"/>
      <c r="H273" s="9"/>
      <c r="I273" s="23"/>
      <c r="J273" s="23"/>
      <c r="K273" s="23"/>
      <c r="L273" s="8"/>
      <c r="M273" s="7"/>
      <c r="N273" s="9"/>
      <c r="O273" s="8"/>
      <c r="P273" s="8"/>
      <c r="Q273" s="8"/>
      <c r="R273" s="7"/>
      <c r="S273" s="7"/>
      <c r="T273" s="7"/>
      <c r="U273" s="7"/>
      <c r="V273" s="7"/>
      <c r="X273" s="7"/>
      <c r="Y273" s="7"/>
      <c r="AM273" s="23"/>
      <c r="AN273" s="23"/>
      <c r="AO273" s="9"/>
      <c r="AP273" s="25"/>
      <c r="AQ273" s="22"/>
      <c r="AR273" s="7"/>
    </row>
    <row r="274" spans="2:44" x14ac:dyDescent="0.25">
      <c r="B274" s="9"/>
      <c r="C274" s="9"/>
      <c r="D274" s="9"/>
      <c r="E274" s="7"/>
      <c r="F274" s="7"/>
      <c r="G274" s="7"/>
      <c r="H274" s="9"/>
      <c r="I274" s="23"/>
      <c r="J274" s="23"/>
      <c r="K274" s="23"/>
      <c r="L274" s="8"/>
      <c r="M274" s="7"/>
      <c r="N274" s="9"/>
      <c r="O274" s="8"/>
      <c r="P274" s="8"/>
      <c r="Q274" s="8"/>
      <c r="R274" s="7"/>
      <c r="S274" s="7"/>
      <c r="T274" s="7"/>
      <c r="U274" s="7"/>
      <c r="V274" s="7"/>
      <c r="X274" s="7"/>
      <c r="Y274" s="7"/>
      <c r="AM274" s="23"/>
      <c r="AN274" s="23"/>
      <c r="AO274" s="9"/>
      <c r="AP274" s="25"/>
      <c r="AQ274" s="22"/>
      <c r="AR274" s="7"/>
    </row>
    <row r="275" spans="2:44" x14ac:dyDescent="0.25">
      <c r="B275" s="9"/>
      <c r="C275" s="9"/>
      <c r="D275" s="9"/>
      <c r="E275" s="7"/>
      <c r="F275" s="7"/>
      <c r="G275" s="7"/>
      <c r="H275" s="9"/>
      <c r="I275" s="23"/>
      <c r="J275" s="23"/>
      <c r="K275" s="23"/>
      <c r="L275" s="8"/>
      <c r="M275" s="7"/>
      <c r="N275" s="9"/>
      <c r="O275" s="8"/>
      <c r="P275" s="8"/>
      <c r="Q275" s="8"/>
      <c r="R275" s="7"/>
      <c r="S275" s="7"/>
      <c r="T275" s="7"/>
      <c r="U275" s="7"/>
      <c r="V275" s="7"/>
      <c r="X275" s="7"/>
      <c r="Y275" s="7"/>
      <c r="AM275" s="23"/>
      <c r="AN275" s="23"/>
      <c r="AO275" s="9"/>
      <c r="AP275" s="25"/>
      <c r="AQ275" s="22"/>
      <c r="AR275" s="7"/>
    </row>
    <row r="276" spans="2:44" x14ac:dyDescent="0.25">
      <c r="B276" s="9"/>
      <c r="C276" s="9"/>
      <c r="D276" s="9"/>
      <c r="E276" s="7"/>
      <c r="F276" s="7"/>
      <c r="G276" s="7"/>
      <c r="H276" s="9"/>
      <c r="I276" s="23"/>
      <c r="J276" s="23"/>
      <c r="K276" s="23"/>
      <c r="L276" s="8"/>
      <c r="M276" s="7"/>
      <c r="N276" s="9"/>
      <c r="O276" s="8"/>
      <c r="P276" s="8"/>
      <c r="Q276" s="8"/>
      <c r="R276" s="7"/>
      <c r="S276" s="7"/>
      <c r="T276" s="7"/>
      <c r="U276" s="7"/>
      <c r="V276" s="7"/>
      <c r="X276" s="7"/>
      <c r="Y276" s="7"/>
      <c r="AM276" s="23"/>
      <c r="AN276" s="23"/>
      <c r="AO276" s="9"/>
      <c r="AP276" s="25"/>
      <c r="AQ276" s="22"/>
      <c r="AR276" s="7"/>
    </row>
    <row r="277" spans="2:44" x14ac:dyDescent="0.25">
      <c r="B277" s="9"/>
      <c r="C277" s="9"/>
      <c r="D277" s="9"/>
      <c r="E277" s="7"/>
      <c r="F277" s="7"/>
      <c r="G277" s="7"/>
      <c r="H277" s="9"/>
      <c r="I277" s="23"/>
      <c r="J277" s="23"/>
      <c r="K277" s="23"/>
      <c r="L277" s="8"/>
      <c r="M277" s="7"/>
      <c r="N277" s="9"/>
      <c r="O277" s="8"/>
      <c r="P277" s="8"/>
      <c r="Q277" s="8"/>
      <c r="R277" s="7"/>
      <c r="S277" s="7"/>
      <c r="T277" s="7"/>
      <c r="U277" s="7"/>
      <c r="V277" s="7"/>
      <c r="X277" s="7"/>
      <c r="Y277" s="7"/>
      <c r="AM277" s="23"/>
      <c r="AN277" s="23"/>
      <c r="AO277" s="9"/>
      <c r="AP277" s="25"/>
      <c r="AQ277" s="22"/>
      <c r="AR277" s="7"/>
    </row>
    <row r="278" spans="2:44" x14ac:dyDescent="0.25">
      <c r="B278" s="9"/>
      <c r="C278" s="9"/>
      <c r="D278" s="9"/>
      <c r="E278" s="7"/>
      <c r="F278" s="7"/>
      <c r="G278" s="7"/>
      <c r="H278" s="9"/>
      <c r="I278" s="23"/>
      <c r="J278" s="23"/>
      <c r="K278" s="23"/>
      <c r="L278" s="8"/>
      <c r="M278" s="7"/>
      <c r="N278" s="9"/>
      <c r="O278" s="8"/>
      <c r="P278" s="8"/>
      <c r="Q278" s="8"/>
      <c r="R278" s="7"/>
      <c r="S278" s="7"/>
      <c r="T278" s="7"/>
      <c r="U278" s="7"/>
      <c r="V278" s="7"/>
      <c r="X278" s="7"/>
      <c r="Y278" s="7"/>
      <c r="AM278" s="23"/>
      <c r="AN278" s="23"/>
      <c r="AO278" s="9"/>
      <c r="AP278" s="25"/>
      <c r="AQ278" s="22"/>
      <c r="AR278" s="7"/>
    </row>
    <row r="279" spans="2:44" x14ac:dyDescent="0.25">
      <c r="B279" s="9"/>
      <c r="C279" s="9"/>
      <c r="D279" s="9"/>
      <c r="E279" s="7"/>
      <c r="F279" s="7"/>
      <c r="G279" s="7"/>
      <c r="H279" s="9"/>
      <c r="I279" s="23"/>
      <c r="J279" s="23"/>
      <c r="K279" s="23"/>
      <c r="L279" s="8"/>
      <c r="M279" s="7"/>
      <c r="N279" s="9"/>
      <c r="O279" s="8"/>
      <c r="P279" s="8"/>
      <c r="Q279" s="8"/>
      <c r="R279" s="7"/>
      <c r="S279" s="7"/>
      <c r="T279" s="7"/>
      <c r="U279" s="7"/>
      <c r="V279" s="7"/>
      <c r="X279" s="7"/>
      <c r="Y279" s="7"/>
      <c r="AM279" s="23"/>
      <c r="AN279" s="23"/>
      <c r="AO279" s="9"/>
      <c r="AP279" s="25"/>
      <c r="AQ279" s="22"/>
      <c r="AR279" s="7"/>
    </row>
    <row r="280" spans="2:44" x14ac:dyDescent="0.25">
      <c r="B280" s="9"/>
      <c r="C280" s="9"/>
      <c r="D280" s="9"/>
      <c r="E280" s="7"/>
      <c r="F280" s="7"/>
      <c r="G280" s="7"/>
      <c r="H280" s="9"/>
      <c r="I280" s="23"/>
      <c r="J280" s="23"/>
      <c r="K280" s="23"/>
      <c r="L280" s="8"/>
      <c r="M280" s="7"/>
      <c r="N280" s="9"/>
      <c r="O280" s="8"/>
      <c r="P280" s="8"/>
      <c r="Q280" s="8"/>
      <c r="R280" s="7"/>
      <c r="S280" s="7"/>
      <c r="T280" s="7"/>
      <c r="U280" s="7"/>
      <c r="V280" s="7"/>
      <c r="X280" s="7"/>
      <c r="Y280" s="7"/>
      <c r="AM280" s="23"/>
      <c r="AN280" s="23"/>
      <c r="AO280" s="9"/>
      <c r="AP280" s="25"/>
      <c r="AQ280" s="22"/>
      <c r="AR280" s="7"/>
    </row>
    <row r="281" spans="2:44" x14ac:dyDescent="0.25">
      <c r="B281" s="9"/>
      <c r="C281" s="9"/>
      <c r="D281" s="9"/>
      <c r="E281" s="7"/>
      <c r="F281" s="7"/>
      <c r="G281" s="7"/>
      <c r="H281" s="9"/>
      <c r="I281" s="23"/>
      <c r="J281" s="23"/>
      <c r="K281" s="23"/>
      <c r="L281" s="8"/>
      <c r="M281" s="7"/>
      <c r="N281" s="9"/>
      <c r="O281" s="8"/>
      <c r="P281" s="8"/>
      <c r="Q281" s="8"/>
      <c r="R281" s="7"/>
      <c r="S281" s="7"/>
      <c r="T281" s="7"/>
      <c r="U281" s="7"/>
      <c r="V281" s="7"/>
      <c r="X281" s="7"/>
      <c r="Y281" s="7"/>
      <c r="AM281" s="23"/>
      <c r="AN281" s="23"/>
      <c r="AO281" s="9"/>
      <c r="AP281" s="25"/>
      <c r="AQ281" s="22"/>
      <c r="AR281" s="7"/>
    </row>
    <row r="282" spans="2:44" x14ac:dyDescent="0.25">
      <c r="B282" s="9"/>
      <c r="C282" s="9"/>
      <c r="D282" s="9"/>
      <c r="E282" s="7"/>
      <c r="F282" s="7"/>
      <c r="G282" s="7"/>
      <c r="H282" s="9"/>
      <c r="I282" s="23"/>
      <c r="J282" s="23"/>
      <c r="K282" s="23"/>
      <c r="L282" s="8"/>
      <c r="M282" s="7"/>
      <c r="N282" s="9"/>
      <c r="O282" s="8"/>
      <c r="P282" s="8"/>
      <c r="Q282" s="8"/>
      <c r="R282" s="7"/>
      <c r="S282" s="7"/>
      <c r="T282" s="7"/>
      <c r="U282" s="7"/>
      <c r="V282" s="7"/>
      <c r="X282" s="7"/>
      <c r="Y282" s="7"/>
      <c r="AM282" s="23"/>
      <c r="AN282" s="23"/>
      <c r="AO282" s="9"/>
      <c r="AP282" s="25"/>
      <c r="AQ282" s="22"/>
      <c r="AR282" s="7"/>
    </row>
    <row r="283" spans="2:44" x14ac:dyDescent="0.25">
      <c r="B283" s="9"/>
      <c r="C283" s="9"/>
      <c r="D283" s="9"/>
      <c r="E283" s="7"/>
      <c r="F283" s="7"/>
      <c r="G283" s="7"/>
      <c r="H283" s="9"/>
      <c r="I283" s="23"/>
      <c r="J283" s="23"/>
      <c r="K283" s="23"/>
      <c r="L283" s="8"/>
      <c r="M283" s="7"/>
      <c r="N283" s="9"/>
      <c r="O283" s="8"/>
      <c r="P283" s="8"/>
      <c r="Q283" s="8"/>
      <c r="R283" s="7"/>
      <c r="S283" s="7"/>
      <c r="T283" s="7"/>
      <c r="U283" s="7"/>
      <c r="V283" s="7"/>
      <c r="X283" s="7"/>
      <c r="Y283" s="7"/>
      <c r="AM283" s="23"/>
      <c r="AN283" s="23"/>
      <c r="AO283" s="9"/>
      <c r="AP283" s="25"/>
      <c r="AQ283" s="22"/>
      <c r="AR283" s="7"/>
    </row>
    <row r="284" spans="2:44" x14ac:dyDescent="0.25">
      <c r="B284" s="9"/>
      <c r="C284" s="9"/>
      <c r="D284" s="9"/>
      <c r="E284" s="7"/>
      <c r="F284" s="7"/>
      <c r="G284" s="7"/>
      <c r="H284" s="9"/>
      <c r="I284" s="23"/>
      <c r="J284" s="23"/>
      <c r="K284" s="23"/>
      <c r="L284" s="8"/>
      <c r="M284" s="7"/>
      <c r="N284" s="9"/>
      <c r="O284" s="8"/>
      <c r="P284" s="8"/>
      <c r="Q284" s="8"/>
      <c r="R284" s="7"/>
      <c r="S284" s="7"/>
      <c r="T284" s="7"/>
      <c r="U284" s="7"/>
      <c r="V284" s="7"/>
      <c r="X284" s="7"/>
      <c r="Y284" s="7"/>
      <c r="AM284" s="23"/>
      <c r="AN284" s="23"/>
      <c r="AO284" s="9"/>
      <c r="AP284" s="25"/>
      <c r="AQ284" s="22"/>
      <c r="AR284" s="7"/>
    </row>
    <row r="285" spans="2:44" x14ac:dyDescent="0.25">
      <c r="B285" s="9"/>
      <c r="C285" s="9"/>
      <c r="D285" s="9"/>
      <c r="E285" s="7"/>
      <c r="F285" s="7"/>
      <c r="G285" s="7"/>
      <c r="H285" s="9"/>
      <c r="I285" s="23"/>
      <c r="J285" s="23"/>
      <c r="K285" s="23"/>
      <c r="L285" s="8"/>
      <c r="M285" s="7"/>
      <c r="N285" s="9"/>
      <c r="O285" s="8"/>
      <c r="P285" s="8"/>
      <c r="Q285" s="8"/>
      <c r="R285" s="7"/>
      <c r="S285" s="7"/>
      <c r="T285" s="7"/>
      <c r="U285" s="7"/>
      <c r="V285" s="7"/>
      <c r="X285" s="7"/>
      <c r="Y285" s="7"/>
      <c r="AM285" s="23"/>
      <c r="AN285" s="23"/>
      <c r="AO285" s="9"/>
      <c r="AP285" s="25"/>
      <c r="AQ285" s="22"/>
      <c r="AR285" s="7"/>
    </row>
    <row r="286" spans="2:44" x14ac:dyDescent="0.25">
      <c r="B286" s="9"/>
      <c r="C286" s="9"/>
      <c r="D286" s="9"/>
      <c r="E286" s="7"/>
      <c r="F286" s="7"/>
      <c r="G286" s="7"/>
      <c r="H286" s="9"/>
      <c r="I286" s="23"/>
      <c r="J286" s="23"/>
      <c r="K286" s="23"/>
      <c r="L286" s="8"/>
      <c r="M286" s="7"/>
      <c r="N286" s="9"/>
      <c r="O286" s="8"/>
      <c r="P286" s="8"/>
      <c r="Q286" s="8"/>
      <c r="R286" s="7"/>
      <c r="S286" s="7"/>
      <c r="T286" s="7"/>
      <c r="U286" s="7"/>
      <c r="V286" s="7"/>
      <c r="X286" s="7"/>
      <c r="Y286" s="7"/>
      <c r="AM286" s="23"/>
      <c r="AN286" s="23"/>
      <c r="AO286" s="9"/>
      <c r="AP286" s="25"/>
      <c r="AQ286" s="22"/>
      <c r="AR286" s="7"/>
    </row>
    <row r="287" spans="2:44" x14ac:dyDescent="0.25">
      <c r="B287" s="9"/>
      <c r="C287" s="9"/>
      <c r="D287" s="9"/>
      <c r="E287" s="7"/>
      <c r="F287" s="7"/>
      <c r="G287" s="7"/>
      <c r="H287" s="9"/>
      <c r="I287" s="23"/>
      <c r="J287" s="23"/>
      <c r="K287" s="23"/>
      <c r="L287" s="8"/>
      <c r="M287" s="7"/>
      <c r="N287" s="9"/>
      <c r="O287" s="8"/>
      <c r="P287" s="8"/>
      <c r="Q287" s="8"/>
      <c r="R287" s="7"/>
      <c r="S287" s="7"/>
      <c r="T287" s="7"/>
      <c r="U287" s="7"/>
      <c r="V287" s="7"/>
      <c r="X287" s="7"/>
      <c r="Y287" s="7"/>
      <c r="AM287" s="23"/>
      <c r="AN287" s="23"/>
      <c r="AO287" s="9"/>
      <c r="AP287" s="25"/>
      <c r="AQ287" s="22"/>
      <c r="AR287" s="7"/>
    </row>
    <row r="288" spans="2:44" x14ac:dyDescent="0.25">
      <c r="B288" s="9"/>
      <c r="C288" s="9"/>
      <c r="D288" s="9"/>
      <c r="E288" s="7"/>
      <c r="F288" s="7"/>
      <c r="G288" s="7"/>
      <c r="H288" s="9"/>
      <c r="I288" s="23"/>
      <c r="J288" s="23"/>
      <c r="K288" s="23"/>
      <c r="L288" s="8"/>
      <c r="M288" s="7"/>
      <c r="N288" s="9"/>
      <c r="O288" s="8"/>
      <c r="P288" s="8"/>
      <c r="Q288" s="8"/>
      <c r="R288" s="7"/>
      <c r="S288" s="7"/>
      <c r="T288" s="7"/>
      <c r="U288" s="7"/>
      <c r="V288" s="7"/>
      <c r="X288" s="7"/>
      <c r="Y288" s="7"/>
      <c r="AM288" s="23"/>
      <c r="AN288" s="23"/>
      <c r="AO288" s="9"/>
      <c r="AP288" s="25"/>
      <c r="AQ288" s="22"/>
      <c r="AR288" s="7"/>
    </row>
    <row r="289" spans="2:44" x14ac:dyDescent="0.25">
      <c r="B289" s="9"/>
      <c r="C289" s="9"/>
      <c r="D289" s="9"/>
      <c r="E289" s="7"/>
      <c r="F289" s="7"/>
      <c r="G289" s="7"/>
      <c r="H289" s="9"/>
      <c r="I289" s="23"/>
      <c r="J289" s="23"/>
      <c r="K289" s="23"/>
      <c r="L289" s="8"/>
      <c r="M289" s="7"/>
      <c r="N289" s="9"/>
      <c r="O289" s="8"/>
      <c r="P289" s="8"/>
      <c r="Q289" s="8"/>
      <c r="R289" s="7"/>
      <c r="S289" s="7"/>
      <c r="T289" s="7"/>
      <c r="U289" s="7"/>
      <c r="V289" s="7"/>
      <c r="X289" s="7"/>
      <c r="Y289" s="7"/>
      <c r="AM289" s="23"/>
      <c r="AN289" s="23"/>
      <c r="AO289" s="9"/>
      <c r="AP289" s="25"/>
      <c r="AQ289" s="22"/>
      <c r="AR289" s="7"/>
    </row>
    <row r="290" spans="2:44" x14ac:dyDescent="0.25">
      <c r="B290" s="9"/>
      <c r="C290" s="9"/>
      <c r="D290" s="9"/>
      <c r="E290" s="7"/>
      <c r="F290" s="7"/>
      <c r="G290" s="7"/>
      <c r="H290" s="9"/>
      <c r="I290" s="23"/>
      <c r="J290" s="23"/>
      <c r="K290" s="23"/>
      <c r="L290" s="8"/>
      <c r="M290" s="7"/>
      <c r="N290" s="9"/>
      <c r="O290" s="8"/>
      <c r="P290" s="8"/>
      <c r="Q290" s="8"/>
      <c r="R290" s="7"/>
      <c r="S290" s="7"/>
      <c r="T290" s="7"/>
      <c r="U290" s="7"/>
      <c r="V290" s="7"/>
      <c r="X290" s="7"/>
      <c r="Y290" s="7"/>
      <c r="AM290" s="23"/>
      <c r="AN290" s="23"/>
      <c r="AO290" s="9"/>
      <c r="AP290" s="25"/>
      <c r="AQ290" s="22"/>
      <c r="AR290" s="7"/>
    </row>
    <row r="291" spans="2:44" x14ac:dyDescent="0.25">
      <c r="B291" s="9"/>
      <c r="C291" s="9"/>
      <c r="D291" s="9"/>
      <c r="E291" s="7"/>
      <c r="F291" s="7"/>
      <c r="G291" s="7"/>
      <c r="H291" s="9"/>
      <c r="I291" s="23"/>
      <c r="J291" s="23"/>
      <c r="K291" s="23"/>
      <c r="L291" s="8"/>
      <c r="M291" s="7"/>
      <c r="N291" s="9"/>
      <c r="O291" s="8"/>
      <c r="P291" s="8"/>
      <c r="Q291" s="8"/>
      <c r="R291" s="7"/>
      <c r="S291" s="7"/>
      <c r="T291" s="7"/>
      <c r="U291" s="7"/>
      <c r="V291" s="7"/>
      <c r="X291" s="7"/>
      <c r="Y291" s="7"/>
      <c r="AM291" s="23"/>
      <c r="AN291" s="23"/>
      <c r="AO291" s="9"/>
      <c r="AP291" s="25"/>
      <c r="AQ291" s="22"/>
      <c r="AR291" s="7"/>
    </row>
    <row r="292" spans="2:44" x14ac:dyDescent="0.25">
      <c r="B292" s="9"/>
      <c r="C292" s="9"/>
      <c r="D292" s="9"/>
      <c r="E292" s="7"/>
      <c r="F292" s="7"/>
      <c r="G292" s="7"/>
      <c r="H292" s="9"/>
      <c r="I292" s="23"/>
      <c r="J292" s="23"/>
      <c r="K292" s="23"/>
      <c r="L292" s="8"/>
      <c r="M292" s="7"/>
      <c r="N292" s="9"/>
      <c r="O292" s="8"/>
      <c r="P292" s="8"/>
      <c r="Q292" s="8"/>
      <c r="R292" s="7"/>
      <c r="S292" s="7"/>
      <c r="T292" s="7"/>
      <c r="U292" s="7"/>
      <c r="V292" s="7"/>
      <c r="X292" s="7"/>
      <c r="Y292" s="7"/>
      <c r="AM292" s="23"/>
      <c r="AN292" s="23"/>
      <c r="AO292" s="9"/>
      <c r="AP292" s="25"/>
      <c r="AQ292" s="22"/>
      <c r="AR292" s="7"/>
    </row>
    <row r="293" spans="2:44" x14ac:dyDescent="0.25">
      <c r="B293" s="9"/>
      <c r="C293" s="9"/>
      <c r="D293" s="9"/>
      <c r="E293" s="7"/>
      <c r="F293" s="7"/>
      <c r="G293" s="7"/>
      <c r="H293" s="9"/>
      <c r="I293" s="23"/>
      <c r="J293" s="23"/>
      <c r="K293" s="23"/>
      <c r="L293" s="8"/>
      <c r="M293" s="7"/>
      <c r="N293" s="9"/>
      <c r="O293" s="8"/>
      <c r="P293" s="8"/>
      <c r="Q293" s="8"/>
      <c r="R293" s="7"/>
      <c r="S293" s="7"/>
      <c r="T293" s="7"/>
      <c r="U293" s="7"/>
      <c r="V293" s="7"/>
      <c r="X293" s="7"/>
      <c r="Y293" s="7"/>
      <c r="AM293" s="23"/>
      <c r="AN293" s="23"/>
      <c r="AO293" s="9"/>
      <c r="AP293" s="25"/>
      <c r="AQ293" s="22"/>
      <c r="AR293" s="7"/>
    </row>
    <row r="294" spans="2:44" x14ac:dyDescent="0.25">
      <c r="B294" s="9"/>
      <c r="C294" s="9"/>
      <c r="D294" s="9"/>
      <c r="E294" s="7"/>
      <c r="F294" s="7"/>
      <c r="G294" s="7"/>
      <c r="H294" s="9"/>
      <c r="I294" s="23"/>
      <c r="J294" s="23"/>
      <c r="K294" s="23"/>
      <c r="L294" s="8"/>
      <c r="M294" s="7"/>
      <c r="N294" s="9"/>
      <c r="O294" s="8"/>
      <c r="P294" s="8"/>
      <c r="Q294" s="8"/>
      <c r="R294" s="7"/>
      <c r="S294" s="7"/>
      <c r="T294" s="7"/>
      <c r="U294" s="7"/>
      <c r="V294" s="7"/>
      <c r="X294" s="7"/>
      <c r="Y294" s="7"/>
      <c r="AM294" s="23"/>
      <c r="AN294" s="23"/>
      <c r="AO294" s="9"/>
      <c r="AP294" s="25"/>
      <c r="AQ294" s="22"/>
      <c r="AR294" s="7"/>
    </row>
    <row r="295" spans="2:44" x14ac:dyDescent="0.25">
      <c r="B295" s="9"/>
      <c r="C295" s="9"/>
      <c r="D295" s="9"/>
      <c r="E295" s="7"/>
      <c r="F295" s="7"/>
      <c r="G295" s="7"/>
      <c r="H295" s="9"/>
      <c r="I295" s="23"/>
      <c r="J295" s="23"/>
      <c r="K295" s="23"/>
      <c r="L295" s="8"/>
      <c r="M295" s="7"/>
      <c r="N295" s="9"/>
      <c r="O295" s="8"/>
      <c r="P295" s="8"/>
      <c r="Q295" s="8"/>
      <c r="R295" s="7"/>
      <c r="S295" s="7"/>
      <c r="T295" s="7"/>
      <c r="U295" s="7"/>
      <c r="V295" s="7"/>
      <c r="X295" s="7"/>
      <c r="Y295" s="7"/>
      <c r="AM295" s="23"/>
      <c r="AN295" s="23"/>
      <c r="AO295" s="9"/>
      <c r="AP295" s="25"/>
      <c r="AQ295" s="22"/>
      <c r="AR295" s="7"/>
    </row>
    <row r="296" spans="2:44" x14ac:dyDescent="0.25">
      <c r="B296" s="9"/>
      <c r="C296" s="9"/>
      <c r="D296" s="9"/>
      <c r="E296" s="7"/>
      <c r="F296" s="7"/>
      <c r="G296" s="7"/>
      <c r="H296" s="9"/>
      <c r="I296" s="23"/>
      <c r="J296" s="23"/>
      <c r="K296" s="23"/>
      <c r="L296" s="8"/>
      <c r="M296" s="7"/>
      <c r="N296" s="9"/>
      <c r="O296" s="8"/>
      <c r="P296" s="8"/>
      <c r="Q296" s="8"/>
      <c r="R296" s="7"/>
      <c r="S296" s="7"/>
      <c r="T296" s="7"/>
      <c r="U296" s="7"/>
      <c r="V296" s="7"/>
      <c r="X296" s="7"/>
      <c r="Y296" s="7"/>
      <c r="AM296" s="23"/>
      <c r="AN296" s="23"/>
      <c r="AO296" s="9"/>
      <c r="AP296" s="25"/>
      <c r="AQ296" s="22"/>
      <c r="AR296" s="7"/>
    </row>
    <row r="297" spans="2:44" x14ac:dyDescent="0.25">
      <c r="B297" s="9"/>
      <c r="C297" s="9"/>
      <c r="D297" s="9"/>
      <c r="E297" s="7"/>
      <c r="F297" s="7"/>
      <c r="G297" s="7"/>
      <c r="H297" s="9"/>
      <c r="I297" s="23"/>
      <c r="J297" s="23"/>
      <c r="K297" s="23"/>
      <c r="L297" s="8"/>
      <c r="M297" s="7"/>
      <c r="N297" s="9"/>
      <c r="O297" s="8"/>
      <c r="P297" s="8"/>
      <c r="Q297" s="8"/>
      <c r="R297" s="7"/>
      <c r="S297" s="7"/>
      <c r="T297" s="7"/>
      <c r="U297" s="7"/>
      <c r="V297" s="7"/>
      <c r="X297" s="7"/>
      <c r="Y297" s="7"/>
      <c r="AM297" s="23"/>
      <c r="AN297" s="23"/>
      <c r="AO297" s="9"/>
      <c r="AP297" s="25"/>
      <c r="AQ297" s="22"/>
      <c r="AR297" s="7"/>
    </row>
    <row r="298" spans="2:44" x14ac:dyDescent="0.25">
      <c r="B298" s="9"/>
      <c r="C298" s="9"/>
      <c r="D298" s="9"/>
      <c r="E298" s="7"/>
      <c r="F298" s="7"/>
      <c r="G298" s="7"/>
      <c r="H298" s="9"/>
      <c r="I298" s="23"/>
      <c r="J298" s="23"/>
      <c r="K298" s="23"/>
      <c r="L298" s="8"/>
      <c r="M298" s="7"/>
      <c r="N298" s="9"/>
      <c r="O298" s="8"/>
      <c r="P298" s="8"/>
      <c r="Q298" s="8"/>
      <c r="R298" s="7"/>
      <c r="S298" s="7"/>
      <c r="T298" s="7"/>
      <c r="U298" s="7"/>
      <c r="V298" s="7"/>
      <c r="X298" s="7"/>
      <c r="Y298" s="7"/>
      <c r="AM298" s="23"/>
      <c r="AN298" s="23"/>
      <c r="AO298" s="9"/>
      <c r="AP298" s="25"/>
      <c r="AQ298" s="22"/>
      <c r="AR298" s="7"/>
    </row>
    <row r="299" spans="2:44" x14ac:dyDescent="0.25">
      <c r="B299" s="9"/>
      <c r="C299" s="9"/>
      <c r="D299" s="9"/>
      <c r="E299" s="7"/>
      <c r="F299" s="7"/>
      <c r="G299" s="7"/>
      <c r="H299" s="9"/>
      <c r="I299" s="23"/>
      <c r="J299" s="23"/>
      <c r="K299" s="23"/>
      <c r="L299" s="8"/>
      <c r="M299" s="7"/>
      <c r="N299" s="9"/>
      <c r="O299" s="8"/>
      <c r="P299" s="8"/>
      <c r="Q299" s="8"/>
      <c r="R299" s="7"/>
      <c r="S299" s="7"/>
      <c r="T299" s="7"/>
      <c r="U299" s="7"/>
      <c r="V299" s="7"/>
      <c r="X299" s="7"/>
      <c r="Y299" s="7"/>
      <c r="AM299" s="23"/>
      <c r="AN299" s="23"/>
      <c r="AO299" s="9"/>
      <c r="AP299" s="25"/>
      <c r="AQ299" s="22"/>
      <c r="AR299" s="7"/>
    </row>
    <row r="300" spans="2:44" x14ac:dyDescent="0.25">
      <c r="B300" s="9"/>
      <c r="C300" s="9"/>
      <c r="D300" s="9"/>
      <c r="E300" s="7"/>
      <c r="F300" s="7"/>
      <c r="G300" s="7"/>
      <c r="H300" s="9"/>
      <c r="I300" s="23"/>
      <c r="J300" s="23"/>
      <c r="K300" s="23"/>
      <c r="L300" s="8"/>
      <c r="M300" s="7"/>
      <c r="N300" s="9"/>
      <c r="O300" s="8"/>
      <c r="P300" s="8"/>
      <c r="Q300" s="8"/>
      <c r="R300" s="7"/>
      <c r="S300" s="7"/>
      <c r="T300" s="7"/>
      <c r="U300" s="7"/>
      <c r="V300" s="7"/>
      <c r="X300" s="7"/>
      <c r="Y300" s="7"/>
      <c r="AM300" s="23"/>
      <c r="AN300" s="23"/>
      <c r="AO300" s="9"/>
      <c r="AP300" s="25"/>
      <c r="AQ300" s="22"/>
      <c r="AR300" s="7"/>
    </row>
    <row r="301" spans="2:44" x14ac:dyDescent="0.25">
      <c r="B301" s="9"/>
      <c r="C301" s="9"/>
      <c r="D301" s="9"/>
      <c r="E301" s="7"/>
      <c r="F301" s="7"/>
      <c r="G301" s="7"/>
      <c r="H301" s="9"/>
      <c r="I301" s="23"/>
      <c r="J301" s="23"/>
      <c r="K301" s="23"/>
      <c r="L301" s="8"/>
      <c r="M301" s="7"/>
      <c r="N301" s="9"/>
      <c r="O301" s="8"/>
      <c r="P301" s="8"/>
      <c r="Q301" s="8"/>
      <c r="R301" s="7"/>
      <c r="S301" s="7"/>
      <c r="T301" s="7"/>
      <c r="U301" s="7"/>
      <c r="V301" s="7"/>
      <c r="X301" s="7"/>
      <c r="Y301" s="7"/>
      <c r="AM301" s="23"/>
      <c r="AN301" s="23"/>
      <c r="AO301" s="9"/>
      <c r="AP301" s="25"/>
      <c r="AQ301" s="22"/>
      <c r="AR301" s="7"/>
    </row>
    <row r="302" spans="2:44" x14ac:dyDescent="0.25">
      <c r="B302" s="9"/>
      <c r="C302" s="9"/>
      <c r="D302" s="9"/>
      <c r="E302" s="7"/>
      <c r="F302" s="7"/>
      <c r="G302" s="7"/>
      <c r="H302" s="9"/>
      <c r="I302" s="23"/>
      <c r="J302" s="23"/>
      <c r="K302" s="23"/>
      <c r="L302" s="8"/>
      <c r="M302" s="7"/>
      <c r="N302" s="9"/>
      <c r="O302" s="8"/>
      <c r="P302" s="8"/>
      <c r="Q302" s="8"/>
      <c r="R302" s="7"/>
      <c r="S302" s="7"/>
      <c r="T302" s="7"/>
      <c r="U302" s="7"/>
      <c r="V302" s="7"/>
      <c r="X302" s="7"/>
      <c r="Y302" s="7"/>
      <c r="AM302" s="23"/>
      <c r="AN302" s="23"/>
      <c r="AO302" s="9"/>
      <c r="AP302" s="25"/>
      <c r="AQ302" s="22"/>
      <c r="AR302" s="7"/>
    </row>
    <row r="303" spans="2:44" x14ac:dyDescent="0.25">
      <c r="B303" s="9"/>
      <c r="C303" s="9"/>
      <c r="D303" s="9"/>
      <c r="E303" s="7"/>
      <c r="F303" s="7"/>
      <c r="G303" s="7"/>
      <c r="H303" s="9"/>
      <c r="I303" s="23"/>
      <c r="J303" s="23"/>
      <c r="K303" s="23"/>
      <c r="L303" s="8"/>
      <c r="M303" s="7"/>
      <c r="N303" s="9"/>
      <c r="O303" s="8"/>
      <c r="P303" s="8"/>
      <c r="Q303" s="8"/>
      <c r="R303" s="7"/>
      <c r="S303" s="7"/>
      <c r="T303" s="7"/>
      <c r="U303" s="7"/>
      <c r="V303" s="7"/>
      <c r="X303" s="7"/>
      <c r="Y303" s="7"/>
      <c r="AM303" s="23"/>
      <c r="AN303" s="23"/>
      <c r="AO303" s="9"/>
      <c r="AP303" s="25"/>
      <c r="AQ303" s="22"/>
      <c r="AR303" s="7"/>
    </row>
    <row r="304" spans="2:44" x14ac:dyDescent="0.25">
      <c r="B304" s="9"/>
      <c r="C304" s="9"/>
      <c r="D304" s="9"/>
      <c r="E304" s="7"/>
      <c r="F304" s="7"/>
      <c r="G304" s="7"/>
      <c r="H304" s="9"/>
      <c r="I304" s="23"/>
      <c r="J304" s="23"/>
      <c r="K304" s="23"/>
      <c r="L304" s="8"/>
      <c r="M304" s="7"/>
      <c r="N304" s="9"/>
      <c r="O304" s="8"/>
      <c r="P304" s="8"/>
      <c r="Q304" s="8"/>
      <c r="R304" s="7"/>
      <c r="S304" s="7"/>
      <c r="T304" s="7"/>
      <c r="U304" s="7"/>
      <c r="V304" s="7"/>
      <c r="X304" s="7"/>
      <c r="Y304" s="7"/>
      <c r="AM304" s="23"/>
      <c r="AN304" s="23"/>
      <c r="AO304" s="9"/>
      <c r="AP304" s="25"/>
      <c r="AQ304" s="22"/>
      <c r="AR304" s="7"/>
    </row>
    <row r="305" spans="5:5" x14ac:dyDescent="0.25">
      <c r="E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T353"/>
  <sheetViews>
    <sheetView workbookViewId="0">
      <selection activeCell="H13" sqref="H13"/>
    </sheetView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9.28515625" bestFit="1" customWidth="1"/>
    <col min="12" max="12" width="9.28515625" customWidth="1"/>
    <col min="13" max="13" width="9.28515625" style="23" customWidth="1"/>
    <col min="14" max="15" width="9.28515625" bestFit="1" customWidth="1"/>
    <col min="16" max="16" width="10.140625" bestFit="1" customWidth="1"/>
    <col min="17" max="17" width="9.28515625" bestFit="1" customWidth="1"/>
    <col min="18" max="18" width="10" bestFit="1" customWidth="1"/>
    <col min="19" max="19" width="13.28515625" customWidth="1"/>
  </cols>
  <sheetData>
    <row r="1" spans="1:20" x14ac:dyDescent="0.25">
      <c r="A1" s="1" t="s">
        <v>178</v>
      </c>
      <c r="M1"/>
    </row>
    <row r="2" spans="1:20" s="2" customFormat="1" x14ac:dyDescent="0.25">
      <c r="B2" s="14"/>
      <c r="C2" s="14"/>
      <c r="D2" s="14"/>
      <c r="E2" s="26"/>
      <c r="F2" s="26"/>
      <c r="G2" s="26"/>
      <c r="H2" s="16"/>
    </row>
    <row r="3" spans="1:20" x14ac:dyDescent="0.25">
      <c r="A3" t="s">
        <v>5</v>
      </c>
      <c r="B3" t="s">
        <v>58</v>
      </c>
      <c r="C3" t="s">
        <v>59</v>
      </c>
      <c r="D3" t="s">
        <v>60</v>
      </c>
      <c r="E3" t="s">
        <v>61</v>
      </c>
      <c r="F3" t="s">
        <v>62</v>
      </c>
      <c r="G3" t="s">
        <v>63</v>
      </c>
      <c r="H3" t="s">
        <v>64</v>
      </c>
      <c r="I3" t="s">
        <v>65</v>
      </c>
      <c r="J3" t="s">
        <v>66</v>
      </c>
      <c r="K3" s="63" t="s">
        <v>70</v>
      </c>
      <c r="L3" s="63" t="s">
        <v>74</v>
      </c>
      <c r="M3" s="63" t="s">
        <v>75</v>
      </c>
      <c r="N3" t="s">
        <v>76</v>
      </c>
      <c r="O3" t="s">
        <v>77</v>
      </c>
      <c r="P3" t="s">
        <v>78</v>
      </c>
      <c r="Q3" s="63" t="s">
        <v>79</v>
      </c>
      <c r="R3" t="s">
        <v>80</v>
      </c>
      <c r="S3" t="s">
        <v>81</v>
      </c>
      <c r="T3" t="s">
        <v>91</v>
      </c>
    </row>
    <row r="4" spans="1:20" x14ac:dyDescent="0.25">
      <c r="A4">
        <v>0</v>
      </c>
      <c r="B4" s="20">
        <v>5.1922619820570996E-2</v>
      </c>
      <c r="C4" s="41">
        <v>1.0018486720692412E-2</v>
      </c>
      <c r="D4" s="19">
        <v>0.29598808476524485</v>
      </c>
      <c r="E4" s="7">
        <f>Parameters!B25</f>
        <v>0.77010299999999987</v>
      </c>
      <c r="F4" s="9">
        <f>Parameters!B26</f>
        <v>0.14859104761904762</v>
      </c>
      <c r="G4" s="28">
        <f>Parameters!B27</f>
        <v>4.3899999999999997</v>
      </c>
      <c r="H4" s="7">
        <v>0</v>
      </c>
      <c r="I4" s="7">
        <f>Parameters!B28</f>
        <v>8.16</v>
      </c>
      <c r="J4" s="7">
        <f>Parameters!B29</f>
        <v>9.0235259308716671</v>
      </c>
      <c r="K4" s="7">
        <f>'6states'!$N$4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0.53582250067468473</v>
      </c>
      <c r="O4" s="7">
        <f>(Parameters!$B$10*G4^Parameters!$B$9 + Parameters!$B$11*N4^Parameters!$B$9) ^ (Parameters!$B$7/Parameters!$B$9) * K4</f>
        <v>1.5072257009366883</v>
      </c>
      <c r="P4" s="7">
        <f t="shared" ref="P4:P67" si="0">O4-B4-C4-D4</f>
        <v>1.1492965096301799</v>
      </c>
      <c r="Q4" s="7">
        <f>EXP(-Parameters!$B$56*A4)</f>
        <v>1</v>
      </c>
      <c r="R4" s="7">
        <f>IF(P4&gt;0,P4^(1-Parameters!$B$53)/(1-Parameters!$B$53)*Q4,-10+P4*1000)</f>
        <v>-2.7213269645142315</v>
      </c>
      <c r="S4" s="27">
        <f>SUM(R4:R353)*Parameters!$B$71</f>
        <v>-181.57740556175088</v>
      </c>
      <c r="T4" s="13">
        <f t="shared" ref="T4:T35" si="1">(B4+C4+D4)/O4</f>
        <v>0.23747550952990498</v>
      </c>
    </row>
    <row r="5" spans="1:20" x14ac:dyDescent="0.25">
      <c r="A5">
        <f>A4+Parameters!$B$71</f>
        <v>1</v>
      </c>
      <c r="B5" s="20">
        <v>5.192267232746807E-2</v>
      </c>
      <c r="C5" s="41">
        <v>1.0018479514771424E-2</v>
      </c>
      <c r="D5" s="19">
        <v>0.29598863091971178</v>
      </c>
      <c r="E5" s="7">
        <f>MAX((1-Parameters!$B$4)^Parameters!B$71*E4+B4*Parameters!B$71-Parameters!$B$5*B4^2/E4*Parameters!B$71,0.0001)</f>
        <v>0.77008536466725031</v>
      </c>
      <c r="F5" s="9">
        <f>MAX((1-Parameters!$B$4)^Parameters!B$71*F4+C4*Parameters!B$71-Parameters!$B$5*C4^2/F4*Parameters!B$71,0.0001)</f>
        <v>0.14858767882192694</v>
      </c>
      <c r="G5" s="7">
        <f>MAX((1-Parameters!$B$4)^Parameters!B$71*G4+D4*Parameters!B$71-Parameters!$B$5*D4^2/G4*Parameters!B$71,0.0001)</f>
        <v>4.3899006049650175</v>
      </c>
      <c r="H5" s="7">
        <f>H4 *(1-Parameters!$B$4)-B4*(B4&lt;0)*Parameters!B$71</f>
        <v>0</v>
      </c>
      <c r="I5" s="7">
        <f>I4*(1+Parameters!$B$52)^Parameters!B$71</f>
        <v>8.1836639999999985</v>
      </c>
      <c r="J5" s="7">
        <f>J4*(1+Parameters!$B$54)^Parameters!B$71</f>
        <v>9.2039964494891002</v>
      </c>
      <c r="K5" s="7">
        <f>'6states'!$N$4</f>
        <v>0.98104277196026479</v>
      </c>
      <c r="L5" s="9">
        <f>L4</f>
        <v>0.5</v>
      </c>
      <c r="M5" s="23">
        <f t="shared" ref="M5:M65" si="2">1/(1-L5)</f>
        <v>2</v>
      </c>
      <c r="N5" s="7">
        <f>(Parameters!$B$19*(E5+Parameters!$B$20)^L5+Parameters!$B$18*F5^L5)^(1/L5)</f>
        <v>0.53581038205992615</v>
      </c>
      <c r="O5" s="7">
        <f>(Parameters!$B$10*G5^Parameters!$B$9 + Parameters!$B$11*N5^Parameters!$B$9) ^ (Parameters!$B$7/Parameters!$B$9) * K5</f>
        <v>1.5072154651446801</v>
      </c>
      <c r="P5" s="7">
        <f t="shared" si="0"/>
        <v>1.1492856823827287</v>
      </c>
      <c r="Q5" s="7">
        <f>EXP(-Parameters!$B$56*A5)</f>
        <v>0.98501343333449787</v>
      </c>
      <c r="R5" s="7">
        <f>IF(P5&gt;0,P5^(1-Parameters!$B$53)/(1-Parameters!$B$53)*Q5,-10+P5*1000)</f>
        <v>-2.6805524550641495</v>
      </c>
      <c r="S5" s="7"/>
      <c r="T5" s="13">
        <f t="shared" si="1"/>
        <v>0.23747751468804959</v>
      </c>
    </row>
    <row r="6" spans="1:20" x14ac:dyDescent="0.25">
      <c r="A6">
        <f>A5+Parameters!$B$71</f>
        <v>2</v>
      </c>
      <c r="B6" s="20">
        <v>5.1922705480079406E-2</v>
      </c>
      <c r="C6" s="41">
        <v>1.0018509617102392E-2</v>
      </c>
      <c r="D6" s="19">
        <v>0.29598910587516619</v>
      </c>
      <c r="E6" s="7">
        <f>MAX((1-Parameters!$B$4)^Parameters!B$71*E5+B5*Parameters!B$71-Parameters!$B$5*B5^2/E5*Parameters!B$71,0.0001)</f>
        <v>0.77006880385382304</v>
      </c>
      <c r="F6" s="9">
        <f>MAX((1-Parameters!$B$4)^Parameters!B$71*F5+C5*Parameters!B$71-Parameters!$B$5*C5^2/F5*Parameters!B$71,0.0001)</f>
        <v>0.14858450037340878</v>
      </c>
      <c r="G6" s="7">
        <f>MAX((1-Parameters!$B$4)^Parameters!B$71*G5+D5*Parameters!B$71-Parameters!$B$5*D5^2/G5*Parameters!B$71,0.0001)</f>
        <v>4.3898074825338043</v>
      </c>
      <c r="H6" s="7">
        <f>H5 *(1-Parameters!$B$4)-B5*(B5&lt;0)*Parameters!B$71</f>
        <v>0</v>
      </c>
      <c r="I6" s="7">
        <f>I5*(1+Parameters!$B$52)^Parameters!B$71</f>
        <v>8.2073966255999977</v>
      </c>
      <c r="J6" s="7">
        <f>J5*(1+Parameters!$B$54)^Parameters!B$71</f>
        <v>9.3880763784788819</v>
      </c>
      <c r="K6" s="7">
        <f>'6states'!$N$4</f>
        <v>0.98104277196026479</v>
      </c>
      <c r="L6" s="9">
        <f t="shared" ref="L6:L69" si="3">L5</f>
        <v>0.5</v>
      </c>
      <c r="M6" s="23">
        <f t="shared" si="2"/>
        <v>2</v>
      </c>
      <c r="N6" s="7">
        <f>(Parameters!$B$19*(E6+Parameters!$B$20)^L6+Parameters!$B$18*F6^L6)^(1/L6)</f>
        <v>0.53579899322769975</v>
      </c>
      <c r="O6" s="7">
        <f>(Parameters!$B$10*G6^Parameters!$B$9 + Parameters!$B$11*N6^Parameters!$B$9) ^ (Parameters!$B$7/Parameters!$B$9) * K6</f>
        <v>1.5072058700071105</v>
      </c>
      <c r="P6" s="7">
        <f t="shared" si="0"/>
        <v>1.1492755490347624</v>
      </c>
      <c r="Q6" s="7">
        <f>EXP(-Parameters!$B$56*A6)</f>
        <v>0.9702514638494153</v>
      </c>
      <c r="R6" s="7">
        <f>IF(P6&gt;0,P6^(1-Parameters!$B$53)/(1-Parameters!$B$53)*Q6,-10+P6*1000)</f>
        <v>-2.6403883252029341</v>
      </c>
      <c r="S6" s="7"/>
      <c r="T6" s="13">
        <f t="shared" si="1"/>
        <v>0.23747938360315662</v>
      </c>
    </row>
    <row r="7" spans="1:20" x14ac:dyDescent="0.25">
      <c r="A7">
        <f>A6+Parameters!$B$71</f>
        <v>3</v>
      </c>
      <c r="B7" s="20">
        <v>5.1922773012119831E-2</v>
      </c>
      <c r="C7" s="41">
        <v>1.0018507585962845E-2</v>
      </c>
      <c r="D7" s="19">
        <v>0.29598953116394894</v>
      </c>
      <c r="E7" s="7">
        <f>MAX((1-Parameters!$B$4)^Parameters!B$71*E6+B6*Parameters!B$71-Parameters!$B$5*B6^2/E6*Parameters!B$71,0.0001)</f>
        <v>0.77005323810919979</v>
      </c>
      <c r="F7" s="9">
        <f>MAX((1-Parameters!$B$4)^Parameters!B$71*F6+C6*Parameters!B$71-Parameters!$B$5*C6^2/F6*Parameters!B$71,0.0001)</f>
        <v>0.14858153344243707</v>
      </c>
      <c r="G7" s="7">
        <f>MAX((1-Parameters!$B$4)^Parameters!B$71*G6+D6*Parameters!B$71-Parameters!$B$5*D6^2/G6*Parameters!B$71,0.0001)</f>
        <v>4.389720205055383</v>
      </c>
      <c r="H7" s="7">
        <f>H6 *(1-Parameters!$B$4)-B6*(B6&lt;0)*Parameters!B$71</f>
        <v>0</v>
      </c>
      <c r="I7" s="7">
        <f>I6*(1+Parameters!$B$52)^Parameters!B$71</f>
        <v>8.2311980758142376</v>
      </c>
      <c r="J7" s="7">
        <f>J6*(1+Parameters!$B$54)^Parameters!B$71</f>
        <v>9.5758379060484593</v>
      </c>
      <c r="K7" s="7">
        <f>'6states'!$N$4</f>
        <v>0.98104277196026479</v>
      </c>
      <c r="L7" s="9">
        <f t="shared" si="3"/>
        <v>0.5</v>
      </c>
      <c r="M7" s="23">
        <f t="shared" si="2"/>
        <v>2</v>
      </c>
      <c r="N7" s="7">
        <f>(Parameters!$B$19*(E7+Parameters!$B$20)^L7+Parameters!$B$18*F7^L7)^(1/L7)</f>
        <v>0.53578830055167048</v>
      </c>
      <c r="O7" s="7">
        <f>(Parameters!$B$10*G7^Parameters!$B$9 + Parameters!$B$11*N7^Parameters!$B$9) ^ (Parameters!$B$7/Parameters!$B$9) * K7</f>
        <v>1.507196874239229</v>
      </c>
      <c r="P7" s="7">
        <f t="shared" si="0"/>
        <v>1.1492660624771973</v>
      </c>
      <c r="Q7" s="7">
        <f>EXP(-Parameters!$B$56*A7)</f>
        <v>0.95571072560413495</v>
      </c>
      <c r="R7" s="7">
        <f>IF(P7&gt;0,P7^(1-Parameters!$B$53)/(1-Parameters!$B$53)*Q7,-10+P7*1000)</f>
        <v>-2.6008254834356359</v>
      </c>
      <c r="S7" s="7"/>
      <c r="T7" s="13">
        <f t="shared" si="1"/>
        <v>0.23748112663961063</v>
      </c>
    </row>
    <row r="8" spans="1:20" x14ac:dyDescent="0.25">
      <c r="A8">
        <f>A7+Parameters!$B$71</f>
        <v>4</v>
      </c>
      <c r="B8" s="20">
        <v>5.1922815800471755E-2</v>
      </c>
      <c r="C8" s="41">
        <v>1.001850885502034E-2</v>
      </c>
      <c r="D8" s="19">
        <v>0.29598990293880317</v>
      </c>
      <c r="E8" s="7">
        <f>MAX((1-Parameters!$B$4)^Parameters!B$71*E7+B7*Parameters!B$71-Parameters!$B$5*B7^2/E7*Parameters!B$71,0.0001)</f>
        <v>0.77003863910736081</v>
      </c>
      <c r="F8" s="9">
        <f>MAX((1-Parameters!$B$4)^Parameters!B$71*F7+C7*Parameters!B$71-Parameters!$B$5*C7^2/F7*Parameters!B$71,0.0001)</f>
        <v>0.14857873788533119</v>
      </c>
      <c r="G8" s="7">
        <f>MAX((1-Parameters!$B$4)^Parameters!B$71*G7+D7*Parameters!B$71-Parameters!$B$5*D7^2/G7*Parameters!B$71,0.0001)</f>
        <v>4.3896383884668406</v>
      </c>
      <c r="H8" s="7">
        <f>H7 *(1-Parameters!$B$4)-B7*(B7&lt;0)*Parameters!B$71</f>
        <v>0</v>
      </c>
      <c r="I8" s="7">
        <f>I7*(1+Parameters!$B$52)^Parameters!B$71</f>
        <v>8.2550685502340979</v>
      </c>
      <c r="J8" s="7">
        <f>J7*(1+Parameters!$B$54)^Parameters!B$71</f>
        <v>9.767354664169428</v>
      </c>
      <c r="K8" s="7">
        <f>'6states'!$N$4</f>
        <v>0.98104277196026479</v>
      </c>
      <c r="L8" s="9">
        <f t="shared" si="3"/>
        <v>0.5</v>
      </c>
      <c r="M8" s="23">
        <f t="shared" si="2"/>
        <v>2</v>
      </c>
      <c r="N8" s="7">
        <f>(Parameters!$B$19*(E8+Parameters!$B$20)^L8+Parameters!$B$18*F8^L8)^(1/L8)</f>
        <v>0.53577826452732336</v>
      </c>
      <c r="O8" s="7">
        <f>(Parameters!$B$10*G8^Parameters!$B$9 + Parameters!$B$11*N8^Parameters!$B$9) ^ (Parameters!$B$7/Parameters!$B$9) * K8</f>
        <v>1.5071884393918882</v>
      </c>
      <c r="P8" s="7">
        <f t="shared" si="0"/>
        <v>1.149257211797593</v>
      </c>
      <c r="Q8" s="7">
        <f>EXP(-Parameters!$B$56*A8)</f>
        <v>0.94138790310193321</v>
      </c>
      <c r="R8" s="7">
        <f>IF(P8&gt;0,P8^(1-Parameters!$B$53)/(1-Parameters!$B$53)*Q8,-10+P8*1000)</f>
        <v>-2.5618549441975254</v>
      </c>
      <c r="S8" s="7"/>
      <c r="T8" s="13">
        <f t="shared" si="1"/>
        <v>0.23748273158113617</v>
      </c>
    </row>
    <row r="9" spans="1:20" x14ac:dyDescent="0.25">
      <c r="A9">
        <f>A8+Parameters!$B$71</f>
        <v>5</v>
      </c>
      <c r="B9" s="20">
        <v>5.192285597753922E-2</v>
      </c>
      <c r="C9" s="41">
        <v>1.0018524052240982E-2</v>
      </c>
      <c r="D9" s="19">
        <v>0.29599021235051359</v>
      </c>
      <c r="E9" s="7">
        <f>MAX((1-Parameters!$B$4)^Parameters!B$71*E8+B8*Parameters!B$71-Parameters!$B$5*B8^2/E8*Parameters!B$71,0.0001)</f>
        <v>0.77002492902558284</v>
      </c>
      <c r="F9" s="9">
        <f>MAX((1-Parameters!$B$4)^Parameters!B$71*F8+C8*Parameters!B$71-Parameters!$B$5*C8^2/F8*Parameters!B$71,0.0001)</f>
        <v>0.14857610655646636</v>
      </c>
      <c r="G9" s="7">
        <f>MAX((1-Parameters!$B$4)^Parameters!B$71*G8+D8*Parameters!B$71-Parameters!$B$5*D8^2/G8*Parameters!B$71,0.0001)</f>
        <v>4.389561667792008</v>
      </c>
      <c r="H9" s="7">
        <f>H8 *(1-Parameters!$B$4)-B8*(B8&lt;0)*Parameters!B$71</f>
        <v>0</v>
      </c>
      <c r="I9" s="7">
        <f>I8*(1+Parameters!$B$52)^Parameters!B$71</f>
        <v>8.2790082490297756</v>
      </c>
      <c r="J9" s="7">
        <f>J8*(1+Parameters!$B$54)^Parameters!B$71</f>
        <v>9.9627017574528161</v>
      </c>
      <c r="K9" s="7">
        <f>'6states'!$N$4</f>
        <v>0.98104277196026479</v>
      </c>
      <c r="L9" s="9">
        <f t="shared" si="3"/>
        <v>0.5</v>
      </c>
      <c r="M9" s="23">
        <f t="shared" si="2"/>
        <v>2</v>
      </c>
      <c r="N9" s="7">
        <f>(Parameters!$B$19*(E9+Parameters!$B$20)^L9+Parameters!$B$18*F9^L9)^(1/L9)</f>
        <v>0.5357688361310291</v>
      </c>
      <c r="O9" s="7">
        <f>(Parameters!$B$10*G9^Parameters!$B$9 + Parameters!$B$11*N9^Parameters!$B$9) ^ (Parameters!$B$7/Parameters!$B$9) * K9</f>
        <v>1.5071805272324448</v>
      </c>
      <c r="P9" s="7">
        <f t="shared" si="0"/>
        <v>1.1492489348521508</v>
      </c>
      <c r="Q9" s="7">
        <f>EXP(-Parameters!$B$56*A9)</f>
        <v>0.92727973053399881</v>
      </c>
      <c r="R9" s="7">
        <f>IF(P9&gt;0,P9^(1-Parameters!$B$53)/(1-Parameters!$B$53)*Q9,-10+P9*1000)</f>
        <v>-2.5234678952055343</v>
      </c>
      <c r="S9" s="7"/>
      <c r="T9" s="13">
        <f t="shared" si="1"/>
        <v>0.23748422031270833</v>
      </c>
    </row>
    <row r="10" spans="1:20" x14ac:dyDescent="0.25">
      <c r="A10">
        <f>A9+Parameters!$B$71</f>
        <v>6</v>
      </c>
      <c r="B10" s="20">
        <v>5.1922901948891945E-2</v>
      </c>
      <c r="C10" s="41">
        <v>1.0018543717678952E-2</v>
      </c>
      <c r="D10" s="19">
        <v>0.29599049534587141</v>
      </c>
      <c r="E10" s="7">
        <f>MAX((1-Parameters!$B$4)^Parameters!B$71*E9+B9*Parameters!B$71-Parameters!$B$5*B9^2/E9*Parameters!B$71,0.0001)</f>
        <v>0.77001205373069037</v>
      </c>
      <c r="F10" s="9">
        <f>MAX((1-Parameters!$B$4)^Parameters!B$71*F9+C9*Parameters!B$71-Parameters!$B$5*C9^2/F9*Parameters!B$71,0.0001)</f>
        <v>0.14857364192192496</v>
      </c>
      <c r="G10" s="7">
        <f>MAX((1-Parameters!$B$4)^Parameters!B$71*G9+D9*Parameters!B$71-Parameters!$B$5*D9^2/G9*Parameters!B$71,0.0001)</f>
        <v>4.3894896916998078</v>
      </c>
      <c r="H10" s="7">
        <f>H9 *(1-Parameters!$B$4)-B9*(B9&lt;0)*Parameters!B$71</f>
        <v>0</v>
      </c>
      <c r="I10" s="7">
        <f>I9*(1+Parameters!$B$52)^Parameters!B$71</f>
        <v>8.3030173729519614</v>
      </c>
      <c r="J10" s="7">
        <f>J9*(1+Parameters!$B$54)^Parameters!B$71</f>
        <v>10.161955792601873</v>
      </c>
      <c r="K10" s="7">
        <f>'6states'!$N$4</f>
        <v>0.98104277196026479</v>
      </c>
      <c r="L10" s="9">
        <f t="shared" si="3"/>
        <v>0.5</v>
      </c>
      <c r="M10" s="23">
        <f t="shared" si="2"/>
        <v>2</v>
      </c>
      <c r="N10" s="7">
        <f>(Parameters!$B$19*(E10+Parameters!$B$20)^L10+Parameters!$B$18*F10^L10)^(1/L10)</f>
        <v>0.53575998555276616</v>
      </c>
      <c r="O10" s="7">
        <f>(Parameters!$B$10*G10^Parameters!$B$9 + Parameters!$B$11*N10^Parameters!$B$9) ^ (Parameters!$B$7/Parameters!$B$9) * K10</f>
        <v>1.5071731035165088</v>
      </c>
      <c r="P10" s="7">
        <f t="shared" si="0"/>
        <v>1.1492411625040664</v>
      </c>
      <c r="Q10" s="7">
        <f>EXP(-Parameters!$B$56*A10)</f>
        <v>0.91338299103478215</v>
      </c>
      <c r="R10" s="7">
        <f>IF(P10&gt;0,P10^(1-Parameters!$B$53)/(1-Parameters!$B$53)*Q10,-10+P10*1000)</f>
        <v>-2.4856556590329388</v>
      </c>
      <c r="S10" s="7"/>
      <c r="T10" s="13">
        <f t="shared" si="1"/>
        <v>0.23748562137774487</v>
      </c>
    </row>
    <row r="11" spans="1:20" x14ac:dyDescent="0.25">
      <c r="A11">
        <f>A10+Parameters!$B$71</f>
        <v>7</v>
      </c>
      <c r="B11" s="20">
        <v>5.1922972332227153E-2</v>
      </c>
      <c r="C11" s="41">
        <v>1.0018549772428682E-2</v>
      </c>
      <c r="D11" s="19">
        <v>0.29599070066467048</v>
      </c>
      <c r="E11" s="7">
        <f>MAX((1-Parameters!$B$4)^Parameters!B$71*E10+B10*Parameters!B$71-Parameters!$B$5*B10^2/E10*Parameters!B$71,0.0001)</f>
        <v>0.76999996952078542</v>
      </c>
      <c r="F11" s="9">
        <f>MAX((1-Parameters!$B$4)^Parameters!B$71*F10+C10*Parameters!B$71-Parameters!$B$5*C10^2/F10*Parameters!B$71,0.0001)</f>
        <v>0.14857133811971529</v>
      </c>
      <c r="G11" s="7">
        <f>MAX((1-Parameters!$B$4)^Parameters!B$71*G10+D10*Parameters!B$71-Parameters!$B$5*D10^2/G10*Parameters!B$71,0.0001)</f>
        <v>4.3894221604623098</v>
      </c>
      <c r="H11" s="7">
        <f>H10 *(1-Parameters!$B$4)-B10*(B10&lt;0)*Parameters!B$71</f>
        <v>0</v>
      </c>
      <c r="I11" s="7">
        <f>I10*(1+Parameters!$B$52)^Parameters!B$71</f>
        <v>8.3270961233335221</v>
      </c>
      <c r="J11" s="7">
        <f>J10*(1+Parameters!$B$54)^Parameters!B$71</f>
        <v>10.36519490845391</v>
      </c>
      <c r="K11" s="7">
        <f>'6states'!$N$4</f>
        <v>0.98104277196026479</v>
      </c>
      <c r="L11" s="9">
        <f t="shared" si="3"/>
        <v>0.5</v>
      </c>
      <c r="M11" s="23">
        <f t="shared" si="2"/>
        <v>2</v>
      </c>
      <c r="N11" s="7">
        <f>(Parameters!$B$19*(E11+Parameters!$B$20)^L11+Parameters!$B$18*F11^L11)^(1/L11)</f>
        <v>0.5357516841959834</v>
      </c>
      <c r="O11" s="7">
        <f>(Parameters!$B$10*G11^Parameters!$B$9 + Parameters!$B$11*N11^Parameters!$B$9) ^ (Parameters!$B$7/Parameters!$B$9) * K11</f>
        <v>1.5071661385632138</v>
      </c>
      <c r="P11" s="7">
        <f t="shared" si="0"/>
        <v>1.1492339157938873</v>
      </c>
      <c r="Q11" s="7">
        <f>EXP(-Parameters!$B$56*A11)</f>
        <v>0.89969451594850369</v>
      </c>
      <c r="R11" s="7">
        <f>IF(P11&gt;0,P11^(1-Parameters!$B$53)/(1-Parameters!$B$53)*Q11,-10+P11*1000)</f>
        <v>-2.4484096183856137</v>
      </c>
      <c r="S11" s="7"/>
      <c r="T11" s="13">
        <f t="shared" si="1"/>
        <v>0.23748690579695764</v>
      </c>
    </row>
    <row r="12" spans="1:20" x14ac:dyDescent="0.25">
      <c r="A12">
        <f>A11+Parameters!$B$71</f>
        <v>8</v>
      </c>
      <c r="B12" s="20">
        <v>5.1923030590332944E-2</v>
      </c>
      <c r="C12" s="41">
        <v>1.0018570595700976E-2</v>
      </c>
      <c r="D12" s="19">
        <v>0.29599088571770693</v>
      </c>
      <c r="E12" s="7">
        <f>MAX((1-Parameters!$B$4)^Parameters!B$71*E11+B11*Parameters!B$71-Parameters!$B$5*B11^2/E11*Parameters!B$71,0.0001)</f>
        <v>0.76998865135128525</v>
      </c>
      <c r="F12" s="9">
        <f>MAX((1-Parameters!$B$4)^Parameters!B$71*F11+C11*Parameters!B$71-Parameters!$B$5*C11^2/F11*Parameters!B$71,0.0001)</f>
        <v>0.14856917398927166</v>
      </c>
      <c r="G12" s="7">
        <f>MAX((1-Parameters!$B$4)^Parameters!B$71*G11+D11*Parameters!B$71-Parameters!$B$5*D11^2/G11*Parameters!B$71,0.0001)</f>
        <v>4.3893587474970115</v>
      </c>
      <c r="H12" s="7">
        <f>H11 *(1-Parameters!$B$4)-B11*(B11&lt;0)*Parameters!B$71</f>
        <v>0</v>
      </c>
      <c r="I12" s="7">
        <f>I11*(1+Parameters!$B$52)^Parameters!B$71</f>
        <v>8.3512447020911882</v>
      </c>
      <c r="J12" s="7">
        <f>J11*(1+Parameters!$B$54)^Parameters!B$71</f>
        <v>10.572498806622988</v>
      </c>
      <c r="K12" s="7">
        <f>'6states'!$N$4</f>
        <v>0.98104277196026479</v>
      </c>
      <c r="L12" s="9">
        <f t="shared" si="3"/>
        <v>0.5</v>
      </c>
      <c r="M12" s="23">
        <f t="shared" si="2"/>
        <v>2</v>
      </c>
      <c r="N12" s="7">
        <f>(Parameters!$B$19*(E12+Parameters!$B$20)^L12+Parameters!$B$18*F12^L12)^(1/L12)</f>
        <v>0.53574390540199801</v>
      </c>
      <c r="O12" s="7">
        <f>(Parameters!$B$10*G12^Parameters!$B$9 + Parameters!$B$11*N12^Parameters!$B$9) ^ (Parameters!$B$7/Parameters!$B$9) * K12</f>
        <v>1.5071596006916961</v>
      </c>
      <c r="P12" s="7">
        <f t="shared" si="0"/>
        <v>1.1492271137879553</v>
      </c>
      <c r="Q12" s="7">
        <f>EXP(-Parameters!$B$56*A12)</f>
        <v>0.88621118410665478</v>
      </c>
      <c r="R12" s="7">
        <f>IF(P12&gt;0,P12^(1-Parameters!$B$53)/(1-Parameters!$B$53)*Q12,-10+P12*1000)</f>
        <v>-2.4117213604399779</v>
      </c>
      <c r="S12" s="7"/>
      <c r="T12" s="13">
        <f t="shared" si="1"/>
        <v>0.23748811123883048</v>
      </c>
    </row>
    <row r="13" spans="1:20" x14ac:dyDescent="0.25">
      <c r="A13">
        <f>A12+Parameters!$B$71</f>
        <v>9</v>
      </c>
      <c r="B13" s="20">
        <v>5.1923109768106809E-2</v>
      </c>
      <c r="C13" s="41">
        <v>1.0018586356206166E-2</v>
      </c>
      <c r="D13" s="19">
        <v>0.29599094894371408</v>
      </c>
      <c r="E13" s="7">
        <f>MAX((1-Parameters!$B$4)^Parameters!B$71*E12+B12*Parameters!B$71-Parameters!$B$5*B12^2/E12*Parameters!B$71,0.0001)</f>
        <v>0.76997804402968006</v>
      </c>
      <c r="F13" s="9">
        <f>MAX((1-Parameters!$B$4)^Parameters!B$71*F12+C12*Parameters!B$71-Parameters!$B$5*C12^2/F12*Parameters!B$71,0.0001)</f>
        <v>0.14856715415674965</v>
      </c>
      <c r="G13" s="7">
        <f>MAX((1-Parameters!$B$4)^Parameters!B$71*G12+D12*Parameters!B$71-Parameters!$B$5*D12^2/G12*Parameters!B$71,0.0001)</f>
        <v>4.3892991949487783</v>
      </c>
      <c r="H13" s="7">
        <f>H12 *(1-Parameters!$B$4)-B12*(B12&lt;0)*Parameters!B$71</f>
        <v>0</v>
      </c>
      <c r="I13" s="7">
        <f>I12*(1+Parameters!$B$52)^Parameters!B$71</f>
        <v>8.3754633117272519</v>
      </c>
      <c r="J13" s="7">
        <f>J12*(1+Parameters!$B$54)^Parameters!B$71</f>
        <v>10.783948782755449</v>
      </c>
      <c r="K13" s="7">
        <f>'6states'!$N$4</f>
        <v>0.98104277196026479</v>
      </c>
      <c r="L13" s="9">
        <f t="shared" si="3"/>
        <v>0.5</v>
      </c>
      <c r="M13" s="23">
        <f t="shared" si="2"/>
        <v>2</v>
      </c>
      <c r="N13" s="7">
        <f>(Parameters!$B$19*(E13+Parameters!$B$20)^L13+Parameters!$B$18*F13^L13)^(1/L13)</f>
        <v>0.53573661999587519</v>
      </c>
      <c r="O13" s="7">
        <f>(Parameters!$B$10*G13^Parameters!$B$9 + Parameters!$B$11*N13^Parameters!$B$9) ^ (Parameters!$B$7/Parameters!$B$9) * K13</f>
        <v>1.5071534636916057</v>
      </c>
      <c r="P13" s="7">
        <f t="shared" si="0"/>
        <v>1.1492208186235788</v>
      </c>
      <c r="Q13" s="7">
        <f>EXP(-Parameters!$B$56*A13)</f>
        <v>0.87292992111632683</v>
      </c>
      <c r="R13" s="7">
        <f>IF(P13&gt;0,P13^(1-Parameters!$B$53)/(1-Parameters!$B$53)*Q13,-10+P13*1000)</f>
        <v>-2.3755824919872333</v>
      </c>
      <c r="S13" s="7"/>
      <c r="T13" s="13">
        <f t="shared" si="1"/>
        <v>0.2374891832125115</v>
      </c>
    </row>
    <row r="14" spans="1:20" x14ac:dyDescent="0.25">
      <c r="A14">
        <f>A13+Parameters!$B$71</f>
        <v>10</v>
      </c>
      <c r="B14" s="20">
        <v>5.1923210322371904E-2</v>
      </c>
      <c r="C14" s="41">
        <v>1.0018625325076729E-2</v>
      </c>
      <c r="D14" s="19">
        <v>0.29599099992781658</v>
      </c>
      <c r="E14" s="7">
        <f>MAX((1-Parameters!$B$4)^Parameters!B$71*E13+B13*Parameters!B$71-Parameters!$B$5*B13^2/E13*Parameters!B$71,0.0001)</f>
        <v>0.76996812417265859</v>
      </c>
      <c r="F14" s="9">
        <f>MAX((1-Parameters!$B$4)^Parameters!B$71*F13+C13*Parameters!B$71-Parameters!$B$5*C13^2/F13*Parameters!B$71,0.0001)</f>
        <v>0.14856526582166932</v>
      </c>
      <c r="G14" s="7">
        <f>MAX((1-Parameters!$B$4)^Parameters!B$71*G13+D13*Parameters!B$71-Parameters!$B$5*D13^2/G13*Parameters!B$71,0.0001)</f>
        <v>4.3892431721470411</v>
      </c>
      <c r="H14" s="7">
        <f>H13 *(1-Parameters!$B$4)-B13*(B13&lt;0)*Parameters!B$71</f>
        <v>0</v>
      </c>
      <c r="I14" s="7">
        <f>I13*(1+Parameters!$B$52)^Parameters!B$71</f>
        <v>8.3997521553312602</v>
      </c>
      <c r="J14" s="7">
        <f>J13*(1+Parameters!$B$54)^Parameters!B$71</f>
        <v>10.999627758410558</v>
      </c>
      <c r="K14" s="7">
        <f>'6states'!$N$4</f>
        <v>0.98104277196026479</v>
      </c>
      <c r="L14" s="9">
        <f t="shared" si="3"/>
        <v>0.5</v>
      </c>
      <c r="M14" s="23">
        <f t="shared" si="2"/>
        <v>2</v>
      </c>
      <c r="N14" s="7">
        <f>(Parameters!$B$19*(E14+Parameters!$B$20)^L14+Parameters!$B$18*F14^L14)^(1/L14)</f>
        <v>0.53572980710088947</v>
      </c>
      <c r="O14" s="7">
        <f>(Parameters!$B$10*G14^Parameters!$B$9 + Parameters!$B$11*N14^Parameters!$B$9) ^ (Parameters!$B$7/Parameters!$B$9) * K14</f>
        <v>1.5071476963825614</v>
      </c>
      <c r="P14" s="7">
        <f t="shared" si="0"/>
        <v>1.1492148608072963</v>
      </c>
      <c r="Q14" s="7">
        <f>EXP(-Parameters!$B$56*A14)</f>
        <v>0.85984769865920552</v>
      </c>
      <c r="R14" s="7">
        <f>IF(P14&gt;0,P14^(1-Parameters!$B$53)/(1-Parameters!$B$53)*Q14,-10+P14*1000)</f>
        <v>-2.3399849124595709</v>
      </c>
      <c r="S14" s="7"/>
      <c r="T14" s="13">
        <f t="shared" si="1"/>
        <v>0.23749021840020823</v>
      </c>
    </row>
    <row r="15" spans="1:20" x14ac:dyDescent="0.25">
      <c r="A15">
        <f>A14+Parameters!$B$71</f>
        <v>11</v>
      </c>
      <c r="B15" s="20">
        <v>5.1923364852145715E-2</v>
      </c>
      <c r="C15" s="41">
        <v>1.0018629347981015E-2</v>
      </c>
      <c r="D15" s="19">
        <v>0.29599095369261796</v>
      </c>
      <c r="E15" s="7">
        <f>MAX((1-Parameters!$B$4)^Parameters!B$71*E14+B14*Parameters!B$71-Parameters!$B$5*B14^2/E14*Parameters!B$71,0.0001)</f>
        <v>0.76995887015676112</v>
      </c>
      <c r="F15" s="9">
        <f>MAX((1-Parameters!$B$4)^Parameters!B$71*F14+C14*Parameters!B$71-Parameters!$B$5*C14^2/F14*Parameters!B$71,0.0001)</f>
        <v>0.14856352138874265</v>
      </c>
      <c r="G15" s="7">
        <f>MAX((1-Parameters!$B$4)^Parameters!B$71*G14+D14*Parameters!B$71-Parameters!$B$5*D14^2/G14*Parameters!B$71,0.0001)</f>
        <v>4.3891904625240592</v>
      </c>
      <c r="H15" s="7">
        <f>H14 *(1-Parameters!$B$4)-B14*(B14&lt;0)*Parameters!B$71</f>
        <v>0</v>
      </c>
      <c r="I15" s="7">
        <f>I14*(1+Parameters!$B$52)^Parameters!B$71</f>
        <v>8.42411143658172</v>
      </c>
      <c r="J15" s="7">
        <f>J14*(1+Parameters!$B$54)^Parameters!B$71</f>
        <v>11.219620313578769</v>
      </c>
      <c r="K15" s="7">
        <f>'6states'!$N$4</f>
        <v>0.98104277196026479</v>
      </c>
      <c r="L15" s="9">
        <f t="shared" si="3"/>
        <v>0.5</v>
      </c>
      <c r="M15" s="23">
        <f t="shared" si="2"/>
        <v>2</v>
      </c>
      <c r="N15" s="7">
        <f>(Parameters!$B$19*(E15+Parameters!$B$20)^L15+Parameters!$B$18*F15^L15)^(1/L15)</f>
        <v>0.53572346139816274</v>
      </c>
      <c r="O15" s="7">
        <f>(Parameters!$B$10*G15^Parameters!$B$9 + Parameters!$B$11*N15^Parameters!$B$9) ^ (Parameters!$B$7/Parameters!$B$9) * K15</f>
        <v>1.5071422795767973</v>
      </c>
      <c r="P15" s="7">
        <f t="shared" si="0"/>
        <v>1.1492093316840526</v>
      </c>
      <c r="Q15" s="7">
        <f>EXP(-Parameters!$B$56*A15)</f>
        <v>0.84696153380107075</v>
      </c>
      <c r="R15" s="7">
        <f>IF(P15&gt;0,P15^(1-Parameters!$B$53)/(1-Parameters!$B$53)*Q15,-10+P15*1000)</f>
        <v>-2.3049204538949808</v>
      </c>
      <c r="S15" s="7"/>
      <c r="T15" s="13">
        <f t="shared" si="1"/>
        <v>0.23749114648502304</v>
      </c>
    </row>
    <row r="16" spans="1:20" x14ac:dyDescent="0.25">
      <c r="A16">
        <f>A15+Parameters!$B$71</f>
        <v>12</v>
      </c>
      <c r="B16" s="20">
        <v>5.1923517364705844E-2</v>
      </c>
      <c r="C16" s="41">
        <v>1.0018659380038134E-2</v>
      </c>
      <c r="D16" s="19">
        <v>0.29599096274972492</v>
      </c>
      <c r="E16" s="7">
        <f>MAX((1-Parameters!$B$4)^Parameters!B$71*E15+B15*Parameters!B$71-Parameters!$B$5*B15^2/E15*Parameters!B$71,0.0001)</f>
        <v>0.76995028982274571</v>
      </c>
      <c r="F16" s="9">
        <f>MAX((1-Parameters!$B$4)^Parameters!B$71*F15+C15*Parameters!B$71-Parameters!$B$5*C15^2/F15*Parameters!B$71,0.0001)</f>
        <v>0.14856188222790276</v>
      </c>
      <c r="G16" s="7">
        <f>MAX((1-Parameters!$B$4)^Parameters!B$71*G15+D15*Parameters!B$71-Parameters!$B$5*D15^2/G15*Parameters!B$71,0.0001)</f>
        <v>4.3891407886343705</v>
      </c>
      <c r="H16" s="7">
        <f>H15 *(1-Parameters!$B$4)-B15*(B15&lt;0)*Parameters!B$71</f>
        <v>0</v>
      </c>
      <c r="I16" s="7">
        <f>I15*(1+Parameters!$B$52)^Parameters!B$71</f>
        <v>8.4485413597478054</v>
      </c>
      <c r="J16" s="7">
        <f>J15*(1+Parameters!$B$54)^Parameters!B$71</f>
        <v>11.444012719850345</v>
      </c>
      <c r="K16" s="7">
        <f>'6states'!$N$4</f>
        <v>0.98104277196026479</v>
      </c>
      <c r="L16" s="9">
        <f t="shared" si="3"/>
        <v>0.5</v>
      </c>
      <c r="M16" s="23">
        <f t="shared" si="2"/>
        <v>2</v>
      </c>
      <c r="N16" s="7">
        <f>(Parameters!$B$19*(E16+Parameters!$B$20)^L16+Parameters!$B$18*F16^L16)^(1/L16)</f>
        <v>0.53571756512338475</v>
      </c>
      <c r="O16" s="7">
        <f>(Parameters!$B$10*G16^Parameters!$B$9 + Parameters!$B$11*N16^Parameters!$B$9) ^ (Parameters!$B$7/Parameters!$B$9) * K16</f>
        <v>1.5071371870750052</v>
      </c>
      <c r="P16" s="7">
        <f t="shared" si="0"/>
        <v>1.1492040475805361</v>
      </c>
      <c r="Q16" s="7">
        <f>EXP(-Parameters!$B$56*A16)</f>
        <v>0.83426848831164502</v>
      </c>
      <c r="R16" s="7">
        <f>IF(P16&gt;0,P16^(1-Parameters!$B$53)/(1-Parameters!$B$53)*Q16,-10+P16*1000)</f>
        <v>-2.2703812636110046</v>
      </c>
      <c r="S16" s="7"/>
      <c r="T16" s="13">
        <f t="shared" si="1"/>
        <v>0.2374920760791073</v>
      </c>
    </row>
    <row r="17" spans="1:20" x14ac:dyDescent="0.25">
      <c r="A17">
        <f>A16+Parameters!$B$71</f>
        <v>13</v>
      </c>
      <c r="B17" s="20">
        <v>5.1923671813522823E-2</v>
      </c>
      <c r="C17" s="41">
        <v>1.0018681127062778E-2</v>
      </c>
      <c r="D17" s="19">
        <v>0.29599106540417269</v>
      </c>
      <c r="E17" s="7">
        <f>MAX((1-Parameters!$B$4)^Parameters!B$71*E16+B16*Parameters!B$71-Parameters!$B$5*B16^2/E16*Parameters!B$71,0.0001)</f>
        <v>0.76994234211308887</v>
      </c>
      <c r="F17" s="9">
        <f>MAX((1-Parameters!$B$4)^Parameters!B$71*F16+C16*Parameters!B$71-Parameters!$B$5*C16^2/F16*Parameters!B$71,0.0001)</f>
        <v>0.14856036469726056</v>
      </c>
      <c r="G17" s="7">
        <f>MAX((1-Parameters!$B$4)^Parameters!B$71*G16+D16*Parameters!B$71-Parameters!$B$5*D16^2/G16*Parameters!B$71,0.0001)</f>
        <v>4.3890940211653442</v>
      </c>
      <c r="H17" s="7">
        <f>H16 *(1-Parameters!$B$4)-B16*(B16&lt;0)*Parameters!B$71</f>
        <v>0</v>
      </c>
      <c r="I17" s="7">
        <f>I16*(1+Parameters!$B$52)^Parameters!B$71</f>
        <v>8.4730421296910734</v>
      </c>
      <c r="J17" s="7">
        <f>J16*(1+Parameters!$B$54)^Parameters!B$71</f>
        <v>11.672892974247352</v>
      </c>
      <c r="K17" s="7">
        <f>'6states'!$N$4</f>
        <v>0.98104277196026479</v>
      </c>
      <c r="L17" s="9">
        <f t="shared" si="3"/>
        <v>0.5</v>
      </c>
      <c r="M17" s="23">
        <f t="shared" si="2"/>
        <v>2</v>
      </c>
      <c r="N17" s="7">
        <f>(Parameters!$B$19*(E17+Parameters!$B$20)^L17+Parameters!$B$18*F17^L17)^(1/L17)</f>
        <v>0.53571210402590075</v>
      </c>
      <c r="O17" s="7">
        <f>(Parameters!$B$10*G17^Parameters!$B$9 + Parameters!$B$11*N17^Parameters!$B$9) ^ (Parameters!$B$7/Parameters!$B$9) * K17</f>
        <v>1.5071324057896174</v>
      </c>
      <c r="P17" s="7">
        <f t="shared" si="0"/>
        <v>1.1491989874448592</v>
      </c>
      <c r="Q17" s="7">
        <f>EXP(-Parameters!$B$56*A17)</f>
        <v>0.82176566799463491</v>
      </c>
      <c r="R17" s="7">
        <f>IF(P17&gt;0,P17^(1-Parameters!$B$53)/(1-Parameters!$B$53)*Q17,-10+P17*1000)</f>
        <v>-2.2363594899240993</v>
      </c>
      <c r="S17" s="7"/>
      <c r="T17" s="13">
        <f t="shared" si="1"/>
        <v>0.23749301452862709</v>
      </c>
    </row>
    <row r="18" spans="1:20" x14ac:dyDescent="0.25">
      <c r="A18">
        <f>A17+Parameters!$B$71</f>
        <v>14</v>
      </c>
      <c r="B18" s="20">
        <v>5.1923166249360414E-2</v>
      </c>
      <c r="C18" s="41">
        <v>1.0018563239187114E-2</v>
      </c>
      <c r="D18" s="19">
        <v>0.29599230918919134</v>
      </c>
      <c r="E18" s="7">
        <f>MAX((1-Parameters!$B$4)^Parameters!B$71*E17+B17*Parameters!B$71-Parameters!$B$5*B17^2/E17*Parameters!B$71,0.0001)</f>
        <v>0.76993499178656843</v>
      </c>
      <c r="F18" s="9">
        <f>MAX((1-Parameters!$B$4)^Parameters!B$71*F17+C17*Parameters!B$71-Parameters!$B$5*C17^2/F17*Parameters!B$71,0.0001)</f>
        <v>0.14855895453160689</v>
      </c>
      <c r="G18" s="7">
        <f>MAX((1-Parameters!$B$4)^Parameters!B$71*G17+D17*Parameters!B$71-Parameters!$B$5*D17^2/G17*Parameters!B$71,0.0001)</f>
        <v>4.3890500714893204</v>
      </c>
      <c r="H18" s="7">
        <f>H17 *(1-Parameters!$B$4)-B17*(B17&lt;0)*Parameters!B$71</f>
        <v>0</v>
      </c>
      <c r="I18" s="7">
        <f>I17*(1+Parameters!$B$52)^Parameters!B$71</f>
        <v>8.4976139518671765</v>
      </c>
      <c r="J18" s="7">
        <f>J17*(1+Parameters!$B$54)^Parameters!B$71</f>
        <v>11.906350833732299</v>
      </c>
      <c r="K18" s="7">
        <f>'6states'!$N$4</f>
        <v>0.98104277196026479</v>
      </c>
      <c r="L18" s="9">
        <f t="shared" si="3"/>
        <v>0.5</v>
      </c>
      <c r="M18" s="23">
        <f t="shared" si="2"/>
        <v>2</v>
      </c>
      <c r="N18" s="7">
        <f>(Parameters!$B$19*(E18+Parameters!$B$20)^L18+Parameters!$B$18*F18^L18)^(1/L18)</f>
        <v>0.53570704954230908</v>
      </c>
      <c r="O18" s="7">
        <f>(Parameters!$B$10*G18^Parameters!$B$9 + Parameters!$B$11*N18^Parameters!$B$9) ^ (Parameters!$B$7/Parameters!$B$9) * K18</f>
        <v>1.5071279239822681</v>
      </c>
      <c r="P18" s="7">
        <f t="shared" si="0"/>
        <v>1.1491938853045292</v>
      </c>
      <c r="Q18" s="7">
        <f>EXP(-Parameters!$B$56*A18)</f>
        <v>0.80945022202781236</v>
      </c>
      <c r="R18" s="7">
        <f>IF(P18&gt;0,P18^(1-Parameters!$B$53)/(1-Parameters!$B$53)*Q18,-10+P18*1000)</f>
        <v>-2.202847562366975</v>
      </c>
      <c r="S18" s="7"/>
      <c r="T18" s="13">
        <f t="shared" si="1"/>
        <v>0.23749413237064412</v>
      </c>
    </row>
    <row r="19" spans="1:20" x14ac:dyDescent="0.25">
      <c r="A19">
        <f>A18+Parameters!$B$71</f>
        <v>15</v>
      </c>
      <c r="B19" s="42">
        <f>B18</f>
        <v>5.1923166249360414E-2</v>
      </c>
      <c r="C19" s="42">
        <f t="shared" ref="C19:D19" si="4">C18</f>
        <v>1.0018563239187114E-2</v>
      </c>
      <c r="D19" s="42">
        <f t="shared" si="4"/>
        <v>0.29599230918919134</v>
      </c>
      <c r="E19" s="7">
        <f>MAX((1-Parameters!$B$4)^Parameters!B$71*E18+B18*Parameters!B$71-Parameters!$B$5*B18^2/E18*Parameters!B$71,0.0001)</f>
        <v>0.76992763299147204</v>
      </c>
      <c r="F19" s="9">
        <f>MAX((1-Parameters!$B$4)^Parameters!B$71*F18+C18*Parameters!B$71-Parameters!$B$5*C18^2/F18*Parameters!B$71,0.0001)</f>
        <v>0.14855752466448985</v>
      </c>
      <c r="G19" s="7">
        <f>MAX((1-Parameters!$B$4)^Parameters!B$71*G18+D18*Parameters!B$71-Parameters!$B$5*D18^2/G18*Parameters!B$71,0.0001)</f>
        <v>4.3890097623953936</v>
      </c>
      <c r="H19" s="7">
        <f>H18 *(1-Parameters!$B$4)-B18*(B18&lt;0)*Parameters!B$71</f>
        <v>0</v>
      </c>
      <c r="I19" s="7">
        <f>I18*(1+Parameters!$B$52)^Parameters!B$71</f>
        <v>8.522257032327591</v>
      </c>
      <c r="J19" s="7">
        <f>J18*(1+Parameters!$B$54)^Parameters!B$71</f>
        <v>12.144477850406945</v>
      </c>
      <c r="K19" s="7">
        <f>'6states'!$N$4</f>
        <v>0.98104277196026479</v>
      </c>
      <c r="L19" s="9">
        <f t="shared" si="3"/>
        <v>0.5</v>
      </c>
      <c r="M19" s="23">
        <f t="shared" si="2"/>
        <v>2</v>
      </c>
      <c r="N19" s="7">
        <f>(Parameters!$B$19*(E19+Parameters!$B$20)^L19+Parameters!$B$18*F19^L19)^(1/L19)</f>
        <v>0.53570197880563186</v>
      </c>
      <c r="O19" s="7">
        <f>(Parameters!$B$10*G19^Parameters!$B$9 + Parameters!$B$11*N19^Parameters!$B$9) ^ (Parameters!$B$7/Parameters!$B$9) * K19</f>
        <v>1.5071237493010481</v>
      </c>
      <c r="P19" s="7">
        <f t="shared" si="0"/>
        <v>1.1491897106233091</v>
      </c>
      <c r="Q19" s="7">
        <f>EXP(-Parameters!$B$56*A19)</f>
        <v>0.79731934231298707</v>
      </c>
      <c r="R19" s="7">
        <f>IF(P19&gt;0,P19^(1-Parameters!$B$53)/(1-Parameters!$B$53)*Q19,-10+P19*1000)</f>
        <v>-2.169837199354574</v>
      </c>
      <c r="S19" s="7"/>
      <c r="T19" s="13">
        <f t="shared" si="1"/>
        <v>0.23749479022126505</v>
      </c>
    </row>
    <row r="20" spans="1:20" x14ac:dyDescent="0.25">
      <c r="A20">
        <f>A19+Parameters!$B$71</f>
        <v>16</v>
      </c>
      <c r="B20" s="20">
        <v>5.1923367561679458E-2</v>
      </c>
      <c r="C20" s="41">
        <v>1.0018606122652445E-2</v>
      </c>
      <c r="D20" s="19">
        <v>0.29599242145708876</v>
      </c>
      <c r="E20" s="7">
        <f>MAX((1-Parameters!$B$4)^Parameters!B$71*E19+B19*Parameters!B$71-Parameters!$B$5*B19^2/E19*Parameters!B$71,0.0001)</f>
        <v>0.76992070359694775</v>
      </c>
      <c r="F20" s="9">
        <f>MAX((1-Parameters!$B$4)^Parameters!B$71*F19+C19*Parameters!B$71-Parameters!$B$5*C19^2/F19*Parameters!B$71,0.0001)</f>
        <v>0.14855617823302461</v>
      </c>
      <c r="G20" s="7">
        <f>MAX((1-Parameters!$B$4)^Parameters!B$71*G19+D19*Parameters!B$71-Parameters!$B$5*D19^2/G19*Parameters!B$71,0.0001)</f>
        <v>4.3889718054163165</v>
      </c>
      <c r="H20" s="7">
        <f>H19 *(1-Parameters!$B$4)-B19*(B19&lt;0)*Parameters!B$71</f>
        <v>0</v>
      </c>
      <c r="I20" s="7">
        <f>I19*(1+Parameters!$B$52)^Parameters!B$71</f>
        <v>8.5469715777213402</v>
      </c>
      <c r="J20" s="7">
        <f>J19*(1+Parameters!$B$54)^Parameters!B$71</f>
        <v>12.387367407415084</v>
      </c>
      <c r="K20" s="7">
        <f>'6states'!$N$4</f>
        <v>0.98104277196026479</v>
      </c>
      <c r="L20" s="9">
        <f t="shared" si="3"/>
        <v>0.5</v>
      </c>
      <c r="M20" s="23">
        <f t="shared" si="2"/>
        <v>2</v>
      </c>
      <c r="N20" s="7">
        <f>(Parameters!$B$19*(E20+Parameters!$B$20)^L20+Parameters!$B$18*F20^L20)^(1/L20)</f>
        <v>0.53569720395669895</v>
      </c>
      <c r="O20" s="7">
        <f>(Parameters!$B$10*G20^Parameters!$B$9 + Parameters!$B$11*N20^Parameters!$B$9) ^ (Parameters!$B$7/Parameters!$B$9) * K20</f>
        <v>1.5071198181960348</v>
      </c>
      <c r="P20" s="7">
        <f t="shared" si="0"/>
        <v>1.1491854230546141</v>
      </c>
      <c r="Q20" s="7">
        <f>EXP(-Parameters!$B$56*A20)</f>
        <v>0.7853702628357192</v>
      </c>
      <c r="R20" s="7">
        <f>IF(P20&gt;0,P20^(1-Parameters!$B$53)/(1-Parameters!$B$53)*Q20,-10+P20*1000)</f>
        <v>-2.1373215805001</v>
      </c>
      <c r="S20" s="7"/>
      <c r="T20" s="13">
        <f t="shared" si="1"/>
        <v>0.23749564621202748</v>
      </c>
    </row>
    <row r="21" spans="1:20" x14ac:dyDescent="0.25">
      <c r="A21">
        <f>A20+Parameters!$B$71</f>
        <v>17</v>
      </c>
      <c r="B21" s="42">
        <f>B20</f>
        <v>5.1923367561679458E-2</v>
      </c>
      <c r="C21" s="42">
        <f t="shared" ref="C21:D21" si="5">C20</f>
        <v>1.0018606122652445E-2</v>
      </c>
      <c r="D21" s="42">
        <f t="shared" si="5"/>
        <v>0.29599242145708876</v>
      </c>
      <c r="E21" s="7">
        <f>MAX((1-Parameters!$B$4)^Parameters!B$71*E20+B20*Parameters!B$71-Parameters!$B$5*B20^2/E20*Parameters!B$71,0.0001)</f>
        <v>0.76991435270542963</v>
      </c>
      <c r="F21" s="9">
        <f>MAX((1-Parameters!$B$4)^Parameters!B$71*F20+C20*Parameters!B$71-Parameters!$B$5*C20^2/F20*Parameters!B$71,0.0001)</f>
        <v>0.14855494746782583</v>
      </c>
      <c r="G21" s="7">
        <f>MAX((1-Parameters!$B$4)^Parameters!B$71*G20+D20*Parameters!B$71-Parameters!$B$5*D20^2/G20*Parameters!B$71,0.0001)</f>
        <v>4.3889361604236834</v>
      </c>
      <c r="H21" s="7">
        <f>H20 *(1-Parameters!$B$4)-B20*(B20&lt;0)*Parameters!B$71</f>
        <v>0</v>
      </c>
      <c r="I21" s="7">
        <f>I20*(1+Parameters!$B$52)^Parameters!B$71</f>
        <v>8.5717577952967314</v>
      </c>
      <c r="J21" s="7">
        <f>J20*(1+Parameters!$B$54)^Parameters!B$71</f>
        <v>12.635114755563386</v>
      </c>
      <c r="K21" s="7">
        <f>'6states'!$N$4</f>
        <v>0.98104277196026479</v>
      </c>
      <c r="L21" s="9">
        <f t="shared" si="3"/>
        <v>0.5</v>
      </c>
      <c r="M21" s="23">
        <f t="shared" si="2"/>
        <v>2</v>
      </c>
      <c r="N21" s="7">
        <f>(Parameters!$B$19*(E21+Parameters!$B$20)^L21+Parameters!$B$18*F21^L21)^(1/L21)</f>
        <v>0.5356928296180492</v>
      </c>
      <c r="O21" s="7">
        <f>(Parameters!$B$10*G21^Parameters!$B$9 + Parameters!$B$11*N21^Parameters!$B$9) ^ (Parameters!$B$7/Parameters!$B$9) * K21</f>
        <v>1.5071161426781861</v>
      </c>
      <c r="P21" s="7">
        <f t="shared" si="0"/>
        <v>1.1491817475367654</v>
      </c>
      <c r="Q21" s="7">
        <f>EXP(-Parameters!$B$56*A21)</f>
        <v>0.7736002590346287</v>
      </c>
      <c r="R21" s="7">
        <f>IF(P21&gt;0,P21^(1-Parameters!$B$53)/(1-Parameters!$B$53)*Q21,-10+P21*1000)</f>
        <v>-2.1052928248761673</v>
      </c>
      <c r="S21" s="7"/>
      <c r="T21" s="13">
        <f t="shared" si="1"/>
        <v>0.23749622541057891</v>
      </c>
    </row>
    <row r="22" spans="1:20" x14ac:dyDescent="0.25">
      <c r="A22">
        <f>A21+Parameters!$B$71</f>
        <v>18</v>
      </c>
      <c r="B22" s="20">
        <v>5.1923434333508496E-2</v>
      </c>
      <c r="C22" s="41">
        <v>1.0018768133109802E-2</v>
      </c>
      <c r="D22" s="19">
        <v>0.2959927970315957</v>
      </c>
      <c r="E22" s="7">
        <f>MAX((1-Parameters!$B$4)^Parameters!B$71*E21+B21*Parameters!B$71-Parameters!$B$5*B21^2/E21*Parameters!B$71,0.0001)</f>
        <v>0.76990837240001375</v>
      </c>
      <c r="F22" s="9">
        <f>MAX((1-Parameters!$B$4)^Parameters!B$71*F21+C21*Parameters!B$71-Parameters!$B$5*C21^2/F21*Parameters!B$71,0.0001)</f>
        <v>0.14855378852002768</v>
      </c>
      <c r="G22" s="7">
        <f>MAX((1-Parameters!$B$4)^Parameters!B$71*G21+D21*Parameters!B$71-Parameters!$B$5*D21^2/G21*Parameters!B$71,0.0001)</f>
        <v>4.3889025953806904</v>
      </c>
      <c r="H22" s="7">
        <f>H21 *(1-Parameters!$B$4)-B21*(B21&lt;0)*Parameters!B$71</f>
        <v>0</v>
      </c>
      <c r="I22" s="7">
        <f>I21*(1+Parameters!$B$52)^Parameters!B$71</f>
        <v>8.5966158929030918</v>
      </c>
      <c r="J22" s="7">
        <f>J21*(1+Parameters!$B$54)^Parameters!B$71</f>
        <v>12.887817050674654</v>
      </c>
      <c r="K22" s="7">
        <f>'6states'!$N$4</f>
        <v>0.98104277196026479</v>
      </c>
      <c r="L22" s="9">
        <f t="shared" si="3"/>
        <v>0.5</v>
      </c>
      <c r="M22" s="23">
        <f t="shared" si="2"/>
        <v>2</v>
      </c>
      <c r="N22" s="7">
        <f>(Parameters!$B$19*(E22+Parameters!$B$20)^L22+Parameters!$B$18*F22^L22)^(1/L22)</f>
        <v>0.5356887105300403</v>
      </c>
      <c r="O22" s="7">
        <f>(Parameters!$B$10*G22^Parameters!$B$9 + Parameters!$B$11*N22^Parameters!$B$9) ^ (Parameters!$B$7/Parameters!$B$9) * K22</f>
        <v>1.5071126816143283</v>
      </c>
      <c r="P22" s="7">
        <f t="shared" si="0"/>
        <v>1.1491776821161144</v>
      </c>
      <c r="Q22" s="7">
        <f>EXP(-Parameters!$B$56*A22)</f>
        <v>0.76200664718015654</v>
      </c>
      <c r="R22" s="7">
        <f>IF(P22&gt;0,P22^(1-Parameters!$B$53)/(1-Parameters!$B$53)*Q22,-10+P22*1000)</f>
        <v>-2.0737442812834881</v>
      </c>
      <c r="S22" s="7"/>
      <c r="T22" s="13">
        <f t="shared" si="1"/>
        <v>0.2374971718205009</v>
      </c>
    </row>
    <row r="23" spans="1:20" x14ac:dyDescent="0.25">
      <c r="A23">
        <f>A22+Parameters!$B$71</f>
        <v>19</v>
      </c>
      <c r="B23" s="42">
        <f>B22</f>
        <v>5.1923434333508496E-2</v>
      </c>
      <c r="C23" s="42">
        <f t="shared" ref="C23:D23" si="6">C22</f>
        <v>1.0018768133109802E-2</v>
      </c>
      <c r="D23" s="42">
        <f t="shared" si="6"/>
        <v>0.2959927970315957</v>
      </c>
      <c r="E23" s="7">
        <f>MAX((1-Parameters!$B$4)^Parameters!B$71*E22+B22*Parameters!B$71-Parameters!$B$5*B22^2/E22*Parameters!B$71,0.0001)</f>
        <v>0.76990279882139911</v>
      </c>
      <c r="F23" s="9">
        <f>MAX((1-Parameters!$B$4)^Parameters!B$71*F22+C22*Parameters!B$71-Parameters!$B$5*C22^2/F22*Parameters!B$71,0.0001)</f>
        <v>0.14855283735687652</v>
      </c>
      <c r="G23" s="7">
        <f>MAX((1-Parameters!$B$4)^Parameters!B$71*G22+D22*Parameters!B$71-Parameters!$B$5*D22^2/G22*Parameters!B$71,0.0001)</f>
        <v>4.3888713138322739</v>
      </c>
      <c r="H23" s="7">
        <f>H22 *(1-Parameters!$B$4)-B22*(B22&lt;0)*Parameters!B$71</f>
        <v>0</v>
      </c>
      <c r="I23" s="7">
        <f>I22*(1+Parameters!$B$52)^Parameters!B$71</f>
        <v>8.6215460789925107</v>
      </c>
      <c r="J23" s="7">
        <f>J22*(1+Parameters!$B$54)^Parameters!B$71</f>
        <v>13.145573391688147</v>
      </c>
      <c r="K23" s="7">
        <f>'6states'!$N$4</f>
        <v>0.98104277196026479</v>
      </c>
      <c r="L23" s="9">
        <f t="shared" si="3"/>
        <v>0.5</v>
      </c>
      <c r="M23" s="23">
        <f t="shared" si="2"/>
        <v>2</v>
      </c>
      <c r="N23" s="7">
        <f>(Parameters!$B$19*(E23+Parameters!$B$20)^L23+Parameters!$B$18*F23^L23)^(1/L23)</f>
        <v>0.53568494599269245</v>
      </c>
      <c r="O23" s="7">
        <f>(Parameters!$B$10*G23^Parameters!$B$9 + Parameters!$B$11*N23^Parameters!$B$9) ^ (Parameters!$B$7/Parameters!$B$9) * K23</f>
        <v>1.5071094669497014</v>
      </c>
      <c r="P23" s="7">
        <f t="shared" si="0"/>
        <v>1.1491744674514874</v>
      </c>
      <c r="Q23" s="7">
        <f>EXP(-Parameters!$B$56*A23)</f>
        <v>0.75058678376263543</v>
      </c>
      <c r="R23" s="7">
        <f>IF(P23&gt;0,P23^(1-Parameters!$B$53)/(1-Parameters!$B$53)*Q23,-10+P23*1000)</f>
        <v>-2.0426679742944258</v>
      </c>
      <c r="S23" s="7"/>
      <c r="T23" s="13">
        <f t="shared" si="1"/>
        <v>0.23749767840198949</v>
      </c>
    </row>
    <row r="24" spans="1:20" x14ac:dyDescent="0.25">
      <c r="A24">
        <f>A23+Parameters!$B$71</f>
        <v>20</v>
      </c>
      <c r="B24" s="20">
        <v>5.192351339681784E-2</v>
      </c>
      <c r="C24" s="41">
        <v>1.0018652250690263E-2</v>
      </c>
      <c r="D24" s="19">
        <v>0.29599355613290212</v>
      </c>
      <c r="E24" s="7">
        <f>MAX((1-Parameters!$B$4)^Parameters!B$71*E23+B23*Parameters!B$71-Parameters!$B$5*B23^2/E23*Parameters!B$71,0.0001)</f>
        <v>0.76989755047040964</v>
      </c>
      <c r="F24" s="9">
        <f>MAX((1-Parameters!$B$4)^Parameters!B$71*F23+C23*Parameters!B$71-Parameters!$B$5*C23^2/F23*Parameters!B$71,0.0001)</f>
        <v>0.1485519416955641</v>
      </c>
      <c r="G24" s="7">
        <f>MAX((1-Parameters!$B$4)^Parameters!B$71*G23+D23*Parameters!B$71-Parameters!$B$5*D23^2/G23*Parameters!B$71,0.0001)</f>
        <v>4.3888418576139472</v>
      </c>
      <c r="H24" s="7">
        <f>H23 *(1-Parameters!$B$4)-B23*(B23&lt;0)*Parameters!B$71</f>
        <v>0</v>
      </c>
      <c r="I24" s="7">
        <f>I23*(1+Parameters!$B$52)^Parameters!B$71</f>
        <v>8.6465485626215877</v>
      </c>
      <c r="J24" s="7">
        <f>J23*(1+Parameters!$B$54)^Parameters!B$71</f>
        <v>13.408484859521911</v>
      </c>
      <c r="K24" s="7">
        <f>'6states'!$N$4</f>
        <v>0.98104277196026479</v>
      </c>
      <c r="L24" s="9">
        <f t="shared" si="3"/>
        <v>0.5</v>
      </c>
      <c r="M24" s="23">
        <f t="shared" si="2"/>
        <v>2</v>
      </c>
      <c r="N24" s="7">
        <f>(Parameters!$B$19*(E24+Parameters!$B$20)^L24+Parameters!$B$18*F24^L24)^(1/L24)</f>
        <v>0.53568140112230123</v>
      </c>
      <c r="O24" s="7">
        <f>(Parameters!$B$10*G24^Parameters!$B$9 + Parameters!$B$11*N24^Parameters!$B$9) ^ (Parameters!$B$7/Parameters!$B$9) * K24</f>
        <v>1.5071064398514398</v>
      </c>
      <c r="P24" s="7">
        <f t="shared" si="0"/>
        <v>1.1491707180710296</v>
      </c>
      <c r="Q24" s="7">
        <f>EXP(-Parameters!$B$56*A24)</f>
        <v>0.7393380648895318</v>
      </c>
      <c r="R24" s="7">
        <f>IF(P24&gt;0,P24^(1-Parameters!$B$53)/(1-Parameters!$B$53)*Q24,-10+P24*1000)</f>
        <v>-2.0120576921647895</v>
      </c>
      <c r="S24" s="7"/>
      <c r="T24" s="13">
        <f t="shared" si="1"/>
        <v>0.23749863467884397</v>
      </c>
    </row>
    <row r="25" spans="1:20" x14ac:dyDescent="0.25">
      <c r="A25">
        <f>A24+Parameters!$B$71</f>
        <v>21</v>
      </c>
      <c r="B25" s="42">
        <f>B24</f>
        <v>5.192351339681784E-2</v>
      </c>
      <c r="C25" s="42">
        <f t="shared" ref="C25:D28" si="7">C24</f>
        <v>1.0018652250690263E-2</v>
      </c>
      <c r="D25" s="42">
        <f t="shared" si="7"/>
        <v>0.29599355613290212</v>
      </c>
      <c r="E25" s="7">
        <f>MAX((1-Parameters!$B$4)^Parameters!B$71*E24+B24*Parameters!B$71-Parameters!$B$5*B24^2/E24*Parameters!B$71,0.0001)</f>
        <v>0.7698926767680595</v>
      </c>
      <c r="F25" s="9">
        <f>MAX((1-Parameters!$B$4)^Parameters!B$71*F24+C24*Parameters!B$71-Parameters!$B$5*C24^2/F24*Parameters!B$71,0.0001)</f>
        <v>0.14855099804579594</v>
      </c>
      <c r="G25" s="7">
        <f>MAX((1-Parameters!$B$4)^Parameters!B$71*G24+D24*Parameters!B$71-Parameters!$B$5*D24^2/G24*Parameters!B$71,0.0001)</f>
        <v>4.3888147769231987</v>
      </c>
      <c r="I25" s="7">
        <f>I24*(1+Parameters!$B$52)^Parameters!B$71</f>
        <v>8.6716235534531894</v>
      </c>
      <c r="J25" s="7">
        <f>J24*(1+Parameters!$B$54)^Parameters!B$71</f>
        <v>13.67665455671235</v>
      </c>
      <c r="K25" s="7">
        <f>'6states'!$N$4</f>
        <v>0.98104277196026479</v>
      </c>
      <c r="L25" s="9">
        <f t="shared" si="3"/>
        <v>0.5</v>
      </c>
      <c r="M25" s="23">
        <f t="shared" si="2"/>
        <v>2</v>
      </c>
      <c r="N25" s="7">
        <f>(Parameters!$B$19*(E25+Parameters!$B$20)^L25+Parameters!$B$18*F25^L25)^(1/L25)</f>
        <v>0.53567804472288538</v>
      </c>
      <c r="O25" s="7">
        <f>(Parameters!$B$10*G25^Parameters!$B$9 + Parameters!$B$11*N25^Parameters!$B$9) ^ (Parameters!$B$7/Parameters!$B$9) * K25</f>
        <v>1.5071036425084245</v>
      </c>
      <c r="P25" s="7">
        <f t="shared" si="0"/>
        <v>1.1491679207280143</v>
      </c>
      <c r="Q25" s="7">
        <f>EXP(-Parameters!$B$56*A25)</f>
        <v>0.72825792569172154</v>
      </c>
      <c r="R25" s="7">
        <f>IF(P25&gt;0,P25^(1-Parameters!$B$53)/(1-Parameters!$B$53)*Q25,-10+P25*1000)</f>
        <v>-1.9819055439708344</v>
      </c>
      <c r="S25" s="7"/>
      <c r="T25" s="13">
        <f t="shared" si="1"/>
        <v>0.23749907550131172</v>
      </c>
    </row>
    <row r="26" spans="1:20" x14ac:dyDescent="0.25">
      <c r="A26">
        <f>A25+Parameters!$B$71</f>
        <v>22</v>
      </c>
      <c r="B26" s="42">
        <f t="shared" ref="B26:B28" si="8">B25</f>
        <v>5.192351339681784E-2</v>
      </c>
      <c r="C26" s="42">
        <f t="shared" si="7"/>
        <v>1.0018652250690263E-2</v>
      </c>
      <c r="D26" s="42">
        <f t="shared" si="7"/>
        <v>0.29599355613290212</v>
      </c>
      <c r="E26" s="7">
        <f>MAX((1-Parameters!$B$4)^Parameters!B$71*E25+B25*Parameters!B$71-Parameters!$B$5*B25^2/E25*Parameters!B$71,0.0001)</f>
        <v>0.76988808745371451</v>
      </c>
      <c r="F26" s="9">
        <f>MAX((1-Parameters!$B$4)^Parameters!B$71*F25+C25*Parameters!B$71-Parameters!$B$5*C25^2/F25*Parameters!B$71,0.0001)</f>
        <v>0.14855010945944186</v>
      </c>
      <c r="G26" s="7">
        <f>MAX((1-Parameters!$B$4)^Parameters!B$71*G25+D25*Parameters!B$71-Parameters!$B$5*D25^2/G25*Parameters!B$71,0.0001)</f>
        <v>4.3887892764316234</v>
      </c>
      <c r="I26" s="7">
        <f>I25*(1+Parameters!$B$52)^Parameters!B$71</f>
        <v>8.6967712617582027</v>
      </c>
      <c r="J26" s="7">
        <f>J25*(1+Parameters!$B$54)^Parameters!B$71</f>
        <v>13.950187647846597</v>
      </c>
      <c r="K26" s="7">
        <f>'6states'!$N$4</f>
        <v>0.98104277196026479</v>
      </c>
      <c r="L26" s="9">
        <f t="shared" si="3"/>
        <v>0.5</v>
      </c>
      <c r="M26" s="23">
        <f t="shared" si="2"/>
        <v>2</v>
      </c>
      <c r="N26" s="7">
        <f>(Parameters!$B$19*(E26+Parameters!$B$20)^L26+Parameters!$B$18*F26^L26)^(1/L26)</f>
        <v>0.53567488417452358</v>
      </c>
      <c r="O26" s="7">
        <f>(Parameters!$B$10*G26^Parameters!$B$9 + Parameters!$B$11*N26^Parameters!$B$9) ^ (Parameters!$B$7/Parameters!$B$9) * K26</f>
        <v>1.5071010083835303</v>
      </c>
      <c r="P26" s="7">
        <f t="shared" si="0"/>
        <v>1.1491652866031201</v>
      </c>
      <c r="Q26" s="7">
        <f>EXP(-Parameters!$B$56*A26)</f>
        <v>0.71734383973866223</v>
      </c>
      <c r="R26" s="7">
        <f>IF(P26&gt;0,P26^(1-Parameters!$B$53)/(1-Parameters!$B$53)*Q26,-10+P26*1000)</f>
        <v>-1.9522051506094797</v>
      </c>
      <c r="S26" s="7"/>
      <c r="T26" s="13">
        <f t="shared" si="1"/>
        <v>0.23749949060436296</v>
      </c>
    </row>
    <row r="27" spans="1:20" x14ac:dyDescent="0.25">
      <c r="A27">
        <f>A26+Parameters!$B$71</f>
        <v>23</v>
      </c>
      <c r="B27" s="42">
        <f t="shared" si="8"/>
        <v>5.192351339681784E-2</v>
      </c>
      <c r="C27" s="42">
        <f t="shared" si="7"/>
        <v>1.0018652250690263E-2</v>
      </c>
      <c r="D27" s="42">
        <f t="shared" si="7"/>
        <v>0.29599355613290212</v>
      </c>
      <c r="E27" s="7">
        <f>MAX((1-Parameters!$B$4)^Parameters!B$71*E26+B26*Parameters!B$71-Parameters!$B$5*B26^2/E26*Parameters!B$71,0.0001)</f>
        <v>0.76988376593264196</v>
      </c>
      <c r="F27" s="9">
        <f>MAX((1-Parameters!$B$4)^Parameters!B$71*F26+C26*Parameters!B$71-Parameters!$B$5*C26^2/F26*Parameters!B$71,0.0001)</f>
        <v>0.14854927272341711</v>
      </c>
      <c r="G27" s="7">
        <f>MAX((1-Parameters!$B$4)^Parameters!B$71*G26+D26*Parameters!B$71-Parameters!$B$5*D26^2/G26*Parameters!B$71,0.0001)</f>
        <v>4.3887652639308259</v>
      </c>
      <c r="I27" s="7">
        <f>I26*(1+Parameters!$B$52)^Parameters!B$71</f>
        <v>8.7219918984173006</v>
      </c>
      <c r="J27" s="7">
        <f>J26*(1+Parameters!$B$54)^Parameters!B$71</f>
        <v>14.229191400803529</v>
      </c>
      <c r="K27" s="7">
        <f>'6states'!$N$4</f>
        <v>0.98104277196026479</v>
      </c>
      <c r="L27" s="9">
        <f t="shared" si="3"/>
        <v>0.5</v>
      </c>
      <c r="M27" s="23">
        <f t="shared" si="2"/>
        <v>2</v>
      </c>
      <c r="N27" s="7">
        <f>(Parameters!$B$19*(E27+Parameters!$B$20)^L27+Parameters!$B$18*F27^L27)^(1/L27)</f>
        <v>0.53567190804882914</v>
      </c>
      <c r="O27" s="7">
        <f>(Parameters!$B$10*G27^Parameters!$B$9 + Parameters!$B$11*N27^Parameters!$B$9) ^ (Parameters!$B$7/Parameters!$B$9) * K27</f>
        <v>1.5070985279538429</v>
      </c>
      <c r="P27" s="7">
        <f t="shared" si="0"/>
        <v>1.1491628061734327</v>
      </c>
      <c r="Q27" s="7">
        <f>EXP(-Parameters!$B$56*A27)</f>
        <v>0.70659331846233153</v>
      </c>
      <c r="R27" s="7">
        <f>IF(P27&gt;0,P27^(1-Parameters!$B$53)/(1-Parameters!$B$53)*Q27,-10+P27*1000)</f>
        <v>-1.9229497506910911</v>
      </c>
      <c r="S27" s="7"/>
      <c r="T27" s="13">
        <f t="shared" si="1"/>
        <v>0.23749988148842019</v>
      </c>
    </row>
    <row r="28" spans="1:20" x14ac:dyDescent="0.25">
      <c r="A28">
        <f>A27+Parameters!$B$71</f>
        <v>24</v>
      </c>
      <c r="B28" s="42">
        <f t="shared" si="8"/>
        <v>5.192351339681784E-2</v>
      </c>
      <c r="C28" s="42">
        <f t="shared" si="7"/>
        <v>1.0018652250690263E-2</v>
      </c>
      <c r="D28" s="42">
        <f t="shared" si="7"/>
        <v>0.29599355613290212</v>
      </c>
      <c r="E28" s="7">
        <f>MAX((1-Parameters!$B$4)^Parameters!B$71*E27+B27*Parameters!B$71-Parameters!$B$5*B27^2/E27*Parameters!B$71,0.0001)</f>
        <v>0.76987969657848121</v>
      </c>
      <c r="F28" s="9">
        <f>MAX((1-Parameters!$B$4)^Parameters!B$71*F27+C27*Parameters!B$71-Parameters!$B$5*C27^2/F27*Parameters!B$71,0.0001)</f>
        <v>0.14854848481213406</v>
      </c>
      <c r="G28" s="7">
        <f>MAX((1-Parameters!$B$4)^Parameters!B$71*G27+D27*Parameters!B$71-Parameters!$B$5*D27^2/G27*Parameters!B$71,0.0001)</f>
        <v>4.3887426525931454</v>
      </c>
      <c r="I28" s="7">
        <f>I27*(1+Parameters!$B$52)^Parameters!B$71</f>
        <v>8.7472856749227095</v>
      </c>
      <c r="J28" s="7">
        <f>J27*(1+Parameters!$B$54)^Parameters!B$71</f>
        <v>14.5137752288196</v>
      </c>
      <c r="K28" s="7">
        <f>'6states'!$N$4</f>
        <v>0.98104277196026479</v>
      </c>
      <c r="L28" s="9">
        <f t="shared" si="3"/>
        <v>0.5</v>
      </c>
      <c r="M28" s="23">
        <f t="shared" si="2"/>
        <v>2</v>
      </c>
      <c r="N28" s="7">
        <f>(Parameters!$B$19*(E28+Parameters!$B$20)^L28+Parameters!$B$18*F28^L28)^(1/L28)</f>
        <v>0.53566910558431069</v>
      </c>
      <c r="O28" s="7">
        <f>(Parameters!$B$10*G28^Parameters!$B$9 + Parameters!$B$11*N28^Parameters!$B$9) ^ (Parameters!$B$7/Parameters!$B$9) * K28</f>
        <v>1.5070961922520076</v>
      </c>
      <c r="P28" s="7">
        <f t="shared" si="0"/>
        <v>1.1491604704715974</v>
      </c>
      <c r="Q28" s="7">
        <f>EXP(-Parameters!$B$56*A28)</f>
        <v>0.69600391058979738</v>
      </c>
      <c r="R28" s="7">
        <f>IF(P28&gt;0,P28^(1-Parameters!$B$53)/(1-Parameters!$B$53)*Q28,-10+P28*1000)</f>
        <v>-1.8941326835138781</v>
      </c>
      <c r="S28" s="7"/>
      <c r="T28" s="13">
        <f t="shared" si="1"/>
        <v>0.23750024956639154</v>
      </c>
    </row>
    <row r="29" spans="1:20" x14ac:dyDescent="0.25">
      <c r="A29">
        <f>A28+Parameters!$B$71</f>
        <v>25</v>
      </c>
      <c r="B29" s="20">
        <v>5.1923637967104946E-2</v>
      </c>
      <c r="C29" s="41">
        <v>1.0018690688175931E-2</v>
      </c>
      <c r="D29" s="19">
        <v>0.29599393902119808</v>
      </c>
      <c r="E29" s="7">
        <f>MAX((1-Parameters!$B$4)^Parameters!B$71*E28+B28*Parameters!B$71-Parameters!$B$5*B28^2/E28*Parameters!B$71,0.0001)</f>
        <v>0.76987586467673197</v>
      </c>
      <c r="F29" s="9">
        <f>MAX((1-Parameters!$B$4)^Parameters!B$71*F28+C28*Parameters!B$71-Parameters!$B$5*C28^2/F28*Parameters!B$71,0.0001)</f>
        <v>0.14854774287656011</v>
      </c>
      <c r="G29" s="7">
        <f>MAX((1-Parameters!$B$4)^Parameters!B$71*G28+D28*Parameters!B$71-Parameters!$B$5*D28^2/G28*Parameters!B$71,0.0001)</f>
        <v>4.3887213606576569</v>
      </c>
      <c r="I29" s="7">
        <f>I28*(1+Parameters!$B$52)^Parameters!B$71</f>
        <v>8.7726528033799838</v>
      </c>
      <c r="J29" s="7">
        <f>J28*(1+Parameters!$B$54)^Parameters!B$71</f>
        <v>14.804050733395993</v>
      </c>
      <c r="K29" s="7">
        <f>'6states'!$N$4</f>
        <v>0.98104277196026479</v>
      </c>
      <c r="L29" s="9">
        <f t="shared" si="3"/>
        <v>0.5</v>
      </c>
      <c r="M29" s="23">
        <f t="shared" si="2"/>
        <v>2</v>
      </c>
      <c r="N29" s="7">
        <f>(Parameters!$B$19*(E29+Parameters!$B$20)^L29+Parameters!$B$18*F29^L29)^(1/L29)</f>
        <v>0.53566646664745199</v>
      </c>
      <c r="O29" s="7">
        <f>(Parameters!$B$10*G29^Parameters!$B$9 + Parameters!$B$11*N29^Parameters!$B$9) ^ (Parameters!$B$7/Parameters!$B$9) * K29</f>
        <v>1.5070939928338252</v>
      </c>
      <c r="P29" s="7">
        <f t="shared" si="0"/>
        <v>1.1491577251573464</v>
      </c>
      <c r="Q29" s="7">
        <f>EXP(-Parameters!$B$56*A29)</f>
        <v>0.68557320158429325</v>
      </c>
      <c r="R29" s="7">
        <f>IF(P29&gt;0,P29^(1-Parameters!$B$53)/(1-Parameters!$B$53)*Q29,-10+P29*1000)</f>
        <v>-1.865747697808128</v>
      </c>
      <c r="S29" s="7"/>
      <c r="T29" s="13">
        <f t="shared" si="1"/>
        <v>0.23750095838643931</v>
      </c>
    </row>
    <row r="30" spans="1:20" x14ac:dyDescent="0.25">
      <c r="A30">
        <f>A29+Parameters!$B$71</f>
        <v>26</v>
      </c>
      <c r="B30" s="42">
        <f>B29</f>
        <v>5.1923637967104946E-2</v>
      </c>
      <c r="C30" s="42">
        <f t="shared" ref="C30:D33" si="9">C29</f>
        <v>1.0018690688175931E-2</v>
      </c>
      <c r="D30" s="42">
        <f t="shared" si="9"/>
        <v>0.29599393902119808</v>
      </c>
      <c r="E30" s="7">
        <f>MAX((1-Parameters!$B$4)^Parameters!B$71*E29+B29*Parameters!B$71-Parameters!$B$5*B29^2/E29*Parameters!B$71,0.0001)</f>
        <v>0.76987236413876881</v>
      </c>
      <c r="F30" s="9">
        <f>MAX((1-Parameters!$B$4)^Parameters!B$71*F29+C29*Parameters!B$71-Parameters!$B$5*C29^2/F29*Parameters!B$71,0.0001)</f>
        <v>0.14854707748663556</v>
      </c>
      <c r="G30" s="7">
        <f>MAX((1-Parameters!$B$4)^Parameters!B$71*G29+D29*Parameters!B$71-Parameters!$B$5*D29^2/G29*Parameters!B$71,0.0001)</f>
        <v>4.3887016423756018</v>
      </c>
      <c r="I30" s="7">
        <f>I29*(1+Parameters!$B$52)^Parameters!B$71</f>
        <v>8.7980934965097841</v>
      </c>
      <c r="J30" s="7">
        <f>J29*(1+Parameters!$B$54)^Parameters!B$71</f>
        <v>15.100131748063912</v>
      </c>
      <c r="K30" s="7">
        <f>'6states'!$N$4</f>
        <v>0.98104277196026479</v>
      </c>
      <c r="L30" s="9">
        <f t="shared" si="3"/>
        <v>0.5</v>
      </c>
      <c r="M30" s="23">
        <f t="shared" si="2"/>
        <v>2</v>
      </c>
      <c r="N30" s="7">
        <f>(Parameters!$B$19*(E30+Parameters!$B$20)^L30+Parameters!$B$18*F30^L30)^(1/L30)</f>
        <v>0.53566406305941983</v>
      </c>
      <c r="O30" s="7">
        <f>(Parameters!$B$10*G30^Parameters!$B$9 + Parameters!$B$11*N30^Parameters!$B$9) ^ (Parameters!$B$7/Parameters!$B$9) * K30</f>
        <v>1.507091961905227</v>
      </c>
      <c r="P30" s="7">
        <f t="shared" si="0"/>
        <v>1.1491556942287482</v>
      </c>
      <c r="Q30" s="7">
        <f>EXP(-Parameters!$B$56*A30)</f>
        <v>0.67529881309466844</v>
      </c>
      <c r="R30" s="7">
        <f>IF(P30&gt;0,P30^(1-Parameters!$B$53)/(1-Parameters!$B$53)*Q30,-10+P30*1000)</f>
        <v>-1.8377876823397303</v>
      </c>
      <c r="S30" s="7"/>
      <c r="T30" s="13">
        <f t="shared" si="1"/>
        <v>0.23750127843823485</v>
      </c>
    </row>
    <row r="31" spans="1:20" x14ac:dyDescent="0.25">
      <c r="A31">
        <f>A30+Parameters!$B$71</f>
        <v>27</v>
      </c>
      <c r="B31" s="42">
        <f t="shared" ref="B31:B33" si="10">B30</f>
        <v>5.1923637967104946E-2</v>
      </c>
      <c r="C31" s="42">
        <f t="shared" si="9"/>
        <v>1.0018690688175931E-2</v>
      </c>
      <c r="D31" s="42">
        <f t="shared" si="9"/>
        <v>0.29599393902119808</v>
      </c>
      <c r="E31" s="7">
        <f>MAX((1-Parameters!$B$4)^Parameters!B$71*E30+B30*Parameters!B$71-Parameters!$B$5*B30^2/E30*Parameters!B$71,0.0001)</f>
        <v>0.76986906786161824</v>
      </c>
      <c r="F31" s="9">
        <f>MAX((1-Parameters!$B$4)^Parameters!B$71*F30+C30*Parameters!B$71-Parameters!$B$5*C30^2/F30*Parameters!B$71,0.0001)</f>
        <v>0.14854645092304697</v>
      </c>
      <c r="G31" s="7">
        <f>MAX((1-Parameters!$B$4)^Parameters!B$71*G30+D30*Parameters!B$71-Parameters!$B$5*D30^2/G30*Parameters!B$71,0.0001)</f>
        <v>4.3886830746800554</v>
      </c>
      <c r="I31" s="7">
        <f>I30*(1+Parameters!$B$52)^Parameters!B$71</f>
        <v>8.8236079676496608</v>
      </c>
      <c r="J31" s="7">
        <f>J30*(1+Parameters!$B$54)^Parameters!B$71</f>
        <v>15.40213438302519</v>
      </c>
      <c r="K31" s="7">
        <f>'6states'!$N$4</f>
        <v>0.98104277196026479</v>
      </c>
      <c r="L31" s="9">
        <f t="shared" si="3"/>
        <v>0.5</v>
      </c>
      <c r="M31" s="23">
        <f t="shared" si="2"/>
        <v>2</v>
      </c>
      <c r="N31" s="7">
        <f>(Parameters!$B$19*(E31+Parameters!$B$20)^L31+Parameters!$B$18*F31^L31)^(1/L31)</f>
        <v>0.53566179972378214</v>
      </c>
      <c r="O31" s="7">
        <f>(Parameters!$B$10*G31^Parameters!$B$9 + Parameters!$B$11*N31^Parameters!$B$9) ^ (Parameters!$B$7/Parameters!$B$9) * K31</f>
        <v>1.5070900494780262</v>
      </c>
      <c r="P31" s="7">
        <f t="shared" si="0"/>
        <v>1.1491537818015474</v>
      </c>
      <c r="Q31" s="7">
        <f>EXP(-Parameters!$B$56*A31)</f>
        <v>0.66517840241309079</v>
      </c>
      <c r="R31" s="7">
        <f>IF(P31&gt;0,P31^(1-Parameters!$B$53)/(1-Parameters!$B$53)*Q31,-10+P31*1000)</f>
        <v>-1.8102466091374856</v>
      </c>
      <c r="S31" s="7"/>
      <c r="T31" s="13">
        <f t="shared" si="1"/>
        <v>0.23750157981631462</v>
      </c>
    </row>
    <row r="32" spans="1:20" x14ac:dyDescent="0.25">
      <c r="A32">
        <f>A31+Parameters!$B$71</f>
        <v>28</v>
      </c>
      <c r="B32" s="42">
        <f t="shared" si="10"/>
        <v>5.1923637967104946E-2</v>
      </c>
      <c r="C32" s="42">
        <f t="shared" si="9"/>
        <v>1.0018690688175931E-2</v>
      </c>
      <c r="D32" s="42">
        <f t="shared" si="9"/>
        <v>0.29599393902119808</v>
      </c>
      <c r="E32" s="7">
        <f>MAX((1-Parameters!$B$4)^Parameters!B$71*E31+B31*Parameters!B$71-Parameters!$B$5*B31^2/E31*Parameters!B$71,0.0001)</f>
        <v>0.76986596392627149</v>
      </c>
      <c r="F32" s="9">
        <f>MAX((1-Parameters!$B$4)^Parameters!B$71*F31+C31*Parameters!B$71-Parameters!$B$5*C31^2/F31*Parameters!B$71,0.0001)</f>
        <v>0.14854586092020414</v>
      </c>
      <c r="G32" s="7">
        <f>MAX((1-Parameters!$B$4)^Parameters!B$71*G31+D31*Parameters!B$71-Parameters!$B$5*D31^2/G31*Parameters!B$71,0.0001)</f>
        <v>4.3886655904321135</v>
      </c>
      <c r="I32" s="7">
        <f>I31*(1+Parameters!$B$52)^Parameters!B$71</f>
        <v>8.8491964307558444</v>
      </c>
      <c r="J32" s="7">
        <f>J31*(1+Parameters!$B$54)^Parameters!B$71</f>
        <v>15.710177070685695</v>
      </c>
      <c r="K32" s="7">
        <f>'6states'!$N$4</f>
        <v>0.98104277196026479</v>
      </c>
      <c r="L32" s="9">
        <f t="shared" si="3"/>
        <v>0.5</v>
      </c>
      <c r="M32" s="23">
        <f t="shared" si="2"/>
        <v>2</v>
      </c>
      <c r="N32" s="7">
        <f>(Parameters!$B$19*(E32+Parameters!$B$20)^L32+Parameters!$B$18*F32^L32)^(1/L32)</f>
        <v>0.53565966845654389</v>
      </c>
      <c r="O32" s="7">
        <f>(Parameters!$B$10*G32^Parameters!$B$9 + Parameters!$B$11*N32^Parameters!$B$9) ^ (Parameters!$B$7/Parameters!$B$9) * K32</f>
        <v>1.5070882486381025</v>
      </c>
      <c r="P32" s="7">
        <f t="shared" si="0"/>
        <v>1.1491519809616237</v>
      </c>
      <c r="Q32" s="7">
        <f>EXP(-Parameters!$B$56*A32)</f>
        <v>0.65520966194087471</v>
      </c>
      <c r="R32" s="7">
        <f>IF(P32&gt;0,P32^(1-Parameters!$B$53)/(1-Parameters!$B$53)*Q32,-10+P32*1000)</f>
        <v>-1.7831182056632948</v>
      </c>
      <c r="S32" s="7"/>
      <c r="T32" s="13">
        <f t="shared" si="1"/>
        <v>0.23750186361013176</v>
      </c>
    </row>
    <row r="33" spans="1:20" x14ac:dyDescent="0.25">
      <c r="A33">
        <f>A32+Parameters!$B$71</f>
        <v>29</v>
      </c>
      <c r="B33" s="42">
        <f t="shared" si="10"/>
        <v>5.1923637967104946E-2</v>
      </c>
      <c r="C33" s="42">
        <f t="shared" si="9"/>
        <v>1.0018690688175931E-2</v>
      </c>
      <c r="D33" s="42">
        <f t="shared" si="9"/>
        <v>0.29599393902119808</v>
      </c>
      <c r="E33" s="7">
        <f>MAX((1-Parameters!$B$4)^Parameters!B$71*E32+B32*Parameters!B$71-Parameters!$B$5*B32^2/E32*Parameters!B$71,0.0001)</f>
        <v>0.76986304110923165</v>
      </c>
      <c r="F33" s="9">
        <f>MAX((1-Parameters!$B$4)^Parameters!B$71*F32+C32*Parameters!B$71-Parameters!$B$5*C32^2/F32*Parameters!B$71,0.0001)</f>
        <v>0.14854530534472121</v>
      </c>
      <c r="G33" s="7">
        <f>MAX((1-Parameters!$B$4)^Parameters!B$71*G32+D32*Parameters!B$71-Parameters!$B$5*D32^2/G32*Parameters!B$71,0.0001)</f>
        <v>4.3886491264106384</v>
      </c>
      <c r="I33" s="7">
        <f>I32*(1+Parameters!$B$52)^Parameters!B$71</f>
        <v>8.8748591004050361</v>
      </c>
      <c r="J33" s="7">
        <f>J32*(1+Parameters!$B$54)^Parameters!B$71</f>
        <v>16.02438061209941</v>
      </c>
      <c r="K33" s="7">
        <f>'6states'!$N$4</f>
        <v>0.98104277196026479</v>
      </c>
      <c r="L33" s="9">
        <f t="shared" si="3"/>
        <v>0.5</v>
      </c>
      <c r="M33" s="23">
        <f t="shared" si="2"/>
        <v>2</v>
      </c>
      <c r="N33" s="7">
        <f>(Parameters!$B$19*(E33+Parameters!$B$20)^L33+Parameters!$B$18*F33^L33)^(1/L33)</f>
        <v>0.53565766155127237</v>
      </c>
      <c r="O33" s="7">
        <f>(Parameters!$B$10*G33^Parameters!$B$9 + Parameters!$B$11*N33^Parameters!$B$9) ^ (Parameters!$B$7/Parameters!$B$9) * K33</f>
        <v>1.5070865528747217</v>
      </c>
      <c r="P33" s="7">
        <f t="shared" si="0"/>
        <v>1.1491502851982429</v>
      </c>
      <c r="Q33" s="7">
        <f>EXP(-Parameters!$B$56*A33)</f>
        <v>0.64539031866231678</v>
      </c>
      <c r="R33" s="7">
        <f>IF(P33&gt;0,P33^(1-Parameters!$B$53)/(1-Parameters!$B$53)*Q33,-10+P33*1000)</f>
        <v>-1.7563962929504864</v>
      </c>
      <c r="S33" s="7"/>
      <c r="T33" s="13">
        <f t="shared" si="1"/>
        <v>0.23750213084558841</v>
      </c>
    </row>
    <row r="34" spans="1:20" x14ac:dyDescent="0.25">
      <c r="A34">
        <f>A33+Parameters!$B$71</f>
        <v>30</v>
      </c>
      <c r="B34" s="20">
        <v>5.1923682538251872E-2</v>
      </c>
      <c r="C34" s="41">
        <v>1.001871672679267E-2</v>
      </c>
      <c r="D34" s="19">
        <v>0.29599440575353192</v>
      </c>
      <c r="E34" s="7">
        <f>MAX((1-Parameters!$B$4)^Parameters!B$71*E33+B33*Parameters!B$71-Parameters!$B$5*B33^2/E33*Parameters!B$71,0.0001)</f>
        <v>0.7698602888419267</v>
      </c>
      <c r="F34" s="9">
        <f>MAX((1-Parameters!$B$4)^Parameters!B$71*F33+C33*Parameters!B$71-Parameters!$B$5*C33^2/F33*Parameters!B$71,0.0001)</f>
        <v>0.14854478218770178</v>
      </c>
      <c r="G34" s="7">
        <f>MAX((1-Parameters!$B$4)^Parameters!B$71*G33+D33*Parameters!B$71-Parameters!$B$5*D33^2/G33*Parameters!B$71,0.0001)</f>
        <v>4.3886336230836349</v>
      </c>
      <c r="I34" s="7">
        <f>I33*(1+Parameters!$B$52)^Parameters!B$71</f>
        <v>8.9005961917962093</v>
      </c>
      <c r="J34" s="7">
        <f>J33*(1+Parameters!$B$54)^Parameters!B$71</f>
        <v>16.344868224341397</v>
      </c>
      <c r="K34" s="7">
        <f>'6states'!$N$4</f>
        <v>0.98104277196026479</v>
      </c>
      <c r="L34" s="9">
        <f t="shared" si="3"/>
        <v>0.5</v>
      </c>
      <c r="M34" s="23">
        <f t="shared" si="2"/>
        <v>2</v>
      </c>
      <c r="N34" s="7">
        <f>(Parameters!$B$19*(E34+Parameters!$B$20)^L34+Parameters!$B$18*F34^L34)^(1/L34)</f>
        <v>0.53565577175122814</v>
      </c>
      <c r="O34" s="7">
        <f>(Parameters!$B$10*G34^Parameters!$B$9 + Parameters!$B$11*N34^Parameters!$B$9) ^ (Parameters!$B$7/Parameters!$B$9) * K34</f>
        <v>1.5070849560570043</v>
      </c>
      <c r="P34" s="7">
        <f t="shared" si="0"/>
        <v>1.1491481510384278</v>
      </c>
      <c r="Q34" s="7">
        <f>EXP(-Parameters!$B$56*A34)</f>
        <v>0.63571813362641427</v>
      </c>
      <c r="R34" s="7">
        <f>IF(P34&gt;0,P34^(1-Parameters!$B$53)/(1-Parameters!$B$53)*Q34,-10+P34*1000)</f>
        <v>-1.7300750673770358</v>
      </c>
      <c r="S34" s="7"/>
      <c r="T34" s="13">
        <f t="shared" si="1"/>
        <v>0.23750273903274088</v>
      </c>
    </row>
    <row r="35" spans="1:20" x14ac:dyDescent="0.25">
      <c r="A35">
        <f>A34+Parameters!$B$71</f>
        <v>31</v>
      </c>
      <c r="B35" s="42">
        <f>B34</f>
        <v>5.1923682538251872E-2</v>
      </c>
      <c r="C35" s="42">
        <f t="shared" ref="C35:D43" si="11">C34</f>
        <v>1.001871672679267E-2</v>
      </c>
      <c r="D35" s="42">
        <f t="shared" si="11"/>
        <v>0.29599440575353192</v>
      </c>
      <c r="E35" s="7">
        <f>MAX((1-Parameters!$B$4)^Parameters!B$71*E34+B34*Parameters!B$71-Parameters!$B$5*B34^2/E34*Parameters!B$71,0.0001)</f>
        <v>0.76985773573138605</v>
      </c>
      <c r="F35" s="9">
        <f>MAX((1-Parameters!$B$4)^Parameters!B$71*F34+C34*Parameters!B$71-Parameters!$B$5*C34^2/F34*Parameters!B$71,0.0001)</f>
        <v>0.14854431208370658</v>
      </c>
      <c r="G35" s="7">
        <f>MAX((1-Parameters!$B$4)^Parameters!B$71*G34+D34*Parameters!B$71-Parameters!$B$5*D34^2/G34*Parameters!B$71,0.0001)</f>
        <v>4.3886194281671864</v>
      </c>
      <c r="I35" s="7">
        <f>I34*(1+Parameters!$B$52)^Parameters!B$71</f>
        <v>8.9264079207524176</v>
      </c>
      <c r="J35" s="7">
        <f>J34*(1+Parameters!$B$54)^Parameters!B$71</f>
        <v>16.671765588828226</v>
      </c>
      <c r="K35" s="7">
        <f>'6states'!$N$4</f>
        <v>0.98104277196026479</v>
      </c>
      <c r="L35" s="9">
        <f t="shared" si="3"/>
        <v>0.5</v>
      </c>
      <c r="M35" s="23">
        <f t="shared" si="2"/>
        <v>2</v>
      </c>
      <c r="N35" s="7">
        <f>(Parameters!$B$19*(E35+Parameters!$B$20)^L35+Parameters!$B$18*F35^L35)^(1/L35)</f>
        <v>0.53565402746700885</v>
      </c>
      <c r="O35" s="7">
        <f>(Parameters!$B$10*G35^Parameters!$B$9 + Parameters!$B$11*N35^Parameters!$B$9) ^ (Parameters!$B$7/Parameters!$B$9) * K35</f>
        <v>1.5070834919403935</v>
      </c>
      <c r="P35" s="7">
        <f t="shared" si="0"/>
        <v>1.149146686921817</v>
      </c>
      <c r="Q35" s="7">
        <f>EXP(-Parameters!$B$56*A35)</f>
        <v>0.62619090143635336</v>
      </c>
      <c r="R35" s="7">
        <f>IF(P35&gt;0,P35^(1-Parameters!$B$53)/(1-Parameters!$B$53)*Q35,-10+P35*1000)</f>
        <v>-1.7041479419762213</v>
      </c>
      <c r="S35" s="7"/>
      <c r="T35" s="13">
        <f t="shared" si="1"/>
        <v>0.23750296976428772</v>
      </c>
    </row>
    <row r="36" spans="1:20" x14ac:dyDescent="0.25">
      <c r="A36">
        <f>A35+Parameters!$B$71</f>
        <v>32</v>
      </c>
      <c r="B36" s="42">
        <f t="shared" ref="B36:B43" si="12">B35</f>
        <v>5.1923682538251872E-2</v>
      </c>
      <c r="C36" s="42">
        <f t="shared" si="11"/>
        <v>1.001871672679267E-2</v>
      </c>
      <c r="D36" s="42">
        <f t="shared" si="11"/>
        <v>0.29599440575353192</v>
      </c>
      <c r="E36" s="7">
        <f>MAX((1-Parameters!$B$4)^Parameters!B$71*E35+B35*Parameters!B$71-Parameters!$B$5*B35^2/E35*Parameters!B$71,0.0001)</f>
        <v>0.76985533159759534</v>
      </c>
      <c r="F36" s="9">
        <f>MAX((1-Parameters!$B$4)^Parameters!B$71*F35+C35*Parameters!B$71-Parameters!$B$5*C35^2/F35*Parameters!B$71,0.0001)</f>
        <v>0.14854386941077505</v>
      </c>
      <c r="G36" s="7">
        <f>MAX((1-Parameters!$B$4)^Parameters!B$71*G35+D35*Parameters!B$71-Parameters!$B$5*D35^2/G35*Parameters!B$71,0.0001)</f>
        <v>4.3886060615392264</v>
      </c>
      <c r="I36" s="7">
        <f>I35*(1+Parameters!$B$52)^Parameters!B$71</f>
        <v>8.9522945037225981</v>
      </c>
      <c r="J36" s="7">
        <f>J35*(1+Parameters!$B$54)^Parameters!B$71</f>
        <v>17.005200900604791</v>
      </c>
      <c r="K36" s="7">
        <f>'6states'!$N$4</f>
        <v>0.98104277196026479</v>
      </c>
      <c r="L36" s="9">
        <f t="shared" si="3"/>
        <v>0.5</v>
      </c>
      <c r="M36" s="23">
        <f t="shared" si="2"/>
        <v>2</v>
      </c>
      <c r="N36" s="7">
        <f>(Parameters!$B$19*(E36+Parameters!$B$20)^L36+Parameters!$B$18*F36^L36)^(1/L36)</f>
        <v>0.53565238496364542</v>
      </c>
      <c r="O36" s="7">
        <f>(Parameters!$B$10*G36^Parameters!$B$9 + Parameters!$B$11*N36^Parameters!$B$9) ^ (Parameters!$B$7/Parameters!$B$9) * K36</f>
        <v>1.5070821132535137</v>
      </c>
      <c r="P36" s="7">
        <f t="shared" si="0"/>
        <v>1.1491453082349372</v>
      </c>
      <c r="Q36" s="7">
        <f>EXP(-Parameters!$B$56*A36)</f>
        <v>0.61680644974664667</v>
      </c>
      <c r="R36" s="7">
        <f>IF(P36&gt;0,P36^(1-Parameters!$B$53)/(1-Parameters!$B$53)*Q36,-10+P36*1000)</f>
        <v>-1.678609320104278</v>
      </c>
      <c r="S36" s="7"/>
      <c r="T36" s="13">
        <f t="shared" ref="T36:T64" si="13">(B36+C36+D36)/O36</f>
        <v>0.23750318703329082</v>
      </c>
    </row>
    <row r="37" spans="1:20" x14ac:dyDescent="0.25">
      <c r="A37">
        <f>A36+Parameters!$B$71</f>
        <v>33</v>
      </c>
      <c r="B37" s="42">
        <f t="shared" si="12"/>
        <v>5.1923682538251872E-2</v>
      </c>
      <c r="C37" s="42">
        <f t="shared" si="11"/>
        <v>1.001871672679267E-2</v>
      </c>
      <c r="D37" s="42">
        <f t="shared" si="11"/>
        <v>0.29599440575353192</v>
      </c>
      <c r="E37" s="7">
        <f>MAX((1-Parameters!$B$4)^Parameters!B$71*E36+B36*Parameters!B$71-Parameters!$B$5*B36^2/E36*Parameters!B$71,0.0001)</f>
        <v>0.76985306774753048</v>
      </c>
      <c r="F37" s="9">
        <f>MAX((1-Parameters!$B$4)^Parameters!B$71*F36+C36*Parameters!B$71-Parameters!$B$5*C36^2/F36*Parameters!B$71,0.0001)</f>
        <v>0.14854345256826335</v>
      </c>
      <c r="G37" s="7">
        <f>MAX((1-Parameters!$B$4)^Parameters!B$71*G36+D36*Parameters!B$71-Parameters!$B$5*D36^2/G36*Parameters!B$71,0.0001)</f>
        <v>4.3885934748678572</v>
      </c>
      <c r="I37" s="7">
        <f>I36*(1+Parameters!$B$52)^Parameters!B$71</f>
        <v>8.9782561577833935</v>
      </c>
      <c r="J37" s="7">
        <f>J36*(1+Parameters!$B$54)^Parameters!B$71</f>
        <v>17.345304918616886</v>
      </c>
      <c r="K37" s="7">
        <f>'6states'!$N$4</f>
        <v>0.98104277196026479</v>
      </c>
      <c r="L37" s="9">
        <f t="shared" si="3"/>
        <v>0.5</v>
      </c>
      <c r="M37" s="23">
        <f t="shared" si="2"/>
        <v>2</v>
      </c>
      <c r="N37" s="7">
        <f>(Parameters!$B$19*(E37+Parameters!$B$20)^L37+Parameters!$B$18*F37^L37)^(1/L37)</f>
        <v>0.53565083830206872</v>
      </c>
      <c r="O37" s="7">
        <f>(Parameters!$B$10*G37^Parameters!$B$9 + Parameters!$B$11*N37^Parameters!$B$9) ^ (Parameters!$B$7/Parameters!$B$9) * K37</f>
        <v>1.5070808150117532</v>
      </c>
      <c r="P37" s="7">
        <f t="shared" si="0"/>
        <v>1.1491440099931767</v>
      </c>
      <c r="Q37" s="7">
        <f>EXP(-Parameters!$B$56*A37)</f>
        <v>0.60756263876780681</v>
      </c>
      <c r="R37" s="7">
        <f>IF(P37&gt;0,P37^(1-Parameters!$B$53)/(1-Parameters!$B$53)*Q37,-10+P37*1000)</f>
        <v>-1.6534533834169833</v>
      </c>
      <c r="S37" s="7"/>
      <c r="T37" s="13">
        <f t="shared" si="13"/>
        <v>0.23750339162520959</v>
      </c>
    </row>
    <row r="38" spans="1:20" x14ac:dyDescent="0.25">
      <c r="A38">
        <f>A37+Parameters!$B$71</f>
        <v>34</v>
      </c>
      <c r="B38" s="42">
        <f t="shared" si="12"/>
        <v>5.1923682538251872E-2</v>
      </c>
      <c r="C38" s="42">
        <f t="shared" si="11"/>
        <v>1.001871672679267E-2</v>
      </c>
      <c r="D38" s="42">
        <f t="shared" si="11"/>
        <v>0.29599440575353192</v>
      </c>
      <c r="E38" s="7">
        <f>MAX((1-Parameters!$B$4)^Parameters!B$71*E37+B37*Parameters!B$71-Parameters!$B$5*B37^2/E37*Parameters!B$71,0.0001)</f>
        <v>0.76985093599542653</v>
      </c>
      <c r="F38" s="9">
        <f>MAX((1-Parameters!$B$4)^Parameters!B$71*F37+C37*Parameters!B$71-Parameters!$B$5*C37^2/F37*Parameters!B$71,0.0001)</f>
        <v>0.14854306004892898</v>
      </c>
      <c r="G38" s="7">
        <f>MAX((1-Parameters!$B$4)^Parameters!B$71*G37+D37*Parameters!B$71-Parameters!$B$5*D37^2/G37*Parameters!B$71,0.0001)</f>
        <v>4.3885816226414658</v>
      </c>
      <c r="I38" s="7">
        <f>I37*(1+Parameters!$B$52)^Parameters!B$71</f>
        <v>9.0042931006409646</v>
      </c>
      <c r="J38" s="7">
        <f>J37*(1+Parameters!$B$54)^Parameters!B$71</f>
        <v>17.692211016989223</v>
      </c>
      <c r="K38" s="7">
        <f>'6states'!$N$4</f>
        <v>0.98104277196026479</v>
      </c>
      <c r="L38" s="9">
        <f t="shared" si="3"/>
        <v>0.5</v>
      </c>
      <c r="M38" s="23">
        <f t="shared" si="2"/>
        <v>2</v>
      </c>
      <c r="N38" s="7">
        <f>(Parameters!$B$19*(E38+Parameters!$B$20)^L38+Parameters!$B$18*F38^L38)^(1/L38)</f>
        <v>0.53564938188976774</v>
      </c>
      <c r="O38" s="7">
        <f>(Parameters!$B$10*G38^Parameters!$B$9 + Parameters!$B$11*N38^Parameters!$B$9) ^ (Parameters!$B$7/Parameters!$B$9) * K38</f>
        <v>1.5070795925213258</v>
      </c>
      <c r="P38" s="7">
        <f t="shared" si="0"/>
        <v>1.1491427875027493</v>
      </c>
      <c r="Q38" s="7">
        <f>EXP(-Parameters!$B$56*A38)</f>
        <v>0.59845736077844469</v>
      </c>
      <c r="R38" s="7">
        <f>IF(P38&gt;0,P38^(1-Parameters!$B$53)/(1-Parameters!$B$53)*Q38,-10+P38*1000)</f>
        <v>-1.628674400478046</v>
      </c>
      <c r="S38" s="7"/>
      <c r="T38" s="13">
        <f t="shared" si="13"/>
        <v>0.2375035842796813</v>
      </c>
    </row>
    <row r="39" spans="1:20" x14ac:dyDescent="0.25">
      <c r="A39">
        <f>A38+Parameters!$B$71</f>
        <v>35</v>
      </c>
      <c r="B39" s="42">
        <f t="shared" si="12"/>
        <v>5.1923682538251872E-2</v>
      </c>
      <c r="C39" s="42">
        <f t="shared" si="11"/>
        <v>1.001871672679267E-2</v>
      </c>
      <c r="D39" s="42">
        <f t="shared" si="11"/>
        <v>0.29599440575353192</v>
      </c>
      <c r="E39" s="7">
        <f>MAX((1-Parameters!$B$4)^Parameters!B$71*E38+B38*Parameters!B$71-Parameters!$B$5*B38^2/E38*Parameters!B$71,0.0001)</f>
        <v>0.76984892863317744</v>
      </c>
      <c r="F39" s="9">
        <f>MAX((1-Parameters!$B$4)^Parameters!B$71*F38+C38*Parameters!B$71-Parameters!$B$5*C38^2/F38*Parameters!B$71,0.0001)</f>
        <v>0.14854269043348053</v>
      </c>
      <c r="G39" s="7">
        <f>MAX((1-Parameters!$B$4)^Parameters!B$71*G38+D38*Parameters!B$71-Parameters!$B$5*D38^2/G38*Parameters!B$71,0.0001)</f>
        <v>4.3885704620041457</v>
      </c>
      <c r="I39" s="7">
        <f>I38*(1+Parameters!$B$52)^Parameters!B$71</f>
        <v>9.0304055506328229</v>
      </c>
      <c r="J39" s="7">
        <f>J38*(1+Parameters!$B$54)^Parameters!B$71</f>
        <v>18.046055237329007</v>
      </c>
      <c r="K39" s="7">
        <f>'6states'!$N$4</f>
        <v>0.98104277196026479</v>
      </c>
      <c r="L39" s="9">
        <f t="shared" si="3"/>
        <v>0.5</v>
      </c>
      <c r="M39" s="23">
        <f t="shared" si="2"/>
        <v>2</v>
      </c>
      <c r="N39" s="7">
        <f>(Parameters!$B$19*(E39+Parameters!$B$20)^L39+Parameters!$B$18*F39^L39)^(1/L39)</f>
        <v>0.53564801046056809</v>
      </c>
      <c r="O39" s="7">
        <f>(Parameters!$B$10*G39^Parameters!$B$9 + Parameters!$B$11*N39^Parameters!$B$9) ^ (Parameters!$B$7/Parameters!$B$9) * K39</f>
        <v>1.5070784413623037</v>
      </c>
      <c r="P39" s="7">
        <f t="shared" si="0"/>
        <v>1.1491416363437272</v>
      </c>
      <c r="Q39" s="7">
        <f>EXP(-Parameters!$B$56*A39)</f>
        <v>0.58948853964467807</v>
      </c>
      <c r="R39" s="7">
        <f>IF(P39&gt;0,P39^(1-Parameters!$B$53)/(1-Parameters!$B$53)*Q39,-10+P39*1000)</f>
        <v>-1.6042667254775933</v>
      </c>
      <c r="S39" s="7"/>
      <c r="T39" s="13">
        <f t="shared" si="13"/>
        <v>0.2375037656931939</v>
      </c>
    </row>
    <row r="40" spans="1:20" x14ac:dyDescent="0.25">
      <c r="A40">
        <f>A39+Parameters!$B$71</f>
        <v>36</v>
      </c>
      <c r="B40" s="42">
        <f t="shared" si="12"/>
        <v>5.1923682538251872E-2</v>
      </c>
      <c r="C40" s="42">
        <f t="shared" si="11"/>
        <v>1.001871672679267E-2</v>
      </c>
      <c r="D40" s="42">
        <f t="shared" si="11"/>
        <v>0.29599440575353192</v>
      </c>
      <c r="E40" s="7">
        <f>MAX((1-Parameters!$B$4)^Parameters!B$71*E39+B39*Parameters!B$71-Parameters!$B$5*B39^2/E39*Parameters!B$71,0.0001)</f>
        <v>0.76984703840246227</v>
      </c>
      <c r="F40" s="9">
        <f>MAX((1-Parameters!$B$4)^Parameters!B$71*F39+C39*Parameters!B$71-Parameters!$B$5*C39^2/F39*Parameters!B$71,0.0001)</f>
        <v>0.14854234238544528</v>
      </c>
      <c r="G40" s="7">
        <f>MAX((1-Parameters!$B$4)^Parameters!B$71*G39+D39*Parameters!B$71-Parameters!$B$5*D39^2/G39*Parameters!B$71,0.0001)</f>
        <v>4.388559952600728</v>
      </c>
      <c r="I40" s="7">
        <f>I39*(1+Parameters!$B$52)^Parameters!B$71</f>
        <v>9.0565937267296572</v>
      </c>
      <c r="J40" s="7">
        <f>J39*(1+Parameters!$B$54)^Parameters!B$71</f>
        <v>18.406976342075588</v>
      </c>
      <c r="K40" s="7">
        <f>'6states'!$N$4</f>
        <v>0.98104277196026479</v>
      </c>
      <c r="L40" s="9">
        <f t="shared" si="3"/>
        <v>0.5</v>
      </c>
      <c r="M40" s="23">
        <f t="shared" si="2"/>
        <v>2</v>
      </c>
      <c r="N40" s="7">
        <f>(Parameters!$B$19*(E40+Parameters!$B$20)^L40+Parameters!$B$18*F40^L40)^(1/L40)</f>
        <v>0.53564671905558792</v>
      </c>
      <c r="O40" s="7">
        <f>(Parameters!$B$10*G40^Parameters!$B$9 + Parameters!$B$11*N40^Parameters!$B$9) ^ (Parameters!$B$7/Parameters!$B$9) * K40</f>
        <v>1.5070773573726419</v>
      </c>
      <c r="P40" s="7">
        <f t="shared" si="0"/>
        <v>1.1491405523540654</v>
      </c>
      <c r="Q40" s="7">
        <f>EXP(-Parameters!$B$56*A40)</f>
        <v>0.58065413034674362</v>
      </c>
      <c r="R40" s="7">
        <f>IF(P40&gt;0,P40^(1-Parameters!$B$53)/(1-Parameters!$B$53)*Q40,-10+P40*1000)</f>
        <v>-1.5802247969683509</v>
      </c>
      <c r="S40" s="7"/>
      <c r="T40" s="13">
        <f t="shared" si="13"/>
        <v>0.23750393652160254</v>
      </c>
    </row>
    <row r="41" spans="1:20" x14ac:dyDescent="0.25">
      <c r="A41">
        <f>A40+Parameters!$B$71</f>
        <v>37</v>
      </c>
      <c r="B41" s="42">
        <f t="shared" si="12"/>
        <v>5.1923682538251872E-2</v>
      </c>
      <c r="C41" s="42">
        <f t="shared" si="11"/>
        <v>1.001871672679267E-2</v>
      </c>
      <c r="D41" s="42">
        <f t="shared" si="11"/>
        <v>0.29599440575353192</v>
      </c>
      <c r="E41" s="7">
        <f>MAX((1-Parameters!$B$4)^Parameters!B$71*E40+B40*Parameters!B$71-Parameters!$B$5*B40^2/E40*Parameters!B$71,0.0001)</f>
        <v>0.76984525846849894</v>
      </c>
      <c r="F41" s="9">
        <f>MAX((1-Parameters!$B$4)^Parameters!B$71*F40+C40*Parameters!B$71-Parameters!$B$5*C40^2/F40*Parameters!B$71,0.0001)</f>
        <v>0.14854201464633651</v>
      </c>
      <c r="G41" s="7">
        <f>MAX((1-Parameters!$B$4)^Parameters!B$71*G40+D40*Parameters!B$71-Parameters!$B$5*D40^2/G40*Parameters!B$71,0.0001)</f>
        <v>4.3885500564308533</v>
      </c>
      <c r="I41" s="7">
        <f>I40*(1+Parameters!$B$52)^Parameters!B$71</f>
        <v>9.0828578485371718</v>
      </c>
      <c r="J41" s="7">
        <f>J40*(1+Parameters!$B$54)^Parameters!B$71</f>
        <v>18.775115868917101</v>
      </c>
      <c r="K41" s="7">
        <f>'6states'!$N$4</f>
        <v>0.98104277196026479</v>
      </c>
      <c r="L41" s="9">
        <f t="shared" si="3"/>
        <v>0.5</v>
      </c>
      <c r="M41" s="23">
        <f t="shared" si="2"/>
        <v>2</v>
      </c>
      <c r="N41" s="7">
        <f>(Parameters!$B$19*(E41+Parameters!$B$20)^L41+Parameters!$B$18*F41^L41)^(1/L41)</f>
        <v>0.53564550300530744</v>
      </c>
      <c r="O41" s="7">
        <f>(Parameters!$B$10*G41^Parameters!$B$9 + Parameters!$B$11*N41^Parameters!$B$9) ^ (Parameters!$B$7/Parameters!$B$9) * K41</f>
        <v>1.507076336633131</v>
      </c>
      <c r="P41" s="7">
        <f t="shared" si="0"/>
        <v>1.1491395316145545</v>
      </c>
      <c r="Q41" s="7">
        <f>EXP(-Parameters!$B$56*A41)</f>
        <v>0.571952118512703</v>
      </c>
      <c r="R41" s="7">
        <f>IF(P41&gt;0,P41^(1-Parameters!$B$53)/(1-Parameters!$B$53)*Q41,-10+P41*1000)</f>
        <v>-1.5565431366193576</v>
      </c>
      <c r="S41" s="7"/>
      <c r="T41" s="13">
        <f t="shared" si="13"/>
        <v>0.23750409738249997</v>
      </c>
    </row>
    <row r="42" spans="1:20" x14ac:dyDescent="0.25">
      <c r="A42">
        <f>A41+Parameters!$B$71</f>
        <v>38</v>
      </c>
      <c r="B42" s="42">
        <f t="shared" si="12"/>
        <v>5.1923682538251872E-2</v>
      </c>
      <c r="C42" s="42">
        <f t="shared" si="11"/>
        <v>1.001871672679267E-2</v>
      </c>
      <c r="D42" s="42">
        <f t="shared" si="11"/>
        <v>0.29599440575353192</v>
      </c>
      <c r="E42" s="7">
        <f>MAX((1-Parameters!$B$4)^Parameters!B$71*E41+B41*Parameters!B$71-Parameters!$B$5*B41^2/E41*Parameters!B$71,0.0001)</f>
        <v>0.76984358239532891</v>
      </c>
      <c r="F42" s="9">
        <f>MAX((1-Parameters!$B$4)^Parameters!B$71*F41+C41*Parameters!B$71-Parameters!$B$5*C41^2/F41*Parameters!B$71,0.0001)</f>
        <v>0.14854170603110267</v>
      </c>
      <c r="G42" s="7">
        <f>MAX((1-Parameters!$B$4)^Parameters!B$71*G41+D41*Parameters!B$71-Parameters!$B$5*D41^2/G41*Parameters!B$71,0.0001)</f>
        <v>4.3885407377115602</v>
      </c>
      <c r="I42" s="7">
        <f>I41*(1+Parameters!$B$52)^Parameters!B$71</f>
        <v>9.1091981362979286</v>
      </c>
      <c r="J42" s="7">
        <f>J41*(1+Parameters!$B$54)^Parameters!B$71</f>
        <v>19.150618186295443</v>
      </c>
      <c r="K42" s="7">
        <f>'6states'!$N$4</f>
        <v>0.98104277196026479</v>
      </c>
      <c r="L42" s="9">
        <f t="shared" si="3"/>
        <v>0.5</v>
      </c>
      <c r="M42" s="23">
        <f t="shared" si="2"/>
        <v>2</v>
      </c>
      <c r="N42" s="7">
        <f>(Parameters!$B$19*(E42+Parameters!$B$20)^L42+Parameters!$B$18*F42^L42)^(1/L42)</f>
        <v>0.53564435791268272</v>
      </c>
      <c r="O42" s="7">
        <f>(Parameters!$B$10*G42^Parameters!$B$9 + Parameters!$B$11*N42^Parameters!$B$9) ^ (Parameters!$B$7/Parameters!$B$9) * K42</f>
        <v>1.5070753754532322</v>
      </c>
      <c r="P42" s="7">
        <f t="shared" si="0"/>
        <v>1.1491385704346557</v>
      </c>
      <c r="Q42" s="7">
        <f>EXP(-Parameters!$B$56*A42)</f>
        <v>0.56338051995913718</v>
      </c>
      <c r="R42" s="7">
        <f>IF(P42&gt;0,P42^(1-Parameters!$B$53)/(1-Parameters!$B$53)*Q42,-10+P42*1000)</f>
        <v>-1.5332163479870473</v>
      </c>
      <c r="S42" s="7"/>
      <c r="T42" s="13">
        <f t="shared" si="13"/>
        <v>0.23750424885744806</v>
      </c>
    </row>
    <row r="43" spans="1:20" x14ac:dyDescent="0.25">
      <c r="A43">
        <f>A42+Parameters!$B$71</f>
        <v>39</v>
      </c>
      <c r="B43" s="42">
        <f t="shared" si="12"/>
        <v>5.1923682538251872E-2</v>
      </c>
      <c r="C43" s="42">
        <f t="shared" si="11"/>
        <v>1.001871672679267E-2</v>
      </c>
      <c r="D43" s="42">
        <f t="shared" si="11"/>
        <v>0.29599440575353192</v>
      </c>
      <c r="E43" s="7">
        <f>MAX((1-Parameters!$B$4)^Parameters!B$71*E42+B42*Parameters!B$71-Parameters!$B$5*B42^2/E42*Parameters!B$71,0.0001)</f>
        <v>0.76984200412254467</v>
      </c>
      <c r="F43" s="9">
        <f>MAX((1-Parameters!$B$4)^Parameters!B$71*F42+C42*Parameters!B$71-Parameters!$B$5*C42^2/F42*Parameters!B$71,0.0001)</f>
        <v>0.14854141542384225</v>
      </c>
      <c r="G43" s="7">
        <f>MAX((1-Parameters!$B$4)^Parameters!B$71*G42+D42*Parameters!B$71-Parameters!$B$5*D42^2/G42*Parameters!B$71,0.0001)</f>
        <v>4.3885319627478925</v>
      </c>
      <c r="I43" s="7">
        <f>I42*(1+Parameters!$B$52)^Parameters!B$71</f>
        <v>9.1356148108931912</v>
      </c>
      <c r="J43" s="7">
        <f>J42*(1+Parameters!$B$54)^Parameters!B$71</f>
        <v>19.533630550021353</v>
      </c>
      <c r="K43" s="7">
        <f>'6states'!$N$4</f>
        <v>0.98104277196026479</v>
      </c>
      <c r="L43" s="9">
        <f t="shared" si="3"/>
        <v>0.5</v>
      </c>
      <c r="M43" s="23">
        <f t="shared" si="2"/>
        <v>2</v>
      </c>
      <c r="N43" s="7">
        <f>(Parameters!$B$19*(E43+Parameters!$B$20)^L43+Parameters!$B$18*F43^L43)^(1/L43)</f>
        <v>0.53564327963724556</v>
      </c>
      <c r="O43" s="7">
        <f>(Parameters!$B$10*G43^Parameters!$B$9 + Parameters!$B$11*N43^Parameters!$B$9) ^ (Parameters!$B$7/Parameters!$B$9) * K43</f>
        <v>1.5070744703577355</v>
      </c>
      <c r="P43" s="7">
        <f t="shared" si="0"/>
        <v>1.149137665339159</v>
      </c>
      <c r="Q43" s="7">
        <f>EXP(-Parameters!$B$56*A43)</f>
        <v>0.5549373802387243</v>
      </c>
      <c r="R43" s="7">
        <f>IF(P43&gt;0,P43^(1-Parameters!$B$53)/(1-Parameters!$B$53)*Q43,-10+P43*1000)</f>
        <v>-1.5102391153035433</v>
      </c>
      <c r="S43" s="7"/>
      <c r="T43" s="13">
        <f t="shared" si="13"/>
        <v>0.23750439149407973</v>
      </c>
    </row>
    <row r="44" spans="1:20" x14ac:dyDescent="0.25">
      <c r="A44">
        <f>A43+Parameters!$B$71</f>
        <v>40</v>
      </c>
      <c r="B44" s="20">
        <v>5.1923809653700789E-2</v>
      </c>
      <c r="C44" s="41">
        <v>1.0018706835576659E-2</v>
      </c>
      <c r="D44" s="19">
        <v>0.29599475031932415</v>
      </c>
      <c r="E44" s="7">
        <f>MAX((1-Parameters!$B$4)^Parameters!B$71*E43+B43*Parameters!B$71-Parameters!$B$5*B43^2/E43*Parameters!B$71,0.0001)</f>
        <v>0.76984051794337482</v>
      </c>
      <c r="F44" s="9">
        <f>MAX((1-Parameters!$B$4)^Parameters!B$71*F43+C43*Parameters!B$71-Parameters!$B$5*C43^2/F43*Parameters!B$71,0.0001)</f>
        <v>0.14854114177376868</v>
      </c>
      <c r="G44" s="7">
        <f>MAX((1-Parameters!$B$4)^Parameters!B$71*G43+D43*Parameters!B$71-Parameters!$B$5*D43^2/G43*Parameters!B$71,0.0001)</f>
        <v>4.3885236998110573</v>
      </c>
      <c r="I44" s="7">
        <f>I43*(1+Parameters!$B$52)^Parameters!B$71</f>
        <v>9.1621080938447808</v>
      </c>
      <c r="J44" s="7">
        <f>J43*(1+Parameters!$B$54)^Parameters!B$71</f>
        <v>19.924303161021779</v>
      </c>
      <c r="K44" s="7">
        <f>'6states'!$N$4</f>
        <v>0.98104277196026479</v>
      </c>
      <c r="L44" s="9">
        <f t="shared" si="3"/>
        <v>0.5</v>
      </c>
      <c r="M44" s="23">
        <f t="shared" si="2"/>
        <v>2</v>
      </c>
      <c r="N44" s="7">
        <f>(Parameters!$B$19*(E44+Parameters!$B$20)^L44+Parameters!$B$18*F44^L44)^(1/L44)</f>
        <v>0.5356422642801324</v>
      </c>
      <c r="O44" s="7">
        <f>(Parameters!$B$10*G44^Parameters!$B$9 + Parameters!$B$11*N44^Parameters!$B$9) ^ (Parameters!$B$7/Parameters!$B$9) * K44</f>
        <v>1.507073618074197</v>
      </c>
      <c r="P44" s="7">
        <f t="shared" si="0"/>
        <v>1.1491363512655957</v>
      </c>
      <c r="Q44" s="7">
        <f>EXP(-Parameters!$B$56*A44)</f>
        <v>0.54662077419459754</v>
      </c>
      <c r="R44" s="7">
        <f>IF(P44&gt;0,P44^(1-Parameters!$B$53)/(1-Parameters!$B$53)*Q44,-10+P44*1000)</f>
        <v>-1.4876064115143917</v>
      </c>
      <c r="S44" s="7"/>
      <c r="T44" s="13">
        <f t="shared" si="13"/>
        <v>0.23750483222311936</v>
      </c>
    </row>
    <row r="45" spans="1:20" x14ac:dyDescent="0.25">
      <c r="A45">
        <f>A44+Parameters!$B$71</f>
        <v>41</v>
      </c>
      <c r="B45" s="42">
        <f>B44</f>
        <v>5.1923809653700789E-2</v>
      </c>
      <c r="C45" s="42">
        <f t="shared" ref="C45:D53" si="14">C44</f>
        <v>1.0018706835576659E-2</v>
      </c>
      <c r="D45" s="42">
        <f t="shared" si="14"/>
        <v>0.29599475031932415</v>
      </c>
      <c r="E45" s="7">
        <f>MAX((1-Parameters!$B$4)^Parameters!B$71*E44+B44*Parameters!B$71-Parameters!$B$5*B44^2/E44*Parameters!B$71,0.0001)</f>
        <v>0.76983922845228281</v>
      </c>
      <c r="F45" s="9">
        <f>MAX((1-Parameters!$B$4)^Parameters!B$71*F44+C44*Parameters!B$71-Parameters!$B$5*C44^2/F44*Parameters!B$71,0.0001)</f>
        <v>0.1485408755344679</v>
      </c>
      <c r="G45" s="7">
        <f>MAX((1-Parameters!$B$4)^Parameters!B$71*G44+D44*Parameters!B$71-Parameters!$B$5*D44^2/G44*Parameters!B$71,0.0001)</f>
        <v>4.3885162171093421</v>
      </c>
      <c r="I45" s="7">
        <f>I44*(1+Parameters!$B$52)^Parameters!B$71</f>
        <v>9.1886782073169293</v>
      </c>
      <c r="J45" s="7">
        <f>J44*(1+Parameters!$B$54)^Parameters!B$71</f>
        <v>20.322789224242214</v>
      </c>
      <c r="K45" s="7">
        <f>'6states'!$N$4</f>
        <v>0.98104277196026479</v>
      </c>
      <c r="L45" s="9">
        <f t="shared" si="3"/>
        <v>0.5</v>
      </c>
      <c r="M45" s="23">
        <f t="shared" si="2"/>
        <v>2</v>
      </c>
      <c r="N45" s="7">
        <f>(Parameters!$B$19*(E45+Parameters!$B$20)^L45+Parameters!$B$18*F45^L45)^(1/L45)</f>
        <v>0.53564136668059559</v>
      </c>
      <c r="O45" s="7">
        <f>(Parameters!$B$10*G45^Parameters!$B$9 + Parameters!$B$11*N45^Parameters!$B$9) ^ (Parameters!$B$7/Parameters!$B$9) * K45</f>
        <v>1.5070728494923016</v>
      </c>
      <c r="P45" s="7">
        <f t="shared" si="0"/>
        <v>1.1491355826837002</v>
      </c>
      <c r="Q45" s="7">
        <f>EXP(-Parameters!$B$56*A45)</f>
        <v>0.53842880552138184</v>
      </c>
      <c r="R45" s="7">
        <f>IF(P45&gt;0,P45^(1-Parameters!$B$53)/(1-Parameters!$B$53)*Q45,-10+P45*1000)</f>
        <v>-1.465312641874291</v>
      </c>
      <c r="S45" s="7"/>
      <c r="T45" s="13">
        <f t="shared" si="13"/>
        <v>0.23750495334660332</v>
      </c>
    </row>
    <row r="46" spans="1:20" x14ac:dyDescent="0.25">
      <c r="A46">
        <f>A45+Parameters!$B$71</f>
        <v>42</v>
      </c>
      <c r="B46" s="42">
        <f t="shared" ref="B46:B53" si="15">B45</f>
        <v>5.1923809653700789E-2</v>
      </c>
      <c r="C46" s="42">
        <f t="shared" si="14"/>
        <v>1.0018706835576659E-2</v>
      </c>
      <c r="D46" s="42">
        <f t="shared" si="14"/>
        <v>0.29599475031932415</v>
      </c>
      <c r="E46" s="7">
        <f>MAX((1-Parameters!$B$4)^Parameters!B$71*E45+B45*Parameters!B$71-Parameters!$B$5*B45^2/E45*Parameters!B$71,0.0001)</f>
        <v>0.76983801420406461</v>
      </c>
      <c r="F46" s="9">
        <f>MAX((1-Parameters!$B$4)^Parameters!B$71*F45+C45*Parameters!B$71-Parameters!$B$5*C45^2/F45*Parameters!B$71,0.0001)</f>
        <v>0.14854062483045569</v>
      </c>
      <c r="G46" s="7">
        <f>MAX((1-Parameters!$B$4)^Parameters!B$71*G45+D45*Parameters!B$71-Parameters!$B$5*D45^2/G45*Parameters!B$71,0.0001)</f>
        <v>4.3885091710295061</v>
      </c>
      <c r="I46" s="7">
        <f>I45*(1+Parameters!$B$52)^Parameters!B$71</f>
        <v>9.215325374118148</v>
      </c>
      <c r="J46" s="7">
        <f>J45*(1+Parameters!$B$54)^Parameters!B$71</f>
        <v>20.729245008727059</v>
      </c>
      <c r="K46" s="7">
        <f>'6states'!$N$4</f>
        <v>0.98104277196026479</v>
      </c>
      <c r="L46" s="9">
        <f t="shared" si="3"/>
        <v>0.5</v>
      </c>
      <c r="M46" s="23">
        <f t="shared" si="2"/>
        <v>2</v>
      </c>
      <c r="N46" s="7">
        <f>(Parameters!$B$19*(E46+Parameters!$B$20)^L46+Parameters!$B$18*F46^L46)^(1/L46)</f>
        <v>0.53564052145673791</v>
      </c>
      <c r="O46" s="7">
        <f>(Parameters!$B$10*G46^Parameters!$B$9 + Parameters!$B$11*N46^Parameters!$B$9) ^ (Parameters!$B$7/Parameters!$B$9) * K46</f>
        <v>1.5070721257569635</v>
      </c>
      <c r="P46" s="7">
        <f t="shared" si="0"/>
        <v>1.1491348589483621</v>
      </c>
      <c r="Q46" s="7">
        <f>EXP(-Parameters!$B$56*A46)</f>
        <v>0.53035960633280899</v>
      </c>
      <c r="R46" s="7">
        <f>IF(P46&gt;0,P46^(1-Parameters!$B$53)/(1-Parameters!$B$53)*Q46,-10+P46*1000)</f>
        <v>-1.4433529544436809</v>
      </c>
      <c r="S46" s="7"/>
      <c r="T46" s="13">
        <f t="shared" si="13"/>
        <v>0.23750506740267585</v>
      </c>
    </row>
    <row r="47" spans="1:20" x14ac:dyDescent="0.25">
      <c r="A47">
        <f>A46+Parameters!$B$71</f>
        <v>43</v>
      </c>
      <c r="B47" s="42">
        <f t="shared" si="15"/>
        <v>5.1923809653700789E-2</v>
      </c>
      <c r="C47" s="42">
        <f t="shared" si="14"/>
        <v>1.0018706835576659E-2</v>
      </c>
      <c r="D47" s="42">
        <f t="shared" si="14"/>
        <v>0.29599475031932415</v>
      </c>
      <c r="E47" s="7">
        <f>MAX((1-Parameters!$B$4)^Parameters!B$71*E46+B46*Parameters!B$71-Parameters!$B$5*B46^2/E46*Parameters!B$71,0.0001)</f>
        <v>0.76983687080821817</v>
      </c>
      <c r="F47" s="9">
        <f>MAX((1-Parameters!$B$4)^Parameters!B$71*F46+C46*Parameters!B$71-Parameters!$B$5*C46^2/F46*Parameters!B$71,0.0001)</f>
        <v>0.14854038875523079</v>
      </c>
      <c r="G47" s="7">
        <f>MAX((1-Parameters!$B$4)^Parameters!B$71*G46+D46*Parameters!B$71-Parameters!$B$5*D46^2/G46*Parameters!B$71,0.0001)</f>
        <v>4.3885025360941938</v>
      </c>
      <c r="I47" s="7">
        <f>I46*(1+Parameters!$B$52)^Parameters!B$71</f>
        <v>9.242049817703089</v>
      </c>
      <c r="J47" s="7">
        <f>J46*(1+Parameters!$B$54)^Parameters!B$71</f>
        <v>21.143829908901601</v>
      </c>
      <c r="K47" s="7">
        <f>'6states'!$N$4</f>
        <v>0.98104277196026479</v>
      </c>
      <c r="L47" s="9">
        <f t="shared" si="3"/>
        <v>0.5</v>
      </c>
      <c r="M47" s="23">
        <f t="shared" si="2"/>
        <v>2</v>
      </c>
      <c r="N47" s="7">
        <f>(Parameters!$B$19*(E47+Parameters!$B$20)^L47+Parameters!$B$18*F47^L47)^(1/L47)</f>
        <v>0.5356397255523816</v>
      </c>
      <c r="O47" s="7">
        <f>(Parameters!$B$10*G47^Parameters!$B$9 + Parameters!$B$11*N47^Parameters!$B$9) ^ (Parameters!$B$7/Parameters!$B$9) * K47</f>
        <v>1.5070714442514328</v>
      </c>
      <c r="P47" s="7">
        <f t="shared" si="0"/>
        <v>1.1491341774428314</v>
      </c>
      <c r="Q47" s="7">
        <f>EXP(-Parameters!$B$56*A47)</f>
        <v>0.52241133673581286</v>
      </c>
      <c r="R47" s="7">
        <f>IF(P47&gt;0,P47^(1-Parameters!$B$53)/(1-Parameters!$B$53)*Q47,-10+P47*1000)</f>
        <v>-1.4217223442782785</v>
      </c>
      <c r="S47" s="7"/>
      <c r="T47" s="13">
        <f t="shared" si="13"/>
        <v>0.23750517480370029</v>
      </c>
    </row>
    <row r="48" spans="1:20" x14ac:dyDescent="0.25">
      <c r="A48">
        <f>A47+Parameters!$B$71</f>
        <v>44</v>
      </c>
      <c r="B48" s="42">
        <f t="shared" si="15"/>
        <v>5.1923809653700789E-2</v>
      </c>
      <c r="C48" s="42">
        <f t="shared" si="14"/>
        <v>1.0018706835576659E-2</v>
      </c>
      <c r="D48" s="42">
        <f t="shared" si="14"/>
        <v>0.29599475031932415</v>
      </c>
      <c r="E48" s="7">
        <f>MAX((1-Parameters!$B$4)^Parameters!B$71*E47+B47*Parameters!B$71-Parameters!$B$5*B47^2/E47*Parameters!B$71,0.0001)</f>
        <v>0.7698357941304339</v>
      </c>
      <c r="F48" s="9">
        <f>MAX((1-Parameters!$B$4)^Parameters!B$71*F47+C47*Parameters!B$71-Parameters!$B$5*C47^2/F47*Parameters!B$71,0.0001)</f>
        <v>0.14854016645518783</v>
      </c>
      <c r="G48" s="7">
        <f>MAX((1-Parameters!$B$4)^Parameters!B$71*G47+D47*Parameters!B$71-Parameters!$B$5*D47^2/G47*Parameters!B$71,0.0001)</f>
        <v>4.3884962883126901</v>
      </c>
      <c r="I48" s="7">
        <f>I47*(1+Parameters!$B$52)^Parameters!B$71</f>
        <v>9.2688517621744264</v>
      </c>
      <c r="J48" s="7">
        <f>J47*(1+Parameters!$B$54)^Parameters!B$71</f>
        <v>21.566706507079633</v>
      </c>
      <c r="K48" s="7">
        <f>'6states'!$N$4</f>
        <v>0.98104277196026479</v>
      </c>
      <c r="L48" s="9">
        <f t="shared" si="3"/>
        <v>0.5</v>
      </c>
      <c r="M48" s="23">
        <f t="shared" si="2"/>
        <v>2</v>
      </c>
      <c r="N48" s="7">
        <f>(Parameters!$B$19*(E48+Parameters!$B$20)^L48+Parameters!$B$18*F48^L48)^(1/L48)</f>
        <v>0.53563897608968325</v>
      </c>
      <c r="O48" s="7">
        <f>(Parameters!$B$10*G48^Parameters!$B$9 + Parameters!$B$11*N48^Parameters!$B$9) ^ (Parameters!$B$7/Parameters!$B$9) * K48</f>
        <v>1.5070708025116395</v>
      </c>
      <c r="P48" s="7">
        <f t="shared" si="0"/>
        <v>1.1491335357030381</v>
      </c>
      <c r="Q48" s="7">
        <f>EXP(-Parameters!$B$56*A48)</f>
        <v>0.51458218441100756</v>
      </c>
      <c r="R48" s="7">
        <f>IF(P48&gt;0,P48^(1-Parameters!$B$53)/(1-Parameters!$B$53)*Q48,-10+P48*1000)</f>
        <v>-1.4004158813102339</v>
      </c>
      <c r="S48" s="7"/>
      <c r="T48" s="13">
        <f t="shared" si="13"/>
        <v>0.23750527593798113</v>
      </c>
    </row>
    <row r="49" spans="1:20" x14ac:dyDescent="0.25">
      <c r="A49">
        <f>A48+Parameters!$B$71</f>
        <v>45</v>
      </c>
      <c r="B49" s="42">
        <f t="shared" si="15"/>
        <v>5.1923809653700789E-2</v>
      </c>
      <c r="C49" s="42">
        <f t="shared" si="14"/>
        <v>1.0018706835576659E-2</v>
      </c>
      <c r="D49" s="42">
        <f t="shared" si="14"/>
        <v>0.29599475031932415</v>
      </c>
      <c r="E49" s="7">
        <f>MAX((1-Parameters!$B$4)^Parameters!B$71*E48+B48*Parameters!B$71-Parameters!$B$5*B48^2/E48*Parameters!B$71,0.0001)</f>
        <v>0.76983478027764551</v>
      </c>
      <c r="F49" s="9">
        <f>MAX((1-Parameters!$B$4)^Parameters!B$71*F48+C48*Parameters!B$71-Parameters!$B$5*C48^2/F48*Parameters!B$71,0.0001)</f>
        <v>0.14853995712653059</v>
      </c>
      <c r="G49" s="7">
        <f>MAX((1-Parameters!$B$4)^Parameters!B$71*G48+D48*Parameters!B$71-Parameters!$B$5*D48^2/G48*Parameters!B$71,0.0001)</f>
        <v>4.3884904050941769</v>
      </c>
      <c r="I49" s="7">
        <f>I48*(1+Parameters!$B$52)^Parameters!B$71</f>
        <v>9.2957314322847306</v>
      </c>
      <c r="J49" s="7">
        <f>J48*(1+Parameters!$B$54)^Parameters!B$71</f>
        <v>21.998040637221226</v>
      </c>
      <c r="K49" s="7">
        <f>'6states'!$N$4</f>
        <v>0.98104277196026479</v>
      </c>
      <c r="L49" s="9">
        <f t="shared" si="3"/>
        <v>0.5</v>
      </c>
      <c r="M49" s="23">
        <f t="shared" si="2"/>
        <v>2</v>
      </c>
      <c r="N49" s="7">
        <f>(Parameters!$B$19*(E49+Parameters!$B$20)^L49+Parameters!$B$18*F49^L49)^(1/L49)</f>
        <v>0.53563827035872424</v>
      </c>
      <c r="O49" s="7">
        <f>(Parameters!$B$10*G49^Parameters!$B$9 + Parameters!$B$11*N49^Parameters!$B$9) ^ (Parameters!$B$7/Parameters!$B$9) * K49</f>
        <v>1.5070701982172872</v>
      </c>
      <c r="P49" s="7">
        <f t="shared" si="0"/>
        <v>1.1491329314086858</v>
      </c>
      <c r="Q49" s="7">
        <f>EXP(-Parameters!$B$56*A49)</f>
        <v>0.50687036419945219</v>
      </c>
      <c r="R49" s="7">
        <f>IF(P49&gt;0,P49^(1-Parameters!$B$53)/(1-Parameters!$B$53)*Q49,-10+P49*1000)</f>
        <v>-1.3794287092354449</v>
      </c>
      <c r="S49" s="7"/>
      <c r="T49" s="13">
        <f t="shared" si="13"/>
        <v>0.23750537117116741</v>
      </c>
    </row>
    <row r="50" spans="1:20" x14ac:dyDescent="0.25">
      <c r="A50">
        <f>A49+Parameters!$B$71</f>
        <v>46</v>
      </c>
      <c r="B50" s="42">
        <f t="shared" si="15"/>
        <v>5.1923809653700789E-2</v>
      </c>
      <c r="C50" s="42">
        <f t="shared" si="14"/>
        <v>1.0018706835576659E-2</v>
      </c>
      <c r="D50" s="42">
        <f t="shared" si="14"/>
        <v>0.29599475031932415</v>
      </c>
      <c r="E50" s="7">
        <f>MAX((1-Parameters!$B$4)^Parameters!B$71*E49+B49*Parameters!B$71-Parameters!$B$5*B49^2/E49*Parameters!B$71,0.0001)</f>
        <v>0.76983382558395252</v>
      </c>
      <c r="F50" s="9">
        <f>MAX((1-Parameters!$B$4)^Parameters!B$71*F49+C49*Parameters!B$71-Parameters!$B$5*C49^2/F49*Parameters!B$71,0.0001)</f>
        <v>0.14853976001236555</v>
      </c>
      <c r="G50" s="7">
        <f>MAX((1-Parameters!$B$4)^Parameters!B$71*G49+D49*Parameters!B$71-Parameters!$B$5*D49^2/G49*Parameters!B$71,0.0001)</f>
        <v>4.388484865166042</v>
      </c>
      <c r="I50" s="7">
        <f>I49*(1+Parameters!$B$52)^Parameters!B$71</f>
        <v>9.3226890534383546</v>
      </c>
      <c r="J50" s="7">
        <f>J49*(1+Parameters!$B$54)^Parameters!B$71</f>
        <v>22.43800144996565</v>
      </c>
      <c r="K50" s="7">
        <f>'6states'!$N$4</f>
        <v>0.98104277196026479</v>
      </c>
      <c r="L50" s="9">
        <f t="shared" si="3"/>
        <v>0.5</v>
      </c>
      <c r="M50" s="23">
        <f t="shared" si="2"/>
        <v>2</v>
      </c>
      <c r="N50" s="7">
        <f>(Parameters!$B$19*(E50+Parameters!$B$20)^L50+Parameters!$B$18*F50^L50)^(1/L50)</f>
        <v>0.53563760580771458</v>
      </c>
      <c r="O50" s="7">
        <f>(Parameters!$B$10*G50^Parameters!$B$9 + Parameters!$B$11*N50^Parameters!$B$9) ^ (Parameters!$B$7/Parameters!$B$9) * K50</f>
        <v>1.5070696291834638</v>
      </c>
      <c r="P50" s="7">
        <f t="shared" si="0"/>
        <v>1.1491323623748624</v>
      </c>
      <c r="Q50" s="7">
        <f>EXP(-Parameters!$B$56*A50)</f>
        <v>0.49927411769560981</v>
      </c>
      <c r="R50" s="7">
        <f>IF(P50&gt;0,P50^(1-Parameters!$B$53)/(1-Parameters!$B$53)*Q50,-10+P50*1000)</f>
        <v>-1.3587560444168616</v>
      </c>
      <c r="S50" s="7"/>
      <c r="T50" s="13">
        <f t="shared" si="13"/>
        <v>0.2375054608475744</v>
      </c>
    </row>
    <row r="51" spans="1:20" x14ac:dyDescent="0.25">
      <c r="A51">
        <f>A50+Parameters!$B$71</f>
        <v>47</v>
      </c>
      <c r="B51" s="42">
        <f t="shared" si="15"/>
        <v>5.1923809653700789E-2</v>
      </c>
      <c r="C51" s="42">
        <f t="shared" si="14"/>
        <v>1.0018706835576659E-2</v>
      </c>
      <c r="D51" s="42">
        <f t="shared" si="14"/>
        <v>0.29599475031932415</v>
      </c>
      <c r="E51" s="7">
        <f>MAX((1-Parameters!$B$4)^Parameters!B$71*E50+B50*Parameters!B$71-Parameters!$B$5*B50^2/E50*Parameters!B$71,0.0001)</f>
        <v>0.76983292659736469</v>
      </c>
      <c r="F51" s="9">
        <f>MAX((1-Parameters!$B$4)^Parameters!B$71*F50+C50*Parameters!B$71-Parameters!$B$5*C50^2/F50*Parameters!B$71,0.0001)</f>
        <v>0.14853957439996499</v>
      </c>
      <c r="G51" s="7">
        <f>MAX((1-Parameters!$B$4)^Parameters!B$71*G50+D50*Parameters!B$71-Parameters!$B$5*D50^2/G50*Parameters!B$71,0.0001)</f>
        <v>4.3884796484969577</v>
      </c>
      <c r="I51" s="7">
        <f>I50*(1+Parameters!$B$52)^Parameters!B$71</f>
        <v>9.3497248516933258</v>
      </c>
      <c r="J51" s="7">
        <f>J50*(1+Parameters!$B$54)^Parameters!B$71</f>
        <v>22.886761478964964</v>
      </c>
      <c r="K51" s="7">
        <f>'6states'!$N$4</f>
        <v>0.98104277196026479</v>
      </c>
      <c r="L51" s="9">
        <f t="shared" si="3"/>
        <v>0.5</v>
      </c>
      <c r="M51" s="23">
        <f t="shared" si="2"/>
        <v>2</v>
      </c>
      <c r="N51" s="7">
        <f>(Parameters!$B$19*(E51+Parameters!$B$20)^L51+Parameters!$B$18*F51^L51)^(1/L51)</f>
        <v>0.53563698003376425</v>
      </c>
      <c r="O51" s="7">
        <f>(Parameters!$B$10*G51^Parameters!$B$9 + Parameters!$B$11*N51^Parameters!$B$9) ^ (Parameters!$B$7/Parameters!$B$9) * K51</f>
        <v>1.5070690933527411</v>
      </c>
      <c r="P51" s="7">
        <f t="shared" si="0"/>
        <v>1.1491318265441397</v>
      </c>
      <c r="Q51" s="7">
        <f>EXP(-Parameters!$B$56*A51)</f>
        <v>0.49179171284640477</v>
      </c>
      <c r="R51" s="7">
        <f>IF(P51&gt;0,P51^(1-Parameters!$B$53)/(1-Parameters!$B$53)*Q51,-10+P51*1000)</f>
        <v>-1.338393174803592</v>
      </c>
      <c r="S51" s="7"/>
      <c r="T51" s="13">
        <f t="shared" si="13"/>
        <v>0.23750554529142856</v>
      </c>
    </row>
    <row r="52" spans="1:20" x14ac:dyDescent="0.25">
      <c r="A52">
        <f>A51+Parameters!$B$71</f>
        <v>48</v>
      </c>
      <c r="B52" s="42">
        <f t="shared" si="15"/>
        <v>5.1923809653700789E-2</v>
      </c>
      <c r="C52" s="42">
        <f t="shared" si="14"/>
        <v>1.0018706835576659E-2</v>
      </c>
      <c r="D52" s="42">
        <f t="shared" si="14"/>
        <v>0.29599475031932415</v>
      </c>
      <c r="E52" s="7">
        <f>MAX((1-Parameters!$B$4)^Parameters!B$71*E51+B51*Parameters!B$71-Parameters!$B$5*B51^2/E51*Parameters!B$71,0.0001)</f>
        <v>0.76983208006732018</v>
      </c>
      <c r="F52" s="9">
        <f>MAX((1-Parameters!$B$4)^Parameters!B$71*F51+C51*Parameters!B$71-Parameters!$B$5*C51^2/F51*Parameters!B$71,0.0001)</f>
        <v>0.14853939961818982</v>
      </c>
      <c r="G52" s="7">
        <f>MAX((1-Parameters!$B$4)^Parameters!B$71*G51+D51*Parameters!B$71-Parameters!$B$5*D51^2/G51*Parameters!B$71,0.0001)</f>
        <v>4.3884747362244543</v>
      </c>
      <c r="I52" s="7">
        <f>I51*(1+Parameters!$B$52)^Parameters!B$71</f>
        <v>9.376839053763236</v>
      </c>
      <c r="J52" s="7">
        <f>J51*(1+Parameters!$B$54)^Parameters!B$71</f>
        <v>23.344496708544263</v>
      </c>
      <c r="K52" s="7">
        <f>'6states'!$N$4</f>
        <v>0.98104277196026479</v>
      </c>
      <c r="L52" s="9">
        <f t="shared" si="3"/>
        <v>0.5</v>
      </c>
      <c r="M52" s="23">
        <f t="shared" si="2"/>
        <v>2</v>
      </c>
      <c r="N52" s="7">
        <f>(Parameters!$B$19*(E52+Parameters!$B$20)^L52+Parameters!$B$18*F52^L52)^(1/L52)</f>
        <v>0.53563639077419567</v>
      </c>
      <c r="O52" s="7">
        <f>(Parameters!$B$10*G52^Parameters!$B$9 + Parameters!$B$11*N52^Parameters!$B$9) ^ (Parameters!$B$7/Parameters!$B$9) * K52</f>
        <v>1.5070685887877389</v>
      </c>
      <c r="P52" s="7">
        <f t="shared" si="0"/>
        <v>1.1491313219791375</v>
      </c>
      <c r="Q52" s="7">
        <f>EXP(-Parameters!$B$56*A52)</f>
        <v>0.48442144355629069</v>
      </c>
      <c r="R52" s="7">
        <f>IF(P52&gt;0,P52^(1-Parameters!$B$53)/(1-Parameters!$B$53)*Q52,-10+P52*1000)</f>
        <v>-1.3183354588656169</v>
      </c>
      <c r="S52" s="7"/>
      <c r="T52" s="13">
        <f t="shared" si="13"/>
        <v>0.23750562480803905</v>
      </c>
    </row>
    <row r="53" spans="1:20" x14ac:dyDescent="0.25">
      <c r="A53">
        <f>A52+Parameters!$B$71</f>
        <v>49</v>
      </c>
      <c r="B53" s="42">
        <f t="shared" si="15"/>
        <v>5.1923809653700789E-2</v>
      </c>
      <c r="C53" s="42">
        <f t="shared" si="14"/>
        <v>1.0018706835576659E-2</v>
      </c>
      <c r="D53" s="42">
        <f t="shared" si="14"/>
        <v>0.29599475031932415</v>
      </c>
      <c r="E53" s="7">
        <f>MAX((1-Parameters!$B$4)^Parameters!B$71*E52+B52*Parameters!B$71-Parameters!$B$5*B52^2/E52*Parameters!B$71,0.0001)</f>
        <v>0.76983128293293146</v>
      </c>
      <c r="F53" s="9">
        <f>MAX((1-Parameters!$B$4)^Parameters!B$71*F52+C52*Parameters!B$71-Parameters!$B$5*C52^2/F52*Parameters!B$71,0.0001)</f>
        <v>0.14853923503506292</v>
      </c>
      <c r="G53" s="7">
        <f>MAX((1-Parameters!$B$4)^Parameters!B$71*G52+D52*Parameters!B$71-Parameters!$B$5*D52^2/G52*Parameters!B$71,0.0001)</f>
        <v>4.3884701105867086</v>
      </c>
      <c r="I53" s="7">
        <f>I52*(1+Parameters!$B$52)^Parameters!B$71</f>
        <v>9.4040318870191477</v>
      </c>
      <c r="J53" s="7">
        <f>J52*(1+Parameters!$B$54)^Parameters!B$71</f>
        <v>23.811386642715149</v>
      </c>
      <c r="K53" s="7">
        <f>'6states'!$N$4</f>
        <v>0.98104277196026479</v>
      </c>
      <c r="L53" s="9">
        <f t="shared" si="3"/>
        <v>0.5</v>
      </c>
      <c r="M53" s="23">
        <f t="shared" si="2"/>
        <v>2</v>
      </c>
      <c r="N53" s="7">
        <f>(Parameters!$B$19*(E53+Parameters!$B$20)^L53+Parameters!$B$18*F53^L53)^(1/L53)</f>
        <v>0.53563583589836072</v>
      </c>
      <c r="O53" s="7">
        <f>(Parameters!$B$10*G53^Parameters!$B$9 + Parameters!$B$11*N53^Parameters!$B$9) ^ (Parameters!$B$7/Parameters!$B$9) * K53</f>
        <v>1.50706811366412</v>
      </c>
      <c r="P53" s="7">
        <f t="shared" si="0"/>
        <v>1.1491308468555186</v>
      </c>
      <c r="Q53" s="7">
        <f>EXP(-Parameters!$B$56*A53)</f>
        <v>0.47716162929823552</v>
      </c>
      <c r="R53" s="7">
        <f>IF(P53&gt;0,P53^(1-Parameters!$B$53)/(1-Parameters!$B$53)*Q53,-10+P53*1000)</f>
        <v>-1.2985783245439213</v>
      </c>
      <c r="S53" s="7"/>
      <c r="T53" s="13">
        <f t="shared" si="13"/>
        <v>0.23750569968490159</v>
      </c>
    </row>
    <row r="54" spans="1:20" s="4" customFormat="1" x14ac:dyDescent="0.25">
      <c r="A54">
        <f>A53+Parameters!$B$71</f>
        <v>50</v>
      </c>
      <c r="B54" s="20">
        <v>5.1923789394424727E-2</v>
      </c>
      <c r="C54" s="41">
        <v>1.0018743654138964E-2</v>
      </c>
      <c r="D54" s="19">
        <v>0.29599491710876957</v>
      </c>
      <c r="E54" s="7">
        <f>MAX((1-Parameters!$B$4)^Parameters!B$71*E53+B53*Parameters!B$71-Parameters!$B$5*B53^2/E53*Parameters!B$71,0.0001)</f>
        <v>0.76983053231191778</v>
      </c>
      <c r="F54" s="9">
        <f>MAX((1-Parameters!$B$4)^Parameters!B$71*F53+C53*Parameters!B$71-Parameters!$B$5*C53^2/F53*Parameters!B$71,0.0001)</f>
        <v>0.14853908005548369</v>
      </c>
      <c r="G54" s="7">
        <f>MAX((1-Parameters!$B$4)^Parameters!B$71*G53+D53*Parameters!B$71-Parameters!$B$5*D53^2/G53*Parameters!B$71,0.0001)</f>
        <v>4.3884657548583235</v>
      </c>
      <c r="H54" s="7"/>
      <c r="I54" s="7">
        <f>I53*(1+Parameters!$B$52)^Parameters!B$71</f>
        <v>9.4313035794915017</v>
      </c>
      <c r="J54" s="7">
        <f>J53*(1+Parameters!$B$54)^Parameters!B$71</f>
        <v>24.287614375569454</v>
      </c>
      <c r="K54" s="7">
        <f>'6states'!$N$4</f>
        <v>0.98104277196026479</v>
      </c>
      <c r="L54" s="9">
        <f t="shared" si="3"/>
        <v>0.5</v>
      </c>
      <c r="M54" s="23">
        <f t="shared" si="2"/>
        <v>2</v>
      </c>
      <c r="N54" s="7">
        <f>(Parameters!$B$19*(E54+Parameters!$B$20)^L54+Parameters!$B$18*F54^L54)^(1/L54)</f>
        <v>0.53563531339993764</v>
      </c>
      <c r="O54" s="7">
        <f>(Parameters!$B$10*G54^Parameters!$B$9 + Parameters!$B$11*N54^Parameters!$B$9) ^ (Parameters!$B$7/Parameters!$B$9) * K54</f>
        <v>1.5070676662639932</v>
      </c>
      <c r="P54" s="7">
        <f t="shared" si="0"/>
        <v>1.1491302161066601</v>
      </c>
      <c r="Q54" s="17">
        <f>EXP(-Parameters!$B$56*A54)</f>
        <v>0.4700106147305379</v>
      </c>
      <c r="R54" s="7">
        <f>IF(P54&gt;0,P54^(1-Parameters!$B$53)/(1-Parameters!$B$53)*Q54,-10+P54*1000)</f>
        <v>-1.2791173396469082</v>
      </c>
      <c r="S54" s="7"/>
      <c r="T54" s="13">
        <f t="shared" si="13"/>
        <v>0.23750589185199419</v>
      </c>
    </row>
    <row r="55" spans="1:20" x14ac:dyDescent="0.25">
      <c r="A55">
        <f>A54+Parameters!$B$71</f>
        <v>51</v>
      </c>
      <c r="B55" s="42">
        <f>B54</f>
        <v>5.1923789394424727E-2</v>
      </c>
      <c r="C55" s="42">
        <f t="shared" ref="C55:D63" si="16">C54</f>
        <v>1.0018743654138964E-2</v>
      </c>
      <c r="D55" s="42">
        <f t="shared" si="16"/>
        <v>0.29599491710876957</v>
      </c>
      <c r="E55" s="7">
        <f>MAX((1-Parameters!$B$4)^Parameters!B$71*E54+B54*Parameters!B$71-Parameters!$B$5*B54^2/E54*Parameters!B$71,0.0001)</f>
        <v>0.76982980796381617</v>
      </c>
      <c r="F55" s="9">
        <f>MAX((1-Parameters!$B$4)^Parameters!B$71*F54+C54*Parameters!B$71-Parameters!$B$5*C54^2/F54*Parameters!B$71,0.0001)</f>
        <v>0.14853896597093164</v>
      </c>
      <c r="G55" s="7">
        <f>MAX((1-Parameters!$B$4)^Parameters!B$71*G54+D54*Parameters!B$71-Parameters!$B$5*D54^2/G54*Parameters!B$71,0.0001)</f>
        <v>4.3884617975799438</v>
      </c>
      <c r="I55" s="7">
        <f>I54*(1+Parameters!$B$52)^Parameters!B$71</f>
        <v>9.4586543598720265</v>
      </c>
      <c r="J55" s="7">
        <f>J54*(1+Parameters!$B$54)^Parameters!B$71</f>
        <v>24.773366663080843</v>
      </c>
      <c r="K55" s="7">
        <f>'6states'!$N$4</f>
        <v>0.98104277196026479</v>
      </c>
      <c r="L55" s="9">
        <f t="shared" si="3"/>
        <v>0.5</v>
      </c>
      <c r="M55" s="23">
        <f t="shared" si="2"/>
        <v>2</v>
      </c>
      <c r="N55" s="7">
        <f>(Parameters!$B$19*(E55+Parameters!$B$20)^L55+Parameters!$B$18*F55^L55)^(1/L55)</f>
        <v>0.53563482965496245</v>
      </c>
      <c r="O55" s="7">
        <f>(Parameters!$B$10*G55^Parameters!$B$9 + Parameters!$B$11*N55^Parameters!$B$9) ^ (Parameters!$B$7/Parameters!$B$9) * K55</f>
        <v>1.5070672584576867</v>
      </c>
      <c r="P55" s="7">
        <f t="shared" si="0"/>
        <v>1.1491298083003536</v>
      </c>
      <c r="Q55" s="7">
        <f>EXP(-Parameters!$B$56*A55)</f>
        <v>0.46296676931938507</v>
      </c>
      <c r="R55" s="7">
        <f>IF(P55&gt;0,P55^(1-Parameters!$B$53)/(1-Parameters!$B$53)*Q55,-10+P55*1000)</f>
        <v>-1.2599479188600611</v>
      </c>
      <c r="S55" s="7"/>
      <c r="T55" s="13">
        <f t="shared" si="13"/>
        <v>0.2375059561201282</v>
      </c>
    </row>
    <row r="56" spans="1:20" x14ac:dyDescent="0.25">
      <c r="A56">
        <f>A55+Parameters!$B$71</f>
        <v>52</v>
      </c>
      <c r="B56" s="42">
        <f t="shared" ref="B56:B63" si="17">B55</f>
        <v>5.1923789394424727E-2</v>
      </c>
      <c r="C56" s="42">
        <f t="shared" si="16"/>
        <v>1.0018743654138964E-2</v>
      </c>
      <c r="D56" s="42">
        <f t="shared" si="16"/>
        <v>0.29599491710876957</v>
      </c>
      <c r="E56" s="7">
        <f>MAX((1-Parameters!$B$4)^Parameters!B$71*E55+B55*Parameters!B$71-Parameters!$B$5*B55^2/E55*Parameters!B$71,0.0001)</f>
        <v>0.76982912588194607</v>
      </c>
      <c r="F56" s="9">
        <f>MAX((1-Parameters!$B$4)^Parameters!B$71*F55+C55*Parameters!B$71-Parameters!$B$5*C55^2/F55*Parameters!B$71,0.0001)</f>
        <v>0.14853885854329207</v>
      </c>
      <c r="G56" s="7">
        <f>MAX((1-Parameters!$B$4)^Parameters!B$71*G55+D55*Parameters!B$71-Parameters!$B$5*D55^2/G55*Parameters!B$71,0.0001)</f>
        <v>4.3884580712115735</v>
      </c>
      <c r="I56" s="7">
        <f>I55*(1+Parameters!$B$52)^Parameters!B$71</f>
        <v>9.4860844575156538</v>
      </c>
      <c r="J56" s="7">
        <f>J55*(1+Parameters!$B$54)^Parameters!B$71</f>
        <v>25.268833996342462</v>
      </c>
      <c r="K56" s="7">
        <f>'6states'!$N$4</f>
        <v>0.98104277196026479</v>
      </c>
      <c r="L56" s="9">
        <f t="shared" si="3"/>
        <v>0.5</v>
      </c>
      <c r="M56" s="23">
        <f t="shared" si="2"/>
        <v>2</v>
      </c>
      <c r="N56" s="7">
        <f>(Parameters!$B$19*(E56+Parameters!$B$20)^L56+Parameters!$B$18*F56^L56)^(1/L56)</f>
        <v>0.535634374136851</v>
      </c>
      <c r="O56" s="7">
        <f>(Parameters!$B$10*G56^Parameters!$B$9 + Parameters!$B$11*N56^Parameters!$B$9) ^ (Parameters!$B$7/Parameters!$B$9) * K56</f>
        <v>1.5070668744469335</v>
      </c>
      <c r="P56" s="7">
        <f t="shared" si="0"/>
        <v>1.1491294242896002</v>
      </c>
      <c r="Q56" s="7">
        <f>EXP(-Parameters!$B$56*A56)</f>
        <v>0.45602848696706794</v>
      </c>
      <c r="R56" s="7">
        <f>IF(P56&gt;0,P56^(1-Parameters!$B$53)/(1-Parameters!$B$53)*Q56,-10+P56*1000)</f>
        <v>-1.2410657705357371</v>
      </c>
      <c r="S56" s="7"/>
      <c r="T56" s="13">
        <f t="shared" si="13"/>
        <v>0.23750601663823967</v>
      </c>
    </row>
    <row r="57" spans="1:20" x14ac:dyDescent="0.25">
      <c r="A57">
        <f>A56+Parameters!$B$71</f>
        <v>53</v>
      </c>
      <c r="B57" s="42">
        <f t="shared" si="17"/>
        <v>5.1923789394424727E-2</v>
      </c>
      <c r="C57" s="42">
        <f t="shared" si="16"/>
        <v>1.0018743654138964E-2</v>
      </c>
      <c r="D57" s="42">
        <f t="shared" si="16"/>
        <v>0.29599491710876957</v>
      </c>
      <c r="E57" s="7">
        <f>MAX((1-Parameters!$B$4)^Parameters!B$71*E56+B56*Parameters!B$71-Parameters!$B$5*B56^2/E56*Parameters!B$71,0.0001)</f>
        <v>0.76982848360003686</v>
      </c>
      <c r="F57" s="9">
        <f>MAX((1-Parameters!$B$4)^Parameters!B$71*F56+C56*Parameters!B$71-Parameters!$B$5*C56^2/F56*Parameters!B$71,0.0001)</f>
        <v>0.14853875738412881</v>
      </c>
      <c r="G57" s="7">
        <f>MAX((1-Parameters!$B$4)^Parameters!B$71*G56+D56*Parameters!B$71-Parameters!$B$5*D56^2/G56*Parameters!B$71,0.0001)</f>
        <v>4.3884545622794189</v>
      </c>
      <c r="I57" s="7">
        <f>I56*(1+Parameters!$B$52)^Parameters!B$71</f>
        <v>9.5135941024424486</v>
      </c>
      <c r="J57" s="7">
        <f>J56*(1+Parameters!$B$54)^Parameters!B$71</f>
        <v>25.774210676269313</v>
      </c>
      <c r="K57" s="7">
        <f>'6states'!$N$4</f>
        <v>0.98104277196026479</v>
      </c>
      <c r="L57" s="9">
        <f t="shared" si="3"/>
        <v>0.5</v>
      </c>
      <c r="M57" s="23">
        <f t="shared" si="2"/>
        <v>2</v>
      </c>
      <c r="N57" s="7">
        <f>(Parameters!$B$19*(E57+Parameters!$B$20)^L57+Parameters!$B$18*F57^L57)^(1/L57)</f>
        <v>0.53563394519854213</v>
      </c>
      <c r="O57" s="7">
        <f>(Parameters!$B$10*G57^Parameters!$B$9 + Parameters!$B$11*N57^Parameters!$B$9) ^ (Parameters!$B$7/Parameters!$B$9) * K57</f>
        <v>1.5070665128432688</v>
      </c>
      <c r="P57" s="7">
        <f t="shared" si="0"/>
        <v>1.1491290626859354</v>
      </c>
      <c r="Q57" s="7">
        <f>EXP(-Parameters!$B$56*A57)</f>
        <v>0.44919418564576791</v>
      </c>
      <c r="R57" s="7">
        <f>IF(P57&gt;0,P57^(1-Parameters!$B$53)/(1-Parameters!$B$53)*Q57,-10+P57*1000)</f>
        <v>-1.2224665902677376</v>
      </c>
      <c r="S57" s="7"/>
      <c r="T57" s="13">
        <f t="shared" si="13"/>
        <v>0.23750607362513793</v>
      </c>
    </row>
    <row r="58" spans="1:20" x14ac:dyDescent="0.25">
      <c r="A58">
        <f>A57+Parameters!$B$71</f>
        <v>54</v>
      </c>
      <c r="B58" s="42">
        <f t="shared" si="17"/>
        <v>5.1923789394424727E-2</v>
      </c>
      <c r="C58" s="42">
        <f t="shared" si="16"/>
        <v>1.0018743654138964E-2</v>
      </c>
      <c r="D58" s="42">
        <f t="shared" si="16"/>
        <v>0.29599491710876957</v>
      </c>
      <c r="E58" s="7">
        <f>MAX((1-Parameters!$B$4)^Parameters!B$71*E57+B57*Parameters!B$71-Parameters!$B$5*B57^2/E57*Parameters!B$71,0.0001)</f>
        <v>0.76982787879572745</v>
      </c>
      <c r="F58" s="9">
        <f>MAX((1-Parameters!$B$4)^Parameters!B$71*F57+C57*Parameters!B$71-Parameters!$B$5*C57^2/F57*Parameters!B$71,0.0001)</f>
        <v>0.14853866212767133</v>
      </c>
      <c r="G58" s="7">
        <f>MAX((1-Parameters!$B$4)^Parameters!B$71*G57+D57*Parameters!B$71-Parameters!$B$5*D57^2/G57*Parameters!B$71,0.0001)</f>
        <v>4.3884512580958983</v>
      </c>
      <c r="I58" s="7">
        <f>I57*(1+Parameters!$B$52)^Parameters!B$71</f>
        <v>9.5411835253395303</v>
      </c>
      <c r="J58" s="7">
        <f>J57*(1+Parameters!$B$54)^Parameters!B$71</f>
        <v>26.289694889794699</v>
      </c>
      <c r="K58" s="7">
        <f>'6states'!$N$4</f>
        <v>0.98104277196026479</v>
      </c>
      <c r="L58" s="9">
        <f t="shared" si="3"/>
        <v>0.5</v>
      </c>
      <c r="M58" s="23">
        <f t="shared" si="2"/>
        <v>2</v>
      </c>
      <c r="N58" s="7">
        <f>(Parameters!$B$19*(E58+Parameters!$B$20)^L58+Parameters!$B$18*F58^L58)^(1/L58)</f>
        <v>0.53563354128908236</v>
      </c>
      <c r="O58" s="7">
        <f>(Parameters!$B$10*G58^Parameters!$B$9 + Parameters!$B$11*N58^Parameters!$B$9) ^ (Parameters!$B$7/Parameters!$B$9) * K58</f>
        <v>1.5070661723392447</v>
      </c>
      <c r="P58" s="7">
        <f t="shared" si="0"/>
        <v>1.1491287221819113</v>
      </c>
      <c r="Q58" s="7">
        <f>EXP(-Parameters!$B$56*A58)</f>
        <v>0.4424623070368317</v>
      </c>
      <c r="R58" s="7">
        <f>IF(P58&gt;0,P58^(1-Parameters!$B$53)/(1-Parameters!$B$53)*Q58,-10+P58*1000)</f>
        <v>-1.2041461380985938</v>
      </c>
      <c r="S58" s="7"/>
      <c r="T58" s="13">
        <f t="shared" si="13"/>
        <v>0.23750612728686513</v>
      </c>
    </row>
    <row r="59" spans="1:20" x14ac:dyDescent="0.25">
      <c r="A59">
        <f>A58+Parameters!$B$71</f>
        <v>55</v>
      </c>
      <c r="B59" s="42">
        <f t="shared" si="17"/>
        <v>5.1923789394424727E-2</v>
      </c>
      <c r="C59" s="42">
        <f t="shared" si="16"/>
        <v>1.0018743654138964E-2</v>
      </c>
      <c r="D59" s="42">
        <f t="shared" si="16"/>
        <v>0.29599491710876957</v>
      </c>
      <c r="E59" s="7">
        <f>MAX((1-Parameters!$B$4)^Parameters!B$71*E58+B58*Parameters!B$71-Parameters!$B$5*B58^2/E58*Parameters!B$71,0.0001)</f>
        <v>0.76982730928216925</v>
      </c>
      <c r="F59" s="9">
        <f>MAX((1-Parameters!$B$4)^Parameters!B$71*F58+C58*Parameters!B$71-Parameters!$B$5*C58^2/F58*Parameters!B$71,0.0001)</f>
        <v>0.14853857242949217</v>
      </c>
      <c r="G59" s="7">
        <f>MAX((1-Parameters!$B$4)^Parameters!B$71*G58+D58*Parameters!B$71-Parameters!$B$5*D58^2/G58*Parameters!B$71,0.0001)</f>
        <v>4.3884481467137633</v>
      </c>
      <c r="I59" s="7">
        <f>I58*(1+Parameters!$B$52)^Parameters!B$71</f>
        <v>9.5688529575630135</v>
      </c>
      <c r="J59" s="7">
        <f>J58*(1+Parameters!$B$54)^Parameters!B$71</f>
        <v>26.815488787590592</v>
      </c>
      <c r="K59" s="7">
        <f>'6states'!$N$4</f>
        <v>0.98104277196026479</v>
      </c>
      <c r="L59" s="9">
        <f t="shared" si="3"/>
        <v>0.5</v>
      </c>
      <c r="M59" s="23">
        <f t="shared" si="2"/>
        <v>2</v>
      </c>
      <c r="N59" s="7">
        <f>(Parameters!$B$19*(E59+Parameters!$B$20)^L59+Parameters!$B$18*F59^L59)^(1/L59)</f>
        <v>0.53563316094801816</v>
      </c>
      <c r="O59" s="7">
        <f>(Parameters!$B$10*G59^Parameters!$B$9 + Parameters!$B$11*N59^Parameters!$B$9) ^ (Parameters!$B$7/Parameters!$B$9) * K59</f>
        <v>1.5070658517037008</v>
      </c>
      <c r="P59" s="7">
        <f t="shared" si="0"/>
        <v>1.1491284015463674</v>
      </c>
      <c r="Q59" s="7">
        <f>EXP(-Parameters!$B$56*A59)</f>
        <v>0.43583131617545234</v>
      </c>
      <c r="R59" s="7">
        <f>IF(P59&gt;0,P59^(1-Parameters!$B$53)/(1-Parameters!$B$53)*Q59,-10+P59*1000)</f>
        <v>-1.1861002375580141</v>
      </c>
      <c r="S59" s="7"/>
      <c r="T59" s="13">
        <f t="shared" si="13"/>
        <v>0.2375061778174416</v>
      </c>
    </row>
    <row r="60" spans="1:20" x14ac:dyDescent="0.25">
      <c r="A60">
        <f>A59+Parameters!$B$71</f>
        <v>56</v>
      </c>
      <c r="B60" s="42">
        <f t="shared" si="17"/>
        <v>5.1923789394424727E-2</v>
      </c>
      <c r="C60" s="42">
        <f t="shared" si="16"/>
        <v>1.0018743654138964E-2</v>
      </c>
      <c r="D60" s="42">
        <f t="shared" si="16"/>
        <v>0.29599491710876957</v>
      </c>
      <c r="E60" s="7">
        <f>MAX((1-Parameters!$B$4)^Parameters!B$71*E59+B59*Parameters!B$71-Parameters!$B$5*B59^2/E59*Parameters!B$71,0.0001)</f>
        <v>0.76982677300011848</v>
      </c>
      <c r="F60" s="9">
        <f>MAX((1-Parameters!$B$4)^Parameters!B$71*F59+C59*Parameters!B$71-Parameters!$B$5*C59^2/F59*Parameters!B$71,0.0001)</f>
        <v>0.14853848796526156</v>
      </c>
      <c r="G60" s="7">
        <f>MAX((1-Parameters!$B$4)^Parameters!B$71*G59+D59*Parameters!B$71-Parameters!$B$5*D59^2/G59*Parameters!B$71,0.0001)</f>
        <v>4.3884452168828991</v>
      </c>
      <c r="I60" s="7">
        <f>I59*(1+Parameters!$B$52)^Parameters!B$71</f>
        <v>9.5966026311399446</v>
      </c>
      <c r="J60" s="7">
        <f>J59*(1+Parameters!$B$54)^Parameters!B$71</f>
        <v>27.351798563342406</v>
      </c>
      <c r="K60" s="7">
        <f>'6states'!$N$4</f>
        <v>0.98104277196026479</v>
      </c>
      <c r="L60" s="9">
        <f t="shared" si="3"/>
        <v>0.5</v>
      </c>
      <c r="M60" s="23">
        <f t="shared" si="2"/>
        <v>2</v>
      </c>
      <c r="N60" s="7">
        <f>(Parameters!$B$19*(E60+Parameters!$B$20)^L60+Parameters!$B$18*F60^L60)^(1/L60)</f>
        <v>0.53563280280011494</v>
      </c>
      <c r="O60" s="7">
        <f>(Parameters!$B$10*G60^Parameters!$B$9 + Parameters!$B$11*N60^Parameters!$B$9) ^ (Parameters!$B$7/Parameters!$B$9) * K60</f>
        <v>1.5070655497773142</v>
      </c>
      <c r="P60" s="7">
        <f t="shared" si="0"/>
        <v>1.1491280996199809</v>
      </c>
      <c r="Q60" s="7">
        <f>EXP(-Parameters!$B$56*A60)</f>
        <v>0.42929970110067539</v>
      </c>
      <c r="R60" s="7">
        <f>IF(P60&gt;0,P60^(1-Parameters!$B$53)/(1-Parameters!$B$53)*Q60,-10+P60*1000)</f>
        <v>-1.1683247747154326</v>
      </c>
      <c r="S60" s="7"/>
      <c r="T60" s="13">
        <f t="shared" si="13"/>
        <v>0.23750622539956706</v>
      </c>
    </row>
    <row r="61" spans="1:20" x14ac:dyDescent="0.25">
      <c r="A61">
        <f>A60+Parameters!$B$71</f>
        <v>57</v>
      </c>
      <c r="B61" s="42">
        <f t="shared" si="17"/>
        <v>5.1923789394424727E-2</v>
      </c>
      <c r="C61" s="42">
        <f t="shared" si="16"/>
        <v>1.0018743654138964E-2</v>
      </c>
      <c r="D61" s="42">
        <f t="shared" si="16"/>
        <v>0.29599491710876957</v>
      </c>
      <c r="E61" s="7">
        <f>MAX((1-Parameters!$B$4)^Parameters!B$71*E60+B60*Parameters!B$71-Parameters!$B$5*B60^2/E60*Parameters!B$71,0.0001)</f>
        <v>0.76982626801049026</v>
      </c>
      <c r="F61" s="9">
        <f>MAX((1-Parameters!$B$4)^Parameters!B$71*F60+C60*Parameters!B$71-Parameters!$B$5*C60^2/F60*Parameters!B$71,0.0001)</f>
        <v>0.14853840842957464</v>
      </c>
      <c r="G61" s="7">
        <f>MAX((1-Parameters!$B$4)^Parameters!B$71*G60+D60*Parameters!B$71-Parameters!$B$5*D60^2/G60*Parameters!B$71,0.0001)</f>
        <v>4.3884424580096466</v>
      </c>
      <c r="I61" s="7">
        <f>I60*(1+Parameters!$B$52)^Parameters!B$71</f>
        <v>9.6244327787702488</v>
      </c>
      <c r="J61" s="7">
        <f>J60*(1+Parameters!$B$54)^Parameters!B$71</f>
        <v>27.898834534609254</v>
      </c>
      <c r="K61" s="7">
        <f>'6states'!$N$4</f>
        <v>0.98104277196026479</v>
      </c>
      <c r="L61" s="9">
        <f t="shared" si="3"/>
        <v>0.5</v>
      </c>
      <c r="M61" s="23">
        <f t="shared" si="2"/>
        <v>2</v>
      </c>
      <c r="N61" s="7">
        <f>(Parameters!$B$19*(E61+Parameters!$B$20)^L61+Parameters!$B$18*F61^L61)^(1/L61)</f>
        <v>0.53563246555038402</v>
      </c>
      <c r="O61" s="7">
        <f>(Parameters!$B$10*G61^Parameters!$B$9 + Parameters!$B$11*N61^Parameters!$B$9) ^ (Parameters!$B$7/Parameters!$B$9) * K61</f>
        <v>1.5070652654684078</v>
      </c>
      <c r="P61" s="7">
        <f t="shared" si="0"/>
        <v>1.1491278153110747</v>
      </c>
      <c r="Q61" s="7">
        <f>EXP(-Parameters!$B$56*A61)</f>
        <v>0.42286597251064995</v>
      </c>
      <c r="R61" s="7">
        <f>IF(P61&gt;0,P61^(1-Parameters!$B$53)/(1-Parameters!$B$53)*Q61,-10+P61*1000)</f>
        <v>-1.1508156972464634</v>
      </c>
      <c r="S61" s="7"/>
      <c r="T61" s="13">
        <f t="shared" si="13"/>
        <v>0.23750627020528103</v>
      </c>
    </row>
    <row r="62" spans="1:20" x14ac:dyDescent="0.25">
      <c r="A62">
        <f>A61+Parameters!$B$71</f>
        <v>58</v>
      </c>
      <c r="B62" s="42">
        <f t="shared" si="17"/>
        <v>5.1923789394424727E-2</v>
      </c>
      <c r="C62" s="42">
        <f t="shared" si="16"/>
        <v>1.0018743654138964E-2</v>
      </c>
      <c r="D62" s="42">
        <f t="shared" si="16"/>
        <v>0.29599491710876957</v>
      </c>
      <c r="E62" s="7">
        <f>MAX((1-Parameters!$B$4)^Parameters!B$71*E61+B61*Parameters!B$71-Parameters!$B$5*B61^2/E61*Parameters!B$71,0.0001)</f>
        <v>0.7698257924873475</v>
      </c>
      <c r="F62" s="9">
        <f>MAX((1-Parameters!$B$4)^Parameters!B$71*F61+C61*Parameters!B$71-Parameters!$B$5*C61^2/F61*Parameters!B$71,0.0001)</f>
        <v>0.14853833353484722</v>
      </c>
      <c r="G62" s="7">
        <f>MAX((1-Parameters!$B$4)^Parameters!B$71*G61+D61*Parameters!B$71-Parameters!$B$5*D61^2/G61*Parameters!B$71,0.0001)</f>
        <v>4.3884398601184973</v>
      </c>
      <c r="I62" s="7">
        <f>I61*(1+Parameters!$B$52)^Parameters!B$71</f>
        <v>9.6523436338286821</v>
      </c>
      <c r="J62" s="7">
        <f>J61*(1+Parameters!$B$54)^Parameters!B$71</f>
        <v>28.45681122530144</v>
      </c>
      <c r="K62" s="7">
        <f>'6states'!$N$4</f>
        <v>0.98104277196026479</v>
      </c>
      <c r="L62" s="9">
        <f t="shared" si="3"/>
        <v>0.5</v>
      </c>
      <c r="M62" s="23">
        <f t="shared" si="2"/>
        <v>2</v>
      </c>
      <c r="N62" s="7">
        <f>(Parameters!$B$19*(E62+Parameters!$B$20)^L62+Parameters!$B$18*F62^L62)^(1/L62)</f>
        <v>0.53563214797940106</v>
      </c>
      <c r="O62" s="7">
        <f>(Parameters!$B$10*G62^Parameters!$B$9 + Parameters!$B$11*N62^Parameters!$B$9) ^ (Parameters!$B$7/Parameters!$B$9) * K62</f>
        <v>1.5070649977490018</v>
      </c>
      <c r="P62" s="7">
        <f t="shared" si="0"/>
        <v>1.1491275475916685</v>
      </c>
      <c r="Q62" s="7">
        <f>EXP(-Parameters!$B$56*A62)</f>
        <v>0.41652866342304673</v>
      </c>
      <c r="R62" s="7">
        <f>IF(P62&gt;0,P62^(1-Parameters!$B$53)/(1-Parameters!$B$53)*Q62,-10+P62*1000)</f>
        <v>-1.1335690135130818</v>
      </c>
      <c r="S62" s="7"/>
      <c r="T62" s="13">
        <f t="shared" si="13"/>
        <v>0.2375063123965851</v>
      </c>
    </row>
    <row r="63" spans="1:20" s="4" customFormat="1" x14ac:dyDescent="0.25">
      <c r="A63">
        <f>A62+Parameters!$B$71</f>
        <v>59</v>
      </c>
      <c r="B63" s="42">
        <f t="shared" si="17"/>
        <v>5.1923789394424727E-2</v>
      </c>
      <c r="C63" s="42">
        <f t="shared" si="16"/>
        <v>1.0018743654138964E-2</v>
      </c>
      <c r="D63" s="42">
        <f t="shared" si="16"/>
        <v>0.29599491710876957</v>
      </c>
      <c r="E63" s="7">
        <f>MAX((1-Parameters!$B$4)^Parameters!B$71*E62+B62*Parameters!B$71-Parameters!$B$5*B62^2/E62*Parameters!B$71,0.0001)</f>
        <v>0.76982534471129793</v>
      </c>
      <c r="F63" s="9">
        <f>MAX((1-Parameters!$B$4)^Parameters!B$71*F62+C62*Parameters!B$71-Parameters!$B$5*C62^2/F62*Parameters!B$71,0.0001)</f>
        <v>0.14853826301027595</v>
      </c>
      <c r="G63" s="7">
        <f>MAX((1-Parameters!$B$4)^Parameters!B$71*G62+D62*Parameters!B$71-Parameters!$B$5*D62^2/G62*Parameters!B$71,0.0001)</f>
        <v>4.3884374138160229</v>
      </c>
      <c r="H63" s="17"/>
      <c r="I63" s="7">
        <f>I62*(1+Parameters!$B$52)^Parameters!B$71</f>
        <v>9.6803354303667835</v>
      </c>
      <c r="J63" s="7">
        <f>J62*(1+Parameters!$B$54)^Parameters!B$71</f>
        <v>29.025947449807468</v>
      </c>
      <c r="K63" s="7">
        <f>'6states'!$N$4</f>
        <v>0.98104277196026479</v>
      </c>
      <c r="L63" s="9">
        <f t="shared" si="3"/>
        <v>0.5</v>
      </c>
      <c r="M63" s="23">
        <f t="shared" si="2"/>
        <v>2</v>
      </c>
      <c r="N63" s="7">
        <f>(Parameters!$B$19*(E63+Parameters!$B$20)^L63+Parameters!$B$18*F63^L63)^(1/L63)</f>
        <v>0.53563184893889626</v>
      </c>
      <c r="O63" s="7">
        <f>(Parameters!$B$10*G63^Parameters!$B$9 + Parameters!$B$11*N63^Parameters!$B$9) ^ (Parameters!$B$7/Parameters!$B$9) * K63</f>
        <v>1.5070647456510999</v>
      </c>
      <c r="P63" s="7">
        <f t="shared" si="0"/>
        <v>1.1491272954937668</v>
      </c>
      <c r="Q63" s="17">
        <f>EXP(-Parameters!$B$56*A63)</f>
        <v>0.41028632884056476</v>
      </c>
      <c r="R63" s="17">
        <f>IF(P63&gt;0,P63^(1-Parameters!$B$53)/(1-Parameters!$B$53)*Q63,-10+P63*1000)</f>
        <v>-1.1165807916573318</v>
      </c>
      <c r="S63" s="7"/>
      <c r="T63" s="13">
        <f t="shared" si="13"/>
        <v>0.23750635212602819</v>
      </c>
    </row>
    <row r="64" spans="1:20" s="3" customFormat="1" x14ac:dyDescent="0.25">
      <c r="A64" s="3">
        <f>A63+Parameters!$B$71</f>
        <v>60</v>
      </c>
      <c r="B64" s="43">
        <v>5.19238877102325E-2</v>
      </c>
      <c r="C64" s="43">
        <v>1.0018735403930583E-2</v>
      </c>
      <c r="D64" s="44">
        <v>0.29599527422425154</v>
      </c>
      <c r="E64" s="7">
        <f>MAX((1-Parameters!$B$4)^Parameters!B$71*E63+B63*Parameters!B$71-Parameters!$B$5*B63^2/E63*Parameters!B$71,0.0001)</f>
        <v>0.76982492306327788</v>
      </c>
      <c r="F64" s="9">
        <f>MAX((1-Parameters!$B$4)^Parameters!B$71*F63+C63*Parameters!B$71-Parameters!$B$5*C63^2/F63*Parameters!B$71,0.0001)</f>
        <v>0.14853819660085904</v>
      </c>
      <c r="G64" s="7">
        <f>MAX((1-Parameters!$B$4)^Parameters!B$71*G63+D63*Parameters!B$71-Parameters!$B$5*D63^2/G63*Parameters!B$71,0.0001)</f>
        <v>4.3884351102569115</v>
      </c>
      <c r="H64" s="18"/>
      <c r="I64" s="18">
        <f>I63*(1+Parameters!$B$52)^Parameters!B$71</f>
        <v>9.7084084031148468</v>
      </c>
      <c r="J64" s="18">
        <f>J63*(1+Parameters!$B$54)^Parameters!B$71</f>
        <v>29.606466398803619</v>
      </c>
      <c r="K64" s="7">
        <f>'6states'!$N$4</f>
        <v>0.98104277196026479</v>
      </c>
      <c r="L64" s="9">
        <f t="shared" si="3"/>
        <v>0.5</v>
      </c>
      <c r="M64" s="24">
        <f t="shared" si="2"/>
        <v>2</v>
      </c>
      <c r="N64" s="18">
        <f>(Parameters!$B$19*(E64+Parameters!$B$20)^L64+Parameters!$B$18*F64^L64)^(1/L64)</f>
        <v>0.5356315673476022</v>
      </c>
      <c r="O64" s="18">
        <f>(Parameters!$B$10*G64^Parameters!$B$9 + Parameters!$B$11*N64^Parameters!$B$9) ^ (Parameters!$B$7/Parameters!$B$9) * K64</f>
        <v>1.5070645082631871</v>
      </c>
      <c r="P64" s="18">
        <f t="shared" si="0"/>
        <v>1.1491266109247724</v>
      </c>
      <c r="Q64" s="18">
        <f>EXP(-Parameters!$B$56*A64)</f>
        <v>0.40413754542145147</v>
      </c>
      <c r="R64" s="18">
        <f>IF(P64&gt;0,P64^(1-Parameters!$B$53)/(1-Parameters!$B$53)*Q64,-10+P64*1000)</f>
        <v>-1.0998473085097933</v>
      </c>
      <c r="S64" s="18"/>
      <c r="T64" s="29">
        <f t="shared" si="13"/>
        <v>0.23750668626051005</v>
      </c>
    </row>
    <row r="65" spans="1:19" x14ac:dyDescent="0.25">
      <c r="A65">
        <f>A64+Parameters!$B$71</f>
        <v>61</v>
      </c>
      <c r="B65" s="42">
        <f>B64</f>
        <v>5.19238877102325E-2</v>
      </c>
      <c r="C65" s="42">
        <f t="shared" ref="C65:D73" si="18">C64</f>
        <v>1.0018735403930583E-2</v>
      </c>
      <c r="D65" s="42">
        <f t="shared" si="18"/>
        <v>0.29599527422425154</v>
      </c>
      <c r="E65" s="7">
        <f>MAX((1-Parameters!$B$4)^Parameters!B$71*E64+B64*Parameters!B$71-Parameters!$B$5*B64^2/E64*Parameters!B$71,0.0001)</f>
        <v>0.76982461107192013</v>
      </c>
      <c r="F65" s="9">
        <f>MAX((1-Parameters!$B$4)^Parameters!B$71*F64+C64*Parameters!B$71-Parameters!$B$5*C64^2/F64*Parameters!B$71,0.0001)</f>
        <v>0.14853812692920104</v>
      </c>
      <c r="G65" s="7">
        <f>MAX((1-Parameters!$B$4)^Parameters!B$71*G64+D64*Parameters!B$71-Parameters!$B$5*D64^2/G64*Parameters!B$71,0.0001)</f>
        <v>4.3884332500533763</v>
      </c>
      <c r="I65" s="7">
        <f>I64*(1+Parameters!$B$52)^Parameters!B$71</f>
        <v>9.7365627874838783</v>
      </c>
      <c r="J65" s="7">
        <f>J64*(1+Parameters!$B$54)^Parameters!B$71</f>
        <v>30.198595726779693</v>
      </c>
      <c r="K65" s="7">
        <f>'6states'!$N$4</f>
        <v>0.98104277196026479</v>
      </c>
      <c r="L65" s="9">
        <f t="shared" si="3"/>
        <v>0.5</v>
      </c>
      <c r="M65" s="23">
        <f t="shared" si="2"/>
        <v>2</v>
      </c>
      <c r="N65" s="7">
        <f>(Parameters!$B$19*(E65+Parameters!$B$20)^L65+Parameters!$B$18*F65^L65)^(1/L65)</f>
        <v>0.53563134714200245</v>
      </c>
      <c r="O65" s="7">
        <f>(Parameters!$B$10*G65^Parameters!$B$9 + Parameters!$B$11*N65^Parameters!$B$9) ^ (Parameters!$B$7/Parameters!$B$9) * K65</f>
        <v>1.507064317623753</v>
      </c>
      <c r="P65" s="7">
        <f t="shared" si="0"/>
        <v>1.1491264202853384</v>
      </c>
      <c r="Q65" s="7">
        <f>EXP(-Parameters!$B$56*A65)</f>
        <v>0.39808091115496053</v>
      </c>
      <c r="R65" s="7">
        <f>IF(P65&gt;0,P65^(1-Parameters!$B$53)/(1-Parameters!$B$53)*Q65,-10+P65*1000)</f>
        <v>-1.0833644364042763</v>
      </c>
      <c r="S65" s="7"/>
    </row>
    <row r="66" spans="1:19" x14ac:dyDescent="0.25">
      <c r="A66">
        <f>A65+Parameters!$B$71</f>
        <v>62</v>
      </c>
      <c r="B66" s="42">
        <f t="shared" ref="B66:B73" si="19">B65</f>
        <v>5.19238877102325E-2</v>
      </c>
      <c r="C66" s="42">
        <f t="shared" si="18"/>
        <v>1.0018735403930583E-2</v>
      </c>
      <c r="D66" s="42">
        <f t="shared" si="18"/>
        <v>0.29599527422425154</v>
      </c>
      <c r="E66" s="7">
        <f>MAX((1-Parameters!$B$4)^Parameters!B$71*E65+B65*Parameters!B$71-Parameters!$B$5*B65^2/E65*Parameters!B$71,0.0001)</f>
        <v>0.76982431728545675</v>
      </c>
      <c r="F66" s="9">
        <f>MAX((1-Parameters!$B$4)^Parameters!B$71*F65+C65*Parameters!B$71-Parameters!$B$5*C65^2/F65*Parameters!B$71,0.0001)</f>
        <v>0.14853806132292929</v>
      </c>
      <c r="G66" s="7">
        <f>MAX((1-Parameters!$B$4)^Parameters!B$71*G65+D65*Parameters!B$71-Parameters!$B$5*D65^2/G65*Parameters!B$71,0.0001)</f>
        <v>4.3884314983939063</v>
      </c>
      <c r="I66" s="7">
        <f>I65*(1+Parameters!$B$52)^Parameters!B$71</f>
        <v>9.7647988195675808</v>
      </c>
      <c r="J66" s="7">
        <f>J65*(1+Parameters!$B$54)^Parameters!B$71</f>
        <v>30.802567641315289</v>
      </c>
      <c r="K66" s="7">
        <f>'6states'!$N$4</f>
        <v>0.98104277196026479</v>
      </c>
      <c r="L66" s="9">
        <f t="shared" si="3"/>
        <v>0.5</v>
      </c>
      <c r="N66" s="7">
        <f>(Parameters!$B$19*(E66+Parameters!$B$20)^L66+Parameters!$B$18*F66^L66)^(1/L66)</f>
        <v>0.53563113978553967</v>
      </c>
      <c r="O66" s="7">
        <f>(Parameters!$B$10*G66^Parameters!$B$9 + Parameters!$B$11*N66^Parameters!$B$9) ^ (Parameters!$B$7/Parameters!$B$9) * K66</f>
        <v>1.5070641381082004</v>
      </c>
      <c r="P66" s="7">
        <f t="shared" si="0"/>
        <v>1.1491262407697858</v>
      </c>
      <c r="Q66" s="7">
        <f>EXP(-Parameters!$B$56*A66)</f>
        <v>0.39211504504167288</v>
      </c>
      <c r="R66" s="7">
        <f>IF(P66&gt;0,P66^(1-Parameters!$B$53)/(1-Parameters!$B$53)*Q66,-10+P66*1000)</f>
        <v>-1.0671285814021443</v>
      </c>
      <c r="S66" s="7"/>
    </row>
    <row r="67" spans="1:19" x14ac:dyDescent="0.25">
      <c r="A67">
        <f>A66+Parameters!$B$71</f>
        <v>63</v>
      </c>
      <c r="B67" s="42">
        <f t="shared" si="19"/>
        <v>5.19238877102325E-2</v>
      </c>
      <c r="C67" s="42">
        <f t="shared" si="18"/>
        <v>1.0018735403930583E-2</v>
      </c>
      <c r="D67" s="42">
        <f t="shared" si="18"/>
        <v>0.29599527422425154</v>
      </c>
      <c r="E67" s="7">
        <f>MAX((1-Parameters!$B$4)^Parameters!B$71*E66+B66*Parameters!B$71-Parameters!$B$5*B66^2/E66*Parameters!B$71,0.0001)</f>
        <v>0.76982404064161947</v>
      </c>
      <c r="F67" s="9">
        <f>MAX((1-Parameters!$B$4)^Parameters!B$71*F66+C66*Parameters!B$71-Parameters!$B$5*C66^2/F66*Parameters!B$71,0.0001)</f>
        <v>0.14853799954482561</v>
      </c>
      <c r="G67" s="7">
        <f>MAX((1-Parameters!$B$4)^Parameters!B$71*G66+D66*Parameters!B$71-Parameters!$B$5*D66^2/G66*Parameters!B$71,0.0001)</f>
        <v>4.3884298489448792</v>
      </c>
      <c r="I67" s="7">
        <f>I66*(1+Parameters!$B$52)^Parameters!B$71</f>
        <v>9.7931167361443254</v>
      </c>
      <c r="J67" s="7">
        <f>J66*(1+Parameters!$B$54)^Parameters!B$71</f>
        <v>31.418618994141596</v>
      </c>
      <c r="K67" s="7">
        <f>'6states'!$N$4</f>
        <v>0.98104277196026479</v>
      </c>
      <c r="L67" s="9">
        <f t="shared" si="3"/>
        <v>0.5</v>
      </c>
      <c r="N67" s="7">
        <f>(Parameters!$B$19*(E67+Parameters!$B$20)^L67+Parameters!$B$18*F67^L67)^(1/L67)</f>
        <v>0.53563094452845805</v>
      </c>
      <c r="O67" s="7">
        <f>(Parameters!$B$10*G67^Parameters!$B$9 + Parameters!$B$11*N67^Parameters!$B$9) ^ (Parameters!$B$7/Parameters!$B$9) * K67</f>
        <v>1.5070639690674483</v>
      </c>
      <c r="P67" s="7">
        <f t="shared" si="0"/>
        <v>1.1491260717290337</v>
      </c>
      <c r="Q67" s="7">
        <f>EXP(-Parameters!$B$56*A67)</f>
        <v>0.38623858677860945</v>
      </c>
      <c r="R67" s="7">
        <f>IF(P67&gt;0,P67^(1-Parameters!$B$53)/(1-Parameters!$B$53)*Q67,-10+P67*1000)</f>
        <v>-1.051136041895411</v>
      </c>
      <c r="S67" s="7"/>
    </row>
    <row r="68" spans="1:19" x14ac:dyDescent="0.25">
      <c r="A68">
        <f>A67+Parameters!$B$71</f>
        <v>64</v>
      </c>
      <c r="B68" s="42">
        <f t="shared" si="19"/>
        <v>5.19238877102325E-2</v>
      </c>
      <c r="C68" s="42">
        <f t="shared" si="18"/>
        <v>1.0018735403930583E-2</v>
      </c>
      <c r="D68" s="42">
        <f t="shared" si="18"/>
        <v>0.29599527422425154</v>
      </c>
      <c r="E68" s="7">
        <f>MAX((1-Parameters!$B$4)^Parameters!B$71*E67+B67*Parameters!B$71-Parameters!$B$5*B67^2/E67*Parameters!B$71,0.0001)</f>
        <v>0.7698237801401242</v>
      </c>
      <c r="F68" s="9">
        <f>MAX((1-Parameters!$B$4)^Parameters!B$71*F67+C67*Parameters!B$71-Parameters!$B$5*C67^2/F67*Parameters!B$71,0.0001)</f>
        <v>0.14853794137151372</v>
      </c>
      <c r="G68" s="7">
        <f>MAX((1-Parameters!$B$4)^Parameters!B$71*G67+D67*Parameters!B$71-Parameters!$B$5*D67^2/G67*Parameters!B$71,0.0001)</f>
        <v>4.3884282957422451</v>
      </c>
      <c r="I68" s="7">
        <f>I67*(1+Parameters!$B$52)^Parameters!B$71</f>
        <v>9.821516774679143</v>
      </c>
      <c r="J68" s="7">
        <f>J67*(1+Parameters!$B$54)^Parameters!B$71</f>
        <v>32.046991374024429</v>
      </c>
      <c r="K68" s="7">
        <f>'6states'!$N$4</f>
        <v>0.98104277196026479</v>
      </c>
      <c r="L68" s="9">
        <f t="shared" si="3"/>
        <v>0.5</v>
      </c>
      <c r="N68" s="7">
        <f>(Parameters!$B$19*(E68+Parameters!$B$20)^L68+Parameters!$B$18*F68^L68)^(1/L68)</f>
        <v>0.53563076066475035</v>
      </c>
      <c r="O68" s="7">
        <f>(Parameters!$B$10*G68^Parameters!$B$9 + Parameters!$B$11*N68^Parameters!$B$9) ^ (Parameters!$B$7/Parameters!$B$9) * K68</f>
        <v>1.5070638098902911</v>
      </c>
      <c r="P68" s="7">
        <f t="shared" ref="P68:P131" si="20">O68-B68-C68-D68</f>
        <v>1.1491259125518765</v>
      </c>
      <c r="Q68" s="7">
        <f>EXP(-Parameters!$B$56*A68)</f>
        <v>0.38045019644906247</v>
      </c>
      <c r="R68" s="7">
        <f>IF(P68&gt;0,P68^(1-Parameters!$B$53)/(1-Parameters!$B$53)*Q68,-10+P68*1000)</f>
        <v>-1.03538317172655</v>
      </c>
      <c r="S68" s="7"/>
    </row>
    <row r="69" spans="1:19" x14ac:dyDescent="0.25">
      <c r="A69">
        <f>A68+Parameters!$B$71</f>
        <v>65</v>
      </c>
      <c r="B69" s="42">
        <f t="shared" si="19"/>
        <v>5.19238877102325E-2</v>
      </c>
      <c r="C69" s="42">
        <f t="shared" si="18"/>
        <v>1.0018735403930583E-2</v>
      </c>
      <c r="D69" s="42">
        <f t="shared" si="18"/>
        <v>0.29599527422425154</v>
      </c>
      <c r="E69" s="7">
        <f>MAX((1-Parameters!$B$4)^Parameters!B$71*E68+B68*Parameters!B$71-Parameters!$B$5*B68^2/E68*Parameters!B$71,0.0001)</f>
        <v>0.7698235348390543</v>
      </c>
      <c r="F69" s="9">
        <f>MAX((1-Parameters!$B$4)^Parameters!B$71*F68+C68*Parameters!B$71-Parameters!$B$5*C68^2/F68*Parameters!B$71,0.0001)</f>
        <v>0.14853788659265146</v>
      </c>
      <c r="G69" s="7">
        <f>MAX((1-Parameters!$B$4)^Parameters!B$71*G68+D68*Parameters!B$71-Parameters!$B$5*D68^2/G68*Parameters!B$71,0.0001)</f>
        <v>4.3884268331699605</v>
      </c>
      <c r="I69" s="7">
        <f>I68*(1+Parameters!$B$52)^Parameters!B$71</f>
        <v>9.8499991733257115</v>
      </c>
      <c r="J69" s="7">
        <f>J68*(1+Parameters!$B$54)^Parameters!B$71</f>
        <v>32.687931201504917</v>
      </c>
      <c r="K69" s="7">
        <f>'6states'!$N$4</f>
        <v>0.98104277196026479</v>
      </c>
      <c r="L69" s="9">
        <f t="shared" si="3"/>
        <v>0.5</v>
      </c>
      <c r="N69" s="7">
        <f>(Parameters!$B$19*(E69+Parameters!$B$20)^L69+Parameters!$B$18*F69^L69)^(1/L69)</f>
        <v>0.53563058752960524</v>
      </c>
      <c r="O69" s="7">
        <f>(Parameters!$B$10*G69^Parameters!$B$9 + Parameters!$B$11*N69^Parameters!$B$9) ^ (Parameters!$B$7/Parameters!$B$9) * K69</f>
        <v>1.5070636600011846</v>
      </c>
      <c r="P69" s="7">
        <f t="shared" si="20"/>
        <v>1.14912576266277</v>
      </c>
      <c r="Q69" s="7">
        <f>EXP(-Parameters!$B$56*A69)</f>
        <v>0.37474855421707526</v>
      </c>
      <c r="R69" s="7">
        <f>IF(P69&gt;0,P69^(1-Parameters!$B$53)/(1-Parameters!$B$53)*Q69,-10+P69*1000)</f>
        <v>-1.0198663793592189</v>
      </c>
      <c r="S69" s="7"/>
    </row>
    <row r="70" spans="1:19" x14ac:dyDescent="0.25">
      <c r="A70">
        <f>A69+Parameters!$B$71</f>
        <v>66</v>
      </c>
      <c r="B70" s="42">
        <f t="shared" si="19"/>
        <v>5.19238877102325E-2</v>
      </c>
      <c r="C70" s="42">
        <f t="shared" si="18"/>
        <v>1.0018735403930583E-2</v>
      </c>
      <c r="D70" s="42">
        <f t="shared" si="18"/>
        <v>0.29599527422425154</v>
      </c>
      <c r="E70" s="7">
        <f>MAX((1-Parameters!$B$4)^Parameters!B$71*E69+B69*Parameters!B$71-Parameters!$B$5*B69^2/E69*Parameters!B$71,0.0001)</f>
        <v>0.7698233038514547</v>
      </c>
      <c r="F70" s="9">
        <f>MAX((1-Parameters!$B$4)^Parameters!B$71*F69+C69*Parameters!B$71-Parameters!$B$5*C69^2/F69*Parameters!B$71,0.0001)</f>
        <v>0.14853783501017037</v>
      </c>
      <c r="G70" s="7">
        <f>MAX((1-Parameters!$B$4)^Parameters!B$71*G69+D69*Parameters!B$71-Parameters!$B$5*D69^2/G69*Parameters!B$71,0.0001)</f>
        <v>4.388425455939684</v>
      </c>
      <c r="I70" s="7">
        <f>I69*(1+Parameters!$B$52)^Parameters!B$71</f>
        <v>9.8785641709283549</v>
      </c>
      <c r="J70" s="7">
        <f>J69*(1+Parameters!$B$54)^Parameters!B$71</f>
        <v>33.341689825535013</v>
      </c>
      <c r="K70" s="7">
        <f>'6states'!$N$4</f>
        <v>0.98104277196026479</v>
      </c>
      <c r="L70" s="9">
        <f t="shared" ref="L70:L133" si="21">L69</f>
        <v>0.5</v>
      </c>
      <c r="N70" s="7">
        <f>(Parameters!$B$19*(E70+Parameters!$B$20)^L70+Parameters!$B$18*F70^L70)^(1/L70)</f>
        <v>0.53563042449700382</v>
      </c>
      <c r="O70" s="7">
        <f>(Parameters!$B$10*G70^Parameters!$B$9 + Parameters!$B$11*N70^Parameters!$B$9) ^ (Parameters!$B$7/Parameters!$B$9) * K70</f>
        <v>1.5070635188581698</v>
      </c>
      <c r="P70" s="7">
        <f t="shared" si="20"/>
        <v>1.1491256215197552</v>
      </c>
      <c r="Q70" s="7">
        <f>EXP(-Parameters!$B$56*A70)</f>
        <v>0.36913236002650052</v>
      </c>
      <c r="R70" s="7">
        <f>IF(P70&gt;0,P70^(1-Parameters!$B$53)/(1-Parameters!$B$53)*Q70,-10+P70*1000)</f>
        <v>-1.0045821270612818</v>
      </c>
      <c r="S70" s="7"/>
    </row>
    <row r="71" spans="1:19" x14ac:dyDescent="0.25">
      <c r="A71">
        <f>A70+Parameters!$B$71</f>
        <v>67</v>
      </c>
      <c r="B71" s="42">
        <f t="shared" si="19"/>
        <v>5.19238877102325E-2</v>
      </c>
      <c r="C71" s="42">
        <f t="shared" si="18"/>
        <v>1.0018735403930583E-2</v>
      </c>
      <c r="D71" s="42">
        <f t="shared" si="18"/>
        <v>0.29599527422425154</v>
      </c>
      <c r="E71" s="7">
        <f>MAX((1-Parameters!$B$4)^Parameters!B$71*E70+B70*Parameters!B$71-Parameters!$B$5*B70^2/E70*Parameters!B$71,0.0001)</f>
        <v>0.76982308634212493</v>
      </c>
      <c r="F71" s="9">
        <f>MAX((1-Parameters!$B$4)^Parameters!B$71*F70+C70*Parameters!B$71-Parameters!$B$5*C70^2/F70*Parameters!B$71,0.0001)</f>
        <v>0.14853778643755944</v>
      </c>
      <c r="G71" s="7">
        <f>MAX((1-Parameters!$B$4)^Parameters!B$71*G70+D70*Parameters!B$71-Parameters!$B$5*D70^2/G70*Parameters!B$71,0.0001)</f>
        <v>4.3884241590716524</v>
      </c>
      <c r="I71" s="7">
        <f>I70*(1+Parameters!$B$52)^Parameters!B$71</f>
        <v>9.9072120070240466</v>
      </c>
      <c r="J71" s="7">
        <f>J70*(1+Parameters!$B$54)^Parameters!B$71</f>
        <v>34.008523622045715</v>
      </c>
      <c r="K71" s="7">
        <f>'6states'!$N$4</f>
        <v>0.98104277196026479</v>
      </c>
      <c r="L71" s="9">
        <f t="shared" si="21"/>
        <v>0.5</v>
      </c>
      <c r="N71" s="7">
        <f>(Parameters!$B$19*(E71+Parameters!$B$20)^L71+Parameters!$B$18*F71^L71)^(1/L71)</f>
        <v>0.53563027097745608</v>
      </c>
      <c r="O71" s="7">
        <f>(Parameters!$B$10*G71^Parameters!$B$9 + Parameters!$B$11*N71^Parameters!$B$9) ^ (Parameters!$B$7/Parameters!$B$9) * K71</f>
        <v>1.5070633859509091</v>
      </c>
      <c r="P71" s="7">
        <f t="shared" si="20"/>
        <v>1.1491254886124944</v>
      </c>
      <c r="Q71" s="7">
        <f>EXP(-Parameters!$B$56*A71)</f>
        <v>0.3636003333045692</v>
      </c>
      <c r="R71" s="7">
        <f>IF(P71&gt;0,P71^(1-Parameters!$B$53)/(1-Parameters!$B$53)*Q71,-10+P71*1000)</f>
        <v>-0.98952693009996384</v>
      </c>
      <c r="S71" s="7"/>
    </row>
    <row r="72" spans="1:19" x14ac:dyDescent="0.25">
      <c r="A72">
        <f>A71+Parameters!$B$71</f>
        <v>68</v>
      </c>
      <c r="B72" s="42">
        <f t="shared" si="19"/>
        <v>5.19238877102325E-2</v>
      </c>
      <c r="C72" s="42">
        <f t="shared" si="18"/>
        <v>1.0018735403930583E-2</v>
      </c>
      <c r="D72" s="42">
        <f t="shared" si="18"/>
        <v>0.29599527422425154</v>
      </c>
      <c r="E72" s="7">
        <f>MAX((1-Parameters!$B$4)^Parameters!B$71*E71+B71*Parameters!B$71-Parameters!$B$5*B71^2/E71*Parameters!B$71,0.0001)</f>
        <v>0.76982288152459888</v>
      </c>
      <c r="F72" s="9">
        <f>MAX((1-Parameters!$B$4)^Parameters!B$71*F71+C71*Parameters!B$71-Parameters!$B$5*C71^2/F71*Parameters!B$71,0.0001)</f>
        <v>0.14853774069919071</v>
      </c>
      <c r="G72" s="7">
        <f>MAX((1-Parameters!$B$4)^Parameters!B$71*G71+D71*Parameters!B$71-Parameters!$B$5*D71^2/G71*Parameters!B$71,0.0001)</f>
        <v>4.3884229378766735</v>
      </c>
      <c r="I72" s="7">
        <f>I71*(1+Parameters!$B$52)^Parameters!B$71</f>
        <v>9.9359429218444149</v>
      </c>
      <c r="J72" s="7">
        <f>J71*(1+Parameters!$B$54)^Parameters!B$71</f>
        <v>34.688694094486628</v>
      </c>
      <c r="K72" s="7">
        <f>'6states'!$N$4</f>
        <v>0.98104277196026479</v>
      </c>
      <c r="L72" s="9">
        <f t="shared" si="21"/>
        <v>0.5</v>
      </c>
      <c r="N72" s="7">
        <f>(Parameters!$B$19*(E72+Parameters!$B$20)^L72+Parameters!$B$18*F72^L72)^(1/L72)</f>
        <v>0.53563012641586871</v>
      </c>
      <c r="O72" s="7">
        <f>(Parameters!$B$10*G72^Parameters!$B$9 + Parameters!$B$11*N72^Parameters!$B$9) ^ (Parameters!$B$7/Parameters!$B$9) * K72</f>
        <v>1.5070632607988448</v>
      </c>
      <c r="P72" s="7">
        <f t="shared" si="20"/>
        <v>1.1491253634604301</v>
      </c>
      <c r="Q72" s="7">
        <f>EXP(-Parameters!$B$56*A72)</f>
        <v>0.35815121266990152</v>
      </c>
      <c r="R72" s="7">
        <f>IF(P72&gt;0,P72^(1-Parameters!$B$53)/(1-Parameters!$B$53)*Q72,-10+P72*1000)</f>
        <v>-0.97469735594895335</v>
      </c>
      <c r="S72" s="7"/>
    </row>
    <row r="73" spans="1:19" x14ac:dyDescent="0.25">
      <c r="A73">
        <f>A72+Parameters!$B$71</f>
        <v>69</v>
      </c>
      <c r="B73" s="42">
        <f t="shared" si="19"/>
        <v>5.19238877102325E-2</v>
      </c>
      <c r="C73" s="42">
        <f t="shared" si="18"/>
        <v>1.0018735403930583E-2</v>
      </c>
      <c r="D73" s="42">
        <f t="shared" si="18"/>
        <v>0.29599527422425154</v>
      </c>
      <c r="E73" s="7">
        <f>MAX((1-Parameters!$B$4)^Parameters!B$71*E72+B72*Parameters!B$71-Parameters!$B$5*B72^2/E72*Parameters!B$71,0.0001)</f>
        <v>0.76982268865830161</v>
      </c>
      <c r="F73" s="9">
        <f>MAX((1-Parameters!$B$4)^Parameters!B$71*F72+C72*Parameters!B$71-Parameters!$B$5*C72^2/F72*Parameters!B$71,0.0001)</f>
        <v>0.14853769762968422</v>
      </c>
      <c r="G73" s="7">
        <f>MAX((1-Parameters!$B$4)^Parameters!B$71*G72+D72*Parameters!B$71-Parameters!$B$5*D72^2/G72*Parameters!B$71,0.0001)</f>
        <v>4.3884217879391754</v>
      </c>
      <c r="I73" s="7">
        <f>I72*(1+Parameters!$B$52)^Parameters!B$71</f>
        <v>9.9647571563177628</v>
      </c>
      <c r="J73" s="7">
        <f>J72*(1+Parameters!$B$54)^Parameters!B$71</f>
        <v>35.382467976376361</v>
      </c>
      <c r="K73" s="7">
        <f>'6states'!$N$4</f>
        <v>0.98104277196026479</v>
      </c>
      <c r="L73" s="9">
        <f t="shared" si="21"/>
        <v>0.5</v>
      </c>
      <c r="N73" s="7">
        <f>(Parameters!$B$19*(E73+Parameters!$B$20)^L73+Parameters!$B$18*F73^L73)^(1/L73)</f>
        <v>0.53562999028953917</v>
      </c>
      <c r="O73" s="7">
        <f>(Parameters!$B$10*G73^Parameters!$B$9 + Parameters!$B$11*N73^Parameters!$B$9) ^ (Parameters!$B$7/Parameters!$B$9) * K73</f>
        <v>1.5070631429494581</v>
      </c>
      <c r="P73" s="7">
        <f t="shared" si="20"/>
        <v>1.1491252456110435</v>
      </c>
      <c r="Q73" s="7">
        <f>EXP(-Parameters!$B$56*A73)</f>
        <v>0.35278375564489362</v>
      </c>
      <c r="R73" s="7">
        <f>IF(P73&gt;0,P73^(1-Parameters!$B$53)/(1-Parameters!$B$53)*Q73,-10+P73*1000)</f>
        <v>-0.96009002350729233</v>
      </c>
      <c r="S73" s="7"/>
    </row>
    <row r="74" spans="1:19" x14ac:dyDescent="0.25">
      <c r="A74">
        <f>A73+Parameters!$B$71</f>
        <v>70</v>
      </c>
      <c r="B74" s="20">
        <v>5.1923951975726516E-2</v>
      </c>
      <c r="C74" s="20">
        <v>1.0018754504738657E-2</v>
      </c>
      <c r="D74" s="19">
        <v>0.29599585186736171</v>
      </c>
      <c r="E74" s="7">
        <f>MAX((1-Parameters!$B$4)^Parameters!B$71*E73+B73*Parameters!B$71-Parameters!$B$5*B73^2/E73*Parameters!B$71,0.0001)</f>
        <v>0.76982250704587096</v>
      </c>
      <c r="F74" s="9">
        <f>MAX((1-Parameters!$B$4)^Parameters!B$71*F73+C73*Parameters!B$71-Parameters!$B$5*C73^2/F73*Parameters!B$71,0.0001)</f>
        <v>0.1485376570733101</v>
      </c>
      <c r="G74" s="7">
        <f>MAX((1-Parameters!$B$4)^Parameters!B$71*G73+D73*Parameters!B$71-Parameters!$B$5*D73^2/G73*Parameters!B$71,0.0001)</f>
        <v>4.3884207051012378</v>
      </c>
      <c r="I74" s="7">
        <f>I73*(1+Parameters!$B$52)^Parameters!B$71</f>
        <v>9.9936549520710827</v>
      </c>
      <c r="J74" s="7">
        <f>J73*(1+Parameters!$B$54)^Parameters!B$71</f>
        <v>36.090117335903891</v>
      </c>
      <c r="K74" s="7">
        <f>'6states'!$N$4</f>
        <v>0.98104277196026479</v>
      </c>
      <c r="L74" s="9">
        <f t="shared" si="21"/>
        <v>0.5</v>
      </c>
      <c r="N74" s="7">
        <f>(Parameters!$B$19*(E74+Parameters!$B$20)^L74+Parameters!$B$18*F74^L74)^(1/L74)</f>
        <v>0.53562986210626462</v>
      </c>
      <c r="O74" s="7">
        <f>(Parameters!$B$10*G74^Parameters!$B$9 + Parameters!$B$11*N74^Parameters!$B$9) ^ (Parameters!$B$7/Parameters!$B$9) * K74</f>
        <v>1.5070630319766358</v>
      </c>
      <c r="P74" s="7">
        <f t="shared" si="20"/>
        <v>1.1491244736288091</v>
      </c>
      <c r="Q74" s="7">
        <f>EXP(-Parameters!$B$56*A74)</f>
        <v>0.34749673837241518</v>
      </c>
      <c r="R74" s="7">
        <f>IF(P74&gt;0,P74^(1-Parameters!$B$53)/(1-Parameters!$B$53)*Q74,-10+P74*1000)</f>
        <v>-0.94570179272799737</v>
      </c>
      <c r="S74" s="7"/>
    </row>
    <row r="75" spans="1:19" x14ac:dyDescent="0.25">
      <c r="A75">
        <f>A74+Parameters!$B$71</f>
        <v>71</v>
      </c>
      <c r="B75" s="42">
        <f>B74</f>
        <v>5.1923951975726516E-2</v>
      </c>
      <c r="C75" s="42">
        <f t="shared" ref="C75:D83" si="22">C74</f>
        <v>1.0018754504738657E-2</v>
      </c>
      <c r="D75" s="42">
        <f t="shared" si="22"/>
        <v>0.29599585186736171</v>
      </c>
      <c r="E75" s="7">
        <f>MAX((1-Parameters!$B$4)^Parameters!B$71*E74+B74*Parameters!B$71-Parameters!$B$5*B74^2/E74*Parameters!B$71,0.0001)</f>
        <v>0.76982239162681698</v>
      </c>
      <c r="F75" s="9">
        <f>MAX((1-Parameters!$B$4)^Parameters!B$71*F74+C74*Parameters!B$71-Parameters!$B$5*C74^2/F74*Parameters!B$71,0.0001)</f>
        <v>0.14853763540756534</v>
      </c>
      <c r="G75" s="7">
        <f>MAX((1-Parameters!$B$4)^Parameters!B$71*G74+D74*Parameters!B$71-Parameters!$B$5*D74^2/G74*Parameters!B$71,0.0001)</f>
        <v>4.3884201851675098</v>
      </c>
      <c r="I75" s="7">
        <f>I74*(1+Parameters!$B$52)^Parameters!B$71</f>
        <v>10.022636551432088</v>
      </c>
      <c r="J75" s="7">
        <f>J74*(1+Parameters!$B$54)^Parameters!B$71</f>
        <v>36.811919682621969</v>
      </c>
      <c r="K75" s="7">
        <f>'6states'!$N$4</f>
        <v>0.98104277196026479</v>
      </c>
      <c r="L75" s="9">
        <f t="shared" si="21"/>
        <v>0.5</v>
      </c>
      <c r="N75" s="7">
        <f>(Parameters!$B$19*(E75+Parameters!$B$20)^L75+Parameters!$B$18*F75^L75)^(1/L75)</f>
        <v>0.53562978301334929</v>
      </c>
      <c r="O75" s="7">
        <f>(Parameters!$B$10*G75^Parameters!$B$9 + Parameters!$B$11*N75^Parameters!$B$9) ^ (Parameters!$B$7/Parameters!$B$9) * K75</f>
        <v>1.5070629761062682</v>
      </c>
      <c r="P75" s="7">
        <f t="shared" si="20"/>
        <v>1.1491244177584414</v>
      </c>
      <c r="Q75" s="7">
        <f>EXP(-Parameters!$B$56*A75)</f>
        <v>0.34228895533675241</v>
      </c>
      <c r="R75" s="7">
        <f>IF(P75&gt;0,P75^(1-Parameters!$B$53)/(1-Parameters!$B$53)*Q75,-10+P75*1000)</f>
        <v>-0.93152898561740516</v>
      </c>
      <c r="S75" s="7"/>
    </row>
    <row r="76" spans="1:19" x14ac:dyDescent="0.25">
      <c r="A76">
        <f>A75+Parameters!$B$71</f>
        <v>72</v>
      </c>
      <c r="B76" s="42">
        <f t="shared" ref="B76:B83" si="23">B75</f>
        <v>5.1923951975726516E-2</v>
      </c>
      <c r="C76" s="42">
        <f t="shared" si="22"/>
        <v>1.0018754504738657E-2</v>
      </c>
      <c r="D76" s="42">
        <f t="shared" si="22"/>
        <v>0.29599585186736171</v>
      </c>
      <c r="E76" s="7">
        <f>MAX((1-Parameters!$B$4)^Parameters!B$71*E75+B75*Parameters!B$71-Parameters!$B$5*B75^2/E75*Parameters!B$71,0.0001)</f>
        <v>0.76982228294253385</v>
      </c>
      <c r="F76" s="9">
        <f>MAX((1-Parameters!$B$4)^Parameters!B$71*F75+C75*Parameters!B$71-Parameters!$B$5*C75^2/F75*Parameters!B$71,0.0001)</f>
        <v>0.14853761500602972</v>
      </c>
      <c r="G76" s="7">
        <f>MAX((1-Parameters!$B$4)^Parameters!B$71*G75+D75*Parameters!B$71-Parameters!$B$5*D75^2/G75*Parameters!B$71,0.0001)</f>
        <v>4.3884196955722228</v>
      </c>
      <c r="I76" s="7">
        <f>I75*(1+Parameters!$B$52)^Parameters!B$71</f>
        <v>10.05170219743124</v>
      </c>
      <c r="J76" s="7">
        <f>J75*(1+Parameters!$B$54)^Parameters!B$71</f>
        <v>37.548158076274412</v>
      </c>
      <c r="K76" s="7">
        <f>'6states'!$N$4</f>
        <v>0.98104277196026479</v>
      </c>
      <c r="L76" s="9">
        <f t="shared" si="21"/>
        <v>0.5</v>
      </c>
      <c r="N76" s="7">
        <f>(Parameters!$B$19*(E76+Parameters!$B$20)^L76+Parameters!$B$18*F76^L76)^(1/L76)</f>
        <v>0.53562970853555281</v>
      </c>
      <c r="O76" s="7">
        <f>(Parameters!$B$10*G76^Parameters!$B$9 + Parameters!$B$11*N76^Parameters!$B$9) ^ (Parameters!$B$7/Parameters!$B$9) * K76</f>
        <v>1.5070629234959652</v>
      </c>
      <c r="P76" s="7">
        <f t="shared" si="20"/>
        <v>1.1491243651481384</v>
      </c>
      <c r="Q76" s="7">
        <f>EXP(-Parameters!$B$56*A76)</f>
        <v>0.33715921908873309</v>
      </c>
      <c r="R76" s="7">
        <f>IF(P76&gt;0,P76^(1-Parameters!$B$53)/(1-Parameters!$B$53)*Q76,-10+P76*1000)</f>
        <v>-0.91756857907675038</v>
      </c>
      <c r="S76" s="7"/>
    </row>
    <row r="77" spans="1:19" x14ac:dyDescent="0.25">
      <c r="A77">
        <f>A76+Parameters!$B$71</f>
        <v>73</v>
      </c>
      <c r="B77" s="42">
        <f t="shared" si="23"/>
        <v>5.1923951975726516E-2</v>
      </c>
      <c r="C77" s="42">
        <f t="shared" si="22"/>
        <v>1.0018754504738657E-2</v>
      </c>
      <c r="D77" s="42">
        <f t="shared" si="22"/>
        <v>0.29599585186736171</v>
      </c>
      <c r="E77" s="7">
        <f>MAX((1-Parameters!$B$4)^Parameters!B$71*E76+B76*Parameters!B$71-Parameters!$B$5*B76^2/E76*Parameters!B$71,0.0001)</f>
        <v>0.76982218060004348</v>
      </c>
      <c r="F77" s="9">
        <f>MAX((1-Parameters!$B$4)^Parameters!B$71*F76+C76*Parameters!B$71-Parameters!$B$5*C76^2/F76*Parameters!B$71,0.0001)</f>
        <v>0.14853759579493586</v>
      </c>
      <c r="G77" s="7">
        <f>MAX((1-Parameters!$B$4)^Parameters!B$71*G76+D76*Parameters!B$71-Parameters!$B$5*D76^2/G76*Parameters!B$71,0.0001)</f>
        <v>4.3884192345451112</v>
      </c>
      <c r="I77" s="7">
        <f>I76*(1+Parameters!$B$52)^Parameters!B$71</f>
        <v>10.08085213380379</v>
      </c>
      <c r="J77" s="7">
        <f>J76*(1+Parameters!$B$54)^Parameters!B$71</f>
        <v>38.299121237799902</v>
      </c>
      <c r="K77" s="7">
        <f>'6states'!$N$4</f>
        <v>0.98104277196026479</v>
      </c>
      <c r="L77" s="9">
        <f t="shared" si="21"/>
        <v>0.5</v>
      </c>
      <c r="N77" s="7">
        <f>(Parameters!$B$19*(E77+Parameters!$B$20)^L77+Parameters!$B$18*F77^L77)^(1/L77)</f>
        <v>0.53562963840358024</v>
      </c>
      <c r="O77" s="7">
        <f>(Parameters!$B$10*G77^Parameters!$B$9 + Parameters!$B$11*N77^Parameters!$B$9) ^ (Parameters!$B$7/Parameters!$B$9) * K77</f>
        <v>1.5070628739555001</v>
      </c>
      <c r="P77" s="7">
        <f t="shared" si="20"/>
        <v>1.1491243156076734</v>
      </c>
      <c r="Q77" s="7">
        <f>EXP(-Parameters!$B$56*A77)</f>
        <v>0.33210635997497118</v>
      </c>
      <c r="R77" s="7">
        <f>IF(P77&gt;0,P77^(1-Parameters!$B$53)/(1-Parameters!$B$53)*Q77,-10+P77*1000)</f>
        <v>-0.90381739003396733</v>
      </c>
      <c r="S77" s="7"/>
    </row>
    <row r="78" spans="1:19" x14ac:dyDescent="0.25">
      <c r="A78">
        <f>A77+Parameters!$B$71</f>
        <v>74</v>
      </c>
      <c r="B78" s="42">
        <f t="shared" si="23"/>
        <v>5.1923951975726516E-2</v>
      </c>
      <c r="C78" s="42">
        <f t="shared" si="22"/>
        <v>1.0018754504738657E-2</v>
      </c>
      <c r="D78" s="42">
        <f t="shared" si="22"/>
        <v>0.29599585186736171</v>
      </c>
      <c r="E78" s="7">
        <f>MAX((1-Parameters!$B$4)^Parameters!B$71*E77+B77*Parameters!B$71-Parameters!$B$5*B77^2/E77*Parameters!B$71,0.0001)</f>
        <v>0.76982208422929821</v>
      </c>
      <c r="F78" s="9">
        <f>MAX((1-Parameters!$B$4)^Parameters!B$71*F77+C77*Parameters!B$71-Parameters!$B$5*C77^2/F77*Parameters!B$71,0.0001)</f>
        <v>0.14853757770482076</v>
      </c>
      <c r="G78" s="7">
        <f>MAX((1-Parameters!$B$4)^Parameters!B$71*G77+D77*Parameters!B$71-Parameters!$B$5*D77^2/G77*Parameters!B$71,0.0001)</f>
        <v>4.3884188004192044</v>
      </c>
      <c r="I78" s="7">
        <f>I77*(1+Parameters!$B$52)^Parameters!B$71</f>
        <v>10.110086604991819</v>
      </c>
      <c r="J78" s="7">
        <f>J77*(1+Parameters!$B$54)^Parameters!B$71</f>
        <v>39.065103662555899</v>
      </c>
      <c r="K78" s="7">
        <f>'6states'!$N$4</f>
        <v>0.98104277196026479</v>
      </c>
      <c r="L78" s="9">
        <f t="shared" si="21"/>
        <v>0.5</v>
      </c>
      <c r="N78" s="7">
        <f>(Parameters!$B$19*(E78+Parameters!$B$20)^L78+Parameters!$B$18*F78^L78)^(1/L78)</f>
        <v>0.53562957236385011</v>
      </c>
      <c r="O78" s="7">
        <f>(Parameters!$B$10*G78^Parameters!$B$9 + Parameters!$B$11*N78^Parameters!$B$9) ^ (Parameters!$B$7/Parameters!$B$9) * K78</f>
        <v>1.5070628273057469</v>
      </c>
      <c r="P78" s="7">
        <f t="shared" si="20"/>
        <v>1.1491242689579202</v>
      </c>
      <c r="Q78" s="7">
        <f>EXP(-Parameters!$B$56*A78)</f>
        <v>0.32712922587116899</v>
      </c>
      <c r="R78" s="7">
        <f>IF(P78&gt;0,P78^(1-Parameters!$B$53)/(1-Parameters!$B$53)*Q78,-10+P78*1000)</f>
        <v>-0.89027228311427953</v>
      </c>
      <c r="S78" s="7"/>
    </row>
    <row r="79" spans="1:19" x14ac:dyDescent="0.25">
      <c r="A79">
        <f>A78+Parameters!$B$71</f>
        <v>75</v>
      </c>
      <c r="B79" s="42">
        <f t="shared" si="23"/>
        <v>5.1923951975726516E-2</v>
      </c>
      <c r="C79" s="42">
        <f t="shared" si="22"/>
        <v>1.0018754504738657E-2</v>
      </c>
      <c r="D79" s="42">
        <f t="shared" si="22"/>
        <v>0.29599585186736171</v>
      </c>
      <c r="E79" s="7">
        <f>MAX((1-Parameters!$B$4)^Parameters!B$71*E78+B78*Parameters!B$71-Parameters!$B$5*B78^2/E78*Parameters!B$71,0.0001)</f>
        <v>0.76982199348184321</v>
      </c>
      <c r="F79" s="9">
        <f>MAX((1-Parameters!$B$4)^Parameters!B$71*F78+C78*Parameters!B$71-Parameters!$B$5*C78^2/F78*Parameters!B$71,0.0001)</f>
        <v>0.1485375606702746</v>
      </c>
      <c r="G79" s="7">
        <f>MAX((1-Parameters!$B$4)^Parameters!B$71*G78+D78*Parameters!B$71-Parameters!$B$5*D78^2/G78*Parameters!B$71,0.0001)</f>
        <v>4.3884183916247999</v>
      </c>
      <c r="I79" s="7">
        <f>I78*(1+Parameters!$B$52)^Parameters!B$71</f>
        <v>10.139405856146295</v>
      </c>
      <c r="J79" s="7">
        <f>J78*(1+Parameters!$B$54)^Parameters!B$71</f>
        <v>39.846405735807018</v>
      </c>
      <c r="K79" s="7">
        <f>'6states'!$N$4</f>
        <v>0.98104277196026479</v>
      </c>
      <c r="L79" s="9">
        <f t="shared" si="21"/>
        <v>0.5</v>
      </c>
      <c r="N79" s="7">
        <f>(Parameters!$B$19*(E79+Parameters!$B$20)^L79+Parameters!$B$18*F79^L79)^(1/L79)</f>
        <v>0.53562951017757721</v>
      </c>
      <c r="O79" s="7">
        <f>(Parameters!$B$10*G79^Parameters!$B$9 + Parameters!$B$11*N79^Parameters!$B$9) ^ (Parameters!$B$7/Parameters!$B$9) * K79</f>
        <v>1.5070627833780312</v>
      </c>
      <c r="P79" s="7">
        <f t="shared" si="20"/>
        <v>1.1491242250302045</v>
      </c>
      <c r="Q79" s="7">
        <f>EXP(-Parameters!$B$56*A79)</f>
        <v>0.32222668191941661</v>
      </c>
      <c r="R79" s="7">
        <f>IF(P79&gt;0,P79^(1-Parameters!$B$53)/(1-Parameters!$B$53)*Q79,-10+P79*1000)</f>
        <v>-0.87693016992582018</v>
      </c>
      <c r="S79" s="7"/>
    </row>
    <row r="80" spans="1:19" x14ac:dyDescent="0.25">
      <c r="A80">
        <f>A79+Parameters!$B$71</f>
        <v>76</v>
      </c>
      <c r="B80" s="42">
        <f t="shared" si="23"/>
        <v>5.1923951975726516E-2</v>
      </c>
      <c r="C80" s="42">
        <f t="shared" si="22"/>
        <v>1.0018754504738657E-2</v>
      </c>
      <c r="D80" s="42">
        <f t="shared" si="22"/>
        <v>0.29599585186736171</v>
      </c>
      <c r="E80" s="7">
        <f>MAX((1-Parameters!$B$4)^Parameters!B$71*E79+B79*Parameters!B$71-Parameters!$B$5*B79^2/E79*Parameters!B$71,0.0001)</f>
        <v>0.76982190802955608</v>
      </c>
      <c r="F80" s="9">
        <f>MAX((1-Parameters!$B$4)^Parameters!B$71*F79+C79*Parameters!B$71-Parameters!$B$5*C79^2/F79*Parameters!B$71,0.0001)</f>
        <v>0.14853754462970428</v>
      </c>
      <c r="G80" s="7">
        <f>MAX((1-Parameters!$B$4)^Parameters!B$71*G79+D79*Parameters!B$71-Parameters!$B$5*D79^2/G79*Parameters!B$71,0.0001)</f>
        <v>4.3884180066837892</v>
      </c>
      <c r="I80" s="7">
        <f>I79*(1+Parameters!$B$52)^Parameters!B$71</f>
        <v>10.168810133129119</v>
      </c>
      <c r="J80" s="7">
        <f>J79*(1+Parameters!$B$54)^Parameters!B$71</f>
        <v>40.643333850523156</v>
      </c>
      <c r="K80" s="7">
        <f>'6states'!$N$4</f>
        <v>0.98104277196026479</v>
      </c>
      <c r="L80" s="9">
        <f t="shared" si="21"/>
        <v>0.5</v>
      </c>
      <c r="N80" s="7">
        <f>(Parameters!$B$19*(E80+Parameters!$B$20)^L80+Parameters!$B$18*F80^L80)^(1/L80)</f>
        <v>0.53562945161991016</v>
      </c>
      <c r="O80" s="7">
        <f>(Parameters!$B$10*G80^Parameters!$B$9 + Parameters!$B$11*N80^Parameters!$B$9) ^ (Parameters!$B$7/Parameters!$B$9) * K80</f>
        <v>1.5070627420135208</v>
      </c>
      <c r="P80" s="7">
        <f t="shared" si="20"/>
        <v>1.149124183665694</v>
      </c>
      <c r="Q80" s="7">
        <f>EXP(-Parameters!$B$56*A80)</f>
        <v>0.31739761026942775</v>
      </c>
      <c r="R80" s="7">
        <f>IF(P80&gt;0,P80^(1-Parameters!$B$53)/(1-Parameters!$B$53)*Q80,-10+P80*1000)</f>
        <v>-0.86378800835592362</v>
      </c>
      <c r="S80" s="7"/>
    </row>
    <row r="81" spans="1:19" x14ac:dyDescent="0.25">
      <c r="A81">
        <f>A80+Parameters!$B$71</f>
        <v>77</v>
      </c>
      <c r="B81" s="42">
        <f t="shared" si="23"/>
        <v>5.1923951975726516E-2</v>
      </c>
      <c r="C81" s="42">
        <f t="shared" si="22"/>
        <v>1.0018754504738657E-2</v>
      </c>
      <c r="D81" s="42">
        <f t="shared" si="22"/>
        <v>0.29599585186736171</v>
      </c>
      <c r="E81" s="7">
        <f>MAX((1-Parameters!$B$4)^Parameters!B$71*E80+B80*Parameters!B$71-Parameters!$B$5*B80^2/E80*Parameters!B$71,0.0001)</f>
        <v>0.7698218275634604</v>
      </c>
      <c r="F81" s="9">
        <f>MAX((1-Parameters!$B$4)^Parameters!B$71*F80+C80*Parameters!B$71-Parameters!$B$5*C80^2/F80*Parameters!B$71,0.0001)</f>
        <v>0.14853752952511073</v>
      </c>
      <c r="G81" s="7">
        <f>MAX((1-Parameters!$B$4)^Parameters!B$71*G80+D80*Parameters!B$71-Parameters!$B$5*D80^2/G80*Parameters!B$71,0.0001)</f>
        <v>4.3884176442043135</v>
      </c>
      <c r="I81" s="7">
        <f>I80*(1+Parameters!$B$52)^Parameters!B$71</f>
        <v>10.198299682515193</v>
      </c>
      <c r="J81" s="7">
        <f>J80*(1+Parameters!$B$54)^Parameters!B$71</f>
        <v>41.456200527533618</v>
      </c>
      <c r="K81" s="7">
        <f>'6states'!$N$4</f>
        <v>0.98104277196026479</v>
      </c>
      <c r="L81" s="9">
        <f t="shared" si="21"/>
        <v>0.5</v>
      </c>
      <c r="N81" s="7">
        <f>(Parameters!$B$19*(E81+Parameters!$B$20)^L81+Parameters!$B$18*F81^L81)^(1/L81)</f>
        <v>0.535629396479118</v>
      </c>
      <c r="O81" s="7">
        <f>(Parameters!$B$10*G81^Parameters!$B$9 + Parameters!$B$11*N81^Parameters!$B$9) ^ (Parameters!$B$7/Parameters!$B$9) * K81</f>
        <v>1.5070627030626511</v>
      </c>
      <c r="P81" s="7">
        <f t="shared" si="20"/>
        <v>1.1491241447148244</v>
      </c>
      <c r="Q81" s="7">
        <f>EXP(-Parameters!$B$56*A81)</f>
        <v>0.31264090982365395</v>
      </c>
      <c r="R81" s="7">
        <f>IF(P81&gt;0,P81^(1-Parameters!$B$53)/(1-Parameters!$B$53)*Q81,-10+P81*1000)</f>
        <v>-0.8508428018779356</v>
      </c>
      <c r="S81" s="7"/>
    </row>
    <row r="82" spans="1:19" x14ac:dyDescent="0.25">
      <c r="A82">
        <f>A81+Parameters!$B$71</f>
        <v>78</v>
      </c>
      <c r="B82" s="42">
        <f t="shared" si="23"/>
        <v>5.1923951975726516E-2</v>
      </c>
      <c r="C82" s="42">
        <f t="shared" si="22"/>
        <v>1.0018754504738657E-2</v>
      </c>
      <c r="D82" s="42">
        <f t="shared" si="22"/>
        <v>0.29599585186736171</v>
      </c>
      <c r="E82" s="7">
        <f>MAX((1-Parameters!$B$4)^Parameters!B$71*E81+B81*Parameters!B$71-Parameters!$B$5*B81^2/E81*Parameters!B$71,0.0001)</f>
        <v>0.76982175179260903</v>
      </c>
      <c r="F82" s="9">
        <f>MAX((1-Parameters!$B$4)^Parameters!B$71*F81+C81*Parameters!B$71-Parameters!$B$5*C81^2/F81*Parameters!B$71,0.0001)</f>
        <v>0.14853751530187914</v>
      </c>
      <c r="G82" s="7">
        <f>MAX((1-Parameters!$B$4)^Parameters!B$71*G81+D81*Parameters!B$71-Parameters!$B$5*D81^2/G81*Parameters!B$71,0.0001)</f>
        <v>4.3884173028757285</v>
      </c>
      <c r="I82" s="7">
        <f>I81*(1+Parameters!$B$52)^Parameters!B$71</f>
        <v>10.227874751594486</v>
      </c>
      <c r="J82" s="7">
        <f>J81*(1+Parameters!$B$54)^Parameters!B$71</f>
        <v>42.285324538084289</v>
      </c>
      <c r="K82" s="7">
        <f>'6states'!$N$4</f>
        <v>0.98104277196026479</v>
      </c>
      <c r="L82" s="9">
        <f t="shared" si="21"/>
        <v>0.5</v>
      </c>
      <c r="N82" s="7">
        <f>(Parameters!$B$19*(E82+Parameters!$B$20)^L82+Parameters!$B$18*F82^L82)^(1/L82)</f>
        <v>0.53562934455582334</v>
      </c>
      <c r="O82" s="7">
        <f>(Parameters!$B$10*G82^Parameters!$B$9 + Parameters!$B$11*N82^Parameters!$B$9) ^ (Parameters!$B$7/Parameters!$B$9) * K82</f>
        <v>1.5070626663845854</v>
      </c>
      <c r="P82" s="7">
        <f t="shared" si="20"/>
        <v>1.1491241080367587</v>
      </c>
      <c r="Q82" s="7">
        <f>EXP(-Parameters!$B$56*A82)</f>
        <v>0.30795549598621846</v>
      </c>
      <c r="R82" s="7">
        <f>IF(P82&gt;0,P82^(1-Parameters!$B$53)/(1-Parameters!$B$53)*Q82,-10+P82*1000)</f>
        <v>-0.83809159886838402</v>
      </c>
      <c r="S82" s="7"/>
    </row>
    <row r="83" spans="1:19" x14ac:dyDescent="0.25">
      <c r="A83">
        <f>A82+Parameters!$B$71</f>
        <v>79</v>
      </c>
      <c r="B83" s="42">
        <f t="shared" si="23"/>
        <v>5.1923951975726516E-2</v>
      </c>
      <c r="C83" s="42">
        <f t="shared" si="22"/>
        <v>1.0018754504738657E-2</v>
      </c>
      <c r="D83" s="42">
        <f t="shared" si="22"/>
        <v>0.29599585186736171</v>
      </c>
      <c r="E83" s="7">
        <f>MAX((1-Parameters!$B$4)^Parameters!B$71*E82+B82*Parameters!B$71-Parameters!$B$5*B82^2/E82*Parameters!B$71,0.0001)</f>
        <v>0.76982168044303145</v>
      </c>
      <c r="F83" s="9">
        <f>MAX((1-Parameters!$B$4)^Parameters!B$71*F82+C82*Parameters!B$71-Parameters!$B$5*C82^2/F82*Parameters!B$71,0.0001)</f>
        <v>0.1485375019085815</v>
      </c>
      <c r="G83" s="7">
        <f>MAX((1-Parameters!$B$4)^Parameters!B$71*G82+D82*Parameters!B$71-Parameters!$B$5*D82^2/G82*Parameters!B$71,0.0001)</f>
        <v>4.3884169814638661</v>
      </c>
      <c r="I83" s="7">
        <f>I82*(1+Parameters!$B$52)^Parameters!B$71</f>
        <v>10.257535588374109</v>
      </c>
      <c r="J83" s="7">
        <f>J82*(1+Parameters!$B$54)^Parameters!B$71</f>
        <v>43.131031028845975</v>
      </c>
      <c r="K83" s="7">
        <f>'6states'!$N$4</f>
        <v>0.98104277196026479</v>
      </c>
      <c r="L83" s="9">
        <f t="shared" si="21"/>
        <v>0.5</v>
      </c>
      <c r="N83" s="7">
        <f>(Parameters!$B$19*(E83+Parameters!$B$20)^L83+Parameters!$B$18*F83^L83)^(1/L83)</f>
        <v>0.53562929566228357</v>
      </c>
      <c r="O83" s="7">
        <f>(Parameters!$B$10*G83^Parameters!$B$9 + Parameters!$B$11*N83^Parameters!$B$9) ^ (Parameters!$B$7/Parameters!$B$9) * K83</f>
        <v>1.5070626318467046</v>
      </c>
      <c r="P83" s="7">
        <f t="shared" si="20"/>
        <v>1.1491240734988779</v>
      </c>
      <c r="Q83" s="7">
        <f>EXP(-Parameters!$B$56*A83)</f>
        <v>0.30334030041561322</v>
      </c>
      <c r="R83" s="7">
        <f>IF(P83&gt;0,P83^(1-Parameters!$B$53)/(1-Parameters!$B$53)*Q83,-10+P83*1000)</f>
        <v>-0.82553149193435804</v>
      </c>
      <c r="S83" s="7"/>
    </row>
    <row r="84" spans="1:19" x14ac:dyDescent="0.25">
      <c r="A84">
        <f>A83+Parameters!$B$71</f>
        <v>80</v>
      </c>
      <c r="B84" s="20">
        <v>5.1924102637048011E-2</v>
      </c>
      <c r="C84" s="41">
        <v>1.001879062528673E-2</v>
      </c>
      <c r="D84" s="19">
        <v>0.29599658759299885</v>
      </c>
      <c r="E84" s="7">
        <f>MAX((1-Parameters!$B$4)^Parameters!B$71*E83+B83*Parameters!B$71-Parameters!$B$5*B83^2/E83*Parameters!B$71,0.0001)</f>
        <v>0.76982161325674392</v>
      </c>
      <c r="F84" s="9">
        <f>MAX((1-Parameters!$B$4)^Parameters!B$71*F83+C83*Parameters!B$71-Parameters!$B$5*C83^2/F83*Parameters!B$71,0.0001)</f>
        <v>0.14853748929679067</v>
      </c>
      <c r="G84" s="7">
        <f>MAX((1-Parameters!$B$4)^Parameters!B$71*G83+D83*Parameters!B$71-Parameters!$B$5*D83^2/G83*Parameters!B$71,0.0001)</f>
        <v>4.3884166788065748</v>
      </c>
      <c r="I84" s="7">
        <f>I83*(1+Parameters!$B$52)^Parameters!B$71</f>
        <v>10.287282441580393</v>
      </c>
      <c r="J84" s="7">
        <f>J83*(1+Parameters!$B$54)^Parameters!B$71</f>
        <v>43.993651649422894</v>
      </c>
      <c r="K84" s="7">
        <f>'6states'!$N$4</f>
        <v>0.98104277196026479</v>
      </c>
      <c r="L84" s="9">
        <f t="shared" si="21"/>
        <v>0.5</v>
      </c>
      <c r="N84" s="7">
        <f>(Parameters!$B$19*(E84+Parameters!$B$20)^L84+Parameters!$B$18*F84^L84)^(1/L84)</f>
        <v>0.53562924962171077</v>
      </c>
      <c r="O84" s="7">
        <f>(Parameters!$B$10*G84^Parameters!$B$9 + Parameters!$B$11*N84^Parameters!$B$9) ^ (Parameters!$B$7/Parameters!$B$9) * K84</f>
        <v>1.5070625993241273</v>
      </c>
      <c r="P84" s="7">
        <f t="shared" si="20"/>
        <v>1.1491231184687938</v>
      </c>
      <c r="Q84" s="7">
        <f>EXP(-Parameters!$B$56*A84)</f>
        <v>0.29879427078110121</v>
      </c>
      <c r="R84" s="7">
        <f>IF(P84&gt;0,P84^(1-Parameters!$B$53)/(1-Parameters!$B$53)*Q84,-10+P84*1000)</f>
        <v>-0.81315984573036093</v>
      </c>
      <c r="S84" s="7"/>
    </row>
    <row r="85" spans="1:19" x14ac:dyDescent="0.25">
      <c r="A85">
        <f>A84+Parameters!$B$71</f>
        <v>81</v>
      </c>
      <c r="B85" s="42">
        <f>B84</f>
        <v>5.1924102637048011E-2</v>
      </c>
      <c r="C85" s="42">
        <f t="shared" ref="C85:D93" si="24">C84</f>
        <v>1.001879062528673E-2</v>
      </c>
      <c r="D85" s="42">
        <f t="shared" si="24"/>
        <v>0.29599658759299885</v>
      </c>
      <c r="E85" s="7">
        <f>MAX((1-Parameters!$B$4)^Parameters!B$71*E84+B84*Parameters!B$71-Parameters!$B$5*B84^2/E84*Parameters!B$71,0.0001)</f>
        <v>0.76982168032809739</v>
      </c>
      <c r="F85" s="9">
        <f>MAX((1-Parameters!$B$4)^Parameters!B$71*F84+C84*Parameters!B$71-Parameters!$B$5*C84^2/F84*Parameters!B$71,0.0001)</f>
        <v>0.14853750866883084</v>
      </c>
      <c r="G85" s="7">
        <f>MAX((1-Parameters!$B$4)^Parameters!B$71*G84+D84*Parameters!B$71-Parameters!$B$5*D84^2/G84*Parameters!B$71,0.0001)</f>
        <v>4.388417030286595</v>
      </c>
      <c r="I85" s="7">
        <f>I84*(1+Parameters!$B$52)^Parameters!B$71</f>
        <v>10.317115560660975</v>
      </c>
      <c r="J85" s="7">
        <f>J84*(1+Parameters!$B$54)^Parameters!B$71</f>
        <v>44.87352468241135</v>
      </c>
      <c r="K85" s="7">
        <f>'6states'!$N$4</f>
        <v>0.98104277196026479</v>
      </c>
      <c r="L85" s="9">
        <f t="shared" si="21"/>
        <v>0.5</v>
      </c>
      <c r="N85" s="7">
        <f>(Parameters!$B$19*(E85+Parameters!$B$20)^L85+Parameters!$B$18*F85^L85)^(1/L85)</f>
        <v>0.53562929949638693</v>
      </c>
      <c r="O85" s="7">
        <f>(Parameters!$B$10*G85^Parameters!$B$9 + Parameters!$B$11*N85^Parameters!$B$9) ^ (Parameters!$B$7/Parameters!$B$9) * K85</f>
        <v>1.5070626365634998</v>
      </c>
      <c r="P85" s="7">
        <f t="shared" si="20"/>
        <v>1.1491231557081663</v>
      </c>
      <c r="Q85" s="7">
        <f>EXP(-Parameters!$B$56*A85)</f>
        <v>0.29431637052277015</v>
      </c>
      <c r="R85" s="7">
        <f>IF(P85&gt;0,P85^(1-Parameters!$B$53)/(1-Parameters!$B$53)*Q85,-10+P85*1000)</f>
        <v>-0.80097336240767669</v>
      </c>
      <c r="S85" s="7"/>
    </row>
    <row r="86" spans="1:19" x14ac:dyDescent="0.25">
      <c r="A86">
        <f>A85+Parameters!$B$71</f>
        <v>82</v>
      </c>
      <c r="B86" s="42">
        <f t="shared" ref="B86:B93" si="25">B85</f>
        <v>5.1924102637048011E-2</v>
      </c>
      <c r="C86" s="42">
        <f t="shared" si="24"/>
        <v>1.001879062528673E-2</v>
      </c>
      <c r="D86" s="42">
        <f t="shared" si="24"/>
        <v>0.29599658759299885</v>
      </c>
      <c r="E86" s="7">
        <f>MAX((1-Parameters!$B$4)^Parameters!B$71*E85+B85*Parameters!B$71-Parameters!$B$5*B85^2/E85*Parameters!B$71,0.0001)</f>
        <v>0.76982174348579968</v>
      </c>
      <c r="F86" s="9">
        <f>MAX((1-Parameters!$B$4)^Parameters!B$71*F85+C85*Parameters!B$71-Parameters!$B$5*C85^2/F85*Parameters!B$71,0.0001)</f>
        <v>0.14853752691050168</v>
      </c>
      <c r="G86" s="7">
        <f>MAX((1-Parameters!$B$4)^Parameters!B$71*G85+D85*Parameters!B$71-Parameters!$B$5*D85^2/G85*Parameters!B$71,0.0001)</f>
        <v>4.3884173612575585</v>
      </c>
      <c r="I86" s="7">
        <f>I85*(1+Parameters!$B$52)^Parameters!B$71</f>
        <v>10.347035195786891</v>
      </c>
      <c r="J86" s="7">
        <f>J85*(1+Parameters!$B$54)^Parameters!B$71</f>
        <v>45.770995176059579</v>
      </c>
      <c r="K86" s="7">
        <f>'6states'!$N$4</f>
        <v>0.98104277196026479</v>
      </c>
      <c r="L86" s="9">
        <f t="shared" si="21"/>
        <v>0.5</v>
      </c>
      <c r="N86" s="7">
        <f>(Parameters!$B$19*(E86+Parameters!$B$20)^L86+Parameters!$B$18*F86^L86)^(1/L86)</f>
        <v>0.5356293464608477</v>
      </c>
      <c r="O86" s="7">
        <f>(Parameters!$B$10*G86^Parameters!$B$9 + Parameters!$B$11*N86^Parameters!$B$9) ^ (Parameters!$B$7/Parameters!$B$9) * K86</f>
        <v>1.5070626716299318</v>
      </c>
      <c r="P86" s="7">
        <f t="shared" si="20"/>
        <v>1.1491231907745982</v>
      </c>
      <c r="Q86" s="7">
        <f>EXP(-Parameters!$B$56*A86)</f>
        <v>0.28990557861518201</v>
      </c>
      <c r="R86" s="7">
        <f>IF(P86&gt;0,P86^(1-Parameters!$B$53)/(1-Parameters!$B$53)*Q86,-10+P86*1000)</f>
        <v>-0.78896951328804554</v>
      </c>
      <c r="S86" s="7"/>
    </row>
    <row r="87" spans="1:19" x14ac:dyDescent="0.25">
      <c r="A87">
        <f>A86+Parameters!$B$71</f>
        <v>83</v>
      </c>
      <c r="B87" s="42">
        <f t="shared" si="25"/>
        <v>5.1924102637048011E-2</v>
      </c>
      <c r="C87" s="42">
        <f t="shared" si="24"/>
        <v>1.001879062528673E-2</v>
      </c>
      <c r="D87" s="42">
        <f t="shared" si="24"/>
        <v>0.29599658759299885</v>
      </c>
      <c r="E87" s="7">
        <f>MAX((1-Parameters!$B$4)^Parameters!B$71*E86+B86*Parameters!B$71-Parameters!$B$5*B86^2/E86*Parameters!B$71,0.0001)</f>
        <v>0.76982180295821456</v>
      </c>
      <c r="F87" s="9">
        <f>MAX((1-Parameters!$B$4)^Parameters!B$71*F86+C86*Parameters!B$71-Parameters!$B$5*C86^2/F86*Parameters!B$71,0.0001)</f>
        <v>0.14853754408776088</v>
      </c>
      <c r="G87" s="7">
        <f>MAX((1-Parameters!$B$4)^Parameters!B$71*G86+D86*Parameters!B$71-Parameters!$B$5*D86^2/G86*Parameters!B$71,0.0001)</f>
        <v>4.3884176729161792</v>
      </c>
      <c r="I87" s="7">
        <f>I86*(1+Parameters!$B$52)^Parameters!B$71</f>
        <v>10.377041597854671</v>
      </c>
      <c r="J87" s="7">
        <f>J86*(1+Parameters!$B$54)^Parameters!B$71</f>
        <v>46.686415079580769</v>
      </c>
      <c r="K87" s="7">
        <f>'6states'!$N$4</f>
        <v>0.98104277196026479</v>
      </c>
      <c r="L87" s="9">
        <f t="shared" si="21"/>
        <v>0.5</v>
      </c>
      <c r="N87" s="7">
        <f>(Parameters!$B$19*(E87+Parameters!$B$20)^L87+Parameters!$B$18*F87^L87)^(1/L87)</f>
        <v>0.53562939068490589</v>
      </c>
      <c r="O87" s="7">
        <f>(Parameters!$B$10*G87^Parameters!$B$9 + Parameters!$B$11*N87^Parameters!$B$9) ^ (Parameters!$B$7/Parameters!$B$9) * K87</f>
        <v>1.5070627046502161</v>
      </c>
      <c r="P87" s="7">
        <f t="shared" si="20"/>
        <v>1.1491232237948825</v>
      </c>
      <c r="Q87" s="7">
        <f>EXP(-Parameters!$B$56*A87)</f>
        <v>0.28556088933456458</v>
      </c>
      <c r="R87" s="7">
        <f>IF(P87&gt;0,P87^(1-Parameters!$B$53)/(1-Parameters!$B$53)*Q87,-10+P87*1000)</f>
        <v>-0.77714556126410383</v>
      </c>
      <c r="S87" s="7"/>
    </row>
    <row r="88" spans="1:19" x14ac:dyDescent="0.25">
      <c r="A88">
        <f>A87+Parameters!$B$71</f>
        <v>84</v>
      </c>
      <c r="B88" s="42">
        <f t="shared" si="25"/>
        <v>5.1924102637048011E-2</v>
      </c>
      <c r="C88" s="42">
        <f t="shared" si="24"/>
        <v>1.001879062528673E-2</v>
      </c>
      <c r="D88" s="42">
        <f t="shared" si="24"/>
        <v>0.29599658759299885</v>
      </c>
      <c r="E88" s="7">
        <f>MAX((1-Parameters!$B$4)^Parameters!B$71*E87+B87*Parameters!B$71-Parameters!$B$5*B87^2/E87*Parameters!B$71,0.0001)</f>
        <v>0.76982185896038058</v>
      </c>
      <c r="F88" s="9">
        <f>MAX((1-Parameters!$B$4)^Parameters!B$71*F87+C87*Parameters!B$71-Parameters!$B$5*C87^2/F87*Parameters!B$71,0.0001)</f>
        <v>0.14853756026271744</v>
      </c>
      <c r="G88" s="7">
        <f>MAX((1-Parameters!$B$4)^Parameters!B$71*G87+D87*Parameters!B$71-Parameters!$B$5*D87^2/G87*Parameters!B$71,0.0001)</f>
        <v>4.3884179663893441</v>
      </c>
      <c r="I88" s="7">
        <f>I87*(1+Parameters!$B$52)^Parameters!B$71</f>
        <v>10.407135018488448</v>
      </c>
      <c r="J88" s="7">
        <f>J87*(1+Parameters!$B$54)^Parameters!B$71</f>
        <v>47.620143381172383</v>
      </c>
      <c r="K88" s="7">
        <f>'6states'!$N$4</f>
        <v>0.98104277196026479</v>
      </c>
      <c r="L88" s="9">
        <f t="shared" si="21"/>
        <v>0.5</v>
      </c>
      <c r="N88" s="7">
        <f>(Parameters!$B$19*(E88+Parameters!$B$20)^L88+Parameters!$B$18*F88^L88)^(1/L88)</f>
        <v>0.53562943232846516</v>
      </c>
      <c r="O88" s="7">
        <f>(Parameters!$B$10*G88^Parameters!$B$9 + Parameters!$B$11*N88^Parameters!$B$9) ^ (Parameters!$B$7/Parameters!$B$9) * K88</f>
        <v>1.5070627357437465</v>
      </c>
      <c r="P88" s="7">
        <f t="shared" si="20"/>
        <v>1.1491232548884129</v>
      </c>
      <c r="Q88" s="7">
        <f>EXP(-Parameters!$B$56*A88)</f>
        <v>0.28128131202949208</v>
      </c>
      <c r="R88" s="7">
        <f>IF(P88&gt;0,P88^(1-Parameters!$B$53)/(1-Parameters!$B$53)*Q88,-10+P88*1000)</f>
        <v>-0.76549881025178779</v>
      </c>
      <c r="S88" s="7"/>
    </row>
    <row r="89" spans="1:19" x14ac:dyDescent="0.25">
      <c r="A89">
        <f>A88+Parameters!$B$71</f>
        <v>85</v>
      </c>
      <c r="B89" s="42">
        <f t="shared" si="25"/>
        <v>5.1924102637048011E-2</v>
      </c>
      <c r="C89" s="42">
        <f t="shared" si="24"/>
        <v>1.001879062528673E-2</v>
      </c>
      <c r="D89" s="42">
        <f t="shared" si="24"/>
        <v>0.29599658759299885</v>
      </c>
      <c r="E89" s="7">
        <f>MAX((1-Parameters!$B$4)^Parameters!B$71*E88+B88*Parameters!B$71-Parameters!$B$5*B88^2/E88*Parameters!B$71,0.0001)</f>
        <v>0.76982191169478853</v>
      </c>
      <c r="F89" s="9">
        <f>MAX((1-Parameters!$B$4)^Parameters!B$71*F88+C88*Parameters!B$71-Parameters!$B$5*C88^2/F88*Parameters!B$71,0.0001)</f>
        <v>0.14853757549385627</v>
      </c>
      <c r="G89" s="7">
        <f>MAX((1-Parameters!$B$4)^Parameters!B$71*G88+D88*Parameters!B$71-Parameters!$B$5*D88^2/G88*Parameters!B$71,0.0001)</f>
        <v>4.3884182427381839</v>
      </c>
      <c r="I89" s="7">
        <f>I88*(1+Parameters!$B$52)^Parameters!B$71</f>
        <v>10.437315710042064</v>
      </c>
      <c r="J89" s="7">
        <f>J88*(1+Parameters!$B$54)^Parameters!B$71</f>
        <v>48.572546248795831</v>
      </c>
      <c r="K89" s="7">
        <f>'6states'!$N$4</f>
        <v>0.98104277196026479</v>
      </c>
      <c r="L89" s="9">
        <f t="shared" si="21"/>
        <v>0.5</v>
      </c>
      <c r="N89" s="7">
        <f>(Parameters!$B$19*(E89+Parameters!$B$20)^L89+Parameters!$B$18*F89^L89)^(1/L89)</f>
        <v>0.53562947154209961</v>
      </c>
      <c r="O89" s="7">
        <f>(Parameters!$B$10*G89^Parameters!$B$9 + Parameters!$B$11*N89^Parameters!$B$9) ^ (Parameters!$B$7/Parameters!$B$9) * K89</f>
        <v>1.5070627650229502</v>
      </c>
      <c r="P89" s="7">
        <f t="shared" si="20"/>
        <v>1.1491232841676167</v>
      </c>
      <c r="Q89" s="7">
        <f>EXP(-Parameters!$B$56*A89)</f>
        <v>0.27706587089500223</v>
      </c>
      <c r="R89" s="7">
        <f>IF(P89&gt;0,P89^(1-Parameters!$B$53)/(1-Parameters!$B$53)*Q89,-10+P89*1000)</f>
        <v>-0.7540266045752827</v>
      </c>
      <c r="S89" s="7"/>
    </row>
    <row r="90" spans="1:19" x14ac:dyDescent="0.25">
      <c r="A90">
        <f>A89+Parameters!$B$71</f>
        <v>86</v>
      </c>
      <c r="B90" s="42">
        <f t="shared" si="25"/>
        <v>5.1924102637048011E-2</v>
      </c>
      <c r="C90" s="42">
        <f t="shared" si="24"/>
        <v>1.001879062528673E-2</v>
      </c>
      <c r="D90" s="42">
        <f t="shared" si="24"/>
        <v>0.29599658759299885</v>
      </c>
      <c r="E90" s="7">
        <f>MAX((1-Parameters!$B$4)^Parameters!B$71*E89+B89*Parameters!B$71-Parameters!$B$5*B89^2/E89*Parameters!B$71,0.0001)</f>
        <v>0.76982196135211411</v>
      </c>
      <c r="F90" s="9">
        <f>MAX((1-Parameters!$B$4)^Parameters!B$71*F89+C89*Parameters!B$71-Parameters!$B$5*C89^2/F89*Parameters!B$71,0.0001)</f>
        <v>0.14853758983624959</v>
      </c>
      <c r="G90" s="7">
        <f>MAX((1-Parameters!$B$4)^Parameters!B$71*G89+D89*Parameters!B$71-Parameters!$B$5*D89^2/G89*Parameters!B$71,0.0001)</f>
        <v>4.3884185029619127</v>
      </c>
      <c r="I90" s="7">
        <f>I89*(1+Parameters!$B$52)^Parameters!B$71</f>
        <v>10.467583925601184</v>
      </c>
      <c r="J90" s="7">
        <f>J89*(1+Parameters!$B$54)^Parameters!B$71</f>
        <v>49.54399717377175</v>
      </c>
      <c r="K90" s="7">
        <f>'6states'!$N$4</f>
        <v>0.98104277196026479</v>
      </c>
      <c r="L90" s="9">
        <f t="shared" si="21"/>
        <v>0.5</v>
      </c>
      <c r="N90" s="7">
        <f>(Parameters!$B$19*(E90+Parameters!$B$20)^L90+Parameters!$B$18*F90^L90)^(1/L90)</f>
        <v>0.53562950846759616</v>
      </c>
      <c r="O90" s="7">
        <f>(Parameters!$B$10*G90^Parameters!$B$9 + Parameters!$B$11*N90^Parameters!$B$9) ^ (Parameters!$B$7/Parameters!$B$9) * K90</f>
        <v>1.507062792593695</v>
      </c>
      <c r="P90" s="7">
        <f t="shared" si="20"/>
        <v>1.1491233117383615</v>
      </c>
      <c r="Q90" s="7">
        <f>EXP(-Parameters!$B$56*A90)</f>
        <v>0.27291360475009885</v>
      </c>
      <c r="R90" s="7">
        <f>IF(P90&gt;0,P90^(1-Parameters!$B$53)/(1-Parameters!$B$53)*Q90,-10+P90*1000)</f>
        <v>-0.74272632836121</v>
      </c>
      <c r="S90" s="7"/>
    </row>
    <row r="91" spans="1:19" x14ac:dyDescent="0.25">
      <c r="A91">
        <f>A90+Parameters!$B$71</f>
        <v>87</v>
      </c>
      <c r="B91" s="42">
        <f t="shared" si="25"/>
        <v>5.1924102637048011E-2</v>
      </c>
      <c r="C91" s="42">
        <f t="shared" si="24"/>
        <v>1.001879062528673E-2</v>
      </c>
      <c r="D91" s="42">
        <f t="shared" si="24"/>
        <v>0.29599658759299885</v>
      </c>
      <c r="E91" s="7">
        <f>MAX((1-Parameters!$B$4)^Parameters!B$71*E90+B90*Parameters!B$71-Parameters!$B$5*B90^2/E90*Parameters!B$71,0.0001)</f>
        <v>0.7698220081119066</v>
      </c>
      <c r="F91" s="9">
        <f>MAX((1-Parameters!$B$4)^Parameters!B$71*F90+C90*Parameters!B$71-Parameters!$B$5*C90^2/F90*Parameters!B$71,0.0001)</f>
        <v>0.14853760334175625</v>
      </c>
      <c r="G91" s="7">
        <f>MAX((1-Parameters!$B$4)^Parameters!B$71*G90+D90*Parameters!B$71-Parameters!$B$5*D90^2/G90*Parameters!B$71,0.0001)</f>
        <v>4.3884187480014401</v>
      </c>
      <c r="I91" s="7">
        <f>I90*(1+Parameters!$B$52)^Parameters!B$71</f>
        <v>10.497939918985427</v>
      </c>
      <c r="J91" s="7">
        <f>J90*(1+Parameters!$B$54)^Parameters!B$71</f>
        <v>50.534877117247184</v>
      </c>
      <c r="K91" s="7">
        <f>'6states'!$N$4</f>
        <v>0.98104277196026479</v>
      </c>
      <c r="L91" s="9">
        <f t="shared" si="21"/>
        <v>0.5</v>
      </c>
      <c r="N91" s="7">
        <f>(Parameters!$B$19*(E91+Parameters!$B$20)^L91+Parameters!$B$18*F91^L91)^(1/L91)</f>
        <v>0.53562954323846912</v>
      </c>
      <c r="O91" s="7">
        <f>(Parameters!$B$10*G91^Parameters!$B$9 + Parameters!$B$11*N91^Parameters!$B$9) ^ (Parameters!$B$7/Parameters!$B$9) * K91</f>
        <v>1.5070628185556698</v>
      </c>
      <c r="P91" s="7">
        <f t="shared" si="20"/>
        <v>1.1491233377003363</v>
      </c>
      <c r="Q91" s="7">
        <f>EXP(-Parameters!$B$56*A91)</f>
        <v>0.26882356681858899</v>
      </c>
      <c r="R91" s="7">
        <f>IF(P91&gt;0,P91^(1-Parameters!$B$53)/(1-Parameters!$B$53)*Q91,-10+P91*1000)</f>
        <v>-0.73159540494191133</v>
      </c>
      <c r="S91" s="7"/>
    </row>
    <row r="92" spans="1:19" x14ac:dyDescent="0.25">
      <c r="A92">
        <f>A91+Parameters!$B$71</f>
        <v>88</v>
      </c>
      <c r="B92" s="42">
        <f t="shared" si="25"/>
        <v>5.1924102637048011E-2</v>
      </c>
      <c r="C92" s="42">
        <f t="shared" si="24"/>
        <v>1.001879062528673E-2</v>
      </c>
      <c r="D92" s="42">
        <f t="shared" si="24"/>
        <v>0.29599658759299885</v>
      </c>
      <c r="E92" s="7">
        <f>MAX((1-Parameters!$B$4)^Parameters!B$71*E91+B91*Parameters!B$71-Parameters!$B$5*B91^2/E91*Parameters!B$71,0.0001)</f>
        <v>0.76982205214323873</v>
      </c>
      <c r="F92" s="9">
        <f>MAX((1-Parameters!$B$4)^Parameters!B$71*F91+C91*Parameters!B$71-Parameters!$B$5*C91^2/F91*Parameters!B$71,0.0001)</f>
        <v>0.14853761605920901</v>
      </c>
      <c r="G92" s="7">
        <f>MAX((1-Parameters!$B$4)^Parameters!B$71*G91+D91*Parameters!B$71-Parameters!$B$5*D91^2/G91*Parameters!B$71,0.0001)</f>
        <v>4.3884189787427719</v>
      </c>
      <c r="I92" s="7">
        <f>I91*(1+Parameters!$B$52)^Parameters!B$71</f>
        <v>10.528383944750484</v>
      </c>
      <c r="J92" s="7">
        <f>J91*(1+Parameters!$B$54)^Parameters!B$71</f>
        <v>51.545574659592127</v>
      </c>
      <c r="K92" s="7">
        <f>'6states'!$N$4</f>
        <v>0.98104277196026479</v>
      </c>
      <c r="L92" s="9">
        <f t="shared" si="21"/>
        <v>0.5</v>
      </c>
      <c r="N92" s="7">
        <f>(Parameters!$B$19*(E92+Parameters!$B$20)^L92+Parameters!$B$18*F92^L92)^(1/L92)</f>
        <v>0.53562957598044203</v>
      </c>
      <c r="O92" s="7">
        <f>(Parameters!$B$10*G92^Parameters!$B$9 + Parameters!$B$11*N92^Parameters!$B$9) ^ (Parameters!$B$7/Parameters!$B$9) * K92</f>
        <v>1.5070628430027482</v>
      </c>
      <c r="P92" s="7">
        <f t="shared" si="20"/>
        <v>1.1491233621474146</v>
      </c>
      <c r="Q92" s="7">
        <f>EXP(-Parameters!$B$56*A92)</f>
        <v>0.26479482451320413</v>
      </c>
      <c r="R92" s="7">
        <f>IF(P92&gt;0,P92^(1-Parameters!$B$53)/(1-Parameters!$B$53)*Q92,-10+P92*1000)</f>
        <v>-0.72063129626768796</v>
      </c>
      <c r="S92" s="7"/>
    </row>
    <row r="93" spans="1:19" x14ac:dyDescent="0.25">
      <c r="A93">
        <f>A92+Parameters!$B$71</f>
        <v>89</v>
      </c>
      <c r="B93" s="42">
        <f t="shared" si="25"/>
        <v>5.1924102637048011E-2</v>
      </c>
      <c r="C93" s="42">
        <f t="shared" si="24"/>
        <v>1.001879062528673E-2</v>
      </c>
      <c r="D93" s="42">
        <f t="shared" si="24"/>
        <v>0.29599658759299885</v>
      </c>
      <c r="E93" s="7">
        <f>MAX((1-Parameters!$B$4)^Parameters!B$71*E92+B92*Parameters!B$71-Parameters!$B$5*B92^2/E92*Parameters!B$71,0.0001)</f>
        <v>0.76982209360531761</v>
      </c>
      <c r="F93" s="9">
        <f>MAX((1-Parameters!$B$4)^Parameters!B$71*F92+C92*Parameters!B$71-Parameters!$B$5*C92^2/F92*Parameters!B$71,0.0001)</f>
        <v>0.14853762803459125</v>
      </c>
      <c r="G93" s="7">
        <f>MAX((1-Parameters!$B$4)^Parameters!B$71*G92+D92*Parameters!B$71-Parameters!$B$5*D92^2/G92*Parameters!B$71,0.0001)</f>
        <v>4.3884191960202159</v>
      </c>
      <c r="I93" s="7">
        <f>I92*(1+Parameters!$B$52)^Parameters!B$71</f>
        <v>10.558916258190258</v>
      </c>
      <c r="J93" s="7">
        <f>J92*(1+Parameters!$B$54)^Parameters!B$71</f>
        <v>52.576486152783971</v>
      </c>
      <c r="K93" s="7">
        <f>'6states'!$N$4</f>
        <v>0.98104277196026479</v>
      </c>
      <c r="L93" s="9">
        <f t="shared" si="21"/>
        <v>0.5</v>
      </c>
      <c r="N93" s="7">
        <f>(Parameters!$B$19*(E93+Parameters!$B$20)^L93+Parameters!$B$18*F93^L93)^(1/L93)</f>
        <v>0.5356296068119023</v>
      </c>
      <c r="O93" s="7">
        <f>(Parameters!$B$10*G93^Parameters!$B$9 + Parameters!$B$11*N93^Parameters!$B$9) ^ (Parameters!$B$7/Parameters!$B$9) * K93</f>
        <v>1.5070628660233245</v>
      </c>
      <c r="P93" s="7">
        <f t="shared" si="20"/>
        <v>1.149123385167991</v>
      </c>
      <c r="Q93" s="7">
        <f>EXP(-Parameters!$B$56*A93)</f>
        <v>0.26082645922295711</v>
      </c>
      <c r="R93" s="7">
        <f>IF(P93&gt;0,P93^(1-Parameters!$B$53)/(1-Parameters!$B$53)*Q93,-10+P93*1000)</f>
        <v>-0.70983150232786529</v>
      </c>
      <c r="S93" s="7"/>
    </row>
    <row r="94" spans="1:19" x14ac:dyDescent="0.25">
      <c r="A94">
        <f>A93+Parameters!$B$71</f>
        <v>90</v>
      </c>
      <c r="B94" s="20">
        <v>5.191758263687303E-2</v>
      </c>
      <c r="C94" s="41">
        <v>1.0017548050425843E-2</v>
      </c>
      <c r="D94" s="19">
        <v>0.2959598429278244</v>
      </c>
      <c r="E94" s="7">
        <f>MAX((1-Parameters!$B$4)^Parameters!B$71*E93+B93*Parameters!B$71-Parameters!$B$5*B93^2/E93*Parameters!B$71,0.0001)</f>
        <v>0.76982213264806076</v>
      </c>
      <c r="F94" s="9">
        <f>MAX((1-Parameters!$B$4)^Parameters!B$71*F93+C93*Parameters!B$71-Parameters!$B$5*C93^2/F93*Parameters!B$71,0.0001)</f>
        <v>0.14853763931120317</v>
      </c>
      <c r="G94" s="7">
        <f>MAX((1-Parameters!$B$4)^Parameters!B$71*G93+D93*Parameters!B$71-Parameters!$B$5*D93^2/G93*Parameters!B$71,0.0001)</f>
        <v>4.3884194006193979</v>
      </c>
      <c r="I94" s="7">
        <f>I93*(1+Parameters!$B$52)^Parameters!B$71</f>
        <v>10.589537115339009</v>
      </c>
      <c r="J94" s="7">
        <f>J93*(1+Parameters!$B$54)^Parameters!B$71</f>
        <v>53.628015875839651</v>
      </c>
      <c r="K94" s="7">
        <f>'6states'!$N$4</f>
        <v>0.98104277196026479</v>
      </c>
      <c r="L94" s="9">
        <f t="shared" si="21"/>
        <v>0.5</v>
      </c>
      <c r="N94" s="7">
        <f>(Parameters!$B$19*(E94+Parameters!$B$20)^L94+Parameters!$B$18*F94^L94)^(1/L94)</f>
        <v>0.53562963584432932</v>
      </c>
      <c r="O94" s="7">
        <f>(Parameters!$B$10*G94^Parameters!$B$9 + Parameters!$B$11*N94^Parameters!$B$9) ^ (Parameters!$B$7/Parameters!$B$9) * K94</f>
        <v>1.5070628877006362</v>
      </c>
      <c r="P94" s="7">
        <f t="shared" si="20"/>
        <v>1.1491679140855129</v>
      </c>
      <c r="Q94" s="7">
        <f>EXP(-Parameters!$B$56*A94)</f>
        <v>0.25691756610368538</v>
      </c>
      <c r="R94" s="7">
        <f>IF(P94&gt;0,P94^(1-Parameters!$B$53)/(1-Parameters!$B$53)*Q94,-10+P94*1000)</f>
        <v>-0.69918408254998232</v>
      </c>
      <c r="S94" s="7"/>
    </row>
    <row r="95" spans="1:19" x14ac:dyDescent="0.25">
      <c r="A95">
        <f>A94+Parameters!$B$71</f>
        <v>91</v>
      </c>
      <c r="B95" s="42">
        <f>B94</f>
        <v>5.191758263687303E-2</v>
      </c>
      <c r="C95" s="42">
        <f t="shared" ref="C95:D104" si="26">C94</f>
        <v>1.0017548050425843E-2</v>
      </c>
      <c r="D95" s="42">
        <f t="shared" si="26"/>
        <v>0.2959598429278244</v>
      </c>
      <c r="E95" s="7">
        <f>MAX((1-Parameters!$B$4)^Parameters!B$71*E94+B94*Parameters!B$71-Parameters!$B$5*B94^2/E94*Parameters!B$71,0.0001)</f>
        <v>0.76981652889848606</v>
      </c>
      <c r="F95" s="9">
        <f>MAX((1-Parameters!$B$4)^Parameters!B$71*F94+C94*Parameters!B$71-Parameters!$B$5*C94^2/F94*Parameters!B$71,0.0001)</f>
        <v>0.1485365749666879</v>
      </c>
      <c r="G95" s="7">
        <f>MAX((1-Parameters!$B$4)^Parameters!B$71*G94+D94*Parameters!B$71-Parameters!$B$5*D94^2/G94*Parameters!B$71,0.0001)</f>
        <v>4.3883878051240597</v>
      </c>
      <c r="I95" s="7">
        <f>I94*(1+Parameters!$B$52)^Parameters!B$71</f>
        <v>10.620246772973491</v>
      </c>
      <c r="J95" s="7">
        <f>J94*(1+Parameters!$B$54)^Parameters!B$71</f>
        <v>54.700576193356447</v>
      </c>
      <c r="K95" s="7">
        <f>'6states'!$N$4</f>
        <v>0.98104277196026479</v>
      </c>
      <c r="L95" s="9">
        <f t="shared" si="21"/>
        <v>0.5</v>
      </c>
      <c r="N95" s="7">
        <f>(Parameters!$B$19*(E95+Parameters!$B$20)^L95+Parameters!$B$18*F95^L95)^(1/L95)</f>
        <v>0.53562578859790866</v>
      </c>
      <c r="O95" s="7">
        <f>(Parameters!$B$10*G95^Parameters!$B$9 + Parameters!$B$11*N95^Parameters!$B$9) ^ (Parameters!$B$7/Parameters!$B$9) * K95</f>
        <v>1.5070596339009783</v>
      </c>
      <c r="P95" s="7">
        <f t="shared" si="20"/>
        <v>1.1491646602858552</v>
      </c>
      <c r="Q95" s="7">
        <f>EXP(-Parameters!$B$56*A95)</f>
        <v>0.2530672538717339</v>
      </c>
      <c r="R95" s="7">
        <f>IF(P95&gt;0,P95^(1-Parameters!$B$53)/(1-Parameters!$B$53)*Q95,-10+P95*1000)</f>
        <v>-0.68870639619673901</v>
      </c>
      <c r="S95" s="7"/>
    </row>
    <row r="96" spans="1:19" x14ac:dyDescent="0.25">
      <c r="A96">
        <f>A95+Parameters!$B$71</f>
        <v>92</v>
      </c>
      <c r="B96" s="42">
        <f t="shared" ref="B96:D111" si="27">B95</f>
        <v>5.191758263687303E-2</v>
      </c>
      <c r="C96" s="42">
        <f t="shared" si="26"/>
        <v>1.0017548050425843E-2</v>
      </c>
      <c r="D96" s="42">
        <f t="shared" si="26"/>
        <v>0.2959598429278244</v>
      </c>
      <c r="E96" s="7">
        <f>MAX((1-Parameters!$B$4)^Parameters!B$71*E95+B95*Parameters!B$71-Parameters!$B$5*B95^2/E95*Parameters!B$71,0.0001)</f>
        <v>0.76981125213709645</v>
      </c>
      <c r="F96" s="9">
        <f>MAX((1-Parameters!$B$4)^Parameters!B$71*F95+C95*Parameters!B$71-Parameters!$B$5*C95^2/F95*Parameters!B$71,0.0001)</f>
        <v>0.14853557272844162</v>
      </c>
      <c r="G96" s="7">
        <f>MAX((1-Parameters!$B$4)^Parameters!B$71*G95+D95*Parameters!B$71-Parameters!$B$5*D95^2/G95*Parameters!B$71,0.0001)</f>
        <v>4.3883580532784787</v>
      </c>
      <c r="I96" s="7">
        <f>I95*(1+Parameters!$B$52)^Parameters!B$71</f>
        <v>10.651045488615113</v>
      </c>
      <c r="J96" s="7">
        <f>J95*(1+Parameters!$B$54)^Parameters!B$71</f>
        <v>55.794587717223578</v>
      </c>
      <c r="K96" s="7">
        <f>'6states'!$N$4</f>
        <v>0.98104277196026479</v>
      </c>
      <c r="L96" s="9">
        <f t="shared" si="21"/>
        <v>0.5</v>
      </c>
      <c r="N96" s="7">
        <f>(Parameters!$B$19*(E96+Parameters!$B$20)^L96+Parameters!$B$18*F96^L96)^(1/L96)</f>
        <v>0.53562216584475797</v>
      </c>
      <c r="O96" s="7">
        <f>(Parameters!$B$10*G96^Parameters!$B$9 + Parameters!$B$11*N96^Parameters!$B$9) ^ (Parameters!$B$7/Parameters!$B$9) * K96</f>
        <v>1.5070565699509679</v>
      </c>
      <c r="P96" s="7">
        <f t="shared" si="20"/>
        <v>1.1491615963358446</v>
      </c>
      <c r="Q96" s="7">
        <f>EXP(-Parameters!$B$56*A96)</f>
        <v>0.24927464460072962</v>
      </c>
      <c r="R96" s="7">
        <f>IF(P96&gt;0,P96^(1-Parameters!$B$53)/(1-Parameters!$B$53)*Q96,-10+P96*1000)</f>
        <v>-0.67838568493664797</v>
      </c>
      <c r="S96" s="7"/>
    </row>
    <row r="97" spans="1:19" x14ac:dyDescent="0.25">
      <c r="A97">
        <f>A96+Parameters!$B$71</f>
        <v>93</v>
      </c>
      <c r="B97" s="42">
        <f t="shared" si="27"/>
        <v>5.191758263687303E-2</v>
      </c>
      <c r="C97" s="42">
        <f t="shared" si="26"/>
        <v>1.0017548050425843E-2</v>
      </c>
      <c r="D97" s="42">
        <f t="shared" si="26"/>
        <v>0.2959598429278244</v>
      </c>
      <c r="E97" s="7">
        <f>MAX((1-Parameters!$B$4)^Parameters!B$71*E96+B96*Parameters!B$71-Parameters!$B$5*B96^2/E96*Parameters!B$71,0.0001)</f>
        <v>0.76980628328324363</v>
      </c>
      <c r="F97" s="9">
        <f>MAX((1-Parameters!$B$4)^Parameters!B$71*F96+C96*Parameters!B$71-Parameters!$B$5*C96^2/F96*Parameters!B$71,0.0001)</f>
        <v>0.14853462897239705</v>
      </c>
      <c r="G97" s="7">
        <f>MAX((1-Parameters!$B$4)^Parameters!B$71*G96+D96*Parameters!B$71-Parameters!$B$5*D96^2/G96*Parameters!B$71,0.0001)</f>
        <v>4.3883300375007304</v>
      </c>
      <c r="I97" s="7">
        <f>I96*(1+Parameters!$B$52)^Parameters!B$71</f>
        <v>10.681933520532095</v>
      </c>
      <c r="J97" s="7">
        <f>J96*(1+Parameters!$B$54)^Parameters!B$71</f>
        <v>56.910479471568053</v>
      </c>
      <c r="K97" s="7">
        <f>'6states'!$N$4</f>
        <v>0.98104277196026479</v>
      </c>
      <c r="L97" s="9">
        <f t="shared" si="21"/>
        <v>0.5</v>
      </c>
      <c r="N97" s="7">
        <f>(Parameters!$B$19*(E97+Parameters!$B$20)^L97+Parameters!$B$18*F97^L97)^(1/L97)</f>
        <v>0.53561875448508656</v>
      </c>
      <c r="O97" s="7">
        <f>(Parameters!$B$10*G97^Parameters!$B$9 + Parameters!$B$11*N97^Parameters!$B$9) ^ (Parameters!$B$7/Parameters!$B$9) * K97</f>
        <v>1.5070536847740641</v>
      </c>
      <c r="P97" s="7">
        <f t="shared" si="20"/>
        <v>1.149158711158941</v>
      </c>
      <c r="Q97" s="7">
        <f>EXP(-Parameters!$B$56*A97)</f>
        <v>0.24553887352140147</v>
      </c>
      <c r="R97" s="7">
        <f>IF(P97&gt;0,P97^(1-Parameters!$B$53)/(1-Parameters!$B$53)*Q97,-10+P97*1000)</f>
        <v>-0.66821959983482948</v>
      </c>
      <c r="S97" s="7"/>
    </row>
    <row r="98" spans="1:19" x14ac:dyDescent="0.25">
      <c r="A98">
        <f>A97+Parameters!$B$71</f>
        <v>94</v>
      </c>
      <c r="B98" s="42">
        <f t="shared" si="27"/>
        <v>5.191758263687303E-2</v>
      </c>
      <c r="C98" s="42">
        <f t="shared" si="26"/>
        <v>1.0017548050425843E-2</v>
      </c>
      <c r="D98" s="42">
        <f t="shared" si="26"/>
        <v>0.2959598429278244</v>
      </c>
      <c r="E98" s="7">
        <f>MAX((1-Parameters!$B$4)^Parameters!B$71*E97+B97*Parameters!B$71-Parameters!$B$5*B97^2/E97*Parameters!B$71,0.0001)</f>
        <v>0.76980160436972556</v>
      </c>
      <c r="F98" s="9">
        <f>MAX((1-Parameters!$B$4)^Parameters!B$71*F97+C97*Parameters!B$71-Parameters!$B$5*C97^2/F97*Parameters!B$71,0.0001)</f>
        <v>0.14853374028596814</v>
      </c>
      <c r="G98" s="7">
        <f>MAX((1-Parameters!$B$4)^Parameters!B$71*G97+D97*Parameters!B$71-Parameters!$B$5*D97^2/G97*Parameters!B$71,0.0001)</f>
        <v>4.3883036564867997</v>
      </c>
      <c r="I98" s="7">
        <f>I97*(1+Parameters!$B$52)^Parameters!B$71</f>
        <v>10.712911127741636</v>
      </c>
      <c r="J98" s="7">
        <f>J97*(1+Parameters!$B$54)^Parameters!B$71</f>
        <v>58.048689060999415</v>
      </c>
      <c r="K98" s="7">
        <f>'6states'!$N$4</f>
        <v>0.98104277196026479</v>
      </c>
      <c r="L98" s="9">
        <f t="shared" si="21"/>
        <v>0.5</v>
      </c>
      <c r="N98" s="7">
        <f>(Parameters!$B$19*(E98+Parameters!$B$20)^L98+Parameters!$B$18*F98^L98)^(1/L98)</f>
        <v>0.53561554218353868</v>
      </c>
      <c r="O98" s="7">
        <f>(Parameters!$B$10*G98^Parameters!$B$9 + Parameters!$B$11*N98^Parameters!$B$9) ^ (Parameters!$B$7/Parameters!$B$9) * K98</f>
        <v>1.5070509679399025</v>
      </c>
      <c r="P98" s="7">
        <f t="shared" si="20"/>
        <v>1.1491559943247793</v>
      </c>
      <c r="Q98" s="7">
        <f>EXP(-Parameters!$B$56*A98)</f>
        <v>0.24185908882440066</v>
      </c>
      <c r="R98" s="7">
        <f>IF(P98&gt;0,P98^(1-Parameters!$B$53)/(1-Parameters!$B$53)*Q98,-10+P98*1000)</f>
        <v>-0.65820582689932772</v>
      </c>
      <c r="S98" s="7"/>
    </row>
    <row r="99" spans="1:19" x14ac:dyDescent="0.25">
      <c r="A99">
        <f>A98+Parameters!$B$71</f>
        <v>95</v>
      </c>
      <c r="B99" s="42">
        <f t="shared" si="27"/>
        <v>5.191758263687303E-2</v>
      </c>
      <c r="C99" s="42">
        <f t="shared" si="26"/>
        <v>1.0017548050425843E-2</v>
      </c>
      <c r="D99" s="42">
        <f t="shared" si="26"/>
        <v>0.2959598429278244</v>
      </c>
      <c r="E99" s="7">
        <f>MAX((1-Parameters!$B$4)^Parameters!B$71*E98+B98*Parameters!B$71-Parameters!$B$5*B98^2/E98*Parameters!B$71,0.0001)</f>
        <v>0.76979719847780692</v>
      </c>
      <c r="F99" s="9">
        <f>MAX((1-Parameters!$B$4)^Parameters!B$71*F98+C98*Parameters!B$71-Parameters!$B$5*C98^2/F98*Parameters!B$71,0.0001)</f>
        <v>0.14853290345570827</v>
      </c>
      <c r="G99" s="7">
        <f>MAX((1-Parameters!$B$4)^Parameters!B$71*G98+D98*Parameters!B$71-Parameters!$B$5*D98^2/G98*Parameters!B$71,0.0001)</f>
        <v>4.3882788148442105</v>
      </c>
      <c r="I99" s="7">
        <f>I98*(1+Parameters!$B$52)^Parameters!B$71</f>
        <v>10.743978570012086</v>
      </c>
      <c r="J99" s="7">
        <f>J98*(1+Parameters!$B$54)^Parameters!B$71</f>
        <v>59.209662842219402</v>
      </c>
      <c r="K99" s="7">
        <f>'6states'!$N$4</f>
        <v>0.98104277196026479</v>
      </c>
      <c r="L99" s="9">
        <f t="shared" si="21"/>
        <v>0.5</v>
      </c>
      <c r="N99" s="7">
        <f>(Parameters!$B$19*(E99+Parameters!$B$20)^L99+Parameters!$B$18*F99^L99)^(1/L99)</f>
        <v>0.53561251732458148</v>
      </c>
      <c r="O99" s="7">
        <f>(Parameters!$B$10*G99^Parameters!$B$9 + Parameters!$B$11*N99^Parameters!$B$9) ^ (Parameters!$B$7/Parameters!$B$9) * K99</f>
        <v>1.5070484096266048</v>
      </c>
      <c r="P99" s="7">
        <f t="shared" si="20"/>
        <v>1.1491534360114817</v>
      </c>
      <c r="Q99" s="7">
        <f>EXP(-Parameters!$B$56*A99)</f>
        <v>0.23823445146607616</v>
      </c>
      <c r="R99" s="7">
        <f>IF(P99&gt;0,P99^(1-Parameters!$B$53)/(1-Parameters!$B$53)*Q99,-10+P99*1000)</f>
        <v>-0.64834208657623493</v>
      </c>
      <c r="S99" s="7"/>
    </row>
    <row r="100" spans="1:19" x14ac:dyDescent="0.25">
      <c r="A100">
        <f>A99+Parameters!$B$71</f>
        <v>96</v>
      </c>
      <c r="B100" s="42">
        <f t="shared" si="27"/>
        <v>5.191758263687303E-2</v>
      </c>
      <c r="C100" s="42">
        <f t="shared" si="26"/>
        <v>1.0017548050425843E-2</v>
      </c>
      <c r="D100" s="42">
        <f t="shared" si="26"/>
        <v>0.2959598429278244</v>
      </c>
      <c r="E100" s="7">
        <f>MAX((1-Parameters!$B$4)^Parameters!B$71*E99+B99*Parameters!B$71-Parameters!$B$5*B99^2/E99*Parameters!B$71,0.0001)</f>
        <v>0.76979304967603268</v>
      </c>
      <c r="F100" s="9">
        <f>MAX((1-Parameters!$B$4)^Parameters!B$71*F99+C99*Parameters!B$71-Parameters!$B$5*C99^2/F99*Parameters!B$71,0.0001)</f>
        <v>0.14853211545568901</v>
      </c>
      <c r="G100" s="7">
        <f>MAX((1-Parameters!$B$4)^Parameters!B$71*G99+D99*Parameters!B$71-Parameters!$B$5*D99^2/G99*Parameters!B$71,0.0001)</f>
        <v>4.3882554227470392</v>
      </c>
      <c r="I100" s="7">
        <f>I99*(1+Parameters!$B$52)^Parameters!B$71</f>
        <v>10.775136107865119</v>
      </c>
      <c r="J100" s="7">
        <f>J99*(1+Parameters!$B$54)^Parameters!B$71</f>
        <v>60.39385609906379</v>
      </c>
      <c r="K100" s="7">
        <f>'6states'!$N$4</f>
        <v>0.98104277196026479</v>
      </c>
      <c r="L100" s="9">
        <f t="shared" si="21"/>
        <v>0.5</v>
      </c>
      <c r="N100" s="7">
        <f>(Parameters!$B$19*(E100+Parameters!$B$20)^L100+Parameters!$B$18*F100^L100)^(1/L100)</f>
        <v>0.53560966897049833</v>
      </c>
      <c r="O100" s="7">
        <f>(Parameters!$B$10*G100^Parameters!$B$9 + Parameters!$B$11*N100^Parameters!$B$9) ^ (Parameters!$B$7/Parameters!$B$9) * K100</f>
        <v>1.507046000585291</v>
      </c>
      <c r="P100" s="7">
        <f t="shared" si="20"/>
        <v>1.1491510269701677</v>
      </c>
      <c r="Q100" s="7">
        <f>EXP(-Parameters!$B$56*A100)</f>
        <v>0.23466413497716049</v>
      </c>
      <c r="R100" s="7">
        <f>IF(P100&gt;0,P100^(1-Parameters!$B$53)/(1-Parameters!$B$53)*Q100,-10+P100*1000)</f>
        <v>-0.63862613325101936</v>
      </c>
      <c r="S100" s="7"/>
    </row>
    <row r="101" spans="1:19" x14ac:dyDescent="0.25">
      <c r="A101">
        <f>A100+Parameters!$B$71</f>
        <v>97</v>
      </c>
      <c r="B101" s="42">
        <f t="shared" si="27"/>
        <v>5.191758263687303E-2</v>
      </c>
      <c r="C101" s="42">
        <f t="shared" si="26"/>
        <v>1.0017548050425843E-2</v>
      </c>
      <c r="D101" s="42">
        <f t="shared" si="26"/>
        <v>0.2959598429278244</v>
      </c>
      <c r="E101" s="7">
        <f>MAX((1-Parameters!$B$4)^Parameters!B$71*E100+B100*Parameters!B$71-Parameters!$B$5*B100^2/E100*Parameters!B$71,0.0001)</f>
        <v>0.76978914296261269</v>
      </c>
      <c r="F101" s="9">
        <f>MAX((1-Parameters!$B$4)^Parameters!B$71*F100+C100*Parameters!B$71-Parameters!$B$5*C100^2/F100*Parameters!B$71,0.0001)</f>
        <v>0.14853137343655687</v>
      </c>
      <c r="G101" s="7">
        <f>MAX((1-Parameters!$B$4)^Parameters!B$71*G100+D100*Parameters!B$71-Parameters!$B$5*D100^2/G100*Parameters!B$71,0.0001)</f>
        <v>4.3882333956110662</v>
      </c>
      <c r="I101" s="7">
        <f>I100*(1+Parameters!$B$52)^Parameters!B$71</f>
        <v>10.806384002577927</v>
      </c>
      <c r="J101" s="7">
        <f>J100*(1+Parameters!$B$54)^Parameters!B$71</f>
        <v>61.601733221045066</v>
      </c>
      <c r="K101" s="7">
        <f>'6states'!$N$4</f>
        <v>0.98104277196026479</v>
      </c>
      <c r="L101" s="9">
        <f t="shared" si="21"/>
        <v>0.5</v>
      </c>
      <c r="N101" s="7">
        <f>(Parameters!$B$19*(E101+Parameters!$B$20)^L101+Parameters!$B$18*F101^L101)^(1/L101)</f>
        <v>0.53560698682183172</v>
      </c>
      <c r="O101" s="7">
        <f>(Parameters!$B$10*G101^Parameters!$B$9 + Parameters!$B$11*N101^Parameters!$B$9) ^ (Parameters!$B$7/Parameters!$B$9) * K101</f>
        <v>1.5070437321066557</v>
      </c>
      <c r="P101" s="7">
        <f t="shared" si="20"/>
        <v>1.1491487584915325</v>
      </c>
      <c r="Q101" s="7">
        <f>EXP(-Parameters!$B$56*A101)</f>
        <v>0.23114732527432291</v>
      </c>
      <c r="R101" s="7">
        <f>IF(P101&gt;0,P101^(1-Parameters!$B$53)/(1-Parameters!$B$53)*Q101,-10+P101*1000)</f>
        <v>-0.62905575475606423</v>
      </c>
      <c r="S101" s="7"/>
    </row>
    <row r="102" spans="1:19" x14ac:dyDescent="0.25">
      <c r="A102">
        <f>A101+Parameters!$B$71</f>
        <v>98</v>
      </c>
      <c r="B102" s="42">
        <f t="shared" si="27"/>
        <v>5.191758263687303E-2</v>
      </c>
      <c r="C102" s="42">
        <f t="shared" si="26"/>
        <v>1.0017548050425843E-2</v>
      </c>
      <c r="D102" s="42">
        <f t="shared" si="26"/>
        <v>0.2959598429278244</v>
      </c>
      <c r="E102" s="7">
        <f>MAX((1-Parameters!$B$4)^Parameters!B$71*E101+B101*Parameters!B$71-Parameters!$B$5*B101^2/E101*Parameters!B$71,0.0001)</f>
        <v>0.76978546421116878</v>
      </c>
      <c r="F102" s="9">
        <f>MAX((1-Parameters!$B$4)^Parameters!B$71*F101+C101*Parameters!B$71-Parameters!$B$5*C101^2/F101*Parameters!B$71,0.0001)</f>
        <v>0.14853067471522893</v>
      </c>
      <c r="G102" s="7">
        <f>MAX((1-Parameters!$B$4)^Parameters!B$71*G101+D101*Parameters!B$71-Parameters!$B$5*D101^2/G101*Parameters!B$71,0.0001)</f>
        <v>4.3882126537878809</v>
      </c>
      <c r="I102" s="7">
        <f>I101*(1+Parameters!$B$52)^Parameters!B$71</f>
        <v>10.837722516185401</v>
      </c>
      <c r="J102" s="7">
        <f>J101*(1+Parameters!$B$54)^Parameters!B$71</f>
        <v>62.833767885465967</v>
      </c>
      <c r="K102" s="7">
        <f>'6states'!$N$4</f>
        <v>0.98104277196026479</v>
      </c>
      <c r="L102" s="9">
        <f t="shared" si="21"/>
        <v>0.5</v>
      </c>
      <c r="N102" s="7">
        <f>(Parameters!$B$19*(E102+Parameters!$B$20)^L102+Parameters!$B$18*F102^L102)^(1/L102)</f>
        <v>0.53560446118013771</v>
      </c>
      <c r="O102" s="7">
        <f>(Parameters!$B$10*G102^Parameters!$B$9 + Parameters!$B$11*N102^Parameters!$B$9) ^ (Parameters!$B$7/Parameters!$B$9) * K102</f>
        <v>1.5070415959894958</v>
      </c>
      <c r="P102" s="7">
        <f t="shared" si="20"/>
        <v>1.1491466223743725</v>
      </c>
      <c r="Q102" s="7">
        <f>EXP(-Parameters!$B$56*A102)</f>
        <v>0.22768322047454675</v>
      </c>
      <c r="R102" s="7">
        <f>IF(P102&gt;0,P102^(1-Parameters!$B$53)/(1-Parameters!$B$53)*Q102,-10+P102*1000)</f>
        <v>-0.61962877188441823</v>
      </c>
      <c r="S102" s="7"/>
    </row>
    <row r="103" spans="1:19" x14ac:dyDescent="0.25">
      <c r="A103">
        <f>A102+Parameters!$B$71</f>
        <v>99</v>
      </c>
      <c r="B103" s="42">
        <f t="shared" si="27"/>
        <v>5.191758263687303E-2</v>
      </c>
      <c r="C103" s="42">
        <f t="shared" si="26"/>
        <v>1.0017548050425843E-2</v>
      </c>
      <c r="D103" s="42">
        <f t="shared" si="26"/>
        <v>0.2959598429278244</v>
      </c>
      <c r="E103" s="7">
        <f>MAX((1-Parameters!$B$4)^Parameters!B$71*E102+B102*Parameters!B$71-Parameters!$B$5*B102^2/E102*Parameters!B$71,0.0001)</f>
        <v>0.76978200011964837</v>
      </c>
      <c r="F103" s="9">
        <f>MAX((1-Parameters!$B$4)^Parameters!B$71*F102+C102*Parameters!B$71-Parameters!$B$5*C102^2/F102*Parameters!B$71,0.0001)</f>
        <v>0.1485300167651899</v>
      </c>
      <c r="G103" s="7">
        <f>MAX((1-Parameters!$B$4)^Parameters!B$71*G102+D102*Parameters!B$71-Parameters!$B$5*D102^2/G102*Parameters!B$71,0.0001)</f>
        <v>4.3881931222768493</v>
      </c>
      <c r="I103" s="7">
        <f>I102*(1+Parameters!$B$52)^Parameters!B$71</f>
        <v>10.869151911482337</v>
      </c>
      <c r="J103" s="7">
        <f>J102*(1+Parameters!$B$54)^Parameters!B$71</f>
        <v>64.090443243175287</v>
      </c>
      <c r="K103" s="7">
        <f>'6states'!$N$4</f>
        <v>0.98104277196026479</v>
      </c>
      <c r="L103" s="9">
        <f t="shared" si="21"/>
        <v>0.5</v>
      </c>
      <c r="N103" s="7">
        <f>(Parameters!$B$19*(E103+Parameters!$B$20)^L103+Parameters!$B$18*F103^L103)^(1/L103)</f>
        <v>0.53560208291291167</v>
      </c>
      <c r="O103" s="7">
        <f>(Parameters!$B$10*G103^Parameters!$B$9 + Parameters!$B$11*N103^Parameters!$B$9) ^ (Parameters!$B$7/Parameters!$B$9) * K103</f>
        <v>1.5070395845110729</v>
      </c>
      <c r="P103" s="7">
        <f t="shared" si="20"/>
        <v>1.1491446108959495</v>
      </c>
      <c r="Q103" s="7">
        <f>EXP(-Parameters!$B$56*A103)</f>
        <v>0.22427103071228871</v>
      </c>
      <c r="R103" s="7">
        <f>IF(P103&gt;0,P103^(1-Parameters!$B$53)/(1-Parameters!$B$53)*Q103,-10+P103*1000)</f>
        <v>-0.61034303790974387</v>
      </c>
      <c r="S103" s="7"/>
    </row>
    <row r="104" spans="1:19" x14ac:dyDescent="0.25">
      <c r="A104">
        <f>A103+Parameters!$B$71</f>
        <v>100</v>
      </c>
      <c r="B104" s="9">
        <f t="shared" si="27"/>
        <v>5.191758263687303E-2</v>
      </c>
      <c r="C104" s="9">
        <f t="shared" si="26"/>
        <v>1.0017548050425843E-2</v>
      </c>
      <c r="D104" s="7">
        <f t="shared" si="26"/>
        <v>0.2959598429278244</v>
      </c>
      <c r="E104" s="7">
        <f>MAX((1-Parameters!$B$4)^Parameters!B$71*E103+B103*Parameters!B$71-Parameters!$B$5*B103^2/E103*Parameters!B$71,0.0001)</f>
        <v>0.7697787381622202</v>
      </c>
      <c r="F104" s="9">
        <f>MAX((1-Parameters!$B$4)^Parameters!B$71*F103+C103*Parameters!B$71-Parameters!$B$5*C103^2/F103*Parameters!B$71,0.0001)</f>
        <v>0.1485293972073552</v>
      </c>
      <c r="G104" s="7">
        <f>MAX((1-Parameters!$B$4)^Parameters!B$71*G103+D103*Parameters!B$71-Parameters!$B$5*D103^2/G103*Parameters!B$71,0.0001)</f>
        <v>4.3881747304538772</v>
      </c>
      <c r="I104" s="7">
        <f>I103*(1+Parameters!$B$52)^Parameters!B$71</f>
        <v>10.900672452025635</v>
      </c>
      <c r="J104" s="7">
        <f>J103*(1+Parameters!$B$54)^Parameters!B$71</f>
        <v>65.372252108038793</v>
      </c>
      <c r="K104" s="7">
        <f>'6states'!$N$4</f>
        <v>0.98104277196026479</v>
      </c>
      <c r="L104" s="9">
        <f t="shared" si="21"/>
        <v>0.5</v>
      </c>
      <c r="N104" s="7">
        <f>(Parameters!$B$19*(E104+Parameters!$B$20)^L104+Parameters!$B$18*F104^L104)^(1/L104)</f>
        <v>0.53559984342056188</v>
      </c>
      <c r="O104" s="7">
        <f>(Parameters!$B$10*G104^Parameters!$B$9 + Parameters!$B$11*N104^Parameters!$B$9) ^ (Parameters!$B$7/Parameters!$B$9) * K104</f>
        <v>1.5070376903992029</v>
      </c>
      <c r="P104" s="7">
        <f t="shared" si="20"/>
        <v>1.1491427167840795</v>
      </c>
      <c r="Q104" s="7">
        <f>EXP(-Parameters!$B$56*A104)</f>
        <v>0.22090997795937814</v>
      </c>
      <c r="R104" s="7">
        <f>IF(P104&gt;0,P104^(1-Parameters!$B$53)/(1-Parameters!$B$53)*Q104,-10+P104*1000)</f>
        <v>-0.60119643811245471</v>
      </c>
      <c r="S104" s="7"/>
    </row>
    <row r="105" spans="1:19" x14ac:dyDescent="0.25">
      <c r="A105">
        <f>A104+Parameters!$B$71</f>
        <v>101</v>
      </c>
      <c r="B105" s="9">
        <f t="shared" si="27"/>
        <v>5.191758263687303E-2</v>
      </c>
      <c r="C105" s="9">
        <f>C104</f>
        <v>1.0017548050425843E-2</v>
      </c>
      <c r="D105" s="7">
        <f>D104</f>
        <v>0.2959598429278244</v>
      </c>
      <c r="E105" s="7">
        <f>MAX((1-Parameters!$B$4)^Parameters!B$71*E104+B104*Parameters!B$71-Parameters!$B$5*B104^2/E104*Parameters!B$71,0.0001)</f>
        <v>0.76977566654397622</v>
      </c>
      <c r="F105" s="9">
        <f>MAX((1-Parameters!$B$4)^Parameters!B$71*F104+C104*Parameters!B$71-Parameters!$B$5*C104^2/F104*Parameters!B$71,0.0001)</f>
        <v>0.14852881380146765</v>
      </c>
      <c r="G105" s="7">
        <f>MAX((1-Parameters!$B$4)^Parameters!B$71*G104+D104*Parameters!B$71-Parameters!$B$5*D104^2/G104*Parameters!B$71,0.0001)</f>
        <v>4.3881574118160218</v>
      </c>
      <c r="I105" s="7">
        <f>I104*(1+Parameters!$B$52)^Parameters!B$71</f>
        <v>10.932284402136508</v>
      </c>
      <c r="J105" s="7">
        <f>J104*(1+Parameters!$B$54)^Parameters!B$71</f>
        <v>66.679697150199573</v>
      </c>
      <c r="K105" s="7">
        <f>'6states'!$N$4</f>
        <v>0.98104277196026479</v>
      </c>
      <c r="L105" s="9">
        <f t="shared" si="21"/>
        <v>0.5</v>
      </c>
      <c r="N105" s="7">
        <f>(Parameters!$B$19*(E105+Parameters!$B$20)^L105+Parameters!$B$18*F105^L105)^(1/L105)</f>
        <v>0.53559773460531157</v>
      </c>
      <c r="O105" s="7">
        <f>(Parameters!$B$10*G105^Parameters!$B$9 + Parameters!$B$11*N105^Parameters!$B$9) ^ (Parameters!$B$7/Parameters!$B$9) * K105</f>
        <v>1.507035906805976</v>
      </c>
      <c r="P105" s="7">
        <f t="shared" si="20"/>
        <v>1.1491409331908526</v>
      </c>
      <c r="Q105" s="7">
        <f>EXP(-Parameters!$B$56*A105)</f>
        <v>0.21759929584761534</v>
      </c>
      <c r="R105" s="7">
        <f>IF(P105&gt;0,P105^(1-Parameters!$B$53)/(1-Parameters!$B$53)*Q105,-10+P105*1000)</f>
        <v>-0.59218688931201724</v>
      </c>
      <c r="S105" s="7"/>
    </row>
    <row r="106" spans="1:19" x14ac:dyDescent="0.25">
      <c r="A106">
        <f>A105+Parameters!$B$71</f>
        <v>102</v>
      </c>
      <c r="B106" s="9">
        <f t="shared" si="27"/>
        <v>5.191758263687303E-2</v>
      </c>
      <c r="C106" s="9">
        <f t="shared" si="27"/>
        <v>1.0017548050425843E-2</v>
      </c>
      <c r="D106" s="7">
        <f t="shared" si="27"/>
        <v>0.2959598429278244</v>
      </c>
      <c r="E106" s="7">
        <f>MAX((1-Parameters!$B$4)^Parameters!B$71*E105+B105*Parameters!B$71-Parameters!$B$5*B105^2/E105*Parameters!B$71,0.0001)</f>
        <v>0.76977277415827849</v>
      </c>
      <c r="F106" s="9">
        <f>MAX((1-Parameters!$B$4)^Parameters!B$71*F105+C105*Parameters!B$71-Parameters!$B$5*C105^2/F105*Parameters!B$71,0.0001)</f>
        <v>0.14852826443799605</v>
      </c>
      <c r="G106" s="7">
        <f>MAX((1-Parameters!$B$4)^Parameters!B$71*G105+D105*Parameters!B$71-Parameters!$B$5*D105^2/G105*Parameters!B$71,0.0001)</f>
        <v>4.3881411037409919</v>
      </c>
      <c r="I106" s="7">
        <f>I105*(1+Parameters!$B$52)^Parameters!B$71</f>
        <v>10.963988026902703</v>
      </c>
      <c r="J106" s="7">
        <f>J105*(1+Parameters!$B$54)^Parameters!B$71</f>
        <v>68.013291093203563</v>
      </c>
      <c r="K106" s="7">
        <f>'6states'!$N$4</f>
        <v>0.98104277196026479</v>
      </c>
      <c r="L106" s="9">
        <f t="shared" si="21"/>
        <v>0.5</v>
      </c>
      <c r="N106" s="7">
        <f>(Parameters!$B$19*(E106+Parameters!$B$20)^L106+Parameters!$B$18*F106^L106)^(1/L106)</f>
        <v>0.53559574884191452</v>
      </c>
      <c r="O106" s="7">
        <f>(Parameters!$B$10*G106^Parameters!$B$9 + Parameters!$B$11*N106^Parameters!$B$9) ^ (Parameters!$B$7/Parameters!$B$9) * K106</f>
        <v>1.5070342272830033</v>
      </c>
      <c r="P106" s="7">
        <f t="shared" si="20"/>
        <v>1.1491392536678799</v>
      </c>
      <c r="Q106" s="7">
        <f>EXP(-Parameters!$B$56*A106)</f>
        <v>0.2143382294940287</v>
      </c>
      <c r="R106" s="7">
        <f>IF(P106&gt;0,P106^(1-Parameters!$B$53)/(1-Parameters!$B$53)*Q106,-10+P106*1000)</f>
        <v>-0.58331233940539728</v>
      </c>
      <c r="S106" s="7"/>
    </row>
    <row r="107" spans="1:19" x14ac:dyDescent="0.25">
      <c r="A107">
        <f>A106+Parameters!$B$71</f>
        <v>103</v>
      </c>
      <c r="B107" s="9">
        <f t="shared" si="27"/>
        <v>5.191758263687303E-2</v>
      </c>
      <c r="C107" s="9">
        <f t="shared" si="27"/>
        <v>1.0017548050425843E-2</v>
      </c>
      <c r="D107" s="7">
        <f t="shared" si="27"/>
        <v>0.2959598429278244</v>
      </c>
      <c r="E107" s="7">
        <f>MAX((1-Parameters!$B$4)^Parameters!B$71*E106+B106*Parameters!B$71-Parameters!$B$5*B106^2/E106*Parameters!B$71,0.0001)</f>
        <v>0.76977005054659486</v>
      </c>
      <c r="F107" s="9">
        <f>MAX((1-Parameters!$B$4)^Parameters!B$71*F106+C106*Parameters!B$71-Parameters!$B$5*C106^2/F106*Parameters!B$71,0.0001)</f>
        <v>0.14852774713050654</v>
      </c>
      <c r="G107" s="7">
        <f>MAX((1-Parameters!$B$4)^Parameters!B$71*G106+D106*Parameters!B$71-Parameters!$B$5*D106^2/G106*Parameters!B$71,0.0001)</f>
        <v>4.3881257472606929</v>
      </c>
      <c r="I107" s="7">
        <f>I106*(1+Parameters!$B$52)^Parameters!B$71</f>
        <v>10.99578359218072</v>
      </c>
      <c r="J107" s="7">
        <f>J106*(1+Parameters!$B$54)^Parameters!B$71</f>
        <v>69.373556915067638</v>
      </c>
      <c r="K107" s="7">
        <f>'6states'!$N$4</f>
        <v>0.98104277196026479</v>
      </c>
      <c r="L107" s="9">
        <f t="shared" si="21"/>
        <v>0.5</v>
      </c>
      <c r="N107" s="7">
        <f>(Parameters!$B$19*(E107+Parameters!$B$20)^L107+Parameters!$B$18*F107^L107)^(1/L107)</f>
        <v>0.53559387895008037</v>
      </c>
      <c r="O107" s="7">
        <f>(Parameters!$B$10*G107^Parameters!$B$9 + Parameters!$B$11*N107^Parameters!$B$9) ^ (Parameters!$B$7/Parameters!$B$9) * K107</f>
        <v>1.5070326457581158</v>
      </c>
      <c r="P107" s="7">
        <f t="shared" si="20"/>
        <v>1.1491376721429925</v>
      </c>
      <c r="Q107" s="7">
        <f>EXP(-Parameters!$B$56*A107)</f>
        <v>0.21112603532875074</v>
      </c>
      <c r="R107" s="7">
        <f>IF(P107&gt;0,P107^(1-Parameters!$B$53)/(1-Parameters!$B$53)*Q107,-10+P107*1000)</f>
        <v>-0.57457076691161646</v>
      </c>
      <c r="S107" s="7"/>
    </row>
    <row r="108" spans="1:19" x14ac:dyDescent="0.25">
      <c r="A108">
        <f>A107+Parameters!$B$71</f>
        <v>104</v>
      </c>
      <c r="B108" s="9">
        <f t="shared" si="27"/>
        <v>5.191758263687303E-2</v>
      </c>
      <c r="C108" s="9">
        <f t="shared" si="27"/>
        <v>1.0017548050425843E-2</v>
      </c>
      <c r="D108" s="7">
        <f t="shared" si="27"/>
        <v>0.2959598429278244</v>
      </c>
      <c r="E108" s="7">
        <f>MAX((1-Parameters!$B$4)^Parameters!B$71*E107+B107*Parameters!B$71-Parameters!$B$5*B107^2/E107*Parameters!B$71,0.0001)</f>
        <v>0.76976748586067811</v>
      </c>
      <c r="F108" s="9">
        <f>MAX((1-Parameters!$B$4)^Parameters!B$71*F107+C107*Parameters!B$71-Parameters!$B$5*C107^2/F107*Parameters!B$71,0.0001)</f>
        <v>0.14852726000847927</v>
      </c>
      <c r="G108" s="7">
        <f>MAX((1-Parameters!$B$4)^Parameters!B$71*G107+D107*Parameters!B$71-Parameters!$B$5*D107^2/G107*Parameters!B$71,0.0001)</f>
        <v>4.3881112868479857</v>
      </c>
      <c r="I108" s="7">
        <f>I107*(1+Parameters!$B$52)^Parameters!B$71</f>
        <v>11.027671364598042</v>
      </c>
      <c r="J108" s="7">
        <f>J107*(1+Parameters!$B$54)^Parameters!B$71</f>
        <v>70.761028053368989</v>
      </c>
      <c r="K108" s="7">
        <f>'6states'!$N$4</f>
        <v>0.98104277196026479</v>
      </c>
      <c r="L108" s="9">
        <f t="shared" si="21"/>
        <v>0.5</v>
      </c>
      <c r="N108" s="7">
        <f>(Parameters!$B$19*(E108+Parameters!$B$20)^L108+Parameters!$B$18*F108^L108)^(1/L108)</f>
        <v>0.53559211816850916</v>
      </c>
      <c r="O108" s="7">
        <f>(Parameters!$B$10*G108^Parameters!$B$9 + Parameters!$B$11*N108^Parameters!$B$9) ^ (Parameters!$B$7/Parameters!$B$9) * K108</f>
        <v>1.5070311565134136</v>
      </c>
      <c r="P108" s="7">
        <f t="shared" si="20"/>
        <v>1.1491361828982902</v>
      </c>
      <c r="Q108" s="7">
        <f>EXP(-Parameters!$B$56*A108)</f>
        <v>0.20796198092547327</v>
      </c>
      <c r="R108" s="7">
        <f>IF(P108&gt;0,P108^(1-Parameters!$B$53)/(1-Parameters!$B$53)*Q108,-10+P108*1000)</f>
        <v>-0.56596018052239061</v>
      </c>
      <c r="S108" s="7"/>
    </row>
    <row r="109" spans="1:19" x14ac:dyDescent="0.25">
      <c r="A109">
        <f>A108+Parameters!$B$71</f>
        <v>105</v>
      </c>
      <c r="B109" s="9">
        <f t="shared" si="27"/>
        <v>5.191758263687303E-2</v>
      </c>
      <c r="C109" s="9">
        <f t="shared" si="27"/>
        <v>1.0017548050425843E-2</v>
      </c>
      <c r="D109" s="7">
        <f t="shared" si="27"/>
        <v>0.2959598429278244</v>
      </c>
      <c r="E109" s="7">
        <f>MAX((1-Parameters!$B$4)^Parameters!B$71*E108+B108*Parameters!B$71-Parameters!$B$5*B108^2/E108*Parameters!B$71,0.0001)</f>
        <v>0.769765070826953</v>
      </c>
      <c r="F109" s="9">
        <f>MAX((1-Parameters!$B$4)^Parameters!B$71*F108+C108*Parameters!B$71-Parameters!$B$5*C108^2/F108*Parameters!B$71,0.0001)</f>
        <v>0.14852680131054427</v>
      </c>
      <c r="G109" s="7">
        <f>MAX((1-Parameters!$B$4)^Parameters!B$71*G108+D108*Parameters!B$71-Parameters!$B$5*D108^2/G108*Parameters!B$71,0.0001)</f>
        <v>4.3880976702158891</v>
      </c>
      <c r="I109" s="7">
        <f>I108*(1+Parameters!$B$52)^Parameters!B$71</f>
        <v>11.059651611555376</v>
      </c>
      <c r="J109" s="7">
        <f>J108*(1+Parameters!$B$54)^Parameters!B$71</f>
        <v>72.176248614436375</v>
      </c>
      <c r="K109" s="7">
        <f>'6states'!$N$4</f>
        <v>0.98104277196026479</v>
      </c>
      <c r="L109" s="9">
        <f t="shared" si="21"/>
        <v>0.5</v>
      </c>
      <c r="N109" s="7">
        <f>(Parameters!$B$19*(E109+Parameters!$B$20)^L109+Parameters!$B$18*F109^L109)^(1/L109)</f>
        <v>0.53559046013044087</v>
      </c>
      <c r="O109" s="7">
        <f>(Parameters!$B$10*G109^Parameters!$B$9 + Parameters!$B$11*N109^Parameters!$B$9) ^ (Parameters!$B$7/Parameters!$B$9) * K109</f>
        <v>1.5070297541646014</v>
      </c>
      <c r="P109" s="7">
        <f t="shared" si="20"/>
        <v>1.149134780549478</v>
      </c>
      <c r="Q109" s="7">
        <f>EXP(-Parameters!$B$56*A109)</f>
        <v>0.2048453448344438</v>
      </c>
      <c r="R109" s="7">
        <f>IF(P109&gt;0,P109^(1-Parameters!$B$53)/(1-Parameters!$B$53)*Q109,-10+P109*1000)</f>
        <v>-0.5574786186588081</v>
      </c>
      <c r="S109" s="7"/>
    </row>
    <row r="110" spans="1:19" x14ac:dyDescent="0.25">
      <c r="A110">
        <f>A109+Parameters!$B$71</f>
        <v>106</v>
      </c>
      <c r="B110" s="9">
        <f t="shared" si="27"/>
        <v>5.191758263687303E-2</v>
      </c>
      <c r="C110" s="9">
        <f t="shared" si="27"/>
        <v>1.0017548050425843E-2</v>
      </c>
      <c r="D110" s="7">
        <f t="shared" si="27"/>
        <v>0.2959598429278244</v>
      </c>
      <c r="E110" s="7">
        <f>MAX((1-Parameters!$B$4)^Parameters!B$71*E109+B109*Parameters!B$71-Parameters!$B$5*B109^2/E109*Parameters!B$71,0.0001)</f>
        <v>0.76976279671298153</v>
      </c>
      <c r="F110" s="9">
        <f>MAX((1-Parameters!$B$4)^Parameters!B$71*F109+C109*Parameters!B$71-Parameters!$B$5*C109^2/F109*Parameters!B$71,0.0001)</f>
        <v>0.14852636937811201</v>
      </c>
      <c r="G110" s="7">
        <f>MAX((1-Parameters!$B$4)^Parameters!B$71*G109+D109*Parameters!B$71-Parameters!$B$5*D109^2/G109*Parameters!B$71,0.0001)</f>
        <v>4.3880848481285026</v>
      </c>
      <c r="I110" s="7">
        <f>I109*(1+Parameters!$B$52)^Parameters!B$71</f>
        <v>11.091724601228885</v>
      </c>
      <c r="J110" s="7">
        <f>J109*(1+Parameters!$B$54)^Parameters!B$71</f>
        <v>73.619773586725103</v>
      </c>
      <c r="K110" s="7">
        <f>'6states'!$N$4</f>
        <v>0.98104277196026479</v>
      </c>
      <c r="L110" s="9">
        <f t="shared" si="21"/>
        <v>0.5</v>
      </c>
      <c r="N110" s="7">
        <f>(Parameters!$B$19*(E110+Parameters!$B$20)^L110+Parameters!$B$18*F110^L110)^(1/L110)</f>
        <v>0.53558889884063299</v>
      </c>
      <c r="O110" s="7">
        <f>(Parameters!$B$10*G110^Parameters!$B$9 + Parameters!$B$11*N110^Parameters!$B$9) ^ (Parameters!$B$7/Parameters!$B$9) * K110</f>
        <v>1.5070284336415247</v>
      </c>
      <c r="P110" s="7">
        <f t="shared" si="20"/>
        <v>1.1491334600264014</v>
      </c>
      <c r="Q110" s="7">
        <f>EXP(-Parameters!$B$56*A110)</f>
        <v>0.20177541641796462</v>
      </c>
      <c r="R110" s="7">
        <f>IF(P110&gt;0,P110^(1-Parameters!$B$53)/(1-Parameters!$B$53)*Q110,-10+P110*1000)</f>
        <v>-0.54912414903401141</v>
      </c>
      <c r="S110" s="7"/>
    </row>
    <row r="111" spans="1:19" x14ac:dyDescent="0.25">
      <c r="A111">
        <f>A110+Parameters!$B$71</f>
        <v>107</v>
      </c>
      <c r="B111" s="9">
        <f t="shared" si="27"/>
        <v>5.191758263687303E-2</v>
      </c>
      <c r="C111" s="9">
        <f t="shared" si="27"/>
        <v>1.0017548050425843E-2</v>
      </c>
      <c r="D111" s="7">
        <f t="shared" si="27"/>
        <v>0.2959598429278244</v>
      </c>
      <c r="E111" s="7">
        <f>MAX((1-Parameters!$B$4)^Parameters!B$71*E110+B110*Parameters!B$71-Parameters!$B$5*B110^2/E110*Parameters!B$71,0.0001)</f>
        <v>0.76976065529588511</v>
      </c>
      <c r="F111" s="9">
        <f>MAX((1-Parameters!$B$4)^Parameters!B$71*F110+C110*Parameters!B$71-Parameters!$B$5*C110^2/F110*Parameters!B$71,0.0001)</f>
        <v>0.1485259626493757</v>
      </c>
      <c r="G111" s="7">
        <f>MAX((1-Parameters!$B$4)^Parameters!B$71*G110+D110*Parameters!B$71-Parameters!$B$5*D110^2/G110*Parameters!B$71,0.0001)</f>
        <v>4.3880727742229606</v>
      </c>
      <c r="I111" s="7">
        <f>I110*(1+Parameters!$B$52)^Parameters!B$71</f>
        <v>11.123890602572446</v>
      </c>
      <c r="J111" s="7">
        <f>J110*(1+Parameters!$B$54)^Parameters!B$71</f>
        <v>75.092169058459604</v>
      </c>
      <c r="K111" s="7">
        <f>'6states'!$N$4</f>
        <v>0.98104277196026479</v>
      </c>
      <c r="L111" s="9">
        <f t="shared" si="21"/>
        <v>0.5</v>
      </c>
      <c r="N111" s="7">
        <f>(Parameters!$B$19*(E111+Parameters!$B$20)^L111+Parameters!$B$18*F111^L111)^(1/L111)</f>
        <v>0.53558742865367981</v>
      </c>
      <c r="O111" s="7">
        <f>(Parameters!$B$10*G111^Parameters!$B$9 + Parameters!$B$11*N111^Parameters!$B$9) ^ (Parameters!$B$7/Parameters!$B$9) * K111</f>
        <v>1.5070271901698455</v>
      </c>
      <c r="P111" s="7">
        <f t="shared" si="20"/>
        <v>1.1491322165547224</v>
      </c>
      <c r="Q111" s="7">
        <f>EXP(-Parameters!$B$56*A111)</f>
        <v>0.19875149568835732</v>
      </c>
      <c r="R111" s="7">
        <f>IF(P111&gt;0,P111^(1-Parameters!$B$53)/(1-Parameters!$B$53)*Q111,-10+P111*1000)</f>
        <v>-0.54089486822183708</v>
      </c>
      <c r="S111" s="7"/>
    </row>
    <row r="112" spans="1:19" x14ac:dyDescent="0.25">
      <c r="A112">
        <f>A111+Parameters!$B$71</f>
        <v>108</v>
      </c>
      <c r="B112" s="9">
        <f t="shared" ref="B112:D127" si="28">B111</f>
        <v>5.191758263687303E-2</v>
      </c>
      <c r="C112" s="9">
        <f t="shared" si="28"/>
        <v>1.0017548050425843E-2</v>
      </c>
      <c r="D112" s="7">
        <f t="shared" si="28"/>
        <v>0.2959598429278244</v>
      </c>
      <c r="E112" s="7">
        <f>MAX((1-Parameters!$B$4)^Parameters!B$71*E111+B111*Parameters!B$71-Parameters!$B$5*B111^2/E111*Parameters!B$71,0.0001)</f>
        <v>0.76975863883260953</v>
      </c>
      <c r="F112" s="9">
        <f>MAX((1-Parameters!$B$4)^Parameters!B$71*F111+C111*Parameters!B$71-Parameters!$B$5*C111^2/F111*Parameters!B$71,0.0001)</f>
        <v>0.1485255796536637</v>
      </c>
      <c r="G112" s="7">
        <f>MAX((1-Parameters!$B$4)^Parameters!B$71*G111+D111*Parameters!B$71-Parameters!$B$5*D111^2/G111*Parameters!B$71,0.0001)</f>
        <v>4.3880614048417792</v>
      </c>
      <c r="I112" s="7">
        <f>I111*(1+Parameters!$B$52)^Parameters!B$71</f>
        <v>11.156149885319905</v>
      </c>
      <c r="J112" s="7">
        <f>J111*(1+Parameters!$B$54)^Parameters!B$71</f>
        <v>76.594012439628798</v>
      </c>
      <c r="K112" s="7">
        <f>'6states'!$N$4</f>
        <v>0.98104277196026479</v>
      </c>
      <c r="L112" s="9">
        <f t="shared" si="21"/>
        <v>0.5</v>
      </c>
      <c r="N112" s="7">
        <f>(Parameters!$B$19*(E112+Parameters!$B$20)^L112+Parameters!$B$18*F112^L112)^(1/L112)</f>
        <v>0.53558604425359824</v>
      </c>
      <c r="O112" s="7">
        <f>(Parameters!$B$10*G112^Parameters!$B$9 + Parameters!$B$11*N112^Parameters!$B$9) ^ (Parameters!$B$7/Parameters!$B$9) * K112</f>
        <v>1.5070260192537845</v>
      </c>
      <c r="P112" s="7">
        <f t="shared" si="20"/>
        <v>1.1491310456386614</v>
      </c>
      <c r="Q112" s="7">
        <f>EXP(-Parameters!$B$56*A112)</f>
        <v>0.19577289314835553</v>
      </c>
      <c r="R112" s="7">
        <f>IF(P112&gt;0,P112^(1-Parameters!$B$53)/(1-Parameters!$B$53)*Q112,-10+P112*1000)</f>
        <v>-0.53278890123136735</v>
      </c>
      <c r="S112" s="7"/>
    </row>
    <row r="113" spans="1:19" x14ac:dyDescent="0.25">
      <c r="A113">
        <f>A112+Parameters!$B$71</f>
        <v>109</v>
      </c>
      <c r="B113" s="9">
        <f t="shared" si="28"/>
        <v>5.191758263687303E-2</v>
      </c>
      <c r="C113" s="9">
        <f t="shared" si="28"/>
        <v>1.0017548050425843E-2</v>
      </c>
      <c r="D113" s="7">
        <f t="shared" si="28"/>
        <v>0.2959598429278244</v>
      </c>
      <c r="E113" s="7">
        <f>MAX((1-Parameters!$B$4)^Parameters!B$71*E112+B112*Parameters!B$71-Parameters!$B$5*B112^2/E112*Parameters!B$71,0.0001)</f>
        <v>0.7697567400319254</v>
      </c>
      <c r="F113" s="9">
        <f>MAX((1-Parameters!$B$4)^Parameters!B$71*F112+C112*Parameters!B$71-Parameters!$B$5*C112^2/F112*Parameters!B$71,0.0001)</f>
        <v>0.14852521900612126</v>
      </c>
      <c r="G113" s="7">
        <f>MAX((1-Parameters!$B$4)^Parameters!B$71*G112+D112*Parameters!B$71-Parameters!$B$5*D112^2/G112*Parameters!B$71,0.0001)</f>
        <v>4.3880506988749879</v>
      </c>
      <c r="I113" s="7">
        <f>I112*(1+Parameters!$B$52)^Parameters!B$71</f>
        <v>11.188502719987332</v>
      </c>
      <c r="J113" s="7">
        <f>J112*(1+Parameters!$B$54)^Parameters!B$71</f>
        <v>78.125892688421374</v>
      </c>
      <c r="K113" s="7">
        <f>'6states'!$N$4</f>
        <v>0.98104277196026479</v>
      </c>
      <c r="L113" s="9">
        <f t="shared" si="21"/>
        <v>0.5</v>
      </c>
      <c r="N113" s="7">
        <f>(Parameters!$B$19*(E113+Parameters!$B$20)^L113+Parameters!$B$18*F113^L113)^(1/L113)</f>
        <v>0.53558474063460537</v>
      </c>
      <c r="O113" s="7">
        <f>(Parameters!$B$10*G113^Parameters!$B$9 + Parameters!$B$11*N113^Parameters!$B$9) ^ (Parameters!$B$7/Parameters!$B$9) * K113</f>
        <v>1.5070249166598682</v>
      </c>
      <c r="P113" s="7">
        <f t="shared" si="20"/>
        <v>1.1491299430447448</v>
      </c>
      <c r="Q113" s="7">
        <f>EXP(-Parameters!$B$56*A113)</f>
        <v>0.19283892963388949</v>
      </c>
      <c r="R113" s="7">
        <f>IF(P113&gt;0,P113^(1-Parameters!$B$53)/(1-Parameters!$B$53)*Q113,-10+P113*1000)</f>
        <v>-0.52480440108734494</v>
      </c>
      <c r="S113" s="7"/>
    </row>
    <row r="114" spans="1:19" x14ac:dyDescent="0.25">
      <c r="A114">
        <f>A113+Parameters!$B$71</f>
        <v>110</v>
      </c>
      <c r="B114" s="9">
        <f t="shared" si="28"/>
        <v>5.191758263687303E-2</v>
      </c>
      <c r="C114" s="9">
        <f t="shared" si="28"/>
        <v>1.0017548050425843E-2</v>
      </c>
      <c r="D114" s="7">
        <f t="shared" si="28"/>
        <v>0.2959598429278244</v>
      </c>
      <c r="E114" s="7">
        <f>MAX((1-Parameters!$B$4)^Parameters!B$71*E113+B113*Parameters!B$71-Parameters!$B$5*B113^2/E113*Parameters!B$71,0.0001)</f>
        <v>0.76975495202806221</v>
      </c>
      <c r="F114" s="9">
        <f>MAX((1-Parameters!$B$4)^Parameters!B$71*F113+C113*Parameters!B$71-Parameters!$B$5*C113^2/F113*Parameters!B$71,0.0001)</f>
        <v>0.14852487940270284</v>
      </c>
      <c r="G114" s="7">
        <f>MAX((1-Parameters!$B$4)^Parameters!B$71*G113+D113*Parameters!B$71-Parameters!$B$5*D113^2/G113*Parameters!B$71,0.0001)</f>
        <v>4.3880406176114697</v>
      </c>
      <c r="I114" s="7">
        <f>I113*(1+Parameters!$B$52)^Parameters!B$71</f>
        <v>11.220949377875295</v>
      </c>
      <c r="J114" s="7">
        <f>J113*(1+Parameters!$B$54)^Parameters!B$71</f>
        <v>79.6884105421898</v>
      </c>
      <c r="K114" s="7">
        <f>'6states'!$N$4</f>
        <v>0.98104277196026479</v>
      </c>
      <c r="L114" s="9">
        <f t="shared" si="21"/>
        <v>0.5</v>
      </c>
      <c r="N114" s="7">
        <f>(Parameters!$B$19*(E114+Parameters!$B$20)^L114+Parameters!$B$18*F114^L114)^(1/L114)</f>
        <v>0.53558351308301588</v>
      </c>
      <c r="O114" s="7">
        <f>(Parameters!$B$10*G114^Parameters!$B$9 + Parameters!$B$11*N114^Parameters!$B$9) ^ (Parameters!$B$7/Parameters!$B$9) * K114</f>
        <v>1.5070238784016281</v>
      </c>
      <c r="P114" s="7">
        <f t="shared" si="20"/>
        <v>1.149128904786505</v>
      </c>
      <c r="Q114" s="7">
        <f>EXP(-Parameters!$B$56*A114)</f>
        <v>0.18994893615922709</v>
      </c>
      <c r="R114" s="7">
        <f>IF(P114&gt;0,P114^(1-Parameters!$B$53)/(1-Parameters!$B$53)*Q114,-10+P114*1000)</f>
        <v>-0.51693954841640155</v>
      </c>
      <c r="S114" s="7"/>
    </row>
    <row r="115" spans="1:19" x14ac:dyDescent="0.25">
      <c r="A115">
        <f>A114+Parameters!$B$71</f>
        <v>111</v>
      </c>
      <c r="B115" s="9">
        <f t="shared" si="28"/>
        <v>5.191758263687303E-2</v>
      </c>
      <c r="C115" s="9">
        <f t="shared" si="28"/>
        <v>1.0017548050425843E-2</v>
      </c>
      <c r="D115" s="7">
        <f t="shared" si="28"/>
        <v>0.2959598429278244</v>
      </c>
      <c r="E115" s="7">
        <f>MAX((1-Parameters!$B$4)^Parameters!B$71*E114+B114*Parameters!B$71-Parameters!$B$5*B114^2/E114*Parameters!B$71,0.0001)</f>
        <v>0.76975326835588131</v>
      </c>
      <c r="F115" s="9">
        <f>MAX((1-Parameters!$B$4)^Parameters!B$71*F114+C114*Parameters!B$71-Parameters!$B$5*C114^2/F114*Parameters!B$71,0.0001)</f>
        <v>0.14852455961545677</v>
      </c>
      <c r="G115" s="7">
        <f>MAX((1-Parameters!$B$4)^Parameters!B$71*G114+D114*Parameters!B$71-Parameters!$B$5*D114^2/G114*Parameters!B$71,0.0001)</f>
        <v>4.3880311245989807</v>
      </c>
      <c r="I115" s="7">
        <f>I114*(1+Parameters!$B$52)^Parameters!B$71</f>
        <v>11.253490131071132</v>
      </c>
      <c r="J115" s="7">
        <f>J114*(1+Parameters!$B$54)^Parameters!B$71</f>
        <v>81.282178753033591</v>
      </c>
      <c r="K115" s="7">
        <f>'6states'!$N$4</f>
        <v>0.98104277196026479</v>
      </c>
      <c r="L115" s="9">
        <f t="shared" si="21"/>
        <v>0.5</v>
      </c>
      <c r="N115" s="7">
        <f>(Parameters!$B$19*(E115+Parameters!$B$20)^L115+Parameters!$B$18*F115^L115)^(1/L115)</f>
        <v>0.5355823571601982</v>
      </c>
      <c r="O115" s="7">
        <f>(Parameters!$B$10*G115^Parameters!$B$9 + Parameters!$B$11*N115^Parameters!$B$9) ^ (Parameters!$B$7/Parameters!$B$9) * K115</f>
        <v>1.507022900725189</v>
      </c>
      <c r="P115" s="7">
        <f t="shared" si="20"/>
        <v>1.1491279271100656</v>
      </c>
      <c r="Q115" s="7">
        <f>EXP(-Parameters!$B$56*A115)</f>
        <v>0.18710225376443562</v>
      </c>
      <c r="R115" s="7">
        <f>IF(P115&gt;0,P115^(1-Parameters!$B$53)/(1-Parameters!$B$53)*Q115,-10+P115*1000)</f>
        <v>-0.50919255103904704</v>
      </c>
      <c r="S115" s="7"/>
    </row>
    <row r="116" spans="1:19" x14ac:dyDescent="0.25">
      <c r="A116">
        <f>A115+Parameters!$B$71</f>
        <v>112</v>
      </c>
      <c r="B116" s="9">
        <f t="shared" si="28"/>
        <v>5.191758263687303E-2</v>
      </c>
      <c r="C116" s="9">
        <f t="shared" si="28"/>
        <v>1.0017548050425843E-2</v>
      </c>
      <c r="D116" s="7">
        <f t="shared" si="28"/>
        <v>0.2959598429278244</v>
      </c>
      <c r="E116" s="7">
        <f>MAX((1-Parameters!$B$4)^Parameters!B$71*E115+B115*Parameters!B$71-Parameters!$B$5*B115^2/E115*Parameters!B$71,0.0001)</f>
        <v>0.76975168292749796</v>
      </c>
      <c r="F116" s="9">
        <f>MAX((1-Parameters!$B$4)^Parameters!B$71*F115+C115*Parameters!B$71-Parameters!$B$5*C115^2/F115*Parameters!B$71,0.0001)</f>
        <v>0.14852425848808465</v>
      </c>
      <c r="G116" s="7">
        <f>MAX((1-Parameters!$B$4)^Parameters!B$71*G115+D115*Parameters!B$71-Parameters!$B$5*D115^2/G115*Parameters!B$71,0.0001)</f>
        <v>4.3880221855123391</v>
      </c>
      <c r="I116" s="7">
        <f>I115*(1+Parameters!$B$52)^Parameters!B$71</f>
        <v>11.286125252451237</v>
      </c>
      <c r="J116" s="7">
        <f>J115*(1+Parameters!$B$54)^Parameters!B$71</f>
        <v>82.907822328094269</v>
      </c>
      <c r="K116" s="7">
        <f>'6states'!$N$4</f>
        <v>0.98104277196026479</v>
      </c>
      <c r="L116" s="9">
        <f t="shared" si="21"/>
        <v>0.5</v>
      </c>
      <c r="N116" s="7">
        <f>(Parameters!$B$19*(E116+Parameters!$B$20)^L116+Parameters!$B$18*F116^L116)^(1/L116)</f>
        <v>0.53558126868652334</v>
      </c>
      <c r="O116" s="7">
        <f>(Parameters!$B$10*G116^Parameters!$B$9 + Parameters!$B$11*N116^Parameters!$B$9) ^ (Parameters!$B$7/Parameters!$B$9) * K116</f>
        <v>1.5070219800957003</v>
      </c>
      <c r="P116" s="7">
        <f t="shared" si="20"/>
        <v>1.149127006480577</v>
      </c>
      <c r="Q116" s="7">
        <f>EXP(-Parameters!$B$56*A116)</f>
        <v>0.18429823336512921</v>
      </c>
      <c r="R116" s="7">
        <f>IF(P116&gt;0,P116^(1-Parameters!$B$53)/(1-Parameters!$B$53)*Q116,-10+P116*1000)</f>
        <v>-0.50156164356736177</v>
      </c>
      <c r="S116" s="7"/>
    </row>
    <row r="117" spans="1:19" x14ac:dyDescent="0.25">
      <c r="A117">
        <f>A116+Parameters!$B$71</f>
        <v>113</v>
      </c>
      <c r="B117" s="9">
        <f t="shared" si="28"/>
        <v>5.191758263687303E-2</v>
      </c>
      <c r="C117" s="9">
        <f t="shared" si="28"/>
        <v>1.0017548050425843E-2</v>
      </c>
      <c r="D117" s="7">
        <f t="shared" si="28"/>
        <v>0.2959598429278244</v>
      </c>
      <c r="E117" s="7">
        <f>MAX((1-Parameters!$B$4)^Parameters!B$71*E116+B116*Parameters!B$71-Parameters!$B$5*B116^2/E116*Parameters!B$71,0.0001)</f>
        <v>0.7697501900102669</v>
      </c>
      <c r="F117" s="9">
        <f>MAX((1-Parameters!$B$4)^Parameters!B$71*F116+C116*Parameters!B$71-Parameters!$B$5*C116^2/F116*Parameters!B$71,0.0001)</f>
        <v>0.14852397493176026</v>
      </c>
      <c r="G117" s="7">
        <f>MAX((1-Parameters!$B$4)^Parameters!B$71*G116+D116*Parameters!B$71-Parameters!$B$5*D116^2/G116*Parameters!B$71,0.0001)</f>
        <v>4.3880137680293005</v>
      </c>
      <c r="I117" s="7">
        <f>I116*(1+Parameters!$B$52)^Parameters!B$71</f>
        <v>11.318855015683344</v>
      </c>
      <c r="J117" s="7">
        <f>J116*(1+Parameters!$B$54)^Parameters!B$71</f>
        <v>84.565978774656159</v>
      </c>
      <c r="K117" s="7">
        <f>'6states'!$N$4</f>
        <v>0.98104277196026479</v>
      </c>
      <c r="L117" s="9">
        <f t="shared" si="21"/>
        <v>0.5</v>
      </c>
      <c r="N117" s="7">
        <f>(Parameters!$B$19*(E117+Parameters!$B$20)^L117+Parameters!$B$18*F117^L117)^(1/L117)</f>
        <v>0.53558024372625213</v>
      </c>
      <c r="O117" s="7">
        <f>(Parameters!$B$10*G117^Parameters!$B$9 + Parameters!$B$11*N117^Parameters!$B$9) ^ (Parameters!$B$7/Parameters!$B$9) * K117</f>
        <v>1.5070211131845561</v>
      </c>
      <c r="P117" s="7">
        <f t="shared" si="20"/>
        <v>1.1491261395694328</v>
      </c>
      <c r="Q117" s="7">
        <f>EXP(-Parameters!$B$56*A117)</f>
        <v>0.18153623560446847</v>
      </c>
      <c r="R117" s="7">
        <f>IF(P117&gt;0,P117^(1-Parameters!$B$53)/(1-Parameters!$B$53)*Q117,-10+P117*1000)</f>
        <v>-0.49404508700834171</v>
      </c>
      <c r="S117" s="7"/>
    </row>
    <row r="118" spans="1:19" x14ac:dyDescent="0.25">
      <c r="A118">
        <f>A117+Parameters!$B$71</f>
        <v>114</v>
      </c>
      <c r="B118" s="9">
        <f t="shared" si="28"/>
        <v>5.191758263687303E-2</v>
      </c>
      <c r="C118" s="9">
        <f t="shared" si="28"/>
        <v>1.0017548050425843E-2</v>
      </c>
      <c r="D118" s="7">
        <f t="shared" si="28"/>
        <v>0.2959598429278244</v>
      </c>
      <c r="E118" s="7">
        <f>MAX((1-Parameters!$B$4)^Parameters!B$71*E117+B117*Parameters!B$71-Parameters!$B$5*B117^2/E117*Parameters!B$71,0.0001)</f>
        <v>0.76974878420605308</v>
      </c>
      <c r="F118" s="9">
        <f>MAX((1-Parameters!$B$4)^Parameters!B$71*F117+C117*Parameters!B$71-Parameters!$B$5*C117^2/F117*Parameters!B$71,0.0001)</f>
        <v>0.14852370792119243</v>
      </c>
      <c r="G118" s="7">
        <f>MAX((1-Parameters!$B$4)^Parameters!B$71*G117+D117*Parameters!B$71-Parameters!$B$5*D117^2/G117*Parameters!B$71,0.0001)</f>
        <v>4.3880058417136825</v>
      </c>
      <c r="I118" s="7">
        <f>I117*(1+Parameters!$B$52)^Parameters!B$71</f>
        <v>11.351679695228825</v>
      </c>
      <c r="J118" s="7">
        <f>J117*(1+Parameters!$B$54)^Parameters!B$71</f>
        <v>86.257298350149284</v>
      </c>
      <c r="K118" s="7">
        <f>'6states'!$N$4</f>
        <v>0.98104277196026479</v>
      </c>
      <c r="L118" s="9">
        <f t="shared" si="21"/>
        <v>0.5</v>
      </c>
      <c r="N118" s="7">
        <f>(Parameters!$B$19*(E118+Parameters!$B$20)^L118+Parameters!$B$18*F118^L118)^(1/L118)</f>
        <v>0.53557927857330212</v>
      </c>
      <c r="O118" s="7">
        <f>(Parameters!$B$10*G118^Parameters!$B$9 + Parameters!$B$11*N118^Parameters!$B$9) ^ (Parameters!$B$7/Parameters!$B$9) * K118</f>
        <v>1.5070202968573643</v>
      </c>
      <c r="P118" s="7">
        <f t="shared" si="20"/>
        <v>1.1491253232422411</v>
      </c>
      <c r="Q118" s="7">
        <f>EXP(-Parameters!$B$56*A118)</f>
        <v>0.17881563070737777</v>
      </c>
      <c r="R118" s="7">
        <f>IF(P118&gt;0,P118^(1-Parameters!$B$53)/(1-Parameters!$B$53)*Q118,-10+P118*1000)</f>
        <v>-0.486641168372834</v>
      </c>
      <c r="S118" s="7"/>
    </row>
    <row r="119" spans="1:19" x14ac:dyDescent="0.25">
      <c r="A119">
        <f>A118+Parameters!$B$71</f>
        <v>115</v>
      </c>
      <c r="B119" s="9">
        <f t="shared" si="28"/>
        <v>5.191758263687303E-2</v>
      </c>
      <c r="C119" s="9">
        <f t="shared" si="28"/>
        <v>1.0017548050425843E-2</v>
      </c>
      <c r="D119" s="7">
        <f t="shared" si="28"/>
        <v>0.2959598429278244</v>
      </c>
      <c r="E119" s="7">
        <f>MAX((1-Parameters!$B$4)^Parameters!B$71*E118+B118*Parameters!B$71-Parameters!$B$5*B118^2/E118*Parameters!B$71,0.0001)</f>
        <v>0.76974746043171227</v>
      </c>
      <c r="F119" s="9">
        <f>MAX((1-Parameters!$B$4)^Parameters!B$71*F118+C118*Parameters!B$71-Parameters!$B$5*C118^2/F118*Parameters!B$71,0.0001)</f>
        <v>0.14852345649091744</v>
      </c>
      <c r="G119" s="7">
        <f>MAX((1-Parameters!$B$4)^Parameters!B$71*G118+D118*Parameters!B$71-Parameters!$B$5*D118^2/G118*Parameters!B$71,0.0001)</f>
        <v>4.3879983779053058</v>
      </c>
      <c r="I119" s="7">
        <f>I118*(1+Parameters!$B$52)^Parameters!B$71</f>
        <v>11.384599566344987</v>
      </c>
      <c r="J119" s="7">
        <f>J118*(1+Parameters!$B$54)^Parameters!B$71</f>
        <v>87.982444317152272</v>
      </c>
      <c r="K119" s="7">
        <f>'6states'!$N$4</f>
        <v>0.98104277196026479</v>
      </c>
      <c r="L119" s="9">
        <f t="shared" si="21"/>
        <v>0.5</v>
      </c>
      <c r="N119" s="7">
        <f>(Parameters!$B$19*(E119+Parameters!$B$20)^L119+Parameters!$B$18*F119^L119)^(1/L119)</f>
        <v>0.535578369737848</v>
      </c>
      <c r="O119" s="7">
        <f>(Parameters!$B$10*G119^Parameters!$B$9 + Parameters!$B$11*N119^Parameters!$B$9) ^ (Parameters!$B$7/Parameters!$B$9) * K119</f>
        <v>1.507019528162614</v>
      </c>
      <c r="P119" s="7">
        <f t="shared" si="20"/>
        <v>1.1491245545474906</v>
      </c>
      <c r="Q119" s="7">
        <f>EXP(-Parameters!$B$56*A119)</f>
        <v>0.17613579833694784</v>
      </c>
      <c r="R119" s="7">
        <f>IF(P119&gt;0,P119^(1-Parameters!$B$53)/(1-Parameters!$B$53)*Q119,-10+P119*1000)</f>
        <v>-0.47934820029000902</v>
      </c>
      <c r="S119" s="7"/>
    </row>
    <row r="120" spans="1:19" x14ac:dyDescent="0.25">
      <c r="A120">
        <f>A119+Parameters!$B$71</f>
        <v>116</v>
      </c>
      <c r="B120" s="9">
        <f t="shared" si="28"/>
        <v>5.191758263687303E-2</v>
      </c>
      <c r="C120" s="9">
        <f t="shared" si="28"/>
        <v>1.0017548050425843E-2</v>
      </c>
      <c r="D120" s="7">
        <f t="shared" si="28"/>
        <v>0.2959598429278244</v>
      </c>
      <c r="E120" s="7">
        <f>MAX((1-Parameters!$B$4)^Parameters!B$71*E119+B119*Parameters!B$71-Parameters!$B$5*B119^2/E119*Parameters!B$71,0.0001)</f>
        <v>0.76974621390071019</v>
      </c>
      <c r="F120" s="9">
        <f>MAX((1-Parameters!$B$4)^Parameters!B$71*F119+C119*Parameters!B$71-Parameters!$B$5*C119^2/F119*Parameters!B$71,0.0001)</f>
        <v>0.14852321973180804</v>
      </c>
      <c r="G120" s="7">
        <f>MAX((1-Parameters!$B$4)^Parameters!B$71*G119+D119*Parameters!B$71-Parameters!$B$5*D119^2/G119*Parameters!B$71,0.0001)</f>
        <v>4.3879913496163621</v>
      </c>
      <c r="I120" s="7">
        <f>I119*(1+Parameters!$B$52)^Parameters!B$71</f>
        <v>11.417614905087387</v>
      </c>
      <c r="J120" s="7">
        <f>J119*(1+Parameters!$B$54)^Parameters!B$71</f>
        <v>89.742093203495315</v>
      </c>
      <c r="K120" s="7">
        <f>'6states'!$N$4</f>
        <v>0.98104277196026479</v>
      </c>
      <c r="L120" s="9">
        <f t="shared" si="21"/>
        <v>0.5</v>
      </c>
      <c r="N120" s="7">
        <f>(Parameters!$B$19*(E120+Parameters!$B$20)^L120+Parameters!$B$18*F120^L120)^(1/L120)</f>
        <v>0.53557751393370145</v>
      </c>
      <c r="O120" s="7">
        <f>(Parameters!$B$10*G120^Parameters!$B$9 + Parameters!$B$11*N120^Parameters!$B$9) ^ (Parameters!$B$7/Parameters!$B$9) * K120</f>
        <v>1.507018804321006</v>
      </c>
      <c r="P120" s="7">
        <f t="shared" si="20"/>
        <v>1.1491238307058826</v>
      </c>
      <c r="Q120" s="7">
        <f>EXP(-Parameters!$B$56*A120)</f>
        <v>0.17349612745298973</v>
      </c>
      <c r="R120" s="7">
        <f>IF(P120&gt;0,P120^(1-Parameters!$B$53)/(1-Parameters!$B$53)*Q120,-10+P120*1000)</f>
        <v>-0.47216452062730446</v>
      </c>
      <c r="S120" s="7"/>
    </row>
    <row r="121" spans="1:19" x14ac:dyDescent="0.25">
      <c r="A121">
        <f>A120+Parameters!$B$71</f>
        <v>117</v>
      </c>
      <c r="B121" s="9">
        <f t="shared" si="28"/>
        <v>5.191758263687303E-2</v>
      </c>
      <c r="C121" s="9">
        <f t="shared" si="28"/>
        <v>1.0017548050425843E-2</v>
      </c>
      <c r="D121" s="7">
        <f t="shared" si="28"/>
        <v>0.2959598429278244</v>
      </c>
      <c r="E121" s="7">
        <f>MAX((1-Parameters!$B$4)^Parameters!B$71*E120+B120*Parameters!B$71-Parameters!$B$5*B120^2/E120*Parameters!B$71,0.0001)</f>
        <v>0.76974504010581446</v>
      </c>
      <c r="F121" s="9">
        <f>MAX((1-Parameters!$B$4)^Parameters!B$71*F120+C120*Parameters!B$71-Parameters!$B$5*C120^2/F120*Parameters!B$71,0.0001)</f>
        <v>0.14852299678778597</v>
      </c>
      <c r="G121" s="7">
        <f>MAX((1-Parameters!$B$4)^Parameters!B$71*G120+D120*Parameters!B$71-Parameters!$B$5*D120^2/G120*Parameters!B$71,0.0001)</f>
        <v>4.3879847314338241</v>
      </c>
      <c r="I121" s="7">
        <f>I120*(1+Parameters!$B$52)^Parameters!B$71</f>
        <v>11.450725988312138</v>
      </c>
      <c r="J121" s="7">
        <f>J120*(1+Parameters!$B$54)^Parameters!B$71</f>
        <v>91.536935067565224</v>
      </c>
      <c r="K121" s="7">
        <f>'6states'!$N$4</f>
        <v>0.98104277196026479</v>
      </c>
      <c r="L121" s="9">
        <f t="shared" si="21"/>
        <v>0.5</v>
      </c>
      <c r="N121" s="7">
        <f>(Parameters!$B$19*(E121+Parameters!$B$20)^L121+Parameters!$B$18*F121^L121)^(1/L121)</f>
        <v>0.5355767080664281</v>
      </c>
      <c r="O121" s="7">
        <f>(Parameters!$B$10*G121^Parameters!$B$9 + Parameters!$B$11*N121^Parameters!$B$9) ^ (Parameters!$B$7/Parameters!$B$9) * K121</f>
        <v>1.5070181227154065</v>
      </c>
      <c r="P121" s="7">
        <f t="shared" si="20"/>
        <v>1.1491231491002831</v>
      </c>
      <c r="Q121" s="7">
        <f>EXP(-Parameters!$B$56*A121)</f>
        <v>0.17089601617270908</v>
      </c>
      <c r="R121" s="7">
        <f>IF(P121&gt;0,P121^(1-Parameters!$B$53)/(1-Parameters!$B$53)*Q121,-10+P121*1000)</f>
        <v>-0.46508849211578751</v>
      </c>
      <c r="S121" s="7"/>
    </row>
    <row r="122" spans="1:19" x14ac:dyDescent="0.25">
      <c r="A122">
        <f>A121+Parameters!$B$71</f>
        <v>118</v>
      </c>
      <c r="B122" s="9">
        <f t="shared" si="28"/>
        <v>5.191758263687303E-2</v>
      </c>
      <c r="C122" s="9">
        <f t="shared" si="28"/>
        <v>1.0017548050425843E-2</v>
      </c>
      <c r="D122" s="7">
        <f t="shared" si="28"/>
        <v>0.2959598429278244</v>
      </c>
      <c r="E122" s="7">
        <f>MAX((1-Parameters!$B$4)^Parameters!B$71*E121+B121*Parameters!B$71-Parameters!$B$5*B121^2/E121*Parameters!B$71,0.0001)</f>
        <v>0.76974393480279679</v>
      </c>
      <c r="F122" s="9">
        <f>MAX((1-Parameters!$B$4)^Parameters!B$71*F121+C121*Parameters!B$71-Parameters!$B$5*C121^2/F121*Parameters!B$71,0.0001)</f>
        <v>0.14852278685272643</v>
      </c>
      <c r="G122" s="7">
        <f>MAX((1-Parameters!$B$4)^Parameters!B$71*G121+D121*Parameters!B$71-Parameters!$B$5*D121^2/G121*Parameters!B$71,0.0001)</f>
        <v>4.3879784994275548</v>
      </c>
      <c r="I122" s="7">
        <f>I121*(1+Parameters!$B$52)^Parameters!B$71</f>
        <v>11.483933093678242</v>
      </c>
      <c r="J122" s="7">
        <f>J121*(1+Parameters!$B$54)^Parameters!B$71</f>
        <v>93.367673768916532</v>
      </c>
      <c r="K122" s="7">
        <f>'6states'!$N$4</f>
        <v>0.98104277196026479</v>
      </c>
      <c r="L122" s="9">
        <f t="shared" si="21"/>
        <v>0.5</v>
      </c>
      <c r="N122" s="7">
        <f>(Parameters!$B$19*(E122+Parameters!$B$20)^L122+Parameters!$B$18*F122^L122)^(1/L122)</f>
        <v>0.53557594922215923</v>
      </c>
      <c r="O122" s="7">
        <f>(Parameters!$B$10*G122^Parameters!$B$9 + Parameters!$B$11*N122^Parameters!$B$9) ^ (Parameters!$B$7/Parameters!$B$9) * K122</f>
        <v>1.5070174808813837</v>
      </c>
      <c r="P122" s="7">
        <f t="shared" si="20"/>
        <v>1.1491225072662603</v>
      </c>
      <c r="Q122" s="7">
        <f>EXP(-Parameters!$B$56*A122)</f>
        <v>0.16833487163346803</v>
      </c>
      <c r="R122" s="7">
        <f>IF(P122&gt;0,P122^(1-Parameters!$B$53)/(1-Parameters!$B$53)*Q122,-10+P122*1000)</f>
        <v>-0.45811850198086823</v>
      </c>
      <c r="S122" s="7"/>
    </row>
    <row r="123" spans="1:19" x14ac:dyDescent="0.25">
      <c r="A123">
        <f>A122+Parameters!$B$71</f>
        <v>119</v>
      </c>
      <c r="B123" s="9">
        <f t="shared" si="28"/>
        <v>5.191758263687303E-2</v>
      </c>
      <c r="C123" s="9">
        <f t="shared" si="28"/>
        <v>1.0017548050425843E-2</v>
      </c>
      <c r="D123" s="7">
        <f t="shared" si="28"/>
        <v>0.2959598429278244</v>
      </c>
      <c r="E123" s="7">
        <f>MAX((1-Parameters!$B$4)^Parameters!B$71*E122+B122*Parameters!B$71-Parameters!$B$5*B122^2/E122*Parameters!B$71,0.0001)</f>
        <v>0.76974289399508622</v>
      </c>
      <c r="F123" s="9">
        <f>MAX((1-Parameters!$B$4)^Parameters!B$71*F122+C122*Parameters!B$71-Parameters!$B$5*C122^2/F122*Parameters!B$71,0.0001)</f>
        <v>0.14852258916754327</v>
      </c>
      <c r="G123" s="7">
        <f>MAX((1-Parameters!$B$4)^Parameters!B$71*G122+D122*Parameters!B$71-Parameters!$B$5*D122^2/G122*Parameters!B$71,0.0001)</f>
        <v>4.3879726310637741</v>
      </c>
      <c r="I123" s="7">
        <f>I122*(1+Parameters!$B$52)^Parameters!B$71</f>
        <v>11.517236499649908</v>
      </c>
      <c r="J123" s="7">
        <f>J122*(1+Parameters!$B$54)^Parameters!B$71</f>
        <v>95.235027244294869</v>
      </c>
      <c r="K123" s="7">
        <f>'6states'!$N$4</f>
        <v>0.98104277196026479</v>
      </c>
      <c r="L123" s="9">
        <f t="shared" si="21"/>
        <v>0.5</v>
      </c>
      <c r="N123" s="7">
        <f>(Parameters!$B$19*(E123+Parameters!$B$20)^L123+Parameters!$B$18*F123^L123)^(1/L123)</f>
        <v>0.53557523465705437</v>
      </c>
      <c r="O123" s="7">
        <f>(Parameters!$B$10*G123^Parameters!$B$9 + Parameters!$B$11*N123^Parameters!$B$9) ^ (Parameters!$B$7/Parameters!$B$9) * K123</f>
        <v>1.5070168764983003</v>
      </c>
      <c r="P123" s="7">
        <f t="shared" si="20"/>
        <v>1.1491219028831772</v>
      </c>
      <c r="Q123" s="7">
        <f>EXP(-Parameters!$B$56*A123)</f>
        <v>0.16581210985760431</v>
      </c>
      <c r="R123" s="7">
        <f>IF(P123&gt;0,P123^(1-Parameters!$B$53)/(1-Parameters!$B$53)*Q123,-10+P123*1000)</f>
        <v>-0.45125296157830813</v>
      </c>
      <c r="S123" s="7"/>
    </row>
    <row r="124" spans="1:19" x14ac:dyDescent="0.25">
      <c r="A124">
        <f>A123+Parameters!$B$71</f>
        <v>120</v>
      </c>
      <c r="B124" s="9">
        <f t="shared" si="28"/>
        <v>5.191758263687303E-2</v>
      </c>
      <c r="C124" s="9">
        <f t="shared" si="28"/>
        <v>1.0017548050425843E-2</v>
      </c>
      <c r="D124" s="7">
        <f t="shared" si="28"/>
        <v>0.2959598429278244</v>
      </c>
      <c r="E124" s="7">
        <f>MAX((1-Parameters!$B$4)^Parameters!B$71*E123+B123*Parameters!B$71-Parameters!$B$5*B123^2/E123*Parameters!B$71,0.0001)</f>
        <v>0.76974191391931712</v>
      </c>
      <c r="F124" s="9">
        <f>MAX((1-Parameters!$B$4)^Parameters!B$71*F123+C123*Parameters!B$71-Parameters!$B$5*C123^2/F123*Parameters!B$71,0.0001)</f>
        <v>0.14852240301744404</v>
      </c>
      <c r="G124" s="7">
        <f>MAX((1-Parameters!$B$4)^Parameters!B$71*G123+D123*Parameters!B$71-Parameters!$B$5*D123^2/G123*Parameters!B$71,0.0001)</f>
        <v>4.3879671051235833</v>
      </c>
      <c r="I124" s="7">
        <f>I123*(1+Parameters!$B$52)^Parameters!B$71</f>
        <v>11.550636485498892</v>
      </c>
      <c r="J124" s="7">
        <f>J123*(1+Parameters!$B$54)^Parameters!B$71</f>
        <v>97.139727789180768</v>
      </c>
      <c r="K124" s="7">
        <f>'6states'!$N$4</f>
        <v>0.98104277196026479</v>
      </c>
      <c r="L124" s="9">
        <f t="shared" si="21"/>
        <v>0.5</v>
      </c>
      <c r="N124" s="7">
        <f>(Parameters!$B$19*(E124+Parameters!$B$20)^L124+Parameters!$B$18*F124^L124)^(1/L124)</f>
        <v>0.53557456178738017</v>
      </c>
      <c r="O124" s="7">
        <f>(Parameters!$B$10*G124^Parameters!$B$9 + Parameters!$B$11*N124^Parameters!$B$9) ^ (Parameters!$B$7/Parameters!$B$9) * K124</f>
        <v>1.5070163073809233</v>
      </c>
      <c r="P124" s="7">
        <f t="shared" si="20"/>
        <v>1.1491213337657999</v>
      </c>
      <c r="Q124" s="7">
        <f>EXP(-Parameters!$B$56*A124)</f>
        <v>0.16332715561927577</v>
      </c>
      <c r="R124" s="7">
        <f>IF(P124&gt;0,P124^(1-Parameters!$B$53)/(1-Parameters!$B$53)*Q124,-10+P124*1000)</f>
        <v>-0.44449030603545786</v>
      </c>
      <c r="S124" s="7"/>
    </row>
    <row r="125" spans="1:19" x14ac:dyDescent="0.25">
      <c r="A125">
        <f>A124+Parameters!$B$71</f>
        <v>121</v>
      </c>
      <c r="B125" s="9">
        <f t="shared" si="28"/>
        <v>5.191758263687303E-2</v>
      </c>
      <c r="C125" s="9">
        <f t="shared" si="28"/>
        <v>1.0017548050425843E-2</v>
      </c>
      <c r="D125" s="7">
        <f t="shared" si="28"/>
        <v>0.2959598429278244</v>
      </c>
      <c r="E125" s="7">
        <f>MAX((1-Parameters!$B$4)^Parameters!B$71*E124+B124*Parameters!B$71-Parameters!$B$5*B124^2/E124*Parameters!B$71,0.0001)</f>
        <v>0.76974099103172167</v>
      </c>
      <c r="F125" s="9">
        <f>MAX((1-Parameters!$B$4)^Parameters!B$71*F124+C124*Parameters!B$71-Parameters!$B$5*C124^2/F124*Parameters!B$71,0.0001)</f>
        <v>0.14852222772934551</v>
      </c>
      <c r="G125" s="7">
        <f>MAX((1-Parameters!$B$4)^Parameters!B$71*G124+D124*Parameters!B$71-Parameters!$B$5*D124^2/G124*Parameters!B$71,0.0001)</f>
        <v>4.3879619016262339</v>
      </c>
      <c r="I125" s="7">
        <f>I124*(1+Parameters!$B$52)^Parameters!B$71</f>
        <v>11.584133331306838</v>
      </c>
      <c r="J125" s="7">
        <f>J124*(1+Parameters!$B$54)^Parameters!B$71</f>
        <v>99.082522344964389</v>
      </c>
      <c r="K125" s="7">
        <f>'6states'!$N$4</f>
        <v>0.98104277196026479</v>
      </c>
      <c r="L125" s="9">
        <f t="shared" si="21"/>
        <v>0.5</v>
      </c>
      <c r="N125" s="7">
        <f>(Parameters!$B$19*(E125+Parameters!$B$20)^L125+Parameters!$B$18*F125^L125)^(1/L125)</f>
        <v>0.53557392818016802</v>
      </c>
      <c r="O125" s="7">
        <f>(Parameters!$B$10*G125^Parameters!$B$9 + Parameters!$B$11*N125^Parameters!$B$9) ^ (Parameters!$B$7/Parameters!$B$9) * K125</f>
        <v>1.5070157714715227</v>
      </c>
      <c r="P125" s="7">
        <f t="shared" si="20"/>
        <v>1.1491207978563995</v>
      </c>
      <c r="Q125" s="7">
        <f>EXP(-Parameters!$B$56*A125)</f>
        <v>0.16087944231330067</v>
      </c>
      <c r="R125" s="7">
        <f>IF(P125&gt;0,P125^(1-Parameters!$B$53)/(1-Parameters!$B$53)*Q125,-10+P125*1000)</f>
        <v>-0.4378289938976645</v>
      </c>
      <c r="S125" s="7"/>
    </row>
    <row r="126" spans="1:19" x14ac:dyDescent="0.25">
      <c r="A126">
        <f>A125+Parameters!$B$71</f>
        <v>122</v>
      </c>
      <c r="B126" s="9">
        <f t="shared" si="28"/>
        <v>5.191758263687303E-2</v>
      </c>
      <c r="C126" s="9">
        <f t="shared" si="28"/>
        <v>1.0017548050425843E-2</v>
      </c>
      <c r="D126" s="7">
        <f t="shared" si="28"/>
        <v>0.2959598429278244</v>
      </c>
      <c r="E126" s="7">
        <f>MAX((1-Parameters!$B$4)^Parameters!B$71*E125+B125*Parameters!B$71-Parameters!$B$5*B125^2/E125*Parameters!B$71,0.0001)</f>
        <v>0.76974012199531561</v>
      </c>
      <c r="F126" s="9">
        <f>MAX((1-Parameters!$B$4)^Parameters!B$71*F125+C125*Parameters!B$71-Parameters!$B$5*C125^2/F125*Parameters!B$71,0.0001)</f>
        <v>0.14852206266943963</v>
      </c>
      <c r="G126" s="7">
        <f>MAX((1-Parameters!$B$4)^Parameters!B$71*G125+D125*Parameters!B$71-Parameters!$B$5*D125^2/G125*Parameters!B$71,0.0001)</f>
        <v>4.3879570017568819</v>
      </c>
      <c r="I126" s="7">
        <f>I125*(1+Parameters!$B$52)^Parameters!B$71</f>
        <v>11.617727317967626</v>
      </c>
      <c r="J126" s="7">
        <f>J125*(1+Parameters!$B$54)^Parameters!B$71</f>
        <v>101.06417279186368</v>
      </c>
      <c r="K126" s="7">
        <f>'6states'!$N$4</f>
        <v>0.98104277196026479</v>
      </c>
      <c r="L126" s="9">
        <f t="shared" si="21"/>
        <v>0.5</v>
      </c>
      <c r="N126" s="7">
        <f>(Parameters!$B$19*(E126+Parameters!$B$20)^L126+Parameters!$B$18*F126^L126)^(1/L126)</f>
        <v>0.53557333154441533</v>
      </c>
      <c r="O126" s="7">
        <f>(Parameters!$B$10*G126^Parameters!$B$9 + Parameters!$B$11*N126^Parameters!$B$9) ^ (Parameters!$B$7/Parameters!$B$9) * K126</f>
        <v>1.5070152668324333</v>
      </c>
      <c r="P126" s="7">
        <f t="shared" si="20"/>
        <v>1.1491202932173099</v>
      </c>
      <c r="Q126" s="7">
        <f>EXP(-Parameters!$B$56*A126)</f>
        <v>0.15846841182596355</v>
      </c>
      <c r="R126" s="7">
        <f>IF(P126&gt;0,P126^(1-Parameters!$B$53)/(1-Parameters!$B$53)*Q126,-10+P126*1000)</f>
        <v>-0.4312675067797842</v>
      </c>
      <c r="S126" s="7"/>
    </row>
    <row r="127" spans="1:19" x14ac:dyDescent="0.25">
      <c r="A127">
        <f>A126+Parameters!$B$71</f>
        <v>123</v>
      </c>
      <c r="B127" s="9">
        <f t="shared" si="28"/>
        <v>5.191758263687303E-2</v>
      </c>
      <c r="C127" s="9">
        <f t="shared" si="28"/>
        <v>1.0017548050425843E-2</v>
      </c>
      <c r="D127" s="7">
        <f t="shared" si="28"/>
        <v>0.2959598429278244</v>
      </c>
      <c r="E127" s="7">
        <f>MAX((1-Parameters!$B$4)^Parameters!B$71*E126+B126*Parameters!B$71-Parameters!$B$5*B126^2/E126*Parameters!B$71,0.0001)</f>
        <v>0.76973930366783216</v>
      </c>
      <c r="F127" s="9">
        <f>MAX((1-Parameters!$B$4)^Parameters!B$71*F126+C126*Parameters!B$71-Parameters!$B$5*C126^2/F126*Parameters!B$71,0.0001)</f>
        <v>0.14852190724090195</v>
      </c>
      <c r="G127" s="7">
        <f>MAX((1-Parameters!$B$4)^Parameters!B$71*G126+D126*Parameters!B$71-Parameters!$B$5*D126^2/G126*Parameters!B$71,0.0001)</f>
        <v>4.3879523877985527</v>
      </c>
      <c r="I127" s="7">
        <f>I126*(1+Parameters!$B$52)^Parameters!B$71</f>
        <v>11.65141872718973</v>
      </c>
      <c r="J127" s="7">
        <f>J126*(1+Parameters!$B$54)^Parameters!B$71</f>
        <v>103.08545624770096</v>
      </c>
      <c r="K127" s="7">
        <f>'6states'!$N$4</f>
        <v>0.98104277196026479</v>
      </c>
      <c r="L127" s="9">
        <f t="shared" si="21"/>
        <v>0.5</v>
      </c>
      <c r="N127" s="7">
        <f>(Parameters!$B$19*(E127+Parameters!$B$20)^L127+Parameters!$B$18*F127^L127)^(1/L127)</f>
        <v>0.53557276972280399</v>
      </c>
      <c r="O127" s="7">
        <f>(Parameters!$B$10*G127^Parameters!$B$9 + Parameters!$B$11*N127^Parameters!$B$9) ^ (Parameters!$B$7/Parameters!$B$9) * K127</f>
        <v>1.5070147916390504</v>
      </c>
      <c r="P127" s="7">
        <f t="shared" si="20"/>
        <v>1.149119818023927</v>
      </c>
      <c r="Q127" s="7">
        <f>EXP(-Parameters!$B$56*A127)</f>
        <v>0.15609351440775748</v>
      </c>
      <c r="R127" s="7">
        <f>IF(P127&gt;0,P127^(1-Parameters!$B$53)/(1-Parameters!$B$53)*Q127,-10+P127*1000)</f>
        <v>-0.42480434902274045</v>
      </c>
      <c r="S127" s="7"/>
    </row>
    <row r="128" spans="1:19" x14ac:dyDescent="0.25">
      <c r="A128">
        <f>A127+Parameters!$B$71</f>
        <v>124</v>
      </c>
      <c r="B128" s="9">
        <f t="shared" ref="B128:D143" si="29">B127</f>
        <v>5.191758263687303E-2</v>
      </c>
      <c r="C128" s="9">
        <f t="shared" si="29"/>
        <v>1.0017548050425843E-2</v>
      </c>
      <c r="D128" s="7">
        <f t="shared" si="29"/>
        <v>0.2959598429278244</v>
      </c>
      <c r="E128" s="7">
        <f>MAX((1-Parameters!$B$4)^Parameters!B$71*E127+B127*Parameters!B$71-Parameters!$B$5*B127^2/E127*Parameters!B$71,0.0001)</f>
        <v>0.76973853309035967</v>
      </c>
      <c r="F128" s="9">
        <f>MAX((1-Parameters!$B$4)^Parameters!B$71*F127+C127*Parameters!B$71-Parameters!$B$5*C127^2/F127*Parameters!B$71,0.0001)</f>
        <v>0.14852176088173347</v>
      </c>
      <c r="G128" s="7">
        <f>MAX((1-Parameters!$B$4)^Parameters!B$71*G127+D127*Parameters!B$71-Parameters!$B$5*D127^2/G127*Parameters!B$71,0.0001)</f>
        <v>4.3879480430680795</v>
      </c>
      <c r="I128" s="7">
        <f>I127*(1+Parameters!$B$52)^Parameters!B$71</f>
        <v>11.685207841498579</v>
      </c>
      <c r="J128" s="7">
        <f>J127*(1+Parameters!$B$54)^Parameters!B$71</f>
        <v>105.14716537265498</v>
      </c>
      <c r="K128" s="7">
        <f>'6states'!$N$4</f>
        <v>0.98104277196026479</v>
      </c>
      <c r="L128" s="9">
        <f t="shared" si="21"/>
        <v>0.5</v>
      </c>
      <c r="N128" s="7">
        <f>(Parameters!$B$19*(E128+Parameters!$B$20)^L128+Parameters!$B$18*F128^L128)^(1/L128)</f>
        <v>0.53557224068389686</v>
      </c>
      <c r="O128" s="7">
        <f>(Parameters!$B$10*G128^Parameters!$B$9 + Parameters!$B$11*N128^Parameters!$B$9) ^ (Parameters!$B$7/Parameters!$B$9) * K128</f>
        <v>1.5070143441732302</v>
      </c>
      <c r="P128" s="7">
        <f t="shared" si="20"/>
        <v>1.1491193705581071</v>
      </c>
      <c r="Q128" s="7">
        <f>EXP(-Parameters!$B$56*A128)</f>
        <v>0.15375420854803312</v>
      </c>
      <c r="R128" s="7">
        <f>IF(P128&gt;0,P128^(1-Parameters!$B$53)/(1-Parameters!$B$53)*Q128,-10+P128*1000)</f>
        <v>-0.41843804735506152</v>
      </c>
      <c r="S128" s="7"/>
    </row>
    <row r="129" spans="1:19" x14ac:dyDescent="0.25">
      <c r="A129">
        <f>A128+Parameters!$B$71</f>
        <v>125</v>
      </c>
      <c r="B129" s="9">
        <f t="shared" si="29"/>
        <v>5.191758263687303E-2</v>
      </c>
      <c r="C129" s="9">
        <f t="shared" si="29"/>
        <v>1.0017548050425843E-2</v>
      </c>
      <c r="D129" s="7">
        <f t="shared" si="29"/>
        <v>0.2959598429278244</v>
      </c>
      <c r="E129" s="7">
        <f>MAX((1-Parameters!$B$4)^Parameters!B$71*E128+B128*Parameters!B$71-Parameters!$B$5*B128^2/E128*Parameters!B$71,0.0001)</f>
        <v>0.76973780747664267</v>
      </c>
      <c r="F129" s="9">
        <f>MAX((1-Parameters!$B$4)^Parameters!B$71*F128+C128*Parameters!B$71-Parameters!$B$5*C128^2/F128*Parameters!B$71,0.0001)</f>
        <v>0.14852162306272845</v>
      </c>
      <c r="G129" s="7">
        <f>MAX((1-Parameters!$B$4)^Parameters!B$71*G128+D128*Parameters!B$71-Parameters!$B$5*D128^2/G128*Parameters!B$71,0.0001)</f>
        <v>4.387943951855779</v>
      </c>
      <c r="I129" s="7">
        <f>I128*(1+Parameters!$B$52)^Parameters!B$71</f>
        <v>11.719094944238924</v>
      </c>
      <c r="J129" s="7">
        <f>J128*(1+Parameters!$B$54)^Parameters!B$71</f>
        <v>107.25010868010808</v>
      </c>
      <c r="K129" s="7">
        <f>'6states'!$N$4</f>
        <v>0.98104277196026479</v>
      </c>
      <c r="L129" s="9">
        <f t="shared" si="21"/>
        <v>0.5</v>
      </c>
      <c r="N129" s="7">
        <f>(Parameters!$B$19*(E129+Parameters!$B$20)^L129+Parameters!$B$18*F129^L129)^(1/L129)</f>
        <v>0.53557174251479411</v>
      </c>
      <c r="O129" s="7">
        <f>(Parameters!$B$10*G129^Parameters!$B$9 + Parameters!$B$11*N129^Parameters!$B$9) ^ (Parameters!$B$7/Parameters!$B$9) * K129</f>
        <v>1.5070139228170825</v>
      </c>
      <c r="P129" s="7">
        <f t="shared" si="20"/>
        <v>1.1491189492019593</v>
      </c>
      <c r="Q129" s="7">
        <f>EXP(-Parameters!$B$56*A129)</f>
        <v>0.15144996085152654</v>
      </c>
      <c r="R129" s="7">
        <f>IF(P129&gt;0,P129^(1-Parameters!$B$53)/(1-Parameters!$B$53)*Q129,-10+P129*1000)</f>
        <v>-0.412167150559337</v>
      </c>
      <c r="S129" s="7"/>
    </row>
    <row r="130" spans="1:19" x14ac:dyDescent="0.25">
      <c r="A130">
        <f>A129+Parameters!$B$71</f>
        <v>126</v>
      </c>
      <c r="B130" s="9">
        <f t="shared" si="29"/>
        <v>5.191758263687303E-2</v>
      </c>
      <c r="C130" s="9">
        <f t="shared" si="29"/>
        <v>1.0017548050425843E-2</v>
      </c>
      <c r="D130" s="7">
        <f t="shared" si="29"/>
        <v>0.2959598429278244</v>
      </c>
      <c r="E130" s="7">
        <f>MAX((1-Parameters!$B$4)^Parameters!B$71*E129+B129*Parameters!B$71-Parameters!$B$5*B129^2/E129*Parameters!B$71,0.0001)</f>
        <v>0.76973712420300688</v>
      </c>
      <c r="F130" s="9">
        <f>MAX((1-Parameters!$B$4)^Parameters!B$71*F129+C129*Parameters!B$71-Parameters!$B$5*C129^2/F129*Parameters!B$71,0.0001)</f>
        <v>0.148521493285561</v>
      </c>
      <c r="G130" s="7">
        <f>MAX((1-Parameters!$B$4)^Parameters!B$71*G129+D129*Parameters!B$71-Parameters!$B$5*D129^2/G129*Parameters!B$71,0.0001)</f>
        <v>4.387940099368647</v>
      </c>
      <c r="I130" s="7">
        <f>I129*(1+Parameters!$B$52)^Parameters!B$71</f>
        <v>11.753080319577215</v>
      </c>
      <c r="J130" s="7">
        <f>J129*(1+Parameters!$B$54)^Parameters!B$71</f>
        <v>109.39511085371025</v>
      </c>
      <c r="K130" s="7">
        <f>'6states'!$N$4</f>
        <v>0.98104277196026479</v>
      </c>
      <c r="L130" s="9">
        <f t="shared" si="21"/>
        <v>0.5</v>
      </c>
      <c r="N130" s="7">
        <f>(Parameters!$B$19*(E130+Parameters!$B$20)^L130+Parameters!$B$18*F130^L130)^(1/L130)</f>
        <v>0.53557127341421595</v>
      </c>
      <c r="O130" s="7">
        <f>(Parameters!$B$10*G130^Parameters!$B$9 + Parameters!$B$11*N130^Parameters!$B$9) ^ (Parameters!$B$7/Parameters!$B$9) * K130</f>
        <v>1.5070135260471158</v>
      </c>
      <c r="P130" s="7">
        <f t="shared" si="20"/>
        <v>1.1491185524319927</v>
      </c>
      <c r="Q130" s="7">
        <f>EXP(-Parameters!$B$56*A130)</f>
        <v>0.14918024591673743</v>
      </c>
      <c r="R130" s="7">
        <f>IF(P130&gt;0,P130^(1-Parameters!$B$53)/(1-Parameters!$B$53)*Q130,-10+P130*1000)</f>
        <v>-0.40599022914353111</v>
      </c>
      <c r="S130" s="7"/>
    </row>
    <row r="131" spans="1:19" x14ac:dyDescent="0.25">
      <c r="A131">
        <f>A130+Parameters!$B$71</f>
        <v>127</v>
      </c>
      <c r="B131" s="9">
        <f t="shared" si="29"/>
        <v>5.191758263687303E-2</v>
      </c>
      <c r="C131" s="9">
        <f t="shared" si="29"/>
        <v>1.0017548050425843E-2</v>
      </c>
      <c r="D131" s="7">
        <f t="shared" si="29"/>
        <v>0.2959598429278244</v>
      </c>
      <c r="E131" s="7">
        <f>MAX((1-Parameters!$B$4)^Parameters!B$71*E130+B130*Parameters!B$71-Parameters!$B$5*B130^2/E130*Parameters!B$71,0.0001)</f>
        <v>0.76973648079887247</v>
      </c>
      <c r="F131" s="9">
        <f>MAX((1-Parameters!$B$4)^Parameters!B$71*F130+C130*Parameters!B$71-Parameters!$B$5*C130^2/F130*Parameters!B$71,0.0001)</f>
        <v>0.14852137108098307</v>
      </c>
      <c r="G131" s="7">
        <f>MAX((1-Parameters!$B$4)^Parameters!B$71*G130+D130*Parameters!B$71-Parameters!$B$5*D130^2/G130*Parameters!B$71,0.0001)</f>
        <v>4.3879364716768663</v>
      </c>
      <c r="I131" s="7">
        <f>I130*(1+Parameters!$B$52)^Parameters!B$71</f>
        <v>11.787164252503988</v>
      </c>
      <c r="J131" s="7">
        <f>J130*(1+Parameters!$B$54)^Parameters!B$71</f>
        <v>111.58301307078446</v>
      </c>
      <c r="K131" s="7">
        <f>'6states'!$N$4</f>
        <v>0.98104277196026479</v>
      </c>
      <c r="L131" s="9">
        <f t="shared" si="21"/>
        <v>0.5</v>
      </c>
      <c r="N131" s="7">
        <f>(Parameters!$B$19*(E131+Parameters!$B$20)^L131+Parameters!$B$18*F131^L131)^(1/L131)</f>
        <v>0.53557083168598918</v>
      </c>
      <c r="O131" s="7">
        <f>(Parameters!$B$10*G131^Parameters!$B$9 + Parameters!$B$11*N131^Parameters!$B$9) ^ (Parameters!$B$7/Parameters!$B$9) * K131</f>
        <v>1.5070131524287349</v>
      </c>
      <c r="P131" s="7">
        <f t="shared" si="20"/>
        <v>1.1491181788136116</v>
      </c>
      <c r="Q131" s="7">
        <f>EXP(-Parameters!$B$56*A131)</f>
        <v>0.14694454621613023</v>
      </c>
      <c r="R131" s="7">
        <f>IF(P131&gt;0,P131^(1-Parameters!$B$53)/(1-Parameters!$B$53)*Q131,-10+P131*1000)</f>
        <v>-0.3999058750170888</v>
      </c>
      <c r="S131" s="7"/>
    </row>
    <row r="132" spans="1:19" x14ac:dyDescent="0.25">
      <c r="A132">
        <f>A131+Parameters!$B$71</f>
        <v>128</v>
      </c>
      <c r="B132" s="9">
        <f t="shared" si="29"/>
        <v>5.191758263687303E-2</v>
      </c>
      <c r="C132" s="9">
        <f t="shared" si="29"/>
        <v>1.0017548050425843E-2</v>
      </c>
      <c r="D132" s="7">
        <f t="shared" si="29"/>
        <v>0.2959598429278244</v>
      </c>
      <c r="E132" s="7">
        <f>MAX((1-Parameters!$B$4)^Parameters!B$71*E131+B131*Parameters!B$71-Parameters!$B$5*B131^2/E131*Parameters!B$71,0.0001)</f>
        <v>0.7697358749378207</v>
      </c>
      <c r="F132" s="9">
        <f>MAX((1-Parameters!$B$4)^Parameters!B$71*F131+C131*Parameters!B$71-Parameters!$B$5*C131^2/F131*Parameters!B$71,0.0001)</f>
        <v>0.14852125600712776</v>
      </c>
      <c r="G132" s="7">
        <f>MAX((1-Parameters!$B$4)^Parameters!B$71*G131+D131*Parameters!B$71-Parameters!$B$5*D131^2/G131*Parameters!B$71,0.0001)</f>
        <v>4.3879330556634413</v>
      </c>
      <c r="I132" s="7">
        <f>I131*(1+Parameters!$B$52)^Parameters!B$71</f>
        <v>11.821347028836248</v>
      </c>
      <c r="J132" s="7">
        <f>J131*(1+Parameters!$B$54)^Parameters!B$71</f>
        <v>113.81467333220016</v>
      </c>
      <c r="K132" s="7">
        <f>'6states'!$N$4</f>
        <v>0.98104277196026479</v>
      </c>
      <c r="L132" s="9">
        <f t="shared" si="21"/>
        <v>0.5</v>
      </c>
      <c r="N132" s="7">
        <f>(Parameters!$B$19*(E132+Parameters!$B$20)^L132+Parameters!$B$18*F132^L132)^(1/L132)</f>
        <v>0.53557041573291442</v>
      </c>
      <c r="O132" s="7">
        <f>(Parameters!$B$10*G132^Parameters!$B$9 + Parameters!$B$11*N132^Parameters!$B$9) ^ (Parameters!$B$7/Parameters!$B$9) * K132</f>
        <v>1.5070128006110513</v>
      </c>
      <c r="P132" s="7">
        <f t="shared" ref="P132:P195" si="30">O132-B132-C132-D132</f>
        <v>1.1491178269959281</v>
      </c>
      <c r="Q132" s="7">
        <f>EXP(-Parameters!$B$56*A132)</f>
        <v>0.14474235197813023</v>
      </c>
      <c r="R132" s="7">
        <f>IF(P132&gt;0,P132^(1-Parameters!$B$53)/(1-Parameters!$B$53)*Q132,-10+P132*1000)</f>
        <v>-0.39391270117177218</v>
      </c>
      <c r="S132" s="7"/>
    </row>
    <row r="133" spans="1:19" x14ac:dyDescent="0.25">
      <c r="A133">
        <f>A132+Parameters!$B$71</f>
        <v>129</v>
      </c>
      <c r="B133" s="9">
        <f t="shared" si="29"/>
        <v>5.191758263687303E-2</v>
      </c>
      <c r="C133" s="9">
        <f t="shared" si="29"/>
        <v>1.0017548050425843E-2</v>
      </c>
      <c r="D133" s="7">
        <f t="shared" si="29"/>
        <v>0.2959598429278244</v>
      </c>
      <c r="E133" s="7">
        <f>MAX((1-Parameters!$B$4)^Parameters!B$71*E132+B132*Parameters!B$71-Parameters!$B$5*B132^2/E132*Parameters!B$71,0.0001)</f>
        <v>0.76973530442918192</v>
      </c>
      <c r="F133" s="9">
        <f>MAX((1-Parameters!$B$4)^Parameters!B$71*F132+C132*Parameters!B$71-Parameters!$B$5*C132^2/F132*Parameters!B$71,0.0001)</f>
        <v>0.14852114764791158</v>
      </c>
      <c r="G133" s="7">
        <f>MAX((1-Parameters!$B$4)^Parameters!B$71*G132+D132*Parameters!B$71-Parameters!$B$5*D132^2/G132*Parameters!B$71,0.0001)</f>
        <v>4.3879298389767669</v>
      </c>
      <c r="I133" s="7">
        <f>I132*(1+Parameters!$B$52)^Parameters!B$71</f>
        <v>11.855628935219872</v>
      </c>
      <c r="J133" s="7">
        <f>J132*(1+Parameters!$B$54)^Parameters!B$71</f>
        <v>116.09096679884416</v>
      </c>
      <c r="K133" s="7">
        <f>'6states'!$N$4</f>
        <v>0.98104277196026479</v>
      </c>
      <c r="L133" s="9">
        <f t="shared" si="21"/>
        <v>0.5</v>
      </c>
      <c r="N133" s="7">
        <f>(Parameters!$B$19*(E133+Parameters!$B$20)^L133+Parameters!$B$18*F133^L133)^(1/L133)</f>
        <v>0.53557002405099008</v>
      </c>
      <c r="O133" s="7">
        <f>(Parameters!$B$10*G133^Parameters!$B$9 + Parameters!$B$11*N133^Parameters!$B$9) ^ (Parameters!$B$7/Parameters!$B$9) * K133</f>
        <v>1.5070124693219977</v>
      </c>
      <c r="P133" s="7">
        <f t="shared" si="30"/>
        <v>1.1491174957068746</v>
      </c>
      <c r="Q133" s="7">
        <f>EXP(-Parameters!$B$56*A133)</f>
        <v>0.14257316107088844</v>
      </c>
      <c r="R133" s="7">
        <f>IF(P133&gt;0,P133^(1-Parameters!$B$53)/(1-Parameters!$B$53)*Q133,-10+P133*1000)</f>
        <v>-0.38800934136716864</v>
      </c>
      <c r="S133" s="7"/>
    </row>
    <row r="134" spans="1:19" x14ac:dyDescent="0.25">
      <c r="A134">
        <f>A133+Parameters!$B$71</f>
        <v>130</v>
      </c>
      <c r="B134" s="9">
        <f t="shared" si="29"/>
        <v>5.191758263687303E-2</v>
      </c>
      <c r="C134" s="9">
        <f t="shared" si="29"/>
        <v>1.0017548050425843E-2</v>
      </c>
      <c r="D134" s="7">
        <f t="shared" si="29"/>
        <v>0.2959598429278244</v>
      </c>
      <c r="E134" s="7">
        <f>MAX((1-Parameters!$B$4)^Parameters!B$71*E133+B133*Parameters!B$71-Parameters!$B$5*B133^2/E133*Parameters!B$71,0.0001)</f>
        <v>0.76973476721011436</v>
      </c>
      <c r="F134" s="9">
        <f>MAX((1-Parameters!$B$4)^Parameters!B$71*F133+C133*Parameters!B$71-Parameters!$B$5*C133^2/F133*Parameters!B$71,0.0001)</f>
        <v>0.14852104561152996</v>
      </c>
      <c r="G134" s="7">
        <f>MAX((1-Parameters!$B$4)^Parameters!B$71*G133+D133*Parameters!B$71-Parameters!$B$5*D133^2/G133*Parameters!B$71,0.0001)</f>
        <v>4.3879268099859665</v>
      </c>
      <c r="I134" s="7">
        <f>I133*(1+Parameters!$B$52)^Parameters!B$71</f>
        <v>11.890010259132008</v>
      </c>
      <c r="J134" s="7">
        <f>J133*(1+Parameters!$B$54)^Parameters!B$71</f>
        <v>118.41278613482105</v>
      </c>
      <c r="K134" s="7">
        <f>'6states'!$N$4</f>
        <v>0.98104277196026479</v>
      </c>
      <c r="L134" s="9">
        <f t="shared" ref="L134:L197" si="31">L133</f>
        <v>0.5</v>
      </c>
      <c r="N134" s="7">
        <f>(Parameters!$B$19*(E134+Parameters!$B$20)^L134+Parameters!$B$18*F134^L134)^(1/L134)</f>
        <v>0.53556965522397493</v>
      </c>
      <c r="O134" s="7">
        <f>(Parameters!$B$10*G134^Parameters!$B$9 + Parameters!$B$11*N134^Parameters!$B$9) ^ (Parameters!$B$7/Parameters!$B$9) * K134</f>
        <v>1.5070121573637323</v>
      </c>
      <c r="P134" s="7">
        <f t="shared" si="30"/>
        <v>1.1491171837486092</v>
      </c>
      <c r="Q134" s="7">
        <f>EXP(-Parameters!$B$56*A134)</f>
        <v>0.14043647888778818</v>
      </c>
      <c r="R134" s="7">
        <f>IF(P134&gt;0,P134^(1-Parameters!$B$53)/(1-Parameters!$B$53)*Q134,-10+P134*1000)</f>
        <v>-0.38219444982080408</v>
      </c>
      <c r="S134" s="7"/>
    </row>
    <row r="135" spans="1:19" x14ac:dyDescent="0.25">
      <c r="A135">
        <f>A134+Parameters!$B$71</f>
        <v>131</v>
      </c>
      <c r="B135" s="9">
        <f t="shared" si="29"/>
        <v>5.191758263687303E-2</v>
      </c>
      <c r="C135" s="9">
        <f t="shared" si="29"/>
        <v>1.0017548050425843E-2</v>
      </c>
      <c r="D135" s="7">
        <f t="shared" si="29"/>
        <v>0.2959598429278244</v>
      </c>
      <c r="E135" s="7">
        <f>MAX((1-Parameters!$B$4)^Parameters!B$71*E134+B134*Parameters!B$71-Parameters!$B$5*B134^2/E134*Parameters!B$71,0.0001)</f>
        <v>0.76973426133814515</v>
      </c>
      <c r="F135" s="9">
        <f>MAX((1-Parameters!$B$4)^Parameters!B$71*F134+C134*Parameters!B$71-Parameters!$B$5*C134^2/F134*Parameters!B$71,0.0001)</f>
        <v>0.14852094952904049</v>
      </c>
      <c r="G135" s="7">
        <f>MAX((1-Parameters!$B$4)^Parameters!B$71*G134+D134*Parameters!B$71-Parameters!$B$5*D134^2/G134*Parameters!B$71,0.0001)</f>
        <v>4.3879239577388374</v>
      </c>
      <c r="I135" s="7">
        <f>I134*(1+Parameters!$B$52)^Parameters!B$71</f>
        <v>11.924491288883489</v>
      </c>
      <c r="J135" s="7">
        <f>J134*(1+Parameters!$B$54)^Parameters!B$71</f>
        <v>120.78104185751747</v>
      </c>
      <c r="K135" s="7">
        <f>'6states'!$N$4</f>
        <v>0.98104277196026479</v>
      </c>
      <c r="L135" s="9">
        <f t="shared" si="31"/>
        <v>0.5</v>
      </c>
      <c r="N135" s="7">
        <f>(Parameters!$B$19*(E135+Parameters!$B$20)^L135+Parameters!$B$18*F135^L135)^(1/L135)</f>
        <v>0.53556930791826729</v>
      </c>
      <c r="O135" s="7">
        <f>(Parameters!$B$10*G135^Parameters!$B$9 + Parameters!$B$11*N135^Parameters!$B$9) ^ (Parameters!$B$7/Parameters!$B$9) * K135</f>
        <v>1.5070118636083059</v>
      </c>
      <c r="P135" s="7">
        <f t="shared" si="30"/>
        <v>1.1491168899931825</v>
      </c>
      <c r="Q135" s="7">
        <f>EXP(-Parameters!$B$56*A135)</f>
        <v>0.13833181823466795</v>
      </c>
      <c r="R135" s="7">
        <f>IF(P135&gt;0,P135^(1-Parameters!$B$53)/(1-Parameters!$B$53)*Q135,-10+P135*1000)</f>
        <v>-0.37646670090280332</v>
      </c>
      <c r="S135" s="7"/>
    </row>
    <row r="136" spans="1:19" x14ac:dyDescent="0.25">
      <c r="A136">
        <f>A135+Parameters!$B$71</f>
        <v>132</v>
      </c>
      <c r="B136" s="9">
        <f t="shared" si="29"/>
        <v>5.191758263687303E-2</v>
      </c>
      <c r="C136" s="9">
        <f t="shared" si="29"/>
        <v>1.0017548050425843E-2</v>
      </c>
      <c r="D136" s="7">
        <f t="shared" si="29"/>
        <v>0.2959598429278244</v>
      </c>
      <c r="E136" s="7">
        <f>MAX((1-Parameters!$B$4)^Parameters!B$71*E135+B135*Parameters!B$71-Parameters!$B$5*B135^2/E135*Parameters!B$71,0.0001)</f>
        <v>0.76973378498414657</v>
      </c>
      <c r="F136" s="9">
        <f>MAX((1-Parameters!$B$4)^Parameters!B$71*F135+C135*Parameters!B$71-Parameters!$B$5*C135^2/F135*Parameters!B$71,0.0001)</f>
        <v>0.14852085905302892</v>
      </c>
      <c r="G136" s="7">
        <f>MAX((1-Parameters!$B$4)^Parameters!B$71*G135+D135*Parameters!B$71-Parameters!$B$5*D135^2/G135*Parameters!B$71,0.0001)</f>
        <v>4.3879212719222496</v>
      </c>
      <c r="I136" s="7">
        <f>I135*(1+Parameters!$B$52)^Parameters!B$71</f>
        <v>11.959072313621251</v>
      </c>
      <c r="J136" s="7">
        <f>J135*(1+Parameters!$B$54)^Parameters!B$71</f>
        <v>123.19666269466782</v>
      </c>
      <c r="K136" s="7">
        <f>'6states'!$N$4</f>
        <v>0.98104277196026479</v>
      </c>
      <c r="L136" s="9">
        <f t="shared" si="31"/>
        <v>0.5</v>
      </c>
      <c r="N136" s="7">
        <f>(Parameters!$B$19*(E136+Parameters!$B$20)^L136+Parameters!$B$18*F136^L136)^(1/L136)</f>
        <v>0.53556898087808191</v>
      </c>
      <c r="O136" s="7">
        <f>(Parameters!$B$10*G136^Parameters!$B$9 + Parameters!$B$11*N136^Parameters!$B$9) ^ (Parameters!$B$7/Parameters!$B$9) * K136</f>
        <v>1.507011586993585</v>
      </c>
      <c r="P136" s="7">
        <f t="shared" si="30"/>
        <v>1.1491166133784616</v>
      </c>
      <c r="Q136" s="7">
        <f>EXP(-Parameters!$B$56*A136)</f>
        <v>0.13625869921873399</v>
      </c>
      <c r="R136" s="7">
        <f>IF(P136&gt;0,P136^(1-Parameters!$B$53)/(1-Parameters!$B$53)*Q136,-10+P136*1000)</f>
        <v>-0.37082478883503567</v>
      </c>
      <c r="S136" s="7"/>
    </row>
    <row r="137" spans="1:19" x14ac:dyDescent="0.25">
      <c r="A137">
        <f>A136+Parameters!$B$71</f>
        <v>133</v>
      </c>
      <c r="B137" s="9">
        <f t="shared" si="29"/>
        <v>5.191758263687303E-2</v>
      </c>
      <c r="C137" s="9">
        <f t="shared" si="29"/>
        <v>1.0017548050425843E-2</v>
      </c>
      <c r="D137" s="7">
        <f t="shared" si="29"/>
        <v>0.2959598429278244</v>
      </c>
      <c r="E137" s="7">
        <f>MAX((1-Parameters!$B$4)^Parameters!B$71*E136+B136*Parameters!B$71-Parameters!$B$5*B136^2/E136*Parameters!B$71,0.0001)</f>
        <v>0.76973333642572239</v>
      </c>
      <c r="F137" s="9">
        <f>MAX((1-Parameters!$B$4)^Parameters!B$71*F136+C136*Parameters!B$71-Parameters!$B$5*C136^2/F136*Parameters!B$71,0.0001)</f>
        <v>0.14852077385635301</v>
      </c>
      <c r="G137" s="7">
        <f>MAX((1-Parameters!$B$4)^Parameters!B$71*G136+D136*Parameters!B$71-Parameters!$B$5*D136^2/G136*Parameters!B$71,0.0001)</f>
        <v>4.3879187428248532</v>
      </c>
      <c r="I137" s="7">
        <f>I136*(1+Parameters!$B$52)^Parameters!B$71</f>
        <v>11.99375362333075</v>
      </c>
      <c r="J137" s="7">
        <f>J136*(1+Parameters!$B$54)^Parameters!B$71</f>
        <v>125.66059594856118</v>
      </c>
      <c r="K137" s="7">
        <f>'6states'!$N$4</f>
        <v>0.98104277196026479</v>
      </c>
      <c r="L137" s="9">
        <f t="shared" si="31"/>
        <v>0.5</v>
      </c>
      <c r="N137" s="7">
        <f>(Parameters!$B$19*(E137+Parameters!$B$20)^L137+Parameters!$B$18*F137^L137)^(1/L137)</f>
        <v>0.53556867292090993</v>
      </c>
      <c r="O137" s="7">
        <f>(Parameters!$B$10*G137^Parameters!$B$9 + Parameters!$B$11*N137^Parameters!$B$9) ^ (Parameters!$B$7/Parameters!$B$9) * K137</f>
        <v>1.5070113265194089</v>
      </c>
      <c r="P137" s="7">
        <f t="shared" si="30"/>
        <v>1.1491163529042856</v>
      </c>
      <c r="Q137" s="7">
        <f>EXP(-Parameters!$B$56*A137)</f>
        <v>0.13421664913913783</v>
      </c>
      <c r="R137" s="7">
        <f>IF(P137&gt;0,P137^(1-Parameters!$B$53)/(1-Parameters!$B$53)*Q137,-10+P137*1000)</f>
        <v>-0.36526742739468493</v>
      </c>
      <c r="S137" s="7"/>
    </row>
    <row r="138" spans="1:19" x14ac:dyDescent="0.25">
      <c r="A138">
        <f>A137+Parameters!$B$71</f>
        <v>134</v>
      </c>
      <c r="B138" s="9">
        <f t="shared" si="29"/>
        <v>5.191758263687303E-2</v>
      </c>
      <c r="C138" s="9">
        <f t="shared" si="29"/>
        <v>1.0017548050425843E-2</v>
      </c>
      <c r="D138" s="7">
        <f t="shared" si="29"/>
        <v>0.2959598429278244</v>
      </c>
      <c r="E138" s="7">
        <f>MAX((1-Parameters!$B$4)^Parameters!B$71*E137+B137*Parameters!B$71-Parameters!$B$5*B137^2/E137*Parameters!B$71,0.0001)</f>
        <v>0.76973291404097977</v>
      </c>
      <c r="F138" s="9">
        <f>MAX((1-Parameters!$B$4)^Parameters!B$71*F137+C137*Parameters!B$71-Parameters!$B$5*C137^2/F137*Parameters!B$71,0.0001)</f>
        <v>0.14852069363095954</v>
      </c>
      <c r="G138" s="7">
        <f>MAX((1-Parameters!$B$4)^Parameters!B$71*G137+D137*Parameters!B$71-Parameters!$B$5*D137^2/G137*Parameters!B$71,0.0001)</f>
        <v>4.3879163613019649</v>
      </c>
      <c r="I138" s="7">
        <f>I137*(1+Parameters!$B$52)^Parameters!B$71</f>
        <v>12.028535508838408</v>
      </c>
      <c r="J138" s="7">
        <f>J137*(1+Parameters!$B$54)^Parameters!B$71</f>
        <v>128.17380786753242</v>
      </c>
      <c r="K138" s="7">
        <f>'6states'!$N$4</f>
        <v>0.98104277196026479</v>
      </c>
      <c r="L138" s="9">
        <f t="shared" si="31"/>
        <v>0.5</v>
      </c>
      <c r="N138" s="7">
        <f>(Parameters!$B$19*(E138+Parameters!$B$20)^L138+Parameters!$B$18*F138^L138)^(1/L138)</f>
        <v>0.53556838293324316</v>
      </c>
      <c r="O138" s="7">
        <f>(Parameters!$B$10*G138^Parameters!$B$9 + Parameters!$B$11*N138^Parameters!$B$9) ^ (Parameters!$B$7/Parameters!$B$9) * K138</f>
        <v>1.5070110812439776</v>
      </c>
      <c r="P138" s="7">
        <f t="shared" si="30"/>
        <v>1.1491161076288545</v>
      </c>
      <c r="Q138" s="7">
        <f>EXP(-Parameters!$B$56*A138)</f>
        <v>0.13220520237919381</v>
      </c>
      <c r="R138" s="7">
        <f>IF(P138&gt;0,P138^(1-Parameters!$B$53)/(1-Parameters!$B$53)*Q138,-10+P138*1000)</f>
        <v>-0.3597933496221829</v>
      </c>
      <c r="S138" s="7"/>
    </row>
    <row r="139" spans="1:19" x14ac:dyDescent="0.25">
      <c r="A139">
        <f>A138+Parameters!$B$71</f>
        <v>135</v>
      </c>
      <c r="B139" s="9">
        <f t="shared" si="29"/>
        <v>5.191758263687303E-2</v>
      </c>
      <c r="C139" s="9">
        <f t="shared" si="29"/>
        <v>1.0017548050425843E-2</v>
      </c>
      <c r="D139" s="7">
        <f t="shared" si="29"/>
        <v>0.2959598429278244</v>
      </c>
      <c r="E139" s="7">
        <f>MAX((1-Parameters!$B$4)^Parameters!B$71*E138+B138*Parameters!B$71-Parameters!$B$5*B138^2/E138*Parameters!B$71,0.0001)</f>
        <v>0.76973251630266482</v>
      </c>
      <c r="F139" s="9">
        <f>MAX((1-Parameters!$B$4)^Parameters!B$71*F138+C138*Parameters!B$71-Parameters!$B$5*C138^2/F138*Parameters!B$71,0.0001)</f>
        <v>0.1485206180867705</v>
      </c>
      <c r="G139" s="7">
        <f>MAX((1-Parameters!$B$4)^Parameters!B$71*G138+D138*Parameters!B$71-Parameters!$B$5*D138^2/G138*Parameters!B$71,0.0001)</f>
        <v>4.3879141187425024</v>
      </c>
      <c r="I139" s="7">
        <f>I138*(1+Parameters!$B$52)^Parameters!B$71</f>
        <v>12.063418261814038</v>
      </c>
      <c r="J139" s="7">
        <f>J138*(1+Parameters!$B$54)^Parameters!B$71</f>
        <v>130.73728402488308</v>
      </c>
      <c r="K139" s="7">
        <f>'6states'!$N$4</f>
        <v>0.98104277196026479</v>
      </c>
      <c r="L139" s="9">
        <f t="shared" si="31"/>
        <v>0.5</v>
      </c>
      <c r="N139" s="7">
        <f>(Parameters!$B$19*(E139+Parameters!$B$20)^L139+Parameters!$B$18*F139^L139)^(1/L139)</f>
        <v>0.53556810986654746</v>
      </c>
      <c r="O139" s="7">
        <f>(Parameters!$B$10*G139^Parameters!$B$9 + Parameters!$B$11*N139^Parameters!$B$9) ^ (Parameters!$B$7/Parameters!$B$9) * K139</f>
        <v>1.5070108502804442</v>
      </c>
      <c r="P139" s="7">
        <f t="shared" si="30"/>
        <v>1.1491158766653209</v>
      </c>
      <c r="Q139" s="7">
        <f>EXP(-Parameters!$B$56*A139)</f>
        <v>0.13022390030021183</v>
      </c>
      <c r="R139" s="7">
        <f>IF(P139&gt;0,P139^(1-Parameters!$B$53)/(1-Parameters!$B$53)*Q139,-10+P139*1000)</f>
        <v>-0.35440130753344901</v>
      </c>
      <c r="S139" s="7"/>
    </row>
    <row r="140" spans="1:19" x14ac:dyDescent="0.25">
      <c r="A140">
        <f>A139+Parameters!$B$71</f>
        <v>136</v>
      </c>
      <c r="B140" s="9">
        <f t="shared" si="29"/>
        <v>5.191758263687303E-2</v>
      </c>
      <c r="C140" s="9">
        <f t="shared" si="29"/>
        <v>1.0017548050425843E-2</v>
      </c>
      <c r="D140" s="7">
        <f t="shared" si="29"/>
        <v>0.2959598429278244</v>
      </c>
      <c r="E140" s="7">
        <f>MAX((1-Parameters!$B$4)^Parameters!B$71*E139+B139*Parameters!B$71-Parameters!$B$5*B139^2/E139*Parameters!B$71,0.0001)</f>
        <v>0.76973214177264038</v>
      </c>
      <c r="F140" s="9">
        <f>MAX((1-Parameters!$B$4)^Parameters!B$71*F139+C139*Parameters!B$71-Parameters!$B$5*C139^2/F139*Parameters!B$71,0.0001)</f>
        <v>0.14852054695063413</v>
      </c>
      <c r="G140" s="7">
        <f>MAX((1-Parameters!$B$4)^Parameters!B$71*G139+D139*Parameters!B$71-Parameters!$B$5*D139^2/G139*Parameters!B$71,0.0001)</f>
        <v>4.3879120070378477</v>
      </c>
      <c r="I140" s="7">
        <f>I139*(1+Parameters!$B$52)^Parameters!B$71</f>
        <v>12.098402174773296</v>
      </c>
      <c r="J140" s="7">
        <f>J139*(1+Parameters!$B$54)^Parameters!B$71</f>
        <v>133.35202970538074</v>
      </c>
      <c r="K140" s="7">
        <f>'6states'!$N$4</f>
        <v>0.98104277196026479</v>
      </c>
      <c r="L140" s="9">
        <f t="shared" si="31"/>
        <v>0.5</v>
      </c>
      <c r="N140" s="7">
        <f>(Parameters!$B$19*(E140+Parameters!$B$20)^L140+Parameters!$B$18*F140^L140)^(1/L140)</f>
        <v>0.53556785273347174</v>
      </c>
      <c r="O140" s="7">
        <f>(Parameters!$B$10*G140^Parameters!$B$9 + Parameters!$B$11*N140^Parameters!$B$9) ^ (Parameters!$B$7/Parameters!$B$9) * K140</f>
        <v>1.5070106327937078</v>
      </c>
      <c r="P140" s="7">
        <f t="shared" si="30"/>
        <v>1.1491156591785847</v>
      </c>
      <c r="Q140" s="7">
        <f>EXP(-Parameters!$B$56*A140)</f>
        <v>0.12827229113692101</v>
      </c>
      <c r="R140" s="7">
        <f>IF(P140&gt;0,P140^(1-Parameters!$B$53)/(1-Parameters!$B$53)*Q140,-10+P140*1000)</f>
        <v>-0.34909007183637336</v>
      </c>
      <c r="S140" s="7"/>
    </row>
    <row r="141" spans="1:19" x14ac:dyDescent="0.25">
      <c r="A141">
        <f>A140+Parameters!$B$71</f>
        <v>137</v>
      </c>
      <c r="B141" s="9">
        <f t="shared" si="29"/>
        <v>5.191758263687303E-2</v>
      </c>
      <c r="C141" s="9">
        <f t="shared" si="29"/>
        <v>1.0017548050425843E-2</v>
      </c>
      <c r="D141" s="7">
        <f t="shared" si="29"/>
        <v>0.2959598429278244</v>
      </c>
      <c r="E141" s="7">
        <f>MAX((1-Parameters!$B$4)^Parameters!B$71*E140+B140*Parameters!B$71-Parameters!$B$5*B140^2/E140*Parameters!B$71,0.0001)</f>
        <v>0.76973178909668583</v>
      </c>
      <c r="F141" s="9">
        <f>MAX((1-Parameters!$B$4)^Parameters!B$71*F140+C140*Parameters!B$71-Parameters!$B$5*C140^2/F140*Parameters!B$71,0.0001)</f>
        <v>0.14852047996533738</v>
      </c>
      <c r="G141" s="7">
        <f>MAX((1-Parameters!$B$4)^Parameters!B$71*G140+D140*Parameters!B$71-Parameters!$B$5*D140^2/G140*Parameters!B$71,0.0001)</f>
        <v>4.3879100185525282</v>
      </c>
      <c r="I141" s="7">
        <f>I140*(1+Parameters!$B$52)^Parameters!B$71</f>
        <v>12.133487541080138</v>
      </c>
      <c r="J141" s="7">
        <f>J140*(1+Parameters!$B$54)^Parameters!B$71</f>
        <v>136.01907029948836</v>
      </c>
      <c r="K141" s="7">
        <f>'6states'!$N$4</f>
        <v>0.98104277196026479</v>
      </c>
      <c r="L141" s="9">
        <f t="shared" si="31"/>
        <v>0.5</v>
      </c>
      <c r="N141" s="7">
        <f>(Parameters!$B$19*(E141+Parameters!$B$20)^L141+Parameters!$B$18*F141^L141)^(1/L141)</f>
        <v>0.53556761060427793</v>
      </c>
      <c r="O141" s="7">
        <f>(Parameters!$B$10*G141^Parameters!$B$9 + Parameters!$B$11*N141^Parameters!$B$9) ^ (Parameters!$B$7/Parameters!$B$9) * K141</f>
        <v>1.5070104279973962</v>
      </c>
      <c r="P141" s="7">
        <f t="shared" si="30"/>
        <v>1.1491154543822728</v>
      </c>
      <c r="Q141" s="7">
        <f>EXP(-Parameters!$B$56*A141)</f>
        <v>0.12634992989446087</v>
      </c>
      <c r="R141" s="7">
        <f>IF(P141&gt;0,P141^(1-Parameters!$B$53)/(1-Parameters!$B$53)*Q141,-10+P141*1000)</f>
        <v>-0.34385843165148755</v>
      </c>
      <c r="S141" s="7"/>
    </row>
    <row r="142" spans="1:19" x14ac:dyDescent="0.25">
      <c r="A142">
        <f>A141+Parameters!$B$71</f>
        <v>138</v>
      </c>
      <c r="B142" s="9">
        <f t="shared" si="29"/>
        <v>5.191758263687303E-2</v>
      </c>
      <c r="C142" s="9">
        <f t="shared" si="29"/>
        <v>1.0017548050425843E-2</v>
      </c>
      <c r="D142" s="7">
        <f t="shared" si="29"/>
        <v>0.2959598429278244</v>
      </c>
      <c r="E142" s="7">
        <f>MAX((1-Parameters!$B$4)^Parameters!B$71*E141+B141*Parameters!B$71-Parameters!$B$5*B141^2/E141*Parameters!B$71,0.0001)</f>
        <v>0.76973145699960055</v>
      </c>
      <c r="F142" s="9">
        <f>MAX((1-Parameters!$B$4)^Parameters!B$71*F141+C141*Parameters!B$71-Parameters!$B$5*C141^2/F141*Parameters!B$71,0.0001)</f>
        <v>0.14852041688867579</v>
      </c>
      <c r="G142" s="7">
        <f>MAX((1-Parameters!$B$4)^Parameters!B$71*G141+D141*Parameters!B$71-Parameters!$B$5*D141^2/G141*Parameters!B$71,0.0001)</f>
        <v>4.3879081460966072</v>
      </c>
      <c r="I142" s="7">
        <f>I141*(1+Parameters!$B$52)^Parameters!B$71</f>
        <v>12.168674654949269</v>
      </c>
      <c r="J142" s="7">
        <f>J141*(1+Parameters!$B$54)^Parameters!B$71</f>
        <v>138.73945170547813</v>
      </c>
      <c r="K142" s="7">
        <f>'6states'!$N$4</f>
        <v>0.98104277196026479</v>
      </c>
      <c r="L142" s="9">
        <f t="shared" si="31"/>
        <v>0.5</v>
      </c>
      <c r="N142" s="7">
        <f>(Parameters!$B$19*(E142+Parameters!$B$20)^L142+Parameters!$B$18*F142^L142)^(1/L142)</f>
        <v>0.53556738260347847</v>
      </c>
      <c r="O142" s="7">
        <f>(Parameters!$B$10*G142^Parameters!$B$9 + Parameters!$B$11*N142^Parameters!$B$9) ^ (Parameters!$B$7/Parameters!$B$9) * K142</f>
        <v>1.5070102351510224</v>
      </c>
      <c r="P142" s="7">
        <f t="shared" si="30"/>
        <v>1.1491152615358993</v>
      </c>
      <c r="Q142" s="7">
        <f>EXP(-Parameters!$B$56*A142)</f>
        <v>0.12445637824691602</v>
      </c>
      <c r="R142" s="7">
        <f>IF(P142&gt;0,P142^(1-Parameters!$B$53)/(1-Parameters!$B$53)*Q142,-10+P142*1000)</f>
        <v>-0.33870519423676326</v>
      </c>
      <c r="S142" s="7"/>
    </row>
    <row r="143" spans="1:19" x14ac:dyDescent="0.25">
      <c r="A143">
        <f>A142+Parameters!$B$71</f>
        <v>139</v>
      </c>
      <c r="B143" s="9">
        <f t="shared" si="29"/>
        <v>5.191758263687303E-2</v>
      </c>
      <c r="C143" s="9">
        <f t="shared" si="29"/>
        <v>1.0017548050425843E-2</v>
      </c>
      <c r="D143" s="7">
        <f t="shared" si="29"/>
        <v>0.2959598429278244</v>
      </c>
      <c r="E143" s="7">
        <f>MAX((1-Parameters!$B$4)^Parameters!B$71*E142+B142*Parameters!B$71-Parameters!$B$5*B142^2/E142*Parameters!B$71,0.0001)</f>
        <v>0.76973114428059286</v>
      </c>
      <c r="F143" s="9">
        <f>MAX((1-Parameters!$B$4)^Parameters!B$71*F142+C142*Parameters!B$71-Parameters!$B$5*C142^2/F142*Parameters!B$71,0.0001)</f>
        <v>0.14852035749257772</v>
      </c>
      <c r="G143" s="7">
        <f>MAX((1-Parameters!$B$4)^Parameters!B$71*G142+D142*Parameters!B$71-Parameters!$B$5*D142^2/G142*Parameters!B$71,0.0001)</f>
        <v>4.3879063828996863</v>
      </c>
      <c r="I143" s="7">
        <f>I142*(1+Parameters!$B$52)^Parameters!B$71</f>
        <v>12.20396381144862</v>
      </c>
      <c r="J143" s="7">
        <f>J142*(1+Parameters!$B$54)^Parameters!B$71</f>
        <v>141.51424073958771</v>
      </c>
      <c r="K143" s="7">
        <f>'6states'!$N$4</f>
        <v>0.98104277196026479</v>
      </c>
      <c r="L143" s="9">
        <f t="shared" si="31"/>
        <v>0.5</v>
      </c>
      <c r="N143" s="7">
        <f>(Parameters!$B$19*(E143+Parameters!$B$20)^L143+Parameters!$B$18*F143^L143)^(1/L143)</f>
        <v>0.53556716790667147</v>
      </c>
      <c r="O143" s="7">
        <f>(Parameters!$B$10*G143^Parameters!$B$9 + Parameters!$B$11*N143^Parameters!$B$9) ^ (Parameters!$B$7/Parameters!$B$9) * K143</f>
        <v>1.5070100535573048</v>
      </c>
      <c r="P143" s="7">
        <f t="shared" si="30"/>
        <v>1.1491150799421814</v>
      </c>
      <c r="Q143" s="7">
        <f>EXP(-Parameters!$B$56*A143)</f>
        <v>0.12259120443737162</v>
      </c>
      <c r="R143" s="7">
        <f>IF(P143&gt;0,P143^(1-Parameters!$B$53)/(1-Parameters!$B$53)*Q143,-10+P143*1000)</f>
        <v>-0.33362918471648167</v>
      </c>
      <c r="S143" s="7"/>
    </row>
    <row r="144" spans="1:19" x14ac:dyDescent="0.25">
      <c r="A144">
        <f>A143+Parameters!$B$71</f>
        <v>140</v>
      </c>
      <c r="B144" s="9">
        <f t="shared" ref="B144:D159" si="32">B143</f>
        <v>5.191758263687303E-2</v>
      </c>
      <c r="C144" s="9">
        <f t="shared" si="32"/>
        <v>1.0017548050425843E-2</v>
      </c>
      <c r="D144" s="7">
        <f t="shared" si="32"/>
        <v>0.2959598429278244</v>
      </c>
      <c r="E144" s="7">
        <f>MAX((1-Parameters!$B$4)^Parameters!B$71*E143+B143*Parameters!B$71-Parameters!$B$5*B143^2/E143*Parameters!B$71,0.0001)</f>
        <v>0.76973084980893824</v>
      </c>
      <c r="F144" s="9">
        <f>MAX((1-Parameters!$B$4)^Parameters!B$71*F143+C143*Parameters!B$71-Parameters!$B$5*C143^2/F143*Parameters!B$71,0.0001)</f>
        <v>0.14852030156227974</v>
      </c>
      <c r="G144" s="7">
        <f>MAX((1-Parameters!$B$4)^Parameters!B$71*G143+D143*Parameters!B$71-Parameters!$B$5*D143^2/G143*Parameters!B$71,0.0001)</f>
        <v>4.3879047225864269</v>
      </c>
      <c r="I144" s="7">
        <f>I143*(1+Parameters!$B$52)^Parameters!B$71</f>
        <v>12.239355306501819</v>
      </c>
      <c r="J144" s="7">
        <f>J143*(1+Parameters!$B$54)^Parameters!B$71</f>
        <v>144.34452555437946</v>
      </c>
      <c r="K144" s="7">
        <f>'6states'!$N$4</f>
        <v>0.98104277196026479</v>
      </c>
      <c r="L144" s="9">
        <f t="shared" si="31"/>
        <v>0.5</v>
      </c>
      <c r="N144" s="7">
        <f>(Parameters!$B$19*(E144+Parameters!$B$20)^L144+Parameters!$B$18*F144^L144)^(1/L144)</f>
        <v>0.53556696573756013</v>
      </c>
      <c r="O144" s="7">
        <f>(Parameters!$B$10*G144^Parameters!$B$9 + Parameters!$B$11*N144^Parameters!$B$9) ^ (Parameters!$B$7/Parameters!$B$9) * K144</f>
        <v>1.5070098825596498</v>
      </c>
      <c r="P144" s="7">
        <f t="shared" si="30"/>
        <v>1.1491149089445267</v>
      </c>
      <c r="Q144" s="7">
        <f>EXP(-Parameters!$B$56*A144)</f>
        <v>0.12075398317946676</v>
      </c>
      <c r="R144" s="7">
        <f>IF(P144&gt;0,P144^(1-Parameters!$B$53)/(1-Parameters!$B$53)*Q144,-10+P144*1000)</f>
        <v>-0.32862924581411695</v>
      </c>
      <c r="S144" s="7"/>
    </row>
    <row r="145" spans="1:19" x14ac:dyDescent="0.25">
      <c r="A145">
        <f>A144+Parameters!$B$71</f>
        <v>141</v>
      </c>
      <c r="B145" s="9">
        <f t="shared" si="32"/>
        <v>5.191758263687303E-2</v>
      </c>
      <c r="C145" s="9">
        <f t="shared" si="32"/>
        <v>1.0017548050425843E-2</v>
      </c>
      <c r="D145" s="7">
        <f t="shared" si="32"/>
        <v>0.2959598429278244</v>
      </c>
      <c r="E145" s="7">
        <f>MAX((1-Parameters!$B$4)^Parameters!B$71*E144+B144*Parameters!B$71-Parameters!$B$5*B144^2/E144*Parameters!B$71,0.0001)</f>
        <v>0.76973057251989119</v>
      </c>
      <c r="F145" s="9">
        <f>MAX((1-Parameters!$B$4)^Parameters!B$71*F144+C144*Parameters!B$71-Parameters!$B$5*C144^2/F144*Parameters!B$71,0.0001)</f>
        <v>0.14852024889555002</v>
      </c>
      <c r="G145" s="7">
        <f>MAX((1-Parameters!$B$4)^Parameters!B$71*G144+D144*Parameters!B$71-Parameters!$B$5*D144^2/G144*Parameters!B$71,0.0001)</f>
        <v>4.3879031591534963</v>
      </c>
      <c r="I145" s="7">
        <f>I144*(1+Parameters!$B$52)^Parameters!B$71</f>
        <v>12.274849436890673</v>
      </c>
      <c r="J145" s="7">
        <f>J144*(1+Parameters!$B$54)^Parameters!B$71</f>
        <v>147.23141606546704</v>
      </c>
      <c r="K145" s="7">
        <f>'6states'!$N$4</f>
        <v>0.98104277196026479</v>
      </c>
      <c r="L145" s="9">
        <f t="shared" si="31"/>
        <v>0.5</v>
      </c>
      <c r="N145" s="7">
        <f>(Parameters!$B$19*(E145+Parameters!$B$20)^L145+Parameters!$B$18*F145^L145)^(1/L145)</f>
        <v>0.53556677536514419</v>
      </c>
      <c r="O145" s="7">
        <f>(Parameters!$B$10*G145^Parameters!$B$9 + Parameters!$B$11*N145^Parameters!$B$9) ^ (Parameters!$B$7/Parameters!$B$9) * K145</f>
        <v>1.5070097215397746</v>
      </c>
      <c r="P145" s="7">
        <f t="shared" si="30"/>
        <v>1.1491147479246515</v>
      </c>
      <c r="Q145" s="7">
        <f>EXP(-Parameters!$B$56*A145)</f>
        <v>0.11894429556042277</v>
      </c>
      <c r="R145" s="7">
        <f>IF(P145&gt;0,P145^(1-Parameters!$B$53)/(1-Parameters!$B$53)*Q145,-10+P145*1000)</f>
        <v>-0.3237042375891751</v>
      </c>
      <c r="S145" s="7"/>
    </row>
    <row r="146" spans="1:19" x14ac:dyDescent="0.25">
      <c r="A146">
        <f>A145+Parameters!$B$71</f>
        <v>142</v>
      </c>
      <c r="B146" s="9">
        <f t="shared" si="32"/>
        <v>5.191758263687303E-2</v>
      </c>
      <c r="C146" s="9">
        <f t="shared" si="32"/>
        <v>1.0017548050425843E-2</v>
      </c>
      <c r="D146" s="7">
        <f t="shared" si="32"/>
        <v>0.2959598429278244</v>
      </c>
      <c r="E146" s="7">
        <f>MAX((1-Parameters!$B$4)^Parameters!B$71*E145+B145*Parameters!B$71-Parameters!$B$5*B145^2/E145*Parameters!B$71,0.0001)</f>
        <v>0.76973031141083459</v>
      </c>
      <c r="F146" s="9">
        <f>MAX((1-Parameters!$B$4)^Parameters!B$71*F145+C145*Parameters!B$71-Parameters!$B$5*C145^2/F145*Parameters!B$71,0.0001)</f>
        <v>0.14852019930195709</v>
      </c>
      <c r="G146" s="7">
        <f>MAX((1-Parameters!$B$4)^Parameters!B$71*G145+D145*Parameters!B$71-Parameters!$B$5*D145^2/G145*Parameters!B$71,0.0001)</f>
        <v>4.3879016869478606</v>
      </c>
      <c r="I146" s="7">
        <f>I145*(1+Parameters!$B$52)^Parameters!B$71</f>
        <v>12.310446500257655</v>
      </c>
      <c r="J146" s="7">
        <f>J145*(1+Parameters!$B$54)^Parameters!B$71</f>
        <v>150.1760443867764</v>
      </c>
      <c r="K146" s="7">
        <f>'6states'!$N$4</f>
        <v>0.98104277196026479</v>
      </c>
      <c r="L146" s="9">
        <f t="shared" si="31"/>
        <v>0.5</v>
      </c>
      <c r="N146" s="7">
        <f>(Parameters!$B$19*(E146+Parameters!$B$20)^L146+Parameters!$B$18*F146^L146)^(1/L146)</f>
        <v>0.53556659610107848</v>
      </c>
      <c r="O146" s="7">
        <f>(Parameters!$B$10*G146^Parameters!$B$9 + Parameters!$B$11*N146^Parameters!$B$9) ^ (Parameters!$B$7/Parameters!$B$9) * K146</f>
        <v>1.5070095699154737</v>
      </c>
      <c r="P146" s="7">
        <f t="shared" si="30"/>
        <v>1.1491145963003504</v>
      </c>
      <c r="Q146" s="7">
        <f>EXP(-Parameters!$B$56*A146)</f>
        <v>0.11716172894552528</v>
      </c>
      <c r="R146" s="7">
        <f>IF(P146&gt;0,P146^(1-Parameters!$B$53)/(1-Parameters!$B$53)*Q146,-10+P146*1000)</f>
        <v>-0.31885303717793534</v>
      </c>
      <c r="S146" s="7"/>
    </row>
    <row r="147" spans="1:19" x14ac:dyDescent="0.25">
      <c r="A147">
        <f>A146+Parameters!$B$71</f>
        <v>143</v>
      </c>
      <c r="B147" s="9">
        <f t="shared" si="32"/>
        <v>5.191758263687303E-2</v>
      </c>
      <c r="C147" s="9">
        <f t="shared" si="32"/>
        <v>1.0017548050425843E-2</v>
      </c>
      <c r="D147" s="7">
        <f t="shared" si="32"/>
        <v>0.2959598429278244</v>
      </c>
      <c r="E147" s="7">
        <f>MAX((1-Parameters!$B$4)^Parameters!B$71*E146+B146*Parameters!B$71-Parameters!$B$5*B146^2/E146*Parameters!B$71,0.0001)</f>
        <v>0.76973006553765511</v>
      </c>
      <c r="F147" s="9">
        <f>MAX((1-Parameters!$B$4)^Parameters!B$71*F146+C146*Parameters!B$71-Parameters!$B$5*C146^2/F146*Parameters!B$71,0.0001)</f>
        <v>0.14852015260218132</v>
      </c>
      <c r="G147" s="7">
        <f>MAX((1-Parameters!$B$4)^Parameters!B$71*G146+D146*Parameters!B$71-Parameters!$B$5*D146^2/G146*Parameters!B$71,0.0001)</f>
        <v>4.3879003006463453</v>
      </c>
      <c r="I147" s="7">
        <f>I146*(1+Parameters!$B$52)^Parameters!B$71</f>
        <v>12.346146795108401</v>
      </c>
      <c r="J147" s="7">
        <f>J146*(1+Parameters!$B$54)^Parameters!B$71</f>
        <v>153.17956527451193</v>
      </c>
      <c r="K147" s="7">
        <f>'6states'!$N$4</f>
        <v>0.98104277196026479</v>
      </c>
      <c r="L147" s="9">
        <f t="shared" si="31"/>
        <v>0.5</v>
      </c>
      <c r="N147" s="7">
        <f>(Parameters!$B$19*(E147+Parameters!$B$20)^L147+Parameters!$B$18*F147^L147)^(1/L147)</f>
        <v>0.53556642729718362</v>
      </c>
      <c r="O147" s="7">
        <f>(Parameters!$B$10*G147^Parameters!$B$9 + Parameters!$B$11*N147^Parameters!$B$9) ^ (Parameters!$B$7/Parameters!$B$9) * K147</f>
        <v>1.507009427138513</v>
      </c>
      <c r="P147" s="7">
        <f t="shared" si="30"/>
        <v>1.1491144535233899</v>
      </c>
      <c r="Q147" s="7">
        <f>EXP(-Parameters!$B$56*A147)</f>
        <v>0.11540587688403768</v>
      </c>
      <c r="R147" s="7">
        <f>IF(P147&gt;0,P147^(1-Parameters!$B$53)/(1-Parameters!$B$53)*Q147,-10+P147*1000)</f>
        <v>-0.31407453853803691</v>
      </c>
      <c r="S147" s="7"/>
    </row>
    <row r="148" spans="1:19" x14ac:dyDescent="0.25">
      <c r="A148">
        <f>A147+Parameters!$B$71</f>
        <v>144</v>
      </c>
      <c r="B148" s="9">
        <f t="shared" si="32"/>
        <v>5.191758263687303E-2</v>
      </c>
      <c r="C148" s="9">
        <f t="shared" si="32"/>
        <v>1.0017548050425843E-2</v>
      </c>
      <c r="D148" s="7">
        <f t="shared" si="32"/>
        <v>0.2959598429278244</v>
      </c>
      <c r="E148" s="7">
        <f>MAX((1-Parameters!$B$4)^Parameters!B$71*E147+B147*Parameters!B$71-Parameters!$B$5*B147^2/E147*Parameters!B$71,0.0001)</f>
        <v>0.76972983401132888</v>
      </c>
      <c r="F148" s="9">
        <f>MAX((1-Parameters!$B$4)^Parameters!B$71*F147+C147*Parameters!B$71-Parameters!$B$5*C147^2/F147*Parameters!B$71,0.0001)</f>
        <v>0.14852010862736656</v>
      </c>
      <c r="G148" s="7">
        <f>MAX((1-Parameters!$B$4)^Parameters!B$71*G147+D147*Parameters!B$71-Parameters!$B$5*D147^2/G147*Parameters!B$71,0.0001)</f>
        <v>4.3878989952363874</v>
      </c>
      <c r="I148" s="7">
        <f>I147*(1+Parameters!$B$52)^Parameters!B$71</f>
        <v>12.381950620814214</v>
      </c>
      <c r="J148" s="7">
        <f>J147*(1+Parameters!$B$54)^Parameters!B$71</f>
        <v>156.24315658000216</v>
      </c>
      <c r="K148" s="7">
        <f>'6states'!$N$4</f>
        <v>0.98104277196026479</v>
      </c>
      <c r="L148" s="9">
        <f t="shared" si="31"/>
        <v>0.5</v>
      </c>
      <c r="N148" s="7">
        <f>(Parameters!$B$19*(E148+Parameters!$B$20)^L148+Parameters!$B$18*F148^L148)^(1/L148)</f>
        <v>0.53556626834310095</v>
      </c>
      <c r="O148" s="7">
        <f>(Parameters!$B$10*G148^Parameters!$B$9 + Parameters!$B$11*N148^Parameters!$B$9) ^ (Parameters!$B$7/Parameters!$B$9) * K148</f>
        <v>1.5070092926926486</v>
      </c>
      <c r="P148" s="7">
        <f t="shared" si="30"/>
        <v>1.1491143190775253</v>
      </c>
      <c r="Q148" s="7">
        <f>EXP(-Parameters!$B$56*A148)</f>
        <v>0.11367633901652432</v>
      </c>
      <c r="R148" s="7">
        <f>IF(P148&gt;0,P148^(1-Parameters!$B$53)/(1-Parameters!$B$53)*Q148,-10+P148*1000)</f>
        <v>-0.30936765219685608</v>
      </c>
      <c r="S148" s="7"/>
    </row>
    <row r="149" spans="1:19" x14ac:dyDescent="0.25">
      <c r="A149">
        <f>A148+Parameters!$B$71</f>
        <v>145</v>
      </c>
      <c r="B149" s="9">
        <f t="shared" si="32"/>
        <v>5.191758263687303E-2</v>
      </c>
      <c r="C149" s="9">
        <f t="shared" si="32"/>
        <v>1.0017548050425843E-2</v>
      </c>
      <c r="D149" s="7">
        <f t="shared" si="32"/>
        <v>0.2959598429278244</v>
      </c>
      <c r="E149" s="7">
        <f>MAX((1-Parameters!$B$4)^Parameters!B$71*E148+B148*Parameters!B$71-Parameters!$B$5*B148^2/E148*Parameters!B$71,0.0001)</f>
        <v>0.76972961599470746</v>
      </c>
      <c r="F149" s="9">
        <f>MAX((1-Parameters!$B$4)^Parameters!B$71*F148+C148*Parameters!B$71-Parameters!$B$5*C148^2/F148*Parameters!B$71,0.0001)</f>
        <v>0.14852006721850947</v>
      </c>
      <c r="G149" s="7">
        <f>MAX((1-Parameters!$B$4)^Parameters!B$71*G148+D148*Parameters!B$71-Parameters!$B$5*D148^2/G148*Parameters!B$71,0.0001)</f>
        <v>4.3878977659979093</v>
      </c>
      <c r="I149" s="7">
        <f>I148*(1+Parameters!$B$52)^Parameters!B$71</f>
        <v>12.417858277614574</v>
      </c>
      <c r="J149" s="7">
        <f>J148*(1+Parameters!$B$54)^Parameters!B$71</f>
        <v>159.36801971160222</v>
      </c>
      <c r="K149" s="7">
        <f>'6states'!$N$4</f>
        <v>0.98104277196026479</v>
      </c>
      <c r="L149" s="9">
        <f t="shared" si="31"/>
        <v>0.5</v>
      </c>
      <c r="N149" s="7">
        <f>(Parameters!$B$19*(E149+Parameters!$B$20)^L149+Parameters!$B$18*F149^L149)^(1/L149)</f>
        <v>0.53556611866408788</v>
      </c>
      <c r="O149" s="7">
        <f>(Parameters!$B$10*G149^Parameters!$B$9 + Parameters!$B$11*N149^Parameters!$B$9) ^ (Parameters!$B$7/Parameters!$B$9) * K149</f>
        <v>1.5070091660917575</v>
      </c>
      <c r="P149" s="7">
        <f t="shared" si="30"/>
        <v>1.1491141924766342</v>
      </c>
      <c r="Q149" s="7">
        <f>EXP(-Parameters!$B$56*A149)</f>
        <v>0.11197272098356298</v>
      </c>
      <c r="R149" s="7">
        <f>IF(P149&gt;0,P149^(1-Parameters!$B$53)/(1-Parameters!$B$53)*Q149,-10+P149*1000)</f>
        <v>-0.30473130500362061</v>
      </c>
      <c r="S149" s="7"/>
    </row>
    <row r="150" spans="1:19" x14ac:dyDescent="0.25">
      <c r="A150">
        <f>A149+Parameters!$B$71</f>
        <v>146</v>
      </c>
      <c r="B150" s="9">
        <f t="shared" si="32"/>
        <v>5.191758263687303E-2</v>
      </c>
      <c r="C150" s="9">
        <f t="shared" si="32"/>
        <v>1.0017548050425843E-2</v>
      </c>
      <c r="D150" s="7">
        <f t="shared" si="32"/>
        <v>0.2959598429278244</v>
      </c>
      <c r="E150" s="7">
        <f>MAX((1-Parameters!$B$4)^Parameters!B$71*E149+B149*Parameters!B$71-Parameters!$B$5*B149^2/E149*Parameters!B$71,0.0001)</f>
        <v>0.76972941069949063</v>
      </c>
      <c r="F150" s="9">
        <f>MAX((1-Parameters!$B$4)^Parameters!B$71*F149+C149*Parameters!B$71-Parameters!$B$5*C149^2/F149*Parameters!B$71,0.0001)</f>
        <v>0.14852002822588478</v>
      </c>
      <c r="G150" s="7">
        <f>MAX((1-Parameters!$B$4)^Parameters!B$71*G149+D149*Parameters!B$71-Parameters!$B$5*D149^2/G149*Parameters!B$71,0.0001)</f>
        <v>4.3878966084862556</v>
      </c>
      <c r="I150" s="7">
        <f>I149*(1+Parameters!$B$52)^Parameters!B$71</f>
        <v>12.453870066619654</v>
      </c>
      <c r="J150" s="7">
        <f>J149*(1+Parameters!$B$54)^Parameters!B$71</f>
        <v>162.55538010583427</v>
      </c>
      <c r="K150" s="7">
        <f>'6states'!$N$4</f>
        <v>0.98104277196026479</v>
      </c>
      <c r="L150" s="9">
        <f t="shared" si="31"/>
        <v>0.5</v>
      </c>
      <c r="N150" s="7">
        <f>(Parameters!$B$19*(E150+Parameters!$B$20)^L150+Parameters!$B$18*F150^L150)^(1/L150)</f>
        <v>0.53556597771893744</v>
      </c>
      <c r="O150" s="7">
        <f>(Parameters!$B$10*G150^Parameters!$B$9 + Parameters!$B$11*N150^Parameters!$B$9) ^ (Parameters!$B$7/Parameters!$B$9) * K150</f>
        <v>1.5070090468780841</v>
      </c>
      <c r="P150" s="7">
        <f t="shared" si="30"/>
        <v>1.149114073262961</v>
      </c>
      <c r="Q150" s="7">
        <f>EXP(-Parameters!$B$56*A150)</f>
        <v>0.11029463433582516</v>
      </c>
      <c r="R150" s="7">
        <f>IF(P150&gt;0,P150^(1-Parameters!$B$53)/(1-Parameters!$B$53)*Q150,-10+P150*1000)</f>
        <v>-0.30016443988520697</v>
      </c>
      <c r="S150" s="7"/>
    </row>
    <row r="151" spans="1:19" x14ac:dyDescent="0.25">
      <c r="A151">
        <f>A150+Parameters!$B$71</f>
        <v>147</v>
      </c>
      <c r="B151" s="9">
        <f t="shared" si="32"/>
        <v>5.191758263687303E-2</v>
      </c>
      <c r="C151" s="9">
        <f t="shared" si="32"/>
        <v>1.0017548050425843E-2</v>
      </c>
      <c r="D151" s="7">
        <f t="shared" si="32"/>
        <v>0.2959598429278244</v>
      </c>
      <c r="E151" s="7">
        <f>MAX((1-Parameters!$B$4)^Parameters!B$71*E150+B150*Parameters!B$71-Parameters!$B$5*B150^2/E150*Parameters!B$71,0.0001)</f>
        <v>0.76972921738337596</v>
      </c>
      <c r="F151" s="9">
        <f>MAX((1-Parameters!$B$4)^Parameters!B$71*F150+C150*Parameters!B$71-Parameters!$B$5*C150^2/F150*Parameters!B$71,0.0001)</f>
        <v>0.1485199915085037</v>
      </c>
      <c r="G151" s="7">
        <f>MAX((1-Parameters!$B$4)^Parameters!B$71*G150+D150*Parameters!B$71-Parameters!$B$5*D150^2/G150*Parameters!B$71,0.0001)</f>
        <v>4.3878955185161193</v>
      </c>
      <c r="I151" s="7">
        <f>I150*(1+Parameters!$B$52)^Parameters!B$71</f>
        <v>12.489986289812849</v>
      </c>
      <c r="J151" s="7">
        <f>J150*(1+Parameters!$B$54)^Parameters!B$71</f>
        <v>165.80648770795096</v>
      </c>
      <c r="K151" s="7">
        <f>'6states'!$N$4</f>
        <v>0.98104277196026479</v>
      </c>
      <c r="L151" s="9">
        <f t="shared" si="31"/>
        <v>0.5</v>
      </c>
      <c r="N151" s="7">
        <f>(Parameters!$B$19*(E151+Parameters!$B$20)^L151+Parameters!$B$18*F151^L151)^(1/L151)</f>
        <v>0.53556584499802318</v>
      </c>
      <c r="O151" s="7">
        <f>(Parameters!$B$10*G151^Parameters!$B$9 + Parameters!$B$11*N151^Parameters!$B$9) ^ (Parameters!$B$7/Parameters!$B$9) * K151</f>
        <v>1.5070089346205819</v>
      </c>
      <c r="P151" s="7">
        <f t="shared" si="30"/>
        <v>1.1491139610054586</v>
      </c>
      <c r="Q151" s="7">
        <f>EXP(-Parameters!$B$56*A151)</f>
        <v>0.1086416964455041</v>
      </c>
      <c r="R151" s="7">
        <f>IF(P151&gt;0,P151^(1-Parameters!$B$53)/(1-Parameters!$B$53)*Q151,-10+P151*1000)</f>
        <v>-0.29566601560556843</v>
      </c>
      <c r="S151" s="7"/>
    </row>
    <row r="152" spans="1:19" x14ac:dyDescent="0.25">
      <c r="A152">
        <f>A151+Parameters!$B$71</f>
        <v>148</v>
      </c>
      <c r="B152" s="9">
        <f t="shared" si="32"/>
        <v>5.191758263687303E-2</v>
      </c>
      <c r="C152" s="9">
        <f t="shared" si="32"/>
        <v>1.0017548050425843E-2</v>
      </c>
      <c r="D152" s="7">
        <f t="shared" si="32"/>
        <v>0.2959598429278244</v>
      </c>
      <c r="E152" s="7">
        <f>MAX((1-Parameters!$B$4)^Parameters!B$71*E151+B151*Parameters!B$71-Parameters!$B$5*B151^2/E151*Parameters!B$71,0.0001)</f>
        <v>0.76972903534737525</v>
      </c>
      <c r="F152" s="9">
        <f>MAX((1-Parameters!$B$4)^Parameters!B$71*F151+C151*Parameters!B$71-Parameters!$B$5*C151^2/F151*Parameters!B$71,0.0001)</f>
        <v>0.14851995693360431</v>
      </c>
      <c r="G152" s="7">
        <f>MAX((1-Parameters!$B$4)^Parameters!B$71*G151+D151*Parameters!B$71-Parameters!$B$5*D151^2/G151*Parameters!B$71,0.0001)</f>
        <v>4.3878944921464074</v>
      </c>
      <c r="I152" s="7">
        <f>I151*(1+Parameters!$B$52)^Parameters!B$71</f>
        <v>12.526207250053305</v>
      </c>
      <c r="J152" s="7">
        <f>J151*(1+Parameters!$B$54)^Parameters!B$71</f>
        <v>169.12261746210999</v>
      </c>
      <c r="K152" s="7">
        <f>'6states'!$N$4</f>
        <v>0.98104277196026479</v>
      </c>
      <c r="L152" s="9">
        <f t="shared" si="31"/>
        <v>0.5</v>
      </c>
      <c r="N152" s="7">
        <f>(Parameters!$B$19*(E152+Parameters!$B$20)^L152+Parameters!$B$18*F152^L152)^(1/L152)</f>
        <v>0.53556572002145608</v>
      </c>
      <c r="O152" s="7">
        <f>(Parameters!$B$10*G152^Parameters!$B$9 + Parameters!$B$11*N152^Parameters!$B$9) ^ (Parameters!$B$7/Parameters!$B$9) * K152</f>
        <v>1.5070088289133561</v>
      </c>
      <c r="P152" s="7">
        <f t="shared" si="30"/>
        <v>1.149113855298233</v>
      </c>
      <c r="Q152" s="7">
        <f>EXP(-Parameters!$B$56*A152)</f>
        <v>0.10701353041907032</v>
      </c>
      <c r="R152" s="7">
        <f>IF(P152&gt;0,P152^(1-Parameters!$B$53)/(1-Parameters!$B$53)*Q152,-10+P152*1000)</f>
        <v>-0.29123500652874096</v>
      </c>
      <c r="S152" s="7"/>
    </row>
    <row r="153" spans="1:19" x14ac:dyDescent="0.25">
      <c r="A153">
        <f>A152+Parameters!$B$71</f>
        <v>149</v>
      </c>
      <c r="B153" s="9">
        <f t="shared" si="32"/>
        <v>5.191758263687303E-2</v>
      </c>
      <c r="C153" s="9">
        <f t="shared" si="32"/>
        <v>1.0017548050425843E-2</v>
      </c>
      <c r="D153" s="7">
        <f t="shared" si="32"/>
        <v>0.2959598429278244</v>
      </c>
      <c r="E153" s="7">
        <f>MAX((1-Parameters!$B$4)^Parameters!B$71*E152+B152*Parameters!B$71-Parameters!$B$5*B152^2/E152*Parameters!B$71,0.0001)</f>
        <v>0.76972886393328632</v>
      </c>
      <c r="F153" s="9">
        <f>MAX((1-Parameters!$B$4)^Parameters!B$71*F152+C152*Parameters!B$71-Parameters!$B$5*C152^2/F152*Parameters!B$71,0.0001)</f>
        <v>0.1485199243761714</v>
      </c>
      <c r="G153" s="7">
        <f>MAX((1-Parameters!$B$4)^Parameters!B$71*G152+D152*Parameters!B$71-Parameters!$B$5*D152^2/G152*Parameters!B$71,0.0001)</f>
        <v>4.3878935256659952</v>
      </c>
      <c r="I153" s="7">
        <f>I152*(1+Parameters!$B$52)^Parameters!B$71</f>
        <v>12.56253325107846</v>
      </c>
      <c r="J153" s="7">
        <f>J152*(1+Parameters!$B$54)^Parameters!B$71</f>
        <v>172.5050698113522</v>
      </c>
      <c r="K153" s="7">
        <f>'6states'!$N$4</f>
        <v>0.98104277196026479</v>
      </c>
      <c r="L153" s="9">
        <f t="shared" si="31"/>
        <v>0.5</v>
      </c>
      <c r="N153" s="7">
        <f>(Parameters!$B$19*(E153+Parameters!$B$20)^L153+Parameters!$B$18*F153^L153)^(1/L153)</f>
        <v>0.53556560233734762</v>
      </c>
      <c r="O153" s="7">
        <f>(Parameters!$B$10*G153^Parameters!$B$9 + Parameters!$B$11*N153^Parameters!$B$9) ^ (Parameters!$B$7/Parameters!$B$9) * K153</f>
        <v>1.5070087293741954</v>
      </c>
      <c r="P153" s="7">
        <f t="shared" si="30"/>
        <v>1.149113755759072</v>
      </c>
      <c r="Q153" s="7">
        <f>EXP(-Parameters!$B$56*A153)</f>
        <v>0.10540976501133419</v>
      </c>
      <c r="R153" s="7">
        <f>IF(P153&gt;0,P153^(1-Parameters!$B$53)/(1-Parameters!$B$53)*Q153,-10+P153*1000)</f>
        <v>-0.28687040238537537</v>
      </c>
      <c r="S153" s="7"/>
    </row>
    <row r="154" spans="1:19" x14ac:dyDescent="0.25">
      <c r="A154">
        <f>A153+Parameters!$B$71</f>
        <v>150</v>
      </c>
      <c r="B154" s="9">
        <f t="shared" si="32"/>
        <v>5.191758263687303E-2</v>
      </c>
      <c r="C154" s="9">
        <f t="shared" si="32"/>
        <v>1.0017548050425843E-2</v>
      </c>
      <c r="D154" s="7">
        <f t="shared" si="32"/>
        <v>0.2959598429278244</v>
      </c>
      <c r="E154" s="7">
        <f>MAX((1-Parameters!$B$4)^Parameters!B$71*E153+B153*Parameters!B$71-Parameters!$B$5*B153^2/E153*Parameters!B$71,0.0001)</f>
        <v>0.76972870252131376</v>
      </c>
      <c r="F154" s="9">
        <f>MAX((1-Parameters!$B$4)^Parameters!B$71*F153+C153*Parameters!B$71-Parameters!$B$5*C153^2/F153*Parameters!B$71,0.0001)</f>
        <v>0.14851989371848448</v>
      </c>
      <c r="G154" s="7">
        <f>MAX((1-Parameters!$B$4)^Parameters!B$71*G153+D153*Parameters!B$71-Parameters!$B$5*D153^2/G153*Parameters!B$71,0.0001)</f>
        <v>4.3878926155803031</v>
      </c>
      <c r="I154" s="7">
        <f>I153*(1+Parameters!$B$52)^Parameters!B$71</f>
        <v>12.598964597506585</v>
      </c>
      <c r="J154" s="7">
        <f>J153*(1+Parameters!$B$54)^Parameters!B$71</f>
        <v>175.95517120757924</v>
      </c>
      <c r="K154" s="7">
        <f>'6states'!$N$4</f>
        <v>0.98104277196026479</v>
      </c>
      <c r="L154" s="9">
        <f t="shared" si="31"/>
        <v>0.5</v>
      </c>
      <c r="N154" s="7">
        <f>(Parameters!$B$19*(E154+Parameters!$B$20)^L154+Parameters!$B$18*F154^L154)^(1/L154)</f>
        <v>0.53556549152017852</v>
      </c>
      <c r="O154" s="7">
        <f>(Parameters!$B$10*G154^Parameters!$B$9 + Parameters!$B$11*N154^Parameters!$B$9) ^ (Parameters!$B$7/Parameters!$B$9) * K154</f>
        <v>1.5070086356431911</v>
      </c>
      <c r="P154" s="7">
        <f t="shared" si="30"/>
        <v>1.1491136620280678</v>
      </c>
      <c r="Q154" s="7">
        <f>EXP(-Parameters!$B$56*A154)</f>
        <v>0.10383003454079688</v>
      </c>
      <c r="R154" s="7">
        <f>IF(P154&gt;0,P154^(1-Parameters!$B$53)/(1-Parameters!$B$53)*Q154,-10+P154*1000)</f>
        <v>-0.28257120804274455</v>
      </c>
      <c r="S154" s="7"/>
    </row>
    <row r="155" spans="1:19" x14ac:dyDescent="0.25">
      <c r="A155">
        <f>A154+Parameters!$B$71</f>
        <v>151</v>
      </c>
      <c r="B155" s="9">
        <f t="shared" si="32"/>
        <v>5.191758263687303E-2</v>
      </c>
      <c r="C155" s="9">
        <f t="shared" si="32"/>
        <v>1.0017548050425843E-2</v>
      </c>
      <c r="D155" s="7">
        <f t="shared" si="32"/>
        <v>0.2959598429278244</v>
      </c>
      <c r="E155" s="7">
        <f>MAX((1-Parameters!$B$4)^Parameters!B$71*E154+B154*Parameters!B$71-Parameters!$B$5*B154^2/E154*Parameters!B$71,0.0001)</f>
        <v>0.76972855052782785</v>
      </c>
      <c r="F155" s="9">
        <f>MAX((1-Parameters!$B$4)^Parameters!B$71*F154+C154*Parameters!B$71-Parameters!$B$5*C154^2/F154*Parameters!B$71,0.0001)</f>
        <v>0.14851986484969218</v>
      </c>
      <c r="G155" s="7">
        <f>MAX((1-Parameters!$B$4)^Parameters!B$71*G154+D154*Parameters!B$71-Parameters!$B$5*D154^2/G154*Parameters!B$71,0.0001)</f>
        <v>4.3878917585986628</v>
      </c>
      <c r="I155" s="7">
        <f>I154*(1+Parameters!$B$52)^Parameters!B$71</f>
        <v>12.635501594839353</v>
      </c>
      <c r="J155" s="7">
        <f>J154*(1+Parameters!$B$54)^Parameters!B$71</f>
        <v>179.47427463173082</v>
      </c>
      <c r="K155" s="7">
        <f>'6states'!$N$4</f>
        <v>0.98104277196026479</v>
      </c>
      <c r="L155" s="9">
        <f t="shared" si="31"/>
        <v>0.5</v>
      </c>
      <c r="N155" s="7">
        <f>(Parameters!$B$19*(E155+Parameters!$B$20)^L155+Parameters!$B$18*F155^L155)^(1/L155)</f>
        <v>0.53556538716925872</v>
      </c>
      <c r="O155" s="7">
        <f>(Parameters!$B$10*G155^Parameters!$B$9 + Parameters!$B$11*N155^Parameters!$B$9) ^ (Parameters!$B$7/Parameters!$B$9) * K155</f>
        <v>1.5070085473814354</v>
      </c>
      <c r="P155" s="7">
        <f t="shared" si="30"/>
        <v>1.1491135737663121</v>
      </c>
      <c r="Q155" s="7">
        <f>EXP(-Parameters!$B$56*A155)</f>
        <v>0.10227397880626984</v>
      </c>
      <c r="R155" s="7">
        <f>IF(P155&gt;0,P155^(1-Parameters!$B$53)/(1-Parameters!$B$53)*Q155,-10+P155*1000)</f>
        <v>-0.27833644327817736</v>
      </c>
      <c r="S155" s="7"/>
    </row>
    <row r="156" spans="1:19" x14ac:dyDescent="0.25">
      <c r="A156">
        <f>A155+Parameters!$B$71</f>
        <v>152</v>
      </c>
      <c r="B156" s="9">
        <f t="shared" si="32"/>
        <v>5.191758263687303E-2</v>
      </c>
      <c r="C156" s="9">
        <f t="shared" si="32"/>
        <v>1.0017548050425843E-2</v>
      </c>
      <c r="D156" s="7">
        <f t="shared" si="32"/>
        <v>0.2959598429278244</v>
      </c>
      <c r="E156" s="7">
        <f>MAX((1-Parameters!$B$4)^Parameters!B$71*E155+B155*Parameters!B$71-Parameters!$B$5*B155^2/E155*Parameters!B$71,0.0001)</f>
        <v>0.76972840740325377</v>
      </c>
      <c r="F156" s="9">
        <f>MAX((1-Parameters!$B$4)^Parameters!B$71*F155+C155*Parameters!B$71-Parameters!$B$5*C155^2/F155*Parameters!B$71,0.0001)</f>
        <v>0.14851983766541138</v>
      </c>
      <c r="G156" s="7">
        <f>MAX((1-Parameters!$B$4)^Parameters!B$71*G155+D155*Parameters!B$71-Parameters!$B$5*D155^2/G155*Parameters!B$71,0.0001)</f>
        <v>4.3878909516224196</v>
      </c>
      <c r="I156" s="7">
        <f>I155*(1+Parameters!$B$52)^Parameters!B$71</f>
        <v>12.672144549464386</v>
      </c>
      <c r="J156" s="7">
        <f>J155*(1+Parameters!$B$54)^Parameters!B$71</f>
        <v>183.06376012436544</v>
      </c>
      <c r="K156" s="7">
        <f>'6states'!$N$4</f>
        <v>0.98104277196026479</v>
      </c>
      <c r="L156" s="9">
        <f t="shared" si="31"/>
        <v>0.5</v>
      </c>
      <c r="N156" s="7">
        <f>(Parameters!$B$19*(E156+Parameters!$B$20)^L156+Parameters!$B$18*F156^L156)^(1/L156)</f>
        <v>0.53556528890727795</v>
      </c>
      <c r="O156" s="7">
        <f>(Parameters!$B$10*G156^Parameters!$B$9 + Parameters!$B$11*N156^Parameters!$B$9) ^ (Parameters!$B$7/Parameters!$B$9) * K156</f>
        <v>1.5070084642697956</v>
      </c>
      <c r="P156" s="7">
        <f t="shared" si="30"/>
        <v>1.1491134906546723</v>
      </c>
      <c r="Q156" s="7">
        <f>EXP(-Parameters!$B$56*A156)</f>
        <v>0.10074124300474355</v>
      </c>
      <c r="R156" s="7">
        <f>IF(P156&gt;0,P156^(1-Parameters!$B$53)/(1-Parameters!$B$53)*Q156,-10+P156*1000)</f>
        <v>-0.27416514255586533</v>
      </c>
      <c r="S156" s="7"/>
    </row>
    <row r="157" spans="1:19" x14ac:dyDescent="0.25">
      <c r="A157">
        <f>A156+Parameters!$B$71</f>
        <v>153</v>
      </c>
      <c r="B157" s="9">
        <f t="shared" si="32"/>
        <v>5.191758263687303E-2</v>
      </c>
      <c r="C157" s="9">
        <f t="shared" si="32"/>
        <v>1.0017548050425843E-2</v>
      </c>
      <c r="D157" s="7">
        <f t="shared" si="32"/>
        <v>0.2959598429278244</v>
      </c>
      <c r="E157" s="7">
        <f>MAX((1-Parameters!$B$4)^Parameters!B$71*E156+B156*Parameters!B$71-Parameters!$B$5*B156^2/E156*Parameters!B$71,0.0001)</f>
        <v>0.76972827263008492</v>
      </c>
      <c r="F157" s="9">
        <f>MAX((1-Parameters!$B$4)^Parameters!B$71*F156+C156*Parameters!B$71-Parameters!$B$5*C156^2/F156*Parameters!B$71,0.0001)</f>
        <v>0.14851981206734974</v>
      </c>
      <c r="G157" s="7">
        <f>MAX((1-Parameters!$B$4)^Parameters!B$71*G156+D156*Parameters!B$71-Parameters!$B$5*D156^2/G156*Parameters!B$71,0.0001)</f>
        <v>4.3878901917337272</v>
      </c>
      <c r="I157" s="7">
        <f>I156*(1+Parameters!$B$52)^Parameters!B$71</f>
        <v>12.708893768657832</v>
      </c>
      <c r="J157" s="7">
        <f>J156*(1+Parameters!$B$54)^Parameters!B$71</f>
        <v>186.72503532685275</v>
      </c>
      <c r="K157" s="7">
        <f>'6states'!$N$4</f>
        <v>0.98104277196026479</v>
      </c>
      <c r="L157" s="9">
        <f t="shared" si="31"/>
        <v>0.5</v>
      </c>
      <c r="N157" s="7">
        <f>(Parameters!$B$19*(E157+Parameters!$B$20)^L157+Parameters!$B$18*F157^L157)^(1/L157)</f>
        <v>0.53556519637894329</v>
      </c>
      <c r="O157" s="7">
        <f>(Parameters!$B$10*G157^Parameters!$B$9 + Parameters!$B$11*N157^Parameters!$B$9) ^ (Parameters!$B$7/Parameters!$B$9) * K157</f>
        <v>1.5070083860077601</v>
      </c>
      <c r="P157" s="7">
        <f t="shared" si="30"/>
        <v>1.1491134123926368</v>
      </c>
      <c r="Q157" s="7">
        <f>EXP(-Parameters!$B$56*A157)</f>
        <v>9.9231477650487412E-2</v>
      </c>
      <c r="R157" s="7">
        <f>IF(P157&gt;0,P157^(1-Parameters!$B$53)/(1-Parameters!$B$53)*Q157,-10+P157*1000)</f>
        <v>-0.27005635480699758</v>
      </c>
      <c r="S157" s="7"/>
    </row>
    <row r="158" spans="1:19" x14ac:dyDescent="0.25">
      <c r="A158">
        <f>A157+Parameters!$B$71</f>
        <v>154</v>
      </c>
      <c r="B158" s="9">
        <f t="shared" si="32"/>
        <v>5.191758263687303E-2</v>
      </c>
      <c r="C158" s="9">
        <f t="shared" si="32"/>
        <v>1.0017548050425843E-2</v>
      </c>
      <c r="D158" s="7">
        <f t="shared" si="32"/>
        <v>0.2959598429278244</v>
      </c>
      <c r="E158" s="7">
        <f>MAX((1-Parameters!$B$4)^Parameters!B$71*E157+B157*Parameters!B$71-Parameters!$B$5*B157^2/E157*Parameters!B$71,0.0001)</f>
        <v>0.76972814572101145</v>
      </c>
      <c r="F158" s="9">
        <f>MAX((1-Parameters!$B$4)^Parameters!B$71*F157+C157*Parameters!B$71-Parameters!$B$5*C157^2/F157*Parameters!B$71,0.0001)</f>
        <v>0.14851978796295037</v>
      </c>
      <c r="G158" s="7">
        <f>MAX((1-Parameters!$B$4)^Parameters!B$71*G157+D157*Parameters!B$71-Parameters!$B$5*D157^2/G157*Parameters!B$71,0.0001)</f>
        <v>4.3878894761849967</v>
      </c>
      <c r="I158" s="7">
        <f>I157*(1+Parameters!$B$52)^Parameters!B$71</f>
        <v>12.745749560586939</v>
      </c>
      <c r="J158" s="7">
        <f>J157*(1+Parameters!$B$54)^Parameters!B$71</f>
        <v>190.45953603338981</v>
      </c>
      <c r="K158" s="7">
        <f>'6states'!$N$4</f>
        <v>0.98104277196026479</v>
      </c>
      <c r="L158" s="9">
        <f t="shared" si="31"/>
        <v>0.5</v>
      </c>
      <c r="N158" s="7">
        <f>(Parameters!$B$19*(E158+Parameters!$B$20)^L158+Parameters!$B$18*F158^L158)^(1/L158)</f>
        <v>0.53556510924969236</v>
      </c>
      <c r="O158" s="7">
        <f>(Parameters!$B$10*G158^Parameters!$B$9 + Parameters!$B$11*N158^Parameters!$B$9) ^ (Parameters!$B$7/Parameters!$B$9) * K158</f>
        <v>1.5070083123123532</v>
      </c>
      <c r="P158" s="7">
        <f t="shared" si="30"/>
        <v>1.1491133386972301</v>
      </c>
      <c r="Q158" s="7">
        <f>EXP(-Parameters!$B$56*A158)</f>
        <v>9.7744338495362112E-2</v>
      </c>
      <c r="R158" s="7">
        <f>IF(P158&gt;0,P158^(1-Parameters!$B$53)/(1-Parameters!$B$53)*Q158,-10+P158*1000)</f>
        <v>-0.26600914321317232</v>
      </c>
      <c r="S158" s="7"/>
    </row>
    <row r="159" spans="1:19" x14ac:dyDescent="0.25">
      <c r="A159">
        <f>A158+Parameters!$B$71</f>
        <v>155</v>
      </c>
      <c r="B159" s="9">
        <f t="shared" si="32"/>
        <v>5.191758263687303E-2</v>
      </c>
      <c r="C159" s="9">
        <f t="shared" si="32"/>
        <v>1.0017548050425843E-2</v>
      </c>
      <c r="D159" s="7">
        <f t="shared" si="32"/>
        <v>0.2959598429278244</v>
      </c>
      <c r="E159" s="7">
        <f>MAX((1-Parameters!$B$4)^Parameters!B$71*E158+B158*Parameters!B$71-Parameters!$B$5*B158^2/E158*Parameters!B$71,0.0001)</f>
        <v>0.76972802621715863</v>
      </c>
      <c r="F159" s="9">
        <f>MAX((1-Parameters!$B$4)^Parameters!B$71*F158+C158*Parameters!B$71-Parameters!$B$5*C158^2/F158*Parameters!B$71,0.0001)</f>
        <v>0.14851976526505717</v>
      </c>
      <c r="G159" s="7">
        <f>MAX((1-Parameters!$B$4)^Parameters!B$71*G158+D158*Parameters!B$71-Parameters!$B$5*D158^2/G158*Parameters!B$71,0.0001)</f>
        <v>4.3878888023889635</v>
      </c>
      <c r="I159" s="7">
        <f>I158*(1+Parameters!$B$52)^Parameters!B$71</f>
        <v>12.782712234312639</v>
      </c>
      <c r="J159" s="7">
        <f>J158*(1+Parameters!$B$54)^Parameters!B$71</f>
        <v>194.26872675405761</v>
      </c>
      <c r="K159" s="7">
        <f>'6states'!$N$4</f>
        <v>0.98104277196026479</v>
      </c>
      <c r="L159" s="9">
        <f t="shared" si="31"/>
        <v>0.5</v>
      </c>
      <c r="N159" s="7">
        <f>(Parameters!$B$19*(E159+Parameters!$B$20)^L159+Parameters!$B$18*F159^L159)^(1/L159)</f>
        <v>0.53556502720448551</v>
      </c>
      <c r="O159" s="7">
        <f>(Parameters!$B$10*G159^Parameters!$B$9 + Parameters!$B$11*N159^Parameters!$B$9) ^ (Parameters!$B$7/Parameters!$B$9) * K159</f>
        <v>1.5070082429171094</v>
      </c>
      <c r="P159" s="7">
        <f t="shared" si="30"/>
        <v>1.1491132693019863</v>
      </c>
      <c r="Q159" s="7">
        <f>EXP(-Parameters!$B$56*A159)</f>
        <v>9.6279486450325927E-2</v>
      </c>
      <c r="R159" s="7">
        <f>IF(P159&gt;0,P159^(1-Parameters!$B$53)/(1-Parameters!$B$53)*Q159,-10+P159*1000)</f>
        <v>-0.26202258499303849</v>
      </c>
      <c r="S159" s="7"/>
    </row>
    <row r="160" spans="1:19" x14ac:dyDescent="0.25">
      <c r="A160">
        <f>A159+Parameters!$B$71</f>
        <v>156</v>
      </c>
      <c r="B160" s="9">
        <f t="shared" ref="B160:D175" si="33">B159</f>
        <v>5.191758263687303E-2</v>
      </c>
      <c r="C160" s="9">
        <f t="shared" si="33"/>
        <v>1.0017548050425843E-2</v>
      </c>
      <c r="D160" s="7">
        <f t="shared" si="33"/>
        <v>0.2959598429278244</v>
      </c>
      <c r="E160" s="7">
        <f>MAX((1-Parameters!$B$4)^Parameters!B$71*E159+B159*Parameters!B$71-Parameters!$B$5*B159^2/E159*Parameters!B$71,0.0001)</f>
        <v>0.76972791368642723</v>
      </c>
      <c r="F160" s="9">
        <f>MAX((1-Parameters!$B$4)^Parameters!B$71*F159+C159*Parameters!B$71-Parameters!$B$5*C159^2/F159*Parameters!B$71,0.0001)</f>
        <v>0.14851974389159961</v>
      </c>
      <c r="G160" s="7">
        <f>MAX((1-Parameters!$B$4)^Parameters!B$71*G159+D159*Parameters!B$71-Parameters!$B$5*D159^2/G159*Parameters!B$71,0.0001)</f>
        <v>4.387888167909332</v>
      </c>
      <c r="I160" s="7">
        <f>I159*(1+Parameters!$B$52)^Parameters!B$71</f>
        <v>12.819782099792144</v>
      </c>
      <c r="J160" s="7">
        <f>J159*(1+Parameters!$B$54)^Parameters!B$71</f>
        <v>198.15410128913877</v>
      </c>
      <c r="K160" s="7">
        <f>'6states'!$N$4</f>
        <v>0.98104277196026479</v>
      </c>
      <c r="L160" s="9">
        <f t="shared" si="31"/>
        <v>0.5</v>
      </c>
      <c r="N160" s="7">
        <f>(Parameters!$B$19*(E160+Parameters!$B$20)^L160+Parameters!$B$18*F160^L160)^(1/L160)</f>
        <v>0.5355649499466657</v>
      </c>
      <c r="O160" s="7">
        <f>(Parameters!$B$10*G160^Parameters!$B$9 + Parameters!$B$11*N160^Parameters!$B$9) ^ (Parameters!$B$7/Parameters!$B$9) * K160</f>
        <v>1.5070081775711131</v>
      </c>
      <c r="P160" s="7">
        <f t="shared" si="30"/>
        <v>1.1491132039559897</v>
      </c>
      <c r="Q160" s="7">
        <f>EXP(-Parameters!$B$56*A160)</f>
        <v>9.4836587508117826E-2</v>
      </c>
      <c r="R160" s="7">
        <f>IF(P160&gt;0,P160^(1-Parameters!$B$53)/(1-Parameters!$B$53)*Q160,-10+P160*1000)</f>
        <v>-0.25809577119212018</v>
      </c>
      <c r="S160" s="7"/>
    </row>
    <row r="161" spans="1:19" x14ac:dyDescent="0.25">
      <c r="A161">
        <f>A160+Parameters!$B$71</f>
        <v>157</v>
      </c>
      <c r="B161" s="9">
        <f t="shared" si="33"/>
        <v>5.191758263687303E-2</v>
      </c>
      <c r="C161" s="9">
        <f t="shared" si="33"/>
        <v>1.0017548050425843E-2</v>
      </c>
      <c r="D161" s="7">
        <f t="shared" si="33"/>
        <v>0.2959598429278244</v>
      </c>
      <c r="E161" s="7">
        <f>MAX((1-Parameters!$B$4)^Parameters!B$71*E160+B160*Parameters!B$71-Parameters!$B$5*B160^2/E160*Parameters!B$71,0.0001)</f>
        <v>0.76972780772193117</v>
      </c>
      <c r="F161" s="9">
        <f>MAX((1-Parameters!$B$4)^Parameters!B$71*F160+C160*Parameters!B$71-Parameters!$B$5*C160^2/F160*Parameters!B$71,0.0001)</f>
        <v>0.14851972376529607</v>
      </c>
      <c r="G161" s="7">
        <f>MAX((1-Parameters!$B$4)^Parameters!B$71*G160+D160*Parameters!B$71-Parameters!$B$5*D160^2/G160*Parameters!B$71,0.0001)</f>
        <v>4.3878875704519658</v>
      </c>
      <c r="I161" s="7">
        <f>I160*(1+Parameters!$B$52)^Parameters!B$71</f>
        <v>12.85695946788154</v>
      </c>
      <c r="J161" s="7">
        <f>J160*(1+Parameters!$B$54)^Parameters!B$71</f>
        <v>202.11718331492153</v>
      </c>
      <c r="K161" s="7">
        <f>'6states'!$N$4</f>
        <v>0.98104277196026479</v>
      </c>
      <c r="L161" s="9">
        <f t="shared" si="31"/>
        <v>0.5</v>
      </c>
      <c r="N161" s="7">
        <f>(Parameters!$B$19*(E161+Parameters!$B$20)^L161+Parameters!$B$18*F161^L161)^(1/L161)</f>
        <v>0.53556487719688584</v>
      </c>
      <c r="O161" s="7">
        <f>(Parameters!$B$10*G161^Parameters!$B$9 + Parameters!$B$11*N161^Parameters!$B$9) ^ (Parameters!$B$7/Parameters!$B$9) * K161</f>
        <v>1.5070081160380884</v>
      </c>
      <c r="P161" s="7">
        <f t="shared" si="30"/>
        <v>1.1491131424229653</v>
      </c>
      <c r="Q161" s="7">
        <f>EXP(-Parameters!$B$56*A161)</f>
        <v>9.3415312667098696E-2</v>
      </c>
      <c r="R161" s="7">
        <f>IF(P161&gt;0,P161^(1-Parameters!$B$53)/(1-Parameters!$B$53)*Q161,-10+P161*1000)</f>
        <v>-0.25422780647577614</v>
      </c>
      <c r="S161" s="7"/>
    </row>
    <row r="162" spans="1:19" x14ac:dyDescent="0.25">
      <c r="A162">
        <f>A161+Parameters!$B$71</f>
        <v>158</v>
      </c>
      <c r="B162" s="9">
        <f t="shared" si="33"/>
        <v>5.191758263687303E-2</v>
      </c>
      <c r="C162" s="9">
        <f t="shared" si="33"/>
        <v>1.0017548050425843E-2</v>
      </c>
      <c r="D162" s="7">
        <f t="shared" si="33"/>
        <v>0.2959598429278244</v>
      </c>
      <c r="E162" s="7">
        <f>MAX((1-Parameters!$B$4)^Parameters!B$71*E161+B161*Parameters!B$71-Parameters!$B$5*B161^2/E161*Parameters!B$71,0.0001)</f>
        <v>0.76972770794052658</v>
      </c>
      <c r="F162" s="9">
        <f>MAX((1-Parameters!$B$4)^Parameters!B$71*F161+C161*Parameters!B$71-Parameters!$B$5*C161^2/F161*Parameters!B$71,0.0001)</f>
        <v>0.14851970481337431</v>
      </c>
      <c r="G162" s="7">
        <f>MAX((1-Parameters!$B$4)^Parameters!B$71*G161+D161*Parameters!B$71-Parameters!$B$5*D161^2/G161*Parameters!B$71,0.0001)</f>
        <v>4.3878870078565928</v>
      </c>
      <c r="I162" s="7">
        <f>I161*(1+Parameters!$B$52)^Parameters!B$71</f>
        <v>12.894244650338395</v>
      </c>
      <c r="J162" s="7">
        <f>J161*(1+Parameters!$B$54)^Parameters!B$71</f>
        <v>206.15952698121995</v>
      </c>
      <c r="K162" s="7">
        <f>'6states'!$N$4</f>
        <v>0.98104277196026479</v>
      </c>
      <c r="L162" s="9">
        <f t="shared" si="31"/>
        <v>0.5</v>
      </c>
      <c r="N162" s="7">
        <f>(Parameters!$B$19*(E162+Parameters!$B$20)^L162+Parameters!$B$18*F162^L162)^(1/L162)</f>
        <v>0.53556480869209888</v>
      </c>
      <c r="O162" s="7">
        <f>(Parameters!$B$10*G162^Parameters!$B$9 + Parameters!$B$11*N162^Parameters!$B$9) ^ (Parameters!$B$7/Parameters!$B$9) * K162</f>
        <v>1.5070080580955469</v>
      </c>
      <c r="P162" s="7">
        <f t="shared" si="30"/>
        <v>1.1491130844804238</v>
      </c>
      <c r="Q162" s="7">
        <f>EXP(-Parameters!$B$56*A162)</f>
        <v>9.2015337856234475E-2</v>
      </c>
      <c r="R162" s="7">
        <f>IF(P162&gt;0,P162^(1-Parameters!$B$53)/(1-Parameters!$B$53)*Q162,-10+P162*1000)</f>
        <v>-0.25041780892525028</v>
      </c>
      <c r="S162" s="7"/>
    </row>
    <row r="163" spans="1:19" x14ac:dyDescent="0.25">
      <c r="A163">
        <f>A162+Parameters!$B$71</f>
        <v>159</v>
      </c>
      <c r="B163" s="9">
        <f t="shared" si="33"/>
        <v>5.191758263687303E-2</v>
      </c>
      <c r="C163" s="9">
        <f t="shared" si="33"/>
        <v>1.0017548050425843E-2</v>
      </c>
      <c r="D163" s="7">
        <f t="shared" si="33"/>
        <v>0.2959598429278244</v>
      </c>
      <c r="E163" s="7">
        <f>MAX((1-Parameters!$B$4)^Parameters!B$71*E162+B162*Parameters!B$71-Parameters!$B$5*B162^2/E162*Parameters!B$71,0.0001)</f>
        <v>0.7697276139814262</v>
      </c>
      <c r="F163" s="9">
        <f>MAX((1-Parameters!$B$4)^Parameters!B$71*F162+C162*Parameters!B$71-Parameters!$B$5*C162^2/F162*Parameters!B$71,0.0001)</f>
        <v>0.14851968696730847</v>
      </c>
      <c r="G163" s="7">
        <f>MAX((1-Parameters!$B$4)^Parameters!B$71*G162+D162*Parameters!B$71-Parameters!$B$5*D162^2/G162*Parameters!B$71,0.0001)</f>
        <v>4.3878864780889941</v>
      </c>
      <c r="I163" s="7">
        <f>I162*(1+Parameters!$B$52)^Parameters!B$71</f>
        <v>12.931637959824375</v>
      </c>
      <c r="J163" s="7">
        <f>J162*(1+Parameters!$B$54)^Parameters!B$71</f>
        <v>210.28271752084436</v>
      </c>
      <c r="K163" s="7">
        <f>'6states'!$N$4</f>
        <v>0.98104277196026479</v>
      </c>
      <c r="L163" s="9">
        <f t="shared" si="31"/>
        <v>0.5</v>
      </c>
      <c r="N163" s="7">
        <f>(Parameters!$B$19*(E163+Parameters!$B$20)^L163+Parameters!$B$18*F163^L163)^(1/L163)</f>
        <v>0.53556474418460709</v>
      </c>
      <c r="O163" s="7">
        <f>(Parameters!$B$10*G163^Parameters!$B$9 + Parameters!$B$11*N163^Parameters!$B$9) ^ (Parameters!$B$7/Parameters!$B$9) * K163</f>
        <v>1.5070080035339828</v>
      </c>
      <c r="P163" s="7">
        <f t="shared" si="30"/>
        <v>1.1491130299188597</v>
      </c>
      <c r="Q163" s="7">
        <f>EXP(-Parameters!$B$56*A163)</f>
        <v>9.0636343861203325E-2</v>
      </c>
      <c r="R163" s="7">
        <f>IF(P163&gt;0,P163^(1-Parameters!$B$53)/(1-Parameters!$B$53)*Q163,-10+P163*1000)</f>
        <v>-0.24666490983676645</v>
      </c>
      <c r="S163" s="7"/>
    </row>
    <row r="164" spans="1:19" x14ac:dyDescent="0.25">
      <c r="A164">
        <f>A163+Parameters!$B$71</f>
        <v>160</v>
      </c>
      <c r="B164" s="9">
        <f t="shared" si="33"/>
        <v>5.191758263687303E-2</v>
      </c>
      <c r="C164" s="9">
        <f t="shared" si="33"/>
        <v>1.0017548050425843E-2</v>
      </c>
      <c r="D164" s="7">
        <f t="shared" si="33"/>
        <v>0.2959598429278244</v>
      </c>
      <c r="E164" s="7">
        <f>MAX((1-Parameters!$B$4)^Parameters!B$71*E163+B163*Parameters!B$71-Parameters!$B$5*B163^2/E163*Parameters!B$71,0.0001)</f>
        <v>0.7697275255048952</v>
      </c>
      <c r="F164" s="9">
        <f>MAX((1-Parameters!$B$4)^Parameters!B$71*F163+C163*Parameters!B$71-Parameters!$B$5*C163^2/F163*Parameters!B$71,0.0001)</f>
        <v>0.14851967016257117</v>
      </c>
      <c r="G164" s="7">
        <f>MAX((1-Parameters!$B$4)^Parameters!B$71*G163+D163*Parameters!B$71-Parameters!$B$5*D163^2/G163*Parameters!B$71,0.0001)</f>
        <v>4.3878859792336495</v>
      </c>
      <c r="I164" s="7">
        <f>I163*(1+Parameters!$B$52)^Parameters!B$71</f>
        <v>12.969139709907864</v>
      </c>
      <c r="J164" s="7">
        <f>J163*(1+Parameters!$B$54)^Parameters!B$71</f>
        <v>214.48837187126125</v>
      </c>
      <c r="K164" s="7">
        <f>'6states'!$N$4</f>
        <v>0.98104277196026479</v>
      </c>
      <c r="L164" s="9">
        <f t="shared" si="31"/>
        <v>0.5</v>
      </c>
      <c r="N164" s="7">
        <f>(Parameters!$B$19*(E164+Parameters!$B$20)^L164+Parameters!$B$18*F164^L164)^(1/L164)</f>
        <v>0.53556468344116548</v>
      </c>
      <c r="O164" s="7">
        <f>(Parameters!$B$10*G164^Parameters!$B$9 + Parameters!$B$11*N164^Parameters!$B$9) ^ (Parameters!$B$7/Parameters!$B$9) * K164</f>
        <v>1.5070079521561135</v>
      </c>
      <c r="P164" s="7">
        <f t="shared" si="30"/>
        <v>1.1491129785409901</v>
      </c>
      <c r="Q164" s="7">
        <f>EXP(-Parameters!$B$56*A164)</f>
        <v>8.9278016251610026E-2</v>
      </c>
      <c r="R164" s="7">
        <f>IF(P164&gt;0,P164^(1-Parameters!$B$53)/(1-Parameters!$B$53)*Q164,-10+P164*1000)</f>
        <v>-0.24296825352362236</v>
      </c>
      <c r="S164" s="7"/>
    </row>
    <row r="165" spans="1:19" x14ac:dyDescent="0.25">
      <c r="A165">
        <f>A164+Parameters!$B$71</f>
        <v>161</v>
      </c>
      <c r="B165" s="9">
        <f t="shared" si="33"/>
        <v>5.191758263687303E-2</v>
      </c>
      <c r="C165" s="9">
        <f t="shared" si="33"/>
        <v>1.0017548050425843E-2</v>
      </c>
      <c r="D165" s="7">
        <f t="shared" si="33"/>
        <v>0.2959598429278244</v>
      </c>
      <c r="E165" s="7">
        <f>MAX((1-Parameters!$B$4)^Parameters!B$71*E164+B164*Parameters!B$71-Parameters!$B$5*B164^2/E164*Parameters!B$71,0.0001)</f>
        <v>0.76972744219102218</v>
      </c>
      <c r="F165" s="9">
        <f>MAX((1-Parameters!$B$4)^Parameters!B$71*F164+C164*Parameters!B$71-Parameters!$B$5*C164^2/F164*Parameters!B$71,0.0001)</f>
        <v>0.14851965433840025</v>
      </c>
      <c r="G165" s="7">
        <f>MAX((1-Parameters!$B$4)^Parameters!B$71*G164+D164*Parameters!B$71-Parameters!$B$5*D164^2/G164*Parameters!B$71,0.0001)</f>
        <v>4.3878855094868099</v>
      </c>
      <c r="I165" s="7">
        <f>I164*(1+Parameters!$B$52)^Parameters!B$71</f>
        <v>13.006750215066596</v>
      </c>
      <c r="J165" s="7">
        <f>J164*(1+Parameters!$B$54)^Parameters!B$71</f>
        <v>218.77813930868649</v>
      </c>
      <c r="K165" s="7">
        <f>'6states'!$N$4</f>
        <v>0.98104277196026479</v>
      </c>
      <c r="L165" s="9">
        <f t="shared" si="31"/>
        <v>0.5</v>
      </c>
      <c r="N165" s="7">
        <f>(Parameters!$B$19*(E165+Parameters!$B$20)^L165+Parameters!$B$18*F165^L165)^(1/L165)</f>
        <v>0.53556462624214007</v>
      </c>
      <c r="O165" s="7">
        <f>(Parameters!$B$10*G165^Parameters!$B$9 + Parameters!$B$11*N165^Parameters!$B$9) ^ (Parameters!$B$7/Parameters!$B$9) * K165</f>
        <v>1.5070079037761706</v>
      </c>
      <c r="P165" s="7">
        <f t="shared" si="30"/>
        <v>1.1491129301610474</v>
      </c>
      <c r="Q165" s="7">
        <f>EXP(-Parameters!$B$56*A165)</f>
        <v>8.7940045309291504E-2</v>
      </c>
      <c r="R165" s="7">
        <f>IF(P165&gt;0,P165^(1-Parameters!$B$53)/(1-Parameters!$B$53)*Q165,-10+P165*1000)</f>
        <v>-0.23932699712124003</v>
      </c>
      <c r="S165" s="7"/>
    </row>
    <row r="166" spans="1:19" x14ac:dyDescent="0.25">
      <c r="A166">
        <f>A165+Parameters!$B$71</f>
        <v>162</v>
      </c>
      <c r="B166" s="9">
        <f t="shared" si="33"/>
        <v>5.191758263687303E-2</v>
      </c>
      <c r="C166" s="9">
        <f t="shared" si="33"/>
        <v>1.0017548050425843E-2</v>
      </c>
      <c r="D166" s="7">
        <f t="shared" si="33"/>
        <v>0.2959598429278244</v>
      </c>
      <c r="E166" s="7">
        <f>MAX((1-Parameters!$B$4)^Parameters!B$71*E165+B165*Parameters!B$71-Parameters!$B$5*B165^2/E165*Parameters!B$71,0.0001)</f>
        <v>0.76972736373856288</v>
      </c>
      <c r="F166" s="9">
        <f>MAX((1-Parameters!$B$4)^Parameters!B$71*F165+C165*Parameters!B$71-Parameters!$B$5*C165^2/F165*Parameters!B$71,0.0001)</f>
        <v>0.14851963943757904</v>
      </c>
      <c r="G166" s="7">
        <f>MAX((1-Parameters!$B$4)^Parameters!B$71*G165+D165*Parameters!B$71-Parameters!$B$5*D165^2/G165*Parameters!B$71,0.0001)</f>
        <v>4.3878850671499761</v>
      </c>
      <c r="I166" s="7">
        <f>I165*(1+Parameters!$B$52)^Parameters!B$71</f>
        <v>13.044469790690288</v>
      </c>
      <c r="J166" s="7">
        <f>J165*(1+Parameters!$B$54)^Parameters!B$71</f>
        <v>223.15370209486022</v>
      </c>
      <c r="K166" s="7">
        <f>'6states'!$N$4</f>
        <v>0.98104277196026479</v>
      </c>
      <c r="L166" s="9">
        <f t="shared" si="31"/>
        <v>0.5</v>
      </c>
      <c r="N166" s="7">
        <f>(Parameters!$B$19*(E166+Parameters!$B$20)^L166+Parameters!$B$18*F166^L166)^(1/L166)</f>
        <v>0.5355645723807112</v>
      </c>
      <c r="O166" s="7">
        <f>(Parameters!$B$10*G166^Parameters!$B$9 + Parameters!$B$11*N166^Parameters!$B$9) ^ (Parameters!$B$7/Parameters!$B$9) * K166</f>
        <v>1.5070078582192215</v>
      </c>
      <c r="P166" s="7">
        <f t="shared" si="30"/>
        <v>1.1491128846040981</v>
      </c>
      <c r="Q166" s="7">
        <f>EXP(-Parameters!$B$56*A166)</f>
        <v>8.6622125957696541E-2</v>
      </c>
      <c r="R166" s="7">
        <f>IF(P166&gt;0,P166^(1-Parameters!$B$53)/(1-Parameters!$B$53)*Q166,-10+P166*1000)</f>
        <v>-0.23574031039512819</v>
      </c>
      <c r="S166" s="7"/>
    </row>
    <row r="167" spans="1:19" x14ac:dyDescent="0.25">
      <c r="A167">
        <f>A166+Parameters!$B$71</f>
        <v>163</v>
      </c>
      <c r="B167" s="9">
        <f t="shared" si="33"/>
        <v>5.191758263687303E-2</v>
      </c>
      <c r="C167" s="9">
        <f t="shared" si="33"/>
        <v>1.0017548050425843E-2</v>
      </c>
      <c r="D167" s="7">
        <f t="shared" si="33"/>
        <v>0.2959598429278244</v>
      </c>
      <c r="E167" s="7">
        <f>MAX((1-Parameters!$B$4)^Parameters!B$71*E166+B166*Parameters!B$71-Parameters!$B$5*B166^2/E166*Parameters!B$71,0.0001)</f>
        <v>0.76972728986385097</v>
      </c>
      <c r="F167" s="9">
        <f>MAX((1-Parameters!$B$4)^Parameters!B$71*F166+C166*Parameters!B$71-Parameters!$B$5*C166^2/F166*Parameters!B$71,0.0001)</f>
        <v>0.14851962540622954</v>
      </c>
      <c r="G167" s="7">
        <f>MAX((1-Parameters!$B$4)^Parameters!B$71*G166+D166*Parameters!B$71-Parameters!$B$5*D166^2/G166*Parameters!B$71,0.0001)</f>
        <v>4.3878846506237572</v>
      </c>
      <c r="I167" s="7">
        <f>I166*(1+Parameters!$B$52)^Parameters!B$71</f>
        <v>13.082298753083288</v>
      </c>
      <c r="J167" s="7">
        <f>J166*(1+Parameters!$B$54)^Parameters!B$71</f>
        <v>227.61677613675744</v>
      </c>
      <c r="K167" s="7">
        <f>'6states'!$N$4</f>
        <v>0.98104277196026479</v>
      </c>
      <c r="L167" s="9">
        <f t="shared" si="31"/>
        <v>0.5</v>
      </c>
      <c r="N167" s="7">
        <f>(Parameters!$B$19*(E167+Parameters!$B$20)^L167+Parameters!$B$18*F167^L167)^(1/L167)</f>
        <v>0.53556452166212876</v>
      </c>
      <c r="O167" s="7">
        <f>(Parameters!$B$10*G167^Parameters!$B$9 + Parameters!$B$11*N167^Parameters!$B$9) ^ (Parameters!$B$7/Parameters!$B$9) * K167</f>
        <v>1.5070078153205451</v>
      </c>
      <c r="P167" s="7">
        <f t="shared" si="30"/>
        <v>1.1491128417054219</v>
      </c>
      <c r="Q167" s="7">
        <f>EXP(-Parameters!$B$56*A167)</f>
        <v>8.5323957692323968E-2</v>
      </c>
      <c r="R167" s="7">
        <f>IF(P167&gt;0,P167^(1-Parameters!$B$53)/(1-Parameters!$B$53)*Q167,-10+P167*1000)</f>
        <v>-0.23220737555171295</v>
      </c>
      <c r="S167" s="7"/>
    </row>
    <row r="168" spans="1:19" x14ac:dyDescent="0.25">
      <c r="A168">
        <f>A167+Parameters!$B$71</f>
        <v>164</v>
      </c>
      <c r="B168" s="9">
        <f t="shared" si="33"/>
        <v>5.191758263687303E-2</v>
      </c>
      <c r="C168" s="9">
        <f t="shared" si="33"/>
        <v>1.0017548050425843E-2</v>
      </c>
      <c r="D168" s="7">
        <f t="shared" si="33"/>
        <v>0.2959598429278244</v>
      </c>
      <c r="E168" s="7">
        <f>MAX((1-Parameters!$B$4)^Parameters!B$71*E167+B167*Parameters!B$71-Parameters!$B$5*B167^2/E167*Parameters!B$71,0.0001)</f>
        <v>0.76972722029977203</v>
      </c>
      <c r="F168" s="9">
        <f>MAX((1-Parameters!$B$4)^Parameters!B$71*F167+C167*Parameters!B$71-Parameters!$B$5*C167^2/F167*Parameters!B$71,0.0001)</f>
        <v>0.14851961219361756</v>
      </c>
      <c r="G168" s="7">
        <f>MAX((1-Parameters!$B$4)^Parameters!B$71*G167+D167*Parameters!B$71-Parameters!$B$5*D167^2/G167*Parameters!B$71,0.0001)</f>
        <v>4.3878842584020887</v>
      </c>
      <c r="I168" s="7">
        <f>I167*(1+Parameters!$B$52)^Parameters!B$71</f>
        <v>13.120237419467228</v>
      </c>
      <c r="J168" s="7">
        <f>J167*(1+Parameters!$B$54)^Parameters!B$71</f>
        <v>232.16911165949259</v>
      </c>
      <c r="K168" s="7">
        <f>'6states'!$N$4</f>
        <v>0.98104277196026479</v>
      </c>
      <c r="L168" s="9">
        <f t="shared" si="31"/>
        <v>0.5</v>
      </c>
      <c r="N168" s="7">
        <f>(Parameters!$B$19*(E168+Parameters!$B$20)^L168+Parameters!$B$18*F168^L168)^(1/L168)</f>
        <v>0.53556447390300543</v>
      </c>
      <c r="O168" s="7">
        <f>(Parameters!$B$10*G168^Parameters!$B$9 + Parameters!$B$11*N168^Parameters!$B$9) ^ (Parameters!$B$7/Parameters!$B$9) * K168</f>
        <v>1.5070077749250288</v>
      </c>
      <c r="P168" s="7">
        <f t="shared" si="30"/>
        <v>1.1491128013099057</v>
      </c>
      <c r="Q168" s="7">
        <f>EXP(-Parameters!$B$56*A168)</f>
        <v>8.4045244512203479E-2</v>
      </c>
      <c r="R168" s="7">
        <f>IF(P168&gt;0,P168^(1-Parameters!$B$53)/(1-Parameters!$B$53)*Q168,-10+P168*1000)</f>
        <v>-0.22872738705199724</v>
      </c>
      <c r="S168" s="7"/>
    </row>
    <row r="169" spans="1:19" x14ac:dyDescent="0.25">
      <c r="A169">
        <f>A168+Parameters!$B$71</f>
        <v>165</v>
      </c>
      <c r="B169" s="9">
        <f t="shared" si="33"/>
        <v>5.191758263687303E-2</v>
      </c>
      <c r="C169" s="9">
        <f t="shared" si="33"/>
        <v>1.0017548050425843E-2</v>
      </c>
      <c r="D169" s="7">
        <f t="shared" si="33"/>
        <v>0.2959598429278244</v>
      </c>
      <c r="E169" s="7">
        <f>MAX((1-Parameters!$B$4)^Parameters!B$71*E168+B168*Parameters!B$71-Parameters!$B$5*B168^2/E168*Parameters!B$71,0.0001)</f>
        <v>0.76972715479479803</v>
      </c>
      <c r="F169" s="9">
        <f>MAX((1-Parameters!$B$4)^Parameters!B$71*F168+C168*Parameters!B$71-Parameters!$B$5*C168^2/F168*Parameters!B$71,0.0001)</f>
        <v>0.14851959975196927</v>
      </c>
      <c r="G169" s="7">
        <f>MAX((1-Parameters!$B$4)^Parameters!B$71*G168+D168*Parameters!B$71-Parameters!$B$5*D168^2/G168*Parameters!B$71,0.0001)</f>
        <v>4.3878838890667851</v>
      </c>
      <c r="I169" s="7">
        <f>I168*(1+Parameters!$B$52)^Parameters!B$71</f>
        <v>13.158286107983683</v>
      </c>
      <c r="J169" s="7">
        <f>J168*(1+Parameters!$B$54)^Parameters!B$71</f>
        <v>236.81249389268245</v>
      </c>
      <c r="K169" s="7">
        <f>'6states'!$N$4</f>
        <v>0.98104277196026479</v>
      </c>
      <c r="L169" s="9">
        <f t="shared" si="31"/>
        <v>0.5</v>
      </c>
      <c r="N169" s="7">
        <f>(Parameters!$B$19*(E169+Parameters!$B$20)^L169+Parameters!$B$18*F169^L169)^(1/L169)</f>
        <v>0.53556442893065503</v>
      </c>
      <c r="O169" s="7">
        <f>(Parameters!$B$10*G169^Parameters!$B$9 + Parameters!$B$11*N169^Parameters!$B$9) ^ (Parameters!$B$7/Parameters!$B$9) * K169</f>
        <v>1.5070077368866122</v>
      </c>
      <c r="P169" s="7">
        <f t="shared" si="30"/>
        <v>1.1491127632714888</v>
      </c>
      <c r="Q169" s="7">
        <f>EXP(-Parameters!$B$56*A169)</f>
        <v>8.2785694852402933E-2</v>
      </c>
      <c r="R169" s="7">
        <f>IF(P169&gt;0,P169^(1-Parameters!$B$53)/(1-Parameters!$B$53)*Q169,-10+P169*1000)</f>
        <v>-0.22529955142800276</v>
      </c>
      <c r="S169" s="7"/>
    </row>
    <row r="170" spans="1:19" x14ac:dyDescent="0.25">
      <c r="A170">
        <f>A169+Parameters!$B$71</f>
        <v>166</v>
      </c>
      <c r="B170" s="9">
        <f t="shared" si="33"/>
        <v>5.191758263687303E-2</v>
      </c>
      <c r="C170" s="9">
        <f t="shared" si="33"/>
        <v>1.0017548050425843E-2</v>
      </c>
      <c r="D170" s="7">
        <f t="shared" si="33"/>
        <v>0.2959598429278244</v>
      </c>
      <c r="E170" s="7">
        <f>MAX((1-Parameters!$B$4)^Parameters!B$71*E169+B169*Parameters!B$71-Parameters!$B$5*B169^2/E169*Parameters!B$71,0.0001)</f>
        <v>0.76972709311207776</v>
      </c>
      <c r="F170" s="9">
        <f>MAX((1-Parameters!$B$4)^Parameters!B$71*F169+C169*Parameters!B$71-Parameters!$B$5*C169^2/F169*Parameters!B$71,0.0001)</f>
        <v>0.14851958803629847</v>
      </c>
      <c r="G170" s="7">
        <f>MAX((1-Parameters!$B$4)^Parameters!B$71*G169+D169*Parameters!B$71-Parameters!$B$5*D169^2/G169*Parameters!B$71,0.0001)</f>
        <v>4.387883541282414</v>
      </c>
      <c r="I170" s="7">
        <f>I169*(1+Parameters!$B$52)^Parameters!B$71</f>
        <v>13.196445137696834</v>
      </c>
      <c r="J170" s="7">
        <f>J169*(1+Parameters!$B$54)^Parameters!B$71</f>
        <v>241.54874377053611</v>
      </c>
      <c r="K170" s="7">
        <f>'6states'!$N$4</f>
        <v>0.98104277196026479</v>
      </c>
      <c r="L170" s="9">
        <f t="shared" si="31"/>
        <v>0.5</v>
      </c>
      <c r="N170" s="7">
        <f>(Parameters!$B$19*(E170+Parameters!$B$20)^L170+Parameters!$B$18*F170^L170)^(1/L170)</f>
        <v>0.53556438658246786</v>
      </c>
      <c r="O170" s="7">
        <f>(Parameters!$B$10*G170^Parameters!$B$9 + Parameters!$B$11*N170^Parameters!$B$9) ^ (Parameters!$B$7/Parameters!$B$9) * K170</f>
        <v>1.5070077010677578</v>
      </c>
      <c r="P170" s="7">
        <f t="shared" si="30"/>
        <v>1.1491127274526347</v>
      </c>
      <c r="Q170" s="7">
        <f>EXP(-Parameters!$B$56*A170)</f>
        <v>8.1545021517547445E-2</v>
      </c>
      <c r="R170" s="7">
        <f>IF(P170&gt;0,P170^(1-Parameters!$B$53)/(1-Parameters!$B$53)*Q170,-10+P170*1000)</f>
        <v>-0.22192308710195735</v>
      </c>
      <c r="S170" s="7"/>
    </row>
    <row r="171" spans="1:19" x14ac:dyDescent="0.25">
      <c r="A171">
        <f>A170+Parameters!$B$71</f>
        <v>167</v>
      </c>
      <c r="B171" s="9">
        <f t="shared" si="33"/>
        <v>5.191758263687303E-2</v>
      </c>
      <c r="C171" s="9">
        <f t="shared" si="33"/>
        <v>1.0017548050425843E-2</v>
      </c>
      <c r="D171" s="7">
        <f t="shared" si="33"/>
        <v>0.2959598429278244</v>
      </c>
      <c r="E171" s="7">
        <f>MAX((1-Parameters!$B$4)^Parameters!B$71*E170+B170*Parameters!B$71-Parameters!$B$5*B170^2/E170*Parameters!B$71,0.0001)</f>
        <v>0.76972703502858053</v>
      </c>
      <c r="F171" s="9">
        <f>MAX((1-Parameters!$B$4)^Parameters!B$71*F170+C170*Parameters!B$71-Parameters!$B$5*C170^2/F170*Parameters!B$71,0.0001)</f>
        <v>0.14851957700424395</v>
      </c>
      <c r="G171" s="7">
        <f>MAX((1-Parameters!$B$4)^Parameters!B$71*G170+D170*Parameters!B$71-Parameters!$B$5*D170^2/G170*Parameters!B$71,0.0001)</f>
        <v>4.387883213791465</v>
      </c>
      <c r="I171" s="7">
        <f>I170*(1+Parameters!$B$52)^Parameters!B$71</f>
        <v>13.234714828596154</v>
      </c>
      <c r="J171" s="7">
        <f>J170*(1+Parameters!$B$54)^Parameters!B$71</f>
        <v>246.37971864594684</v>
      </c>
      <c r="K171" s="7">
        <f>'6states'!$N$4</f>
        <v>0.98104277196026479</v>
      </c>
      <c r="L171" s="9">
        <f t="shared" si="31"/>
        <v>0.5</v>
      </c>
      <c r="N171" s="7">
        <f>(Parameters!$B$19*(E171+Parameters!$B$20)^L171+Parameters!$B$18*F171^L171)^(1/L171)</f>
        <v>0.53556434670532227</v>
      </c>
      <c r="O171" s="7">
        <f>(Parameters!$B$10*G171^Parameters!$B$9 + Parameters!$B$11*N171^Parameters!$B$9) ^ (Parameters!$B$7/Parameters!$B$9) * K171</f>
        <v>1.5070076673389527</v>
      </c>
      <c r="P171" s="7">
        <f t="shared" si="30"/>
        <v>1.1491126937238296</v>
      </c>
      <c r="Q171" s="7">
        <f>EXP(-Parameters!$B$56*A171)</f>
        <v>8.0322941616334922E-2</v>
      </c>
      <c r="R171" s="7">
        <f>IF(P171&gt;0,P171^(1-Parameters!$B$53)/(1-Parameters!$B$53)*Q171,-10+P171*1000)</f>
        <v>-0.21859722420818609</v>
      </c>
      <c r="S171" s="7"/>
    </row>
    <row r="172" spans="1:19" x14ac:dyDescent="0.25">
      <c r="A172">
        <f>A171+Parameters!$B$71</f>
        <v>168</v>
      </c>
      <c r="B172" s="9">
        <f t="shared" si="33"/>
        <v>5.191758263687303E-2</v>
      </c>
      <c r="C172" s="9">
        <f t="shared" si="33"/>
        <v>1.0017548050425843E-2</v>
      </c>
      <c r="D172" s="7">
        <f t="shared" si="33"/>
        <v>0.2959598429278244</v>
      </c>
      <c r="E172" s="7">
        <f>MAX((1-Parameters!$B$4)^Parameters!B$71*E171+B171*Parameters!B$71-Parameters!$B$5*B171^2/E171*Parameters!B$71,0.0001)</f>
        <v>0.76972698033428943</v>
      </c>
      <c r="F172" s="9">
        <f>MAX((1-Parameters!$B$4)^Parameters!B$71*F171+C171*Parameters!B$71-Parameters!$B$5*C171^2/F171*Parameters!B$71,0.0001)</f>
        <v>0.14851956661591628</v>
      </c>
      <c r="G172" s="7">
        <f>MAX((1-Parameters!$B$4)^Parameters!B$71*G171+D171*Parameters!B$71-Parameters!$B$5*D171^2/G171*Parameters!B$71,0.0001)</f>
        <v>4.3878829054098052</v>
      </c>
      <c r="I172" s="7">
        <f>I171*(1+Parameters!$B$52)^Parameters!B$71</f>
        <v>13.273095501599082</v>
      </c>
      <c r="J172" s="7">
        <f>J171*(1+Parameters!$B$54)^Parameters!B$71</f>
        <v>251.30731301886578</v>
      </c>
      <c r="K172" s="7">
        <f>'6states'!$N$4</f>
        <v>0.98104277196026479</v>
      </c>
      <c r="L172" s="9">
        <f t="shared" si="31"/>
        <v>0.5</v>
      </c>
      <c r="N172" s="7">
        <f>(Parameters!$B$19*(E172+Parameters!$B$20)^L172+Parameters!$B$18*F172^L172)^(1/L172)</f>
        <v>0.5355643091550315</v>
      </c>
      <c r="O172" s="7">
        <f>(Parameters!$B$10*G172^Parameters!$B$9 + Parameters!$B$11*N172^Parameters!$B$9) ^ (Parameters!$B$7/Parameters!$B$9) * K172</f>
        <v>1.5070076355782416</v>
      </c>
      <c r="P172" s="7">
        <f t="shared" si="30"/>
        <v>1.1491126619631182</v>
      </c>
      <c r="Q172" s="7">
        <f>EXP(-Parameters!$B$56*A172)</f>
        <v>7.9119176497032498E-2</v>
      </c>
      <c r="R172" s="7">
        <f>IF(P172&gt;0,P172^(1-Parameters!$B$53)/(1-Parameters!$B$53)*Q172,-10+P172*1000)</f>
        <v>-0.21532120441766367</v>
      </c>
      <c r="S172" s="7"/>
    </row>
    <row r="173" spans="1:19" x14ac:dyDescent="0.25">
      <c r="A173">
        <f>A172+Parameters!$B$71</f>
        <v>169</v>
      </c>
      <c r="B173" s="9">
        <f t="shared" si="33"/>
        <v>5.191758263687303E-2</v>
      </c>
      <c r="C173" s="9">
        <f t="shared" si="33"/>
        <v>1.0017548050425843E-2</v>
      </c>
      <c r="D173" s="7">
        <f t="shared" si="33"/>
        <v>0.2959598429278244</v>
      </c>
      <c r="E173" s="7">
        <f>MAX((1-Parameters!$B$4)^Parameters!B$71*E172+B172*Parameters!B$71-Parameters!$B$5*B172^2/E172*Parameters!B$71,0.0001)</f>
        <v>0.76972692883144234</v>
      </c>
      <c r="F173" s="9">
        <f>MAX((1-Parameters!$B$4)^Parameters!B$71*F172+C172*Parameters!B$71-Parameters!$B$5*C172^2/F172*Parameters!B$71,0.0001)</f>
        <v>0.14851955683375359</v>
      </c>
      <c r="G173" s="7">
        <f>MAX((1-Parameters!$B$4)^Parameters!B$71*G172+D172*Parameters!B$71-Parameters!$B$5*D172^2/G172*Parameters!B$71,0.0001)</f>
        <v>4.387882615022396</v>
      </c>
      <c r="I173" s="7">
        <f>I172*(1+Parameters!$B$52)^Parameters!B$71</f>
        <v>13.311587478553719</v>
      </c>
      <c r="J173" s="7">
        <f>J172*(1+Parameters!$B$54)^Parameters!B$71</f>
        <v>256.33345927924313</v>
      </c>
      <c r="K173" s="7">
        <f>'6states'!$N$4</f>
        <v>0.98104277196026479</v>
      </c>
      <c r="L173" s="9">
        <f t="shared" si="31"/>
        <v>0.5</v>
      </c>
      <c r="N173" s="7">
        <f>(Parameters!$B$19*(E173+Parameters!$B$20)^L173+Parameters!$B$18*F173^L173)^(1/L173)</f>
        <v>0.53556427379582205</v>
      </c>
      <c r="O173" s="7">
        <f>(Parameters!$B$10*G173^Parameters!$B$9 + Parameters!$B$11*N173^Parameters!$B$9) ^ (Parameters!$B$7/Parameters!$B$9) * K173</f>
        <v>1.5070076056707853</v>
      </c>
      <c r="P173" s="7">
        <f t="shared" si="30"/>
        <v>1.1491126320556622</v>
      </c>
      <c r="Q173" s="7">
        <f>EXP(-Parameters!$B$56*A173)</f>
        <v>7.79334516839401E-2</v>
      </c>
      <c r="R173" s="7">
        <f>IF(P173&gt;0,P173^(1-Parameters!$B$53)/(1-Parameters!$B$53)*Q173,-10+P173*1000)</f>
        <v>-0.21209428076519221</v>
      </c>
      <c r="S173" s="7"/>
    </row>
    <row r="174" spans="1:19" x14ac:dyDescent="0.25">
      <c r="A174">
        <f>A173+Parameters!$B$71</f>
        <v>170</v>
      </c>
      <c r="B174" s="9">
        <f t="shared" si="33"/>
        <v>5.191758263687303E-2</v>
      </c>
      <c r="C174" s="9">
        <f t="shared" si="33"/>
        <v>1.0017548050425843E-2</v>
      </c>
      <c r="D174" s="7">
        <f t="shared" si="33"/>
        <v>0.2959598429278244</v>
      </c>
      <c r="E174" s="7">
        <f>MAX((1-Parameters!$B$4)^Parameters!B$71*E173+B173*Parameters!B$71-Parameters!$B$5*B173^2/E173*Parameters!B$71,0.0001)</f>
        <v>0.76972688033381631</v>
      </c>
      <c r="F174" s="9">
        <f>MAX((1-Parameters!$B$4)^Parameters!B$71*F173+C173*Parameters!B$71-Parameters!$B$5*C173^2/F173*Parameters!B$71,0.0001)</f>
        <v>0.14851954762238581</v>
      </c>
      <c r="G174" s="7">
        <f>MAX((1-Parameters!$B$4)^Parameters!B$71*G173+D173*Parameters!B$71-Parameters!$B$5*D173^2/G173*Parameters!B$71,0.0001)</f>
        <v>4.387882341579262</v>
      </c>
      <c r="I174" s="7">
        <f>I173*(1+Parameters!$B$52)^Parameters!B$71</f>
        <v>13.350191082241523</v>
      </c>
      <c r="J174" s="7">
        <f>J173*(1+Parameters!$B$54)^Parameters!B$71</f>
        <v>261.46012846482802</v>
      </c>
      <c r="K174" s="7">
        <f>'6states'!$N$4</f>
        <v>0.98104277196026479</v>
      </c>
      <c r="L174" s="9">
        <f t="shared" si="31"/>
        <v>0.5</v>
      </c>
      <c r="N174" s="7">
        <f>(Parameters!$B$19*(E174+Parameters!$B$20)^L174+Parameters!$B$18*F174^L174)^(1/L174)</f>
        <v>0.53556424049984341</v>
      </c>
      <c r="O174" s="7">
        <f>(Parameters!$B$10*G174^Parameters!$B$9 + Parameters!$B$11*N174^Parameters!$B$9) ^ (Parameters!$B$7/Parameters!$B$9) * K174</f>
        <v>1.5070075775084455</v>
      </c>
      <c r="P174" s="7">
        <f t="shared" si="30"/>
        <v>1.1491126038933221</v>
      </c>
      <c r="Q174" s="7">
        <f>EXP(-Parameters!$B$56*A174)</f>
        <v>7.6765496814806045E-2</v>
      </c>
      <c r="R174" s="7">
        <f>IF(P174&gt;0,P174^(1-Parameters!$B$53)/(1-Parameters!$B$53)*Q174,-10+P174*1000)</f>
        <v>-0.20891571747916302</v>
      </c>
      <c r="S174" s="7"/>
    </row>
    <row r="175" spans="1:19" x14ac:dyDescent="0.25">
      <c r="A175">
        <f>A174+Parameters!$B$71</f>
        <v>171</v>
      </c>
      <c r="B175" s="9">
        <f t="shared" si="33"/>
        <v>5.191758263687303E-2</v>
      </c>
      <c r="C175" s="9">
        <f t="shared" si="33"/>
        <v>1.0017548050425843E-2</v>
      </c>
      <c r="D175" s="7">
        <f t="shared" si="33"/>
        <v>0.2959598429278244</v>
      </c>
      <c r="E175" s="7">
        <f>MAX((1-Parameters!$B$4)^Parameters!B$71*E174+B174*Parameters!B$71-Parameters!$B$5*B174^2/E174*Parameters!B$71,0.0001)</f>
        <v>0.76972683466605518</v>
      </c>
      <c r="F175" s="9">
        <f>MAX((1-Parameters!$B$4)^Parameters!B$71*F174+C174*Parameters!B$71-Parameters!$B$5*C174^2/F174*Parameters!B$71,0.0001)</f>
        <v>0.14851953894850672</v>
      </c>
      <c r="G175" s="7">
        <f>MAX((1-Parameters!$B$4)^Parameters!B$71*G174+D174*Parameters!B$71-Parameters!$B$5*D174^2/G174*Parameters!B$71,0.0001)</f>
        <v>4.3878820840916948</v>
      </c>
      <c r="I175" s="7">
        <f>I174*(1+Parameters!$B$52)^Parameters!B$71</f>
        <v>13.388906636380021</v>
      </c>
      <c r="J175" s="7">
        <f>J174*(1+Parameters!$B$54)^Parameters!B$71</f>
        <v>266.68933103412456</v>
      </c>
      <c r="K175" s="7">
        <f>'6states'!$N$4</f>
        <v>0.98104277196026479</v>
      </c>
      <c r="L175" s="9">
        <f t="shared" si="31"/>
        <v>0.5</v>
      </c>
      <c r="N175" s="7">
        <f>(Parameters!$B$19*(E175+Parameters!$B$20)^L175+Parameters!$B$18*F175^L175)^(1/L175)</f>
        <v>0.53556420914670433</v>
      </c>
      <c r="O175" s="7">
        <f>(Parameters!$B$10*G175^Parameters!$B$9 + Parameters!$B$11*N175^Parameters!$B$9) ^ (Parameters!$B$7/Parameters!$B$9) * K175</f>
        <v>1.5070075509893928</v>
      </c>
      <c r="P175" s="7">
        <f t="shared" si="30"/>
        <v>1.1491125773742694</v>
      </c>
      <c r="Q175" s="7">
        <f>EXP(-Parameters!$B$56*A175)</f>
        <v>7.5615045579180543E-2</v>
      </c>
      <c r="R175" s="7">
        <f>IF(P175&gt;0,P175^(1-Parameters!$B$53)/(1-Parameters!$B$53)*Q175,-10+P175*1000)</f>
        <v>-0.20578478981386528</v>
      </c>
      <c r="S175" s="7"/>
    </row>
    <row r="176" spans="1:19" x14ac:dyDescent="0.25">
      <c r="A176">
        <f>A175+Parameters!$B$71</f>
        <v>172</v>
      </c>
      <c r="B176" s="9">
        <f t="shared" ref="B176:D191" si="34">B175</f>
        <v>5.191758263687303E-2</v>
      </c>
      <c r="C176" s="9">
        <f t="shared" si="34"/>
        <v>1.0017548050425843E-2</v>
      </c>
      <c r="D176" s="7">
        <f t="shared" si="34"/>
        <v>0.2959598429278244</v>
      </c>
      <c r="E176" s="7">
        <f>MAX((1-Parameters!$B$4)^Parameters!B$71*E175+B175*Parameters!B$71-Parameters!$B$5*B175^2/E175*Parameters!B$71,0.0001)</f>
        <v>0.76972679166303459</v>
      </c>
      <c r="F176" s="9">
        <f>MAX((1-Parameters!$B$4)^Parameters!B$71*F175+C175*Parameters!B$71-Parameters!$B$5*C175^2/F175*Parameters!B$71,0.0001)</f>
        <v>0.14851953078075358</v>
      </c>
      <c r="G176" s="7">
        <f>MAX((1-Parameters!$B$4)^Parameters!B$71*G175+D175*Parameters!B$71-Parameters!$B$5*D175^2/G175*Parameters!B$71,0.0001)</f>
        <v>4.3878818416286771</v>
      </c>
      <c r="I176" s="7">
        <f>I175*(1+Parameters!$B$52)^Parameters!B$71</f>
        <v>13.427734465625521</v>
      </c>
      <c r="J176" s="7">
        <f>J175*(1+Parameters!$B$54)^Parameters!B$71</f>
        <v>272.02311765480704</v>
      </c>
      <c r="K176" s="7">
        <f>'6states'!$N$4</f>
        <v>0.98104277196026479</v>
      </c>
      <c r="L176" s="9">
        <f t="shared" si="31"/>
        <v>0.5</v>
      </c>
      <c r="N176" s="7">
        <f>(Parameters!$B$19*(E176+Parameters!$B$20)^L176+Parameters!$B$18*F176^L176)^(1/L176)</f>
        <v>0.53556417962303926</v>
      </c>
      <c r="O176" s="7">
        <f>(Parameters!$B$10*G176^Parameters!$B$9 + Parameters!$B$11*N176^Parameters!$B$9) ^ (Parameters!$B$7/Parameters!$B$9) * K176</f>
        <v>1.5070075260177418</v>
      </c>
      <c r="P176" s="7">
        <f t="shared" si="30"/>
        <v>1.1491125524026184</v>
      </c>
      <c r="Q176" s="7">
        <f>EXP(-Parameters!$B$56*A176)</f>
        <v>7.4481835657693174E-2</v>
      </c>
      <c r="R176" s="7">
        <f>IF(P176&gt;0,P176^(1-Parameters!$B$53)/(1-Parameters!$B$53)*Q176,-10+P176*1000)</f>
        <v>-0.20270078388430285</v>
      </c>
      <c r="S176" s="7"/>
    </row>
    <row r="177" spans="1:19" x14ac:dyDescent="0.25">
      <c r="A177">
        <f>A176+Parameters!$B$71</f>
        <v>173</v>
      </c>
      <c r="B177" s="9">
        <f t="shared" si="34"/>
        <v>5.191758263687303E-2</v>
      </c>
      <c r="C177" s="9">
        <f t="shared" si="34"/>
        <v>1.0017548050425843E-2</v>
      </c>
      <c r="D177" s="7">
        <f t="shared" si="34"/>
        <v>0.2959598429278244</v>
      </c>
      <c r="E177" s="7">
        <f>MAX((1-Parameters!$B$4)^Parameters!B$71*E176+B176*Parameters!B$71-Parameters!$B$5*B176^2/E176*Parameters!B$71,0.0001)</f>
        <v>0.76972675116926537</v>
      </c>
      <c r="F177" s="9">
        <f>MAX((1-Parameters!$B$4)^Parameters!B$71*F176+C176*Parameters!B$71-Parameters!$B$5*C176^2/F176*Parameters!B$71,0.0001)</f>
        <v>0.14851952308959357</v>
      </c>
      <c r="G177" s="7">
        <f>MAX((1-Parameters!$B$4)^Parameters!B$71*G176+D176*Parameters!B$71-Parameters!$B$5*D176^2/G176*Parameters!B$71,0.0001)</f>
        <v>4.3878816133135174</v>
      </c>
      <c r="I177" s="7">
        <f>I176*(1+Parameters!$B$52)^Parameters!B$71</f>
        <v>13.466674895575833</v>
      </c>
      <c r="J177" s="7">
        <f>J176*(1+Parameters!$B$54)^Parameters!B$71</f>
        <v>277.4635800079032</v>
      </c>
      <c r="K177" s="7">
        <f>'6states'!$N$4</f>
        <v>0.98104277196026479</v>
      </c>
      <c r="L177" s="9">
        <f t="shared" si="31"/>
        <v>0.5</v>
      </c>
      <c r="N177" s="7">
        <f>(Parameters!$B$19*(E177+Parameters!$B$20)^L177+Parameters!$B$18*F177^L177)^(1/L177)</f>
        <v>0.53556415182209727</v>
      </c>
      <c r="O177" s="7">
        <f>(Parameters!$B$10*G177^Parameters!$B$9 + Parameters!$B$11*N177^Parameters!$B$9) ^ (Parameters!$B$7/Parameters!$B$9) * K177</f>
        <v>1.5070075025032004</v>
      </c>
      <c r="P177" s="7">
        <f t="shared" si="30"/>
        <v>1.149112528888077</v>
      </c>
      <c r="Q177" s="7">
        <f>EXP(-Parameters!$B$56*A177)</f>
        <v>7.3365608662240192E-2</v>
      </c>
      <c r="R177" s="7">
        <f>IF(P177&gt;0,P177^(1-Parameters!$B$53)/(1-Parameters!$B$53)*Q177,-10+P177*1000)</f>
        <v>-0.19966299650348288</v>
      </c>
      <c r="S177" s="7"/>
    </row>
    <row r="178" spans="1:19" x14ac:dyDescent="0.25">
      <c r="A178">
        <f>A177+Parameters!$B$71</f>
        <v>174</v>
      </c>
      <c r="B178" s="9">
        <f t="shared" si="34"/>
        <v>5.191758263687303E-2</v>
      </c>
      <c r="C178" s="9">
        <f t="shared" si="34"/>
        <v>1.0017548050425843E-2</v>
      </c>
      <c r="D178" s="7">
        <f t="shared" si="34"/>
        <v>0.2959598429278244</v>
      </c>
      <c r="E178" s="7">
        <f>MAX((1-Parameters!$B$4)^Parameters!B$71*E177+B177*Parameters!B$71-Parameters!$B$5*B177^2/E177*Parameters!B$71,0.0001)</f>
        <v>0.76972671303833118</v>
      </c>
      <c r="F178" s="9">
        <f>MAX((1-Parameters!$B$4)^Parameters!B$71*F177+C177*Parameters!B$71-Parameters!$B$5*C177^2/F177*Parameters!B$71,0.0001)</f>
        <v>0.14851951584721723</v>
      </c>
      <c r="G178" s="7">
        <f>MAX((1-Parameters!$B$4)^Parameters!B$71*G177+D177*Parameters!B$71-Parameters!$B$5*D177^2/G177*Parameters!B$71,0.0001)</f>
        <v>4.3878813983206806</v>
      </c>
      <c r="I178" s="7">
        <f>I177*(1+Parameters!$B$52)^Parameters!B$71</f>
        <v>13.505728252773002</v>
      </c>
      <c r="J178" s="7">
        <f>J177*(1+Parameters!$B$54)^Parameters!B$71</f>
        <v>283.01285160806128</v>
      </c>
      <c r="K178" s="7">
        <f>'6states'!$N$4</f>
        <v>0.98104277196026479</v>
      </c>
      <c r="L178" s="9">
        <f t="shared" si="31"/>
        <v>0.5</v>
      </c>
      <c r="N178" s="7">
        <f>(Parameters!$B$19*(E178+Parameters!$B$20)^L178+Parameters!$B$18*F178^L178)^(1/L178)</f>
        <v>0.53556412564335643</v>
      </c>
      <c r="O178" s="7">
        <f>(Parameters!$B$10*G178^Parameters!$B$9 + Parameters!$B$11*N178^Parameters!$B$9) ^ (Parameters!$B$7/Parameters!$B$9) * K178</f>
        <v>1.5070074803607449</v>
      </c>
      <c r="P178" s="7">
        <f t="shared" si="30"/>
        <v>1.1491125067456216</v>
      </c>
      <c r="Q178" s="7">
        <f>EXP(-Parameters!$B$56*A178)</f>
        <v>7.226611007706836E-2</v>
      </c>
      <c r="R178" s="7">
        <f>IF(P178&gt;0,P178^(1-Parameters!$B$53)/(1-Parameters!$B$53)*Q178,-10+P178*1000)</f>
        <v>-0.19667073502213875</v>
      </c>
      <c r="S178" s="7"/>
    </row>
    <row r="179" spans="1:19" x14ac:dyDescent="0.25">
      <c r="A179">
        <f>A178+Parameters!$B$71</f>
        <v>175</v>
      </c>
      <c r="B179" s="9">
        <f t="shared" si="34"/>
        <v>5.191758263687303E-2</v>
      </c>
      <c r="C179" s="9">
        <f t="shared" si="34"/>
        <v>1.0017548050425843E-2</v>
      </c>
      <c r="D179" s="7">
        <f t="shared" si="34"/>
        <v>0.2959598429278244</v>
      </c>
      <c r="E179" s="7">
        <f>MAX((1-Parameters!$B$4)^Parameters!B$71*E178+B178*Parameters!B$71-Parameters!$B$5*B178^2/E178*Parameters!B$71,0.0001)</f>
        <v>0.7697266771323592</v>
      </c>
      <c r="F179" s="9">
        <f>MAX((1-Parameters!$B$4)^Parameters!B$71*F178+C178*Parameters!B$71-Parameters!$B$5*C178^2/F178*Parameters!B$71,0.0001)</f>
        <v>0.1485195090274378</v>
      </c>
      <c r="G179" s="7">
        <f>MAX((1-Parameters!$B$4)^Parameters!B$71*G178+D178*Parameters!B$71-Parameters!$B$5*D178^2/G178*Parameters!B$71,0.0001)</f>
        <v>4.3878811958728008</v>
      </c>
      <c r="I179" s="7">
        <f>I178*(1+Parameters!$B$52)^Parameters!B$71</f>
        <v>13.544894864706043</v>
      </c>
      <c r="J179" s="7">
        <f>J178*(1+Parameters!$B$54)^Parameters!B$71</f>
        <v>288.67310864022249</v>
      </c>
      <c r="K179" s="7">
        <f>'6states'!$N$4</f>
        <v>0.98104277196026479</v>
      </c>
      <c r="L179" s="9">
        <f t="shared" si="31"/>
        <v>0.5</v>
      </c>
      <c r="N179" s="7">
        <f>(Parameters!$B$19*(E179+Parameters!$B$20)^L179+Parameters!$B$18*F179^L179)^(1/L179)</f>
        <v>0.53556410099216067</v>
      </c>
      <c r="O179" s="7">
        <f>(Parameters!$B$10*G179^Parameters!$B$9 + Parameters!$B$11*N179^Parameters!$B$9) ^ (Parameters!$B$7/Parameters!$B$9) * K179</f>
        <v>1.5070074595103142</v>
      </c>
      <c r="P179" s="7">
        <f t="shared" si="30"/>
        <v>1.1491124858951909</v>
      </c>
      <c r="Q179" s="7">
        <f>EXP(-Parameters!$B$56*A179)</f>
        <v>7.1183089200741873E-2</v>
      </c>
      <c r="R179" s="7">
        <f>IF(P179&gt;0,P179^(1-Parameters!$B$53)/(1-Parameters!$B$53)*Q179,-10+P179*1000)</f>
        <v>-0.19372331717085178</v>
      </c>
      <c r="S179" s="7"/>
    </row>
    <row r="180" spans="1:19" x14ac:dyDescent="0.25">
      <c r="A180">
        <f>A179+Parameters!$B$71</f>
        <v>176</v>
      </c>
      <c r="B180" s="9">
        <f t="shared" si="34"/>
        <v>5.191758263687303E-2</v>
      </c>
      <c r="C180" s="9">
        <f t="shared" si="34"/>
        <v>1.0017548050425843E-2</v>
      </c>
      <c r="D180" s="7">
        <f t="shared" si="34"/>
        <v>0.2959598429278244</v>
      </c>
      <c r="E180" s="7">
        <f>MAX((1-Parameters!$B$4)^Parameters!B$71*E179+B179*Parameters!B$71-Parameters!$B$5*B179^2/E179*Parameters!B$71,0.0001)</f>
        <v>0.76972664332152163</v>
      </c>
      <c r="F180" s="9">
        <f>MAX((1-Parameters!$B$4)^Parameters!B$71*F179+C179*Parameters!B$71-Parameters!$B$5*C179^2/F179*Parameters!B$71,0.0001)</f>
        <v>0.14851950260559643</v>
      </c>
      <c r="G180" s="7">
        <f>MAX((1-Parameters!$B$4)^Parameters!B$71*G179+D179*Parameters!B$71-Parameters!$B$5*D179^2/G179*Parameters!B$71,0.0001)</f>
        <v>4.3878810052378734</v>
      </c>
      <c r="I180" s="7">
        <f>I179*(1+Parameters!$B$52)^Parameters!B$71</f>
        <v>13.584175059813688</v>
      </c>
      <c r="J180" s="7">
        <f>J179*(1+Parameters!$B$54)^Parameters!B$71</f>
        <v>294.44657081302694</v>
      </c>
      <c r="K180" s="7">
        <f>'6states'!$N$4</f>
        <v>0.98104277196026479</v>
      </c>
      <c r="L180" s="9">
        <f t="shared" si="31"/>
        <v>0.5</v>
      </c>
      <c r="N180" s="7">
        <f>(Parameters!$B$19*(E180+Parameters!$B$20)^L180+Parameters!$B$18*F180^L180)^(1/L180)</f>
        <v>0.53556407777937609</v>
      </c>
      <c r="O180" s="7">
        <f>(Parameters!$B$10*G180^Parameters!$B$9 + Parameters!$B$11*N180^Parameters!$B$9) ^ (Parameters!$B$7/Parameters!$B$9) * K180</f>
        <v>1.5070074398765181</v>
      </c>
      <c r="P180" s="7">
        <f t="shared" si="30"/>
        <v>1.149112466261395</v>
      </c>
      <c r="Q180" s="7">
        <f>EXP(-Parameters!$B$56*A180)</f>
        <v>7.0116299088978581E-2</v>
      </c>
      <c r="R180" s="7">
        <f>IF(P180&gt;0,P180^(1-Parameters!$B$53)/(1-Parameters!$B$53)*Q180,-10+P180*1000)</f>
        <v>-0.19082007090453526</v>
      </c>
      <c r="S180" s="7"/>
    </row>
    <row r="181" spans="1:19" x14ac:dyDescent="0.25">
      <c r="A181">
        <f>A180+Parameters!$B$71</f>
        <v>177</v>
      </c>
      <c r="B181" s="9">
        <f t="shared" si="34"/>
        <v>5.191758263687303E-2</v>
      </c>
      <c r="C181" s="9">
        <f t="shared" si="34"/>
        <v>1.0017548050425843E-2</v>
      </c>
      <c r="D181" s="7">
        <f t="shared" si="34"/>
        <v>0.2959598429278244</v>
      </c>
      <c r="E181" s="7">
        <f>MAX((1-Parameters!$B$4)^Parameters!B$71*E180+B180*Parameters!B$71-Parameters!$B$5*B180^2/E180*Parameters!B$71,0.0001)</f>
        <v>0.76972661148356614</v>
      </c>
      <c r="F181" s="9">
        <f>MAX((1-Parameters!$B$4)^Parameters!B$71*F180+C180*Parameters!B$71-Parameters!$B$5*C180^2/F180*Parameters!B$71,0.0001)</f>
        <v>0.14851949655847327</v>
      </c>
      <c r="G181" s="7">
        <f>MAX((1-Parameters!$B$4)^Parameters!B$71*G180+D180*Parameters!B$71-Parameters!$B$5*D180^2/G180*Parameters!B$71,0.0001)</f>
        <v>4.3878808257266053</v>
      </c>
      <c r="I181" s="7">
        <f>I180*(1+Parameters!$B$52)^Parameters!B$71</f>
        <v>13.623569167487148</v>
      </c>
      <c r="J181" s="7">
        <f>J180*(1+Parameters!$B$54)^Parameters!B$71</f>
        <v>300.3355022292875</v>
      </c>
      <c r="K181" s="7">
        <f>'6states'!$N$4</f>
        <v>0.98104277196026479</v>
      </c>
      <c r="L181" s="9">
        <f t="shared" si="31"/>
        <v>0.5</v>
      </c>
      <c r="N181" s="7">
        <f>(Parameters!$B$19*(E181+Parameters!$B$20)^L181+Parameters!$B$18*F181^L181)^(1/L181)</f>
        <v>0.53556405592107137</v>
      </c>
      <c r="O181" s="7">
        <f>(Parameters!$B$10*G181^Parameters!$B$9 + Parameters!$B$11*N181^Parameters!$B$9) ^ (Parameters!$B$7/Parameters!$B$9) * K181</f>
        <v>1.5070074213883644</v>
      </c>
      <c r="P181" s="7">
        <f t="shared" si="30"/>
        <v>1.1491124477732413</v>
      </c>
      <c r="Q181" s="7">
        <f>EXP(-Parameters!$B$56*A181)</f>
        <v>6.9065496498343315E-2</v>
      </c>
      <c r="R181" s="7">
        <f>IF(P181&gt;0,P181^(1-Parameters!$B$53)/(1-Parameters!$B$53)*Q181,-10+P181*1000)</f>
        <v>-0.18796033424924619</v>
      </c>
      <c r="S181" s="7"/>
    </row>
    <row r="182" spans="1:19" x14ac:dyDescent="0.25">
      <c r="A182">
        <f>A181+Parameters!$B$71</f>
        <v>178</v>
      </c>
      <c r="B182" s="9">
        <f t="shared" si="34"/>
        <v>5.191758263687303E-2</v>
      </c>
      <c r="C182" s="9">
        <f t="shared" si="34"/>
        <v>1.0017548050425843E-2</v>
      </c>
      <c r="D182" s="7">
        <f t="shared" si="34"/>
        <v>0.2959598429278244</v>
      </c>
      <c r="E182" s="7">
        <f>MAX((1-Parameters!$B$4)^Parameters!B$71*E181+B181*Parameters!B$71-Parameters!$B$5*B181^2/E181*Parameters!B$71,0.0001)</f>
        <v>0.76972658150337381</v>
      </c>
      <c r="F182" s="9">
        <f>MAX((1-Parameters!$B$4)^Parameters!B$71*F181+C181*Parameters!B$71-Parameters!$B$5*C181^2/F181*Parameters!B$71,0.0001)</f>
        <v>0.14851949086420324</v>
      </c>
      <c r="G182" s="7">
        <f>MAX((1-Parameters!$B$4)^Parameters!B$71*G181+D181*Parameters!B$71-Parameters!$B$5*D181^2/G181*Parameters!B$71,0.0001)</f>
        <v>4.3878806566899238</v>
      </c>
      <c r="I182" s="7">
        <f>I181*(1+Parameters!$B$52)^Parameters!B$71</f>
        <v>13.663077518072859</v>
      </c>
      <c r="J182" s="7">
        <f>J181*(1+Parameters!$B$54)^Parameters!B$71</f>
        <v>306.34221227387326</v>
      </c>
      <c r="K182" s="7">
        <f>'6states'!$N$4</f>
        <v>0.98104277196026479</v>
      </c>
      <c r="L182" s="9">
        <f t="shared" si="31"/>
        <v>0.5</v>
      </c>
      <c r="N182" s="7">
        <f>(Parameters!$B$19*(E182+Parameters!$B$20)^L182+Parameters!$B$18*F182^L182)^(1/L182)</f>
        <v>0.5355640353382114</v>
      </c>
      <c r="O182" s="7">
        <f>(Parameters!$B$10*G182^Parameters!$B$9 + Parameters!$B$11*N182^Parameters!$B$9) ^ (Parameters!$B$7/Parameters!$B$9) * K182</f>
        <v>1.5070074039790049</v>
      </c>
      <c r="P182" s="7">
        <f t="shared" si="30"/>
        <v>1.1491124303638816</v>
      </c>
      <c r="Q182" s="7">
        <f>EXP(-Parameters!$B$56*A182)</f>
        <v>6.8030441830784896E-2</v>
      </c>
      <c r="R182" s="7">
        <f>IF(P182&gt;0,P182^(1-Parameters!$B$53)/(1-Parameters!$B$53)*Q182,-10+P182*1000)</f>
        <v>-0.18514345515129027</v>
      </c>
      <c r="S182" s="7"/>
    </row>
    <row r="183" spans="1:19" x14ac:dyDescent="0.25">
      <c r="A183">
        <f>A182+Parameters!$B$71</f>
        <v>179</v>
      </c>
      <c r="B183" s="9">
        <f t="shared" si="34"/>
        <v>5.191758263687303E-2</v>
      </c>
      <c r="C183" s="9">
        <f t="shared" si="34"/>
        <v>1.0017548050425843E-2</v>
      </c>
      <c r="D183" s="7">
        <f t="shared" si="34"/>
        <v>0.2959598429278244</v>
      </c>
      <c r="E183" s="7">
        <f>MAX((1-Parameters!$B$4)^Parameters!B$71*E182+B182*Parameters!B$71-Parameters!$B$5*B182^2/E182*Parameters!B$71,0.0001)</f>
        <v>0.76972655327254313</v>
      </c>
      <c r="F183" s="9">
        <f>MAX((1-Parameters!$B$4)^Parameters!B$71*F182+C182*Parameters!B$71-Parameters!$B$5*C182^2/F182*Parameters!B$71,0.0001)</f>
        <v>0.14851948550219718</v>
      </c>
      <c r="G183" s="7">
        <f>MAX((1-Parameters!$B$4)^Parameters!B$71*G182+D182*Parameters!B$71-Parameters!$B$5*D182^2/G182*Parameters!B$71,0.0001)</f>
        <v>4.3878804975166306</v>
      </c>
      <c r="I183" s="7">
        <f>I182*(1+Parameters!$B$52)^Parameters!B$71</f>
        <v>13.702700442875269</v>
      </c>
      <c r="J183" s="7">
        <f>J182*(1+Parameters!$B$54)^Parameters!B$71</f>
        <v>312.46905651935072</v>
      </c>
      <c r="K183" s="7">
        <f>'6states'!$N$4</f>
        <v>0.98104277196026479</v>
      </c>
      <c r="L183" s="9">
        <f t="shared" si="31"/>
        <v>0.5</v>
      </c>
      <c r="N183" s="7">
        <f>(Parameters!$B$19*(E183+Parameters!$B$20)^L183+Parameters!$B$18*F183^L183)^(1/L183)</f>
        <v>0.53556401595637315</v>
      </c>
      <c r="O183" s="7">
        <f>(Parameters!$B$10*G183^Parameters!$B$9 + Parameters!$B$11*N183^Parameters!$B$9) ^ (Parameters!$B$7/Parameters!$B$9) * K183</f>
        <v>1.507007387585491</v>
      </c>
      <c r="P183" s="7">
        <f t="shared" si="30"/>
        <v>1.1491124139703679</v>
      </c>
      <c r="Q183" s="7">
        <f>EXP(-Parameters!$B$56*A183)</f>
        <v>6.701089907900426E-2</v>
      </c>
      <c r="R183" s="7">
        <f>IF(P183&gt;0,P183^(1-Parameters!$B$53)/(1-Parameters!$B$53)*Q183,-10+P183*1000)</f>
        <v>-0.18236879132858497</v>
      </c>
      <c r="S183" s="7"/>
    </row>
    <row r="184" spans="1:19" x14ac:dyDescent="0.25">
      <c r="A184">
        <f>A183+Parameters!$B$71</f>
        <v>180</v>
      </c>
      <c r="B184" s="9">
        <f t="shared" si="34"/>
        <v>5.191758263687303E-2</v>
      </c>
      <c r="C184" s="9">
        <f t="shared" si="34"/>
        <v>1.0017548050425843E-2</v>
      </c>
      <c r="D184" s="7">
        <f t="shared" si="34"/>
        <v>0.2959598429278244</v>
      </c>
      <c r="E184" s="7">
        <f>MAX((1-Parameters!$B$4)^Parameters!B$71*E183+B183*Parameters!B$71-Parameters!$B$5*B183^2/E183*Parameters!B$71,0.0001)</f>
        <v>0.76972652668899777</v>
      </c>
      <c r="F184" s="9">
        <f>MAX((1-Parameters!$B$4)^Parameters!B$71*F183+C183*Parameters!B$71-Parameters!$B$5*C183^2/F183*Parameters!B$71,0.0001)</f>
        <v>0.14851948045306729</v>
      </c>
      <c r="G184" s="7">
        <f>MAX((1-Parameters!$B$4)^Parameters!B$71*G183+D183*Parameters!B$71-Parameters!$B$5*D183^2/G183*Parameters!B$71,0.0001)</f>
        <v>4.3878803476311914</v>
      </c>
      <c r="I184" s="7">
        <f>I183*(1+Parameters!$B$52)^Parameters!B$71</f>
        <v>13.742438274159605</v>
      </c>
      <c r="J184" s="7">
        <f>J183*(1+Parameters!$B$54)^Parameters!B$71</f>
        <v>318.71843764973772</v>
      </c>
      <c r="K184" s="7">
        <f>'6states'!$N$4</f>
        <v>0.98104277196026479</v>
      </c>
      <c r="L184" s="9">
        <f t="shared" si="31"/>
        <v>0.5</v>
      </c>
      <c r="N184" s="7">
        <f>(Parameters!$B$19*(E184+Parameters!$B$20)^L184+Parameters!$B$18*F184^L184)^(1/L184)</f>
        <v>0.53556399770547647</v>
      </c>
      <c r="O184" s="7">
        <f>(Parameters!$B$10*G184^Parameters!$B$9 + Parameters!$B$11*N184^Parameters!$B$9) ^ (Parameters!$B$7/Parameters!$B$9) * K184</f>
        <v>1.507007372148548</v>
      </c>
      <c r="P184" s="7">
        <f t="shared" si="30"/>
        <v>1.1491123985334246</v>
      </c>
      <c r="Q184" s="7">
        <f>EXP(-Parameters!$B$56*A184)</f>
        <v>6.6006635772641528E-2</v>
      </c>
      <c r="R184" s="7">
        <f>IF(P184&gt;0,P184^(1-Parameters!$B$53)/(1-Parameters!$B$53)*Q184,-10+P184*1000)</f>
        <v>-0.17963571012424848</v>
      </c>
      <c r="S184" s="7"/>
    </row>
    <row r="185" spans="1:19" x14ac:dyDescent="0.25">
      <c r="A185">
        <f>A184+Parameters!$B$71</f>
        <v>181</v>
      </c>
      <c r="B185" s="9">
        <f t="shared" si="34"/>
        <v>5.191758263687303E-2</v>
      </c>
      <c r="C185" s="9">
        <f t="shared" si="34"/>
        <v>1.0017548050425843E-2</v>
      </c>
      <c r="D185" s="7">
        <f t="shared" si="34"/>
        <v>0.2959598429278244</v>
      </c>
      <c r="E185" s="7">
        <f>MAX((1-Parameters!$B$4)^Parameters!B$71*E184+B184*Parameters!B$71-Parameters!$B$5*B184^2/E184*Parameters!B$71,0.0001)</f>
        <v>0.76972650165661771</v>
      </c>
      <c r="F185" s="9">
        <f>MAX((1-Parameters!$B$4)^Parameters!B$71*F184+C184*Parameters!B$71-Parameters!$B$5*C184^2/F184*Parameters!B$71,0.0001)</f>
        <v>0.14851947569855703</v>
      </c>
      <c r="G185" s="7">
        <f>MAX((1-Parameters!$B$4)^Parameters!B$71*G184+D184*Parameters!B$71-Parameters!$B$5*D184^2/G184*Parameters!B$71,0.0001)</f>
        <v>4.3878802064916549</v>
      </c>
      <c r="I185" s="7">
        <f>I184*(1+Parameters!$B$52)^Parameters!B$71</f>
        <v>13.782291345154666</v>
      </c>
      <c r="J185" s="7">
        <f>J184*(1+Parameters!$B$54)^Parameters!B$71</f>
        <v>325.09280640273249</v>
      </c>
      <c r="K185" s="7">
        <f>'6states'!$N$4</f>
        <v>0.98104277196026479</v>
      </c>
      <c r="L185" s="9">
        <f t="shared" si="31"/>
        <v>0.5</v>
      </c>
      <c r="N185" s="7">
        <f>(Parameters!$B$19*(E185+Parameters!$B$20)^L185+Parameters!$B$18*F185^L185)^(1/L185)</f>
        <v>0.53556398051953003</v>
      </c>
      <c r="O185" s="7">
        <f>(Parameters!$B$10*G185^Parameters!$B$9 + Parameters!$B$11*N185^Parameters!$B$9) ^ (Parameters!$B$7/Parameters!$B$9) * K185</f>
        <v>1.5070073576123593</v>
      </c>
      <c r="P185" s="7">
        <f t="shared" si="30"/>
        <v>1.1491123839972359</v>
      </c>
      <c r="Q185" s="7">
        <f>EXP(-Parameters!$B$56*A185)</f>
        <v>6.5017422925269325E-2</v>
      </c>
      <c r="R185" s="7">
        <f>IF(P185&gt;0,P185^(1-Parameters!$B$53)/(1-Parameters!$B$53)*Q185,-10+P185*1000)</f>
        <v>-0.17694358836237992</v>
      </c>
      <c r="S185" s="7"/>
    </row>
    <row r="186" spans="1:19" x14ac:dyDescent="0.25">
      <c r="A186">
        <f>A185+Parameters!$B$71</f>
        <v>182</v>
      </c>
      <c r="B186" s="9">
        <f t="shared" si="34"/>
        <v>5.191758263687303E-2</v>
      </c>
      <c r="C186" s="9">
        <f t="shared" si="34"/>
        <v>1.0017548050425843E-2</v>
      </c>
      <c r="D186" s="7">
        <f t="shared" si="34"/>
        <v>0.2959598429278244</v>
      </c>
      <c r="E186" s="7">
        <f>MAX((1-Parameters!$B$4)^Parameters!B$71*E185+B185*Parameters!B$71-Parameters!$B$5*B185^2/E185*Parameters!B$71,0.0001)</f>
        <v>0.76972647808489159</v>
      </c>
      <c r="F186" s="9">
        <f>MAX((1-Parameters!$B$4)^Parameters!B$71*F185+C185*Parameters!B$71-Parameters!$B$5*C185^2/F185*Parameters!B$71,0.0001)</f>
        <v>0.14851947122147521</v>
      </c>
      <c r="G186" s="7">
        <f>MAX((1-Parameters!$B$4)^Parameters!B$71*G185+D185*Parameters!B$71-Parameters!$B$5*D185^2/G185*Parameters!B$71,0.0001)</f>
        <v>4.3878800735876915</v>
      </c>
      <c r="I186" s="7">
        <f>I185*(1+Parameters!$B$52)^Parameters!B$71</f>
        <v>13.822259990055613</v>
      </c>
      <c r="J186" s="7">
        <f>J185*(1+Parameters!$B$54)^Parameters!B$71</f>
        <v>331.59466253078716</v>
      </c>
      <c r="K186" s="7">
        <f>'6states'!$N$4</f>
        <v>0.98104277196026479</v>
      </c>
      <c r="L186" s="9">
        <f t="shared" si="31"/>
        <v>0.5</v>
      </c>
      <c r="N186" s="7">
        <f>(Parameters!$B$19*(E186+Parameters!$B$20)^L186+Parameters!$B$18*F186^L186)^(1/L186)</f>
        <v>0.53556396433639375</v>
      </c>
      <c r="O186" s="7">
        <f>(Parameters!$B$10*G186^Parameters!$B$9 + Parameters!$B$11*N186^Parameters!$B$9) ^ (Parameters!$B$7/Parameters!$B$9) * K186</f>
        <v>1.5070073439243648</v>
      </c>
      <c r="P186" s="7">
        <f t="shared" si="30"/>
        <v>1.1491123703092416</v>
      </c>
      <c r="Q186" s="7">
        <f>EXP(-Parameters!$B$56*A186)</f>
        <v>6.4043034982180613E-2</v>
      </c>
      <c r="R186" s="7">
        <f>IF(P186&gt;0,P186^(1-Parameters!$B$53)/(1-Parameters!$B$53)*Q186,-10+P186*1000)</f>
        <v>-0.17429181220599896</v>
      </c>
      <c r="S186" s="7"/>
    </row>
    <row r="187" spans="1:19" x14ac:dyDescent="0.25">
      <c r="A187">
        <f>A186+Parameters!$B$71</f>
        <v>183</v>
      </c>
      <c r="B187" s="9">
        <f t="shared" si="34"/>
        <v>5.191758263687303E-2</v>
      </c>
      <c r="C187" s="9">
        <f t="shared" si="34"/>
        <v>1.0017548050425843E-2</v>
      </c>
      <c r="D187" s="7">
        <f t="shared" si="34"/>
        <v>0.2959598429278244</v>
      </c>
      <c r="E187" s="7">
        <f>MAX((1-Parameters!$B$4)^Parameters!B$71*E186+B186*Parameters!B$71-Parameters!$B$5*B186^2/E186*Parameters!B$71,0.0001)</f>
        <v>0.76972645588858934</v>
      </c>
      <c r="F187" s="9">
        <f>MAX((1-Parameters!$B$4)^Parameters!B$71*F186+C186*Parameters!B$71-Parameters!$B$5*C186^2/F186*Parameters!B$71,0.0001)</f>
        <v>0.14851946700563373</v>
      </c>
      <c r="G187" s="7">
        <f>MAX((1-Parameters!$B$4)^Parameters!B$71*G186+D186*Parameters!B$71-Parameters!$B$5*D186^2/G186*Parameters!B$71,0.0001)</f>
        <v>4.3878799484387523</v>
      </c>
      <c r="I187" s="7">
        <f>I186*(1+Parameters!$B$52)^Parameters!B$71</f>
        <v>13.862344544026774</v>
      </c>
      <c r="J187" s="7">
        <f>J186*(1+Parameters!$B$54)^Parameters!B$71</f>
        <v>338.22655578140291</v>
      </c>
      <c r="K187" s="7">
        <f>'6states'!$N$4</f>
        <v>0.98104277196026479</v>
      </c>
      <c r="L187" s="9">
        <f t="shared" si="31"/>
        <v>0.5</v>
      </c>
      <c r="N187" s="7">
        <f>(Parameters!$B$19*(E187+Parameters!$B$20)^L187+Parameters!$B$18*F187^L187)^(1/L187)</f>
        <v>0.53556394909755278</v>
      </c>
      <c r="O187" s="7">
        <f>(Parameters!$B$10*G187^Parameters!$B$9 + Parameters!$B$11*N187^Parameters!$B$9) ^ (Parameters!$B$7/Parameters!$B$9) * K187</f>
        <v>1.5070073310350731</v>
      </c>
      <c r="P187" s="7">
        <f t="shared" si="30"/>
        <v>1.1491123574199498</v>
      </c>
      <c r="Q187" s="7">
        <f>EXP(-Parameters!$B$56*A187)</f>
        <v>6.3083249768959085E-2</v>
      </c>
      <c r="R187" s="7">
        <f>IF(P187&gt;0,P187^(1-Parameters!$B$53)/(1-Parameters!$B$53)*Q187,-10+P187*1000)</f>
        <v>-0.17167977701711304</v>
      </c>
      <c r="S187" s="7"/>
    </row>
    <row r="188" spans="1:19" x14ac:dyDescent="0.25">
      <c r="A188">
        <f>A187+Parameters!$B$71</f>
        <v>184</v>
      </c>
      <c r="B188" s="9">
        <f t="shared" si="34"/>
        <v>5.191758263687303E-2</v>
      </c>
      <c r="C188" s="9">
        <f t="shared" si="34"/>
        <v>1.0017548050425843E-2</v>
      </c>
      <c r="D188" s="7">
        <f t="shared" si="34"/>
        <v>0.2959598429278244</v>
      </c>
      <c r="E188" s="7">
        <f>MAX((1-Parameters!$B$4)^Parameters!B$71*E187+B187*Parameters!B$71-Parameters!$B$5*B187^2/E187*Parameters!B$71,0.0001)</f>
        <v>0.76972643498745419</v>
      </c>
      <c r="F188" s="9">
        <f>MAX((1-Parameters!$B$4)^Parameters!B$71*F187+C187*Parameters!B$71-Parameters!$B$5*C187^2/F187*Parameters!B$71,0.0001)</f>
        <v>0.14851946303578906</v>
      </c>
      <c r="G188" s="7">
        <f>MAX((1-Parameters!$B$4)^Parameters!B$71*G187+D187*Parameters!B$71-Parameters!$B$5*D187^2/G187*Parameters!B$71,0.0001)</f>
        <v>4.3878798305923263</v>
      </c>
      <c r="I188" s="7">
        <f>I187*(1+Parameters!$B$52)^Parameters!B$71</f>
        <v>13.90254534320445</v>
      </c>
      <c r="J188" s="7">
        <f>J187*(1+Parameters!$B$54)^Parameters!B$71</f>
        <v>344.99108689703098</v>
      </c>
      <c r="K188" s="7">
        <f>'6states'!$N$4</f>
        <v>0.98104277196026479</v>
      </c>
      <c r="L188" s="9">
        <f t="shared" si="31"/>
        <v>0.5</v>
      </c>
      <c r="N188" s="7">
        <f>(Parameters!$B$19*(E188+Parameters!$B$20)^L188+Parameters!$B$18*F188^L188)^(1/L188)</f>
        <v>0.53556393474790687</v>
      </c>
      <c r="O188" s="7">
        <f>(Parameters!$B$10*G188^Parameters!$B$9 + Parameters!$B$11*N188^Parameters!$B$9) ^ (Parameters!$B$7/Parameters!$B$9) * K188</f>
        <v>1.5070073188978785</v>
      </c>
      <c r="P188" s="7">
        <f t="shared" si="30"/>
        <v>1.1491123452827554</v>
      </c>
      <c r="Q188" s="7">
        <f>EXP(-Parameters!$B$56*A188)</f>
        <v>6.2137848440820063E-2</v>
      </c>
      <c r="R188" s="7">
        <f>IF(P188&gt;0,P188^(1-Parameters!$B$53)/(1-Parameters!$B$53)*Q188,-10+P188*1000)</f>
        <v>-0.16910688721887887</v>
      </c>
      <c r="S188" s="7"/>
    </row>
    <row r="189" spans="1:19" x14ac:dyDescent="0.25">
      <c r="A189">
        <f>A188+Parameters!$B$71</f>
        <v>185</v>
      </c>
      <c r="B189" s="9">
        <f t="shared" si="34"/>
        <v>5.191758263687303E-2</v>
      </c>
      <c r="C189" s="9">
        <f t="shared" si="34"/>
        <v>1.0017548050425843E-2</v>
      </c>
      <c r="D189" s="7">
        <f t="shared" si="34"/>
        <v>0.2959598429278244</v>
      </c>
      <c r="E189" s="7">
        <f>MAX((1-Parameters!$B$4)^Parameters!B$71*E188+B188*Parameters!B$71-Parameters!$B$5*B188^2/E188*Parameters!B$71,0.0001)</f>
        <v>0.76972641530591235</v>
      </c>
      <c r="F189" s="9">
        <f>MAX((1-Parameters!$B$4)^Parameters!B$71*F188+C188*Parameters!B$71-Parameters!$B$5*C188^2/F188*Parameters!B$71,0.0001)</f>
        <v>0.14851945929758711</v>
      </c>
      <c r="G189" s="7">
        <f>MAX((1-Parameters!$B$4)^Parameters!B$71*G188+D188*Parameters!B$71-Parameters!$B$5*D188^2/G188*Parameters!B$71,0.0001)</f>
        <v>4.3878797196223074</v>
      </c>
      <c r="I189" s="7">
        <f>I188*(1+Parameters!$B$52)^Parameters!B$71</f>
        <v>13.942862724699742</v>
      </c>
      <c r="J189" s="7">
        <f>J188*(1+Parameters!$B$54)^Parameters!B$71</f>
        <v>351.89090863497159</v>
      </c>
      <c r="K189" s="7">
        <f>'6states'!$N$4</f>
        <v>0.98104277196026479</v>
      </c>
      <c r="L189" s="9">
        <f t="shared" si="31"/>
        <v>0.5</v>
      </c>
      <c r="N189" s="7">
        <f>(Parameters!$B$19*(E189+Parameters!$B$20)^L189+Parameters!$B$18*F189^L189)^(1/L189)</f>
        <v>0.53556392123557139</v>
      </c>
      <c r="O189" s="7">
        <f>(Parameters!$B$10*G189^Parameters!$B$9 + Parameters!$B$11*N189^Parameters!$B$9) ^ (Parameters!$B$7/Parameters!$B$9) * K189</f>
        <v>1.5070073074688961</v>
      </c>
      <c r="P189" s="7">
        <f t="shared" si="30"/>
        <v>1.1491123338537728</v>
      </c>
      <c r="Q189" s="7">
        <f>EXP(-Parameters!$B$56*A189)</f>
        <v>6.1206615432710852E-2</v>
      </c>
      <c r="R189" s="7">
        <f>IF(P189&gt;0,P189^(1-Parameters!$B$53)/(1-Parameters!$B$53)*Q189,-10+P189*1000)</f>
        <v>-0.16657255615982883</v>
      </c>
      <c r="S189" s="7"/>
    </row>
    <row r="190" spans="1:19" x14ac:dyDescent="0.25">
      <c r="A190">
        <f>A189+Parameters!$B$71</f>
        <v>186</v>
      </c>
      <c r="B190" s="9">
        <f t="shared" si="34"/>
        <v>5.191758263687303E-2</v>
      </c>
      <c r="C190" s="9">
        <f t="shared" si="34"/>
        <v>1.0017548050425843E-2</v>
      </c>
      <c r="D190" s="7">
        <f t="shared" si="34"/>
        <v>0.2959598429278244</v>
      </c>
      <c r="E190" s="7">
        <f>MAX((1-Parameters!$B$4)^Parameters!B$71*E189+B189*Parameters!B$71-Parameters!$B$5*B189^2/E189*Parameters!B$71,0.0001)</f>
        <v>0.76972639677279986</v>
      </c>
      <c r="F190" s="9">
        <f>MAX((1-Parameters!$B$4)^Parameters!B$71*F189+C189*Parameters!B$71-Parameters!$B$5*C189^2/F189*Parameters!B$71,0.0001)</f>
        <v>0.14851945577751138</v>
      </c>
      <c r="G190" s="7">
        <f>MAX((1-Parameters!$B$4)^Parameters!B$71*G189+D189*Parameters!B$71-Parameters!$B$5*D189^2/G189*Parameters!B$71,0.0001)</f>
        <v>4.3878796151274528</v>
      </c>
      <c r="I190" s="7">
        <f>I189*(1+Parameters!$B$52)^Parameters!B$71</f>
        <v>13.98329702660137</v>
      </c>
      <c r="J190" s="7">
        <f>J189*(1+Parameters!$B$54)^Parameters!B$71</f>
        <v>358.92872680767101</v>
      </c>
      <c r="K190" s="7">
        <f>'6states'!$N$4</f>
        <v>0.98104277196026479</v>
      </c>
      <c r="L190" s="9">
        <f t="shared" si="31"/>
        <v>0.5</v>
      </c>
      <c r="N190" s="7">
        <f>(Parameters!$B$19*(E190+Parameters!$B$20)^L190+Parameters!$B$18*F190^L190)^(1/L190)</f>
        <v>0.53556390851168834</v>
      </c>
      <c r="O190" s="7">
        <f>(Parameters!$B$10*G190^Parameters!$B$9 + Parameters!$B$11*N190^Parameters!$B$9) ^ (Parameters!$B$7/Parameters!$B$9) * K190</f>
        <v>1.5070072967068013</v>
      </c>
      <c r="P190" s="7">
        <f t="shared" si="30"/>
        <v>1.149112323091678</v>
      </c>
      <c r="Q190" s="7">
        <f>EXP(-Parameters!$B$56*A190)</f>
        <v>6.0289338410158787E-2</v>
      </c>
      <c r="R190" s="7">
        <f>IF(P190&gt;0,P190^(1-Parameters!$B$53)/(1-Parameters!$B$53)*Q190,-10+P190*1000)</f>
        <v>-0.16407620598013012</v>
      </c>
      <c r="S190" s="7"/>
    </row>
    <row r="191" spans="1:19" x14ac:dyDescent="0.25">
      <c r="A191">
        <f>A190+Parameters!$B$71</f>
        <v>187</v>
      </c>
      <c r="B191" s="9">
        <f t="shared" si="34"/>
        <v>5.191758263687303E-2</v>
      </c>
      <c r="C191" s="9">
        <f t="shared" si="34"/>
        <v>1.0017548050425843E-2</v>
      </c>
      <c r="D191" s="7">
        <f t="shared" si="34"/>
        <v>0.2959598429278244</v>
      </c>
      <c r="E191" s="7">
        <f>MAX((1-Parameters!$B$4)^Parameters!B$71*E190+B190*Parameters!B$71-Parameters!$B$5*B190^2/E190*Parameters!B$71,0.0001)</f>
        <v>0.76972637932110521</v>
      </c>
      <c r="F191" s="9">
        <f>MAX((1-Parameters!$B$4)^Parameters!B$71*F190+C190*Parameters!B$71-Parameters!$B$5*C190^2/F190*Parameters!B$71,0.0001)</f>
        <v>0.14851945246283413</v>
      </c>
      <c r="G191" s="7">
        <f>MAX((1-Parameters!$B$4)^Parameters!B$71*G190+D190*Parameters!B$71-Parameters!$B$5*D190^2/G190*Parameters!B$71,0.0001)</f>
        <v>4.3878795167299334</v>
      </c>
      <c r="I191" s="7">
        <f>I190*(1+Parameters!$B$52)^Parameters!B$71</f>
        <v>14.023848587978513</v>
      </c>
      <c r="J191" s="7">
        <f>J190*(1+Parameters!$B$54)^Parameters!B$71</f>
        <v>366.10730134382442</v>
      </c>
      <c r="K191" s="7">
        <f>'6states'!$N$4</f>
        <v>0.98104277196026479</v>
      </c>
      <c r="L191" s="9">
        <f t="shared" si="31"/>
        <v>0.5</v>
      </c>
      <c r="N191" s="7">
        <f>(Parameters!$B$19*(E191+Parameters!$B$20)^L191+Parameters!$B$18*F191^L191)^(1/L191)</f>
        <v>0.53556389653025105</v>
      </c>
      <c r="O191" s="7">
        <f>(Parameters!$B$10*G191^Parameters!$B$9 + Parameters!$B$11*N191^Parameters!$B$9) ^ (Parameters!$B$7/Parameters!$B$9) * K191</f>
        <v>1.5070072865726805</v>
      </c>
      <c r="P191" s="7">
        <f t="shared" si="30"/>
        <v>1.1491123129575573</v>
      </c>
      <c r="Q191" s="7">
        <f>EXP(-Parameters!$B$56*A191)</f>
        <v>5.9385808220855908E-2</v>
      </c>
      <c r="R191" s="7">
        <f>IF(P191&gt;0,P191^(1-Parameters!$B$53)/(1-Parameters!$B$53)*Q191,-10+P191*1000)</f>
        <v>-0.16161726747984706</v>
      </c>
      <c r="S191" s="7"/>
    </row>
    <row r="192" spans="1:19" x14ac:dyDescent="0.25">
      <c r="A192">
        <f>A191+Parameters!$B$71</f>
        <v>188</v>
      </c>
      <c r="B192" s="9">
        <f t="shared" ref="B192:D204" si="35">B191</f>
        <v>5.191758263687303E-2</v>
      </c>
      <c r="C192" s="9">
        <f t="shared" si="35"/>
        <v>1.0017548050425843E-2</v>
      </c>
      <c r="D192" s="7">
        <f t="shared" si="35"/>
        <v>0.2959598429278244</v>
      </c>
      <c r="E192" s="7">
        <f>MAX((1-Parameters!$B$4)^Parameters!B$71*E191+B191*Parameters!B$71-Parameters!$B$5*B191^2/E191*Parameters!B$71,0.0001)</f>
        <v>0.76972636288772711</v>
      </c>
      <c r="F192" s="9">
        <f>MAX((1-Parameters!$B$4)^Parameters!B$71*F191+C191*Parameters!B$71-Parameters!$B$5*C191^2/F191*Parameters!B$71,0.0001)</f>
        <v>0.14851944934157021</v>
      </c>
      <c r="G192" s="7">
        <f>MAX((1-Parameters!$B$4)^Parameters!B$71*G191+D191*Parameters!B$71-Parameters!$B$5*D191^2/G191*Parameters!B$71,0.0001)</f>
        <v>4.387879424073966</v>
      </c>
      <c r="I192" s="7">
        <f>I191*(1+Parameters!$B$52)^Parameters!B$71</f>
        <v>14.064517748883649</v>
      </c>
      <c r="J192" s="7">
        <f>J191*(1+Parameters!$B$54)^Parameters!B$71</f>
        <v>373.42944737070093</v>
      </c>
      <c r="K192" s="7">
        <f>'6states'!$N$4</f>
        <v>0.98104277196026479</v>
      </c>
      <c r="L192" s="9">
        <f t="shared" si="31"/>
        <v>0.5</v>
      </c>
      <c r="N192" s="7">
        <f>(Parameters!$B$19*(E192+Parameters!$B$20)^L192+Parameters!$B$18*F192^L192)^(1/L192)</f>
        <v>0.53556388524793785</v>
      </c>
      <c r="O192" s="7">
        <f>(Parameters!$B$10*G192^Parameters!$B$9 + Parameters!$B$11*N192^Parameters!$B$9) ^ (Parameters!$B$7/Parameters!$B$9) * K192</f>
        <v>1.5070072770298917</v>
      </c>
      <c r="P192" s="7">
        <f t="shared" si="30"/>
        <v>1.1491123034147686</v>
      </c>
      <c r="Q192" s="7">
        <f>EXP(-Parameters!$B$56*A192)</f>
        <v>5.8495818846969333E-2</v>
      </c>
      <c r="R192" s="7">
        <f>IF(P192&gt;0,P192^(1-Parameters!$B$53)/(1-Parameters!$B$53)*Q192,-10+P192*1000)</f>
        <v>-0.15919517998917607</v>
      </c>
      <c r="S192" s="7"/>
    </row>
    <row r="193" spans="1:19" x14ac:dyDescent="0.25">
      <c r="A193">
        <f>A192+Parameters!$B$71</f>
        <v>189</v>
      </c>
      <c r="B193" s="9">
        <f t="shared" si="35"/>
        <v>5.191758263687303E-2</v>
      </c>
      <c r="C193" s="9">
        <f t="shared" si="35"/>
        <v>1.0017548050425843E-2</v>
      </c>
      <c r="D193" s="7">
        <f t="shared" si="35"/>
        <v>0.2959598429278244</v>
      </c>
      <c r="E193" s="7">
        <f>MAX((1-Parameters!$B$4)^Parameters!B$71*E192+B192*Parameters!B$71-Parameters!$B$5*B192^2/E192*Parameters!B$71,0.0001)</f>
        <v>0.76972634741324608</v>
      </c>
      <c r="F193" s="9">
        <f>MAX((1-Parameters!$B$4)^Parameters!B$71*F192+C192*Parameters!B$71-Parameters!$B$5*C192^2/F192*Parameters!B$71,0.0001)</f>
        <v>0.14851944640243386</v>
      </c>
      <c r="G193" s="7">
        <f>MAX((1-Parameters!$B$4)^Parameters!B$71*G192+D192*Parameters!B$71-Parameters!$B$5*D192^2/G192*Parameters!B$71,0.0001)</f>
        <v>4.3878793368245281</v>
      </c>
      <c r="I193" s="7">
        <f>I192*(1+Parameters!$B$52)^Parameters!B$71</f>
        <v>14.105304850355409</v>
      </c>
      <c r="J193" s="7">
        <f>J192*(1+Parameters!$B$54)^Parameters!B$71</f>
        <v>380.89803631811498</v>
      </c>
      <c r="K193" s="7">
        <f>'6states'!$N$4</f>
        <v>0.98104277196026479</v>
      </c>
      <c r="L193" s="9">
        <f t="shared" si="31"/>
        <v>0.5</v>
      </c>
      <c r="N193" s="7">
        <f>(Parameters!$B$19*(E193+Parameters!$B$20)^L193+Parameters!$B$18*F193^L193)^(1/L193)</f>
        <v>0.53556387462395405</v>
      </c>
      <c r="O193" s="7">
        <f>(Parameters!$B$10*G193^Parameters!$B$9 + Parameters!$B$11*N193^Parameters!$B$9) ^ (Parameters!$B$7/Parameters!$B$9) * K193</f>
        <v>1.5070072680439297</v>
      </c>
      <c r="P193" s="7">
        <f t="shared" si="30"/>
        <v>1.1491122944288064</v>
      </c>
      <c r="Q193" s="7">
        <f>EXP(-Parameters!$B$56*A193)</f>
        <v>5.7619167358166093E-2</v>
      </c>
      <c r="R193" s="7">
        <f>IF(P193&gt;0,P193^(1-Parameters!$B$53)/(1-Parameters!$B$53)*Q193,-10+P193*1000)</f>
        <v>-0.1568093912406244</v>
      </c>
      <c r="S193" s="7"/>
    </row>
    <row r="194" spans="1:19" x14ac:dyDescent="0.25">
      <c r="A194">
        <f>A193+Parameters!$B$71</f>
        <v>190</v>
      </c>
      <c r="B194" s="9">
        <f t="shared" si="35"/>
        <v>5.191758263687303E-2</v>
      </c>
      <c r="C194" s="9">
        <f t="shared" si="35"/>
        <v>1.0017548050425843E-2</v>
      </c>
      <c r="D194" s="7">
        <f t="shared" si="35"/>
        <v>0.2959598429278244</v>
      </c>
      <c r="E194" s="7">
        <f>MAX((1-Parameters!$B$4)^Parameters!B$71*E193+B193*Parameters!B$71-Parameters!$B$5*B193^2/E193*Parameters!B$71,0.0001)</f>
        <v>0.76972633284170999</v>
      </c>
      <c r="F194" s="9">
        <f>MAX((1-Parameters!$B$4)^Parameters!B$71*F193+C193*Parameters!B$71-Parameters!$B$5*C193^2/F193*Parameters!B$71,0.0001)</f>
        <v>0.1485194436347978</v>
      </c>
      <c r="G194" s="7">
        <f>MAX((1-Parameters!$B$4)^Parameters!B$71*G193+D193*Parameters!B$71-Parameters!$B$5*D193^2/G193*Parameters!B$71,0.0001)</f>
        <v>4.3878792546661449</v>
      </c>
      <c r="I194" s="7">
        <f>I193*(1+Parameters!$B$52)^Parameters!B$71</f>
        <v>14.146210234421439</v>
      </c>
      <c r="J194" s="7">
        <f>J193*(1+Parameters!$B$54)^Parameters!B$71</f>
        <v>388.51599704447727</v>
      </c>
      <c r="K194" s="7">
        <f>'6states'!$N$4</f>
        <v>0.98104277196026479</v>
      </c>
      <c r="L194" s="9">
        <f t="shared" si="31"/>
        <v>0.5</v>
      </c>
      <c r="N194" s="7">
        <f>(Parameters!$B$19*(E194+Parameters!$B$20)^L194+Parameters!$B$18*F194^L194)^(1/L194)</f>
        <v>0.53556386461988592</v>
      </c>
      <c r="O194" s="7">
        <f>(Parameters!$B$10*G194^Parameters!$B$9 + Parameters!$B$11*N194^Parameters!$B$9) ^ (Parameters!$B$7/Parameters!$B$9) * K194</f>
        <v>1.5070072595823041</v>
      </c>
      <c r="P194" s="7">
        <f t="shared" si="30"/>
        <v>1.1491122859671807</v>
      </c>
      <c r="Q194" s="7">
        <f>EXP(-Parameters!$B$56*A194)</f>
        <v>5.6755653865342197E-2</v>
      </c>
      <c r="R194" s="7">
        <f>IF(P194&gt;0,P194^(1-Parameters!$B$53)/(1-Parameters!$B$53)*Q194,-10+P194*1000)</f>
        <v>-0.15445935724310289</v>
      </c>
      <c r="S194" s="7"/>
    </row>
    <row r="195" spans="1:19" x14ac:dyDescent="0.25">
      <c r="A195">
        <f>A194+Parameters!$B$71</f>
        <v>191</v>
      </c>
      <c r="B195" s="9">
        <f t="shared" si="35"/>
        <v>5.191758263687303E-2</v>
      </c>
      <c r="C195" s="9">
        <f t="shared" si="35"/>
        <v>1.0017548050425843E-2</v>
      </c>
      <c r="D195" s="7">
        <f t="shared" si="35"/>
        <v>0.2959598429278244</v>
      </c>
      <c r="E195" s="7">
        <f>MAX((1-Parameters!$B$4)^Parameters!B$71*E194+B194*Parameters!B$71-Parameters!$B$5*B194^2/E194*Parameters!B$71,0.0001)</f>
        <v>0.76972631912043143</v>
      </c>
      <c r="F195" s="9">
        <f>MAX((1-Parameters!$B$4)^Parameters!B$71*F194+C194*Parameters!B$71-Parameters!$B$5*C194^2/F194*Parameters!B$71,0.0001)</f>
        <v>0.14851944102865491</v>
      </c>
      <c r="G195" s="7">
        <f>MAX((1-Parameters!$B$4)^Parameters!B$71*G194+D194*Parameters!B$71-Parameters!$B$5*D194^2/G194*Parameters!B$71,0.0001)</f>
        <v>4.3878791773017509</v>
      </c>
      <c r="I195" s="7">
        <f>I194*(1+Parameters!$B$52)^Parameters!B$71</f>
        <v>14.18723424410126</v>
      </c>
      <c r="J195" s="7">
        <f>J194*(1+Parameters!$B$54)^Parameters!B$71</f>
        <v>396.28631698536685</v>
      </c>
      <c r="K195" s="7">
        <f>'6states'!$N$4</f>
        <v>0.98104277196026479</v>
      </c>
      <c r="L195" s="9">
        <f t="shared" si="31"/>
        <v>0.5</v>
      </c>
      <c r="N195" s="7">
        <f>(Parameters!$B$19*(E195+Parameters!$B$20)^L195+Parameters!$B$18*F195^L195)^(1/L195)</f>
        <v>0.53556385519956096</v>
      </c>
      <c r="O195" s="7">
        <f>(Parameters!$B$10*G195^Parameters!$B$9 + Parameters!$B$11*N195^Parameters!$B$9) ^ (Parameters!$B$7/Parameters!$B$9) * K195</f>
        <v>1.5070072516144188</v>
      </c>
      <c r="P195" s="7">
        <f t="shared" si="30"/>
        <v>1.1491122779992957</v>
      </c>
      <c r="Q195" s="7">
        <f>EXP(-Parameters!$B$56*A195)</f>
        <v>5.5905081475045089E-2</v>
      </c>
      <c r="R195" s="7">
        <f>IF(P195&gt;0,P195^(1-Parameters!$B$53)/(1-Parameters!$B$53)*Q195,-10+P195*1000)</f>
        <v>-0.15214454215790538</v>
      </c>
      <c r="S195" s="7"/>
    </row>
    <row r="196" spans="1:19" x14ac:dyDescent="0.25">
      <c r="A196">
        <f>A195+Parameters!$B$71</f>
        <v>192</v>
      </c>
      <c r="B196" s="9">
        <f t="shared" si="35"/>
        <v>5.191758263687303E-2</v>
      </c>
      <c r="C196" s="9">
        <f t="shared" si="35"/>
        <v>1.0017548050425843E-2</v>
      </c>
      <c r="D196" s="7">
        <f t="shared" si="35"/>
        <v>0.2959598429278244</v>
      </c>
      <c r="E196" s="7">
        <f>MAX((1-Parameters!$B$4)^Parameters!B$71*E195+B195*Parameters!B$71-Parameters!$B$5*B195^2/E195*Parameters!B$71,0.0001)</f>
        <v>0.76972630619979743</v>
      </c>
      <c r="F196" s="9">
        <f>MAX((1-Parameters!$B$4)^Parameters!B$71*F195+C195*Parameters!B$71-Parameters!$B$5*C195^2/F195*Parameters!B$71,0.0001)</f>
        <v>0.14851943857458194</v>
      </c>
      <c r="G196" s="7">
        <f>MAX((1-Parameters!$B$4)^Parameters!B$71*G195+D195*Parameters!B$71-Parameters!$B$5*D195^2/G195*Parameters!B$71,0.0001)</f>
        <v>4.3878791044516143</v>
      </c>
      <c r="I196" s="7">
        <f>I195*(1+Parameters!$B$52)^Parameters!B$71</f>
        <v>14.228377223409153</v>
      </c>
      <c r="J196" s="7">
        <f>J195*(1+Parameters!$B$54)^Parameters!B$71</f>
        <v>404.21204332507421</v>
      </c>
      <c r="K196" s="7">
        <f>'6states'!$N$4</f>
        <v>0.98104277196026479</v>
      </c>
      <c r="L196" s="9">
        <f t="shared" si="31"/>
        <v>0.5</v>
      </c>
      <c r="N196" s="7">
        <f>(Parameters!$B$19*(E196+Parameters!$B$20)^L196+Parameters!$B$18*F196^L196)^(1/L196)</f>
        <v>0.53556384632891729</v>
      </c>
      <c r="O196" s="7">
        <f>(Parameters!$B$10*G196^Parameters!$B$9 + Parameters!$B$11*N196^Parameters!$B$9) ^ (Parameters!$B$7/Parameters!$B$9) * K196</f>
        <v>1.5070072441114641</v>
      </c>
      <c r="P196" s="7">
        <f t="shared" ref="P196:P259" si="36">O196-B196-C196-D196</f>
        <v>1.149112270496341</v>
      </c>
      <c r="Q196" s="7">
        <f>EXP(-Parameters!$B$56*A196)</f>
        <v>5.5067256244579005E-2</v>
      </c>
      <c r="R196" s="7">
        <f>IF(P196&gt;0,P196^(1-Parameters!$B$53)/(1-Parameters!$B$53)*Q196,-10+P196*1000)</f>
        <v>-0.14986441817654461</v>
      </c>
      <c r="S196" s="7"/>
    </row>
    <row r="197" spans="1:19" x14ac:dyDescent="0.25">
      <c r="A197">
        <f>A196+Parameters!$B$71</f>
        <v>193</v>
      </c>
      <c r="B197" s="9">
        <f t="shared" si="35"/>
        <v>5.191758263687303E-2</v>
      </c>
      <c r="C197" s="9">
        <f t="shared" si="35"/>
        <v>1.0017548050425843E-2</v>
      </c>
      <c r="D197" s="7">
        <f t="shared" si="35"/>
        <v>0.2959598429278244</v>
      </c>
      <c r="E197" s="7">
        <f>MAX((1-Parameters!$B$4)^Parameters!B$71*E196+B196*Parameters!B$71-Parameters!$B$5*B196^2/E196*Parameters!B$71,0.0001)</f>
        <v>0.7697262940330899</v>
      </c>
      <c r="F197" s="9">
        <f>MAX((1-Parameters!$B$4)^Parameters!B$71*F196+C196*Parameters!B$71-Parameters!$B$5*C196^2/F196*Parameters!B$71,0.0001)</f>
        <v>0.14851943626370556</v>
      </c>
      <c r="G197" s="7">
        <f>MAX((1-Parameters!$B$4)^Parameters!B$71*G196+D196*Parameters!B$71-Parameters!$B$5*D196^2/G196*Parameters!B$71,0.0001)</f>
        <v>4.3878790358523254</v>
      </c>
      <c r="I197" s="7">
        <f>I196*(1+Parameters!$B$52)^Parameters!B$71</f>
        <v>14.269639517357037</v>
      </c>
      <c r="J197" s="7">
        <f>J196*(1+Parameters!$B$54)^Parameters!B$71</f>
        <v>412.29628419157569</v>
      </c>
      <c r="K197" s="7">
        <f>'6states'!$N$4</f>
        <v>0.98104277196026479</v>
      </c>
      <c r="L197" s="9">
        <f t="shared" si="31"/>
        <v>0.5</v>
      </c>
      <c r="N197" s="7">
        <f>(Parameters!$B$19*(E197+Parameters!$B$20)^L197+Parameters!$B$18*F197^L197)^(1/L197)</f>
        <v>0.53556383797588081</v>
      </c>
      <c r="O197" s="7">
        <f>(Parameters!$B$10*G197^Parameters!$B$9 + Parameters!$B$11*N197^Parameters!$B$9) ^ (Parameters!$B$7/Parameters!$B$9) * K197</f>
        <v>1.5070072370463112</v>
      </c>
      <c r="P197" s="7">
        <f t="shared" si="36"/>
        <v>1.1491122634311881</v>
      </c>
      <c r="Q197" s="7">
        <f>EXP(-Parameters!$B$56*A197)</f>
        <v>5.4241987137783339E-2</v>
      </c>
      <c r="R197" s="7">
        <f>IF(P197&gt;0,P197^(1-Parameters!$B$53)/(1-Parameters!$B$53)*Q197,-10+P197*1000)</f>
        <v>-0.14761846540041904</v>
      </c>
      <c r="S197" s="7"/>
    </row>
    <row r="198" spans="1:19" x14ac:dyDescent="0.25">
      <c r="A198">
        <f>A197+Parameters!$B$71</f>
        <v>194</v>
      </c>
      <c r="B198" s="9">
        <f t="shared" si="35"/>
        <v>5.191758263687303E-2</v>
      </c>
      <c r="C198" s="9">
        <f t="shared" si="35"/>
        <v>1.0017548050425843E-2</v>
      </c>
      <c r="D198" s="7">
        <f t="shared" si="35"/>
        <v>0.2959598429278244</v>
      </c>
      <c r="E198" s="7">
        <f>MAX((1-Parameters!$B$4)^Parameters!B$71*E197+B197*Parameters!B$71-Parameters!$B$5*B197^2/E197*Parameters!B$71,0.0001)</f>
        <v>0.7697262825763167</v>
      </c>
      <c r="F198" s="9">
        <f>MAX((1-Parameters!$B$4)^Parameters!B$71*F197+C197*Parameters!B$71-Parameters!$B$5*C197^2/F197*Parameters!B$71,0.0001)</f>
        <v>0.14851943408767015</v>
      </c>
      <c r="G198" s="7">
        <f>MAX((1-Parameters!$B$4)^Parameters!B$71*G197+D197*Parameters!B$71-Parameters!$B$5*D197^2/G197*Parameters!B$71,0.0001)</f>
        <v>4.3878789712558444</v>
      </c>
      <c r="I198" s="7">
        <f>I197*(1+Parameters!$B$52)^Parameters!B$71</f>
        <v>14.311021471957371</v>
      </c>
      <c r="J198" s="7">
        <f>J197*(1+Parameters!$B$54)^Parameters!B$71</f>
        <v>420.5422098754072</v>
      </c>
      <c r="K198" s="7">
        <f>'6states'!$N$4</f>
        <v>0.98104277196026479</v>
      </c>
      <c r="L198" s="9">
        <f t="shared" ref="L198:L204" si="37">L197</f>
        <v>0.5</v>
      </c>
      <c r="N198" s="7">
        <f>(Parameters!$B$19*(E198+Parameters!$B$20)^L198+Parameters!$B$18*F198^L198)^(1/L198)</f>
        <v>0.53556383011024877</v>
      </c>
      <c r="O198" s="7">
        <f>(Parameters!$B$10*G198^Parameters!$B$9 + Parameters!$B$11*N198^Parameters!$B$9) ^ (Parameters!$B$7/Parameters!$B$9) * K198</f>
        <v>1.5070072303934139</v>
      </c>
      <c r="P198" s="7">
        <f t="shared" si="36"/>
        <v>1.1491122567782908</v>
      </c>
      <c r="Q198" s="7">
        <f>EXP(-Parameters!$B$56*A198)</f>
        <v>5.3429085981473647E-2</v>
      </c>
      <c r="R198" s="7">
        <f>IF(P198&gt;0,P198^(1-Parameters!$B$53)/(1-Parameters!$B$53)*Q198,-10+P198*1000)</f>
        <v>-0.14540617172228165</v>
      </c>
      <c r="S198" s="7"/>
    </row>
    <row r="199" spans="1:19" x14ac:dyDescent="0.25">
      <c r="A199">
        <f>A198+Parameters!$B$71</f>
        <v>195</v>
      </c>
      <c r="B199" s="9">
        <f t="shared" si="35"/>
        <v>5.191758263687303E-2</v>
      </c>
      <c r="C199" s="9">
        <f t="shared" si="35"/>
        <v>1.0017548050425843E-2</v>
      </c>
      <c r="D199" s="7">
        <f t="shared" si="35"/>
        <v>0.2959598429278244</v>
      </c>
      <c r="E199" s="7">
        <f>MAX((1-Parameters!$B$4)^Parameters!B$71*E198+B198*Parameters!B$71-Parameters!$B$5*B198^2/E198*Parameters!B$71,0.0001)</f>
        <v>0.76972627178805286</v>
      </c>
      <c r="F199" s="9">
        <f>MAX((1-Parameters!$B$4)^Parameters!B$71*F198+C198*Parameters!B$71-Parameters!$B$5*C198^2/F198*Parameters!B$71,0.0001)</f>
        <v>0.14851943203860768</v>
      </c>
      <c r="G199" s="7">
        <f>MAX((1-Parameters!$B$4)^Parameters!B$71*G198+D198*Parameters!B$71-Parameters!$B$5*D198^2/G198*Parameters!B$71,0.0001)</f>
        <v>4.387878910428606</v>
      </c>
      <c r="I199" s="7">
        <f>I198*(1+Parameters!$B$52)^Parameters!B$71</f>
        <v>14.352523434226047</v>
      </c>
      <c r="J199" s="7">
        <f>J198*(1+Parameters!$B$54)^Parameters!B$71</f>
        <v>428.95305407291534</v>
      </c>
      <c r="K199" s="7">
        <f>'6states'!$N$4</f>
        <v>0.98104277196026479</v>
      </c>
      <c r="L199" s="9">
        <f t="shared" si="37"/>
        <v>0.5</v>
      </c>
      <c r="N199" s="7">
        <f>(Parameters!$B$19*(E199+Parameters!$B$20)^L199+Parameters!$B$18*F199^L199)^(1/L199)</f>
        <v>0.53556382270358105</v>
      </c>
      <c r="O199" s="7">
        <f>(Parameters!$B$10*G199^Parameters!$B$9 + Parameters!$B$11*N199^Parameters!$B$9) ^ (Parameters!$B$7/Parameters!$B$9) * K199</f>
        <v>1.5070072241287171</v>
      </c>
      <c r="P199" s="7">
        <f t="shared" si="36"/>
        <v>1.149112250513594</v>
      </c>
      <c r="Q199" s="7">
        <f>EXP(-Parameters!$B$56*A199)</f>
        <v>5.2628367422535426E-2</v>
      </c>
      <c r="R199" s="7">
        <f>IF(P199&gt;0,P199^(1-Parameters!$B$53)/(1-Parameters!$B$53)*Q199,-10+P199*1000)</f>
        <v>-0.1432270327094845</v>
      </c>
      <c r="S199" s="7"/>
    </row>
    <row r="200" spans="1:19" x14ac:dyDescent="0.25">
      <c r="A200">
        <f>A199+Parameters!$B$71</f>
        <v>196</v>
      </c>
      <c r="B200" s="9">
        <f t="shared" si="35"/>
        <v>5.191758263687303E-2</v>
      </c>
      <c r="C200" s="9">
        <f t="shared" si="35"/>
        <v>1.0017548050425843E-2</v>
      </c>
      <c r="D200" s="7">
        <f t="shared" si="35"/>
        <v>0.2959598429278244</v>
      </c>
      <c r="E200" s="7">
        <f>MAX((1-Parameters!$B$4)^Parameters!B$71*E199+B199*Parameters!B$71-Parameters!$B$5*B199^2/E199*Parameters!B$71,0.0001)</f>
        <v>0.76972626162929048</v>
      </c>
      <c r="F200" s="9">
        <f>MAX((1-Parameters!$B$4)^Parameters!B$71*F199+C199*Parameters!B$71-Parameters!$B$5*C199^2/F199*Parameters!B$71,0.0001)</f>
        <v>0.14851943010910917</v>
      </c>
      <c r="G200" s="7">
        <f>MAX((1-Parameters!$B$4)^Parameters!B$71*G199+D199*Parameters!B$71-Parameters!$B$5*D199^2/G199*Parameters!B$71,0.0001)</f>
        <v>4.3878788531506716</v>
      </c>
      <c r="I200" s="7">
        <f>I199*(1+Parameters!$B$52)^Parameters!B$71</f>
        <v>14.394145752185301</v>
      </c>
      <c r="J200" s="7">
        <f>J199*(1+Parameters!$B$54)^Parameters!B$71</f>
        <v>437.53211515437363</v>
      </c>
      <c r="K200" s="7">
        <f>'6states'!$N$4</f>
        <v>0.98104277196026479</v>
      </c>
      <c r="L200" s="9">
        <f t="shared" si="37"/>
        <v>0.5</v>
      </c>
      <c r="N200" s="7">
        <f>(Parameters!$B$19*(E200+Parameters!$B$20)^L200+Parameters!$B$18*F200^L200)^(1/L200)</f>
        <v>0.53556381572909662</v>
      </c>
      <c r="O200" s="7">
        <f>(Parameters!$B$10*G200^Parameters!$B$9 + Parameters!$B$11*N200^Parameters!$B$9) ^ (Parameters!$B$7/Parameters!$B$9) * K200</f>
        <v>1.5070072182295688</v>
      </c>
      <c r="P200" s="7">
        <f t="shared" si="36"/>
        <v>1.1491122446144457</v>
      </c>
      <c r="Q200" s="7">
        <f>EXP(-Parameters!$B$56*A200)</f>
        <v>5.1839648885661067E-2</v>
      </c>
      <c r="R200" s="7">
        <f>IF(P200&gt;0,P200^(1-Parameters!$B$53)/(1-Parameters!$B$53)*Q200,-10+P200*1000)</f>
        <v>-0.1410805514889725</v>
      </c>
      <c r="S200" s="7"/>
    </row>
    <row r="201" spans="1:19" x14ac:dyDescent="0.25">
      <c r="A201">
        <f>A200+Parameters!$B$71</f>
        <v>197</v>
      </c>
      <c r="B201" s="9">
        <f t="shared" si="35"/>
        <v>5.191758263687303E-2</v>
      </c>
      <c r="C201" s="9">
        <f t="shared" si="35"/>
        <v>1.0017548050425843E-2</v>
      </c>
      <c r="D201" s="7">
        <f t="shared" si="35"/>
        <v>0.2959598429278244</v>
      </c>
      <c r="E201" s="7">
        <f>MAX((1-Parameters!$B$4)^Parameters!B$71*E200+B200*Parameters!B$71-Parameters!$B$5*B200^2/E200*Parameters!B$71,0.0001)</f>
        <v>0.7697262520632977</v>
      </c>
      <c r="F201" s="9">
        <f>MAX((1-Parameters!$B$4)^Parameters!B$71*F200+C200*Parameters!B$71-Parameters!$B$5*C200^2/F200*Parameters!B$71,0.0001)</f>
        <v>0.14851942829219802</v>
      </c>
      <c r="G201" s="7">
        <f>MAX((1-Parameters!$B$4)^Parameters!B$71*G200+D200*Parameters!B$71-Parameters!$B$5*D200^2/G200*Parameters!B$71,0.0001)</f>
        <v>4.3878787992149375</v>
      </c>
      <c r="I201" s="7">
        <f>I200*(1+Parameters!$B$52)^Parameters!B$71</f>
        <v>14.435888774866637</v>
      </c>
      <c r="J201" s="7">
        <f>J200*(1+Parameters!$B$54)^Parameters!B$71</f>
        <v>446.28275745746112</v>
      </c>
      <c r="K201" s="7">
        <f>'6states'!$N$4</f>
        <v>0.98104277196026479</v>
      </c>
      <c r="L201" s="9">
        <f t="shared" si="37"/>
        <v>0.5</v>
      </c>
      <c r="N201" s="7">
        <f>(Parameters!$B$19*(E201+Parameters!$B$20)^L201+Parameters!$B$18*F201^L201)^(1/L201)</f>
        <v>0.53556380916157731</v>
      </c>
      <c r="O201" s="7">
        <f>(Parameters!$B$10*G201^Parameters!$B$9 + Parameters!$B$11*N201^Parameters!$B$9) ^ (Parameters!$B$7/Parameters!$B$9) * K201</f>
        <v>1.507007212674639</v>
      </c>
      <c r="P201" s="7">
        <f t="shared" si="36"/>
        <v>1.1491122390595159</v>
      </c>
      <c r="Q201" s="7">
        <f>EXP(-Parameters!$B$56*A201)</f>
        <v>5.1062750531719887E-2</v>
      </c>
      <c r="R201" s="7">
        <f>IF(P201&gt;0,P201^(1-Parameters!$B$53)/(1-Parameters!$B$53)*Q201,-10+P201*1000)</f>
        <v>-0.13896623863399934</v>
      </c>
      <c r="S201" s="7"/>
    </row>
    <row r="202" spans="1:19" x14ac:dyDescent="0.25">
      <c r="A202">
        <f>A201+Parameters!$B$71</f>
        <v>198</v>
      </c>
      <c r="B202" s="9">
        <f t="shared" si="35"/>
        <v>5.191758263687303E-2</v>
      </c>
      <c r="C202" s="9">
        <f t="shared" si="35"/>
        <v>1.0017548050425843E-2</v>
      </c>
      <c r="D202" s="7">
        <f t="shared" si="35"/>
        <v>0.2959598429278244</v>
      </c>
      <c r="E202" s="7">
        <f>MAX((1-Parameters!$B$4)^Parameters!B$71*E201+B201*Parameters!B$71-Parameters!$B$5*B201^2/E201*Parameters!B$71,0.0001)</f>
        <v>0.76972624305548609</v>
      </c>
      <c r="F202" s="9">
        <f>MAX((1-Parameters!$B$4)^Parameters!B$71*F201+C201*Parameters!B$71-Parameters!$B$5*C201^2/F201*Parameters!B$71,0.0001)</f>
        <v>0.14851942658130468</v>
      </c>
      <c r="G202" s="7">
        <f>MAX((1-Parameters!$B$4)^Parameters!B$71*G201+D201*Parameters!B$71-Parameters!$B$5*D201^2/G201*Parameters!B$71,0.0001)</f>
        <v>4.3878787484263855</v>
      </c>
      <c r="I202" s="7">
        <f>I201*(1+Parameters!$B$52)^Parameters!B$71</f>
        <v>14.477752852313749</v>
      </c>
      <c r="J202" s="7">
        <f>J201*(1+Parameters!$B$54)^Parameters!B$71</f>
        <v>455.20841260661035</v>
      </c>
      <c r="K202" s="7">
        <f>'6states'!$N$4</f>
        <v>0.98104277196026479</v>
      </c>
      <c r="L202" s="9">
        <f t="shared" si="37"/>
        <v>0.5</v>
      </c>
      <c r="N202" s="7">
        <f>(Parameters!$B$19*(E202+Parameters!$B$20)^L202+Parameters!$B$18*F202^L202)^(1/L202)</f>
        <v>0.53556380297727657</v>
      </c>
      <c r="O202" s="7">
        <f>(Parameters!$B$10*G202^Parameters!$B$9 + Parameters!$B$11*N202^Parameters!$B$9) ^ (Parameters!$B$7/Parameters!$B$9) * K202</f>
        <v>1.5070072074438432</v>
      </c>
      <c r="P202" s="7">
        <f t="shared" si="36"/>
        <v>1.1491122338287201</v>
      </c>
      <c r="Q202" s="7">
        <f>EXP(-Parameters!$B$56*A202)</f>
        <v>5.0297495216752343E-2</v>
      </c>
      <c r="R202" s="7">
        <f>IF(P202&gt;0,P202^(1-Parameters!$B$53)/(1-Parameters!$B$53)*Q202,-10+P202*1000)</f>
        <v>-0.13688361205254129</v>
      </c>
      <c r="S202" s="7"/>
    </row>
    <row r="203" spans="1:19" x14ac:dyDescent="0.25">
      <c r="A203">
        <f>A202+Parameters!$B$71</f>
        <v>199</v>
      </c>
      <c r="B203" s="9">
        <f t="shared" si="35"/>
        <v>5.191758263687303E-2</v>
      </c>
      <c r="C203" s="9">
        <f t="shared" si="35"/>
        <v>1.0017548050425843E-2</v>
      </c>
      <c r="D203" s="7">
        <f t="shared" si="35"/>
        <v>0.2959598429278244</v>
      </c>
      <c r="E203" s="7">
        <f>MAX((1-Parameters!$B$4)^Parameters!B$71*E202+B202*Parameters!B$71-Parameters!$B$5*B202^2/E202*Parameters!B$71,0.0001)</f>
        <v>0.76972623457328548</v>
      </c>
      <c r="F203" s="9">
        <f>MAX((1-Parameters!$B$4)^Parameters!B$71*F202+C202*Parameters!B$71-Parameters!$B$5*C202^2/F202*Parameters!B$71,0.0001)</f>
        <v>0.14851942497024295</v>
      </c>
      <c r="G203" s="7">
        <f>MAX((1-Parameters!$B$4)^Parameters!B$71*G202+D202*Parameters!B$71-Parameters!$B$5*D202^2/G202*Parameters!B$71,0.0001)</f>
        <v>4.387878700601374</v>
      </c>
      <c r="I203" s="7">
        <f>I202*(1+Parameters!$B$52)^Parameters!B$71</f>
        <v>14.519738335585458</v>
      </c>
      <c r="J203" s="7">
        <f>J202*(1+Parameters!$B$54)^Parameters!B$71</f>
        <v>464.31258085874259</v>
      </c>
      <c r="K203" s="7">
        <f>'6states'!$N$4</f>
        <v>0.98104277196026479</v>
      </c>
      <c r="L203" s="9">
        <f t="shared" si="37"/>
        <v>0.5</v>
      </c>
      <c r="N203" s="7">
        <f>(Parameters!$B$19*(E203+Parameters!$B$20)^L203+Parameters!$B$18*F203^L203)^(1/L203)</f>
        <v>0.53556379715383329</v>
      </c>
      <c r="O203" s="7">
        <f>(Parameters!$B$10*G203^Parameters!$B$9 + Parameters!$B$11*N203^Parameters!$B$9) ^ (Parameters!$B$7/Parameters!$B$9) * K203</f>
        <v>1.5070072025182666</v>
      </c>
      <c r="P203" s="7">
        <f t="shared" si="36"/>
        <v>1.1491122289031432</v>
      </c>
      <c r="Q203" s="7">
        <f>EXP(-Parameters!$B$56*A203)</f>
        <v>4.9543708451578718E-2</v>
      </c>
      <c r="R203" s="7">
        <f>IF(P203&gt;0,P203^(1-Parameters!$B$53)/(1-Parameters!$B$53)*Q203,-10+P203*1000)</f>
        <v>-0.13483219687738274</v>
      </c>
      <c r="S203" s="7"/>
    </row>
    <row r="204" spans="1:19" x14ac:dyDescent="0.25">
      <c r="A204">
        <f>A203+Parameters!$B$71</f>
        <v>200</v>
      </c>
      <c r="B204" s="9">
        <f t="shared" si="35"/>
        <v>5.191758263687303E-2</v>
      </c>
      <c r="C204" s="9">
        <f t="shared" si="35"/>
        <v>1.0017548050425843E-2</v>
      </c>
      <c r="D204" s="7">
        <f t="shared" si="35"/>
        <v>0.2959598429278244</v>
      </c>
      <c r="E204" s="7">
        <f>MAX((1-Parameters!$B$4)^Parameters!B$71*E203+B203*Parameters!B$71-Parameters!$B$5*B203^2/E203*Parameters!B$71,0.0001)</f>
        <v>0.76972622658602619</v>
      </c>
      <c r="F204" s="9">
        <f>MAX((1-Parameters!$B$4)^Parameters!B$71*F203+C203*Parameters!B$71-Parameters!$B$5*C203^2/F203*Parameters!B$71,0.0001)</f>
        <v>0.14851942345318761</v>
      </c>
      <c r="G204" s="7">
        <f>MAX((1-Parameters!$B$4)^Parameters!B$71*G203+D203*Parameters!B$71-Parameters!$B$5*D203^2/G203*Parameters!B$71,0.0001)</f>
        <v>4.38787865556698</v>
      </c>
      <c r="I204" s="7">
        <f>I203*(1+Parameters!$B$52)^Parameters!B$71</f>
        <v>14.561845576758655</v>
      </c>
      <c r="J204" s="7">
        <f>J203*(1+Parameters!$B$54)^Parameters!B$71</f>
        <v>473.59883247591745</v>
      </c>
      <c r="K204" s="7">
        <f>'6states'!$N$4</f>
        <v>0.98104277196026479</v>
      </c>
      <c r="L204" s="9">
        <f t="shared" si="37"/>
        <v>0.5</v>
      </c>
      <c r="N204" s="7">
        <f>(Parameters!$B$19*(E204+Parameters!$B$20)^L204+Parameters!$B$18*F204^L204)^(1/L204)</f>
        <v>0.53556379167019141</v>
      </c>
      <c r="O204" s="7">
        <f>(Parameters!$B$10*G204^Parameters!$B$9 + Parameters!$B$11*N204^Parameters!$B$9) ^ (Parameters!$B$7/Parameters!$B$9) * K204</f>
        <v>1.5070071978801005</v>
      </c>
      <c r="P204" s="7">
        <f t="shared" si="36"/>
        <v>1.1491122242649774</v>
      </c>
      <c r="Q204" s="7">
        <f>EXP(-Parameters!$B$56*A204)</f>
        <v>4.8801218362012941E-2</v>
      </c>
      <c r="R204" s="7">
        <f>IF(P204&gt;0,P204^(1-Parameters!$B$53)/(1-Parameters!$B$53)*Q204,-10+P204*1000)</f>
        <v>-0.13281152535784743</v>
      </c>
      <c r="S204" s="7"/>
    </row>
    <row r="205" spans="1:19" x14ac:dyDescent="0.25">
      <c r="A205">
        <f>A204+Parameters!$B$71</f>
        <v>201</v>
      </c>
      <c r="B205" s="9">
        <f t="shared" ref="B205:D205" si="38">B204</f>
        <v>5.191758263687303E-2</v>
      </c>
      <c r="C205" s="9">
        <f t="shared" si="38"/>
        <v>1.0017548050425843E-2</v>
      </c>
      <c r="D205" s="7">
        <f t="shared" si="38"/>
        <v>0.2959598429278244</v>
      </c>
      <c r="E205" s="7">
        <f>MAX((1-Parameters!$B$4)^Parameters!B$71*E204+B204*Parameters!B$71-Parameters!$B$5*B204^2/E204*Parameters!B$71,0.0001)</f>
        <v>0.76972621906482819</v>
      </c>
      <c r="F205" s="9">
        <f>MAX((1-Parameters!$B$4)^Parameters!B$71*F204+C204*Parameters!B$71-Parameters!$B$5*C204^2/F204*Parameters!B$71,0.0001)</f>
        <v>0.14851942202465332</v>
      </c>
      <c r="G205" s="7">
        <f>MAX((1-Parameters!$B$4)^Parameters!B$71*G204+D204*Parameters!B$71-Parameters!$B$5*D204^2/G204*Parameters!B$71,0.0001)</f>
        <v>4.3878786131603684</v>
      </c>
      <c r="I205" s="7">
        <f>I204*(1+Parameters!$B$52)^Parameters!B$71</f>
        <v>14.604074928931254</v>
      </c>
      <c r="J205" s="7">
        <f>J204*(1+Parameters!$B$54)^Parameters!B$71</f>
        <v>483.0708091254358</v>
      </c>
      <c r="K205" s="7">
        <f>'6states'!$N$4</f>
        <v>0.98104277196026479</v>
      </c>
      <c r="L205" s="9">
        <f t="shared" ref="L205:L268" si="39">L204</f>
        <v>0.5</v>
      </c>
      <c r="N205" s="7">
        <f>(Parameters!$B$19*(E205+Parameters!$B$20)^L205+Parameters!$B$18*F205^L205)^(1/L205)</f>
        <v>0.53556378650652325</v>
      </c>
      <c r="O205" s="7">
        <f>(Parameters!$B$10*G205^Parameters!$B$9 + Parameters!$B$11*N205^Parameters!$B$9) ^ (Parameters!$B$7/Parameters!$B$9) * K205</f>
        <v>1.5070071935125737</v>
      </c>
      <c r="P205" s="7">
        <f t="shared" si="36"/>
        <v>1.1491122198974506</v>
      </c>
      <c r="Q205" s="7">
        <f>EXP(-Parameters!$B$56*A205)</f>
        <v>4.8069855649672907E-2</v>
      </c>
      <c r="R205" s="7">
        <f>IF(P205&gt;0,P205^(1-Parameters!$B$53)/(1-Parameters!$B$53)*Q205,-10+P205*1000)</f>
        <v>-0.13082113675315302</v>
      </c>
      <c r="S205" s="7"/>
    </row>
    <row r="206" spans="1:19" x14ac:dyDescent="0.25">
      <c r="A206">
        <f>A205+Parameters!$B$71</f>
        <v>202</v>
      </c>
      <c r="B206" s="9">
        <f t="shared" ref="B206:D206" si="40">B205</f>
        <v>5.191758263687303E-2</v>
      </c>
      <c r="C206" s="9">
        <f t="shared" si="40"/>
        <v>1.0017548050425843E-2</v>
      </c>
      <c r="D206" s="7">
        <f t="shared" si="40"/>
        <v>0.2959598429278244</v>
      </c>
      <c r="E206" s="7">
        <f>MAX((1-Parameters!$B$4)^Parameters!B$71*E205+B205*Parameters!B$71-Parameters!$B$5*B205^2/E205*Parameters!B$71,0.0001)</f>
        <v>0.76972621198249636</v>
      </c>
      <c r="F206" s="9">
        <f>MAX((1-Parameters!$B$4)^Parameters!B$71*F205+C205*Parameters!B$71-Parameters!$B$5*C205^2/F205*Parameters!B$71,0.0001)</f>
        <v>0.14851942067947482</v>
      </c>
      <c r="G206" s="7">
        <f>MAX((1-Parameters!$B$4)^Parameters!B$71*G205+D205*Parameters!B$71-Parameters!$B$5*D205^2/G205*Parameters!B$71,0.0001)</f>
        <v>4.3878785732282077</v>
      </c>
      <c r="I206" s="7">
        <f>I205*(1+Parameters!$B$52)^Parameters!B$71</f>
        <v>14.646426746225153</v>
      </c>
      <c r="J206" s="7">
        <f>J205*(1+Parameters!$B$54)^Parameters!B$71</f>
        <v>492.73222530794453</v>
      </c>
      <c r="K206" s="7">
        <f>'6states'!$N$4</f>
        <v>0.98104277196026479</v>
      </c>
      <c r="L206" s="9">
        <f t="shared" si="39"/>
        <v>0.5</v>
      </c>
      <c r="N206" s="7">
        <f>(Parameters!$B$19*(E206+Parameters!$B$20)^L206+Parameters!$B$18*F206^L206)^(1/L206)</f>
        <v>0.53556378164415785</v>
      </c>
      <c r="O206" s="7">
        <f>(Parameters!$B$10*G206^Parameters!$B$9 + Parameters!$B$11*N206^Parameters!$B$9) ^ (Parameters!$B$7/Parameters!$B$9) * K206</f>
        <v>1.5070071893998951</v>
      </c>
      <c r="P206" s="7">
        <f t="shared" si="36"/>
        <v>1.149112215784772</v>
      </c>
      <c r="Q206" s="7">
        <f>EXP(-Parameters!$B$56*A206)</f>
        <v>4.7349453553378031E-2</v>
      </c>
      <c r="R206" s="7">
        <f>IF(P206&gt;0,P206^(1-Parameters!$B$53)/(1-Parameters!$B$53)*Q206,-10+P206*1000)</f>
        <v>-0.12886057722736258</v>
      </c>
      <c r="S206" s="7"/>
    </row>
    <row r="207" spans="1:19" x14ac:dyDescent="0.25">
      <c r="A207">
        <f>A206+Parameters!$B$71</f>
        <v>203</v>
      </c>
      <c r="B207" s="9">
        <f t="shared" ref="B207:D207" si="41">B206</f>
        <v>5.191758263687303E-2</v>
      </c>
      <c r="C207" s="9">
        <f t="shared" si="41"/>
        <v>1.0017548050425843E-2</v>
      </c>
      <c r="D207" s="7">
        <f t="shared" si="41"/>
        <v>0.2959598429278244</v>
      </c>
      <c r="E207" s="7">
        <f>MAX((1-Parameters!$B$4)^Parameters!B$71*E206+B206*Parameters!B$71-Parameters!$B$5*B206^2/E206*Parameters!B$71,0.0001)</f>
        <v>0.76972620531342273</v>
      </c>
      <c r="F207" s="9">
        <f>MAX((1-Parameters!$B$4)^Parameters!B$71*F206+C206*Parameters!B$71-Parameters!$B$5*C206^2/F206*Parameters!B$71,0.0001)</f>
        <v>0.14851941941278826</v>
      </c>
      <c r="G207" s="7">
        <f>MAX((1-Parameters!$B$4)^Parameters!B$71*G206+D206*Parameters!B$71-Parameters!$B$5*D206^2/G206*Parameters!B$71,0.0001)</f>
        <v>4.3878785356261103</v>
      </c>
      <c r="I207" s="7">
        <f>I206*(1+Parameters!$B$52)^Parameters!B$71</f>
        <v>14.688901383789204</v>
      </c>
      <c r="J207" s="7">
        <f>J206*(1+Parameters!$B$54)^Parameters!B$71</f>
        <v>502.58686981410341</v>
      </c>
      <c r="K207" s="7">
        <f>'6states'!$N$4</f>
        <v>0.98104277196026479</v>
      </c>
      <c r="L207" s="9">
        <f t="shared" si="39"/>
        <v>0.5</v>
      </c>
      <c r="N207" s="7">
        <f>(Parameters!$B$19*(E207+Parameters!$B$20)^L207+Parameters!$B$18*F207^L207)^(1/L207)</f>
        <v>0.5355637770655145</v>
      </c>
      <c r="O207" s="7">
        <f>(Parameters!$B$10*G207^Parameters!$B$9 + Parameters!$B$11*N207^Parameters!$B$9) ^ (Parameters!$B$7/Parameters!$B$9) * K207</f>
        <v>1.5070071855271931</v>
      </c>
      <c r="P207" s="7">
        <f t="shared" si="36"/>
        <v>1.1491122119120698</v>
      </c>
      <c r="Q207" s="7">
        <f>EXP(-Parameters!$B$56*A207)</f>
        <v>4.6639847811125214E-2</v>
      </c>
      <c r="R207" s="7">
        <f>IF(P207&gt;0,P207^(1-Parameters!$B$53)/(1-Parameters!$B$53)*Q207,-10+P207*1000)</f>
        <v>-0.1269293997459103</v>
      </c>
      <c r="S207" s="7"/>
    </row>
    <row r="208" spans="1:19" x14ac:dyDescent="0.25">
      <c r="A208">
        <f>A207+Parameters!$B$71</f>
        <v>204</v>
      </c>
      <c r="B208" s="9">
        <f t="shared" ref="B208:D208" si="42">B207</f>
        <v>5.191758263687303E-2</v>
      </c>
      <c r="C208" s="9">
        <f t="shared" si="42"/>
        <v>1.0017548050425843E-2</v>
      </c>
      <c r="D208" s="7">
        <f t="shared" si="42"/>
        <v>0.2959598429278244</v>
      </c>
      <c r="E208" s="7">
        <f>MAX((1-Parameters!$B$4)^Parameters!B$71*E207+B207*Parameters!B$71-Parameters!$B$5*B207^2/E207*Parameters!B$71,0.0001)</f>
        <v>0.76972619903349326</v>
      </c>
      <c r="F208" s="9">
        <f>MAX((1-Parameters!$B$4)^Parameters!B$71*F207+C207*Parameters!B$71-Parameters!$B$5*C207^2/F207*Parameters!B$71,0.0001)</f>
        <v>0.14851941822001358</v>
      </c>
      <c r="G208" s="7">
        <f>MAX((1-Parameters!$B$4)^Parameters!B$71*G207+D207*Parameters!B$71-Parameters!$B$5*D207^2/G207*Parameters!B$71,0.0001)</f>
        <v>4.3878785002181173</v>
      </c>
      <c r="I208" s="7">
        <f>I207*(1+Parameters!$B$52)^Parameters!B$71</f>
        <v>14.731499197802192</v>
      </c>
      <c r="J208" s="7">
        <f>J207*(1+Parameters!$B$54)^Parameters!B$71</f>
        <v>512.63860721038543</v>
      </c>
      <c r="K208" s="7">
        <f>'6states'!$N$4</f>
        <v>0.98104277196026479</v>
      </c>
      <c r="L208" s="9">
        <f t="shared" si="39"/>
        <v>0.5</v>
      </c>
      <c r="N208" s="7">
        <f>(Parameters!$B$19*(E208+Parameters!$B$20)^L208+Parameters!$B$18*F208^L208)^(1/L208)</f>
        <v>0.53556377275403744</v>
      </c>
      <c r="O208" s="7">
        <f>(Parameters!$B$10*G208^Parameters!$B$9 + Parameters!$B$11*N208^Parameters!$B$9) ^ (Parameters!$B$7/Parameters!$B$9) * K208</f>
        <v>1.5070071818804656</v>
      </c>
      <c r="P208" s="7">
        <f t="shared" si="36"/>
        <v>1.1491122082653424</v>
      </c>
      <c r="Q208" s="7">
        <f>EXP(-Parameters!$B$56*A208)</f>
        <v>4.5940876622634921E-2</v>
      </c>
      <c r="R208" s="7">
        <f>IF(P208&gt;0,P208^(1-Parameters!$B$53)/(1-Parameters!$B$53)*Q208,-10+P208*1000)</f>
        <v>-0.12502716397367761</v>
      </c>
      <c r="S208" s="7"/>
    </row>
    <row r="209" spans="1:19" x14ac:dyDescent="0.25">
      <c r="A209">
        <f>A208+Parameters!$B$71</f>
        <v>205</v>
      </c>
      <c r="B209" s="9">
        <f t="shared" ref="B209:D209" si="43">B208</f>
        <v>5.191758263687303E-2</v>
      </c>
      <c r="C209" s="9">
        <f t="shared" si="43"/>
        <v>1.0017548050425843E-2</v>
      </c>
      <c r="D209" s="7">
        <f t="shared" si="43"/>
        <v>0.2959598429278244</v>
      </c>
      <c r="E209" s="7">
        <f>MAX((1-Parameters!$B$4)^Parameters!B$71*E208+B208*Parameters!B$71-Parameters!$B$5*B208^2/E208*Parameters!B$71,0.0001)</f>
        <v>0.76972619312000135</v>
      </c>
      <c r="F209" s="9">
        <f>MAX((1-Parameters!$B$4)^Parameters!B$71*F208+C208*Parameters!B$71-Parameters!$B$5*C208^2/F208*Parameters!B$71,0.0001)</f>
        <v>0.148519417096838</v>
      </c>
      <c r="G209" s="7">
        <f>MAX((1-Parameters!$B$4)^Parameters!B$71*G208+D208*Parameters!B$71-Parameters!$B$5*D208^2/G208*Parameters!B$71,0.0001)</f>
        <v>4.3878784668762014</v>
      </c>
      <c r="I209" s="7">
        <f>I208*(1+Parameters!$B$52)^Parameters!B$71</f>
        <v>14.774220545475817</v>
      </c>
      <c r="J209" s="7">
        <f>J208*(1+Parameters!$B$54)^Parameters!B$71</f>
        <v>522.89137935459314</v>
      </c>
      <c r="K209" s="7">
        <f>'6states'!$N$4</f>
        <v>0.98104277196026479</v>
      </c>
      <c r="L209" s="9">
        <f t="shared" si="39"/>
        <v>0.5</v>
      </c>
      <c r="N209" s="7">
        <f>(Parameters!$B$19*(E209+Parameters!$B$20)^L209+Parameters!$B$18*F209^L209)^(1/L209)</f>
        <v>0.53556376869413769</v>
      </c>
      <c r="O209" s="7">
        <f>(Parameters!$B$10*G209^Parameters!$B$9 + Parameters!$B$11*N209^Parameters!$B$9) ^ (Parameters!$B$7/Parameters!$B$9) * K209</f>
        <v>1.5070071784465271</v>
      </c>
      <c r="P209" s="7">
        <f t="shared" si="36"/>
        <v>1.149112204831404</v>
      </c>
      <c r="Q209" s="7">
        <f>EXP(-Parameters!$B$56*A209)</f>
        <v>4.5252380612458197E-2</v>
      </c>
      <c r="R209" s="7">
        <f>IF(P209&gt;0,P209^(1-Parameters!$B$53)/(1-Parameters!$B$53)*Q209,-10+P209*1000)</f>
        <v>-0.12315343617459598</v>
      </c>
      <c r="S209" s="7"/>
    </row>
    <row r="210" spans="1:19" x14ac:dyDescent="0.25">
      <c r="A210">
        <f>A209+Parameters!$B$71</f>
        <v>206</v>
      </c>
      <c r="B210" s="9">
        <f t="shared" ref="B210:D210" si="44">B209</f>
        <v>5.191758263687303E-2</v>
      </c>
      <c r="C210" s="9">
        <f t="shared" si="44"/>
        <v>1.0017548050425843E-2</v>
      </c>
      <c r="D210" s="7">
        <f t="shared" si="44"/>
        <v>0.2959598429278244</v>
      </c>
      <c r="E210" s="7">
        <f>MAX((1-Parameters!$B$4)^Parameters!B$71*E209+B209*Parameters!B$71-Parameters!$B$5*B209^2/E209*Parameters!B$71,0.0001)</f>
        <v>0.76972618755156519</v>
      </c>
      <c r="F210" s="9">
        <f>MAX((1-Parameters!$B$4)^Parameters!B$71*F209+C209*Parameters!B$71-Parameters!$B$5*C209^2/F209*Parameters!B$71,0.0001)</f>
        <v>0.14851941603920035</v>
      </c>
      <c r="G210" s="7">
        <f>MAX((1-Parameters!$B$4)^Parameters!B$71*G209+D209*Parameters!B$71-Parameters!$B$5*D209^2/G209*Parameters!B$71,0.0001)</f>
        <v>4.3878784354798057</v>
      </c>
      <c r="I210" s="7">
        <f>I209*(1+Parameters!$B$52)^Parameters!B$71</f>
        <v>14.817065785057695</v>
      </c>
      <c r="J210" s="7">
        <f>J209*(1+Parameters!$B$54)^Parameters!B$71</f>
        <v>533.349206941685</v>
      </c>
      <c r="K210" s="7">
        <f>'6states'!$N$4</f>
        <v>0.98104277196026479</v>
      </c>
      <c r="L210" s="9">
        <f t="shared" si="39"/>
        <v>0.5</v>
      </c>
      <c r="N210" s="7">
        <f>(Parameters!$B$19*(E210+Parameters!$B$20)^L210+Parameters!$B$18*F210^L210)^(1/L210)</f>
        <v>0.53556376487113544</v>
      </c>
      <c r="O210" s="7">
        <f>(Parameters!$B$10*G210^Parameters!$B$9 + Parameters!$B$11*N210^Parameters!$B$9) ^ (Parameters!$B$7/Parameters!$B$9) * K210</f>
        <v>1.5070071752129606</v>
      </c>
      <c r="P210" s="7">
        <f t="shared" si="36"/>
        <v>1.1491122015978372</v>
      </c>
      <c r="Q210" s="7">
        <f>EXP(-Parameters!$B$56*A210)</f>
        <v>4.45742027936369E-2</v>
      </c>
      <c r="R210" s="7">
        <f>IF(P210&gt;0,P210^(1-Parameters!$B$53)/(1-Parameters!$B$53)*Q210,-10+P210*1000)</f>
        <v>-0.12130778911275442</v>
      </c>
      <c r="S210" s="7"/>
    </row>
    <row r="211" spans="1:19" x14ac:dyDescent="0.25">
      <c r="A211">
        <f>A210+Parameters!$B$71</f>
        <v>207</v>
      </c>
      <c r="B211" s="9">
        <f t="shared" ref="B211:D211" si="45">B210</f>
        <v>5.191758263687303E-2</v>
      </c>
      <c r="C211" s="9">
        <f t="shared" si="45"/>
        <v>1.0017548050425843E-2</v>
      </c>
      <c r="D211" s="7">
        <f t="shared" si="45"/>
        <v>0.2959598429278244</v>
      </c>
      <c r="E211" s="7">
        <f>MAX((1-Parameters!$B$4)^Parameters!B$71*E210+B210*Parameters!B$71-Parameters!$B$5*B210^2/E210*Parameters!B$71,0.0001)</f>
        <v>0.76972618230805046</v>
      </c>
      <c r="F211" s="9">
        <f>MAX((1-Parameters!$B$4)^Parameters!B$71*F210+C210*Parameters!B$71-Parameters!$B$5*C210^2/F210*Parameters!B$71,0.0001)</f>
        <v>0.14851941504327648</v>
      </c>
      <c r="G211" s="7">
        <f>MAX((1-Parameters!$B$4)^Parameters!B$71*G210+D210*Parameters!B$71-Parameters!$B$5*D210^2/G210*Parameters!B$71,0.0001)</f>
        <v>4.3878784059154077</v>
      </c>
      <c r="I211" s="7">
        <f>I210*(1+Parameters!$B$52)^Parameters!B$71</f>
        <v>14.860035275834361</v>
      </c>
      <c r="J211" s="7">
        <f>J210*(1+Parameters!$B$54)^Parameters!B$71</f>
        <v>544.01619108051875</v>
      </c>
      <c r="K211" s="7">
        <f>'6states'!$N$4</f>
        <v>0.98104277196026479</v>
      </c>
      <c r="L211" s="9">
        <f t="shared" si="39"/>
        <v>0.5</v>
      </c>
      <c r="N211" s="7">
        <f>(Parameters!$B$19*(E211+Parameters!$B$20)^L211+Parameters!$B$18*F211^L211)^(1/L211)</f>
        <v>0.53556376127120753</v>
      </c>
      <c r="O211" s="7">
        <f>(Parameters!$B$10*G211^Parameters!$B$9 + Parameters!$B$11*N211^Parameters!$B$9) ^ (Parameters!$B$7/Parameters!$B$9) * K211</f>
        <v>1.5070071721680744</v>
      </c>
      <c r="P211" s="7">
        <f t="shared" si="36"/>
        <v>1.1491121985529511</v>
      </c>
      <c r="Q211" s="7">
        <f>EXP(-Parameters!$B$56*A211)</f>
        <v>4.3906188531908454E-2</v>
      </c>
      <c r="R211" s="7">
        <f>IF(P211&gt;0,P211^(1-Parameters!$B$53)/(1-Parameters!$B$53)*Q211,-10+P211*1000)</f>
        <v>-0.11948980195498878</v>
      </c>
      <c r="S211" s="7"/>
    </row>
    <row r="212" spans="1:19" x14ac:dyDescent="0.25">
      <c r="A212">
        <f>A211+Parameters!$B$71</f>
        <v>208</v>
      </c>
      <c r="B212" s="9">
        <f t="shared" ref="B212:D212" si="46">B211</f>
        <v>5.191758263687303E-2</v>
      </c>
      <c r="C212" s="9">
        <f t="shared" si="46"/>
        <v>1.0017548050425843E-2</v>
      </c>
      <c r="D212" s="7">
        <f t="shared" si="46"/>
        <v>0.2959598429278244</v>
      </c>
      <c r="E212" s="7">
        <f>MAX((1-Parameters!$B$4)^Parameters!B$71*E211+B211*Parameters!B$71-Parameters!$B$5*B211^2/E211*Parameters!B$71,0.0001)</f>
        <v>0.76972617737049775</v>
      </c>
      <c r="F212" s="9">
        <f>MAX((1-Parameters!$B$4)^Parameters!B$71*F211+C211*Parameters!B$71-Parameters!$B$5*C211^2/F211*Parameters!B$71,0.0001)</f>
        <v>0.14851941410546535</v>
      </c>
      <c r="G212" s="7">
        <f>MAX((1-Parameters!$B$4)^Parameters!B$71*G211+D211*Parameters!B$71-Parameters!$B$5*D211^2/G211*Parameters!B$71,0.0001)</f>
        <v>4.3878783780761097</v>
      </c>
      <c r="I212" s="7">
        <f>I211*(1+Parameters!$B$52)^Parameters!B$71</f>
        <v>14.903129378134279</v>
      </c>
      <c r="J212" s="7">
        <f>J211*(1+Parameters!$B$54)^Parameters!B$71</f>
        <v>554.89651490212918</v>
      </c>
      <c r="K212" s="7">
        <f>'6states'!$N$4</f>
        <v>0.98104277196026479</v>
      </c>
      <c r="L212" s="9">
        <f t="shared" si="39"/>
        <v>0.5</v>
      </c>
      <c r="N212" s="7">
        <f>(Parameters!$B$19*(E212+Parameters!$B$20)^L212+Parameters!$B$18*F212^L212)^(1/L212)</f>
        <v>0.53556375788133748</v>
      </c>
      <c r="O212" s="7">
        <f>(Parameters!$B$10*G212^Parameters!$B$9 + Parameters!$B$11*N212^Parameters!$B$9) ^ (Parameters!$B$7/Parameters!$B$9) * K212</f>
        <v>1.5070071693008595</v>
      </c>
      <c r="P212" s="7">
        <f t="shared" si="36"/>
        <v>1.1491121956857362</v>
      </c>
      <c r="Q212" s="7">
        <f>EXP(-Parameters!$B$56*A212)</f>
        <v>4.3248185510446908E-2</v>
      </c>
      <c r="R212" s="7">
        <f>IF(P212&gt;0,P212^(1-Parameters!$B$53)/(1-Parameters!$B$53)*Q212,-10+P212*1000)</f>
        <v>-0.11769906017492984</v>
      </c>
      <c r="S212" s="7"/>
    </row>
    <row r="213" spans="1:19" x14ac:dyDescent="0.25">
      <c r="A213">
        <f>A212+Parameters!$B$71</f>
        <v>209</v>
      </c>
      <c r="B213" s="9">
        <f t="shared" ref="B213:D213" si="47">B212</f>
        <v>5.191758263687303E-2</v>
      </c>
      <c r="C213" s="9">
        <f t="shared" si="47"/>
        <v>1.0017548050425843E-2</v>
      </c>
      <c r="D213" s="7">
        <f t="shared" si="47"/>
        <v>0.2959598429278244</v>
      </c>
      <c r="E213" s="7">
        <f>MAX((1-Parameters!$B$4)^Parameters!B$71*E212+B212*Parameters!B$71-Parameters!$B$5*B212^2/E212*Parameters!B$71,0.0001)</f>
        <v>0.76972617272105415</v>
      </c>
      <c r="F213" s="9">
        <f>MAX((1-Parameters!$B$4)^Parameters!B$71*F212+C212*Parameters!B$71-Parameters!$B$5*C212^2/F212*Parameters!B$71,0.0001)</f>
        <v>0.14851941322237605</v>
      </c>
      <c r="G213" s="7">
        <f>MAX((1-Parameters!$B$4)^Parameters!B$71*G212+D212*Parameters!B$71-Parameters!$B$5*D212^2/G212*Parameters!B$71,0.0001)</f>
        <v>4.3878783518612501</v>
      </c>
      <c r="I213" s="7">
        <f>I212*(1+Parameters!$B$52)^Parameters!B$71</f>
        <v>14.946348453330867</v>
      </c>
      <c r="J213" s="7">
        <f>J212*(1+Parameters!$B$54)^Parameters!B$71</f>
        <v>565.99444520017175</v>
      </c>
      <c r="K213" s="7">
        <f>'6states'!$N$4</f>
        <v>0.98104277196026479</v>
      </c>
      <c r="L213" s="9">
        <f t="shared" si="39"/>
        <v>0.5</v>
      </c>
      <c r="N213" s="7">
        <f>(Parameters!$B$19*(E213+Parameters!$B$20)^L213+Parameters!$B$18*F213^L213)^(1/L213)</f>
        <v>0.53556375468926831</v>
      </c>
      <c r="O213" s="7">
        <f>(Parameters!$B$10*G213^Parameters!$B$9 + Parameters!$B$11*N213^Parameters!$B$9) ^ (Parameters!$B$7/Parameters!$B$9) * K213</f>
        <v>1.5070071666009477</v>
      </c>
      <c r="P213" s="7">
        <f t="shared" si="36"/>
        <v>1.1491121929858243</v>
      </c>
      <c r="Q213" s="7">
        <f>EXP(-Parameters!$B$56*A213)</f>
        <v>4.2600043695132594E-2</v>
      </c>
      <c r="R213" s="7">
        <f>IF(P213&gt;0,P213^(1-Parameters!$B$53)/(1-Parameters!$B$53)*Q213,-10+P213*1000)</f>
        <v>-0.11593515545849026</v>
      </c>
      <c r="S213" s="7"/>
    </row>
    <row r="214" spans="1:19" x14ac:dyDescent="0.25">
      <c r="A214">
        <f>A213+Parameters!$B$71</f>
        <v>210</v>
      </c>
      <c r="B214" s="9">
        <f t="shared" ref="B214:D214" si="48">B213</f>
        <v>5.191758263687303E-2</v>
      </c>
      <c r="C214" s="9">
        <f t="shared" si="48"/>
        <v>1.0017548050425843E-2</v>
      </c>
      <c r="D214" s="7">
        <f t="shared" si="48"/>
        <v>0.2959598429278244</v>
      </c>
      <c r="E214" s="7">
        <f>MAX((1-Parameters!$B$4)^Parameters!B$71*E213+B213*Parameters!B$71-Parameters!$B$5*B213^2/E213*Parameters!B$71,0.0001)</f>
        <v>0.76972616834290819</v>
      </c>
      <c r="F214" s="9">
        <f>MAX((1-Parameters!$B$4)^Parameters!B$71*F213+C213*Parameters!B$71-Parameters!$B$5*C213^2/F213*Parameters!B$71,0.0001)</f>
        <v>0.14851941239081551</v>
      </c>
      <c r="G214" s="7">
        <f>MAX((1-Parameters!$B$4)^Parameters!B$71*G213+D213*Parameters!B$71-Parameters!$B$5*D213^2/G213*Parameters!B$71,0.0001)</f>
        <v>4.3878783271760433</v>
      </c>
      <c r="I214" s="7">
        <f>I213*(1+Parameters!$B$52)^Parameters!B$71</f>
        <v>14.989692863845525</v>
      </c>
      <c r="J214" s="7">
        <f>J213*(1+Parameters!$B$54)^Parameters!B$71</f>
        <v>577.31433410417515</v>
      </c>
      <c r="K214" s="7">
        <f>'6states'!$N$4</f>
        <v>0.98104277196026479</v>
      </c>
      <c r="L214" s="9">
        <f t="shared" si="39"/>
        <v>0.5</v>
      </c>
      <c r="N214" s="7">
        <f>(Parameters!$B$19*(E214+Parameters!$B$20)^L214+Parameters!$B$18*F214^L214)^(1/L214)</f>
        <v>0.53556375168345816</v>
      </c>
      <c r="O214" s="7">
        <f>(Parameters!$B$10*G214^Parameters!$B$9 + Parameters!$B$11*N214^Parameters!$B$9) ^ (Parameters!$B$7/Parameters!$B$9) * K214</f>
        <v>1.5070071640585778</v>
      </c>
      <c r="P214" s="7">
        <f t="shared" si="36"/>
        <v>1.1491121904434545</v>
      </c>
      <c r="Q214" s="7">
        <f>EXP(-Parameters!$B$56*A214)</f>
        <v>4.1961615300342196E-2</v>
      </c>
      <c r="R214" s="7">
        <f>IF(P214&gt;0,P214^(1-Parameters!$B$53)/(1-Parameters!$B$53)*Q214,-10+P214*1000)</f>
        <v>-0.11419768561076669</v>
      </c>
      <c r="S214" s="7"/>
    </row>
    <row r="215" spans="1:19" x14ac:dyDescent="0.25">
      <c r="A215">
        <f>A214+Parameters!$B$71</f>
        <v>211</v>
      </c>
      <c r="B215" s="9">
        <f t="shared" ref="B215:D215" si="49">B214</f>
        <v>5.191758263687303E-2</v>
      </c>
      <c r="C215" s="9">
        <f t="shared" si="49"/>
        <v>1.0017548050425843E-2</v>
      </c>
      <c r="D215" s="7">
        <f t="shared" si="49"/>
        <v>0.2959598429278244</v>
      </c>
      <c r="E215" s="7">
        <f>MAX((1-Parameters!$B$4)^Parameters!B$71*E214+B214*Parameters!B$71-Parameters!$B$5*B214^2/E214*Parameters!B$71,0.0001)</f>
        <v>0.76972616422022966</v>
      </c>
      <c r="F215" s="9">
        <f>MAX((1-Parameters!$B$4)^Parameters!B$71*F214+C214*Parameters!B$71-Parameters!$B$5*C214^2/F214*Parameters!B$71,0.0001)</f>
        <v>0.14851941160777701</v>
      </c>
      <c r="G215" s="7">
        <f>MAX((1-Parameters!$B$4)^Parameters!B$71*G214+D214*Parameters!B$71-Parameters!$B$5*D214^2/G214*Parameters!B$71,0.0001)</f>
        <v>4.3878783039312319</v>
      </c>
      <c r="I215" s="7">
        <f>I214*(1+Parameters!$B$52)^Parameters!B$71</f>
        <v>15.033162973150676</v>
      </c>
      <c r="J215" s="7">
        <f>J214*(1+Parameters!$B$54)^Parameters!B$71</f>
        <v>588.86062078625866</v>
      </c>
      <c r="K215" s="7">
        <f>'6states'!$N$4</f>
        <v>0.98104277196026479</v>
      </c>
      <c r="L215" s="9">
        <f t="shared" si="39"/>
        <v>0.5</v>
      </c>
      <c r="N215" s="7">
        <f>(Parameters!$B$19*(E215+Parameters!$B$20)^L215+Parameters!$B$18*F215^L215)^(1/L215)</f>
        <v>0.53556374885303881</v>
      </c>
      <c r="O215" s="7">
        <f>(Parameters!$B$10*G215^Parameters!$B$9 + Parameters!$B$11*N215^Parameters!$B$9) ^ (Parameters!$B$7/Parameters!$B$9) * K215</f>
        <v>1.5070071616645564</v>
      </c>
      <c r="P215" s="7">
        <f t="shared" si="36"/>
        <v>1.149112188049433</v>
      </c>
      <c r="Q215" s="7">
        <f>EXP(-Parameters!$B$56*A215)</f>
        <v>4.1332754755251451E-2</v>
      </c>
      <c r="R215" s="7">
        <f>IF(P215&gt;0,P215^(1-Parameters!$B$53)/(1-Parameters!$B$53)*Q215,-10+P215*1000)</f>
        <v>-0.11248625446433738</v>
      </c>
      <c r="S215" s="7"/>
    </row>
    <row r="216" spans="1:19" x14ac:dyDescent="0.25">
      <c r="A216">
        <f>A215+Parameters!$B$71</f>
        <v>212</v>
      </c>
      <c r="B216" s="9">
        <f t="shared" ref="B216:D216" si="50">B215</f>
        <v>5.191758263687303E-2</v>
      </c>
      <c r="C216" s="9">
        <f t="shared" si="50"/>
        <v>1.0017548050425843E-2</v>
      </c>
      <c r="D216" s="7">
        <f t="shared" si="50"/>
        <v>0.2959598429278244</v>
      </c>
      <c r="E216" s="7">
        <f>MAX((1-Parameters!$B$4)^Parameters!B$71*E215+B215*Parameters!B$71-Parameters!$B$5*B215^2/E215*Parameters!B$71,0.0001)</f>
        <v>0.7697261603381117</v>
      </c>
      <c r="F216" s="9">
        <f>MAX((1-Parameters!$B$4)^Parameters!B$71*F215+C215*Parameters!B$71-Parameters!$B$5*C215^2/F215*Parameters!B$71,0.0001)</f>
        <v>0.14851941087042925</v>
      </c>
      <c r="G216" s="7">
        <f>MAX((1-Parameters!$B$4)^Parameters!B$71*G215+D215*Parameters!B$71-Parameters!$B$5*D215^2/G215*Parameters!B$71,0.0001)</f>
        <v>4.3878782820427693</v>
      </c>
      <c r="I216" s="7">
        <f>I215*(1+Parameters!$B$52)^Parameters!B$71</f>
        <v>15.076759145772812</v>
      </c>
      <c r="J216" s="7">
        <f>J215*(1+Parameters!$B$54)^Parameters!B$71</f>
        <v>600.63783320198388</v>
      </c>
      <c r="K216" s="7">
        <f>'6states'!$N$4</f>
        <v>0.98104277196026479</v>
      </c>
      <c r="L216" s="9">
        <f t="shared" si="39"/>
        <v>0.5</v>
      </c>
      <c r="N216" s="7">
        <f>(Parameters!$B$19*(E216+Parameters!$B$20)^L216+Parameters!$B$18*F216^L216)^(1/L216)</f>
        <v>0.53556374618777614</v>
      </c>
      <c r="O216" s="7">
        <f>(Parameters!$B$10*G216^Parameters!$B$9 + Parameters!$B$11*N216^Parameters!$B$9) ^ (Parameters!$B$7/Parameters!$B$9) * K216</f>
        <v>1.5070071594102277</v>
      </c>
      <c r="P216" s="7">
        <f t="shared" si="36"/>
        <v>1.1491121857951043</v>
      </c>
      <c r="Q216" s="7">
        <f>EXP(-Parameters!$B$56*A216)</f>
        <v>4.0713318670643026E-2</v>
      </c>
      <c r="R216" s="7">
        <f>IF(P216&gt;0,P216^(1-Parameters!$B$53)/(1-Parameters!$B$53)*Q216,-10+P216*1000)</f>
        <v>-0.11080047178893386</v>
      </c>
      <c r="S216" s="7"/>
    </row>
    <row r="217" spans="1:19" x14ac:dyDescent="0.25">
      <c r="A217">
        <f>A216+Parameters!$B$71</f>
        <v>213</v>
      </c>
      <c r="B217" s="9">
        <f t="shared" ref="B217:D217" si="51">B216</f>
        <v>5.191758263687303E-2</v>
      </c>
      <c r="C217" s="9">
        <f t="shared" si="51"/>
        <v>1.0017548050425843E-2</v>
      </c>
      <c r="D217" s="7">
        <f t="shared" si="51"/>
        <v>0.2959598429278244</v>
      </c>
      <c r="E217" s="7">
        <f>MAX((1-Parameters!$B$4)^Parameters!B$71*E216+B216*Parameters!B$71-Parameters!$B$5*B216^2/E216*Parameters!B$71,0.0001)</f>
        <v>0.76972615668251754</v>
      </c>
      <c r="F217" s="9">
        <f>MAX((1-Parameters!$B$4)^Parameters!B$71*F216+C216*Parameters!B$71-Parameters!$B$5*C216^2/F216*Parameters!B$71,0.0001)</f>
        <v>0.14851941017610615</v>
      </c>
      <c r="G217" s="7">
        <f>MAX((1-Parameters!$B$4)^Parameters!B$71*G216+D216*Parameters!B$71-Parameters!$B$5*D216^2/G216*Parameters!B$71,0.0001)</f>
        <v>4.3878782614315108</v>
      </c>
      <c r="I217" s="7">
        <f>I216*(1+Parameters!$B$52)^Parameters!B$71</f>
        <v>15.120481747295552</v>
      </c>
      <c r="J217" s="7">
        <f>J216*(1+Parameters!$B$54)^Parameters!B$71</f>
        <v>612.65058986602355</v>
      </c>
      <c r="K217" s="7">
        <f>'6states'!$N$4</f>
        <v>0.98104277196026479</v>
      </c>
      <c r="L217" s="9">
        <f t="shared" si="39"/>
        <v>0.5</v>
      </c>
      <c r="N217" s="7">
        <f>(Parameters!$B$19*(E217+Parameters!$B$20)^L217+Parameters!$B$18*F217^L217)^(1/L217)</f>
        <v>0.53556374367803294</v>
      </c>
      <c r="O217" s="7">
        <f>(Parameters!$B$10*G217^Parameters!$B$9 + Parameters!$B$11*N217^Parameters!$B$9) ^ (Parameters!$B$7/Parameters!$B$9) * K217</f>
        <v>1.5070071572874399</v>
      </c>
      <c r="P217" s="7">
        <f t="shared" si="36"/>
        <v>1.1491121836723166</v>
      </c>
      <c r="Q217" s="7">
        <f>EXP(-Parameters!$B$56*A217)</f>
        <v>4.0103165806211608E-2</v>
      </c>
      <c r="R217" s="7">
        <f>IF(P217&gt;0,P217^(1-Parameters!$B$53)/(1-Parameters!$B$53)*Q217,-10+P217*1000)</f>
        <v>-0.10913995320246601</v>
      </c>
      <c r="S217" s="7"/>
    </row>
    <row r="218" spans="1:19" x14ac:dyDescent="0.25">
      <c r="A218">
        <f>A217+Parameters!$B$71</f>
        <v>214</v>
      </c>
      <c r="B218" s="9">
        <f t="shared" ref="B218:D218" si="52">B217</f>
        <v>5.191758263687303E-2</v>
      </c>
      <c r="C218" s="9">
        <f t="shared" si="52"/>
        <v>1.0017548050425843E-2</v>
      </c>
      <c r="D218" s="7">
        <f t="shared" si="52"/>
        <v>0.2959598429278244</v>
      </c>
      <c r="E218" s="7">
        <f>MAX((1-Parameters!$B$4)^Parameters!B$71*E217+B217*Parameters!B$71-Parameters!$B$5*B217^2/E217*Parameters!B$71,0.0001)</f>
        <v>0.76972615324022942</v>
      </c>
      <c r="F218" s="9">
        <f>MAX((1-Parameters!$B$4)^Parameters!B$71*F217+C217*Parameters!B$71-Parameters!$B$5*C217^2/F217*Parameters!B$71,0.0001)</f>
        <v>0.1485194095222972</v>
      </c>
      <c r="G218" s="7">
        <f>MAX((1-Parameters!$B$4)^Parameters!B$71*G217+D217*Parameters!B$71-Parameters!$B$5*D217^2/G217*Parameters!B$71,0.0001)</f>
        <v>4.3878782420229312</v>
      </c>
      <c r="I218" s="7">
        <f>I217*(1+Parameters!$B$52)^Parameters!B$71</f>
        <v>15.164331144362707</v>
      </c>
      <c r="J218" s="7">
        <f>J217*(1+Parameters!$B$54)^Parameters!B$71</f>
        <v>624.90360166334403</v>
      </c>
      <c r="K218" s="7">
        <f>'6states'!$N$4</f>
        <v>0.98104277196026479</v>
      </c>
      <c r="L218" s="9">
        <f t="shared" si="39"/>
        <v>0.5</v>
      </c>
      <c r="N218" s="7">
        <f>(Parameters!$B$19*(E218+Parameters!$B$20)^L218+Parameters!$B$18*F218^L218)^(1/L218)</f>
        <v>0.53556374131473483</v>
      </c>
      <c r="O218" s="7">
        <f>(Parameters!$B$10*G218^Parameters!$B$9 + Parameters!$B$11*N218^Parameters!$B$9) ^ (Parameters!$B$7/Parameters!$B$9) * K218</f>
        <v>1.5070071552885185</v>
      </c>
      <c r="P218" s="7">
        <f t="shared" si="36"/>
        <v>1.1491121816733951</v>
      </c>
      <c r="Q218" s="7">
        <f>EXP(-Parameters!$B$56*A218)</f>
        <v>3.9502157038359118E-2</v>
      </c>
      <c r="R218" s="7">
        <f>IF(P218&gt;0,P218^(1-Parameters!$B$53)/(1-Parameters!$B$53)*Q218,-10+P218*1000)</f>
        <v>-0.10750432008338009</v>
      </c>
      <c r="S218" s="7"/>
    </row>
    <row r="219" spans="1:19" x14ac:dyDescent="0.25">
      <c r="A219">
        <f>A218+Parameters!$B$71</f>
        <v>215</v>
      </c>
      <c r="B219" s="9">
        <f t="shared" ref="B219:D219" si="53">B218</f>
        <v>5.191758263687303E-2</v>
      </c>
      <c r="C219" s="9">
        <f t="shared" si="53"/>
        <v>1.0017548050425843E-2</v>
      </c>
      <c r="D219" s="7">
        <f t="shared" si="53"/>
        <v>0.2959598429278244</v>
      </c>
      <c r="E219" s="7">
        <f>MAX((1-Parameters!$B$4)^Parameters!B$71*E218+B218*Parameters!B$71-Parameters!$B$5*B218^2/E218*Parameters!B$71,0.0001)</f>
        <v>0.76972614999880073</v>
      </c>
      <c r="F219" s="9">
        <f>MAX((1-Parameters!$B$4)^Parameters!B$71*F218+C218*Parameters!B$71-Parameters!$B$5*C218^2/F218*Parameters!B$71,0.0001)</f>
        <v>0.14851940890663837</v>
      </c>
      <c r="G219" s="7">
        <f>MAX((1-Parameters!$B$4)^Parameters!B$71*G218+D218*Parameters!B$71-Parameters!$B$5*D218^2/G218*Parameters!B$71,0.0001)</f>
        <v>4.3878782237468528</v>
      </c>
      <c r="I219" s="7">
        <f>I218*(1+Parameters!$B$52)^Parameters!B$71</f>
        <v>15.208307704681358</v>
      </c>
      <c r="J219" s="7">
        <f>J218*(1+Parameters!$B$54)^Parameters!B$71</f>
        <v>637.40167369661094</v>
      </c>
      <c r="K219" s="7">
        <f>'6states'!$N$4</f>
        <v>0.98104277196026479</v>
      </c>
      <c r="L219" s="9">
        <f t="shared" si="39"/>
        <v>0.5</v>
      </c>
      <c r="N219" s="7">
        <f>(Parameters!$B$19*(E219+Parameters!$B$20)^L219+Parameters!$B$18*F219^L219)^(1/L219)</f>
        <v>0.53556373908933619</v>
      </c>
      <c r="O219" s="7">
        <f>(Parameters!$B$10*G219^Parameters!$B$9 + Parameters!$B$11*N219^Parameters!$B$9) ^ (Parameters!$B$7/Parameters!$B$9) * K219</f>
        <v>1.507007153406235</v>
      </c>
      <c r="P219" s="7">
        <f t="shared" si="36"/>
        <v>1.1491121797911119</v>
      </c>
      <c r="Q219" s="7">
        <f>EXP(-Parameters!$B$56*A219)</f>
        <v>3.8910155328472619E-2</v>
      </c>
      <c r="R219" s="7">
        <f>IF(P219&gt;0,P219^(1-Parameters!$B$53)/(1-Parameters!$B$53)*Q219,-10+P219*1000)</f>
        <v>-0.10589319948433085</v>
      </c>
      <c r="S219" s="7"/>
    </row>
    <row r="220" spans="1:19" x14ac:dyDescent="0.25">
      <c r="A220">
        <f>A219+Parameters!$B$71</f>
        <v>216</v>
      </c>
      <c r="B220" s="9">
        <f t="shared" ref="B220:D220" si="54">B219</f>
        <v>5.191758263687303E-2</v>
      </c>
      <c r="C220" s="9">
        <f t="shared" si="54"/>
        <v>1.0017548050425843E-2</v>
      </c>
      <c r="D220" s="7">
        <f t="shared" si="54"/>
        <v>0.2959598429278244</v>
      </c>
      <c r="E220" s="7">
        <f>MAX((1-Parameters!$B$4)^Parameters!B$71*E219+B219*Parameters!B$71-Parameters!$B$5*B219^2/E219*Parameters!B$71,0.0001)</f>
        <v>0.76972614694651142</v>
      </c>
      <c r="F220" s="9">
        <f>MAX((1-Parameters!$B$4)^Parameters!B$71*F219+C219*Parameters!B$71-Parameters!$B$5*C219^2/F219*Parameters!B$71,0.0001)</f>
        <v>0.14851940832690361</v>
      </c>
      <c r="G220" s="7">
        <f>MAX((1-Parameters!$B$4)^Parameters!B$71*G219+D219*Parameters!B$71-Parameters!$B$5*D219^2/G219*Parameters!B$71,0.0001)</f>
        <v>4.3878782065371942</v>
      </c>
      <c r="I220" s="7">
        <f>I219*(1+Parameters!$B$52)^Parameters!B$71</f>
        <v>15.252411797024932</v>
      </c>
      <c r="J220" s="7">
        <f>J219*(1+Parameters!$B$54)^Parameters!B$71</f>
        <v>650.14970717054314</v>
      </c>
      <c r="K220" s="7">
        <f>'6states'!$N$4</f>
        <v>0.98104277196026479</v>
      </c>
      <c r="L220" s="9">
        <f t="shared" si="39"/>
        <v>0.5</v>
      </c>
      <c r="N220" s="7">
        <f>(Parameters!$B$19*(E220+Parameters!$B$20)^L220+Parameters!$B$18*F220^L220)^(1/L220)</f>
        <v>0.53556373699379145</v>
      </c>
      <c r="O220" s="7">
        <f>(Parameters!$B$10*G220^Parameters!$B$9 + Parameters!$B$11*N220^Parameters!$B$9) ^ (Parameters!$B$7/Parameters!$B$9) * K220</f>
        <v>1.5070071516337842</v>
      </c>
      <c r="P220" s="7">
        <f t="shared" si="36"/>
        <v>1.1491121780186608</v>
      </c>
      <c r="Q220" s="7">
        <f>EXP(-Parameters!$B$56*A220)</f>
        <v>3.8327025691677424E-2</v>
      </c>
      <c r="R220" s="7">
        <f>IF(P220&gt;0,P220^(1-Parameters!$B$53)/(1-Parameters!$B$53)*Q220,-10+P220*1000)</f>
        <v>-0.10430622404714621</v>
      </c>
      <c r="S220" s="7"/>
    </row>
    <row r="221" spans="1:19" x14ac:dyDescent="0.25">
      <c r="A221">
        <f>A220+Parameters!$B$71</f>
        <v>217</v>
      </c>
      <c r="B221" s="9">
        <f t="shared" ref="B221:D221" si="55">B220</f>
        <v>5.191758263687303E-2</v>
      </c>
      <c r="C221" s="9">
        <f t="shared" si="55"/>
        <v>1.0017548050425843E-2</v>
      </c>
      <c r="D221" s="7">
        <f t="shared" si="55"/>
        <v>0.2959598429278244</v>
      </c>
      <c r="E221" s="7">
        <f>MAX((1-Parameters!$B$4)^Parameters!B$71*E220+B220*Parameters!B$71-Parameters!$B$5*B220^2/E220*Parameters!B$71,0.0001)</f>
        <v>0.76972614407232487</v>
      </c>
      <c r="F221" s="9">
        <f>MAX((1-Parameters!$B$4)^Parameters!B$71*F220+C220*Parameters!B$71-Parameters!$B$5*C220^2/F220*Parameters!B$71,0.0001)</f>
        <v>0.1485194077809967</v>
      </c>
      <c r="G221" s="7">
        <f>MAX((1-Parameters!$B$4)^Parameters!B$71*G220+D220*Parameters!B$71-Parameters!$B$5*D220^2/G220*Parameters!B$71,0.0001)</f>
        <v>4.3878781903317288</v>
      </c>
      <c r="I221" s="7">
        <f>I220*(1+Parameters!$B$52)^Parameters!B$71</f>
        <v>15.296643791236303</v>
      </c>
      <c r="J221" s="7">
        <f>J220*(1+Parameters!$B$54)^Parameters!B$71</f>
        <v>663.15270131395403</v>
      </c>
      <c r="K221" s="7">
        <f>'6states'!$N$4</f>
        <v>0.98104277196026479</v>
      </c>
      <c r="L221" s="9">
        <f t="shared" si="39"/>
        <v>0.5</v>
      </c>
      <c r="N221" s="7">
        <f>(Parameters!$B$19*(E221+Parameters!$B$20)^L221+Parameters!$B$18*F221^L221)^(1/L221)</f>
        <v>0.53556373502052246</v>
      </c>
      <c r="O221" s="7">
        <f>(Parameters!$B$10*G221^Parameters!$B$9 + Parameters!$B$11*N221^Parameters!$B$9) ^ (Parameters!$B$7/Parameters!$B$9) * K221</f>
        <v>1.5070071499647564</v>
      </c>
      <c r="P221" s="7">
        <f t="shared" si="36"/>
        <v>1.1491121763496333</v>
      </c>
      <c r="Q221" s="7">
        <f>EXP(-Parameters!$B$56*A221)</f>
        <v>3.7752635166058694E-2</v>
      </c>
      <c r="R221" s="7">
        <f>IF(P221&gt;0,P221^(1-Parameters!$B$53)/(1-Parameters!$B$53)*Q221,-10+P221*1000)</f>
        <v>-0.10274303191906703</v>
      </c>
      <c r="S221" s="7"/>
    </row>
    <row r="222" spans="1:19" x14ac:dyDescent="0.25">
      <c r="A222">
        <f>A221+Parameters!$B$71</f>
        <v>218</v>
      </c>
      <c r="B222" s="9">
        <f t="shared" ref="B222:D222" si="56">B221</f>
        <v>5.191758263687303E-2</v>
      </c>
      <c r="C222" s="9">
        <f t="shared" si="56"/>
        <v>1.0017548050425843E-2</v>
      </c>
      <c r="D222" s="7">
        <f t="shared" si="56"/>
        <v>0.2959598429278244</v>
      </c>
      <c r="E222" s="7">
        <f>MAX((1-Parameters!$B$4)^Parameters!B$71*E221+B221*Parameters!B$71-Parameters!$B$5*B221^2/E221*Parameters!B$71,0.0001)</f>
        <v>0.76972614136584883</v>
      </c>
      <c r="F222" s="9">
        <f>MAX((1-Parameters!$B$4)^Parameters!B$71*F221+C221*Parameters!B$71-Parameters!$B$5*C221^2/F221*Parameters!B$71,0.0001)</f>
        <v>0.14851940726694376</v>
      </c>
      <c r="G222" s="7">
        <f>MAX((1-Parameters!$B$4)^Parameters!B$71*G221+D221*Parameters!B$71-Parameters!$B$5*D221^2/G221*Parameters!B$71,0.0001)</f>
        <v>4.3878781750718625</v>
      </c>
      <c r="I222" s="7">
        <f>I221*(1+Parameters!$B$52)^Parameters!B$71</f>
        <v>15.341004058230887</v>
      </c>
      <c r="J222" s="7">
        <f>J221*(1+Parameters!$B$54)^Parameters!B$71</f>
        <v>676.41575534023309</v>
      </c>
      <c r="K222" s="7">
        <f>'6states'!$N$4</f>
        <v>0.98104277196026479</v>
      </c>
      <c r="L222" s="9">
        <f t="shared" si="39"/>
        <v>0.5</v>
      </c>
      <c r="N222" s="7">
        <f>(Parameters!$B$19*(E222+Parameters!$B$20)^L222+Parameters!$B$18*F222^L222)^(1/L222)</f>
        <v>0.53556373316239503</v>
      </c>
      <c r="O222" s="7">
        <f>(Parameters!$B$10*G222^Parameters!$B$9 + Parameters!$B$11*N222^Parameters!$B$9) ^ (Parameters!$B$7/Parameters!$B$9) * K222</f>
        <v>1.5070071483931173</v>
      </c>
      <c r="P222" s="7">
        <f t="shared" si="36"/>
        <v>1.149112174777994</v>
      </c>
      <c r="Q222" s="7">
        <f>EXP(-Parameters!$B$56*A222)</f>
        <v>3.7186852782344175E-2</v>
      </c>
      <c r="R222" s="7">
        <f>IF(P222&gt;0,P222^(1-Parameters!$B$53)/(1-Parameters!$B$53)*Q222,-10+P222*1000)</f>
        <v>-0.10120326667024158</v>
      </c>
      <c r="S222" s="7"/>
    </row>
    <row r="223" spans="1:19" x14ac:dyDescent="0.25">
      <c r="A223">
        <f>A222+Parameters!$B$71</f>
        <v>219</v>
      </c>
      <c r="B223" s="9">
        <f t="shared" ref="B223:D223" si="57">B222</f>
        <v>5.191758263687303E-2</v>
      </c>
      <c r="C223" s="9">
        <f t="shared" si="57"/>
        <v>1.0017548050425843E-2</v>
      </c>
      <c r="D223" s="7">
        <f t="shared" si="57"/>
        <v>0.2959598429278244</v>
      </c>
      <c r="E223" s="7">
        <f>MAX((1-Parameters!$B$4)^Parameters!B$71*E222+B222*Parameters!B$71-Parameters!$B$5*B222^2/E222*Parameters!B$71,0.0001)</f>
        <v>0.76972613881729712</v>
      </c>
      <c r="F223" s="9">
        <f>MAX((1-Parameters!$B$4)^Parameters!B$71*F222+C222*Parameters!B$71-Parameters!$B$5*C222^2/F222*Parameters!B$71,0.0001)</f>
        <v>0.14851940678288614</v>
      </c>
      <c r="G223" s="7">
        <f>MAX((1-Parameters!$B$4)^Parameters!B$71*G222+D222*Parameters!B$71-Parameters!$B$5*D222^2/G222*Parameters!B$71,0.0001)</f>
        <v>4.3878781607024182</v>
      </c>
      <c r="I223" s="7">
        <f>I222*(1+Parameters!$B$52)^Parameters!B$71</f>
        <v>15.385492969999754</v>
      </c>
      <c r="J223" s="7">
        <f>J222*(1+Parameters!$B$54)^Parameters!B$71</f>
        <v>689.9440704470378</v>
      </c>
      <c r="K223" s="7">
        <f>'6states'!$N$4</f>
        <v>0.98104277196026479</v>
      </c>
      <c r="L223" s="9">
        <f t="shared" si="39"/>
        <v>0.5</v>
      </c>
      <c r="N223" s="7">
        <f>(Parameters!$B$19*(E223+Parameters!$B$20)^L223+Parameters!$B$18*F223^L223)^(1/L223)</f>
        <v>0.53556373141269031</v>
      </c>
      <c r="O223" s="7">
        <f>(Parameters!$B$10*G223^Parameters!$B$9 + Parameters!$B$11*N223^Parameters!$B$9) ^ (Parameters!$B$7/Parameters!$B$9) * K223</f>
        <v>1.5070071469131845</v>
      </c>
      <c r="P223" s="7">
        <f t="shared" si="36"/>
        <v>1.1491121732980614</v>
      </c>
      <c r="Q223" s="7">
        <f>EXP(-Parameters!$B$56*A223)</f>
        <v>3.662954953404135E-2</v>
      </c>
      <c r="R223" s="7">
        <f>IF(P223&gt;0,P223^(1-Parameters!$B$53)/(1-Parameters!$B$53)*Q223,-10+P223*1000)</f>
        <v>-9.9686577212456343E-2</v>
      </c>
      <c r="S223" s="7"/>
    </row>
    <row r="224" spans="1:19" x14ac:dyDescent="0.25">
      <c r="A224">
        <f>A223+Parameters!$B$71</f>
        <v>220</v>
      </c>
      <c r="B224" s="9">
        <f t="shared" ref="B224:D224" si="58">B223</f>
        <v>5.191758263687303E-2</v>
      </c>
      <c r="C224" s="9">
        <f t="shared" si="58"/>
        <v>1.0017548050425843E-2</v>
      </c>
      <c r="D224" s="7">
        <f t="shared" si="58"/>
        <v>0.2959598429278244</v>
      </c>
      <c r="E224" s="7">
        <f>MAX((1-Parameters!$B$4)^Parameters!B$71*E223+B223*Parameters!B$71-Parameters!$B$5*B223^2/E223*Parameters!B$71,0.0001)</f>
        <v>0.76972613641745502</v>
      </c>
      <c r="F224" s="9">
        <f>MAX((1-Parameters!$B$4)^Parameters!B$71*F223+C223*Parameters!B$71-Parameters!$B$5*C223^2/F223*Parameters!B$71,0.0001)</f>
        <v>0.14851940632707356</v>
      </c>
      <c r="G224" s="7">
        <f>MAX((1-Parameters!$B$4)^Parameters!B$71*G223+D223*Parameters!B$71-Parameters!$B$5*D223^2/G223*Parameters!B$71,0.0001)</f>
        <v>4.3878781471714383</v>
      </c>
      <c r="I224" s="7">
        <f>I223*(1+Parameters!$B$52)^Parameters!B$71</f>
        <v>15.430110899612751</v>
      </c>
      <c r="J224" s="7">
        <f>J223*(1+Parameters!$B$54)^Parameters!B$71</f>
        <v>703.74295185597862</v>
      </c>
      <c r="K224" s="7">
        <f>'6states'!$N$4</f>
        <v>0.98104277196026479</v>
      </c>
      <c r="L224" s="9">
        <f t="shared" si="39"/>
        <v>0.5</v>
      </c>
      <c r="N224" s="7">
        <f>(Parameters!$B$19*(E224+Parameters!$B$20)^L224+Parameters!$B$18*F224^L224)^(1/L224)</f>
        <v>0.53556372976508215</v>
      </c>
      <c r="O224" s="7">
        <f>(Parameters!$B$10*G224^Parameters!$B$9 + Parameters!$B$11*N224^Parameters!$B$9) ^ (Parameters!$B$7/Parameters!$B$9) * K224</f>
        <v>1.5070071455196068</v>
      </c>
      <c r="P224" s="7">
        <f t="shared" si="36"/>
        <v>1.1491121719044837</v>
      </c>
      <c r="Q224" s="7">
        <f>EXP(-Parameters!$B$56*A224)</f>
        <v>3.608059834802213E-2</v>
      </c>
      <c r="R224" s="7">
        <f>IF(P224&gt;0,P224^(1-Parameters!$B$53)/(1-Parameters!$B$53)*Q224,-10+P224*1000)</f>
        <v>-9.8192617719084982E-2</v>
      </c>
      <c r="S224" s="7"/>
    </row>
    <row r="225" spans="1:19" x14ac:dyDescent="0.25">
      <c r="A225">
        <f>A224+Parameters!$B$71</f>
        <v>221</v>
      </c>
      <c r="B225" s="9">
        <f t="shared" ref="B225:D225" si="59">B224</f>
        <v>5.191758263687303E-2</v>
      </c>
      <c r="C225" s="9">
        <f t="shared" si="59"/>
        <v>1.0017548050425843E-2</v>
      </c>
      <c r="D225" s="7">
        <f t="shared" si="59"/>
        <v>0.2959598429278244</v>
      </c>
      <c r="E225" s="7">
        <f>MAX((1-Parameters!$B$4)^Parameters!B$71*E224+B224*Parameters!B$71-Parameters!$B$5*B224^2/E224*Parameters!B$71,0.0001)</f>
        <v>0.76972613415764501</v>
      </c>
      <c r="F225" s="9">
        <f>MAX((1-Parameters!$B$4)^Parameters!B$71*F224+C224*Parameters!B$71-Parameters!$B$5*C224^2/F224*Parameters!B$71,0.0001)</f>
        <v>0.14851940589785786</v>
      </c>
      <c r="G225" s="7">
        <f>MAX((1-Parameters!$B$4)^Parameters!B$71*G224+D224*Parameters!B$71-Parameters!$B$5*D224^2/G224*Parameters!B$71,0.0001)</f>
        <v>4.3878781344299993</v>
      </c>
      <c r="I225" s="7">
        <f>I224*(1+Parameters!$B$52)^Parameters!B$71</f>
        <v>15.474858221221627</v>
      </c>
      <c r="J225" s="7">
        <f>J224*(1+Parameters!$B$54)^Parameters!B$71</f>
        <v>717.81781089309823</v>
      </c>
      <c r="K225" s="7">
        <f>'6states'!$N$4</f>
        <v>0.98104277196026479</v>
      </c>
      <c r="L225" s="9">
        <f t="shared" si="39"/>
        <v>0.5</v>
      </c>
      <c r="N225" s="7">
        <f>(Parameters!$B$19*(E225+Parameters!$B$20)^L225+Parameters!$B$18*F225^L225)^(1/L225)</f>
        <v>0.53556372821361264</v>
      </c>
      <c r="O225" s="7">
        <f>(Parameters!$B$10*G225^Parameters!$B$9 + Parameters!$B$11*N225^Parameters!$B$9) ^ (Parameters!$B$7/Parameters!$B$9) * K225</f>
        <v>1.5070071442073452</v>
      </c>
      <c r="P225" s="7">
        <f t="shared" si="36"/>
        <v>1.1491121705922218</v>
      </c>
      <c r="Q225" s="7">
        <f>EXP(-Parameters!$B$56*A225)</f>
        <v>3.5539874055548294E-2</v>
      </c>
      <c r="R225" s="7">
        <f>IF(P225&gt;0,P225^(1-Parameters!$B$53)/(1-Parameters!$B$53)*Q225,-10+P225*1000)</f>
        <v>-9.6721047546236449E-2</v>
      </c>
      <c r="S225" s="7"/>
    </row>
    <row r="226" spans="1:19" x14ac:dyDescent="0.25">
      <c r="A226">
        <f>A225+Parameters!$B$71</f>
        <v>222</v>
      </c>
      <c r="B226" s="9">
        <f t="shared" ref="B226:D226" si="60">B225</f>
        <v>5.191758263687303E-2</v>
      </c>
      <c r="C226" s="9">
        <f t="shared" si="60"/>
        <v>1.0017548050425843E-2</v>
      </c>
      <c r="D226" s="7">
        <f t="shared" si="60"/>
        <v>0.2959598429278244</v>
      </c>
      <c r="E226" s="7">
        <f>MAX((1-Parameters!$B$4)^Parameters!B$71*E225+B225*Parameters!B$71-Parameters!$B$5*B225^2/E225*Parameters!B$71,0.0001)</f>
        <v>0.7697261320296962</v>
      </c>
      <c r="F226" s="9">
        <f>MAX((1-Parameters!$B$4)^Parameters!B$71*F225+C225*Parameters!B$71-Parameters!$B$5*C225^2/F225*Parameters!B$71,0.0001)</f>
        <v>0.14851940549368717</v>
      </c>
      <c r="G226" s="7">
        <f>MAX((1-Parameters!$B$4)^Parameters!B$71*G225+D225*Parameters!B$71-Parameters!$B$5*D225^2/G225*Parameters!B$71,0.0001)</f>
        <v>4.3878781224320305</v>
      </c>
      <c r="I226" s="7">
        <f>I225*(1+Parameters!$B$52)^Parameters!B$71</f>
        <v>15.519735310063169</v>
      </c>
      <c r="J226" s="7">
        <f>J225*(1+Parameters!$B$54)^Parameters!B$71</f>
        <v>732.17416711096018</v>
      </c>
      <c r="K226" s="7">
        <f>'6states'!$N$4</f>
        <v>0.98104277196026479</v>
      </c>
      <c r="L226" s="9">
        <f t="shared" si="39"/>
        <v>0.5</v>
      </c>
      <c r="N226" s="7">
        <f>(Parameters!$B$19*(E226+Parameters!$B$20)^L226+Parameters!$B$18*F226^L226)^(1/L226)</f>
        <v>0.53556372675267216</v>
      </c>
      <c r="O226" s="7">
        <f>(Parameters!$B$10*G226^Parameters!$B$9 + Parameters!$B$11*N226^Parameters!$B$9) ^ (Parameters!$B$7/Parameters!$B$9) * K226</f>
        <v>1.5070071429716543</v>
      </c>
      <c r="P226" s="7">
        <f t="shared" si="36"/>
        <v>1.1491121693565312</v>
      </c>
      <c r="Q226" s="7">
        <f>EXP(-Parameters!$B$56*A226)</f>
        <v>3.5007253363731262E-2</v>
      </c>
      <c r="R226" s="7">
        <f>IF(P226&gt;0,P226^(1-Parameters!$B$53)/(1-Parameters!$B$53)*Q226,-10+P226*1000)</f>
        <v>-9.5271531155084924E-2</v>
      </c>
      <c r="S226" s="7"/>
    </row>
    <row r="227" spans="1:19" x14ac:dyDescent="0.25">
      <c r="A227">
        <f>A226+Parameters!$B$71</f>
        <v>223</v>
      </c>
      <c r="B227" s="9">
        <f t="shared" ref="B227:D227" si="61">B226</f>
        <v>5.191758263687303E-2</v>
      </c>
      <c r="C227" s="9">
        <f t="shared" si="61"/>
        <v>1.0017548050425843E-2</v>
      </c>
      <c r="D227" s="7">
        <f t="shared" si="61"/>
        <v>0.2959598429278244</v>
      </c>
      <c r="E227" s="7">
        <f>MAX((1-Parameters!$B$4)^Parameters!B$71*E226+B226*Parameters!B$71-Parameters!$B$5*B226^2/E226*Parameters!B$71,0.0001)</f>
        <v>0.76972613002591439</v>
      </c>
      <c r="F227" s="9">
        <f>MAX((1-Parameters!$B$4)^Parameters!B$71*F226+C226*Parameters!B$71-Parameters!$B$5*C226^2/F226*Parameters!B$71,0.0001)</f>
        <v>0.14851940511310008</v>
      </c>
      <c r="G227" s="7">
        <f>MAX((1-Parameters!$B$4)^Parameters!B$71*G226+D226*Parameters!B$71-Parameters!$B$5*D226^2/G226*Parameters!B$71,0.0001)</f>
        <v>4.3878781111341505</v>
      </c>
      <c r="I227" s="7">
        <f>I226*(1+Parameters!$B$52)^Parameters!B$71</f>
        <v>15.56474254246235</v>
      </c>
      <c r="J227" s="7">
        <f>J226*(1+Parameters!$B$54)^Parameters!B$71</f>
        <v>746.81765045317945</v>
      </c>
      <c r="K227" s="7">
        <f>'6states'!$N$4</f>
        <v>0.98104277196026479</v>
      </c>
      <c r="L227" s="9">
        <f t="shared" si="39"/>
        <v>0.5</v>
      </c>
      <c r="N227" s="7">
        <f>(Parameters!$B$19*(E227+Parameters!$B$20)^L227+Parameters!$B$18*F227^L227)^(1/L227)</f>
        <v>0.53556372537697861</v>
      </c>
      <c r="O227" s="7">
        <f>(Parameters!$B$10*G227^Parameters!$B$9 + Parameters!$B$11*N227^Parameters!$B$9) ^ (Parameters!$B$7/Parameters!$B$9) * K227</f>
        <v>1.5070071418080671</v>
      </c>
      <c r="P227" s="7">
        <f t="shared" si="36"/>
        <v>1.1491121681929437</v>
      </c>
      <c r="Q227" s="7">
        <f>EXP(-Parameters!$B$56*A227)</f>
        <v>3.4482614827419586E-2</v>
      </c>
      <c r="R227" s="7">
        <f>IF(P227&gt;0,P227^(1-Parameters!$B$53)/(1-Parameters!$B$53)*Q227,-10+P227*1000)</f>
        <v>-9.3843738035363861E-2</v>
      </c>
      <c r="S227" s="7"/>
    </row>
    <row r="228" spans="1:19" x14ac:dyDescent="0.25">
      <c r="A228">
        <f>A227+Parameters!$B$71</f>
        <v>224</v>
      </c>
      <c r="B228" s="9">
        <f t="shared" ref="B228:D228" si="62">B227</f>
        <v>5.191758263687303E-2</v>
      </c>
      <c r="C228" s="9">
        <f t="shared" si="62"/>
        <v>1.0017548050425843E-2</v>
      </c>
      <c r="D228" s="7">
        <f t="shared" si="62"/>
        <v>0.2959598429278244</v>
      </c>
      <c r="E228" s="7">
        <f>MAX((1-Parameters!$B$4)^Parameters!B$71*E227+B227*Parameters!B$71-Parameters!$B$5*B227^2/E227*Parameters!B$71,0.0001)</f>
        <v>0.76972612813905439</v>
      </c>
      <c r="F228" s="9">
        <f>MAX((1-Parameters!$B$4)^Parameters!B$71*F227+C227*Parameters!B$71-Parameters!$B$5*C227^2/F227*Parameters!B$71,0.0001)</f>
        <v>0.14851940475472047</v>
      </c>
      <c r="G228" s="7">
        <f>MAX((1-Parameters!$B$4)^Parameters!B$71*G227+D227*Parameters!B$71-Parameters!$B$5*D227^2/G227*Parameters!B$71,0.0001)</f>
        <v>4.3878781004955085</v>
      </c>
      <c r="I228" s="7">
        <f>I227*(1+Parameters!$B$52)^Parameters!B$71</f>
        <v>15.609880295835488</v>
      </c>
      <c r="J228" s="7">
        <f>J227*(1+Parameters!$B$54)^Parameters!B$71</f>
        <v>761.75400346224308</v>
      </c>
      <c r="K228" s="7">
        <f>'6states'!$N$4</f>
        <v>0.98104277196026479</v>
      </c>
      <c r="L228" s="9">
        <f t="shared" si="39"/>
        <v>0.5</v>
      </c>
      <c r="N228" s="7">
        <f>(Parameters!$B$19*(E228+Parameters!$B$20)^L228+Parameters!$B$18*F228^L228)^(1/L228)</f>
        <v>0.5355637240815575</v>
      </c>
      <c r="O228" s="7">
        <f>(Parameters!$B$10*G228^Parameters!$B$9 + Parameters!$B$11*N228^Parameters!$B$9) ^ (Parameters!$B$7/Parameters!$B$9) * K228</f>
        <v>1.5070071407123757</v>
      </c>
      <c r="P228" s="7">
        <f t="shared" si="36"/>
        <v>1.1491121670972526</v>
      </c>
      <c r="Q228" s="7">
        <f>EXP(-Parameters!$B$56*A228)</f>
        <v>3.3965838821507631E-2</v>
      </c>
      <c r="R228" s="7">
        <f>IF(P228&gt;0,P228^(1-Parameters!$B$53)/(1-Parameters!$B$53)*Q228,-10+P228*1000)</f>
        <v>-9.243734263000597E-2</v>
      </c>
      <c r="S228" s="7"/>
    </row>
    <row r="229" spans="1:19" x14ac:dyDescent="0.25">
      <c r="A229">
        <f>A228+Parameters!$B$71</f>
        <v>225</v>
      </c>
      <c r="B229" s="9">
        <f t="shared" ref="B229:D229" si="63">B228</f>
        <v>5.191758263687303E-2</v>
      </c>
      <c r="C229" s="9">
        <f t="shared" si="63"/>
        <v>1.0017548050425843E-2</v>
      </c>
      <c r="D229" s="7">
        <f t="shared" si="63"/>
        <v>0.2959598429278244</v>
      </c>
      <c r="E229" s="7">
        <f>MAX((1-Parameters!$B$4)^Parameters!B$71*E228+B228*Parameters!B$71-Parameters!$B$5*B228^2/E228*Parameters!B$71,0.0001)</f>
        <v>0.76972612636229376</v>
      </c>
      <c r="F229" s="9">
        <f>MAX((1-Parameters!$B$4)^Parameters!B$71*F228+C228*Parameters!B$71-Parameters!$B$5*C228^2/F228*Parameters!B$71,0.0001)</f>
        <v>0.1485194044172525</v>
      </c>
      <c r="G229" s="7">
        <f>MAX((1-Parameters!$B$4)^Parameters!B$71*G228+D228*Parameters!B$71-Parameters!$B$5*D228^2/G228*Parameters!B$71,0.0001)</f>
        <v>4.3878780904776375</v>
      </c>
      <c r="I229" s="7">
        <f>I228*(1+Parameters!$B$52)^Parameters!B$71</f>
        <v>15.655148948693409</v>
      </c>
      <c r="J229" s="7">
        <f>J228*(1+Parameters!$B$54)^Parameters!B$71</f>
        <v>776.98908353148795</v>
      </c>
      <c r="K229" s="7">
        <f>'6states'!$N$4</f>
        <v>0.98104277196026479</v>
      </c>
      <c r="L229" s="9">
        <f t="shared" si="39"/>
        <v>0.5</v>
      </c>
      <c r="N229" s="7">
        <f>(Parameters!$B$19*(E229+Parameters!$B$20)^L229+Parameters!$B$18*F229^L229)^(1/L229)</f>
        <v>0.53556372286172471</v>
      </c>
      <c r="O229" s="7">
        <f>(Parameters!$B$10*G229^Parameters!$B$9 + Parameters!$B$11*N229^Parameters!$B$9) ^ (Parameters!$B$7/Parameters!$B$9) * K229</f>
        <v>1.5070071396806186</v>
      </c>
      <c r="P229" s="7">
        <f t="shared" si="36"/>
        <v>1.1491121660654953</v>
      </c>
      <c r="Q229" s="7">
        <f>EXP(-Parameters!$B$56*A229)</f>
        <v>3.3456807513659412E-2</v>
      </c>
      <c r="R229" s="7">
        <f>IF(P229&gt;0,P229^(1-Parameters!$B$53)/(1-Parameters!$B$53)*Q229,-10+P229*1000)</f>
        <v>-9.1052024260913161E-2</v>
      </c>
      <c r="S229" s="7"/>
    </row>
    <row r="230" spans="1:19" x14ac:dyDescent="0.25">
      <c r="A230">
        <f>A229+Parameters!$B$71</f>
        <v>226</v>
      </c>
      <c r="B230" s="9">
        <f t="shared" ref="B230:D230" si="64">B229</f>
        <v>5.191758263687303E-2</v>
      </c>
      <c r="C230" s="9">
        <f t="shared" si="64"/>
        <v>1.0017548050425843E-2</v>
      </c>
      <c r="D230" s="7">
        <f t="shared" si="64"/>
        <v>0.2959598429278244</v>
      </c>
      <c r="E230" s="7">
        <f>MAX((1-Parameters!$B$4)^Parameters!B$71*E229+B229*Parameters!B$71-Parameters!$B$5*B229^2/E229*Parameters!B$71,0.0001)</f>
        <v>0.7697261246892082</v>
      </c>
      <c r="F230" s="9">
        <f>MAX((1-Parameters!$B$4)^Parameters!B$71*F229+C229*Parameters!B$71-Parameters!$B$5*C229^2/F229*Parameters!B$71,0.0001)</f>
        <v>0.14851940409947598</v>
      </c>
      <c r="G230" s="7">
        <f>MAX((1-Parameters!$B$4)^Parameters!B$71*G229+D229*Parameters!B$71-Parameters!$B$5*D229^2/G229*Parameters!B$71,0.0001)</f>
        <v>4.3878780810443141</v>
      </c>
      <c r="I230" s="7">
        <f>I229*(1+Parameters!$B$52)^Parameters!B$71</f>
        <v>15.700548880644618</v>
      </c>
      <c r="J230" s="7">
        <f>J229*(1+Parameters!$B$54)^Parameters!B$71</f>
        <v>792.52886520211769</v>
      </c>
      <c r="K230" s="7">
        <f>'6states'!$N$4</f>
        <v>0.98104277196026479</v>
      </c>
      <c r="L230" s="9">
        <f t="shared" si="39"/>
        <v>0.5</v>
      </c>
      <c r="N230" s="7">
        <f>(Parameters!$B$19*(E230+Parameters!$B$20)^L230+Parameters!$B$18*F230^L230)^(1/L230)</f>
        <v>0.53556372171307032</v>
      </c>
      <c r="O230" s="7">
        <f>(Parameters!$B$10*G230^Parameters!$B$9 + Parameters!$B$11*N230^Parameters!$B$9) ^ (Parameters!$B$7/Parameters!$B$9) * K230</f>
        <v>1.5070071387090651</v>
      </c>
      <c r="P230" s="7">
        <f t="shared" si="36"/>
        <v>1.1491121650939418</v>
      </c>
      <c r="Q230" s="7">
        <f>EXP(-Parameters!$B$56*A230)</f>
        <v>3.2955404837441082E-2</v>
      </c>
      <c r="R230" s="7">
        <f>IF(P230&gt;0,P230^(1-Parameters!$B$53)/(1-Parameters!$B$53)*Q230,-10+P230*1000)</f>
        <v>-8.9687467055838244E-2</v>
      </c>
      <c r="S230" s="7"/>
    </row>
    <row r="231" spans="1:19" x14ac:dyDescent="0.25">
      <c r="A231">
        <f>A230+Parameters!$B$71</f>
        <v>227</v>
      </c>
      <c r="B231" s="9">
        <f t="shared" ref="B231:D231" si="65">B230</f>
        <v>5.191758263687303E-2</v>
      </c>
      <c r="C231" s="9">
        <f t="shared" si="65"/>
        <v>1.0017548050425843E-2</v>
      </c>
      <c r="D231" s="7">
        <f t="shared" si="65"/>
        <v>0.2959598429278244</v>
      </c>
      <c r="E231" s="7">
        <f>MAX((1-Parameters!$B$4)^Parameters!B$71*E230+B230*Parameters!B$71-Parameters!$B$5*B230^2/E230*Parameters!B$71,0.0001)</f>
        <v>0.76972612311374811</v>
      </c>
      <c r="F231" s="9">
        <f>MAX((1-Parameters!$B$4)^Parameters!B$71*F230+C230*Parameters!B$71-Parameters!$B$5*C230^2/F230*Parameters!B$71,0.0001)</f>
        <v>0.14851940380024189</v>
      </c>
      <c r="G231" s="7">
        <f>MAX((1-Parameters!$B$4)^Parameters!B$71*G230+D230*Parameters!B$71-Parameters!$B$5*D230^2/G230*Parameters!B$71,0.0001)</f>
        <v>4.3878780721614312</v>
      </c>
      <c r="I231" s="7">
        <f>I230*(1+Parameters!$B$52)^Parameters!B$71</f>
        <v>15.746080472398486</v>
      </c>
      <c r="J231" s="7">
        <f>J230*(1+Parameters!$B$54)^Parameters!B$71</f>
        <v>808.3794425061601</v>
      </c>
      <c r="K231" s="7">
        <f>'6states'!$N$4</f>
        <v>0.98104277196026479</v>
      </c>
      <c r="L231" s="9">
        <f t="shared" si="39"/>
        <v>0.5</v>
      </c>
      <c r="N231" s="7">
        <f>(Parameters!$B$19*(E231+Parameters!$B$20)^L231+Parameters!$B$18*F231^L231)^(1/L231)</f>
        <v>0.53556372063144042</v>
      </c>
      <c r="O231" s="7">
        <f>(Parameters!$B$10*G231^Parameters!$B$9 + Parameters!$B$11*N231^Parameters!$B$9) ^ (Parameters!$B$7/Parameters!$B$9) * K231</f>
        <v>1.5070071377942025</v>
      </c>
      <c r="P231" s="7">
        <f t="shared" si="36"/>
        <v>1.1491121641790794</v>
      </c>
      <c r="Q231" s="7">
        <f>EXP(-Parameters!$B$56*A231)</f>
        <v>3.2461516465856148E-2</v>
      </c>
      <c r="R231" s="7">
        <f>IF(P231&gt;0,P231^(1-Parameters!$B$53)/(1-Parameters!$B$53)*Q231,-10+P231*1000)</f>
        <v>-8.8343359876362909E-2</v>
      </c>
      <c r="S231" s="7"/>
    </row>
    <row r="232" spans="1:19" x14ac:dyDescent="0.25">
      <c r="A232">
        <f>A231+Parameters!$B$71</f>
        <v>228</v>
      </c>
      <c r="B232" s="9">
        <f t="shared" ref="B232:D232" si="66">B231</f>
        <v>5.191758263687303E-2</v>
      </c>
      <c r="C232" s="9">
        <f t="shared" si="66"/>
        <v>1.0017548050425843E-2</v>
      </c>
      <c r="D232" s="7">
        <f t="shared" si="66"/>
        <v>0.2959598429278244</v>
      </c>
      <c r="E232" s="7">
        <f>MAX((1-Parameters!$B$4)^Parameters!B$71*E231+B231*Parameters!B$71-Parameters!$B$5*B231^2/E231*Parameters!B$71,0.0001)</f>
        <v>0.76972612163021703</v>
      </c>
      <c r="F232" s="9">
        <f>MAX((1-Parameters!$B$4)^Parameters!B$71*F231+C231*Parameters!B$71-Parameters!$B$5*C231^2/F231*Parameters!B$71,0.0001)</f>
        <v>0.14851940351846832</v>
      </c>
      <c r="G232" s="7">
        <f>MAX((1-Parameters!$B$4)^Parameters!B$71*G231+D231*Parameters!B$71-Parameters!$B$5*D231^2/G231*Parameters!B$71,0.0001)</f>
        <v>4.3878780637968697</v>
      </c>
      <c r="I232" s="7">
        <f>I231*(1+Parameters!$B$52)^Parameters!B$71</f>
        <v>15.791744105768441</v>
      </c>
      <c r="J232" s="7">
        <f>J231*(1+Parameters!$B$54)^Parameters!B$71</f>
        <v>824.54703135628336</v>
      </c>
      <c r="K232" s="7">
        <f>'6states'!$N$4</f>
        <v>0.98104277196026479</v>
      </c>
      <c r="L232" s="9">
        <f t="shared" si="39"/>
        <v>0.5</v>
      </c>
      <c r="N232" s="7">
        <f>(Parameters!$B$19*(E232+Parameters!$B$20)^L232+Parameters!$B$18*F232^L232)^(1/L232)</f>
        <v>0.53556371961292404</v>
      </c>
      <c r="O232" s="7">
        <f>(Parameters!$B$10*G232^Parameters!$B$9 + Parameters!$B$11*N232^Parameters!$B$9) ^ (Parameters!$B$7/Parameters!$B$9) * K232</f>
        <v>1.5070071369327223</v>
      </c>
      <c r="P232" s="7">
        <f t="shared" si="36"/>
        <v>1.1491121633175991</v>
      </c>
      <c r="Q232" s="7">
        <f>EXP(-Parameters!$B$56*A232)</f>
        <v>3.1975029785277304E-2</v>
      </c>
      <c r="R232" s="7">
        <f>IF(P232&gt;0,P232^(1-Parameters!$B$53)/(1-Parameters!$B$53)*Q232,-10+P232*1000)</f>
        <v>-8.7019396246954539E-2</v>
      </c>
      <c r="S232" s="7"/>
    </row>
    <row r="233" spans="1:19" x14ac:dyDescent="0.25">
      <c r="A233">
        <f>A232+Parameters!$B$71</f>
        <v>229</v>
      </c>
      <c r="B233" s="9">
        <f t="shared" ref="B233:D233" si="67">B232</f>
        <v>5.191758263687303E-2</v>
      </c>
      <c r="C233" s="9">
        <f t="shared" si="67"/>
        <v>1.0017548050425843E-2</v>
      </c>
      <c r="D233" s="7">
        <f t="shared" si="67"/>
        <v>0.2959598429278244</v>
      </c>
      <c r="E233" s="7">
        <f>MAX((1-Parameters!$B$4)^Parameters!B$71*E232+B232*Parameters!B$71-Parameters!$B$5*B232^2/E232*Parameters!B$71,0.0001)</f>
        <v>0.76972612023325093</v>
      </c>
      <c r="F233" s="9">
        <f>MAX((1-Parameters!$B$4)^Parameters!B$71*F232+C232*Parameters!B$71-Parameters!$B$5*C232^2/F232*Parameters!B$71,0.0001)</f>
        <v>0.14851940325313637</v>
      </c>
      <c r="G233" s="7">
        <f>MAX((1-Parameters!$B$4)^Parameters!B$71*G232+D232*Parameters!B$71-Parameters!$B$5*D232^2/G232*Parameters!B$71,0.0001)</f>
        <v>4.3878780559203845</v>
      </c>
      <c r="I233" s="7">
        <f>I232*(1+Parameters!$B$52)^Parameters!B$71</f>
        <v>15.837540163675168</v>
      </c>
      <c r="J233" s="7">
        <f>J232*(1+Parameters!$B$54)^Parameters!B$71</f>
        <v>841.03797198340908</v>
      </c>
      <c r="K233" s="7">
        <f>'6states'!$N$4</f>
        <v>0.98104277196026479</v>
      </c>
      <c r="L233" s="9">
        <f t="shared" si="39"/>
        <v>0.5</v>
      </c>
      <c r="N233" s="7">
        <f>(Parameters!$B$19*(E233+Parameters!$B$20)^L233+Parameters!$B$18*F233^L233)^(1/L233)</f>
        <v>0.53556371865383878</v>
      </c>
      <c r="O233" s="7">
        <f>(Parameters!$B$10*G233^Parameters!$B$9 + Parameters!$B$11*N233^Parameters!$B$9) ^ (Parameters!$B$7/Parameters!$B$9) * K233</f>
        <v>1.50700713612151</v>
      </c>
      <c r="P233" s="7">
        <f t="shared" si="36"/>
        <v>1.1491121625063867</v>
      </c>
      <c r="Q233" s="7">
        <f>EXP(-Parameters!$B$56*A233)</f>
        <v>3.1495833869768834E-2</v>
      </c>
      <c r="R233" s="7">
        <f>IF(P233&gt;0,P233^(1-Parameters!$B$53)/(1-Parameters!$B$53)*Q233,-10+P233*1000)</f>
        <v>-8.5715274285086504E-2</v>
      </c>
      <c r="S233" s="7"/>
    </row>
    <row r="234" spans="1:19" x14ac:dyDescent="0.25">
      <c r="A234">
        <f>A233+Parameters!$B$71</f>
        <v>230</v>
      </c>
      <c r="B234" s="9">
        <f t="shared" ref="B234:D234" si="68">B233</f>
        <v>5.191758263687303E-2</v>
      </c>
      <c r="C234" s="9">
        <f t="shared" si="68"/>
        <v>1.0017548050425843E-2</v>
      </c>
      <c r="D234" s="7">
        <f t="shared" si="68"/>
        <v>0.2959598429278244</v>
      </c>
      <c r="E234" s="7">
        <f>MAX((1-Parameters!$B$4)^Parameters!B$71*E233+B233*Parameters!B$71-Parameters!$B$5*B233^2/E233*Parameters!B$71,0.0001)</f>
        <v>0.76972611891779863</v>
      </c>
      <c r="F234" s="9">
        <f>MAX((1-Parameters!$B$4)^Parameters!B$71*F233+C233*Parameters!B$71-Parameters!$B$5*C233^2/F233*Parameters!B$71,0.0001)</f>
        <v>0.1485194030032867</v>
      </c>
      <c r="G234" s="7">
        <f>MAX((1-Parameters!$B$4)^Parameters!B$71*G233+D233*Parameters!B$71-Parameters!$B$5*D233^2/G233*Parameters!B$71,0.0001)</f>
        <v>4.3878780485034969</v>
      </c>
      <c r="I234" s="7">
        <f>I233*(1+Parameters!$B$52)^Parameters!B$71</f>
        <v>15.883469030149826</v>
      </c>
      <c r="J234" s="7">
        <f>J233*(1+Parameters!$B$54)^Parameters!B$71</f>
        <v>857.8587314230773</v>
      </c>
      <c r="K234" s="7">
        <f>'6states'!$N$4</f>
        <v>0.98104277196026479</v>
      </c>
      <c r="L234" s="9">
        <f t="shared" si="39"/>
        <v>0.5</v>
      </c>
      <c r="N234" s="7">
        <f>(Parameters!$B$19*(E234+Parameters!$B$20)^L234+Parameters!$B$18*F234^L234)^(1/L234)</f>
        <v>0.53556371775071687</v>
      </c>
      <c r="O234" s="7">
        <f>(Parameters!$B$10*G234^Parameters!$B$9 + Parameters!$B$11*N234^Parameters!$B$9) ^ (Parameters!$B$7/Parameters!$B$9) * K234</f>
        <v>1.5070071353576326</v>
      </c>
      <c r="P234" s="7">
        <f t="shared" si="36"/>
        <v>1.1491121617425093</v>
      </c>
      <c r="Q234" s="7">
        <f>EXP(-Parameters!$B$56*A234)</f>
        <v>3.1023819455793956E-2</v>
      </c>
      <c r="R234" s="7">
        <f>IF(P234&gt;0,P234^(1-Parameters!$B$53)/(1-Parameters!$B$53)*Q234,-10+P234*1000)</f>
        <v>-8.4430696632405225E-2</v>
      </c>
      <c r="S234" s="7"/>
    </row>
    <row r="235" spans="1:19" x14ac:dyDescent="0.25">
      <c r="A235">
        <f>A234+Parameters!$B$71</f>
        <v>231</v>
      </c>
      <c r="B235" s="9">
        <f t="shared" ref="B235:D235" si="69">B234</f>
        <v>5.191758263687303E-2</v>
      </c>
      <c r="C235" s="9">
        <f t="shared" si="69"/>
        <v>1.0017548050425843E-2</v>
      </c>
      <c r="D235" s="7">
        <f t="shared" si="69"/>
        <v>0.2959598429278244</v>
      </c>
      <c r="E235" s="7">
        <f>MAX((1-Parameters!$B$4)^Parameters!B$71*E234+B234*Parameters!B$71-Parameters!$B$5*B234^2/E234*Parameters!B$71,0.0001)</f>
        <v>0.76972611767910371</v>
      </c>
      <c r="F235" s="9">
        <f>MAX((1-Parameters!$B$4)^Parameters!B$71*F234+C234*Parameters!B$71-Parameters!$B$5*C234^2/F234*Parameters!B$71,0.0001)</f>
        <v>0.1485194027680159</v>
      </c>
      <c r="G235" s="7">
        <f>MAX((1-Parameters!$B$4)^Parameters!B$71*G234+D234*Parameters!B$71-Parameters!$B$5*D234^2/G234*Parameters!B$71,0.0001)</f>
        <v>4.3878780415193894</v>
      </c>
      <c r="I235" s="7">
        <f>I234*(1+Parameters!$B$52)^Parameters!B$71</f>
        <v>15.929531090337258</v>
      </c>
      <c r="J235" s="7">
        <f>J234*(1+Parameters!$B$54)^Parameters!B$71</f>
        <v>875.01590605153888</v>
      </c>
      <c r="K235" s="7">
        <f>'6states'!$N$4</f>
        <v>0.98104277196026479</v>
      </c>
      <c r="L235" s="9">
        <f t="shared" si="39"/>
        <v>0.5</v>
      </c>
      <c r="N235" s="7">
        <f>(Parameters!$B$19*(E235+Parameters!$B$20)^L235+Parameters!$B$18*F235^L235)^(1/L235)</f>
        <v>0.53556371690029247</v>
      </c>
      <c r="O235" s="7">
        <f>(Parameters!$B$10*G235^Parameters!$B$9 + Parameters!$B$11*N235^Parameters!$B$9) ^ (Parameters!$B$7/Parameters!$B$9) * K235</f>
        <v>1.5070071346383278</v>
      </c>
      <c r="P235" s="7">
        <f t="shared" si="36"/>
        <v>1.1491121610232047</v>
      </c>
      <c r="Q235" s="7">
        <f>EXP(-Parameters!$B$56*A235)</f>
        <v>3.0558878917301198E-2</v>
      </c>
      <c r="R235" s="7">
        <f>IF(P235&gt;0,P235^(1-Parameters!$B$53)/(1-Parameters!$B$53)*Q235,-10+P235*1000)</f>
        <v>-8.3165370386929408E-2</v>
      </c>
      <c r="S235" s="7"/>
    </row>
    <row r="236" spans="1:19" x14ac:dyDescent="0.25">
      <c r="A236">
        <f>A235+Parameters!$B$71</f>
        <v>232</v>
      </c>
      <c r="B236" s="9">
        <f t="shared" ref="B236:D236" si="70">B235</f>
        <v>5.191758263687303E-2</v>
      </c>
      <c r="C236" s="9">
        <f t="shared" si="70"/>
        <v>1.0017548050425843E-2</v>
      </c>
      <c r="D236" s="7">
        <f t="shared" si="70"/>
        <v>0.2959598429278244</v>
      </c>
      <c r="E236" s="7">
        <f>MAX((1-Parameters!$B$4)^Parameters!B$71*E235+B235*Parameters!B$71-Parameters!$B$5*B235^2/E235*Parameters!B$71,0.0001)</f>
        <v>0.7697261165126873</v>
      </c>
      <c r="F236" s="9">
        <f>MAX((1-Parameters!$B$4)^Parameters!B$71*F235+C235*Parameters!B$71-Parameters!$B$5*C235^2/F235*Parameters!B$71,0.0001)</f>
        <v>0.14851940254647328</v>
      </c>
      <c r="G236" s="7">
        <f>MAX((1-Parameters!$B$4)^Parameters!B$71*G235+D235*Parameters!B$71-Parameters!$B$5*D235^2/G235*Parameters!B$71,0.0001)</f>
        <v>4.3878780349428093</v>
      </c>
      <c r="I236" s="7">
        <f>I235*(1+Parameters!$B$52)^Parameters!B$71</f>
        <v>15.975726730499234</v>
      </c>
      <c r="J236" s="7">
        <f>J235*(1+Parameters!$B$54)^Parameters!B$71</f>
        <v>892.51622417256965</v>
      </c>
      <c r="K236" s="7">
        <f>'6states'!$N$4</f>
        <v>0.98104277196026479</v>
      </c>
      <c r="L236" s="9">
        <f t="shared" si="39"/>
        <v>0.5</v>
      </c>
      <c r="N236" s="7">
        <f>(Parameters!$B$19*(E236+Parameters!$B$20)^L236+Parameters!$B$18*F236^L236)^(1/L236)</f>
        <v>0.53556371609949083</v>
      </c>
      <c r="O236" s="7">
        <f>(Parameters!$B$10*G236^Parameters!$B$9 + Parameters!$B$11*N236^Parameters!$B$9) ^ (Parameters!$B$7/Parameters!$B$9) * K236</f>
        <v>1.5070071339609952</v>
      </c>
      <c r="P236" s="7">
        <f t="shared" si="36"/>
        <v>1.1491121603458718</v>
      </c>
      <c r="Q236" s="7">
        <f>EXP(-Parameters!$B$56*A236)</f>
        <v>3.0100906241184062E-2</v>
      </c>
      <c r="R236" s="7">
        <f>IF(P236&gt;0,P236^(1-Parameters!$B$53)/(1-Parameters!$B$53)*Q236,-10+P236*1000)</f>
        <v>-8.1919007036264771E-2</v>
      </c>
      <c r="S236" s="7"/>
    </row>
    <row r="237" spans="1:19" x14ac:dyDescent="0.25">
      <c r="A237">
        <f>A236+Parameters!$B$71</f>
        <v>233</v>
      </c>
      <c r="B237" s="9">
        <f t="shared" ref="B237:D237" si="71">B236</f>
        <v>5.191758263687303E-2</v>
      </c>
      <c r="C237" s="9">
        <f t="shared" si="71"/>
        <v>1.0017548050425843E-2</v>
      </c>
      <c r="D237" s="7">
        <f t="shared" si="71"/>
        <v>0.2959598429278244</v>
      </c>
      <c r="E237" s="7">
        <f>MAX((1-Parameters!$B$4)^Parameters!B$71*E236+B236*Parameters!B$71-Parameters!$B$5*B236^2/E236*Parameters!B$71,0.0001)</f>
        <v>0.769726115414332</v>
      </c>
      <c r="F237" s="9">
        <f>MAX((1-Parameters!$B$4)^Parameters!B$71*F236+C236*Parameters!B$71-Parameters!$B$5*C236^2/F236*Parameters!B$71,0.0001)</f>
        <v>0.14851940233785779</v>
      </c>
      <c r="G237" s="7">
        <f>MAX((1-Parameters!$B$4)^Parameters!B$71*G236+D236*Parameters!B$71-Parameters!$B$5*D236^2/G236*Parameters!B$71,0.0001)</f>
        <v>4.3878780287499755</v>
      </c>
      <c r="I237" s="7">
        <f>I236*(1+Parameters!$B$52)^Parameters!B$71</f>
        <v>16.022056338017681</v>
      </c>
      <c r="J237" s="7">
        <f>J236*(1+Parameters!$B$54)^Parameters!B$71</f>
        <v>910.36654865602111</v>
      </c>
      <c r="K237" s="7">
        <f>'6states'!$N$4</f>
        <v>0.98104277196026479</v>
      </c>
      <c r="L237" s="9">
        <f t="shared" si="39"/>
        <v>0.5</v>
      </c>
      <c r="N237" s="7">
        <f>(Parameters!$B$19*(E237+Parameters!$B$20)^L237+Parameters!$B$18*F237^L237)^(1/L237)</f>
        <v>0.53556371534541658</v>
      </c>
      <c r="O237" s="7">
        <f>(Parameters!$B$10*G237^Parameters!$B$9 + Parameters!$B$11*N237^Parameters!$B$9) ^ (Parameters!$B$7/Parameters!$B$9) * K237</f>
        <v>1.5070071333231847</v>
      </c>
      <c r="P237" s="7">
        <f t="shared" si="36"/>
        <v>1.1491121597080616</v>
      </c>
      <c r="Q237" s="7">
        <f>EXP(-Parameters!$B$56*A237)</f>
        <v>2.9649797003108529E-2</v>
      </c>
      <c r="R237" s="7">
        <f>IF(P237&gt;0,P237^(1-Parameters!$B$53)/(1-Parameters!$B$53)*Q237,-10+P237*1000)</f>
        <v>-8.0691322391819642E-2</v>
      </c>
      <c r="S237" s="7"/>
    </row>
    <row r="238" spans="1:19" x14ac:dyDescent="0.25">
      <c r="A238">
        <f>A237+Parameters!$B$71</f>
        <v>234</v>
      </c>
      <c r="B238" s="9">
        <f t="shared" ref="B238:D238" si="72">B237</f>
        <v>5.191758263687303E-2</v>
      </c>
      <c r="C238" s="9">
        <f t="shared" si="72"/>
        <v>1.0017548050425843E-2</v>
      </c>
      <c r="D238" s="7">
        <f t="shared" si="72"/>
        <v>0.2959598429278244</v>
      </c>
      <c r="E238" s="7">
        <f>MAX((1-Parameters!$B$4)^Parameters!B$71*E237+B237*Parameters!B$71-Parameters!$B$5*B237^2/E237*Parameters!B$71,0.0001)</f>
        <v>0.76972611438006633</v>
      </c>
      <c r="F238" s="9">
        <f>MAX((1-Parameters!$B$4)^Parameters!B$71*F237+C237*Parameters!B$71-Parameters!$B$5*C237^2/F237*Parameters!B$71,0.0001)</f>
        <v>0.14851940214141515</v>
      </c>
      <c r="G238" s="7">
        <f>MAX((1-Parameters!$B$4)^Parameters!B$71*G237+D237*Parameters!B$71-Parameters!$B$5*D237^2/G237*Parameters!B$71,0.0001)</f>
        <v>4.387878022918497</v>
      </c>
      <c r="I238" s="7">
        <f>I237*(1+Parameters!$B$52)^Parameters!B$71</f>
        <v>16.068520301397932</v>
      </c>
      <c r="J238" s="7">
        <f>J237*(1+Parameters!$B$54)^Parameters!B$71</f>
        <v>928.57387962914152</v>
      </c>
      <c r="K238" s="7">
        <f>'6states'!$N$4</f>
        <v>0.98104277196026479</v>
      </c>
      <c r="L238" s="9">
        <f t="shared" si="39"/>
        <v>0.5</v>
      </c>
      <c r="N238" s="7">
        <f>(Parameters!$B$19*(E238+Parameters!$B$20)^L238+Parameters!$B$18*F238^L238)^(1/L238)</f>
        <v>0.53556371463534291</v>
      </c>
      <c r="O238" s="7">
        <f>(Parameters!$B$10*G238^Parameters!$B$9 + Parameters!$B$11*N238^Parameters!$B$9) ^ (Parameters!$B$7/Parameters!$B$9) * K238</f>
        <v>1.5070071327225913</v>
      </c>
      <c r="P238" s="7">
        <f t="shared" si="36"/>
        <v>1.1491121591074682</v>
      </c>
      <c r="Q238" s="7">
        <f>EXP(-Parameters!$B$56*A238)</f>
        <v>2.9205448343702842E-2</v>
      </c>
      <c r="R238" s="7">
        <f>IF(P238&gt;0,P238^(1-Parameters!$B$53)/(1-Parameters!$B$53)*Q238,-10+P238*1000)</f>
        <v>-7.9482036524006816E-2</v>
      </c>
      <c r="S238" s="7"/>
    </row>
    <row r="239" spans="1:19" x14ac:dyDescent="0.25">
      <c r="A239">
        <f>A238+Parameters!$B$71</f>
        <v>235</v>
      </c>
      <c r="B239" s="9">
        <f t="shared" ref="B239:D239" si="73">B238</f>
        <v>5.191758263687303E-2</v>
      </c>
      <c r="C239" s="9">
        <f t="shared" si="73"/>
        <v>1.0017548050425843E-2</v>
      </c>
      <c r="D239" s="7">
        <f t="shared" si="73"/>
        <v>0.2959598429278244</v>
      </c>
      <c r="E239" s="7">
        <f>MAX((1-Parameters!$B$4)^Parameters!B$71*E238+B238*Parameters!B$71-Parameters!$B$5*B238^2/E238*Parameters!B$71,0.0001)</f>
        <v>0.7697261134061506</v>
      </c>
      <c r="F239" s="9">
        <f>MAX((1-Parameters!$B$4)^Parameters!B$71*F238+C238*Parameters!B$71-Parameters!$B$5*C238^2/F238*Parameters!B$71,0.0001)</f>
        <v>0.14851940195643507</v>
      </c>
      <c r="G239" s="7">
        <f>MAX((1-Parameters!$B$4)^Parameters!B$71*G238+D238*Parameters!B$71-Parameters!$B$5*D238^2/G238*Parameters!B$71,0.0001)</f>
        <v>4.3878780174272887</v>
      </c>
      <c r="I239" s="7">
        <f>I238*(1+Parameters!$B$52)^Parameters!B$71</f>
        <v>16.115119010271986</v>
      </c>
      <c r="J239" s="7">
        <f>J238*(1+Parameters!$B$54)^Parameters!B$71</f>
        <v>947.14535722172434</v>
      </c>
      <c r="K239" s="7">
        <f>'6states'!$N$4</f>
        <v>0.98104277196026479</v>
      </c>
      <c r="L239" s="9">
        <f t="shared" si="39"/>
        <v>0.5</v>
      </c>
      <c r="N239" s="7">
        <f>(Parameters!$B$19*(E239+Parameters!$B$20)^L239+Parameters!$B$18*F239^L239)^(1/L239)</f>
        <v>0.53556371396670255</v>
      </c>
      <c r="O239" s="7">
        <f>(Parameters!$B$10*G239^Parameters!$B$9 + Parameters!$B$11*N239^Parameters!$B$9) ^ (Parameters!$B$7/Parameters!$B$9) * K239</f>
        <v>1.5070071321570424</v>
      </c>
      <c r="P239" s="7">
        <f t="shared" si="36"/>
        <v>1.1491121585419193</v>
      </c>
      <c r="Q239" s="7">
        <f>EXP(-Parameters!$B$56*A239)</f>
        <v>2.8767758945104051E-2</v>
      </c>
      <c r="R239" s="7">
        <f>IF(P239&gt;0,P239^(1-Parameters!$B$53)/(1-Parameters!$B$53)*Q239,-10+P239*1000)</f>
        <v>-7.8290873698416003E-2</v>
      </c>
      <c r="S239" s="7"/>
    </row>
    <row r="240" spans="1:19" x14ac:dyDescent="0.25">
      <c r="A240">
        <f>A239+Parameters!$B$71</f>
        <v>236</v>
      </c>
      <c r="B240" s="9">
        <f t="shared" ref="B240:D240" si="74">B239</f>
        <v>5.191758263687303E-2</v>
      </c>
      <c r="C240" s="9">
        <f t="shared" si="74"/>
        <v>1.0017548050425843E-2</v>
      </c>
      <c r="D240" s="7">
        <f t="shared" si="74"/>
        <v>0.2959598429278244</v>
      </c>
      <c r="E240" s="7">
        <f>MAX((1-Parameters!$B$4)^Parameters!B$71*E239+B239*Parameters!B$71-Parameters!$B$5*B239^2/E239*Parameters!B$71,0.0001)</f>
        <v>0.76972611248906353</v>
      </c>
      <c r="F240" s="9">
        <f>MAX((1-Parameters!$B$4)^Parameters!B$71*F239+C239*Parameters!B$71-Parameters!$B$5*C239^2/F239*Parameters!B$71,0.0001)</f>
        <v>0.14851940178224868</v>
      </c>
      <c r="G240" s="7">
        <f>MAX((1-Parameters!$B$4)^Parameters!B$71*G239+D239*Parameters!B$71-Parameters!$B$5*D239^2/G239*Parameters!B$71,0.0001)</f>
        <v>4.387878012256496</v>
      </c>
      <c r="I240" s="7">
        <f>I239*(1+Parameters!$B$52)^Parameters!B$71</f>
        <v>16.161852855401772</v>
      </c>
      <c r="J240" s="7">
        <f>J239*(1+Parameters!$B$54)^Parameters!B$71</f>
        <v>966.0882643661588</v>
      </c>
      <c r="K240" s="7">
        <f>'6states'!$N$4</f>
        <v>0.98104277196026479</v>
      </c>
      <c r="L240" s="9">
        <f t="shared" si="39"/>
        <v>0.5</v>
      </c>
      <c r="N240" s="7">
        <f>(Parameters!$B$19*(E240+Parameters!$B$20)^L240+Parameters!$B$18*F240^L240)^(1/L240)</f>
        <v>0.53556371333707764</v>
      </c>
      <c r="O240" s="7">
        <f>(Parameters!$B$10*G240^Parameters!$B$9 + Parameters!$B$11*N240^Parameters!$B$9) ^ (Parameters!$B$7/Parameters!$B$9) * K240</f>
        <v>1.5070071316244942</v>
      </c>
      <c r="P240" s="7">
        <f t="shared" si="36"/>
        <v>1.1491121580093711</v>
      </c>
      <c r="Q240" s="7">
        <f>EXP(-Parameters!$B$56*A240)</f>
        <v>2.8336629007856159E-2</v>
      </c>
      <c r="R240" s="7">
        <f>IF(P240&gt;0,P240^(1-Parameters!$B$53)/(1-Parameters!$B$53)*Q240,-10+P240*1000)</f>
        <v>-7.7117562312943158E-2</v>
      </c>
      <c r="S240" s="7"/>
    </row>
    <row r="241" spans="1:19" x14ac:dyDescent="0.25">
      <c r="A241">
        <f>A240+Parameters!$B$71</f>
        <v>237</v>
      </c>
      <c r="B241" s="9">
        <f t="shared" ref="B241:D241" si="75">B240</f>
        <v>5.191758263687303E-2</v>
      </c>
      <c r="C241" s="9">
        <f t="shared" si="75"/>
        <v>1.0017548050425843E-2</v>
      </c>
      <c r="D241" s="7">
        <f t="shared" si="75"/>
        <v>0.2959598429278244</v>
      </c>
      <c r="E241" s="7">
        <f>MAX((1-Parameters!$B$4)^Parameters!B$71*E240+B240*Parameters!B$71-Parameters!$B$5*B240^2/E240*Parameters!B$71,0.0001)</f>
        <v>0.76972611162548898</v>
      </c>
      <c r="F241" s="9">
        <f>MAX((1-Parameters!$B$4)^Parameters!B$71*F240+C240*Parameters!B$71-Parameters!$B$5*C240^2/F240*Parameters!B$71,0.0001)</f>
        <v>0.14851940161822616</v>
      </c>
      <c r="G241" s="7">
        <f>MAX((1-Parameters!$B$4)^Parameters!B$71*G240+D240*Parameters!B$71-Parameters!$B$5*D240^2/G240*Parameters!B$71,0.0001)</f>
        <v>4.3878780073874211</v>
      </c>
      <c r="I241" s="7">
        <f>I240*(1+Parameters!$B$52)^Parameters!B$71</f>
        <v>16.208722228682436</v>
      </c>
      <c r="J241" s="7">
        <f>J240*(1+Parameters!$B$54)^Parameters!B$71</f>
        <v>985.41002965348196</v>
      </c>
      <c r="K241" s="7">
        <f>'6states'!$N$4</f>
        <v>0.98104277196026479</v>
      </c>
      <c r="L241" s="9">
        <f t="shared" si="39"/>
        <v>0.5</v>
      </c>
      <c r="N241" s="7">
        <f>(Parameters!$B$19*(E241+Parameters!$B$20)^L241+Parameters!$B$18*F241^L241)^(1/L241)</f>
        <v>0.53556371274419168</v>
      </c>
      <c r="O241" s="7">
        <f>(Parameters!$B$10*G241^Parameters!$B$9 + Parameters!$B$11*N241^Parameters!$B$9) ^ (Parameters!$B$7/Parameters!$B$9) * K241</f>
        <v>1.5070071311230202</v>
      </c>
      <c r="P241" s="7">
        <f t="shared" si="36"/>
        <v>1.1491121575078971</v>
      </c>
      <c r="Q241" s="7">
        <f>EXP(-Parameters!$B$56*A241)</f>
        <v>2.7911960228154321E-2</v>
      </c>
      <c r="R241" s="7">
        <f>IF(P241&gt;0,P241^(1-Parameters!$B$53)/(1-Parameters!$B$53)*Q241,-10+P241*1000)</f>
        <v>-7.5961834835861664E-2</v>
      </c>
      <c r="S241" s="7"/>
    </row>
    <row r="242" spans="1:19" x14ac:dyDescent="0.25">
      <c r="A242">
        <f>A241+Parameters!$B$71</f>
        <v>238</v>
      </c>
      <c r="B242" s="9">
        <f t="shared" ref="B242:D242" si="76">B241</f>
        <v>5.191758263687303E-2</v>
      </c>
      <c r="C242" s="9">
        <f t="shared" si="76"/>
        <v>1.0017548050425843E-2</v>
      </c>
      <c r="D242" s="7">
        <f t="shared" si="76"/>
        <v>0.2959598429278244</v>
      </c>
      <c r="E242" s="7">
        <f>MAX((1-Parameters!$B$4)^Parameters!B$71*E241+B241*Parameters!B$71-Parameters!$B$5*B241^2/E241*Parameters!B$71,0.0001)</f>
        <v>0.76972611081230446</v>
      </c>
      <c r="F242" s="9">
        <f>MAX((1-Parameters!$B$4)^Parameters!B$71*F241+C241*Parameters!B$71-Parameters!$B$5*C241^2/F241*Parameters!B$71,0.0001)</f>
        <v>0.14851940146377446</v>
      </c>
      <c r="G242" s="7">
        <f>MAX((1-Parameters!$B$4)^Parameters!B$71*G241+D241*Parameters!B$71-Parameters!$B$5*D241^2/G241*Parameters!B$71,0.0001)</f>
        <v>4.3878780028024602</v>
      </c>
      <c r="I242" s="7">
        <f>I241*(1+Parameters!$B$52)^Parameters!B$71</f>
        <v>16.255727523145612</v>
      </c>
      <c r="J242" s="7">
        <f>J241*(1+Parameters!$B$54)^Parameters!B$71</f>
        <v>1005.1182302465517</v>
      </c>
      <c r="K242" s="7">
        <f>'6states'!$N$4</f>
        <v>0.98104277196026479</v>
      </c>
      <c r="L242" s="9">
        <f t="shared" si="39"/>
        <v>0.5</v>
      </c>
      <c r="N242" s="7">
        <f>(Parameters!$B$19*(E242+Parameters!$B$20)^L242+Parameters!$B$18*F242^L242)^(1/L242)</f>
        <v>0.53556371218590093</v>
      </c>
      <c r="O242" s="7">
        <f>(Parameters!$B$10*G242^Parameters!$B$9 + Parameters!$B$11*N242^Parameters!$B$9) ^ (Parameters!$B$7/Parameters!$B$9) * K242</f>
        <v>1.5070071306508073</v>
      </c>
      <c r="P242" s="7">
        <f t="shared" si="36"/>
        <v>1.1491121570356841</v>
      </c>
      <c r="Q242" s="7">
        <f>EXP(-Parameters!$B$56*A242)</f>
        <v>2.7493655775430236E-2</v>
      </c>
      <c r="R242" s="7">
        <f>IF(P242&gt;0,P242^(1-Parameters!$B$53)/(1-Parameters!$B$53)*Q242,-10+P242*1000)</f>
        <v>-7.4823427744821855E-2</v>
      </c>
      <c r="S242" s="7"/>
    </row>
    <row r="243" spans="1:19" x14ac:dyDescent="0.25">
      <c r="A243">
        <f>A242+Parameters!$B$71</f>
        <v>239</v>
      </c>
      <c r="B243" s="9">
        <f t="shared" ref="B243:D243" si="77">B242</f>
        <v>5.191758263687303E-2</v>
      </c>
      <c r="C243" s="9">
        <f t="shared" si="77"/>
        <v>1.0017548050425843E-2</v>
      </c>
      <c r="D243" s="7">
        <f t="shared" si="77"/>
        <v>0.2959598429278244</v>
      </c>
      <c r="E243" s="7">
        <f>MAX((1-Parameters!$B$4)^Parameters!B$71*E242+B242*Parameters!B$71-Parameters!$B$5*B242^2/E242*Parameters!B$71,0.0001)</f>
        <v>0.76972611004656977</v>
      </c>
      <c r="F243" s="9">
        <f>MAX((1-Parameters!$B$4)^Parameters!B$71*F242+C242*Parameters!B$71-Parameters!$B$5*C242^2/F242*Parameters!B$71,0.0001)</f>
        <v>0.1485194013183351</v>
      </c>
      <c r="G243" s="7">
        <f>MAX((1-Parameters!$B$4)^Parameters!B$71*G242+D242*Parameters!B$71-Parameters!$B$5*D242^2/G242*Parameters!B$71,0.0001)</f>
        <v>4.3878779984850347</v>
      </c>
      <c r="I243" s="7">
        <f>I242*(1+Parameters!$B$52)^Parameters!B$71</f>
        <v>16.302869132962734</v>
      </c>
      <c r="J243" s="7">
        <f>J242*(1+Parameters!$B$54)^Parameters!B$71</f>
        <v>1025.2205948514827</v>
      </c>
      <c r="K243" s="7">
        <f>'6states'!$N$4</f>
        <v>0.98104277196026479</v>
      </c>
      <c r="L243" s="9">
        <f t="shared" si="39"/>
        <v>0.5</v>
      </c>
      <c r="N243" s="7">
        <f>(Parameters!$B$19*(E243+Parameters!$B$20)^L243+Parameters!$B$18*F243^L243)^(1/L243)</f>
        <v>0.53556371166018668</v>
      </c>
      <c r="O243" s="7">
        <f>(Parameters!$B$10*G243^Parameters!$B$9 + Parameters!$B$11*N243^Parameters!$B$9) ^ (Parameters!$B$7/Parameters!$B$9) * K243</f>
        <v>1.5070071302061483</v>
      </c>
      <c r="P243" s="7">
        <f t="shared" si="36"/>
        <v>1.1491121565910252</v>
      </c>
      <c r="Q243" s="7">
        <f>EXP(-Parameters!$B$56*A243)</f>
        <v>2.7081620270273384E-2</v>
      </c>
      <c r="R243" s="7">
        <f>IF(P243&gt;0,P243^(1-Parameters!$B$53)/(1-Parameters!$B$53)*Q243,-10+P243*1000)</f>
        <v>-7.3702081466764574E-2</v>
      </c>
      <c r="S243" s="7"/>
    </row>
    <row r="244" spans="1:19" x14ac:dyDescent="0.25">
      <c r="A244">
        <f>A243+Parameters!$B$71</f>
        <v>240</v>
      </c>
      <c r="B244" s="9">
        <f t="shared" ref="B244:D244" si="78">B243</f>
        <v>5.191758263687303E-2</v>
      </c>
      <c r="C244" s="9">
        <f t="shared" si="78"/>
        <v>1.0017548050425843E-2</v>
      </c>
      <c r="D244" s="7">
        <f t="shared" si="78"/>
        <v>0.2959598429278244</v>
      </c>
      <c r="E244" s="7">
        <f>MAX((1-Parameters!$B$4)^Parameters!B$71*E243+B243*Parameters!B$71-Parameters!$B$5*B243^2/E243*Parameters!B$71,0.0001)</f>
        <v>0.76972610932551611</v>
      </c>
      <c r="F244" s="9">
        <f>MAX((1-Parameters!$B$4)^Parameters!B$71*F243+C243*Parameters!B$71-Parameters!$B$5*C243^2/F243*Parameters!B$71,0.0001)</f>
        <v>0.14851940118138221</v>
      </c>
      <c r="G244" s="7">
        <f>MAX((1-Parameters!$B$4)^Parameters!B$71*G243+D243*Parameters!B$71-Parameters!$B$5*D243^2/G243*Parameters!B$71,0.0001)</f>
        <v>4.387877994419533</v>
      </c>
      <c r="I244" s="7">
        <f>I243*(1+Parameters!$B$52)^Parameters!B$71</f>
        <v>16.350147453448322</v>
      </c>
      <c r="J244" s="7">
        <f>J243*(1+Parameters!$B$54)^Parameters!B$71</f>
        <v>1045.7250067485124</v>
      </c>
      <c r="K244" s="7">
        <f>'6states'!$N$4</f>
        <v>0.98104277196026479</v>
      </c>
      <c r="L244" s="9">
        <f t="shared" si="39"/>
        <v>0.5</v>
      </c>
      <c r="N244" s="7">
        <f>(Parameters!$B$19*(E244+Parameters!$B$20)^L244+Parameters!$B$18*F244^L244)^(1/L244)</f>
        <v>0.53556371116514834</v>
      </c>
      <c r="O244" s="7">
        <f>(Parameters!$B$10*G244^Parameters!$B$9 + Parameters!$B$11*N244^Parameters!$B$9) ^ (Parameters!$B$7/Parameters!$B$9) * K244</f>
        <v>1.5070071297874359</v>
      </c>
      <c r="P244" s="7">
        <f t="shared" si="36"/>
        <v>1.1491121561723125</v>
      </c>
      <c r="Q244" s="7">
        <f>EXP(-Parameters!$B$56*A244)</f>
        <v>2.6675759762683122E-2</v>
      </c>
      <c r="R244" s="7">
        <f>IF(P244&gt;0,P244^(1-Parameters!$B$53)/(1-Parameters!$B$53)*Q244,-10+P244*1000)</f>
        <v>-7.2597540318735221E-2</v>
      </c>
      <c r="S244" s="7"/>
    </row>
    <row r="245" spans="1:19" x14ac:dyDescent="0.25">
      <c r="A245">
        <f>A244+Parameters!$B$71</f>
        <v>241</v>
      </c>
      <c r="B245" s="9">
        <f t="shared" ref="B245:D245" si="79">B244</f>
        <v>5.191758263687303E-2</v>
      </c>
      <c r="C245" s="9">
        <f t="shared" si="79"/>
        <v>1.0017548050425843E-2</v>
      </c>
      <c r="D245" s="7">
        <f t="shared" si="79"/>
        <v>0.2959598429278244</v>
      </c>
      <c r="E245" s="7">
        <f>MAX((1-Parameters!$B$4)^Parameters!B$71*E244+B244*Parameters!B$71-Parameters!$B$5*B244^2/E244*Parameters!B$71,0.0001)</f>
        <v>0.76972610864653634</v>
      </c>
      <c r="F245" s="9">
        <f>MAX((1-Parameters!$B$4)^Parameters!B$71*F244+C244*Parameters!B$71-Parameters!$B$5*C244^2/F244*Parameters!B$71,0.0001)</f>
        <v>0.14851940105242059</v>
      </c>
      <c r="G245" s="7">
        <f>MAX((1-Parameters!$B$4)^Parameters!B$71*G244+D244*Parameters!B$71-Parameters!$B$5*D244^2/G244*Parameters!B$71,0.0001)</f>
        <v>4.3878779905912557</v>
      </c>
      <c r="I245" s="7">
        <f>I244*(1+Parameters!$B$52)^Parameters!B$71</f>
        <v>16.397562881063322</v>
      </c>
      <c r="J245" s="7">
        <f>J244*(1+Parameters!$B$54)^Parameters!B$71</f>
        <v>1066.6395068834827</v>
      </c>
      <c r="K245" s="7">
        <f>'6states'!$N$4</f>
        <v>0.98104277196026479</v>
      </c>
      <c r="L245" s="9">
        <f t="shared" si="39"/>
        <v>0.5</v>
      </c>
      <c r="N245" s="7">
        <f>(Parameters!$B$19*(E245+Parameters!$B$20)^L245+Parameters!$B$18*F245^L245)^(1/L245)</f>
        <v>0.53556371069899578</v>
      </c>
      <c r="O245" s="7">
        <f>(Parameters!$B$10*G245^Parameters!$B$9 + Parameters!$B$11*N245^Parameters!$B$9) ^ (Parameters!$B$7/Parameters!$B$9) * K245</f>
        <v>1.5070071293931553</v>
      </c>
      <c r="P245" s="7">
        <f t="shared" si="36"/>
        <v>1.1491121557780319</v>
      </c>
      <c r="Q245" s="7">
        <f>EXP(-Parameters!$B$56*A245)</f>
        <v>2.6275981710646754E-2</v>
      </c>
      <c r="R245" s="7">
        <f>IF(P245&gt;0,P245^(1-Parameters!$B$53)/(1-Parameters!$B$53)*Q245,-10+P245*1000)</f>
        <v>-7.1509552449584693E-2</v>
      </c>
      <c r="S245" s="7"/>
    </row>
    <row r="246" spans="1:19" x14ac:dyDescent="0.25">
      <c r="A246">
        <f>A245+Parameters!$B$71</f>
        <v>242</v>
      </c>
      <c r="B246" s="9">
        <f t="shared" ref="B246:D246" si="80">B245</f>
        <v>5.191758263687303E-2</v>
      </c>
      <c r="C246" s="9">
        <f t="shared" si="80"/>
        <v>1.0017548050425843E-2</v>
      </c>
      <c r="D246" s="7">
        <f t="shared" si="80"/>
        <v>0.2959598429278244</v>
      </c>
      <c r="E246" s="7">
        <f>MAX((1-Parameters!$B$4)^Parameters!B$71*E245+B245*Parameters!B$71-Parameters!$B$5*B245^2/E245*Parameters!B$71,0.0001)</f>
        <v>0.76972610800717545</v>
      </c>
      <c r="F246" s="9">
        <f>MAX((1-Parameters!$B$4)^Parameters!B$71*F245+C245*Parameters!B$71-Parameters!$B$5*C245^2/F245*Parameters!B$71,0.0001)</f>
        <v>0.14851940093098395</v>
      </c>
      <c r="G246" s="7">
        <f>MAX((1-Parameters!$B$4)^Parameters!B$71*G245+D245*Parameters!B$71-Parameters!$B$5*D245^2/G245*Parameters!B$71,0.0001)</f>
        <v>4.3878779869863607</v>
      </c>
      <c r="I246" s="7">
        <f>I245*(1+Parameters!$B$52)^Parameters!B$71</f>
        <v>16.445115813418404</v>
      </c>
      <c r="J246" s="7">
        <f>J245*(1+Parameters!$B$54)^Parameters!B$71</f>
        <v>1087.9722970211524</v>
      </c>
      <c r="K246" s="7">
        <f>'6states'!$N$4</f>
        <v>0.98104277196026479</v>
      </c>
      <c r="L246" s="9">
        <f t="shared" si="39"/>
        <v>0.5</v>
      </c>
      <c r="N246" s="7">
        <f>(Parameters!$B$19*(E246+Parameters!$B$20)^L246+Parameters!$B$18*F246^L246)^(1/L246)</f>
        <v>0.53556371026004335</v>
      </c>
      <c r="O246" s="7">
        <f>(Parameters!$B$10*G246^Parameters!$B$9 + Parameters!$B$11*N246^Parameters!$B$9) ^ (Parameters!$B$7/Parameters!$B$9) * K246</f>
        <v>1.5070071290218812</v>
      </c>
      <c r="P246" s="7">
        <f t="shared" si="36"/>
        <v>1.1491121554067578</v>
      </c>
      <c r="Q246" s="7">
        <f>EXP(-Parameters!$B$56*A246)</f>
        <v>2.5882194959038634E-2</v>
      </c>
      <c r="R246" s="7">
        <f>IF(P246&gt;0,P246^(1-Parameters!$B$53)/(1-Parameters!$B$53)*Q246,-10+P246*1000)</f>
        <v>-7.0437869782544155E-2</v>
      </c>
      <c r="S246" s="7"/>
    </row>
    <row r="247" spans="1:19" x14ac:dyDescent="0.25">
      <c r="A247">
        <f>A246+Parameters!$B$71</f>
        <v>243</v>
      </c>
      <c r="B247" s="9">
        <f t="shared" ref="B247:D247" si="81">B246</f>
        <v>5.191758263687303E-2</v>
      </c>
      <c r="C247" s="9">
        <f t="shared" si="81"/>
        <v>1.0017548050425843E-2</v>
      </c>
      <c r="D247" s="7">
        <f t="shared" si="81"/>
        <v>0.2959598429278244</v>
      </c>
      <c r="E247" s="7">
        <f>MAX((1-Parameters!$B$4)^Parameters!B$71*E246+B246*Parameters!B$71-Parameters!$B$5*B246^2/E246*Parameters!B$71,0.0001)</f>
        <v>0.7697261074051216</v>
      </c>
      <c r="F247" s="9">
        <f>MAX((1-Parameters!$B$4)^Parameters!B$71*F246+C246*Parameters!B$71-Parameters!$B$5*C246^2/F246*Parameters!B$71,0.0001)</f>
        <v>0.14851940081663323</v>
      </c>
      <c r="G247" s="7">
        <f>MAX((1-Parameters!$B$4)^Parameters!B$71*G246+D246*Parameters!B$71-Parameters!$B$5*D246^2/G246*Parameters!B$71,0.0001)</f>
        <v>4.3878779835918138</v>
      </c>
      <c r="I247" s="7">
        <f>I246*(1+Parameters!$B$52)^Parameters!B$71</f>
        <v>16.492806649277316</v>
      </c>
      <c r="J247" s="7">
        <f>J246*(1+Parameters!$B$54)^Parameters!B$71</f>
        <v>1109.7317429615755</v>
      </c>
      <c r="K247" s="7">
        <f>'6states'!$N$4</f>
        <v>0.98104277196026479</v>
      </c>
      <c r="L247" s="9">
        <f t="shared" si="39"/>
        <v>0.5</v>
      </c>
      <c r="N247" s="7">
        <f>(Parameters!$B$19*(E247+Parameters!$B$20)^L247+Parameters!$B$18*F247^L247)^(1/L247)</f>
        <v>0.53556370984670409</v>
      </c>
      <c r="O247" s="7">
        <f>(Parameters!$B$10*G247^Parameters!$B$9 + Parameters!$B$11*N247^Parameters!$B$9) ^ (Parameters!$B$7/Parameters!$B$9) * K247</f>
        <v>1.5070071286722713</v>
      </c>
      <c r="P247" s="7">
        <f t="shared" si="36"/>
        <v>1.1491121550571481</v>
      </c>
      <c r="Q247" s="7">
        <f>EXP(-Parameters!$B$56*A247)</f>
        <v>2.549430971883547E-2</v>
      </c>
      <c r="R247" s="7">
        <f>IF(P247&gt;0,P247^(1-Parameters!$B$53)/(1-Parameters!$B$53)*Q247,-10+P247*1000)</f>
        <v>-6.9382247958660256E-2</v>
      </c>
      <c r="S247" s="7"/>
    </row>
    <row r="248" spans="1:19" x14ac:dyDescent="0.25">
      <c r="A248">
        <f>A247+Parameters!$B$71</f>
        <v>244</v>
      </c>
      <c r="B248" s="9">
        <f t="shared" ref="B248:D248" si="82">B247</f>
        <v>5.191758263687303E-2</v>
      </c>
      <c r="C248" s="9">
        <f t="shared" si="82"/>
        <v>1.0017548050425843E-2</v>
      </c>
      <c r="D248" s="7">
        <f t="shared" si="82"/>
        <v>0.2959598429278244</v>
      </c>
      <c r="E248" s="7">
        <f>MAX((1-Parameters!$B$4)^Parameters!B$71*E247+B247*Parameters!B$71-Parameters!$B$5*B247^2/E247*Parameters!B$71,0.0001)</f>
        <v>0.76972610683819798</v>
      </c>
      <c r="F248" s="9">
        <f>MAX((1-Parameters!$B$4)^Parameters!B$71*F247+C247*Parameters!B$71-Parameters!$B$5*C247^2/F247*Parameters!B$71,0.0001)</f>
        <v>0.14851940070895492</v>
      </c>
      <c r="G248" s="7">
        <f>MAX((1-Parameters!$B$4)^Parameters!B$71*G247+D247*Parameters!B$71-Parameters!$B$5*D247^2/G247*Parameters!B$71,0.0001)</f>
        <v>4.3878779803953405</v>
      </c>
      <c r="I248" s="7">
        <f>I247*(1+Parameters!$B$52)^Parameters!B$71</f>
        <v>16.54063578856022</v>
      </c>
      <c r="J248" s="7">
        <f>J247*(1+Parameters!$B$54)^Parameters!B$71</f>
        <v>1131.9263778208069</v>
      </c>
      <c r="K248" s="7">
        <f>'6states'!$N$4</f>
        <v>0.98104277196026479</v>
      </c>
      <c r="L248" s="9">
        <f t="shared" si="39"/>
        <v>0.5</v>
      </c>
      <c r="N248" s="7">
        <f>(Parameters!$B$19*(E248+Parameters!$B$20)^L248+Parameters!$B$18*F248^L248)^(1/L248)</f>
        <v>0.53556370945748366</v>
      </c>
      <c r="O248" s="7">
        <f>(Parameters!$B$10*G248^Parameters!$B$9 + Parameters!$B$11*N248^Parameters!$B$9) ^ (Parameters!$B$7/Parameters!$B$9) * K248</f>
        <v>1.5070071283430611</v>
      </c>
      <c r="P248" s="7">
        <f t="shared" si="36"/>
        <v>1.1491121547279377</v>
      </c>
      <c r="Q248" s="7">
        <f>EXP(-Parameters!$B$56*A248)</f>
        <v>2.5112237546643188E-2</v>
      </c>
      <c r="R248" s="7">
        <f>IF(P248&gt;0,P248^(1-Parameters!$B$53)/(1-Parameters!$B$53)*Q248,-10+P248*1000)</f>
        <v>-6.8342446281078231E-2</v>
      </c>
      <c r="S248" s="7"/>
    </row>
    <row r="249" spans="1:19" x14ac:dyDescent="0.25">
      <c r="A249">
        <f>A248+Parameters!$B$71</f>
        <v>245</v>
      </c>
      <c r="B249" s="9">
        <f t="shared" ref="B249:D249" si="83">B248</f>
        <v>5.191758263687303E-2</v>
      </c>
      <c r="C249" s="9">
        <f t="shared" si="83"/>
        <v>1.0017548050425843E-2</v>
      </c>
      <c r="D249" s="7">
        <f t="shared" si="83"/>
        <v>0.2959598429278244</v>
      </c>
      <c r="E249" s="7">
        <f>MAX((1-Parameters!$B$4)^Parameters!B$71*E248+B248*Parameters!B$71-Parameters!$B$5*B248^2/E248*Parameters!B$71,0.0001)</f>
        <v>0.76972610630435467</v>
      </c>
      <c r="F249" s="9">
        <f>MAX((1-Parameters!$B$4)^Parameters!B$71*F248+C248*Parameters!B$71-Parameters!$B$5*C248^2/F248*Parameters!B$71,0.0001)</f>
        <v>0.14851940060755969</v>
      </c>
      <c r="G249" s="7">
        <f>MAX((1-Parameters!$B$4)^Parameters!B$71*G248+D248*Parameters!B$71-Parameters!$B$5*D248^2/G248*Parameters!B$71,0.0001)</f>
        <v>4.3878779773853829</v>
      </c>
      <c r="I249" s="7">
        <f>I248*(1+Parameters!$B$52)^Parameters!B$71</f>
        <v>16.588603632347041</v>
      </c>
      <c r="J249" s="7">
        <f>J248*(1+Parameters!$B$54)^Parameters!B$71</f>
        <v>1154.5649053772231</v>
      </c>
      <c r="K249" s="7">
        <f>'6states'!$N$4</f>
        <v>0.98104277196026479</v>
      </c>
      <c r="L249" s="9">
        <f t="shared" si="39"/>
        <v>0.5</v>
      </c>
      <c r="N249" s="7">
        <f>(Parameters!$B$19*(E249+Parameters!$B$20)^L249+Parameters!$B$18*F249^L249)^(1/L249)</f>
        <v>0.53556370909097417</v>
      </c>
      <c r="O249" s="7">
        <f>(Parameters!$B$10*G249^Parameters!$B$9 + Parameters!$B$11*N249^Parameters!$B$9) ^ (Parameters!$B$7/Parameters!$B$9) * K249</f>
        <v>1.5070071280330604</v>
      </c>
      <c r="P249" s="7">
        <f t="shared" si="36"/>
        <v>1.1491121544179372</v>
      </c>
      <c r="Q249" s="7">
        <f>EXP(-Parameters!$B$56*A249)</f>
        <v>2.4735891324530496E-2</v>
      </c>
      <c r="R249" s="7">
        <f>IF(P249&gt;0,P249^(1-Parameters!$B$53)/(1-Parameters!$B$53)*Q249,-10+P249*1000)</f>
        <v>-6.7318227660159588E-2</v>
      </c>
      <c r="S249" s="7"/>
    </row>
    <row r="250" spans="1:19" x14ac:dyDescent="0.25">
      <c r="A250">
        <f>A249+Parameters!$B$71</f>
        <v>246</v>
      </c>
      <c r="B250" s="9">
        <f t="shared" ref="B250:D250" si="84">B249</f>
        <v>5.191758263687303E-2</v>
      </c>
      <c r="C250" s="9">
        <f t="shared" si="84"/>
        <v>1.0017548050425843E-2</v>
      </c>
      <c r="D250" s="7">
        <f t="shared" si="84"/>
        <v>0.2959598429278244</v>
      </c>
      <c r="E250" s="7">
        <f>MAX((1-Parameters!$B$4)^Parameters!B$71*E249+B249*Parameters!B$71-Parameters!$B$5*B249^2/E249*Parameters!B$71,0.0001)</f>
        <v>0.76972610580166134</v>
      </c>
      <c r="F250" s="9">
        <f>MAX((1-Parameters!$B$4)^Parameters!B$71*F249+C249*Parameters!B$71-Parameters!$B$5*C249^2/F249*Parameters!B$71,0.0001)</f>
        <v>0.14851940051208093</v>
      </c>
      <c r="G250" s="7">
        <f>MAX((1-Parameters!$B$4)^Parameters!B$71*G249+D249*Parameters!B$71-Parameters!$B$5*D249^2/G249*Parameters!B$71,0.0001)</f>
        <v>4.3878779745510581</v>
      </c>
      <c r="I250" s="7">
        <f>I249*(1+Parameters!$B$52)^Parameters!B$71</f>
        <v>16.636710582880845</v>
      </c>
      <c r="J250" s="7">
        <f>J249*(1+Parameters!$B$54)^Parameters!B$71</f>
        <v>1177.6562034847675</v>
      </c>
      <c r="K250" s="7">
        <f>'6states'!$N$4</f>
        <v>0.98104277196026479</v>
      </c>
      <c r="L250" s="9">
        <f t="shared" si="39"/>
        <v>0.5</v>
      </c>
      <c r="N250" s="7">
        <f>(Parameters!$B$19*(E250+Parameters!$B$20)^L250+Parameters!$B$18*F250^L250)^(1/L250)</f>
        <v>0.53556370874585069</v>
      </c>
      <c r="O250" s="7">
        <f>(Parameters!$B$10*G250^Parameters!$B$9 + Parameters!$B$11*N250^Parameters!$B$9) ^ (Parameters!$B$7/Parameters!$B$9) * K250</f>
        <v>1.507007127741149</v>
      </c>
      <c r="P250" s="7">
        <f t="shared" si="36"/>
        <v>1.1491121541260259</v>
      </c>
      <c r="Q250" s="7">
        <f>EXP(-Parameters!$B$56*A250)</f>
        <v>2.4365185240164795E-2</v>
      </c>
      <c r="R250" s="7">
        <f>IF(P250&gt;0,P250^(1-Parameters!$B$53)/(1-Parameters!$B$53)*Q250,-10+P250*1000)</f>
        <v>-6.6309358559422785E-2</v>
      </c>
      <c r="S250" s="7"/>
    </row>
    <row r="251" spans="1:19" x14ac:dyDescent="0.25">
      <c r="A251">
        <f>A250+Parameters!$B$71</f>
        <v>247</v>
      </c>
      <c r="B251" s="9">
        <f t="shared" ref="B251:D251" si="85">B250</f>
        <v>5.191758263687303E-2</v>
      </c>
      <c r="C251" s="9">
        <f t="shared" si="85"/>
        <v>1.0017548050425843E-2</v>
      </c>
      <c r="D251" s="7">
        <f t="shared" si="85"/>
        <v>0.2959598429278244</v>
      </c>
      <c r="E251" s="7">
        <f>MAX((1-Parameters!$B$4)^Parameters!B$71*E250+B250*Parameters!B$71-Parameters!$B$5*B250^2/E250*Parameters!B$71,0.0001)</f>
        <v>0.76972610532830055</v>
      </c>
      <c r="F251" s="9">
        <f>MAX((1-Parameters!$B$4)^Parameters!B$71*F250+C250*Parameters!B$71-Parameters!$B$5*C250^2/F250*Parameters!B$71,0.0001)</f>
        <v>0.1485194004221734</v>
      </c>
      <c r="G251" s="7">
        <f>MAX((1-Parameters!$B$4)^Parameters!B$71*G250+D250*Parameters!B$71-Parameters!$B$5*D250^2/G250*Parameters!B$71,0.0001)</f>
        <v>4.3878779718821184</v>
      </c>
      <c r="I251" s="7">
        <f>I250*(1+Parameters!$B$52)^Parameters!B$71</f>
        <v>16.684957043571199</v>
      </c>
      <c r="J251" s="7">
        <f>J250*(1+Parameters!$B$54)^Parameters!B$71</f>
        <v>1201.2093275544628</v>
      </c>
      <c r="K251" s="7">
        <f>'6states'!$N$4</f>
        <v>0.98104277196026479</v>
      </c>
      <c r="L251" s="9">
        <f t="shared" si="39"/>
        <v>0.5</v>
      </c>
      <c r="N251" s="7">
        <f>(Parameters!$B$19*(E251+Parameters!$B$20)^L251+Parameters!$B$18*F251^L251)^(1/L251)</f>
        <v>0.53556370842086543</v>
      </c>
      <c r="O251" s="7">
        <f>(Parameters!$B$10*G251^Parameters!$B$9 + Parameters!$B$11*N251^Parameters!$B$9) ^ (Parameters!$B$7/Parameters!$B$9) * K251</f>
        <v>1.5070071274662702</v>
      </c>
      <c r="P251" s="7">
        <f t="shared" si="36"/>
        <v>1.1491121538511471</v>
      </c>
      <c r="Q251" s="7">
        <f>EXP(-Parameters!$B$56*A251)</f>
        <v>2.400003476724576E-2</v>
      </c>
      <c r="R251" s="7">
        <f>IF(P251&gt;0,P251^(1-Parameters!$B$53)/(1-Parameters!$B$53)*Q251,-10+P251*1000)</f>
        <v>-6.5315608942293768E-2</v>
      </c>
      <c r="S251" s="7"/>
    </row>
    <row r="252" spans="1:19" x14ac:dyDescent="0.25">
      <c r="A252">
        <f>A251+Parameters!$B$71</f>
        <v>248</v>
      </c>
      <c r="B252" s="9">
        <f t="shared" ref="B252:D252" si="86">B251</f>
        <v>5.191758263687303E-2</v>
      </c>
      <c r="C252" s="9">
        <f t="shared" si="86"/>
        <v>1.0017548050425843E-2</v>
      </c>
      <c r="D252" s="7">
        <f t="shared" si="86"/>
        <v>0.2959598429278244</v>
      </c>
      <c r="E252" s="7">
        <f>MAX((1-Parameters!$B$4)^Parameters!B$71*E251+B251*Parameters!B$71-Parameters!$B$5*B251^2/E251*Parameters!B$71,0.0001)</f>
        <v>0.76972610488256066</v>
      </c>
      <c r="F252" s="9">
        <f>MAX((1-Parameters!$B$4)^Parameters!B$71*F251+C251*Parameters!B$71-Parameters!$B$5*C251^2/F251*Parameters!B$71,0.0001)</f>
        <v>0.14851940033751204</v>
      </c>
      <c r="G252" s="7">
        <f>MAX((1-Parameters!$B$4)^Parameters!B$71*G251+D251*Parameters!B$71-Parameters!$B$5*D251^2/G251*Parameters!B$71,0.0001)</f>
        <v>4.3878779693689127</v>
      </c>
      <c r="I252" s="7">
        <f>I251*(1+Parameters!$B$52)^Parameters!B$71</f>
        <v>16.733343418997553</v>
      </c>
      <c r="J252" s="7">
        <f>J251*(1+Parameters!$B$54)^Parameters!B$71</f>
        <v>1225.2335141055521</v>
      </c>
      <c r="K252" s="7">
        <f>'6states'!$N$4</f>
        <v>0.98104277196026479</v>
      </c>
      <c r="L252" s="9">
        <f t="shared" si="39"/>
        <v>0.5</v>
      </c>
      <c r="N252" s="7">
        <f>(Parameters!$B$19*(E252+Parameters!$B$20)^L252+Parameters!$B$18*F252^L252)^(1/L252)</f>
        <v>0.53556370811484333</v>
      </c>
      <c r="O252" s="7">
        <f>(Parameters!$B$10*G252^Parameters!$B$9 + Parameters!$B$11*N252^Parameters!$B$9) ^ (Parameters!$B$7/Parameters!$B$9) * K252</f>
        <v>1.507007127207431</v>
      </c>
      <c r="P252" s="7">
        <f t="shared" si="36"/>
        <v>1.1491121535923079</v>
      </c>
      <c r="Q252" s="7">
        <f>EXP(-Parameters!$B$56*A252)</f>
        <v>2.3640356646232066E-2</v>
      </c>
      <c r="R252" s="7">
        <f>IF(P252&gt;0,P252^(1-Parameters!$B$53)/(1-Parameters!$B$53)*Q252,-10+P252*1000)</f>
        <v>-6.4336752219654403E-2</v>
      </c>
      <c r="S252" s="7"/>
    </row>
    <row r="253" spans="1:19" x14ac:dyDescent="0.25">
      <c r="A253">
        <f>A252+Parameters!$B$71</f>
        <v>249</v>
      </c>
      <c r="B253" s="9">
        <f t="shared" ref="B253:D253" si="87">B252</f>
        <v>5.191758263687303E-2</v>
      </c>
      <c r="C253" s="9">
        <f t="shared" si="87"/>
        <v>1.0017548050425843E-2</v>
      </c>
      <c r="D253" s="7">
        <f t="shared" si="87"/>
        <v>0.2959598429278244</v>
      </c>
      <c r="E253" s="7">
        <f>MAX((1-Parameters!$B$4)^Parameters!B$71*E252+B252*Parameters!B$71-Parameters!$B$5*B252^2/E252*Parameters!B$71,0.0001)</f>
        <v>0.76972610446282996</v>
      </c>
      <c r="F253" s="9">
        <f>MAX((1-Parameters!$B$4)^Parameters!B$71*F252+C252*Parameters!B$71-Parameters!$B$5*C252^2/F252*Parameters!B$71,0.0001)</f>
        <v>0.1485194002577907</v>
      </c>
      <c r="G253" s="7">
        <f>MAX((1-Parameters!$B$4)^Parameters!B$71*G252+D252*Parameters!B$71-Parameters!$B$5*D252^2/G252*Parameters!B$71,0.0001)</f>
        <v>4.3878779670023542</v>
      </c>
      <c r="I253" s="7">
        <f>I252*(1+Parameters!$B$52)^Parameters!B$71</f>
        <v>16.781870114912643</v>
      </c>
      <c r="J253" s="7">
        <f>J252*(1+Parameters!$B$54)^Parameters!B$71</f>
        <v>1249.7381843876631</v>
      </c>
      <c r="K253" s="7">
        <f>'6states'!$N$4</f>
        <v>0.98104277196026479</v>
      </c>
      <c r="L253" s="9">
        <f t="shared" si="39"/>
        <v>0.5</v>
      </c>
      <c r="N253" s="7">
        <f>(Parameters!$B$19*(E253+Parameters!$B$20)^L253+Parameters!$B$18*F253^L253)^(1/L253)</f>
        <v>0.53556370782667784</v>
      </c>
      <c r="O253" s="7">
        <f>(Parameters!$B$10*G253^Parameters!$B$9 + Parameters!$B$11*N253^Parameters!$B$9) ^ (Parameters!$B$7/Parameters!$B$9) * K253</f>
        <v>1.5070071269636951</v>
      </c>
      <c r="P253" s="7">
        <f t="shared" si="36"/>
        <v>1.1491121533485718</v>
      </c>
      <c r="Q253" s="7">
        <f>EXP(-Parameters!$B$56*A253)</f>
        <v>2.3286068865357064E-2</v>
      </c>
      <c r="R253" s="7">
        <f>IF(P253&gt;0,P253^(1-Parameters!$B$53)/(1-Parameters!$B$53)*Q253,-10+P253*1000)</f>
        <v>-6.3372565198177314E-2</v>
      </c>
      <c r="S253" s="7"/>
    </row>
    <row r="254" spans="1:19" x14ac:dyDescent="0.25">
      <c r="A254">
        <f>A253+Parameters!$B$71</f>
        <v>250</v>
      </c>
      <c r="B254" s="9">
        <f t="shared" ref="B254:D254" si="88">B253</f>
        <v>5.191758263687303E-2</v>
      </c>
      <c r="C254" s="9">
        <f t="shared" si="88"/>
        <v>1.0017548050425843E-2</v>
      </c>
      <c r="D254" s="7">
        <f t="shared" si="88"/>
        <v>0.2959598429278244</v>
      </c>
      <c r="E254" s="7">
        <f>MAX((1-Parameters!$B$4)^Parameters!B$71*E253+B253*Parameters!B$71-Parameters!$B$5*B253^2/E253*Parameters!B$71,0.0001)</f>
        <v>0.76972610406759068</v>
      </c>
      <c r="F254" s="9">
        <f>MAX((1-Parameters!$B$4)^Parameters!B$71*F253+C253*Parameters!B$71-Parameters!$B$5*C253^2/F253*Parameters!B$71,0.0001)</f>
        <v>0.14851940018272117</v>
      </c>
      <c r="G254" s="7">
        <f>MAX((1-Parameters!$B$4)^Parameters!B$71*G253+D253*Parameters!B$71-Parameters!$B$5*D253^2/G253*Parameters!B$71,0.0001)</f>
        <v>4.3878779647738853</v>
      </c>
      <c r="I254" s="7">
        <f>I253*(1+Parameters!$B$52)^Parameters!B$71</f>
        <v>16.830537538245888</v>
      </c>
      <c r="J254" s="7">
        <f>J253*(1+Parameters!$B$54)^Parameters!B$71</f>
        <v>1274.7329480754163</v>
      </c>
      <c r="K254" s="7">
        <f>'6states'!$N$4</f>
        <v>0.98104277196026479</v>
      </c>
      <c r="L254" s="9">
        <f t="shared" si="39"/>
        <v>0.5</v>
      </c>
      <c r="N254" s="7">
        <f>(Parameters!$B$19*(E254+Parameters!$B$20)^L254+Parameters!$B$18*F254^L254)^(1/L254)</f>
        <v>0.5355637075553269</v>
      </c>
      <c r="O254" s="7">
        <f>(Parameters!$B$10*G254^Parameters!$B$9 + Parameters!$B$11*N254^Parameters!$B$9) ^ (Parameters!$B$7/Parameters!$B$9) * K254</f>
        <v>1.5070071267341818</v>
      </c>
      <c r="P254" s="7">
        <f t="shared" si="36"/>
        <v>1.1491121531190585</v>
      </c>
      <c r="Q254" s="7">
        <f>EXP(-Parameters!$B$56*A254)</f>
        <v>2.293709064192892E-2</v>
      </c>
      <c r="R254" s="7">
        <f>IF(P254&gt;0,P254^(1-Parameters!$B$53)/(1-Parameters!$B$53)*Q254,-10+P254*1000)</f>
        <v>-6.2422828029434684E-2</v>
      </c>
      <c r="S254" s="7"/>
    </row>
    <row r="255" spans="1:19" x14ac:dyDescent="0.25">
      <c r="A255">
        <f>A254+Parameters!$B$71</f>
        <v>251</v>
      </c>
      <c r="B255" s="9">
        <f t="shared" ref="B255:D255" si="89">B254</f>
        <v>5.191758263687303E-2</v>
      </c>
      <c r="C255" s="9">
        <f t="shared" si="89"/>
        <v>1.0017548050425843E-2</v>
      </c>
      <c r="D255" s="7">
        <f t="shared" si="89"/>
        <v>0.2959598429278244</v>
      </c>
      <c r="E255" s="7">
        <f>MAX((1-Parameters!$B$4)^Parameters!B$71*E254+B254*Parameters!B$71-Parameters!$B$5*B254^2/E254*Parameters!B$71,0.0001)</f>
        <v>0.76972610369541383</v>
      </c>
      <c r="F255" s="9">
        <f>MAX((1-Parameters!$B$4)^Parameters!B$71*F254+C254*Parameters!B$71-Parameters!$B$5*C254^2/F254*Parameters!B$71,0.0001)</f>
        <v>0.14851940011203199</v>
      </c>
      <c r="G255" s="7">
        <f>MAX((1-Parameters!$B$4)^Parameters!B$71*G254+D254*Parameters!B$71-Parameters!$B$5*D254^2/G254*Parameters!B$71,0.0001)</f>
        <v>4.3878779626754483</v>
      </c>
      <c r="I255" s="7">
        <f>I254*(1+Parameters!$B$52)^Parameters!B$71</f>
        <v>16.879346097106801</v>
      </c>
      <c r="J255" s="7">
        <f>J254*(1+Parameters!$B$54)^Parameters!B$71</f>
        <v>1300.2276070369246</v>
      </c>
      <c r="K255" s="7">
        <f>'6states'!$N$4</f>
        <v>0.98104277196026479</v>
      </c>
      <c r="L255" s="9">
        <f t="shared" si="39"/>
        <v>0.5</v>
      </c>
      <c r="N255" s="7">
        <f>(Parameters!$B$19*(E255+Parameters!$B$20)^L255+Parameters!$B$18*F255^L255)^(1/L255)</f>
        <v>0.53556370729980929</v>
      </c>
      <c r="O255" s="7">
        <f>(Parameters!$B$10*G255^Parameters!$B$9 + Parameters!$B$11*N255^Parameters!$B$9) ^ (Parameters!$B$7/Parameters!$B$9) * K255</f>
        <v>1.50700712651806</v>
      </c>
      <c r="P255" s="7">
        <f t="shared" si="36"/>
        <v>1.1491121529029367</v>
      </c>
      <c r="Q255" s="7">
        <f>EXP(-Parameters!$B$56*A255)</f>
        <v>2.259334240391098E-2</v>
      </c>
      <c r="R255" s="7">
        <f>IF(P255&gt;0,P255^(1-Parameters!$B$53)/(1-Parameters!$B$53)*Q255,-10+P255*1000)</f>
        <v>-6.1487324159769895E-2</v>
      </c>
      <c r="S255" s="7"/>
    </row>
    <row r="256" spans="1:19" x14ac:dyDescent="0.25">
      <c r="A256">
        <f>A255+Parameters!$B$71</f>
        <v>252</v>
      </c>
      <c r="B256" s="9">
        <f t="shared" ref="B256:D256" si="90">B255</f>
        <v>5.191758263687303E-2</v>
      </c>
      <c r="C256" s="9">
        <f t="shared" si="90"/>
        <v>1.0017548050425843E-2</v>
      </c>
      <c r="D256" s="7">
        <f t="shared" si="90"/>
        <v>0.2959598429278244</v>
      </c>
      <c r="E256" s="7">
        <f>MAX((1-Parameters!$B$4)^Parameters!B$71*E255+B255*Parameters!B$71-Parameters!$B$5*B255^2/E255*Parameters!B$71,0.0001)</f>
        <v>0.76972610334495373</v>
      </c>
      <c r="F256" s="9">
        <f>MAX((1-Parameters!$B$4)^Parameters!B$71*F255+C255*Parameters!B$71-Parameters!$B$5*C255^2/F255*Parameters!B$71,0.0001)</f>
        <v>0.14851940004546757</v>
      </c>
      <c r="G256" s="7">
        <f>MAX((1-Parameters!$B$4)^Parameters!B$71*G255+D255*Parameters!B$71-Parameters!$B$5*D255^2/G255*Parameters!B$71,0.0001)</f>
        <v>4.3878779606994565</v>
      </c>
      <c r="I256" s="7">
        <f>I255*(1+Parameters!$B$52)^Parameters!B$71</f>
        <v>16.928296200788409</v>
      </c>
      <c r="J256" s="7">
        <f>J255*(1+Parameters!$B$54)^Parameters!B$71</f>
        <v>1326.2321591776631</v>
      </c>
      <c r="K256" s="7">
        <f>'6states'!$N$4</f>
        <v>0.98104277196026479</v>
      </c>
      <c r="L256" s="9">
        <f t="shared" si="39"/>
        <v>0.5</v>
      </c>
      <c r="N256" s="7">
        <f>(Parameters!$B$19*(E256+Parameters!$B$20)^L256+Parameters!$B$18*F256^L256)^(1/L256)</f>
        <v>0.53556370705920153</v>
      </c>
      <c r="O256" s="7">
        <f>(Parameters!$B$10*G256^Parameters!$B$9 + Parameters!$B$11*N256^Parameters!$B$9) ^ (Parameters!$B$7/Parameters!$B$9) * K256</f>
        <v>1.5070071263145495</v>
      </c>
      <c r="P256" s="7">
        <f t="shared" si="36"/>
        <v>1.1491121526994261</v>
      </c>
      <c r="Q256" s="7">
        <f>EXP(-Parameters!$B$56*A256)</f>
        <v>2.2254745771778255E-2</v>
      </c>
      <c r="R256" s="7">
        <f>IF(P256&gt;0,P256^(1-Parameters!$B$53)/(1-Parameters!$B$53)*Q256,-10+P256*1000)</f>
        <v>-6.0565840280920401E-2</v>
      </c>
      <c r="S256" s="7"/>
    </row>
    <row r="257" spans="1:19" x14ac:dyDescent="0.25">
      <c r="A257">
        <f>A256+Parameters!$B$71</f>
        <v>253</v>
      </c>
      <c r="B257" s="9">
        <f t="shared" ref="B257:D257" si="91">B256</f>
        <v>5.191758263687303E-2</v>
      </c>
      <c r="C257" s="9">
        <f t="shared" si="91"/>
        <v>1.0017548050425843E-2</v>
      </c>
      <c r="D257" s="7">
        <f t="shared" si="91"/>
        <v>0.2959598429278244</v>
      </c>
      <c r="E257" s="7">
        <f>MAX((1-Parameters!$B$4)^Parameters!B$71*E256+B256*Parameters!B$71-Parameters!$B$5*B256^2/E256*Parameters!B$71,0.0001)</f>
        <v>0.76972610301494315</v>
      </c>
      <c r="F257" s="9">
        <f>MAX((1-Parameters!$B$4)^Parameters!B$71*F256+C256*Parameters!B$71-Parameters!$B$5*C256^2/F256*Parameters!B$71,0.0001)</f>
        <v>0.14851939998278721</v>
      </c>
      <c r="G257" s="7">
        <f>MAX((1-Parameters!$B$4)^Parameters!B$71*G256+D256*Parameters!B$71-Parameters!$B$5*D256^2/G256*Parameters!B$71,0.0001)</f>
        <v>4.3878779588387653</v>
      </c>
      <c r="I257" s="7">
        <f>I256*(1+Parameters!$B$52)^Parameters!B$71</f>
        <v>16.977388259770695</v>
      </c>
      <c r="J257" s="7">
        <f>J256*(1+Parameters!$B$54)^Parameters!B$71</f>
        <v>1352.7568023612164</v>
      </c>
      <c r="K257" s="7">
        <f>'6states'!$N$4</f>
        <v>0.98104277196026479</v>
      </c>
      <c r="L257" s="9">
        <f t="shared" si="39"/>
        <v>0.5</v>
      </c>
      <c r="N257" s="7">
        <f>(Parameters!$B$19*(E257+Parameters!$B$20)^L257+Parameters!$B$18*F257^L257)^(1/L257)</f>
        <v>0.53556370683263321</v>
      </c>
      <c r="O257" s="7">
        <f>(Parameters!$B$10*G257^Parameters!$B$9 + Parameters!$B$11*N257^Parameters!$B$9) ^ (Parameters!$B$7/Parameters!$B$9) * K257</f>
        <v>1.5070071261229139</v>
      </c>
      <c r="P257" s="7">
        <f t="shared" si="36"/>
        <v>1.1491121525077905</v>
      </c>
      <c r="Q257" s="7">
        <f>EXP(-Parameters!$B$56*A257)</f>
        <v>2.1921223540645702E-2</v>
      </c>
      <c r="R257" s="7">
        <f>IF(P257&gt;0,P257^(1-Parameters!$B$53)/(1-Parameters!$B$53)*Q257,-10+P257*1000)</f>
        <v>-5.9658166281380418E-2</v>
      </c>
      <c r="S257" s="7"/>
    </row>
    <row r="258" spans="1:19" x14ac:dyDescent="0.25">
      <c r="A258">
        <f>A257+Parameters!$B$71</f>
        <v>254</v>
      </c>
      <c r="B258" s="9">
        <f t="shared" ref="B258:D258" si="92">B257</f>
        <v>5.191758263687303E-2</v>
      </c>
      <c r="C258" s="9">
        <f t="shared" si="92"/>
        <v>1.0017548050425843E-2</v>
      </c>
      <c r="D258" s="7">
        <f t="shared" si="92"/>
        <v>0.2959598429278244</v>
      </c>
      <c r="E258" s="7">
        <f>MAX((1-Parameters!$B$4)^Parameters!B$71*E257+B257*Parameters!B$71-Parameters!$B$5*B257^2/E257*Parameters!B$71,0.0001)</f>
        <v>0.76972610270418895</v>
      </c>
      <c r="F258" s="9">
        <f>MAX((1-Parameters!$B$4)^Parameters!B$71*F257+C257*Parameters!B$71-Parameters!$B$5*C257^2/F257*Parameters!B$71,0.0001)</f>
        <v>0.14851939992376428</v>
      </c>
      <c r="G258" s="7">
        <f>MAX((1-Parameters!$B$4)^Parameters!B$71*G257+D257*Parameters!B$71-Parameters!$B$5*D257^2/G257*Parameters!B$71,0.0001)</f>
        <v>4.387877957086646</v>
      </c>
      <c r="I258" s="7">
        <f>I257*(1+Parameters!$B$52)^Parameters!B$71</f>
        <v>17.026622685724028</v>
      </c>
      <c r="J258" s="7">
        <f>J257*(1+Parameters!$B$54)^Parameters!B$71</f>
        <v>1379.8119384084407</v>
      </c>
      <c r="K258" s="7">
        <f>'6states'!$N$4</f>
        <v>0.98104277196026479</v>
      </c>
      <c r="L258" s="9">
        <f t="shared" si="39"/>
        <v>0.5</v>
      </c>
      <c r="N258" s="7">
        <f>(Parameters!$B$19*(E258+Parameters!$B$20)^L258+Parameters!$B$18*F258^L258)^(1/L258)</f>
        <v>0.53556370661928521</v>
      </c>
      <c r="O258" s="7">
        <f>(Parameters!$B$10*G258^Parameters!$B$9 + Parameters!$B$11*N258^Parameters!$B$9) ^ (Parameters!$B$7/Parameters!$B$9) * K258</f>
        <v>1.5070071259424602</v>
      </c>
      <c r="P258" s="7">
        <f t="shared" si="36"/>
        <v>1.1491121523273371</v>
      </c>
      <c r="Q258" s="7">
        <f>EXP(-Parameters!$B$56*A258)</f>
        <v>2.159269966266443E-2</v>
      </c>
      <c r="R258" s="7">
        <f>IF(P258&gt;0,P258^(1-Parameters!$B$53)/(1-Parameters!$B$53)*Q258,-10+P258*1000)</f>
        <v>-5.8764095198492731E-2</v>
      </c>
      <c r="S258" s="7"/>
    </row>
    <row r="259" spans="1:19" x14ac:dyDescent="0.25">
      <c r="A259">
        <f>A258+Parameters!$B$71</f>
        <v>255</v>
      </c>
      <c r="B259" s="9">
        <f t="shared" ref="B259:D259" si="93">B258</f>
        <v>5.191758263687303E-2</v>
      </c>
      <c r="C259" s="9">
        <f t="shared" si="93"/>
        <v>1.0017548050425843E-2</v>
      </c>
      <c r="D259" s="7">
        <f t="shared" si="93"/>
        <v>0.2959598429278244</v>
      </c>
      <c r="E259" s="7">
        <f>MAX((1-Parameters!$B$4)^Parameters!B$71*E258+B258*Parameters!B$71-Parameters!$B$5*B258^2/E258*Parameters!B$71,0.0001)</f>
        <v>0.76972610241156736</v>
      </c>
      <c r="F259" s="9">
        <f>MAX((1-Parameters!$B$4)^Parameters!B$71*F258+C258*Parameters!B$71-Parameters!$B$5*C258^2/F258*Parameters!B$71,0.0001)</f>
        <v>0.14851939986818538</v>
      </c>
      <c r="G259" s="7">
        <f>MAX((1-Parameters!$B$4)^Parameters!B$71*G258+D258*Parameters!B$71-Parameters!$B$5*D258^2/G258*Parameters!B$71,0.0001)</f>
        <v>4.387877955436764</v>
      </c>
      <c r="I259" s="7">
        <f>I258*(1+Parameters!$B$52)^Parameters!B$71</f>
        <v>17.075999891512627</v>
      </c>
      <c r="J259" s="7">
        <f>J258*(1+Parameters!$B$54)^Parameters!B$71</f>
        <v>1407.4081771766096</v>
      </c>
      <c r="K259" s="7">
        <f>'6states'!$N$4</f>
        <v>0.98104277196026479</v>
      </c>
      <c r="L259" s="9">
        <f t="shared" si="39"/>
        <v>0.5</v>
      </c>
      <c r="N259" s="7">
        <f>(Parameters!$B$19*(E259+Parameters!$B$20)^L259+Parameters!$B$18*F259^L259)^(1/L259)</f>
        <v>0.53556370641838635</v>
      </c>
      <c r="O259" s="7">
        <f>(Parameters!$B$10*G259^Parameters!$B$9 + Parameters!$B$11*N259^Parameters!$B$9) ^ (Parameters!$B$7/Parameters!$B$9) * K259</f>
        <v>1.5070071257725359</v>
      </c>
      <c r="P259" s="7">
        <f t="shared" si="36"/>
        <v>1.1491121521574126</v>
      </c>
      <c r="Q259" s="7">
        <f>EXP(-Parameters!$B$56*A259)</f>
        <v>2.1269099229681749E-2</v>
      </c>
      <c r="R259" s="7">
        <f>IF(P259&gt;0,P259^(1-Parameters!$B$53)/(1-Parameters!$B$53)*Q259,-10+P259*1000)</f>
        <v>-5.7883423171258434E-2</v>
      </c>
      <c r="S259" s="7"/>
    </row>
    <row r="260" spans="1:19" x14ac:dyDescent="0.25">
      <c r="A260">
        <f>A259+Parameters!$B$71</f>
        <v>256</v>
      </c>
      <c r="B260" s="9">
        <f t="shared" ref="B260:D260" si="94">B259</f>
        <v>5.191758263687303E-2</v>
      </c>
      <c r="C260" s="9">
        <f t="shared" si="94"/>
        <v>1.0017548050425843E-2</v>
      </c>
      <c r="D260" s="7">
        <f t="shared" si="94"/>
        <v>0.2959598429278244</v>
      </c>
      <c r="E260" s="7">
        <f>MAX((1-Parameters!$B$4)^Parameters!B$71*E259+B259*Parameters!B$71-Parameters!$B$5*B259^2/E259*Parameters!B$71,0.0001)</f>
        <v>0.76972610213602044</v>
      </c>
      <c r="F260" s="9">
        <f>MAX((1-Parameters!$B$4)^Parameters!B$71*F259+C259*Parameters!B$71-Parameters!$B$5*C259^2/F259*Parameters!B$71,0.0001)</f>
        <v>0.14851939981584955</v>
      </c>
      <c r="G260" s="7">
        <f>MAX((1-Parameters!$B$4)^Parameters!B$71*G259+D259*Parameters!B$71-Parameters!$B$5*D259^2/G259*Parameters!B$71,0.0001)</f>
        <v>4.3878779538831534</v>
      </c>
      <c r="I260" s="7">
        <f>I259*(1+Parameters!$B$52)^Parameters!B$71</f>
        <v>17.125520291198011</v>
      </c>
      <c r="J260" s="7">
        <f>J259*(1+Parameters!$B$54)^Parameters!B$71</f>
        <v>1435.5563407201419</v>
      </c>
      <c r="K260" s="7">
        <f>'6states'!$N$4</f>
        <v>0.98104277196026479</v>
      </c>
      <c r="L260" s="9">
        <f t="shared" si="39"/>
        <v>0.5</v>
      </c>
      <c r="N260" s="7">
        <f>(Parameters!$B$19*(E260+Parameters!$B$20)^L260+Parameters!$B$18*F260^L260)^(1/L260)</f>
        <v>0.5355637062292099</v>
      </c>
      <c r="O260" s="7">
        <f>(Parameters!$B$10*G260^Parameters!$B$9 + Parameters!$B$11*N260^Parameters!$B$9) ^ (Parameters!$B$7/Parameters!$B$9) * K260</f>
        <v>1.507007125612527</v>
      </c>
      <c r="P260" s="7">
        <f t="shared" ref="P260:P304" si="95">O260-B260-C260-D260</f>
        <v>1.1491121519974037</v>
      </c>
      <c r="Q260" s="7">
        <f>EXP(-Parameters!$B$56*A260)</f>
        <v>2.0950348456160946E-2</v>
      </c>
      <c r="R260" s="7">
        <f>IF(P260&gt;0,P260^(1-Parameters!$B$53)/(1-Parameters!$B$53)*Q260,-10+P260*1000)</f>
        <v>-5.7015949393853627E-2</v>
      </c>
      <c r="S260" s="7"/>
    </row>
    <row r="261" spans="1:19" x14ac:dyDescent="0.25">
      <c r="A261">
        <f>A260+Parameters!$B$71</f>
        <v>257</v>
      </c>
      <c r="B261" s="9">
        <f t="shared" ref="B261:D261" si="96">B260</f>
        <v>5.191758263687303E-2</v>
      </c>
      <c r="C261" s="9">
        <f t="shared" si="96"/>
        <v>1.0017548050425843E-2</v>
      </c>
      <c r="D261" s="7">
        <f t="shared" si="96"/>
        <v>0.2959598429278244</v>
      </c>
      <c r="E261" s="7">
        <f>MAX((1-Parameters!$B$4)^Parameters!B$71*E260+B260*Parameters!B$71-Parameters!$B$5*B260^2/E260*Parameters!B$71,0.0001)</f>
        <v>0.76972610187655188</v>
      </c>
      <c r="F261" s="9">
        <f>MAX((1-Parameters!$B$4)^Parameters!B$71*F260+C260*Parameters!B$71-Parameters!$B$5*C260^2/F260*Parameters!B$71,0.0001)</f>
        <v>0.14851939976656756</v>
      </c>
      <c r="G261" s="7">
        <f>MAX((1-Parameters!$B$4)^Parameters!B$71*G260+D260*Parameters!B$71-Parameters!$B$5*D260^2/G260*Parameters!B$71,0.0001)</f>
        <v>4.3878779524201965</v>
      </c>
      <c r="I261" s="7">
        <f>I260*(1+Parameters!$B$52)^Parameters!B$71</f>
        <v>17.175184300042485</v>
      </c>
      <c r="J261" s="7">
        <f>J260*(1+Parameters!$B$54)^Parameters!B$71</f>
        <v>1464.2674675345447</v>
      </c>
      <c r="K261" s="7">
        <f>'6states'!$N$4</f>
        <v>0.98104277196026479</v>
      </c>
      <c r="L261" s="9">
        <f t="shared" si="39"/>
        <v>0.5</v>
      </c>
      <c r="N261" s="7">
        <f>(Parameters!$B$19*(E261+Parameters!$B$20)^L261+Parameters!$B$18*F261^L261)^(1/L261)</f>
        <v>0.53556370605107206</v>
      </c>
      <c r="O261" s="7">
        <f>(Parameters!$B$10*G261^Parameters!$B$9 + Parameters!$B$11*N261^Parameters!$B$9) ^ (Parameters!$B$7/Parameters!$B$9) * K261</f>
        <v>1.5070071254618549</v>
      </c>
      <c r="P261" s="7">
        <f t="shared" si="95"/>
        <v>1.1491121518467318</v>
      </c>
      <c r="Q261" s="7">
        <f>EXP(-Parameters!$B$56*A261)</f>
        <v>2.0636374662357192E-2</v>
      </c>
      <c r="R261" s="7">
        <f>IF(P261&gt;0,P261^(1-Parameters!$B$53)/(1-Parameters!$B$53)*Q261,-10+P261*1000)</f>
        <v>-5.6161476069843126E-2</v>
      </c>
      <c r="S261" s="7"/>
    </row>
    <row r="262" spans="1:19" x14ac:dyDescent="0.25">
      <c r="A262">
        <f>A261+Parameters!$B$71</f>
        <v>258</v>
      </c>
      <c r="B262" s="9">
        <f t="shared" ref="B262:D262" si="97">B261</f>
        <v>5.191758263687303E-2</v>
      </c>
      <c r="C262" s="9">
        <f t="shared" si="97"/>
        <v>1.0017548050425843E-2</v>
      </c>
      <c r="D262" s="7">
        <f t="shared" si="97"/>
        <v>0.2959598429278244</v>
      </c>
      <c r="E262" s="7">
        <f>MAX((1-Parameters!$B$4)^Parameters!B$71*E261+B261*Parameters!B$71-Parameters!$B$5*B261^2/E261*Parameters!B$71,0.0001)</f>
        <v>0.76972610163222355</v>
      </c>
      <c r="F262" s="9">
        <f>MAX((1-Parameters!$B$4)^Parameters!B$71*F261+C261*Parameters!B$71-Parameters!$B$5*C261^2/F261*Parameters!B$71,0.0001)</f>
        <v>0.14851939972016118</v>
      </c>
      <c r="G262" s="7">
        <f>MAX((1-Parameters!$B$4)^Parameters!B$71*G261+D261*Parameters!B$71-Parameters!$B$5*D261^2/G261*Parameters!B$71,0.0001)</f>
        <v>4.3878779510426051</v>
      </c>
      <c r="I262" s="7">
        <f>I261*(1+Parameters!$B$52)^Parameters!B$71</f>
        <v>17.224992334512606</v>
      </c>
      <c r="J262" s="7">
        <f>J261*(1+Parameters!$B$54)^Parameters!B$71</f>
        <v>1493.5528168852356</v>
      </c>
      <c r="K262" s="7">
        <f>'6states'!$N$4</f>
        <v>0.98104277196026479</v>
      </c>
      <c r="L262" s="9">
        <f t="shared" si="39"/>
        <v>0.5</v>
      </c>
      <c r="N262" s="7">
        <f>(Parameters!$B$19*(E262+Parameters!$B$20)^L262+Parameters!$B$18*F262^L262)^(1/L262)</f>
        <v>0.53556370588332869</v>
      </c>
      <c r="O262" s="7">
        <f>(Parameters!$B$10*G262^Parameters!$B$9 + Parameters!$B$11*N262^Parameters!$B$9) ^ (Parameters!$B$7/Parameters!$B$9) * K262</f>
        <v>1.5070071253199744</v>
      </c>
      <c r="P262" s="7">
        <f t="shared" si="95"/>
        <v>1.149112151704851</v>
      </c>
      <c r="Q262" s="7">
        <f>EXP(-Parameters!$B$56*A262)</f>
        <v>2.03271062577455E-2</v>
      </c>
      <c r="R262" s="7">
        <f>IF(P262&gt;0,P262^(1-Parameters!$B$53)/(1-Parameters!$B$53)*Q262,-10+P262*1000)</f>
        <v>-5.5319808367080038E-2</v>
      </c>
      <c r="S262" s="7"/>
    </row>
    <row r="263" spans="1:19" x14ac:dyDescent="0.25">
      <c r="A263">
        <f>A262+Parameters!$B$71</f>
        <v>259</v>
      </c>
      <c r="B263" s="9">
        <f t="shared" ref="B263:D263" si="98">B262</f>
        <v>5.191758263687303E-2</v>
      </c>
      <c r="C263" s="9">
        <f t="shared" si="98"/>
        <v>1.0017548050425843E-2</v>
      </c>
      <c r="D263" s="7">
        <f t="shared" si="98"/>
        <v>0.2959598429278244</v>
      </c>
      <c r="E263" s="7">
        <f>MAX((1-Parameters!$B$4)^Parameters!B$71*E262+B262*Parameters!B$71-Parameters!$B$5*B262^2/E262*Parameters!B$71,0.0001)</f>
        <v>0.76972610140215181</v>
      </c>
      <c r="F263" s="9">
        <f>MAX((1-Parameters!$B$4)^Parameters!B$71*F262+C262*Parameters!B$71-Parameters!$B$5*C262^2/F262*Parameters!B$71,0.0001)</f>
        <v>0.14851939967646263</v>
      </c>
      <c r="G263" s="7">
        <f>MAX((1-Parameters!$B$4)^Parameters!B$71*G262+D262*Parameters!B$71-Parameters!$B$5*D262^2/G262*Parameters!B$71,0.0001)</f>
        <v>4.3878779497453966</v>
      </c>
      <c r="I263" s="7">
        <f>I262*(1+Parameters!$B$52)^Parameters!B$71</f>
        <v>17.274944812282691</v>
      </c>
      <c r="J263" s="7">
        <f>J262*(1+Parameters!$B$54)^Parameters!B$71</f>
        <v>1523.4238732229403</v>
      </c>
      <c r="K263" s="7">
        <f>'6states'!$N$4</f>
        <v>0.98104277196026479</v>
      </c>
      <c r="L263" s="9">
        <f t="shared" si="39"/>
        <v>0.5</v>
      </c>
      <c r="N263" s="7">
        <f>(Parameters!$B$19*(E263+Parameters!$B$20)^L263+Parameters!$B$18*F263^L263)^(1/L263)</f>
        <v>0.53556370572537326</v>
      </c>
      <c r="O263" s="7">
        <f>(Parameters!$B$10*G263^Parameters!$B$9 + Parameters!$B$11*N263^Parameters!$B$9) ^ (Parameters!$B$7/Parameters!$B$9) * K263</f>
        <v>1.5070071251863728</v>
      </c>
      <c r="P263" s="7">
        <f t="shared" si="95"/>
        <v>1.1491121515712495</v>
      </c>
      <c r="Q263" s="7">
        <f>EXP(-Parameters!$B$56*A263)</f>
        <v>2.0022472724697045E-2</v>
      </c>
      <c r="R263" s="7">
        <f>IF(P263&gt;0,P263^(1-Parameters!$B$53)/(1-Parameters!$B$53)*Q263,-10+P263*1000)</f>
        <v>-5.449075437328136E-2</v>
      </c>
      <c r="S263" s="7"/>
    </row>
    <row r="264" spans="1:19" x14ac:dyDescent="0.25">
      <c r="A264">
        <f>A263+Parameters!$B$71</f>
        <v>260</v>
      </c>
      <c r="B264" s="9">
        <f t="shared" ref="B264:D264" si="99">B263</f>
        <v>5.191758263687303E-2</v>
      </c>
      <c r="C264" s="9">
        <f t="shared" si="99"/>
        <v>1.0017548050425843E-2</v>
      </c>
      <c r="D264" s="7">
        <f t="shared" si="99"/>
        <v>0.2959598429278244</v>
      </c>
      <c r="E264" s="7">
        <f>MAX((1-Parameters!$B$4)^Parameters!B$71*E263+B263*Parameters!B$71-Parameters!$B$5*B263^2/E263*Parameters!B$71,0.0001)</f>
        <v>0.76972610118550489</v>
      </c>
      <c r="F264" s="9">
        <f>MAX((1-Parameters!$B$4)^Parameters!B$71*F263+C263*Parameters!B$71-Parameters!$B$5*C263^2/F263*Parameters!B$71,0.0001)</f>
        <v>0.14851939963531394</v>
      </c>
      <c r="G264" s="7">
        <f>MAX((1-Parameters!$B$4)^Parameters!B$71*G263+D263*Parameters!B$71-Parameters!$B$5*D263^2/G263*Parameters!B$71,0.0001)</f>
        <v>4.3878779485238812</v>
      </c>
      <c r="I264" s="7">
        <f>I263*(1+Parameters!$B$52)^Parameters!B$71</f>
        <v>17.325042152238307</v>
      </c>
      <c r="J264" s="7">
        <f>J263*(1+Parameters!$B$54)^Parameters!B$71</f>
        <v>1553.8923506873991</v>
      </c>
      <c r="K264" s="7">
        <f>'6states'!$N$4</f>
        <v>0.98104277196026479</v>
      </c>
      <c r="L264" s="9">
        <f t="shared" si="39"/>
        <v>0.5</v>
      </c>
      <c r="N264" s="7">
        <f>(Parameters!$B$19*(E264+Parameters!$B$20)^L264+Parameters!$B$18*F264^L264)^(1/L264)</f>
        <v>0.5355637055766348</v>
      </c>
      <c r="O264" s="7">
        <f>(Parameters!$B$10*G264^Parameters!$B$9 + Parameters!$B$11*N264^Parameters!$B$9) ^ (Parameters!$B$7/Parameters!$B$9) * K264</f>
        <v>1.507007125060567</v>
      </c>
      <c r="P264" s="7">
        <f t="shared" si="95"/>
        <v>1.1491121514454439</v>
      </c>
      <c r="Q264" s="7">
        <f>EXP(-Parameters!$B$56*A264)</f>
        <v>1.9722404602400177E-2</v>
      </c>
      <c r="R264" s="7">
        <f>IF(P264&gt;0,P264^(1-Parameters!$B$53)/(1-Parameters!$B$53)*Q264,-10+P264*1000)</f>
        <v>-5.3674125052269379E-2</v>
      </c>
      <c r="S264" s="7"/>
    </row>
    <row r="265" spans="1:19" x14ac:dyDescent="0.25">
      <c r="A265">
        <f>A264+Parameters!$B$71</f>
        <v>261</v>
      </c>
      <c r="B265" s="9">
        <f t="shared" ref="B265:D265" si="100">B264</f>
        <v>5.191758263687303E-2</v>
      </c>
      <c r="C265" s="9">
        <f t="shared" si="100"/>
        <v>1.0017548050425843E-2</v>
      </c>
      <c r="D265" s="7">
        <f t="shared" si="100"/>
        <v>0.2959598429278244</v>
      </c>
      <c r="E265" s="7">
        <f>MAX((1-Parameters!$B$4)^Parameters!B$71*E264+B264*Parameters!B$71-Parameters!$B$5*B264^2/E264*Parameters!B$71,0.0001)</f>
        <v>0.76972610098149941</v>
      </c>
      <c r="F265" s="9">
        <f>MAX((1-Parameters!$B$4)^Parameters!B$71*F264+C264*Parameters!B$71-Parameters!$B$5*C264^2/F264*Parameters!B$71,0.0001)</f>
        <v>0.14851939959656629</v>
      </c>
      <c r="G265" s="7">
        <f>MAX((1-Parameters!$B$4)^Parameters!B$71*G264+D264*Parameters!B$71-Parameters!$B$5*D264^2/G264*Parameters!B$71,0.0001)</f>
        <v>4.3878779473736413</v>
      </c>
      <c r="I265" s="7">
        <f>I264*(1+Parameters!$B$52)^Parameters!B$71</f>
        <v>17.375284774479798</v>
      </c>
      <c r="J265" s="7">
        <f>J264*(1+Parameters!$B$54)^Parameters!B$71</f>
        <v>1584.9701977011471</v>
      </c>
      <c r="K265" s="7">
        <f>'6states'!$N$4</f>
        <v>0.98104277196026479</v>
      </c>
      <c r="L265" s="9">
        <f t="shared" si="39"/>
        <v>0.5</v>
      </c>
      <c r="N265" s="7">
        <f>(Parameters!$B$19*(E265+Parameters!$B$20)^L265+Parameters!$B$18*F265^L265)^(1/L265)</f>
        <v>0.53556370543657505</v>
      </c>
      <c r="O265" s="7">
        <f>(Parameters!$B$10*G265^Parameters!$B$9 + Parameters!$B$11*N265^Parameters!$B$9) ^ (Parameters!$B$7/Parameters!$B$9) * K265</f>
        <v>1.5070071249421018</v>
      </c>
      <c r="P265" s="7">
        <f t="shared" si="95"/>
        <v>1.1491121513269786</v>
      </c>
      <c r="Q265" s="7">
        <f>EXP(-Parameters!$B$56*A265)</f>
        <v>1.9426833471022302E-2</v>
      </c>
      <c r="R265" s="7">
        <f>IF(P265&gt;0,P265^(1-Parameters!$B$53)/(1-Parameters!$B$53)*Q265,-10+P265*1000)</f>
        <v>-5.2869734200868726E-2</v>
      </c>
      <c r="S265" s="7"/>
    </row>
    <row r="266" spans="1:19" x14ac:dyDescent="0.25">
      <c r="A266">
        <f>A265+Parameters!$B$71</f>
        <v>262</v>
      </c>
      <c r="B266" s="9">
        <f t="shared" ref="B266:D266" si="101">B265</f>
        <v>5.191758263687303E-2</v>
      </c>
      <c r="C266" s="9">
        <f t="shared" si="101"/>
        <v>1.0017548050425843E-2</v>
      </c>
      <c r="D266" s="7">
        <f t="shared" si="101"/>
        <v>0.2959598429278244</v>
      </c>
      <c r="E266" s="7">
        <f>MAX((1-Parameters!$B$4)^Parameters!B$71*E265+B265*Parameters!B$71-Parameters!$B$5*B265^2/E265*Parameters!B$71,0.0001)</f>
        <v>0.76972610078939785</v>
      </c>
      <c r="F266" s="9">
        <f>MAX((1-Parameters!$B$4)^Parameters!B$71*F265+C265*Parameters!B$71-Parameters!$B$5*C265^2/F265*Parameters!B$71,0.0001)</f>
        <v>0.14851939956007959</v>
      </c>
      <c r="G266" s="7">
        <f>MAX((1-Parameters!$B$4)^Parameters!B$71*G265+D265*Parameters!B$71-Parameters!$B$5*D265^2/G265*Parameters!B$71,0.0001)</f>
        <v>4.3878779462905184</v>
      </c>
      <c r="I266" s="7">
        <f>I265*(1+Parameters!$B$52)^Parameters!B$71</f>
        <v>17.425673100325788</v>
      </c>
      <c r="J266" s="7">
        <f>J265*(1+Parameters!$B$54)^Parameters!B$71</f>
        <v>1616.66960165517</v>
      </c>
      <c r="K266" s="7">
        <f>'6states'!$N$4</f>
        <v>0.98104277196026479</v>
      </c>
      <c r="L266" s="9">
        <f t="shared" si="39"/>
        <v>0.5</v>
      </c>
      <c r="N266" s="7">
        <f>(Parameters!$B$19*(E266+Parameters!$B$20)^L266+Parameters!$B$18*F266^L266)^(1/L266)</f>
        <v>0.53556370530468811</v>
      </c>
      <c r="O266" s="7">
        <f>(Parameters!$B$10*G266^Parameters!$B$9 + Parameters!$B$11*N266^Parameters!$B$9) ^ (Parameters!$B$7/Parameters!$B$9) * K266</f>
        <v>1.507007124830549</v>
      </c>
      <c r="P266" s="7">
        <f t="shared" si="95"/>
        <v>1.1491121512154256</v>
      </c>
      <c r="Q266" s="7">
        <f>EXP(-Parameters!$B$56*A266)</f>
        <v>1.9135691936109211E-2</v>
      </c>
      <c r="R266" s="7">
        <f>IF(P266&gt;0,P266^(1-Parameters!$B$53)/(1-Parameters!$B$53)*Q266,-10+P266*1000)</f>
        <v>-5.2077398406449441E-2</v>
      </c>
      <c r="S266" s="7"/>
    </row>
    <row r="267" spans="1:19" x14ac:dyDescent="0.25">
      <c r="A267">
        <f>A266+Parameters!$B$71</f>
        <v>263</v>
      </c>
      <c r="B267" s="9">
        <f t="shared" ref="B267:D267" si="102">B266</f>
        <v>5.191758263687303E-2</v>
      </c>
      <c r="C267" s="9">
        <f t="shared" si="102"/>
        <v>1.0017548050425843E-2</v>
      </c>
      <c r="D267" s="7">
        <f t="shared" si="102"/>
        <v>0.2959598429278244</v>
      </c>
      <c r="E267" s="7">
        <f>MAX((1-Parameters!$B$4)^Parameters!B$71*E266+B266*Parameters!B$71-Parameters!$B$5*B266^2/E266*Parameters!B$71,0.0001)</f>
        <v>0.76972610060850555</v>
      </c>
      <c r="F267" s="9">
        <f>MAX((1-Parameters!$B$4)^Parameters!B$71*F266+C266*Parameters!B$71-Parameters!$B$5*C266^2/F266*Parameters!B$71,0.0001)</f>
        <v>0.14851939952572191</v>
      </c>
      <c r="G267" s="7">
        <f>MAX((1-Parameters!$B$4)^Parameters!B$71*G266+D266*Parameters!B$71-Parameters!$B$5*D266^2/G266*Parameters!B$71,0.0001)</f>
        <v>4.3878779452705974</v>
      </c>
      <c r="I267" s="7">
        <f>I266*(1+Parameters!$B$52)^Parameters!B$71</f>
        <v>17.47620755231673</v>
      </c>
      <c r="J267" s="7">
        <f>J266*(1+Parameters!$B$54)^Parameters!B$71</f>
        <v>1649.0029936882734</v>
      </c>
      <c r="K267" s="7">
        <f>'6states'!$N$4</f>
        <v>0.98104277196026479</v>
      </c>
      <c r="L267" s="9">
        <f t="shared" si="39"/>
        <v>0.5</v>
      </c>
      <c r="N267" s="7">
        <f>(Parameters!$B$19*(E267+Parameters!$B$20)^L267+Parameters!$B$18*F267^L267)^(1/L267)</f>
        <v>0.53556370518049656</v>
      </c>
      <c r="O267" s="7">
        <f>(Parameters!$B$10*G267^Parameters!$B$9 + Parameters!$B$11*N267^Parameters!$B$9) ^ (Parameters!$B$7/Parameters!$B$9) * K267</f>
        <v>1.5070071247255057</v>
      </c>
      <c r="P267" s="7">
        <f t="shared" si="95"/>
        <v>1.1491121511103826</v>
      </c>
      <c r="Q267" s="7">
        <f>EXP(-Parameters!$B$56*A267)</f>
        <v>1.88489136132182E-2</v>
      </c>
      <c r="R267" s="7">
        <f>IF(P267&gt;0,P267^(1-Parameters!$B$53)/(1-Parameters!$B$53)*Q267,-10+P267*1000)</f>
        <v>-5.1296937005106485E-2</v>
      </c>
      <c r="S267" s="7"/>
    </row>
    <row r="268" spans="1:19" x14ac:dyDescent="0.25">
      <c r="A268">
        <f>A267+Parameters!$B$71</f>
        <v>264</v>
      </c>
      <c r="B268" s="9">
        <f t="shared" ref="B268:D268" si="103">B267</f>
        <v>5.191758263687303E-2</v>
      </c>
      <c r="C268" s="9">
        <f t="shared" si="103"/>
        <v>1.0017548050425843E-2</v>
      </c>
      <c r="D268" s="7">
        <f t="shared" si="103"/>
        <v>0.2959598429278244</v>
      </c>
      <c r="E268" s="7">
        <f>MAX((1-Parameters!$B$4)^Parameters!B$71*E267+B267*Parameters!B$71-Parameters!$B$5*B267^2/E267*Parameters!B$71,0.0001)</f>
        <v>0.76972610043816836</v>
      </c>
      <c r="F268" s="9">
        <f>MAX((1-Parameters!$B$4)^Parameters!B$71*F267+C267*Parameters!B$71-Parameters!$B$5*C267^2/F267*Parameters!B$71,0.0001)</f>
        <v>0.14851939949336901</v>
      </c>
      <c r="G268" s="7">
        <f>MAX((1-Parameters!$B$4)^Parameters!B$71*G267+D267*Parameters!B$71-Parameters!$B$5*D267^2/G267*Parameters!B$71,0.0001)</f>
        <v>4.3878779443101887</v>
      </c>
      <c r="I268" s="7">
        <f>I267*(1+Parameters!$B$52)^Parameters!B$71</f>
        <v>17.526888554218445</v>
      </c>
      <c r="J268" s="7">
        <f>J267*(1+Parameters!$B$54)^Parameters!B$71</f>
        <v>1681.9830535620388</v>
      </c>
      <c r="K268" s="7">
        <f>'6states'!$N$4</f>
        <v>0.98104277196026479</v>
      </c>
      <c r="L268" s="9">
        <f t="shared" si="39"/>
        <v>0.5</v>
      </c>
      <c r="N268" s="7">
        <f>(Parameters!$B$19*(E268+Parameters!$B$20)^L268+Parameters!$B$18*F268^L268)^(1/L268)</f>
        <v>0.53556370506355189</v>
      </c>
      <c r="O268" s="7">
        <f>(Parameters!$B$10*G268^Parameters!$B$9 + Parameters!$B$11*N268^Parameters!$B$9) ^ (Parameters!$B$7/Parameters!$B$9) * K268</f>
        <v>1.5070071246265917</v>
      </c>
      <c r="P268" s="7">
        <f t="shared" si="95"/>
        <v>1.1491121510114684</v>
      </c>
      <c r="Q268" s="7">
        <f>EXP(-Parameters!$B$56*A268)</f>
        <v>1.8566433112781416E-2</v>
      </c>
      <c r="R268" s="7">
        <f>IF(P268&gt;0,P268^(1-Parameters!$B$53)/(1-Parameters!$B$53)*Q268,-10+P268*1000)</f>
        <v>-5.0528172040465703E-2</v>
      </c>
      <c r="S268" s="7"/>
    </row>
    <row r="269" spans="1:19" x14ac:dyDescent="0.25">
      <c r="A269">
        <f>A268+Parameters!$B$71</f>
        <v>265</v>
      </c>
      <c r="B269" s="9">
        <f t="shared" ref="B269:D269" si="104">B268</f>
        <v>5.191758263687303E-2</v>
      </c>
      <c r="C269" s="9">
        <f t="shared" si="104"/>
        <v>1.0017548050425843E-2</v>
      </c>
      <c r="D269" s="7">
        <f t="shared" si="104"/>
        <v>0.2959598429278244</v>
      </c>
      <c r="E269" s="7">
        <f>MAX((1-Parameters!$B$4)^Parameters!B$71*E268+B268*Parameters!B$71-Parameters!$B$5*B268^2/E268*Parameters!B$71,0.0001)</f>
        <v>0.76972610027777044</v>
      </c>
      <c r="F269" s="9">
        <f>MAX((1-Parameters!$B$4)^Parameters!B$71*F268+C268*Parameters!B$71-Parameters!$B$5*C268^2/F268*Parameters!B$71,0.0001)</f>
        <v>0.14851939946290393</v>
      </c>
      <c r="G269" s="7">
        <f>MAX((1-Parameters!$B$4)^Parameters!B$71*G268+D268*Parameters!B$71-Parameters!$B$5*D268^2/G268*Parameters!B$71,0.0001)</f>
        <v>4.3878779434058206</v>
      </c>
      <c r="I269" s="7">
        <f>I268*(1+Parameters!$B$52)^Parameters!B$71</f>
        <v>17.577716531025676</v>
      </c>
      <c r="J269" s="7">
        <f>J268*(1+Parameters!$B$54)^Parameters!B$71</f>
        <v>1715.6227146332797</v>
      </c>
      <c r="K269" s="7">
        <f>'6states'!$N$4</f>
        <v>0.98104277196026479</v>
      </c>
      <c r="L269" s="9">
        <f t="shared" ref="L269:L304" si="105">L268</f>
        <v>0.5</v>
      </c>
      <c r="N269" s="7">
        <f>(Parameters!$B$19*(E269+Parameters!$B$20)^L269+Parameters!$B$18*F269^L269)^(1/L269)</f>
        <v>0.53556370495343097</v>
      </c>
      <c r="O269" s="7">
        <f>(Parameters!$B$10*G269^Parameters!$B$9 + Parameters!$B$11*N269^Parameters!$B$9) ^ (Parameters!$B$7/Parameters!$B$9) * K269</f>
        <v>1.5070071245334493</v>
      </c>
      <c r="P269" s="7">
        <f t="shared" si="95"/>
        <v>1.149112150918326</v>
      </c>
      <c r="Q269" s="7">
        <f>EXP(-Parameters!$B$56*A269)</f>
        <v>1.8288186025196128E-2</v>
      </c>
      <c r="R269" s="7">
        <f>IF(P269&gt;0,P269^(1-Parameters!$B$53)/(1-Parameters!$B$53)*Q269,-10+P269*1000)</f>
        <v>-4.9770928223107268E-2</v>
      </c>
      <c r="S269" s="7"/>
    </row>
    <row r="270" spans="1:19" x14ac:dyDescent="0.25">
      <c r="A270">
        <f>A269+Parameters!$B$71</f>
        <v>266</v>
      </c>
      <c r="B270" s="9">
        <f t="shared" ref="B270:D270" si="106">B269</f>
        <v>5.191758263687303E-2</v>
      </c>
      <c r="C270" s="9">
        <f t="shared" si="106"/>
        <v>1.0017548050425843E-2</v>
      </c>
      <c r="D270" s="7">
        <f t="shared" si="106"/>
        <v>0.2959598429278244</v>
      </c>
      <c r="E270" s="7">
        <f>MAX((1-Parameters!$B$4)^Parameters!B$71*E269+B269*Parameters!B$71-Parameters!$B$5*B269^2/E269*Parameters!B$71,0.0001)</f>
        <v>0.76972610012673182</v>
      </c>
      <c r="F270" s="9">
        <f>MAX((1-Parameters!$B$4)^Parameters!B$71*F269+C269*Parameters!B$71-Parameters!$B$5*C269^2/F269*Parameters!B$71,0.0001)</f>
        <v>0.14851939943421649</v>
      </c>
      <c r="G270" s="7">
        <f>MAX((1-Parameters!$B$4)^Parameters!B$71*G269+D269*Parameters!B$71-Parameters!$B$5*D269^2/G269*Parameters!B$71,0.0001)</f>
        <v>4.3878779425542236</v>
      </c>
      <c r="I270" s="7">
        <f>I269*(1+Parameters!$B$52)^Parameters!B$71</f>
        <v>17.628691908965649</v>
      </c>
      <c r="J270" s="7">
        <f>J269*(1+Parameters!$B$54)^Parameters!B$71</f>
        <v>1749.9351689259454</v>
      </c>
      <c r="K270" s="7">
        <f>'6states'!$N$4</f>
        <v>0.98104277196026479</v>
      </c>
      <c r="L270" s="9">
        <f t="shared" si="105"/>
        <v>0.5</v>
      </c>
      <c r="N270" s="7">
        <f>(Parameters!$B$19*(E270+Parameters!$B$20)^L270+Parameters!$B$18*F270^L270)^(1/L270)</f>
        <v>0.53556370484973559</v>
      </c>
      <c r="O270" s="7">
        <f>(Parameters!$B$10*G270^Parameters!$B$9 + Parameters!$B$11*N270^Parameters!$B$9) ^ (Parameters!$B$7/Parameters!$B$9) * K270</f>
        <v>1.5070071244457419</v>
      </c>
      <c r="P270" s="7">
        <f t="shared" si="95"/>
        <v>1.1491121508306188</v>
      </c>
      <c r="Q270" s="7">
        <f>EXP(-Parameters!$B$56*A270)</f>
        <v>1.8014108906138429E-2</v>
      </c>
      <c r="R270" s="7">
        <f>IF(P270&gt;0,P270^(1-Parameters!$B$53)/(1-Parameters!$B$53)*Q270,-10+P270*1000)</f>
        <v>-4.9025032890597432E-2</v>
      </c>
      <c r="S270" s="7"/>
    </row>
    <row r="271" spans="1:19" x14ac:dyDescent="0.25">
      <c r="A271">
        <f>A270+Parameters!$B$71</f>
        <v>267</v>
      </c>
      <c r="B271" s="9">
        <f t="shared" ref="B271:D271" si="107">B270</f>
        <v>5.191758263687303E-2</v>
      </c>
      <c r="C271" s="9">
        <f t="shared" si="107"/>
        <v>1.0017548050425843E-2</v>
      </c>
      <c r="D271" s="7">
        <f t="shared" si="107"/>
        <v>0.2959598429278244</v>
      </c>
      <c r="E271" s="7">
        <f>MAX((1-Parameters!$B$4)^Parameters!B$71*E270+B270*Parameters!B$71-Parameters!$B$5*B270^2/E270*Parameters!B$71,0.0001)</f>
        <v>0.76972609998450636</v>
      </c>
      <c r="F271" s="9">
        <f>MAX((1-Parameters!$B$4)^Parameters!B$71*F270+C270*Parameters!B$71-Parameters!$B$5*C270^2/F270*Parameters!B$71,0.0001)</f>
        <v>0.14851939940720299</v>
      </c>
      <c r="G271" s="7">
        <f>MAX((1-Parameters!$B$4)^Parameters!B$71*G270+D270*Parameters!B$71-Parameters!$B$5*D270^2/G270*Parameters!B$71,0.0001)</f>
        <v>4.3878779417523166</v>
      </c>
      <c r="I271" s="7">
        <f>I270*(1+Parameters!$B$52)^Parameters!B$71</f>
        <v>17.679815115501647</v>
      </c>
      <c r="J271" s="7">
        <f>J270*(1+Parameters!$B$54)^Parameters!B$71</f>
        <v>1784.9338723044643</v>
      </c>
      <c r="K271" s="7">
        <f>'6states'!$N$4</f>
        <v>0.98104277196026479</v>
      </c>
      <c r="L271" s="9">
        <f t="shared" si="105"/>
        <v>0.5</v>
      </c>
      <c r="N271" s="7">
        <f>(Parameters!$B$19*(E271+Parameters!$B$20)^L271+Parameters!$B$18*F271^L271)^(1/L271)</f>
        <v>0.53556370475209103</v>
      </c>
      <c r="O271" s="7">
        <f>(Parameters!$B$10*G271^Parameters!$B$9 + Parameters!$B$11*N271^Parameters!$B$9) ^ (Parameters!$B$7/Parameters!$B$9) * K271</f>
        <v>1.5070071243631522</v>
      </c>
      <c r="P271" s="7">
        <f t="shared" si="95"/>
        <v>1.1491121507480289</v>
      </c>
      <c r="Q271" s="7">
        <f>EXP(-Parameters!$B$56*A271)</f>
        <v>1.7744139262096965E-2</v>
      </c>
      <c r="R271" s="7">
        <f>IF(P271&gt;0,P271^(1-Parameters!$B$53)/(1-Parameters!$B$53)*Q271,-10+P271*1000)</f>
        <v>-4.8290315968118801E-2</v>
      </c>
      <c r="S271" s="7"/>
    </row>
    <row r="272" spans="1:19" x14ac:dyDescent="0.25">
      <c r="A272">
        <f>A271+Parameters!$B$71</f>
        <v>268</v>
      </c>
      <c r="B272" s="9">
        <f t="shared" ref="B272:D272" si="108">B271</f>
        <v>5.191758263687303E-2</v>
      </c>
      <c r="C272" s="9">
        <f t="shared" si="108"/>
        <v>1.0017548050425843E-2</v>
      </c>
      <c r="D272" s="7">
        <f t="shared" si="108"/>
        <v>0.2959598429278244</v>
      </c>
      <c r="E272" s="7">
        <f>MAX((1-Parameters!$B$4)^Parameters!B$71*E271+B271*Parameters!B$71-Parameters!$B$5*B271^2/E271*Parameters!B$71,0.0001)</f>
        <v>0.76972609985057983</v>
      </c>
      <c r="F272" s="9">
        <f>MAX((1-Parameters!$B$4)^Parameters!B$71*F271+C271*Parameters!B$71-Parameters!$B$5*C271^2/F271*Parameters!B$71,0.0001)</f>
        <v>0.14851939938176573</v>
      </c>
      <c r="G272" s="7">
        <f>MAX((1-Parameters!$B$4)^Parameters!B$71*G271+D271*Parameters!B$71-Parameters!$B$5*D271^2/G271*Parameters!B$71,0.0001)</f>
        <v>4.3878779409972015</v>
      </c>
      <c r="I272" s="7">
        <f>I271*(1+Parameters!$B$52)^Parameters!B$71</f>
        <v>17.731086579336601</v>
      </c>
      <c r="J272" s="7">
        <f>J271*(1+Parameters!$B$54)^Parameters!B$71</f>
        <v>1820.6325497505536</v>
      </c>
      <c r="K272" s="7">
        <f>'6states'!$N$4</f>
        <v>0.98104277196026479</v>
      </c>
      <c r="L272" s="9">
        <f t="shared" si="105"/>
        <v>0.5</v>
      </c>
      <c r="N272" s="7">
        <f>(Parameters!$B$19*(E272+Parameters!$B$20)^L272+Parameters!$B$18*F272^L272)^(1/L272)</f>
        <v>0.5355637046601438</v>
      </c>
      <c r="O272" s="7">
        <f>(Parameters!$B$10*G272^Parameters!$B$9 + Parameters!$B$11*N272^Parameters!$B$9) ^ (Parameters!$B$7/Parameters!$B$9) * K272</f>
        <v>1.5070071242853817</v>
      </c>
      <c r="P272" s="7">
        <f t="shared" si="95"/>
        <v>1.1491121506702586</v>
      </c>
      <c r="Q272" s="7">
        <f>EXP(-Parameters!$B$56*A272)</f>
        <v>1.7478215536123588E-2</v>
      </c>
      <c r="R272" s="7">
        <f>IF(P272&gt;0,P272^(1-Parameters!$B$53)/(1-Parameters!$B$53)*Q272,-10+P272*1000)</f>
        <v>-4.7566609929691146E-2</v>
      </c>
      <c r="S272" s="7"/>
    </row>
    <row r="273" spans="1:19" x14ac:dyDescent="0.25">
      <c r="A273">
        <f>A272+Parameters!$B$71</f>
        <v>269</v>
      </c>
      <c r="B273" s="9">
        <f t="shared" ref="B273:D273" si="109">B272</f>
        <v>5.191758263687303E-2</v>
      </c>
      <c r="C273" s="9">
        <f t="shared" si="109"/>
        <v>1.0017548050425843E-2</v>
      </c>
      <c r="D273" s="7">
        <f t="shared" si="109"/>
        <v>0.2959598429278244</v>
      </c>
      <c r="E273" s="7">
        <f>MAX((1-Parameters!$B$4)^Parameters!B$71*E272+B272*Parameters!B$71-Parameters!$B$5*B272^2/E272*Parameters!B$71,0.0001)</f>
        <v>0.76972609972446804</v>
      </c>
      <c r="F273" s="9">
        <f>MAX((1-Parameters!$B$4)^Parameters!B$71*F272+C272*Parameters!B$71-Parameters!$B$5*C272^2/F272*Parameters!B$71,0.0001)</f>
        <v>0.14851939935781278</v>
      </c>
      <c r="G273" s="7">
        <f>MAX((1-Parameters!$B$4)^Parameters!B$71*G272+D272*Parameters!B$71-Parameters!$B$5*D272^2/G272*Parameters!B$71,0.0001)</f>
        <v>4.3878779402861481</v>
      </c>
      <c r="I273" s="7">
        <f>I272*(1+Parameters!$B$52)^Parameters!B$71</f>
        <v>17.782506730416674</v>
      </c>
      <c r="J273" s="7">
        <f>J272*(1+Parameters!$B$54)^Parameters!B$71</f>
        <v>1857.0452007455647</v>
      </c>
      <c r="K273" s="7">
        <f>'6states'!$N$4</f>
        <v>0.98104277196026479</v>
      </c>
      <c r="L273" s="9">
        <f t="shared" si="105"/>
        <v>0.5</v>
      </c>
      <c r="N273" s="7">
        <f>(Parameters!$B$19*(E273+Parameters!$B$20)^L273+Parameters!$B$18*F273^L273)^(1/L273)</f>
        <v>0.53556370457356184</v>
      </c>
      <c r="O273" s="7">
        <f>(Parameters!$B$10*G273^Parameters!$B$9 + Parameters!$B$11*N273^Parameters!$B$9) ^ (Parameters!$B$7/Parameters!$B$9) * K273</f>
        <v>1.507007124212149</v>
      </c>
      <c r="P273" s="7">
        <f t="shared" si="95"/>
        <v>1.1491121505970257</v>
      </c>
      <c r="Q273" s="7">
        <f>EXP(-Parameters!$B$56*A273)</f>
        <v>1.7216277093797468E-2</v>
      </c>
      <c r="R273" s="7">
        <f>IF(P273&gt;0,P273^(1-Parameters!$B$53)/(1-Parameters!$B$53)*Q273,-10+P273*1000)</f>
        <v>-4.6853749759973015E-2</v>
      </c>
      <c r="S273" s="7"/>
    </row>
    <row r="274" spans="1:19" x14ac:dyDescent="0.25">
      <c r="A274">
        <f>A273+Parameters!$B$71</f>
        <v>270</v>
      </c>
      <c r="B274" s="9">
        <f t="shared" ref="B274:D274" si="110">B273</f>
        <v>5.191758263687303E-2</v>
      </c>
      <c r="C274" s="9">
        <f t="shared" si="110"/>
        <v>1.0017548050425843E-2</v>
      </c>
      <c r="D274" s="7">
        <f t="shared" si="110"/>
        <v>0.2959598429278244</v>
      </c>
      <c r="E274" s="7">
        <f>MAX((1-Parameters!$B$4)^Parameters!B$71*E273+B273*Parameters!B$71-Parameters!$B$5*B273^2/E273*Parameters!B$71,0.0001)</f>
        <v>0.76972609960571492</v>
      </c>
      <c r="F274" s="9">
        <f>MAX((1-Parameters!$B$4)^Parameters!B$71*F273+C273*Parameters!B$71-Parameters!$B$5*C273^2/F273*Parameters!B$71,0.0001)</f>
        <v>0.14851939933525748</v>
      </c>
      <c r="G274" s="7">
        <f>MAX((1-Parameters!$B$4)^Parameters!B$71*G273+D273*Parameters!B$71-Parameters!$B$5*D273^2/G273*Parameters!B$71,0.0001)</f>
        <v>4.387877939616585</v>
      </c>
      <c r="I274" s="7">
        <f>I273*(1+Parameters!$B$52)^Parameters!B$71</f>
        <v>17.834075999934882</v>
      </c>
      <c r="J274" s="7">
        <f>J273*(1+Parameters!$B$54)^Parameters!B$71</f>
        <v>1894.1861047604759</v>
      </c>
      <c r="K274" s="7">
        <f>'6states'!$N$4</f>
        <v>0.98104277196026479</v>
      </c>
      <c r="L274" s="9">
        <f t="shared" si="105"/>
        <v>0.5</v>
      </c>
      <c r="N274" s="7">
        <f>(Parameters!$B$19*(E274+Parameters!$B$20)^L274+Parameters!$B$18*F274^L274)^(1/L274)</f>
        <v>0.53556370449203228</v>
      </c>
      <c r="O274" s="7">
        <f>(Parameters!$B$10*G274^Parameters!$B$9 + Parameters!$B$11*N274^Parameters!$B$9) ^ (Parameters!$B$7/Parameters!$B$9) * K274</f>
        <v>1.5070071241431895</v>
      </c>
      <c r="P274" s="7">
        <f t="shared" si="95"/>
        <v>1.1491121505280661</v>
      </c>
      <c r="Q274" s="7">
        <f>EXP(-Parameters!$B$56*A274)</f>
        <v>1.6958264209399509E-2</v>
      </c>
      <c r="R274" s="7">
        <f>IF(P274&gt;0,P274^(1-Parameters!$B$53)/(1-Parameters!$B$53)*Q274,-10+P274*1000)</f>
        <v>-4.6151572916635776E-2</v>
      </c>
      <c r="S274" s="7"/>
    </row>
    <row r="275" spans="1:19" x14ac:dyDescent="0.25">
      <c r="A275">
        <f>A274+Parameters!$B$71</f>
        <v>271</v>
      </c>
      <c r="B275" s="9">
        <f t="shared" ref="B275:D275" si="111">B274</f>
        <v>5.191758263687303E-2</v>
      </c>
      <c r="C275" s="9">
        <f t="shared" si="111"/>
        <v>1.0017548050425843E-2</v>
      </c>
      <c r="D275" s="7">
        <f t="shared" si="111"/>
        <v>0.2959598429278244</v>
      </c>
      <c r="E275" s="7">
        <f>MAX((1-Parameters!$B$4)^Parameters!B$71*E274+B274*Parameters!B$71-Parameters!$B$5*B274^2/E274*Parameters!B$71,0.0001)</f>
        <v>0.76972609949389115</v>
      </c>
      <c r="F275" s="9">
        <f>MAX((1-Parameters!$B$4)^Parameters!B$71*F274+C274*Parameters!B$71-Parameters!$B$5*C274^2/F274*Parameters!B$71,0.0001)</f>
        <v>0.14851939931401831</v>
      </c>
      <c r="G275" s="7">
        <f>MAX((1-Parameters!$B$4)^Parameters!B$71*G274+D274*Parameters!B$71-Parameters!$B$5*D274^2/G274*Parameters!B$71,0.0001)</f>
        <v>4.3878779389860911</v>
      </c>
      <c r="I275" s="7">
        <f>I274*(1+Parameters!$B$52)^Parameters!B$71</f>
        <v>17.885794820334691</v>
      </c>
      <c r="J275" s="7">
        <f>J274*(1+Parameters!$B$54)^Parameters!B$71</f>
        <v>1932.0698268556855</v>
      </c>
      <c r="K275" s="7">
        <f>'6states'!$N$4</f>
        <v>0.98104277196026479</v>
      </c>
      <c r="L275" s="9">
        <f t="shared" si="105"/>
        <v>0.5</v>
      </c>
      <c r="N275" s="7">
        <f>(Parameters!$B$19*(E275+Parameters!$B$20)^L275+Parameters!$B$18*F275^L275)^(1/L275)</f>
        <v>0.53556370441525969</v>
      </c>
      <c r="O275" s="7">
        <f>(Parameters!$B$10*G275^Parameters!$B$9 + Parameters!$B$11*N275^Parameters!$B$9) ^ (Parameters!$B$7/Parameters!$B$9) * K275</f>
        <v>1.5070071240782541</v>
      </c>
      <c r="P275" s="7">
        <f t="shared" si="95"/>
        <v>1.149112150463131</v>
      </c>
      <c r="Q275" s="7">
        <f>EXP(-Parameters!$B$56*A275)</f>
        <v>1.6704118052294156E-2</v>
      </c>
      <c r="R275" s="7">
        <f>IF(P275&gt;0,P275^(1-Parameters!$B$53)/(1-Parameters!$B$53)*Q275,-10+P275*1000)</f>
        <v>-4.5459919293301981E-2</v>
      </c>
      <c r="S275" s="7"/>
    </row>
    <row r="276" spans="1:19" x14ac:dyDescent="0.25">
      <c r="A276">
        <f>A275+Parameters!$B$71</f>
        <v>272</v>
      </c>
      <c r="B276" s="9">
        <f t="shared" ref="B276:D276" si="112">B275</f>
        <v>5.191758263687303E-2</v>
      </c>
      <c r="C276" s="9">
        <f t="shared" si="112"/>
        <v>1.0017548050425843E-2</v>
      </c>
      <c r="D276" s="7">
        <f t="shared" si="112"/>
        <v>0.2959598429278244</v>
      </c>
      <c r="E276" s="7">
        <f>MAX((1-Parameters!$B$4)^Parameters!B$71*E275+B275*Parameters!B$71-Parameters!$B$5*B275^2/E275*Parameters!B$71,0.0001)</f>
        <v>0.76972609938859238</v>
      </c>
      <c r="F276" s="9">
        <f>MAX((1-Parameters!$B$4)^Parameters!B$71*F275+C275*Parameters!B$71-Parameters!$B$5*C275^2/F275*Parameters!B$71,0.0001)</f>
        <v>0.14851939929401844</v>
      </c>
      <c r="G276" s="7">
        <f>MAX((1-Parameters!$B$4)^Parameters!B$71*G275+D275*Parameters!B$71-Parameters!$B$5*D275^2/G275*Parameters!B$71,0.0001)</f>
        <v>4.3878779383923874</v>
      </c>
      <c r="I276" s="7">
        <f>I275*(1+Parameters!$B$52)^Parameters!B$71</f>
        <v>17.937663625313661</v>
      </c>
      <c r="J276" s="7">
        <f>J275*(1+Parameters!$B$54)^Parameters!B$71</f>
        <v>1970.7112233927992</v>
      </c>
      <c r="K276" s="7">
        <f>'6states'!$N$4</f>
        <v>0.98104277196026479</v>
      </c>
      <c r="L276" s="9">
        <f t="shared" si="105"/>
        <v>0.5</v>
      </c>
      <c r="N276" s="7">
        <f>(Parameters!$B$19*(E276+Parameters!$B$20)^L276+Parameters!$B$18*F276^L276)^(1/L276)</f>
        <v>0.53556370434296685</v>
      </c>
      <c r="O276" s="7">
        <f>(Parameters!$B$10*G276^Parameters!$B$9 + Parameters!$B$11*N276^Parameters!$B$9) ^ (Parameters!$B$7/Parameters!$B$9) * K276</f>
        <v>1.5070071240171075</v>
      </c>
      <c r="P276" s="7">
        <f t="shared" si="95"/>
        <v>1.1491121504019843</v>
      </c>
      <c r="Q276" s="7">
        <f>EXP(-Parameters!$B$56*A276)</f>
        <v>1.6453780673515026E-2</v>
      </c>
      <c r="R276" s="7">
        <f>IF(P276&gt;0,P276^(1-Parameters!$B$53)/(1-Parameters!$B$53)*Q276,-10+P276*1000)</f>
        <v>-4.4778631183038514E-2</v>
      </c>
      <c r="S276" s="7"/>
    </row>
    <row r="277" spans="1:19" x14ac:dyDescent="0.25">
      <c r="A277">
        <f>A276+Parameters!$B$71</f>
        <v>273</v>
      </c>
      <c r="B277" s="9">
        <f t="shared" ref="B277:D277" si="113">B276</f>
        <v>5.191758263687303E-2</v>
      </c>
      <c r="C277" s="9">
        <f t="shared" si="113"/>
        <v>1.0017548050425843E-2</v>
      </c>
      <c r="D277" s="7">
        <f t="shared" si="113"/>
        <v>0.2959598429278244</v>
      </c>
      <c r="E277" s="7">
        <f>MAX((1-Parameters!$B$4)^Parameters!B$71*E276+B276*Parameters!B$71-Parameters!$B$5*B276^2/E276*Parameters!B$71,0.0001)</f>
        <v>0.7697260992894378</v>
      </c>
      <c r="F277" s="9">
        <f>MAX((1-Parameters!$B$4)^Parameters!B$71*F276+C276*Parameters!B$71-Parameters!$B$5*C276^2/F276*Parameters!B$71,0.0001)</f>
        <v>0.14851939927518557</v>
      </c>
      <c r="G277" s="7">
        <f>MAX((1-Parameters!$B$4)^Parameters!B$71*G276+D276*Parameters!B$71-Parameters!$B$5*D276^2/G276*Parameters!B$71,0.0001)</f>
        <v>4.3878779378333261</v>
      </c>
      <c r="I277" s="7">
        <f>I276*(1+Parameters!$B$52)^Parameters!B$71</f>
        <v>17.989682849827069</v>
      </c>
      <c r="J277" s="7">
        <f>J276*(1+Parameters!$B$54)^Parameters!B$71</f>
        <v>2010.1254478606552</v>
      </c>
      <c r="K277" s="7">
        <f>'6states'!$N$4</f>
        <v>0.98104277196026479</v>
      </c>
      <c r="L277" s="9">
        <f t="shared" si="105"/>
        <v>0.5</v>
      </c>
      <c r="N277" s="7">
        <f>(Parameters!$B$19*(E277+Parameters!$B$20)^L277+Parameters!$B$18*F277^L277)^(1/L277)</f>
        <v>0.53556370427489242</v>
      </c>
      <c r="O277" s="7">
        <f>(Parameters!$B$10*G277^Parameters!$B$9 + Parameters!$B$11*N277^Parameters!$B$9) ^ (Parameters!$B$7/Parameters!$B$9) * K277</f>
        <v>1.5070071239595286</v>
      </c>
      <c r="P277" s="7">
        <f t="shared" si="95"/>
        <v>1.1491121503444055</v>
      </c>
      <c r="Q277" s="7">
        <f>EXP(-Parameters!$B$56*A277)</f>
        <v>1.6207194992551837E-2</v>
      </c>
      <c r="R277" s="7">
        <f>IF(P277&gt;0,P277^(1-Parameters!$B$53)/(1-Parameters!$B$53)*Q277,-10+P277*1000)</f>
        <v>-4.4107553242397499E-2</v>
      </c>
      <c r="S277" s="7"/>
    </row>
    <row r="278" spans="1:19" x14ac:dyDescent="0.25">
      <c r="A278">
        <f>A277+Parameters!$B$71</f>
        <v>274</v>
      </c>
      <c r="B278" s="9">
        <f t="shared" ref="B278:D278" si="114">B277</f>
        <v>5.191758263687303E-2</v>
      </c>
      <c r="C278" s="9">
        <f t="shared" si="114"/>
        <v>1.0017548050425843E-2</v>
      </c>
      <c r="D278" s="7">
        <f t="shared" si="114"/>
        <v>0.2959598429278244</v>
      </c>
      <c r="E278" s="7">
        <f>MAX((1-Parameters!$B$4)^Parameters!B$71*E277+B277*Parameters!B$71-Parameters!$B$5*B277^2/E277*Parameters!B$71,0.0001)</f>
        <v>0.76972609919606894</v>
      </c>
      <c r="F278" s="9">
        <f>MAX((1-Parameters!$B$4)^Parameters!B$71*F277+C277*Parameters!B$71-Parameters!$B$5*C277^2/F277*Parameters!B$71,0.0001)</f>
        <v>0.14851939925745161</v>
      </c>
      <c r="G278" s="7">
        <f>MAX((1-Parameters!$B$4)^Parameters!B$71*G277+D277*Parameters!B$71-Parameters!$B$5*D277^2/G277*Parameters!B$71,0.0001)</f>
        <v>4.3878779373068868</v>
      </c>
      <c r="I278" s="7">
        <f>I277*(1+Parameters!$B$52)^Parameters!B$71</f>
        <v>18.041852930091565</v>
      </c>
      <c r="J278" s="7">
        <f>J277*(1+Parameters!$B$54)^Parameters!B$71</f>
        <v>2050.3279568178682</v>
      </c>
      <c r="K278" s="7">
        <f>'6states'!$N$4</f>
        <v>0.98104277196026479</v>
      </c>
      <c r="L278" s="9">
        <f t="shared" si="105"/>
        <v>0.5</v>
      </c>
      <c r="N278" s="7">
        <f>(Parameters!$B$19*(E278+Parameters!$B$20)^L278+Parameters!$B$18*F278^L278)^(1/L278)</f>
        <v>0.53556370421079036</v>
      </c>
      <c r="O278" s="7">
        <f>(Parameters!$B$10*G278^Parameters!$B$9 + Parameters!$B$11*N278^Parameters!$B$9) ^ (Parameters!$B$7/Parameters!$B$9) * K278</f>
        <v>1.50700712390531</v>
      </c>
      <c r="P278" s="7">
        <f t="shared" si="95"/>
        <v>1.1491121502901867</v>
      </c>
      <c r="Q278" s="7">
        <f>EXP(-Parameters!$B$56*A278)</f>
        <v>1.5964304784335175E-2</v>
      </c>
      <c r="R278" s="7">
        <f>IF(P278&gt;0,P278^(1-Parameters!$B$53)/(1-Parameters!$B$53)*Q278,-10+P278*1000)</f>
        <v>-4.3446532455995626E-2</v>
      </c>
      <c r="S278" s="7"/>
    </row>
    <row r="279" spans="1:19" x14ac:dyDescent="0.25">
      <c r="A279">
        <f>A278+Parameters!$B$71</f>
        <v>275</v>
      </c>
      <c r="B279" s="9">
        <f t="shared" ref="B279:D279" si="115">B278</f>
        <v>5.191758263687303E-2</v>
      </c>
      <c r="C279" s="9">
        <f t="shared" si="115"/>
        <v>1.0017548050425843E-2</v>
      </c>
      <c r="D279" s="7">
        <f t="shared" si="115"/>
        <v>0.2959598429278244</v>
      </c>
      <c r="E279" s="7">
        <f>MAX((1-Parameters!$B$4)^Parameters!B$71*E278+B278*Parameters!B$71-Parameters!$B$5*B278^2/E278*Parameters!B$71,0.0001)</f>
        <v>0.76972609910814827</v>
      </c>
      <c r="F279" s="9">
        <f>MAX((1-Parameters!$B$4)^Parameters!B$71*F278+C278*Parameters!B$71-Parameters!$B$5*C278^2/F278*Parameters!B$71,0.0001)</f>
        <v>0.14851939924075244</v>
      </c>
      <c r="G279" s="7">
        <f>MAX((1-Parameters!$B$4)^Parameters!B$71*G278+D278*Parameters!B$71-Parameters!$B$5*D278^2/G278*Parameters!B$71,0.0001)</f>
        <v>4.387877936811166</v>
      </c>
      <c r="I279" s="7">
        <f>I278*(1+Parameters!$B$52)^Parameters!B$71</f>
        <v>18.094174303588829</v>
      </c>
      <c r="J279" s="7">
        <f>J278*(1+Parameters!$B$54)^Parameters!B$71</f>
        <v>2091.3345159542255</v>
      </c>
      <c r="K279" s="7">
        <f>'6states'!$N$4</f>
        <v>0.98104277196026479</v>
      </c>
      <c r="L279" s="9">
        <f t="shared" si="105"/>
        <v>0.5</v>
      </c>
      <c r="N279" s="7">
        <f>(Parameters!$B$19*(E279+Parameters!$B$20)^L279+Parameters!$B$18*F279^L279)^(1/L279)</f>
        <v>0.53556370415042831</v>
      </c>
      <c r="O279" s="7">
        <f>(Parameters!$B$10*G279^Parameters!$B$9 + Parameters!$B$11*N279^Parameters!$B$9) ^ (Parameters!$B$7/Parameters!$B$9) * K279</f>
        <v>1.5070071238542548</v>
      </c>
      <c r="P279" s="7">
        <f t="shared" si="95"/>
        <v>1.1491121502391315</v>
      </c>
      <c r="Q279" s="7">
        <f>EXP(-Parameters!$B$56*A279)</f>
        <v>1.5725054666416334E-2</v>
      </c>
      <c r="R279" s="7">
        <f>IF(P279&gt;0,P279^(1-Parameters!$B$53)/(1-Parameters!$B$53)*Q279,-10+P279*1000)</f>
        <v>-4.2795418101624419E-2</v>
      </c>
      <c r="S279" s="7"/>
    </row>
    <row r="280" spans="1:19" x14ac:dyDescent="0.25">
      <c r="A280">
        <f>A279+Parameters!$B$71</f>
        <v>276</v>
      </c>
      <c r="B280" s="9">
        <f t="shared" ref="B280:D280" si="116">B279</f>
        <v>5.191758263687303E-2</v>
      </c>
      <c r="C280" s="9">
        <f t="shared" si="116"/>
        <v>1.0017548050425843E-2</v>
      </c>
      <c r="D280" s="7">
        <f t="shared" si="116"/>
        <v>0.2959598429278244</v>
      </c>
      <c r="E280" s="7">
        <f>MAX((1-Parameters!$B$4)^Parameters!B$71*E279+B279*Parameters!B$71-Parameters!$B$5*B279^2/E279*Parameters!B$71,0.0001)</f>
        <v>0.76972609902535771</v>
      </c>
      <c r="F280" s="9">
        <f>MAX((1-Parameters!$B$4)^Parameters!B$71*F279+C279*Parameters!B$71-Parameters!$B$5*C279^2/F279*Parameters!B$71,0.0001)</f>
        <v>0.14851939922502769</v>
      </c>
      <c r="G280" s="7">
        <f>MAX((1-Parameters!$B$4)^Parameters!B$71*G279+D279*Parameters!B$71-Parameters!$B$5*D279^2/G279*Parameters!B$71,0.0001)</f>
        <v>4.3878779363443696</v>
      </c>
      <c r="I280" s="7">
        <f>I279*(1+Parameters!$B$52)^Parameters!B$71</f>
        <v>18.146647409069235</v>
      </c>
      <c r="J280" s="7">
        <f>J279*(1+Parameters!$B$54)^Parameters!B$71</f>
        <v>2133.1612062733102</v>
      </c>
      <c r="K280" s="7">
        <f>'6states'!$N$4</f>
        <v>0.98104277196026479</v>
      </c>
      <c r="L280" s="9">
        <f t="shared" si="105"/>
        <v>0.5</v>
      </c>
      <c r="N280" s="7">
        <f>(Parameters!$B$19*(E280+Parameters!$B$20)^L280+Parameters!$B$18*F280^L280)^(1/L280)</f>
        <v>0.53556370409358867</v>
      </c>
      <c r="O280" s="7">
        <f>(Parameters!$B$10*G280^Parameters!$B$9 + Parameters!$B$11*N280^Parameters!$B$9) ^ (Parameters!$B$7/Parameters!$B$9) * K280</f>
        <v>1.5070071238061786</v>
      </c>
      <c r="P280" s="7">
        <f t="shared" si="95"/>
        <v>1.1491121501910553</v>
      </c>
      <c r="Q280" s="7">
        <f>EXP(-Parameters!$B$56*A280)</f>
        <v>1.5489390086339431E-2</v>
      </c>
      <c r="R280" s="7">
        <f>IF(P280&gt;0,P280^(1-Parameters!$B$53)/(1-Parameters!$B$53)*Q280,-10+P280*1000)</f>
        <v>-4.2154061715883685E-2</v>
      </c>
      <c r="S280" s="7"/>
    </row>
    <row r="281" spans="1:19" x14ac:dyDescent="0.25">
      <c r="A281">
        <f>A280+Parameters!$B$71</f>
        <v>277</v>
      </c>
      <c r="B281" s="9">
        <f t="shared" ref="B281:D281" si="117">B280</f>
        <v>5.191758263687303E-2</v>
      </c>
      <c r="C281" s="9">
        <f t="shared" si="117"/>
        <v>1.0017548050425843E-2</v>
      </c>
      <c r="D281" s="7">
        <f t="shared" si="117"/>
        <v>0.2959598429278244</v>
      </c>
      <c r="E281" s="7">
        <f>MAX((1-Parameters!$B$4)^Parameters!B$71*E280+B280*Parameters!B$71-Parameters!$B$5*B280^2/E280*Parameters!B$71,0.0001)</f>
        <v>0.76972609894739819</v>
      </c>
      <c r="F281" s="9">
        <f>MAX((1-Parameters!$B$4)^Parameters!B$71*F280+C280*Parameters!B$71-Parameters!$B$5*C280^2/F280*Parameters!B$71,0.0001)</f>
        <v>0.14851939921022048</v>
      </c>
      <c r="G281" s="7">
        <f>MAX((1-Parameters!$B$4)^Parameters!B$71*G280+D280*Parameters!B$71-Parameters!$B$5*D280^2/G280*Parameters!B$71,0.0001)</f>
        <v>4.387877935904811</v>
      </c>
      <c r="I281" s="7">
        <f>I280*(1+Parameters!$B$52)^Parameters!B$71</f>
        <v>18.199272686555535</v>
      </c>
      <c r="J281" s="7">
        <f>J280*(1+Parameters!$B$54)^Parameters!B$71</f>
        <v>2175.8244303987763</v>
      </c>
      <c r="K281" s="7">
        <f>'6states'!$N$4</f>
        <v>0.98104277196026479</v>
      </c>
      <c r="L281" s="9">
        <f t="shared" si="105"/>
        <v>0.5</v>
      </c>
      <c r="N281" s="7">
        <f>(Parameters!$B$19*(E281+Parameters!$B$20)^L281+Parameters!$B$18*F281^L281)^(1/L281)</f>
        <v>0.53556370404006581</v>
      </c>
      <c r="O281" s="7">
        <f>(Parameters!$B$10*G281^Parameters!$B$9 + Parameters!$B$11*N281^Parameters!$B$9) ^ (Parameters!$B$7/Parameters!$B$9) * K281</f>
        <v>1.507007123760908</v>
      </c>
      <c r="P281" s="7">
        <f t="shared" si="95"/>
        <v>1.1491121501457848</v>
      </c>
      <c r="Q281" s="7">
        <f>EXP(-Parameters!$B$56*A281)</f>
        <v>1.5257257309202531E-2</v>
      </c>
      <c r="R281" s="7">
        <f>IF(P281&gt;0,P281^(1-Parameters!$B$53)/(1-Parameters!$B$53)*Q281,-10+P281*1000)</f>
        <v>-4.1522317060329418E-2</v>
      </c>
      <c r="S281" s="7"/>
    </row>
    <row r="282" spans="1:19" x14ac:dyDescent="0.25">
      <c r="A282">
        <f>A281+Parameters!$B$71</f>
        <v>278</v>
      </c>
      <c r="B282" s="9">
        <f t="shared" ref="B282:D282" si="118">B281</f>
        <v>5.191758263687303E-2</v>
      </c>
      <c r="C282" s="9">
        <f t="shared" si="118"/>
        <v>1.0017548050425843E-2</v>
      </c>
      <c r="D282" s="7">
        <f t="shared" si="118"/>
        <v>0.2959598429278244</v>
      </c>
      <c r="E282" s="7">
        <f>MAX((1-Parameters!$B$4)^Parameters!B$71*E281+B281*Parameters!B$71-Parameters!$B$5*B281^2/E281*Parameters!B$71,0.0001)</f>
        <v>0.76972609887398757</v>
      </c>
      <c r="F282" s="9">
        <f>MAX((1-Parameters!$B$4)^Parameters!B$71*F281+C281*Parameters!B$71-Parameters!$B$5*C281^2/F281*Parameters!B$71,0.0001)</f>
        <v>0.14851939919627727</v>
      </c>
      <c r="G282" s="7">
        <f>MAX((1-Parameters!$B$4)^Parameters!B$71*G281+D281*Parameters!B$71-Parameters!$B$5*D281^2/G281*Parameters!B$71,0.0001)</f>
        <v>4.3878779354909012</v>
      </c>
      <c r="I282" s="7">
        <f>I281*(1+Parameters!$B$52)^Parameters!B$71</f>
        <v>18.252050577346544</v>
      </c>
      <c r="J282" s="7">
        <f>J281*(1+Parameters!$B$54)^Parameters!B$71</f>
        <v>2219.3409190067518</v>
      </c>
      <c r="K282" s="7">
        <f>'6states'!$N$4</f>
        <v>0.98104277196026479</v>
      </c>
      <c r="L282" s="9">
        <f t="shared" si="105"/>
        <v>0.5</v>
      </c>
      <c r="N282" s="7">
        <f>(Parameters!$B$19*(E282+Parameters!$B$20)^L282+Parameters!$B$18*F282^L282)^(1/L282)</f>
        <v>0.5355637039896658</v>
      </c>
      <c r="O282" s="7">
        <f>(Parameters!$B$10*G282^Parameters!$B$9 + Parameters!$B$11*N282^Parameters!$B$9) ^ (Parameters!$B$7/Parameters!$B$9) * K282</f>
        <v>1.5070071237182785</v>
      </c>
      <c r="P282" s="7">
        <f t="shared" si="95"/>
        <v>1.1491121501031554</v>
      </c>
      <c r="Q282" s="7">
        <f>EXP(-Parameters!$B$56*A282)</f>
        <v>1.5028603405405443E-2</v>
      </c>
      <c r="R282" s="7">
        <f>IF(P282&gt;0,P282^(1-Parameters!$B$53)/(1-Parameters!$B$53)*Q282,-10+P282*1000)</f>
        <v>-4.0900040088129717E-2</v>
      </c>
      <c r="S282" s="7"/>
    </row>
    <row r="283" spans="1:19" x14ac:dyDescent="0.25">
      <c r="A283">
        <f>A282+Parameters!$B$71</f>
        <v>279</v>
      </c>
      <c r="B283" s="9">
        <f t="shared" ref="B283:D283" si="119">B282</f>
        <v>5.191758263687303E-2</v>
      </c>
      <c r="C283" s="9">
        <f t="shared" si="119"/>
        <v>1.0017548050425843E-2</v>
      </c>
      <c r="D283" s="7">
        <f t="shared" si="119"/>
        <v>0.2959598429278244</v>
      </c>
      <c r="E283" s="7">
        <f>MAX((1-Parameters!$B$4)^Parameters!B$71*E282+B282*Parameters!B$71-Parameters!$B$5*B282^2/E282*Parameters!B$71,0.0001)</f>
        <v>0.76972609880486054</v>
      </c>
      <c r="F283" s="9">
        <f>MAX((1-Parameters!$B$4)^Parameters!B$71*F282+C282*Parameters!B$71-Parameters!$B$5*C282^2/F282*Parameters!B$71,0.0001)</f>
        <v>0.14851939918314766</v>
      </c>
      <c r="G283" s="7">
        <f>MAX((1-Parameters!$B$4)^Parameters!B$71*G282+D282*Parameters!B$71-Parameters!$B$5*D282^2/G282*Parameters!B$71,0.0001)</f>
        <v>4.3878779351011437</v>
      </c>
      <c r="I283" s="7">
        <f>I282*(1+Parameters!$B$52)^Parameters!B$71</f>
        <v>18.304981524020846</v>
      </c>
      <c r="J283" s="7">
        <f>J282*(1+Parameters!$B$54)^Parameters!B$71</f>
        <v>2263.7277373868869</v>
      </c>
      <c r="K283" s="7">
        <f>'6states'!$N$4</f>
        <v>0.98104277196026479</v>
      </c>
      <c r="L283" s="9">
        <f t="shared" si="105"/>
        <v>0.5</v>
      </c>
      <c r="N283" s="7">
        <f>(Parameters!$B$19*(E283+Parameters!$B$20)^L283+Parameters!$B$18*F283^L283)^(1/L283)</f>
        <v>0.53556370394220676</v>
      </c>
      <c r="O283" s="7">
        <f>(Parameters!$B$10*G283^Parameters!$B$9 + Parameters!$B$11*N283^Parameters!$B$9) ^ (Parameters!$B$7/Parameters!$B$9) * K283</f>
        <v>1.5070071236781368</v>
      </c>
      <c r="P283" s="7">
        <f t="shared" si="95"/>
        <v>1.1491121500630137</v>
      </c>
      <c r="Q283" s="7">
        <f>EXP(-Parameters!$B$56*A283)</f>
        <v>1.480337623858095E-2</v>
      </c>
      <c r="R283" s="7">
        <f>IF(P283&gt;0,P283^(1-Parameters!$B$53)/(1-Parameters!$B$53)*Q283,-10+P283*1000)</f>
        <v>-4.0287088911219848E-2</v>
      </c>
      <c r="S283" s="7"/>
    </row>
    <row r="284" spans="1:19" x14ac:dyDescent="0.25">
      <c r="A284">
        <f>A283+Parameters!$B$71</f>
        <v>280</v>
      </c>
      <c r="B284" s="9">
        <f t="shared" ref="B284:D284" si="120">B283</f>
        <v>5.191758263687303E-2</v>
      </c>
      <c r="C284" s="9">
        <f t="shared" si="120"/>
        <v>1.0017548050425843E-2</v>
      </c>
      <c r="D284" s="7">
        <f t="shared" si="120"/>
        <v>0.2959598429278244</v>
      </c>
      <c r="E284" s="7">
        <f>MAX((1-Parameters!$B$4)^Parameters!B$71*E283+B283*Parameters!B$71-Parameters!$B$5*B283^2/E283*Parameters!B$71,0.0001)</f>
        <v>0.76972609873976705</v>
      </c>
      <c r="F284" s="9">
        <f>MAX((1-Parameters!$B$4)^Parameters!B$71*F283+C283*Parameters!B$71-Parameters!$B$5*C283^2/F283*Parameters!B$71,0.0001)</f>
        <v>0.14851939917078416</v>
      </c>
      <c r="G284" s="7">
        <f>MAX((1-Parameters!$B$4)^Parameters!B$71*G283+D283*Parameters!B$71-Parameters!$B$5*D283^2/G283*Parameters!B$71,0.0001)</f>
        <v>4.3878779347341279</v>
      </c>
      <c r="I284" s="7">
        <f>I283*(1+Parameters!$B$52)^Parameters!B$71</f>
        <v>18.358065970440503</v>
      </c>
      <c r="J284" s="7">
        <f>J283*(1+Parameters!$B$54)^Parameters!B$71</f>
        <v>2309.0022921346249</v>
      </c>
      <c r="K284" s="7">
        <f>'6states'!$N$4</f>
        <v>0.98104277196026479</v>
      </c>
      <c r="L284" s="9">
        <f t="shared" si="105"/>
        <v>0.5</v>
      </c>
      <c r="N284" s="7">
        <f>(Parameters!$B$19*(E284+Parameters!$B$20)^L284+Parameters!$B$18*F284^L284)^(1/L284)</f>
        <v>0.53556370389751673</v>
      </c>
      <c r="O284" s="7">
        <f>(Parameters!$B$10*G284^Parameters!$B$9 + Parameters!$B$11*N284^Parameters!$B$9) ^ (Parameters!$B$7/Parameters!$B$9) * K284</f>
        <v>1.5070071236403373</v>
      </c>
      <c r="P284" s="7">
        <f t="shared" si="95"/>
        <v>1.1491121500252142</v>
      </c>
      <c r="Q284" s="7">
        <f>EXP(-Parameters!$B$56*A284)</f>
        <v>1.4581524453706942E-2</v>
      </c>
      <c r="R284" s="7">
        <f>IF(P284&gt;0,P284^(1-Parameters!$B$53)/(1-Parameters!$B$53)*Q284,-10+P284*1000)</f>
        <v>-3.9683323767949703E-2</v>
      </c>
      <c r="S284" s="7"/>
    </row>
    <row r="285" spans="1:19" x14ac:dyDescent="0.25">
      <c r="A285">
        <f>A284+Parameters!$B$71</f>
        <v>281</v>
      </c>
      <c r="B285" s="9">
        <f t="shared" ref="B285:D285" si="121">B284</f>
        <v>5.191758263687303E-2</v>
      </c>
      <c r="C285" s="9">
        <f t="shared" si="121"/>
        <v>1.0017548050425843E-2</v>
      </c>
      <c r="D285" s="7">
        <f t="shared" si="121"/>
        <v>0.2959598429278244</v>
      </c>
      <c r="E285" s="7">
        <f>MAX((1-Parameters!$B$4)^Parameters!B$71*E284+B284*Parameters!B$71-Parameters!$B$5*B284^2/E284*Parameters!B$71,0.0001)</f>
        <v>0.76972609867847186</v>
      </c>
      <c r="F285" s="9">
        <f>MAX((1-Parameters!$B$4)^Parameters!B$71*F284+C284*Parameters!B$71-Parameters!$B$5*C284^2/F284*Parameters!B$71,0.0001)</f>
        <v>0.14851939915914208</v>
      </c>
      <c r="G285" s="7">
        <f>MAX((1-Parameters!$B$4)^Parameters!B$71*G284+D284*Parameters!B$71-Parameters!$B$5*D284^2/G284*Parameters!B$71,0.0001)</f>
        <v>4.3878779343885279</v>
      </c>
      <c r="I285" s="7">
        <f>I284*(1+Parameters!$B$52)^Parameters!B$71</f>
        <v>18.41130436175478</v>
      </c>
      <c r="J285" s="7">
        <f>J284*(1+Parameters!$B$54)^Parameters!B$71</f>
        <v>2355.1823379773173</v>
      </c>
      <c r="K285" s="7">
        <f>'6states'!$N$4</f>
        <v>0.98104277196026479</v>
      </c>
      <c r="L285" s="9">
        <f t="shared" si="105"/>
        <v>0.5</v>
      </c>
      <c r="N285" s="7">
        <f>(Parameters!$B$19*(E285+Parameters!$B$20)^L285+Parameters!$B$18*F285^L285)^(1/L285)</f>
        <v>0.53556370385543461</v>
      </c>
      <c r="O285" s="7">
        <f>(Parameters!$B$10*G285^Parameters!$B$9 + Parameters!$B$11*N285^Parameters!$B$9) ^ (Parameters!$B$7/Parameters!$B$9) * K285</f>
        <v>1.5070071236047435</v>
      </c>
      <c r="P285" s="7">
        <f t="shared" si="95"/>
        <v>1.1491121499896204</v>
      </c>
      <c r="Q285" s="7">
        <f>EXP(-Parameters!$B$56*A285)</f>
        <v>1.4362997465396809E-2</v>
      </c>
      <c r="R285" s="7">
        <f>IF(P285&gt;0,P285^(1-Parameters!$B$53)/(1-Parameters!$B$53)*Q285,-10+P285*1000)</f>
        <v>-3.9088606991216371E-2</v>
      </c>
      <c r="S285" s="7"/>
    </row>
    <row r="286" spans="1:19" x14ac:dyDescent="0.25">
      <c r="A286">
        <f>A285+Parameters!$B$71</f>
        <v>282</v>
      </c>
      <c r="B286" s="9">
        <f t="shared" ref="B286:D286" si="122">B285</f>
        <v>5.191758263687303E-2</v>
      </c>
      <c r="C286" s="9">
        <f t="shared" si="122"/>
        <v>1.0017548050425843E-2</v>
      </c>
      <c r="D286" s="7">
        <f t="shared" si="122"/>
        <v>0.2959598429278244</v>
      </c>
      <c r="E286" s="7">
        <f>MAX((1-Parameters!$B$4)^Parameters!B$71*E285+B285*Parameters!B$71-Parameters!$B$5*B285^2/E285*Parameters!B$71,0.0001)</f>
        <v>0.76972609862075325</v>
      </c>
      <c r="F286" s="9">
        <f>MAX((1-Parameters!$B$4)^Parameters!B$71*F285+C285*Parameters!B$71-Parameters!$B$5*C285^2/F285*Parameters!B$71,0.0001)</f>
        <v>0.14851939914817935</v>
      </c>
      <c r="G286" s="7">
        <f>MAX((1-Parameters!$B$4)^Parameters!B$71*G285+D285*Parameters!B$71-Parameters!$B$5*D285^2/G285*Parameters!B$71,0.0001)</f>
        <v>4.387877934063094</v>
      </c>
      <c r="I286" s="7">
        <f>I285*(1+Parameters!$B$52)^Parameters!B$71</f>
        <v>18.464697144403868</v>
      </c>
      <c r="J286" s="7">
        <f>J285*(1+Parameters!$B$54)^Parameters!B$71</f>
        <v>2402.2859847368636</v>
      </c>
      <c r="K286" s="7">
        <f>'6states'!$N$4</f>
        <v>0.98104277196026479</v>
      </c>
      <c r="L286" s="9">
        <f t="shared" si="105"/>
        <v>0.5</v>
      </c>
      <c r="N286" s="7">
        <f>(Parameters!$B$19*(E286+Parameters!$B$20)^L286+Parameters!$B$18*F286^L286)^(1/L286)</f>
        <v>0.53556370381580798</v>
      </c>
      <c r="O286" s="7">
        <f>(Parameters!$B$10*G286^Parameters!$B$9 + Parameters!$B$11*N286^Parameters!$B$9) ^ (Parameters!$B$7/Parameters!$B$9) * K286</f>
        <v>1.5070071235712266</v>
      </c>
      <c r="P286" s="7">
        <f t="shared" si="95"/>
        <v>1.1491121499561032</v>
      </c>
      <c r="Q286" s="7">
        <f>EXP(-Parameters!$B$56*A286)</f>
        <v>1.4147745446365208E-2</v>
      </c>
      <c r="R286" s="7">
        <f>IF(P286&gt;0,P286^(1-Parameters!$B$53)/(1-Parameters!$B$53)*Q286,-10+P286*1000)</f>
        <v>-3.8502802977073994E-2</v>
      </c>
      <c r="S286" s="7"/>
    </row>
    <row r="287" spans="1:19" x14ac:dyDescent="0.25">
      <c r="A287">
        <f>A286+Parameters!$B$71</f>
        <v>283</v>
      </c>
      <c r="B287" s="9">
        <f t="shared" ref="B287:D287" si="123">B286</f>
        <v>5.191758263687303E-2</v>
      </c>
      <c r="C287" s="9">
        <f t="shared" si="123"/>
        <v>1.0017548050425843E-2</v>
      </c>
      <c r="D287" s="7">
        <f t="shared" si="123"/>
        <v>0.2959598429278244</v>
      </c>
      <c r="E287" s="7">
        <f>MAX((1-Parameters!$B$4)^Parameters!B$71*E286+B286*Parameters!B$71-Parameters!$B$5*B286^2/E286*Parameters!B$71,0.0001)</f>
        <v>0.76972609856640251</v>
      </c>
      <c r="F287" s="9">
        <f>MAX((1-Parameters!$B$4)^Parameters!B$71*F286+C286*Parameters!B$71-Parameters!$B$5*C286^2/F286*Parameters!B$71,0.0001)</f>
        <v>0.14851939913785631</v>
      </c>
      <c r="G287" s="7">
        <f>MAX((1-Parameters!$B$4)^Parameters!B$71*G286+D286*Parameters!B$71-Parameters!$B$5*D286^2/G286*Parameters!B$71,0.0001)</f>
        <v>4.3878779337566494</v>
      </c>
      <c r="I287" s="7">
        <f>I286*(1+Parameters!$B$52)^Parameters!B$71</f>
        <v>18.518244766122638</v>
      </c>
      <c r="J287" s="7">
        <f>J286*(1+Parameters!$B$54)^Parameters!B$71</f>
        <v>2450.3317044316009</v>
      </c>
      <c r="K287" s="7">
        <f>'6states'!$N$4</f>
        <v>0.98104277196026479</v>
      </c>
      <c r="L287" s="9">
        <f t="shared" si="105"/>
        <v>0.5</v>
      </c>
      <c r="N287" s="7">
        <f>(Parameters!$B$19*(E287+Parameters!$B$20)^L287+Parameters!$B$18*F287^L287)^(1/L287)</f>
        <v>0.5355637037784936</v>
      </c>
      <c r="O287" s="7">
        <f>(Parameters!$B$10*G287^Parameters!$B$9 + Parameters!$B$11*N287^Parameters!$B$9) ^ (Parameters!$B$7/Parameters!$B$9) * K287</f>
        <v>1.5070071235396651</v>
      </c>
      <c r="P287" s="7">
        <f t="shared" si="95"/>
        <v>1.1491121499245418</v>
      </c>
      <c r="Q287" s="7">
        <f>EXP(-Parameters!$B$56*A287)</f>
        <v>1.3935719316066698E-2</v>
      </c>
      <c r="R287" s="7">
        <f>IF(P287&gt;0,P287^(1-Parameters!$B$53)/(1-Parameters!$B$53)*Q287,-10+P287*1000)</f>
        <v>-3.7925778153813941E-2</v>
      </c>
      <c r="S287" s="7"/>
    </row>
    <row r="288" spans="1:19" x14ac:dyDescent="0.25">
      <c r="A288">
        <f>A287+Parameters!$B$71</f>
        <v>284</v>
      </c>
      <c r="B288" s="9">
        <f t="shared" ref="B288:D288" si="124">B287</f>
        <v>5.191758263687303E-2</v>
      </c>
      <c r="C288" s="9">
        <f t="shared" si="124"/>
        <v>1.0017548050425843E-2</v>
      </c>
      <c r="D288" s="7">
        <f t="shared" si="124"/>
        <v>0.2959598429278244</v>
      </c>
      <c r="E288" s="7">
        <f>MAX((1-Parameters!$B$4)^Parameters!B$71*E287+B287*Parameters!B$71-Parameters!$B$5*B287^2/E287*Parameters!B$71,0.0001)</f>
        <v>0.76972609851522322</v>
      </c>
      <c r="F288" s="9">
        <f>MAX((1-Parameters!$B$4)^Parameters!B$71*F287+C287*Parameters!B$71-Parameters!$B$5*C287^2/F287*Parameters!B$71,0.0001)</f>
        <v>0.14851939912813561</v>
      </c>
      <c r="G288" s="7">
        <f>MAX((1-Parameters!$B$4)^Parameters!B$71*G287+D287*Parameters!B$71-Parameters!$B$5*D287^2/G287*Parameters!B$71,0.0001)</f>
        <v>4.3878779334680864</v>
      </c>
      <c r="I288" s="7">
        <f>I287*(1+Parameters!$B$52)^Parameters!B$71</f>
        <v>18.571947675944394</v>
      </c>
      <c r="J288" s="7">
        <f>J287*(1+Parameters!$B$54)^Parameters!B$71</f>
        <v>2499.3383385202328</v>
      </c>
      <c r="K288" s="7">
        <f>'6states'!$N$4</f>
        <v>0.98104277196026479</v>
      </c>
      <c r="L288" s="9">
        <f t="shared" si="105"/>
        <v>0.5</v>
      </c>
      <c r="N288" s="7">
        <f>(Parameters!$B$19*(E288+Parameters!$B$20)^L288+Parameters!$B$18*F288^L288)^(1/L288)</f>
        <v>0.53556370374335649</v>
      </c>
      <c r="O288" s="7">
        <f>(Parameters!$B$10*G288^Parameters!$B$9 + Parameters!$B$11*N288^Parameters!$B$9) ^ (Parameters!$B$7/Parameters!$B$9) * K288</f>
        <v>1.5070071235099458</v>
      </c>
      <c r="P288" s="7">
        <f t="shared" si="95"/>
        <v>1.1491121498948225</v>
      </c>
      <c r="Q288" s="7">
        <f>EXP(-Parameters!$B$56*A288)</f>
        <v>1.3726870729504735E-2</v>
      </c>
      <c r="R288" s="7">
        <f>IF(P288&gt;0,P288^(1-Parameters!$B$53)/(1-Parameters!$B$53)*Q288,-10+P288*1000)</f>
        <v>-3.7357400951508919E-2</v>
      </c>
      <c r="S288" s="7"/>
    </row>
    <row r="289" spans="1:19" x14ac:dyDescent="0.25">
      <c r="A289">
        <f>A288+Parameters!$B$71</f>
        <v>285</v>
      </c>
      <c r="B289" s="9">
        <f t="shared" ref="B289:D289" si="125">B288</f>
        <v>5.191758263687303E-2</v>
      </c>
      <c r="C289" s="9">
        <f t="shared" si="125"/>
        <v>1.0017548050425843E-2</v>
      </c>
      <c r="D289" s="7">
        <f t="shared" si="125"/>
        <v>0.2959598429278244</v>
      </c>
      <c r="E289" s="7">
        <f>MAX((1-Parameters!$B$4)^Parameters!B$71*E288+B288*Parameters!B$71-Parameters!$B$5*B288^2/E288*Parameters!B$71,0.0001)</f>
        <v>0.76972609846703022</v>
      </c>
      <c r="F289" s="9">
        <f>MAX((1-Parameters!$B$4)^Parameters!B$71*F288+C288*Parameters!B$71-Parameters!$B$5*C288^2/F288*Parameters!B$71,0.0001)</f>
        <v>0.1485193991189821</v>
      </c>
      <c r="G289" s="7">
        <f>MAX((1-Parameters!$B$4)^Parameters!B$71*G288+D288*Parameters!B$71-Parameters!$B$5*D288^2/G288*Parameters!B$71,0.0001)</f>
        <v>4.3878779331963607</v>
      </c>
      <c r="I289" s="7">
        <f>I288*(1+Parameters!$B$52)^Parameters!B$71</f>
        <v>18.625806324204632</v>
      </c>
      <c r="J289" s="7">
        <f>J288*(1+Parameters!$B$54)^Parameters!B$71</f>
        <v>2549.3251052906376</v>
      </c>
      <c r="K289" s="7">
        <f>'6states'!$N$4</f>
        <v>0.98104277196026479</v>
      </c>
      <c r="L289" s="9">
        <f t="shared" si="105"/>
        <v>0.5</v>
      </c>
      <c r="N289" s="7">
        <f>(Parameters!$B$19*(E289+Parameters!$B$20)^L289+Parameters!$B$18*F289^L289)^(1/L289)</f>
        <v>0.53556370371026962</v>
      </c>
      <c r="O289" s="7">
        <f>(Parameters!$B$10*G289^Parameters!$B$9 + Parameters!$B$11*N289^Parameters!$B$9) ^ (Parameters!$B$7/Parameters!$B$9) * K289</f>
        <v>1.5070071234819602</v>
      </c>
      <c r="P289" s="7">
        <f t="shared" si="95"/>
        <v>1.1491121498668369</v>
      </c>
      <c r="Q289" s="7">
        <f>EXP(-Parameters!$B$56*A289)</f>
        <v>1.3521152066208289E-2</v>
      </c>
      <c r="R289" s="7">
        <f>IF(P289&gt;0,P289^(1-Parameters!$B$53)/(1-Parameters!$B$53)*Q289,-10+P289*1000)</f>
        <v>-3.6797541772012915E-2</v>
      </c>
      <c r="S289" s="7"/>
    </row>
    <row r="290" spans="1:19" x14ac:dyDescent="0.25">
      <c r="A290">
        <f>A289+Parameters!$B$71</f>
        <v>286</v>
      </c>
      <c r="B290" s="9">
        <f t="shared" ref="B290:D290" si="126">B289</f>
        <v>5.191758263687303E-2</v>
      </c>
      <c r="C290" s="9">
        <f t="shared" si="126"/>
        <v>1.0017548050425843E-2</v>
      </c>
      <c r="D290" s="7">
        <f t="shared" si="126"/>
        <v>0.2959598429278244</v>
      </c>
      <c r="E290" s="7">
        <f>MAX((1-Parameters!$B$4)^Parameters!B$71*E289+B289*Parameters!B$71-Parameters!$B$5*B289^2/E289*Parameters!B$71,0.0001)</f>
        <v>0.76972609842164941</v>
      </c>
      <c r="F290" s="9">
        <f>MAX((1-Parameters!$B$4)^Parameters!B$71*F289+C289*Parameters!B$71-Parameters!$B$5*C289^2/F289*Parameters!B$71,0.0001)</f>
        <v>0.14851939911036272</v>
      </c>
      <c r="G290" s="7">
        <f>MAX((1-Parameters!$B$4)^Parameters!B$71*G289+D289*Parameters!B$71-Parameters!$B$5*D289^2/G289*Parameters!B$71,0.0001)</f>
        <v>4.3878779329404907</v>
      </c>
      <c r="I290" s="7">
        <f>I289*(1+Parameters!$B$52)^Parameters!B$71</f>
        <v>18.679821162544822</v>
      </c>
      <c r="J290" s="7">
        <f>J289*(1+Parameters!$B$54)^Parameters!B$71</f>
        <v>2600.3116073964502</v>
      </c>
      <c r="K290" s="7">
        <f>'6states'!$N$4</f>
        <v>0.98104277196026479</v>
      </c>
      <c r="L290" s="9">
        <f t="shared" si="105"/>
        <v>0.5</v>
      </c>
      <c r="N290" s="7">
        <f>(Parameters!$B$19*(E290+Parameters!$B$20)^L290+Parameters!$B$18*F290^L290)^(1/L290)</f>
        <v>0.53556370367911343</v>
      </c>
      <c r="O290" s="7">
        <f>(Parameters!$B$10*G290^Parameters!$B$9 + Parameters!$B$11*N290^Parameters!$B$9) ^ (Parameters!$B$7/Parameters!$B$9) * K290</f>
        <v>1.5070071234556075</v>
      </c>
      <c r="P290" s="7">
        <f t="shared" si="95"/>
        <v>1.1491121498404842</v>
      </c>
      <c r="Q290" s="7">
        <f>EXP(-Parameters!$B$56*A290)</f>
        <v>1.3318516419373662E-2</v>
      </c>
      <c r="R290" s="7">
        <f>IF(P290&gt;0,P290^(1-Parameters!$B$53)/(1-Parameters!$B$53)*Q290,-10+P290*1000)</f>
        <v>-3.6246072959410951E-2</v>
      </c>
      <c r="S290" s="7"/>
    </row>
    <row r="291" spans="1:19" x14ac:dyDescent="0.25">
      <c r="A291">
        <f>A290+Parameters!$B$71</f>
        <v>287</v>
      </c>
      <c r="B291" s="9">
        <f t="shared" ref="B291:D291" si="127">B290</f>
        <v>5.191758263687303E-2</v>
      </c>
      <c r="C291" s="9">
        <f t="shared" si="127"/>
        <v>1.0017548050425843E-2</v>
      </c>
      <c r="D291" s="7">
        <f t="shared" si="127"/>
        <v>0.2959598429278244</v>
      </c>
      <c r="E291" s="7">
        <f>MAX((1-Parameters!$B$4)^Parameters!B$71*E290+B290*Parameters!B$71-Parameters!$B$5*B290^2/E290*Parameters!B$71,0.0001)</f>
        <v>0.76972609837891648</v>
      </c>
      <c r="F291" s="9">
        <f>MAX((1-Parameters!$B$4)^Parameters!B$71*F290+C290*Parameters!B$71-Parameters!$B$5*C290^2/F290*Parameters!B$71,0.0001)</f>
        <v>0.14851939910224626</v>
      </c>
      <c r="G291" s="7">
        <f>MAX((1-Parameters!$B$4)^Parameters!B$71*G290+D290*Parameters!B$71-Parameters!$B$5*D290^2/G290*Parameters!B$71,0.0001)</f>
        <v>4.387877932699551</v>
      </c>
      <c r="I291" s="7">
        <f>I290*(1+Parameters!$B$52)^Parameters!B$71</f>
        <v>18.733992643916199</v>
      </c>
      <c r="J291" s="7">
        <f>J290*(1+Parameters!$B$54)^Parameters!B$71</f>
        <v>2652.3178395443792</v>
      </c>
      <c r="K291" s="7">
        <f>'6states'!$N$4</f>
        <v>0.98104277196026479</v>
      </c>
      <c r="L291" s="9">
        <f t="shared" si="105"/>
        <v>0.5</v>
      </c>
      <c r="N291" s="7">
        <f>(Parameters!$B$19*(E291+Parameters!$B$20)^L291+Parameters!$B$18*F291^L291)^(1/L291)</f>
        <v>0.53556370364977535</v>
      </c>
      <c r="O291" s="7">
        <f>(Parameters!$B$10*G291^Parameters!$B$9 + Parameters!$B$11*N291^Parameters!$B$9) ^ (Parameters!$B$7/Parameters!$B$9) * K291</f>
        <v>1.5070071234307931</v>
      </c>
      <c r="P291" s="7">
        <f t="shared" si="95"/>
        <v>1.1491121498156698</v>
      </c>
      <c r="Q291" s="7">
        <f>EXP(-Parameters!$B$56*A291)</f>
        <v>1.3118917585169141E-2</v>
      </c>
      <c r="R291" s="7">
        <f>IF(P291&gt;0,P291^(1-Parameters!$B$53)/(1-Parameters!$B$53)*Q291,-10+P291*1000)</f>
        <v>-3.5702868770911965E-2</v>
      </c>
      <c r="S291" s="7"/>
    </row>
    <row r="292" spans="1:19" x14ac:dyDescent="0.25">
      <c r="A292">
        <f>A291+Parameters!$B$71</f>
        <v>288</v>
      </c>
      <c r="B292" s="9">
        <f t="shared" ref="B292:D292" si="128">B291</f>
        <v>5.191758263687303E-2</v>
      </c>
      <c r="C292" s="9">
        <f t="shared" si="128"/>
        <v>1.0017548050425843E-2</v>
      </c>
      <c r="D292" s="7">
        <f t="shared" si="128"/>
        <v>0.2959598429278244</v>
      </c>
      <c r="E292" s="7">
        <f>MAX((1-Parameters!$B$4)^Parameters!B$71*E291+B291*Parameters!B$71-Parameters!$B$5*B291^2/E291*Parameters!B$71,0.0001)</f>
        <v>0.76972609833867711</v>
      </c>
      <c r="F292" s="9">
        <f>MAX((1-Parameters!$B$4)^Parameters!B$71*F291+C291*Parameters!B$71-Parameters!$B$5*C291^2/F291*Parameters!B$71,0.0001)</f>
        <v>0.14851939909460343</v>
      </c>
      <c r="G292" s="7">
        <f>MAX((1-Parameters!$B$4)^Parameters!B$71*G291+D291*Parameters!B$71-Parameters!$B$5*D291^2/G291*Parameters!B$71,0.0001)</f>
        <v>4.3878779324726702</v>
      </c>
      <c r="I292" s="7">
        <f>I291*(1+Parameters!$B$52)^Parameters!B$71</f>
        <v>18.788321222583555</v>
      </c>
      <c r="J292" s="7">
        <f>J291*(1+Parameters!$B$54)^Parameters!B$71</f>
        <v>2705.364196335267</v>
      </c>
      <c r="K292" s="7">
        <f>'6states'!$N$4</f>
        <v>0.98104277196026479</v>
      </c>
      <c r="L292" s="9">
        <f t="shared" si="105"/>
        <v>0.5</v>
      </c>
      <c r="N292" s="7">
        <f>(Parameters!$B$19*(E292+Parameters!$B$20)^L292+Parameters!$B$18*F292^L292)^(1/L292)</f>
        <v>0.53556370362214911</v>
      </c>
      <c r="O292" s="7">
        <f>(Parameters!$B$10*G292^Parameters!$B$9 + Parameters!$B$11*N292^Parameters!$B$9) ^ (Parameters!$B$7/Parameters!$B$9) * K292</f>
        <v>1.507007123407426</v>
      </c>
      <c r="P292" s="7">
        <f t="shared" si="95"/>
        <v>1.1491121497923027</v>
      </c>
      <c r="Q292" s="7">
        <f>EXP(-Parameters!$B$56*A292)</f>
        <v>1.2922310052199772E-2</v>
      </c>
      <c r="R292" s="7">
        <f>IF(P292&gt;0,P292^(1-Parameters!$B$53)/(1-Parameters!$B$53)*Q292,-10+P292*1000)</f>
        <v>-3.5167805348177296E-2</v>
      </c>
      <c r="S292" s="7"/>
    </row>
    <row r="293" spans="1:19" x14ac:dyDescent="0.25">
      <c r="A293">
        <f>A292+Parameters!$B$71</f>
        <v>289</v>
      </c>
      <c r="B293" s="9">
        <f t="shared" ref="B293:D293" si="129">B292</f>
        <v>5.191758263687303E-2</v>
      </c>
      <c r="C293" s="9">
        <f t="shared" si="129"/>
        <v>1.0017548050425843E-2</v>
      </c>
      <c r="D293" s="7">
        <f t="shared" si="129"/>
        <v>0.2959598429278244</v>
      </c>
      <c r="E293" s="7">
        <f>MAX((1-Parameters!$B$4)^Parameters!B$71*E292+B292*Parameters!B$71-Parameters!$B$5*B292^2/E292*Parameters!B$71,0.0001)</f>
        <v>0.76972609830078564</v>
      </c>
      <c r="F293" s="9">
        <f>MAX((1-Parameters!$B$4)^Parameters!B$71*F292+C292*Parameters!B$71-Parameters!$B$5*C292^2/F292*Parameters!B$71,0.0001)</f>
        <v>0.14851939908740655</v>
      </c>
      <c r="G293" s="7">
        <f>MAX((1-Parameters!$B$4)^Parameters!B$71*G292+D292*Parameters!B$71-Parameters!$B$5*D292^2/G292*Parameters!B$71,0.0001)</f>
        <v>4.3878779322590287</v>
      </c>
      <c r="I293" s="7">
        <f>I292*(1+Parameters!$B$52)^Parameters!B$71</f>
        <v>18.842807354129047</v>
      </c>
      <c r="J293" s="7">
        <f>J292*(1+Parameters!$B$54)^Parameters!B$71</f>
        <v>2759.4714802619724</v>
      </c>
      <c r="K293" s="7">
        <f>'6states'!$N$4</f>
        <v>0.98104277196026479</v>
      </c>
      <c r="L293" s="9">
        <f t="shared" si="105"/>
        <v>0.5</v>
      </c>
      <c r="N293" s="7">
        <f>(Parameters!$B$19*(E293+Parameters!$B$20)^L293+Parameters!$B$18*F293^L293)^(1/L293)</f>
        <v>0.5355637035961347</v>
      </c>
      <c r="O293" s="7">
        <f>(Parameters!$B$10*G293^Parameters!$B$9 + Parameters!$B$11*N293^Parameters!$B$9) ^ (Parameters!$B$7/Parameters!$B$9) * K293</f>
        <v>1.5070071233854228</v>
      </c>
      <c r="P293" s="7">
        <f t="shared" si="95"/>
        <v>1.1491121497702994</v>
      </c>
      <c r="Q293" s="7">
        <f>EXP(-Parameters!$B$56*A293)</f>
        <v>1.2728648991130187E-2</v>
      </c>
      <c r="R293" s="7">
        <f>IF(P293&gt;0,P293^(1-Parameters!$B$53)/(1-Parameters!$B$53)*Q293,-10+P293*1000)</f>
        <v>-3.4640760689079578E-2</v>
      </c>
      <c r="S293" s="7"/>
    </row>
    <row r="294" spans="1:19" x14ac:dyDescent="0.25">
      <c r="A294">
        <f>A293+Parameters!$B$71</f>
        <v>290</v>
      </c>
      <c r="B294" s="9">
        <f t="shared" ref="B294:D294" si="130">B293</f>
        <v>5.191758263687303E-2</v>
      </c>
      <c r="C294" s="9">
        <f t="shared" si="130"/>
        <v>1.0017548050425843E-2</v>
      </c>
      <c r="D294" s="7">
        <f t="shared" si="130"/>
        <v>0.2959598429278244</v>
      </c>
      <c r="E294" s="7">
        <f>MAX((1-Parameters!$B$4)^Parameters!B$71*E293+B293*Parameters!B$71-Parameters!$B$5*B293^2/E293*Parameters!B$71,0.0001)</f>
        <v>0.76972609826510519</v>
      </c>
      <c r="F294" s="9">
        <f>MAX((1-Parameters!$B$4)^Parameters!B$71*F293+C293*Parameters!B$71-Parameters!$B$5*C293^2/F293*Parameters!B$71,0.0001)</f>
        <v>0.14851939908062961</v>
      </c>
      <c r="G294" s="7">
        <f>MAX((1-Parameters!$B$4)^Parameters!B$71*G293+D293*Parameters!B$71-Parameters!$B$5*D293^2/G293*Parameters!B$71,0.0001)</f>
        <v>4.3878779320578518</v>
      </c>
      <c r="I294" s="7">
        <f>I293*(1+Parameters!$B$52)^Parameters!B$71</f>
        <v>18.897451495456018</v>
      </c>
      <c r="J294" s="7">
        <f>J293*(1+Parameters!$B$54)^Parameters!B$71</f>
        <v>2814.660909867212</v>
      </c>
      <c r="K294" s="7">
        <f>'6states'!$N$4</f>
        <v>0.98104277196026479</v>
      </c>
      <c r="L294" s="9">
        <f t="shared" si="105"/>
        <v>0.5</v>
      </c>
      <c r="N294" s="7">
        <f>(Parameters!$B$19*(E294+Parameters!$B$20)^L294+Parameters!$B$18*F294^L294)^(1/L294)</f>
        <v>0.53556370357163841</v>
      </c>
      <c r="O294" s="7">
        <f>(Parameters!$B$10*G294^Parameters!$B$9 + Parameters!$B$11*N294^Parameters!$B$9) ^ (Parameters!$B$7/Parameters!$B$9) * K294</f>
        <v>1.5070071233647031</v>
      </c>
      <c r="P294" s="7">
        <f t="shared" si="95"/>
        <v>1.14911214974958</v>
      </c>
      <c r="Q294" s="7">
        <f>EXP(-Parameters!$B$56*A294)</f>
        <v>1.2537890244462845E-2</v>
      </c>
      <c r="R294" s="7">
        <f>IF(P294&gt;0,P294^(1-Parameters!$B$53)/(1-Parameters!$B$53)*Q294,-10+P294*1000)</f>
        <v>-3.4121614619884333E-2</v>
      </c>
      <c r="S294" s="7"/>
    </row>
    <row r="295" spans="1:19" x14ac:dyDescent="0.25">
      <c r="A295">
        <f>A294+Parameters!$B$71</f>
        <v>291</v>
      </c>
      <c r="B295" s="9">
        <f t="shared" ref="B295:D295" si="131">B294</f>
        <v>5.191758263687303E-2</v>
      </c>
      <c r="C295" s="9">
        <f t="shared" si="131"/>
        <v>1.0017548050425843E-2</v>
      </c>
      <c r="D295" s="7">
        <f t="shared" si="131"/>
        <v>0.2959598429278244</v>
      </c>
      <c r="E295" s="7">
        <f>MAX((1-Parameters!$B$4)^Parameters!B$71*E294+B294*Parameters!B$71-Parameters!$B$5*B294^2/E294*Parameters!B$71,0.0001)</f>
        <v>0.76972609823150673</v>
      </c>
      <c r="F295" s="9">
        <f>MAX((1-Parameters!$B$4)^Parameters!B$71*F294+C294*Parameters!B$71-Parameters!$B$5*C294^2/F294*Parameters!B$71,0.0001)</f>
        <v>0.14851939907424813</v>
      </c>
      <c r="G295" s="7">
        <f>MAX((1-Parameters!$B$4)^Parameters!B$71*G294+D294*Parameters!B$71-Parameters!$B$5*D294^2/G294*Parameters!B$71,0.0001)</f>
        <v>4.3878779318684149</v>
      </c>
      <c r="I295" s="7">
        <f>I294*(1+Parameters!$B$52)^Parameters!B$71</f>
        <v>18.952254104792839</v>
      </c>
      <c r="J295" s="7">
        <f>J294*(1+Parameters!$B$54)^Parameters!B$71</f>
        <v>2870.9541280645562</v>
      </c>
      <c r="K295" s="7">
        <f>'6states'!$N$4</f>
        <v>0.98104277196026479</v>
      </c>
      <c r="L295" s="9">
        <f t="shared" si="105"/>
        <v>0.5</v>
      </c>
      <c r="N295" s="7">
        <f>(Parameters!$B$19*(E295+Parameters!$B$20)^L295+Parameters!$B$18*F295^L295)^(1/L295)</f>
        <v>0.53556370354857152</v>
      </c>
      <c r="O295" s="7">
        <f>(Parameters!$B$10*G295^Parameters!$B$9 + Parameters!$B$11*N295^Parameters!$B$9) ^ (Parameters!$B$7/Parameters!$B$9) * K295</f>
        <v>1.5070071233451927</v>
      </c>
      <c r="P295" s="7">
        <f t="shared" si="95"/>
        <v>1.1491121497300694</v>
      </c>
      <c r="Q295" s="7">
        <f>EXP(-Parameters!$B$56*A295)</f>
        <v>1.234999031646945E-2</v>
      </c>
      <c r="R295" s="7">
        <f>IF(P295&gt;0,P295^(1-Parameters!$B$53)/(1-Parameters!$B$53)*Q295,-10+P295*1000)</f>
        <v>-3.3610248767848593E-2</v>
      </c>
      <c r="S295" s="7"/>
    </row>
    <row r="296" spans="1:19" x14ac:dyDescent="0.25">
      <c r="A296">
        <f>A295+Parameters!$B$71</f>
        <v>292</v>
      </c>
      <c r="B296" s="9">
        <f t="shared" ref="B296:D296" si="132">B295</f>
        <v>5.191758263687303E-2</v>
      </c>
      <c r="C296" s="9">
        <f t="shared" si="132"/>
        <v>1.0017548050425843E-2</v>
      </c>
      <c r="D296" s="7">
        <f t="shared" si="132"/>
        <v>0.2959598429278244</v>
      </c>
      <c r="E296" s="7">
        <f>MAX((1-Parameters!$B$4)^Parameters!B$71*E295+B295*Parameters!B$71-Parameters!$B$5*B295^2/E295*Parameters!B$71,0.0001)</f>
        <v>0.7697260981998687</v>
      </c>
      <c r="F296" s="9">
        <f>MAX((1-Parameters!$B$4)^Parameters!B$71*F295+C295*Parameters!B$71-Parameters!$B$5*C295^2/F295*Parameters!B$71,0.0001)</f>
        <v>0.14851939906823899</v>
      </c>
      <c r="G296" s="7">
        <f>MAX((1-Parameters!$B$4)^Parameters!B$71*G295+D295*Parameters!B$71-Parameters!$B$5*D295^2/G295*Parameters!B$71,0.0001)</f>
        <v>4.3878779316900314</v>
      </c>
      <c r="I296" s="7">
        <f>I295*(1+Parameters!$B$52)^Parameters!B$71</f>
        <v>19.007215641696735</v>
      </c>
      <c r="J296" s="7">
        <f>J295*(1+Parameters!$B$54)^Parameters!B$71</f>
        <v>2928.3732106258476</v>
      </c>
      <c r="K296" s="7">
        <f>'6states'!$N$4</f>
        <v>0.98104277196026479</v>
      </c>
      <c r="L296" s="9">
        <f t="shared" si="105"/>
        <v>0.5</v>
      </c>
      <c r="N296" s="7">
        <f>(Parameters!$B$19*(E296+Parameters!$B$20)^L296+Parameters!$B$18*F296^L296)^(1/L296)</f>
        <v>0.53556370352685034</v>
      </c>
      <c r="O296" s="7">
        <f>(Parameters!$B$10*G296^Parameters!$B$9 + Parameters!$B$11*N296^Parameters!$B$9) ^ (Parameters!$B$7/Parameters!$B$9) * K296</f>
        <v>1.5070071233268207</v>
      </c>
      <c r="P296" s="7">
        <f t="shared" si="95"/>
        <v>1.1491121497116974</v>
      </c>
      <c r="Q296" s="7">
        <f>EXP(-Parameters!$B$56*A296)</f>
        <v>1.2164906363273381E-2</v>
      </c>
      <c r="R296" s="7">
        <f>IF(P296&gt;0,P296^(1-Parameters!$B$53)/(1-Parameters!$B$53)*Q296,-10+P296*1000)</f>
        <v>-3.310654653423039E-2</v>
      </c>
      <c r="S296" s="7"/>
    </row>
    <row r="297" spans="1:19" x14ac:dyDescent="0.25">
      <c r="A297">
        <f>A296+Parameters!$B$71</f>
        <v>293</v>
      </c>
      <c r="B297" s="9">
        <f t="shared" ref="B297:D297" si="133">B296</f>
        <v>5.191758263687303E-2</v>
      </c>
      <c r="C297" s="9">
        <f t="shared" si="133"/>
        <v>1.0017548050425843E-2</v>
      </c>
      <c r="D297" s="7">
        <f t="shared" si="133"/>
        <v>0.2959598429278244</v>
      </c>
      <c r="E297" s="7">
        <f>MAX((1-Parameters!$B$4)^Parameters!B$71*E296+B296*Parameters!B$71-Parameters!$B$5*B296^2/E296*Parameters!B$71,0.0001)</f>
        <v>0.76972609817007687</v>
      </c>
      <c r="F297" s="9">
        <f>MAX((1-Parameters!$B$4)^Parameters!B$71*F296+C296*Parameters!B$71-Parameters!$B$5*C296^2/F296*Parameters!B$71,0.0001)</f>
        <v>0.14851939906258049</v>
      </c>
      <c r="G297" s="7">
        <f>MAX((1-Parameters!$B$4)^Parameters!B$71*G296+D296*Parameters!B$71-Parameters!$B$5*D296^2/G296*Parameters!B$71,0.0001)</f>
        <v>4.3878779315220564</v>
      </c>
      <c r="I297" s="7">
        <f>I296*(1+Parameters!$B$52)^Parameters!B$71</f>
        <v>19.062336567057653</v>
      </c>
      <c r="J297" s="7">
        <f>J296*(1+Parameters!$B$54)^Parameters!B$71</f>
        <v>2986.9406748383644</v>
      </c>
      <c r="K297" s="7">
        <f>'6states'!$N$4</f>
        <v>0.98104277196026479</v>
      </c>
      <c r="L297" s="9">
        <f t="shared" si="105"/>
        <v>0.5</v>
      </c>
      <c r="N297" s="7">
        <f>(Parameters!$B$19*(E297+Parameters!$B$20)^L297+Parameters!$B$18*F297^L297)^(1/L297)</f>
        <v>0.53556370350639682</v>
      </c>
      <c r="O297" s="7">
        <f>(Parameters!$B$10*G297^Parameters!$B$9 + Parameters!$B$11*N297^Parameters!$B$9) ^ (Parameters!$B$7/Parameters!$B$9) * K297</f>
        <v>1.5070071233095208</v>
      </c>
      <c r="P297" s="7">
        <f t="shared" si="95"/>
        <v>1.1491121496943975</v>
      </c>
      <c r="Q297" s="7">
        <f>EXP(-Parameters!$B$56*A297)</f>
        <v>1.198259618308059E-2</v>
      </c>
      <c r="R297" s="7">
        <f>IF(P297&gt;0,P297^(1-Parameters!$B$53)/(1-Parameters!$B$53)*Q297,-10+P297*1000)</f>
        <v>-3.2610393067702421E-2</v>
      </c>
      <c r="S297" s="7"/>
    </row>
    <row r="298" spans="1:19" x14ac:dyDescent="0.25">
      <c r="A298">
        <f>A297+Parameters!$B$71</f>
        <v>294</v>
      </c>
      <c r="B298" s="9">
        <f t="shared" ref="B298:D298" si="134">B297</f>
        <v>5.191758263687303E-2</v>
      </c>
      <c r="C298" s="9">
        <f t="shared" si="134"/>
        <v>1.0017548050425843E-2</v>
      </c>
      <c r="D298" s="7">
        <f t="shared" si="134"/>
        <v>0.2959598429278244</v>
      </c>
      <c r="E298" s="7">
        <f>MAX((1-Parameters!$B$4)^Parameters!B$71*E297+B297*Parameters!B$71-Parameters!$B$5*B297^2/E297*Parameters!B$71,0.0001)</f>
        <v>0.76972609814202331</v>
      </c>
      <c r="F298" s="9">
        <f>MAX((1-Parameters!$B$4)^Parameters!B$71*F297+C297*Parameters!B$71-Parameters!$B$5*C297^2/F297*Parameters!B$71,0.0001)</f>
        <v>0.14851939905725217</v>
      </c>
      <c r="G298" s="7">
        <f>MAX((1-Parameters!$B$4)^Parameters!B$71*G297+D297*Parameters!B$71-Parameters!$B$5*D297^2/G297*Parameters!B$71,0.0001)</f>
        <v>4.3878779313638834</v>
      </c>
      <c r="I298" s="7">
        <f>I297*(1+Parameters!$B$52)^Parameters!B$71</f>
        <v>19.117617343102118</v>
      </c>
      <c r="J298" s="7">
        <f>J297*(1+Parameters!$B$54)^Parameters!B$71</f>
        <v>3046.6794883351317</v>
      </c>
      <c r="K298" s="7">
        <f>'6states'!$N$4</f>
        <v>0.98104277196026479</v>
      </c>
      <c r="L298" s="9">
        <f t="shared" si="105"/>
        <v>0.5</v>
      </c>
      <c r="N298" s="7">
        <f>(Parameters!$B$19*(E298+Parameters!$B$20)^L298+Parameters!$B$18*F298^L298)^(1/L298)</f>
        <v>0.53556370348713667</v>
      </c>
      <c r="O298" s="7">
        <f>(Parameters!$B$10*G298^Parameters!$B$9 + Parameters!$B$11*N298^Parameters!$B$9) ^ (Parameters!$B$7/Parameters!$B$9) * K298</f>
        <v>1.5070071232932303</v>
      </c>
      <c r="P298" s="7">
        <f t="shared" si="95"/>
        <v>1.1491121496781069</v>
      </c>
      <c r="Q298" s="7">
        <f>EXP(-Parameters!$B$56*A298)</f>
        <v>1.1803018206557056E-2</v>
      </c>
      <c r="R298" s="7">
        <f>IF(P298&gt;0,P298^(1-Parameters!$B$53)/(1-Parameters!$B$53)*Q298,-10+P298*1000)</f>
        <v>-3.2121675238164442E-2</v>
      </c>
      <c r="S298" s="7"/>
    </row>
    <row r="299" spans="1:19" x14ac:dyDescent="0.25">
      <c r="A299">
        <f>A298+Parameters!$B$71</f>
        <v>295</v>
      </c>
      <c r="B299" s="9">
        <f t="shared" ref="B299:D299" si="135">B298</f>
        <v>5.191758263687303E-2</v>
      </c>
      <c r="C299" s="9">
        <f t="shared" si="135"/>
        <v>1.0017548050425843E-2</v>
      </c>
      <c r="D299" s="7">
        <f t="shared" si="135"/>
        <v>0.2959598429278244</v>
      </c>
      <c r="E299" s="7">
        <f>MAX((1-Parameters!$B$4)^Parameters!B$71*E298+B298*Parameters!B$71-Parameters!$B$5*B298^2/E298*Parameters!B$71,0.0001)</f>
        <v>0.76972609811560677</v>
      </c>
      <c r="F299" s="9">
        <f>MAX((1-Parameters!$B$4)^Parameters!B$71*F298+C298*Parameters!B$71-Parameters!$B$5*C298^2/F298*Parameters!B$71,0.0001)</f>
        <v>0.14851939905223477</v>
      </c>
      <c r="G299" s="7">
        <f>MAX((1-Parameters!$B$4)^Parameters!B$71*G298+D298*Parameters!B$71-Parameters!$B$5*D298^2/G298*Parameters!B$71,0.0001)</f>
        <v>4.3878779312149394</v>
      </c>
      <c r="I299" s="7">
        <f>I298*(1+Parameters!$B$52)^Parameters!B$71</f>
        <v>19.173058433397113</v>
      </c>
      <c r="J299" s="7">
        <f>J298*(1+Parameters!$B$54)^Parameters!B$71</f>
        <v>3107.6130781018346</v>
      </c>
      <c r="K299" s="7">
        <f>'6states'!$N$4</f>
        <v>0.98104277196026479</v>
      </c>
      <c r="L299" s="9">
        <f t="shared" si="105"/>
        <v>0.5</v>
      </c>
      <c r="N299" s="7">
        <f>(Parameters!$B$19*(E299+Parameters!$B$20)^L299+Parameters!$B$18*F299^L299)^(1/L299)</f>
        <v>0.53556370346900051</v>
      </c>
      <c r="O299" s="7">
        <f>(Parameters!$B$10*G299^Parameters!$B$9 + Parameters!$B$11*N299^Parameters!$B$9) ^ (Parameters!$B$7/Parameters!$B$9) * K299</f>
        <v>1.5070071232778903</v>
      </c>
      <c r="P299" s="7">
        <f t="shared" si="95"/>
        <v>1.1491121496627672</v>
      </c>
      <c r="Q299" s="7">
        <f>EXP(-Parameters!$B$56*A299)</f>
        <v>1.1626131487350361E-2</v>
      </c>
      <c r="R299" s="7">
        <f>IF(P299&gt;0,P299^(1-Parameters!$B$53)/(1-Parameters!$B$53)*Q299,-10+P299*1000)</f>
        <v>-3.164028161094793E-2</v>
      </c>
      <c r="S299" s="7"/>
    </row>
    <row r="300" spans="1:19" x14ac:dyDescent="0.25">
      <c r="A300">
        <f>A299+Parameters!$B$71</f>
        <v>296</v>
      </c>
      <c r="B300" s="9">
        <f t="shared" ref="B300:D300" si="136">B299</f>
        <v>5.191758263687303E-2</v>
      </c>
      <c r="C300" s="9">
        <f t="shared" si="136"/>
        <v>1.0017548050425843E-2</v>
      </c>
      <c r="D300" s="7">
        <f t="shared" si="136"/>
        <v>0.2959598429278244</v>
      </c>
      <c r="E300" s="7">
        <f>MAX((1-Parameters!$B$4)^Parameters!B$71*E299+B299*Parameters!B$71-Parameters!$B$5*B299^2/E299*Parameters!B$71,0.0001)</f>
        <v>0.76972609809073167</v>
      </c>
      <c r="F300" s="9">
        <f>MAX((1-Parameters!$B$4)^Parameters!B$71*F299+C299*Parameters!B$71-Parameters!$B$5*C299^2/F299*Parameters!B$71,0.0001)</f>
        <v>0.1485193990475101</v>
      </c>
      <c r="G300" s="7">
        <f>MAX((1-Parameters!$B$4)^Parameters!B$71*G299+D299*Parameters!B$71-Parameters!$B$5*D299^2/G299*Parameters!B$71,0.0001)</f>
        <v>4.3878779310746863</v>
      </c>
      <c r="I300" s="7">
        <f>I299*(1+Parameters!$B$52)^Parameters!B$71</f>
        <v>19.228660302853964</v>
      </c>
      <c r="J300" s="7">
        <f>J299*(1+Parameters!$B$54)^Parameters!B$71</f>
        <v>3169.7653396638711</v>
      </c>
      <c r="K300" s="7">
        <f>'6states'!$N$4</f>
        <v>0.98104277196026479</v>
      </c>
      <c r="L300" s="9">
        <f t="shared" si="105"/>
        <v>0.5</v>
      </c>
      <c r="N300" s="7">
        <f>(Parameters!$B$19*(E300+Parameters!$B$20)^L300+Parameters!$B$18*F300^L300)^(1/L300)</f>
        <v>0.53556370345192239</v>
      </c>
      <c r="O300" s="7">
        <f>(Parameters!$B$10*G300^Parameters!$B$9 + Parameters!$B$11*N300^Parameters!$B$9) ^ (Parameters!$B$7/Parameters!$B$9) * K300</f>
        <v>1.5070071232634452</v>
      </c>
      <c r="P300" s="7">
        <f t="shared" si="95"/>
        <v>1.1491121496483219</v>
      </c>
      <c r="Q300" s="7">
        <f>EXP(-Parameters!$B$56*A300)</f>
        <v>1.1451895692753287E-2</v>
      </c>
      <c r="R300" s="7">
        <f>IF(P300&gt;0,P300^(1-Parameters!$B$53)/(1-Parameters!$B$53)*Q300,-10+P300*1000)</f>
        <v>-3.1166102421407313E-2</v>
      </c>
      <c r="S300" s="7"/>
    </row>
    <row r="301" spans="1:19" x14ac:dyDescent="0.25">
      <c r="A301">
        <f>A300+Parameters!$B$71</f>
        <v>297</v>
      </c>
      <c r="B301" s="9">
        <f t="shared" ref="B301:D301" si="137">B300</f>
        <v>5.191758263687303E-2</v>
      </c>
      <c r="C301" s="9">
        <f t="shared" si="137"/>
        <v>1.0017548050425843E-2</v>
      </c>
      <c r="D301" s="7">
        <f t="shared" si="137"/>
        <v>0.2959598429278244</v>
      </c>
      <c r="E301" s="7">
        <f>MAX((1-Parameters!$B$4)^Parameters!B$71*E300+B300*Parameters!B$71-Parameters!$B$5*B300^2/E300*Parameters!B$71,0.0001)</f>
        <v>0.76972609806730807</v>
      </c>
      <c r="F301" s="9">
        <f>MAX((1-Parameters!$B$4)^Parameters!B$71*F300+C300*Parameters!B$71-Parameters!$B$5*C300^2/F300*Parameters!B$71,0.0001)</f>
        <v>0.14851939904306113</v>
      </c>
      <c r="G301" s="7">
        <f>MAX((1-Parameters!$B$4)^Parameters!B$71*G300+D300*Parameters!B$71-Parameters!$B$5*D300^2/G300*Parameters!B$71,0.0001)</f>
        <v>4.3878779309426177</v>
      </c>
      <c r="I301" s="7">
        <f>I300*(1+Parameters!$B$52)^Parameters!B$71</f>
        <v>19.284423417732238</v>
      </c>
      <c r="J301" s="7">
        <f>J300*(1+Parameters!$B$54)^Parameters!B$71</f>
        <v>3233.1606464571487</v>
      </c>
      <c r="K301" s="7">
        <f>'6states'!$N$4</f>
        <v>0.98104277196026479</v>
      </c>
      <c r="L301" s="9">
        <f t="shared" si="105"/>
        <v>0.5</v>
      </c>
      <c r="N301" s="7">
        <f>(Parameters!$B$19*(E301+Parameters!$B$20)^L301+Parameters!$B$18*F301^L301)^(1/L301)</f>
        <v>0.53556370343584103</v>
      </c>
      <c r="O301" s="7">
        <f>(Parameters!$B$10*G301^Parameters!$B$9 + Parameters!$B$11*N301^Parameters!$B$9) ^ (Parameters!$B$7/Parameters!$B$9) * K301</f>
        <v>1.5070071232498434</v>
      </c>
      <c r="P301" s="7">
        <f t="shared" si="95"/>
        <v>1.1491121496347203</v>
      </c>
      <c r="Q301" s="7">
        <f>EXP(-Parameters!$B$56*A301)</f>
        <v>1.1280271094507461E-2</v>
      </c>
      <c r="R301" s="7">
        <f>IF(P301&gt;0,P301^(1-Parameters!$B$53)/(1-Parameters!$B$53)*Q301,-10+P301*1000)</f>
        <v>-3.0699029549892197E-2</v>
      </c>
      <c r="S301" s="7"/>
    </row>
    <row r="302" spans="1:19" x14ac:dyDescent="0.25">
      <c r="A302">
        <f>A301+Parameters!$B$71</f>
        <v>298</v>
      </c>
      <c r="B302" s="9">
        <f t="shared" ref="B302:D302" si="138">B301</f>
        <v>5.191758263687303E-2</v>
      </c>
      <c r="C302" s="9">
        <f t="shared" si="138"/>
        <v>1.0017548050425843E-2</v>
      </c>
      <c r="D302" s="7">
        <f t="shared" si="138"/>
        <v>0.2959598429278244</v>
      </c>
      <c r="E302" s="7">
        <f>MAX((1-Parameters!$B$4)^Parameters!B$71*E301+B301*Parameters!B$71-Parameters!$B$5*B301^2/E301*Parameters!B$71,0.0001)</f>
        <v>0.76972609804525116</v>
      </c>
      <c r="F302" s="9">
        <f>MAX((1-Parameters!$B$4)^Parameters!B$71*F301+C301*Parameters!B$71-Parameters!$B$5*C301^2/F301*Parameters!B$71,0.0001)</f>
        <v>0.14851939903887179</v>
      </c>
      <c r="G302" s="7">
        <f>MAX((1-Parameters!$B$4)^Parameters!B$71*G301+D301*Parameters!B$71-Parameters!$B$5*D301^2/G301*Parameters!B$71,0.0001)</f>
        <v>4.3878779308182549</v>
      </c>
      <c r="I302" s="7">
        <f>I301*(1+Parameters!$B$52)^Parameters!B$71</f>
        <v>19.340348245643661</v>
      </c>
      <c r="J302" s="7">
        <f>J301*(1+Parameters!$B$54)^Parameters!B$71</f>
        <v>3297.8238593862916</v>
      </c>
      <c r="K302" s="7">
        <f>'6states'!$N$4</f>
        <v>0.98104277196026479</v>
      </c>
      <c r="L302" s="9">
        <f t="shared" si="105"/>
        <v>0.5</v>
      </c>
      <c r="N302" s="7">
        <f>(Parameters!$B$19*(E302+Parameters!$B$20)^L302+Parameters!$B$18*F302^L302)^(1/L302)</f>
        <v>0.53556370342069792</v>
      </c>
      <c r="O302" s="7">
        <f>(Parameters!$B$10*G302^Parameters!$B$9 + Parameters!$B$11*N302^Parameters!$B$9) ^ (Parameters!$B$7/Parameters!$B$9) * K302</f>
        <v>1.507007123237035</v>
      </c>
      <c r="P302" s="7">
        <f t="shared" si="95"/>
        <v>1.1491121496219119</v>
      </c>
      <c r="Q302" s="7">
        <f>EXP(-Parameters!$B$56*A302)</f>
        <v>1.1111218559744694E-2</v>
      </c>
      <c r="R302" s="7">
        <f>IF(P302&gt;0,P302^(1-Parameters!$B$53)/(1-Parameters!$B$53)*Q302,-10+P302*1000)</f>
        <v>-3.0238956497094502E-2</v>
      </c>
      <c r="S302" s="7"/>
    </row>
    <row r="303" spans="1:19" x14ac:dyDescent="0.25">
      <c r="A303">
        <f>A302+Parameters!$B$71</f>
        <v>299</v>
      </c>
      <c r="B303" s="9">
        <f t="shared" ref="B303:D303" si="139">B302</f>
        <v>5.191758263687303E-2</v>
      </c>
      <c r="C303" s="9">
        <f t="shared" si="139"/>
        <v>1.0017548050425843E-2</v>
      </c>
      <c r="D303" s="7">
        <f t="shared" si="139"/>
        <v>0.2959598429278244</v>
      </c>
      <c r="E303" s="7">
        <f>MAX((1-Parameters!$B$4)^Parameters!B$71*E302+B302*Parameters!B$71-Parameters!$B$5*B302^2/E302*Parameters!B$71,0.0001)</f>
        <v>0.76972609802448133</v>
      </c>
      <c r="F303" s="9">
        <f>MAX((1-Parameters!$B$4)^Parameters!B$71*F302+C302*Parameters!B$71-Parameters!$B$5*C302^2/F302*Parameters!B$71,0.0001)</f>
        <v>0.14851939903492689</v>
      </c>
      <c r="G303" s="7">
        <f>MAX((1-Parameters!$B$4)^Parameters!B$71*G302+D302*Parameters!B$71-Parameters!$B$5*D302^2/G302*Parameters!B$71,0.0001)</f>
        <v>4.3878779307011495</v>
      </c>
      <c r="I303" s="7">
        <f>I302*(1+Parameters!$B$52)^Parameters!B$71</f>
        <v>19.396435255556025</v>
      </c>
      <c r="J303" s="7">
        <f>J302*(1+Parameters!$B$54)^Parameters!B$71</f>
        <v>3363.7803365740174</v>
      </c>
      <c r="K303" s="7">
        <f>'6states'!$N$4</f>
        <v>0.98104277196026479</v>
      </c>
      <c r="L303" s="9">
        <f t="shared" si="105"/>
        <v>0.5</v>
      </c>
      <c r="N303" s="7">
        <f>(Parameters!$B$19*(E303+Parameters!$B$20)^L303+Parameters!$B$18*F303^L303)^(1/L303)</f>
        <v>0.53556370340643844</v>
      </c>
      <c r="O303" s="7">
        <f>(Parameters!$B$10*G303^Parameters!$B$9 + Parameters!$B$11*N303^Parameters!$B$9) ^ (Parameters!$B$7/Parameters!$B$9) * K303</f>
        <v>1.5070071232249742</v>
      </c>
      <c r="P303" s="7">
        <f t="shared" si="95"/>
        <v>1.1491121496098509</v>
      </c>
      <c r="Q303" s="7">
        <f>EXP(-Parameters!$B$56*A303)</f>
        <v>1.0944699542064111E-2</v>
      </c>
      <c r="R303" s="7">
        <f>IF(P303&gt;0,P303^(1-Parameters!$B$53)/(1-Parameters!$B$53)*Q303,-10+P303*1000)</f>
        <v>-2.9785778359764981E-2</v>
      </c>
      <c r="S303" s="7"/>
    </row>
    <row r="304" spans="1:19" x14ac:dyDescent="0.25">
      <c r="A304">
        <f>A303+Parameters!$B$71</f>
        <v>300</v>
      </c>
      <c r="B304" s="9">
        <f t="shared" ref="B304:D304" si="140">B303</f>
        <v>5.191758263687303E-2</v>
      </c>
      <c r="C304" s="9">
        <f t="shared" si="140"/>
        <v>1.0017548050425843E-2</v>
      </c>
      <c r="D304" s="7">
        <f t="shared" si="140"/>
        <v>0.2959598429278244</v>
      </c>
      <c r="E304" s="7">
        <f>MAX((1-Parameters!$B$4)^Parameters!B$71*E303+B303*Parameters!B$71-Parameters!$B$5*B303^2/E303*Parameters!B$71,0.0001)</f>
        <v>0.76972609800492342</v>
      </c>
      <c r="F304" s="9">
        <f>MAX((1-Parameters!$B$4)^Parameters!B$71*F303+C303*Parameters!B$71-Parameters!$B$5*C303^2/F303*Parameters!B$71,0.0001)</f>
        <v>0.14851939903121217</v>
      </c>
      <c r="G304" s="7">
        <f>MAX((1-Parameters!$B$4)^Parameters!B$71*G303+D303*Parameters!B$71-Parameters!$B$5*D303^2/G303*Parameters!B$71,0.0001)</f>
        <v>4.3878779305908768</v>
      </c>
      <c r="I304" s="7">
        <f>I303*(1+Parameters!$B$52)^Parameters!B$71</f>
        <v>19.452684917797136</v>
      </c>
      <c r="J304" s="7">
        <f>J303*(1+Parameters!$B$54)^Parameters!B$71</f>
        <v>3431.0559433054977</v>
      </c>
      <c r="K304" s="7">
        <f>'6states'!$N$4</f>
        <v>0.98104277196026479</v>
      </c>
      <c r="L304" s="9">
        <f t="shared" si="105"/>
        <v>0.5</v>
      </c>
      <c r="N304" s="7">
        <f>(Parameters!$B$19*(E304+Parameters!$B$20)^L304+Parameters!$B$18*F304^L304)^(1/L304)</f>
        <v>0.53556370339301096</v>
      </c>
      <c r="O304" s="7">
        <f>(Parameters!$B$10*G304^Parameters!$B$9 + Parameters!$B$11*N304^Parameters!$B$9) ^ (Parameters!$B$7/Parameters!$B$9) * K304</f>
        <v>1.5070071232136171</v>
      </c>
      <c r="P304" s="7">
        <f t="shared" si="95"/>
        <v>1.1491121495984937</v>
      </c>
      <c r="Q304" s="7">
        <f>EXP(-Parameters!$B$56*A304)</f>
        <v>1.0780676072743073E-2</v>
      </c>
      <c r="R304" s="7">
        <f>IF(P304&gt;0,P304^(1-Parameters!$B$53)/(1-Parameters!$B$53)*Q304/Parameters!$B$56,-10+P304*1000)</f>
        <v>-1.9430060799201305</v>
      </c>
      <c r="S304" s="7"/>
    </row>
    <row r="305" spans="2:19" x14ac:dyDescent="0.25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</row>
    <row r="306" spans="2:19" x14ac:dyDescent="0.25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</row>
    <row r="307" spans="2:19" x14ac:dyDescent="0.25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</row>
    <row r="308" spans="2:19" x14ac:dyDescent="0.25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</row>
    <row r="309" spans="2:19" x14ac:dyDescent="0.25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</row>
    <row r="310" spans="2:19" x14ac:dyDescent="0.25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</row>
    <row r="311" spans="2:19" x14ac:dyDescent="0.25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</row>
    <row r="312" spans="2:19" x14ac:dyDescent="0.25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</row>
    <row r="313" spans="2:19" x14ac:dyDescent="0.25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</row>
    <row r="314" spans="2:19" x14ac:dyDescent="0.25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</row>
    <row r="315" spans="2:19" x14ac:dyDescent="0.25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</row>
    <row r="316" spans="2:19" x14ac:dyDescent="0.25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</row>
    <row r="317" spans="2:19" x14ac:dyDescent="0.25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</row>
    <row r="318" spans="2:19" x14ac:dyDescent="0.25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</row>
    <row r="319" spans="2:19" x14ac:dyDescent="0.25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</row>
    <row r="320" spans="2:19" x14ac:dyDescent="0.25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</row>
    <row r="321" spans="2:19" x14ac:dyDescent="0.25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</row>
    <row r="322" spans="2:19" x14ac:dyDescent="0.25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</row>
    <row r="323" spans="2:19" x14ac:dyDescent="0.25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</row>
    <row r="324" spans="2:19" x14ac:dyDescent="0.25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</row>
    <row r="325" spans="2:19" x14ac:dyDescent="0.25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</row>
    <row r="326" spans="2:19" x14ac:dyDescent="0.25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</row>
    <row r="327" spans="2:19" x14ac:dyDescent="0.25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</row>
    <row r="328" spans="2:19" x14ac:dyDescent="0.25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</row>
    <row r="329" spans="2:19" x14ac:dyDescent="0.25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</row>
    <row r="330" spans="2:19" x14ac:dyDescent="0.25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</row>
    <row r="331" spans="2:19" x14ac:dyDescent="0.25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</row>
    <row r="332" spans="2:19" x14ac:dyDescent="0.25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</row>
    <row r="333" spans="2:19" x14ac:dyDescent="0.25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</row>
    <row r="334" spans="2:19" x14ac:dyDescent="0.25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</row>
    <row r="335" spans="2:19" x14ac:dyDescent="0.25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</row>
    <row r="336" spans="2:19" x14ac:dyDescent="0.25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</row>
    <row r="337" spans="2:19" x14ac:dyDescent="0.25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</row>
    <row r="338" spans="2:19" x14ac:dyDescent="0.25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</row>
    <row r="339" spans="2:19" x14ac:dyDescent="0.25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</row>
    <row r="340" spans="2:19" x14ac:dyDescent="0.25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</row>
    <row r="341" spans="2:19" x14ac:dyDescent="0.25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</row>
    <row r="342" spans="2:19" x14ac:dyDescent="0.25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</row>
    <row r="343" spans="2:19" x14ac:dyDescent="0.25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</row>
    <row r="344" spans="2:19" x14ac:dyDescent="0.25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</row>
    <row r="345" spans="2:19" x14ac:dyDescent="0.25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</row>
    <row r="346" spans="2:19" x14ac:dyDescent="0.25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</row>
    <row r="347" spans="2:19" x14ac:dyDescent="0.25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</row>
    <row r="348" spans="2:19" x14ac:dyDescent="0.25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</row>
    <row r="349" spans="2:19" x14ac:dyDescent="0.25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</row>
    <row r="350" spans="2:19" x14ac:dyDescent="0.25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</row>
    <row r="351" spans="2:19" x14ac:dyDescent="0.25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</row>
    <row r="352" spans="2:19" x14ac:dyDescent="0.25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</row>
    <row r="353" spans="2:19" x14ac:dyDescent="0.25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1B045-B873-497E-86A9-1EF7C184BA6E}">
  <dimension ref="AD2:AE32"/>
  <sheetViews>
    <sheetView zoomScaleNormal="100" workbookViewId="0">
      <selection activeCell="Z18" sqref="Z18"/>
    </sheetView>
  </sheetViews>
  <sheetFormatPr defaultRowHeight="15" x14ac:dyDescent="0.25"/>
  <sheetData>
    <row r="2" spans="30:31" x14ac:dyDescent="0.25">
      <c r="AD2" s="7"/>
      <c r="AE2" s="7"/>
    </row>
    <row r="3" spans="30:31" x14ac:dyDescent="0.25">
      <c r="AD3" s="7"/>
      <c r="AE3" s="7"/>
    </row>
    <row r="4" spans="30:31" x14ac:dyDescent="0.25">
      <c r="AD4" s="7"/>
      <c r="AE4" s="7"/>
    </row>
    <row r="5" spans="30:31" x14ac:dyDescent="0.25">
      <c r="AD5" s="7"/>
      <c r="AE5" s="7"/>
    </row>
    <row r="6" spans="30:31" x14ac:dyDescent="0.25">
      <c r="AD6" s="7"/>
      <c r="AE6" s="7"/>
    </row>
    <row r="7" spans="30:31" x14ac:dyDescent="0.25">
      <c r="AD7" s="7"/>
      <c r="AE7" s="7"/>
    </row>
    <row r="8" spans="30:31" x14ac:dyDescent="0.25">
      <c r="AD8" s="7"/>
      <c r="AE8" s="7"/>
    </row>
    <row r="9" spans="30:31" x14ac:dyDescent="0.25">
      <c r="AD9" s="7"/>
      <c r="AE9" s="7"/>
    </row>
    <row r="10" spans="30:31" x14ac:dyDescent="0.25">
      <c r="AD10" s="7"/>
      <c r="AE10" s="7"/>
    </row>
    <row r="11" spans="30:31" x14ac:dyDescent="0.25">
      <c r="AD11" s="7"/>
      <c r="AE11" s="7"/>
    </row>
    <row r="12" spans="30:31" x14ac:dyDescent="0.25">
      <c r="AD12" s="7"/>
      <c r="AE12" s="7"/>
    </row>
    <row r="13" spans="30:31" x14ac:dyDescent="0.25">
      <c r="AD13" s="7"/>
      <c r="AE13" s="7"/>
    </row>
    <row r="14" spans="30:31" x14ac:dyDescent="0.25">
      <c r="AD14" s="7"/>
      <c r="AE14" s="7"/>
    </row>
    <row r="15" spans="30:31" x14ac:dyDescent="0.25">
      <c r="AD15" s="7"/>
      <c r="AE15" s="7"/>
    </row>
    <row r="16" spans="30:31" x14ac:dyDescent="0.25">
      <c r="AD16" s="7"/>
      <c r="AE16" s="7"/>
    </row>
    <row r="17" spans="30:31" x14ac:dyDescent="0.25">
      <c r="AD17" s="7"/>
      <c r="AE17" s="7"/>
    </row>
    <row r="18" spans="30:31" x14ac:dyDescent="0.25">
      <c r="AD18" s="7"/>
      <c r="AE18" s="7"/>
    </row>
    <row r="19" spans="30:31" x14ac:dyDescent="0.25">
      <c r="AD19" s="7"/>
      <c r="AE19" s="7"/>
    </row>
    <row r="20" spans="30:31" x14ac:dyDescent="0.25">
      <c r="AD20" s="7"/>
      <c r="AE20" s="7"/>
    </row>
    <row r="21" spans="30:31" x14ac:dyDescent="0.25">
      <c r="AD21" s="7"/>
      <c r="AE21" s="7"/>
    </row>
    <row r="22" spans="30:31" x14ac:dyDescent="0.25">
      <c r="AD22" s="7"/>
      <c r="AE22" s="7"/>
    </row>
    <row r="23" spans="30:31" x14ac:dyDescent="0.25">
      <c r="AD23" s="7"/>
      <c r="AE23" s="7"/>
    </row>
    <row r="24" spans="30:31" x14ac:dyDescent="0.25">
      <c r="AD24" s="7"/>
      <c r="AE24" s="7"/>
    </row>
    <row r="25" spans="30:31" x14ac:dyDescent="0.25">
      <c r="AD25" s="7"/>
      <c r="AE25" s="7"/>
    </row>
    <row r="26" spans="30:31" x14ac:dyDescent="0.25">
      <c r="AD26" s="7"/>
      <c r="AE26" s="7"/>
    </row>
    <row r="27" spans="30:31" x14ac:dyDescent="0.25">
      <c r="AD27" s="7"/>
      <c r="AE27" s="7"/>
    </row>
    <row r="28" spans="30:31" x14ac:dyDescent="0.25">
      <c r="AD28" s="7"/>
      <c r="AE28" s="7"/>
    </row>
    <row r="29" spans="30:31" x14ac:dyDescent="0.25">
      <c r="AD29" s="7"/>
      <c r="AE29" s="7"/>
    </row>
    <row r="30" spans="30:31" x14ac:dyDescent="0.25">
      <c r="AD30" s="7"/>
      <c r="AE30" s="7"/>
    </row>
    <row r="31" spans="30:31" x14ac:dyDescent="0.25">
      <c r="AD31" s="7"/>
      <c r="AE31" s="7"/>
    </row>
    <row r="32" spans="30:31" x14ac:dyDescent="0.25">
      <c r="AD32" s="7"/>
      <c r="AE32" s="7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Parameters</vt:lpstr>
      <vt:lpstr>6states</vt:lpstr>
      <vt:lpstr>6states,constantT&amp;epsilon</vt:lpstr>
      <vt:lpstr>Graphs</vt:lpstr>
      <vt:lpstr>ControlVars</vt:lpstr>
      <vt:lpstr>ControlVars1to20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Simon Dietz</cp:lastModifiedBy>
  <dcterms:created xsi:type="dcterms:W3CDTF">2025-01-09T17:56:26Z</dcterms:created>
  <dcterms:modified xsi:type="dcterms:W3CDTF">2026-01-16T15:55:17Z</dcterms:modified>
</cp:coreProperties>
</file>