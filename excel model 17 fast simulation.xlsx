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oogle Research Projects\Stranded Assets2\Excel model\"/>
    </mc:Choice>
  </mc:AlternateContent>
  <xr:revisionPtr revIDLastSave="0" documentId="13_ncr:2001_{CAE4AE27-F214-42CE-9BCD-B224803A5BF2}" xr6:coauthVersionLast="47" xr6:coauthVersionMax="47" xr10:uidLastSave="{00000000-0000-0000-0000-000000000000}"/>
  <bookViews>
    <workbookView xWindow="28680" yWindow="-120" windowWidth="29040" windowHeight="15720" xr2:uid="{1FFC97B4-DE66-4F5D-8FE1-18DDD5502FA4}"/>
  </bookViews>
  <sheets>
    <sheet name="Parameters" sheetId="1" r:id="rId1"/>
    <sheet name="6states" sheetId="6" r:id="rId2"/>
    <sheet name="6states,constantT&amp;epsilon" sheetId="11" r:id="rId3"/>
    <sheet name="Graphs" sheetId="7" r:id="rId4"/>
  </sheets>
  <definedNames>
    <definedName name="ControlVars" comment="Control variables">'6states'!$B$4:$D$24,'6states'!$B$26:$D$26,'6states'!$B$28:$D$28,'6states'!$B$30:$D$30,'6states'!$B$32:$D$32,'6states'!$B$34:$D$34,'6states'!$B$36:$D$36,'6states'!$B$38:$D$38,'6states'!$B$40:$D$40,'6states'!$B$42:$D$42,'6states'!$B$44:$D$44,'6states'!$B$47:$D$47,'6states'!$B$50:$D$50,'6states'!$B$53:$D$53,'6states'!$B$57:$D$57,'6states'!$B$61:$D$61,'6states'!$B$65:$D$65,'6states'!$B$70:$D$70,'6states'!$B$75:$D$75,'6states'!$B$85:$D$85,'6states'!$B$95:$D$95,'6states'!$B$119:$D$119</definedName>
    <definedName name="ControlVars1to20">'6states'!$B$4:$D$24</definedName>
    <definedName name="solver_adj" localSheetId="1" hidden="1">'6states'!$B$4:$D$24,'6states'!$B$26:$D$26,'6states'!$B$28:$D$28,'6states'!$B$30:$D$30,'6states'!$B$32:$D$32,'6states'!$B$34:$D$34,'6states'!$B$36:$D$36,'6states'!$B$38:$D$38,'6states'!$B$40:$D$40,'6states'!$B$42:$D$42,'6states'!$B$44:$D$44,'6states'!$B$47:$D$47,'6states'!$B$50:$D$50,'6states'!$B$53:$D$53,'6states'!$B$57:$D$57,'6states'!$B$61:$D$61,'6states'!$B$65:$D$65,'6states'!$B$70:$D$70,'6states'!$B$75:$D$75,'6states'!$B$85:$D$85,'6states'!$B$95:$D$95,'6states'!$B$119:$D$119</definedName>
    <definedName name="solver_adj" localSheetId="2" hidden="1">'6states,constantT&amp;epsilon'!$B$4:$D$18,'6states,constantT&amp;epsilon'!$B$20:$D$20,'6states,constantT&amp;epsilon'!$B$22:$D$22,'6states,constantT&amp;epsilon'!$B$24:$D$24,'6states,constantT&amp;epsilon'!$B$29:$D$29,'6states,constantT&amp;epsilon'!$B$34:$D$34,'6states,constantT&amp;epsilon'!$B$44:$D$44,'6states,constantT&amp;epsilon'!$B$54:$D$54,'6states,constantT&amp;epsilon'!$B$64:$D$64,'6states,constantT&amp;epsilon'!$B$74:$D$74,'6states,constantT&amp;epsilon'!$B$84:$D$84,'6states,constantT&amp;epsilon'!$B$94:$D$94</definedName>
    <definedName name="solver_adj" localSheetId="0" hidden="1">Parameters!$B$12,Parameters!$B$61,Parameters!$B$64,Parameters!$B$63</definedName>
    <definedName name="solver_cvg" localSheetId="1" hidden="1">0.000001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drv" localSheetId="1" hidden="1">1</definedName>
    <definedName name="solver_drv" localSheetId="2" hidden="1">2</definedName>
    <definedName name="solver_drv" localSheetId="3" hidden="1">2</definedName>
    <definedName name="solver_drv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0" hidden="1">1</definedName>
    <definedName name="solver_itr" localSheetId="1" hidden="1">100</definedName>
    <definedName name="solver_itr" localSheetId="2" hidden="1">2147483647</definedName>
    <definedName name="solver_itr" localSheetId="3" hidden="1">2147483647</definedName>
    <definedName name="solver_itr" localSheetId="0" hidden="1">2147483647</definedName>
    <definedName name="solver_lhs1" localSheetId="1" hidden="1">'6states'!$B$4:$B$24</definedName>
    <definedName name="solver_lhs1" localSheetId="0" hidden="1">Parameters!$B$12</definedName>
    <definedName name="solver_lhs10" localSheetId="1" hidden="1">'6states'!$B$59</definedName>
    <definedName name="solver_lhs11" localSheetId="1" hidden="1">'6states'!$B$59</definedName>
    <definedName name="solver_lhs12" localSheetId="1" hidden="1">'6states'!$B$59</definedName>
    <definedName name="solver_lhs13" localSheetId="1" hidden="1">'6states'!$B$59</definedName>
    <definedName name="solver_lhs14" localSheetId="1" hidden="1">'6states'!$B$59</definedName>
    <definedName name="solver_lhs15" localSheetId="1" hidden="1">'6states'!$B$59</definedName>
    <definedName name="solver_lhs16" localSheetId="1" hidden="1">'6states'!$B$59</definedName>
    <definedName name="solver_lhs17" localSheetId="1" hidden="1">'6states'!$B$59</definedName>
    <definedName name="solver_lhs18" localSheetId="1" hidden="1">'6states'!$B$59</definedName>
    <definedName name="solver_lhs19" localSheetId="1" hidden="1">'6states'!$B$59</definedName>
    <definedName name="solver_lhs2" localSheetId="1" hidden="1">'6states'!$B$4:$B$74</definedName>
    <definedName name="solver_lhs2" localSheetId="0" hidden="1">Parameters!$B$12</definedName>
    <definedName name="solver_lhs20" localSheetId="1" hidden="1">'6states'!$B$59</definedName>
    <definedName name="solver_lhs21" localSheetId="1" hidden="1">'6states'!$B$59</definedName>
    <definedName name="solver_lhs22" localSheetId="1" hidden="1">'6states'!$B$94</definedName>
    <definedName name="solver_lhs23" localSheetId="1" hidden="1">'6states'!$B$94</definedName>
    <definedName name="solver_lhs24" localSheetId="1" hidden="1">'6states'!$B$94</definedName>
    <definedName name="solver_lhs3" localSheetId="1" hidden="1">'6states'!$B$94</definedName>
    <definedName name="solver_lhs3" localSheetId="0" hidden="1">Parameters!$B$61</definedName>
    <definedName name="solver_lhs4" localSheetId="1" hidden="1">'6states'!$B$94</definedName>
    <definedName name="solver_lhs4" localSheetId="0" hidden="1">Parameters!$B$61</definedName>
    <definedName name="solver_lhs5" localSheetId="1" hidden="1">'6states'!$B$94</definedName>
    <definedName name="solver_lhs5" localSheetId="0" hidden="1">Parameters!$B$63</definedName>
    <definedName name="solver_lhs6" localSheetId="1" hidden="1">'6states'!$B$59</definedName>
    <definedName name="solver_lhs6" localSheetId="0" hidden="1">Parameters!$B$63</definedName>
    <definedName name="solver_lhs7" localSheetId="1" hidden="1">'6states'!$B$59</definedName>
    <definedName name="solver_lhs7" localSheetId="0" hidden="1">Parameters!$B$64</definedName>
    <definedName name="solver_lhs8" localSheetId="1" hidden="1">'6states'!$B$59</definedName>
    <definedName name="solver_lhs8" localSheetId="0" hidden="1">Parameters!$B$64</definedName>
    <definedName name="solver_lhs9" localSheetId="1" hidden="1">'6states'!$B$59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0" hidden="1">2</definedName>
    <definedName name="solver_neg" localSheetId="1" hidden="1">2</definedName>
    <definedName name="solver_neg" localSheetId="2" hidden="1">1</definedName>
    <definedName name="solver_neg" localSheetId="3" hidden="1">2</definedName>
    <definedName name="solver_neg" localSheetId="0" hidden="1">2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um" localSheetId="1" hidden="1">1</definedName>
    <definedName name="solver_num" localSheetId="2" hidden="1">0</definedName>
    <definedName name="solver_num" localSheetId="3" hidden="1">0</definedName>
    <definedName name="solver_num" localSheetId="0" hidden="1">8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0" hidden="1">1</definedName>
    <definedName name="solver_opt" localSheetId="1" hidden="1">'6states'!$AJ$4</definedName>
    <definedName name="solver_opt" localSheetId="2" hidden="1">'6states,constantT&amp;epsilon'!$S$4</definedName>
    <definedName name="solver_opt" localSheetId="0" hidden="1">Parameters!$M$20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0" hidden="1">0.000001</definedName>
    <definedName name="solver_rbv" localSheetId="1" hidden="1">2</definedName>
    <definedName name="solver_rbv" localSheetId="2" hidden="1">2</definedName>
    <definedName name="solver_rbv" localSheetId="3" hidden="1">2</definedName>
    <definedName name="solver_rbv" localSheetId="0" hidden="1">1</definedName>
    <definedName name="solver_rel1" localSheetId="1" hidden="1">3</definedName>
    <definedName name="solver_rel1" localSheetId="0" hidden="1">3</definedName>
    <definedName name="solver_rel10" localSheetId="1" hidden="1">1</definedName>
    <definedName name="solver_rel11" localSheetId="1" hidden="1">1</definedName>
    <definedName name="solver_rel12" localSheetId="1" hidden="1">1</definedName>
    <definedName name="solver_rel13" localSheetId="1" hidden="1">1</definedName>
    <definedName name="solver_rel14" localSheetId="1" hidden="1">1</definedName>
    <definedName name="solver_rel15" localSheetId="1" hidden="1">1</definedName>
    <definedName name="solver_rel16" localSheetId="1" hidden="1">1</definedName>
    <definedName name="solver_rel17" localSheetId="1" hidden="1">1</definedName>
    <definedName name="solver_rel18" localSheetId="1" hidden="1">1</definedName>
    <definedName name="solver_rel19" localSheetId="1" hidden="1">1</definedName>
    <definedName name="solver_rel2" localSheetId="1" hidden="1">1</definedName>
    <definedName name="solver_rel2" localSheetId="0" hidden="1">1</definedName>
    <definedName name="solver_rel20" localSheetId="1" hidden="1">1</definedName>
    <definedName name="solver_rel21" localSheetId="1" hidden="1">1</definedName>
    <definedName name="solver_rel22" localSheetId="1" hidden="1">1</definedName>
    <definedName name="solver_rel23" localSheetId="1" hidden="1">1</definedName>
    <definedName name="solver_rel24" localSheetId="1" hidden="1">1</definedName>
    <definedName name="solver_rel3" localSheetId="1" hidden="1">1</definedName>
    <definedName name="solver_rel3" localSheetId="0" hidden="1">1</definedName>
    <definedName name="solver_rel4" localSheetId="1" hidden="1">1</definedName>
    <definedName name="solver_rel4" localSheetId="0" hidden="1">3</definedName>
    <definedName name="solver_rel5" localSheetId="1" hidden="1">1</definedName>
    <definedName name="solver_rel5" localSheetId="0" hidden="1">1</definedName>
    <definedName name="solver_rel6" localSheetId="1" hidden="1">1</definedName>
    <definedName name="solver_rel6" localSheetId="0" hidden="1">3</definedName>
    <definedName name="solver_rel7" localSheetId="1" hidden="1">1</definedName>
    <definedName name="solver_rel7" localSheetId="0" hidden="1">1</definedName>
    <definedName name="solver_rel8" localSheetId="1" hidden="1">1</definedName>
    <definedName name="solver_rel8" localSheetId="0" hidden="1">3</definedName>
    <definedName name="solver_rel9" localSheetId="1" hidden="1">1</definedName>
    <definedName name="solver_rhs1" localSheetId="1" hidden="1">-0.1</definedName>
    <definedName name="solver_rhs1" localSheetId="0" hidden="1">2/1.25</definedName>
    <definedName name="solver_rhs10" localSheetId="1" hidden="1">0.003</definedName>
    <definedName name="solver_rhs11" localSheetId="1" hidden="1">0.003</definedName>
    <definedName name="solver_rhs12" localSheetId="1" hidden="1">0.003</definedName>
    <definedName name="solver_rhs13" localSheetId="1" hidden="1">0.003</definedName>
    <definedName name="solver_rhs14" localSheetId="1" hidden="1">0.003</definedName>
    <definedName name="solver_rhs15" localSheetId="1" hidden="1">0.003</definedName>
    <definedName name="solver_rhs16" localSheetId="1" hidden="1">0.003</definedName>
    <definedName name="solver_rhs17" localSheetId="1" hidden="1">0.003</definedName>
    <definedName name="solver_rhs18" localSheetId="1" hidden="1">0.003</definedName>
    <definedName name="solver_rhs19" localSheetId="1" hidden="1">0.003</definedName>
    <definedName name="solver_rhs2" localSheetId="1" hidden="1">0.005</definedName>
    <definedName name="solver_rhs2" localSheetId="0" hidden="1">2*1.25</definedName>
    <definedName name="solver_rhs20" localSheetId="1" hidden="1">0.003</definedName>
    <definedName name="solver_rhs21" localSheetId="1" hidden="1">0.003</definedName>
    <definedName name="solver_rhs22" localSheetId="1" hidden="1">0.003</definedName>
    <definedName name="solver_rhs23" localSheetId="1" hidden="1">0.003</definedName>
    <definedName name="solver_rhs24" localSheetId="1" hidden="1">0.003</definedName>
    <definedName name="solver_rhs3" localSheetId="1" hidden="1">0.003</definedName>
    <definedName name="solver_rhs3" localSheetId="0" hidden="1">0.027*1.25</definedName>
    <definedName name="solver_rhs4" localSheetId="1" hidden="1">0.003</definedName>
    <definedName name="solver_rhs4" localSheetId="0" hidden="1">0.027/1.25</definedName>
    <definedName name="solver_rhs5" localSheetId="1" hidden="1">0.003</definedName>
    <definedName name="solver_rhs5" localSheetId="0" hidden="1">36.6*1.25</definedName>
    <definedName name="solver_rhs6" localSheetId="1" hidden="1">0.003</definedName>
    <definedName name="solver_rhs6" localSheetId="0" hidden="1">36.6/1.25</definedName>
    <definedName name="solver_rhs7" localSheetId="1" hidden="1">0.003</definedName>
    <definedName name="solver_rhs7" localSheetId="0" hidden="1">0.211*1.25</definedName>
    <definedName name="solver_rhs8" localSheetId="1" hidden="1">0.003</definedName>
    <definedName name="solver_rhs8" localSheetId="0" hidden="1">0.211/1.25</definedName>
    <definedName name="solver_rhs9" localSheetId="1" hidden="1">0.003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scl" localSheetId="1" hidden="1">1</definedName>
    <definedName name="solver_scl" localSheetId="2" hidden="1">2</definedName>
    <definedName name="solver_scl" localSheetId="3" hidden="1">2</definedName>
    <definedName name="solver_scl" localSheetId="0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sz" localSheetId="1" hidden="1">0</definedName>
    <definedName name="solver_ssz" localSheetId="2" hidden="1">100</definedName>
    <definedName name="solver_ssz" localSheetId="3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0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0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0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" i="6" l="1"/>
  <c r="AX7" i="6"/>
  <c r="AW53" i="6"/>
  <c r="I25" i="1"/>
  <c r="G27" i="1"/>
  <c r="I27" i="1"/>
  <c r="I26" i="1"/>
  <c r="AU5" i="6"/>
  <c r="F60" i="1"/>
  <c r="C96" i="6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D96" i="6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B96" i="6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C86" i="6"/>
  <c r="C87" i="6" s="1"/>
  <c r="C88" i="6" s="1"/>
  <c r="C89" i="6" s="1"/>
  <c r="C90" i="6" s="1"/>
  <c r="C91" i="6" s="1"/>
  <c r="C92" i="6" s="1"/>
  <c r="C93" i="6" s="1"/>
  <c r="C94" i="6" s="1"/>
  <c r="D86" i="6"/>
  <c r="D87" i="6" s="1"/>
  <c r="D88" i="6" s="1"/>
  <c r="D89" i="6" s="1"/>
  <c r="D90" i="6" s="1"/>
  <c r="D91" i="6" s="1"/>
  <c r="D92" i="6" s="1"/>
  <c r="D93" i="6" s="1"/>
  <c r="D94" i="6" s="1"/>
  <c r="B86" i="6"/>
  <c r="B87" i="6" s="1"/>
  <c r="B88" i="6" s="1"/>
  <c r="B89" i="6" s="1"/>
  <c r="B90" i="6" s="1"/>
  <c r="B91" i="6" s="1"/>
  <c r="B92" i="6" s="1"/>
  <c r="B93" i="6" s="1"/>
  <c r="B94" i="6" s="1"/>
  <c r="C76" i="6"/>
  <c r="C77" i="6" s="1"/>
  <c r="C78" i="6" s="1"/>
  <c r="C79" i="6" s="1"/>
  <c r="C80" i="6" s="1"/>
  <c r="C81" i="6" s="1"/>
  <c r="C82" i="6" s="1"/>
  <c r="C83" i="6" s="1"/>
  <c r="C84" i="6" s="1"/>
  <c r="D76" i="6"/>
  <c r="D77" i="6" s="1"/>
  <c r="D78" i="6" s="1"/>
  <c r="D79" i="6" s="1"/>
  <c r="D80" i="6" s="1"/>
  <c r="D81" i="6" s="1"/>
  <c r="D82" i="6" s="1"/>
  <c r="D83" i="6" s="1"/>
  <c r="D84" i="6" s="1"/>
  <c r="B76" i="6"/>
  <c r="B77" i="6" s="1"/>
  <c r="B78" i="6" s="1"/>
  <c r="B79" i="6" s="1"/>
  <c r="B80" i="6" s="1"/>
  <c r="B81" i="6" s="1"/>
  <c r="B82" i="6" s="1"/>
  <c r="B83" i="6" s="1"/>
  <c r="B84" i="6" s="1"/>
  <c r="C71" i="6"/>
  <c r="C72" i="6" s="1"/>
  <c r="C73" i="6" s="1"/>
  <c r="C74" i="6" s="1"/>
  <c r="D71" i="6"/>
  <c r="D72" i="6" s="1"/>
  <c r="D73" i="6" s="1"/>
  <c r="D74" i="6" s="1"/>
  <c r="B71" i="6"/>
  <c r="B72" i="6" s="1"/>
  <c r="B73" i="6" s="1"/>
  <c r="B74" i="6" s="1"/>
  <c r="C66" i="6"/>
  <c r="C67" i="6" s="1"/>
  <c r="C68" i="6" s="1"/>
  <c r="C69" i="6" s="1"/>
  <c r="D66" i="6"/>
  <c r="D67" i="6" s="1"/>
  <c r="D68" i="6" s="1"/>
  <c r="D69" i="6" s="1"/>
  <c r="B66" i="6"/>
  <c r="B67" i="6" s="1"/>
  <c r="B68" i="6" s="1"/>
  <c r="B69" i="6" s="1"/>
  <c r="C62" i="6"/>
  <c r="C63" i="6" s="1"/>
  <c r="C64" i="6" s="1"/>
  <c r="D62" i="6"/>
  <c r="D63" i="6" s="1"/>
  <c r="D64" i="6" s="1"/>
  <c r="B62" i="6"/>
  <c r="B63" i="6" s="1"/>
  <c r="B64" i="6" s="1"/>
  <c r="C58" i="6"/>
  <c r="C59" i="6" s="1"/>
  <c r="C60" i="6" s="1"/>
  <c r="D58" i="6"/>
  <c r="D59" i="6" s="1"/>
  <c r="D60" i="6" s="1"/>
  <c r="B58" i="6"/>
  <c r="B59" i="6" s="1"/>
  <c r="B60" i="6" s="1"/>
  <c r="C54" i="6"/>
  <c r="C55" i="6" s="1"/>
  <c r="C56" i="6" s="1"/>
  <c r="D54" i="6"/>
  <c r="D55" i="6" s="1"/>
  <c r="D56" i="6" s="1"/>
  <c r="B54" i="6"/>
  <c r="B55" i="6" s="1"/>
  <c r="B56" i="6" s="1"/>
  <c r="C51" i="6"/>
  <c r="C52" i="6" s="1"/>
  <c r="D51" i="6"/>
  <c r="D52" i="6" s="1"/>
  <c r="B51" i="6"/>
  <c r="B52" i="6" s="1"/>
  <c r="C48" i="6"/>
  <c r="C49" i="6" s="1"/>
  <c r="D48" i="6"/>
  <c r="D49" i="6" s="1"/>
  <c r="B48" i="6"/>
  <c r="B49" i="6" s="1"/>
  <c r="C45" i="6"/>
  <c r="C46" i="6" s="1"/>
  <c r="D45" i="6"/>
  <c r="D46" i="6" s="1"/>
  <c r="B45" i="6"/>
  <c r="B46" i="6" s="1"/>
  <c r="D43" i="6"/>
  <c r="C43" i="6"/>
  <c r="B43" i="6"/>
  <c r="D41" i="6"/>
  <c r="C41" i="6"/>
  <c r="B41" i="6"/>
  <c r="D39" i="6"/>
  <c r="C39" i="6"/>
  <c r="B39" i="6"/>
  <c r="D37" i="6"/>
  <c r="C37" i="6"/>
  <c r="B37" i="6"/>
  <c r="D35" i="6"/>
  <c r="C35" i="6"/>
  <c r="B35" i="6"/>
  <c r="D33" i="6"/>
  <c r="C33" i="6"/>
  <c r="B33" i="6"/>
  <c r="D31" i="6"/>
  <c r="C31" i="6"/>
  <c r="B31" i="6"/>
  <c r="D29" i="6"/>
  <c r="C29" i="6"/>
  <c r="B29" i="6"/>
  <c r="D27" i="6"/>
  <c r="C27" i="6"/>
  <c r="B27" i="6"/>
  <c r="C25" i="6"/>
  <c r="D25" i="6"/>
  <c r="B25" i="6"/>
  <c r="I2" i="6"/>
  <c r="G4" i="6"/>
  <c r="I4" i="6"/>
  <c r="M4" i="6"/>
  <c r="L4" i="6" s="1"/>
  <c r="P4" i="6"/>
  <c r="D120" i="6"/>
  <c r="I5" i="6" l="1"/>
  <c r="N4" i="6"/>
  <c r="K300" i="11" s="1"/>
  <c r="O4" i="6"/>
  <c r="D121" i="6"/>
  <c r="B120" i="6"/>
  <c r="B16" i="1"/>
  <c r="B26" i="1" s="1"/>
  <c r="F4" i="6" s="1"/>
  <c r="G4" i="11"/>
  <c r="B25" i="1"/>
  <c r="L4" i="11"/>
  <c r="D95" i="1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C95" i="1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58" i="11" s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  <c r="C283" i="11" s="1"/>
  <c r="C284" i="11" s="1"/>
  <c r="C285" i="11" s="1"/>
  <c r="C286" i="11" s="1"/>
  <c r="C287" i="11" s="1"/>
  <c r="C288" i="11" s="1"/>
  <c r="C289" i="11" s="1"/>
  <c r="C290" i="11" s="1"/>
  <c r="C291" i="11" s="1"/>
  <c r="C292" i="11" s="1"/>
  <c r="C293" i="11" s="1"/>
  <c r="C294" i="11" s="1"/>
  <c r="C295" i="11" s="1"/>
  <c r="C296" i="11" s="1"/>
  <c r="C297" i="11" s="1"/>
  <c r="C298" i="11" s="1"/>
  <c r="C299" i="11" s="1"/>
  <c r="C300" i="11" s="1"/>
  <c r="C301" i="11" s="1"/>
  <c r="C302" i="11" s="1"/>
  <c r="C303" i="11" s="1"/>
  <c r="C304" i="11" s="1"/>
  <c r="B95" i="1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D85" i="11"/>
  <c r="D86" i="11" s="1"/>
  <c r="D87" i="11" s="1"/>
  <c r="D88" i="11" s="1"/>
  <c r="D89" i="11" s="1"/>
  <c r="D90" i="11" s="1"/>
  <c r="D91" i="11" s="1"/>
  <c r="D92" i="11" s="1"/>
  <c r="D93" i="11" s="1"/>
  <c r="C85" i="11"/>
  <c r="C86" i="11" s="1"/>
  <c r="C87" i="11" s="1"/>
  <c r="C88" i="11" s="1"/>
  <c r="C89" i="11" s="1"/>
  <c r="C90" i="11" s="1"/>
  <c r="C91" i="11" s="1"/>
  <c r="C92" i="11" s="1"/>
  <c r="C93" i="11" s="1"/>
  <c r="B85" i="11"/>
  <c r="B86" i="11" s="1"/>
  <c r="B87" i="11" s="1"/>
  <c r="B88" i="11" s="1"/>
  <c r="B89" i="11" s="1"/>
  <c r="B90" i="11" s="1"/>
  <c r="B91" i="11" s="1"/>
  <c r="B92" i="11" s="1"/>
  <c r="B93" i="11" s="1"/>
  <c r="D75" i="11"/>
  <c r="D76" i="11" s="1"/>
  <c r="D77" i="11" s="1"/>
  <c r="D78" i="11" s="1"/>
  <c r="D79" i="11" s="1"/>
  <c r="D80" i="11" s="1"/>
  <c r="D81" i="11" s="1"/>
  <c r="D82" i="11" s="1"/>
  <c r="D83" i="11" s="1"/>
  <c r="C75" i="11"/>
  <c r="C76" i="11" s="1"/>
  <c r="C77" i="11" s="1"/>
  <c r="C78" i="11" s="1"/>
  <c r="C79" i="11" s="1"/>
  <c r="C80" i="11" s="1"/>
  <c r="C81" i="11" s="1"/>
  <c r="C82" i="11" s="1"/>
  <c r="C83" i="11" s="1"/>
  <c r="B75" i="11"/>
  <c r="B76" i="11" s="1"/>
  <c r="B77" i="11" s="1"/>
  <c r="B78" i="11" s="1"/>
  <c r="B79" i="11" s="1"/>
  <c r="B80" i="11" s="1"/>
  <c r="B81" i="11" s="1"/>
  <c r="B82" i="11" s="1"/>
  <c r="B83" i="11" s="1"/>
  <c r="D65" i="11"/>
  <c r="D66" i="11" s="1"/>
  <c r="D67" i="11" s="1"/>
  <c r="D68" i="11" s="1"/>
  <c r="D69" i="11" s="1"/>
  <c r="D70" i="11" s="1"/>
  <c r="D71" i="11" s="1"/>
  <c r="D72" i="11" s="1"/>
  <c r="D73" i="11" s="1"/>
  <c r="C65" i="11"/>
  <c r="C66" i="11" s="1"/>
  <c r="C67" i="11" s="1"/>
  <c r="C68" i="11" s="1"/>
  <c r="C69" i="11" s="1"/>
  <c r="C70" i="11" s="1"/>
  <c r="C71" i="11" s="1"/>
  <c r="C72" i="11" s="1"/>
  <c r="C73" i="11" s="1"/>
  <c r="B65" i="11"/>
  <c r="B66" i="11" s="1"/>
  <c r="B67" i="11" s="1"/>
  <c r="B68" i="11" s="1"/>
  <c r="B69" i="11" s="1"/>
  <c r="B70" i="11" s="1"/>
  <c r="B71" i="11" s="1"/>
  <c r="B72" i="11" s="1"/>
  <c r="B73" i="11" s="1"/>
  <c r="D55" i="11"/>
  <c r="C55" i="11"/>
  <c r="B55" i="11"/>
  <c r="B56" i="11" s="1"/>
  <c r="D45" i="11"/>
  <c r="D46" i="11" s="1"/>
  <c r="C45" i="11"/>
  <c r="B45" i="11"/>
  <c r="B46" i="11" s="1"/>
  <c r="B47" i="11" s="1"/>
  <c r="D35" i="11"/>
  <c r="D36" i="11" s="1"/>
  <c r="D37" i="11" s="1"/>
  <c r="C35" i="11"/>
  <c r="C36" i="11" s="1"/>
  <c r="B35" i="11"/>
  <c r="B36" i="11" s="1"/>
  <c r="D30" i="11"/>
  <c r="C30" i="11"/>
  <c r="B30" i="11"/>
  <c r="B31" i="11" s="1"/>
  <c r="D25" i="11"/>
  <c r="D26" i="11" s="1"/>
  <c r="D27" i="11" s="1"/>
  <c r="C25" i="11"/>
  <c r="B25" i="11"/>
  <c r="B26" i="11" s="1"/>
  <c r="B27" i="11" s="1"/>
  <c r="D23" i="11"/>
  <c r="C23" i="11"/>
  <c r="B23" i="11"/>
  <c r="D21" i="11"/>
  <c r="C21" i="11"/>
  <c r="B21" i="11"/>
  <c r="D19" i="11"/>
  <c r="C19" i="11"/>
  <c r="B19" i="11"/>
  <c r="A5" i="11"/>
  <c r="A6" i="11" s="1"/>
  <c r="I4" i="1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I95" i="11" s="1"/>
  <c r="I96" i="11" s="1"/>
  <c r="I97" i="11" s="1"/>
  <c r="I98" i="11" s="1"/>
  <c r="I99" i="11" s="1"/>
  <c r="I100" i="11" s="1"/>
  <c r="I101" i="11" s="1"/>
  <c r="I102" i="11" s="1"/>
  <c r="I103" i="11" s="1"/>
  <c r="I104" i="11" s="1"/>
  <c r="I105" i="11" s="1"/>
  <c r="I106" i="11" s="1"/>
  <c r="I107" i="11" s="1"/>
  <c r="I108" i="11" s="1"/>
  <c r="I109" i="11" s="1"/>
  <c r="I110" i="11" s="1"/>
  <c r="I111" i="11" s="1"/>
  <c r="I112" i="11" s="1"/>
  <c r="I113" i="11" s="1"/>
  <c r="I114" i="11" s="1"/>
  <c r="I115" i="11" s="1"/>
  <c r="I116" i="11" s="1"/>
  <c r="I117" i="11" s="1"/>
  <c r="I118" i="11" s="1"/>
  <c r="I119" i="11" s="1"/>
  <c r="I120" i="11" s="1"/>
  <c r="I121" i="11" s="1"/>
  <c r="I122" i="11" s="1"/>
  <c r="I123" i="11" s="1"/>
  <c r="I124" i="11" s="1"/>
  <c r="I125" i="11" s="1"/>
  <c r="I126" i="11" s="1"/>
  <c r="I127" i="11" s="1"/>
  <c r="I128" i="11" s="1"/>
  <c r="I129" i="11" s="1"/>
  <c r="I130" i="11" s="1"/>
  <c r="I131" i="11" s="1"/>
  <c r="I132" i="11" s="1"/>
  <c r="I133" i="11" s="1"/>
  <c r="I134" i="11" s="1"/>
  <c r="I135" i="11" s="1"/>
  <c r="I136" i="11" s="1"/>
  <c r="I137" i="11" s="1"/>
  <c r="I138" i="11" s="1"/>
  <c r="I139" i="11" s="1"/>
  <c r="I140" i="11" s="1"/>
  <c r="I141" i="11" s="1"/>
  <c r="I142" i="11" s="1"/>
  <c r="I143" i="11" s="1"/>
  <c r="I144" i="11" s="1"/>
  <c r="I145" i="11" s="1"/>
  <c r="I146" i="11" s="1"/>
  <c r="I147" i="11" s="1"/>
  <c r="I148" i="11" s="1"/>
  <c r="I149" i="11" s="1"/>
  <c r="I150" i="11" s="1"/>
  <c r="I151" i="11" s="1"/>
  <c r="I152" i="11" s="1"/>
  <c r="I153" i="11" s="1"/>
  <c r="I154" i="11" s="1"/>
  <c r="I155" i="11" s="1"/>
  <c r="I156" i="11" s="1"/>
  <c r="I157" i="11" s="1"/>
  <c r="I158" i="11" s="1"/>
  <c r="I159" i="11" s="1"/>
  <c r="I160" i="11" s="1"/>
  <c r="I161" i="11" s="1"/>
  <c r="I162" i="11" s="1"/>
  <c r="I163" i="11" s="1"/>
  <c r="I164" i="11" s="1"/>
  <c r="I165" i="11" s="1"/>
  <c r="I166" i="11" s="1"/>
  <c r="I167" i="11" s="1"/>
  <c r="I168" i="11" s="1"/>
  <c r="I169" i="11" s="1"/>
  <c r="I170" i="11" s="1"/>
  <c r="I171" i="11" s="1"/>
  <c r="I172" i="11" s="1"/>
  <c r="I173" i="11" s="1"/>
  <c r="I174" i="11" s="1"/>
  <c r="I175" i="11" s="1"/>
  <c r="I176" i="11" s="1"/>
  <c r="I177" i="11" s="1"/>
  <c r="I178" i="11" s="1"/>
  <c r="I179" i="11" s="1"/>
  <c r="I180" i="11" s="1"/>
  <c r="I181" i="11" s="1"/>
  <c r="I182" i="11" s="1"/>
  <c r="I183" i="11" s="1"/>
  <c r="I184" i="11" s="1"/>
  <c r="I185" i="11" s="1"/>
  <c r="I186" i="11" s="1"/>
  <c r="I187" i="11" s="1"/>
  <c r="I188" i="11" s="1"/>
  <c r="I189" i="11" s="1"/>
  <c r="I190" i="11" s="1"/>
  <c r="I191" i="11" s="1"/>
  <c r="I192" i="11" s="1"/>
  <c r="I193" i="11" s="1"/>
  <c r="I194" i="11" s="1"/>
  <c r="I195" i="11" s="1"/>
  <c r="I196" i="11" s="1"/>
  <c r="I197" i="11" s="1"/>
  <c r="I198" i="11" s="1"/>
  <c r="I199" i="11" s="1"/>
  <c r="I200" i="11" s="1"/>
  <c r="I201" i="11" s="1"/>
  <c r="I202" i="11" s="1"/>
  <c r="I203" i="11" s="1"/>
  <c r="I204" i="11" s="1"/>
  <c r="I205" i="11" s="1"/>
  <c r="I206" i="11" s="1"/>
  <c r="I207" i="11" s="1"/>
  <c r="I208" i="11" s="1"/>
  <c r="I209" i="11" s="1"/>
  <c r="I210" i="11" s="1"/>
  <c r="I211" i="11" s="1"/>
  <c r="I212" i="11" s="1"/>
  <c r="I213" i="11" s="1"/>
  <c r="I214" i="11" s="1"/>
  <c r="I215" i="11" s="1"/>
  <c r="I216" i="11" s="1"/>
  <c r="I217" i="11" s="1"/>
  <c r="I218" i="11" s="1"/>
  <c r="I219" i="11" s="1"/>
  <c r="I220" i="11" s="1"/>
  <c r="I221" i="11" s="1"/>
  <c r="I222" i="11" s="1"/>
  <c r="I223" i="11" s="1"/>
  <c r="I224" i="11" s="1"/>
  <c r="I225" i="11" s="1"/>
  <c r="I226" i="11" s="1"/>
  <c r="I227" i="11" s="1"/>
  <c r="I228" i="11" s="1"/>
  <c r="I229" i="11" s="1"/>
  <c r="I230" i="11" s="1"/>
  <c r="I231" i="11" s="1"/>
  <c r="I232" i="11" s="1"/>
  <c r="I233" i="11" s="1"/>
  <c r="I234" i="11" s="1"/>
  <c r="I235" i="11" s="1"/>
  <c r="I236" i="11" s="1"/>
  <c r="I237" i="11" s="1"/>
  <c r="I238" i="11" s="1"/>
  <c r="I239" i="11" s="1"/>
  <c r="I240" i="11" s="1"/>
  <c r="I241" i="11" s="1"/>
  <c r="I242" i="11" s="1"/>
  <c r="I243" i="11" s="1"/>
  <c r="I244" i="11" s="1"/>
  <c r="I245" i="11" s="1"/>
  <c r="I246" i="11" s="1"/>
  <c r="I247" i="11" s="1"/>
  <c r="I248" i="11" s="1"/>
  <c r="I249" i="11" s="1"/>
  <c r="I250" i="11" s="1"/>
  <c r="I251" i="11" s="1"/>
  <c r="I252" i="11" s="1"/>
  <c r="I253" i="11" s="1"/>
  <c r="I254" i="11" s="1"/>
  <c r="I255" i="11" s="1"/>
  <c r="I256" i="11" s="1"/>
  <c r="I257" i="11" s="1"/>
  <c r="I258" i="11" s="1"/>
  <c r="I259" i="11" s="1"/>
  <c r="I260" i="11" s="1"/>
  <c r="I261" i="11" s="1"/>
  <c r="I262" i="11" s="1"/>
  <c r="I263" i="11" s="1"/>
  <c r="I264" i="11" s="1"/>
  <c r="I265" i="11" s="1"/>
  <c r="I266" i="11" s="1"/>
  <c r="I267" i="11" s="1"/>
  <c r="I268" i="11" s="1"/>
  <c r="I269" i="11" s="1"/>
  <c r="I270" i="11" s="1"/>
  <c r="I271" i="11" s="1"/>
  <c r="I272" i="11" s="1"/>
  <c r="I273" i="11" s="1"/>
  <c r="I274" i="11" s="1"/>
  <c r="I275" i="11" s="1"/>
  <c r="I276" i="11" s="1"/>
  <c r="I277" i="11" s="1"/>
  <c r="I278" i="11" s="1"/>
  <c r="I279" i="11" s="1"/>
  <c r="I280" i="11" s="1"/>
  <c r="I281" i="11" s="1"/>
  <c r="I282" i="11" s="1"/>
  <c r="I283" i="11" s="1"/>
  <c r="I284" i="11" s="1"/>
  <c r="I285" i="11" s="1"/>
  <c r="I286" i="11" s="1"/>
  <c r="I287" i="11" s="1"/>
  <c r="I288" i="11" s="1"/>
  <c r="I289" i="11" s="1"/>
  <c r="I290" i="11" s="1"/>
  <c r="I291" i="11" s="1"/>
  <c r="I292" i="11" s="1"/>
  <c r="I293" i="11" s="1"/>
  <c r="I294" i="11" s="1"/>
  <c r="I295" i="11" s="1"/>
  <c r="I296" i="11" s="1"/>
  <c r="I297" i="11" s="1"/>
  <c r="I298" i="11" s="1"/>
  <c r="I299" i="11" s="1"/>
  <c r="I300" i="11" s="1"/>
  <c r="I301" i="11" s="1"/>
  <c r="I302" i="11" s="1"/>
  <c r="I303" i="11" s="1"/>
  <c r="I304" i="11" s="1"/>
  <c r="B13" i="1"/>
  <c r="B9" i="1"/>
  <c r="I6" i="6" l="1"/>
  <c r="E4" i="11"/>
  <c r="E4" i="6"/>
  <c r="D122" i="6"/>
  <c r="R4" i="6"/>
  <c r="S4" i="6" s="1"/>
  <c r="Q4" i="6"/>
  <c r="B121" i="6"/>
  <c r="B17" i="1"/>
  <c r="B19" i="1" s="1"/>
  <c r="B18" i="1" s="1"/>
  <c r="F4" i="11"/>
  <c r="K299" i="11"/>
  <c r="K204" i="11"/>
  <c r="K148" i="11"/>
  <c r="K84" i="11"/>
  <c r="K270" i="11"/>
  <c r="K203" i="11"/>
  <c r="K195" i="11"/>
  <c r="K187" i="11"/>
  <c r="K179" i="11"/>
  <c r="K171" i="11"/>
  <c r="K163" i="11"/>
  <c r="K155" i="11"/>
  <c r="K147" i="11"/>
  <c r="K139" i="11"/>
  <c r="K131" i="11"/>
  <c r="K123" i="11"/>
  <c r="K115" i="11"/>
  <c r="K107" i="11"/>
  <c r="K99" i="11"/>
  <c r="K91" i="11"/>
  <c r="K83" i="11"/>
  <c r="K75" i="11"/>
  <c r="K67" i="11"/>
  <c r="K59" i="11"/>
  <c r="K51" i="11"/>
  <c r="K43" i="11"/>
  <c r="K35" i="11"/>
  <c r="K27" i="11"/>
  <c r="K19" i="11"/>
  <c r="K11" i="11"/>
  <c r="K269" i="11"/>
  <c r="K261" i="11"/>
  <c r="K253" i="11"/>
  <c r="K245" i="11"/>
  <c r="K237" i="11"/>
  <c r="K229" i="11"/>
  <c r="K221" i="11"/>
  <c r="K213" i="11"/>
  <c r="K205" i="11"/>
  <c r="K288" i="11"/>
  <c r="K280" i="11"/>
  <c r="K272" i="11"/>
  <c r="K298" i="11"/>
  <c r="K297" i="11"/>
  <c r="K196" i="11"/>
  <c r="K164" i="11"/>
  <c r="K132" i="11"/>
  <c r="K116" i="11"/>
  <c r="K92" i="11"/>
  <c r="K76" i="11"/>
  <c r="K44" i="11"/>
  <c r="K36" i="11"/>
  <c r="K12" i="11"/>
  <c r="K262" i="11"/>
  <c r="K254" i="11"/>
  <c r="K246" i="11"/>
  <c r="K230" i="11"/>
  <c r="K214" i="11"/>
  <c r="K206" i="11"/>
  <c r="K273" i="11"/>
  <c r="K193" i="11"/>
  <c r="K169" i="11"/>
  <c r="K153" i="11"/>
  <c r="K137" i="11"/>
  <c r="K97" i="11"/>
  <c r="K81" i="11"/>
  <c r="K65" i="11"/>
  <c r="K49" i="11"/>
  <c r="K41" i="11"/>
  <c r="K25" i="11"/>
  <c r="K17" i="11"/>
  <c r="K267" i="11"/>
  <c r="K259" i="11"/>
  <c r="K251" i="11"/>
  <c r="K243" i="11"/>
  <c r="K235" i="11"/>
  <c r="K227" i="11"/>
  <c r="K211" i="11"/>
  <c r="K294" i="11"/>
  <c r="K286" i="11"/>
  <c r="K278" i="11"/>
  <c r="K304" i="11"/>
  <c r="K296" i="11"/>
  <c r="K180" i="11"/>
  <c r="K156" i="11"/>
  <c r="K108" i="11"/>
  <c r="K52" i="11"/>
  <c r="K222" i="11"/>
  <c r="K194" i="11"/>
  <c r="K178" i="11"/>
  <c r="K162" i="11"/>
  <c r="K146" i="11"/>
  <c r="K130" i="11"/>
  <c r="K114" i="11"/>
  <c r="K106" i="11"/>
  <c r="K90" i="11"/>
  <c r="K74" i="11"/>
  <c r="K58" i="11"/>
  <c r="K42" i="11"/>
  <c r="K26" i="11"/>
  <c r="K10" i="11"/>
  <c r="K260" i="11"/>
  <c r="K244" i="11"/>
  <c r="K220" i="11"/>
  <c r="K295" i="11"/>
  <c r="K271" i="11"/>
  <c r="K113" i="11"/>
  <c r="K200" i="11"/>
  <c r="K192" i="11"/>
  <c r="K184" i="11"/>
  <c r="K176" i="11"/>
  <c r="K168" i="11"/>
  <c r="K160" i="11"/>
  <c r="K152" i="11"/>
  <c r="K144" i="11"/>
  <c r="K136" i="11"/>
  <c r="K128" i="11"/>
  <c r="K120" i="11"/>
  <c r="K112" i="11"/>
  <c r="K104" i="11"/>
  <c r="K96" i="11"/>
  <c r="K88" i="11"/>
  <c r="K80" i="11"/>
  <c r="K72" i="11"/>
  <c r="K64" i="11"/>
  <c r="K56" i="11"/>
  <c r="K48" i="11"/>
  <c r="K40" i="11"/>
  <c r="K32" i="11"/>
  <c r="K24" i="11"/>
  <c r="K16" i="11"/>
  <c r="K8" i="11"/>
  <c r="K266" i="11"/>
  <c r="K258" i="11"/>
  <c r="K250" i="11"/>
  <c r="K242" i="11"/>
  <c r="K234" i="11"/>
  <c r="K226" i="11"/>
  <c r="K218" i="11"/>
  <c r="K210" i="11"/>
  <c r="K293" i="11"/>
  <c r="K285" i="11"/>
  <c r="K277" i="11"/>
  <c r="K303" i="11"/>
  <c r="K188" i="11"/>
  <c r="K140" i="11"/>
  <c r="K100" i="11"/>
  <c r="K68" i="11"/>
  <c r="K28" i="11"/>
  <c r="K238" i="11"/>
  <c r="K281" i="11"/>
  <c r="K202" i="11"/>
  <c r="K186" i="11"/>
  <c r="K170" i="11"/>
  <c r="K154" i="11"/>
  <c r="K138" i="11"/>
  <c r="K122" i="11"/>
  <c r="K98" i="11"/>
  <c r="K82" i="11"/>
  <c r="K66" i="11"/>
  <c r="K50" i="11"/>
  <c r="K34" i="11"/>
  <c r="K18" i="11"/>
  <c r="K268" i="11"/>
  <c r="K252" i="11"/>
  <c r="K236" i="11"/>
  <c r="K228" i="11"/>
  <c r="K212" i="11"/>
  <c r="K287" i="11"/>
  <c r="K279" i="11"/>
  <c r="K129" i="11"/>
  <c r="K191" i="11"/>
  <c r="K175" i="11"/>
  <c r="K151" i="11"/>
  <c r="K135" i="11"/>
  <c r="K119" i="11"/>
  <c r="K103" i="11"/>
  <c r="K95" i="11"/>
  <c r="K87" i="11"/>
  <c r="K79" i="11"/>
  <c r="K71" i="11"/>
  <c r="K63" i="11"/>
  <c r="K55" i="11"/>
  <c r="K39" i="11"/>
  <c r="K31" i="11"/>
  <c r="K23" i="11"/>
  <c r="K15" i="11"/>
  <c r="K7" i="11"/>
  <c r="K265" i="11"/>
  <c r="K257" i="11"/>
  <c r="K249" i="11"/>
  <c r="K241" i="11"/>
  <c r="K233" i="11"/>
  <c r="K225" i="11"/>
  <c r="K217" i="11"/>
  <c r="K209" i="11"/>
  <c r="K292" i="11"/>
  <c r="K284" i="11"/>
  <c r="K276" i="11"/>
  <c r="K302" i="11"/>
  <c r="K172" i="11"/>
  <c r="K124" i="11"/>
  <c r="K60" i="11"/>
  <c r="K20" i="11"/>
  <c r="K289" i="11"/>
  <c r="K201" i="11"/>
  <c r="K185" i="11"/>
  <c r="K177" i="11"/>
  <c r="K161" i="11"/>
  <c r="K145" i="11"/>
  <c r="K121" i="11"/>
  <c r="K105" i="11"/>
  <c r="K89" i="11"/>
  <c r="K73" i="11"/>
  <c r="K57" i="11"/>
  <c r="K33" i="11"/>
  <c r="K9" i="11"/>
  <c r="K219" i="11"/>
  <c r="K199" i="11"/>
  <c r="K183" i="11"/>
  <c r="K167" i="11"/>
  <c r="K159" i="11"/>
  <c r="K143" i="11"/>
  <c r="K127" i="11"/>
  <c r="K111" i="11"/>
  <c r="K47" i="11"/>
  <c r="K198" i="11"/>
  <c r="K190" i="11"/>
  <c r="K182" i="11"/>
  <c r="K174" i="11"/>
  <c r="K166" i="11"/>
  <c r="K158" i="11"/>
  <c r="K150" i="11"/>
  <c r="K142" i="11"/>
  <c r="K134" i="11"/>
  <c r="K126" i="11"/>
  <c r="K118" i="11"/>
  <c r="K110" i="11"/>
  <c r="K102" i="11"/>
  <c r="K94" i="11"/>
  <c r="K86" i="11"/>
  <c r="K78" i="11"/>
  <c r="K70" i="11"/>
  <c r="K62" i="11"/>
  <c r="K54" i="11"/>
  <c r="K46" i="11"/>
  <c r="K38" i="11"/>
  <c r="K30" i="11"/>
  <c r="K22" i="11"/>
  <c r="K14" i="11"/>
  <c r="K6" i="11"/>
  <c r="K264" i="11"/>
  <c r="K256" i="11"/>
  <c r="K248" i="11"/>
  <c r="K240" i="11"/>
  <c r="K232" i="11"/>
  <c r="K224" i="11"/>
  <c r="K216" i="11"/>
  <c r="K208" i="11"/>
  <c r="K291" i="11"/>
  <c r="K283" i="11"/>
  <c r="K275" i="11"/>
  <c r="K301" i="11"/>
  <c r="K4" i="11"/>
  <c r="K197" i="11"/>
  <c r="K189" i="11"/>
  <c r="K181" i="11"/>
  <c r="K173" i="11"/>
  <c r="K165" i="11"/>
  <c r="K157" i="11"/>
  <c r="K149" i="11"/>
  <c r="K141" i="11"/>
  <c r="K133" i="11"/>
  <c r="K125" i="11"/>
  <c r="K117" i="11"/>
  <c r="K109" i="11"/>
  <c r="K101" i="11"/>
  <c r="K93" i="11"/>
  <c r="K85" i="11"/>
  <c r="K77" i="11"/>
  <c r="K69" i="11"/>
  <c r="K61" i="11"/>
  <c r="K53" i="11"/>
  <c r="K45" i="11"/>
  <c r="K37" i="11"/>
  <c r="K29" i="11"/>
  <c r="K21" i="11"/>
  <c r="K13" i="11"/>
  <c r="K5" i="11"/>
  <c r="K263" i="11"/>
  <c r="K255" i="11"/>
  <c r="K247" i="11"/>
  <c r="K239" i="11"/>
  <c r="K231" i="11"/>
  <c r="K223" i="11"/>
  <c r="K215" i="11"/>
  <c r="K207" i="11"/>
  <c r="K290" i="11"/>
  <c r="K282" i="11"/>
  <c r="K274" i="11"/>
  <c r="C31" i="11"/>
  <c r="D28" i="11"/>
  <c r="B32" i="11"/>
  <c r="C37" i="11"/>
  <c r="B48" i="11"/>
  <c r="B57" i="11"/>
  <c r="C26" i="11"/>
  <c r="D31" i="11"/>
  <c r="A7" i="11"/>
  <c r="D47" i="11"/>
  <c r="C56" i="11"/>
  <c r="B28" i="11"/>
  <c r="B37" i="11"/>
  <c r="D38" i="11"/>
  <c r="D56" i="11"/>
  <c r="C46" i="11"/>
  <c r="A5" i="6"/>
  <c r="I7" i="6" l="1"/>
  <c r="P5" i="6"/>
  <c r="T4" i="6"/>
  <c r="U4" i="6"/>
  <c r="D123" i="6"/>
  <c r="B122" i="6"/>
  <c r="D19" i="1"/>
  <c r="D18" i="1"/>
  <c r="C32" i="11"/>
  <c r="C47" i="11"/>
  <c r="B58" i="11"/>
  <c r="A8" i="11"/>
  <c r="B49" i="11"/>
  <c r="D48" i="11"/>
  <c r="D32" i="11"/>
  <c r="C38" i="11"/>
  <c r="D39" i="11"/>
  <c r="B33" i="11"/>
  <c r="B38" i="11"/>
  <c r="C27" i="11"/>
  <c r="D57" i="11"/>
  <c r="C57" i="11"/>
  <c r="A6" i="6"/>
  <c r="B4" i="1"/>
  <c r="E5" i="6" s="1"/>
  <c r="B51" i="1"/>
  <c r="H5" i="6" l="1"/>
  <c r="H6" i="6" s="1"/>
  <c r="H7" i="6" s="1"/>
  <c r="H8" i="6" s="1"/>
  <c r="H9" i="6" s="1"/>
  <c r="G5" i="6"/>
  <c r="AC5" i="6" s="1"/>
  <c r="F5" i="6"/>
  <c r="I8" i="6"/>
  <c r="I9" i="6" s="1"/>
  <c r="E6" i="6"/>
  <c r="P6" i="6"/>
  <c r="D124" i="6"/>
  <c r="B123" i="6"/>
  <c r="G5" i="1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H5" i="1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E5" i="1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F5" i="1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L5" i="1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L84" i="11" s="1"/>
  <c r="L85" i="11" s="1"/>
  <c r="L86" i="11" s="1"/>
  <c r="L87" i="11" s="1"/>
  <c r="L88" i="11" s="1"/>
  <c r="L89" i="11" s="1"/>
  <c r="L90" i="11" s="1"/>
  <c r="L91" i="11" s="1"/>
  <c r="L92" i="11" s="1"/>
  <c r="L93" i="11" s="1"/>
  <c r="L94" i="11" s="1"/>
  <c r="L95" i="11" s="1"/>
  <c r="L96" i="11" s="1"/>
  <c r="L97" i="11" s="1"/>
  <c r="L98" i="11" s="1"/>
  <c r="L99" i="11" s="1"/>
  <c r="L100" i="11" s="1"/>
  <c r="L101" i="11" s="1"/>
  <c r="L102" i="11" s="1"/>
  <c r="L103" i="11" s="1"/>
  <c r="L104" i="11" s="1"/>
  <c r="L105" i="11" s="1"/>
  <c r="L106" i="11" s="1"/>
  <c r="L107" i="11" s="1"/>
  <c r="L108" i="11" s="1"/>
  <c r="L109" i="11" s="1"/>
  <c r="L110" i="11" s="1"/>
  <c r="L111" i="11" s="1"/>
  <c r="L112" i="11" s="1"/>
  <c r="L113" i="11" s="1"/>
  <c r="L114" i="11" s="1"/>
  <c r="L115" i="11" s="1"/>
  <c r="L116" i="11" s="1"/>
  <c r="L117" i="11" s="1"/>
  <c r="L118" i="11" s="1"/>
  <c r="L119" i="11" s="1"/>
  <c r="L120" i="11" s="1"/>
  <c r="L121" i="11" s="1"/>
  <c r="L122" i="11" s="1"/>
  <c r="L123" i="11" s="1"/>
  <c r="L124" i="11" s="1"/>
  <c r="L125" i="11" s="1"/>
  <c r="L126" i="11" s="1"/>
  <c r="L127" i="11" s="1"/>
  <c r="L128" i="11" s="1"/>
  <c r="L129" i="11" s="1"/>
  <c r="L130" i="11" s="1"/>
  <c r="L131" i="11" s="1"/>
  <c r="L132" i="11" s="1"/>
  <c r="L133" i="11" s="1"/>
  <c r="L134" i="11" s="1"/>
  <c r="L135" i="11" s="1"/>
  <c r="L136" i="11" s="1"/>
  <c r="L137" i="11" s="1"/>
  <c r="L138" i="11" s="1"/>
  <c r="L139" i="11" s="1"/>
  <c r="L140" i="11" s="1"/>
  <c r="L141" i="11" s="1"/>
  <c r="L142" i="11" s="1"/>
  <c r="L143" i="11" s="1"/>
  <c r="L144" i="11" s="1"/>
  <c r="L145" i="11" s="1"/>
  <c r="L146" i="11" s="1"/>
  <c r="L147" i="11" s="1"/>
  <c r="L148" i="11" s="1"/>
  <c r="L149" i="11" s="1"/>
  <c r="L150" i="11" s="1"/>
  <c r="L151" i="11" s="1"/>
  <c r="L152" i="11" s="1"/>
  <c r="L153" i="11" s="1"/>
  <c r="L154" i="11" s="1"/>
  <c r="L155" i="11" s="1"/>
  <c r="L156" i="11" s="1"/>
  <c r="L157" i="11" s="1"/>
  <c r="L158" i="11" s="1"/>
  <c r="L159" i="11" s="1"/>
  <c r="L160" i="11" s="1"/>
  <c r="L161" i="11" s="1"/>
  <c r="L162" i="11" s="1"/>
  <c r="L163" i="11" s="1"/>
  <c r="L164" i="11" s="1"/>
  <c r="L165" i="11" s="1"/>
  <c r="L166" i="11" s="1"/>
  <c r="L167" i="11" s="1"/>
  <c r="L168" i="11" s="1"/>
  <c r="L169" i="11" s="1"/>
  <c r="L170" i="11" s="1"/>
  <c r="L171" i="11" s="1"/>
  <c r="L172" i="11" s="1"/>
  <c r="L173" i="11" s="1"/>
  <c r="L174" i="11" s="1"/>
  <c r="L175" i="11" s="1"/>
  <c r="L176" i="11" s="1"/>
  <c r="L177" i="11" s="1"/>
  <c r="L178" i="11" s="1"/>
  <c r="L179" i="11" s="1"/>
  <c r="L180" i="11" s="1"/>
  <c r="L181" i="11" s="1"/>
  <c r="L182" i="11" s="1"/>
  <c r="L183" i="11" s="1"/>
  <c r="L184" i="11" s="1"/>
  <c r="L185" i="11" s="1"/>
  <c r="L186" i="11" s="1"/>
  <c r="L187" i="11" s="1"/>
  <c r="L188" i="11" s="1"/>
  <c r="L189" i="11" s="1"/>
  <c r="L190" i="11" s="1"/>
  <c r="L191" i="11" s="1"/>
  <c r="L192" i="11" s="1"/>
  <c r="L193" i="11" s="1"/>
  <c r="L194" i="11" s="1"/>
  <c r="L195" i="11" s="1"/>
  <c r="L196" i="11" s="1"/>
  <c r="L197" i="11" s="1"/>
  <c r="L198" i="11" s="1"/>
  <c r="L199" i="11" s="1"/>
  <c r="L200" i="11" s="1"/>
  <c r="L201" i="11" s="1"/>
  <c r="L202" i="11" s="1"/>
  <c r="L203" i="11" s="1"/>
  <c r="L204" i="11" s="1"/>
  <c r="L205" i="11" s="1"/>
  <c r="L206" i="11" s="1"/>
  <c r="L207" i="11" s="1"/>
  <c r="L208" i="11" s="1"/>
  <c r="L209" i="11" s="1"/>
  <c r="L210" i="11" s="1"/>
  <c r="L211" i="11" s="1"/>
  <c r="L212" i="11" s="1"/>
  <c r="L213" i="11" s="1"/>
  <c r="L214" i="11" s="1"/>
  <c r="L215" i="11" s="1"/>
  <c r="L216" i="11" s="1"/>
  <c r="L217" i="11" s="1"/>
  <c r="L218" i="11" s="1"/>
  <c r="L219" i="11" s="1"/>
  <c r="L220" i="11" s="1"/>
  <c r="L221" i="11" s="1"/>
  <c r="L222" i="11" s="1"/>
  <c r="L223" i="11" s="1"/>
  <c r="L224" i="11" s="1"/>
  <c r="L225" i="11" s="1"/>
  <c r="L226" i="11" s="1"/>
  <c r="L227" i="11" s="1"/>
  <c r="L228" i="11" s="1"/>
  <c r="L229" i="11" s="1"/>
  <c r="L230" i="11" s="1"/>
  <c r="L231" i="11" s="1"/>
  <c r="L232" i="11" s="1"/>
  <c r="L233" i="11" s="1"/>
  <c r="L234" i="11" s="1"/>
  <c r="L235" i="11" s="1"/>
  <c r="L236" i="11" s="1"/>
  <c r="L237" i="11" s="1"/>
  <c r="L238" i="11" s="1"/>
  <c r="L239" i="11" s="1"/>
  <c r="L240" i="11" s="1"/>
  <c r="L241" i="11" s="1"/>
  <c r="L242" i="11" s="1"/>
  <c r="L243" i="11" s="1"/>
  <c r="L244" i="11" s="1"/>
  <c r="L245" i="11" s="1"/>
  <c r="L246" i="11" s="1"/>
  <c r="L247" i="11" s="1"/>
  <c r="L248" i="11" s="1"/>
  <c r="L249" i="11" s="1"/>
  <c r="L250" i="11" s="1"/>
  <c r="L251" i="11" s="1"/>
  <c r="L252" i="11" s="1"/>
  <c r="L253" i="11" s="1"/>
  <c r="L254" i="11" s="1"/>
  <c r="L255" i="11" s="1"/>
  <c r="L256" i="11" s="1"/>
  <c r="L257" i="11" s="1"/>
  <c r="L258" i="11" s="1"/>
  <c r="L259" i="11" s="1"/>
  <c r="L260" i="11" s="1"/>
  <c r="L261" i="11" s="1"/>
  <c r="L262" i="11" s="1"/>
  <c r="L263" i="11" s="1"/>
  <c r="L264" i="11" s="1"/>
  <c r="L265" i="11" s="1"/>
  <c r="L266" i="11" s="1"/>
  <c r="L267" i="11" s="1"/>
  <c r="L268" i="11" s="1"/>
  <c r="L269" i="11" s="1"/>
  <c r="L270" i="11" s="1"/>
  <c r="L271" i="11" s="1"/>
  <c r="L272" i="11" s="1"/>
  <c r="L273" i="11" s="1"/>
  <c r="L274" i="11" s="1"/>
  <c r="L275" i="11" s="1"/>
  <c r="L276" i="11" s="1"/>
  <c r="L277" i="11" s="1"/>
  <c r="L278" i="11" s="1"/>
  <c r="L279" i="11" s="1"/>
  <c r="L280" i="11" s="1"/>
  <c r="L281" i="11" s="1"/>
  <c r="L282" i="11" s="1"/>
  <c r="L283" i="11" s="1"/>
  <c r="L284" i="11" s="1"/>
  <c r="L285" i="11" s="1"/>
  <c r="L286" i="11" s="1"/>
  <c r="L287" i="11" s="1"/>
  <c r="L288" i="11" s="1"/>
  <c r="L289" i="11" s="1"/>
  <c r="L290" i="11" s="1"/>
  <c r="L291" i="11" s="1"/>
  <c r="L292" i="11" s="1"/>
  <c r="L293" i="11" s="1"/>
  <c r="L294" i="11" s="1"/>
  <c r="L295" i="11" s="1"/>
  <c r="L296" i="11" s="1"/>
  <c r="L297" i="11" s="1"/>
  <c r="L298" i="11" s="1"/>
  <c r="L299" i="11" s="1"/>
  <c r="L300" i="11" s="1"/>
  <c r="L301" i="11" s="1"/>
  <c r="L302" i="11" s="1"/>
  <c r="L303" i="11" s="1"/>
  <c r="L304" i="11" s="1"/>
  <c r="M4" i="11"/>
  <c r="C33" i="11"/>
  <c r="B39" i="11"/>
  <c r="C39" i="11"/>
  <c r="D33" i="11"/>
  <c r="C28" i="11"/>
  <c r="D49" i="11"/>
  <c r="B59" i="11"/>
  <c r="C58" i="11"/>
  <c r="C48" i="11"/>
  <c r="D58" i="11"/>
  <c r="D40" i="11"/>
  <c r="B50" i="11"/>
  <c r="A9" i="11"/>
  <c r="E29" i="1"/>
  <c r="B55" i="1"/>
  <c r="A7" i="6"/>
  <c r="B56" i="1"/>
  <c r="G6" i="6" l="1"/>
  <c r="G7" i="6" s="1"/>
  <c r="G8" i="6" s="1"/>
  <c r="Q8" i="11"/>
  <c r="X4" i="6"/>
  <c r="X5" i="6"/>
  <c r="AH5" i="6" s="1"/>
  <c r="X6" i="6"/>
  <c r="F6" i="6"/>
  <c r="AB5" i="6"/>
  <c r="H10" i="6"/>
  <c r="E7" i="6"/>
  <c r="X7" i="6"/>
  <c r="P7" i="6"/>
  <c r="I10" i="6"/>
  <c r="D125" i="6"/>
  <c r="B124" i="6"/>
  <c r="Q4" i="11"/>
  <c r="Q6" i="11"/>
  <c r="Q5" i="11"/>
  <c r="Q7" i="11"/>
  <c r="G34" i="11"/>
  <c r="G35" i="11" s="1"/>
  <c r="G36" i="11" s="1"/>
  <c r="G37" i="11" s="1"/>
  <c r="G38" i="11" s="1"/>
  <c r="G39" i="11" s="1"/>
  <c r="G40" i="11" s="1"/>
  <c r="G41" i="11" s="1"/>
  <c r="F29" i="1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E40" i="11"/>
  <c r="Q9" i="11"/>
  <c r="A10" i="11"/>
  <c r="D41" i="11"/>
  <c r="C49" i="11"/>
  <c r="B40" i="11"/>
  <c r="D50" i="11"/>
  <c r="B51" i="11"/>
  <c r="D59" i="11"/>
  <c r="C59" i="11"/>
  <c r="B60" i="11"/>
  <c r="C40" i="11"/>
  <c r="B57" i="1"/>
  <c r="B58" i="1"/>
  <c r="A8" i="6"/>
  <c r="AG7" i="6" l="1"/>
  <c r="AC7" i="6"/>
  <c r="AC6" i="6"/>
  <c r="AG6" i="6"/>
  <c r="AD5" i="6"/>
  <c r="AG8" i="6"/>
  <c r="AC8" i="6"/>
  <c r="G9" i="6"/>
  <c r="AF6" i="6"/>
  <c r="AB6" i="6"/>
  <c r="F7" i="6"/>
  <c r="H11" i="6"/>
  <c r="E8" i="6"/>
  <c r="X8" i="6"/>
  <c r="P8" i="6"/>
  <c r="D126" i="6"/>
  <c r="I11" i="6"/>
  <c r="B125" i="6"/>
  <c r="G42" i="11"/>
  <c r="E41" i="11"/>
  <c r="F41" i="11"/>
  <c r="Q10" i="11"/>
  <c r="A11" i="11"/>
  <c r="B41" i="11"/>
  <c r="C60" i="11"/>
  <c r="D60" i="11"/>
  <c r="C50" i="11"/>
  <c r="B52" i="11"/>
  <c r="D42" i="11"/>
  <c r="C41" i="11"/>
  <c r="D51" i="11"/>
  <c r="M5" i="11"/>
  <c r="B61" i="11"/>
  <c r="A9" i="6"/>
  <c r="AH6" i="6" l="1"/>
  <c r="AD6" i="6"/>
  <c r="AG9" i="6"/>
  <c r="AC9" i="6"/>
  <c r="G10" i="6"/>
  <c r="AF7" i="6"/>
  <c r="AH7" i="6" s="1"/>
  <c r="AB7" i="6"/>
  <c r="AD7" i="6" s="1"/>
  <c r="F8" i="6"/>
  <c r="H12" i="6"/>
  <c r="E9" i="6"/>
  <c r="X9" i="6"/>
  <c r="P9" i="6"/>
  <c r="D127" i="6"/>
  <c r="I12" i="6"/>
  <c r="B126" i="6"/>
  <c r="G43" i="11"/>
  <c r="F42" i="11"/>
  <c r="E42" i="11"/>
  <c r="D43" i="11"/>
  <c r="B62" i="11"/>
  <c r="B42" i="11"/>
  <c r="M6" i="11"/>
  <c r="D52" i="11"/>
  <c r="C42" i="11"/>
  <c r="B53" i="11"/>
  <c r="D61" i="11"/>
  <c r="C61" i="11"/>
  <c r="C51" i="11"/>
  <c r="Q11" i="11"/>
  <c r="A12" i="11"/>
  <c r="A10" i="6"/>
  <c r="AG10" i="6" l="1"/>
  <c r="G11" i="6"/>
  <c r="AC10" i="6"/>
  <c r="AF8" i="6"/>
  <c r="AH8" i="6" s="1"/>
  <c r="F9" i="6"/>
  <c r="AB8" i="6"/>
  <c r="AD8" i="6" s="1"/>
  <c r="H13" i="6"/>
  <c r="AE9" i="6"/>
  <c r="E10" i="6"/>
  <c r="AA9" i="6"/>
  <c r="I13" i="6"/>
  <c r="D128" i="6"/>
  <c r="X10" i="6"/>
  <c r="P10" i="6"/>
  <c r="B127" i="6"/>
  <c r="E43" i="11"/>
  <c r="F43" i="11"/>
  <c r="G44" i="11"/>
  <c r="G45" i="11" s="1"/>
  <c r="G46" i="11" s="1"/>
  <c r="G47" i="11" s="1"/>
  <c r="G48" i="11" s="1"/>
  <c r="G49" i="11" s="1"/>
  <c r="G50" i="11" s="1"/>
  <c r="G51" i="11" s="1"/>
  <c r="G52" i="11" s="1"/>
  <c r="G53" i="11" s="1"/>
  <c r="Q12" i="11"/>
  <c r="A13" i="11"/>
  <c r="C43" i="11"/>
  <c r="M7" i="11"/>
  <c r="B63" i="11"/>
  <c r="D62" i="11"/>
  <c r="D53" i="11"/>
  <c r="C62" i="11"/>
  <c r="C52" i="11"/>
  <c r="B43" i="11"/>
  <c r="E30" i="1"/>
  <c r="A11" i="6"/>
  <c r="AF9" i="6" l="1"/>
  <c r="AH9" i="6" s="1"/>
  <c r="AB9" i="6"/>
  <c r="AD9" i="6" s="1"/>
  <c r="F10" i="6"/>
  <c r="AG11" i="6"/>
  <c r="AC11" i="6"/>
  <c r="G12" i="6"/>
  <c r="H14" i="6"/>
  <c r="AE10" i="6"/>
  <c r="E11" i="6"/>
  <c r="AA10" i="6"/>
  <c r="X11" i="6"/>
  <c r="P11" i="6"/>
  <c r="I14" i="6"/>
  <c r="D129" i="6"/>
  <c r="B128" i="6"/>
  <c r="N7" i="11"/>
  <c r="N4" i="11"/>
  <c r="N5" i="11"/>
  <c r="N6" i="11"/>
  <c r="G54" i="11"/>
  <c r="G55" i="11" s="1"/>
  <c r="G56" i="11" s="1"/>
  <c r="G57" i="11" s="1"/>
  <c r="G58" i="11" s="1"/>
  <c r="G59" i="11" s="1"/>
  <c r="G60" i="11" s="1"/>
  <c r="G61" i="11" s="1"/>
  <c r="G62" i="11" s="1"/>
  <c r="G63" i="11" s="1"/>
  <c r="F44" i="11"/>
  <c r="F45" i="11" s="1"/>
  <c r="F46" i="11" s="1"/>
  <c r="F47" i="11" s="1"/>
  <c r="F48" i="11" s="1"/>
  <c r="F49" i="11" s="1"/>
  <c r="F50" i="11" s="1"/>
  <c r="F51" i="11" s="1"/>
  <c r="F52" i="11" s="1"/>
  <c r="F53" i="11" s="1"/>
  <c r="E44" i="1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D63" i="11"/>
  <c r="Q13" i="11"/>
  <c r="A14" i="11"/>
  <c r="C63" i="11"/>
  <c r="C53" i="11"/>
  <c r="M8" i="11"/>
  <c r="N8" i="11"/>
  <c r="B11" i="1"/>
  <c r="A12" i="6"/>
  <c r="AF10" i="6" l="1"/>
  <c r="AH10" i="6" s="1"/>
  <c r="AB10" i="6"/>
  <c r="AD10" i="6" s="1"/>
  <c r="F11" i="6"/>
  <c r="AG12" i="6"/>
  <c r="G13" i="6"/>
  <c r="AC12" i="6"/>
  <c r="H15" i="6"/>
  <c r="AE11" i="6"/>
  <c r="AA11" i="6"/>
  <c r="E12" i="6"/>
  <c r="I15" i="6"/>
  <c r="X12" i="6"/>
  <c r="P12" i="6"/>
  <c r="D130" i="6"/>
  <c r="B129" i="6"/>
  <c r="B10" i="1"/>
  <c r="F54" i="1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148" i="11" s="1"/>
  <c r="F149" i="11" s="1"/>
  <c r="F150" i="11" s="1"/>
  <c r="F151" i="11" s="1"/>
  <c r="F152" i="11" s="1"/>
  <c r="F153" i="11" s="1"/>
  <c r="F154" i="11" s="1"/>
  <c r="F155" i="11" s="1"/>
  <c r="F156" i="11" s="1"/>
  <c r="F157" i="11" s="1"/>
  <c r="F158" i="11" s="1"/>
  <c r="F159" i="11" s="1"/>
  <c r="F160" i="11" s="1"/>
  <c r="F161" i="11" s="1"/>
  <c r="F162" i="11" s="1"/>
  <c r="F163" i="11" s="1"/>
  <c r="F164" i="11" s="1"/>
  <c r="F165" i="11" s="1"/>
  <c r="F166" i="11" s="1"/>
  <c r="F167" i="11" s="1"/>
  <c r="F168" i="11" s="1"/>
  <c r="F169" i="11" s="1"/>
  <c r="F170" i="11" s="1"/>
  <c r="F171" i="11" s="1"/>
  <c r="F172" i="11" s="1"/>
  <c r="F173" i="11" s="1"/>
  <c r="F174" i="11" s="1"/>
  <c r="F175" i="11" s="1"/>
  <c r="F176" i="11" s="1"/>
  <c r="F177" i="11" s="1"/>
  <c r="F178" i="11" s="1"/>
  <c r="F179" i="11" s="1"/>
  <c r="F180" i="11" s="1"/>
  <c r="F181" i="11" s="1"/>
  <c r="F182" i="11" s="1"/>
  <c r="F183" i="11" s="1"/>
  <c r="F184" i="11" s="1"/>
  <c r="F185" i="11" s="1"/>
  <c r="F186" i="11" s="1"/>
  <c r="F187" i="11" s="1"/>
  <c r="F188" i="11" s="1"/>
  <c r="F189" i="11" s="1"/>
  <c r="F190" i="11" s="1"/>
  <c r="F191" i="11" s="1"/>
  <c r="F192" i="11" s="1"/>
  <c r="F193" i="11" s="1"/>
  <c r="F194" i="11" s="1"/>
  <c r="F195" i="11" s="1"/>
  <c r="F196" i="11" s="1"/>
  <c r="F197" i="11" s="1"/>
  <c r="F198" i="11" s="1"/>
  <c r="F199" i="11" s="1"/>
  <c r="F200" i="11" s="1"/>
  <c r="F201" i="11" s="1"/>
  <c r="F202" i="11" s="1"/>
  <c r="F203" i="11" s="1"/>
  <c r="F204" i="11" s="1"/>
  <c r="F205" i="11" s="1"/>
  <c r="F206" i="11" s="1"/>
  <c r="F207" i="11" s="1"/>
  <c r="F208" i="11" s="1"/>
  <c r="F209" i="11" s="1"/>
  <c r="F210" i="11" s="1"/>
  <c r="F211" i="11" s="1"/>
  <c r="F212" i="11" s="1"/>
  <c r="F213" i="11" s="1"/>
  <c r="F214" i="11" s="1"/>
  <c r="F215" i="11" s="1"/>
  <c r="F216" i="11" s="1"/>
  <c r="F217" i="11" s="1"/>
  <c r="F218" i="11" s="1"/>
  <c r="F219" i="11" s="1"/>
  <c r="F220" i="11" s="1"/>
  <c r="F221" i="11" s="1"/>
  <c r="F222" i="11" s="1"/>
  <c r="F223" i="11" s="1"/>
  <c r="F224" i="11" s="1"/>
  <c r="F225" i="11" s="1"/>
  <c r="F226" i="11" s="1"/>
  <c r="F227" i="11" s="1"/>
  <c r="F228" i="11" s="1"/>
  <c r="F229" i="11" s="1"/>
  <c r="F230" i="11" s="1"/>
  <c r="F231" i="11" s="1"/>
  <c r="F232" i="11" s="1"/>
  <c r="F233" i="11" s="1"/>
  <c r="F234" i="11" s="1"/>
  <c r="F235" i="11" s="1"/>
  <c r="F236" i="11" s="1"/>
  <c r="F237" i="11" s="1"/>
  <c r="F238" i="11" s="1"/>
  <c r="F239" i="11" s="1"/>
  <c r="F240" i="11" s="1"/>
  <c r="F241" i="11" s="1"/>
  <c r="F242" i="11" s="1"/>
  <c r="F243" i="11" s="1"/>
  <c r="F244" i="11" s="1"/>
  <c r="F245" i="11" s="1"/>
  <c r="F246" i="11" s="1"/>
  <c r="F247" i="11" s="1"/>
  <c r="F248" i="11" s="1"/>
  <c r="F249" i="11" s="1"/>
  <c r="F250" i="11" s="1"/>
  <c r="F251" i="11" s="1"/>
  <c r="F252" i="11" s="1"/>
  <c r="F253" i="11" s="1"/>
  <c r="F254" i="11" s="1"/>
  <c r="F255" i="11" s="1"/>
  <c r="F256" i="11" s="1"/>
  <c r="F257" i="11" s="1"/>
  <c r="F258" i="11" s="1"/>
  <c r="F259" i="11" s="1"/>
  <c r="F260" i="11" s="1"/>
  <c r="F261" i="11" s="1"/>
  <c r="F262" i="11" s="1"/>
  <c r="F263" i="11" s="1"/>
  <c r="F264" i="11" s="1"/>
  <c r="F265" i="11" s="1"/>
  <c r="F266" i="11" s="1"/>
  <c r="F267" i="11" s="1"/>
  <c r="F268" i="11" s="1"/>
  <c r="F269" i="11" s="1"/>
  <c r="F270" i="11" s="1"/>
  <c r="F271" i="11" s="1"/>
  <c r="F272" i="11" s="1"/>
  <c r="F273" i="11" s="1"/>
  <c r="F274" i="11" s="1"/>
  <c r="F275" i="11" s="1"/>
  <c r="F276" i="11" s="1"/>
  <c r="F277" i="11" s="1"/>
  <c r="F278" i="11" s="1"/>
  <c r="F279" i="11" s="1"/>
  <c r="F280" i="11" s="1"/>
  <c r="F281" i="11" s="1"/>
  <c r="F282" i="11" s="1"/>
  <c r="F283" i="11" s="1"/>
  <c r="F284" i="11" s="1"/>
  <c r="F285" i="11" s="1"/>
  <c r="F286" i="11" s="1"/>
  <c r="F287" i="11" s="1"/>
  <c r="F288" i="11" s="1"/>
  <c r="F289" i="11" s="1"/>
  <c r="F290" i="11" s="1"/>
  <c r="F291" i="11" s="1"/>
  <c r="F292" i="11" s="1"/>
  <c r="F293" i="11" s="1"/>
  <c r="F294" i="11" s="1"/>
  <c r="F295" i="11" s="1"/>
  <c r="F296" i="11" s="1"/>
  <c r="F297" i="11" s="1"/>
  <c r="F298" i="11" s="1"/>
  <c r="F299" i="11" s="1"/>
  <c r="F300" i="11" s="1"/>
  <c r="F301" i="11" s="1"/>
  <c r="F302" i="11" s="1"/>
  <c r="F303" i="11" s="1"/>
  <c r="F304" i="11" s="1"/>
  <c r="G64" i="1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G101" i="11" s="1"/>
  <c r="G102" i="11" s="1"/>
  <c r="G103" i="11" s="1"/>
  <c r="G104" i="11" s="1"/>
  <c r="G105" i="11" s="1"/>
  <c r="G106" i="11" s="1"/>
  <c r="G107" i="11" s="1"/>
  <c r="G108" i="11" s="1"/>
  <c r="G109" i="11" s="1"/>
  <c r="G110" i="11" s="1"/>
  <c r="G111" i="11" s="1"/>
  <c r="G112" i="11" s="1"/>
  <c r="G113" i="11" s="1"/>
  <c r="G114" i="11" s="1"/>
  <c r="G115" i="11" s="1"/>
  <c r="G116" i="11" s="1"/>
  <c r="G117" i="11" s="1"/>
  <c r="G118" i="11" s="1"/>
  <c r="G119" i="11" s="1"/>
  <c r="G120" i="11" s="1"/>
  <c r="G121" i="11" s="1"/>
  <c r="G122" i="11" s="1"/>
  <c r="G123" i="11" s="1"/>
  <c r="G124" i="11" s="1"/>
  <c r="G125" i="11" s="1"/>
  <c r="G126" i="11" s="1"/>
  <c r="G127" i="11" s="1"/>
  <c r="G128" i="11" s="1"/>
  <c r="G129" i="11" s="1"/>
  <c r="G130" i="11" s="1"/>
  <c r="G131" i="11" s="1"/>
  <c r="G132" i="11" s="1"/>
  <c r="G133" i="11" s="1"/>
  <c r="G134" i="11" s="1"/>
  <c r="G135" i="11" s="1"/>
  <c r="G136" i="11" s="1"/>
  <c r="G137" i="11" s="1"/>
  <c r="G138" i="11" s="1"/>
  <c r="G139" i="11" s="1"/>
  <c r="G140" i="11" s="1"/>
  <c r="G141" i="11" s="1"/>
  <c r="G142" i="11" s="1"/>
  <c r="G143" i="11" s="1"/>
  <c r="G144" i="11" s="1"/>
  <c r="G145" i="11" s="1"/>
  <c r="G146" i="11" s="1"/>
  <c r="G147" i="11" s="1"/>
  <c r="G148" i="11" s="1"/>
  <c r="G149" i="11" s="1"/>
  <c r="G150" i="11" s="1"/>
  <c r="G151" i="11" s="1"/>
  <c r="G152" i="11" s="1"/>
  <c r="G153" i="11" s="1"/>
  <c r="G154" i="11" s="1"/>
  <c r="G155" i="11" s="1"/>
  <c r="G156" i="11" s="1"/>
  <c r="G157" i="11" s="1"/>
  <c r="G158" i="11" s="1"/>
  <c r="G159" i="11" s="1"/>
  <c r="G160" i="11" s="1"/>
  <c r="G161" i="11" s="1"/>
  <c r="G162" i="11" s="1"/>
  <c r="G163" i="11" s="1"/>
  <c r="G164" i="11" s="1"/>
  <c r="G165" i="11" s="1"/>
  <c r="G166" i="11" s="1"/>
  <c r="G167" i="11" s="1"/>
  <c r="G168" i="11" s="1"/>
  <c r="G169" i="11" s="1"/>
  <c r="G170" i="11" s="1"/>
  <c r="G171" i="11" s="1"/>
  <c r="G172" i="11" s="1"/>
  <c r="G173" i="11" s="1"/>
  <c r="G174" i="11" s="1"/>
  <c r="G175" i="11" s="1"/>
  <c r="G176" i="11" s="1"/>
  <c r="G177" i="11" s="1"/>
  <c r="G178" i="11" s="1"/>
  <c r="G179" i="11" s="1"/>
  <c r="G180" i="11" s="1"/>
  <c r="G181" i="11" s="1"/>
  <c r="G182" i="11" s="1"/>
  <c r="G183" i="11" s="1"/>
  <c r="G184" i="11" s="1"/>
  <c r="G185" i="11" s="1"/>
  <c r="G186" i="11" s="1"/>
  <c r="G187" i="11" s="1"/>
  <c r="G188" i="11" s="1"/>
  <c r="G189" i="11" s="1"/>
  <c r="G190" i="11" s="1"/>
  <c r="G191" i="11" s="1"/>
  <c r="G192" i="11" s="1"/>
  <c r="G193" i="11" s="1"/>
  <c r="G194" i="11" s="1"/>
  <c r="G195" i="11" s="1"/>
  <c r="G196" i="11" s="1"/>
  <c r="G197" i="11" s="1"/>
  <c r="G198" i="11" s="1"/>
  <c r="G199" i="11" s="1"/>
  <c r="G200" i="11" s="1"/>
  <c r="G201" i="11" s="1"/>
  <c r="G202" i="11" s="1"/>
  <c r="G203" i="11" s="1"/>
  <c r="G204" i="11" s="1"/>
  <c r="G205" i="11" s="1"/>
  <c r="G206" i="11" s="1"/>
  <c r="G207" i="11" s="1"/>
  <c r="G208" i="11" s="1"/>
  <c r="G209" i="11" s="1"/>
  <c r="G210" i="11" s="1"/>
  <c r="G211" i="11" s="1"/>
  <c r="G212" i="11" s="1"/>
  <c r="G213" i="11" s="1"/>
  <c r="G214" i="11" s="1"/>
  <c r="G215" i="11" s="1"/>
  <c r="G216" i="11" s="1"/>
  <c r="G217" i="11" s="1"/>
  <c r="G218" i="11" s="1"/>
  <c r="G219" i="11" s="1"/>
  <c r="G220" i="11" s="1"/>
  <c r="G221" i="11" s="1"/>
  <c r="G222" i="11" s="1"/>
  <c r="G223" i="11" s="1"/>
  <c r="G224" i="11" s="1"/>
  <c r="G225" i="11" s="1"/>
  <c r="G226" i="11" s="1"/>
  <c r="G227" i="11" s="1"/>
  <c r="G228" i="11" s="1"/>
  <c r="G229" i="11" s="1"/>
  <c r="G230" i="11" s="1"/>
  <c r="G231" i="11" s="1"/>
  <c r="G232" i="11" s="1"/>
  <c r="G233" i="11" s="1"/>
  <c r="G234" i="11" s="1"/>
  <c r="G235" i="11" s="1"/>
  <c r="G236" i="11" s="1"/>
  <c r="G237" i="11" s="1"/>
  <c r="G238" i="11" s="1"/>
  <c r="G239" i="11" s="1"/>
  <c r="G240" i="11" s="1"/>
  <c r="G241" i="11" s="1"/>
  <c r="G242" i="11" s="1"/>
  <c r="G243" i="11" s="1"/>
  <c r="G244" i="11" s="1"/>
  <c r="G245" i="11" s="1"/>
  <c r="G246" i="11" s="1"/>
  <c r="G247" i="11" s="1"/>
  <c r="G248" i="11" s="1"/>
  <c r="G249" i="11" s="1"/>
  <c r="G250" i="11" s="1"/>
  <c r="G251" i="11" s="1"/>
  <c r="G252" i="11" s="1"/>
  <c r="G253" i="11" s="1"/>
  <c r="G254" i="11" s="1"/>
  <c r="G255" i="11" s="1"/>
  <c r="G256" i="11" s="1"/>
  <c r="G257" i="11" s="1"/>
  <c r="G258" i="11" s="1"/>
  <c r="G259" i="11" s="1"/>
  <c r="G260" i="11" s="1"/>
  <c r="G261" i="11" s="1"/>
  <c r="G262" i="11" s="1"/>
  <c r="G263" i="11" s="1"/>
  <c r="G264" i="11" s="1"/>
  <c r="G265" i="11" s="1"/>
  <c r="G266" i="11" s="1"/>
  <c r="G267" i="11" s="1"/>
  <c r="G268" i="11" s="1"/>
  <c r="G269" i="11" s="1"/>
  <c r="G270" i="11" s="1"/>
  <c r="G271" i="11" s="1"/>
  <c r="G272" i="11" s="1"/>
  <c r="G273" i="11" s="1"/>
  <c r="G274" i="11" s="1"/>
  <c r="G275" i="11" s="1"/>
  <c r="G276" i="11" s="1"/>
  <c r="G277" i="11" s="1"/>
  <c r="G278" i="11" s="1"/>
  <c r="G279" i="11" s="1"/>
  <c r="G280" i="11" s="1"/>
  <c r="G281" i="11" s="1"/>
  <c r="G282" i="11" s="1"/>
  <c r="G283" i="11" s="1"/>
  <c r="G284" i="11" s="1"/>
  <c r="G285" i="11" s="1"/>
  <c r="G286" i="11" s="1"/>
  <c r="G287" i="11" s="1"/>
  <c r="G288" i="11" s="1"/>
  <c r="G289" i="11" s="1"/>
  <c r="G290" i="11" s="1"/>
  <c r="G291" i="11" s="1"/>
  <c r="G292" i="11" s="1"/>
  <c r="G293" i="11" s="1"/>
  <c r="G294" i="11" s="1"/>
  <c r="G295" i="11" s="1"/>
  <c r="G296" i="11" s="1"/>
  <c r="G297" i="11" s="1"/>
  <c r="G298" i="11" s="1"/>
  <c r="G299" i="11" s="1"/>
  <c r="G300" i="11" s="1"/>
  <c r="G301" i="11" s="1"/>
  <c r="G302" i="11" s="1"/>
  <c r="G303" i="11" s="1"/>
  <c r="G304" i="11" s="1"/>
  <c r="Q14" i="11"/>
  <c r="A15" i="11"/>
  <c r="M9" i="11"/>
  <c r="N9" i="11"/>
  <c r="A13" i="6"/>
  <c r="AG13" i="6" l="1"/>
  <c r="G14" i="6"/>
  <c r="AC13" i="6"/>
  <c r="AF11" i="6"/>
  <c r="AH11" i="6" s="1"/>
  <c r="F12" i="6"/>
  <c r="AB11" i="6"/>
  <c r="AD11" i="6" s="1"/>
  <c r="H16" i="6"/>
  <c r="E33" i="1"/>
  <c r="V4" i="6"/>
  <c r="AE12" i="6"/>
  <c r="AA12" i="6"/>
  <c r="E13" i="6"/>
  <c r="D131" i="6"/>
  <c r="P13" i="6"/>
  <c r="X13" i="6"/>
  <c r="I16" i="6"/>
  <c r="B130" i="6"/>
  <c r="O7" i="11"/>
  <c r="T7" i="11" s="1"/>
  <c r="E32" i="1"/>
  <c r="O6" i="11"/>
  <c r="P6" i="11" s="1"/>
  <c r="R6" i="11" s="1"/>
  <c r="O9" i="11"/>
  <c r="T9" i="11" s="1"/>
  <c r="O5" i="11"/>
  <c r="T5" i="11" s="1"/>
  <c r="O4" i="11"/>
  <c r="P4" i="11" s="1"/>
  <c r="R4" i="11" s="1"/>
  <c r="B29" i="1"/>
  <c r="J4" i="6" s="1"/>
  <c r="G25" i="1"/>
  <c r="O8" i="11"/>
  <c r="P8" i="11" s="1"/>
  <c r="R8" i="11" s="1"/>
  <c r="Q15" i="11"/>
  <c r="A16" i="11"/>
  <c r="M10" i="11"/>
  <c r="N10" i="11"/>
  <c r="O10" i="11" s="1"/>
  <c r="E31" i="1"/>
  <c r="A14" i="6"/>
  <c r="AG14" i="6" l="1"/>
  <c r="G15" i="6"/>
  <c r="AC14" i="6"/>
  <c r="AF12" i="6"/>
  <c r="AH12" i="6" s="1"/>
  <c r="F13" i="6"/>
  <c r="AB12" i="6"/>
  <c r="AD12" i="6" s="1"/>
  <c r="H17" i="6"/>
  <c r="AM4" i="6"/>
  <c r="AN4" i="6"/>
  <c r="AO4" i="6"/>
  <c r="W4" i="6"/>
  <c r="AT4" i="6"/>
  <c r="AP4" i="6"/>
  <c r="AR4" i="6" s="1"/>
  <c r="J5" i="6"/>
  <c r="AE13" i="6"/>
  <c r="E14" i="6"/>
  <c r="AA13" i="6"/>
  <c r="X14" i="6"/>
  <c r="P14" i="6"/>
  <c r="D132" i="6"/>
  <c r="I17" i="6"/>
  <c r="B131" i="6"/>
  <c r="P7" i="11"/>
  <c r="R7" i="11" s="1"/>
  <c r="E27" i="1"/>
  <c r="E25" i="1"/>
  <c r="T4" i="11"/>
  <c r="T6" i="11"/>
  <c r="P9" i="11"/>
  <c r="R9" i="11" s="1"/>
  <c r="P5" i="11"/>
  <c r="R5" i="11" s="1"/>
  <c r="G26" i="1"/>
  <c r="T8" i="11"/>
  <c r="Q16" i="11"/>
  <c r="A17" i="11"/>
  <c r="M11" i="11"/>
  <c r="N11" i="11"/>
  <c r="O11" i="11" s="1"/>
  <c r="P10" i="11"/>
  <c r="R10" i="11" s="1"/>
  <c r="T10" i="11"/>
  <c r="A15" i="6"/>
  <c r="AG15" i="6" l="1"/>
  <c r="G16" i="6"/>
  <c r="AC15" i="6"/>
  <c r="AF13" i="6"/>
  <c r="AH13" i="6" s="1"/>
  <c r="F14" i="6"/>
  <c r="AB13" i="6"/>
  <c r="AD13" i="6" s="1"/>
  <c r="H18" i="6"/>
  <c r="Y4" i="6"/>
  <c r="AM5" i="6"/>
  <c r="AN5" i="6"/>
  <c r="J6" i="6"/>
  <c r="AE14" i="6"/>
  <c r="E15" i="6"/>
  <c r="AA14" i="6"/>
  <c r="P15" i="6"/>
  <c r="X15" i="6"/>
  <c r="I18" i="6"/>
  <c r="D133" i="6"/>
  <c r="B132" i="6"/>
  <c r="Q17" i="11"/>
  <c r="A18" i="11"/>
  <c r="M12" i="11"/>
  <c r="N12" i="11"/>
  <c r="O12" i="11" s="1"/>
  <c r="P11" i="11"/>
  <c r="R11" i="11" s="1"/>
  <c r="T11" i="11"/>
  <c r="A16" i="6"/>
  <c r="AF14" i="6" l="1"/>
  <c r="AH14" i="6" s="1"/>
  <c r="F15" i="6"/>
  <c r="AB14" i="6"/>
  <c r="AD14" i="6" s="1"/>
  <c r="AG16" i="6"/>
  <c r="G17" i="6"/>
  <c r="AC16" i="6"/>
  <c r="AM6" i="6"/>
  <c r="AN6" i="6"/>
  <c r="H19" i="6"/>
  <c r="AE15" i="6"/>
  <c r="AA15" i="6"/>
  <c r="E16" i="6"/>
  <c r="J7" i="6"/>
  <c r="D134" i="6"/>
  <c r="I19" i="6"/>
  <c r="P16" i="6"/>
  <c r="X16" i="6"/>
  <c r="B133" i="6"/>
  <c r="P12" i="11"/>
  <c r="R12" i="11" s="1"/>
  <c r="T12" i="11"/>
  <c r="M13" i="11"/>
  <c r="N13" i="11"/>
  <c r="O13" i="11" s="1"/>
  <c r="Q18" i="11"/>
  <c r="A19" i="11"/>
  <c r="A17" i="6"/>
  <c r="AF15" i="6" l="1"/>
  <c r="AH15" i="6" s="1"/>
  <c r="AB15" i="6"/>
  <c r="AD15" i="6" s="1"/>
  <c r="F16" i="6"/>
  <c r="AG17" i="6"/>
  <c r="G18" i="6"/>
  <c r="AC17" i="6"/>
  <c r="AM7" i="6"/>
  <c r="AN7" i="6"/>
  <c r="H20" i="6"/>
  <c r="AE16" i="6"/>
  <c r="E17" i="6"/>
  <c r="AA16" i="6"/>
  <c r="J8" i="6"/>
  <c r="X17" i="6"/>
  <c r="P17" i="6"/>
  <c r="I20" i="6"/>
  <c r="D135" i="6"/>
  <c r="B134" i="6"/>
  <c r="A20" i="11"/>
  <c r="Q19" i="11"/>
  <c r="M14" i="11"/>
  <c r="N14" i="11"/>
  <c r="O14" i="11" s="1"/>
  <c r="P13" i="11"/>
  <c r="R13" i="11" s="1"/>
  <c r="T13" i="11"/>
  <c r="A18" i="6"/>
  <c r="AF16" i="6" l="1"/>
  <c r="AH16" i="6" s="1"/>
  <c r="AB16" i="6"/>
  <c r="AD16" i="6" s="1"/>
  <c r="F17" i="6"/>
  <c r="AG18" i="6"/>
  <c r="AC18" i="6"/>
  <c r="G19" i="6"/>
  <c r="AM8" i="6"/>
  <c r="AN8" i="6"/>
  <c r="H21" i="6"/>
  <c r="J9" i="6"/>
  <c r="AE17" i="6"/>
  <c r="AA17" i="6"/>
  <c r="E18" i="6"/>
  <c r="D136" i="6"/>
  <c r="I21" i="6"/>
  <c r="P18" i="6"/>
  <c r="X18" i="6"/>
  <c r="B135" i="6"/>
  <c r="A21" i="11"/>
  <c r="Q20" i="11"/>
  <c r="M15" i="11"/>
  <c r="N15" i="11"/>
  <c r="O15" i="11" s="1"/>
  <c r="P14" i="11"/>
  <c r="R14" i="11" s="1"/>
  <c r="T14" i="11"/>
  <c r="A19" i="6"/>
  <c r="AF17" i="6" l="1"/>
  <c r="AH17" i="6" s="1"/>
  <c r="F18" i="6"/>
  <c r="AB17" i="6"/>
  <c r="AD17" i="6" s="1"/>
  <c r="AG19" i="6"/>
  <c r="AC19" i="6"/>
  <c r="G20" i="6"/>
  <c r="AM9" i="6"/>
  <c r="AN9" i="6"/>
  <c r="H22" i="6"/>
  <c r="AE18" i="6"/>
  <c r="AA18" i="6"/>
  <c r="E19" i="6"/>
  <c r="J10" i="6"/>
  <c r="D137" i="6"/>
  <c r="P19" i="6"/>
  <c r="X19" i="6"/>
  <c r="I22" i="6"/>
  <c r="B136" i="6"/>
  <c r="M16" i="11"/>
  <c r="N16" i="11"/>
  <c r="O16" i="11" s="1"/>
  <c r="P15" i="11"/>
  <c r="R15" i="11" s="1"/>
  <c r="T15" i="11"/>
  <c r="Q21" i="11"/>
  <c r="A22" i="11"/>
  <c r="A20" i="6"/>
  <c r="AF18" i="6" l="1"/>
  <c r="AH18" i="6" s="1"/>
  <c r="F19" i="6"/>
  <c r="AB18" i="6"/>
  <c r="AD18" i="6" s="1"/>
  <c r="AG20" i="6"/>
  <c r="AC20" i="6"/>
  <c r="G21" i="6"/>
  <c r="AM10" i="6"/>
  <c r="AN10" i="6"/>
  <c r="H23" i="6"/>
  <c r="AE19" i="6"/>
  <c r="AA19" i="6"/>
  <c r="E20" i="6"/>
  <c r="J11" i="6"/>
  <c r="I23" i="6"/>
  <c r="P20" i="6"/>
  <c r="X20" i="6"/>
  <c r="D138" i="6"/>
  <c r="B137" i="6"/>
  <c r="Q22" i="11"/>
  <c r="A23" i="11"/>
  <c r="P16" i="11"/>
  <c r="R16" i="11" s="1"/>
  <c r="T16" i="11"/>
  <c r="M17" i="11"/>
  <c r="N17" i="11"/>
  <c r="O17" i="11" s="1"/>
  <c r="A21" i="6"/>
  <c r="AF19" i="6" l="1"/>
  <c r="AH19" i="6" s="1"/>
  <c r="F20" i="6"/>
  <c r="AB19" i="6"/>
  <c r="AD19" i="6" s="1"/>
  <c r="AG21" i="6"/>
  <c r="G22" i="6"/>
  <c r="AC21" i="6"/>
  <c r="H24" i="6"/>
  <c r="AM11" i="6"/>
  <c r="AN11" i="6"/>
  <c r="J12" i="6"/>
  <c r="AE20" i="6"/>
  <c r="E21" i="6"/>
  <c r="AA20" i="6"/>
  <c r="I24" i="6"/>
  <c r="D139" i="6"/>
  <c r="P21" i="6"/>
  <c r="X21" i="6"/>
  <c r="B138" i="6"/>
  <c r="A24" i="11"/>
  <c r="Q23" i="11"/>
  <c r="M18" i="11"/>
  <c r="N18" i="11"/>
  <c r="O18" i="11" s="1"/>
  <c r="P17" i="11"/>
  <c r="R17" i="11" s="1"/>
  <c r="T17" i="11"/>
  <c r="A22" i="6"/>
  <c r="AF20" i="6" l="1"/>
  <c r="AH20" i="6" s="1"/>
  <c r="AB20" i="6"/>
  <c r="AD20" i="6" s="1"/>
  <c r="F21" i="6"/>
  <c r="AG22" i="6"/>
  <c r="AC22" i="6"/>
  <c r="G23" i="6"/>
  <c r="H25" i="6"/>
  <c r="AM12" i="6"/>
  <c r="AN12" i="6"/>
  <c r="AE21" i="6"/>
  <c r="AA21" i="6"/>
  <c r="E22" i="6"/>
  <c r="J13" i="6"/>
  <c r="D140" i="6"/>
  <c r="I25" i="6"/>
  <c r="X22" i="6"/>
  <c r="P22" i="6"/>
  <c r="B139" i="6"/>
  <c r="P18" i="11"/>
  <c r="R18" i="11" s="1"/>
  <c r="T18" i="11"/>
  <c r="A25" i="11"/>
  <c r="Q24" i="11"/>
  <c r="M19" i="11"/>
  <c r="N19" i="11"/>
  <c r="O19" i="11" s="1"/>
  <c r="A23" i="6"/>
  <c r="AF21" i="6" l="1"/>
  <c r="AH21" i="6" s="1"/>
  <c r="AB21" i="6"/>
  <c r="AD21" i="6" s="1"/>
  <c r="F22" i="6"/>
  <c r="AG23" i="6"/>
  <c r="G24" i="6"/>
  <c r="AC23" i="6"/>
  <c r="AM13" i="6"/>
  <c r="AN13" i="6"/>
  <c r="H26" i="6"/>
  <c r="J14" i="6"/>
  <c r="AE22" i="6"/>
  <c r="AA22" i="6"/>
  <c r="E23" i="6"/>
  <c r="I26" i="6"/>
  <c r="D141" i="6"/>
  <c r="P23" i="6"/>
  <c r="X23" i="6"/>
  <c r="B140" i="6"/>
  <c r="M20" i="11"/>
  <c r="N20" i="11"/>
  <c r="O20" i="11" s="1"/>
  <c r="P19" i="11"/>
  <c r="R19" i="11" s="1"/>
  <c r="T19" i="11"/>
  <c r="Q25" i="11"/>
  <c r="A26" i="11"/>
  <c r="A24" i="6"/>
  <c r="AF22" i="6" l="1"/>
  <c r="AH22" i="6" s="1"/>
  <c r="F23" i="6"/>
  <c r="AB22" i="6"/>
  <c r="AD22" i="6" s="1"/>
  <c r="AG24" i="6"/>
  <c r="AC24" i="6"/>
  <c r="G25" i="6"/>
  <c r="AM14" i="6"/>
  <c r="AN14" i="6"/>
  <c r="H27" i="6"/>
  <c r="AE23" i="6"/>
  <c r="AA23" i="6"/>
  <c r="E24" i="6"/>
  <c r="J15" i="6"/>
  <c r="D142" i="6"/>
  <c r="P24" i="6"/>
  <c r="X24" i="6"/>
  <c r="I27" i="6"/>
  <c r="B141" i="6"/>
  <c r="Q26" i="11"/>
  <c r="A27" i="11"/>
  <c r="M21" i="11"/>
  <c r="N21" i="11"/>
  <c r="O21" i="11" s="1"/>
  <c r="T20" i="11"/>
  <c r="P20" i="11"/>
  <c r="R20" i="11" s="1"/>
  <c r="A25" i="6"/>
  <c r="AF23" i="6" l="1"/>
  <c r="AH23" i="6" s="1"/>
  <c r="AB23" i="6"/>
  <c r="AD23" i="6" s="1"/>
  <c r="F24" i="6"/>
  <c r="AG25" i="6"/>
  <c r="AC25" i="6"/>
  <c r="G26" i="6"/>
  <c r="H28" i="6"/>
  <c r="AM15" i="6"/>
  <c r="AN15" i="6"/>
  <c r="J16" i="6"/>
  <c r="AE24" i="6"/>
  <c r="E25" i="6"/>
  <c r="AA24" i="6"/>
  <c r="P25" i="6"/>
  <c r="X25" i="6"/>
  <c r="D143" i="6"/>
  <c r="I28" i="6"/>
  <c r="B142" i="6"/>
  <c r="M22" i="11"/>
  <c r="N22" i="11"/>
  <c r="O22" i="11" s="1"/>
  <c r="P21" i="11"/>
  <c r="R21" i="11" s="1"/>
  <c r="T21" i="11"/>
  <c r="Q27" i="11"/>
  <c r="A28" i="11"/>
  <c r="A26" i="6"/>
  <c r="AF24" i="6" l="1"/>
  <c r="AH24" i="6" s="1"/>
  <c r="F25" i="6"/>
  <c r="AB24" i="6"/>
  <c r="AD24" i="6" s="1"/>
  <c r="AG26" i="6"/>
  <c r="AC26" i="6"/>
  <c r="G27" i="6"/>
  <c r="H29" i="6"/>
  <c r="AM16" i="6"/>
  <c r="AN16" i="6"/>
  <c r="AE25" i="6"/>
  <c r="E26" i="6"/>
  <c r="AA25" i="6"/>
  <c r="J17" i="6"/>
  <c r="P26" i="6"/>
  <c r="X26" i="6"/>
  <c r="D144" i="6"/>
  <c r="I29" i="6"/>
  <c r="B143" i="6"/>
  <c r="T22" i="11"/>
  <c r="P22" i="11"/>
  <c r="R22" i="11" s="1"/>
  <c r="M23" i="11"/>
  <c r="N23" i="11"/>
  <c r="O23" i="11" s="1"/>
  <c r="A29" i="11"/>
  <c r="Q28" i="11"/>
  <c r="A27" i="6"/>
  <c r="AF25" i="6" l="1"/>
  <c r="AH25" i="6" s="1"/>
  <c r="F26" i="6"/>
  <c r="AB25" i="6"/>
  <c r="AD25" i="6" s="1"/>
  <c r="AG27" i="6"/>
  <c r="AC27" i="6"/>
  <c r="G28" i="6"/>
  <c r="AM17" i="6"/>
  <c r="AN17" i="6"/>
  <c r="H30" i="6"/>
  <c r="J18" i="6"/>
  <c r="AE26" i="6"/>
  <c r="AA26" i="6"/>
  <c r="E27" i="6"/>
  <c r="D145" i="6"/>
  <c r="P27" i="6"/>
  <c r="X27" i="6"/>
  <c r="I30" i="6"/>
  <c r="B144" i="6"/>
  <c r="M24" i="11"/>
  <c r="N24" i="11"/>
  <c r="O24" i="11" s="1"/>
  <c r="Q29" i="11"/>
  <c r="A30" i="11"/>
  <c r="P23" i="11"/>
  <c r="R23" i="11" s="1"/>
  <c r="T23" i="11"/>
  <c r="A28" i="6"/>
  <c r="AG28" i="6" l="1"/>
  <c r="AC28" i="6"/>
  <c r="G29" i="6"/>
  <c r="AF26" i="6"/>
  <c r="AH26" i="6" s="1"/>
  <c r="AB26" i="6"/>
  <c r="AD26" i="6" s="1"/>
  <c r="F27" i="6"/>
  <c r="AM18" i="6"/>
  <c r="AN18" i="6"/>
  <c r="H31" i="6"/>
  <c r="AE27" i="6"/>
  <c r="AA27" i="6"/>
  <c r="E28" i="6"/>
  <c r="J19" i="6"/>
  <c r="X28" i="6"/>
  <c r="P28" i="6"/>
  <c r="D146" i="6"/>
  <c r="I31" i="6"/>
  <c r="B145" i="6"/>
  <c r="M25" i="11"/>
  <c r="N25" i="11"/>
  <c r="O25" i="11" s="1"/>
  <c r="P24" i="11"/>
  <c r="R24" i="11" s="1"/>
  <c r="T24" i="11"/>
  <c r="A31" i="11"/>
  <c r="Q30" i="11"/>
  <c r="A29" i="6"/>
  <c r="AF27" i="6" l="1"/>
  <c r="AH27" i="6" s="1"/>
  <c r="AB27" i="6"/>
  <c r="AD27" i="6" s="1"/>
  <c r="F28" i="6"/>
  <c r="AG29" i="6"/>
  <c r="G30" i="6"/>
  <c r="AC29" i="6"/>
  <c r="AM19" i="6"/>
  <c r="AN19" i="6"/>
  <c r="H32" i="6"/>
  <c r="J20" i="6"/>
  <c r="AE28" i="6"/>
  <c r="AA28" i="6"/>
  <c r="E29" i="6"/>
  <c r="D147" i="6"/>
  <c r="P29" i="6"/>
  <c r="X29" i="6"/>
  <c r="I32" i="6"/>
  <c r="C120" i="6"/>
  <c r="B146" i="6"/>
  <c r="P25" i="11"/>
  <c r="R25" i="11" s="1"/>
  <c r="T25" i="11"/>
  <c r="Q31" i="11"/>
  <c r="A32" i="11"/>
  <c r="M26" i="11"/>
  <c r="N26" i="11"/>
  <c r="O26" i="11" s="1"/>
  <c r="A30" i="6"/>
  <c r="AG30" i="6" l="1"/>
  <c r="G31" i="6"/>
  <c r="AC30" i="6"/>
  <c r="AF28" i="6"/>
  <c r="AH28" i="6" s="1"/>
  <c r="AB28" i="6"/>
  <c r="AD28" i="6" s="1"/>
  <c r="F29" i="6"/>
  <c r="AM20" i="6"/>
  <c r="AN20" i="6"/>
  <c r="H33" i="6"/>
  <c r="AE29" i="6"/>
  <c r="E30" i="6"/>
  <c r="AA29" i="6"/>
  <c r="J21" i="6"/>
  <c r="I33" i="6"/>
  <c r="P30" i="6"/>
  <c r="X30" i="6"/>
  <c r="D148" i="6"/>
  <c r="B147" i="6"/>
  <c r="C121" i="6"/>
  <c r="P26" i="11"/>
  <c r="R26" i="11" s="1"/>
  <c r="T26" i="11"/>
  <c r="M27" i="11"/>
  <c r="N27" i="11"/>
  <c r="O27" i="11" s="1"/>
  <c r="A33" i="11"/>
  <c r="Q32" i="11"/>
  <c r="A31" i="6"/>
  <c r="AG31" i="6" l="1"/>
  <c r="G32" i="6"/>
  <c r="AC31" i="6"/>
  <c r="AF29" i="6"/>
  <c r="AH29" i="6" s="1"/>
  <c r="F30" i="6"/>
  <c r="AB29" i="6"/>
  <c r="AD29" i="6" s="1"/>
  <c r="AM21" i="6"/>
  <c r="AN21" i="6"/>
  <c r="H34" i="6"/>
  <c r="J22" i="6"/>
  <c r="AE30" i="6"/>
  <c r="E31" i="6"/>
  <c r="AA30" i="6"/>
  <c r="X31" i="6"/>
  <c r="P31" i="6"/>
  <c r="I34" i="6"/>
  <c r="D149" i="6"/>
  <c r="C122" i="6"/>
  <c r="B148" i="6"/>
  <c r="Q33" i="11"/>
  <c r="A34" i="11"/>
  <c r="M28" i="11"/>
  <c r="N28" i="11"/>
  <c r="O28" i="11" s="1"/>
  <c r="P27" i="11"/>
  <c r="R27" i="11" s="1"/>
  <c r="T27" i="11"/>
  <c r="A32" i="6"/>
  <c r="AF30" i="6" l="1"/>
  <c r="AH30" i="6" s="1"/>
  <c r="AB30" i="6"/>
  <c r="AD30" i="6" s="1"/>
  <c r="F31" i="6"/>
  <c r="AG32" i="6"/>
  <c r="AC32" i="6"/>
  <c r="G33" i="6"/>
  <c r="AM22" i="6"/>
  <c r="AN22" i="6"/>
  <c r="H35" i="6"/>
  <c r="AE31" i="6"/>
  <c r="E32" i="6"/>
  <c r="AA31" i="6"/>
  <c r="J23" i="6"/>
  <c r="I35" i="6"/>
  <c r="X32" i="6"/>
  <c r="P32" i="6"/>
  <c r="D150" i="6"/>
  <c r="B149" i="6"/>
  <c r="C123" i="6"/>
  <c r="A35" i="11"/>
  <c r="Q34" i="11"/>
  <c r="P28" i="11"/>
  <c r="R28" i="11" s="1"/>
  <c r="T28" i="11"/>
  <c r="M29" i="11"/>
  <c r="N29" i="11"/>
  <c r="O29" i="11" s="1"/>
  <c r="A33" i="6"/>
  <c r="AF31" i="6" l="1"/>
  <c r="AH31" i="6" s="1"/>
  <c r="AB31" i="6"/>
  <c r="AD31" i="6" s="1"/>
  <c r="F32" i="6"/>
  <c r="AG33" i="6"/>
  <c r="G34" i="6"/>
  <c r="AC33" i="6"/>
  <c r="AM23" i="6"/>
  <c r="AN23" i="6"/>
  <c r="H36" i="6"/>
  <c r="J24" i="6"/>
  <c r="AE32" i="6"/>
  <c r="E33" i="6"/>
  <c r="AA32" i="6"/>
  <c r="X33" i="6"/>
  <c r="P33" i="6"/>
  <c r="D151" i="6"/>
  <c r="I36" i="6"/>
  <c r="B150" i="6"/>
  <c r="C124" i="6"/>
  <c r="P29" i="11"/>
  <c r="R29" i="11" s="1"/>
  <c r="T29" i="11"/>
  <c r="A36" i="11"/>
  <c r="Q35" i="11"/>
  <c r="M30" i="11"/>
  <c r="N30" i="11"/>
  <c r="O30" i="11" s="1"/>
  <c r="A34" i="6"/>
  <c r="AF32" i="6" l="1"/>
  <c r="AH32" i="6" s="1"/>
  <c r="AB32" i="6"/>
  <c r="AD32" i="6" s="1"/>
  <c r="F33" i="6"/>
  <c r="AG34" i="6"/>
  <c r="AC34" i="6"/>
  <c r="G35" i="6"/>
  <c r="AM24" i="6"/>
  <c r="AN24" i="6"/>
  <c r="H37" i="6"/>
  <c r="AE33" i="6"/>
  <c r="E34" i="6"/>
  <c r="AA33" i="6"/>
  <c r="J25" i="6"/>
  <c r="D152" i="6"/>
  <c r="P34" i="6"/>
  <c r="X34" i="6"/>
  <c r="I37" i="6"/>
  <c r="B151" i="6"/>
  <c r="C125" i="6"/>
  <c r="M31" i="11"/>
  <c r="N31" i="11"/>
  <c r="O31" i="11" s="1"/>
  <c r="P30" i="11"/>
  <c r="R30" i="11" s="1"/>
  <c r="T30" i="11"/>
  <c r="Q36" i="11"/>
  <c r="A37" i="11"/>
  <c r="A35" i="6"/>
  <c r="AG35" i="6" l="1"/>
  <c r="AC35" i="6"/>
  <c r="G36" i="6"/>
  <c r="AF33" i="6"/>
  <c r="AH33" i="6" s="1"/>
  <c r="AB33" i="6"/>
  <c r="AD33" i="6" s="1"/>
  <c r="F34" i="6"/>
  <c r="AM25" i="6"/>
  <c r="AN25" i="6"/>
  <c r="H38" i="6"/>
  <c r="J26" i="6"/>
  <c r="AE34" i="6"/>
  <c r="AA34" i="6"/>
  <c r="E35" i="6"/>
  <c r="D153" i="6"/>
  <c r="P35" i="6"/>
  <c r="X35" i="6"/>
  <c r="I38" i="6"/>
  <c r="C126" i="6"/>
  <c r="B152" i="6"/>
  <c r="M32" i="11"/>
  <c r="N32" i="11"/>
  <c r="O32" i="11" s="1"/>
  <c r="Q37" i="11"/>
  <c r="A38" i="11"/>
  <c r="P31" i="11"/>
  <c r="R31" i="11" s="1"/>
  <c r="T31" i="11"/>
  <c r="A36" i="6"/>
  <c r="AF34" i="6" l="1"/>
  <c r="AH34" i="6" s="1"/>
  <c r="F35" i="6"/>
  <c r="AB34" i="6"/>
  <c r="AD34" i="6" s="1"/>
  <c r="AG36" i="6"/>
  <c r="G37" i="6"/>
  <c r="AC36" i="6"/>
  <c r="H39" i="6"/>
  <c r="AM26" i="6"/>
  <c r="AN26" i="6"/>
  <c r="AE35" i="6"/>
  <c r="E36" i="6"/>
  <c r="AA35" i="6"/>
  <c r="J27" i="6"/>
  <c r="D154" i="6"/>
  <c r="P36" i="6"/>
  <c r="X36" i="6"/>
  <c r="I39" i="6"/>
  <c r="B153" i="6"/>
  <c r="C127" i="6"/>
  <c r="A39" i="11"/>
  <c r="Q38" i="11"/>
  <c r="P32" i="11"/>
  <c r="R32" i="11" s="1"/>
  <c r="T32" i="11"/>
  <c r="M33" i="11"/>
  <c r="N33" i="11"/>
  <c r="O33" i="11" s="1"/>
  <c r="A37" i="6"/>
  <c r="AG37" i="6" l="1"/>
  <c r="G38" i="6"/>
  <c r="AC37" i="6"/>
  <c r="AF35" i="6"/>
  <c r="AH35" i="6" s="1"/>
  <c r="AB35" i="6"/>
  <c r="AD35" i="6" s="1"/>
  <c r="F36" i="6"/>
  <c r="AM27" i="6"/>
  <c r="AN27" i="6"/>
  <c r="H40" i="6"/>
  <c r="J28" i="6"/>
  <c r="AE36" i="6"/>
  <c r="E37" i="6"/>
  <c r="AA36" i="6"/>
  <c r="P37" i="6"/>
  <c r="X37" i="6"/>
  <c r="I40" i="6"/>
  <c r="D155" i="6"/>
  <c r="B154" i="6"/>
  <c r="C128" i="6"/>
  <c r="P33" i="11"/>
  <c r="R33" i="11" s="1"/>
  <c r="T33" i="11"/>
  <c r="A40" i="11"/>
  <c r="Q39" i="11"/>
  <c r="M34" i="11"/>
  <c r="N34" i="11"/>
  <c r="O34" i="11" s="1"/>
  <c r="A38" i="6"/>
  <c r="AG38" i="6" l="1"/>
  <c r="AC38" i="6"/>
  <c r="G39" i="6"/>
  <c r="AF36" i="6"/>
  <c r="AH36" i="6" s="1"/>
  <c r="AB36" i="6"/>
  <c r="AD36" i="6" s="1"/>
  <c r="F37" i="6"/>
  <c r="AM28" i="6"/>
  <c r="AN28" i="6"/>
  <c r="H41" i="6"/>
  <c r="J29" i="6"/>
  <c r="AE37" i="6"/>
  <c r="E38" i="6"/>
  <c r="AA37" i="6"/>
  <c r="D156" i="6"/>
  <c r="I41" i="6"/>
  <c r="X38" i="6"/>
  <c r="P38" i="6"/>
  <c r="C129" i="6"/>
  <c r="B155" i="6"/>
  <c r="Q40" i="11"/>
  <c r="A41" i="11"/>
  <c r="M35" i="11"/>
  <c r="N35" i="11"/>
  <c r="O35" i="11" s="1"/>
  <c r="T34" i="11"/>
  <c r="P34" i="11"/>
  <c r="R34" i="11" s="1"/>
  <c r="A39" i="6"/>
  <c r="AG39" i="6" l="1"/>
  <c r="G40" i="6"/>
  <c r="AC39" i="6"/>
  <c r="AF37" i="6"/>
  <c r="AH37" i="6" s="1"/>
  <c r="AB37" i="6"/>
  <c r="AD37" i="6" s="1"/>
  <c r="F38" i="6"/>
  <c r="H42" i="6"/>
  <c r="AM29" i="6"/>
  <c r="AN29" i="6"/>
  <c r="AE38" i="6"/>
  <c r="AA38" i="6"/>
  <c r="E39" i="6"/>
  <c r="J30" i="6"/>
  <c r="I42" i="6"/>
  <c r="P39" i="6"/>
  <c r="X39" i="6"/>
  <c r="D157" i="6"/>
  <c r="B156" i="6"/>
  <c r="C130" i="6"/>
  <c r="Q41" i="11"/>
  <c r="A42" i="11"/>
  <c r="M36" i="11"/>
  <c r="N36" i="11"/>
  <c r="O36" i="11" s="1"/>
  <c r="P35" i="11"/>
  <c r="R35" i="11" s="1"/>
  <c r="T35" i="11"/>
  <c r="A40" i="6"/>
  <c r="AF38" i="6" l="1"/>
  <c r="AH38" i="6" s="1"/>
  <c r="F39" i="6"/>
  <c r="AB38" i="6"/>
  <c r="AD38" i="6" s="1"/>
  <c r="AG40" i="6"/>
  <c r="AC40" i="6"/>
  <c r="G41" i="6"/>
  <c r="H43" i="6"/>
  <c r="AM30" i="6"/>
  <c r="AN30" i="6"/>
  <c r="J31" i="6"/>
  <c r="AE39" i="6"/>
  <c r="AA39" i="6"/>
  <c r="E40" i="6"/>
  <c r="P40" i="6"/>
  <c r="X40" i="6"/>
  <c r="I43" i="6"/>
  <c r="D158" i="6"/>
  <c r="B157" i="6"/>
  <c r="C131" i="6"/>
  <c r="P36" i="11"/>
  <c r="R36" i="11" s="1"/>
  <c r="T36" i="11"/>
  <c r="A43" i="11"/>
  <c r="Q42" i="11"/>
  <c r="M37" i="11"/>
  <c r="N37" i="11"/>
  <c r="O37" i="11" s="1"/>
  <c r="A41" i="6"/>
  <c r="AG41" i="6" l="1"/>
  <c r="G42" i="6"/>
  <c r="AC41" i="6"/>
  <c r="AF39" i="6"/>
  <c r="AH39" i="6" s="1"/>
  <c r="AB39" i="6"/>
  <c r="AD39" i="6" s="1"/>
  <c r="F40" i="6"/>
  <c r="AM31" i="6"/>
  <c r="AN31" i="6"/>
  <c r="H44" i="6"/>
  <c r="J32" i="6"/>
  <c r="AE40" i="6"/>
  <c r="AA40" i="6"/>
  <c r="E41" i="6"/>
  <c r="D159" i="6"/>
  <c r="X41" i="6"/>
  <c r="P41" i="6"/>
  <c r="I44" i="6"/>
  <c r="B158" i="6"/>
  <c r="C132" i="6"/>
  <c r="P37" i="11"/>
  <c r="R37" i="11" s="1"/>
  <c r="T37" i="11"/>
  <c r="A44" i="11"/>
  <c r="Q43" i="11"/>
  <c r="M38" i="11"/>
  <c r="N38" i="11"/>
  <c r="O38" i="11" s="1"/>
  <c r="A42" i="6"/>
  <c r="AF40" i="6" l="1"/>
  <c r="AH40" i="6" s="1"/>
  <c r="F41" i="6"/>
  <c r="AB40" i="6"/>
  <c r="AD40" i="6" s="1"/>
  <c r="AG42" i="6"/>
  <c r="AC42" i="6"/>
  <c r="G43" i="6"/>
  <c r="AM32" i="6"/>
  <c r="AN32" i="6"/>
  <c r="H45" i="6"/>
  <c r="J33" i="6"/>
  <c r="AE41" i="6"/>
  <c r="AA41" i="6"/>
  <c r="E42" i="6"/>
  <c r="I45" i="6"/>
  <c r="D160" i="6"/>
  <c r="X42" i="6"/>
  <c r="P42" i="6"/>
  <c r="C133" i="6"/>
  <c r="B159" i="6"/>
  <c r="Q44" i="11"/>
  <c r="A45" i="11"/>
  <c r="P38" i="11"/>
  <c r="R38" i="11" s="1"/>
  <c r="T38" i="11"/>
  <c r="M39" i="11"/>
  <c r="N39" i="11"/>
  <c r="O39" i="11" s="1"/>
  <c r="A43" i="6"/>
  <c r="AF41" i="6" l="1"/>
  <c r="AH41" i="6" s="1"/>
  <c r="F42" i="6"/>
  <c r="AB41" i="6"/>
  <c r="AD41" i="6" s="1"/>
  <c r="AG43" i="6"/>
  <c r="G44" i="6"/>
  <c r="AC43" i="6"/>
  <c r="AM33" i="6"/>
  <c r="AN33" i="6"/>
  <c r="J34" i="6"/>
  <c r="AE42" i="6"/>
  <c r="E43" i="6"/>
  <c r="AA42" i="6"/>
  <c r="P43" i="6"/>
  <c r="X43" i="6"/>
  <c r="D161" i="6"/>
  <c r="I46" i="6"/>
  <c r="B160" i="6"/>
  <c r="C134" i="6"/>
  <c r="M40" i="11"/>
  <c r="N40" i="11"/>
  <c r="O40" i="11" s="1"/>
  <c r="A46" i="11"/>
  <c r="Q45" i="11"/>
  <c r="P39" i="11"/>
  <c r="R39" i="11" s="1"/>
  <c r="T39" i="11"/>
  <c r="A44" i="6"/>
  <c r="AG44" i="6" l="1"/>
  <c r="G45" i="6"/>
  <c r="AC44" i="6"/>
  <c r="AF42" i="6"/>
  <c r="AH42" i="6" s="1"/>
  <c r="F43" i="6"/>
  <c r="AB42" i="6"/>
  <c r="AD42" i="6" s="1"/>
  <c r="AM34" i="6"/>
  <c r="AN34" i="6"/>
  <c r="J35" i="6"/>
  <c r="AE43" i="6"/>
  <c r="E44" i="6"/>
  <c r="AA43" i="6"/>
  <c r="D162" i="6"/>
  <c r="X44" i="6"/>
  <c r="P44" i="6"/>
  <c r="I47" i="6"/>
  <c r="C135" i="6"/>
  <c r="B161" i="6"/>
  <c r="M41" i="11"/>
  <c r="N41" i="11"/>
  <c r="O41" i="11" s="1"/>
  <c r="P40" i="11"/>
  <c r="R40" i="11" s="1"/>
  <c r="T40" i="11"/>
  <c r="Q46" i="11"/>
  <c r="A47" i="11"/>
  <c r="A45" i="6"/>
  <c r="AF43" i="6" l="1"/>
  <c r="AH43" i="6" s="1"/>
  <c r="F44" i="6"/>
  <c r="AB43" i="6"/>
  <c r="AD43" i="6" s="1"/>
  <c r="AM35" i="6"/>
  <c r="AN35" i="6"/>
  <c r="J36" i="6"/>
  <c r="AE44" i="6"/>
  <c r="E45" i="6"/>
  <c r="AA44" i="6"/>
  <c r="D163" i="6"/>
  <c r="P45" i="6"/>
  <c r="X45" i="6"/>
  <c r="I48" i="6"/>
  <c r="B162" i="6"/>
  <c r="C136" i="6"/>
  <c r="M42" i="11"/>
  <c r="N42" i="11"/>
  <c r="O42" i="11" s="1"/>
  <c r="P41" i="11"/>
  <c r="R41" i="11" s="1"/>
  <c r="T41" i="11"/>
  <c r="A48" i="11"/>
  <c r="Q47" i="11"/>
  <c r="A46" i="6"/>
  <c r="AF44" i="6" l="1"/>
  <c r="AH44" i="6" s="1"/>
  <c r="AB44" i="6"/>
  <c r="AD44" i="6" s="1"/>
  <c r="F45" i="6"/>
  <c r="AM36" i="6"/>
  <c r="AN36" i="6"/>
  <c r="J37" i="6"/>
  <c r="D164" i="6"/>
  <c r="P46" i="6"/>
  <c r="X46" i="6"/>
  <c r="I49" i="6"/>
  <c r="C137" i="6"/>
  <c r="B163" i="6"/>
  <c r="A49" i="11"/>
  <c r="Q48" i="11"/>
  <c r="M43" i="11"/>
  <c r="N43" i="11"/>
  <c r="O43" i="11" s="1"/>
  <c r="P42" i="11"/>
  <c r="R42" i="11" s="1"/>
  <c r="T42" i="11"/>
  <c r="A47" i="6"/>
  <c r="AM37" i="6" l="1"/>
  <c r="AN37" i="6"/>
  <c r="J38" i="6"/>
  <c r="D165" i="6"/>
  <c r="P47" i="6"/>
  <c r="X47" i="6"/>
  <c r="I50" i="6"/>
  <c r="B164" i="6"/>
  <c r="C138" i="6"/>
  <c r="P43" i="11"/>
  <c r="R43" i="11" s="1"/>
  <c r="T43" i="11"/>
  <c r="A50" i="11"/>
  <c r="Q49" i="11"/>
  <c r="M44" i="11"/>
  <c r="N44" i="11"/>
  <c r="O44" i="11" s="1"/>
  <c r="A48" i="6"/>
  <c r="AM38" i="6" l="1"/>
  <c r="AN38" i="6"/>
  <c r="J39" i="6"/>
  <c r="I51" i="6"/>
  <c r="D166" i="6"/>
  <c r="X48" i="6"/>
  <c r="P48" i="6"/>
  <c r="C139" i="6"/>
  <c r="B165" i="6"/>
  <c r="M45" i="11"/>
  <c r="N45" i="11"/>
  <c r="O45" i="11" s="1"/>
  <c r="Q50" i="11"/>
  <c r="A51" i="11"/>
  <c r="T44" i="11"/>
  <c r="P44" i="11"/>
  <c r="R44" i="11" s="1"/>
  <c r="A49" i="6"/>
  <c r="AM39" i="6" l="1"/>
  <c r="AN39" i="6"/>
  <c r="J40" i="6"/>
  <c r="I52" i="6"/>
  <c r="P49" i="6"/>
  <c r="X49" i="6"/>
  <c r="D167" i="6"/>
  <c r="C140" i="6"/>
  <c r="B166" i="6"/>
  <c r="P45" i="11"/>
  <c r="R45" i="11" s="1"/>
  <c r="T45" i="11"/>
  <c r="M46" i="11"/>
  <c r="N46" i="11"/>
  <c r="O46" i="11" s="1"/>
  <c r="A52" i="11"/>
  <c r="Q51" i="11"/>
  <c r="A50" i="6"/>
  <c r="AM40" i="6" l="1"/>
  <c r="AN40" i="6"/>
  <c r="J41" i="6"/>
  <c r="X50" i="6"/>
  <c r="P50" i="6"/>
  <c r="D168" i="6"/>
  <c r="I53" i="6"/>
  <c r="B167" i="6"/>
  <c r="C141" i="6"/>
  <c r="P46" i="11"/>
  <c r="R46" i="11" s="1"/>
  <c r="T46" i="11"/>
  <c r="Q52" i="11"/>
  <c r="A53" i="11"/>
  <c r="M47" i="11"/>
  <c r="N47" i="11"/>
  <c r="O47" i="11" s="1"/>
  <c r="A51" i="6"/>
  <c r="AM41" i="6" l="1"/>
  <c r="AN41" i="6"/>
  <c r="J42" i="6"/>
  <c r="D169" i="6"/>
  <c r="P51" i="6"/>
  <c r="X51" i="6"/>
  <c r="I54" i="6"/>
  <c r="C142" i="6"/>
  <c r="B168" i="6"/>
  <c r="Q53" i="11"/>
  <c r="A54" i="11"/>
  <c r="M48" i="11"/>
  <c r="N48" i="11"/>
  <c r="O48" i="11" s="1"/>
  <c r="P47" i="11"/>
  <c r="R47" i="11" s="1"/>
  <c r="T47" i="11"/>
  <c r="A52" i="6"/>
  <c r="AM42" i="6" l="1"/>
  <c r="AN42" i="6"/>
  <c r="J43" i="6"/>
  <c r="I55" i="6"/>
  <c r="P52" i="6"/>
  <c r="X52" i="6"/>
  <c r="D170" i="6"/>
  <c r="B169" i="6"/>
  <c r="C143" i="6"/>
  <c r="M49" i="11"/>
  <c r="N49" i="11"/>
  <c r="O49" i="11" s="1"/>
  <c r="P48" i="11"/>
  <c r="R48" i="11" s="1"/>
  <c r="T48" i="11"/>
  <c r="A55" i="11"/>
  <c r="Q54" i="11"/>
  <c r="A53" i="6"/>
  <c r="AM43" i="6" l="1"/>
  <c r="AN43" i="6"/>
  <c r="J44" i="6"/>
  <c r="I56" i="6"/>
  <c r="X53" i="6"/>
  <c r="P53" i="6"/>
  <c r="D171" i="6"/>
  <c r="C144" i="6"/>
  <c r="B170" i="6"/>
  <c r="P49" i="11"/>
  <c r="R49" i="11" s="1"/>
  <c r="T49" i="11"/>
  <c r="M50" i="11"/>
  <c r="N50" i="11"/>
  <c r="O50" i="11" s="1"/>
  <c r="A56" i="11"/>
  <c r="Q55" i="11"/>
  <c r="A54" i="6"/>
  <c r="AM44" i="6" l="1"/>
  <c r="AN44" i="6"/>
  <c r="J45" i="6"/>
  <c r="I57" i="6"/>
  <c r="D172" i="6"/>
  <c r="P54" i="6"/>
  <c r="X54" i="6"/>
  <c r="B171" i="6"/>
  <c r="C145" i="6"/>
  <c r="Q56" i="11"/>
  <c r="A57" i="11"/>
  <c r="M51" i="11"/>
  <c r="N51" i="11"/>
  <c r="O51" i="11" s="1"/>
  <c r="P50" i="11"/>
  <c r="R50" i="11" s="1"/>
  <c r="T50" i="11"/>
  <c r="A55" i="6"/>
  <c r="AM45" i="6" l="1"/>
  <c r="AN45" i="6"/>
  <c r="J46" i="6"/>
  <c r="P55" i="6"/>
  <c r="X55" i="6"/>
  <c r="D173" i="6"/>
  <c r="I58" i="6"/>
  <c r="C146" i="6"/>
  <c r="B172" i="6"/>
  <c r="P51" i="11"/>
  <c r="R51" i="11" s="1"/>
  <c r="T51" i="11"/>
  <c r="M52" i="11"/>
  <c r="N52" i="11"/>
  <c r="O52" i="11" s="1"/>
  <c r="A58" i="11"/>
  <c r="Q57" i="11"/>
  <c r="A56" i="6"/>
  <c r="J47" i="6" l="1"/>
  <c r="D174" i="6"/>
  <c r="P56" i="6"/>
  <c r="X56" i="6"/>
  <c r="I59" i="6"/>
  <c r="B173" i="6"/>
  <c r="C147" i="6"/>
  <c r="P52" i="11"/>
  <c r="R52" i="11" s="1"/>
  <c r="T52" i="11"/>
  <c r="M53" i="11"/>
  <c r="N53" i="11"/>
  <c r="O53" i="11" s="1"/>
  <c r="A59" i="11"/>
  <c r="Q58" i="11"/>
  <c r="A57" i="6"/>
  <c r="J48" i="6" l="1"/>
  <c r="I60" i="6"/>
  <c r="D175" i="6"/>
  <c r="P57" i="6"/>
  <c r="X57" i="6"/>
  <c r="C148" i="6"/>
  <c r="B174" i="6"/>
  <c r="Q59" i="11"/>
  <c r="A60" i="11"/>
  <c r="M54" i="11"/>
  <c r="N54" i="11"/>
  <c r="O54" i="11" s="1"/>
  <c r="P53" i="11"/>
  <c r="R53" i="11" s="1"/>
  <c r="T53" i="11"/>
  <c r="A58" i="6"/>
  <c r="J49" i="6" l="1"/>
  <c r="X58" i="6"/>
  <c r="P58" i="6"/>
  <c r="D176" i="6"/>
  <c r="I61" i="6"/>
  <c r="B175" i="6"/>
  <c r="C149" i="6"/>
  <c r="Q60" i="11"/>
  <c r="A61" i="11"/>
  <c r="M55" i="11"/>
  <c r="N55" i="11"/>
  <c r="O55" i="11" s="1"/>
  <c r="T54" i="11"/>
  <c r="P54" i="11"/>
  <c r="R54" i="11" s="1"/>
  <c r="A59" i="6"/>
  <c r="J50" i="6" l="1"/>
  <c r="I62" i="6"/>
  <c r="P59" i="6"/>
  <c r="X59" i="6"/>
  <c r="D177" i="6"/>
  <c r="C150" i="6"/>
  <c r="B176" i="6"/>
  <c r="M56" i="11"/>
  <c r="N56" i="11"/>
  <c r="O56" i="11" s="1"/>
  <c r="A62" i="11"/>
  <c r="Q61" i="11"/>
  <c r="P55" i="11"/>
  <c r="R55" i="11" s="1"/>
  <c r="T55" i="11"/>
  <c r="A60" i="6"/>
  <c r="J51" i="6" l="1"/>
  <c r="D178" i="6"/>
  <c r="I63" i="6"/>
  <c r="P60" i="6"/>
  <c r="X60" i="6"/>
  <c r="B177" i="6"/>
  <c r="C151" i="6"/>
  <c r="M57" i="11"/>
  <c r="N57" i="11"/>
  <c r="O57" i="11" s="1"/>
  <c r="A63" i="11"/>
  <c r="Q62" i="11"/>
  <c r="P56" i="11"/>
  <c r="R56" i="11" s="1"/>
  <c r="T56" i="11"/>
  <c r="A61" i="6"/>
  <c r="J52" i="6" l="1"/>
  <c r="D179" i="6"/>
  <c r="P61" i="6"/>
  <c r="X61" i="6"/>
  <c r="I64" i="6"/>
  <c r="C152" i="6"/>
  <c r="B178" i="6"/>
  <c r="M58" i="11"/>
  <c r="N58" i="11"/>
  <c r="O58" i="11" s="1"/>
  <c r="P57" i="11"/>
  <c r="R57" i="11" s="1"/>
  <c r="T57" i="11"/>
  <c r="A64" i="11"/>
  <c r="Q63" i="11"/>
  <c r="A62" i="6"/>
  <c r="J53" i="6" l="1"/>
  <c r="X62" i="6"/>
  <c r="P62" i="6"/>
  <c r="I65" i="6"/>
  <c r="D180" i="6"/>
  <c r="C153" i="6"/>
  <c r="B179" i="6"/>
  <c r="A65" i="11"/>
  <c r="Q64" i="11"/>
  <c r="M59" i="11"/>
  <c r="N59" i="11"/>
  <c r="O59" i="11" s="1"/>
  <c r="P58" i="11"/>
  <c r="R58" i="11" s="1"/>
  <c r="T58" i="11"/>
  <c r="A63" i="6"/>
  <c r="J54" i="6" l="1"/>
  <c r="I66" i="6"/>
  <c r="P63" i="6"/>
  <c r="X63" i="6"/>
  <c r="D181" i="6"/>
  <c r="B180" i="6"/>
  <c r="C154" i="6"/>
  <c r="P59" i="11"/>
  <c r="R59" i="11" s="1"/>
  <c r="T59" i="11"/>
  <c r="Q65" i="11"/>
  <c r="A66" i="11"/>
  <c r="M60" i="11"/>
  <c r="N60" i="11"/>
  <c r="O60" i="11" s="1"/>
  <c r="A64" i="6"/>
  <c r="J55" i="6" l="1"/>
  <c r="I67" i="6"/>
  <c r="D182" i="6"/>
  <c r="X64" i="6"/>
  <c r="P64" i="6"/>
  <c r="C155" i="6"/>
  <c r="B181" i="6"/>
  <c r="Q66" i="11"/>
  <c r="A67" i="11"/>
  <c r="P60" i="11"/>
  <c r="R60" i="11" s="1"/>
  <c r="T60" i="11"/>
  <c r="M61" i="11"/>
  <c r="N61" i="11"/>
  <c r="O61" i="11" s="1"/>
  <c r="A65" i="6"/>
  <c r="J56" i="6" l="1"/>
  <c r="I68" i="6"/>
  <c r="X65" i="6"/>
  <c r="P65" i="6"/>
  <c r="D183" i="6"/>
  <c r="B182" i="6"/>
  <c r="C156" i="6"/>
  <c r="M62" i="11"/>
  <c r="N62" i="11"/>
  <c r="O62" i="11" s="1"/>
  <c r="Q67" i="11"/>
  <c r="A68" i="11"/>
  <c r="P61" i="11"/>
  <c r="R61" i="11" s="1"/>
  <c r="T61" i="11"/>
  <c r="A66" i="6"/>
  <c r="J57" i="6" l="1"/>
  <c r="I69" i="6"/>
  <c r="X66" i="6"/>
  <c r="P66" i="6"/>
  <c r="D184" i="6"/>
  <c r="C157" i="6"/>
  <c r="B183" i="6"/>
  <c r="M63" i="11"/>
  <c r="N63" i="11"/>
  <c r="O63" i="11" s="1"/>
  <c r="P62" i="11"/>
  <c r="R62" i="11" s="1"/>
  <c r="T62" i="11"/>
  <c r="Q68" i="11"/>
  <c r="A69" i="11"/>
  <c r="A67" i="6"/>
  <c r="J58" i="6" l="1"/>
  <c r="I70" i="6"/>
  <c r="D185" i="6"/>
  <c r="P67" i="6"/>
  <c r="X67" i="6"/>
  <c r="B184" i="6"/>
  <c r="C158" i="6"/>
  <c r="A70" i="11"/>
  <c r="Q69" i="11"/>
  <c r="P63" i="11"/>
  <c r="R63" i="11" s="1"/>
  <c r="T63" i="11"/>
  <c r="M64" i="11"/>
  <c r="N64" i="11"/>
  <c r="O64" i="11" s="1"/>
  <c r="A68" i="6"/>
  <c r="J59" i="6" l="1"/>
  <c r="D186" i="6"/>
  <c r="P68" i="6"/>
  <c r="X68" i="6"/>
  <c r="I71" i="6"/>
  <c r="C159" i="6"/>
  <c r="B185" i="6"/>
  <c r="Q70" i="11"/>
  <c r="A71" i="11"/>
  <c r="N66" i="11"/>
  <c r="O66" i="11" s="1"/>
  <c r="P66" i="11" s="1"/>
  <c r="R66" i="11" s="1"/>
  <c r="M65" i="11"/>
  <c r="N65" i="11"/>
  <c r="O65" i="11" s="1"/>
  <c r="P65" i="11" s="1"/>
  <c r="R65" i="11" s="1"/>
  <c r="P64" i="11"/>
  <c r="R64" i="11" s="1"/>
  <c r="T64" i="11"/>
  <c r="A69" i="6"/>
  <c r="J60" i="6" l="1"/>
  <c r="P69" i="6"/>
  <c r="X69" i="6"/>
  <c r="I72" i="6"/>
  <c r="D187" i="6"/>
  <c r="B186" i="6"/>
  <c r="C160" i="6"/>
  <c r="N67" i="11"/>
  <c r="O67" i="11" s="1"/>
  <c r="P67" i="11" s="1"/>
  <c r="R67" i="11" s="1"/>
  <c r="Q71" i="11"/>
  <c r="A72" i="11"/>
  <c r="A70" i="6"/>
  <c r="J61" i="6" l="1"/>
  <c r="P70" i="6"/>
  <c r="X70" i="6"/>
  <c r="D188" i="6"/>
  <c r="I73" i="6"/>
  <c r="C161" i="6"/>
  <c r="B187" i="6"/>
  <c r="A73" i="11"/>
  <c r="Q72" i="11"/>
  <c r="N68" i="11"/>
  <c r="O68" i="11" s="1"/>
  <c r="P68" i="11" s="1"/>
  <c r="R68" i="11" s="1"/>
  <c r="A71" i="6"/>
  <c r="J62" i="6" l="1"/>
  <c r="I74" i="6"/>
  <c r="D189" i="6"/>
  <c r="P71" i="6"/>
  <c r="X71" i="6"/>
  <c r="C162" i="6"/>
  <c r="B188" i="6"/>
  <c r="Q73" i="11"/>
  <c r="A74" i="11"/>
  <c r="N69" i="11"/>
  <c r="O69" i="11" s="1"/>
  <c r="P69" i="11" s="1"/>
  <c r="R69" i="11" s="1"/>
  <c r="A72" i="6"/>
  <c r="J63" i="6" l="1"/>
  <c r="I75" i="6"/>
  <c r="D190" i="6"/>
  <c r="X72" i="6"/>
  <c r="P72" i="6"/>
  <c r="B189" i="6"/>
  <c r="C163" i="6"/>
  <c r="N70" i="11"/>
  <c r="O70" i="11" s="1"/>
  <c r="P70" i="11" s="1"/>
  <c r="R70" i="11" s="1"/>
  <c r="A75" i="11"/>
  <c r="Q74" i="11"/>
  <c r="A73" i="6"/>
  <c r="J64" i="6" l="1"/>
  <c r="I76" i="6"/>
  <c r="D191" i="6"/>
  <c r="P73" i="6"/>
  <c r="X73" i="6"/>
  <c r="C164" i="6"/>
  <c r="B190" i="6"/>
  <c r="A76" i="11"/>
  <c r="Q75" i="11"/>
  <c r="N71" i="11"/>
  <c r="O71" i="11" s="1"/>
  <c r="P71" i="11" s="1"/>
  <c r="R71" i="11" s="1"/>
  <c r="A74" i="6"/>
  <c r="J65" i="6" l="1"/>
  <c r="I77" i="6"/>
  <c r="P74" i="6"/>
  <c r="X74" i="6"/>
  <c r="D192" i="6"/>
  <c r="B191" i="6"/>
  <c r="C165" i="6"/>
  <c r="A77" i="11"/>
  <c r="Q76" i="11"/>
  <c r="N72" i="11"/>
  <c r="O72" i="11" s="1"/>
  <c r="P72" i="11" s="1"/>
  <c r="R72" i="11" s="1"/>
  <c r="A75" i="6"/>
  <c r="J66" i="6" l="1"/>
  <c r="I78" i="6"/>
  <c r="X75" i="6"/>
  <c r="P75" i="6"/>
  <c r="D193" i="6"/>
  <c r="C166" i="6"/>
  <c r="B192" i="6"/>
  <c r="Q77" i="11"/>
  <c r="A78" i="11"/>
  <c r="N73" i="11"/>
  <c r="O73" i="11" s="1"/>
  <c r="P73" i="11" s="1"/>
  <c r="R73" i="11" s="1"/>
  <c r="A76" i="6"/>
  <c r="J67" i="6" l="1"/>
  <c r="D194" i="6"/>
  <c r="I79" i="6"/>
  <c r="P76" i="6"/>
  <c r="X76" i="6"/>
  <c r="B193" i="6"/>
  <c r="C167" i="6"/>
  <c r="Q78" i="11"/>
  <c r="A79" i="11"/>
  <c r="N74" i="11"/>
  <c r="O74" i="11" s="1"/>
  <c r="P74" i="11" s="1"/>
  <c r="R74" i="11" s="1"/>
  <c r="A77" i="6"/>
  <c r="J68" i="6" l="1"/>
  <c r="I80" i="6"/>
  <c r="D195" i="6"/>
  <c r="X77" i="6"/>
  <c r="P77" i="6"/>
  <c r="B194" i="6"/>
  <c r="C168" i="6"/>
  <c r="N75" i="11"/>
  <c r="O75" i="11" s="1"/>
  <c r="P75" i="11" s="1"/>
  <c r="R75" i="11" s="1"/>
  <c r="A80" i="11"/>
  <c r="Q79" i="11"/>
  <c r="A78" i="6"/>
  <c r="J69" i="6" l="1"/>
  <c r="I81" i="6"/>
  <c r="D196" i="6"/>
  <c r="X78" i="6"/>
  <c r="P78" i="6"/>
  <c r="C169" i="6"/>
  <c r="B195" i="6"/>
  <c r="Q80" i="11"/>
  <c r="A81" i="11"/>
  <c r="N76" i="11"/>
  <c r="O76" i="11" s="1"/>
  <c r="P76" i="11" s="1"/>
  <c r="R76" i="11" s="1"/>
  <c r="A79" i="6"/>
  <c r="J70" i="6" l="1"/>
  <c r="D197" i="6"/>
  <c r="X79" i="6"/>
  <c r="P79" i="6"/>
  <c r="I82" i="6"/>
  <c r="B196" i="6"/>
  <c r="C170" i="6"/>
  <c r="N77" i="11"/>
  <c r="O77" i="11" s="1"/>
  <c r="P77" i="11" s="1"/>
  <c r="R77" i="11" s="1"/>
  <c r="Q81" i="11"/>
  <c r="A82" i="11"/>
  <c r="A80" i="6"/>
  <c r="J71" i="6" l="1"/>
  <c r="I83" i="6"/>
  <c r="D198" i="6"/>
  <c r="P80" i="6"/>
  <c r="X80" i="6"/>
  <c r="C171" i="6"/>
  <c r="B197" i="6"/>
  <c r="N78" i="11"/>
  <c r="O78" i="11" s="1"/>
  <c r="P78" i="11" s="1"/>
  <c r="R78" i="11" s="1"/>
  <c r="A83" i="11"/>
  <c r="Q82" i="11"/>
  <c r="A81" i="6"/>
  <c r="J72" i="6" l="1"/>
  <c r="P81" i="6"/>
  <c r="X81" i="6"/>
  <c r="D199" i="6"/>
  <c r="I84" i="6"/>
  <c r="B198" i="6"/>
  <c r="C172" i="6"/>
  <c r="N79" i="11"/>
  <c r="O79" i="11" s="1"/>
  <c r="P79" i="11" s="1"/>
  <c r="R79" i="11" s="1"/>
  <c r="A84" i="11"/>
  <c r="Q83" i="11"/>
  <c r="A82" i="6"/>
  <c r="J73" i="6" l="1"/>
  <c r="I85" i="6"/>
  <c r="D200" i="6"/>
  <c r="P82" i="6"/>
  <c r="X82" i="6"/>
  <c r="C173" i="6"/>
  <c r="B199" i="6"/>
  <c r="N80" i="11"/>
  <c r="O80" i="11" s="1"/>
  <c r="P80" i="11" s="1"/>
  <c r="R80" i="11" s="1"/>
  <c r="A85" i="11"/>
  <c r="Q84" i="11"/>
  <c r="A83" i="6"/>
  <c r="J74" i="6" l="1"/>
  <c r="I86" i="6"/>
  <c r="P83" i="6"/>
  <c r="X83" i="6"/>
  <c r="D201" i="6"/>
  <c r="B200" i="6"/>
  <c r="C174" i="6"/>
  <c r="Q85" i="11"/>
  <c r="A86" i="11"/>
  <c r="N81" i="11"/>
  <c r="O81" i="11" s="1"/>
  <c r="P81" i="11" s="1"/>
  <c r="R81" i="11" s="1"/>
  <c r="A84" i="6"/>
  <c r="J75" i="6" l="1"/>
  <c r="D202" i="6"/>
  <c r="I87" i="6"/>
  <c r="X84" i="6"/>
  <c r="P84" i="6"/>
  <c r="C175" i="6"/>
  <c r="B201" i="6"/>
  <c r="N82" i="11"/>
  <c r="O82" i="11" s="1"/>
  <c r="P82" i="11" s="1"/>
  <c r="R82" i="11" s="1"/>
  <c r="A87" i="11"/>
  <c r="Q86" i="11"/>
  <c r="A85" i="6"/>
  <c r="J76" i="6" l="1"/>
  <c r="I88" i="6"/>
  <c r="D203" i="6"/>
  <c r="X85" i="6"/>
  <c r="P85" i="6"/>
  <c r="B202" i="6"/>
  <c r="C176" i="6"/>
  <c r="N83" i="11"/>
  <c r="O83" i="11" s="1"/>
  <c r="P83" i="11" s="1"/>
  <c r="R83" i="11" s="1"/>
  <c r="Q87" i="11"/>
  <c r="A88" i="11"/>
  <c r="A86" i="6"/>
  <c r="J77" i="6" l="1"/>
  <c r="I89" i="6"/>
  <c r="P86" i="6"/>
  <c r="X86" i="6"/>
  <c r="D204" i="6"/>
  <c r="C177" i="6"/>
  <c r="B203" i="6"/>
  <c r="N84" i="11"/>
  <c r="O84" i="11" s="1"/>
  <c r="P84" i="11" s="1"/>
  <c r="R84" i="11" s="1"/>
  <c r="Q88" i="11"/>
  <c r="A89" i="11"/>
  <c r="A87" i="6"/>
  <c r="J78" i="6" l="1"/>
  <c r="X87" i="6"/>
  <c r="P87" i="6"/>
  <c r="I90" i="6"/>
  <c r="B204" i="6"/>
  <c r="C178" i="6"/>
  <c r="A90" i="11"/>
  <c r="Q89" i="11"/>
  <c r="N85" i="11"/>
  <c r="O85" i="11" s="1"/>
  <c r="P85" i="11" s="1"/>
  <c r="R85" i="11" s="1"/>
  <c r="A88" i="6"/>
  <c r="J79" i="6" l="1"/>
  <c r="I91" i="6"/>
  <c r="P88" i="6"/>
  <c r="X88" i="6"/>
  <c r="C179" i="6"/>
  <c r="A91" i="11"/>
  <c r="Q90" i="11"/>
  <c r="N86" i="11"/>
  <c r="O86" i="11" s="1"/>
  <c r="P86" i="11" s="1"/>
  <c r="R86" i="11" s="1"/>
  <c r="A89" i="6"/>
  <c r="J80" i="6" l="1"/>
  <c r="I92" i="6"/>
  <c r="P89" i="6"/>
  <c r="X89" i="6"/>
  <c r="C180" i="6"/>
  <c r="N87" i="11"/>
  <c r="O87" i="11" s="1"/>
  <c r="P87" i="11" s="1"/>
  <c r="R87" i="11" s="1"/>
  <c r="A92" i="11"/>
  <c r="Q91" i="11"/>
  <c r="A90" i="6"/>
  <c r="J81" i="6" l="1"/>
  <c r="P90" i="6"/>
  <c r="X90" i="6"/>
  <c r="I93" i="6"/>
  <c r="C181" i="6"/>
  <c r="A93" i="11"/>
  <c r="Q92" i="11"/>
  <c r="N88" i="11"/>
  <c r="O88" i="11" s="1"/>
  <c r="P88" i="11" s="1"/>
  <c r="R88" i="11" s="1"/>
  <c r="A91" i="6"/>
  <c r="J82" i="6" l="1"/>
  <c r="I94" i="6"/>
  <c r="P91" i="6"/>
  <c r="X91" i="6"/>
  <c r="C182" i="6"/>
  <c r="Q93" i="11"/>
  <c r="A94" i="11"/>
  <c r="N89" i="11"/>
  <c r="O89" i="11" s="1"/>
  <c r="P89" i="11" s="1"/>
  <c r="R89" i="11" s="1"/>
  <c r="A92" i="6"/>
  <c r="J83" i="6" l="1"/>
  <c r="X92" i="6"/>
  <c r="P92" i="6"/>
  <c r="I95" i="6"/>
  <c r="C183" i="6"/>
  <c r="N90" i="11"/>
  <c r="O90" i="11" s="1"/>
  <c r="P90" i="11" s="1"/>
  <c r="R90" i="11" s="1"/>
  <c r="Q94" i="11"/>
  <c r="A95" i="11"/>
  <c r="A93" i="6"/>
  <c r="J84" i="6" l="1"/>
  <c r="I96" i="6"/>
  <c r="P93" i="6"/>
  <c r="X93" i="6"/>
  <c r="C184" i="6"/>
  <c r="N91" i="11"/>
  <c r="O91" i="11" s="1"/>
  <c r="P91" i="11" s="1"/>
  <c r="R91" i="11" s="1"/>
  <c r="Q95" i="11"/>
  <c r="A96" i="11"/>
  <c r="A94" i="6"/>
  <c r="J85" i="6" l="1"/>
  <c r="P94" i="6"/>
  <c r="X94" i="6"/>
  <c r="I97" i="6"/>
  <c r="C185" i="6"/>
  <c r="N92" i="11"/>
  <c r="O92" i="11" s="1"/>
  <c r="P92" i="11" s="1"/>
  <c r="R92" i="11" s="1"/>
  <c r="Q96" i="11"/>
  <c r="A97" i="11"/>
  <c r="A95" i="6"/>
  <c r="J86" i="6" l="1"/>
  <c r="I98" i="6"/>
  <c r="P95" i="6"/>
  <c r="X95" i="6"/>
  <c r="C186" i="6"/>
  <c r="A98" i="11"/>
  <c r="Q97" i="11"/>
  <c r="N93" i="11"/>
  <c r="O93" i="11" s="1"/>
  <c r="P93" i="11" s="1"/>
  <c r="R93" i="11" s="1"/>
  <c r="A96" i="6"/>
  <c r="J87" i="6" l="1"/>
  <c r="P96" i="6"/>
  <c r="X96" i="6"/>
  <c r="I99" i="6"/>
  <c r="C187" i="6"/>
  <c r="A99" i="11"/>
  <c r="Q98" i="11"/>
  <c r="N94" i="11"/>
  <c r="O94" i="11" s="1"/>
  <c r="P94" i="11" s="1"/>
  <c r="R94" i="11" s="1"/>
  <c r="A97" i="6"/>
  <c r="J88" i="6" l="1"/>
  <c r="I100" i="6"/>
  <c r="X97" i="6"/>
  <c r="P97" i="6"/>
  <c r="C188" i="6"/>
  <c r="Q99" i="11"/>
  <c r="A100" i="11"/>
  <c r="N95" i="11"/>
  <c r="O95" i="11" s="1"/>
  <c r="P95" i="11" s="1"/>
  <c r="R95" i="11" s="1"/>
  <c r="A98" i="6"/>
  <c r="J89" i="6" l="1"/>
  <c r="I101" i="6"/>
  <c r="X98" i="6"/>
  <c r="P98" i="6"/>
  <c r="C189" i="6"/>
  <c r="Q100" i="11"/>
  <c r="A101" i="11"/>
  <c r="N96" i="11"/>
  <c r="O96" i="11" s="1"/>
  <c r="P96" i="11" s="1"/>
  <c r="R96" i="11" s="1"/>
  <c r="A99" i="6"/>
  <c r="J90" i="6" l="1"/>
  <c r="P99" i="6"/>
  <c r="X99" i="6"/>
  <c r="I102" i="6"/>
  <c r="C190" i="6"/>
  <c r="A102" i="11"/>
  <c r="Q101" i="11"/>
  <c r="N97" i="11"/>
  <c r="O97" i="11" s="1"/>
  <c r="P97" i="11" s="1"/>
  <c r="R97" i="11" s="1"/>
  <c r="A100" i="6"/>
  <c r="J91" i="6" l="1"/>
  <c r="I103" i="6"/>
  <c r="X100" i="6"/>
  <c r="P100" i="6"/>
  <c r="C191" i="6"/>
  <c r="N98" i="11"/>
  <c r="O98" i="11" s="1"/>
  <c r="P98" i="11" s="1"/>
  <c r="R98" i="11" s="1"/>
  <c r="Q102" i="11"/>
  <c r="A103" i="11"/>
  <c r="A101" i="6"/>
  <c r="J92" i="6" l="1"/>
  <c r="P101" i="6"/>
  <c r="X101" i="6"/>
  <c r="I104" i="6"/>
  <c r="C192" i="6"/>
  <c r="N99" i="11"/>
  <c r="O99" i="11" s="1"/>
  <c r="P99" i="11" s="1"/>
  <c r="R99" i="11" s="1"/>
  <c r="Q103" i="11"/>
  <c r="A104" i="11"/>
  <c r="A102" i="6"/>
  <c r="J93" i="6" l="1"/>
  <c r="I105" i="6"/>
  <c r="X102" i="6"/>
  <c r="P102" i="6"/>
  <c r="C193" i="6"/>
  <c r="A105" i="11"/>
  <c r="Q104" i="11"/>
  <c r="N100" i="11"/>
  <c r="O100" i="11" s="1"/>
  <c r="P100" i="11" s="1"/>
  <c r="R100" i="11" s="1"/>
  <c r="A103" i="6"/>
  <c r="J94" i="6" l="1"/>
  <c r="I106" i="6"/>
  <c r="X103" i="6"/>
  <c r="P103" i="6"/>
  <c r="C194" i="6"/>
  <c r="A106" i="11"/>
  <c r="Q105" i="11"/>
  <c r="N101" i="11"/>
  <c r="O101" i="11" s="1"/>
  <c r="P101" i="11" s="1"/>
  <c r="R101" i="11" s="1"/>
  <c r="A104" i="6"/>
  <c r="J95" i="6" l="1"/>
  <c r="I107" i="6"/>
  <c r="X104" i="6"/>
  <c r="P104" i="6"/>
  <c r="C195" i="6"/>
  <c r="N102" i="11"/>
  <c r="O102" i="11" s="1"/>
  <c r="P102" i="11" s="1"/>
  <c r="R102" i="11" s="1"/>
  <c r="A107" i="11"/>
  <c r="Q106" i="11"/>
  <c r="A105" i="6"/>
  <c r="P105" i="6" l="1"/>
  <c r="J96" i="6"/>
  <c r="I108" i="6"/>
  <c r="X105" i="6"/>
  <c r="C196" i="6"/>
  <c r="N103" i="11"/>
  <c r="O103" i="11" s="1"/>
  <c r="P103" i="11" s="1"/>
  <c r="R103" i="11" s="1"/>
  <c r="A108" i="11"/>
  <c r="Q107" i="11"/>
  <c r="A106" i="6"/>
  <c r="P106" i="6" l="1"/>
  <c r="J97" i="6"/>
  <c r="X106" i="6"/>
  <c r="I109" i="6"/>
  <c r="C197" i="6"/>
  <c r="Q108" i="11"/>
  <c r="A109" i="11"/>
  <c r="N104" i="11"/>
  <c r="O104" i="11" s="1"/>
  <c r="P104" i="11" s="1"/>
  <c r="R104" i="11" s="1"/>
  <c r="A107" i="6"/>
  <c r="P107" i="6" l="1"/>
  <c r="J98" i="6"/>
  <c r="X107" i="6"/>
  <c r="I110" i="6"/>
  <c r="C198" i="6"/>
  <c r="N105" i="11"/>
  <c r="O105" i="11" s="1"/>
  <c r="P105" i="11" s="1"/>
  <c r="R105" i="11" s="1"/>
  <c r="Q109" i="11"/>
  <c r="A110" i="11"/>
  <c r="A108" i="6"/>
  <c r="P108" i="6" l="1"/>
  <c r="J99" i="6"/>
  <c r="I111" i="6"/>
  <c r="X108" i="6"/>
  <c r="C199" i="6"/>
  <c r="N106" i="11"/>
  <c r="O106" i="11" s="1"/>
  <c r="P106" i="11" s="1"/>
  <c r="R106" i="11" s="1"/>
  <c r="A111" i="11"/>
  <c r="Q110" i="11"/>
  <c r="A109" i="6"/>
  <c r="P109" i="6" l="1"/>
  <c r="J100" i="6"/>
  <c r="I112" i="6"/>
  <c r="X109" i="6"/>
  <c r="C200" i="6"/>
  <c r="N107" i="11"/>
  <c r="O107" i="11" s="1"/>
  <c r="P107" i="11" s="1"/>
  <c r="R107" i="11" s="1"/>
  <c r="Q111" i="11"/>
  <c r="A112" i="11"/>
  <c r="A110" i="6"/>
  <c r="P110" i="6" l="1"/>
  <c r="J101" i="6"/>
  <c r="I113" i="6"/>
  <c r="X110" i="6"/>
  <c r="C201" i="6"/>
  <c r="Q112" i="11"/>
  <c r="A113" i="11"/>
  <c r="N108" i="11"/>
  <c r="O108" i="11" s="1"/>
  <c r="P108" i="11" s="1"/>
  <c r="R108" i="11" s="1"/>
  <c r="A111" i="6"/>
  <c r="P111" i="6" l="1"/>
  <c r="J102" i="6"/>
  <c r="I114" i="6"/>
  <c r="X111" i="6"/>
  <c r="C202" i="6"/>
  <c r="Q113" i="11"/>
  <c r="A114" i="11"/>
  <c r="N109" i="11"/>
  <c r="O109" i="11" s="1"/>
  <c r="P109" i="11" s="1"/>
  <c r="R109" i="11" s="1"/>
  <c r="A112" i="6"/>
  <c r="P112" i="6" l="1"/>
  <c r="J103" i="6"/>
  <c r="I115" i="6"/>
  <c r="X112" i="6"/>
  <c r="C203" i="6"/>
  <c r="Q114" i="11"/>
  <c r="A115" i="11"/>
  <c r="N110" i="11"/>
  <c r="O110" i="11" s="1"/>
  <c r="P110" i="11" s="1"/>
  <c r="R110" i="11" s="1"/>
  <c r="A113" i="6"/>
  <c r="P113" i="6" l="1"/>
  <c r="J104" i="6"/>
  <c r="I116" i="6"/>
  <c r="X113" i="6"/>
  <c r="C204" i="6"/>
  <c r="A116" i="11"/>
  <c r="Q115" i="11"/>
  <c r="N111" i="11"/>
  <c r="O111" i="11" s="1"/>
  <c r="P111" i="11" s="1"/>
  <c r="R111" i="11" s="1"/>
  <c r="A114" i="6"/>
  <c r="P114" i="6" l="1"/>
  <c r="J105" i="6"/>
  <c r="X114" i="6"/>
  <c r="I117" i="6"/>
  <c r="Q116" i="11"/>
  <c r="A117" i="11"/>
  <c r="N112" i="11"/>
  <c r="O112" i="11" s="1"/>
  <c r="P112" i="11" s="1"/>
  <c r="R112" i="11" s="1"/>
  <c r="A115" i="6"/>
  <c r="P115" i="6" l="1"/>
  <c r="J106" i="6"/>
  <c r="X115" i="6"/>
  <c r="I118" i="6"/>
  <c r="N113" i="11"/>
  <c r="O113" i="11" s="1"/>
  <c r="P113" i="11" s="1"/>
  <c r="R113" i="11" s="1"/>
  <c r="Q117" i="11"/>
  <c r="A118" i="11"/>
  <c r="A116" i="6"/>
  <c r="P116" i="6" l="1"/>
  <c r="J107" i="6"/>
  <c r="X116" i="6"/>
  <c r="I119" i="6"/>
  <c r="A119" i="11"/>
  <c r="Q118" i="11"/>
  <c r="N114" i="11"/>
  <c r="O114" i="11" s="1"/>
  <c r="P114" i="11" s="1"/>
  <c r="R114" i="11" s="1"/>
  <c r="A117" i="6"/>
  <c r="P117" i="6" l="1"/>
  <c r="J108" i="6"/>
  <c r="X117" i="6"/>
  <c r="I120" i="6"/>
  <c r="Q119" i="11"/>
  <c r="A120" i="11"/>
  <c r="N115" i="11"/>
  <c r="O115" i="11" s="1"/>
  <c r="P115" i="11" s="1"/>
  <c r="R115" i="11" s="1"/>
  <c r="A118" i="6"/>
  <c r="P118" i="6" l="1"/>
  <c r="J109" i="6"/>
  <c r="I121" i="6"/>
  <c r="X118" i="6"/>
  <c r="N116" i="11"/>
  <c r="O116" i="11" s="1"/>
  <c r="P116" i="11" s="1"/>
  <c r="R116" i="11" s="1"/>
  <c r="A121" i="11"/>
  <c r="Q120" i="11"/>
  <c r="A119" i="6"/>
  <c r="P119" i="6" l="1"/>
  <c r="J110" i="6"/>
  <c r="X119" i="6"/>
  <c r="I122" i="6"/>
  <c r="N117" i="11"/>
  <c r="O117" i="11" s="1"/>
  <c r="P117" i="11" s="1"/>
  <c r="R117" i="11" s="1"/>
  <c r="A122" i="11"/>
  <c r="Q121" i="11"/>
  <c r="A120" i="6"/>
  <c r="P120" i="6" l="1"/>
  <c r="J111" i="6"/>
  <c r="X120" i="6"/>
  <c r="I123" i="6"/>
  <c r="N118" i="11"/>
  <c r="O118" i="11" s="1"/>
  <c r="P118" i="11" s="1"/>
  <c r="R118" i="11" s="1"/>
  <c r="A123" i="11"/>
  <c r="Q122" i="11"/>
  <c r="A121" i="6"/>
  <c r="P121" i="6" l="1"/>
  <c r="J112" i="6"/>
  <c r="X121" i="6"/>
  <c r="I124" i="6"/>
  <c r="A124" i="11"/>
  <c r="Q123" i="11"/>
  <c r="N119" i="11"/>
  <c r="O119" i="11" s="1"/>
  <c r="P119" i="11" s="1"/>
  <c r="R119" i="11" s="1"/>
  <c r="A122" i="6"/>
  <c r="P122" i="6" l="1"/>
  <c r="J113" i="6"/>
  <c r="X122" i="6"/>
  <c r="I125" i="6"/>
  <c r="N120" i="11"/>
  <c r="O120" i="11" s="1"/>
  <c r="P120" i="11" s="1"/>
  <c r="R120" i="11" s="1"/>
  <c r="A125" i="11"/>
  <c r="Q124" i="11"/>
  <c r="A123" i="6"/>
  <c r="P123" i="6" l="1"/>
  <c r="J114" i="6"/>
  <c r="X123" i="6"/>
  <c r="I126" i="6"/>
  <c r="A126" i="11"/>
  <c r="Q125" i="11"/>
  <c r="N121" i="11"/>
  <c r="O121" i="11" s="1"/>
  <c r="P121" i="11" s="1"/>
  <c r="R121" i="11" s="1"/>
  <c r="A124" i="6"/>
  <c r="P124" i="6" l="1"/>
  <c r="J115" i="6"/>
  <c r="I127" i="6"/>
  <c r="X124" i="6"/>
  <c r="A127" i="11"/>
  <c r="Q126" i="11"/>
  <c r="N122" i="11"/>
  <c r="O122" i="11" s="1"/>
  <c r="P122" i="11" s="1"/>
  <c r="R122" i="11" s="1"/>
  <c r="A125" i="6"/>
  <c r="P125" i="6" l="1"/>
  <c r="J116" i="6"/>
  <c r="X125" i="6"/>
  <c r="I128" i="6"/>
  <c r="N123" i="11"/>
  <c r="O123" i="11" s="1"/>
  <c r="P123" i="11" s="1"/>
  <c r="R123" i="11" s="1"/>
  <c r="A128" i="11"/>
  <c r="Q127" i="11"/>
  <c r="A126" i="6"/>
  <c r="P126" i="6" l="1"/>
  <c r="J117" i="6"/>
  <c r="X126" i="6"/>
  <c r="I129" i="6"/>
  <c r="Q128" i="11"/>
  <c r="A129" i="11"/>
  <c r="N124" i="11"/>
  <c r="O124" i="11" s="1"/>
  <c r="P124" i="11" s="1"/>
  <c r="R124" i="11" s="1"/>
  <c r="A127" i="6"/>
  <c r="P127" i="6" l="1"/>
  <c r="J118" i="6"/>
  <c r="X127" i="6"/>
  <c r="I130" i="6"/>
  <c r="N125" i="11"/>
  <c r="O125" i="11" s="1"/>
  <c r="P125" i="11" s="1"/>
  <c r="R125" i="11" s="1"/>
  <c r="Q129" i="11"/>
  <c r="A130" i="11"/>
  <c r="A128" i="6"/>
  <c r="P128" i="6" l="1"/>
  <c r="J119" i="6"/>
  <c r="X128" i="6"/>
  <c r="I131" i="6"/>
  <c r="A131" i="11"/>
  <c r="Q130" i="11"/>
  <c r="N126" i="11"/>
  <c r="O126" i="11" s="1"/>
  <c r="P126" i="11" s="1"/>
  <c r="R126" i="11" s="1"/>
  <c r="A129" i="6"/>
  <c r="P129" i="6" l="1"/>
  <c r="J120" i="6"/>
  <c r="X129" i="6"/>
  <c r="I132" i="6"/>
  <c r="N127" i="11"/>
  <c r="O127" i="11" s="1"/>
  <c r="P127" i="11" s="1"/>
  <c r="R127" i="11" s="1"/>
  <c r="A132" i="11"/>
  <c r="Q131" i="11"/>
  <c r="A130" i="6"/>
  <c r="P130" i="6" l="1"/>
  <c r="J121" i="6"/>
  <c r="X130" i="6"/>
  <c r="I133" i="6"/>
  <c r="Q132" i="11"/>
  <c r="A133" i="11"/>
  <c r="N128" i="11"/>
  <c r="O128" i="11" s="1"/>
  <c r="P128" i="11" s="1"/>
  <c r="R128" i="11" s="1"/>
  <c r="A131" i="6"/>
  <c r="P131" i="6" l="1"/>
  <c r="J122" i="6"/>
  <c r="I134" i="6"/>
  <c r="X131" i="6"/>
  <c r="N129" i="11"/>
  <c r="O129" i="11" s="1"/>
  <c r="P129" i="11" s="1"/>
  <c r="R129" i="11" s="1"/>
  <c r="A134" i="11"/>
  <c r="Q133" i="11"/>
  <c r="A132" i="6"/>
  <c r="P132" i="6" l="1"/>
  <c r="J123" i="6"/>
  <c r="X132" i="6"/>
  <c r="I135" i="6"/>
  <c r="N130" i="11"/>
  <c r="O130" i="11" s="1"/>
  <c r="P130" i="11" s="1"/>
  <c r="R130" i="11" s="1"/>
  <c r="A135" i="11"/>
  <c r="Q134" i="11"/>
  <c r="A133" i="6"/>
  <c r="P133" i="6" l="1"/>
  <c r="J124" i="6"/>
  <c r="I136" i="6"/>
  <c r="X133" i="6"/>
  <c r="N131" i="11"/>
  <c r="O131" i="11" s="1"/>
  <c r="P131" i="11" s="1"/>
  <c r="R131" i="11" s="1"/>
  <c r="A136" i="11"/>
  <c r="Q135" i="11"/>
  <c r="A134" i="6"/>
  <c r="P134" i="6" l="1"/>
  <c r="J125" i="6"/>
  <c r="X134" i="6"/>
  <c r="I137" i="6"/>
  <c r="Q136" i="11"/>
  <c r="A137" i="11"/>
  <c r="N132" i="11"/>
  <c r="O132" i="11" s="1"/>
  <c r="P132" i="11" s="1"/>
  <c r="R132" i="11" s="1"/>
  <c r="A135" i="6"/>
  <c r="P135" i="6" l="1"/>
  <c r="J126" i="6"/>
  <c r="I138" i="6"/>
  <c r="X135" i="6"/>
  <c r="Q137" i="11"/>
  <c r="A138" i="11"/>
  <c r="N133" i="11"/>
  <c r="O133" i="11" s="1"/>
  <c r="P133" i="11" s="1"/>
  <c r="R133" i="11" s="1"/>
  <c r="A136" i="6"/>
  <c r="P136" i="6" l="1"/>
  <c r="J127" i="6"/>
  <c r="I139" i="6"/>
  <c r="X136" i="6"/>
  <c r="Q138" i="11"/>
  <c r="A139" i="11"/>
  <c r="N134" i="11"/>
  <c r="O134" i="11" s="1"/>
  <c r="P134" i="11" s="1"/>
  <c r="R134" i="11" s="1"/>
  <c r="A137" i="6"/>
  <c r="P137" i="6" l="1"/>
  <c r="J128" i="6"/>
  <c r="X137" i="6"/>
  <c r="I140" i="6"/>
  <c r="N135" i="11"/>
  <c r="O135" i="11" s="1"/>
  <c r="P135" i="11" s="1"/>
  <c r="R135" i="11" s="1"/>
  <c r="Q139" i="11"/>
  <c r="A140" i="11"/>
  <c r="A138" i="6"/>
  <c r="P138" i="6" l="1"/>
  <c r="J129" i="6"/>
  <c r="I141" i="6"/>
  <c r="X138" i="6"/>
  <c r="A141" i="11"/>
  <c r="Q140" i="11"/>
  <c r="N136" i="11"/>
  <c r="O136" i="11" s="1"/>
  <c r="P136" i="11" s="1"/>
  <c r="R136" i="11" s="1"/>
  <c r="A139" i="6"/>
  <c r="P139" i="6" l="1"/>
  <c r="J130" i="6"/>
  <c r="X139" i="6"/>
  <c r="I142" i="6"/>
  <c r="Q141" i="11"/>
  <c r="A142" i="11"/>
  <c r="N137" i="11"/>
  <c r="O137" i="11" s="1"/>
  <c r="P137" i="11" s="1"/>
  <c r="R137" i="11" s="1"/>
  <c r="A140" i="6"/>
  <c r="P140" i="6" l="1"/>
  <c r="J131" i="6"/>
  <c r="X140" i="6"/>
  <c r="I143" i="6"/>
  <c r="A143" i="11"/>
  <c r="Q142" i="11"/>
  <c r="N138" i="11"/>
  <c r="O138" i="11" s="1"/>
  <c r="P138" i="11" s="1"/>
  <c r="R138" i="11" s="1"/>
  <c r="A141" i="6"/>
  <c r="P141" i="6" l="1"/>
  <c r="J132" i="6"/>
  <c r="X141" i="6"/>
  <c r="I144" i="6"/>
  <c r="A144" i="11"/>
  <c r="Q143" i="11"/>
  <c r="N139" i="11"/>
  <c r="O139" i="11" s="1"/>
  <c r="P139" i="11" s="1"/>
  <c r="R139" i="11" s="1"/>
  <c r="A142" i="6"/>
  <c r="P142" i="6" l="1"/>
  <c r="J133" i="6"/>
  <c r="X142" i="6"/>
  <c r="I145" i="6"/>
  <c r="Q144" i="11"/>
  <c r="A145" i="11"/>
  <c r="N140" i="11"/>
  <c r="O140" i="11" s="1"/>
  <c r="P140" i="11" s="1"/>
  <c r="R140" i="11" s="1"/>
  <c r="A143" i="6"/>
  <c r="P143" i="6" l="1"/>
  <c r="J134" i="6"/>
  <c r="X143" i="6"/>
  <c r="I146" i="6"/>
  <c r="N141" i="11"/>
  <c r="O141" i="11" s="1"/>
  <c r="P141" i="11" s="1"/>
  <c r="R141" i="11" s="1"/>
  <c r="Q145" i="11"/>
  <c r="A146" i="11"/>
  <c r="A144" i="6"/>
  <c r="P144" i="6" l="1"/>
  <c r="J135" i="6"/>
  <c r="X144" i="6"/>
  <c r="I147" i="6"/>
  <c r="N142" i="11"/>
  <c r="O142" i="11" s="1"/>
  <c r="P142" i="11" s="1"/>
  <c r="R142" i="11" s="1"/>
  <c r="A147" i="11"/>
  <c r="Q146" i="11"/>
  <c r="A145" i="6"/>
  <c r="P145" i="6" l="1"/>
  <c r="J136" i="6"/>
  <c r="X145" i="6"/>
  <c r="I148" i="6"/>
  <c r="N143" i="11"/>
  <c r="O143" i="11" s="1"/>
  <c r="P143" i="11" s="1"/>
  <c r="R143" i="11" s="1"/>
  <c r="A148" i="11"/>
  <c r="Q147" i="11"/>
  <c r="A146" i="6"/>
  <c r="P146" i="6" l="1"/>
  <c r="J137" i="6"/>
  <c r="X146" i="6"/>
  <c r="I149" i="6"/>
  <c r="A149" i="11"/>
  <c r="Q148" i="11"/>
  <c r="N144" i="11"/>
  <c r="O144" i="11" s="1"/>
  <c r="P144" i="11" s="1"/>
  <c r="R144" i="11" s="1"/>
  <c r="A147" i="6"/>
  <c r="P147" i="6" l="1"/>
  <c r="J138" i="6"/>
  <c r="I150" i="6"/>
  <c r="X147" i="6"/>
  <c r="N145" i="11"/>
  <c r="O145" i="11" s="1"/>
  <c r="P145" i="11" s="1"/>
  <c r="R145" i="11" s="1"/>
  <c r="A150" i="11"/>
  <c r="Q149" i="11"/>
  <c r="A148" i="6"/>
  <c r="P148" i="6" l="1"/>
  <c r="J139" i="6"/>
  <c r="X148" i="6"/>
  <c r="I151" i="6"/>
  <c r="N146" i="11"/>
  <c r="O146" i="11" s="1"/>
  <c r="P146" i="11" s="1"/>
  <c r="R146" i="11" s="1"/>
  <c r="A151" i="11"/>
  <c r="Q150" i="11"/>
  <c r="A149" i="6"/>
  <c r="P149" i="6" l="1"/>
  <c r="J140" i="6"/>
  <c r="X149" i="6"/>
  <c r="I152" i="6"/>
  <c r="N147" i="11"/>
  <c r="O147" i="11" s="1"/>
  <c r="P147" i="11" s="1"/>
  <c r="R147" i="11" s="1"/>
  <c r="A152" i="11"/>
  <c r="Q151" i="11"/>
  <c r="A150" i="6"/>
  <c r="P150" i="6" l="1"/>
  <c r="J141" i="6"/>
  <c r="X150" i="6"/>
  <c r="I153" i="6"/>
  <c r="N148" i="11"/>
  <c r="O148" i="11" s="1"/>
  <c r="P148" i="11" s="1"/>
  <c r="R148" i="11" s="1"/>
  <c r="Q152" i="11"/>
  <c r="A153" i="11"/>
  <c r="A151" i="6"/>
  <c r="P151" i="6" l="1"/>
  <c r="J142" i="6"/>
  <c r="X151" i="6"/>
  <c r="I154" i="6"/>
  <c r="Q153" i="11"/>
  <c r="A154" i="11"/>
  <c r="N149" i="11"/>
  <c r="O149" i="11" s="1"/>
  <c r="P149" i="11" s="1"/>
  <c r="R149" i="11" s="1"/>
  <c r="A152" i="6"/>
  <c r="P152" i="6" l="1"/>
  <c r="J143" i="6"/>
  <c r="X152" i="6"/>
  <c r="I155" i="6"/>
  <c r="N150" i="11"/>
  <c r="O150" i="11" s="1"/>
  <c r="P150" i="11" s="1"/>
  <c r="R150" i="11" s="1"/>
  <c r="Q154" i="11"/>
  <c r="A155" i="11"/>
  <c r="A153" i="6"/>
  <c r="P153" i="6" l="1"/>
  <c r="J144" i="6"/>
  <c r="I156" i="6"/>
  <c r="X153" i="6"/>
  <c r="A156" i="11"/>
  <c r="Q155" i="11"/>
  <c r="N151" i="11"/>
  <c r="O151" i="11" s="1"/>
  <c r="P151" i="11" s="1"/>
  <c r="R151" i="11" s="1"/>
  <c r="A154" i="6"/>
  <c r="P154" i="6" l="1"/>
  <c r="J145" i="6"/>
  <c r="X154" i="6"/>
  <c r="I157" i="6"/>
  <c r="N152" i="11"/>
  <c r="O152" i="11" s="1"/>
  <c r="P152" i="11" s="1"/>
  <c r="R152" i="11" s="1"/>
  <c r="A157" i="11"/>
  <c r="Q156" i="11"/>
  <c r="A155" i="6"/>
  <c r="P155" i="6" l="1"/>
  <c r="J146" i="6"/>
  <c r="X155" i="6"/>
  <c r="I158" i="6"/>
  <c r="N153" i="11"/>
  <c r="O153" i="11" s="1"/>
  <c r="P153" i="11" s="1"/>
  <c r="R153" i="11" s="1"/>
  <c r="Q157" i="11"/>
  <c r="A158" i="11"/>
  <c r="A156" i="6"/>
  <c r="P156" i="6" l="1"/>
  <c r="J147" i="6"/>
  <c r="X156" i="6"/>
  <c r="I159" i="6"/>
  <c r="N154" i="11"/>
  <c r="O154" i="11" s="1"/>
  <c r="P154" i="11" s="1"/>
  <c r="R154" i="11" s="1"/>
  <c r="A159" i="11"/>
  <c r="Q158" i="11"/>
  <c r="A157" i="6"/>
  <c r="P157" i="6" l="1"/>
  <c r="J148" i="6"/>
  <c r="X157" i="6"/>
  <c r="I160" i="6"/>
  <c r="N155" i="11"/>
  <c r="O155" i="11" s="1"/>
  <c r="P155" i="11" s="1"/>
  <c r="R155" i="11" s="1"/>
  <c r="A160" i="11"/>
  <c r="Q159" i="11"/>
  <c r="A158" i="6"/>
  <c r="P158" i="6" l="1"/>
  <c r="J149" i="6"/>
  <c r="I161" i="6"/>
  <c r="X158" i="6"/>
  <c r="A161" i="11"/>
  <c r="Q160" i="11"/>
  <c r="N156" i="11"/>
  <c r="O156" i="11" s="1"/>
  <c r="P156" i="11" s="1"/>
  <c r="R156" i="11" s="1"/>
  <c r="A159" i="6"/>
  <c r="P159" i="6" l="1"/>
  <c r="J150" i="6"/>
  <c r="X159" i="6"/>
  <c r="I162" i="6"/>
  <c r="N157" i="11"/>
  <c r="O157" i="11" s="1"/>
  <c r="P157" i="11" s="1"/>
  <c r="R157" i="11" s="1"/>
  <c r="Q161" i="11"/>
  <c r="A162" i="11"/>
  <c r="A160" i="6"/>
  <c r="P160" i="6" l="1"/>
  <c r="J151" i="6"/>
  <c r="X160" i="6"/>
  <c r="I163" i="6"/>
  <c r="N158" i="11"/>
  <c r="O158" i="11" s="1"/>
  <c r="P158" i="11" s="1"/>
  <c r="R158" i="11" s="1"/>
  <c r="Q162" i="11"/>
  <c r="A163" i="11"/>
  <c r="A161" i="6"/>
  <c r="P161" i="6" l="1"/>
  <c r="J152" i="6"/>
  <c r="X161" i="6"/>
  <c r="I164" i="6"/>
  <c r="N159" i="11"/>
  <c r="O159" i="11" s="1"/>
  <c r="P159" i="11" s="1"/>
  <c r="R159" i="11" s="1"/>
  <c r="A164" i="11"/>
  <c r="Q163" i="11"/>
  <c r="A162" i="6"/>
  <c r="P162" i="6" l="1"/>
  <c r="J153" i="6"/>
  <c r="X162" i="6"/>
  <c r="I165" i="6"/>
  <c r="N160" i="11"/>
  <c r="O160" i="11" s="1"/>
  <c r="P160" i="11" s="1"/>
  <c r="R160" i="11" s="1"/>
  <c r="Q164" i="11"/>
  <c r="A165" i="11"/>
  <c r="A163" i="6"/>
  <c r="P163" i="6" l="1"/>
  <c r="J154" i="6"/>
  <c r="X163" i="6"/>
  <c r="I166" i="6"/>
  <c r="Q165" i="11"/>
  <c r="A166" i="11"/>
  <c r="N161" i="11"/>
  <c r="O161" i="11" s="1"/>
  <c r="P161" i="11" s="1"/>
  <c r="R161" i="11" s="1"/>
  <c r="A164" i="6"/>
  <c r="P164" i="6" l="1"/>
  <c r="J155" i="6"/>
  <c r="X164" i="6"/>
  <c r="I167" i="6"/>
  <c r="N162" i="11"/>
  <c r="O162" i="11" s="1"/>
  <c r="P162" i="11" s="1"/>
  <c r="R162" i="11" s="1"/>
  <c r="Q166" i="11"/>
  <c r="A167" i="11"/>
  <c r="A165" i="6"/>
  <c r="P165" i="6" l="1"/>
  <c r="J156" i="6"/>
  <c r="X165" i="6"/>
  <c r="I168" i="6"/>
  <c r="A168" i="11"/>
  <c r="Q167" i="11"/>
  <c r="N163" i="11"/>
  <c r="O163" i="11" s="1"/>
  <c r="P163" i="11" s="1"/>
  <c r="R163" i="11" s="1"/>
  <c r="A166" i="6"/>
  <c r="P166" i="6" l="1"/>
  <c r="J157" i="6"/>
  <c r="X166" i="6"/>
  <c r="I169" i="6"/>
  <c r="A169" i="11"/>
  <c r="Q168" i="11"/>
  <c r="N164" i="11"/>
  <c r="O164" i="11" s="1"/>
  <c r="P164" i="11" s="1"/>
  <c r="R164" i="11" s="1"/>
  <c r="A167" i="6"/>
  <c r="P167" i="6" l="1"/>
  <c r="J158" i="6"/>
  <c r="X167" i="6"/>
  <c r="I170" i="6"/>
  <c r="N165" i="11"/>
  <c r="O165" i="11" s="1"/>
  <c r="P165" i="11" s="1"/>
  <c r="R165" i="11" s="1"/>
  <c r="Q169" i="11"/>
  <c r="A170" i="11"/>
  <c r="A168" i="6"/>
  <c r="P168" i="6" l="1"/>
  <c r="J159" i="6"/>
  <c r="I171" i="6"/>
  <c r="X168" i="6"/>
  <c r="N166" i="11"/>
  <c r="O166" i="11" s="1"/>
  <c r="P166" i="11" s="1"/>
  <c r="R166" i="11" s="1"/>
  <c r="Q170" i="11"/>
  <c r="A171" i="11"/>
  <c r="A169" i="6"/>
  <c r="P169" i="6" l="1"/>
  <c r="J160" i="6"/>
  <c r="X169" i="6"/>
  <c r="I172" i="6"/>
  <c r="A172" i="11"/>
  <c r="Q171" i="11"/>
  <c r="N167" i="11"/>
  <c r="O167" i="11" s="1"/>
  <c r="P167" i="11" s="1"/>
  <c r="R167" i="11" s="1"/>
  <c r="A170" i="6"/>
  <c r="P170" i="6" s="1"/>
  <c r="J161" i="6" l="1"/>
  <c r="X170" i="6"/>
  <c r="I173" i="6"/>
  <c r="N168" i="11"/>
  <c r="O168" i="11" s="1"/>
  <c r="P168" i="11" s="1"/>
  <c r="R168" i="11" s="1"/>
  <c r="Q172" i="11"/>
  <c r="A173" i="11"/>
  <c r="A171" i="6"/>
  <c r="P171" i="6" l="1"/>
  <c r="J162" i="6"/>
  <c r="X171" i="6"/>
  <c r="I174" i="6"/>
  <c r="N169" i="11"/>
  <c r="O169" i="11" s="1"/>
  <c r="P169" i="11" s="1"/>
  <c r="R169" i="11" s="1"/>
  <c r="Q173" i="11"/>
  <c r="A174" i="11"/>
  <c r="A172" i="6"/>
  <c r="P172" i="6" s="1"/>
  <c r="J163" i="6" l="1"/>
  <c r="X172" i="6"/>
  <c r="I175" i="6"/>
  <c r="A175" i="11"/>
  <c r="Q174" i="11"/>
  <c r="N170" i="11"/>
  <c r="O170" i="11" s="1"/>
  <c r="P170" i="11" s="1"/>
  <c r="R170" i="11" s="1"/>
  <c r="A173" i="6"/>
  <c r="P173" i="6" l="1"/>
  <c r="J164" i="6"/>
  <c r="X173" i="6"/>
  <c r="I176" i="6"/>
  <c r="N171" i="11"/>
  <c r="O171" i="11" s="1"/>
  <c r="P171" i="11" s="1"/>
  <c r="R171" i="11" s="1"/>
  <c r="A176" i="11"/>
  <c r="Q175" i="11"/>
  <c r="A174" i="6"/>
  <c r="P174" i="6" l="1"/>
  <c r="J165" i="6"/>
  <c r="I177" i="6"/>
  <c r="X174" i="6"/>
  <c r="N172" i="11"/>
  <c r="O172" i="11" s="1"/>
  <c r="P172" i="11" s="1"/>
  <c r="R172" i="11" s="1"/>
  <c r="Q176" i="11"/>
  <c r="A177" i="11"/>
  <c r="A175" i="6"/>
  <c r="P175" i="6" l="1"/>
  <c r="J166" i="6"/>
  <c r="I178" i="6"/>
  <c r="X175" i="6"/>
  <c r="Q177" i="11"/>
  <c r="A178" i="11"/>
  <c r="N173" i="11"/>
  <c r="O173" i="11" s="1"/>
  <c r="P173" i="11" s="1"/>
  <c r="R173" i="11" s="1"/>
  <c r="A176" i="6"/>
  <c r="P176" i="6" l="1"/>
  <c r="J167" i="6"/>
  <c r="I179" i="6"/>
  <c r="X176" i="6"/>
  <c r="A179" i="11"/>
  <c r="Q178" i="11"/>
  <c r="N174" i="11"/>
  <c r="O174" i="11" s="1"/>
  <c r="P174" i="11" s="1"/>
  <c r="R174" i="11" s="1"/>
  <c r="A177" i="6"/>
  <c r="P177" i="6" s="1"/>
  <c r="J168" i="6" l="1"/>
  <c r="X177" i="6"/>
  <c r="I180" i="6"/>
  <c r="N175" i="11"/>
  <c r="O175" i="11" s="1"/>
  <c r="P175" i="11" s="1"/>
  <c r="R175" i="11" s="1"/>
  <c r="A180" i="11"/>
  <c r="Q179" i="11"/>
  <c r="A178" i="6"/>
  <c r="P178" i="6" s="1"/>
  <c r="J169" i="6" l="1"/>
  <c r="X178" i="6"/>
  <c r="I181" i="6"/>
  <c r="Q180" i="11"/>
  <c r="A181" i="11"/>
  <c r="N176" i="11"/>
  <c r="O176" i="11" s="1"/>
  <c r="P176" i="11" s="1"/>
  <c r="R176" i="11" s="1"/>
  <c r="A179" i="6"/>
  <c r="P179" i="6" s="1"/>
  <c r="J170" i="6" l="1"/>
  <c r="I182" i="6"/>
  <c r="X179" i="6"/>
  <c r="N177" i="11"/>
  <c r="O177" i="11" s="1"/>
  <c r="P177" i="11" s="1"/>
  <c r="R177" i="11" s="1"/>
  <c r="Q181" i="11"/>
  <c r="A182" i="11"/>
  <c r="A180" i="6"/>
  <c r="P180" i="6" l="1"/>
  <c r="J171" i="6"/>
  <c r="X180" i="6"/>
  <c r="I183" i="6"/>
  <c r="N178" i="11"/>
  <c r="O178" i="11" s="1"/>
  <c r="P178" i="11" s="1"/>
  <c r="R178" i="11" s="1"/>
  <c r="A183" i="11"/>
  <c r="Q182" i="11"/>
  <c r="A181" i="6"/>
  <c r="P181" i="6" s="1"/>
  <c r="J172" i="6" l="1"/>
  <c r="X181" i="6"/>
  <c r="I184" i="6"/>
  <c r="A184" i="11"/>
  <c r="Q183" i="11"/>
  <c r="N179" i="11"/>
  <c r="O179" i="11" s="1"/>
  <c r="P179" i="11" s="1"/>
  <c r="R179" i="11" s="1"/>
  <c r="A182" i="6"/>
  <c r="P182" i="6" l="1"/>
  <c r="J173" i="6"/>
  <c r="X182" i="6"/>
  <c r="I185" i="6"/>
  <c r="A185" i="11"/>
  <c r="Q184" i="11"/>
  <c r="N180" i="11"/>
  <c r="O180" i="11" s="1"/>
  <c r="P180" i="11" s="1"/>
  <c r="R180" i="11" s="1"/>
  <c r="A183" i="6"/>
  <c r="P183" i="6" s="1"/>
  <c r="J174" i="6" l="1"/>
  <c r="X183" i="6"/>
  <c r="I186" i="6"/>
  <c r="N181" i="11"/>
  <c r="O181" i="11" s="1"/>
  <c r="P181" i="11" s="1"/>
  <c r="R181" i="11" s="1"/>
  <c r="Q185" i="11"/>
  <c r="A186" i="11"/>
  <c r="A184" i="6"/>
  <c r="P184" i="6" s="1"/>
  <c r="J175" i="6" l="1"/>
  <c r="X184" i="6"/>
  <c r="I187" i="6"/>
  <c r="A187" i="11"/>
  <c r="Q186" i="11"/>
  <c r="N182" i="11"/>
  <c r="O182" i="11" s="1"/>
  <c r="P182" i="11" s="1"/>
  <c r="R182" i="11" s="1"/>
  <c r="A185" i="6"/>
  <c r="P185" i="6" l="1"/>
  <c r="J176" i="6"/>
  <c r="X185" i="6"/>
  <c r="I188" i="6"/>
  <c r="N183" i="11"/>
  <c r="O183" i="11" s="1"/>
  <c r="P183" i="11" s="1"/>
  <c r="R183" i="11" s="1"/>
  <c r="A188" i="11"/>
  <c r="Q187" i="11"/>
  <c r="A186" i="6"/>
  <c r="P186" i="6" s="1"/>
  <c r="J177" i="6" l="1"/>
  <c r="X186" i="6"/>
  <c r="I189" i="6"/>
  <c r="Q188" i="11"/>
  <c r="A189" i="11"/>
  <c r="N184" i="11"/>
  <c r="O184" i="11" s="1"/>
  <c r="P184" i="11" s="1"/>
  <c r="R184" i="11" s="1"/>
  <c r="A187" i="6"/>
  <c r="P187" i="6" l="1"/>
  <c r="J178" i="6"/>
  <c r="X187" i="6"/>
  <c r="I190" i="6"/>
  <c r="Q189" i="11"/>
  <c r="A190" i="11"/>
  <c r="N185" i="11"/>
  <c r="O185" i="11" s="1"/>
  <c r="P185" i="11" s="1"/>
  <c r="R185" i="11" s="1"/>
  <c r="A188" i="6"/>
  <c r="P188" i="6" l="1"/>
  <c r="J179" i="6"/>
  <c r="X188" i="6"/>
  <c r="I191" i="6"/>
  <c r="N186" i="11"/>
  <c r="O186" i="11" s="1"/>
  <c r="P186" i="11" s="1"/>
  <c r="R186" i="11" s="1"/>
  <c r="A191" i="11"/>
  <c r="Q190" i="11"/>
  <c r="A189" i="6"/>
  <c r="P189" i="6" l="1"/>
  <c r="J180" i="6"/>
  <c r="X189" i="6"/>
  <c r="I192" i="6"/>
  <c r="N187" i="11"/>
  <c r="O187" i="11" s="1"/>
  <c r="P187" i="11" s="1"/>
  <c r="R187" i="11" s="1"/>
  <c r="A192" i="11"/>
  <c r="Q191" i="11"/>
  <c r="A190" i="6"/>
  <c r="P190" i="6" l="1"/>
  <c r="J181" i="6"/>
  <c r="X190" i="6"/>
  <c r="I193" i="6"/>
  <c r="Q192" i="11"/>
  <c r="A193" i="11"/>
  <c r="N188" i="11"/>
  <c r="O188" i="11" s="1"/>
  <c r="P188" i="11" s="1"/>
  <c r="R188" i="11" s="1"/>
  <c r="A191" i="6"/>
  <c r="P191" i="6" s="1"/>
  <c r="J182" i="6" l="1"/>
  <c r="X191" i="6"/>
  <c r="I194" i="6"/>
  <c r="N189" i="11"/>
  <c r="O189" i="11" s="1"/>
  <c r="P189" i="11" s="1"/>
  <c r="R189" i="11" s="1"/>
  <c r="Q193" i="11"/>
  <c r="A194" i="11"/>
  <c r="A192" i="6"/>
  <c r="P192" i="6" l="1"/>
  <c r="J183" i="6"/>
  <c r="X192" i="6"/>
  <c r="I195" i="6"/>
  <c r="N190" i="11"/>
  <c r="O190" i="11" s="1"/>
  <c r="P190" i="11" s="1"/>
  <c r="R190" i="11" s="1"/>
  <c r="A195" i="11"/>
  <c r="Q194" i="11"/>
  <c r="A193" i="6"/>
  <c r="P193" i="6" s="1"/>
  <c r="J184" i="6" l="1"/>
  <c r="X193" i="6"/>
  <c r="I196" i="6"/>
  <c r="N191" i="11"/>
  <c r="O191" i="11" s="1"/>
  <c r="P191" i="11" s="1"/>
  <c r="R191" i="11" s="1"/>
  <c r="A196" i="11"/>
  <c r="Q195" i="11"/>
  <c r="A194" i="6"/>
  <c r="P194" i="6" l="1"/>
  <c r="J185" i="6"/>
  <c r="X194" i="6"/>
  <c r="I197" i="6"/>
  <c r="Q196" i="11"/>
  <c r="A197" i="11"/>
  <c r="N192" i="11"/>
  <c r="O192" i="11" s="1"/>
  <c r="P192" i="11" s="1"/>
  <c r="R192" i="11" s="1"/>
  <c r="A195" i="6"/>
  <c r="P195" i="6" l="1"/>
  <c r="J186" i="6"/>
  <c r="X195" i="6"/>
  <c r="I198" i="6"/>
  <c r="Q197" i="11"/>
  <c r="A198" i="11"/>
  <c r="N193" i="11"/>
  <c r="O193" i="11" s="1"/>
  <c r="P193" i="11" s="1"/>
  <c r="R193" i="11" s="1"/>
  <c r="A196" i="6"/>
  <c r="P196" i="6" l="1"/>
  <c r="J187" i="6"/>
  <c r="I199" i="6"/>
  <c r="X196" i="6"/>
  <c r="N194" i="11"/>
  <c r="O194" i="11" s="1"/>
  <c r="P194" i="11" s="1"/>
  <c r="R194" i="11" s="1"/>
  <c r="A199" i="11"/>
  <c r="Q198" i="11"/>
  <c r="A197" i="6"/>
  <c r="P197" i="6" l="1"/>
  <c r="J188" i="6"/>
  <c r="I200" i="6"/>
  <c r="X197" i="6"/>
  <c r="N195" i="11"/>
  <c r="O195" i="11" s="1"/>
  <c r="P195" i="11" s="1"/>
  <c r="R195" i="11" s="1"/>
  <c r="A200" i="11"/>
  <c r="Q199" i="11"/>
  <c r="A198" i="6"/>
  <c r="P198" i="6" s="1"/>
  <c r="J189" i="6" l="1"/>
  <c r="X198" i="6"/>
  <c r="I201" i="6"/>
  <c r="N196" i="11"/>
  <c r="O196" i="11" s="1"/>
  <c r="P196" i="11" s="1"/>
  <c r="R196" i="11" s="1"/>
  <c r="A201" i="11"/>
  <c r="Q200" i="11"/>
  <c r="A199" i="6"/>
  <c r="P199" i="6" s="1"/>
  <c r="J190" i="6" l="1"/>
  <c r="X199" i="6"/>
  <c r="I202" i="6"/>
  <c r="N197" i="11"/>
  <c r="O197" i="11" s="1"/>
  <c r="P197" i="11" s="1"/>
  <c r="R197" i="11" s="1"/>
  <c r="Q201" i="11"/>
  <c r="A202" i="11"/>
  <c r="A200" i="6"/>
  <c r="P200" i="6" s="1"/>
  <c r="J191" i="6" l="1"/>
  <c r="I203" i="6"/>
  <c r="X200" i="6"/>
  <c r="N198" i="11"/>
  <c r="O198" i="11" s="1"/>
  <c r="P198" i="11" s="1"/>
  <c r="R198" i="11" s="1"/>
  <c r="A203" i="11"/>
  <c r="Q202" i="11"/>
  <c r="A201" i="6"/>
  <c r="P201" i="6" l="1"/>
  <c r="J192" i="6"/>
  <c r="X201" i="6"/>
  <c r="I204" i="6"/>
  <c r="N199" i="11"/>
  <c r="O199" i="11" s="1"/>
  <c r="P199" i="11" s="1"/>
  <c r="R199" i="11" s="1"/>
  <c r="A204" i="11"/>
  <c r="Q203" i="11"/>
  <c r="A202" i="6"/>
  <c r="P202" i="6" s="1"/>
  <c r="J193" i="6" l="1"/>
  <c r="X202" i="6"/>
  <c r="A205" i="11"/>
  <c r="Q205" i="11" s="1"/>
  <c r="N200" i="11"/>
  <c r="O200" i="11" s="1"/>
  <c r="P200" i="11" s="1"/>
  <c r="R200" i="11" s="1"/>
  <c r="Q204" i="11"/>
  <c r="A203" i="6"/>
  <c r="P203" i="6" l="1"/>
  <c r="J194" i="6"/>
  <c r="X203" i="6"/>
  <c r="A206" i="11"/>
  <c r="A207" i="11" s="1"/>
  <c r="N201" i="11"/>
  <c r="O201" i="11" s="1"/>
  <c r="P201" i="11" s="1"/>
  <c r="R201" i="11" s="1"/>
  <c r="A204" i="6"/>
  <c r="P204" i="6" s="1"/>
  <c r="J195" i="6" l="1"/>
  <c r="X204" i="6"/>
  <c r="Q206" i="11"/>
  <c r="N205" i="11"/>
  <c r="O205" i="11" s="1"/>
  <c r="P205" i="11" s="1"/>
  <c r="R205" i="11" s="1"/>
  <c r="A208" i="11"/>
  <c r="Q207" i="11"/>
  <c r="N202" i="11"/>
  <c r="O202" i="11" s="1"/>
  <c r="P202" i="11" s="1"/>
  <c r="R202" i="11" s="1"/>
  <c r="J196" i="6" l="1"/>
  <c r="N206" i="11"/>
  <c r="O206" i="11" s="1"/>
  <c r="P206" i="11" s="1"/>
  <c r="R206" i="11" s="1"/>
  <c r="Q208" i="11"/>
  <c r="A209" i="11"/>
  <c r="N203" i="11"/>
  <c r="O203" i="11" s="1"/>
  <c r="P203" i="11" s="1"/>
  <c r="R203" i="11" s="1"/>
  <c r="J197" i="6" l="1"/>
  <c r="N207" i="11"/>
  <c r="O207" i="11" s="1"/>
  <c r="P207" i="11" s="1"/>
  <c r="R207" i="11" s="1"/>
  <c r="N204" i="11"/>
  <c r="O204" i="11" s="1"/>
  <c r="P204" i="11" s="1"/>
  <c r="R204" i="11" s="1"/>
  <c r="A210" i="11"/>
  <c r="Q209" i="11"/>
  <c r="J198" i="6" l="1"/>
  <c r="A211" i="11"/>
  <c r="Q210" i="11"/>
  <c r="J199" i="6" l="1"/>
  <c r="N208" i="11"/>
  <c r="O208" i="11" s="1"/>
  <c r="P208" i="11" s="1"/>
  <c r="R208" i="11" s="1"/>
  <c r="N209" i="11"/>
  <c r="O209" i="11" s="1"/>
  <c r="P209" i="11" s="1"/>
  <c r="R209" i="11" s="1"/>
  <c r="A212" i="11"/>
  <c r="Q211" i="11"/>
  <c r="J200" i="6" l="1"/>
  <c r="A213" i="11"/>
  <c r="Q212" i="11"/>
  <c r="N210" i="11"/>
  <c r="O210" i="11" s="1"/>
  <c r="P210" i="11" s="1"/>
  <c r="R210" i="11" s="1"/>
  <c r="J201" i="6" l="1"/>
  <c r="N211" i="11"/>
  <c r="O211" i="11" s="1"/>
  <c r="P211" i="11" s="1"/>
  <c r="R211" i="11" s="1"/>
  <c r="Q213" i="11"/>
  <c r="A214" i="11"/>
  <c r="J202" i="6" l="1"/>
  <c r="A215" i="11"/>
  <c r="Q214" i="11"/>
  <c r="N212" i="11"/>
  <c r="O212" i="11" s="1"/>
  <c r="P212" i="11" s="1"/>
  <c r="R212" i="11" s="1"/>
  <c r="J203" i="6" l="1"/>
  <c r="Q215" i="11"/>
  <c r="A216" i="11"/>
  <c r="N213" i="11"/>
  <c r="O213" i="11" s="1"/>
  <c r="P213" i="11" s="1"/>
  <c r="R213" i="11" s="1"/>
  <c r="J204" i="6" l="1"/>
  <c r="N214" i="11"/>
  <c r="O214" i="11" s="1"/>
  <c r="P214" i="11" s="1"/>
  <c r="R214" i="11" s="1"/>
  <c r="Q216" i="11"/>
  <c r="A217" i="11"/>
  <c r="Q217" i="11" l="1"/>
  <c r="A218" i="11"/>
  <c r="N215" i="11"/>
  <c r="O215" i="11" s="1"/>
  <c r="P215" i="11" s="1"/>
  <c r="R215" i="11" s="1"/>
  <c r="B42" i="1" l="1"/>
  <c r="B36" i="1" s="1"/>
  <c r="J4" i="1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J112" i="11" s="1"/>
  <c r="J113" i="11" s="1"/>
  <c r="J114" i="11" s="1"/>
  <c r="J115" i="11" s="1"/>
  <c r="J116" i="11" s="1"/>
  <c r="J117" i="11" s="1"/>
  <c r="J118" i="11" s="1"/>
  <c r="J119" i="11" s="1"/>
  <c r="J120" i="11" s="1"/>
  <c r="J121" i="11" s="1"/>
  <c r="J122" i="11" s="1"/>
  <c r="J123" i="11" s="1"/>
  <c r="J124" i="11" s="1"/>
  <c r="J125" i="11" s="1"/>
  <c r="J126" i="11" s="1"/>
  <c r="J127" i="11" s="1"/>
  <c r="J128" i="11" s="1"/>
  <c r="J129" i="11" s="1"/>
  <c r="J130" i="11" s="1"/>
  <c r="J131" i="11" s="1"/>
  <c r="J132" i="11" s="1"/>
  <c r="J133" i="11" s="1"/>
  <c r="J134" i="11" s="1"/>
  <c r="J135" i="11" s="1"/>
  <c r="J136" i="11" s="1"/>
  <c r="J137" i="11" s="1"/>
  <c r="J138" i="11" s="1"/>
  <c r="J139" i="11" s="1"/>
  <c r="J140" i="11" s="1"/>
  <c r="J141" i="11" s="1"/>
  <c r="J142" i="11" s="1"/>
  <c r="J143" i="11" s="1"/>
  <c r="J144" i="11" s="1"/>
  <c r="J145" i="11" s="1"/>
  <c r="J146" i="11" s="1"/>
  <c r="J147" i="11" s="1"/>
  <c r="J148" i="11" s="1"/>
  <c r="J149" i="11" s="1"/>
  <c r="J150" i="11" s="1"/>
  <c r="J151" i="11" s="1"/>
  <c r="J152" i="11" s="1"/>
  <c r="J153" i="11" s="1"/>
  <c r="J154" i="11" s="1"/>
  <c r="J155" i="11" s="1"/>
  <c r="J156" i="11" s="1"/>
  <c r="J157" i="11" s="1"/>
  <c r="J158" i="11" s="1"/>
  <c r="J159" i="11" s="1"/>
  <c r="J160" i="11" s="1"/>
  <c r="J161" i="11" s="1"/>
  <c r="J162" i="11" s="1"/>
  <c r="J163" i="11" s="1"/>
  <c r="J164" i="11" s="1"/>
  <c r="J165" i="11" s="1"/>
  <c r="J166" i="11" s="1"/>
  <c r="J167" i="11" s="1"/>
  <c r="J168" i="11" s="1"/>
  <c r="J169" i="11" s="1"/>
  <c r="J170" i="11" s="1"/>
  <c r="J171" i="11" s="1"/>
  <c r="J172" i="11" s="1"/>
  <c r="J173" i="11" s="1"/>
  <c r="J174" i="11" s="1"/>
  <c r="J175" i="11" s="1"/>
  <c r="J176" i="11" s="1"/>
  <c r="J177" i="11" s="1"/>
  <c r="J178" i="11" s="1"/>
  <c r="J179" i="11" s="1"/>
  <c r="J180" i="11" s="1"/>
  <c r="J181" i="11" s="1"/>
  <c r="J182" i="11" s="1"/>
  <c r="J183" i="11" s="1"/>
  <c r="J184" i="11" s="1"/>
  <c r="J185" i="11" s="1"/>
  <c r="J186" i="11" s="1"/>
  <c r="J187" i="11" s="1"/>
  <c r="J188" i="11" s="1"/>
  <c r="J189" i="11" s="1"/>
  <c r="J190" i="11" s="1"/>
  <c r="J191" i="11" s="1"/>
  <c r="J192" i="11" s="1"/>
  <c r="J193" i="11" s="1"/>
  <c r="J194" i="11" s="1"/>
  <c r="J195" i="11" s="1"/>
  <c r="J196" i="11" s="1"/>
  <c r="J197" i="11" s="1"/>
  <c r="J198" i="11" s="1"/>
  <c r="J199" i="11" s="1"/>
  <c r="J200" i="11" s="1"/>
  <c r="J201" i="11" s="1"/>
  <c r="J202" i="11" s="1"/>
  <c r="J203" i="11" s="1"/>
  <c r="J204" i="11" s="1"/>
  <c r="J205" i="11" s="1"/>
  <c r="J206" i="11" s="1"/>
  <c r="J207" i="11" s="1"/>
  <c r="J208" i="11" s="1"/>
  <c r="J209" i="11" s="1"/>
  <c r="J210" i="11" s="1"/>
  <c r="J211" i="11" s="1"/>
  <c r="J212" i="11" s="1"/>
  <c r="J213" i="11" s="1"/>
  <c r="J214" i="11" s="1"/>
  <c r="J215" i="11" s="1"/>
  <c r="J216" i="11" s="1"/>
  <c r="J217" i="11" s="1"/>
  <c r="J218" i="11" s="1"/>
  <c r="J219" i="11" s="1"/>
  <c r="J220" i="11" s="1"/>
  <c r="J221" i="11" s="1"/>
  <c r="J222" i="11" s="1"/>
  <c r="J223" i="11" s="1"/>
  <c r="J224" i="11" s="1"/>
  <c r="J225" i="11" s="1"/>
  <c r="J226" i="11" s="1"/>
  <c r="J227" i="11" s="1"/>
  <c r="J228" i="11" s="1"/>
  <c r="J229" i="11" s="1"/>
  <c r="J230" i="11" s="1"/>
  <c r="J231" i="11" s="1"/>
  <c r="J232" i="11" s="1"/>
  <c r="J233" i="11" s="1"/>
  <c r="J234" i="11" s="1"/>
  <c r="J235" i="11" s="1"/>
  <c r="J236" i="11" s="1"/>
  <c r="J237" i="11" s="1"/>
  <c r="J238" i="11" s="1"/>
  <c r="J239" i="11" s="1"/>
  <c r="J240" i="11" s="1"/>
  <c r="J241" i="11" s="1"/>
  <c r="J242" i="11" s="1"/>
  <c r="J243" i="11" s="1"/>
  <c r="J244" i="11" s="1"/>
  <c r="J245" i="11" s="1"/>
  <c r="J246" i="11" s="1"/>
  <c r="J247" i="11" s="1"/>
  <c r="J248" i="11" s="1"/>
  <c r="J249" i="11" s="1"/>
  <c r="J250" i="11" s="1"/>
  <c r="J251" i="11" s="1"/>
  <c r="J252" i="11" s="1"/>
  <c r="J253" i="11" s="1"/>
  <c r="J254" i="11" s="1"/>
  <c r="J255" i="11" s="1"/>
  <c r="J256" i="11" s="1"/>
  <c r="J257" i="11" s="1"/>
  <c r="J258" i="11" s="1"/>
  <c r="J259" i="11" s="1"/>
  <c r="J260" i="11" s="1"/>
  <c r="J261" i="11" s="1"/>
  <c r="J262" i="11" s="1"/>
  <c r="J263" i="11" s="1"/>
  <c r="J264" i="11" s="1"/>
  <c r="J265" i="11" s="1"/>
  <c r="J266" i="11" s="1"/>
  <c r="J267" i="11" s="1"/>
  <c r="J268" i="11" s="1"/>
  <c r="J269" i="11" s="1"/>
  <c r="J270" i="11" s="1"/>
  <c r="J271" i="11" s="1"/>
  <c r="J272" i="11" s="1"/>
  <c r="J273" i="11" s="1"/>
  <c r="J274" i="11" s="1"/>
  <c r="J275" i="11" s="1"/>
  <c r="J276" i="11" s="1"/>
  <c r="J277" i="11" s="1"/>
  <c r="J278" i="11" s="1"/>
  <c r="J279" i="11" s="1"/>
  <c r="J280" i="11" s="1"/>
  <c r="J281" i="11" s="1"/>
  <c r="J282" i="11" s="1"/>
  <c r="J283" i="11" s="1"/>
  <c r="J284" i="11" s="1"/>
  <c r="J285" i="11" s="1"/>
  <c r="J286" i="11" s="1"/>
  <c r="J287" i="11" s="1"/>
  <c r="J288" i="11" s="1"/>
  <c r="J289" i="11" s="1"/>
  <c r="J290" i="11" s="1"/>
  <c r="J291" i="11" s="1"/>
  <c r="J292" i="11" s="1"/>
  <c r="J293" i="11" s="1"/>
  <c r="J294" i="11" s="1"/>
  <c r="J295" i="11" s="1"/>
  <c r="J296" i="11" s="1"/>
  <c r="J297" i="11" s="1"/>
  <c r="J298" i="11" s="1"/>
  <c r="J299" i="11" s="1"/>
  <c r="J300" i="11" s="1"/>
  <c r="J301" i="11" s="1"/>
  <c r="J302" i="11" s="1"/>
  <c r="J303" i="11" s="1"/>
  <c r="J304" i="11" s="1"/>
  <c r="A219" i="11"/>
  <c r="Q218" i="11"/>
  <c r="N216" i="11"/>
  <c r="O216" i="11" s="1"/>
  <c r="P216" i="11" s="1"/>
  <c r="R216" i="11" s="1"/>
  <c r="E28" i="1"/>
  <c r="E26" i="1"/>
  <c r="B40" i="1"/>
  <c r="B38" i="1" s="1"/>
  <c r="K4" i="6" l="1"/>
  <c r="K5" i="6"/>
  <c r="L5" i="6" s="1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N217" i="11"/>
  <c r="O217" i="11" s="1"/>
  <c r="P217" i="11" s="1"/>
  <c r="R217" i="11" s="1"/>
  <c r="A220" i="11"/>
  <c r="Q219" i="11"/>
  <c r="B41" i="1"/>
  <c r="L6" i="6" l="1"/>
  <c r="L7" i="6" s="1"/>
  <c r="O5" i="6"/>
  <c r="M5" i="6"/>
  <c r="N5" i="6" s="1"/>
  <c r="A221" i="11"/>
  <c r="Q220" i="11"/>
  <c r="N218" i="11"/>
  <c r="O218" i="11" s="1"/>
  <c r="P218" i="11" s="1"/>
  <c r="R218" i="11" s="1"/>
  <c r="M6" i="6" l="1"/>
  <c r="N6" i="6" s="1"/>
  <c r="O6" i="6"/>
  <c r="Q6" i="6" s="1"/>
  <c r="L8" i="6"/>
  <c r="M8" i="6" s="1"/>
  <c r="N8" i="6" s="1"/>
  <c r="O7" i="6"/>
  <c r="R7" i="6" s="1"/>
  <c r="S7" i="6" s="1"/>
  <c r="AZ7" i="6" s="1"/>
  <c r="M7" i="6"/>
  <c r="N7" i="6" s="1"/>
  <c r="Q5" i="6"/>
  <c r="R5" i="6"/>
  <c r="S5" i="6" s="1"/>
  <c r="Q221" i="11"/>
  <c r="A222" i="11"/>
  <c r="N219" i="11"/>
  <c r="O219" i="11" s="1"/>
  <c r="P219" i="11" s="1"/>
  <c r="R219" i="11" s="1"/>
  <c r="AV4" i="6"/>
  <c r="AZ5" i="6" l="1"/>
  <c r="Q7" i="6"/>
  <c r="R6" i="6"/>
  <c r="S6" i="6" s="1"/>
  <c r="L9" i="6"/>
  <c r="O9" i="6" s="1"/>
  <c r="O8" i="6"/>
  <c r="Q8" i="6" s="1"/>
  <c r="T5" i="6"/>
  <c r="U5" i="6"/>
  <c r="U7" i="6"/>
  <c r="T7" i="6"/>
  <c r="AV5" i="6"/>
  <c r="AW5" i="6" s="1"/>
  <c r="N220" i="11"/>
  <c r="O220" i="11" s="1"/>
  <c r="P220" i="11" s="1"/>
  <c r="R220" i="11" s="1"/>
  <c r="Q222" i="11"/>
  <c r="A223" i="11"/>
  <c r="U6" i="6" l="1"/>
  <c r="V6" i="6" s="1"/>
  <c r="AZ6" i="6"/>
  <c r="V7" i="6"/>
  <c r="AO7" i="6"/>
  <c r="V5" i="6"/>
  <c r="AO5" i="6"/>
  <c r="L10" i="6"/>
  <c r="M10" i="6" s="1"/>
  <c r="N10" i="6" s="1"/>
  <c r="T6" i="6"/>
  <c r="R8" i="6"/>
  <c r="S8" i="6" s="1"/>
  <c r="M9" i="6"/>
  <c r="N9" i="6" s="1"/>
  <c r="Q9" i="6"/>
  <c r="R9" i="6"/>
  <c r="S9" i="6" s="1"/>
  <c r="AZ9" i="6" s="1"/>
  <c r="AY5" i="6"/>
  <c r="AX5" i="6"/>
  <c r="N221" i="11"/>
  <c r="O221" i="11" s="1"/>
  <c r="P221" i="11" s="1"/>
  <c r="R221" i="11" s="1"/>
  <c r="Q223" i="11"/>
  <c r="A224" i="11"/>
  <c r="AV6" i="6"/>
  <c r="U8" i="6" l="1"/>
  <c r="AO8" i="6" s="1"/>
  <c r="AZ8" i="6"/>
  <c r="AO6" i="6"/>
  <c r="W6" i="6"/>
  <c r="AQ6" i="6" s="1"/>
  <c r="AP6" i="6"/>
  <c r="AR6" i="6" s="1"/>
  <c r="AT6" i="6"/>
  <c r="W5" i="6"/>
  <c r="AQ5" i="6" s="1"/>
  <c r="AP5" i="6"/>
  <c r="AR5" i="6" s="1"/>
  <c r="AT5" i="6"/>
  <c r="W7" i="6"/>
  <c r="AQ7" i="6" s="1"/>
  <c r="AT7" i="6"/>
  <c r="AP7" i="6"/>
  <c r="AR7" i="6" s="1"/>
  <c r="L11" i="6"/>
  <c r="O11" i="6" s="1"/>
  <c r="O10" i="6"/>
  <c r="Q10" i="6" s="1"/>
  <c r="T8" i="6"/>
  <c r="T9" i="6"/>
  <c r="U9" i="6"/>
  <c r="AW6" i="6"/>
  <c r="AY6" i="6"/>
  <c r="AV7" i="6"/>
  <c r="AU6" i="6"/>
  <c r="AX6" i="6" s="1"/>
  <c r="Q224" i="11"/>
  <c r="A225" i="11"/>
  <c r="N222" i="11"/>
  <c r="O222" i="11" s="1"/>
  <c r="P222" i="11" s="1"/>
  <c r="R222" i="11" s="1"/>
  <c r="V8" i="6" l="1"/>
  <c r="W8" i="6" s="1"/>
  <c r="V9" i="6"/>
  <c r="AO9" i="6"/>
  <c r="Y5" i="6"/>
  <c r="Y6" i="6"/>
  <c r="Y7" i="6"/>
  <c r="L12" i="6"/>
  <c r="O12" i="6" s="1"/>
  <c r="R10" i="6"/>
  <c r="S10" i="6" s="1"/>
  <c r="M11" i="6"/>
  <c r="N11" i="6" s="1"/>
  <c r="Q11" i="6"/>
  <c r="R11" i="6"/>
  <c r="S11" i="6" s="1"/>
  <c r="AZ11" i="6" s="1"/>
  <c r="AW7" i="6"/>
  <c r="AV8" i="6"/>
  <c r="AU7" i="6"/>
  <c r="N223" i="11"/>
  <c r="O223" i="11" s="1"/>
  <c r="P223" i="11" s="1"/>
  <c r="R223" i="11" s="1"/>
  <c r="A226" i="11"/>
  <c r="Q225" i="11"/>
  <c r="AP8" i="6" l="1"/>
  <c r="AR8" i="6" s="1"/>
  <c r="AT8" i="6"/>
  <c r="T10" i="6"/>
  <c r="AZ10" i="6"/>
  <c r="Y8" i="6"/>
  <c r="W9" i="6"/>
  <c r="AQ9" i="6" s="1"/>
  <c r="AP9" i="6"/>
  <c r="AR9" i="6" s="1"/>
  <c r="AT9" i="6"/>
  <c r="AQ8" i="6"/>
  <c r="L13" i="6"/>
  <c r="M13" i="6" s="1"/>
  <c r="N13" i="6" s="1"/>
  <c r="M12" i="6"/>
  <c r="N12" i="6" s="1"/>
  <c r="U10" i="6"/>
  <c r="T11" i="6"/>
  <c r="U11" i="6"/>
  <c r="Q12" i="6"/>
  <c r="R12" i="6"/>
  <c r="S12" i="6" s="1"/>
  <c r="AZ12" i="6" s="1"/>
  <c r="AY8" i="6"/>
  <c r="AW8" i="6"/>
  <c r="AU8" i="6"/>
  <c r="AX8" i="6" s="1"/>
  <c r="Q226" i="11"/>
  <c r="A227" i="11"/>
  <c r="N224" i="11"/>
  <c r="O224" i="11" s="1"/>
  <c r="P224" i="11" s="1"/>
  <c r="R224" i="11" s="1"/>
  <c r="AV9" i="6"/>
  <c r="V11" i="6" l="1"/>
  <c r="AO11" i="6"/>
  <c r="V10" i="6"/>
  <c r="AO10" i="6"/>
  <c r="Y9" i="6"/>
  <c r="O13" i="6"/>
  <c r="Q13" i="6" s="1"/>
  <c r="L14" i="6"/>
  <c r="O14" i="6" s="1"/>
  <c r="T12" i="6"/>
  <c r="U12" i="6"/>
  <c r="AY9" i="6"/>
  <c r="AW9" i="6"/>
  <c r="AU9" i="6"/>
  <c r="AX9" i="6" s="1"/>
  <c r="N225" i="11"/>
  <c r="O225" i="11" s="1"/>
  <c r="P225" i="11" s="1"/>
  <c r="R225" i="11" s="1"/>
  <c r="A228" i="11"/>
  <c r="Q227" i="11"/>
  <c r="AV10" i="6"/>
  <c r="W10" i="6" l="1"/>
  <c r="AQ10" i="6" s="1"/>
  <c r="AP10" i="6"/>
  <c r="AR10" i="6" s="1"/>
  <c r="AT10" i="6"/>
  <c r="W11" i="6"/>
  <c r="AQ11" i="6" s="1"/>
  <c r="AP11" i="6"/>
  <c r="AR11" i="6" s="1"/>
  <c r="AT11" i="6"/>
  <c r="V12" i="6"/>
  <c r="AO12" i="6"/>
  <c r="L15" i="6"/>
  <c r="O15" i="6" s="1"/>
  <c r="R13" i="6"/>
  <c r="S13" i="6" s="1"/>
  <c r="M14" i="6"/>
  <c r="N14" i="6" s="1"/>
  <c r="Q14" i="6"/>
  <c r="R14" i="6"/>
  <c r="S14" i="6" s="1"/>
  <c r="AZ14" i="6" s="1"/>
  <c r="AY10" i="6"/>
  <c r="AW10" i="6"/>
  <c r="AU10" i="6"/>
  <c r="AX10" i="6" s="1"/>
  <c r="N226" i="11"/>
  <c r="O226" i="11" s="1"/>
  <c r="P226" i="11" s="1"/>
  <c r="R226" i="11" s="1"/>
  <c r="Q228" i="11"/>
  <c r="A229" i="11"/>
  <c r="AV11" i="6"/>
  <c r="U13" i="6" l="1"/>
  <c r="AO13" i="6" s="1"/>
  <c r="AZ13" i="6"/>
  <c r="W12" i="6"/>
  <c r="AQ12" i="6" s="1"/>
  <c r="AT12" i="6"/>
  <c r="AP12" i="6"/>
  <c r="AR12" i="6" s="1"/>
  <c r="Y11" i="6"/>
  <c r="Y10" i="6"/>
  <c r="M15" i="6"/>
  <c r="N15" i="6" s="1"/>
  <c r="L16" i="6"/>
  <c r="M16" i="6" s="1"/>
  <c r="N16" i="6" s="1"/>
  <c r="T13" i="6"/>
  <c r="T14" i="6"/>
  <c r="U14" i="6"/>
  <c r="Q15" i="6"/>
  <c r="R15" i="6"/>
  <c r="S15" i="6" s="1"/>
  <c r="AZ15" i="6" s="1"/>
  <c r="AY11" i="6"/>
  <c r="AW11" i="6"/>
  <c r="AV12" i="6"/>
  <c r="AU11" i="6"/>
  <c r="AX11" i="6" s="1"/>
  <c r="Q229" i="11"/>
  <c r="A230" i="11"/>
  <c r="N227" i="11"/>
  <c r="O227" i="11" s="1"/>
  <c r="P227" i="11" s="1"/>
  <c r="R227" i="11" s="1"/>
  <c r="V13" i="6" l="1"/>
  <c r="AP13" i="6" s="1"/>
  <c r="AR13" i="6" s="1"/>
  <c r="V14" i="6"/>
  <c r="AO14" i="6"/>
  <c r="Y12" i="6"/>
  <c r="L17" i="6"/>
  <c r="O17" i="6" s="1"/>
  <c r="O16" i="6"/>
  <c r="Q16" i="6" s="1"/>
  <c r="T15" i="6"/>
  <c r="U15" i="6"/>
  <c r="AY12" i="6"/>
  <c r="AW12" i="6"/>
  <c r="AV13" i="6"/>
  <c r="AU12" i="6"/>
  <c r="AX12" i="6" s="1"/>
  <c r="N228" i="11"/>
  <c r="O228" i="11" s="1"/>
  <c r="P228" i="11" s="1"/>
  <c r="R228" i="11" s="1"/>
  <c r="Q230" i="11"/>
  <c r="A231" i="11"/>
  <c r="W13" i="6" l="1"/>
  <c r="AQ13" i="6" s="1"/>
  <c r="AT13" i="6"/>
  <c r="V15" i="6"/>
  <c r="AO15" i="6"/>
  <c r="W14" i="6"/>
  <c r="AQ14" i="6" s="1"/>
  <c r="AP14" i="6"/>
  <c r="AR14" i="6" s="1"/>
  <c r="AT14" i="6"/>
  <c r="R16" i="6"/>
  <c r="S16" i="6" s="1"/>
  <c r="L18" i="6"/>
  <c r="M18" i="6" s="1"/>
  <c r="N18" i="6" s="1"/>
  <c r="M17" i="6"/>
  <c r="N17" i="6" s="1"/>
  <c r="Q17" i="6"/>
  <c r="R17" i="6"/>
  <c r="S17" i="6" s="1"/>
  <c r="AZ17" i="6" s="1"/>
  <c r="AW13" i="6"/>
  <c r="AY13" i="6"/>
  <c r="AV14" i="6"/>
  <c r="AU13" i="6"/>
  <c r="AX13" i="6" s="1"/>
  <c r="A232" i="11"/>
  <c r="Q231" i="11"/>
  <c r="N229" i="11"/>
  <c r="O229" i="11" s="1"/>
  <c r="P229" i="11" s="1"/>
  <c r="R229" i="11" s="1"/>
  <c r="Y13" i="6" l="1"/>
  <c r="T16" i="6"/>
  <c r="AZ16" i="6"/>
  <c r="W15" i="6"/>
  <c r="AQ15" i="6" s="1"/>
  <c r="AT15" i="6"/>
  <c r="AP15" i="6"/>
  <c r="AR15" i="6" s="1"/>
  <c r="Y14" i="6"/>
  <c r="U16" i="6"/>
  <c r="O18" i="6"/>
  <c r="Q18" i="6" s="1"/>
  <c r="L19" i="6"/>
  <c r="M19" i="6" s="1"/>
  <c r="N19" i="6" s="1"/>
  <c r="T17" i="6"/>
  <c r="U17" i="6"/>
  <c r="AW14" i="6"/>
  <c r="AY14" i="6"/>
  <c r="AV15" i="6"/>
  <c r="AU14" i="6"/>
  <c r="AX14" i="6" s="1"/>
  <c r="N230" i="11"/>
  <c r="O230" i="11" s="1"/>
  <c r="P230" i="11" s="1"/>
  <c r="R230" i="11" s="1"/>
  <c r="Q232" i="11"/>
  <c r="A233" i="11"/>
  <c r="V17" i="6" l="1"/>
  <c r="AO17" i="6"/>
  <c r="V16" i="6"/>
  <c r="AO16" i="6"/>
  <c r="Y15" i="6"/>
  <c r="R18" i="6"/>
  <c r="S18" i="6" s="1"/>
  <c r="O19" i="6"/>
  <c r="Q19" i="6" s="1"/>
  <c r="L20" i="6"/>
  <c r="M20" i="6" s="1"/>
  <c r="N20" i="6" s="1"/>
  <c r="AW15" i="6"/>
  <c r="AY15" i="6"/>
  <c r="AV16" i="6"/>
  <c r="AU15" i="6"/>
  <c r="AX15" i="6" s="1"/>
  <c r="Q233" i="11"/>
  <c r="A234" i="11"/>
  <c r="N231" i="11"/>
  <c r="O231" i="11" s="1"/>
  <c r="P231" i="11" s="1"/>
  <c r="R231" i="11" s="1"/>
  <c r="T18" i="6" l="1"/>
  <c r="AZ18" i="6"/>
  <c r="W16" i="6"/>
  <c r="AQ16" i="6" s="1"/>
  <c r="AT16" i="6"/>
  <c r="AP16" i="6"/>
  <c r="AR16" i="6" s="1"/>
  <c r="W17" i="6"/>
  <c r="AQ17" i="6" s="1"/>
  <c r="AP17" i="6"/>
  <c r="AR17" i="6" s="1"/>
  <c r="AT17" i="6"/>
  <c r="R19" i="6"/>
  <c r="S19" i="6" s="1"/>
  <c r="U18" i="6"/>
  <c r="O20" i="6"/>
  <c r="R20" i="6" s="1"/>
  <c r="S20" i="6" s="1"/>
  <c r="AZ20" i="6" s="1"/>
  <c r="L21" i="6"/>
  <c r="O21" i="6" s="1"/>
  <c r="AY16" i="6"/>
  <c r="AW16" i="6"/>
  <c r="AU16" i="6"/>
  <c r="AX16" i="6" s="1"/>
  <c r="N232" i="11"/>
  <c r="O232" i="11" s="1"/>
  <c r="P232" i="11" s="1"/>
  <c r="R232" i="11" s="1"/>
  <c r="A235" i="11"/>
  <c r="Q234" i="11"/>
  <c r="AV17" i="6"/>
  <c r="U19" i="6" l="1"/>
  <c r="AO19" i="6" s="1"/>
  <c r="AZ19" i="6"/>
  <c r="Y17" i="6"/>
  <c r="V18" i="6"/>
  <c r="AO18" i="6"/>
  <c r="Y16" i="6"/>
  <c r="T19" i="6"/>
  <c r="M21" i="6"/>
  <c r="N21" i="6" s="1"/>
  <c r="L22" i="6"/>
  <c r="O22" i="6" s="1"/>
  <c r="Q20" i="6"/>
  <c r="T20" i="6"/>
  <c r="U20" i="6"/>
  <c r="Q21" i="6"/>
  <c r="R21" i="6"/>
  <c r="S21" i="6" s="1"/>
  <c r="AZ21" i="6" s="1"/>
  <c r="AY17" i="6"/>
  <c r="AW17" i="6"/>
  <c r="AU17" i="6"/>
  <c r="AX17" i="6" s="1"/>
  <c r="A236" i="11"/>
  <c r="Q235" i="11"/>
  <c r="N233" i="11"/>
  <c r="O233" i="11" s="1"/>
  <c r="P233" i="11" s="1"/>
  <c r="R233" i="11" s="1"/>
  <c r="AV18" i="6"/>
  <c r="V19" i="6" l="1"/>
  <c r="AP19" i="6" s="1"/>
  <c r="AR19" i="6" s="1"/>
  <c r="W18" i="6"/>
  <c r="AQ18" i="6" s="1"/>
  <c r="AT18" i="6"/>
  <c r="AP18" i="6"/>
  <c r="AR18" i="6" s="1"/>
  <c r="V20" i="6"/>
  <c r="AO20" i="6"/>
  <c r="L23" i="6"/>
  <c r="O23" i="6" s="1"/>
  <c r="M22" i="6"/>
  <c r="N22" i="6" s="1"/>
  <c r="T21" i="6"/>
  <c r="U21" i="6"/>
  <c r="Q22" i="6"/>
  <c r="R22" i="6"/>
  <c r="S22" i="6" s="1"/>
  <c r="AZ22" i="6" s="1"/>
  <c r="AY18" i="6"/>
  <c r="AW18" i="6"/>
  <c r="AV19" i="6"/>
  <c r="AU18" i="6"/>
  <c r="AX18" i="6" s="1"/>
  <c r="N234" i="11"/>
  <c r="O234" i="11" s="1"/>
  <c r="P234" i="11" s="1"/>
  <c r="R234" i="11" s="1"/>
  <c r="Q236" i="11"/>
  <c r="A237" i="11"/>
  <c r="W19" i="6" l="1"/>
  <c r="AQ19" i="6" s="1"/>
  <c r="AT19" i="6"/>
  <c r="Y18" i="6"/>
  <c r="V21" i="6"/>
  <c r="AO21" i="6"/>
  <c r="W20" i="6"/>
  <c r="AQ20" i="6" s="1"/>
  <c r="AP20" i="6"/>
  <c r="AR20" i="6" s="1"/>
  <c r="AT20" i="6"/>
  <c r="M23" i="6"/>
  <c r="N23" i="6" s="1"/>
  <c r="L24" i="6"/>
  <c r="M24" i="6" s="1"/>
  <c r="N24" i="6" s="1"/>
  <c r="T22" i="6"/>
  <c r="U22" i="6"/>
  <c r="Q23" i="6"/>
  <c r="R23" i="6"/>
  <c r="S23" i="6" s="1"/>
  <c r="AZ23" i="6" s="1"/>
  <c r="AY19" i="6"/>
  <c r="AW19" i="6"/>
  <c r="AV20" i="6"/>
  <c r="AU19" i="6"/>
  <c r="AX19" i="6" s="1"/>
  <c r="Q237" i="11"/>
  <c r="A238" i="11"/>
  <c r="N235" i="11"/>
  <c r="O235" i="11" s="1"/>
  <c r="P235" i="11" s="1"/>
  <c r="R235" i="11" s="1"/>
  <c r="Y19" i="6" l="1"/>
  <c r="W21" i="6"/>
  <c r="AQ21" i="6" s="1"/>
  <c r="AT21" i="6"/>
  <c r="AP21" i="6"/>
  <c r="AR21" i="6" s="1"/>
  <c r="Y20" i="6"/>
  <c r="V22" i="6"/>
  <c r="AO22" i="6"/>
  <c r="L25" i="6"/>
  <c r="M25" i="6" s="1"/>
  <c r="N25" i="6" s="1"/>
  <c r="O24" i="6"/>
  <c r="Q24" i="6" s="1"/>
  <c r="T23" i="6"/>
  <c r="U23" i="6"/>
  <c r="AY20" i="6"/>
  <c r="AW20" i="6"/>
  <c r="AV21" i="6"/>
  <c r="AU20" i="6"/>
  <c r="AX20" i="6" s="1"/>
  <c r="N236" i="11"/>
  <c r="O236" i="11" s="1"/>
  <c r="P236" i="11" s="1"/>
  <c r="R236" i="11" s="1"/>
  <c r="Q238" i="11"/>
  <c r="A239" i="11"/>
  <c r="Y21" i="6" l="1"/>
  <c r="V23" i="6"/>
  <c r="AO23" i="6"/>
  <c r="W22" i="6"/>
  <c r="AQ22" i="6" s="1"/>
  <c r="AP22" i="6"/>
  <c r="AR22" i="6" s="1"/>
  <c r="AT22" i="6"/>
  <c r="R24" i="6"/>
  <c r="S24" i="6" s="1"/>
  <c r="L26" i="6"/>
  <c r="O26" i="6" s="1"/>
  <c r="O25" i="6"/>
  <c r="Q25" i="6" s="1"/>
  <c r="AW21" i="6"/>
  <c r="AY21" i="6"/>
  <c r="AV22" i="6"/>
  <c r="AU21" i="6"/>
  <c r="AX21" i="6" s="1"/>
  <c r="N237" i="11"/>
  <c r="O237" i="11" s="1"/>
  <c r="P237" i="11" s="1"/>
  <c r="R237" i="11" s="1"/>
  <c r="Q239" i="11"/>
  <c r="A240" i="11"/>
  <c r="T24" i="6" l="1"/>
  <c r="AZ24" i="6"/>
  <c r="W23" i="6"/>
  <c r="AQ23" i="6" s="1"/>
  <c r="AT23" i="6"/>
  <c r="AP23" i="6"/>
  <c r="AR23" i="6" s="1"/>
  <c r="Y22" i="6"/>
  <c r="R25" i="6"/>
  <c r="S25" i="6" s="1"/>
  <c r="L27" i="6"/>
  <c r="M27" i="6" s="1"/>
  <c r="N27" i="6" s="1"/>
  <c r="M26" i="6"/>
  <c r="N26" i="6" s="1"/>
  <c r="U24" i="6"/>
  <c r="Q26" i="6"/>
  <c r="R26" i="6"/>
  <c r="S26" i="6" s="1"/>
  <c r="AZ26" i="6" s="1"/>
  <c r="AW22" i="6"/>
  <c r="AY22" i="6"/>
  <c r="AV23" i="6"/>
  <c r="AU22" i="6"/>
  <c r="AX22" i="6" s="1"/>
  <c r="N238" i="11"/>
  <c r="O238" i="11" s="1"/>
  <c r="P238" i="11" s="1"/>
  <c r="R238" i="11" s="1"/>
  <c r="Q240" i="11"/>
  <c r="A241" i="11"/>
  <c r="U25" i="6" l="1"/>
  <c r="AO25" i="6" s="1"/>
  <c r="AZ25" i="6"/>
  <c r="V24" i="6"/>
  <c r="AO24" i="6"/>
  <c r="Y23" i="6"/>
  <c r="L28" i="6"/>
  <c r="O28" i="6" s="1"/>
  <c r="O27" i="6"/>
  <c r="Q27" i="6" s="1"/>
  <c r="T25" i="6"/>
  <c r="T26" i="6"/>
  <c r="U26" i="6"/>
  <c r="AW23" i="6"/>
  <c r="AY23" i="6"/>
  <c r="AU23" i="6"/>
  <c r="AX23" i="6" s="1"/>
  <c r="A242" i="11"/>
  <c r="Q241" i="11"/>
  <c r="N239" i="11"/>
  <c r="O239" i="11" s="1"/>
  <c r="P239" i="11" s="1"/>
  <c r="R239" i="11" s="1"/>
  <c r="AV24" i="6"/>
  <c r="V25" i="6" l="1"/>
  <c r="W25" i="6" s="1"/>
  <c r="AQ25" i="6" s="1"/>
  <c r="V26" i="6"/>
  <c r="AO26" i="6"/>
  <c r="W24" i="6"/>
  <c r="AQ24" i="6" s="1"/>
  <c r="AP24" i="6"/>
  <c r="AR24" i="6" s="1"/>
  <c r="AT24" i="6"/>
  <c r="R27" i="6"/>
  <c r="S27" i="6" s="1"/>
  <c r="L29" i="6"/>
  <c r="M29" i="6" s="1"/>
  <c r="N29" i="6" s="1"/>
  <c r="M28" i="6"/>
  <c r="N28" i="6" s="1"/>
  <c r="Q28" i="6"/>
  <c r="R28" i="6"/>
  <c r="S28" i="6" s="1"/>
  <c r="AZ28" i="6" s="1"/>
  <c r="AY24" i="6"/>
  <c r="AW24" i="6"/>
  <c r="AV25" i="6"/>
  <c r="AU24" i="6"/>
  <c r="AX24" i="6" s="1"/>
  <c r="N240" i="11"/>
  <c r="O240" i="11" s="1"/>
  <c r="P240" i="11" s="1"/>
  <c r="R240" i="11" s="1"/>
  <c r="Q242" i="11"/>
  <c r="A243" i="11"/>
  <c r="AT25" i="6" l="1"/>
  <c r="AP25" i="6"/>
  <c r="AR25" i="6" s="1"/>
  <c r="T27" i="6"/>
  <c r="AZ27" i="6"/>
  <c r="Y25" i="6"/>
  <c r="Y24" i="6"/>
  <c r="W26" i="6"/>
  <c r="AT26" i="6"/>
  <c r="AP26" i="6"/>
  <c r="AR26" i="6" s="1"/>
  <c r="L30" i="6"/>
  <c r="M30" i="6" s="1"/>
  <c r="N30" i="6" s="1"/>
  <c r="O29" i="6"/>
  <c r="Q29" i="6" s="1"/>
  <c r="U27" i="6"/>
  <c r="T28" i="6"/>
  <c r="U28" i="6"/>
  <c r="AY25" i="6"/>
  <c r="AW25" i="6"/>
  <c r="AV26" i="6"/>
  <c r="AU25" i="6"/>
  <c r="AX25" i="6" s="1"/>
  <c r="A244" i="11"/>
  <c r="Q243" i="11"/>
  <c r="N241" i="11"/>
  <c r="O241" i="11" s="1"/>
  <c r="P241" i="11" s="1"/>
  <c r="R241" i="11" s="1"/>
  <c r="Y26" i="6" l="1"/>
  <c r="AQ26" i="6"/>
  <c r="V28" i="6"/>
  <c r="AO28" i="6"/>
  <c r="V27" i="6"/>
  <c r="AO27" i="6"/>
  <c r="R29" i="6"/>
  <c r="S29" i="6" s="1"/>
  <c r="O30" i="6"/>
  <c r="Q30" i="6" s="1"/>
  <c r="L31" i="6"/>
  <c r="M31" i="6" s="1"/>
  <c r="N31" i="6" s="1"/>
  <c r="AY26" i="6"/>
  <c r="AW26" i="6"/>
  <c r="AV27" i="6"/>
  <c r="AU26" i="6"/>
  <c r="AX26" i="6" s="1"/>
  <c r="N242" i="11"/>
  <c r="O242" i="11" s="1"/>
  <c r="P242" i="11" s="1"/>
  <c r="R242" i="11" s="1"/>
  <c r="A245" i="11"/>
  <c r="Q244" i="11"/>
  <c r="U29" i="6" l="1"/>
  <c r="AO29" i="6" s="1"/>
  <c r="AZ29" i="6"/>
  <c r="W28" i="6"/>
  <c r="AQ28" i="6" s="1"/>
  <c r="AP28" i="6"/>
  <c r="AR28" i="6" s="1"/>
  <c r="AT28" i="6"/>
  <c r="W27" i="6"/>
  <c r="AQ27" i="6" s="1"/>
  <c r="AP27" i="6"/>
  <c r="AR27" i="6" s="1"/>
  <c r="AT27" i="6"/>
  <c r="T29" i="6"/>
  <c r="L32" i="6"/>
  <c r="M32" i="6" s="1"/>
  <c r="N32" i="6" s="1"/>
  <c r="O31" i="6"/>
  <c r="Q31" i="6" s="1"/>
  <c r="R30" i="6"/>
  <c r="S30" i="6" s="1"/>
  <c r="AY27" i="6"/>
  <c r="AW27" i="6"/>
  <c r="AV28" i="6"/>
  <c r="AU27" i="6"/>
  <c r="AX27" i="6" s="1"/>
  <c r="Q245" i="11"/>
  <c r="A246" i="11"/>
  <c r="N243" i="11"/>
  <c r="O243" i="11" s="1"/>
  <c r="P243" i="11" s="1"/>
  <c r="R243" i="11" s="1"/>
  <c r="V29" i="6" l="1"/>
  <c r="W29" i="6" s="1"/>
  <c r="AQ29" i="6" s="1"/>
  <c r="T30" i="6"/>
  <c r="AZ30" i="6"/>
  <c r="Y27" i="6"/>
  <c r="Y28" i="6"/>
  <c r="L33" i="6"/>
  <c r="O33" i="6" s="1"/>
  <c r="O32" i="6"/>
  <c r="Q32" i="6" s="1"/>
  <c r="R31" i="6"/>
  <c r="S31" i="6" s="1"/>
  <c r="U30" i="6"/>
  <c r="AY28" i="6"/>
  <c r="AW28" i="6"/>
  <c r="AV29" i="6"/>
  <c r="AU28" i="6"/>
  <c r="AX28" i="6" s="1"/>
  <c r="N244" i="11"/>
  <c r="O244" i="11" s="1"/>
  <c r="P244" i="11" s="1"/>
  <c r="R244" i="11" s="1"/>
  <c r="A247" i="11"/>
  <c r="Q246" i="11"/>
  <c r="AT29" i="6" l="1"/>
  <c r="AP29" i="6"/>
  <c r="AR29" i="6" s="1"/>
  <c r="T31" i="6"/>
  <c r="AZ31" i="6"/>
  <c r="V30" i="6"/>
  <c r="AO30" i="6"/>
  <c r="Y29" i="6"/>
  <c r="L34" i="6"/>
  <c r="M34" i="6" s="1"/>
  <c r="N34" i="6" s="1"/>
  <c r="M33" i="6"/>
  <c r="N33" i="6" s="1"/>
  <c r="R32" i="6"/>
  <c r="S32" i="6" s="1"/>
  <c r="U31" i="6"/>
  <c r="R33" i="6"/>
  <c r="S33" i="6" s="1"/>
  <c r="AZ33" i="6" s="1"/>
  <c r="Q33" i="6"/>
  <c r="AW29" i="6"/>
  <c r="AY29" i="6"/>
  <c r="AV30" i="6"/>
  <c r="AU29" i="6"/>
  <c r="AX29" i="6" s="1"/>
  <c r="Q247" i="11"/>
  <c r="A248" i="11"/>
  <c r="N245" i="11"/>
  <c r="O245" i="11" s="1"/>
  <c r="P245" i="11" s="1"/>
  <c r="R245" i="11" s="1"/>
  <c r="T32" i="6" l="1"/>
  <c r="AZ32" i="6"/>
  <c r="V31" i="6"/>
  <c r="AO31" i="6"/>
  <c r="W30" i="6"/>
  <c r="AQ30" i="6" s="1"/>
  <c r="AP30" i="6"/>
  <c r="AR30" i="6" s="1"/>
  <c r="AT30" i="6"/>
  <c r="L35" i="6"/>
  <c r="O35" i="6" s="1"/>
  <c r="O34" i="6"/>
  <c r="R34" i="6" s="1"/>
  <c r="S34" i="6" s="1"/>
  <c r="AZ34" i="6" s="1"/>
  <c r="U32" i="6"/>
  <c r="T33" i="6"/>
  <c r="U33" i="6"/>
  <c r="AW30" i="6"/>
  <c r="AY30" i="6"/>
  <c r="AV31" i="6"/>
  <c r="AU30" i="6"/>
  <c r="AX30" i="6" s="1"/>
  <c r="N246" i="11"/>
  <c r="O246" i="11" s="1"/>
  <c r="P246" i="11" s="1"/>
  <c r="R246" i="11" s="1"/>
  <c r="Q248" i="11"/>
  <c r="A249" i="11"/>
  <c r="V32" i="6" l="1"/>
  <c r="AO32" i="6"/>
  <c r="Y30" i="6"/>
  <c r="V33" i="6"/>
  <c r="AO33" i="6"/>
  <c r="W31" i="6"/>
  <c r="AQ31" i="6" s="1"/>
  <c r="AP31" i="6"/>
  <c r="AR31" i="6" s="1"/>
  <c r="AT31" i="6"/>
  <c r="L36" i="6"/>
  <c r="M36" i="6" s="1"/>
  <c r="N36" i="6" s="1"/>
  <c r="M35" i="6"/>
  <c r="N35" i="6" s="1"/>
  <c r="Q34" i="6"/>
  <c r="T34" i="6"/>
  <c r="U34" i="6"/>
  <c r="Q35" i="6"/>
  <c r="R35" i="6"/>
  <c r="S35" i="6" s="1"/>
  <c r="AZ35" i="6" s="1"/>
  <c r="AW31" i="6"/>
  <c r="AY31" i="6"/>
  <c r="AV32" i="6"/>
  <c r="AU31" i="6"/>
  <c r="AX31" i="6" s="1"/>
  <c r="Q249" i="11"/>
  <c r="A250" i="11"/>
  <c r="N247" i="11"/>
  <c r="O247" i="11" s="1"/>
  <c r="P247" i="11" s="1"/>
  <c r="R247" i="11" s="1"/>
  <c r="W33" i="6" l="1"/>
  <c r="AQ33" i="6" s="1"/>
  <c r="AP33" i="6"/>
  <c r="AR33" i="6" s="1"/>
  <c r="AT33" i="6"/>
  <c r="V34" i="6"/>
  <c r="AO34" i="6"/>
  <c r="W32" i="6"/>
  <c r="AQ32" i="6" s="1"/>
  <c r="AP32" i="6"/>
  <c r="AR32" i="6" s="1"/>
  <c r="AT32" i="6"/>
  <c r="Y31" i="6"/>
  <c r="L37" i="6"/>
  <c r="O37" i="6" s="1"/>
  <c r="O36" i="6"/>
  <c r="Q36" i="6" s="1"/>
  <c r="T35" i="6"/>
  <c r="U35" i="6"/>
  <c r="AY32" i="6"/>
  <c r="AW32" i="6"/>
  <c r="AV33" i="6"/>
  <c r="AU32" i="6"/>
  <c r="AX32" i="6" s="1"/>
  <c r="A251" i="11"/>
  <c r="Q250" i="11"/>
  <c r="N248" i="11"/>
  <c r="O248" i="11" s="1"/>
  <c r="P248" i="11" s="1"/>
  <c r="R248" i="11" s="1"/>
  <c r="Y33" i="6" l="1"/>
  <c r="V35" i="6"/>
  <c r="AO35" i="6"/>
  <c r="W34" i="6"/>
  <c r="AQ34" i="6" s="1"/>
  <c r="AT34" i="6"/>
  <c r="AP34" i="6"/>
  <c r="AR34" i="6" s="1"/>
  <c r="Y32" i="6"/>
  <c r="R36" i="6"/>
  <c r="S36" i="6" s="1"/>
  <c r="M37" i="6"/>
  <c r="N37" i="6" s="1"/>
  <c r="L38" i="6"/>
  <c r="M38" i="6" s="1"/>
  <c r="N38" i="6" s="1"/>
  <c r="Q37" i="6"/>
  <c r="R37" i="6"/>
  <c r="S37" i="6" s="1"/>
  <c r="AZ37" i="6" s="1"/>
  <c r="AY33" i="6"/>
  <c r="AW33" i="6"/>
  <c r="AV34" i="6"/>
  <c r="AU33" i="6"/>
  <c r="AX33" i="6" s="1"/>
  <c r="N249" i="11"/>
  <c r="O249" i="11" s="1"/>
  <c r="P249" i="11" s="1"/>
  <c r="R249" i="11" s="1"/>
  <c r="A252" i="11"/>
  <c r="Q251" i="11"/>
  <c r="T36" i="6" l="1"/>
  <c r="AZ36" i="6"/>
  <c r="W35" i="6"/>
  <c r="AQ35" i="6" s="1"/>
  <c r="AP35" i="6"/>
  <c r="AR35" i="6" s="1"/>
  <c r="AT35" i="6"/>
  <c r="Y34" i="6"/>
  <c r="U36" i="6"/>
  <c r="L39" i="6"/>
  <c r="M39" i="6" s="1"/>
  <c r="N39" i="6" s="1"/>
  <c r="O38" i="6"/>
  <c r="R38" i="6" s="1"/>
  <c r="S38" i="6" s="1"/>
  <c r="AZ38" i="6" s="1"/>
  <c r="T37" i="6"/>
  <c r="U37" i="6"/>
  <c r="AY34" i="6"/>
  <c r="AW34" i="6"/>
  <c r="AV35" i="6"/>
  <c r="AU34" i="6"/>
  <c r="AX34" i="6" s="1"/>
  <c r="Q252" i="11"/>
  <c r="A253" i="11"/>
  <c r="N250" i="11"/>
  <c r="O250" i="11" s="1"/>
  <c r="P250" i="11" s="1"/>
  <c r="R250" i="11" s="1"/>
  <c r="V36" i="6" l="1"/>
  <c r="AO36" i="6"/>
  <c r="Y35" i="6"/>
  <c r="V37" i="6"/>
  <c r="AO37" i="6"/>
  <c r="O39" i="6"/>
  <c r="R39" i="6" s="1"/>
  <c r="S39" i="6" s="1"/>
  <c r="AZ39" i="6" s="1"/>
  <c r="L40" i="6"/>
  <c r="O40" i="6" s="1"/>
  <c r="Q38" i="6"/>
  <c r="T38" i="6"/>
  <c r="U38" i="6"/>
  <c r="AY35" i="6"/>
  <c r="AW35" i="6"/>
  <c r="AU35" i="6"/>
  <c r="AX35" i="6" s="1"/>
  <c r="N251" i="11"/>
  <c r="O251" i="11" s="1"/>
  <c r="P251" i="11" s="1"/>
  <c r="R251" i="11" s="1"/>
  <c r="Q253" i="11"/>
  <c r="A254" i="11"/>
  <c r="AV36" i="6"/>
  <c r="W36" i="6" l="1"/>
  <c r="AQ36" i="6" s="1"/>
  <c r="AP36" i="6"/>
  <c r="AR36" i="6" s="1"/>
  <c r="AT36" i="6"/>
  <c r="V38" i="6"/>
  <c r="AO38" i="6"/>
  <c r="W37" i="6"/>
  <c r="AP37" i="6"/>
  <c r="AR37" i="6" s="1"/>
  <c r="AT37" i="6"/>
  <c r="Q39" i="6"/>
  <c r="L41" i="6"/>
  <c r="L42" i="6" s="1"/>
  <c r="M40" i="6"/>
  <c r="N40" i="6" s="1"/>
  <c r="T39" i="6"/>
  <c r="U39" i="6"/>
  <c r="Q40" i="6"/>
  <c r="R40" i="6"/>
  <c r="S40" i="6" s="1"/>
  <c r="AZ40" i="6" s="1"/>
  <c r="AY36" i="6"/>
  <c r="AW36" i="6"/>
  <c r="AU36" i="6"/>
  <c r="AX36" i="6" s="1"/>
  <c r="Q254" i="11"/>
  <c r="A255" i="11"/>
  <c r="N252" i="11"/>
  <c r="O252" i="11" s="1"/>
  <c r="P252" i="11" s="1"/>
  <c r="R252" i="11" s="1"/>
  <c r="AV37" i="6"/>
  <c r="W38" i="6" l="1"/>
  <c r="AQ38" i="6" s="1"/>
  <c r="AT38" i="6"/>
  <c r="AP38" i="6"/>
  <c r="AR38" i="6" s="1"/>
  <c r="Y37" i="6"/>
  <c r="Y36" i="6"/>
  <c r="V39" i="6"/>
  <c r="AO39" i="6"/>
  <c r="AQ37" i="6"/>
  <c r="M41" i="6"/>
  <c r="N41" i="6" s="1"/>
  <c r="O41" i="6"/>
  <c r="R41" i="6" s="1"/>
  <c r="S41" i="6" s="1"/>
  <c r="AZ41" i="6" s="1"/>
  <c r="M42" i="6"/>
  <c r="N42" i="6" s="1"/>
  <c r="O42" i="6"/>
  <c r="L43" i="6"/>
  <c r="T40" i="6"/>
  <c r="U40" i="6"/>
  <c r="AW37" i="6"/>
  <c r="AY37" i="6"/>
  <c r="AV38" i="6"/>
  <c r="AU37" i="6"/>
  <c r="AX37" i="6" s="1"/>
  <c r="N253" i="11"/>
  <c r="O253" i="11" s="1"/>
  <c r="P253" i="11" s="1"/>
  <c r="R253" i="11" s="1"/>
  <c r="A256" i="11"/>
  <c r="Q255" i="11"/>
  <c r="W39" i="6" l="1"/>
  <c r="AQ39" i="6" s="1"/>
  <c r="AP39" i="6"/>
  <c r="AR39" i="6" s="1"/>
  <c r="AT39" i="6"/>
  <c r="V40" i="6"/>
  <c r="AO40" i="6"/>
  <c r="Y38" i="6"/>
  <c r="Q41" i="6"/>
  <c r="U41" i="6"/>
  <c r="T41" i="6"/>
  <c r="O43" i="6"/>
  <c r="M43" i="6"/>
  <c r="N43" i="6" s="1"/>
  <c r="L44" i="6"/>
  <c r="Q42" i="6"/>
  <c r="R42" i="6"/>
  <c r="S42" i="6" s="1"/>
  <c r="AZ42" i="6" s="1"/>
  <c r="AW38" i="6"/>
  <c r="AY38" i="6"/>
  <c r="AV39" i="6"/>
  <c r="AU38" i="6"/>
  <c r="AX38" i="6" s="1"/>
  <c r="A257" i="11"/>
  <c r="Q256" i="11"/>
  <c r="N254" i="11"/>
  <c r="O254" i="11" s="1"/>
  <c r="P254" i="11" s="1"/>
  <c r="R254" i="11" s="1"/>
  <c r="W40" i="6" l="1"/>
  <c r="AQ40" i="6" s="1"/>
  <c r="AT40" i="6"/>
  <c r="AP40" i="6"/>
  <c r="AR40" i="6" s="1"/>
  <c r="V41" i="6"/>
  <c r="AO41" i="6"/>
  <c r="Y39" i="6"/>
  <c r="T42" i="6"/>
  <c r="U42" i="6"/>
  <c r="M44" i="6"/>
  <c r="N44" i="6" s="1"/>
  <c r="O44" i="6"/>
  <c r="L45" i="6"/>
  <c r="Q43" i="6"/>
  <c r="R43" i="6"/>
  <c r="S43" i="6" s="1"/>
  <c r="AZ43" i="6" s="1"/>
  <c r="AW39" i="6"/>
  <c r="AY39" i="6"/>
  <c r="AU39" i="6"/>
  <c r="AX39" i="6" s="1"/>
  <c r="N255" i="11"/>
  <c r="O255" i="11" s="1"/>
  <c r="P255" i="11" s="1"/>
  <c r="R255" i="11" s="1"/>
  <c r="A258" i="11"/>
  <c r="Q257" i="11"/>
  <c r="AV40" i="6"/>
  <c r="V42" i="6" l="1"/>
  <c r="AO42" i="6"/>
  <c r="Y40" i="6"/>
  <c r="W41" i="6"/>
  <c r="AQ41" i="6" s="1"/>
  <c r="AP41" i="6"/>
  <c r="AR41" i="6" s="1"/>
  <c r="AT41" i="6"/>
  <c r="T43" i="6"/>
  <c r="U43" i="6"/>
  <c r="O45" i="6"/>
  <c r="M45" i="6"/>
  <c r="N45" i="6" s="1"/>
  <c r="Q44" i="6"/>
  <c r="R44" i="6"/>
  <c r="S44" i="6" s="1"/>
  <c r="AZ44" i="6" s="1"/>
  <c r="AY40" i="6"/>
  <c r="AW40" i="6"/>
  <c r="AV41" i="6"/>
  <c r="AU40" i="6"/>
  <c r="AX40" i="6" s="1"/>
  <c r="A259" i="11"/>
  <c r="Q258" i="11"/>
  <c r="N256" i="11"/>
  <c r="O256" i="11" s="1"/>
  <c r="P256" i="11" s="1"/>
  <c r="R256" i="11" s="1"/>
  <c r="W42" i="6" l="1"/>
  <c r="AQ42" i="6" s="1"/>
  <c r="AT42" i="6"/>
  <c r="AP42" i="6"/>
  <c r="AR42" i="6" s="1"/>
  <c r="V43" i="6"/>
  <c r="AO43" i="6"/>
  <c r="Y41" i="6"/>
  <c r="T44" i="6"/>
  <c r="U44" i="6"/>
  <c r="Q45" i="6"/>
  <c r="R45" i="6"/>
  <c r="S45" i="6" s="1"/>
  <c r="AZ45" i="6" s="1"/>
  <c r="AY41" i="6"/>
  <c r="AW41" i="6"/>
  <c r="AU41" i="6"/>
  <c r="AX41" i="6" s="1"/>
  <c r="N257" i="11"/>
  <c r="O257" i="11" s="1"/>
  <c r="P257" i="11" s="1"/>
  <c r="R257" i="11" s="1"/>
  <c r="Q259" i="11"/>
  <c r="A260" i="11"/>
  <c r="AV42" i="6"/>
  <c r="V44" i="6" l="1"/>
  <c r="AO44" i="6"/>
  <c r="W43" i="6"/>
  <c r="AP43" i="6"/>
  <c r="AR43" i="6" s="1"/>
  <c r="AT43" i="6"/>
  <c r="Y42" i="6"/>
  <c r="T45" i="6"/>
  <c r="U45" i="6"/>
  <c r="AY42" i="6"/>
  <c r="AW42" i="6"/>
  <c r="AV43" i="6"/>
  <c r="AU42" i="6"/>
  <c r="AX42" i="6" s="1"/>
  <c r="A261" i="11"/>
  <c r="Q260" i="11"/>
  <c r="N258" i="11"/>
  <c r="O258" i="11" s="1"/>
  <c r="P258" i="11" s="1"/>
  <c r="R258" i="11" s="1"/>
  <c r="Y43" i="6" l="1"/>
  <c r="V45" i="6"/>
  <c r="AO45" i="6"/>
  <c r="AQ43" i="6"/>
  <c r="W44" i="6"/>
  <c r="AQ44" i="6" s="1"/>
  <c r="AP44" i="6"/>
  <c r="AR44" i="6" s="1"/>
  <c r="AT44" i="6"/>
  <c r="AY43" i="6"/>
  <c r="AW43" i="6"/>
  <c r="AV44" i="6"/>
  <c r="AU43" i="6"/>
  <c r="AX43" i="6" s="1"/>
  <c r="A262" i="11"/>
  <c r="Q261" i="11"/>
  <c r="N259" i="11"/>
  <c r="O259" i="11" s="1"/>
  <c r="P259" i="11" s="1"/>
  <c r="R259" i="11" s="1"/>
  <c r="AP45" i="6" l="1"/>
  <c r="AR45" i="6" s="1"/>
  <c r="Y44" i="6"/>
  <c r="AW44" i="6"/>
  <c r="AY44" i="6"/>
  <c r="AU44" i="6"/>
  <c r="AX44" i="6" s="1"/>
  <c r="N260" i="11"/>
  <c r="O260" i="11" s="1"/>
  <c r="P260" i="11" s="1"/>
  <c r="R260" i="11" s="1"/>
  <c r="A263" i="11"/>
  <c r="Q262" i="11"/>
  <c r="AV45" i="6" l="1"/>
  <c r="AU45" i="6"/>
  <c r="AX45" i="6" s="1"/>
  <c r="A264" i="11"/>
  <c r="Q263" i="11"/>
  <c r="N261" i="11"/>
  <c r="O261" i="11" s="1"/>
  <c r="P261" i="11" s="1"/>
  <c r="R261" i="11" s="1"/>
  <c r="AW45" i="6" l="1"/>
  <c r="AY45" i="6"/>
  <c r="N262" i="11"/>
  <c r="O262" i="11" s="1"/>
  <c r="P262" i="11" s="1"/>
  <c r="R262" i="11" s="1"/>
  <c r="Q264" i="11"/>
  <c r="A265" i="11"/>
  <c r="N263" i="11" l="1"/>
  <c r="O263" i="11" s="1"/>
  <c r="P263" i="11" s="1"/>
  <c r="R263" i="11" s="1"/>
  <c r="Q265" i="11"/>
  <c r="A266" i="11"/>
  <c r="Q266" i="11" l="1"/>
  <c r="A267" i="11"/>
  <c r="N264" i="11"/>
  <c r="O264" i="11" s="1"/>
  <c r="P264" i="11" s="1"/>
  <c r="R264" i="11" s="1"/>
  <c r="N265" i="11" l="1"/>
  <c r="O265" i="11" s="1"/>
  <c r="P265" i="11" s="1"/>
  <c r="R265" i="11" s="1"/>
  <c r="A268" i="11"/>
  <c r="Q267" i="11"/>
  <c r="N266" i="11" l="1"/>
  <c r="O266" i="11" s="1"/>
  <c r="P266" i="11" s="1"/>
  <c r="R266" i="11" s="1"/>
  <c r="Q268" i="11"/>
  <c r="A269" i="11"/>
  <c r="N267" i="11" l="1"/>
  <c r="O267" i="11" s="1"/>
  <c r="P267" i="11" s="1"/>
  <c r="R267" i="11" s="1"/>
  <c r="Q269" i="11"/>
  <c r="A270" i="11"/>
  <c r="A271" i="11" l="1"/>
  <c r="Q270" i="11"/>
  <c r="N268" i="11"/>
  <c r="O268" i="11" s="1"/>
  <c r="P268" i="11" s="1"/>
  <c r="R268" i="11" s="1"/>
  <c r="N269" i="11" l="1"/>
  <c r="O269" i="11" s="1"/>
  <c r="P269" i="11" s="1"/>
  <c r="R269" i="11" s="1"/>
  <c r="Q271" i="11"/>
  <c r="A272" i="11"/>
  <c r="Q272" i="11" l="1"/>
  <c r="A273" i="11"/>
  <c r="N270" i="11"/>
  <c r="O270" i="11" s="1"/>
  <c r="P270" i="11" s="1"/>
  <c r="R270" i="11" s="1"/>
  <c r="N271" i="11" l="1"/>
  <c r="O271" i="11" s="1"/>
  <c r="P271" i="11" s="1"/>
  <c r="R271" i="11" s="1"/>
  <c r="Q273" i="11"/>
  <c r="A274" i="11"/>
  <c r="N272" i="11" l="1"/>
  <c r="O272" i="11" s="1"/>
  <c r="P272" i="11" s="1"/>
  <c r="R272" i="11" s="1"/>
  <c r="Q274" i="11"/>
  <c r="A275" i="11"/>
  <c r="Q275" i="11" l="1"/>
  <c r="A276" i="11"/>
  <c r="N273" i="11"/>
  <c r="O273" i="11" s="1"/>
  <c r="P273" i="11" s="1"/>
  <c r="R273" i="11" s="1"/>
  <c r="N274" i="11" l="1"/>
  <c r="O274" i="11" s="1"/>
  <c r="P274" i="11" s="1"/>
  <c r="R274" i="11" s="1"/>
  <c r="Q276" i="11"/>
  <c r="A277" i="11"/>
  <c r="A278" i="11" l="1"/>
  <c r="Q277" i="11"/>
  <c r="N275" i="11"/>
  <c r="O275" i="11" s="1"/>
  <c r="P275" i="11" s="1"/>
  <c r="R275" i="11" s="1"/>
  <c r="N276" i="11" l="1"/>
  <c r="O276" i="11" s="1"/>
  <c r="P276" i="11" s="1"/>
  <c r="R276" i="11" s="1"/>
  <c r="Q278" i="11"/>
  <c r="A279" i="11"/>
  <c r="Q279" i="11" l="1"/>
  <c r="A280" i="11"/>
  <c r="N277" i="11"/>
  <c r="O277" i="11" s="1"/>
  <c r="P277" i="11" s="1"/>
  <c r="R277" i="11" s="1"/>
  <c r="N278" i="11" l="1"/>
  <c r="O278" i="11" s="1"/>
  <c r="P278" i="11" s="1"/>
  <c r="R278" i="11" s="1"/>
  <c r="Q280" i="11"/>
  <c r="A281" i="11"/>
  <c r="A282" i="11" l="1"/>
  <c r="Q281" i="11"/>
  <c r="N279" i="11"/>
  <c r="O279" i="11" s="1"/>
  <c r="P279" i="11" s="1"/>
  <c r="R279" i="11" s="1"/>
  <c r="N280" i="11" l="1"/>
  <c r="O280" i="11" s="1"/>
  <c r="P280" i="11" s="1"/>
  <c r="R280" i="11" s="1"/>
  <c r="Q282" i="11"/>
  <c r="A283" i="11"/>
  <c r="A284" i="11" l="1"/>
  <c r="Q283" i="11"/>
  <c r="N281" i="11"/>
  <c r="O281" i="11" s="1"/>
  <c r="P281" i="11" s="1"/>
  <c r="R281" i="11" s="1"/>
  <c r="N282" i="11" l="1"/>
  <c r="O282" i="11" s="1"/>
  <c r="P282" i="11" s="1"/>
  <c r="R282" i="11" s="1"/>
  <c r="Q284" i="11"/>
  <c r="A285" i="11"/>
  <c r="Q285" i="11" l="1"/>
  <c r="A286" i="11"/>
  <c r="N283" i="11"/>
  <c r="O283" i="11" s="1"/>
  <c r="P283" i="11" s="1"/>
  <c r="R283" i="11" s="1"/>
  <c r="N284" i="11" l="1"/>
  <c r="O284" i="11" s="1"/>
  <c r="P284" i="11" s="1"/>
  <c r="R284" i="11" s="1"/>
  <c r="A287" i="11"/>
  <c r="Q286" i="11"/>
  <c r="A288" i="11" l="1"/>
  <c r="Q287" i="11"/>
  <c r="N285" i="11"/>
  <c r="O285" i="11" s="1"/>
  <c r="P285" i="11" s="1"/>
  <c r="R285" i="11" s="1"/>
  <c r="N286" i="11" l="1"/>
  <c r="O286" i="11" s="1"/>
  <c r="P286" i="11" s="1"/>
  <c r="R286" i="11" s="1"/>
  <c r="A289" i="11"/>
  <c r="Q288" i="11"/>
  <c r="N287" i="11" l="1"/>
  <c r="O287" i="11" s="1"/>
  <c r="P287" i="11" s="1"/>
  <c r="R287" i="11" s="1"/>
  <c r="Q289" i="11"/>
  <c r="A290" i="11"/>
  <c r="Q290" i="11" l="1"/>
  <c r="A291" i="11"/>
  <c r="N288" i="11"/>
  <c r="O288" i="11" s="1"/>
  <c r="P288" i="11" s="1"/>
  <c r="R288" i="11" s="1"/>
  <c r="A292" i="11" l="1"/>
  <c r="Q291" i="11"/>
  <c r="N289" i="11"/>
  <c r="O289" i="11" s="1"/>
  <c r="P289" i="11" s="1"/>
  <c r="R289" i="11" s="1"/>
  <c r="N290" i="11" l="1"/>
  <c r="O290" i="11" s="1"/>
  <c r="P290" i="11" s="1"/>
  <c r="R290" i="11" s="1"/>
  <c r="A293" i="11"/>
  <c r="Q292" i="11"/>
  <c r="Q293" i="11" l="1"/>
  <c r="A294" i="11"/>
  <c r="N291" i="11"/>
  <c r="O291" i="11" s="1"/>
  <c r="P291" i="11" s="1"/>
  <c r="R291" i="11" s="1"/>
  <c r="N292" i="11" l="1"/>
  <c r="O292" i="11" s="1"/>
  <c r="P292" i="11" s="1"/>
  <c r="R292" i="11" s="1"/>
  <c r="A295" i="11"/>
  <c r="Q294" i="11"/>
  <c r="A296" i="11" l="1"/>
  <c r="Q295" i="11"/>
  <c r="N293" i="11"/>
  <c r="O293" i="11" s="1"/>
  <c r="P293" i="11" s="1"/>
  <c r="R293" i="11" s="1"/>
  <c r="N294" i="11" l="1"/>
  <c r="O294" i="11" s="1"/>
  <c r="P294" i="11" s="1"/>
  <c r="R294" i="11" s="1"/>
  <c r="Q296" i="11"/>
  <c r="A297" i="11"/>
  <c r="Q297" i="11" l="1"/>
  <c r="A298" i="11"/>
  <c r="N295" i="11"/>
  <c r="O295" i="11" s="1"/>
  <c r="P295" i="11" s="1"/>
  <c r="R295" i="11" s="1"/>
  <c r="N296" i="11" l="1"/>
  <c r="O296" i="11" s="1"/>
  <c r="P296" i="11" s="1"/>
  <c r="R296" i="11" s="1"/>
  <c r="A299" i="11"/>
  <c r="Q298" i="11"/>
  <c r="N297" i="11" l="1"/>
  <c r="O297" i="11" s="1"/>
  <c r="P297" i="11" s="1"/>
  <c r="R297" i="11" s="1"/>
  <c r="Q299" i="11"/>
  <c r="A300" i="11"/>
  <c r="A301" i="11" l="1"/>
  <c r="Q300" i="11"/>
  <c r="N298" i="11"/>
  <c r="O298" i="11" s="1"/>
  <c r="P298" i="11" s="1"/>
  <c r="R298" i="11" s="1"/>
  <c r="N299" i="11" l="1"/>
  <c r="O299" i="11" s="1"/>
  <c r="P299" i="11" s="1"/>
  <c r="R299" i="11" s="1"/>
  <c r="A302" i="11"/>
  <c r="Q301" i="11"/>
  <c r="Q302" i="11" l="1"/>
  <c r="A303" i="11"/>
  <c r="N300" i="11"/>
  <c r="O300" i="11" s="1"/>
  <c r="P300" i="11" s="1"/>
  <c r="R300" i="11" s="1"/>
  <c r="N301" i="11" l="1"/>
  <c r="O301" i="11" s="1"/>
  <c r="P301" i="11" s="1"/>
  <c r="R301" i="11" s="1"/>
  <c r="A304" i="11"/>
  <c r="Q303" i="11"/>
  <c r="Q304" i="11" l="1"/>
  <c r="N302" i="11"/>
  <c r="O302" i="11" s="1"/>
  <c r="P302" i="11" s="1"/>
  <c r="R302" i="11" s="1"/>
  <c r="N303" i="11" l="1"/>
  <c r="O303" i="11" s="1"/>
  <c r="P303" i="11" s="1"/>
  <c r="R303" i="11" s="1"/>
  <c r="N304" i="11" l="1"/>
  <c r="O304" i="11" s="1"/>
  <c r="P304" i="11" s="1"/>
  <c r="R304" i="11" s="1"/>
  <c r="S4" i="11" s="1"/>
  <c r="W45" i="6"/>
  <c r="F46" i="6"/>
  <c r="F47" i="6" s="1"/>
  <c r="AB47" i="6" s="1"/>
  <c r="G46" i="6"/>
  <c r="E46" i="6"/>
  <c r="AN46" i="6" s="1"/>
  <c r="H46" i="6"/>
  <c r="AM46" i="6" s="1"/>
  <c r="AT45" i="6"/>
  <c r="AC45" i="6"/>
  <c r="AG45" i="6"/>
  <c r="AA45" i="6"/>
  <c r="AB45" i="6"/>
  <c r="AE45" i="6"/>
  <c r="AF45" i="6"/>
  <c r="AF46" i="6" l="1"/>
  <c r="AB46" i="6"/>
  <c r="E47" i="6"/>
  <c r="AE47" i="6" s="1"/>
  <c r="AA46" i="6"/>
  <c r="H47" i="6"/>
  <c r="H48" i="6" s="1"/>
  <c r="AD45" i="6"/>
  <c r="AC46" i="6"/>
  <c r="AG46" i="6"/>
  <c r="F48" i="6"/>
  <c r="AF47" i="6"/>
  <c r="AH45" i="6"/>
  <c r="G47" i="6"/>
  <c r="AE46" i="6"/>
  <c r="K46" i="6"/>
  <c r="Y45" i="6"/>
  <c r="AQ45" i="6"/>
  <c r="K47" i="6" l="1"/>
  <c r="AM47" i="6"/>
  <c r="AA47" i="6"/>
  <c r="AN47" i="6"/>
  <c r="AD46" i="6"/>
  <c r="E48" i="6"/>
  <c r="AN48" i="6" s="1"/>
  <c r="AB48" i="6"/>
  <c r="F49" i="6"/>
  <c r="AF48" i="6"/>
  <c r="L46" i="6"/>
  <c r="AH46" i="6"/>
  <c r="AG47" i="6"/>
  <c r="AH47" i="6" s="1"/>
  <c r="G48" i="6"/>
  <c r="AC47" i="6"/>
  <c r="H49" i="6"/>
  <c r="AM48" i="6"/>
  <c r="AD47" i="6" l="1"/>
  <c r="K48" i="6"/>
  <c r="AE48" i="6"/>
  <c r="AA48" i="6"/>
  <c r="E49" i="6"/>
  <c r="AN49" i="6" s="1"/>
  <c r="M46" i="6"/>
  <c r="N46" i="6" s="1"/>
  <c r="O46" i="6"/>
  <c r="L47" i="6"/>
  <c r="AM49" i="6"/>
  <c r="H50" i="6"/>
  <c r="AB49" i="6"/>
  <c r="AF49" i="6"/>
  <c r="F50" i="6"/>
  <c r="AC48" i="6"/>
  <c r="AG48" i="6"/>
  <c r="G49" i="6"/>
  <c r="K49" i="6" l="1"/>
  <c r="AD48" i="6"/>
  <c r="AH48" i="6"/>
  <c r="AA49" i="6"/>
  <c r="AE49" i="6"/>
  <c r="E50" i="6"/>
  <c r="AE50" i="6" s="1"/>
  <c r="R46" i="6"/>
  <c r="S46" i="6" s="1"/>
  <c r="Q46" i="6"/>
  <c r="AF50" i="6"/>
  <c r="F51" i="6"/>
  <c r="AB50" i="6"/>
  <c r="G50" i="6"/>
  <c r="AC49" i="6"/>
  <c r="AG49" i="6"/>
  <c r="M47" i="6"/>
  <c r="N47" i="6" s="1"/>
  <c r="O47" i="6"/>
  <c r="L48" i="6"/>
  <c r="AM50" i="6"/>
  <c r="H51" i="6"/>
  <c r="AH49" i="6" l="1"/>
  <c r="AD49" i="6"/>
  <c r="AN50" i="6"/>
  <c r="AA50" i="6"/>
  <c r="E51" i="6"/>
  <c r="E52" i="6" s="1"/>
  <c r="K50" i="6"/>
  <c r="G51" i="6"/>
  <c r="AC50" i="6"/>
  <c r="AG50" i="6"/>
  <c r="AH50" i="6" s="1"/>
  <c r="H52" i="6"/>
  <c r="AM51" i="6"/>
  <c r="R47" i="6"/>
  <c r="S47" i="6" s="1"/>
  <c r="Q47" i="6"/>
  <c r="AB51" i="6"/>
  <c r="F52" i="6"/>
  <c r="AF51" i="6"/>
  <c r="M48" i="6"/>
  <c r="N48" i="6" s="1"/>
  <c r="O48" i="6"/>
  <c r="L49" i="6"/>
  <c r="T46" i="6"/>
  <c r="AU46" i="6"/>
  <c r="AX46" i="6" s="1"/>
  <c r="AV46" i="6"/>
  <c r="AZ46" i="6"/>
  <c r="U46" i="6"/>
  <c r="AE51" i="6" l="1"/>
  <c r="AA51" i="6"/>
  <c r="AD50" i="6"/>
  <c r="K51" i="6"/>
  <c r="AN51" i="6"/>
  <c r="AU47" i="6"/>
  <c r="AX47" i="6" s="1"/>
  <c r="T47" i="6"/>
  <c r="AZ47" i="6"/>
  <c r="AV47" i="6"/>
  <c r="U47" i="6"/>
  <c r="K52" i="6"/>
  <c r="AA52" i="6"/>
  <c r="AN52" i="6"/>
  <c r="AE52" i="6"/>
  <c r="E53" i="6"/>
  <c r="R48" i="6"/>
  <c r="S48" i="6" s="1"/>
  <c r="Q48" i="6"/>
  <c r="AM52" i="6"/>
  <c r="H53" i="6"/>
  <c r="L50" i="6"/>
  <c r="O49" i="6"/>
  <c r="M49" i="6"/>
  <c r="N49" i="6" s="1"/>
  <c r="AO46" i="6"/>
  <c r="V46" i="6"/>
  <c r="AW46" i="6"/>
  <c r="AY46" i="6"/>
  <c r="F53" i="6"/>
  <c r="AB52" i="6"/>
  <c r="AF52" i="6"/>
  <c r="AG51" i="6"/>
  <c r="G52" i="6"/>
  <c r="AC51" i="6"/>
  <c r="AH51" i="6" l="1"/>
  <c r="AD51" i="6"/>
  <c r="AO47" i="6"/>
  <c r="V47" i="6"/>
  <c r="R49" i="6"/>
  <c r="S49" i="6" s="1"/>
  <c r="Q49" i="6"/>
  <c r="AW47" i="6"/>
  <c r="AY47" i="6"/>
  <c r="L51" i="6"/>
  <c r="M50" i="6"/>
  <c r="N50" i="6" s="1"/>
  <c r="O50" i="6"/>
  <c r="G53" i="6"/>
  <c r="AC52" i="6"/>
  <c r="AD52" i="6" s="1"/>
  <c r="AG52" i="6"/>
  <c r="AH52" i="6" s="1"/>
  <c r="H54" i="6"/>
  <c r="AM53" i="6"/>
  <c r="AP46" i="6"/>
  <c r="AR46" i="6" s="1"/>
  <c r="W46" i="6"/>
  <c r="Y46" i="6" s="1"/>
  <c r="AT46" i="6"/>
  <c r="T48" i="6"/>
  <c r="AU48" i="6"/>
  <c r="AX48" i="6" s="1"/>
  <c r="AZ48" i="6"/>
  <c r="AV48" i="6"/>
  <c r="U48" i="6"/>
  <c r="AF53" i="6"/>
  <c r="F54" i="6"/>
  <c r="AB53" i="6"/>
  <c r="K53" i="6"/>
  <c r="E54" i="6"/>
  <c r="AA53" i="6"/>
  <c r="AN53" i="6"/>
  <c r="AE53" i="6"/>
  <c r="AQ46" i="6" l="1"/>
  <c r="G54" i="6"/>
  <c r="AC53" i="6"/>
  <c r="AD53" i="6" s="1"/>
  <c r="AG53" i="6"/>
  <c r="AH53" i="6" s="1"/>
  <c r="R50" i="6"/>
  <c r="S50" i="6" s="1"/>
  <c r="Q50" i="6"/>
  <c r="M51" i="6"/>
  <c r="N51" i="6" s="1"/>
  <c r="L52" i="6"/>
  <c r="O51" i="6"/>
  <c r="AB54" i="6"/>
  <c r="F55" i="6"/>
  <c r="AF54" i="6"/>
  <c r="AU49" i="6"/>
  <c r="AX49" i="6" s="1"/>
  <c r="T49" i="6"/>
  <c r="AV49" i="6"/>
  <c r="AZ49" i="6"/>
  <c r="U49" i="6"/>
  <c r="AE54" i="6"/>
  <c r="AA54" i="6"/>
  <c r="K54" i="6"/>
  <c r="AN54" i="6"/>
  <c r="E55" i="6"/>
  <c r="AO48" i="6"/>
  <c r="V48" i="6"/>
  <c r="AP47" i="6"/>
  <c r="AR47" i="6" s="1"/>
  <c r="AT47" i="6"/>
  <c r="W47" i="6"/>
  <c r="Y47" i="6" s="1"/>
  <c r="AY48" i="6"/>
  <c r="AW48" i="6"/>
  <c r="H55" i="6"/>
  <c r="AM54" i="6"/>
  <c r="AM55" i="6" l="1"/>
  <c r="H56" i="6"/>
  <c r="AQ47" i="6"/>
  <c r="AW49" i="6"/>
  <c r="AY49" i="6"/>
  <c r="AU50" i="6"/>
  <c r="AX50" i="6" s="1"/>
  <c r="AZ50" i="6"/>
  <c r="T50" i="6"/>
  <c r="AV50" i="6"/>
  <c r="U50" i="6"/>
  <c r="R51" i="6"/>
  <c r="S51" i="6" s="1"/>
  <c r="Q51" i="6"/>
  <c r="O52" i="6"/>
  <c r="M52" i="6"/>
  <c r="N52" i="6" s="1"/>
  <c r="L53" i="6"/>
  <c r="AO49" i="6"/>
  <c r="V49" i="6"/>
  <c r="AP48" i="6"/>
  <c r="AR48" i="6" s="1"/>
  <c r="W48" i="6"/>
  <c r="Y48" i="6" s="1"/>
  <c r="AT48" i="6"/>
  <c r="G55" i="6"/>
  <c r="AG54" i="6"/>
  <c r="AH54" i="6" s="1"/>
  <c r="AC54" i="6"/>
  <c r="AD54" i="6" s="1"/>
  <c r="E56" i="6"/>
  <c r="K55" i="6"/>
  <c r="AN55" i="6"/>
  <c r="AE55" i="6"/>
  <c r="AA55" i="6"/>
  <c r="AF55" i="6"/>
  <c r="F56" i="6"/>
  <c r="AB55" i="6"/>
  <c r="AE56" i="6" l="1"/>
  <c r="K56" i="6"/>
  <c r="AA56" i="6"/>
  <c r="AN56" i="6"/>
  <c r="E57" i="6"/>
  <c r="AP49" i="6"/>
  <c r="AR49" i="6" s="1"/>
  <c r="W49" i="6"/>
  <c r="Y49" i="6" s="1"/>
  <c r="AT49" i="6"/>
  <c r="AY50" i="6"/>
  <c r="AW50" i="6"/>
  <c r="M53" i="6"/>
  <c r="N53" i="6" s="1"/>
  <c r="L54" i="6"/>
  <c r="O53" i="6"/>
  <c r="R52" i="6"/>
  <c r="S52" i="6" s="1"/>
  <c r="Q52" i="6"/>
  <c r="G56" i="6"/>
  <c r="AC55" i="6"/>
  <c r="AD55" i="6" s="1"/>
  <c r="AG55" i="6"/>
  <c r="AH55" i="6" s="1"/>
  <c r="AO50" i="6"/>
  <c r="V50" i="6"/>
  <c r="F57" i="6"/>
  <c r="AB56" i="6"/>
  <c r="AF56" i="6"/>
  <c r="T51" i="6"/>
  <c r="AZ51" i="6"/>
  <c r="AV51" i="6"/>
  <c r="AU51" i="6"/>
  <c r="AX51" i="6" s="1"/>
  <c r="U51" i="6"/>
  <c r="H57" i="6"/>
  <c r="AM56" i="6"/>
  <c r="AQ48" i="6"/>
  <c r="R53" i="6" l="1"/>
  <c r="S53" i="6" s="1"/>
  <c r="Q53" i="6"/>
  <c r="L55" i="6"/>
  <c r="M54" i="6"/>
  <c r="N54" i="6" s="1"/>
  <c r="O54" i="6"/>
  <c r="AO51" i="6"/>
  <c r="V51" i="6"/>
  <c r="AW51" i="6"/>
  <c r="AY51" i="6"/>
  <c r="AG56" i="6"/>
  <c r="AH56" i="6" s="1"/>
  <c r="G57" i="6"/>
  <c r="AC56" i="6"/>
  <c r="AD56" i="6" s="1"/>
  <c r="AZ52" i="6"/>
  <c r="AV52" i="6"/>
  <c r="AU52" i="6"/>
  <c r="AX52" i="6" s="1"/>
  <c r="T52" i="6"/>
  <c r="U52" i="6"/>
  <c r="AB57" i="6"/>
  <c r="F58" i="6"/>
  <c r="AF57" i="6"/>
  <c r="AA57" i="6"/>
  <c r="AE57" i="6"/>
  <c r="K57" i="6"/>
  <c r="AN57" i="6"/>
  <c r="E58" i="6"/>
  <c r="AP50" i="6"/>
  <c r="AR50" i="6" s="1"/>
  <c r="AT50" i="6"/>
  <c r="W50" i="6"/>
  <c r="Y50" i="6" s="1"/>
  <c r="AM57" i="6"/>
  <c r="H58" i="6"/>
  <c r="AQ49" i="6"/>
  <c r="AQ50" i="6" l="1"/>
  <c r="AF58" i="6"/>
  <c r="AB58" i="6"/>
  <c r="F59" i="6"/>
  <c r="K58" i="6"/>
  <c r="AA58" i="6"/>
  <c r="AE58" i="6"/>
  <c r="AN58" i="6"/>
  <c r="E59" i="6"/>
  <c r="AY52" i="6"/>
  <c r="AW52" i="6"/>
  <c r="AV53" i="6"/>
  <c r="AZ53" i="6"/>
  <c r="T53" i="6"/>
  <c r="AU53" i="6"/>
  <c r="AX53" i="6" s="1"/>
  <c r="U53" i="6"/>
  <c r="AO52" i="6"/>
  <c r="V52" i="6"/>
  <c r="AP51" i="6"/>
  <c r="AR51" i="6" s="1"/>
  <c r="AT51" i="6"/>
  <c r="W51" i="6"/>
  <c r="Y51" i="6" s="1"/>
  <c r="R54" i="6"/>
  <c r="S54" i="6" s="1"/>
  <c r="Q54" i="6"/>
  <c r="G58" i="6"/>
  <c r="AC57" i="6"/>
  <c r="AD57" i="6" s="1"/>
  <c r="AG57" i="6"/>
  <c r="AH57" i="6" s="1"/>
  <c r="H59" i="6"/>
  <c r="AM58" i="6"/>
  <c r="O55" i="6"/>
  <c r="M55" i="6"/>
  <c r="N55" i="6" s="1"/>
  <c r="L56" i="6"/>
  <c r="K59" i="6" l="1"/>
  <c r="AA59" i="6"/>
  <c r="AE59" i="6"/>
  <c r="E60" i="6"/>
  <c r="AN59" i="6"/>
  <c r="AZ54" i="6"/>
  <c r="AV54" i="6"/>
  <c r="AU54" i="6"/>
  <c r="AX54" i="6" s="1"/>
  <c r="T54" i="6"/>
  <c r="U54" i="6"/>
  <c r="AM59" i="6"/>
  <c r="H60" i="6"/>
  <c r="AY53" i="6"/>
  <c r="L57" i="6"/>
  <c r="M56" i="6"/>
  <c r="N56" i="6" s="1"/>
  <c r="O56" i="6"/>
  <c r="AO53" i="6"/>
  <c r="V53" i="6"/>
  <c r="AP52" i="6"/>
  <c r="AR52" i="6" s="1"/>
  <c r="AT52" i="6"/>
  <c r="W52" i="6"/>
  <c r="Y52" i="6" s="1"/>
  <c r="Q55" i="6"/>
  <c r="R55" i="6"/>
  <c r="S55" i="6" s="1"/>
  <c r="AQ51" i="6"/>
  <c r="G59" i="6"/>
  <c r="AG58" i="6"/>
  <c r="AH58" i="6" s="1"/>
  <c r="AC58" i="6"/>
  <c r="AD58" i="6" s="1"/>
  <c r="AB59" i="6"/>
  <c r="AF59" i="6"/>
  <c r="F60" i="6"/>
  <c r="AM60" i="6" l="1"/>
  <c r="H61" i="6"/>
  <c r="AV55" i="6"/>
  <c r="AZ55" i="6"/>
  <c r="AU55" i="6"/>
  <c r="AX55" i="6" s="1"/>
  <c r="T55" i="6"/>
  <c r="U55" i="6"/>
  <c r="AQ52" i="6"/>
  <c r="AW54" i="6"/>
  <c r="AY54" i="6"/>
  <c r="AF60" i="6"/>
  <c r="F61" i="6"/>
  <c r="AB60" i="6"/>
  <c r="K60" i="6"/>
  <c r="E61" i="6"/>
  <c r="AA60" i="6"/>
  <c r="AN60" i="6"/>
  <c r="AE60" i="6"/>
  <c r="AO54" i="6"/>
  <c r="V54" i="6"/>
  <c r="AP53" i="6"/>
  <c r="AR53" i="6" s="1"/>
  <c r="AT53" i="6"/>
  <c r="W53" i="6"/>
  <c r="Y53" i="6" s="1"/>
  <c r="G60" i="6"/>
  <c r="AG59" i="6"/>
  <c r="AH59" i="6" s="1"/>
  <c r="AC59" i="6"/>
  <c r="AD59" i="6" s="1"/>
  <c r="R56" i="6"/>
  <c r="S56" i="6" s="1"/>
  <c r="Q56" i="6"/>
  <c r="O57" i="6"/>
  <c r="M57" i="6"/>
  <c r="N57" i="6" s="1"/>
  <c r="L58" i="6"/>
  <c r="AQ53" i="6" l="1"/>
  <c r="R57" i="6"/>
  <c r="S57" i="6" s="1"/>
  <c r="Q57" i="6"/>
  <c r="AP54" i="6"/>
  <c r="AR54" i="6" s="1"/>
  <c r="AT54" i="6"/>
  <c r="W54" i="6"/>
  <c r="Y54" i="6" s="1"/>
  <c r="T56" i="6"/>
  <c r="AZ56" i="6"/>
  <c r="AV56" i="6"/>
  <c r="AU56" i="6"/>
  <c r="AX56" i="6" s="1"/>
  <c r="U56" i="6"/>
  <c r="K61" i="6"/>
  <c r="AN61" i="6"/>
  <c r="AA61" i="6"/>
  <c r="AE61" i="6"/>
  <c r="E62" i="6"/>
  <c r="AO55" i="6"/>
  <c r="V55" i="6"/>
  <c r="AF61" i="6"/>
  <c r="F62" i="6"/>
  <c r="AB61" i="6"/>
  <c r="G61" i="6"/>
  <c r="AG60" i="6"/>
  <c r="AH60" i="6" s="1"/>
  <c r="AC60" i="6"/>
  <c r="AD60" i="6" s="1"/>
  <c r="AY55" i="6"/>
  <c r="AW55" i="6"/>
  <c r="L59" i="6"/>
  <c r="O58" i="6"/>
  <c r="M58" i="6"/>
  <c r="N58" i="6" s="1"/>
  <c r="AM61" i="6"/>
  <c r="H62" i="6"/>
  <c r="AQ54" i="6" l="1"/>
  <c r="G62" i="6"/>
  <c r="AG61" i="6"/>
  <c r="AH61" i="6" s="1"/>
  <c r="AC61" i="6"/>
  <c r="AD61" i="6" s="1"/>
  <c r="AP55" i="6"/>
  <c r="AR55" i="6" s="1"/>
  <c r="W55" i="6"/>
  <c r="Y55" i="6" s="1"/>
  <c r="AT55" i="6"/>
  <c r="E63" i="6"/>
  <c r="AA62" i="6"/>
  <c r="AE62" i="6"/>
  <c r="K62" i="6"/>
  <c r="AN62" i="6"/>
  <c r="AW56" i="6"/>
  <c r="AY56" i="6"/>
  <c r="AB62" i="6"/>
  <c r="F63" i="6"/>
  <c r="AF62" i="6"/>
  <c r="H63" i="6"/>
  <c r="AM62" i="6"/>
  <c r="R58" i="6"/>
  <c r="S58" i="6" s="1"/>
  <c r="Q58" i="6"/>
  <c r="M59" i="6"/>
  <c r="N59" i="6" s="1"/>
  <c r="O59" i="6"/>
  <c r="L60" i="6"/>
  <c r="T57" i="6"/>
  <c r="AV57" i="6"/>
  <c r="AU57" i="6"/>
  <c r="AX57" i="6" s="1"/>
  <c r="AZ57" i="6"/>
  <c r="U57" i="6"/>
  <c r="AO56" i="6"/>
  <c r="V56" i="6"/>
  <c r="AU58" i="6" l="1"/>
  <c r="AX58" i="6" s="1"/>
  <c r="AZ58" i="6"/>
  <c r="AV58" i="6"/>
  <c r="T58" i="6"/>
  <c r="U58" i="6"/>
  <c r="AP56" i="6"/>
  <c r="AR56" i="6" s="1"/>
  <c r="W56" i="6"/>
  <c r="Y56" i="6" s="1"/>
  <c r="AT56" i="6"/>
  <c r="AO57" i="6"/>
  <c r="V57" i="6"/>
  <c r="H64" i="6"/>
  <c r="AM63" i="6"/>
  <c r="AQ55" i="6"/>
  <c r="R59" i="6"/>
  <c r="S59" i="6" s="1"/>
  <c r="Q59" i="6"/>
  <c r="K63" i="6"/>
  <c r="E64" i="6"/>
  <c r="AN63" i="6"/>
  <c r="AA63" i="6"/>
  <c r="AE63" i="6"/>
  <c r="AB63" i="6"/>
  <c r="F64" i="6"/>
  <c r="AF63" i="6"/>
  <c r="AY57" i="6"/>
  <c r="AW57" i="6"/>
  <c r="L61" i="6"/>
  <c r="O60" i="6"/>
  <c r="M60" i="6"/>
  <c r="N60" i="6" s="1"/>
  <c r="AC62" i="6"/>
  <c r="AD62" i="6" s="1"/>
  <c r="G63" i="6"/>
  <c r="AG62" i="6"/>
  <c r="AH62" i="6" s="1"/>
  <c r="AQ56" i="6" l="1"/>
  <c r="H65" i="6"/>
  <c r="AM64" i="6"/>
  <c r="M61" i="6"/>
  <c r="N61" i="6" s="1"/>
  <c r="O61" i="6"/>
  <c r="L62" i="6"/>
  <c r="F65" i="6"/>
  <c r="AF64" i="6"/>
  <c r="AB64" i="6"/>
  <c r="AP57" i="6"/>
  <c r="AR57" i="6" s="1"/>
  <c r="AT57" i="6"/>
  <c r="W57" i="6"/>
  <c r="Y57" i="6" s="1"/>
  <c r="AC63" i="6"/>
  <c r="AD63" i="6" s="1"/>
  <c r="G64" i="6"/>
  <c r="AG63" i="6"/>
  <c r="AH63" i="6" s="1"/>
  <c r="R60" i="6"/>
  <c r="S60" i="6" s="1"/>
  <c r="Q60" i="6"/>
  <c r="AA64" i="6"/>
  <c r="K64" i="6"/>
  <c r="AE64" i="6"/>
  <c r="AN64" i="6"/>
  <c r="E65" i="6"/>
  <c r="AO58" i="6"/>
  <c r="V58" i="6"/>
  <c r="AW58" i="6"/>
  <c r="AY58" i="6"/>
  <c r="AZ59" i="6"/>
  <c r="AV59" i="6"/>
  <c r="AU59" i="6"/>
  <c r="AX59" i="6" s="1"/>
  <c r="T59" i="6"/>
  <c r="U59" i="6"/>
  <c r="AQ57" i="6" l="1"/>
  <c r="AA65" i="6"/>
  <c r="E66" i="6"/>
  <c r="AE65" i="6"/>
  <c r="K65" i="6"/>
  <c r="AN65" i="6"/>
  <c r="AU60" i="6"/>
  <c r="AX60" i="6" s="1"/>
  <c r="AZ60" i="6"/>
  <c r="T60" i="6"/>
  <c r="AV60" i="6"/>
  <c r="U60" i="6"/>
  <c r="O62" i="6"/>
  <c r="L63" i="6"/>
  <c r="M62" i="6"/>
  <c r="N62" i="6" s="1"/>
  <c r="AO59" i="6"/>
  <c r="V59" i="6"/>
  <c r="AY59" i="6"/>
  <c r="AW59" i="6"/>
  <c r="F66" i="6"/>
  <c r="AB65" i="6"/>
  <c r="AF65" i="6"/>
  <c r="R61" i="6"/>
  <c r="S61" i="6" s="1"/>
  <c r="Q61" i="6"/>
  <c r="AT58" i="6"/>
  <c r="W58" i="6"/>
  <c r="Y58" i="6" s="1"/>
  <c r="AP58" i="6"/>
  <c r="AR58" i="6" s="1"/>
  <c r="AC64" i="6"/>
  <c r="AD64" i="6" s="1"/>
  <c r="G65" i="6"/>
  <c r="AG64" i="6"/>
  <c r="AH64" i="6" s="1"/>
  <c r="AM65" i="6"/>
  <c r="H66" i="6"/>
  <c r="AZ61" i="6" l="1"/>
  <c r="AV61" i="6"/>
  <c r="T61" i="6"/>
  <c r="AU61" i="6"/>
  <c r="AX61" i="6" s="1"/>
  <c r="U61" i="6"/>
  <c r="AP59" i="6"/>
  <c r="AR59" i="6" s="1"/>
  <c r="AT59" i="6"/>
  <c r="W59" i="6"/>
  <c r="Y59" i="6" s="1"/>
  <c r="G66" i="6"/>
  <c r="AC65" i="6"/>
  <c r="AD65" i="6" s="1"/>
  <c r="AG65" i="6"/>
  <c r="AH65" i="6" s="1"/>
  <c r="AY60" i="6"/>
  <c r="AW60" i="6"/>
  <c r="H67" i="6"/>
  <c r="AM66" i="6"/>
  <c r="AF66" i="6"/>
  <c r="F67" i="6"/>
  <c r="AB66" i="6"/>
  <c r="AQ58" i="6"/>
  <c r="M63" i="6"/>
  <c r="N63" i="6" s="1"/>
  <c r="L64" i="6"/>
  <c r="O63" i="6"/>
  <c r="R62" i="6"/>
  <c r="S62" i="6" s="1"/>
  <c r="Q62" i="6"/>
  <c r="AE66" i="6"/>
  <c r="K66" i="6"/>
  <c r="AN66" i="6"/>
  <c r="E67" i="6"/>
  <c r="AA66" i="6"/>
  <c r="AO60" i="6"/>
  <c r="V60" i="6"/>
  <c r="AU62" i="6" l="1"/>
  <c r="AX62" i="6" s="1"/>
  <c r="T62" i="6"/>
  <c r="AZ62" i="6"/>
  <c r="AV62" i="6"/>
  <c r="U62" i="6"/>
  <c r="L65" i="6"/>
  <c r="M64" i="6"/>
  <c r="N64" i="6" s="1"/>
  <c r="O64" i="6"/>
  <c r="AP60" i="6"/>
  <c r="AR60" i="6" s="1"/>
  <c r="AT60" i="6"/>
  <c r="W60" i="6"/>
  <c r="Y60" i="6" s="1"/>
  <c r="AF67" i="6"/>
  <c r="F68" i="6"/>
  <c r="AB67" i="6"/>
  <c r="AQ59" i="6"/>
  <c r="R63" i="6"/>
  <c r="S63" i="6" s="1"/>
  <c r="Q63" i="6"/>
  <c r="AA67" i="6"/>
  <c r="AE67" i="6"/>
  <c r="K67" i="6"/>
  <c r="E68" i="6"/>
  <c r="AN67" i="6"/>
  <c r="AM67" i="6"/>
  <c r="H68" i="6"/>
  <c r="AO61" i="6"/>
  <c r="V61" i="6"/>
  <c r="AG66" i="6"/>
  <c r="AH66" i="6" s="1"/>
  <c r="AC66" i="6"/>
  <c r="AD66" i="6" s="1"/>
  <c r="G67" i="6"/>
  <c r="AW61" i="6"/>
  <c r="AY61" i="6"/>
  <c r="E69" i="6" l="1"/>
  <c r="AA68" i="6"/>
  <c r="AE68" i="6"/>
  <c r="K68" i="6"/>
  <c r="AN68" i="6"/>
  <c r="F69" i="6"/>
  <c r="AF68" i="6"/>
  <c r="AB68" i="6"/>
  <c r="AQ60" i="6"/>
  <c r="R64" i="6"/>
  <c r="S64" i="6" s="1"/>
  <c r="Q64" i="6"/>
  <c r="AC67" i="6"/>
  <c r="AD67" i="6" s="1"/>
  <c r="G68" i="6"/>
  <c r="AG67" i="6"/>
  <c r="AH67" i="6" s="1"/>
  <c r="AO62" i="6"/>
  <c r="V62" i="6"/>
  <c r="AY62" i="6"/>
  <c r="AW62" i="6"/>
  <c r="H69" i="6"/>
  <c r="AM68" i="6"/>
  <c r="M65" i="6"/>
  <c r="N65" i="6" s="1"/>
  <c r="L66" i="6"/>
  <c r="O65" i="6"/>
  <c r="AV63" i="6"/>
  <c r="AU63" i="6"/>
  <c r="AX63" i="6" s="1"/>
  <c r="AZ63" i="6"/>
  <c r="T63" i="6"/>
  <c r="U63" i="6"/>
  <c r="AP61" i="6"/>
  <c r="AR61" i="6" s="1"/>
  <c r="AT61" i="6"/>
  <c r="W61" i="6"/>
  <c r="Y61" i="6" s="1"/>
  <c r="AO63" i="6" l="1"/>
  <c r="V63" i="6"/>
  <c r="G69" i="6"/>
  <c r="AC68" i="6"/>
  <c r="AD68" i="6" s="1"/>
  <c r="AG68" i="6"/>
  <c r="AH68" i="6" s="1"/>
  <c r="AQ61" i="6"/>
  <c r="H70" i="6"/>
  <c r="AM69" i="6"/>
  <c r="AP62" i="6"/>
  <c r="AR62" i="6" s="1"/>
  <c r="AT62" i="6"/>
  <c r="W62" i="6"/>
  <c r="Y62" i="6" s="1"/>
  <c r="R65" i="6"/>
  <c r="S65" i="6" s="1"/>
  <c r="Q65" i="6"/>
  <c r="AF69" i="6"/>
  <c r="F70" i="6"/>
  <c r="AB69" i="6"/>
  <c r="AW63" i="6"/>
  <c r="AY63" i="6"/>
  <c r="L67" i="6"/>
  <c r="M66" i="6"/>
  <c r="N66" i="6" s="1"/>
  <c r="O66" i="6"/>
  <c r="E70" i="6"/>
  <c r="AE69" i="6"/>
  <c r="AN69" i="6"/>
  <c r="K69" i="6"/>
  <c r="AA69" i="6"/>
  <c r="AU64" i="6"/>
  <c r="AX64" i="6" s="1"/>
  <c r="AZ64" i="6"/>
  <c r="T64" i="6"/>
  <c r="AV64" i="6"/>
  <c r="U64" i="6"/>
  <c r="AO64" i="6" l="1"/>
  <c r="V64" i="6"/>
  <c r="AM70" i="6"/>
  <c r="H71" i="6"/>
  <c r="AV65" i="6"/>
  <c r="T65" i="6"/>
  <c r="AU65" i="6"/>
  <c r="AX65" i="6" s="1"/>
  <c r="AZ65" i="6"/>
  <c r="U65" i="6"/>
  <c r="R66" i="6"/>
  <c r="S66" i="6" s="1"/>
  <c r="Q66" i="6"/>
  <c r="AW64" i="6"/>
  <c r="AY64" i="6"/>
  <c r="AF70" i="6"/>
  <c r="AB70" i="6"/>
  <c r="F71" i="6"/>
  <c r="AQ62" i="6"/>
  <c r="M67" i="6"/>
  <c r="N67" i="6" s="1"/>
  <c r="O67" i="6"/>
  <c r="L68" i="6"/>
  <c r="AG69" i="6"/>
  <c r="AH69" i="6" s="1"/>
  <c r="AC69" i="6"/>
  <c r="AD69" i="6" s="1"/>
  <c r="G70" i="6"/>
  <c r="AP63" i="6"/>
  <c r="AR63" i="6" s="1"/>
  <c r="AT63" i="6"/>
  <c r="W63" i="6"/>
  <c r="Y63" i="6" s="1"/>
  <c r="AE70" i="6"/>
  <c r="E71" i="6"/>
  <c r="K70" i="6"/>
  <c r="AA70" i="6"/>
  <c r="AN70" i="6"/>
  <c r="L69" i="6" l="1"/>
  <c r="M68" i="6"/>
  <c r="N68" i="6" s="1"/>
  <c r="O68" i="6"/>
  <c r="AO65" i="6"/>
  <c r="V65" i="6"/>
  <c r="AE71" i="6"/>
  <c r="AN71" i="6"/>
  <c r="AA71" i="6"/>
  <c r="E72" i="6"/>
  <c r="K71" i="6"/>
  <c r="AQ63" i="6"/>
  <c r="AW65" i="6"/>
  <c r="AY65" i="6"/>
  <c r="AG70" i="6"/>
  <c r="AH70" i="6" s="1"/>
  <c r="G71" i="6"/>
  <c r="AC70" i="6"/>
  <c r="AD70" i="6" s="1"/>
  <c r="AU66" i="6"/>
  <c r="AX66" i="6" s="1"/>
  <c r="AV66" i="6"/>
  <c r="AZ66" i="6"/>
  <c r="T66" i="6"/>
  <c r="U66" i="6"/>
  <c r="R67" i="6"/>
  <c r="S67" i="6" s="1"/>
  <c r="Q67" i="6"/>
  <c r="H72" i="6"/>
  <c r="AM71" i="6"/>
  <c r="AF71" i="6"/>
  <c r="F72" i="6"/>
  <c r="AB71" i="6"/>
  <c r="AP64" i="6"/>
  <c r="AR64" i="6" s="1"/>
  <c r="W64" i="6"/>
  <c r="Y64" i="6" s="1"/>
  <c r="AT64" i="6"/>
  <c r="AM72" i="6" l="1"/>
  <c r="H73" i="6"/>
  <c r="AV67" i="6"/>
  <c r="AU67" i="6"/>
  <c r="AX67" i="6" s="1"/>
  <c r="T67" i="6"/>
  <c r="AZ67" i="6"/>
  <c r="U67" i="6"/>
  <c r="AO66" i="6"/>
  <c r="V66" i="6"/>
  <c r="AQ64" i="6"/>
  <c r="AW66" i="6"/>
  <c r="AY66" i="6"/>
  <c r="AN72" i="6"/>
  <c r="AA72" i="6"/>
  <c r="AE72" i="6"/>
  <c r="K72" i="6"/>
  <c r="E73" i="6"/>
  <c r="AF72" i="6"/>
  <c r="F73" i="6"/>
  <c r="AB72" i="6"/>
  <c r="AG71" i="6"/>
  <c r="AH71" i="6" s="1"/>
  <c r="AC71" i="6"/>
  <c r="AD71" i="6" s="1"/>
  <c r="G72" i="6"/>
  <c r="AP65" i="6"/>
  <c r="AR65" i="6" s="1"/>
  <c r="W65" i="6"/>
  <c r="Y65" i="6" s="1"/>
  <c r="AT65" i="6"/>
  <c r="Q68" i="6"/>
  <c r="R68" i="6"/>
  <c r="S68" i="6" s="1"/>
  <c r="M69" i="6"/>
  <c r="N69" i="6" s="1"/>
  <c r="L70" i="6"/>
  <c r="O69" i="6"/>
  <c r="AQ65" i="6" l="1"/>
  <c r="AO67" i="6"/>
  <c r="V67" i="6"/>
  <c r="L71" i="6"/>
  <c r="O70" i="6"/>
  <c r="M70" i="6"/>
  <c r="N70" i="6" s="1"/>
  <c r="AV68" i="6"/>
  <c r="AU68" i="6"/>
  <c r="AX68" i="6" s="1"/>
  <c r="AZ68" i="6"/>
  <c r="T68" i="6"/>
  <c r="U68" i="6"/>
  <c r="AP66" i="6"/>
  <c r="AR66" i="6" s="1"/>
  <c r="W66" i="6"/>
  <c r="Y66" i="6" s="1"/>
  <c r="AT66" i="6"/>
  <c r="Q69" i="6"/>
  <c r="R69" i="6"/>
  <c r="S69" i="6" s="1"/>
  <c r="F74" i="6"/>
  <c r="AB73" i="6"/>
  <c r="AF73" i="6"/>
  <c r="AE73" i="6"/>
  <c r="E74" i="6"/>
  <c r="AN73" i="6"/>
  <c r="AA73" i="6"/>
  <c r="K73" i="6"/>
  <c r="G73" i="6"/>
  <c r="AG72" i="6"/>
  <c r="AH72" i="6" s="1"/>
  <c r="AC72" i="6"/>
  <c r="AD72" i="6" s="1"/>
  <c r="AW67" i="6"/>
  <c r="AY67" i="6"/>
  <c r="AM73" i="6"/>
  <c r="H74" i="6"/>
  <c r="AQ66" i="6" l="1"/>
  <c r="K74" i="6"/>
  <c r="AN74" i="6"/>
  <c r="AA74" i="6"/>
  <c r="E75" i="6"/>
  <c r="AE74" i="6"/>
  <c r="AW68" i="6"/>
  <c r="AY68" i="6"/>
  <c r="R70" i="6"/>
  <c r="S70" i="6" s="1"/>
  <c r="Q70" i="6"/>
  <c r="AO68" i="6"/>
  <c r="V68" i="6"/>
  <c r="AF74" i="6"/>
  <c r="F75" i="6"/>
  <c r="AB74" i="6"/>
  <c r="M71" i="6"/>
  <c r="N71" i="6" s="1"/>
  <c r="L72" i="6"/>
  <c r="O71" i="6"/>
  <c r="AV69" i="6"/>
  <c r="AU69" i="6"/>
  <c r="AX69" i="6" s="1"/>
  <c r="T69" i="6"/>
  <c r="AZ69" i="6"/>
  <c r="U69" i="6"/>
  <c r="AP67" i="6"/>
  <c r="AR67" i="6" s="1"/>
  <c r="W67" i="6"/>
  <c r="Y67" i="6" s="1"/>
  <c r="AT67" i="6"/>
  <c r="AM74" i="6"/>
  <c r="H75" i="6"/>
  <c r="AC73" i="6"/>
  <c r="AD73" i="6" s="1"/>
  <c r="AG73" i="6"/>
  <c r="AH73" i="6" s="1"/>
  <c r="G74" i="6"/>
  <c r="AC74" i="6" l="1"/>
  <c r="AD74" i="6" s="1"/>
  <c r="G75" i="6"/>
  <c r="AG74" i="6"/>
  <c r="AH74" i="6" s="1"/>
  <c r="AY69" i="6"/>
  <c r="AW69" i="6"/>
  <c r="Q71" i="6"/>
  <c r="R71" i="6"/>
  <c r="S71" i="6" s="1"/>
  <c r="O72" i="6"/>
  <c r="L73" i="6"/>
  <c r="M72" i="6"/>
  <c r="N72" i="6" s="1"/>
  <c r="F76" i="6"/>
  <c r="AB75" i="6"/>
  <c r="AF75" i="6"/>
  <c r="E76" i="6"/>
  <c r="AA75" i="6"/>
  <c r="K75" i="6"/>
  <c r="AN75" i="6"/>
  <c r="AE75" i="6"/>
  <c r="AO69" i="6"/>
  <c r="V69" i="6"/>
  <c r="AZ70" i="6"/>
  <c r="AV70" i="6"/>
  <c r="T70" i="6"/>
  <c r="AU70" i="6"/>
  <c r="AX70" i="6" s="1"/>
  <c r="U70" i="6"/>
  <c r="H76" i="6"/>
  <c r="AM75" i="6"/>
  <c r="AP68" i="6"/>
  <c r="AR68" i="6" s="1"/>
  <c r="W68" i="6"/>
  <c r="Y68" i="6" s="1"/>
  <c r="AT68" i="6"/>
  <c r="AQ67" i="6"/>
  <c r="AQ68" i="6" l="1"/>
  <c r="L74" i="6"/>
  <c r="O73" i="6"/>
  <c r="M73" i="6"/>
  <c r="N73" i="6" s="1"/>
  <c r="AP69" i="6"/>
  <c r="AR69" i="6" s="1"/>
  <c r="AT69" i="6"/>
  <c r="W69" i="6"/>
  <c r="Y69" i="6" s="1"/>
  <c r="AZ71" i="6"/>
  <c r="AV71" i="6"/>
  <c r="T71" i="6"/>
  <c r="AU71" i="6"/>
  <c r="AX71" i="6" s="1"/>
  <c r="U71" i="6"/>
  <c r="AM76" i="6"/>
  <c r="H77" i="6"/>
  <c r="AO70" i="6"/>
  <c r="V70" i="6"/>
  <c r="F77" i="6"/>
  <c r="AB76" i="6"/>
  <c r="AF76" i="6"/>
  <c r="R72" i="6"/>
  <c r="S72" i="6" s="1"/>
  <c r="Q72" i="6"/>
  <c r="AW70" i="6"/>
  <c r="AY70" i="6"/>
  <c r="AG75" i="6"/>
  <c r="AH75" i="6" s="1"/>
  <c r="G76" i="6"/>
  <c r="AC75" i="6"/>
  <c r="AD75" i="6" s="1"/>
  <c r="AN76" i="6"/>
  <c r="E77" i="6"/>
  <c r="AA76" i="6"/>
  <c r="AE76" i="6"/>
  <c r="K76" i="6"/>
  <c r="AM77" i="6" l="1"/>
  <c r="H78" i="6"/>
  <c r="AO71" i="6"/>
  <c r="V71" i="6"/>
  <c r="AW71" i="6"/>
  <c r="AY71" i="6"/>
  <c r="AV72" i="6"/>
  <c r="T72" i="6"/>
  <c r="AU72" i="6"/>
  <c r="AX72" i="6" s="1"/>
  <c r="AZ72" i="6"/>
  <c r="U72" i="6"/>
  <c r="G77" i="6"/>
  <c r="AC76" i="6"/>
  <c r="AD76" i="6" s="1"/>
  <c r="AG76" i="6"/>
  <c r="AH76" i="6" s="1"/>
  <c r="AQ69" i="6"/>
  <c r="F78" i="6"/>
  <c r="AF77" i="6"/>
  <c r="AB77" i="6"/>
  <c r="K77" i="6"/>
  <c r="E78" i="6"/>
  <c r="AN77" i="6"/>
  <c r="AE77" i="6"/>
  <c r="AA77" i="6"/>
  <c r="AP70" i="6"/>
  <c r="AR70" i="6" s="1"/>
  <c r="AT70" i="6"/>
  <c r="W70" i="6"/>
  <c r="Y70" i="6" s="1"/>
  <c r="R73" i="6"/>
  <c r="S73" i="6" s="1"/>
  <c r="Q73" i="6"/>
  <c r="M74" i="6"/>
  <c r="N74" i="6" s="1"/>
  <c r="O74" i="6"/>
  <c r="L75" i="6"/>
  <c r="O75" i="6" l="1"/>
  <c r="M75" i="6"/>
  <c r="N75" i="6" s="1"/>
  <c r="L76" i="6"/>
  <c r="AO72" i="6"/>
  <c r="V72" i="6"/>
  <c r="AQ70" i="6"/>
  <c r="AF78" i="6"/>
  <c r="F79" i="6"/>
  <c r="AB78" i="6"/>
  <c r="AP71" i="6"/>
  <c r="AR71" i="6" s="1"/>
  <c r="W71" i="6"/>
  <c r="Y71" i="6" s="1"/>
  <c r="AT71" i="6"/>
  <c r="AE78" i="6"/>
  <c r="K78" i="6"/>
  <c r="AN78" i="6"/>
  <c r="E79" i="6"/>
  <c r="AA78" i="6"/>
  <c r="Q74" i="6"/>
  <c r="R74" i="6"/>
  <c r="S74" i="6" s="1"/>
  <c r="AY72" i="6"/>
  <c r="AW72" i="6"/>
  <c r="H79" i="6"/>
  <c r="AM78" i="6"/>
  <c r="AV73" i="6"/>
  <c r="T73" i="6"/>
  <c r="AU73" i="6"/>
  <c r="AX73" i="6" s="1"/>
  <c r="AZ73" i="6"/>
  <c r="U73" i="6"/>
  <c r="AC77" i="6"/>
  <c r="AD77" i="6" s="1"/>
  <c r="AG77" i="6"/>
  <c r="AH77" i="6" s="1"/>
  <c r="G78" i="6"/>
  <c r="AG78" i="6" l="1"/>
  <c r="AH78" i="6" s="1"/>
  <c r="G79" i="6"/>
  <c r="AC78" i="6"/>
  <c r="AD78" i="6" s="1"/>
  <c r="AQ71" i="6"/>
  <c r="AF79" i="6"/>
  <c r="F80" i="6"/>
  <c r="AB79" i="6"/>
  <c r="AP72" i="6"/>
  <c r="AR72" i="6" s="1"/>
  <c r="AT72" i="6"/>
  <c r="W72" i="6"/>
  <c r="Y72" i="6" s="1"/>
  <c r="AY73" i="6"/>
  <c r="AW73" i="6"/>
  <c r="AA79" i="6"/>
  <c r="AE79" i="6"/>
  <c r="K79" i="6"/>
  <c r="AN79" i="6"/>
  <c r="E80" i="6"/>
  <c r="O76" i="6"/>
  <c r="M76" i="6"/>
  <c r="N76" i="6" s="1"/>
  <c r="L77" i="6"/>
  <c r="AO73" i="6"/>
  <c r="V73" i="6"/>
  <c r="T74" i="6"/>
  <c r="AV74" i="6"/>
  <c r="AZ74" i="6"/>
  <c r="AU74" i="6"/>
  <c r="AX74" i="6" s="1"/>
  <c r="U74" i="6"/>
  <c r="AM79" i="6"/>
  <c r="H80" i="6"/>
  <c r="Q75" i="6"/>
  <c r="R75" i="6"/>
  <c r="S75" i="6" s="1"/>
  <c r="AP73" i="6" l="1"/>
  <c r="AR73" i="6" s="1"/>
  <c r="AT73" i="6"/>
  <c r="W73" i="6"/>
  <c r="Y73" i="6" s="1"/>
  <c r="T75" i="6"/>
  <c r="AU75" i="6"/>
  <c r="AX75" i="6" s="1"/>
  <c r="AV75" i="6"/>
  <c r="AZ75" i="6"/>
  <c r="U75" i="6"/>
  <c r="R76" i="6"/>
  <c r="S76" i="6" s="1"/>
  <c r="Q76" i="6"/>
  <c r="AF80" i="6"/>
  <c r="F81" i="6"/>
  <c r="AB80" i="6"/>
  <c r="L78" i="6"/>
  <c r="O77" i="6"/>
  <c r="M77" i="6"/>
  <c r="N77" i="6" s="1"/>
  <c r="AQ72" i="6"/>
  <c r="AM80" i="6"/>
  <c r="H81" i="6"/>
  <c r="E81" i="6"/>
  <c r="K80" i="6"/>
  <c r="AN80" i="6"/>
  <c r="AA80" i="6"/>
  <c r="AE80" i="6"/>
  <c r="AO74" i="6"/>
  <c r="V74" i="6"/>
  <c r="AG79" i="6"/>
  <c r="AH79" i="6" s="1"/>
  <c r="G80" i="6"/>
  <c r="AC79" i="6"/>
  <c r="AD79" i="6" s="1"/>
  <c r="AY74" i="6"/>
  <c r="AW74" i="6"/>
  <c r="AQ73" i="6" l="1"/>
  <c r="AV76" i="6"/>
  <c r="T76" i="6"/>
  <c r="AZ76" i="6"/>
  <c r="AU76" i="6"/>
  <c r="AX76" i="6" s="1"/>
  <c r="U76" i="6"/>
  <c r="AO75" i="6"/>
  <c r="V75" i="6"/>
  <c r="AY75" i="6"/>
  <c r="AW75" i="6"/>
  <c r="G81" i="6"/>
  <c r="AC80" i="6"/>
  <c r="AD80" i="6" s="1"/>
  <c r="AG80" i="6"/>
  <c r="AH80" i="6" s="1"/>
  <c r="AP74" i="6"/>
  <c r="AR74" i="6" s="1"/>
  <c r="AT74" i="6"/>
  <c r="W74" i="6"/>
  <c r="Y74" i="6" s="1"/>
  <c r="AA81" i="6"/>
  <c r="AN81" i="6"/>
  <c r="E82" i="6"/>
  <c r="K81" i="6"/>
  <c r="AE81" i="6"/>
  <c r="AM81" i="6"/>
  <c r="H82" i="6"/>
  <c r="Q77" i="6"/>
  <c r="R77" i="6"/>
  <c r="S77" i="6" s="1"/>
  <c r="M78" i="6"/>
  <c r="N78" i="6" s="1"/>
  <c r="L79" i="6"/>
  <c r="O78" i="6"/>
  <c r="AF81" i="6"/>
  <c r="F82" i="6"/>
  <c r="AB81" i="6"/>
  <c r="AQ74" i="6" l="1"/>
  <c r="G82" i="6"/>
  <c r="AG81" i="6"/>
  <c r="AH81" i="6" s="1"/>
  <c r="AC81" i="6"/>
  <c r="AD81" i="6" s="1"/>
  <c r="E83" i="6"/>
  <c r="AA82" i="6"/>
  <c r="AE82" i="6"/>
  <c r="K82" i="6"/>
  <c r="AN82" i="6"/>
  <c r="AP75" i="6"/>
  <c r="AR75" i="6" s="1"/>
  <c r="W75" i="6"/>
  <c r="Y75" i="6" s="1"/>
  <c r="AT75" i="6"/>
  <c r="AV77" i="6"/>
  <c r="T77" i="6"/>
  <c r="AZ77" i="6"/>
  <c r="AU77" i="6"/>
  <c r="AX77" i="6" s="1"/>
  <c r="U77" i="6"/>
  <c r="AO76" i="6"/>
  <c r="V76" i="6"/>
  <c r="H83" i="6"/>
  <c r="AM82" i="6"/>
  <c r="F83" i="6"/>
  <c r="AB82" i="6"/>
  <c r="AF82" i="6"/>
  <c r="R78" i="6"/>
  <c r="S78" i="6" s="1"/>
  <c r="Q78" i="6"/>
  <c r="L80" i="6"/>
  <c r="M79" i="6"/>
  <c r="N79" i="6" s="1"/>
  <c r="O79" i="6"/>
  <c r="AY76" i="6"/>
  <c r="AW76" i="6"/>
  <c r="AQ75" i="6" l="1"/>
  <c r="AM83" i="6"/>
  <c r="H84" i="6"/>
  <c r="AP76" i="6"/>
  <c r="AR76" i="6" s="1"/>
  <c r="AT76" i="6"/>
  <c r="W76" i="6"/>
  <c r="Y76" i="6" s="1"/>
  <c r="E84" i="6"/>
  <c r="AN83" i="6"/>
  <c r="AA83" i="6"/>
  <c r="AE83" i="6"/>
  <c r="K83" i="6"/>
  <c r="O80" i="6"/>
  <c r="M80" i="6"/>
  <c r="N80" i="6" s="1"/>
  <c r="L81" i="6"/>
  <c r="T78" i="6"/>
  <c r="AV78" i="6"/>
  <c r="AZ78" i="6"/>
  <c r="AU78" i="6"/>
  <c r="AX78" i="6" s="1"/>
  <c r="U78" i="6"/>
  <c r="AW77" i="6"/>
  <c r="AY77" i="6"/>
  <c r="AC82" i="6"/>
  <c r="AD82" i="6" s="1"/>
  <c r="AG82" i="6"/>
  <c r="AH82" i="6" s="1"/>
  <c r="G83" i="6"/>
  <c r="Q79" i="6"/>
  <c r="R79" i="6"/>
  <c r="S79" i="6" s="1"/>
  <c r="AO77" i="6"/>
  <c r="V77" i="6"/>
  <c r="AB83" i="6"/>
  <c r="AF83" i="6"/>
  <c r="F84" i="6"/>
  <c r="AE84" i="6" l="1"/>
  <c r="E85" i="6"/>
  <c r="K84" i="6"/>
  <c r="AA84" i="6"/>
  <c r="AN84" i="6"/>
  <c r="F85" i="6"/>
  <c r="AF84" i="6"/>
  <c r="AB84" i="6"/>
  <c r="AO78" i="6"/>
  <c r="V78" i="6"/>
  <c r="R80" i="6"/>
  <c r="S80" i="6" s="1"/>
  <c r="Q80" i="6"/>
  <c r="AG83" i="6"/>
  <c r="AH83" i="6" s="1"/>
  <c r="AC83" i="6"/>
  <c r="AD83" i="6" s="1"/>
  <c r="G84" i="6"/>
  <c r="AP77" i="6"/>
  <c r="AR77" i="6" s="1"/>
  <c r="W77" i="6"/>
  <c r="Y77" i="6" s="1"/>
  <c r="AT77" i="6"/>
  <c r="AQ76" i="6"/>
  <c r="AW78" i="6"/>
  <c r="AY78" i="6"/>
  <c r="AM84" i="6"/>
  <c r="H85" i="6"/>
  <c r="AV79" i="6"/>
  <c r="T79" i="6"/>
  <c r="AU79" i="6"/>
  <c r="AX79" i="6" s="1"/>
  <c r="AZ79" i="6"/>
  <c r="U79" i="6"/>
  <c r="L82" i="6"/>
  <c r="M81" i="6"/>
  <c r="N81" i="6" s="1"/>
  <c r="O81" i="6"/>
  <c r="AO79" i="6" l="1"/>
  <c r="V79" i="6"/>
  <c r="F86" i="6"/>
  <c r="AF85" i="6"/>
  <c r="AB85" i="6"/>
  <c r="AQ77" i="6"/>
  <c r="AP78" i="6"/>
  <c r="AR78" i="6" s="1"/>
  <c r="AT78" i="6"/>
  <c r="W78" i="6"/>
  <c r="Y78" i="6" s="1"/>
  <c r="M82" i="6"/>
  <c r="N82" i="6" s="1"/>
  <c r="O82" i="6"/>
  <c r="L83" i="6"/>
  <c r="AY79" i="6"/>
  <c r="AW79" i="6"/>
  <c r="AU80" i="6"/>
  <c r="AX80" i="6" s="1"/>
  <c r="AZ80" i="6"/>
  <c r="AV80" i="6"/>
  <c r="T80" i="6"/>
  <c r="U80" i="6"/>
  <c r="R81" i="6"/>
  <c r="S81" i="6" s="1"/>
  <c r="Q81" i="6"/>
  <c r="AG84" i="6"/>
  <c r="AH84" i="6" s="1"/>
  <c r="G85" i="6"/>
  <c r="AC84" i="6"/>
  <c r="AD84" i="6" s="1"/>
  <c r="AN85" i="6"/>
  <c r="E86" i="6"/>
  <c r="K85" i="6"/>
  <c r="AA85" i="6"/>
  <c r="AE85" i="6"/>
  <c r="H86" i="6"/>
  <c r="AM85" i="6"/>
  <c r="M83" i="6" l="1"/>
  <c r="N83" i="6" s="1"/>
  <c r="O83" i="6"/>
  <c r="L84" i="6"/>
  <c r="Q82" i="6"/>
  <c r="R82" i="6"/>
  <c r="S82" i="6" s="1"/>
  <c r="AQ78" i="6"/>
  <c r="AZ81" i="6"/>
  <c r="T81" i="6"/>
  <c r="AV81" i="6"/>
  <c r="AU81" i="6"/>
  <c r="AX81" i="6" s="1"/>
  <c r="U81" i="6"/>
  <c r="AO80" i="6"/>
  <c r="V80" i="6"/>
  <c r="AM86" i="6"/>
  <c r="H87" i="6"/>
  <c r="K86" i="6"/>
  <c r="AN86" i="6"/>
  <c r="E87" i="6"/>
  <c r="AA86" i="6"/>
  <c r="AE86" i="6"/>
  <c r="AY80" i="6"/>
  <c r="AW80" i="6"/>
  <c r="AB86" i="6"/>
  <c r="F87" i="6"/>
  <c r="AF86" i="6"/>
  <c r="AG85" i="6"/>
  <c r="AH85" i="6" s="1"/>
  <c r="G86" i="6"/>
  <c r="AC85" i="6"/>
  <c r="AD85" i="6" s="1"/>
  <c r="AP79" i="6"/>
  <c r="AR79" i="6" s="1"/>
  <c r="AT79" i="6"/>
  <c r="W79" i="6"/>
  <c r="Y79" i="6" s="1"/>
  <c r="AQ79" i="6" l="1"/>
  <c r="AO81" i="6"/>
  <c r="V81" i="6"/>
  <c r="AW81" i="6"/>
  <c r="AY81" i="6"/>
  <c r="AN87" i="6"/>
  <c r="AA87" i="6"/>
  <c r="AE87" i="6"/>
  <c r="E88" i="6"/>
  <c r="K87" i="6"/>
  <c r="AG86" i="6"/>
  <c r="AH86" i="6" s="1"/>
  <c r="G87" i="6"/>
  <c r="AC86" i="6"/>
  <c r="AD86" i="6" s="1"/>
  <c r="AU82" i="6"/>
  <c r="AX82" i="6" s="1"/>
  <c r="AZ82" i="6"/>
  <c r="T82" i="6"/>
  <c r="AV82" i="6"/>
  <c r="U82" i="6"/>
  <c r="AM87" i="6"/>
  <c r="H88" i="6"/>
  <c r="M84" i="6"/>
  <c r="N84" i="6" s="1"/>
  <c r="O84" i="6"/>
  <c r="L85" i="6"/>
  <c r="AP80" i="6"/>
  <c r="AR80" i="6" s="1"/>
  <c r="W80" i="6"/>
  <c r="Y80" i="6" s="1"/>
  <c r="AT80" i="6"/>
  <c r="Q83" i="6"/>
  <c r="R83" i="6"/>
  <c r="S83" i="6" s="1"/>
  <c r="AB87" i="6"/>
  <c r="F88" i="6"/>
  <c r="AF87" i="6"/>
  <c r="AQ80" i="6" l="1"/>
  <c r="AW82" i="6"/>
  <c r="AY82" i="6"/>
  <c r="AZ83" i="6"/>
  <c r="AU83" i="6"/>
  <c r="AX83" i="6" s="1"/>
  <c r="AV83" i="6"/>
  <c r="T83" i="6"/>
  <c r="U83" i="6"/>
  <c r="G88" i="6"/>
  <c r="AG87" i="6"/>
  <c r="AH87" i="6" s="1"/>
  <c r="AC87" i="6"/>
  <c r="AD87" i="6" s="1"/>
  <c r="AO82" i="6"/>
  <c r="V82" i="6"/>
  <c r="AF88" i="6"/>
  <c r="F89" i="6"/>
  <c r="AB88" i="6"/>
  <c r="K88" i="6"/>
  <c r="AN88" i="6"/>
  <c r="E89" i="6"/>
  <c r="AE88" i="6"/>
  <c r="AA88" i="6"/>
  <c r="O85" i="6"/>
  <c r="M85" i="6"/>
  <c r="N85" i="6" s="1"/>
  <c r="L86" i="6"/>
  <c r="R84" i="6"/>
  <c r="S84" i="6" s="1"/>
  <c r="Q84" i="6"/>
  <c r="AT81" i="6"/>
  <c r="AP81" i="6"/>
  <c r="AR81" i="6" s="1"/>
  <c r="W81" i="6"/>
  <c r="Y81" i="6" s="1"/>
  <c r="H89" i="6"/>
  <c r="AM88" i="6"/>
  <c r="R85" i="6" l="1"/>
  <c r="S85" i="6" s="1"/>
  <c r="Q85" i="6"/>
  <c r="K89" i="6"/>
  <c r="AN89" i="6"/>
  <c r="AA89" i="6"/>
  <c r="AE89" i="6"/>
  <c r="E90" i="6"/>
  <c r="H90" i="6"/>
  <c r="AM89" i="6"/>
  <c r="AC88" i="6"/>
  <c r="AD88" i="6" s="1"/>
  <c r="AG88" i="6"/>
  <c r="AH88" i="6" s="1"/>
  <c r="G89" i="6"/>
  <c r="AQ81" i="6"/>
  <c r="AO83" i="6"/>
  <c r="V83" i="6"/>
  <c r="AB89" i="6"/>
  <c r="AF89" i="6"/>
  <c r="F90" i="6"/>
  <c r="AW83" i="6"/>
  <c r="AY83" i="6"/>
  <c r="AP82" i="6"/>
  <c r="AR82" i="6" s="1"/>
  <c r="W82" i="6"/>
  <c r="Y82" i="6" s="1"/>
  <c r="AT82" i="6"/>
  <c r="AZ84" i="6"/>
  <c r="AU84" i="6"/>
  <c r="AX84" i="6" s="1"/>
  <c r="AV84" i="6"/>
  <c r="T84" i="6"/>
  <c r="U84" i="6"/>
  <c r="M86" i="6"/>
  <c r="N86" i="6" s="1"/>
  <c r="O86" i="6"/>
  <c r="L87" i="6"/>
  <c r="AQ82" i="6" l="1"/>
  <c r="AM90" i="6"/>
  <c r="H91" i="6"/>
  <c r="AO84" i="6"/>
  <c r="V84" i="6"/>
  <c r="AY84" i="6"/>
  <c r="AW84" i="6"/>
  <c r="AP83" i="6"/>
  <c r="AR83" i="6" s="1"/>
  <c r="AT83" i="6"/>
  <c r="W83" i="6"/>
  <c r="Y83" i="6" s="1"/>
  <c r="O87" i="6"/>
  <c r="L88" i="6"/>
  <c r="M87" i="6"/>
  <c r="N87" i="6" s="1"/>
  <c r="Q86" i="6"/>
  <c r="R86" i="6"/>
  <c r="S86" i="6" s="1"/>
  <c r="F91" i="6"/>
  <c r="AB90" i="6"/>
  <c r="AF90" i="6"/>
  <c r="K90" i="6"/>
  <c r="AN90" i="6"/>
  <c r="AA90" i="6"/>
  <c r="AE90" i="6"/>
  <c r="E91" i="6"/>
  <c r="G90" i="6"/>
  <c r="AG89" i="6"/>
  <c r="AH89" i="6" s="1"/>
  <c r="AC89" i="6"/>
  <c r="AD89" i="6" s="1"/>
  <c r="AZ85" i="6"/>
  <c r="T85" i="6"/>
  <c r="AV85" i="6"/>
  <c r="AU85" i="6"/>
  <c r="AX85" i="6" s="1"/>
  <c r="U85" i="6"/>
  <c r="M88" i="6" l="1"/>
  <c r="N88" i="6" s="1"/>
  <c r="O88" i="6"/>
  <c r="L89" i="6"/>
  <c r="R87" i="6"/>
  <c r="S87" i="6" s="1"/>
  <c r="Q87" i="6"/>
  <c r="AY85" i="6"/>
  <c r="AW85" i="6"/>
  <c r="K91" i="6"/>
  <c r="AN91" i="6"/>
  <c r="E92" i="6"/>
  <c r="AA91" i="6"/>
  <c r="AE91" i="6"/>
  <c r="AO85" i="6"/>
  <c r="V85" i="6"/>
  <c r="AQ83" i="6"/>
  <c r="AP84" i="6"/>
  <c r="AR84" i="6" s="1"/>
  <c r="AT84" i="6"/>
  <c r="W84" i="6"/>
  <c r="Y84" i="6" s="1"/>
  <c r="AF91" i="6"/>
  <c r="F92" i="6"/>
  <c r="AB91" i="6"/>
  <c r="AG90" i="6"/>
  <c r="AH90" i="6" s="1"/>
  <c r="G91" i="6"/>
  <c r="AC90" i="6"/>
  <c r="AD90" i="6" s="1"/>
  <c r="AZ86" i="6"/>
  <c r="AU86" i="6"/>
  <c r="AX86" i="6" s="1"/>
  <c r="AV86" i="6"/>
  <c r="T86" i="6"/>
  <c r="U86" i="6"/>
  <c r="AM91" i="6"/>
  <c r="H92" i="6"/>
  <c r="AO86" i="6" l="1"/>
  <c r="V86" i="6"/>
  <c r="AQ84" i="6"/>
  <c r="AP85" i="6"/>
  <c r="AR85" i="6" s="1"/>
  <c r="W85" i="6"/>
  <c r="Y85" i="6" s="1"/>
  <c r="AT85" i="6"/>
  <c r="G92" i="6"/>
  <c r="AG91" i="6"/>
  <c r="AH91" i="6" s="1"/>
  <c r="AC91" i="6"/>
  <c r="AD91" i="6" s="1"/>
  <c r="AM92" i="6"/>
  <c r="H93" i="6"/>
  <c r="AW86" i="6"/>
  <c r="AY86" i="6"/>
  <c r="AA92" i="6"/>
  <c r="K92" i="6"/>
  <c r="AN92" i="6"/>
  <c r="AE92" i="6"/>
  <c r="E93" i="6"/>
  <c r="AZ87" i="6"/>
  <c r="AU87" i="6"/>
  <c r="AX87" i="6" s="1"/>
  <c r="T87" i="6"/>
  <c r="AV87" i="6"/>
  <c r="U87" i="6"/>
  <c r="O89" i="6"/>
  <c r="L90" i="6"/>
  <c r="M89" i="6"/>
  <c r="N89" i="6" s="1"/>
  <c r="AB92" i="6"/>
  <c r="AF92" i="6"/>
  <c r="F93" i="6"/>
  <c r="R88" i="6"/>
  <c r="S88" i="6" s="1"/>
  <c r="Q88" i="6"/>
  <c r="AQ85" i="6" l="1"/>
  <c r="AU88" i="6"/>
  <c r="AX88" i="6" s="1"/>
  <c r="AZ88" i="6"/>
  <c r="AV88" i="6"/>
  <c r="T88" i="6"/>
  <c r="U88" i="6"/>
  <c r="AG92" i="6"/>
  <c r="AH92" i="6" s="1"/>
  <c r="G93" i="6"/>
  <c r="AC92" i="6"/>
  <c r="AD92" i="6" s="1"/>
  <c r="Q89" i="6"/>
  <c r="R89" i="6"/>
  <c r="S89" i="6" s="1"/>
  <c r="AY87" i="6"/>
  <c r="AW87" i="6"/>
  <c r="AF93" i="6"/>
  <c r="F94" i="6"/>
  <c r="AB93" i="6"/>
  <c r="M90" i="6"/>
  <c r="N90" i="6" s="1"/>
  <c r="L91" i="6"/>
  <c r="O90" i="6"/>
  <c r="AO87" i="6"/>
  <c r="V87" i="6"/>
  <c r="AM93" i="6"/>
  <c r="H94" i="6"/>
  <c r="AP86" i="6"/>
  <c r="AR86" i="6" s="1"/>
  <c r="AT86" i="6"/>
  <c r="W86" i="6"/>
  <c r="Y86" i="6" s="1"/>
  <c r="K93" i="6"/>
  <c r="AN93" i="6"/>
  <c r="AE93" i="6"/>
  <c r="E94" i="6"/>
  <c r="AA93" i="6"/>
  <c r="AQ86" i="6" l="1"/>
  <c r="K94" i="6"/>
  <c r="AN94" i="6"/>
  <c r="AE94" i="6"/>
  <c r="E95" i="6"/>
  <c r="AA94" i="6"/>
  <c r="Q90" i="6"/>
  <c r="R90" i="6"/>
  <c r="S90" i="6" s="1"/>
  <c r="AC93" i="6"/>
  <c r="AD93" i="6" s="1"/>
  <c r="AG93" i="6"/>
  <c r="AH93" i="6" s="1"/>
  <c r="G94" i="6"/>
  <c r="AP87" i="6"/>
  <c r="AR87" i="6" s="1"/>
  <c r="W87" i="6"/>
  <c r="Y87" i="6" s="1"/>
  <c r="AT87" i="6"/>
  <c r="AV89" i="6"/>
  <c r="AZ89" i="6"/>
  <c r="T89" i="6"/>
  <c r="AU89" i="6"/>
  <c r="AX89" i="6" s="1"/>
  <c r="U89" i="6"/>
  <c r="M91" i="6"/>
  <c r="N91" i="6" s="1"/>
  <c r="O91" i="6"/>
  <c r="L92" i="6"/>
  <c r="AF94" i="6"/>
  <c r="F95" i="6"/>
  <c r="AB94" i="6"/>
  <c r="AO88" i="6"/>
  <c r="V88" i="6"/>
  <c r="AM94" i="6"/>
  <c r="H95" i="6"/>
  <c r="AW88" i="6"/>
  <c r="AY88" i="6"/>
  <c r="AQ87" i="6" l="1"/>
  <c r="AB95" i="6"/>
  <c r="AF95" i="6"/>
  <c r="F96" i="6"/>
  <c r="AG94" i="6"/>
  <c r="AH94" i="6" s="1"/>
  <c r="AC94" i="6"/>
  <c r="AD94" i="6" s="1"/>
  <c r="G95" i="6"/>
  <c r="AM95" i="6"/>
  <c r="H96" i="6"/>
  <c r="O92" i="6"/>
  <c r="M92" i="6"/>
  <c r="N92" i="6" s="1"/>
  <c r="L93" i="6"/>
  <c r="R91" i="6"/>
  <c r="S91" i="6" s="1"/>
  <c r="Q91" i="6"/>
  <c r="AZ90" i="6"/>
  <c r="AV90" i="6"/>
  <c r="T90" i="6"/>
  <c r="AU90" i="6"/>
  <c r="AX90" i="6" s="1"/>
  <c r="U90" i="6"/>
  <c r="AO89" i="6"/>
  <c r="V89" i="6"/>
  <c r="AE95" i="6"/>
  <c r="K95" i="6"/>
  <c r="AN95" i="6"/>
  <c r="AA95" i="6"/>
  <c r="E96" i="6"/>
  <c r="AP88" i="6"/>
  <c r="AR88" i="6" s="1"/>
  <c r="W88" i="6"/>
  <c r="Y88" i="6" s="1"/>
  <c r="AT88" i="6"/>
  <c r="AY89" i="6"/>
  <c r="AW89" i="6"/>
  <c r="AP89" i="6" l="1"/>
  <c r="AR89" i="6" s="1"/>
  <c r="AT89" i="6"/>
  <c r="W89" i="6"/>
  <c r="Y89" i="6" s="1"/>
  <c r="AY90" i="6"/>
  <c r="AW90" i="6"/>
  <c r="AC95" i="6"/>
  <c r="AD95" i="6" s="1"/>
  <c r="AG95" i="6"/>
  <c r="AH95" i="6" s="1"/>
  <c r="G96" i="6"/>
  <c r="AM96" i="6"/>
  <c r="H97" i="6"/>
  <c r="AO90" i="6"/>
  <c r="V90" i="6"/>
  <c r="AQ88" i="6"/>
  <c r="AE96" i="6"/>
  <c r="K96" i="6"/>
  <c r="AN96" i="6"/>
  <c r="E97" i="6"/>
  <c r="AA96" i="6"/>
  <c r="AV91" i="6"/>
  <c r="AU91" i="6"/>
  <c r="AX91" i="6" s="1"/>
  <c r="AZ91" i="6"/>
  <c r="T91" i="6"/>
  <c r="U91" i="6"/>
  <c r="O93" i="6"/>
  <c r="L94" i="6"/>
  <c r="M93" i="6"/>
  <c r="N93" i="6" s="1"/>
  <c r="AB96" i="6"/>
  <c r="AF96" i="6"/>
  <c r="F97" i="6"/>
  <c r="R92" i="6"/>
  <c r="S92" i="6" s="1"/>
  <c r="Q92" i="6"/>
  <c r="AQ89" i="6" l="1"/>
  <c r="AM97" i="6"/>
  <c r="H98" i="6"/>
  <c r="AY91" i="6"/>
  <c r="AW91" i="6"/>
  <c r="T92" i="6"/>
  <c r="AZ92" i="6"/>
  <c r="AU92" i="6"/>
  <c r="AX92" i="6" s="1"/>
  <c r="AV92" i="6"/>
  <c r="U92" i="6"/>
  <c r="AO91" i="6"/>
  <c r="V91" i="6"/>
  <c r="AA97" i="6"/>
  <c r="AE97" i="6"/>
  <c r="AN97" i="6"/>
  <c r="K97" i="6"/>
  <c r="E98" i="6"/>
  <c r="AC96" i="6"/>
  <c r="AD96" i="6" s="1"/>
  <c r="AG96" i="6"/>
  <c r="AH96" i="6" s="1"/>
  <c r="G97" i="6"/>
  <c r="AF97" i="6"/>
  <c r="F98" i="6"/>
  <c r="AB97" i="6"/>
  <c r="M94" i="6"/>
  <c r="N94" i="6" s="1"/>
  <c r="O94" i="6"/>
  <c r="L95" i="6"/>
  <c r="R93" i="6"/>
  <c r="S93" i="6" s="1"/>
  <c r="Q93" i="6"/>
  <c r="AP90" i="6"/>
  <c r="AR90" i="6" s="1"/>
  <c r="AT90" i="6"/>
  <c r="W90" i="6"/>
  <c r="Y90" i="6" s="1"/>
  <c r="AO92" i="6" l="1"/>
  <c r="V92" i="6"/>
  <c r="AW92" i="6"/>
  <c r="AY92" i="6"/>
  <c r="AQ90" i="6"/>
  <c r="R94" i="6"/>
  <c r="S94" i="6" s="1"/>
  <c r="Q94" i="6"/>
  <c r="AC97" i="6"/>
  <c r="AD97" i="6" s="1"/>
  <c r="AG97" i="6"/>
  <c r="AH97" i="6" s="1"/>
  <c r="G98" i="6"/>
  <c r="AP91" i="6"/>
  <c r="AR91" i="6" s="1"/>
  <c r="AT91" i="6"/>
  <c r="W91" i="6"/>
  <c r="Y91" i="6" s="1"/>
  <c r="AF98" i="6"/>
  <c r="F99" i="6"/>
  <c r="AB98" i="6"/>
  <c r="K98" i="6"/>
  <c r="AN98" i="6"/>
  <c r="AA98" i="6"/>
  <c r="AE98" i="6"/>
  <c r="E99" i="6"/>
  <c r="AV93" i="6"/>
  <c r="AU93" i="6"/>
  <c r="AX93" i="6" s="1"/>
  <c r="T93" i="6"/>
  <c r="AZ93" i="6"/>
  <c r="U93" i="6"/>
  <c r="AM98" i="6"/>
  <c r="H99" i="6"/>
  <c r="O95" i="6"/>
  <c r="M95" i="6"/>
  <c r="N95" i="6" s="1"/>
  <c r="L96" i="6"/>
  <c r="K99" i="6" l="1"/>
  <c r="AA99" i="6"/>
  <c r="AN99" i="6"/>
  <c r="AE99" i="6"/>
  <c r="E100" i="6"/>
  <c r="R95" i="6"/>
  <c r="S95" i="6" s="1"/>
  <c r="Q95" i="6"/>
  <c r="AM99" i="6"/>
  <c r="H100" i="6"/>
  <c r="M96" i="6"/>
  <c r="N96" i="6" s="1"/>
  <c r="L97" i="6"/>
  <c r="O96" i="6"/>
  <c r="AU94" i="6"/>
  <c r="AX94" i="6" s="1"/>
  <c r="AV94" i="6"/>
  <c r="T94" i="6"/>
  <c r="AZ94" i="6"/>
  <c r="U94" i="6"/>
  <c r="AO93" i="6"/>
  <c r="V93" i="6"/>
  <c r="G99" i="6"/>
  <c r="AC98" i="6"/>
  <c r="AD98" i="6" s="1"/>
  <c r="AG98" i="6"/>
  <c r="AH98" i="6" s="1"/>
  <c r="AF99" i="6"/>
  <c r="AB99" i="6"/>
  <c r="F100" i="6"/>
  <c r="AP92" i="6"/>
  <c r="AR92" i="6" s="1"/>
  <c r="W92" i="6"/>
  <c r="Y92" i="6" s="1"/>
  <c r="AT92" i="6"/>
  <c r="AW93" i="6"/>
  <c r="AY93" i="6"/>
  <c r="AQ91" i="6"/>
  <c r="AG99" i="6" l="1"/>
  <c r="AH99" i="6" s="1"/>
  <c r="AC99" i="6"/>
  <c r="AD99" i="6" s="1"/>
  <c r="G100" i="6"/>
  <c r="AQ92" i="6"/>
  <c r="AF100" i="6"/>
  <c r="F101" i="6"/>
  <c r="AB100" i="6"/>
  <c r="AW94" i="6"/>
  <c r="AY94" i="6"/>
  <c r="AP93" i="6"/>
  <c r="AR93" i="6" s="1"/>
  <c r="AT93" i="6"/>
  <c r="W93" i="6"/>
  <c r="Y93" i="6" s="1"/>
  <c r="AO94" i="6"/>
  <c r="V94" i="6"/>
  <c r="AE100" i="6"/>
  <c r="E101" i="6"/>
  <c r="AA100" i="6"/>
  <c r="AN100" i="6"/>
  <c r="K100" i="6"/>
  <c r="R96" i="6"/>
  <c r="S96" i="6" s="1"/>
  <c r="Q96" i="6"/>
  <c r="AU95" i="6"/>
  <c r="AX95" i="6" s="1"/>
  <c r="AZ95" i="6"/>
  <c r="T95" i="6"/>
  <c r="AV95" i="6"/>
  <c r="U95" i="6"/>
  <c r="L98" i="6"/>
  <c r="M97" i="6"/>
  <c r="N97" i="6" s="1"/>
  <c r="O97" i="6"/>
  <c r="AM100" i="6"/>
  <c r="H101" i="6"/>
  <c r="AQ93" i="6" l="1"/>
  <c r="AF101" i="6"/>
  <c r="AB101" i="6"/>
  <c r="F102" i="6"/>
  <c r="Q97" i="6"/>
  <c r="R97" i="6"/>
  <c r="S97" i="6" s="1"/>
  <c r="AO95" i="6"/>
  <c r="V95" i="6"/>
  <c r="AP94" i="6"/>
  <c r="AR94" i="6" s="1"/>
  <c r="W94" i="6"/>
  <c r="Y94" i="6" s="1"/>
  <c r="AT94" i="6"/>
  <c r="T96" i="6"/>
  <c r="AU96" i="6"/>
  <c r="AX96" i="6" s="1"/>
  <c r="AV96" i="6"/>
  <c r="AZ96" i="6"/>
  <c r="U96" i="6"/>
  <c r="AM101" i="6"/>
  <c r="H102" i="6"/>
  <c r="AN101" i="6"/>
  <c r="E102" i="6"/>
  <c r="AE101" i="6"/>
  <c r="AA101" i="6"/>
  <c r="K101" i="6"/>
  <c r="M98" i="6"/>
  <c r="N98" i="6" s="1"/>
  <c r="O98" i="6"/>
  <c r="L99" i="6"/>
  <c r="AY95" i="6"/>
  <c r="AW95" i="6"/>
  <c r="G101" i="6"/>
  <c r="AG100" i="6"/>
  <c r="AH100" i="6" s="1"/>
  <c r="AC100" i="6"/>
  <c r="AD100" i="6" s="1"/>
  <c r="AQ94" i="6" l="1"/>
  <c r="E103" i="6"/>
  <c r="AN102" i="6"/>
  <c r="AA102" i="6"/>
  <c r="AE102" i="6"/>
  <c r="K102" i="6"/>
  <c r="AC101" i="6"/>
  <c r="AD101" i="6" s="1"/>
  <c r="AG101" i="6"/>
  <c r="AH101" i="6" s="1"/>
  <c r="G102" i="6"/>
  <c r="AO96" i="6"/>
  <c r="V96" i="6"/>
  <c r="AY96" i="6"/>
  <c r="AW96" i="6"/>
  <c r="O99" i="6"/>
  <c r="M99" i="6"/>
  <c r="N99" i="6" s="1"/>
  <c r="L100" i="6"/>
  <c r="AZ97" i="6"/>
  <c r="AU97" i="6"/>
  <c r="AX97" i="6" s="1"/>
  <c r="AV97" i="6"/>
  <c r="T97" i="6"/>
  <c r="U97" i="6"/>
  <c r="AB102" i="6"/>
  <c r="AF102" i="6"/>
  <c r="F103" i="6"/>
  <c r="R98" i="6"/>
  <c r="S98" i="6" s="1"/>
  <c r="Q98" i="6"/>
  <c r="AM102" i="6"/>
  <c r="H103" i="6"/>
  <c r="AP95" i="6"/>
  <c r="AR95" i="6" s="1"/>
  <c r="AT95" i="6"/>
  <c r="W95" i="6"/>
  <c r="Y95" i="6" s="1"/>
  <c r="AB103" i="6" l="1"/>
  <c r="F104" i="6"/>
  <c r="AF103" i="6"/>
  <c r="AG102" i="6"/>
  <c r="AH102" i="6" s="1"/>
  <c r="AC102" i="6"/>
  <c r="AD102" i="6" s="1"/>
  <c r="G103" i="6"/>
  <c r="AO97" i="6"/>
  <c r="V97" i="6"/>
  <c r="AU98" i="6"/>
  <c r="AX98" i="6" s="1"/>
  <c r="T98" i="6"/>
  <c r="AZ98" i="6"/>
  <c r="AV98" i="6"/>
  <c r="U98" i="6"/>
  <c r="AP96" i="6"/>
  <c r="AR96" i="6" s="1"/>
  <c r="AT96" i="6"/>
  <c r="W96" i="6"/>
  <c r="Y96" i="6" s="1"/>
  <c r="AY97" i="6"/>
  <c r="AW97" i="6"/>
  <c r="AQ95" i="6"/>
  <c r="M100" i="6"/>
  <c r="N100" i="6" s="1"/>
  <c r="O100" i="6"/>
  <c r="L101" i="6"/>
  <c r="E104" i="6"/>
  <c r="K103" i="6"/>
  <c r="AA103" i="6"/>
  <c r="AN103" i="6"/>
  <c r="AE103" i="6"/>
  <c r="AM103" i="6"/>
  <c r="H104" i="6"/>
  <c r="R99" i="6"/>
  <c r="S99" i="6" s="1"/>
  <c r="Q99" i="6"/>
  <c r="AQ96" i="6" l="1"/>
  <c r="AO98" i="6"/>
  <c r="V98" i="6"/>
  <c r="AU99" i="6"/>
  <c r="AX99" i="6" s="1"/>
  <c r="AZ99" i="6"/>
  <c r="AV99" i="6"/>
  <c r="T99" i="6"/>
  <c r="U99" i="6"/>
  <c r="R100" i="6"/>
  <c r="S100" i="6" s="1"/>
  <c r="Q100" i="6"/>
  <c r="W97" i="6"/>
  <c r="Y97" i="6" s="1"/>
  <c r="AP97" i="6"/>
  <c r="AR97" i="6" s="1"/>
  <c r="AT97" i="6"/>
  <c r="AC103" i="6"/>
  <c r="AD103" i="6" s="1"/>
  <c r="AG103" i="6"/>
  <c r="AH103" i="6" s="1"/>
  <c r="G104" i="6"/>
  <c r="H105" i="6"/>
  <c r="AM104" i="6"/>
  <c r="AW98" i="6"/>
  <c r="AY98" i="6"/>
  <c r="M101" i="6"/>
  <c r="N101" i="6" s="1"/>
  <c r="O101" i="6"/>
  <c r="L102" i="6"/>
  <c r="AN104" i="6"/>
  <c r="E105" i="6"/>
  <c r="AA104" i="6"/>
  <c r="AE104" i="6"/>
  <c r="K104" i="6"/>
  <c r="AB104" i="6"/>
  <c r="AF104" i="6"/>
  <c r="F105" i="6"/>
  <c r="AQ97" i="6" l="1"/>
  <c r="M102" i="6"/>
  <c r="N102" i="6" s="1"/>
  <c r="L103" i="6"/>
  <c r="O102" i="6"/>
  <c r="AZ100" i="6"/>
  <c r="AV100" i="6"/>
  <c r="AU100" i="6"/>
  <c r="AX100" i="6" s="1"/>
  <c r="T100" i="6"/>
  <c r="U100" i="6"/>
  <c r="AF105" i="6"/>
  <c r="F106" i="6"/>
  <c r="AB105" i="6"/>
  <c r="AO99" i="6"/>
  <c r="V99" i="6"/>
  <c r="R101" i="6"/>
  <c r="S101" i="6" s="1"/>
  <c r="Q101" i="6"/>
  <c r="AY99" i="6"/>
  <c r="AW99" i="6"/>
  <c r="AN105" i="6"/>
  <c r="E106" i="6"/>
  <c r="K105" i="6"/>
  <c r="AA105" i="6"/>
  <c r="AE105" i="6"/>
  <c r="AM105" i="6"/>
  <c r="H106" i="6"/>
  <c r="M5" i="1"/>
  <c r="G105" i="6"/>
  <c r="AC104" i="6"/>
  <c r="AD104" i="6" s="1"/>
  <c r="AG104" i="6"/>
  <c r="AH104" i="6" s="1"/>
  <c r="AP98" i="6"/>
  <c r="AR98" i="6" s="1"/>
  <c r="W98" i="6"/>
  <c r="Y98" i="6" s="1"/>
  <c r="AT98" i="6"/>
  <c r="AQ98" i="6" l="1"/>
  <c r="AA106" i="6"/>
  <c r="E107" i="6"/>
  <c r="AE106" i="6"/>
  <c r="K106" i="6"/>
  <c r="AN106" i="6"/>
  <c r="AY100" i="6"/>
  <c r="AW100" i="6"/>
  <c r="Q102" i="6"/>
  <c r="R102" i="6"/>
  <c r="S102" i="6" s="1"/>
  <c r="O103" i="6"/>
  <c r="M103" i="6"/>
  <c r="N103" i="6" s="1"/>
  <c r="L104" i="6"/>
  <c r="AO100" i="6"/>
  <c r="V100" i="6"/>
  <c r="AV101" i="6"/>
  <c r="T101" i="6"/>
  <c r="AU101" i="6"/>
  <c r="AX101" i="6" s="1"/>
  <c r="AZ101" i="6"/>
  <c r="U101" i="6"/>
  <c r="AM106" i="6"/>
  <c r="H107" i="6"/>
  <c r="AP99" i="6"/>
  <c r="AR99" i="6" s="1"/>
  <c r="W99" i="6"/>
  <c r="Y99" i="6" s="1"/>
  <c r="AT99" i="6"/>
  <c r="G106" i="6"/>
  <c r="AG105" i="6"/>
  <c r="AH105" i="6" s="1"/>
  <c r="AC105" i="6"/>
  <c r="AD105" i="6" s="1"/>
  <c r="F107" i="6"/>
  <c r="AF106" i="6"/>
  <c r="AB106" i="6"/>
  <c r="AQ99" i="6" l="1"/>
  <c r="M104" i="6"/>
  <c r="N104" i="6" s="1"/>
  <c r="L105" i="6"/>
  <c r="O104" i="6"/>
  <c r="R103" i="6"/>
  <c r="S103" i="6" s="1"/>
  <c r="Q103" i="6"/>
  <c r="AU102" i="6"/>
  <c r="AX102" i="6" s="1"/>
  <c r="T102" i="6"/>
  <c r="AZ102" i="6"/>
  <c r="AV102" i="6"/>
  <c r="U102" i="6"/>
  <c r="AO101" i="6"/>
  <c r="V101" i="6"/>
  <c r="H108" i="6"/>
  <c r="AM107" i="6"/>
  <c r="F108" i="6"/>
  <c r="AB107" i="6"/>
  <c r="AF107" i="6"/>
  <c r="AE107" i="6"/>
  <c r="E108" i="6"/>
  <c r="AA107" i="6"/>
  <c r="AN107" i="6"/>
  <c r="K107" i="6"/>
  <c r="AW101" i="6"/>
  <c r="AY101" i="6"/>
  <c r="AP100" i="6"/>
  <c r="AR100" i="6" s="1"/>
  <c r="W100" i="6"/>
  <c r="Y100" i="6" s="1"/>
  <c r="AT100" i="6"/>
  <c r="AG106" i="6"/>
  <c r="AH106" i="6" s="1"/>
  <c r="G107" i="6"/>
  <c r="AC106" i="6"/>
  <c r="AD106" i="6" s="1"/>
  <c r="AQ100" i="6" l="1"/>
  <c r="AO102" i="6"/>
  <c r="V102" i="6"/>
  <c r="O105" i="6"/>
  <c r="M105" i="6"/>
  <c r="N105" i="6" s="1"/>
  <c r="L106" i="6"/>
  <c r="AP101" i="6"/>
  <c r="AR101" i="6" s="1"/>
  <c r="AT101" i="6"/>
  <c r="W101" i="6"/>
  <c r="Y101" i="6" s="1"/>
  <c r="G108" i="6"/>
  <c r="AC107" i="6"/>
  <c r="AD107" i="6" s="1"/>
  <c r="AG107" i="6"/>
  <c r="AH107" i="6" s="1"/>
  <c r="AN108" i="6"/>
  <c r="E109" i="6"/>
  <c r="AA108" i="6"/>
  <c r="AE108" i="6"/>
  <c r="K108" i="6"/>
  <c r="AW102" i="6"/>
  <c r="AY102" i="6"/>
  <c r="AF108" i="6"/>
  <c r="AB108" i="6"/>
  <c r="F109" i="6"/>
  <c r="H109" i="6"/>
  <c r="AM108" i="6"/>
  <c r="AU103" i="6"/>
  <c r="AX103" i="6" s="1"/>
  <c r="AZ103" i="6"/>
  <c r="T103" i="6"/>
  <c r="AV103" i="6"/>
  <c r="U103" i="6"/>
  <c r="Q104" i="6"/>
  <c r="R104" i="6"/>
  <c r="S104" i="6" s="1"/>
  <c r="AB109" i="6" l="1"/>
  <c r="AF109" i="6"/>
  <c r="F110" i="6"/>
  <c r="AZ104" i="6"/>
  <c r="T104" i="6"/>
  <c r="AV104" i="6"/>
  <c r="AU104" i="6"/>
  <c r="AX104" i="6" s="1"/>
  <c r="U104" i="6"/>
  <c r="AQ101" i="6"/>
  <c r="AO103" i="6"/>
  <c r="V103" i="6"/>
  <c r="AW103" i="6"/>
  <c r="AY103" i="6"/>
  <c r="G109" i="6"/>
  <c r="AG108" i="6"/>
  <c r="AH108" i="6" s="1"/>
  <c r="AC108" i="6"/>
  <c r="AD108" i="6" s="1"/>
  <c r="O106" i="6"/>
  <c r="M106" i="6"/>
  <c r="N106" i="6" s="1"/>
  <c r="L107" i="6"/>
  <c r="AM109" i="6"/>
  <c r="H110" i="6"/>
  <c r="E110" i="6"/>
  <c r="K109" i="6"/>
  <c r="AA109" i="6"/>
  <c r="AN109" i="6"/>
  <c r="AE109" i="6"/>
  <c r="R105" i="6"/>
  <c r="S105" i="6" s="1"/>
  <c r="Q105" i="6"/>
  <c r="W102" i="6"/>
  <c r="Y102" i="6" s="1"/>
  <c r="AT102" i="6"/>
  <c r="AP102" i="6"/>
  <c r="AR102" i="6" s="1"/>
  <c r="AQ102" i="6" l="1"/>
  <c r="AM110" i="6"/>
  <c r="H111" i="6"/>
  <c r="Q106" i="6"/>
  <c r="R106" i="6"/>
  <c r="S106" i="6" s="1"/>
  <c r="AO104" i="6"/>
  <c r="V104" i="6"/>
  <c r="AU105" i="6"/>
  <c r="AX105" i="6" s="1"/>
  <c r="T105" i="6"/>
  <c r="AZ105" i="6"/>
  <c r="AV105" i="6"/>
  <c r="U105" i="6"/>
  <c r="O107" i="6"/>
  <c r="L108" i="6"/>
  <c r="M107" i="6"/>
  <c r="N107" i="6" s="1"/>
  <c r="AW104" i="6"/>
  <c r="AY104" i="6"/>
  <c r="G110" i="6"/>
  <c r="AG109" i="6"/>
  <c r="AH109" i="6" s="1"/>
  <c r="AC109" i="6"/>
  <c r="AD109" i="6" s="1"/>
  <c r="AB110" i="6"/>
  <c r="F111" i="6"/>
  <c r="AF110" i="6"/>
  <c r="AE110" i="6"/>
  <c r="AN110" i="6"/>
  <c r="K110" i="6"/>
  <c r="AA110" i="6"/>
  <c r="E111" i="6"/>
  <c r="AP103" i="6"/>
  <c r="AR103" i="6" s="1"/>
  <c r="W103" i="6"/>
  <c r="Y103" i="6" s="1"/>
  <c r="AT103" i="6"/>
  <c r="AC110" i="6" l="1"/>
  <c r="AD110" i="6" s="1"/>
  <c r="G111" i="6"/>
  <c r="AG110" i="6"/>
  <c r="AH110" i="6" s="1"/>
  <c r="AP104" i="6"/>
  <c r="AR104" i="6" s="1"/>
  <c r="W104" i="6"/>
  <c r="Y104" i="6" s="1"/>
  <c r="AT104" i="6"/>
  <c r="M108" i="6"/>
  <c r="N108" i="6" s="1"/>
  <c r="L109" i="6"/>
  <c r="O108" i="6"/>
  <c r="AM111" i="6"/>
  <c r="H112" i="6"/>
  <c r="R107" i="6"/>
  <c r="S107" i="6" s="1"/>
  <c r="Q107" i="6"/>
  <c r="AB111" i="6"/>
  <c r="AF111" i="6"/>
  <c r="F112" i="6"/>
  <c r="AO105" i="6"/>
  <c r="V105" i="6"/>
  <c r="AW105" i="6"/>
  <c r="AY105" i="6"/>
  <c r="AQ103" i="6"/>
  <c r="E112" i="6"/>
  <c r="K111" i="6"/>
  <c r="AE111" i="6"/>
  <c r="AN111" i="6"/>
  <c r="AA111" i="6"/>
  <c r="AV106" i="6"/>
  <c r="AZ106" i="6"/>
  <c r="T106" i="6"/>
  <c r="AU106" i="6"/>
  <c r="AX106" i="6" s="1"/>
  <c r="U106" i="6"/>
  <c r="AQ104" i="6" l="1"/>
  <c r="AG111" i="6"/>
  <c r="AH111" i="6" s="1"/>
  <c r="G112" i="6"/>
  <c r="AC111" i="6"/>
  <c r="AD111" i="6" s="1"/>
  <c r="AU107" i="6"/>
  <c r="AX107" i="6" s="1"/>
  <c r="AZ107" i="6"/>
  <c r="T107" i="6"/>
  <c r="AV107" i="6"/>
  <c r="U107" i="6"/>
  <c r="AO106" i="6"/>
  <c r="V106" i="6"/>
  <c r="AW106" i="6"/>
  <c r="AY106" i="6"/>
  <c r="AN112" i="6"/>
  <c r="K112" i="6"/>
  <c r="AA112" i="6"/>
  <c r="E113" i="6"/>
  <c r="AE112" i="6"/>
  <c r="AM112" i="6"/>
  <c r="H113" i="6"/>
  <c r="R108" i="6"/>
  <c r="S108" i="6" s="1"/>
  <c r="Q108" i="6"/>
  <c r="M109" i="6"/>
  <c r="N109" i="6" s="1"/>
  <c r="L110" i="6"/>
  <c r="O109" i="6"/>
  <c r="AP105" i="6"/>
  <c r="AR105" i="6" s="1"/>
  <c r="AT105" i="6"/>
  <c r="W105" i="6"/>
  <c r="Y105" i="6" s="1"/>
  <c r="F113" i="6"/>
  <c r="AB112" i="6"/>
  <c r="AF112" i="6"/>
  <c r="H114" i="6" l="1"/>
  <c r="AM113" i="6"/>
  <c r="AY107" i="6"/>
  <c r="AW107" i="6"/>
  <c r="Q109" i="6"/>
  <c r="R109" i="6"/>
  <c r="S109" i="6" s="1"/>
  <c r="L111" i="6"/>
  <c r="M110" i="6"/>
  <c r="N110" i="6" s="1"/>
  <c r="O110" i="6"/>
  <c r="AP106" i="6"/>
  <c r="AR106" i="6" s="1"/>
  <c r="W106" i="6"/>
  <c r="Y106" i="6" s="1"/>
  <c r="AT106" i="6"/>
  <c r="AO107" i="6"/>
  <c r="V107" i="6"/>
  <c r="AA113" i="6"/>
  <c r="AE113" i="6"/>
  <c r="AN113" i="6"/>
  <c r="K113" i="6"/>
  <c r="E114" i="6"/>
  <c r="AU108" i="6"/>
  <c r="AX108" i="6" s="1"/>
  <c r="T108" i="6"/>
  <c r="AV108" i="6"/>
  <c r="AZ108" i="6"/>
  <c r="U108" i="6"/>
  <c r="F114" i="6"/>
  <c r="AB113" i="6"/>
  <c r="AF113" i="6"/>
  <c r="AG112" i="6"/>
  <c r="AH112" i="6" s="1"/>
  <c r="AC112" i="6"/>
  <c r="AD112" i="6" s="1"/>
  <c r="G113" i="6"/>
  <c r="AQ105" i="6"/>
  <c r="AP107" i="6" l="1"/>
  <c r="AR107" i="6" s="1"/>
  <c r="AT107" i="6"/>
  <c r="W107" i="6"/>
  <c r="Y107" i="6" s="1"/>
  <c r="G114" i="6"/>
  <c r="AC113" i="6"/>
  <c r="AD113" i="6" s="1"/>
  <c r="AG113" i="6"/>
  <c r="AH113" i="6" s="1"/>
  <c r="T109" i="6"/>
  <c r="AZ109" i="6"/>
  <c r="AU109" i="6"/>
  <c r="AX109" i="6" s="1"/>
  <c r="AV109" i="6"/>
  <c r="U109" i="6"/>
  <c r="AB114" i="6"/>
  <c r="F115" i="6"/>
  <c r="AF114" i="6"/>
  <c r="AY108" i="6"/>
  <c r="AW108" i="6"/>
  <c r="AM114" i="6"/>
  <c r="H115" i="6"/>
  <c r="AQ106" i="6"/>
  <c r="R110" i="6"/>
  <c r="S110" i="6" s="1"/>
  <c r="Q110" i="6"/>
  <c r="AN114" i="6"/>
  <c r="E115" i="6"/>
  <c r="K114" i="6"/>
  <c r="AA114" i="6"/>
  <c r="AE114" i="6"/>
  <c r="M111" i="6"/>
  <c r="N111" i="6" s="1"/>
  <c r="L112" i="6"/>
  <c r="O111" i="6"/>
  <c r="AO108" i="6"/>
  <c r="V108" i="6"/>
  <c r="AN115" i="6" l="1"/>
  <c r="K115" i="6"/>
  <c r="E116" i="6"/>
  <c r="AA115" i="6"/>
  <c r="AE115" i="6"/>
  <c r="AU110" i="6"/>
  <c r="AX110" i="6" s="1"/>
  <c r="AV110" i="6"/>
  <c r="T110" i="6"/>
  <c r="AZ110" i="6"/>
  <c r="U110" i="6"/>
  <c r="Q111" i="6"/>
  <c r="R111" i="6"/>
  <c r="S111" i="6" s="1"/>
  <c r="L113" i="6"/>
  <c r="M112" i="6"/>
  <c r="N112" i="6" s="1"/>
  <c r="O112" i="6"/>
  <c r="AB115" i="6"/>
  <c r="AF115" i="6"/>
  <c r="F116" i="6"/>
  <c r="AQ107" i="6"/>
  <c r="AO109" i="6"/>
  <c r="V109" i="6"/>
  <c r="AW109" i="6"/>
  <c r="AY109" i="6"/>
  <c r="AP108" i="6"/>
  <c r="AR108" i="6" s="1"/>
  <c r="AT108" i="6"/>
  <c r="W108" i="6"/>
  <c r="Y108" i="6" s="1"/>
  <c r="H116" i="6"/>
  <c r="AM115" i="6"/>
  <c r="AG114" i="6"/>
  <c r="AH114" i="6" s="1"/>
  <c r="G115" i="6"/>
  <c r="AC114" i="6"/>
  <c r="AD114" i="6" s="1"/>
  <c r="G116" i="6" l="1"/>
  <c r="AG115" i="6"/>
  <c r="AH115" i="6" s="1"/>
  <c r="AC115" i="6"/>
  <c r="AD115" i="6" s="1"/>
  <c r="F117" i="6"/>
  <c r="AB116" i="6"/>
  <c r="AF116" i="6"/>
  <c r="AM116" i="6"/>
  <c r="H117" i="6"/>
  <c r="AP109" i="6"/>
  <c r="AR109" i="6" s="1"/>
  <c r="W109" i="6"/>
  <c r="Y109" i="6" s="1"/>
  <c r="AT109" i="6"/>
  <c r="AO110" i="6"/>
  <c r="V110" i="6"/>
  <c r="AY110" i="6"/>
  <c r="AW110" i="6"/>
  <c r="R112" i="6"/>
  <c r="S112" i="6" s="1"/>
  <c r="Q112" i="6"/>
  <c r="O113" i="6"/>
  <c r="L114" i="6"/>
  <c r="M113" i="6"/>
  <c r="N113" i="6" s="1"/>
  <c r="AQ108" i="6"/>
  <c r="AV111" i="6"/>
  <c r="AU111" i="6"/>
  <c r="AX111" i="6" s="1"/>
  <c r="AZ111" i="6"/>
  <c r="T111" i="6"/>
  <c r="U111" i="6"/>
  <c r="K116" i="6"/>
  <c r="AN116" i="6"/>
  <c r="AA116" i="6"/>
  <c r="AE116" i="6"/>
  <c r="E117" i="6"/>
  <c r="AQ109" i="6" l="1"/>
  <c r="G117" i="6"/>
  <c r="AG116" i="6"/>
  <c r="AH116" i="6" s="1"/>
  <c r="AC116" i="6"/>
  <c r="AD116" i="6" s="1"/>
  <c r="AY111" i="6"/>
  <c r="AW111" i="6"/>
  <c r="H118" i="6"/>
  <c r="AM117" i="6"/>
  <c r="AZ112" i="6"/>
  <c r="T112" i="6"/>
  <c r="AV112" i="6"/>
  <c r="AU112" i="6"/>
  <c r="AX112" i="6" s="1"/>
  <c r="U112" i="6"/>
  <c r="AO111" i="6"/>
  <c r="V111" i="6"/>
  <c r="AP110" i="6"/>
  <c r="AR110" i="6" s="1"/>
  <c r="AT110" i="6"/>
  <c r="W110" i="6"/>
  <c r="Y110" i="6" s="1"/>
  <c r="E118" i="6"/>
  <c r="K117" i="6"/>
  <c r="AA117" i="6"/>
  <c r="AE117" i="6"/>
  <c r="AN117" i="6"/>
  <c r="L115" i="6"/>
  <c r="O114" i="6"/>
  <c r="M114" i="6"/>
  <c r="N114" i="6" s="1"/>
  <c r="R113" i="6"/>
  <c r="S113" i="6" s="1"/>
  <c r="Q113" i="6"/>
  <c r="AF117" i="6"/>
  <c r="F118" i="6"/>
  <c r="AB117" i="6"/>
  <c r="AQ110" i="6" l="1"/>
  <c r="Q114" i="6"/>
  <c r="R114" i="6"/>
  <c r="S114" i="6" s="1"/>
  <c r="AC117" i="6"/>
  <c r="AD117" i="6" s="1"/>
  <c r="AG117" i="6"/>
  <c r="AH117" i="6" s="1"/>
  <c r="G118" i="6"/>
  <c r="AO112" i="6"/>
  <c r="V112" i="6"/>
  <c r="AB118" i="6"/>
  <c r="AF118" i="6"/>
  <c r="F119" i="6"/>
  <c r="AE118" i="6"/>
  <c r="AA118" i="6"/>
  <c r="K118" i="6"/>
  <c r="E119" i="6"/>
  <c r="AN118" i="6"/>
  <c r="H119" i="6"/>
  <c r="AM118" i="6"/>
  <c r="L116" i="6"/>
  <c r="M115" i="6"/>
  <c r="N115" i="6" s="1"/>
  <c r="O115" i="6"/>
  <c r="W111" i="6"/>
  <c r="Y111" i="6" s="1"/>
  <c r="AT111" i="6"/>
  <c r="AP111" i="6"/>
  <c r="AR111" i="6" s="1"/>
  <c r="AW112" i="6"/>
  <c r="AY112" i="6"/>
  <c r="T113" i="6"/>
  <c r="AV113" i="6"/>
  <c r="AU113" i="6"/>
  <c r="AX113" i="6" s="1"/>
  <c r="AZ113" i="6"/>
  <c r="U113" i="6"/>
  <c r="AF119" i="6" l="1"/>
  <c r="F120" i="6"/>
  <c r="AB119" i="6"/>
  <c r="R115" i="6"/>
  <c r="S115" i="6" s="1"/>
  <c r="Q115" i="6"/>
  <c r="AG118" i="6"/>
  <c r="AH118" i="6" s="1"/>
  <c r="AC118" i="6"/>
  <c r="AD118" i="6" s="1"/>
  <c r="G119" i="6"/>
  <c r="AY113" i="6"/>
  <c r="AW113" i="6"/>
  <c r="AO113" i="6"/>
  <c r="V113" i="6"/>
  <c r="AP112" i="6"/>
  <c r="AR112" i="6" s="1"/>
  <c r="W112" i="6"/>
  <c r="Y112" i="6" s="1"/>
  <c r="AT112" i="6"/>
  <c r="E120" i="6"/>
  <c r="K119" i="6"/>
  <c r="AA119" i="6"/>
  <c r="AN119" i="6"/>
  <c r="AE119" i="6"/>
  <c r="M116" i="6"/>
  <c r="N116" i="6" s="1"/>
  <c r="O116" i="6"/>
  <c r="L117" i="6"/>
  <c r="AM119" i="6"/>
  <c r="H120" i="6"/>
  <c r="AQ111" i="6"/>
  <c r="AV114" i="6"/>
  <c r="T114" i="6"/>
  <c r="AZ114" i="6"/>
  <c r="AU114" i="6"/>
  <c r="AX114" i="6" s="1"/>
  <c r="U114" i="6"/>
  <c r="AQ112" i="6" l="1"/>
  <c r="AM120" i="6"/>
  <c r="H121" i="6"/>
  <c r="R116" i="6"/>
  <c r="S116" i="6" s="1"/>
  <c r="Q116" i="6"/>
  <c r="AO114" i="6"/>
  <c r="V114" i="6"/>
  <c r="AF120" i="6"/>
  <c r="AB120" i="6"/>
  <c r="F121" i="6"/>
  <c r="AP113" i="6"/>
  <c r="AR113" i="6" s="1"/>
  <c r="AT113" i="6"/>
  <c r="W113" i="6"/>
  <c r="Y113" i="6" s="1"/>
  <c r="L118" i="6"/>
  <c r="O117" i="6"/>
  <c r="M117" i="6"/>
  <c r="N117" i="6" s="1"/>
  <c r="AG119" i="6"/>
  <c r="AH119" i="6" s="1"/>
  <c r="G120" i="6"/>
  <c r="AC119" i="6"/>
  <c r="AD119" i="6" s="1"/>
  <c r="E121" i="6"/>
  <c r="AE120" i="6"/>
  <c r="AA120" i="6"/>
  <c r="AN120" i="6"/>
  <c r="K120" i="6"/>
  <c r="AY114" i="6"/>
  <c r="AW114" i="6"/>
  <c r="AU115" i="6"/>
  <c r="AX115" i="6" s="1"/>
  <c r="T115" i="6"/>
  <c r="AZ115" i="6"/>
  <c r="AV115" i="6"/>
  <c r="U115" i="6"/>
  <c r="AQ113" i="6" l="1"/>
  <c r="AW115" i="6"/>
  <c r="AY115" i="6"/>
  <c r="E122" i="6"/>
  <c r="K121" i="6"/>
  <c r="AN121" i="6"/>
  <c r="AA121" i="6"/>
  <c r="AE121" i="6"/>
  <c r="AT114" i="6"/>
  <c r="AP114" i="6"/>
  <c r="AR114" i="6" s="1"/>
  <c r="W114" i="6"/>
  <c r="Y114" i="6" s="1"/>
  <c r="F122" i="6"/>
  <c r="AF121" i="6"/>
  <c r="AB121" i="6"/>
  <c r="G121" i="6"/>
  <c r="AC120" i="6"/>
  <c r="AD120" i="6" s="1"/>
  <c r="AG120" i="6"/>
  <c r="AH120" i="6" s="1"/>
  <c r="AO115" i="6"/>
  <c r="V115" i="6"/>
  <c r="AZ116" i="6"/>
  <c r="T116" i="6"/>
  <c r="AU116" i="6"/>
  <c r="AX116" i="6" s="1"/>
  <c r="AV116" i="6"/>
  <c r="U116" i="6"/>
  <c r="R117" i="6"/>
  <c r="S117" i="6" s="1"/>
  <c r="Q117" i="6"/>
  <c r="H122" i="6"/>
  <c r="AM121" i="6"/>
  <c r="M118" i="6"/>
  <c r="N118" i="6" s="1"/>
  <c r="L119" i="6"/>
  <c r="O118" i="6"/>
  <c r="AA122" i="6" l="1"/>
  <c r="AN122" i="6"/>
  <c r="E123" i="6"/>
  <c r="AE122" i="6"/>
  <c r="K122" i="6"/>
  <c r="AO116" i="6"/>
  <c r="V116" i="6"/>
  <c r="AB122" i="6"/>
  <c r="AF122" i="6"/>
  <c r="F123" i="6"/>
  <c r="AP115" i="6"/>
  <c r="AR115" i="6" s="1"/>
  <c r="W115" i="6"/>
  <c r="Y115" i="6" s="1"/>
  <c r="AT115" i="6"/>
  <c r="AQ114" i="6"/>
  <c r="T117" i="6"/>
  <c r="AV117" i="6"/>
  <c r="AU117" i="6"/>
  <c r="AX117" i="6" s="1"/>
  <c r="AZ117" i="6"/>
  <c r="U117" i="6"/>
  <c r="AW116" i="6"/>
  <c r="AY116" i="6"/>
  <c r="R118" i="6"/>
  <c r="S118" i="6" s="1"/>
  <c r="Q118" i="6"/>
  <c r="M119" i="6"/>
  <c r="N119" i="6" s="1"/>
  <c r="L120" i="6"/>
  <c r="O119" i="6"/>
  <c r="H123" i="6"/>
  <c r="AM122" i="6"/>
  <c r="G122" i="6"/>
  <c r="AC121" i="6"/>
  <c r="AD121" i="6" s="1"/>
  <c r="AG121" i="6"/>
  <c r="AH121" i="6" s="1"/>
  <c r="AQ115" i="6" l="1"/>
  <c r="AY117" i="6"/>
  <c r="AW117" i="6"/>
  <c r="M120" i="6"/>
  <c r="N120" i="6" s="1"/>
  <c r="O120" i="6"/>
  <c r="L121" i="6"/>
  <c r="AU118" i="6"/>
  <c r="AX118" i="6" s="1"/>
  <c r="AZ118" i="6"/>
  <c r="AV118" i="6"/>
  <c r="T118" i="6"/>
  <c r="U118" i="6"/>
  <c r="F124" i="6"/>
  <c r="AB123" i="6"/>
  <c r="AF123" i="6"/>
  <c r="AO117" i="6"/>
  <c r="V117" i="6"/>
  <c r="AP116" i="6"/>
  <c r="AR116" i="6" s="1"/>
  <c r="W116" i="6"/>
  <c r="Y116" i="6" s="1"/>
  <c r="AT116" i="6"/>
  <c r="G123" i="6"/>
  <c r="AG122" i="6"/>
  <c r="AH122" i="6" s="1"/>
  <c r="AC122" i="6"/>
  <c r="AD122" i="6" s="1"/>
  <c r="AM123" i="6"/>
  <c r="H124" i="6"/>
  <c r="AE123" i="6"/>
  <c r="E124" i="6"/>
  <c r="K123" i="6"/>
  <c r="AN123" i="6"/>
  <c r="AA123" i="6"/>
  <c r="Q119" i="6"/>
  <c r="R119" i="6"/>
  <c r="S119" i="6" s="1"/>
  <c r="AY118" i="6" l="1"/>
  <c r="AW118" i="6"/>
  <c r="AZ119" i="6"/>
  <c r="T119" i="6"/>
  <c r="AV119" i="6"/>
  <c r="AU119" i="6"/>
  <c r="AX119" i="6" s="1"/>
  <c r="U119" i="6"/>
  <c r="R120" i="6"/>
  <c r="S120" i="6" s="1"/>
  <c r="Q120" i="6"/>
  <c r="AP117" i="6"/>
  <c r="AR117" i="6" s="1"/>
  <c r="W117" i="6"/>
  <c r="Y117" i="6" s="1"/>
  <c r="AT117" i="6"/>
  <c r="AB124" i="6"/>
  <c r="F125" i="6"/>
  <c r="AF124" i="6"/>
  <c r="AO118" i="6"/>
  <c r="V118" i="6"/>
  <c r="G124" i="6"/>
  <c r="AG123" i="6"/>
  <c r="AH123" i="6" s="1"/>
  <c r="AC123" i="6"/>
  <c r="AD123" i="6" s="1"/>
  <c r="L122" i="6"/>
  <c r="O121" i="6"/>
  <c r="M121" i="6"/>
  <c r="N121" i="6" s="1"/>
  <c r="AQ116" i="6"/>
  <c r="E125" i="6"/>
  <c r="AN124" i="6"/>
  <c r="AE124" i="6"/>
  <c r="AA124" i="6"/>
  <c r="K124" i="6"/>
  <c r="AM124" i="6"/>
  <c r="H125" i="6"/>
  <c r="F126" i="6" l="1"/>
  <c r="AB125" i="6"/>
  <c r="AF125" i="6"/>
  <c r="AQ117" i="6"/>
  <c r="M122" i="6"/>
  <c r="N122" i="6" s="1"/>
  <c r="O122" i="6"/>
  <c r="L123" i="6"/>
  <c r="G125" i="6"/>
  <c r="AC124" i="6"/>
  <c r="AD124" i="6" s="1"/>
  <c r="AG124" i="6"/>
  <c r="AH124" i="6" s="1"/>
  <c r="AP118" i="6"/>
  <c r="AR118" i="6" s="1"/>
  <c r="W118" i="6"/>
  <c r="Y118" i="6" s="1"/>
  <c r="AT118" i="6"/>
  <c r="AO119" i="6"/>
  <c r="V119" i="6"/>
  <c r="AA125" i="6"/>
  <c r="AE125" i="6"/>
  <c r="K125" i="6"/>
  <c r="E126" i="6"/>
  <c r="AN125" i="6"/>
  <c r="R121" i="6"/>
  <c r="S121" i="6" s="1"/>
  <c r="Q121" i="6"/>
  <c r="H126" i="6"/>
  <c r="AM125" i="6"/>
  <c r="T120" i="6"/>
  <c r="AU120" i="6"/>
  <c r="AX120" i="6" s="1"/>
  <c r="AV120" i="6"/>
  <c r="AZ120" i="6"/>
  <c r="U120" i="6"/>
  <c r="AY119" i="6"/>
  <c r="AW119" i="6"/>
  <c r="AQ118" i="6" l="1"/>
  <c r="AV121" i="6"/>
  <c r="AZ121" i="6"/>
  <c r="AU121" i="6"/>
  <c r="AX121" i="6" s="1"/>
  <c r="T121" i="6"/>
  <c r="U121" i="6"/>
  <c r="AW120" i="6"/>
  <c r="AY120" i="6"/>
  <c r="Q122" i="6"/>
  <c r="R122" i="6"/>
  <c r="S122" i="6" s="1"/>
  <c r="AP119" i="6"/>
  <c r="AR119" i="6" s="1"/>
  <c r="W119" i="6"/>
  <c r="Y119" i="6" s="1"/>
  <c r="AT119" i="6"/>
  <c r="AM126" i="6"/>
  <c r="H127" i="6"/>
  <c r="AB126" i="6"/>
  <c r="AF126" i="6"/>
  <c r="F127" i="6"/>
  <c r="AO120" i="6"/>
  <c r="V120" i="6"/>
  <c r="AG125" i="6"/>
  <c r="AH125" i="6" s="1"/>
  <c r="G126" i="6"/>
  <c r="AC125" i="6"/>
  <c r="AD125" i="6" s="1"/>
  <c r="AA126" i="6"/>
  <c r="E127" i="6"/>
  <c r="K126" i="6"/>
  <c r="AE126" i="6"/>
  <c r="AN126" i="6"/>
  <c r="M123" i="6"/>
  <c r="N123" i="6" s="1"/>
  <c r="L124" i="6"/>
  <c r="O123" i="6"/>
  <c r="AN127" i="6" l="1"/>
  <c r="AA127" i="6"/>
  <c r="AE127" i="6"/>
  <c r="E128" i="6"/>
  <c r="K127" i="6"/>
  <c r="T122" i="6"/>
  <c r="AV122" i="6"/>
  <c r="AU122" i="6"/>
  <c r="AX122" i="6" s="1"/>
  <c r="AZ122" i="6"/>
  <c r="U122" i="6"/>
  <c r="W120" i="6"/>
  <c r="Y120" i="6" s="1"/>
  <c r="AT120" i="6"/>
  <c r="AP120" i="6"/>
  <c r="AR120" i="6" s="1"/>
  <c r="Q123" i="6"/>
  <c r="R123" i="6"/>
  <c r="S123" i="6" s="1"/>
  <c r="L125" i="6"/>
  <c r="O124" i="6"/>
  <c r="M124" i="6"/>
  <c r="N124" i="6" s="1"/>
  <c r="H128" i="6"/>
  <c r="AM127" i="6"/>
  <c r="AW121" i="6"/>
  <c r="AY121" i="6"/>
  <c r="AQ119" i="6"/>
  <c r="AC126" i="6"/>
  <c r="AD126" i="6" s="1"/>
  <c r="G127" i="6"/>
  <c r="AG126" i="6"/>
  <c r="AH126" i="6" s="1"/>
  <c r="AB127" i="6"/>
  <c r="AF127" i="6"/>
  <c r="F128" i="6"/>
  <c r="AO121" i="6"/>
  <c r="V121" i="6"/>
  <c r="Q124" i="6" l="1"/>
  <c r="R124" i="6"/>
  <c r="S124" i="6" s="1"/>
  <c r="AO122" i="6"/>
  <c r="V122" i="6"/>
  <c r="AW122" i="6"/>
  <c r="AY122" i="6"/>
  <c r="O125" i="6"/>
  <c r="M125" i="6"/>
  <c r="N125" i="6" s="1"/>
  <c r="L126" i="6"/>
  <c r="K128" i="6"/>
  <c r="AN128" i="6"/>
  <c r="AA128" i="6"/>
  <c r="AE128" i="6"/>
  <c r="E129" i="6"/>
  <c r="AV123" i="6"/>
  <c r="AZ123" i="6"/>
  <c r="AU123" i="6"/>
  <c r="AX123" i="6" s="1"/>
  <c r="T123" i="6"/>
  <c r="U123" i="6"/>
  <c r="F129" i="6"/>
  <c r="AB128" i="6"/>
  <c r="AF128" i="6"/>
  <c r="AM128" i="6"/>
  <c r="H129" i="6"/>
  <c r="G128" i="6"/>
  <c r="AC127" i="6"/>
  <c r="AD127" i="6" s="1"/>
  <c r="AG127" i="6"/>
  <c r="AH127" i="6" s="1"/>
  <c r="AQ120" i="6"/>
  <c r="AP121" i="6"/>
  <c r="AR121" i="6" s="1"/>
  <c r="AT121" i="6"/>
  <c r="W121" i="6"/>
  <c r="Y121" i="6" s="1"/>
  <c r="AY123" i="6" l="1"/>
  <c r="AW123" i="6"/>
  <c r="AA129" i="6"/>
  <c r="AE129" i="6"/>
  <c r="E130" i="6"/>
  <c r="K129" i="6"/>
  <c r="AN129" i="6"/>
  <c r="H130" i="6"/>
  <c r="AM129" i="6"/>
  <c r="R125" i="6"/>
  <c r="S125" i="6" s="1"/>
  <c r="Q125" i="6"/>
  <c r="AP122" i="6"/>
  <c r="AR122" i="6" s="1"/>
  <c r="AT122" i="6"/>
  <c r="W122" i="6"/>
  <c r="Y122" i="6" s="1"/>
  <c r="AV124" i="6"/>
  <c r="AU124" i="6"/>
  <c r="AX124" i="6" s="1"/>
  <c r="T124" i="6"/>
  <c r="AZ124" i="6"/>
  <c r="U124" i="6"/>
  <c r="AG128" i="6"/>
  <c r="AH128" i="6" s="1"/>
  <c r="AC128" i="6"/>
  <c r="AD128" i="6" s="1"/>
  <c r="G129" i="6"/>
  <c r="O126" i="6"/>
  <c r="L127" i="6"/>
  <c r="M126" i="6"/>
  <c r="N126" i="6" s="1"/>
  <c r="AB129" i="6"/>
  <c r="AF129" i="6"/>
  <c r="F130" i="6"/>
  <c r="AQ121" i="6"/>
  <c r="AO123" i="6"/>
  <c r="V123" i="6"/>
  <c r="AQ122" i="6" l="1"/>
  <c r="Q126" i="6"/>
  <c r="R126" i="6"/>
  <c r="S126" i="6" s="1"/>
  <c r="AG129" i="6"/>
  <c r="AH129" i="6" s="1"/>
  <c r="AC129" i="6"/>
  <c r="AD129" i="6" s="1"/>
  <c r="G130" i="6"/>
  <c r="AO124" i="6"/>
  <c r="V124" i="6"/>
  <c r="AW124" i="6"/>
  <c r="AY124" i="6"/>
  <c r="O127" i="6"/>
  <c r="L128" i="6"/>
  <c r="M127" i="6"/>
  <c r="N127" i="6" s="1"/>
  <c r="AP123" i="6"/>
  <c r="AR123" i="6" s="1"/>
  <c r="W123" i="6"/>
  <c r="Y123" i="6" s="1"/>
  <c r="AT123" i="6"/>
  <c r="AV125" i="6"/>
  <c r="T125" i="6"/>
  <c r="AU125" i="6"/>
  <c r="AX125" i="6" s="1"/>
  <c r="AZ125" i="6"/>
  <c r="U125" i="6"/>
  <c r="H131" i="6"/>
  <c r="AM130" i="6"/>
  <c r="AA130" i="6"/>
  <c r="K130" i="6"/>
  <c r="AN130" i="6"/>
  <c r="E131" i="6"/>
  <c r="AE130" i="6"/>
  <c r="F131" i="6"/>
  <c r="AF130" i="6"/>
  <c r="AB130" i="6"/>
  <c r="H132" i="6" l="1"/>
  <c r="AM131" i="6"/>
  <c r="E132" i="6"/>
  <c r="AN131" i="6"/>
  <c r="AA131" i="6"/>
  <c r="K131" i="6"/>
  <c r="AE131" i="6"/>
  <c r="AQ123" i="6"/>
  <c r="O128" i="6"/>
  <c r="L129" i="6"/>
  <c r="M128" i="6"/>
  <c r="N128" i="6" s="1"/>
  <c r="R127" i="6"/>
  <c r="S127" i="6" s="1"/>
  <c r="Q127" i="6"/>
  <c r="AO125" i="6"/>
  <c r="V125" i="6"/>
  <c r="AP124" i="6"/>
  <c r="AR124" i="6" s="1"/>
  <c r="W124" i="6"/>
  <c r="Y124" i="6" s="1"/>
  <c r="AT124" i="6"/>
  <c r="AY125" i="6"/>
  <c r="AW125" i="6"/>
  <c r="F132" i="6"/>
  <c r="AF131" i="6"/>
  <c r="AB131" i="6"/>
  <c r="AC130" i="6"/>
  <c r="AD130" i="6" s="1"/>
  <c r="AG130" i="6"/>
  <c r="AH130" i="6" s="1"/>
  <c r="G131" i="6"/>
  <c r="AU126" i="6"/>
  <c r="AX126" i="6" s="1"/>
  <c r="AV126" i="6"/>
  <c r="T126" i="6"/>
  <c r="AZ126" i="6"/>
  <c r="U126" i="6"/>
  <c r="AA132" i="6" l="1"/>
  <c r="AN132" i="6"/>
  <c r="E133" i="6"/>
  <c r="K132" i="6"/>
  <c r="AE132" i="6"/>
  <c r="AM132" i="6"/>
  <c r="H133" i="6"/>
  <c r="L130" i="6"/>
  <c r="M129" i="6"/>
  <c r="N129" i="6" s="1"/>
  <c r="O129" i="6"/>
  <c r="R128" i="6"/>
  <c r="S128" i="6" s="1"/>
  <c r="Q128" i="6"/>
  <c r="AW126" i="6"/>
  <c r="AY126" i="6"/>
  <c r="AC131" i="6"/>
  <c r="AD131" i="6" s="1"/>
  <c r="AG131" i="6"/>
  <c r="AH131" i="6" s="1"/>
  <c r="G132" i="6"/>
  <c r="AP125" i="6"/>
  <c r="AR125" i="6" s="1"/>
  <c r="W125" i="6"/>
  <c r="Y125" i="6" s="1"/>
  <c r="AT125" i="6"/>
  <c r="AV127" i="6"/>
  <c r="AZ127" i="6"/>
  <c r="AU127" i="6"/>
  <c r="AX127" i="6" s="1"/>
  <c r="T127" i="6"/>
  <c r="U127" i="6"/>
  <c r="AO126" i="6"/>
  <c r="V126" i="6"/>
  <c r="AB132" i="6"/>
  <c r="F133" i="6"/>
  <c r="AF132" i="6"/>
  <c r="AQ124" i="6"/>
  <c r="AW127" i="6" l="1"/>
  <c r="AY127" i="6"/>
  <c r="Q129" i="6"/>
  <c r="R129" i="6"/>
  <c r="S129" i="6" s="1"/>
  <c r="O130" i="6"/>
  <c r="L131" i="6"/>
  <c r="M130" i="6"/>
  <c r="N130" i="6" s="1"/>
  <c r="AP126" i="6"/>
  <c r="AR126" i="6" s="1"/>
  <c r="W126" i="6"/>
  <c r="Y126" i="6" s="1"/>
  <c r="AT126" i="6"/>
  <c r="H134" i="6"/>
  <c r="AM133" i="6"/>
  <c r="AQ125" i="6"/>
  <c r="AU128" i="6"/>
  <c r="AX128" i="6" s="1"/>
  <c r="AZ128" i="6"/>
  <c r="AV128" i="6"/>
  <c r="T128" i="6"/>
  <c r="U128" i="6"/>
  <c r="AG132" i="6"/>
  <c r="AH132" i="6" s="1"/>
  <c r="G133" i="6"/>
  <c r="AC132" i="6"/>
  <c r="AD132" i="6" s="1"/>
  <c r="F134" i="6"/>
  <c r="AB133" i="6"/>
  <c r="AF133" i="6"/>
  <c r="AO127" i="6"/>
  <c r="V127" i="6"/>
  <c r="AA133" i="6"/>
  <c r="AE133" i="6"/>
  <c r="K133" i="6"/>
  <c r="E134" i="6"/>
  <c r="AN133" i="6"/>
  <c r="AQ126" i="6" l="1"/>
  <c r="AF134" i="6"/>
  <c r="F135" i="6"/>
  <c r="AB134" i="6"/>
  <c r="AO128" i="6"/>
  <c r="V128" i="6"/>
  <c r="M131" i="6"/>
  <c r="N131" i="6" s="1"/>
  <c r="O131" i="6"/>
  <c r="L132" i="6"/>
  <c r="AY128" i="6"/>
  <c r="AW128" i="6"/>
  <c r="Q130" i="6"/>
  <c r="R130" i="6"/>
  <c r="S130" i="6" s="1"/>
  <c r="AM134" i="6"/>
  <c r="H135" i="6"/>
  <c r="G134" i="6"/>
  <c r="AG133" i="6"/>
  <c r="AH133" i="6" s="1"/>
  <c r="AC133" i="6"/>
  <c r="AD133" i="6" s="1"/>
  <c r="AN134" i="6"/>
  <c r="E135" i="6"/>
  <c r="AE134" i="6"/>
  <c r="AA134" i="6"/>
  <c r="K134" i="6"/>
  <c r="AV129" i="6"/>
  <c r="AZ129" i="6"/>
  <c r="AU129" i="6"/>
  <c r="AX129" i="6" s="1"/>
  <c r="T129" i="6"/>
  <c r="U129" i="6"/>
  <c r="AP127" i="6"/>
  <c r="AR127" i="6" s="1"/>
  <c r="W127" i="6"/>
  <c r="Y127" i="6" s="1"/>
  <c r="AT127" i="6"/>
  <c r="AY129" i="6" l="1"/>
  <c r="AW129" i="6"/>
  <c r="AN135" i="6"/>
  <c r="K135" i="6"/>
  <c r="AA135" i="6"/>
  <c r="AE135" i="6"/>
  <c r="E136" i="6"/>
  <c r="R131" i="6"/>
  <c r="S131" i="6" s="1"/>
  <c r="Q131" i="6"/>
  <c r="AQ127" i="6"/>
  <c r="AP128" i="6"/>
  <c r="AR128" i="6" s="1"/>
  <c r="W128" i="6"/>
  <c r="Y128" i="6" s="1"/>
  <c r="AT128" i="6"/>
  <c r="G135" i="6"/>
  <c r="AC134" i="6"/>
  <c r="AD134" i="6" s="1"/>
  <c r="AG134" i="6"/>
  <c r="AH134" i="6" s="1"/>
  <c r="AV130" i="6"/>
  <c r="AU130" i="6"/>
  <c r="AX130" i="6" s="1"/>
  <c r="AZ130" i="6"/>
  <c r="T130" i="6"/>
  <c r="U130" i="6"/>
  <c r="AB135" i="6"/>
  <c r="AF135" i="6"/>
  <c r="F136" i="6"/>
  <c r="O132" i="6"/>
  <c r="M132" i="6"/>
  <c r="N132" i="6" s="1"/>
  <c r="L133" i="6"/>
  <c r="AO129" i="6"/>
  <c r="V129" i="6"/>
  <c r="H136" i="6"/>
  <c r="AM135" i="6"/>
  <c r="AQ128" i="6" l="1"/>
  <c r="AO130" i="6"/>
  <c r="V130" i="6"/>
  <c r="AZ131" i="6"/>
  <c r="AV131" i="6"/>
  <c r="AU131" i="6"/>
  <c r="AX131" i="6" s="1"/>
  <c r="T131" i="6"/>
  <c r="U131" i="6"/>
  <c r="E137" i="6"/>
  <c r="AE136" i="6"/>
  <c r="AA136" i="6"/>
  <c r="K136" i="6"/>
  <c r="AN136" i="6"/>
  <c r="AP129" i="6"/>
  <c r="AR129" i="6" s="1"/>
  <c r="AT129" i="6"/>
  <c r="W129" i="6"/>
  <c r="Y129" i="6" s="1"/>
  <c r="AW130" i="6"/>
  <c r="AY130" i="6"/>
  <c r="F137" i="6"/>
  <c r="AB136" i="6"/>
  <c r="AF136" i="6"/>
  <c r="H137" i="6"/>
  <c r="AM136" i="6"/>
  <c r="L134" i="6"/>
  <c r="O133" i="6"/>
  <c r="M133" i="6"/>
  <c r="N133" i="6" s="1"/>
  <c r="G136" i="6"/>
  <c r="AG135" i="6"/>
  <c r="AH135" i="6" s="1"/>
  <c r="AC135" i="6"/>
  <c r="AD135" i="6" s="1"/>
  <c r="Q132" i="6"/>
  <c r="R132" i="6"/>
  <c r="S132" i="6" s="1"/>
  <c r="AP130" i="6" l="1"/>
  <c r="AR130" i="6" s="1"/>
  <c r="W130" i="6"/>
  <c r="Y130" i="6" s="1"/>
  <c r="AT130" i="6"/>
  <c r="AE137" i="6"/>
  <c r="K137" i="6"/>
  <c r="E138" i="6"/>
  <c r="AN137" i="6"/>
  <c r="AA137" i="6"/>
  <c r="AF137" i="6"/>
  <c r="F138" i="6"/>
  <c r="AB137" i="6"/>
  <c r="AO131" i="6"/>
  <c r="V131" i="6"/>
  <c r="M134" i="6"/>
  <c r="N134" i="6" s="1"/>
  <c r="L135" i="6"/>
  <c r="O134" i="6"/>
  <c r="AQ129" i="6"/>
  <c r="H138" i="6"/>
  <c r="AM137" i="6"/>
  <c r="T132" i="6"/>
  <c r="AU132" i="6"/>
  <c r="AX132" i="6" s="1"/>
  <c r="AZ132" i="6"/>
  <c r="AV132" i="6"/>
  <c r="U132" i="6"/>
  <c r="AG136" i="6"/>
  <c r="AH136" i="6" s="1"/>
  <c r="G137" i="6"/>
  <c r="AC136" i="6"/>
  <c r="AD136" i="6" s="1"/>
  <c r="R133" i="6"/>
  <c r="S133" i="6" s="1"/>
  <c r="Q133" i="6"/>
  <c r="AY131" i="6"/>
  <c r="AW131" i="6"/>
  <c r="AW132" i="6" l="1"/>
  <c r="AY132" i="6"/>
  <c r="AU133" i="6"/>
  <c r="AX133" i="6" s="1"/>
  <c r="T133" i="6"/>
  <c r="AZ133" i="6"/>
  <c r="AV133" i="6"/>
  <c r="U133" i="6"/>
  <c r="AE138" i="6"/>
  <c r="E139" i="6"/>
  <c r="AN138" i="6"/>
  <c r="AA138" i="6"/>
  <c r="K138" i="6"/>
  <c r="H139" i="6"/>
  <c r="AM138" i="6"/>
  <c r="R134" i="6"/>
  <c r="S134" i="6" s="1"/>
  <c r="Q134" i="6"/>
  <c r="AO132" i="6"/>
  <c r="V132" i="6"/>
  <c r="AF138" i="6"/>
  <c r="F139" i="6"/>
  <c r="AB138" i="6"/>
  <c r="AC137" i="6"/>
  <c r="AD137" i="6" s="1"/>
  <c r="G138" i="6"/>
  <c r="AG137" i="6"/>
  <c r="AH137" i="6" s="1"/>
  <c r="O135" i="6"/>
  <c r="L136" i="6"/>
  <c r="M135" i="6"/>
  <c r="N135" i="6" s="1"/>
  <c r="AP131" i="6"/>
  <c r="AR131" i="6" s="1"/>
  <c r="W131" i="6"/>
  <c r="Y131" i="6" s="1"/>
  <c r="AT131" i="6"/>
  <c r="AQ130" i="6"/>
  <c r="F140" i="6" l="1"/>
  <c r="AB139" i="6"/>
  <c r="AF139" i="6"/>
  <c r="AO133" i="6"/>
  <c r="V133" i="6"/>
  <c r="O136" i="6"/>
  <c r="M136" i="6"/>
  <c r="N136" i="6" s="1"/>
  <c r="L137" i="6"/>
  <c r="AY133" i="6"/>
  <c r="AW133" i="6"/>
  <c r="AQ131" i="6"/>
  <c r="AN139" i="6"/>
  <c r="AE139" i="6"/>
  <c r="E140" i="6"/>
  <c r="K139" i="6"/>
  <c r="AA139" i="6"/>
  <c r="AP132" i="6"/>
  <c r="AR132" i="6" s="1"/>
  <c r="AT132" i="6"/>
  <c r="W132" i="6"/>
  <c r="Y132" i="6" s="1"/>
  <c r="R135" i="6"/>
  <c r="S135" i="6" s="1"/>
  <c r="Q135" i="6"/>
  <c r="AZ134" i="6"/>
  <c r="AU134" i="6"/>
  <c r="AX134" i="6" s="1"/>
  <c r="T134" i="6"/>
  <c r="AV134" i="6"/>
  <c r="U134" i="6"/>
  <c r="AC138" i="6"/>
  <c r="AD138" i="6" s="1"/>
  <c r="AG138" i="6"/>
  <c r="AH138" i="6" s="1"/>
  <c r="G139" i="6"/>
  <c r="AM139" i="6"/>
  <c r="H140" i="6"/>
  <c r="AU135" i="6" l="1"/>
  <c r="AX135" i="6" s="1"/>
  <c r="AZ135" i="6"/>
  <c r="AV135" i="6"/>
  <c r="T135" i="6"/>
  <c r="U135" i="6"/>
  <c r="AG139" i="6"/>
  <c r="AH139" i="6" s="1"/>
  <c r="AC139" i="6"/>
  <c r="AD139" i="6" s="1"/>
  <c r="G140" i="6"/>
  <c r="O137" i="6"/>
  <c r="L138" i="6"/>
  <c r="M137" i="6"/>
  <c r="N137" i="6" s="1"/>
  <c r="AQ132" i="6"/>
  <c r="Q136" i="6"/>
  <c r="R136" i="6"/>
  <c r="S136" i="6" s="1"/>
  <c r="AE140" i="6"/>
  <c r="K140" i="6"/>
  <c r="E141" i="6"/>
  <c r="AN140" i="6"/>
  <c r="AA140" i="6"/>
  <c r="AM140" i="6"/>
  <c r="H141" i="6"/>
  <c r="AO134" i="6"/>
  <c r="V134" i="6"/>
  <c r="AP133" i="6"/>
  <c r="AR133" i="6" s="1"/>
  <c r="AT133" i="6"/>
  <c r="W133" i="6"/>
  <c r="Y133" i="6" s="1"/>
  <c r="AY134" i="6"/>
  <c r="AW134" i="6"/>
  <c r="AF140" i="6"/>
  <c r="F141" i="6"/>
  <c r="AB140" i="6"/>
  <c r="R137" i="6" l="1"/>
  <c r="S137" i="6" s="1"/>
  <c r="Q137" i="6"/>
  <c r="F142" i="6"/>
  <c r="AB141" i="6"/>
  <c r="AF141" i="6"/>
  <c r="AP134" i="6"/>
  <c r="AR134" i="6" s="1"/>
  <c r="W134" i="6"/>
  <c r="Y134" i="6" s="1"/>
  <c r="AT134" i="6"/>
  <c r="O138" i="6"/>
  <c r="M138" i="6"/>
  <c r="N138" i="6" s="1"/>
  <c r="L139" i="6"/>
  <c r="H142" i="6"/>
  <c r="AM141" i="6"/>
  <c r="AG140" i="6"/>
  <c r="AH140" i="6" s="1"/>
  <c r="AC140" i="6"/>
  <c r="AD140" i="6" s="1"/>
  <c r="G141" i="6"/>
  <c r="AA141" i="6"/>
  <c r="AE141" i="6"/>
  <c r="AN141" i="6"/>
  <c r="E142" i="6"/>
  <c r="K141" i="6"/>
  <c r="AO135" i="6"/>
  <c r="V135" i="6"/>
  <c r="AY135" i="6"/>
  <c r="AW135" i="6"/>
  <c r="AU136" i="6"/>
  <c r="AX136" i="6" s="1"/>
  <c r="T136" i="6"/>
  <c r="AZ136" i="6"/>
  <c r="AV136" i="6"/>
  <c r="U136" i="6"/>
  <c r="AQ133" i="6"/>
  <c r="AB142" i="6" l="1"/>
  <c r="AF142" i="6"/>
  <c r="F143" i="6"/>
  <c r="Q138" i="6"/>
  <c r="R138" i="6"/>
  <c r="S138" i="6" s="1"/>
  <c r="T137" i="6"/>
  <c r="AU137" i="6"/>
  <c r="AX137" i="6" s="1"/>
  <c r="AZ137" i="6"/>
  <c r="AV137" i="6"/>
  <c r="U137" i="6"/>
  <c r="AQ134" i="6"/>
  <c r="G142" i="6"/>
  <c r="AC141" i="6"/>
  <c r="AD141" i="6" s="1"/>
  <c r="AG141" i="6"/>
  <c r="AH141" i="6" s="1"/>
  <c r="AA142" i="6"/>
  <c r="K142" i="6"/>
  <c r="AE142" i="6"/>
  <c r="AN142" i="6"/>
  <c r="E143" i="6"/>
  <c r="AO136" i="6"/>
  <c r="V136" i="6"/>
  <c r="AW136" i="6"/>
  <c r="AY136" i="6"/>
  <c r="H143" i="6"/>
  <c r="AM142" i="6"/>
  <c r="AP135" i="6"/>
  <c r="AR135" i="6" s="1"/>
  <c r="W135" i="6"/>
  <c r="Y135" i="6" s="1"/>
  <c r="AT135" i="6"/>
  <c r="M139" i="6"/>
  <c r="N139" i="6" s="1"/>
  <c r="O139" i="6"/>
  <c r="L140" i="6"/>
  <c r="AP136" i="6" l="1"/>
  <c r="AR136" i="6" s="1"/>
  <c r="W136" i="6"/>
  <c r="Y136" i="6" s="1"/>
  <c r="AT136" i="6"/>
  <c r="M140" i="6"/>
  <c r="N140" i="6" s="1"/>
  <c r="L141" i="6"/>
  <c r="O140" i="6"/>
  <c r="G143" i="6"/>
  <c r="AG142" i="6"/>
  <c r="AH142" i="6" s="1"/>
  <c r="AC142" i="6"/>
  <c r="AD142" i="6" s="1"/>
  <c r="AB143" i="6"/>
  <c r="AF143" i="6"/>
  <c r="F144" i="6"/>
  <c r="K143" i="6"/>
  <c r="AE143" i="6"/>
  <c r="AN143" i="6"/>
  <c r="AA143" i="6"/>
  <c r="E144" i="6"/>
  <c r="R139" i="6"/>
  <c r="S139" i="6" s="1"/>
  <c r="Q139" i="6"/>
  <c r="AO137" i="6"/>
  <c r="V137" i="6"/>
  <c r="AW137" i="6"/>
  <c r="AY137" i="6"/>
  <c r="AQ135" i="6"/>
  <c r="H144" i="6"/>
  <c r="AM143" i="6"/>
  <c r="AU138" i="6"/>
  <c r="AX138" i="6" s="1"/>
  <c r="T138" i="6"/>
  <c r="AZ138" i="6"/>
  <c r="AV138" i="6"/>
  <c r="U138" i="6"/>
  <c r="AQ136" i="6" l="1"/>
  <c r="AO138" i="6"/>
  <c r="V138" i="6"/>
  <c r="E145" i="6"/>
  <c r="AE144" i="6"/>
  <c r="K144" i="6"/>
  <c r="AN144" i="6"/>
  <c r="AA144" i="6"/>
  <c r="AY138" i="6"/>
  <c r="AW138" i="6"/>
  <c r="R140" i="6"/>
  <c r="S140" i="6" s="1"/>
  <c r="Q140" i="6"/>
  <c r="AP137" i="6"/>
  <c r="AR137" i="6" s="1"/>
  <c r="W137" i="6"/>
  <c r="Y137" i="6" s="1"/>
  <c r="AT137" i="6"/>
  <c r="AG143" i="6"/>
  <c r="AH143" i="6" s="1"/>
  <c r="G144" i="6"/>
  <c r="AC143" i="6"/>
  <c r="AD143" i="6" s="1"/>
  <c r="T139" i="6"/>
  <c r="AZ139" i="6"/>
  <c r="AV139" i="6"/>
  <c r="AU139" i="6"/>
  <c r="AX139" i="6" s="1"/>
  <c r="U139" i="6"/>
  <c r="L142" i="6"/>
  <c r="M141" i="6"/>
  <c r="N141" i="6" s="1"/>
  <c r="O141" i="6"/>
  <c r="AM144" i="6"/>
  <c r="H145" i="6"/>
  <c r="AB144" i="6"/>
  <c r="AF144" i="6"/>
  <c r="F145" i="6"/>
  <c r="AO139" i="6" l="1"/>
  <c r="V139" i="6"/>
  <c r="AC144" i="6"/>
  <c r="AD144" i="6" s="1"/>
  <c r="AG144" i="6"/>
  <c r="AH144" i="6" s="1"/>
  <c r="G145" i="6"/>
  <c r="AM145" i="6"/>
  <c r="H146" i="6"/>
  <c r="AQ137" i="6"/>
  <c r="K145" i="6"/>
  <c r="AA145" i="6"/>
  <c r="AE145" i="6"/>
  <c r="AN145" i="6"/>
  <c r="E146" i="6"/>
  <c r="AW139" i="6"/>
  <c r="AY139" i="6"/>
  <c r="AB145" i="6"/>
  <c r="F146" i="6"/>
  <c r="AF145" i="6"/>
  <c r="Q141" i="6"/>
  <c r="R141" i="6"/>
  <c r="S141" i="6" s="1"/>
  <c r="M142" i="6"/>
  <c r="N142" i="6" s="1"/>
  <c r="O142" i="6"/>
  <c r="L143" i="6"/>
  <c r="AP138" i="6"/>
  <c r="AR138" i="6" s="1"/>
  <c r="W138" i="6"/>
  <c r="Y138" i="6" s="1"/>
  <c r="AT138" i="6"/>
  <c r="AV140" i="6"/>
  <c r="AZ140" i="6"/>
  <c r="AU140" i="6"/>
  <c r="AX140" i="6" s="1"/>
  <c r="T140" i="6"/>
  <c r="U140" i="6"/>
  <c r="L144" i="6" l="1"/>
  <c r="O143" i="6"/>
  <c r="M143" i="6"/>
  <c r="N143" i="6" s="1"/>
  <c r="AO140" i="6"/>
  <c r="V140" i="6"/>
  <c r="T141" i="6"/>
  <c r="AV141" i="6"/>
  <c r="AU141" i="6"/>
  <c r="AX141" i="6" s="1"/>
  <c r="AZ141" i="6"/>
  <c r="U141" i="6"/>
  <c r="H147" i="6"/>
  <c r="AM146" i="6"/>
  <c r="R142" i="6"/>
  <c r="S142" i="6" s="1"/>
  <c r="Q142" i="6"/>
  <c r="AW140" i="6"/>
  <c r="AY140" i="6"/>
  <c r="AC145" i="6"/>
  <c r="AD145" i="6" s="1"/>
  <c r="AG145" i="6"/>
  <c r="AH145" i="6" s="1"/>
  <c r="G146" i="6"/>
  <c r="F147" i="6"/>
  <c r="AB146" i="6"/>
  <c r="AF146" i="6"/>
  <c r="AQ138" i="6"/>
  <c r="AP139" i="6"/>
  <c r="AR139" i="6" s="1"/>
  <c r="W139" i="6"/>
  <c r="Y139" i="6" s="1"/>
  <c r="AT139" i="6"/>
  <c r="AA146" i="6"/>
  <c r="AE146" i="6"/>
  <c r="AN146" i="6"/>
  <c r="E147" i="6"/>
  <c r="K146" i="6"/>
  <c r="AV142" i="6" l="1"/>
  <c r="T142" i="6"/>
  <c r="AU142" i="6"/>
  <c r="AX142" i="6" s="1"/>
  <c r="AZ142" i="6"/>
  <c r="U142" i="6"/>
  <c r="AM147" i="6"/>
  <c r="H148" i="6"/>
  <c r="F148" i="6"/>
  <c r="AB147" i="6"/>
  <c r="AF147" i="6"/>
  <c r="AP140" i="6"/>
  <c r="AR140" i="6" s="1"/>
  <c r="AT140" i="6"/>
  <c r="W140" i="6"/>
  <c r="Y140" i="6" s="1"/>
  <c r="R143" i="6"/>
  <c r="S143" i="6" s="1"/>
  <c r="Q143" i="6"/>
  <c r="AQ139" i="6"/>
  <c r="M144" i="6"/>
  <c r="N144" i="6" s="1"/>
  <c r="O144" i="6"/>
  <c r="L145" i="6"/>
  <c r="AA147" i="6"/>
  <c r="AN147" i="6"/>
  <c r="AE147" i="6"/>
  <c r="K147" i="6"/>
  <c r="E148" i="6"/>
  <c r="AO141" i="6"/>
  <c r="V141" i="6"/>
  <c r="AW141" i="6"/>
  <c r="AY141" i="6"/>
  <c r="G147" i="6"/>
  <c r="AC146" i="6"/>
  <c r="AD146" i="6" s="1"/>
  <c r="AG146" i="6"/>
  <c r="AH146" i="6" s="1"/>
  <c r="AQ140" i="6" l="1"/>
  <c r="AC147" i="6"/>
  <c r="AD147" i="6" s="1"/>
  <c r="AG147" i="6"/>
  <c r="AH147" i="6" s="1"/>
  <c r="G148" i="6"/>
  <c r="AF148" i="6"/>
  <c r="F149" i="6"/>
  <c r="AB148" i="6"/>
  <c r="L146" i="6"/>
  <c r="O145" i="6"/>
  <c r="M145" i="6"/>
  <c r="N145" i="6" s="1"/>
  <c r="H149" i="6"/>
  <c r="AM148" i="6"/>
  <c r="Q144" i="6"/>
  <c r="R144" i="6"/>
  <c r="S144" i="6" s="1"/>
  <c r="AO142" i="6"/>
  <c r="V142" i="6"/>
  <c r="AP141" i="6"/>
  <c r="AR141" i="6" s="1"/>
  <c r="AT141" i="6"/>
  <c r="W141" i="6"/>
  <c r="Y141" i="6" s="1"/>
  <c r="AU143" i="6"/>
  <c r="AX143" i="6" s="1"/>
  <c r="T143" i="6"/>
  <c r="AZ143" i="6"/>
  <c r="AV143" i="6"/>
  <c r="U143" i="6"/>
  <c r="AE148" i="6"/>
  <c r="E149" i="6"/>
  <c r="AA148" i="6"/>
  <c r="K148" i="6"/>
  <c r="AN148" i="6"/>
  <c r="AY142" i="6"/>
  <c r="AW142" i="6"/>
  <c r="AQ141" i="6" l="1"/>
  <c r="Q145" i="6"/>
  <c r="R145" i="6"/>
  <c r="S145" i="6" s="1"/>
  <c r="F150" i="6"/>
  <c r="AB149" i="6"/>
  <c r="AF149" i="6"/>
  <c r="AZ144" i="6"/>
  <c r="AV144" i="6"/>
  <c r="T144" i="6"/>
  <c r="AU144" i="6"/>
  <c r="AX144" i="6" s="1"/>
  <c r="U144" i="6"/>
  <c r="AC148" i="6"/>
  <c r="AD148" i="6" s="1"/>
  <c r="G149" i="6"/>
  <c r="AG148" i="6"/>
  <c r="AH148" i="6" s="1"/>
  <c r="AW143" i="6"/>
  <c r="AY143" i="6"/>
  <c r="H150" i="6"/>
  <c r="AM149" i="6"/>
  <c r="O146" i="6"/>
  <c r="M146" i="6"/>
  <c r="N146" i="6" s="1"/>
  <c r="L147" i="6"/>
  <c r="AP142" i="6"/>
  <c r="AR142" i="6" s="1"/>
  <c r="AT142" i="6"/>
  <c r="W142" i="6"/>
  <c r="Y142" i="6" s="1"/>
  <c r="E150" i="6"/>
  <c r="K149" i="6"/>
  <c r="AN149" i="6"/>
  <c r="AA149" i="6"/>
  <c r="AE149" i="6"/>
  <c r="AO143" i="6"/>
  <c r="V143" i="6"/>
  <c r="AO144" i="6" l="1"/>
  <c r="V144" i="6"/>
  <c r="AP143" i="6"/>
  <c r="AR143" i="6" s="1"/>
  <c r="AT143" i="6"/>
  <c r="W143" i="6"/>
  <c r="Y143" i="6" s="1"/>
  <c r="AW144" i="6"/>
  <c r="AY144" i="6"/>
  <c r="Q146" i="6"/>
  <c r="R146" i="6"/>
  <c r="S146" i="6" s="1"/>
  <c r="AG149" i="6"/>
  <c r="AH149" i="6" s="1"/>
  <c r="AC149" i="6"/>
  <c r="AD149" i="6" s="1"/>
  <c r="G150" i="6"/>
  <c r="AQ142" i="6"/>
  <c r="L148" i="6"/>
  <c r="M147" i="6"/>
  <c r="N147" i="6" s="1"/>
  <c r="O147" i="6"/>
  <c r="AM150" i="6"/>
  <c r="H151" i="6"/>
  <c r="AF150" i="6"/>
  <c r="AB150" i="6"/>
  <c r="F151" i="6"/>
  <c r="AE150" i="6"/>
  <c r="AN150" i="6"/>
  <c r="K150" i="6"/>
  <c r="E151" i="6"/>
  <c r="AA150" i="6"/>
  <c r="AU145" i="6"/>
  <c r="AX145" i="6" s="1"/>
  <c r="AV145" i="6"/>
  <c r="AZ145" i="6"/>
  <c r="T145" i="6"/>
  <c r="U145" i="6"/>
  <c r="AM151" i="6" l="1"/>
  <c r="H152" i="6"/>
  <c r="T146" i="6"/>
  <c r="AU146" i="6"/>
  <c r="AX146" i="6" s="1"/>
  <c r="AV146" i="6"/>
  <c r="AZ146" i="6"/>
  <c r="U146" i="6"/>
  <c r="Q147" i="6"/>
  <c r="R147" i="6"/>
  <c r="S147" i="6" s="1"/>
  <c r="AO145" i="6"/>
  <c r="V145" i="6"/>
  <c r="AY145" i="6"/>
  <c r="AW145" i="6"/>
  <c r="O148" i="6"/>
  <c r="M148" i="6"/>
  <c r="N148" i="6" s="1"/>
  <c r="L149" i="6"/>
  <c r="E152" i="6"/>
  <c r="K151" i="6"/>
  <c r="AN151" i="6"/>
  <c r="AE151" i="6"/>
  <c r="AA151" i="6"/>
  <c r="AQ143" i="6"/>
  <c r="F152" i="6"/>
  <c r="AF151" i="6"/>
  <c r="AB151" i="6"/>
  <c r="AT144" i="6"/>
  <c r="W144" i="6"/>
  <c r="Y144" i="6" s="1"/>
  <c r="AP144" i="6"/>
  <c r="AR144" i="6" s="1"/>
  <c r="AC150" i="6"/>
  <c r="AD150" i="6" s="1"/>
  <c r="AG150" i="6"/>
  <c r="AH150" i="6" s="1"/>
  <c r="G151" i="6"/>
  <c r="Q148" i="6" l="1"/>
  <c r="R148" i="6"/>
  <c r="S148" i="6" s="1"/>
  <c r="AT145" i="6"/>
  <c r="AP145" i="6"/>
  <c r="AR145" i="6" s="1"/>
  <c r="W145" i="6"/>
  <c r="Y145" i="6" s="1"/>
  <c r="AG151" i="6"/>
  <c r="AH151" i="6" s="1"/>
  <c r="AC151" i="6"/>
  <c r="AD151" i="6" s="1"/>
  <c r="G152" i="6"/>
  <c r="AU147" i="6"/>
  <c r="AX147" i="6" s="1"/>
  <c r="AZ147" i="6"/>
  <c r="AV147" i="6"/>
  <c r="T147" i="6"/>
  <c r="U147" i="6"/>
  <c r="AQ144" i="6"/>
  <c r="AO146" i="6"/>
  <c r="V146" i="6"/>
  <c r="AA152" i="6"/>
  <c r="AN152" i="6"/>
  <c r="K152" i="6"/>
  <c r="E153" i="6"/>
  <c r="AE152" i="6"/>
  <c r="AY146" i="6"/>
  <c r="AW146" i="6"/>
  <c r="O149" i="6"/>
  <c r="L150" i="6"/>
  <c r="M149" i="6"/>
  <c r="N149" i="6" s="1"/>
  <c r="H153" i="6"/>
  <c r="AM152" i="6"/>
  <c r="AF152" i="6"/>
  <c r="AB152" i="6"/>
  <c r="F153" i="6"/>
  <c r="G153" i="6" l="1"/>
  <c r="AC152" i="6"/>
  <c r="AD152" i="6" s="1"/>
  <c r="AG152" i="6"/>
  <c r="AH152" i="6" s="1"/>
  <c r="AV148" i="6"/>
  <c r="AZ148" i="6"/>
  <c r="AU148" i="6"/>
  <c r="AX148" i="6" s="1"/>
  <c r="T148" i="6"/>
  <c r="U148" i="6"/>
  <c r="E154" i="6"/>
  <c r="AA153" i="6"/>
  <c r="K153" i="6"/>
  <c r="AN153" i="6"/>
  <c r="AE153" i="6"/>
  <c r="AB153" i="6"/>
  <c r="F154" i="6"/>
  <c r="AF153" i="6"/>
  <c r="AM153" i="6"/>
  <c r="H154" i="6"/>
  <c r="AT146" i="6"/>
  <c r="W146" i="6"/>
  <c r="Y146" i="6" s="1"/>
  <c r="AP146" i="6"/>
  <c r="AR146" i="6" s="1"/>
  <c r="M150" i="6"/>
  <c r="N150" i="6" s="1"/>
  <c r="L151" i="6"/>
  <c r="O150" i="6"/>
  <c r="AQ145" i="6"/>
  <c r="R149" i="6"/>
  <c r="S149" i="6" s="1"/>
  <c r="Q149" i="6"/>
  <c r="AO147" i="6"/>
  <c r="V147" i="6"/>
  <c r="AY147" i="6"/>
  <c r="AW147" i="6"/>
  <c r="AQ146" i="6" l="1"/>
  <c r="R150" i="6"/>
  <c r="S150" i="6" s="1"/>
  <c r="Q150" i="6"/>
  <c r="O151" i="6"/>
  <c r="L152" i="6"/>
  <c r="M151" i="6"/>
  <c r="N151" i="6" s="1"/>
  <c r="AO148" i="6"/>
  <c r="V148" i="6"/>
  <c r="AA154" i="6"/>
  <c r="AE154" i="6"/>
  <c r="AN154" i="6"/>
  <c r="K154" i="6"/>
  <c r="E155" i="6"/>
  <c r="AP147" i="6"/>
  <c r="AR147" i="6" s="1"/>
  <c r="AT147" i="6"/>
  <c r="W147" i="6"/>
  <c r="Y147" i="6" s="1"/>
  <c r="H155" i="6"/>
  <c r="AM154" i="6"/>
  <c r="AY148" i="6"/>
  <c r="AW148" i="6"/>
  <c r="AB154" i="6"/>
  <c r="F155" i="6"/>
  <c r="AF154" i="6"/>
  <c r="AU149" i="6"/>
  <c r="AX149" i="6" s="1"/>
  <c r="AV149" i="6"/>
  <c r="AZ149" i="6"/>
  <c r="T149" i="6"/>
  <c r="U149" i="6"/>
  <c r="AC153" i="6"/>
  <c r="AD153" i="6" s="1"/>
  <c r="AG153" i="6"/>
  <c r="AH153" i="6" s="1"/>
  <c r="G154" i="6"/>
  <c r="AQ147" i="6" l="1"/>
  <c r="AP148" i="6"/>
  <c r="AR148" i="6" s="1"/>
  <c r="W148" i="6"/>
  <c r="Y148" i="6" s="1"/>
  <c r="AT148" i="6"/>
  <c r="AO149" i="6"/>
  <c r="V149" i="6"/>
  <c r="H156" i="6"/>
  <c r="AM155" i="6"/>
  <c r="M152" i="6"/>
  <c r="N152" i="6" s="1"/>
  <c r="O152" i="6"/>
  <c r="L153" i="6"/>
  <c r="AE155" i="6"/>
  <c r="AA155" i="6"/>
  <c r="K155" i="6"/>
  <c r="E156" i="6"/>
  <c r="AN155" i="6"/>
  <c r="R151" i="6"/>
  <c r="S151" i="6" s="1"/>
  <c r="Q151" i="6"/>
  <c r="F156" i="6"/>
  <c r="AF155" i="6"/>
  <c r="AB155" i="6"/>
  <c r="AV150" i="6"/>
  <c r="T150" i="6"/>
  <c r="AZ150" i="6"/>
  <c r="AU150" i="6"/>
  <c r="AX150" i="6" s="1"/>
  <c r="U150" i="6"/>
  <c r="AC154" i="6"/>
  <c r="AD154" i="6" s="1"/>
  <c r="AG154" i="6"/>
  <c r="AH154" i="6" s="1"/>
  <c r="G155" i="6"/>
  <c r="AW149" i="6"/>
  <c r="AY149" i="6"/>
  <c r="AY150" i="6" l="1"/>
  <c r="AW150" i="6"/>
  <c r="AF156" i="6"/>
  <c r="F157" i="6"/>
  <c r="AB156" i="6"/>
  <c r="H157" i="6"/>
  <c r="AM156" i="6"/>
  <c r="AG155" i="6"/>
  <c r="AH155" i="6" s="1"/>
  <c r="G156" i="6"/>
  <c r="AC155" i="6"/>
  <c r="AD155" i="6" s="1"/>
  <c r="T151" i="6"/>
  <c r="AZ151" i="6"/>
  <c r="AU151" i="6"/>
  <c r="AX151" i="6" s="1"/>
  <c r="AV151" i="6"/>
  <c r="U151" i="6"/>
  <c r="AP149" i="6"/>
  <c r="AR149" i="6" s="1"/>
  <c r="W149" i="6"/>
  <c r="Y149" i="6" s="1"/>
  <c r="AT149" i="6"/>
  <c r="AE156" i="6"/>
  <c r="E157" i="6"/>
  <c r="K156" i="6"/>
  <c r="AN156" i="6"/>
  <c r="AA156" i="6"/>
  <c r="AQ148" i="6"/>
  <c r="AO150" i="6"/>
  <c r="V150" i="6"/>
  <c r="Q152" i="6"/>
  <c r="R152" i="6"/>
  <c r="S152" i="6" s="1"/>
  <c r="L154" i="6"/>
  <c r="O153" i="6"/>
  <c r="M153" i="6"/>
  <c r="N153" i="6" s="1"/>
  <c r="AE157" i="6" l="1"/>
  <c r="K157" i="6"/>
  <c r="E158" i="6"/>
  <c r="AA157" i="6"/>
  <c r="AN157" i="6"/>
  <c r="AM157" i="6"/>
  <c r="H158" i="6"/>
  <c r="AF157" i="6"/>
  <c r="AB157" i="6"/>
  <c r="F158" i="6"/>
  <c r="AQ149" i="6"/>
  <c r="AO151" i="6"/>
  <c r="V151" i="6"/>
  <c r="Q153" i="6"/>
  <c r="R153" i="6"/>
  <c r="S153" i="6" s="1"/>
  <c r="L155" i="6"/>
  <c r="M154" i="6"/>
  <c r="N154" i="6" s="1"/>
  <c r="O154" i="6"/>
  <c r="AU152" i="6"/>
  <c r="AX152" i="6" s="1"/>
  <c r="T152" i="6"/>
  <c r="AZ152" i="6"/>
  <c r="AV152" i="6"/>
  <c r="U152" i="6"/>
  <c r="AP150" i="6"/>
  <c r="AR150" i="6" s="1"/>
  <c r="AT150" i="6"/>
  <c r="W150" i="6"/>
  <c r="Y150" i="6" s="1"/>
  <c r="AW151" i="6"/>
  <c r="AY151" i="6"/>
  <c r="AG156" i="6"/>
  <c r="AH156" i="6" s="1"/>
  <c r="G157" i="6"/>
  <c r="AC156" i="6"/>
  <c r="AD156" i="6" s="1"/>
  <c r="AO152" i="6" l="1"/>
  <c r="V152" i="6"/>
  <c r="AY152" i="6"/>
  <c r="AW152" i="6"/>
  <c r="AF158" i="6"/>
  <c r="F159" i="6"/>
  <c r="AB158" i="6"/>
  <c r="G158" i="6"/>
  <c r="AC157" i="6"/>
  <c r="AD157" i="6" s="1"/>
  <c r="AG157" i="6"/>
  <c r="AH157" i="6" s="1"/>
  <c r="R154" i="6"/>
  <c r="S154" i="6" s="1"/>
  <c r="Q154" i="6"/>
  <c r="H159" i="6"/>
  <c r="AM158" i="6"/>
  <c r="L156" i="6"/>
  <c r="O155" i="6"/>
  <c r="M155" i="6"/>
  <c r="N155" i="6" s="1"/>
  <c r="AP151" i="6"/>
  <c r="AR151" i="6" s="1"/>
  <c r="W151" i="6"/>
  <c r="Y151" i="6" s="1"/>
  <c r="AT151" i="6"/>
  <c r="AU153" i="6"/>
  <c r="AX153" i="6" s="1"/>
  <c r="T153" i="6"/>
  <c r="AZ153" i="6"/>
  <c r="AV153" i="6"/>
  <c r="U153" i="6"/>
  <c r="AE158" i="6"/>
  <c r="K158" i="6"/>
  <c r="AN158" i="6"/>
  <c r="AA158" i="6"/>
  <c r="E159" i="6"/>
  <c r="AQ150" i="6"/>
  <c r="AE159" i="6" l="1"/>
  <c r="AA159" i="6"/>
  <c r="AN159" i="6"/>
  <c r="E160" i="6"/>
  <c r="K159" i="6"/>
  <c r="AQ151" i="6"/>
  <c r="Q155" i="6"/>
  <c r="R155" i="6"/>
  <c r="S155" i="6" s="1"/>
  <c r="L157" i="6"/>
  <c r="M156" i="6"/>
  <c r="N156" i="6" s="1"/>
  <c r="O156" i="6"/>
  <c r="AV154" i="6"/>
  <c r="AU154" i="6"/>
  <c r="AX154" i="6" s="1"/>
  <c r="T154" i="6"/>
  <c r="AZ154" i="6"/>
  <c r="U154" i="6"/>
  <c r="AG158" i="6"/>
  <c r="AH158" i="6" s="1"/>
  <c r="AC158" i="6"/>
  <c r="AD158" i="6" s="1"/>
  <c r="G159" i="6"/>
  <c r="F160" i="6"/>
  <c r="AF159" i="6"/>
  <c r="AB159" i="6"/>
  <c r="AP152" i="6"/>
  <c r="AR152" i="6" s="1"/>
  <c r="W152" i="6"/>
  <c r="Y152" i="6" s="1"/>
  <c r="AT152" i="6"/>
  <c r="AM159" i="6"/>
  <c r="H160" i="6"/>
  <c r="AW153" i="6"/>
  <c r="AY153" i="6"/>
  <c r="AO153" i="6"/>
  <c r="V153" i="6"/>
  <c r="AW154" i="6" l="1"/>
  <c r="AY154" i="6"/>
  <c r="AF160" i="6"/>
  <c r="AB160" i="6"/>
  <c r="F161" i="6"/>
  <c r="AP153" i="6"/>
  <c r="AR153" i="6" s="1"/>
  <c r="W153" i="6"/>
  <c r="Y153" i="6" s="1"/>
  <c r="AT153" i="6"/>
  <c r="M157" i="6"/>
  <c r="N157" i="6" s="1"/>
  <c r="O157" i="6"/>
  <c r="L158" i="6"/>
  <c r="T155" i="6"/>
  <c r="AV155" i="6"/>
  <c r="AZ155" i="6"/>
  <c r="AU155" i="6"/>
  <c r="AX155" i="6" s="1"/>
  <c r="U155" i="6"/>
  <c r="AC159" i="6"/>
  <c r="AD159" i="6" s="1"/>
  <c r="G160" i="6"/>
  <c r="AG159" i="6"/>
  <c r="AH159" i="6" s="1"/>
  <c r="Q156" i="6"/>
  <c r="R156" i="6"/>
  <c r="S156" i="6" s="1"/>
  <c r="AA160" i="6"/>
  <c r="K160" i="6"/>
  <c r="E161" i="6"/>
  <c r="AN160" i="6"/>
  <c r="AE160" i="6"/>
  <c r="AM160" i="6"/>
  <c r="H161" i="6"/>
  <c r="AQ152" i="6"/>
  <c r="AO154" i="6"/>
  <c r="V154" i="6"/>
  <c r="Q157" i="6" l="1"/>
  <c r="R157" i="6"/>
  <c r="S157" i="6" s="1"/>
  <c r="H162" i="6"/>
  <c r="AM161" i="6"/>
  <c r="G161" i="6"/>
  <c r="AG160" i="6"/>
  <c r="AH160" i="6" s="1"/>
  <c r="AC160" i="6"/>
  <c r="AD160" i="6" s="1"/>
  <c r="AQ153" i="6"/>
  <c r="F162" i="6"/>
  <c r="AB161" i="6"/>
  <c r="AF161" i="6"/>
  <c r="AV156" i="6"/>
  <c r="AZ156" i="6"/>
  <c r="T156" i="6"/>
  <c r="AU156" i="6"/>
  <c r="AX156" i="6" s="1"/>
  <c r="U156" i="6"/>
  <c r="M158" i="6"/>
  <c r="N158" i="6" s="1"/>
  <c r="O158" i="6"/>
  <c r="L159" i="6"/>
  <c r="AT154" i="6"/>
  <c r="AP154" i="6"/>
  <c r="AR154" i="6" s="1"/>
  <c r="W154" i="6"/>
  <c r="Y154" i="6" s="1"/>
  <c r="AA161" i="6"/>
  <c r="K161" i="6"/>
  <c r="AN161" i="6"/>
  <c r="E162" i="6"/>
  <c r="AE161" i="6"/>
  <c r="AO155" i="6"/>
  <c r="V155" i="6"/>
  <c r="AY155" i="6"/>
  <c r="AW155" i="6"/>
  <c r="AV157" i="6" l="1"/>
  <c r="AU157" i="6"/>
  <c r="AX157" i="6" s="1"/>
  <c r="T157" i="6"/>
  <c r="AZ157" i="6"/>
  <c r="U157" i="6"/>
  <c r="AY156" i="6"/>
  <c r="AW156" i="6"/>
  <c r="AF162" i="6"/>
  <c r="AB162" i="6"/>
  <c r="F163" i="6"/>
  <c r="AQ154" i="6"/>
  <c r="L160" i="6"/>
  <c r="O159" i="6"/>
  <c r="M159" i="6"/>
  <c r="N159" i="6" s="1"/>
  <c r="AP155" i="6"/>
  <c r="AR155" i="6" s="1"/>
  <c r="W155" i="6"/>
  <c r="Y155" i="6" s="1"/>
  <c r="AT155" i="6"/>
  <c r="R158" i="6"/>
  <c r="S158" i="6" s="1"/>
  <c r="Q158" i="6"/>
  <c r="G162" i="6"/>
  <c r="AC161" i="6"/>
  <c r="AD161" i="6" s="1"/>
  <c r="AG161" i="6"/>
  <c r="AH161" i="6" s="1"/>
  <c r="AO156" i="6"/>
  <c r="V156" i="6"/>
  <c r="AE162" i="6"/>
  <c r="AA162" i="6"/>
  <c r="AN162" i="6"/>
  <c r="E163" i="6"/>
  <c r="K162" i="6"/>
  <c r="H163" i="6"/>
  <c r="AM162" i="6"/>
  <c r="AC162" i="6" l="1"/>
  <c r="AD162" i="6" s="1"/>
  <c r="G163" i="6"/>
  <c r="AG162" i="6"/>
  <c r="AH162" i="6" s="1"/>
  <c r="AM163" i="6"/>
  <c r="H164" i="6"/>
  <c r="AA163" i="6"/>
  <c r="AE163" i="6"/>
  <c r="K163" i="6"/>
  <c r="AN163" i="6"/>
  <c r="E164" i="6"/>
  <c r="AQ155" i="6"/>
  <c r="AY157" i="6"/>
  <c r="AW157" i="6"/>
  <c r="AU158" i="6"/>
  <c r="AX158" i="6" s="1"/>
  <c r="AZ158" i="6"/>
  <c r="AV158" i="6"/>
  <c r="T158" i="6"/>
  <c r="U158" i="6"/>
  <c r="F164" i="6"/>
  <c r="AF163" i="6"/>
  <c r="AB163" i="6"/>
  <c r="W156" i="6"/>
  <c r="Y156" i="6" s="1"/>
  <c r="AP156" i="6"/>
  <c r="AR156" i="6" s="1"/>
  <c r="AT156" i="6"/>
  <c r="AO157" i="6"/>
  <c r="V157" i="6"/>
  <c r="R159" i="6"/>
  <c r="S159" i="6" s="1"/>
  <c r="Q159" i="6"/>
  <c r="O160" i="6"/>
  <c r="L161" i="6"/>
  <c r="M160" i="6"/>
  <c r="N160" i="6" s="1"/>
  <c r="AQ156" i="6" l="1"/>
  <c r="G164" i="6"/>
  <c r="AG163" i="6"/>
  <c r="AH163" i="6" s="1"/>
  <c r="AC163" i="6"/>
  <c r="AD163" i="6" s="1"/>
  <c r="AN164" i="6"/>
  <c r="E165" i="6"/>
  <c r="AA164" i="6"/>
  <c r="AE164" i="6"/>
  <c r="K164" i="6"/>
  <c r="F165" i="6"/>
  <c r="AB164" i="6"/>
  <c r="AF164" i="6"/>
  <c r="AO158" i="6"/>
  <c r="V158" i="6"/>
  <c r="M161" i="6"/>
  <c r="N161" i="6" s="1"/>
  <c r="O161" i="6"/>
  <c r="L162" i="6"/>
  <c r="R160" i="6"/>
  <c r="S160" i="6" s="1"/>
  <c r="Q160" i="6"/>
  <c r="AY158" i="6"/>
  <c r="AW158" i="6"/>
  <c r="AV159" i="6"/>
  <c r="AU159" i="6"/>
  <c r="AX159" i="6" s="1"/>
  <c r="T159" i="6"/>
  <c r="AZ159" i="6"/>
  <c r="U159" i="6"/>
  <c r="H165" i="6"/>
  <c r="AM164" i="6"/>
  <c r="AT157" i="6"/>
  <c r="AP157" i="6"/>
  <c r="AR157" i="6" s="1"/>
  <c r="W157" i="6"/>
  <c r="Y157" i="6" s="1"/>
  <c r="AY159" i="6" l="1"/>
  <c r="AW159" i="6"/>
  <c r="AQ157" i="6"/>
  <c r="F166" i="6"/>
  <c r="AB165" i="6"/>
  <c r="AF165" i="6"/>
  <c r="AE165" i="6"/>
  <c r="K165" i="6"/>
  <c r="AN165" i="6"/>
  <c r="AA165" i="6"/>
  <c r="E166" i="6"/>
  <c r="AV160" i="6"/>
  <c r="AU160" i="6"/>
  <c r="AX160" i="6" s="1"/>
  <c r="AZ160" i="6"/>
  <c r="T160" i="6"/>
  <c r="U160" i="6"/>
  <c r="L163" i="6"/>
  <c r="O162" i="6"/>
  <c r="M162" i="6"/>
  <c r="N162" i="6" s="1"/>
  <c r="Q161" i="6"/>
  <c r="R161" i="6"/>
  <c r="S161" i="6" s="1"/>
  <c r="AM165" i="6"/>
  <c r="H166" i="6"/>
  <c r="AG164" i="6"/>
  <c r="AH164" i="6" s="1"/>
  <c r="G165" i="6"/>
  <c r="AC164" i="6"/>
  <c r="AD164" i="6" s="1"/>
  <c r="AO159" i="6"/>
  <c r="V159" i="6"/>
  <c r="AP158" i="6"/>
  <c r="AR158" i="6" s="1"/>
  <c r="AT158" i="6"/>
  <c r="W158" i="6"/>
  <c r="Y158" i="6" s="1"/>
  <c r="AW160" i="6" l="1"/>
  <c r="AY160" i="6"/>
  <c r="T161" i="6"/>
  <c r="AV161" i="6"/>
  <c r="AZ161" i="6"/>
  <c r="AU161" i="6"/>
  <c r="AX161" i="6" s="1"/>
  <c r="U161" i="6"/>
  <c r="AQ158" i="6"/>
  <c r="R162" i="6"/>
  <c r="S162" i="6" s="1"/>
  <c r="Q162" i="6"/>
  <c r="L164" i="6"/>
  <c r="M163" i="6"/>
  <c r="N163" i="6" s="1"/>
  <c r="O163" i="6"/>
  <c r="AP159" i="6"/>
  <c r="AR159" i="6" s="1"/>
  <c r="W159" i="6"/>
  <c r="Y159" i="6" s="1"/>
  <c r="AT159" i="6"/>
  <c r="AF166" i="6"/>
  <c r="AB166" i="6"/>
  <c r="F167" i="6"/>
  <c r="H167" i="6"/>
  <c r="AM166" i="6"/>
  <c r="AA166" i="6"/>
  <c r="AE166" i="6"/>
  <c r="K166" i="6"/>
  <c r="E167" i="6"/>
  <c r="AN166" i="6"/>
  <c r="AO160" i="6"/>
  <c r="V160" i="6"/>
  <c r="G166" i="6"/>
  <c r="AC165" i="6"/>
  <c r="AD165" i="6" s="1"/>
  <c r="AG165" i="6"/>
  <c r="AH165" i="6" s="1"/>
  <c r="F168" i="6" l="1"/>
  <c r="AB167" i="6"/>
  <c r="AF167" i="6"/>
  <c r="G167" i="6"/>
  <c r="AC166" i="6"/>
  <c r="AD166" i="6" s="1"/>
  <c r="AG166" i="6"/>
  <c r="AH166" i="6" s="1"/>
  <c r="O164" i="6"/>
  <c r="L165" i="6"/>
  <c r="M164" i="6"/>
  <c r="N164" i="6" s="1"/>
  <c r="AP160" i="6"/>
  <c r="AR160" i="6" s="1"/>
  <c r="AT160" i="6"/>
  <c r="W160" i="6"/>
  <c r="Y160" i="6" s="1"/>
  <c r="AV162" i="6"/>
  <c r="AU162" i="6"/>
  <c r="AX162" i="6" s="1"/>
  <c r="T162" i="6"/>
  <c r="AZ162" i="6"/>
  <c r="U162" i="6"/>
  <c r="AQ159" i="6"/>
  <c r="E168" i="6"/>
  <c r="AA167" i="6"/>
  <c r="AE167" i="6"/>
  <c r="K167" i="6"/>
  <c r="AN167" i="6"/>
  <c r="AO161" i="6"/>
  <c r="V161" i="6"/>
  <c r="H168" i="6"/>
  <c r="AM167" i="6"/>
  <c r="R163" i="6"/>
  <c r="S163" i="6" s="1"/>
  <c r="Q163" i="6"/>
  <c r="AW161" i="6"/>
  <c r="AY161" i="6"/>
  <c r="AP161" i="6" l="1"/>
  <c r="AR161" i="6" s="1"/>
  <c r="AT161" i="6"/>
  <c r="W161" i="6"/>
  <c r="Y161" i="6" s="1"/>
  <c r="AQ160" i="6"/>
  <c r="M165" i="6"/>
  <c r="N165" i="6" s="1"/>
  <c r="L166" i="6"/>
  <c r="O165" i="6"/>
  <c r="AN168" i="6"/>
  <c r="E169" i="6"/>
  <c r="AE168" i="6"/>
  <c r="K168" i="6"/>
  <c r="AA168" i="6"/>
  <c r="Q164" i="6"/>
  <c r="R164" i="6"/>
  <c r="S164" i="6" s="1"/>
  <c r="F169" i="6"/>
  <c r="AB168" i="6"/>
  <c r="AF168" i="6"/>
  <c r="AV163" i="6"/>
  <c r="T163" i="6"/>
  <c r="AZ163" i="6"/>
  <c r="AU163" i="6"/>
  <c r="AX163" i="6" s="1"/>
  <c r="U163" i="6"/>
  <c r="AO162" i="6"/>
  <c r="V162" i="6"/>
  <c r="AC167" i="6"/>
  <c r="AD167" i="6" s="1"/>
  <c r="G168" i="6"/>
  <c r="AG167" i="6"/>
  <c r="AH167" i="6" s="1"/>
  <c r="AY162" i="6"/>
  <c r="AW162" i="6"/>
  <c r="AM168" i="6"/>
  <c r="H169" i="6"/>
  <c r="AO163" i="6" l="1"/>
  <c r="V163" i="6"/>
  <c r="M166" i="6"/>
  <c r="N166" i="6" s="1"/>
  <c r="O166" i="6"/>
  <c r="L167" i="6"/>
  <c r="AY163" i="6"/>
  <c r="AW163" i="6"/>
  <c r="F170" i="6"/>
  <c r="AF169" i="6"/>
  <c r="AB169" i="6"/>
  <c r="T164" i="6"/>
  <c r="AU164" i="6"/>
  <c r="AX164" i="6" s="1"/>
  <c r="AZ164" i="6"/>
  <c r="AV164" i="6"/>
  <c r="U164" i="6"/>
  <c r="AG168" i="6"/>
  <c r="AH168" i="6" s="1"/>
  <c r="G169" i="6"/>
  <c r="AC168" i="6"/>
  <c r="AD168" i="6" s="1"/>
  <c r="AQ161" i="6"/>
  <c r="H170" i="6"/>
  <c r="AM169" i="6"/>
  <c r="AP162" i="6"/>
  <c r="AR162" i="6" s="1"/>
  <c r="AT162" i="6"/>
  <c r="W162" i="6"/>
  <c r="Y162" i="6" s="1"/>
  <c r="K169" i="6"/>
  <c r="AE169" i="6"/>
  <c r="E170" i="6"/>
  <c r="AA169" i="6"/>
  <c r="AN169" i="6"/>
  <c r="Q165" i="6"/>
  <c r="R165" i="6"/>
  <c r="S165" i="6" s="1"/>
  <c r="AQ162" i="6" l="1"/>
  <c r="AU165" i="6"/>
  <c r="AX165" i="6" s="1"/>
  <c r="AV165" i="6"/>
  <c r="T165" i="6"/>
  <c r="AZ165" i="6"/>
  <c r="U165" i="6"/>
  <c r="AM170" i="6"/>
  <c r="H171" i="6"/>
  <c r="E171" i="6"/>
  <c r="AA170" i="6"/>
  <c r="AE170" i="6"/>
  <c r="K170" i="6"/>
  <c r="AN170" i="6"/>
  <c r="F171" i="6"/>
  <c r="AB170" i="6"/>
  <c r="AF170" i="6"/>
  <c r="AG169" i="6"/>
  <c r="AH169" i="6" s="1"/>
  <c r="AC169" i="6"/>
  <c r="AD169" i="6" s="1"/>
  <c r="G170" i="6"/>
  <c r="O167" i="6"/>
  <c r="L168" i="6"/>
  <c r="M167" i="6"/>
  <c r="N167" i="6" s="1"/>
  <c r="R166" i="6"/>
  <c r="S166" i="6" s="1"/>
  <c r="Q166" i="6"/>
  <c r="AO164" i="6"/>
  <c r="V164" i="6"/>
  <c r="AP163" i="6"/>
  <c r="AR163" i="6" s="1"/>
  <c r="W163" i="6"/>
  <c r="Y163" i="6" s="1"/>
  <c r="AT163" i="6"/>
  <c r="AY164" i="6"/>
  <c r="AW164" i="6"/>
  <c r="AQ163" i="6" l="1"/>
  <c r="W164" i="6"/>
  <c r="Y164" i="6" s="1"/>
  <c r="AT164" i="6"/>
  <c r="AP164" i="6"/>
  <c r="AR164" i="6" s="1"/>
  <c r="AU166" i="6"/>
  <c r="AX166" i="6" s="1"/>
  <c r="AV166" i="6"/>
  <c r="AZ166" i="6"/>
  <c r="T166" i="6"/>
  <c r="U166" i="6"/>
  <c r="M168" i="6"/>
  <c r="N168" i="6" s="1"/>
  <c r="O168" i="6"/>
  <c r="L169" i="6"/>
  <c r="AN171" i="6"/>
  <c r="E172" i="6"/>
  <c r="AE171" i="6"/>
  <c r="K171" i="6"/>
  <c r="AA171" i="6"/>
  <c r="R167" i="6"/>
  <c r="S167" i="6" s="1"/>
  <c r="Q167" i="6"/>
  <c r="AG170" i="6"/>
  <c r="AH170" i="6" s="1"/>
  <c r="AC170" i="6"/>
  <c r="AD170" i="6" s="1"/>
  <c r="G171" i="6"/>
  <c r="H172" i="6"/>
  <c r="AM171" i="6"/>
  <c r="AF171" i="6"/>
  <c r="AB171" i="6"/>
  <c r="F172" i="6"/>
  <c r="AO165" i="6"/>
  <c r="V165" i="6"/>
  <c r="AW165" i="6"/>
  <c r="AY165" i="6"/>
  <c r="AQ164" i="6" l="1"/>
  <c r="AE172" i="6"/>
  <c r="K172" i="6"/>
  <c r="AN172" i="6"/>
  <c r="AA172" i="6"/>
  <c r="E173" i="6"/>
  <c r="H173" i="6"/>
  <c r="AM172" i="6"/>
  <c r="M169" i="6"/>
  <c r="N169" i="6" s="1"/>
  <c r="L170" i="6"/>
  <c r="O169" i="6"/>
  <c r="AC171" i="6"/>
  <c r="AD171" i="6" s="1"/>
  <c r="AG171" i="6"/>
  <c r="AH171" i="6" s="1"/>
  <c r="G172" i="6"/>
  <c r="Q168" i="6"/>
  <c r="R168" i="6"/>
  <c r="S168" i="6" s="1"/>
  <c r="AP165" i="6"/>
  <c r="AR165" i="6" s="1"/>
  <c r="AT165" i="6"/>
  <c r="W165" i="6"/>
  <c r="Y165" i="6" s="1"/>
  <c r="AF172" i="6"/>
  <c r="AB172" i="6"/>
  <c r="F173" i="6"/>
  <c r="AO166" i="6"/>
  <c r="V166" i="6"/>
  <c r="AV167" i="6"/>
  <c r="AU167" i="6"/>
  <c r="AX167" i="6" s="1"/>
  <c r="T167" i="6"/>
  <c r="AZ167" i="6"/>
  <c r="U167" i="6"/>
  <c r="AY166" i="6"/>
  <c r="AW166" i="6"/>
  <c r="AY167" i="6" l="1"/>
  <c r="AW167" i="6"/>
  <c r="AT166" i="6"/>
  <c r="AP166" i="6"/>
  <c r="AR166" i="6" s="1"/>
  <c r="W166" i="6"/>
  <c r="Y166" i="6" s="1"/>
  <c r="Q169" i="6"/>
  <c r="R169" i="6"/>
  <c r="S169" i="6" s="1"/>
  <c r="O170" i="6"/>
  <c r="L171" i="6"/>
  <c r="M170" i="6"/>
  <c r="N170" i="6" s="1"/>
  <c r="AM173" i="6"/>
  <c r="H174" i="6"/>
  <c r="AA173" i="6"/>
  <c r="K173" i="6"/>
  <c r="AN173" i="6"/>
  <c r="E174" i="6"/>
  <c r="AE173" i="6"/>
  <c r="F174" i="6"/>
  <c r="AF173" i="6"/>
  <c r="AB173" i="6"/>
  <c r="AQ165" i="6"/>
  <c r="AO167" i="6"/>
  <c r="V167" i="6"/>
  <c r="T168" i="6"/>
  <c r="AV168" i="6"/>
  <c r="AU168" i="6"/>
  <c r="AX168" i="6" s="1"/>
  <c r="AZ168" i="6"/>
  <c r="U168" i="6"/>
  <c r="G173" i="6"/>
  <c r="AG172" i="6"/>
  <c r="AH172" i="6" s="1"/>
  <c r="AC172" i="6"/>
  <c r="AD172" i="6" s="1"/>
  <c r="AQ166" i="6" l="1"/>
  <c r="W167" i="6"/>
  <c r="Y167" i="6" s="1"/>
  <c r="AP167" i="6"/>
  <c r="AR167" i="6" s="1"/>
  <c r="AT167" i="6"/>
  <c r="AE174" i="6"/>
  <c r="AA174" i="6"/>
  <c r="K174" i="6"/>
  <c r="E175" i="6"/>
  <c r="AN174" i="6"/>
  <c r="H175" i="6"/>
  <c r="AM174" i="6"/>
  <c r="G174" i="6"/>
  <c r="AC173" i="6"/>
  <c r="AD173" i="6" s="1"/>
  <c r="AG173" i="6"/>
  <c r="AH173" i="6" s="1"/>
  <c r="L172" i="6"/>
  <c r="O171" i="6"/>
  <c r="M171" i="6"/>
  <c r="N171" i="6" s="1"/>
  <c r="AO168" i="6"/>
  <c r="V168" i="6"/>
  <c r="R170" i="6"/>
  <c r="S170" i="6" s="1"/>
  <c r="Q170" i="6"/>
  <c r="AV169" i="6"/>
  <c r="AU169" i="6"/>
  <c r="AX169" i="6" s="1"/>
  <c r="AZ169" i="6"/>
  <c r="T169" i="6"/>
  <c r="U169" i="6"/>
  <c r="AW168" i="6"/>
  <c r="AY168" i="6"/>
  <c r="AB174" i="6"/>
  <c r="F175" i="6"/>
  <c r="AF174" i="6"/>
  <c r="AW169" i="6" l="1"/>
  <c r="AY169" i="6"/>
  <c r="AM175" i="6"/>
  <c r="H176" i="6"/>
  <c r="AZ170" i="6"/>
  <c r="AV170" i="6"/>
  <c r="T170" i="6"/>
  <c r="AU170" i="6"/>
  <c r="AX170" i="6" s="1"/>
  <c r="U170" i="6"/>
  <c r="AP168" i="6"/>
  <c r="AR168" i="6" s="1"/>
  <c r="W168" i="6"/>
  <c r="Y168" i="6" s="1"/>
  <c r="AT168" i="6"/>
  <c r="F176" i="6"/>
  <c r="AB175" i="6"/>
  <c r="AF175" i="6"/>
  <c r="R171" i="6"/>
  <c r="S171" i="6" s="1"/>
  <c r="Q171" i="6"/>
  <c r="AA175" i="6"/>
  <c r="E176" i="6"/>
  <c r="AN175" i="6"/>
  <c r="AE175" i="6"/>
  <c r="K175" i="6"/>
  <c r="O172" i="6"/>
  <c r="M172" i="6"/>
  <c r="N172" i="6" s="1"/>
  <c r="L173" i="6"/>
  <c r="AO169" i="6"/>
  <c r="V169" i="6"/>
  <c r="AG174" i="6"/>
  <c r="AH174" i="6" s="1"/>
  <c r="AC174" i="6"/>
  <c r="AD174" i="6" s="1"/>
  <c r="G175" i="6"/>
  <c r="AQ167" i="6"/>
  <c r="AQ168" i="6" l="1"/>
  <c r="R172" i="6"/>
  <c r="S172" i="6" s="1"/>
  <c r="Q172" i="6"/>
  <c r="AN176" i="6"/>
  <c r="K176" i="6"/>
  <c r="AE176" i="6"/>
  <c r="E177" i="6"/>
  <c r="AA176" i="6"/>
  <c r="AZ171" i="6"/>
  <c r="T171" i="6"/>
  <c r="AV171" i="6"/>
  <c r="AU171" i="6"/>
  <c r="AX171" i="6" s="1"/>
  <c r="U171" i="6"/>
  <c r="AY170" i="6"/>
  <c r="AW170" i="6"/>
  <c r="AG175" i="6"/>
  <c r="AH175" i="6" s="1"/>
  <c r="AC175" i="6"/>
  <c r="AD175" i="6" s="1"/>
  <c r="G176" i="6"/>
  <c r="AO170" i="6"/>
  <c r="V170" i="6"/>
  <c r="AT169" i="6"/>
  <c r="W169" i="6"/>
  <c r="Y169" i="6" s="1"/>
  <c r="AP169" i="6"/>
  <c r="AR169" i="6" s="1"/>
  <c r="AB176" i="6"/>
  <c r="F177" i="6"/>
  <c r="AF176" i="6"/>
  <c r="H177" i="6"/>
  <c r="AM176" i="6"/>
  <c r="L174" i="6"/>
  <c r="O173" i="6"/>
  <c r="M173" i="6"/>
  <c r="N173" i="6" s="1"/>
  <c r="AQ169" i="6" l="1"/>
  <c r="AO171" i="6"/>
  <c r="V171" i="6"/>
  <c r="AY171" i="6"/>
  <c r="AW171" i="6"/>
  <c r="AP170" i="6"/>
  <c r="AR170" i="6" s="1"/>
  <c r="W170" i="6"/>
  <c r="Y170" i="6" s="1"/>
  <c r="AT170" i="6"/>
  <c r="Q173" i="6"/>
  <c r="R173" i="6"/>
  <c r="S173" i="6" s="1"/>
  <c r="K177" i="6"/>
  <c r="AN177" i="6"/>
  <c r="AA177" i="6"/>
  <c r="AE177" i="6"/>
  <c r="E178" i="6"/>
  <c r="L175" i="6"/>
  <c r="M174" i="6"/>
  <c r="N174" i="6" s="1"/>
  <c r="O174" i="6"/>
  <c r="G177" i="6"/>
  <c r="AG176" i="6"/>
  <c r="AH176" i="6" s="1"/>
  <c r="AC176" i="6"/>
  <c r="AD176" i="6" s="1"/>
  <c r="H178" i="6"/>
  <c r="AM177" i="6"/>
  <c r="F178" i="6"/>
  <c r="AB177" i="6"/>
  <c r="AF177" i="6"/>
  <c r="AV172" i="6"/>
  <c r="AU172" i="6"/>
  <c r="AX172" i="6" s="1"/>
  <c r="T172" i="6"/>
  <c r="AZ172" i="6"/>
  <c r="U172" i="6"/>
  <c r="AO172" i="6" l="1"/>
  <c r="V172" i="6"/>
  <c r="AG177" i="6"/>
  <c r="AH177" i="6" s="1"/>
  <c r="G178" i="6"/>
  <c r="AC177" i="6"/>
  <c r="AD177" i="6" s="1"/>
  <c r="R174" i="6"/>
  <c r="S174" i="6" s="1"/>
  <c r="Q174" i="6"/>
  <c r="AQ170" i="6"/>
  <c r="AW172" i="6"/>
  <c r="AY172" i="6"/>
  <c r="L176" i="6"/>
  <c r="O175" i="6"/>
  <c r="M175" i="6"/>
  <c r="N175" i="6" s="1"/>
  <c r="AE178" i="6"/>
  <c r="AA178" i="6"/>
  <c r="K178" i="6"/>
  <c r="AN178" i="6"/>
  <c r="E179" i="6"/>
  <c r="AB178" i="6"/>
  <c r="AF178" i="6"/>
  <c r="F179" i="6"/>
  <c r="H179" i="6"/>
  <c r="AM178" i="6"/>
  <c r="AP171" i="6"/>
  <c r="AR171" i="6" s="1"/>
  <c r="W171" i="6"/>
  <c r="Y171" i="6" s="1"/>
  <c r="AT171" i="6"/>
  <c r="AU173" i="6"/>
  <c r="AX173" i="6" s="1"/>
  <c r="AV173" i="6"/>
  <c r="AZ173" i="6"/>
  <c r="T173" i="6"/>
  <c r="U173" i="6"/>
  <c r="H180" i="6" l="1"/>
  <c r="AM179" i="6"/>
  <c r="W172" i="6"/>
  <c r="Y172" i="6" s="1"/>
  <c r="AT172" i="6"/>
  <c r="AP172" i="6"/>
  <c r="AR172" i="6" s="1"/>
  <c r="R175" i="6"/>
  <c r="S175" i="6" s="1"/>
  <c r="Q175" i="6"/>
  <c r="AO173" i="6"/>
  <c r="V173" i="6"/>
  <c r="L177" i="6"/>
  <c r="O176" i="6"/>
  <c r="M176" i="6"/>
  <c r="N176" i="6" s="1"/>
  <c r="F180" i="6"/>
  <c r="AB179" i="6"/>
  <c r="AF179" i="6"/>
  <c r="AY173" i="6"/>
  <c r="AW173" i="6"/>
  <c r="E180" i="6"/>
  <c r="AA179" i="6"/>
  <c r="AE179" i="6"/>
  <c r="K179" i="6"/>
  <c r="AN179" i="6"/>
  <c r="AQ171" i="6"/>
  <c r="AU174" i="6"/>
  <c r="AX174" i="6" s="1"/>
  <c r="AZ174" i="6"/>
  <c r="AV174" i="6"/>
  <c r="T174" i="6"/>
  <c r="U174" i="6"/>
  <c r="AG178" i="6"/>
  <c r="AH178" i="6" s="1"/>
  <c r="AC178" i="6"/>
  <c r="AD178" i="6" s="1"/>
  <c r="G179" i="6"/>
  <c r="AY174" i="6" l="1"/>
  <c r="AW174" i="6"/>
  <c r="AB180" i="6"/>
  <c r="F181" i="6"/>
  <c r="AF180" i="6"/>
  <c r="AM180" i="6"/>
  <c r="H181" i="6"/>
  <c r="Q176" i="6"/>
  <c r="R176" i="6"/>
  <c r="S176" i="6" s="1"/>
  <c r="M177" i="6"/>
  <c r="N177" i="6" s="1"/>
  <c r="L178" i="6"/>
  <c r="O177" i="6"/>
  <c r="AP173" i="6"/>
  <c r="AR173" i="6" s="1"/>
  <c r="AT173" i="6"/>
  <c r="W173" i="6"/>
  <c r="Y173" i="6" s="1"/>
  <c r="AC179" i="6"/>
  <c r="AD179" i="6" s="1"/>
  <c r="G180" i="6"/>
  <c r="AG179" i="6"/>
  <c r="AH179" i="6" s="1"/>
  <c r="AU175" i="6"/>
  <c r="AX175" i="6" s="1"/>
  <c r="AZ175" i="6"/>
  <c r="AV175" i="6"/>
  <c r="T175" i="6"/>
  <c r="U175" i="6"/>
  <c r="AN180" i="6"/>
  <c r="AA180" i="6"/>
  <c r="AE180" i="6"/>
  <c r="K180" i="6"/>
  <c r="E181" i="6"/>
  <c r="AQ172" i="6"/>
  <c r="AO174" i="6"/>
  <c r="V174" i="6"/>
  <c r="AO175" i="6" l="1"/>
  <c r="V175" i="6"/>
  <c r="R177" i="6"/>
  <c r="S177" i="6" s="1"/>
  <c r="Q177" i="6"/>
  <c r="AP174" i="6"/>
  <c r="AR174" i="6" s="1"/>
  <c r="W174" i="6"/>
  <c r="Y174" i="6" s="1"/>
  <c r="AT174" i="6"/>
  <c r="AY175" i="6"/>
  <c r="AW175" i="6"/>
  <c r="M178" i="6"/>
  <c r="N178" i="6" s="1"/>
  <c r="L179" i="6"/>
  <c r="O178" i="6"/>
  <c r="AU176" i="6"/>
  <c r="AX176" i="6" s="1"/>
  <c r="T176" i="6"/>
  <c r="AV176" i="6"/>
  <c r="AZ176" i="6"/>
  <c r="U176" i="6"/>
  <c r="H182" i="6"/>
  <c r="AM181" i="6"/>
  <c r="F182" i="6"/>
  <c r="AB181" i="6"/>
  <c r="AF181" i="6"/>
  <c r="AN181" i="6"/>
  <c r="AA181" i="6"/>
  <c r="E182" i="6"/>
  <c r="AE181" i="6"/>
  <c r="K181" i="6"/>
  <c r="AG180" i="6"/>
  <c r="AH180" i="6" s="1"/>
  <c r="G181" i="6"/>
  <c r="AC180" i="6"/>
  <c r="AD180" i="6" s="1"/>
  <c r="AQ173" i="6"/>
  <c r="Q178" i="6" l="1"/>
  <c r="R178" i="6"/>
  <c r="S178" i="6" s="1"/>
  <c r="AT175" i="6"/>
  <c r="AP175" i="6"/>
  <c r="AR175" i="6" s="1"/>
  <c r="W175" i="6"/>
  <c r="Y175" i="6" s="1"/>
  <c r="L180" i="6"/>
  <c r="O179" i="6"/>
  <c r="M179" i="6"/>
  <c r="N179" i="6" s="1"/>
  <c r="F183" i="6"/>
  <c r="AF182" i="6"/>
  <c r="AB182" i="6"/>
  <c r="G182" i="6"/>
  <c r="AG181" i="6"/>
  <c r="AH181" i="6" s="1"/>
  <c r="AC181" i="6"/>
  <c r="AD181" i="6" s="1"/>
  <c r="AM182" i="6"/>
  <c r="H183" i="6"/>
  <c r="AQ174" i="6"/>
  <c r="AO176" i="6"/>
  <c r="V176" i="6"/>
  <c r="AU177" i="6"/>
  <c r="AX177" i="6" s="1"/>
  <c r="AV177" i="6"/>
  <c r="T177" i="6"/>
  <c r="AZ177" i="6"/>
  <c r="U177" i="6"/>
  <c r="AW176" i="6"/>
  <c r="AY176" i="6"/>
  <c r="AE182" i="6"/>
  <c r="K182" i="6"/>
  <c r="AN182" i="6"/>
  <c r="AA182" i="6"/>
  <c r="E183" i="6"/>
  <c r="AQ175" i="6" l="1"/>
  <c r="AO177" i="6"/>
  <c r="V177" i="6"/>
  <c r="G183" i="6"/>
  <c r="AC182" i="6"/>
  <c r="AD182" i="6" s="1"/>
  <c r="AG182" i="6"/>
  <c r="AH182" i="6" s="1"/>
  <c r="AY177" i="6"/>
  <c r="AW177" i="6"/>
  <c r="AN183" i="6"/>
  <c r="AE183" i="6"/>
  <c r="K183" i="6"/>
  <c r="E184" i="6"/>
  <c r="AA183" i="6"/>
  <c r="AF183" i="6"/>
  <c r="F184" i="6"/>
  <c r="AB183" i="6"/>
  <c r="AT176" i="6"/>
  <c r="W176" i="6"/>
  <c r="Y176" i="6" s="1"/>
  <c r="AP176" i="6"/>
  <c r="AR176" i="6" s="1"/>
  <c r="R179" i="6"/>
  <c r="S179" i="6" s="1"/>
  <c r="Q179" i="6"/>
  <c r="M180" i="6"/>
  <c r="N180" i="6" s="1"/>
  <c r="O180" i="6"/>
  <c r="L181" i="6"/>
  <c r="H184" i="6"/>
  <c r="AM183" i="6"/>
  <c r="AV178" i="6"/>
  <c r="AU178" i="6"/>
  <c r="AX178" i="6" s="1"/>
  <c r="AZ178" i="6"/>
  <c r="T178" i="6"/>
  <c r="U178" i="6"/>
  <c r="AQ176" i="6" l="1"/>
  <c r="AM184" i="6"/>
  <c r="H185" i="6"/>
  <c r="O181" i="6"/>
  <c r="M181" i="6"/>
  <c r="N181" i="6" s="1"/>
  <c r="L182" i="6"/>
  <c r="Q180" i="6"/>
  <c r="R180" i="6"/>
  <c r="S180" i="6" s="1"/>
  <c r="AO178" i="6"/>
  <c r="V178" i="6"/>
  <c r="AV179" i="6"/>
  <c r="AU179" i="6"/>
  <c r="AX179" i="6" s="1"/>
  <c r="T179" i="6"/>
  <c r="AZ179" i="6"/>
  <c r="U179" i="6"/>
  <c r="AW178" i="6"/>
  <c r="AY178" i="6"/>
  <c r="AF184" i="6"/>
  <c r="F185" i="6"/>
  <c r="AB184" i="6"/>
  <c r="AE184" i="6"/>
  <c r="AA184" i="6"/>
  <c r="AN184" i="6"/>
  <c r="E185" i="6"/>
  <c r="K184" i="6"/>
  <c r="AG183" i="6"/>
  <c r="AH183" i="6" s="1"/>
  <c r="AC183" i="6"/>
  <c r="AD183" i="6" s="1"/>
  <c r="G184" i="6"/>
  <c r="AP177" i="6"/>
  <c r="AR177" i="6" s="1"/>
  <c r="AT177" i="6"/>
  <c r="W177" i="6"/>
  <c r="Y177" i="6" s="1"/>
  <c r="W178" i="6" l="1"/>
  <c r="Y178" i="6" s="1"/>
  <c r="AP178" i="6"/>
  <c r="AR178" i="6" s="1"/>
  <c r="AT178" i="6"/>
  <c r="F186" i="6"/>
  <c r="AB185" i="6"/>
  <c r="AF185" i="6"/>
  <c r="AZ180" i="6"/>
  <c r="AV180" i="6"/>
  <c r="T180" i="6"/>
  <c r="AU180" i="6"/>
  <c r="AX180" i="6" s="1"/>
  <c r="U180" i="6"/>
  <c r="AQ177" i="6"/>
  <c r="AO179" i="6"/>
  <c r="V179" i="6"/>
  <c r="AM185" i="6"/>
  <c r="H186" i="6"/>
  <c r="AA185" i="6"/>
  <c r="E186" i="6"/>
  <c r="AN185" i="6"/>
  <c r="AE185" i="6"/>
  <c r="K185" i="6"/>
  <c r="AW179" i="6"/>
  <c r="AY179" i="6"/>
  <c r="O182" i="6"/>
  <c r="L183" i="6"/>
  <c r="M182" i="6"/>
  <c r="N182" i="6" s="1"/>
  <c r="G185" i="6"/>
  <c r="AG184" i="6"/>
  <c r="AH184" i="6" s="1"/>
  <c r="AC184" i="6"/>
  <c r="AD184" i="6" s="1"/>
  <c r="Q181" i="6"/>
  <c r="R181" i="6"/>
  <c r="S181" i="6" s="1"/>
  <c r="AV181" i="6" l="1"/>
  <c r="T181" i="6"/>
  <c r="AU181" i="6"/>
  <c r="AX181" i="6" s="1"/>
  <c r="AZ181" i="6"/>
  <c r="U181" i="6"/>
  <c r="AO180" i="6"/>
  <c r="V180" i="6"/>
  <c r="AY180" i="6"/>
  <c r="AW180" i="6"/>
  <c r="AC185" i="6"/>
  <c r="AD185" i="6" s="1"/>
  <c r="G186" i="6"/>
  <c r="AG185" i="6"/>
  <c r="AH185" i="6" s="1"/>
  <c r="E187" i="6"/>
  <c r="K186" i="6"/>
  <c r="AA186" i="6"/>
  <c r="AE186" i="6"/>
  <c r="AN186" i="6"/>
  <c r="AT179" i="6"/>
  <c r="AP179" i="6"/>
  <c r="AR179" i="6" s="1"/>
  <c r="W179" i="6"/>
  <c r="Y179" i="6" s="1"/>
  <c r="M183" i="6"/>
  <c r="N183" i="6" s="1"/>
  <c r="O183" i="6"/>
  <c r="L184" i="6"/>
  <c r="AF186" i="6"/>
  <c r="F187" i="6"/>
  <c r="AB186" i="6"/>
  <c r="R182" i="6"/>
  <c r="S182" i="6" s="1"/>
  <c r="Q182" i="6"/>
  <c r="H187" i="6"/>
  <c r="AM186" i="6"/>
  <c r="AQ178" i="6"/>
  <c r="AQ179" i="6" l="1"/>
  <c r="AP180" i="6"/>
  <c r="AR180" i="6" s="1"/>
  <c r="AT180" i="6"/>
  <c r="W180" i="6"/>
  <c r="Y180" i="6" s="1"/>
  <c r="AV182" i="6"/>
  <c r="T182" i="6"/>
  <c r="AZ182" i="6"/>
  <c r="AU182" i="6"/>
  <c r="AX182" i="6" s="1"/>
  <c r="U182" i="6"/>
  <c r="F188" i="6"/>
  <c r="AB187" i="6"/>
  <c r="AF187" i="6"/>
  <c r="AE187" i="6"/>
  <c r="AN187" i="6"/>
  <c r="K187" i="6"/>
  <c r="E188" i="6"/>
  <c r="AA187" i="6"/>
  <c r="O184" i="6"/>
  <c r="L185" i="6"/>
  <c r="M184" i="6"/>
  <c r="N184" i="6" s="1"/>
  <c r="Q183" i="6"/>
  <c r="R183" i="6"/>
  <c r="S183" i="6" s="1"/>
  <c r="H188" i="6"/>
  <c r="AM187" i="6"/>
  <c r="AO181" i="6"/>
  <c r="V181" i="6"/>
  <c r="AY181" i="6"/>
  <c r="AW181" i="6"/>
  <c r="AC186" i="6"/>
  <c r="AD186" i="6" s="1"/>
  <c r="G187" i="6"/>
  <c r="AG186" i="6"/>
  <c r="AH186" i="6" s="1"/>
  <c r="AT181" i="6" l="1"/>
  <c r="AP181" i="6"/>
  <c r="AR181" i="6" s="1"/>
  <c r="W181" i="6"/>
  <c r="Y181" i="6" s="1"/>
  <c r="AQ180" i="6"/>
  <c r="H189" i="6"/>
  <c r="AM188" i="6"/>
  <c r="F189" i="6"/>
  <c r="AF188" i="6"/>
  <c r="AB188" i="6"/>
  <c r="AG187" i="6"/>
  <c r="AH187" i="6" s="1"/>
  <c r="AC187" i="6"/>
  <c r="AD187" i="6" s="1"/>
  <c r="G188" i="6"/>
  <c r="AV183" i="6"/>
  <c r="AU183" i="6"/>
  <c r="AX183" i="6" s="1"/>
  <c r="AZ183" i="6"/>
  <c r="T183" i="6"/>
  <c r="U183" i="6"/>
  <c r="AO182" i="6"/>
  <c r="V182" i="6"/>
  <c r="O185" i="6"/>
  <c r="L186" i="6"/>
  <c r="M185" i="6"/>
  <c r="N185" i="6" s="1"/>
  <c r="Q184" i="6"/>
  <c r="R184" i="6"/>
  <c r="S184" i="6" s="1"/>
  <c r="AY182" i="6"/>
  <c r="AW182" i="6"/>
  <c r="AN188" i="6"/>
  <c r="AE188" i="6"/>
  <c r="K188" i="6"/>
  <c r="AA188" i="6"/>
  <c r="E189" i="6"/>
  <c r="AA189" i="6" l="1"/>
  <c r="AE189" i="6"/>
  <c r="E190" i="6"/>
  <c r="K189" i="6"/>
  <c r="AN189" i="6"/>
  <c r="AY183" i="6"/>
  <c r="AW183" i="6"/>
  <c r="AC188" i="6"/>
  <c r="AD188" i="6" s="1"/>
  <c r="AG188" i="6"/>
  <c r="AH188" i="6" s="1"/>
  <c r="G189" i="6"/>
  <c r="AZ184" i="6"/>
  <c r="AV184" i="6"/>
  <c r="AU184" i="6"/>
  <c r="AX184" i="6" s="1"/>
  <c r="T184" i="6"/>
  <c r="U184" i="6"/>
  <c r="AP182" i="6"/>
  <c r="AR182" i="6" s="1"/>
  <c r="AT182" i="6"/>
  <c r="W182" i="6"/>
  <c r="Y182" i="6" s="1"/>
  <c r="AO183" i="6"/>
  <c r="V183" i="6"/>
  <c r="H190" i="6"/>
  <c r="AM189" i="6"/>
  <c r="L187" i="6"/>
  <c r="O186" i="6"/>
  <c r="M186" i="6"/>
  <c r="N186" i="6" s="1"/>
  <c r="R185" i="6"/>
  <c r="S185" i="6" s="1"/>
  <c r="Q185" i="6"/>
  <c r="AF189" i="6"/>
  <c r="AB189" i="6"/>
  <c r="F190" i="6"/>
  <c r="AQ181" i="6"/>
  <c r="AQ182" i="6" l="1"/>
  <c r="AW184" i="6"/>
  <c r="AY184" i="6"/>
  <c r="AP183" i="6"/>
  <c r="AR183" i="6" s="1"/>
  <c r="AT183" i="6"/>
  <c r="W183" i="6"/>
  <c r="Y183" i="6" s="1"/>
  <c r="F191" i="6"/>
  <c r="AF190" i="6"/>
  <c r="AB190" i="6"/>
  <c r="G190" i="6"/>
  <c r="AG189" i="6"/>
  <c r="AH189" i="6" s="1"/>
  <c r="AC189" i="6"/>
  <c r="AD189" i="6" s="1"/>
  <c r="T185" i="6"/>
  <c r="AZ185" i="6"/>
  <c r="AU185" i="6"/>
  <c r="AX185" i="6" s="1"/>
  <c r="AV185" i="6"/>
  <c r="U185" i="6"/>
  <c r="H191" i="6"/>
  <c r="AM190" i="6"/>
  <c r="R186" i="6"/>
  <c r="S186" i="6" s="1"/>
  <c r="Q186" i="6"/>
  <c r="AO184" i="6"/>
  <c r="V184" i="6"/>
  <c r="M187" i="6"/>
  <c r="N187" i="6" s="1"/>
  <c r="O187" i="6"/>
  <c r="L188" i="6"/>
  <c r="K190" i="6"/>
  <c r="AA190" i="6"/>
  <c r="E191" i="6"/>
  <c r="AN190" i="6"/>
  <c r="AE190" i="6"/>
  <c r="AQ183" i="6" l="1"/>
  <c r="R187" i="6"/>
  <c r="S187" i="6" s="1"/>
  <c r="Q187" i="6"/>
  <c r="AC190" i="6"/>
  <c r="AD190" i="6" s="1"/>
  <c r="AG190" i="6"/>
  <c r="AH190" i="6" s="1"/>
  <c r="G191" i="6"/>
  <c r="H192" i="6"/>
  <c r="AM191" i="6"/>
  <c r="F192" i="6"/>
  <c r="AB191" i="6"/>
  <c r="AF191" i="6"/>
  <c r="E192" i="6"/>
  <c r="K191" i="6"/>
  <c r="AN191" i="6"/>
  <c r="AA191" i="6"/>
  <c r="AE191" i="6"/>
  <c r="W184" i="6"/>
  <c r="Y184" i="6" s="1"/>
  <c r="AT184" i="6"/>
  <c r="AP184" i="6"/>
  <c r="AR184" i="6" s="1"/>
  <c r="AZ186" i="6"/>
  <c r="AV186" i="6"/>
  <c r="T186" i="6"/>
  <c r="AU186" i="6"/>
  <c r="AX186" i="6" s="1"/>
  <c r="U186" i="6"/>
  <c r="AO185" i="6"/>
  <c r="V185" i="6"/>
  <c r="AW185" i="6"/>
  <c r="AY185" i="6"/>
  <c r="O188" i="6"/>
  <c r="L189" i="6"/>
  <c r="M188" i="6"/>
  <c r="N188" i="6" s="1"/>
  <c r="T187" i="6" l="1"/>
  <c r="AZ187" i="6"/>
  <c r="AV187" i="6"/>
  <c r="AU187" i="6"/>
  <c r="AX187" i="6" s="1"/>
  <c r="U187" i="6"/>
  <c r="E193" i="6"/>
  <c r="AN192" i="6"/>
  <c r="AE192" i="6"/>
  <c r="K192" i="6"/>
  <c r="AA192" i="6"/>
  <c r="AO186" i="6"/>
  <c r="V186" i="6"/>
  <c r="M189" i="6"/>
  <c r="N189" i="6" s="1"/>
  <c r="O189" i="6"/>
  <c r="L190" i="6"/>
  <c r="R188" i="6"/>
  <c r="S188" i="6" s="1"/>
  <c r="Q188" i="6"/>
  <c r="AY186" i="6"/>
  <c r="AW186" i="6"/>
  <c r="AB192" i="6"/>
  <c r="F193" i="6"/>
  <c r="AF192" i="6"/>
  <c r="AM192" i="6"/>
  <c r="H193" i="6"/>
  <c r="AP185" i="6"/>
  <c r="AR185" i="6" s="1"/>
  <c r="W185" i="6"/>
  <c r="Y185" i="6" s="1"/>
  <c r="AT185" i="6"/>
  <c r="AQ184" i="6"/>
  <c r="AC191" i="6"/>
  <c r="AD191" i="6" s="1"/>
  <c r="AG191" i="6"/>
  <c r="AH191" i="6" s="1"/>
  <c r="G192" i="6"/>
  <c r="AY187" i="6" l="1"/>
  <c r="AW187" i="6"/>
  <c r="W186" i="6"/>
  <c r="Y186" i="6" s="1"/>
  <c r="AT186" i="6"/>
  <c r="AP186" i="6"/>
  <c r="AR186" i="6" s="1"/>
  <c r="AG192" i="6"/>
  <c r="AH192" i="6" s="1"/>
  <c r="G193" i="6"/>
  <c r="AC192" i="6"/>
  <c r="AD192" i="6" s="1"/>
  <c r="K193" i="6"/>
  <c r="AA193" i="6"/>
  <c r="AE193" i="6"/>
  <c r="E194" i="6"/>
  <c r="AN193" i="6"/>
  <c r="L191" i="6"/>
  <c r="O190" i="6"/>
  <c r="M190" i="6"/>
  <c r="N190" i="6" s="1"/>
  <c r="R189" i="6"/>
  <c r="S189" i="6" s="1"/>
  <c r="Q189" i="6"/>
  <c r="F194" i="6"/>
  <c r="AB193" i="6"/>
  <c r="AF193" i="6"/>
  <c r="AO187" i="6"/>
  <c r="V187" i="6"/>
  <c r="AQ185" i="6"/>
  <c r="AV188" i="6"/>
  <c r="AU188" i="6"/>
  <c r="AX188" i="6" s="1"/>
  <c r="AZ188" i="6"/>
  <c r="T188" i="6"/>
  <c r="U188" i="6"/>
  <c r="H194" i="6"/>
  <c r="AM193" i="6"/>
  <c r="F195" i="6" l="1"/>
  <c r="AB194" i="6"/>
  <c r="AF194" i="6"/>
  <c r="AG193" i="6"/>
  <c r="AH193" i="6" s="1"/>
  <c r="G194" i="6"/>
  <c r="AC193" i="6"/>
  <c r="AD193" i="6" s="1"/>
  <c r="AO188" i="6"/>
  <c r="V188" i="6"/>
  <c r="AU189" i="6"/>
  <c r="AX189" i="6" s="1"/>
  <c r="AZ189" i="6"/>
  <c r="T189" i="6"/>
  <c r="AV189" i="6"/>
  <c r="U189" i="6"/>
  <c r="R190" i="6"/>
  <c r="S190" i="6" s="1"/>
  <c r="Q190" i="6"/>
  <c r="AY188" i="6"/>
  <c r="AW188" i="6"/>
  <c r="O191" i="6"/>
  <c r="M191" i="6"/>
  <c r="N191" i="6" s="1"/>
  <c r="L192" i="6"/>
  <c r="W187" i="6"/>
  <c r="Y187" i="6" s="1"/>
  <c r="AT187" i="6"/>
  <c r="AP187" i="6"/>
  <c r="AR187" i="6" s="1"/>
  <c r="AE194" i="6"/>
  <c r="K194" i="6"/>
  <c r="AN194" i="6"/>
  <c r="AA194" i="6"/>
  <c r="E195" i="6"/>
  <c r="AQ186" i="6"/>
  <c r="AM194" i="6"/>
  <c r="H195" i="6"/>
  <c r="AQ187" i="6" l="1"/>
  <c r="E196" i="6"/>
  <c r="K195" i="6"/>
  <c r="AN195" i="6"/>
  <c r="AA195" i="6"/>
  <c r="AE195" i="6"/>
  <c r="AU190" i="6"/>
  <c r="AX190" i="6" s="1"/>
  <c r="AV190" i="6"/>
  <c r="T190" i="6"/>
  <c r="AZ190" i="6"/>
  <c r="U190" i="6"/>
  <c r="AO189" i="6"/>
  <c r="V189" i="6"/>
  <c r="L193" i="6"/>
  <c r="M192" i="6"/>
  <c r="N192" i="6" s="1"/>
  <c r="O192" i="6"/>
  <c r="AM195" i="6"/>
  <c r="H196" i="6"/>
  <c r="AB195" i="6"/>
  <c r="F196" i="6"/>
  <c r="AF195" i="6"/>
  <c r="AY189" i="6"/>
  <c r="AW189" i="6"/>
  <c r="AT188" i="6"/>
  <c r="W188" i="6"/>
  <c r="Y188" i="6" s="1"/>
  <c r="AP188" i="6"/>
  <c r="AR188" i="6" s="1"/>
  <c r="R191" i="6"/>
  <c r="S191" i="6" s="1"/>
  <c r="Q191" i="6"/>
  <c r="G195" i="6"/>
  <c r="AC194" i="6"/>
  <c r="AD194" i="6" s="1"/>
  <c r="AG194" i="6"/>
  <c r="AH194" i="6" s="1"/>
  <c r="AQ188" i="6" l="1"/>
  <c r="W189" i="6"/>
  <c r="Y189" i="6" s="1"/>
  <c r="AP189" i="6"/>
  <c r="AR189" i="6" s="1"/>
  <c r="AT189" i="6"/>
  <c r="AB196" i="6"/>
  <c r="AF196" i="6"/>
  <c r="F197" i="6"/>
  <c r="AG195" i="6"/>
  <c r="AH195" i="6" s="1"/>
  <c r="G196" i="6"/>
  <c r="AC195" i="6"/>
  <c r="AD195" i="6" s="1"/>
  <c r="AO190" i="6"/>
  <c r="V190" i="6"/>
  <c r="H197" i="6"/>
  <c r="AM196" i="6"/>
  <c r="AV191" i="6"/>
  <c r="AU191" i="6"/>
  <c r="AX191" i="6" s="1"/>
  <c r="AZ191" i="6"/>
  <c r="T191" i="6"/>
  <c r="U191" i="6"/>
  <c r="AW190" i="6"/>
  <c r="AY190" i="6"/>
  <c r="Q192" i="6"/>
  <c r="R192" i="6"/>
  <c r="S192" i="6" s="1"/>
  <c r="L194" i="6"/>
  <c r="M193" i="6"/>
  <c r="N193" i="6" s="1"/>
  <c r="O193" i="6"/>
  <c r="AA196" i="6"/>
  <c r="K196" i="6"/>
  <c r="AE196" i="6"/>
  <c r="AN196" i="6"/>
  <c r="E197" i="6"/>
  <c r="AQ189" i="6" l="1"/>
  <c r="L195" i="6"/>
  <c r="O194" i="6"/>
  <c r="M194" i="6"/>
  <c r="N194" i="6" s="1"/>
  <c r="AP190" i="6"/>
  <c r="AR190" i="6" s="1"/>
  <c r="W190" i="6"/>
  <c r="Y190" i="6" s="1"/>
  <c r="AT190" i="6"/>
  <c r="AA197" i="6"/>
  <c r="AE197" i="6"/>
  <c r="E198" i="6"/>
  <c r="AN197" i="6"/>
  <c r="K197" i="6"/>
  <c r="AB197" i="6"/>
  <c r="AF197" i="6"/>
  <c r="F198" i="6"/>
  <c r="R193" i="6"/>
  <c r="S193" i="6" s="1"/>
  <c r="Q193" i="6"/>
  <c r="AW191" i="6"/>
  <c r="AY191" i="6"/>
  <c r="H198" i="6"/>
  <c r="AM197" i="6"/>
  <c r="AZ192" i="6"/>
  <c r="AU192" i="6"/>
  <c r="AX192" i="6" s="1"/>
  <c r="T192" i="6"/>
  <c r="AV192" i="6"/>
  <c r="U192" i="6"/>
  <c r="G197" i="6"/>
  <c r="AC196" i="6"/>
  <c r="AD196" i="6" s="1"/>
  <c r="AG196" i="6"/>
  <c r="AH196" i="6" s="1"/>
  <c r="AO191" i="6"/>
  <c r="V191" i="6"/>
  <c r="AQ190" i="6" l="1"/>
  <c r="F199" i="6"/>
  <c r="AB198" i="6"/>
  <c r="AF198" i="6"/>
  <c r="AP191" i="6"/>
  <c r="AR191" i="6" s="1"/>
  <c r="W191" i="6"/>
  <c r="Y191" i="6" s="1"/>
  <c r="AT191" i="6"/>
  <c r="AM198" i="6"/>
  <c r="H199" i="6"/>
  <c r="AU193" i="6"/>
  <c r="AX193" i="6" s="1"/>
  <c r="AZ193" i="6"/>
  <c r="AV193" i="6"/>
  <c r="T193" i="6"/>
  <c r="U193" i="6"/>
  <c r="E199" i="6"/>
  <c r="AA198" i="6"/>
  <c r="AE198" i="6"/>
  <c r="K198" i="6"/>
  <c r="AN198" i="6"/>
  <c r="G198" i="6"/>
  <c r="AC197" i="6"/>
  <c r="AD197" i="6" s="1"/>
  <c r="AG197" i="6"/>
  <c r="AH197" i="6" s="1"/>
  <c r="AO192" i="6"/>
  <c r="V192" i="6"/>
  <c r="AY192" i="6"/>
  <c r="AW192" i="6"/>
  <c r="Q194" i="6"/>
  <c r="R194" i="6"/>
  <c r="S194" i="6" s="1"/>
  <c r="O195" i="6"/>
  <c r="M195" i="6"/>
  <c r="N195" i="6" s="1"/>
  <c r="L196" i="6"/>
  <c r="AP192" i="6" l="1"/>
  <c r="AR192" i="6" s="1"/>
  <c r="AT192" i="6"/>
  <c r="W192" i="6"/>
  <c r="Y192" i="6" s="1"/>
  <c r="AN199" i="6"/>
  <c r="E200" i="6"/>
  <c r="AA199" i="6"/>
  <c r="AE199" i="6"/>
  <c r="K199" i="6"/>
  <c r="AF199" i="6"/>
  <c r="AB199" i="6"/>
  <c r="F200" i="6"/>
  <c r="AY193" i="6"/>
  <c r="AW193" i="6"/>
  <c r="L197" i="6"/>
  <c r="M196" i="6"/>
  <c r="N196" i="6" s="1"/>
  <c r="O196" i="6"/>
  <c r="Q195" i="6"/>
  <c r="R195" i="6"/>
  <c r="S195" i="6" s="1"/>
  <c r="H200" i="6"/>
  <c r="AM199" i="6"/>
  <c r="AU194" i="6"/>
  <c r="AX194" i="6" s="1"/>
  <c r="T194" i="6"/>
  <c r="AZ194" i="6"/>
  <c r="AV194" i="6"/>
  <c r="U194" i="6"/>
  <c r="AC198" i="6"/>
  <c r="AD198" i="6" s="1"/>
  <c r="AG198" i="6"/>
  <c r="AH198" i="6" s="1"/>
  <c r="G199" i="6"/>
  <c r="AQ191" i="6"/>
  <c r="AO193" i="6"/>
  <c r="V193" i="6"/>
  <c r="W193" i="6" l="1"/>
  <c r="Y193" i="6" s="1"/>
  <c r="AT193" i="6"/>
  <c r="AP193" i="6"/>
  <c r="AR193" i="6" s="1"/>
  <c r="AA200" i="6"/>
  <c r="K200" i="6"/>
  <c r="AN200" i="6"/>
  <c r="AE200" i="6"/>
  <c r="E201" i="6"/>
  <c r="G200" i="6"/>
  <c r="AG199" i="6"/>
  <c r="AH199" i="6" s="1"/>
  <c r="AC199" i="6"/>
  <c r="AD199" i="6" s="1"/>
  <c r="H201" i="6"/>
  <c r="AM200" i="6"/>
  <c r="AV195" i="6"/>
  <c r="AU195" i="6"/>
  <c r="AX195" i="6" s="1"/>
  <c r="T195" i="6"/>
  <c r="AZ195" i="6"/>
  <c r="U195" i="6"/>
  <c r="R196" i="6"/>
  <c r="S196" i="6" s="1"/>
  <c r="Q196" i="6"/>
  <c r="M197" i="6"/>
  <c r="N197" i="6" s="1"/>
  <c r="L198" i="6"/>
  <c r="O197" i="6"/>
  <c r="AQ192" i="6"/>
  <c r="AO194" i="6"/>
  <c r="V194" i="6"/>
  <c r="AW194" i="6"/>
  <c r="AY194" i="6"/>
  <c r="F201" i="6"/>
  <c r="AF200" i="6"/>
  <c r="AB200" i="6"/>
  <c r="AQ193" i="6" l="1"/>
  <c r="AV196" i="6"/>
  <c r="AZ196" i="6"/>
  <c r="AU196" i="6"/>
  <c r="AX196" i="6" s="1"/>
  <c r="T196" i="6"/>
  <c r="U196" i="6"/>
  <c r="R197" i="6"/>
  <c r="S197" i="6" s="1"/>
  <c r="Q197" i="6"/>
  <c r="L199" i="6"/>
  <c r="O198" i="6"/>
  <c r="M198" i="6"/>
  <c r="N198" i="6" s="1"/>
  <c r="AC200" i="6"/>
  <c r="AD200" i="6" s="1"/>
  <c r="G201" i="6"/>
  <c r="AG200" i="6"/>
  <c r="AH200" i="6" s="1"/>
  <c r="AA201" i="6"/>
  <c r="AE201" i="6"/>
  <c r="K201" i="6"/>
  <c r="AN201" i="6"/>
  <c r="E202" i="6"/>
  <c r="AO195" i="6"/>
  <c r="V195" i="6"/>
  <c r="AF201" i="6"/>
  <c r="F202" i="6"/>
  <c r="AB201" i="6"/>
  <c r="AW195" i="6"/>
  <c r="AY195" i="6"/>
  <c r="W194" i="6"/>
  <c r="Y194" i="6" s="1"/>
  <c r="AT194" i="6"/>
  <c r="AP194" i="6"/>
  <c r="AR194" i="6" s="1"/>
  <c r="AM201" i="6"/>
  <c r="H202" i="6"/>
  <c r="AQ194" i="6" l="1"/>
  <c r="AY196" i="6"/>
  <c r="AW196" i="6"/>
  <c r="AG201" i="6"/>
  <c r="AH201" i="6" s="1"/>
  <c r="G202" i="6"/>
  <c r="AC201" i="6"/>
  <c r="AD201" i="6" s="1"/>
  <c r="H203" i="6"/>
  <c r="AM202" i="6"/>
  <c r="AB202" i="6"/>
  <c r="AF202" i="6"/>
  <c r="F203" i="6"/>
  <c r="Q198" i="6"/>
  <c r="R198" i="6"/>
  <c r="S198" i="6" s="1"/>
  <c r="W195" i="6"/>
  <c r="Y195" i="6" s="1"/>
  <c r="AT195" i="6"/>
  <c r="AP195" i="6"/>
  <c r="AR195" i="6" s="1"/>
  <c r="M199" i="6"/>
  <c r="N199" i="6" s="1"/>
  <c r="O199" i="6"/>
  <c r="L200" i="6"/>
  <c r="E203" i="6"/>
  <c r="K202" i="6"/>
  <c r="AA202" i="6"/>
  <c r="AE202" i="6"/>
  <c r="AN202" i="6"/>
  <c r="AZ197" i="6"/>
  <c r="T197" i="6"/>
  <c r="AV197" i="6"/>
  <c r="AU197" i="6"/>
  <c r="AX197" i="6" s="1"/>
  <c r="U197" i="6"/>
  <c r="AO196" i="6"/>
  <c r="V196" i="6"/>
  <c r="T198" i="6" l="1"/>
  <c r="AV198" i="6"/>
  <c r="AU198" i="6"/>
  <c r="AX198" i="6" s="1"/>
  <c r="AZ198" i="6"/>
  <c r="U198" i="6"/>
  <c r="F204" i="6"/>
  <c r="AB203" i="6"/>
  <c r="AF203" i="6"/>
  <c r="AT196" i="6"/>
  <c r="W196" i="6"/>
  <c r="Y196" i="6" s="1"/>
  <c r="AP196" i="6"/>
  <c r="AR196" i="6" s="1"/>
  <c r="AE203" i="6"/>
  <c r="AN203" i="6"/>
  <c r="K203" i="6"/>
  <c r="E204" i="6"/>
  <c r="AA203" i="6"/>
  <c r="O200" i="6"/>
  <c r="L201" i="6"/>
  <c r="M200" i="6"/>
  <c r="N200" i="6" s="1"/>
  <c r="Q199" i="6"/>
  <c r="R199" i="6"/>
  <c r="S199" i="6" s="1"/>
  <c r="H204" i="6"/>
  <c r="AM204" i="6" s="1"/>
  <c r="AM203" i="6"/>
  <c r="AO197" i="6"/>
  <c r="V197" i="6"/>
  <c r="AG202" i="6"/>
  <c r="AH202" i="6" s="1"/>
  <c r="AC202" i="6"/>
  <c r="AD202" i="6" s="1"/>
  <c r="G203" i="6"/>
  <c r="AQ195" i="6"/>
  <c r="AW197" i="6"/>
  <c r="AY197" i="6"/>
  <c r="AA204" i="6" l="1"/>
  <c r="AE204" i="6"/>
  <c r="K204" i="6"/>
  <c r="AN204" i="6"/>
  <c r="AT197" i="6"/>
  <c r="W197" i="6"/>
  <c r="Y197" i="6" s="1"/>
  <c r="AP197" i="6"/>
  <c r="AR197" i="6" s="1"/>
  <c r="T199" i="6"/>
  <c r="AU199" i="6"/>
  <c r="AX199" i="6" s="1"/>
  <c r="AZ199" i="6"/>
  <c r="AV199" i="6"/>
  <c r="U199" i="6"/>
  <c r="AQ196" i="6"/>
  <c r="L202" i="6"/>
  <c r="O201" i="6"/>
  <c r="M201" i="6"/>
  <c r="N201" i="6" s="1"/>
  <c r="AF204" i="6"/>
  <c r="AB204" i="6"/>
  <c r="G204" i="6"/>
  <c r="AG203" i="6"/>
  <c r="AH203" i="6" s="1"/>
  <c r="AC203" i="6"/>
  <c r="AD203" i="6" s="1"/>
  <c r="Q200" i="6"/>
  <c r="R200" i="6"/>
  <c r="S200" i="6" s="1"/>
  <c r="AO198" i="6"/>
  <c r="V198" i="6"/>
  <c r="AW198" i="6"/>
  <c r="AY198" i="6"/>
  <c r="AQ197" i="6" l="1"/>
  <c r="AW199" i="6"/>
  <c r="AY199" i="6"/>
  <c r="T200" i="6"/>
  <c r="AU200" i="6"/>
  <c r="AX200" i="6" s="1"/>
  <c r="AZ200" i="6"/>
  <c r="AV200" i="6"/>
  <c r="U200" i="6"/>
  <c r="AC204" i="6"/>
  <c r="AD204" i="6" s="1"/>
  <c r="AG204" i="6"/>
  <c r="AH204" i="6" s="1"/>
  <c r="Q201" i="6"/>
  <c r="R201" i="6"/>
  <c r="S201" i="6" s="1"/>
  <c r="M202" i="6"/>
  <c r="N202" i="6" s="1"/>
  <c r="L203" i="6"/>
  <c r="O202" i="6"/>
  <c r="AP198" i="6"/>
  <c r="AR198" i="6" s="1"/>
  <c r="AT198" i="6"/>
  <c r="W198" i="6"/>
  <c r="Y198" i="6" s="1"/>
  <c r="AO199" i="6"/>
  <c r="V199" i="6"/>
  <c r="AP199" i="6" l="1"/>
  <c r="AR199" i="6" s="1"/>
  <c r="AT199" i="6"/>
  <c r="W199" i="6"/>
  <c r="Y199" i="6" s="1"/>
  <c r="AQ198" i="6"/>
  <c r="AO200" i="6"/>
  <c r="V200" i="6"/>
  <c r="R202" i="6"/>
  <c r="S202" i="6" s="1"/>
  <c r="Q202" i="6"/>
  <c r="AW200" i="6"/>
  <c r="AY200" i="6"/>
  <c r="O203" i="6"/>
  <c r="M203" i="6"/>
  <c r="N203" i="6" s="1"/>
  <c r="L204" i="6"/>
  <c r="AV201" i="6"/>
  <c r="AU201" i="6"/>
  <c r="AX201" i="6" s="1"/>
  <c r="T201" i="6"/>
  <c r="AZ201" i="6"/>
  <c r="U201" i="6"/>
  <c r="M204" i="6" l="1"/>
  <c r="N204" i="6" s="1"/>
  <c r="O204" i="6"/>
  <c r="Q203" i="6"/>
  <c r="R203" i="6"/>
  <c r="S203" i="6" s="1"/>
  <c r="AQ199" i="6"/>
  <c r="T202" i="6"/>
  <c r="AU202" i="6"/>
  <c r="AX202" i="6" s="1"/>
  <c r="AZ202" i="6"/>
  <c r="AV202" i="6"/>
  <c r="U202" i="6"/>
  <c r="W200" i="6"/>
  <c r="Y200" i="6" s="1"/>
  <c r="AT200" i="6"/>
  <c r="AP200" i="6"/>
  <c r="AR200" i="6" s="1"/>
  <c r="AO201" i="6"/>
  <c r="V201" i="6"/>
  <c r="AW201" i="6"/>
  <c r="AY201" i="6"/>
  <c r="AQ200" i="6" l="1"/>
  <c r="AO202" i="6"/>
  <c r="V202" i="6"/>
  <c r="AY202" i="6"/>
  <c r="AW202" i="6"/>
  <c r="AT201" i="6"/>
  <c r="W201" i="6"/>
  <c r="Y201" i="6" s="1"/>
  <c r="AP201" i="6"/>
  <c r="AR201" i="6" s="1"/>
  <c r="AV203" i="6"/>
  <c r="AU203" i="6"/>
  <c r="AX203" i="6" s="1"/>
  <c r="AZ203" i="6"/>
  <c r="T203" i="6"/>
  <c r="U203" i="6"/>
  <c r="R204" i="6"/>
  <c r="S204" i="6" s="1"/>
  <c r="Q204" i="6"/>
  <c r="AW203" i="6" l="1"/>
  <c r="AY203" i="6"/>
  <c r="AQ201" i="6"/>
  <c r="T204" i="6"/>
  <c r="AU204" i="6"/>
  <c r="AX204" i="6" s="1"/>
  <c r="AZ204" i="6"/>
  <c r="AV204" i="6"/>
  <c r="U204" i="6"/>
  <c r="AO203" i="6"/>
  <c r="V203" i="6"/>
  <c r="AP202" i="6"/>
  <c r="AR202" i="6" s="1"/>
  <c r="W202" i="6"/>
  <c r="Y202" i="6" s="1"/>
  <c r="AT202" i="6"/>
  <c r="AQ202" i="6" l="1"/>
  <c r="AO204" i="6"/>
  <c r="V204" i="6"/>
  <c r="AP203" i="6"/>
  <c r="AR203" i="6" s="1"/>
  <c r="W203" i="6"/>
  <c r="Y203" i="6" s="1"/>
  <c r="AT203" i="6"/>
  <c r="AW204" i="6"/>
  <c r="AY204" i="6"/>
  <c r="AQ203" i="6" l="1"/>
  <c r="AP204" i="6"/>
  <c r="AR204" i="6" s="1"/>
  <c r="AS198" i="6" s="1"/>
  <c r="AT204" i="6"/>
  <c r="W204" i="6"/>
  <c r="Y204" i="6" s="1"/>
  <c r="Z4" i="6" s="1"/>
  <c r="AJ4" i="6" s="1"/>
  <c r="AS203" i="6" l="1"/>
  <c r="AS197" i="6"/>
  <c r="AS200" i="6"/>
  <c r="AQ204" i="6"/>
  <c r="AS204" i="6"/>
  <c r="AS19" i="6"/>
  <c r="AS28" i="6"/>
  <c r="AS24" i="6"/>
  <c r="AS10" i="6"/>
  <c r="AS22" i="6"/>
  <c r="AS16" i="6"/>
  <c r="AS8" i="6"/>
  <c r="AS26" i="6"/>
  <c r="AS12" i="6"/>
  <c r="AS41" i="6"/>
  <c r="AS38" i="6"/>
  <c r="AS45" i="6"/>
  <c r="AS14" i="6"/>
  <c r="AS33" i="6"/>
  <c r="AS27" i="6"/>
  <c r="AS30" i="6"/>
  <c r="AS25" i="6"/>
  <c r="AS29" i="6"/>
  <c r="AS46" i="6"/>
  <c r="AS43" i="6"/>
  <c r="AS37" i="6"/>
  <c r="AS15" i="6"/>
  <c r="AS36" i="6"/>
  <c r="AS13" i="6"/>
  <c r="AS17" i="6"/>
  <c r="AS7" i="6"/>
  <c r="AS11" i="6"/>
  <c r="AS9" i="6"/>
  <c r="AS4" i="6"/>
  <c r="M17" i="1" s="1"/>
  <c r="AS47" i="6"/>
  <c r="AS31" i="6"/>
  <c r="AS21" i="6"/>
  <c r="AS20" i="6"/>
  <c r="AS32" i="6"/>
  <c r="AS6" i="6"/>
  <c r="AS34" i="6"/>
  <c r="AS5" i="6"/>
  <c r="AS48" i="6"/>
  <c r="AS18" i="6"/>
  <c r="AS42" i="6"/>
  <c r="AS44" i="6"/>
  <c r="AS40" i="6"/>
  <c r="AS23" i="6"/>
  <c r="AS39" i="6"/>
  <c r="AS35" i="6"/>
  <c r="AS49" i="6"/>
  <c r="AS50" i="6"/>
  <c r="AS51" i="6"/>
  <c r="AS52" i="6"/>
  <c r="AS53" i="6"/>
  <c r="AS54" i="6"/>
  <c r="AS55" i="6"/>
  <c r="AS57" i="6"/>
  <c r="AS56" i="6"/>
  <c r="AS59" i="6"/>
  <c r="AS61" i="6"/>
  <c r="AS58" i="6"/>
  <c r="AS60" i="6"/>
  <c r="AS63" i="6"/>
  <c r="AS62" i="6"/>
  <c r="AS67" i="6"/>
  <c r="AS65" i="6"/>
  <c r="AS64" i="6"/>
  <c r="AS68" i="6"/>
  <c r="AS66" i="6"/>
  <c r="AS70" i="6"/>
  <c r="AS69" i="6"/>
  <c r="AS71" i="6"/>
  <c r="AS72" i="6"/>
  <c r="AS73" i="6"/>
  <c r="AS74" i="6"/>
  <c r="AS75" i="6"/>
  <c r="AS76" i="6"/>
  <c r="AS77" i="6"/>
  <c r="AS79" i="6"/>
  <c r="AS78" i="6"/>
  <c r="AS80" i="6"/>
  <c r="AS81" i="6"/>
  <c r="AS82" i="6"/>
  <c r="AS84" i="6"/>
  <c r="AS83" i="6"/>
  <c r="AS86" i="6"/>
  <c r="AS85" i="6"/>
  <c r="AS88" i="6"/>
  <c r="AS87" i="6"/>
  <c r="AS90" i="6"/>
  <c r="AS89" i="6"/>
  <c r="AS91" i="6"/>
  <c r="AS92" i="6"/>
  <c r="AS93" i="6"/>
  <c r="AS94" i="6"/>
  <c r="AS95" i="6"/>
  <c r="AS98" i="6"/>
  <c r="AS97" i="6"/>
  <c r="AS96" i="6"/>
  <c r="AS100" i="6"/>
  <c r="AS101" i="6"/>
  <c r="AS102" i="6"/>
  <c r="AS99" i="6"/>
  <c r="AS103" i="6"/>
  <c r="AS104" i="6"/>
  <c r="AS106" i="6"/>
  <c r="AS108" i="6"/>
  <c r="AS105" i="6"/>
  <c r="AS107" i="6"/>
  <c r="AS109" i="6"/>
  <c r="AS110" i="6"/>
  <c r="AS111" i="6"/>
  <c r="AS114" i="6"/>
  <c r="AS112" i="6"/>
  <c r="AS118" i="6"/>
  <c r="AS113" i="6"/>
  <c r="AS116" i="6"/>
  <c r="AS115" i="6"/>
  <c r="AS117" i="6"/>
  <c r="AS120" i="6"/>
  <c r="AS121" i="6"/>
  <c r="AS119" i="6"/>
  <c r="AS122" i="6"/>
  <c r="AS123" i="6"/>
  <c r="AS127" i="6"/>
  <c r="AS124" i="6"/>
  <c r="AS125" i="6"/>
  <c r="AS126" i="6"/>
  <c r="AS128" i="6"/>
  <c r="AS129" i="6"/>
  <c r="AS130" i="6"/>
  <c r="AS131" i="6"/>
  <c r="AS133" i="6"/>
  <c r="AS132" i="6"/>
  <c r="AS135" i="6"/>
  <c r="AS134" i="6"/>
  <c r="AS136" i="6"/>
  <c r="AS137" i="6"/>
  <c r="AS139" i="6"/>
  <c r="AS138" i="6"/>
  <c r="AS141" i="6"/>
  <c r="AS140" i="6"/>
  <c r="AS142" i="6"/>
  <c r="AS143" i="6"/>
  <c r="AS144" i="6"/>
  <c r="AS145" i="6"/>
  <c r="AS146" i="6"/>
  <c r="AS148" i="6"/>
  <c r="AS147" i="6"/>
  <c r="AS149" i="6"/>
  <c r="AS151" i="6"/>
  <c r="AS153" i="6"/>
  <c r="AS150" i="6"/>
  <c r="AS152" i="6"/>
  <c r="AS154" i="6"/>
  <c r="AS155" i="6"/>
  <c r="AS160" i="6"/>
  <c r="AS156" i="6"/>
  <c r="AS158" i="6"/>
  <c r="AS157" i="6"/>
  <c r="AS162" i="6"/>
  <c r="AS161" i="6"/>
  <c r="AS159" i="6"/>
  <c r="AS163" i="6"/>
  <c r="AS165" i="6"/>
  <c r="AS164" i="6"/>
  <c r="AS166" i="6"/>
  <c r="AS168" i="6"/>
  <c r="AS167" i="6"/>
  <c r="AS170" i="6"/>
  <c r="AS169" i="6"/>
  <c r="AS171" i="6"/>
  <c r="AS172" i="6"/>
  <c r="AS173" i="6"/>
  <c r="AS174" i="6"/>
  <c r="AS175" i="6"/>
  <c r="AS178" i="6"/>
  <c r="AS177" i="6"/>
  <c r="AS176" i="6"/>
  <c r="AS180" i="6"/>
  <c r="AS179" i="6"/>
  <c r="AS181" i="6"/>
  <c r="AS182" i="6"/>
  <c r="AS184" i="6"/>
  <c r="AS186" i="6"/>
  <c r="AS185" i="6"/>
  <c r="AS183" i="6"/>
  <c r="AS190" i="6"/>
  <c r="AS188" i="6"/>
  <c r="AS187" i="6"/>
  <c r="AS191" i="6"/>
  <c r="AS189" i="6"/>
  <c r="AS192" i="6"/>
  <c r="AS193" i="6"/>
  <c r="AS194" i="6"/>
  <c r="AS196" i="6"/>
  <c r="AS195" i="6"/>
  <c r="AS202" i="6"/>
  <c r="AS199" i="6"/>
  <c r="AS201" i="6"/>
  <c r="M11" i="1" l="1"/>
  <c r="M9" i="1"/>
  <c r="M12" i="1"/>
  <c r="M13" i="1"/>
  <c r="M10" i="1"/>
  <c r="M7" i="1"/>
  <c r="M8" i="1"/>
  <c r="M14" i="1"/>
  <c r="M6" i="1"/>
  <c r="M15" i="1"/>
  <c r="M16" i="1"/>
  <c r="M19" i="1" l="1"/>
  <c r="M20" i="1" s="1"/>
</calcChain>
</file>

<file path=xl/sharedStrings.xml><?xml version="1.0" encoding="utf-8"?>
<sst xmlns="http://schemas.openxmlformats.org/spreadsheetml/2006/main" count="209" uniqueCount="183">
  <si>
    <t>Damages</t>
  </si>
  <si>
    <t xml:space="preserve">Stranding costs </t>
  </si>
  <si>
    <t>TCRE</t>
  </si>
  <si>
    <t>Discount rate</t>
  </si>
  <si>
    <t>g</t>
  </si>
  <si>
    <t>Period</t>
  </si>
  <si>
    <t>decay rate of capital</t>
  </si>
  <si>
    <t>Initial states</t>
  </si>
  <si>
    <t>investment adjustment cost</t>
  </si>
  <si>
    <t>g_L</t>
  </si>
  <si>
    <t>labour growth</t>
  </si>
  <si>
    <t>share parameter of clean capital</t>
  </si>
  <si>
    <t>r-g</t>
  </si>
  <si>
    <t>decay rate of capital per unit of effective labour</t>
  </si>
  <si>
    <t>share parameter of dirty capital</t>
  </si>
  <si>
    <t>total capital</t>
  </si>
  <si>
    <t>autonomous decrease in carbon intensity</t>
  </si>
  <si>
    <t>MAC</t>
  </si>
  <si>
    <t>Technical change</t>
  </si>
  <si>
    <t>share of exogenous TC</t>
  </si>
  <si>
    <t>emissions</t>
  </si>
  <si>
    <t>k_ramsey</t>
  </si>
  <si>
    <t>k steady state in Ramsey model (without energy)k=((sigma+delta+etag)/alpha)^(1/alpha-1)</t>
  </si>
  <si>
    <t>shift in the MAC curve (0.01)</t>
  </si>
  <si>
    <t xml:space="preserve">Model </t>
  </si>
  <si>
    <t>Squared Error</t>
  </si>
  <si>
    <t>Slightly higher than in theory, due to effect of z</t>
  </si>
  <si>
    <t>MedianIPCC</t>
  </si>
  <si>
    <t>P25_IPCC</t>
  </si>
  <si>
    <t>P75_IPCC</t>
  </si>
  <si>
    <t>combined error</t>
  </si>
  <si>
    <t>time step</t>
  </si>
  <si>
    <t>discount factor</t>
  </si>
  <si>
    <t>ratio of renewable over all energy  from IEA (should be 0.16)</t>
  </si>
  <si>
    <t>mean emissions intensity at start</t>
  </si>
  <si>
    <t>investment adjustment cost for negative investments</t>
  </si>
  <si>
    <t>share of capital income in national income</t>
  </si>
  <si>
    <t>2 reasons for high total abatement costs: 1) this model abates fast, therefore GDP is lower than in IPCC models for a given level of abatement 2) abatement costs reduce the return on all types of capital and lead to lower kf</t>
  </si>
  <si>
    <t>r</t>
  </si>
  <si>
    <t>Intercept</t>
  </si>
  <si>
    <t>cells to optimize in ExoDamages</t>
  </si>
  <si>
    <t>$B$4:$D$18,$B$20:$D$20,$B$22:$D$22,$B$24:$D$24,$B$29:$D$29,$B$34:$D$34,$B$44:$D$44,$B$54:$D$54,$B$64:$D$64,$B$74:$D$74,$B$84:$D$84,$B$94:$D$94</t>
  </si>
  <si>
    <t>varespilon</t>
  </si>
  <si>
    <t>parameter in softplus function</t>
  </si>
  <si>
    <t>vareps2</t>
  </si>
  <si>
    <t>shift in softplus of stranding (0.004)</t>
  </si>
  <si>
    <t>P_BAU</t>
  </si>
  <si>
    <t>Y_E*E/Y</t>
  </si>
  <si>
    <t>Y_kf*kf/Y</t>
  </si>
  <si>
    <t>share of final capital income in GDP</t>
  </si>
  <si>
    <t>share of energy capital in GDP</t>
  </si>
  <si>
    <t>ratio of renewable over clean energy</t>
  </si>
  <si>
    <t>LR elasticity wrt M for initial clean productivity</t>
  </si>
  <si>
    <t>E_kc at initial capital ratios</t>
  </si>
  <si>
    <t>total damage for 1°C/2 (0.0154 before)</t>
  </si>
  <si>
    <t>Learning rate</t>
  </si>
  <si>
    <t>elasticity wrt M for LT clean productivity</t>
  </si>
  <si>
    <t>Learning rate at initial k_j</t>
  </si>
  <si>
    <t>i_d[t]</t>
  </si>
  <si>
    <t>i_c[t]</t>
  </si>
  <si>
    <t>i_f[t]</t>
  </si>
  <si>
    <t>k_d[t]</t>
  </si>
  <si>
    <t>k_c[t]</t>
  </si>
  <si>
    <t>k_f[t]</t>
  </si>
  <si>
    <t>k_s[t]</t>
  </si>
  <si>
    <t>L[t]</t>
  </si>
  <si>
    <t>A[t]</t>
  </si>
  <si>
    <t>P[t]</t>
  </si>
  <si>
    <t>S[t]</t>
  </si>
  <si>
    <t>T[t]</t>
  </si>
  <si>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[t]</t>
    </r>
  </si>
  <si>
    <t>M[t]/M[0]</t>
  </si>
  <si>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exp(g_</t>
    </r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  <scheme val="minor"/>
      </rPr>
      <t>)*t</t>
    </r>
  </si>
  <si>
    <t>TC[t]</t>
  </si>
  <si>
    <r>
      <rPr>
        <sz val="11"/>
        <color theme="1"/>
        <rFont val="Aptos Narrow"/>
        <family val="2"/>
      </rPr>
      <t>ε</t>
    </r>
    <r>
      <rPr>
        <sz val="11"/>
        <color theme="1"/>
        <rFont val="Calibri"/>
        <family val="2"/>
      </rPr>
      <t>[t]</t>
    </r>
  </si>
  <si>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</rPr>
      <t>[t]</t>
    </r>
  </si>
  <si>
    <t>E[t]/(A[t]*L[t])</t>
  </si>
  <si>
    <t>y[t]</t>
  </si>
  <si>
    <t>c[t]</t>
  </si>
  <si>
    <r>
      <rPr>
        <sz val="11"/>
        <color theme="1"/>
        <rFont val="Aptos Narrow"/>
        <family val="2"/>
      </rPr>
      <t>β</t>
    </r>
    <r>
      <rPr>
        <sz val="11"/>
        <color theme="1"/>
        <rFont val="Calibri"/>
        <family val="2"/>
      </rPr>
      <t>^t</t>
    </r>
  </si>
  <si>
    <t>β^t * u(c[t])</t>
  </si>
  <si>
    <t>W</t>
  </si>
  <si>
    <t>FD id/kd</t>
  </si>
  <si>
    <t>FD ic/kc</t>
  </si>
  <si>
    <t>FD if/kf</t>
  </si>
  <si>
    <t>Discounted sum of FDs</t>
  </si>
  <si>
    <t>SD id/kd</t>
  </si>
  <si>
    <t>SD ic/kc</t>
  </si>
  <si>
    <t>SD if/kf</t>
  </si>
  <si>
    <t>Discounted sum of SDs</t>
  </si>
  <si>
    <t>W w/ penalty</t>
  </si>
  <si>
    <t>s[t]</t>
  </si>
  <si>
    <t>Penalty weights</t>
  </si>
  <si>
    <t>FD</t>
  </si>
  <si>
    <t>SD</t>
  </si>
  <si>
    <t>K_s[t]</t>
  </si>
  <si>
    <t>K_d[t]</t>
  </si>
  <si>
    <t>E[t]</t>
  </si>
  <si>
    <t>Y[t]</t>
  </si>
  <si>
    <t>SCC[t]</t>
  </si>
  <si>
    <t>Mgl damage[t] ($)</t>
  </si>
  <si>
    <t>Mgl damage[t] (utils)</t>
  </si>
  <si>
    <t>δ</t>
  </si>
  <si>
    <t>χ</t>
  </si>
  <si>
    <r>
      <rPr>
        <sz val="11"/>
        <color theme="1"/>
        <rFont val="Aptos Narrow"/>
        <family val="2"/>
      </rPr>
      <t>χ</t>
    </r>
    <r>
      <rPr>
        <sz val="11"/>
        <color theme="1"/>
        <rFont val="Calibri"/>
        <family val="2"/>
        <scheme val="minor"/>
      </rPr>
      <t>_s</t>
    </r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</si>
  <si>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>+g_L+g</t>
    </r>
  </si>
  <si>
    <t>α</t>
  </si>
  <si>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  <scheme val="minor"/>
      </rPr>
      <t>_f</t>
    </r>
  </si>
  <si>
    <r>
      <rPr>
        <sz val="11"/>
        <color theme="1"/>
        <rFont val="Aptos Narrow"/>
        <family val="2"/>
      </rPr>
      <t>ε</t>
    </r>
    <r>
      <rPr>
        <sz val="11"/>
        <color theme="1"/>
        <rFont val="Calibri"/>
        <family val="2"/>
        <scheme val="minor"/>
      </rPr>
      <t>_f</t>
    </r>
  </si>
  <si>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  <scheme val="minor"/>
      </rPr>
      <t>_f</t>
    </r>
  </si>
  <si>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  <scheme val="minor"/>
      </rPr>
      <t>_E</t>
    </r>
  </si>
  <si>
    <r>
      <rPr>
        <sz val="11"/>
        <color theme="1"/>
        <rFont val="Aptos Narrow"/>
        <family val="2"/>
      </rPr>
      <t>σ[</t>
    </r>
    <r>
      <rPr>
        <sz val="11"/>
        <color theme="1"/>
        <rFont val="Calibri"/>
        <family val="2"/>
        <scheme val="minor"/>
      </rPr>
      <t>0]</t>
    </r>
  </si>
  <si>
    <r>
      <rPr>
        <sz val="11"/>
        <color theme="1"/>
        <rFont val="Aptos Narrow"/>
        <family val="2"/>
      </rPr>
      <t>ε</t>
    </r>
    <r>
      <rPr>
        <sz val="9.9"/>
        <color theme="1"/>
        <rFont val="Calibri"/>
        <family val="2"/>
      </rPr>
      <t>[0]</t>
    </r>
  </si>
  <si>
    <r>
      <rPr>
        <sz val="11"/>
        <color theme="1"/>
        <rFont val="Aptos Narrow"/>
        <family val="2"/>
      </rPr>
      <t>θ</t>
    </r>
    <r>
      <rPr>
        <sz val="11"/>
        <color theme="1"/>
        <rFont val="Calibri"/>
        <family val="2"/>
        <scheme val="minor"/>
      </rPr>
      <t>_d</t>
    </r>
  </si>
  <si>
    <r>
      <t>k_c/(k_c+k_d+</t>
    </r>
    <r>
      <rPr>
        <sz val="11"/>
        <color theme="1"/>
        <rFont val="Aptos Narrow"/>
        <family val="2"/>
      </rPr>
      <t>ξ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</si>
  <si>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Aptos Narrow"/>
        <family val="2"/>
      </rPr>
      <t>θ</t>
    </r>
    <r>
      <rPr>
        <sz val="11"/>
        <color theme="1"/>
        <rFont val="Calibri"/>
        <family val="2"/>
        <scheme val="minor"/>
      </rPr>
      <t>_c</t>
    </r>
  </si>
  <si>
    <r>
      <t>k_c/(k_d+</t>
    </r>
    <r>
      <rPr>
        <sz val="11"/>
        <color theme="1"/>
        <rFont val="Aptos Narrow"/>
        <family val="2"/>
      </rPr>
      <t>ξ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</si>
  <si>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  <scheme val="minor"/>
      </rPr>
      <t>_c</t>
    </r>
  </si>
  <si>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  <scheme val="minor"/>
      </rPr>
      <t>_d</t>
    </r>
  </si>
  <si>
    <t>ξ</t>
  </si>
  <si>
    <t>L[0]</t>
  </si>
  <si>
    <t>A[0]</t>
  </si>
  <si>
    <t>Y[0]</t>
  </si>
  <si>
    <t>k_d[0]</t>
  </si>
  <si>
    <t>k_c[0]</t>
  </si>
  <si>
    <t>k_f[0]</t>
  </si>
  <si>
    <t>K_d[0]</t>
  </si>
  <si>
    <t>K_c[0]</t>
  </si>
  <si>
    <t>K_f[0]</t>
  </si>
  <si>
    <t>K[0]=(k_f[0]+k_d[0]+k_c[0])*A[0]L[0]</t>
  </si>
  <si>
    <t>E[0]</t>
  </si>
  <si>
    <t>k_c/(k_c+k_d)</t>
  </si>
  <si>
    <r>
      <rPr>
        <sz val="11"/>
        <color theme="1"/>
        <rFont val="Aptos Narrow"/>
        <family val="2"/>
      </rPr>
      <t>ψ_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</si>
  <si>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Aptos Narrow"/>
        <family val="2"/>
      </rPr>
      <t>ψ</t>
    </r>
    <r>
      <rPr>
        <sz val="9.9"/>
        <color theme="1"/>
        <rFont val="Calibri"/>
        <family val="2"/>
      </rPr>
      <t>_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</si>
  <si>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Aptos Narrow"/>
        <family val="2"/>
      </rPr>
      <t>ψ</t>
    </r>
    <r>
      <rPr>
        <sz val="9.9"/>
        <color theme="1"/>
        <rFont val="Calibri"/>
        <family val="2"/>
      </rPr>
      <t>_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</si>
  <si>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Aptos Narrow"/>
        <family val="2"/>
      </rPr>
      <t>ψ</t>
    </r>
    <r>
      <rPr>
        <sz val="11"/>
        <color theme="1"/>
        <rFont val="Calibri"/>
        <family val="2"/>
        <scheme val="minor"/>
      </rPr>
      <t>_min</t>
    </r>
  </si>
  <si>
    <t>\bar{ψ}</t>
  </si>
  <si>
    <r>
      <t>g_</t>
    </r>
    <r>
      <rPr>
        <sz val="11"/>
        <color theme="1"/>
        <rFont val="Aptos Narrow"/>
        <family val="2"/>
      </rPr>
      <t>ψ</t>
    </r>
  </si>
  <si>
    <t>ζ</t>
  </si>
  <si>
    <t>γ</t>
  </si>
  <si>
    <t>T[0]</t>
  </si>
  <si>
    <t>ρ</t>
  </si>
  <si>
    <t>η</t>
  </si>
  <si>
    <r>
      <t>r+</t>
    </r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>+g_L</t>
    </r>
  </si>
  <si>
    <t>β</t>
  </si>
  <si>
    <r>
      <t>g_</t>
    </r>
    <r>
      <rPr>
        <sz val="11"/>
        <color theme="1"/>
        <rFont val="Aptos Narrow"/>
        <family val="2"/>
      </rPr>
      <t>σ</t>
    </r>
  </si>
  <si>
    <t>ω</t>
  </si>
  <si>
    <t>M[0]</t>
  </si>
  <si>
    <r>
      <t>ω*M[t]^-</t>
    </r>
    <r>
      <rPr>
        <i/>
        <sz val="11"/>
        <color theme="1"/>
        <rFont val="Aptos Narrow"/>
        <family val="2"/>
      </rPr>
      <t>ρ</t>
    </r>
  </si>
  <si>
    <r>
      <t>A[0]L[0]</t>
    </r>
    <r>
      <rPr>
        <sz val="11"/>
        <color theme="1"/>
        <rFont val="Aptos Narrow"/>
        <family val="2"/>
      </rPr>
      <t>ψ</t>
    </r>
    <r>
      <rPr>
        <sz val="11"/>
        <color theme="1"/>
        <rFont val="Calibri"/>
        <family val="2"/>
        <scheme val="minor"/>
      </rPr>
      <t>/(</t>
    </r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  <scheme val="minor"/>
      </rPr>
      <t>+g_</t>
    </r>
    <r>
      <rPr>
        <sz val="11"/>
        <color theme="1"/>
        <rFont val="Aptos Narrow"/>
        <family val="2"/>
      </rPr>
      <t>ψ</t>
    </r>
    <r>
      <rPr>
        <sz val="11"/>
        <color theme="1"/>
        <rFont val="Calibri"/>
        <family val="2"/>
        <scheme val="minor"/>
      </rPr>
      <t>)</t>
    </r>
  </si>
  <si>
    <t>Production and capital accumulation</t>
  </si>
  <si>
    <t>k_d[0] theory</t>
  </si>
  <si>
    <t>k_c[0] theory</t>
  </si>
  <si>
    <t>k_f[0] theory</t>
  </si>
  <si>
    <t xml:space="preserve">elasticity of substitution between energy and final capital </t>
  </si>
  <si>
    <t>share parameter of final-good capital</t>
  </si>
  <si>
    <t>share parameter of energy capital, using Y_k_f=Y_k_c</t>
  </si>
  <si>
    <t>elasticity of substitution between clean and dirty capital in energy sector (initially 2)</t>
  </si>
  <si>
    <t>1-1/sigma</t>
  </si>
  <si>
    <t>ratio of dirty capital over final capital (k_d+xi)/k_f</t>
  </si>
  <si>
    <t>ratio of renewable capital over final capital k_c/k_f</t>
  </si>
  <si>
    <t>initial dirty capital (ss in constantT&amp;epsilon sheet)</t>
  </si>
  <si>
    <t>initial clean capital (ss in constantT&amp;epsilon sheet)</t>
  </si>
  <si>
    <t>initial final capital (ss in constantT&amp;epsilon sheet)</t>
  </si>
  <si>
    <t>initial Labour</t>
  </si>
  <si>
    <t>tfp (targeting Y0)</t>
  </si>
  <si>
    <t>initial GDP (trillion $, MERs)</t>
  </si>
  <si>
    <t xml:space="preserve">initial business as usual emissions </t>
  </si>
  <si>
    <t>cumulative stranded emissions per unit of stranded capital k_s at time zero</t>
  </si>
  <si>
    <t>highest carbon intensity in GtCO2/T$, that is kg per $ (sum of a and c from calibration)</t>
  </si>
  <si>
    <t>degrowth rate of psi as a function of cumulative stranded emissions (calibrated parameter per Billion $ multiplied by 1000)</t>
  </si>
  <si>
    <t>lowest emissions intensity of capital at start</t>
  </si>
  <si>
    <t>initial temperature</t>
  </si>
  <si>
    <t xml:space="preserve">pure time preference rate </t>
  </si>
  <si>
    <t>elasticity of marginal utility of consumption</t>
  </si>
  <si>
    <t>productivity growth</t>
  </si>
  <si>
    <t>elasticity of endogenous TC</t>
  </si>
  <si>
    <t>initial cumulative abatement</t>
  </si>
  <si>
    <t>6 states: k_f, k_d, k_c, k_s, T, time</t>
  </si>
  <si>
    <t>growth rate of exogenous TC (0.027)</t>
  </si>
  <si>
    <t>steady state capital return</t>
  </si>
  <si>
    <t>steady state i/k</t>
  </si>
  <si>
    <t>steady state i/k, approximation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</si>
</sst>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"/>
    <numFmt numFmtId="166" formatCode="0.0%"/>
    <numFmt numFmtId="167" formatCode="0.0000"/>
    <numFmt numFmtId="168" formatCode="0.0E+00"/>
    <numFmt numFmtId="169" formatCode="0.0"/>
    <numFmt numFmtId="170" formatCode="0.000000000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9"/>
      <color theme="1"/>
      <name val="Calibri"/>
      <family val="2"/>
    </font>
    <font>
      <i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3" fillId="0" borderId="0" xfId="0" applyFont="1"/>
    <xf numFmtId="165" fontId="1" fillId="0" borderId="0" xfId="0" applyNumberFormat="1" applyFont="1"/>
    <xf numFmtId="166" fontId="0" fillId="0" borderId="0" xfId="1" applyNumberFormat="1" applyFont="1"/>
    <xf numFmtId="2" fontId="0" fillId="0" borderId="1" xfId="0" applyNumberFormat="1" applyBorder="1"/>
    <xf numFmtId="2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168" fontId="0" fillId="0" borderId="0" xfId="0" applyNumberFormat="1"/>
    <xf numFmtId="169" fontId="0" fillId="0" borderId="0" xfId="0" applyNumberFormat="1"/>
    <xf numFmtId="169" fontId="0" fillId="0" borderId="1" xfId="0" applyNumberFormat="1" applyBorder="1"/>
    <xf numFmtId="167" fontId="0" fillId="0" borderId="0" xfId="0" applyNumberFormat="1"/>
    <xf numFmtId="2" fontId="0" fillId="2" borderId="0" xfId="0" applyNumberFormat="1" applyFill="1"/>
    <xf numFmtId="166" fontId="0" fillId="0" borderId="1" xfId="1" applyNumberFormat="1" applyFont="1" applyBorder="1"/>
    <xf numFmtId="170" fontId="0" fillId="0" borderId="0" xfId="0" applyNumberFormat="1"/>
    <xf numFmtId="11" fontId="3" fillId="0" borderId="0" xfId="0" applyNumberFormat="1" applyFont="1"/>
    <xf numFmtId="2" fontId="4" fillId="0" borderId="0" xfId="0" applyNumberFormat="1" applyFont="1"/>
    <xf numFmtId="0" fontId="0" fillId="0" borderId="0" xfId="0" applyAlignment="1">
      <alignment wrapText="1"/>
    </xf>
    <xf numFmtId="166" fontId="0" fillId="0" borderId="0" xfId="1" applyNumberFormat="1" applyFont="1" applyBorder="1"/>
    <xf numFmtId="165" fontId="4" fillId="0" borderId="0" xfId="0" applyNumberFormat="1" applyFont="1"/>
    <xf numFmtId="165" fontId="3" fillId="0" borderId="1" xfId="0" applyNumberFormat="1" applyFont="1" applyBorder="1"/>
    <xf numFmtId="2" fontId="3" fillId="0" borderId="1" xfId="0" applyNumberFormat="1" applyFont="1" applyBorder="1"/>
    <xf numFmtId="11" fontId="5" fillId="0" borderId="0" xfId="0" applyNumberFormat="1" applyFont="1"/>
    <xf numFmtId="0" fontId="0" fillId="3" borderId="0" xfId="0" applyFill="1"/>
    <xf numFmtId="165" fontId="3" fillId="3" borderId="0" xfId="0" applyNumberFormat="1" applyFont="1" applyFill="1"/>
    <xf numFmtId="2" fontId="0" fillId="3" borderId="0" xfId="0" applyNumberFormat="1" applyFill="1"/>
    <xf numFmtId="165" fontId="0" fillId="3" borderId="0" xfId="0" applyNumberFormat="1" applyFill="1"/>
    <xf numFmtId="169" fontId="0" fillId="3" borderId="0" xfId="0" applyNumberFormat="1" applyFill="1"/>
    <xf numFmtId="1" fontId="0" fillId="3" borderId="0" xfId="0" applyNumberFormat="1" applyFill="1"/>
    <xf numFmtId="166" fontId="0" fillId="3" borderId="0" xfId="1" applyNumberFormat="1" applyFont="1" applyFill="1"/>
    <xf numFmtId="168" fontId="0" fillId="3" borderId="0" xfId="0" applyNumberFormat="1" applyFill="1"/>
    <xf numFmtId="165" fontId="6" fillId="0" borderId="0" xfId="0" applyNumberFormat="1" applyFont="1"/>
    <xf numFmtId="0" fontId="7" fillId="0" borderId="0" xfId="0" applyFont="1"/>
    <xf numFmtId="0" fontId="8" fillId="0" borderId="0" xfId="0" applyFont="1"/>
    <xf numFmtId="0" fontId="10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</a:t>
            </a:r>
            <a:r>
              <a:rPr lang="en-BE"/>
              <a:t>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'6states'!$K$4:$K$104</c:f>
              <c:numCache>
                <c:formatCode>0.0</c:formatCode>
                <c:ptCount val="101"/>
                <c:pt idx="0">
                  <c:v>53.200000000000017</c:v>
                </c:pt>
                <c:pt idx="1">
                  <c:v>42.49329783048362</c:v>
                </c:pt>
                <c:pt idx="2">
                  <c:v>39.005797201957783</c:v>
                </c:pt>
                <c:pt idx="3">
                  <c:v>36.362440416506708</c:v>
                </c:pt>
                <c:pt idx="4">
                  <c:v>34.08506521013436</c:v>
                </c:pt>
                <c:pt idx="5">
                  <c:v>32.033807043872109</c:v>
                </c:pt>
                <c:pt idx="6">
                  <c:v>30.167742464749892</c:v>
                </c:pt>
                <c:pt idx="7">
                  <c:v>28.524175649648722</c:v>
                </c:pt>
                <c:pt idx="8">
                  <c:v>26.809679802340593</c:v>
                </c:pt>
                <c:pt idx="9">
                  <c:v>25.395103687225948</c:v>
                </c:pt>
                <c:pt idx="10">
                  <c:v>25.08058428328933</c:v>
                </c:pt>
                <c:pt idx="11">
                  <c:v>25.397480973466084</c:v>
                </c:pt>
                <c:pt idx="12">
                  <c:v>25.995004817336071</c:v>
                </c:pt>
                <c:pt idx="13">
                  <c:v>26.589699239015228</c:v>
                </c:pt>
                <c:pt idx="14">
                  <c:v>26.748414705228171</c:v>
                </c:pt>
                <c:pt idx="15">
                  <c:v>25.26994748986111</c:v>
                </c:pt>
                <c:pt idx="16">
                  <c:v>23.500600111364083</c:v>
                </c:pt>
                <c:pt idx="17">
                  <c:v>22.272457887099844</c:v>
                </c:pt>
                <c:pt idx="18">
                  <c:v>21.054012163860559</c:v>
                </c:pt>
                <c:pt idx="19">
                  <c:v>19.945293556616924</c:v>
                </c:pt>
                <c:pt idx="20">
                  <c:v>18.979449721189347</c:v>
                </c:pt>
                <c:pt idx="21">
                  <c:v>18.123214786108083</c:v>
                </c:pt>
                <c:pt idx="22">
                  <c:v>17.374241123594079</c:v>
                </c:pt>
                <c:pt idx="23">
                  <c:v>16.740166571499135</c:v>
                </c:pt>
                <c:pt idx="24">
                  <c:v>16.131972374690381</c:v>
                </c:pt>
                <c:pt idx="25">
                  <c:v>15.543034843745341</c:v>
                </c:pt>
                <c:pt idx="26">
                  <c:v>14.961124460576455</c:v>
                </c:pt>
                <c:pt idx="27">
                  <c:v>14.375803597772187</c:v>
                </c:pt>
                <c:pt idx="28">
                  <c:v>13.829929836216763</c:v>
                </c:pt>
                <c:pt idx="29">
                  <c:v>13.322873054933051</c:v>
                </c:pt>
                <c:pt idx="30">
                  <c:v>12.861964165385208</c:v>
                </c:pt>
                <c:pt idx="31">
                  <c:v>12.449297677321526</c:v>
                </c:pt>
                <c:pt idx="32">
                  <c:v>12.086063335175465</c:v>
                </c:pt>
                <c:pt idx="33">
                  <c:v>11.776505833393276</c:v>
                </c:pt>
                <c:pt idx="34">
                  <c:v>11.516989095611407</c:v>
                </c:pt>
                <c:pt idx="35">
                  <c:v>11.311901126057084</c:v>
                </c:pt>
                <c:pt idx="36">
                  <c:v>10.866089184353193</c:v>
                </c:pt>
                <c:pt idx="37">
                  <c:v>10.427005502130696</c:v>
                </c:pt>
                <c:pt idx="38">
                  <c:v>10.013077120465184</c:v>
                </c:pt>
                <c:pt idx="39">
                  <c:v>9.6230690515304218</c:v>
                </c:pt>
                <c:pt idx="40">
                  <c:v>9.262703913035649</c:v>
                </c:pt>
                <c:pt idx="41">
                  <c:v>8.9306612701751718</c:v>
                </c:pt>
                <c:pt idx="42">
                  <c:v>8.6201350009637459</c:v>
                </c:pt>
                <c:pt idx="43">
                  <c:v>8.3301096025148507</c:v>
                </c:pt>
                <c:pt idx="44">
                  <c:v>8.0596219850381665</c:v>
                </c:pt>
                <c:pt idx="45">
                  <c:v>7.7624182158512145</c:v>
                </c:pt>
                <c:pt idx="46">
                  <c:v>7.4384302793765231</c:v>
                </c:pt>
                <c:pt idx="47">
                  <c:v>6.8910544222671879</c:v>
                </c:pt>
                <c:pt idx="48">
                  <c:v>6.6754684649426013</c:v>
                </c:pt>
                <c:pt idx="49">
                  <c:v>6.595953290217107</c:v>
                </c:pt>
                <c:pt idx="50">
                  <c:v>6.4489424094118721</c:v>
                </c:pt>
                <c:pt idx="51">
                  <c:v>6.2876906012256137</c:v>
                </c:pt>
                <c:pt idx="52">
                  <c:v>6.1122171595593198</c:v>
                </c:pt>
                <c:pt idx="53">
                  <c:v>5.922515190411282</c:v>
                </c:pt>
                <c:pt idx="54">
                  <c:v>5.7185489722364151</c:v>
                </c:pt>
                <c:pt idx="55">
                  <c:v>5.538432535910121</c:v>
                </c:pt>
                <c:pt idx="56">
                  <c:v>5.3811778177300704</c:v>
                </c:pt>
                <c:pt idx="57">
                  <c:v>5.2458446086759762</c:v>
                </c:pt>
                <c:pt idx="58">
                  <c:v>5.1315395340096712</c:v>
                </c:pt>
                <c:pt idx="59">
                  <c:v>5.0325322894172952</c:v>
                </c:pt>
                <c:pt idx="60">
                  <c:v>4.9482068337635301</c:v>
                </c:pt>
                <c:pt idx="61">
                  <c:v>4.8779819020886492</c:v>
                </c:pt>
                <c:pt idx="62">
                  <c:v>4.8213100391228041</c:v>
                </c:pt>
                <c:pt idx="63">
                  <c:v>4.7462474414837557</c:v>
                </c:pt>
                <c:pt idx="64">
                  <c:v>4.6529534525370142</c:v>
                </c:pt>
                <c:pt idx="65">
                  <c:v>4.5415597718412055</c:v>
                </c:pt>
                <c:pt idx="66">
                  <c:v>4.4121658919778151</c:v>
                </c:pt>
                <c:pt idx="67">
                  <c:v>4.2141139530718554</c:v>
                </c:pt>
                <c:pt idx="68">
                  <c:v>4.0022508993643298</c:v>
                </c:pt>
                <c:pt idx="69">
                  <c:v>3.7848399895742753</c:v>
                </c:pt>
                <c:pt idx="70">
                  <c:v>3.5705327939594853</c:v>
                </c:pt>
                <c:pt idx="71">
                  <c:v>3.3668252346850021</c:v>
                </c:pt>
                <c:pt idx="72">
                  <c:v>3.1788713121051737</c:v>
                </c:pt>
                <c:pt idx="73">
                  <c:v>3.0093777585487875</c:v>
                </c:pt>
                <c:pt idx="74">
                  <c:v>2.8576699829340955</c:v>
                </c:pt>
                <c:pt idx="75">
                  <c:v>2.7212966430731682</c:v>
                </c:pt>
                <c:pt idx="76">
                  <c:v>2.596942910328111</c:v>
                </c:pt>
                <c:pt idx="77">
                  <c:v>2.4812412355652564</c:v>
                </c:pt>
                <c:pt idx="78">
                  <c:v>2.3713059806382617</c:v>
                </c:pt>
                <c:pt idx="79">
                  <c:v>2.2649572448318884</c:v>
                </c:pt>
                <c:pt idx="80">
                  <c:v>2.1607041277023198</c:v>
                </c:pt>
                <c:pt idx="81">
                  <c:v>2.0575989505786443</c:v>
                </c:pt>
                <c:pt idx="82">
                  <c:v>1.9550602928982617</c:v>
                </c:pt>
                <c:pt idx="83">
                  <c:v>1.8550347438119006</c:v>
                </c:pt>
                <c:pt idx="84">
                  <c:v>1.7572348982396058</c:v>
                </c:pt>
                <c:pt idx="85">
                  <c:v>1.6614416872208637</c:v>
                </c:pt>
                <c:pt idx="86">
                  <c:v>1.5674659123096482</c:v>
                </c:pt>
                <c:pt idx="87">
                  <c:v>1.4751339203138827</c:v>
                </c:pt>
                <c:pt idx="88">
                  <c:v>1.3842819765967336</c:v>
                </c:pt>
                <c:pt idx="89">
                  <c:v>1.2947540225536716</c:v>
                </c:pt>
                <c:pt idx="90">
                  <c:v>1.2064006822095543</c:v>
                </c:pt>
                <c:pt idx="91">
                  <c:v>1.1190787117598209</c:v>
                </c:pt>
                <c:pt idx="92">
                  <c:v>1.0326506051711986</c:v>
                </c:pt>
                <c:pt idx="93">
                  <c:v>0.95146717013045634</c:v>
                </c:pt>
                <c:pt idx="94">
                  <c:v>0.87528768763760934</c:v>
                </c:pt>
                <c:pt idx="95">
                  <c:v>0.80388423363884831</c:v>
                </c:pt>
                <c:pt idx="96">
                  <c:v>0.73704103654284414</c:v>
                </c:pt>
                <c:pt idx="97">
                  <c:v>0.67455386784869953</c:v>
                </c:pt>
                <c:pt idx="98">
                  <c:v>0.61622946401061351</c:v>
                </c:pt>
                <c:pt idx="99">
                  <c:v>0.56188497791181313</c:v>
                </c:pt>
                <c:pt idx="100">
                  <c:v>0.51134745843406004</c:v>
                </c:pt>
              </c:numCache>
            </c:numRef>
          </c:xVal>
          <c:yVal>
            <c:numRef>
              <c:f>'6states'!$AS$4:$AS$104</c:f>
              <c:numCache>
                <c:formatCode>0.00</c:formatCode>
                <c:ptCount val="101"/>
                <c:pt idx="0">
                  <c:v>171.50604882774317</c:v>
                </c:pt>
                <c:pt idx="1">
                  <c:v>175.71980726120478</c:v>
                </c:pt>
                <c:pt idx="2">
                  <c:v>180.01661336124261</c:v>
                </c:pt>
                <c:pt idx="3">
                  <c:v>184.39914868419132</c:v>
                </c:pt>
                <c:pt idx="4">
                  <c:v>188.87099297450763</c:v>
                </c:pt>
                <c:pt idx="5">
                  <c:v>193.43569317485534</c:v>
                </c:pt>
                <c:pt idx="6">
                  <c:v>198.09677165526975</c:v>
                </c:pt>
                <c:pt idx="7">
                  <c:v>202.85758486047129</c:v>
                </c:pt>
                <c:pt idx="8">
                  <c:v>207.72091764963207</c:v>
                </c:pt>
                <c:pt idx="9">
                  <c:v>212.69114119216135</c:v>
                </c:pt>
                <c:pt idx="10">
                  <c:v>217.77041947074568</c:v>
                </c:pt>
                <c:pt idx="11">
                  <c:v>222.95417096931902</c:v>
                </c:pt>
                <c:pt idx="12">
                  <c:v>228.23991021679825</c:v>
                </c:pt>
                <c:pt idx="13">
                  <c:v>233.62744238747499</c:v>
                </c:pt>
                <c:pt idx="14">
                  <c:v>239.11817253297681</c:v>
                </c:pt>
                <c:pt idx="15">
                  <c:v>244.71588832848832</c:v>
                </c:pt>
                <c:pt idx="16">
                  <c:v>250.42926646955542</c:v>
                </c:pt>
                <c:pt idx="17">
                  <c:v>256.26342228774968</c:v>
                </c:pt>
                <c:pt idx="18">
                  <c:v>262.22061260745079</c:v>
                </c:pt>
                <c:pt idx="19">
                  <c:v>268.30455077565512</c:v>
                </c:pt>
                <c:pt idx="20">
                  <c:v>274.51837412988999</c:v>
                </c:pt>
                <c:pt idx="21">
                  <c:v>280.86488674577038</c:v>
                </c:pt>
                <c:pt idx="22">
                  <c:v>287.3468927289955</c:v>
                </c:pt>
                <c:pt idx="23">
                  <c:v>293.96705733185019</c:v>
                </c:pt>
                <c:pt idx="24">
                  <c:v>300.72792809241992</c:v>
                </c:pt>
                <c:pt idx="25">
                  <c:v>307.63254665522226</c:v>
                </c:pt>
                <c:pt idx="26">
                  <c:v>314.68400955798512</c:v>
                </c:pt>
                <c:pt idx="27">
                  <c:v>321.88554606577975</c:v>
                </c:pt>
                <c:pt idx="28">
                  <c:v>329.2404795417952</c:v>
                </c:pt>
                <c:pt idx="29">
                  <c:v>336.75197446044825</c:v>
                </c:pt>
                <c:pt idx="30">
                  <c:v>344.42321340760986</c:v>
                </c:pt>
                <c:pt idx="31">
                  <c:v>352.25734636912915</c:v>
                </c:pt>
                <c:pt idx="32">
                  <c:v>360.25751940991057</c:v>
                </c:pt>
                <c:pt idx="33">
                  <c:v>368.42690967449744</c:v>
                </c:pt>
                <c:pt idx="34">
                  <c:v>376.76867445573117</c:v>
                </c:pt>
                <c:pt idx="35">
                  <c:v>385.2859815561925</c:v>
                </c:pt>
                <c:pt idx="36">
                  <c:v>393.98196652639558</c:v>
                </c:pt>
                <c:pt idx="37">
                  <c:v>402.86018463615426</c:v>
                </c:pt>
                <c:pt idx="38">
                  <c:v>411.92426338010944</c:v>
                </c:pt>
                <c:pt idx="39">
                  <c:v>421.17784196156595</c:v>
                </c:pt>
                <c:pt idx="40">
                  <c:v>430.62460170875931</c:v>
                </c:pt>
                <c:pt idx="41">
                  <c:v>440.2681636059009</c:v>
                </c:pt>
                <c:pt idx="42">
                  <c:v>450.11217267884376</c:v>
                </c:pt>
                <c:pt idx="43">
                  <c:v>460.16038460887859</c:v>
                </c:pt>
                <c:pt idx="44">
                  <c:v>470.41659288528462</c:v>
                </c:pt>
                <c:pt idx="45">
                  <c:v>480.88462845925</c:v>
                </c:pt>
                <c:pt idx="46">
                  <c:v>491.56919640901373</c:v>
                </c:pt>
                <c:pt idx="47">
                  <c:v>502.47519133679646</c:v>
                </c:pt>
                <c:pt idx="48">
                  <c:v>513.608107261182</c:v>
                </c:pt>
                <c:pt idx="49">
                  <c:v>524.97128766482206</c:v>
                </c:pt>
                <c:pt idx="50">
                  <c:v>536.5678250102809</c:v>
                </c:pt>
                <c:pt idx="51">
                  <c:v>548.40097688345713</c:v>
                </c:pt>
                <c:pt idx="52">
                  <c:v>560.47540175981965</c:v>
                </c:pt>
                <c:pt idx="53">
                  <c:v>572.79587724753549</c:v>
                </c:pt>
                <c:pt idx="54">
                  <c:v>585.36730941774931</c:v>
                </c:pt>
                <c:pt idx="55">
                  <c:v>598.19474275662014</c:v>
                </c:pt>
                <c:pt idx="56">
                  <c:v>611.28258538867135</c:v>
                </c:pt>
                <c:pt idx="57">
                  <c:v>624.6352575613962</c:v>
                </c:pt>
                <c:pt idx="58">
                  <c:v>638.25718903885638</c:v>
                </c:pt>
                <c:pt idx="59">
                  <c:v>652.15281610982004</c:v>
                </c:pt>
                <c:pt idx="60">
                  <c:v>666.3265999770922</c:v>
                </c:pt>
                <c:pt idx="61">
                  <c:v>680.78301339821917</c:v>
                </c:pt>
                <c:pt idx="62">
                  <c:v>695.5265373285697</c:v>
                </c:pt>
                <c:pt idx="63">
                  <c:v>710.56165715826364</c:v>
                </c:pt>
                <c:pt idx="64">
                  <c:v>725.89363761342531</c:v>
                </c:pt>
                <c:pt idx="65">
                  <c:v>741.52786649707548</c:v>
                </c:pt>
                <c:pt idx="66">
                  <c:v>757.46986377188114</c:v>
                </c:pt>
                <c:pt idx="67">
                  <c:v>773.72529137400954</c:v>
                </c:pt>
                <c:pt idx="68">
                  <c:v>790.30012118229695</c:v>
                </c:pt>
                <c:pt idx="69">
                  <c:v>807.20002346063291</c:v>
                </c:pt>
                <c:pt idx="70">
                  <c:v>824.43078290965047</c:v>
                </c:pt>
                <c:pt idx="71">
                  <c:v>841.99827463136705</c:v>
                </c:pt>
                <c:pt idx="72">
                  <c:v>859.90843993782767</c:v>
                </c:pt>
                <c:pt idx="73">
                  <c:v>878.1672664263956</c:v>
                </c:pt>
                <c:pt idx="74">
                  <c:v>896.78085069484075</c:v>
                </c:pt>
                <c:pt idx="75">
                  <c:v>915.75532053398751</c:v>
                </c:pt>
                <c:pt idx="76">
                  <c:v>935.09683730323468</c:v>
                </c:pt>
                <c:pt idx="77">
                  <c:v>954.81160235848256</c:v>
                </c:pt>
                <c:pt idx="78">
                  <c:v>974.90586503729389</c:v>
                </c:pt>
                <c:pt idx="79">
                  <c:v>995.38593025024363</c:v>
                </c:pt>
                <c:pt idx="80">
                  <c:v>1016.2581645884032</c:v>
                </c:pt>
                <c:pt idx="81">
                  <c:v>1037.5290006569251</c:v>
                </c:pt>
                <c:pt idx="82">
                  <c:v>1059.2049398679685</c:v>
                </c:pt>
                <c:pt idx="83">
                  <c:v>1081.2925541427592</c:v>
                </c:pt>
                <c:pt idx="84">
                  <c:v>1103.7983812644341</c:v>
                </c:pt>
                <c:pt idx="85">
                  <c:v>1126.7290134331708</c:v>
                </c:pt>
                <c:pt idx="86">
                  <c:v>1150.0910959775247</c:v>
                </c:pt>
                <c:pt idx="87">
                  <c:v>1173.8913259742512</c:v>
                </c:pt>
                <c:pt idx="88">
                  <c:v>1198.1364507248277</c:v>
                </c:pt>
                <c:pt idx="89">
                  <c:v>1222.8332661071322</c:v>
                </c:pt>
                <c:pt idx="90">
                  <c:v>1247.988614807967</c:v>
                </c:pt>
                <c:pt idx="91">
                  <c:v>1273.6093844372617</c:v>
                </c:pt>
                <c:pt idx="92">
                  <c:v>1299.702505523016</c:v>
                </c:pt>
                <c:pt idx="93">
                  <c:v>1326.2749493854153</c:v>
                </c:pt>
                <c:pt idx="94">
                  <c:v>1353.3336422911896</c:v>
                </c:pt>
                <c:pt idx="95">
                  <c:v>1380.8855150117847</c:v>
                </c:pt>
                <c:pt idx="96">
                  <c:v>1408.9374974394636</c:v>
                </c:pt>
                <c:pt idx="97">
                  <c:v>1437.4965128561128</c:v>
                </c:pt>
                <c:pt idx="98">
                  <c:v>1466.5694718388179</c:v>
                </c:pt>
                <c:pt idx="99">
                  <c:v>1496.1632657854734</c:v>
                </c:pt>
                <c:pt idx="100">
                  <c:v>1526.2847600429311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7-4F2B-86FF-A2D3ACB62064}"/>
            </c:ext>
          </c:extLst>
        </c:ser>
        <c:ser>
          <c:idx val="1"/>
          <c:order val="1"/>
          <c:tx>
            <c:strRef>
              <c:f>Parameters!$N$4</c:f>
              <c:strCache>
                <c:ptCount val="1"/>
                <c:pt idx="0">
                  <c:v>MedianIPCC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Parameters!$N$5:$N$17</c:f>
              <c:numCache>
                <c:formatCode>0</c:formatCode>
                <c:ptCount val="13"/>
                <c:pt idx="0">
                  <c:v>830.64850000000001</c:v>
                </c:pt>
                <c:pt idx="1">
                  <c:v>606.61189999999999</c:v>
                </c:pt>
                <c:pt idx="2">
                  <c:v>417.0838</c:v>
                </c:pt>
                <c:pt idx="3">
                  <c:v>369.45100000000002</c:v>
                </c:pt>
                <c:pt idx="4">
                  <c:v>279.10210000000001</c:v>
                </c:pt>
                <c:pt idx="5">
                  <c:v>201.3134</c:v>
                </c:pt>
                <c:pt idx="6">
                  <c:v>158.28030000000001</c:v>
                </c:pt>
                <c:pt idx="7">
                  <c:v>112.6412</c:v>
                </c:pt>
                <c:pt idx="8">
                  <c:v>89.531630000000007</c:v>
                </c:pt>
                <c:pt idx="9">
                  <c:v>74.867599999999996</c:v>
                </c:pt>
                <c:pt idx="10">
                  <c:v>32.49194</c:v>
                </c:pt>
                <c:pt idx="11">
                  <c:v>1.7695000000000001</c:v>
                </c:pt>
                <c:pt idx="12">
                  <c:v>2.2415600000000002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F7-4F2B-86FF-A2D3ACB62064}"/>
            </c:ext>
          </c:extLst>
        </c:ser>
        <c:ser>
          <c:idx val="2"/>
          <c:order val="2"/>
          <c:tx>
            <c:strRef>
              <c:f>Parameters!$O$4</c:f>
              <c:strCache>
                <c:ptCount val="1"/>
                <c:pt idx="0">
                  <c:v>P25_IPCC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Parameters!$O$5:$O$17</c:f>
              <c:numCache>
                <c:formatCode>0</c:formatCode>
                <c:ptCount val="13"/>
                <c:pt idx="0">
                  <c:v>534.30409999999995</c:v>
                </c:pt>
                <c:pt idx="1">
                  <c:v>387.11829999999998</c:v>
                </c:pt>
                <c:pt idx="2">
                  <c:v>242.37639999999999</c:v>
                </c:pt>
                <c:pt idx="3">
                  <c:v>259.53149999999999</c:v>
                </c:pt>
                <c:pt idx="4">
                  <c:v>194.92009999999999</c:v>
                </c:pt>
                <c:pt idx="5">
                  <c:v>145.1962</c:v>
                </c:pt>
                <c:pt idx="6">
                  <c:v>107.6669</c:v>
                </c:pt>
                <c:pt idx="7">
                  <c:v>81.444730000000007</c:v>
                </c:pt>
                <c:pt idx="8">
                  <c:v>58.81897</c:v>
                </c:pt>
                <c:pt idx="9">
                  <c:v>47.317929999999997</c:v>
                </c:pt>
                <c:pt idx="10">
                  <c:v>10.02872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F7-4F2B-86FF-A2D3ACB62064}"/>
            </c:ext>
          </c:extLst>
        </c:ser>
        <c:ser>
          <c:idx val="3"/>
          <c:order val="3"/>
          <c:tx>
            <c:strRef>
              <c:f>Parameters!$P$4</c:f>
              <c:strCache>
                <c:ptCount val="1"/>
                <c:pt idx="0">
                  <c:v>P75_IPCC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Parameters!$P$5:$P$17</c:f>
              <c:numCache>
                <c:formatCode>0</c:formatCode>
                <c:ptCount val="13"/>
                <c:pt idx="0">
                  <c:v>1319.8</c:v>
                </c:pt>
                <c:pt idx="1">
                  <c:v>1117.905</c:v>
                </c:pt>
                <c:pt idx="2">
                  <c:v>684.37270000000001</c:v>
                </c:pt>
                <c:pt idx="3">
                  <c:v>657.7192</c:v>
                </c:pt>
                <c:pt idx="4">
                  <c:v>471.17509999999999</c:v>
                </c:pt>
                <c:pt idx="5">
                  <c:v>330</c:v>
                </c:pt>
                <c:pt idx="6">
                  <c:v>245.52</c:v>
                </c:pt>
                <c:pt idx="7">
                  <c:v>177.91800000000001</c:v>
                </c:pt>
                <c:pt idx="8">
                  <c:v>159.26089999999999</c:v>
                </c:pt>
                <c:pt idx="9">
                  <c:v>131.6824</c:v>
                </c:pt>
                <c:pt idx="10">
                  <c:v>64.102000000000004</c:v>
                </c:pt>
                <c:pt idx="11">
                  <c:v>12.83052</c:v>
                </c:pt>
                <c:pt idx="12">
                  <c:v>11.00962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F7-4F2B-86FF-A2D3ACB62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367391"/>
        <c:axId val="1727363071"/>
      </c:scatterChart>
      <c:valAx>
        <c:axId val="1727367391"/>
        <c:scaling>
          <c:orientation val="minMax"/>
          <c:max val="6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Emissions</a:t>
                </a:r>
                <a:r>
                  <a:rPr lang="en-GB" baseline="0"/>
                  <a:t> Gt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63071"/>
        <c:crosses val="autoZero"/>
        <c:crossBetween val="midCat"/>
        <c:majorUnit val="5"/>
      </c:valAx>
      <c:valAx>
        <c:axId val="1727363071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 $/tCO2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67391"/>
        <c:crossesAt val="-1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'6states'!$K$3</c:f>
              <c:strCache>
                <c:ptCount val="1"/>
                <c:pt idx="0">
                  <c:v>P[t]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'6states'!$K$4:$K$63</c:f>
              <c:numCache>
                <c:formatCode>0.0</c:formatCode>
                <c:ptCount val="60"/>
                <c:pt idx="0">
                  <c:v>53.200000000000017</c:v>
                </c:pt>
                <c:pt idx="1">
                  <c:v>42.49329783048362</c:v>
                </c:pt>
                <c:pt idx="2">
                  <c:v>39.005797201957783</c:v>
                </c:pt>
                <c:pt idx="3">
                  <c:v>36.362440416506708</c:v>
                </c:pt>
                <c:pt idx="4">
                  <c:v>34.08506521013436</c:v>
                </c:pt>
                <c:pt idx="5">
                  <c:v>32.033807043872109</c:v>
                </c:pt>
                <c:pt idx="6">
                  <c:v>30.167742464749892</c:v>
                </c:pt>
                <c:pt idx="7">
                  <c:v>28.524175649648722</c:v>
                </c:pt>
                <c:pt idx="8">
                  <c:v>26.809679802340593</c:v>
                </c:pt>
                <c:pt idx="9">
                  <c:v>25.395103687225948</c:v>
                </c:pt>
                <c:pt idx="10">
                  <c:v>25.08058428328933</c:v>
                </c:pt>
                <c:pt idx="11">
                  <c:v>25.397480973466084</c:v>
                </c:pt>
                <c:pt idx="12">
                  <c:v>25.995004817336071</c:v>
                </c:pt>
                <c:pt idx="13">
                  <c:v>26.589699239015228</c:v>
                </c:pt>
                <c:pt idx="14">
                  <c:v>26.748414705228171</c:v>
                </c:pt>
                <c:pt idx="15">
                  <c:v>25.26994748986111</c:v>
                </c:pt>
                <c:pt idx="16">
                  <c:v>23.500600111364083</c:v>
                </c:pt>
                <c:pt idx="17">
                  <c:v>22.272457887099844</c:v>
                </c:pt>
                <c:pt idx="18">
                  <c:v>21.054012163860559</c:v>
                </c:pt>
                <c:pt idx="19">
                  <c:v>19.945293556616924</c:v>
                </c:pt>
                <c:pt idx="20">
                  <c:v>18.979449721189347</c:v>
                </c:pt>
                <c:pt idx="21">
                  <c:v>18.123214786108083</c:v>
                </c:pt>
                <c:pt idx="22">
                  <c:v>17.374241123594079</c:v>
                </c:pt>
                <c:pt idx="23">
                  <c:v>16.740166571499135</c:v>
                </c:pt>
                <c:pt idx="24">
                  <c:v>16.131972374690381</c:v>
                </c:pt>
                <c:pt idx="25">
                  <c:v>15.543034843745341</c:v>
                </c:pt>
                <c:pt idx="26">
                  <c:v>14.961124460576455</c:v>
                </c:pt>
                <c:pt idx="27">
                  <c:v>14.375803597772187</c:v>
                </c:pt>
                <c:pt idx="28">
                  <c:v>13.829929836216763</c:v>
                </c:pt>
                <c:pt idx="29">
                  <c:v>13.322873054933051</c:v>
                </c:pt>
                <c:pt idx="30">
                  <c:v>12.861964165385208</c:v>
                </c:pt>
                <c:pt idx="31">
                  <c:v>12.449297677321526</c:v>
                </c:pt>
                <c:pt idx="32">
                  <c:v>12.086063335175465</c:v>
                </c:pt>
                <c:pt idx="33">
                  <c:v>11.776505833393276</c:v>
                </c:pt>
                <c:pt idx="34">
                  <c:v>11.516989095611407</c:v>
                </c:pt>
                <c:pt idx="35">
                  <c:v>11.311901126057084</c:v>
                </c:pt>
                <c:pt idx="36">
                  <c:v>10.866089184353193</c:v>
                </c:pt>
                <c:pt idx="37">
                  <c:v>10.427005502130696</c:v>
                </c:pt>
                <c:pt idx="38">
                  <c:v>10.013077120465184</c:v>
                </c:pt>
                <c:pt idx="39">
                  <c:v>9.6230690515304218</c:v>
                </c:pt>
                <c:pt idx="40">
                  <c:v>9.262703913035649</c:v>
                </c:pt>
                <c:pt idx="41">
                  <c:v>8.9306612701751718</c:v>
                </c:pt>
                <c:pt idx="42">
                  <c:v>8.6201350009637459</c:v>
                </c:pt>
                <c:pt idx="43">
                  <c:v>8.3301096025148507</c:v>
                </c:pt>
                <c:pt idx="44">
                  <c:v>8.0596219850381665</c:v>
                </c:pt>
                <c:pt idx="45">
                  <c:v>7.7624182158512145</c:v>
                </c:pt>
                <c:pt idx="46">
                  <c:v>7.4384302793765231</c:v>
                </c:pt>
                <c:pt idx="47">
                  <c:v>6.8910544222671879</c:v>
                </c:pt>
                <c:pt idx="48">
                  <c:v>6.6754684649426013</c:v>
                </c:pt>
                <c:pt idx="49">
                  <c:v>6.595953290217107</c:v>
                </c:pt>
                <c:pt idx="50">
                  <c:v>6.4489424094118721</c:v>
                </c:pt>
                <c:pt idx="51">
                  <c:v>6.2876906012256137</c:v>
                </c:pt>
                <c:pt idx="52">
                  <c:v>6.1122171595593198</c:v>
                </c:pt>
                <c:pt idx="53">
                  <c:v>5.922515190411282</c:v>
                </c:pt>
                <c:pt idx="54">
                  <c:v>5.7185489722364151</c:v>
                </c:pt>
                <c:pt idx="55">
                  <c:v>5.538432535910121</c:v>
                </c:pt>
                <c:pt idx="56">
                  <c:v>5.3811778177300704</c:v>
                </c:pt>
                <c:pt idx="57">
                  <c:v>5.2458446086759762</c:v>
                </c:pt>
                <c:pt idx="58">
                  <c:v>5.1315395340096712</c:v>
                </c:pt>
                <c:pt idx="59">
                  <c:v>5.0325322894172952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A5-48BF-A199-C6A7F1F9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258288"/>
        <c:axId val="1649690160"/>
      </c:lineChart>
      <c:catAx>
        <c:axId val="177025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90160"/>
        <c:crosses val="autoZero"/>
        <c:auto val="1"/>
        <c:lblAlgn val="ctr"/>
        <c:lblOffset val="100"/>
        <c:noMultiLvlLbl val="0"/>
      </c:catAx>
      <c:valAx>
        <c:axId val="164969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5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'6states'!$B$3</c:f>
              <c:strCache>
                <c:ptCount val="1"/>
                <c:pt idx="0">
                  <c:v>i_d[t]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'6states'!$B$4:$B$63</c:f>
              <c:numCache>
                <c:formatCode>0.000</c:formatCode>
                <c:ptCount val="60"/>
                <c:pt idx="0">
                  <c:v>-2.8124506507207419E-2</c:v>
                </c:pt>
                <c:pt idx="1">
                  <c:v>-1.0499619921722611E-2</c:v>
                </c:pt>
                <c:pt idx="2">
                  <c:v>-6.6558128757959511E-3</c:v>
                </c:pt>
                <c:pt idx="3">
                  <c:v>-4.8907716974570716E-3</c:v>
                </c:pt>
                <c:pt idx="4">
                  <c:v>-3.9105240541653114E-3</c:v>
                </c:pt>
                <c:pt idx="5">
                  <c:v>-3.047935195548049E-3</c:v>
                </c:pt>
                <c:pt idx="6">
                  <c:v>-1.3973649888093245E-3</c:v>
                </c:pt>
                <c:pt idx="7">
                  <c:v>-3.5797567777700839E-3</c:v>
                </c:pt>
                <c:pt idx="8">
                  <c:v>-6.5021139048236187E-4</c:v>
                </c:pt>
                <c:pt idx="9">
                  <c:v>1.4940548720075287E-2</c:v>
                </c:pt>
                <c:pt idx="10">
                  <c:v>2.4351969017812801E-2</c:v>
                </c:pt>
                <c:pt idx="11">
                  <c:v>2.7717100321438256E-2</c:v>
                </c:pt>
                <c:pt idx="12">
                  <c:v>2.565214507561233E-2</c:v>
                </c:pt>
                <c:pt idx="13">
                  <c:v>1.6234739146242867E-2</c:v>
                </c:pt>
                <c:pt idx="14">
                  <c:v>-3.8015281062989066E-4</c:v>
                </c:pt>
                <c:pt idx="15">
                  <c:v>-2.816962864502762E-3</c:v>
                </c:pt>
                <c:pt idx="16">
                  <c:v>1.7296602921014389E-5</c:v>
                </c:pt>
                <c:pt idx="17">
                  <c:v>-3.9375361194989744E-4</c:v>
                </c:pt>
                <c:pt idx="18">
                  <c:v>-5.8173734502860701E-5</c:v>
                </c:pt>
                <c:pt idx="19">
                  <c:v>6.1081688084219251E-4</c:v>
                </c:pt>
                <c:pt idx="20">
                  <c:v>1.0705854822118431E-3</c:v>
                </c:pt>
                <c:pt idx="21">
                  <c:v>1.5070986020486879E-3</c:v>
                </c:pt>
                <c:pt idx="22">
                  <c:v>1.9436117218855325E-3</c:v>
                </c:pt>
                <c:pt idx="23">
                  <c:v>1.74377372032706E-3</c:v>
                </c:pt>
                <c:pt idx="24">
                  <c:v>1.5439357187685876E-3</c:v>
                </c:pt>
                <c:pt idx="25">
                  <c:v>1.3257325972175333E-3</c:v>
                </c:pt>
                <c:pt idx="26">
                  <c:v>1.1075294756664788E-3</c:v>
                </c:pt>
                <c:pt idx="27">
                  <c:v>1.0966744174482042E-3</c:v>
                </c:pt>
                <c:pt idx="28">
                  <c:v>1.0858193592299297E-3</c:v>
                </c:pt>
                <c:pt idx="29">
                  <c:v>1.0994217119007616E-3</c:v>
                </c:pt>
                <c:pt idx="30">
                  <c:v>1.1130240645715935E-3</c:v>
                </c:pt>
                <c:pt idx="31">
                  <c:v>1.1212211385380469E-3</c:v>
                </c:pt>
                <c:pt idx="32">
                  <c:v>1.1294182125045002E-3</c:v>
                </c:pt>
                <c:pt idx="33">
                  <c:v>1.1192362475932315E-3</c:v>
                </c:pt>
                <c:pt idx="34">
                  <c:v>1.1090542826819631E-3</c:v>
                </c:pt>
                <c:pt idx="35">
                  <c:v>1.0910540604322579E-3</c:v>
                </c:pt>
                <c:pt idx="36">
                  <c:v>1.0730538381825525E-3</c:v>
                </c:pt>
                <c:pt idx="37">
                  <c:v>1.086219799249416E-3</c:v>
                </c:pt>
                <c:pt idx="38">
                  <c:v>1.0993857603162794E-3</c:v>
                </c:pt>
                <c:pt idx="39">
                  <c:v>1.1758840616473525E-3</c:v>
                </c:pt>
                <c:pt idx="40">
                  <c:v>1.2523823629784253E-3</c:v>
                </c:pt>
                <c:pt idx="41">
                  <c:v>1.2787996757041382E-3</c:v>
                </c:pt>
                <c:pt idx="42">
                  <c:v>1.3052169884298511E-3</c:v>
                </c:pt>
                <c:pt idx="43">
                  <c:v>1.331634301155564E-3</c:v>
                </c:pt>
                <c:pt idx="44">
                  <c:v>9.6407893667289674E-4</c:v>
                </c:pt>
                <c:pt idx="45">
                  <c:v>5.965235721902295E-4</c:v>
                </c:pt>
                <c:pt idx="46">
                  <c:v>2.2896820770756203E-4</c:v>
                </c:pt>
                <c:pt idx="47">
                  <c:v>6.6355231848431464E-4</c:v>
                </c:pt>
                <c:pt idx="48">
                  <c:v>1.0981364292610672E-3</c:v>
                </c:pt>
                <c:pt idx="49">
                  <c:v>1.53272054003782E-3</c:v>
                </c:pt>
                <c:pt idx="50">
                  <c:v>1.335390739173726E-3</c:v>
                </c:pt>
                <c:pt idx="51">
                  <c:v>1.138060938309632E-3</c:v>
                </c:pt>
                <c:pt idx="52">
                  <c:v>9.407311374455379E-4</c:v>
                </c:pt>
                <c:pt idx="53">
                  <c:v>7.4340133658144369E-4</c:v>
                </c:pt>
                <c:pt idx="54">
                  <c:v>8.3780352596044255E-4</c:v>
                </c:pt>
                <c:pt idx="55">
                  <c:v>9.3220571533944141E-4</c:v>
                </c:pt>
                <c:pt idx="56">
                  <c:v>1.0266079047184403E-3</c:v>
                </c:pt>
                <c:pt idx="57">
                  <c:v>1.1210100940974392E-3</c:v>
                </c:pt>
                <c:pt idx="58">
                  <c:v>1.1786891582746023E-3</c:v>
                </c:pt>
                <c:pt idx="59">
                  <c:v>1.2363682224517654E-3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1-492A-92DD-162A28990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188928"/>
        <c:axId val="1854189408"/>
      </c:lineChart>
      <c:catAx>
        <c:axId val="1854188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189408"/>
        <c:crosses val="autoZero"/>
        <c:auto val="1"/>
        <c:lblAlgn val="ctr"/>
        <c:lblOffset val="100"/>
        <c:noMultiLvlLbl val="0"/>
      </c:catAx>
      <c:valAx>
        <c:axId val="18541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18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'6states'!$U$3</c:f>
              <c:strCache>
                <c:ptCount val="1"/>
                <c:pt idx="0">
                  <c:v>E[t]/(A[t]*L[t])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'6states'!$U$4:$U$63</c:f>
              <c:numCache>
                <c:formatCode>0.00</c:formatCode>
                <c:ptCount val="60"/>
                <c:pt idx="0">
                  <c:v>0.55006250755068387</c:v>
                </c:pt>
                <c:pt idx="1">
                  <c:v>0.51585261067238153</c:v>
                </c:pt>
                <c:pt idx="2">
                  <c:v>0.4937980461392521</c:v>
                </c:pt>
                <c:pt idx="3">
                  <c:v>0.47527917838980699</c:v>
                </c:pt>
                <c:pt idx="4">
                  <c:v>0.45890198153025386</c:v>
                </c:pt>
                <c:pt idx="5">
                  <c:v>0.44408215298272974</c:v>
                </c:pt>
                <c:pt idx="6">
                  <c:v>0.43065413598524332</c:v>
                </c:pt>
                <c:pt idx="7">
                  <c:v>0.41903474149996212</c:v>
                </c:pt>
                <c:pt idx="8">
                  <c:v>0.40650391908253397</c:v>
                </c:pt>
                <c:pt idx="9">
                  <c:v>0.39646223462071434</c:v>
                </c:pt>
                <c:pt idx="10">
                  <c:v>0.39721801549367597</c:v>
                </c:pt>
                <c:pt idx="11">
                  <c:v>0.40384827078504493</c:v>
                </c:pt>
                <c:pt idx="12">
                  <c:v>0.41232482500649809</c:v>
                </c:pt>
                <c:pt idx="13">
                  <c:v>0.41942474305808353</c:v>
                </c:pt>
                <c:pt idx="14">
                  <c:v>0.42067357563900798</c:v>
                </c:pt>
                <c:pt idx="15">
                  <c:v>0.41092963011835548</c:v>
                </c:pt>
                <c:pt idx="16">
                  <c:v>0.40035607100124559</c:v>
                </c:pt>
                <c:pt idx="17">
                  <c:v>0.39282197373937672</c:v>
                </c:pt>
                <c:pt idx="18">
                  <c:v>0.38572234316792303</c:v>
                </c:pt>
                <c:pt idx="19">
                  <c:v>0.37953032642797274</c:v>
                </c:pt>
                <c:pt idx="20">
                  <c:v>0.3743996595067251</c:v>
                </c:pt>
                <c:pt idx="21">
                  <c:v>0.37007934089200478</c:v>
                </c:pt>
                <c:pt idx="22">
                  <c:v>0.36647996081273077</c:v>
                </c:pt>
                <c:pt idx="23">
                  <c:v>0.36358362069675193</c:v>
                </c:pt>
                <c:pt idx="24">
                  <c:v>0.36081159460459561</c:v>
                </c:pt>
                <c:pt idx="25">
                  <c:v>0.35816260567697999</c:v>
                </c:pt>
                <c:pt idx="26">
                  <c:v>0.35558501415748539</c:v>
                </c:pt>
                <c:pt idx="27">
                  <c:v>0.35307823607637606</c:v>
                </c:pt>
                <c:pt idx="28">
                  <c:v>0.35079416539769975</c:v>
                </c:pt>
                <c:pt idx="29">
                  <c:v>0.34872723478667333</c:v>
                </c:pt>
                <c:pt idx="30">
                  <c:v>0.34683663726739372</c:v>
                </c:pt>
                <c:pt idx="31">
                  <c:v>0.34511831159401396</c:v>
                </c:pt>
                <c:pt idx="32">
                  <c:v>0.3435698607797264</c:v>
                </c:pt>
                <c:pt idx="33">
                  <c:v>0.34218593891572491</c:v>
                </c:pt>
                <c:pt idx="34">
                  <c:v>0.34090416999738582</c:v>
                </c:pt>
                <c:pt idx="35">
                  <c:v>0.33972142221914686</c:v>
                </c:pt>
                <c:pt idx="36">
                  <c:v>0.33863279685678349</c:v>
                </c:pt>
                <c:pt idx="37">
                  <c:v>0.33763478890563936</c:v>
                </c:pt>
                <c:pt idx="38">
                  <c:v>0.33674295961264805</c:v>
                </c:pt>
                <c:pt idx="39">
                  <c:v>0.33595282297049467</c:v>
                </c:pt>
                <c:pt idx="40">
                  <c:v>0.33531832576982484</c:v>
                </c:pt>
                <c:pt idx="41">
                  <c:v>0.33483218858176178</c:v>
                </c:pt>
                <c:pt idx="42">
                  <c:v>0.33443419162942389</c:v>
                </c:pt>
                <c:pt idx="43">
                  <c:v>0.33411969468379554</c:v>
                </c:pt>
                <c:pt idx="44">
                  <c:v>0.3338840918505091</c:v>
                </c:pt>
                <c:pt idx="45">
                  <c:v>0.33339041197404556</c:v>
                </c:pt>
                <c:pt idx="46">
                  <c:v>0.33264537270605105</c:v>
                </c:pt>
                <c:pt idx="47">
                  <c:v>0.3316547185106023</c:v>
                </c:pt>
                <c:pt idx="48">
                  <c:v>0.33115004288868477</c:v>
                </c:pt>
                <c:pt idx="49">
                  <c:v>0.33110129235196273</c:v>
                </c:pt>
                <c:pt idx="50">
                  <c:v>0.33147720054283297</c:v>
                </c:pt>
                <c:pt idx="51">
                  <c:v>0.33168339512456108</c:v>
                </c:pt>
                <c:pt idx="52">
                  <c:v>0.33172676275095681</c:v>
                </c:pt>
                <c:pt idx="53">
                  <c:v>0.33161357916089829</c:v>
                </c:pt>
                <c:pt idx="54">
                  <c:v>0.33134949395057806</c:v>
                </c:pt>
                <c:pt idx="55">
                  <c:v>0.3311994405286125</c:v>
                </c:pt>
                <c:pt idx="56">
                  <c:v>0.33115597944948744</c:v>
                </c:pt>
                <c:pt idx="57">
                  <c:v>0.33121178626484676</c:v>
                </c:pt>
                <c:pt idx="58">
                  <c:v>0.33135967785136233</c:v>
                </c:pt>
                <c:pt idx="59">
                  <c:v>0.33160408025537508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2-47EC-9CDD-4836AA0BF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862304"/>
        <c:axId val="1855863744"/>
      </c:lineChart>
      <c:catAx>
        <c:axId val="185586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863744"/>
        <c:crosses val="autoZero"/>
        <c:auto val="1"/>
        <c:lblAlgn val="ctr"/>
        <c:lblOffset val="100"/>
        <c:noMultiLvlLbl val="0"/>
      </c:catAx>
      <c:valAx>
        <c:axId val="18558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86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SCC</a:t>
            </a:r>
            <a:r>
              <a:rPr lang="en-BE"/>
              <a:t> 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'6states'!$AS$3</c:f>
              <c:strCache>
                <c:ptCount val="1"/>
                <c:pt idx="0">
                  <c:v>SCC[t]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'6states'!$AS$4:$AS$63</c:f>
              <c:numCache>
                <c:formatCode>0.00</c:formatCode>
                <c:ptCount val="60"/>
                <c:pt idx="0">
                  <c:v>171.50604882774317</c:v>
                </c:pt>
                <c:pt idx="1">
                  <c:v>175.71980726120478</c:v>
                </c:pt>
                <c:pt idx="2">
                  <c:v>180.01661336124261</c:v>
                </c:pt>
                <c:pt idx="3">
                  <c:v>184.39914868419132</c:v>
                </c:pt>
                <c:pt idx="4">
                  <c:v>188.87099297450763</c:v>
                </c:pt>
                <c:pt idx="5">
                  <c:v>193.43569317485534</c:v>
                </c:pt>
                <c:pt idx="6">
                  <c:v>198.09677165526975</c:v>
                </c:pt>
                <c:pt idx="7">
                  <c:v>202.85758486047129</c:v>
                </c:pt>
                <c:pt idx="8">
                  <c:v>207.72091764963207</c:v>
                </c:pt>
                <c:pt idx="9">
                  <c:v>212.69114119216135</c:v>
                </c:pt>
                <c:pt idx="10">
                  <c:v>217.77041947074568</c:v>
                </c:pt>
                <c:pt idx="11">
                  <c:v>222.95417096931902</c:v>
                </c:pt>
                <c:pt idx="12">
                  <c:v>228.23991021679825</c:v>
                </c:pt>
                <c:pt idx="13">
                  <c:v>233.62744238747499</c:v>
                </c:pt>
                <c:pt idx="14">
                  <c:v>239.11817253297681</c:v>
                </c:pt>
                <c:pt idx="15">
                  <c:v>244.71588832848832</c:v>
                </c:pt>
                <c:pt idx="16">
                  <c:v>250.42926646955542</c:v>
                </c:pt>
                <c:pt idx="17">
                  <c:v>256.26342228774968</c:v>
                </c:pt>
                <c:pt idx="18">
                  <c:v>262.22061260745079</c:v>
                </c:pt>
                <c:pt idx="19">
                  <c:v>268.30455077565512</c:v>
                </c:pt>
                <c:pt idx="20">
                  <c:v>274.51837412988999</c:v>
                </c:pt>
                <c:pt idx="21">
                  <c:v>280.86488674577038</c:v>
                </c:pt>
                <c:pt idx="22">
                  <c:v>287.3468927289955</c:v>
                </c:pt>
                <c:pt idx="23">
                  <c:v>293.96705733185019</c:v>
                </c:pt>
                <c:pt idx="24">
                  <c:v>300.72792809241992</c:v>
                </c:pt>
                <c:pt idx="25">
                  <c:v>307.63254665522226</c:v>
                </c:pt>
                <c:pt idx="26">
                  <c:v>314.68400955798512</c:v>
                </c:pt>
                <c:pt idx="27">
                  <c:v>321.88554606577975</c:v>
                </c:pt>
                <c:pt idx="28">
                  <c:v>329.2404795417952</c:v>
                </c:pt>
                <c:pt idx="29">
                  <c:v>336.75197446044825</c:v>
                </c:pt>
                <c:pt idx="30">
                  <c:v>344.42321340760986</c:v>
                </c:pt>
                <c:pt idx="31">
                  <c:v>352.25734636912915</c:v>
                </c:pt>
                <c:pt idx="32">
                  <c:v>360.25751940991057</c:v>
                </c:pt>
                <c:pt idx="33">
                  <c:v>368.42690967449744</c:v>
                </c:pt>
                <c:pt idx="34">
                  <c:v>376.76867445573117</c:v>
                </c:pt>
                <c:pt idx="35">
                  <c:v>385.2859815561925</c:v>
                </c:pt>
                <c:pt idx="36">
                  <c:v>393.98196652639558</c:v>
                </c:pt>
                <c:pt idx="37">
                  <c:v>402.86018463615426</c:v>
                </c:pt>
                <c:pt idx="38">
                  <c:v>411.92426338010944</c:v>
                </c:pt>
                <c:pt idx="39">
                  <c:v>421.17784196156595</c:v>
                </c:pt>
                <c:pt idx="40">
                  <c:v>430.62460170875931</c:v>
                </c:pt>
                <c:pt idx="41">
                  <c:v>440.2681636059009</c:v>
                </c:pt>
                <c:pt idx="42">
                  <c:v>450.11217267884376</c:v>
                </c:pt>
                <c:pt idx="43">
                  <c:v>460.16038460887859</c:v>
                </c:pt>
                <c:pt idx="44">
                  <c:v>470.41659288528462</c:v>
                </c:pt>
                <c:pt idx="45">
                  <c:v>480.88462845925</c:v>
                </c:pt>
                <c:pt idx="46">
                  <c:v>491.56919640901373</c:v>
                </c:pt>
                <c:pt idx="47">
                  <c:v>502.47519133679646</c:v>
                </c:pt>
                <c:pt idx="48">
                  <c:v>513.608107261182</c:v>
                </c:pt>
                <c:pt idx="49">
                  <c:v>524.97128766482206</c:v>
                </c:pt>
                <c:pt idx="50">
                  <c:v>536.5678250102809</c:v>
                </c:pt>
                <c:pt idx="51">
                  <c:v>548.40097688345713</c:v>
                </c:pt>
                <c:pt idx="52">
                  <c:v>560.47540175981965</c:v>
                </c:pt>
                <c:pt idx="53">
                  <c:v>572.79587724753549</c:v>
                </c:pt>
                <c:pt idx="54">
                  <c:v>585.36730941774931</c:v>
                </c:pt>
                <c:pt idx="55">
                  <c:v>598.19474275662014</c:v>
                </c:pt>
                <c:pt idx="56">
                  <c:v>611.28258538867135</c:v>
                </c:pt>
                <c:pt idx="57">
                  <c:v>624.6352575613962</c:v>
                </c:pt>
                <c:pt idx="58">
                  <c:v>638.25718903885638</c:v>
                </c:pt>
                <c:pt idx="59">
                  <c:v>652.15281610982004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F-476F-8621-D9482BDA1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846031"/>
        <c:axId val="2009081375"/>
      </c:lineChart>
      <c:catAx>
        <c:axId val="200484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81375"/>
        <c:crosses val="autoZero"/>
        <c:auto val="1"/>
        <c:lblAlgn val="ctr"/>
        <c:lblOffset val="100"/>
        <c:noMultiLvlLbl val="0"/>
      </c:catAx>
      <c:valAx>
        <c:axId val="20090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4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</a:t>
            </a:r>
            <a:r>
              <a:rPr lang="en-BE"/>
              <a:t>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'6states'!$C$4:$C$63</c:f>
              <c:numCache>
                <c:formatCode>0.000</c:formatCode>
                <c:ptCount val="60"/>
                <c:pt idx="0">
                  <c:v>3.6740613247118817E-2</c:v>
                </c:pt>
                <c:pt idx="1">
                  <c:v>4.0543531911721761E-2</c:v>
                </c:pt>
                <c:pt idx="2">
                  <c:v>4.4251292975838102E-2</c:v>
                </c:pt>
                <c:pt idx="3">
                  <c:v>4.7731893601737643E-2</c:v>
                </c:pt>
                <c:pt idx="4">
                  <c:v>5.0910122671851209E-2</c:v>
                </c:pt>
                <c:pt idx="5">
                  <c:v>5.3707979630027318E-2</c:v>
                </c:pt>
                <c:pt idx="6">
                  <c:v>5.6014685745839773E-2</c:v>
                </c:pt>
                <c:pt idx="7">
                  <c:v>5.7714133113546048E-2</c:v>
                </c:pt>
                <c:pt idx="8">
                  <c:v>5.8701307132718164E-2</c:v>
                </c:pt>
                <c:pt idx="9">
                  <c:v>5.9104640004562461E-2</c:v>
                </c:pt>
                <c:pt idx="10">
                  <c:v>5.9466324593807136E-2</c:v>
                </c:pt>
                <c:pt idx="11">
                  <c:v>6.0311935324989935E-2</c:v>
                </c:pt>
                <c:pt idx="12">
                  <c:v>6.1999033922398909E-2</c:v>
                </c:pt>
                <c:pt idx="13">
                  <c:v>6.4698148518354676E-2</c:v>
                </c:pt>
                <c:pt idx="14">
                  <c:v>6.8013288215795192E-2</c:v>
                </c:pt>
                <c:pt idx="15">
                  <c:v>7.1161641908151621E-2</c:v>
                </c:pt>
                <c:pt idx="16">
                  <c:v>7.394461890993298E-2</c:v>
                </c:pt>
                <c:pt idx="17">
                  <c:v>7.645275680404548E-2</c:v>
                </c:pt>
                <c:pt idx="18">
                  <c:v>7.8534877328805069E-2</c:v>
                </c:pt>
                <c:pt idx="19">
                  <c:v>8.0191488128401101E-2</c:v>
                </c:pt>
                <c:pt idx="20">
                  <c:v>8.1541130679914031E-2</c:v>
                </c:pt>
                <c:pt idx="21">
                  <c:v>8.2618814487901052E-2</c:v>
                </c:pt>
                <c:pt idx="22">
                  <c:v>8.3696498295888072E-2</c:v>
                </c:pt>
                <c:pt idx="23">
                  <c:v>8.4537067092583351E-2</c:v>
                </c:pt>
                <c:pt idx="24">
                  <c:v>8.5377635889278616E-2</c:v>
                </c:pt>
                <c:pt idx="25">
                  <c:v>8.6032154223775206E-2</c:v>
                </c:pt>
                <c:pt idx="26">
                  <c:v>8.6686672558271796E-2</c:v>
                </c:pt>
                <c:pt idx="27">
                  <c:v>8.7206922203845461E-2</c:v>
                </c:pt>
                <c:pt idx="28">
                  <c:v>8.7727171849419125E-2</c:v>
                </c:pt>
                <c:pt idx="29">
                  <c:v>8.794016516739489E-2</c:v>
                </c:pt>
                <c:pt idx="30">
                  <c:v>8.8153158485370656E-2</c:v>
                </c:pt>
                <c:pt idx="31">
                  <c:v>8.8404857578413973E-2</c:v>
                </c:pt>
                <c:pt idx="32">
                  <c:v>8.865655667145729E-2</c:v>
                </c:pt>
                <c:pt idx="33">
                  <c:v>8.8690075242698313E-2</c:v>
                </c:pt>
                <c:pt idx="34">
                  <c:v>8.872359381393935E-2</c:v>
                </c:pt>
                <c:pt idx="35">
                  <c:v>8.8783627569477386E-2</c:v>
                </c:pt>
                <c:pt idx="36">
                  <c:v>8.8843661325015422E-2</c:v>
                </c:pt>
                <c:pt idx="37">
                  <c:v>8.8849398241823752E-2</c:v>
                </c:pt>
                <c:pt idx="38">
                  <c:v>8.8855135158632095E-2</c:v>
                </c:pt>
                <c:pt idx="39">
                  <c:v>8.8851344663242987E-2</c:v>
                </c:pt>
                <c:pt idx="40">
                  <c:v>8.8847554167853893E-2</c:v>
                </c:pt>
                <c:pt idx="41">
                  <c:v>8.8817495623269904E-2</c:v>
                </c:pt>
                <c:pt idx="42">
                  <c:v>8.8787437078685916E-2</c:v>
                </c:pt>
                <c:pt idx="43">
                  <c:v>8.8757378534101913E-2</c:v>
                </c:pt>
                <c:pt idx="44">
                  <c:v>8.9006402311692573E-2</c:v>
                </c:pt>
                <c:pt idx="45">
                  <c:v>8.9255426089283232E-2</c:v>
                </c:pt>
                <c:pt idx="46">
                  <c:v>8.9504449866873878E-2</c:v>
                </c:pt>
                <c:pt idx="47">
                  <c:v>8.9251505023683897E-2</c:v>
                </c:pt>
                <c:pt idx="48">
                  <c:v>8.8998560180493916E-2</c:v>
                </c:pt>
                <c:pt idx="49">
                  <c:v>8.8745615337303949E-2</c:v>
                </c:pt>
                <c:pt idx="50">
                  <c:v>8.8793822326871441E-2</c:v>
                </c:pt>
                <c:pt idx="51">
                  <c:v>8.8842029316438947E-2</c:v>
                </c:pt>
                <c:pt idx="52">
                  <c:v>8.8890236306006454E-2</c:v>
                </c:pt>
                <c:pt idx="53">
                  <c:v>8.8938443295573946E-2</c:v>
                </c:pt>
                <c:pt idx="54">
                  <c:v>8.8768926216567262E-2</c:v>
                </c:pt>
                <c:pt idx="55">
                  <c:v>8.8599409137560578E-2</c:v>
                </c:pt>
                <c:pt idx="56">
                  <c:v>8.8429892058553894E-2</c:v>
                </c:pt>
                <c:pt idx="57">
                  <c:v>8.8260374979547224E-2</c:v>
                </c:pt>
                <c:pt idx="58">
                  <c:v>8.8340673276015719E-2</c:v>
                </c:pt>
                <c:pt idx="59">
                  <c:v>8.8420971572484214E-2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3-448D-B7A6-6CCA3BDE6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031199"/>
        <c:axId val="453345103"/>
      </c:lineChart>
      <c:catAx>
        <c:axId val="416031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45103"/>
        <c:crosses val="autoZero"/>
        <c:auto val="1"/>
        <c:lblAlgn val="ctr"/>
        <c:lblOffset val="100"/>
        <c:noMultiLvlLbl val="0"/>
      </c:catAx>
      <c:valAx>
        <c:axId val="45334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3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Temperature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'6states'!$M$4:$M$63</c:f>
              <c:numCache>
                <c:formatCode>0.00</c:formatCode>
                <c:ptCount val="60"/>
                <c:pt idx="0">
                  <c:v>1.38</c:v>
                </c:pt>
                <c:pt idx="1">
                  <c:v>1.4054959786982901</c:v>
                </c:pt>
                <c:pt idx="2">
                  <c:v>1.4288994570194646</c:v>
                </c:pt>
                <c:pt idx="3">
                  <c:v>1.4507169212693687</c:v>
                </c:pt>
                <c:pt idx="4">
                  <c:v>1.4711679603954493</c:v>
                </c:pt>
                <c:pt idx="5">
                  <c:v>1.4903882446217724</c:v>
                </c:pt>
                <c:pt idx="6">
                  <c:v>1.5084888901006226</c:v>
                </c:pt>
                <c:pt idx="7">
                  <c:v>1.5256033954904118</c:v>
                </c:pt>
                <c:pt idx="8">
                  <c:v>1.5416892033718164</c:v>
                </c:pt>
                <c:pt idx="9">
                  <c:v>1.5569262655841518</c:v>
                </c:pt>
                <c:pt idx="10">
                  <c:v>1.5719746161541253</c:v>
                </c:pt>
                <c:pt idx="11">
                  <c:v>1.587213104738205</c:v>
                </c:pt>
                <c:pt idx="12">
                  <c:v>1.6028101076286065</c:v>
                </c:pt>
                <c:pt idx="13">
                  <c:v>1.6187639271720156</c:v>
                </c:pt>
                <c:pt idx="14">
                  <c:v>1.6348129759951526</c:v>
                </c:pt>
                <c:pt idx="15">
                  <c:v>1.6499749444890692</c:v>
                </c:pt>
                <c:pt idx="16">
                  <c:v>1.6640753045558878</c:v>
                </c:pt>
                <c:pt idx="17">
                  <c:v>1.6774387792881476</c:v>
                </c:pt>
                <c:pt idx="18">
                  <c:v>1.6900711865864639</c:v>
                </c:pt>
                <c:pt idx="19">
                  <c:v>1.7020383627204341</c:v>
                </c:pt>
                <c:pt idx="20">
                  <c:v>1.7134260325531476</c:v>
                </c:pt>
                <c:pt idx="21">
                  <c:v>1.7242999614248125</c:v>
                </c:pt>
                <c:pt idx="22">
                  <c:v>1.7347245060989689</c:v>
                </c:pt>
                <c:pt idx="23">
                  <c:v>1.7447686060418683</c:v>
                </c:pt>
                <c:pt idx="24">
                  <c:v>1.7544477894666828</c:v>
                </c:pt>
                <c:pt idx="25">
                  <c:v>1.76377361037293</c:v>
                </c:pt>
                <c:pt idx="26">
                  <c:v>1.7727502850492758</c:v>
                </c:pt>
                <c:pt idx="27">
                  <c:v>1.7813757672079389</c:v>
                </c:pt>
                <c:pt idx="28">
                  <c:v>1.789673725109669</c:v>
                </c:pt>
                <c:pt idx="29">
                  <c:v>1.7976674489426288</c:v>
                </c:pt>
                <c:pt idx="30">
                  <c:v>1.8053846274418601</c:v>
                </c:pt>
                <c:pt idx="31">
                  <c:v>1.8128542060482531</c:v>
                </c:pt>
                <c:pt idx="32">
                  <c:v>1.8201058440493583</c:v>
                </c:pt>
                <c:pt idx="33">
                  <c:v>1.8271717475493945</c:v>
                </c:pt>
                <c:pt idx="34">
                  <c:v>1.8340819410067613</c:v>
                </c:pt>
                <c:pt idx="35">
                  <c:v>1.8408690816823954</c:v>
                </c:pt>
                <c:pt idx="36">
                  <c:v>1.8473887351930074</c:v>
                </c:pt>
                <c:pt idx="37">
                  <c:v>1.8536449384942857</c:v>
                </c:pt>
                <c:pt idx="38">
                  <c:v>1.8596527847665649</c:v>
                </c:pt>
                <c:pt idx="39">
                  <c:v>1.8654266261974832</c:v>
                </c:pt>
                <c:pt idx="40">
                  <c:v>1.8709842485453045</c:v>
                </c:pt>
                <c:pt idx="41">
                  <c:v>1.8763426453074097</c:v>
                </c:pt>
                <c:pt idx="42">
                  <c:v>1.8815147263079881</c:v>
                </c:pt>
                <c:pt idx="43">
                  <c:v>1.8865127920694968</c:v>
                </c:pt>
                <c:pt idx="44">
                  <c:v>1.8913485652605198</c:v>
                </c:pt>
                <c:pt idx="45">
                  <c:v>1.8960060161900303</c:v>
                </c:pt>
                <c:pt idx="46">
                  <c:v>1.9004690743576562</c:v>
                </c:pt>
                <c:pt idx="47">
                  <c:v>1.9046037070110167</c:v>
                </c:pt>
                <c:pt idx="48">
                  <c:v>1.9086089880899821</c:v>
                </c:pt>
                <c:pt idx="49">
                  <c:v>1.9125665600641124</c:v>
                </c:pt>
                <c:pt idx="50">
                  <c:v>1.9164359255097594</c:v>
                </c:pt>
                <c:pt idx="51">
                  <c:v>1.9202085398704949</c:v>
                </c:pt>
                <c:pt idx="52">
                  <c:v>1.9238758701662304</c:v>
                </c:pt>
                <c:pt idx="53">
                  <c:v>1.9274293792804771</c:v>
                </c:pt>
                <c:pt idx="54">
                  <c:v>1.9308605086638191</c:v>
                </c:pt>
                <c:pt idx="55">
                  <c:v>1.934183568185365</c:v>
                </c:pt>
                <c:pt idx="56">
                  <c:v>1.9374122748760032</c:v>
                </c:pt>
                <c:pt idx="57">
                  <c:v>1.9405597816412088</c:v>
                </c:pt>
                <c:pt idx="58">
                  <c:v>1.9436387053616146</c:v>
                </c:pt>
                <c:pt idx="59">
                  <c:v>1.9466582247352651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7-4731-A1EA-EB90BC8D1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15296"/>
        <c:axId val="11939232"/>
      </c:lineChart>
      <c:catAx>
        <c:axId val="8081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32"/>
        <c:crosses val="autoZero"/>
        <c:auto val="1"/>
        <c:lblAlgn val="ctr"/>
        <c:lblOffset val="100"/>
        <c:noMultiLvlLbl val="0"/>
      </c:catAx>
      <c:valAx>
        <c:axId val="119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</xdr:colOff>
      <xdr:row>29</xdr:row>
      <xdr:rowOff>31751</xdr:rowOff>
    </xdr:from>
    <xdr:to>
      <xdr:col>21</xdr:col>
      <xdr:colOff>52916</xdr:colOff>
      <xdr:row>54</xdr:row>
      <xdr:rowOff>61031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E2224-1528-45A4-AA63-3334309F3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412800</xdr:colOff>
      <xdr:row>15</xdr:row>
      <xdr:rowOff>169185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08EA9-8806-C5AF-614B-CE7E5187D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607694</xdr:colOff>
      <xdr:row>0</xdr:row>
      <xdr:rowOff>0</xdr:rowOff>
    </xdr:from>
    <xdr:to>
      <xdr:col>15</xdr:col>
      <xdr:colOff>408989</xdr:colOff>
      <xdr:row>15</xdr:row>
      <xdr:rowOff>165375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651F01-1FBE-52EB-181C-D29D61C78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592454</xdr:colOff>
      <xdr:row>0</xdr:row>
      <xdr:rowOff>0</xdr:rowOff>
    </xdr:from>
    <xdr:to>
      <xdr:col>23</xdr:col>
      <xdr:colOff>395654</xdr:colOff>
      <xdr:row>15</xdr:row>
      <xdr:rowOff>172995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80D41C-3526-A912-019E-14DABE986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590549</xdr:colOff>
      <xdr:row>16</xdr:row>
      <xdr:rowOff>11429</xdr:rowOff>
    </xdr:from>
    <xdr:to>
      <xdr:col>23</xdr:col>
      <xdr:colOff>401369</xdr:colOff>
      <xdr:row>31</xdr:row>
      <xdr:rowOff>176804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84D820-F630-E784-31D2-565A474AF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9524</xdr:colOff>
      <xdr:row>16</xdr:row>
      <xdr:rowOff>9172</xdr:rowOff>
    </xdr:from>
    <xdr:to>
      <xdr:col>15</xdr:col>
      <xdr:colOff>420419</xdr:colOff>
      <xdr:row>32</xdr:row>
      <xdr:rowOff>3097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381C4C-DD66-F9FB-CAA1-892C8C510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410895</xdr:colOff>
      <xdr:row>31</xdr:row>
      <xdr:rowOff>169185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6DAF12-91B5-6A63-1FB5-AAEE1C2E0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AFF3-08FC-43D5-AE0A-5C84A3F24636}">
  <dimension ref="A2:S74"/>
  <sheetViews>
    <sheetView tabSelected="1" topLeftCell="A13" zoomScale="90" zoomScaleNormal="90" workbookViewId="0">
      <selection activeCell="I27" sqref="I27"/>
    </sheetView>
  </sheetViews>
  <sheetFormatPr defaultRowHeight="14.5" x14ac:dyDescent="0.35"/>
  <cols>
    <col min="2" max="2" width="18.7265625" customWidth="1"/>
    <col min="3" max="3" width="45" customWidth="1"/>
    <col min="4" max="4" width="15" customWidth="1"/>
    <col min="8" max="9" width="12.26953125" bestFit="1" customWidth="1"/>
    <col min="17" max="18" width="8.7265625" bestFit="1" customWidth="1"/>
    <col min="19" max="19" width="9.81640625" bestFit="1" customWidth="1"/>
  </cols>
  <sheetData>
    <row r="2" spans="1:19" x14ac:dyDescent="0.35">
      <c r="A2" s="1" t="s">
        <v>150</v>
      </c>
    </row>
    <row r="3" spans="1:19" x14ac:dyDescent="0.35">
      <c r="A3" s="40" t="s">
        <v>102</v>
      </c>
      <c r="B3">
        <v>0.04</v>
      </c>
      <c r="C3" t="s">
        <v>6</v>
      </c>
      <c r="M3" t="s">
        <v>17</v>
      </c>
    </row>
    <row r="4" spans="1:19" x14ac:dyDescent="0.35">
      <c r="A4" t="s">
        <v>105</v>
      </c>
      <c r="B4" s="12">
        <f>B3+B54+B52</f>
        <v>6.2899999999999998E-2</v>
      </c>
      <c r="C4" t="s">
        <v>13</v>
      </c>
      <c r="L4" t="s">
        <v>20</v>
      </c>
      <c r="M4" t="s">
        <v>24</v>
      </c>
      <c r="N4" t="s">
        <v>27</v>
      </c>
      <c r="O4" t="s">
        <v>28</v>
      </c>
      <c r="P4" t="s">
        <v>29</v>
      </c>
      <c r="Q4" t="s">
        <v>27</v>
      </c>
      <c r="R4" t="s">
        <v>28</v>
      </c>
      <c r="S4" t="s">
        <v>29</v>
      </c>
    </row>
    <row r="5" spans="1:19" x14ac:dyDescent="0.35">
      <c r="A5" s="40" t="s">
        <v>103</v>
      </c>
      <c r="B5">
        <v>1</v>
      </c>
      <c r="C5" t="s">
        <v>8</v>
      </c>
      <c r="L5">
        <v>-2.5</v>
      </c>
      <c r="M5" t="e">
        <f>_xlfn.XLOOKUP($L5,'6states'!$K$4:$K$104,'6states'!AS$4:AS$104,,-1)</f>
        <v>#N/A</v>
      </c>
      <c r="N5" s="6">
        <v>830.64850000000001</v>
      </c>
      <c r="O5" s="6">
        <v>534.30409999999995</v>
      </c>
      <c r="P5" s="6">
        <v>1319.8</v>
      </c>
      <c r="Q5" s="7">
        <v>2.8247399999999999E-2</v>
      </c>
      <c r="R5" s="7">
        <v>2.03494E-2</v>
      </c>
      <c r="S5" s="7">
        <v>3.9677799999999999E-2</v>
      </c>
    </row>
    <row r="6" spans="1:19" x14ac:dyDescent="0.35">
      <c r="A6" t="s">
        <v>104</v>
      </c>
      <c r="B6">
        <v>5</v>
      </c>
      <c r="C6" t="s">
        <v>35</v>
      </c>
      <c r="L6">
        <v>2.5</v>
      </c>
      <c r="M6">
        <f>_xlfn.XLOOKUP($L6,'6states'!$K$4:$K$104,'6states'!AS$4:AS$104,,-1)</f>
        <v>954.81160235848256</v>
      </c>
      <c r="N6" s="6">
        <v>606.61189999999999</v>
      </c>
      <c r="O6" s="6">
        <v>387.11829999999998</v>
      </c>
      <c r="P6" s="6">
        <v>1117.905</v>
      </c>
      <c r="Q6" s="7">
        <v>2.6695099999999999E-2</v>
      </c>
      <c r="R6" s="7">
        <v>1.8069600000000002E-2</v>
      </c>
      <c r="S6" s="7">
        <v>4.0859699999999999E-2</v>
      </c>
    </row>
    <row r="7" spans="1:19" x14ac:dyDescent="0.35">
      <c r="A7" s="40" t="s">
        <v>106</v>
      </c>
      <c r="B7">
        <v>0.3</v>
      </c>
      <c r="C7" t="s">
        <v>36</v>
      </c>
      <c r="L7">
        <v>7.5</v>
      </c>
      <c r="M7">
        <f>_xlfn.XLOOKUP($L7,'6states'!$K$4:$K$104,'6states'!AS$4:AS$104,,-1)</f>
        <v>491.56919640901373</v>
      </c>
      <c r="N7" s="6">
        <v>417.0838</v>
      </c>
      <c r="O7" s="6">
        <v>242.37639999999999</v>
      </c>
      <c r="P7" s="6">
        <v>684.37270000000001</v>
      </c>
      <c r="Q7" s="7">
        <v>1.9692500000000002E-2</v>
      </c>
      <c r="R7" s="7">
        <v>1.23111E-2</v>
      </c>
      <c r="S7" s="7">
        <v>2.83897E-2</v>
      </c>
    </row>
    <row r="8" spans="1:19" x14ac:dyDescent="0.35">
      <c r="A8" t="s">
        <v>107</v>
      </c>
      <c r="B8">
        <v>0.2</v>
      </c>
      <c r="C8" t="s">
        <v>154</v>
      </c>
      <c r="L8">
        <v>12.5</v>
      </c>
      <c r="M8">
        <f>_xlfn.XLOOKUP($L8,'6states'!$K$4:$K$101,'6states'!AS$4:AS$101,,-1)</f>
        <v>352.25734636912915</v>
      </c>
      <c r="N8" s="6">
        <v>369.45100000000002</v>
      </c>
      <c r="O8" s="6">
        <v>259.53149999999999</v>
      </c>
      <c r="P8" s="6">
        <v>657.7192</v>
      </c>
      <c r="Q8" s="7">
        <v>2.0146399999999998E-2</v>
      </c>
      <c r="R8" s="7">
        <v>1.4205300000000001E-2</v>
      </c>
      <c r="S8" s="7">
        <v>3.0372400000000001E-2</v>
      </c>
    </row>
    <row r="9" spans="1:19" x14ac:dyDescent="0.35">
      <c r="A9" t="s">
        <v>108</v>
      </c>
      <c r="B9" s="8">
        <f>1-1/B8</f>
        <v>-4</v>
      </c>
      <c r="C9" t="s">
        <v>158</v>
      </c>
      <c r="L9">
        <v>17.5</v>
      </c>
      <c r="M9">
        <f>_xlfn.XLOOKUP($L9,'6states'!$K$4:$K$101,'6states'!AS$4:AS$101,,-1)</f>
        <v>287.3468927289955</v>
      </c>
      <c r="N9" s="6">
        <v>279.10210000000001</v>
      </c>
      <c r="O9" s="6">
        <v>194.92009999999999</v>
      </c>
      <c r="P9" s="6">
        <v>471.17509999999999</v>
      </c>
      <c r="Q9" s="7">
        <v>1.9457499999999999E-2</v>
      </c>
      <c r="R9" s="7">
        <v>1.37847E-2</v>
      </c>
      <c r="S9" s="7">
        <v>2.8879800000000001E-2</v>
      </c>
    </row>
    <row r="10" spans="1:19" x14ac:dyDescent="0.35">
      <c r="A10" t="s">
        <v>109</v>
      </c>
      <c r="B10" s="8">
        <f>1-B11</f>
        <v>0.9999439673301258</v>
      </c>
      <c r="C10" t="s">
        <v>155</v>
      </c>
      <c r="L10">
        <v>22.5</v>
      </c>
      <c r="M10">
        <f>_xlfn.XLOOKUP($L10,'6states'!$K$4:$K$101,'6states'!AS$4:AS$101,,-1)</f>
        <v>256.26342228774968</v>
      </c>
      <c r="N10" s="6">
        <v>201.3134</v>
      </c>
      <c r="O10" s="6">
        <v>145.1962</v>
      </c>
      <c r="P10" s="6">
        <v>330</v>
      </c>
      <c r="Q10" s="7">
        <v>1.8330699999999998E-2</v>
      </c>
      <c r="R10" s="7">
        <v>1.23982E-2</v>
      </c>
      <c r="S10" s="7">
        <v>2.8500000000000001E-2</v>
      </c>
    </row>
    <row r="11" spans="1:19" x14ac:dyDescent="0.35">
      <c r="A11" t="s">
        <v>110</v>
      </c>
      <c r="B11" s="8">
        <f>1/(1+(B18*B16^B13+B19*B14^B13)^(B9/B13-1)*B18*B16^(B13-1))</f>
        <v>5.6032669874171739E-5</v>
      </c>
      <c r="C11" t="s">
        <v>156</v>
      </c>
      <c r="D11" s="4"/>
      <c r="L11">
        <v>27.5</v>
      </c>
      <c r="M11">
        <f>_xlfn.XLOOKUP($L11,'6states'!$K$4:$K$101,'6states'!AS$4:AS$101,,-1)</f>
        <v>207.72091764963207</v>
      </c>
      <c r="N11" s="6">
        <v>158.28030000000001</v>
      </c>
      <c r="O11" s="6">
        <v>107.6669</v>
      </c>
      <c r="P11" s="6">
        <v>245.52</v>
      </c>
      <c r="Q11" s="7">
        <v>1.6000899999999998E-2</v>
      </c>
      <c r="R11" s="7">
        <v>1.1003199999999999E-2</v>
      </c>
      <c r="S11" s="7">
        <v>2.3718599999999999E-2</v>
      </c>
    </row>
    <row r="12" spans="1:19" x14ac:dyDescent="0.35">
      <c r="A12" t="s">
        <v>111</v>
      </c>
      <c r="B12" s="24">
        <v>2</v>
      </c>
      <c r="C12" t="s">
        <v>157</v>
      </c>
      <c r="L12">
        <v>32.5</v>
      </c>
      <c r="M12">
        <f>_xlfn.XLOOKUP($L12,'6states'!$K$4:$K$101,'6states'!AS$4:AS$101,,-1)</f>
        <v>193.43569317485534</v>
      </c>
      <c r="N12" s="6">
        <v>112.6412</v>
      </c>
      <c r="O12" s="6">
        <v>81.444730000000007</v>
      </c>
      <c r="P12" s="6">
        <v>177.91800000000001</v>
      </c>
      <c r="Q12" s="7">
        <v>1.2162600000000001E-2</v>
      </c>
      <c r="R12" s="7">
        <v>8.7869999999999997E-3</v>
      </c>
      <c r="S12" s="7">
        <v>1.73682E-2</v>
      </c>
    </row>
    <row r="13" spans="1:19" x14ac:dyDescent="0.35">
      <c r="A13" s="39" t="s">
        <v>112</v>
      </c>
      <c r="B13" s="12">
        <f>1-1/B12</f>
        <v>0.5</v>
      </c>
      <c r="C13" t="s">
        <v>158</v>
      </c>
      <c r="L13">
        <v>37.5</v>
      </c>
      <c r="M13">
        <f>_xlfn.XLOOKUP($L13,'6states'!$K$4:$K$101,'6states'!AS$4:AS$101,,-1)</f>
        <v>184.39914868419132</v>
      </c>
      <c r="N13" s="6">
        <v>89.531630000000007</v>
      </c>
      <c r="O13" s="6">
        <v>58.81897</v>
      </c>
      <c r="P13" s="6">
        <v>159.26089999999999</v>
      </c>
      <c r="Q13" s="7">
        <v>8.2251000000000008E-3</v>
      </c>
      <c r="R13" s="7">
        <v>5.6994000000000003E-3</v>
      </c>
      <c r="S13" s="7">
        <v>1.38741E-2</v>
      </c>
    </row>
    <row r="14" spans="1:19" x14ac:dyDescent="0.35">
      <c r="A14" t="s">
        <v>113</v>
      </c>
      <c r="B14">
        <v>0.18410000000000001</v>
      </c>
      <c r="C14" t="s">
        <v>159</v>
      </c>
      <c r="L14">
        <v>42.5</v>
      </c>
      <c r="M14">
        <f>_xlfn.XLOOKUP($L14,'6states'!$K$4:$K$101,'6states'!AS$4:AS$101,,-1)</f>
        <v>175.71980726120478</v>
      </c>
      <c r="N14" s="6">
        <v>74.867599999999996</v>
      </c>
      <c r="O14" s="6">
        <v>47.317929999999997</v>
      </c>
      <c r="P14" s="6">
        <v>131.6824</v>
      </c>
      <c r="Q14" s="7">
        <v>6.1939999999999999E-3</v>
      </c>
      <c r="R14" s="7">
        <v>3.8782000000000001E-3</v>
      </c>
      <c r="S14" s="7">
        <v>9.2855999999999998E-3</v>
      </c>
    </row>
    <row r="15" spans="1:19" x14ac:dyDescent="0.35">
      <c r="A15" t="s">
        <v>114</v>
      </c>
      <c r="B15" s="23">
        <v>0.16</v>
      </c>
      <c r="C15" t="s">
        <v>33</v>
      </c>
      <c r="L15">
        <v>47.5</v>
      </c>
      <c r="M15">
        <f>_xlfn.XLOOKUP($L15,'6states'!$K$4:$K$101,'6states'!AS$4:AS$101,,-1)</f>
        <v>175.71980726120478</v>
      </c>
      <c r="N15" s="6">
        <v>32.49194</v>
      </c>
      <c r="O15" s="6">
        <v>10.02872</v>
      </c>
      <c r="P15" s="6">
        <v>64.102000000000004</v>
      </c>
      <c r="Q15" s="7">
        <v>2.7149000000000001E-3</v>
      </c>
      <c r="R15" s="7">
        <v>7.5310000000000004E-4</v>
      </c>
      <c r="S15" s="7">
        <v>5.1000999999999998E-3</v>
      </c>
    </row>
    <row r="16" spans="1:19" x14ac:dyDescent="0.35">
      <c r="A16" t="s">
        <v>115</v>
      </c>
      <c r="B16" s="13">
        <f>B14*B15/(1-B15)</f>
        <v>3.506666666666667E-2</v>
      </c>
      <c r="C16" t="s">
        <v>160</v>
      </c>
      <c r="L16">
        <v>52.5</v>
      </c>
      <c r="M16">
        <f>_xlfn.XLOOKUP($L16,'6states'!$K$4:$K$101,'6states'!AS$4:AS$101,,-1)</f>
        <v>175.71980726120478</v>
      </c>
      <c r="N16" s="6">
        <v>1.7695000000000001</v>
      </c>
      <c r="O16" s="6">
        <v>0</v>
      </c>
      <c r="P16" s="6">
        <v>12.83052</v>
      </c>
      <c r="Q16" s="9">
        <v>0</v>
      </c>
      <c r="R16" s="9">
        <v>0</v>
      </c>
      <c r="S16" s="9">
        <v>5.0129999999999999E-4</v>
      </c>
    </row>
    <row r="17" spans="1:19" x14ac:dyDescent="0.35">
      <c r="A17" t="s">
        <v>116</v>
      </c>
      <c r="B17" s="13">
        <f>B16/B14</f>
        <v>0.19047619047619047</v>
      </c>
      <c r="C17" t="s">
        <v>51</v>
      </c>
      <c r="L17">
        <v>57.5</v>
      </c>
      <c r="M17">
        <f>_xlfn.XLOOKUP($L17,'6states'!$K$4:$K$101,'6states'!AS$4:AS$101,,-1)</f>
        <v>171.50604882774317</v>
      </c>
      <c r="N17" s="6">
        <v>2.2415600000000002</v>
      </c>
      <c r="O17" s="6">
        <v>0</v>
      </c>
      <c r="P17" s="6">
        <v>11.00962</v>
      </c>
      <c r="Q17" s="9">
        <v>0</v>
      </c>
      <c r="R17" s="9">
        <v>0</v>
      </c>
      <c r="S17" s="9">
        <v>1.0000000000000001E-5</v>
      </c>
    </row>
    <row r="18" spans="1:19" x14ac:dyDescent="0.35">
      <c r="A18" t="s">
        <v>117</v>
      </c>
      <c r="B18" s="13">
        <f>1-B19</f>
        <v>0.30383243470068699</v>
      </c>
      <c r="C18" t="s">
        <v>11</v>
      </c>
      <c r="D18" s="5">
        <f>B18^(1/B13)</f>
        <v>9.2314148376147223E-2</v>
      </c>
      <c r="Q18" s="1"/>
      <c r="R18" s="1"/>
      <c r="S18" s="1"/>
    </row>
    <row r="19" spans="1:19" x14ac:dyDescent="0.35">
      <c r="A19" t="s">
        <v>118</v>
      </c>
      <c r="B19" s="13">
        <f>1/((B17)^(1-B13)+1)</f>
        <v>0.69616756529931301</v>
      </c>
      <c r="C19" t="s">
        <v>14</v>
      </c>
      <c r="D19" s="5">
        <f>B18^(1/0.77)</f>
        <v>0.21286108799892262</v>
      </c>
      <c r="L19" t="s">
        <v>25</v>
      </c>
      <c r="M19">
        <f>SUMXMY2(M6:M16,N6:N16)/11/1000</f>
        <v>19.008207295514776</v>
      </c>
      <c r="Q19" s="1"/>
      <c r="R19" s="1"/>
      <c r="S19" s="1"/>
    </row>
    <row r="20" spans="1:19" x14ac:dyDescent="0.35">
      <c r="A20" s="40" t="s">
        <v>119</v>
      </c>
      <c r="B20">
        <v>0.01</v>
      </c>
      <c r="C20" t="s">
        <v>23</v>
      </c>
      <c r="E20" s="4"/>
      <c r="L20" t="s">
        <v>30</v>
      </c>
      <c r="M20" t="e">
        <f>M19+#REF!</f>
        <v>#REF!</v>
      </c>
    </row>
    <row r="21" spans="1:19" x14ac:dyDescent="0.35">
      <c r="A21" t="s">
        <v>42</v>
      </c>
      <c r="B21">
        <v>400</v>
      </c>
      <c r="C21" t="s">
        <v>43</v>
      </c>
    </row>
    <row r="22" spans="1:19" x14ac:dyDescent="0.35">
      <c r="A22" t="s">
        <v>44</v>
      </c>
      <c r="B22">
        <v>0</v>
      </c>
      <c r="C22" t="s">
        <v>45</v>
      </c>
    </row>
    <row r="24" spans="1:19" x14ac:dyDescent="0.35">
      <c r="A24" s="1" t="s">
        <v>7</v>
      </c>
    </row>
    <row r="25" spans="1:19" x14ac:dyDescent="0.35">
      <c r="A25" t="s">
        <v>123</v>
      </c>
      <c r="B25" s="13">
        <f>B27*B14-B20</f>
        <v>0.79083499999999995</v>
      </c>
      <c r="C25" t="s">
        <v>161</v>
      </c>
      <c r="D25" t="s">
        <v>126</v>
      </c>
      <c r="E25" s="8">
        <f>B25*B$28*B$29</f>
        <v>58.41828303493655</v>
      </c>
      <c r="F25" t="s">
        <v>151</v>
      </c>
      <c r="G25" s="8">
        <f>B14*G27</f>
        <v>0.80194854356118506</v>
      </c>
      <c r="H25" t="s">
        <v>180</v>
      </c>
      <c r="I25">
        <f>(B57-B5*I26^2)/(1-2*B5*I26)</f>
        <v>8.4904031238958483E-2</v>
      </c>
      <c r="J25" s="1"/>
    </row>
    <row r="26" spans="1:19" s="1" customFormat="1" x14ac:dyDescent="0.35">
      <c r="A26" t="s">
        <v>124</v>
      </c>
      <c r="B26" s="13">
        <f>B27*B16</f>
        <v>0.15254000000000001</v>
      </c>
      <c r="C26" t="s">
        <v>162</v>
      </c>
      <c r="D26" t="s">
        <v>127</v>
      </c>
      <c r="E26" s="8">
        <f>B26*B$28*B$29</f>
        <v>11.26799508639504</v>
      </c>
      <c r="F26" t="s">
        <v>152</v>
      </c>
      <c r="G26" s="8">
        <f>B16*G27</f>
        <v>0.15275210353546381</v>
      </c>
      <c r="H26" t="s">
        <v>181</v>
      </c>
      <c r="I26">
        <f>(1-SQRT(1-4*B5*(B4)))/2/B5</f>
        <v>6.7449424922356616E-2</v>
      </c>
    </row>
    <row r="27" spans="1:19" s="1" customFormat="1" x14ac:dyDescent="0.35">
      <c r="A27" t="s">
        <v>125</v>
      </c>
      <c r="B27" s="38">
        <v>4.3499999999999996</v>
      </c>
      <c r="C27" t="s">
        <v>163</v>
      </c>
      <c r="D27" t="s">
        <v>128</v>
      </c>
      <c r="E27" s="8">
        <f>B27*B$28*B$29</f>
        <v>321.33065835727297</v>
      </c>
      <c r="F27" t="s">
        <v>153</v>
      </c>
      <c r="G27" s="8">
        <f>(B7*B10*(B10+B11*(B18*B16^B13+B19*B14^B13)^(B9/B13))^(B7/B9-1)*EXP(-B47/2*B48^2) / I25) ^ (1/(1-B7))</f>
        <v>4.3560485799086637</v>
      </c>
      <c r="H27" t="s">
        <v>182</v>
      </c>
      <c r="I27">
        <f>B4+B5*B4^2</f>
        <v>6.6856409999999991E-2</v>
      </c>
    </row>
    <row r="28" spans="1:19" s="1" customFormat="1" x14ac:dyDescent="0.35">
      <c r="A28" t="s">
        <v>120</v>
      </c>
      <c r="B28">
        <v>8.16</v>
      </c>
      <c r="C28" t="s">
        <v>164</v>
      </c>
      <c r="D28" t="s">
        <v>129</v>
      </c>
      <c r="E28" s="12">
        <f>(B25+B26+B27)*B28*B29</f>
        <v>391.01693647860458</v>
      </c>
      <c r="F28" t="s">
        <v>15</v>
      </c>
      <c r="G28"/>
      <c r="H28"/>
      <c r="I28"/>
      <c r="J28"/>
    </row>
    <row r="29" spans="1:19" x14ac:dyDescent="0.35">
      <c r="A29" t="s">
        <v>121</v>
      </c>
      <c r="B29" s="12">
        <f>B30*EXP(B47/2*B48^2)/B28/(Parameters!$B$10*B27^Parameters!$B$9+B11*E30^Parameters!$B$9)^(Parameters!$B$7/Parameters!$B$9)</f>
        <v>9.0525878509486422</v>
      </c>
      <c r="C29" t="s">
        <v>165</v>
      </c>
      <c r="D29" t="s">
        <v>21</v>
      </c>
      <c r="E29" s="8">
        <f>((Parameters!B3+Parameters!B51+Parameters!B53*Parameters!B54)/Parameters!B7)^(1/(Parameters!B7-1))</f>
        <v>6.8509746420694579</v>
      </c>
      <c r="F29" t="s">
        <v>22</v>
      </c>
    </row>
    <row r="30" spans="1:19" x14ac:dyDescent="0.35">
      <c r="A30" t="s">
        <v>122</v>
      </c>
      <c r="B30">
        <v>110.98</v>
      </c>
      <c r="C30" t="s">
        <v>166</v>
      </c>
      <c r="D30" t="s">
        <v>130</v>
      </c>
      <c r="E30" s="8">
        <f>(B18*B26^B13+B19*(B25+B20)^B13)^(1/B13)</f>
        <v>0.55006250755068387</v>
      </c>
    </row>
    <row r="31" spans="1:19" x14ac:dyDescent="0.35">
      <c r="A31" t="s">
        <v>46</v>
      </c>
      <c r="B31">
        <v>53.2</v>
      </c>
      <c r="C31" t="s">
        <v>167</v>
      </c>
      <c r="D31" t="s">
        <v>131</v>
      </c>
      <c r="E31" s="8">
        <f>B26/(B26+B25)</f>
        <v>0.16169603816085865</v>
      </c>
      <c r="F31" t="s">
        <v>26</v>
      </c>
    </row>
    <row r="32" spans="1:19" x14ac:dyDescent="0.35">
      <c r="D32" t="s">
        <v>47</v>
      </c>
      <c r="E32" s="22">
        <f>B7*B11*E30^(B9-1)/(B10*B27^B9+B11*E30^B9)    * E30</f>
        <v>5.3930280246069738E-2</v>
      </c>
      <c r="F32" t="s">
        <v>50</v>
      </c>
    </row>
    <row r="33" spans="1:6" x14ac:dyDescent="0.35">
      <c r="D33" t="s">
        <v>48</v>
      </c>
      <c r="E33" s="22">
        <f>B7*B10*B27^(B9-1)/(B10*B27^B9+B11*E30^B9)    * B27</f>
        <v>0.24606971975393027</v>
      </c>
      <c r="F33" t="s">
        <v>49</v>
      </c>
    </row>
    <row r="34" spans="1:6" x14ac:dyDescent="0.35">
      <c r="E34" s="29"/>
    </row>
    <row r="35" spans="1:6" x14ac:dyDescent="0.35">
      <c r="A35" s="1" t="s">
        <v>1</v>
      </c>
    </row>
    <row r="36" spans="1:6" x14ac:dyDescent="0.35">
      <c r="A36" t="s">
        <v>149</v>
      </c>
      <c r="B36" s="14">
        <f>Parameters!B29*Parameters!B28*Parameters!B42/(Parameters!B3+B43)</f>
        <v>1345.4133921740947</v>
      </c>
      <c r="C36" t="s">
        <v>168</v>
      </c>
    </row>
    <row r="37" spans="1:6" x14ac:dyDescent="0.35">
      <c r="A37" t="s">
        <v>39</v>
      </c>
      <c r="B37">
        <v>6.8860000000000001</v>
      </c>
      <c r="C37" t="s">
        <v>169</v>
      </c>
    </row>
    <row r="38" spans="1:6" x14ac:dyDescent="0.35">
      <c r="A38" t="s">
        <v>132</v>
      </c>
      <c r="B38" s="13">
        <f>B37-B40</f>
        <v>6.1190089939559984</v>
      </c>
    </row>
    <row r="39" spans="1:6" x14ac:dyDescent="0.35">
      <c r="A39" t="s">
        <v>133</v>
      </c>
      <c r="B39" s="26">
        <v>0.72899999999999998</v>
      </c>
      <c r="C39" t="s">
        <v>170</v>
      </c>
    </row>
    <row r="40" spans="1:6" x14ac:dyDescent="0.35">
      <c r="A40" t="s">
        <v>134</v>
      </c>
      <c r="B40" s="13">
        <f>(B31-B37/B39*(1-EXP(-B39*E25)))/(E25-(1-EXP(-B39*E25))/B39)</f>
        <v>0.76699100604400183</v>
      </c>
    </row>
    <row r="41" spans="1:6" x14ac:dyDescent="0.35">
      <c r="A41" t="s">
        <v>135</v>
      </c>
      <c r="B41" s="12">
        <f>B38*EXP(-B39*E25)+B40</f>
        <v>0.76699100604400183</v>
      </c>
      <c r="C41" t="s">
        <v>171</v>
      </c>
    </row>
    <row r="42" spans="1:6" x14ac:dyDescent="0.35">
      <c r="A42" s="40" t="s">
        <v>136</v>
      </c>
      <c r="B42" s="12">
        <f>B31/B28/B29/B25</f>
        <v>0.91067380340815918</v>
      </c>
      <c r="C42" t="s">
        <v>34</v>
      </c>
    </row>
    <row r="43" spans="1:6" x14ac:dyDescent="0.35">
      <c r="A43" t="s">
        <v>137</v>
      </c>
      <c r="B43">
        <v>0.01</v>
      </c>
      <c r="C43" t="s">
        <v>16</v>
      </c>
    </row>
    <row r="45" spans="1:6" x14ac:dyDescent="0.35">
      <c r="A45" s="1" t="s">
        <v>0</v>
      </c>
    </row>
    <row r="46" spans="1:6" x14ac:dyDescent="0.35">
      <c r="A46" s="40" t="s">
        <v>138</v>
      </c>
      <c r="B46">
        <v>5.9999999999999995E-4</v>
      </c>
      <c r="C46" t="s">
        <v>2</v>
      </c>
    </row>
    <row r="47" spans="1:6" x14ac:dyDescent="0.35">
      <c r="A47" s="40" t="s">
        <v>139</v>
      </c>
      <c r="B47">
        <v>2.01E-2</v>
      </c>
      <c r="C47" t="s">
        <v>54</v>
      </c>
    </row>
    <row r="48" spans="1:6" x14ac:dyDescent="0.35">
      <c r="A48" t="s">
        <v>140</v>
      </c>
      <c r="B48">
        <v>1.38</v>
      </c>
      <c r="C48" t="s">
        <v>172</v>
      </c>
    </row>
    <row r="50" spans="1:10" x14ac:dyDescent="0.35">
      <c r="A50" s="1" t="s">
        <v>3</v>
      </c>
      <c r="B50" s="1"/>
      <c r="C50" s="1"/>
    </row>
    <row r="51" spans="1:10" x14ac:dyDescent="0.35">
      <c r="A51" s="40" t="s">
        <v>141</v>
      </c>
      <c r="B51">
        <f>0.011</f>
        <v>1.0999999999999999E-2</v>
      </c>
      <c r="C51" t="s">
        <v>173</v>
      </c>
    </row>
    <row r="52" spans="1:10" x14ac:dyDescent="0.35">
      <c r="A52" t="s">
        <v>9</v>
      </c>
      <c r="B52">
        <v>2.8999999999999998E-3</v>
      </c>
      <c r="C52" t="s">
        <v>10</v>
      </c>
    </row>
    <row r="53" spans="1:10" x14ac:dyDescent="0.35">
      <c r="A53" s="40" t="s">
        <v>142</v>
      </c>
      <c r="B53">
        <v>1.35</v>
      </c>
      <c r="C53" t="s">
        <v>174</v>
      </c>
    </row>
    <row r="54" spans="1:10" x14ac:dyDescent="0.35">
      <c r="A54" t="s">
        <v>4</v>
      </c>
      <c r="B54">
        <v>0.02</v>
      </c>
      <c r="C54" t="s">
        <v>175</v>
      </c>
    </row>
    <row r="55" spans="1:10" x14ac:dyDescent="0.35">
      <c r="A55" t="s">
        <v>38</v>
      </c>
      <c r="B55" s="8">
        <f>B51-B52+B53*B54</f>
        <v>3.5100000000000006E-2</v>
      </c>
      <c r="D55" s="1"/>
      <c r="E55" s="1"/>
      <c r="F55" s="1"/>
      <c r="G55" s="1"/>
      <c r="H55" s="1"/>
      <c r="I55" s="1"/>
      <c r="J55" s="1"/>
    </row>
    <row r="56" spans="1:10" s="1" customFormat="1" x14ac:dyDescent="0.35">
      <c r="A56" t="s">
        <v>12</v>
      </c>
      <c r="B56" s="8">
        <f>B51-B52+(B53-1)*B54</f>
        <v>1.5100000000000002E-2</v>
      </c>
      <c r="C56"/>
      <c r="D56"/>
      <c r="E56"/>
      <c r="F56"/>
      <c r="G56"/>
      <c r="H56"/>
      <c r="I56"/>
      <c r="J56"/>
    </row>
    <row r="57" spans="1:10" x14ac:dyDescent="0.35">
      <c r="A57" t="s">
        <v>143</v>
      </c>
      <c r="B57" s="8">
        <f>B55+B3+B52</f>
        <v>7.8E-2</v>
      </c>
    </row>
    <row r="58" spans="1:10" x14ac:dyDescent="0.35">
      <c r="A58" s="40" t="s">
        <v>144</v>
      </c>
      <c r="B58" s="13">
        <f>EXP(-B56)</f>
        <v>0.98501343333449787</v>
      </c>
      <c r="C58" t="s">
        <v>32</v>
      </c>
    </row>
    <row r="60" spans="1:10" x14ac:dyDescent="0.35">
      <c r="A60" s="1" t="s">
        <v>18</v>
      </c>
      <c r="F60">
        <f>1-EXP(-0.015*150)</f>
        <v>0.89460077543813565</v>
      </c>
    </row>
    <row r="61" spans="1:10" x14ac:dyDescent="0.35">
      <c r="A61" t="s">
        <v>145</v>
      </c>
      <c r="B61">
        <v>2.7E-2</v>
      </c>
      <c r="C61" t="s">
        <v>179</v>
      </c>
    </row>
    <row r="62" spans="1:10" x14ac:dyDescent="0.35">
      <c r="A62" s="40" t="s">
        <v>146</v>
      </c>
      <c r="B62">
        <v>0.5</v>
      </c>
      <c r="C62" t="s">
        <v>19</v>
      </c>
    </row>
    <row r="63" spans="1:10" x14ac:dyDescent="0.35">
      <c r="A63" t="s">
        <v>147</v>
      </c>
      <c r="B63">
        <v>50</v>
      </c>
      <c r="C63" t="s">
        <v>177</v>
      </c>
    </row>
    <row r="64" spans="1:10" x14ac:dyDescent="0.35">
      <c r="A64" s="41" t="s">
        <v>141</v>
      </c>
      <c r="B64">
        <v>0.1</v>
      </c>
      <c r="C64" t="s">
        <v>176</v>
      </c>
    </row>
    <row r="71" spans="1:13" x14ac:dyDescent="0.35">
      <c r="A71" t="s">
        <v>31</v>
      </c>
      <c r="B71">
        <v>1</v>
      </c>
    </row>
    <row r="74" spans="1:13" x14ac:dyDescent="0.35">
      <c r="B74" t="s">
        <v>40</v>
      </c>
      <c r="C74" t="s">
        <v>41</v>
      </c>
      <c r="M74" t="s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BBA9-EF41-41AA-9096-6EC0B0DD19F0}">
  <dimension ref="A1:AZ305"/>
  <sheetViews>
    <sheetView topLeftCell="AI1" zoomScaleNormal="100" workbookViewId="0">
      <pane ySplit="3" topLeftCell="A4" activePane="bottomLeft" state="frozen"/>
      <selection activeCell="B1" sqref="B1"/>
      <selection pane="bottomLeft" activeCell="AW3" sqref="AW3"/>
    </sheetView>
  </sheetViews>
  <sheetFormatPr defaultRowHeight="14.5" x14ac:dyDescent="0.35"/>
  <cols>
    <col min="2" max="2" width="11.1796875" bestFit="1" customWidth="1"/>
    <col min="3" max="4" width="8.7265625" bestFit="1" customWidth="1"/>
    <col min="5" max="6" width="8.7265625" customWidth="1"/>
    <col min="7" max="7" width="11.7265625" customWidth="1"/>
    <col min="8" max="8" width="10.81640625" customWidth="1"/>
    <col min="9" max="14" width="8.7265625" customWidth="1"/>
    <col min="15" max="17" width="8.54296875" customWidth="1"/>
    <col min="18" max="21" width="8.7265625" customWidth="1"/>
    <col min="22" max="22" width="12.7265625" customWidth="1"/>
    <col min="23" max="23" width="10" style="5" customWidth="1"/>
    <col min="24" max="25" width="8.81640625" customWidth="1"/>
    <col min="26" max="36" width="12.26953125" customWidth="1"/>
    <col min="39" max="39" width="10.7265625" customWidth="1"/>
    <col min="40" max="40" width="8.7265625" bestFit="1" customWidth="1"/>
    <col min="41" max="41" width="9.26953125" bestFit="1" customWidth="1"/>
    <col min="42" max="42" width="8.7265625" customWidth="1"/>
    <col min="43" max="43" width="12.453125" bestFit="1" customWidth="1"/>
    <col min="45" max="45" width="8.7265625" style="5"/>
  </cols>
  <sheetData>
    <row r="1" spans="1:52" x14ac:dyDescent="0.35">
      <c r="A1" s="1" t="s">
        <v>178</v>
      </c>
      <c r="F1" s="1"/>
      <c r="G1" s="1"/>
      <c r="H1" s="3"/>
      <c r="AM1" s="3"/>
      <c r="AS1"/>
    </row>
    <row r="2" spans="1:52" x14ac:dyDescent="0.35">
      <c r="B2" s="3"/>
      <c r="C2" s="3"/>
      <c r="D2" s="3"/>
      <c r="I2">
        <f>8.6*12</f>
        <v>103.19999999999999</v>
      </c>
      <c r="O2" s="21"/>
      <c r="P2" s="21"/>
      <c r="Q2" s="21"/>
      <c r="S2" s="5"/>
      <c r="T2" s="5"/>
      <c r="AS2"/>
    </row>
    <row r="3" spans="1:52" x14ac:dyDescent="0.35">
      <c r="A3" t="s">
        <v>5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s="39" t="s">
        <v>70</v>
      </c>
      <c r="O3" t="s">
        <v>71</v>
      </c>
      <c r="P3" t="s">
        <v>72</v>
      </c>
      <c r="Q3" t="s">
        <v>148</v>
      </c>
      <c r="R3" t="s">
        <v>73</v>
      </c>
      <c r="S3" s="39" t="s">
        <v>74</v>
      </c>
      <c r="T3" s="39" t="s">
        <v>75</v>
      </c>
      <c r="U3" t="s">
        <v>76</v>
      </c>
      <c r="V3" t="s">
        <v>77</v>
      </c>
      <c r="W3" s="5" t="s">
        <v>78</v>
      </c>
      <c r="X3" s="39" t="s">
        <v>79</v>
      </c>
      <c r="Y3" t="s">
        <v>80</v>
      </c>
      <c r="Z3" t="s">
        <v>81</v>
      </c>
      <c r="AA3" t="s">
        <v>82</v>
      </c>
      <c r="AB3" t="s">
        <v>83</v>
      </c>
      <c r="AC3" t="s">
        <v>84</v>
      </c>
      <c r="AD3" t="s">
        <v>85</v>
      </c>
      <c r="AE3" t="s">
        <v>86</v>
      </c>
      <c r="AF3" t="s">
        <v>87</v>
      </c>
      <c r="AG3" t="s">
        <v>88</v>
      </c>
      <c r="AH3" t="s">
        <v>89</v>
      </c>
      <c r="AJ3" t="s">
        <v>90</v>
      </c>
      <c r="AM3" t="s">
        <v>95</v>
      </c>
      <c r="AN3" t="s">
        <v>96</v>
      </c>
      <c r="AO3" t="s">
        <v>97</v>
      </c>
      <c r="AP3" t="s">
        <v>98</v>
      </c>
      <c r="AQ3" t="s">
        <v>101</v>
      </c>
      <c r="AR3" t="s">
        <v>100</v>
      </c>
      <c r="AS3" t="s">
        <v>99</v>
      </c>
      <c r="AT3" t="s">
        <v>91</v>
      </c>
      <c r="AU3" t="s">
        <v>56</v>
      </c>
      <c r="AV3" t="s">
        <v>53</v>
      </c>
      <c r="AW3" t="s">
        <v>52</v>
      </c>
      <c r="AX3" t="s">
        <v>55</v>
      </c>
      <c r="AY3" t="s">
        <v>57</v>
      </c>
    </row>
    <row r="4" spans="1:52" x14ac:dyDescent="0.35">
      <c r="A4">
        <v>0</v>
      </c>
      <c r="B4" s="13">
        <v>-2.8124506507207419E-2</v>
      </c>
      <c r="C4" s="13">
        <v>3.6740613247118817E-2</v>
      </c>
      <c r="D4" s="13">
        <v>0.25584329470600969</v>
      </c>
      <c r="E4" s="5">
        <f>Parameters!B25</f>
        <v>0.79083499999999995</v>
      </c>
      <c r="F4" s="7">
        <f>Parameters!B26</f>
        <v>0.15254000000000001</v>
      </c>
      <c r="G4" s="19">
        <f>Parameters!B27</f>
        <v>4.3499999999999996</v>
      </c>
      <c r="H4" s="7">
        <v>0</v>
      </c>
      <c r="I4" s="16">
        <f>Parameters!B28</f>
        <v>8.16</v>
      </c>
      <c r="J4" s="16">
        <f>Parameters!B29</f>
        <v>9.0525878509486422</v>
      </c>
      <c r="K4" s="16">
        <f>I4*J4*EXP(-Parameters!$B$43*'6states'!A4)*(Parameters!$B$38/Parameters!$B$39*('6states'!E4+'6states'!H4)/Parameters!$E$25*(EXP(-Parameters!$B$39*Parameters!$E$25*'6states'!H4/('6states'!E4+'6states'!H4))-EXP(-Parameters!$B$39*Parameters!$E$25))  +  Parameters!$B$40*'6states'!E4)</f>
        <v>53.200000000000017</v>
      </c>
      <c r="L4" s="6">
        <f xml:space="preserve"> M4/Parameters!$B$46</f>
        <v>2300</v>
      </c>
      <c r="M4" s="5">
        <f>Parameters!B48</f>
        <v>1.38</v>
      </c>
      <c r="N4" s="7">
        <f>EXP(-Parameters!$B$47/2*M4^2)</f>
        <v>0.98104277196026479</v>
      </c>
      <c r="O4" s="6">
        <f>MAX((Parameters!$B$63 + Parameters!$B$31*'6states'!A4 - '6states'!L4 + Parameters!$B$48/Parameters!$B$46)/Parameters!B$63,1)</f>
        <v>1</v>
      </c>
      <c r="P4" s="5">
        <f>Parameters!B$62*EXP(-Parameters!B$61*A4)</f>
        <v>0.5</v>
      </c>
      <c r="Q4" s="5">
        <f>(1-Parameters!B$62)*O4^-Parameters!B$64</f>
        <v>0.5</v>
      </c>
      <c r="R4" s="5">
        <f>Parameters!B$62*EXP(-Parameters!B$61*A4)+(1-Parameters!B$62)*O4^-Parameters!B$64</f>
        <v>1</v>
      </c>
      <c r="S4" s="5">
        <f>1-R4/Parameters!$B$12</f>
        <v>0.5</v>
      </c>
      <c r="T4" s="5">
        <f t="shared" ref="T4:T68" si="0">1/(1-S4)</f>
        <v>2</v>
      </c>
      <c r="U4" s="5">
        <f>(Parameters!$B$19*(E4+Parameters!$B$20)^S4+Parameters!$B$18*F4^S4)^(1/S4)</f>
        <v>0.55006250755068387</v>
      </c>
      <c r="V4" s="5">
        <f>(Parameters!$B$10*G4^Parameters!$B$9+Parameters!$B$11*U4^Parameters!$B$9)^(Parameters!$B$7/Parameters!$B$9)*N4</f>
        <v>1.5023869881199998</v>
      </c>
      <c r="W4" s="5">
        <f>V4 - C4 - D4 - LN(1+EXP(Parameters!$B$21*B4))/Parameters!$B$21 - IF(B4&gt;0, 0,Parameters!$B$6*B4^2/E4)</f>
        <v>1.2048020811558957</v>
      </c>
      <c r="X4" s="5">
        <f>EXP(-Parameters!$B$56*A4)</f>
        <v>1</v>
      </c>
      <c r="Y4" s="5">
        <f>IF(W4&gt;0,W4^(1-Parameters!$B$53)/(1-Parameters!$B$53)*X4*Parameters!$B$71,-10+W4*1000)</f>
        <v>-2.6767724728433802</v>
      </c>
      <c r="Z4" s="18">
        <f>SUM(Y4:Y204)*Parameters!$B$71</f>
        <v>-186.8794374986947</v>
      </c>
      <c r="AJ4" s="18">
        <f>Z4-AK7*SUM(AD5:AD204)-AK8*SUM(AH5:AH204)</f>
        <v>-186.88602201487197</v>
      </c>
      <c r="AM4" s="16">
        <f t="shared" ref="AM4:AM67" si="1">H4*I4*J4</f>
        <v>0</v>
      </c>
      <c r="AN4" s="16">
        <f t="shared" ref="AN4:AN67" si="2">E4*I4*J4</f>
        <v>58.41828303493655</v>
      </c>
      <c r="AO4" s="16">
        <f t="shared" ref="AO4:AO35" si="3">U4*I4*J4</f>
        <v>40.632631652623843</v>
      </c>
      <c r="AP4" s="6">
        <f t="shared" ref="AP4:AP67" si="4">V4*J4*I4</f>
        <v>110.98</v>
      </c>
      <c r="AQ4" s="15"/>
      <c r="AR4" s="5">
        <f>1000*EXP(-(Parameters!$B$55)*'6states'!A4)*AP4*Parameters!B$47*Parameters!B$46*M4</f>
        <v>1.8470179439999996</v>
      </c>
      <c r="AS4" s="5">
        <f>SUM(AR4:AR$204)*EXP(Parameters!$B$55*A4)</f>
        <v>171.50604882774317</v>
      </c>
      <c r="AT4" s="10">
        <f t="shared" ref="AT4:AT13" si="5">((B4&gt;0)*B4+C4+D4)/V4</f>
        <v>0.19474603432185678</v>
      </c>
      <c r="AV4">
        <f>(Parameters!$B$18*'6states'!S4^+Parameters!$B$19*Parameters!$B$25^'6states'!S4)^((1-'6states'!S4)/'6states'!S4)*Parameters!$B$18*Parameters!$B$26^('6states'!S4-1)</f>
        <v>0.12973346516345516</v>
      </c>
    </row>
    <row r="5" spans="1:52" x14ac:dyDescent="0.35">
      <c r="A5">
        <f>A4+Parameters!$B$71</f>
        <v>1</v>
      </c>
      <c r="B5" s="13">
        <v>-1.0499619921722611E-2</v>
      </c>
      <c r="C5" s="13">
        <v>4.0543531911721761E-2</v>
      </c>
      <c r="D5" s="13">
        <v>0.25057863005554776</v>
      </c>
      <c r="E5" s="5">
        <f>MAX((1-Parameters!$B$4)^Parameters!B$71*E4 + B4*Parameters!B$71 - IF(B4&gt;0,Parameters!$B$5,0)*B4^2/E4*Parameters!B$71, 0.0001)</f>
        <v>0.71296697199279258</v>
      </c>
      <c r="F5" s="5">
        <f>(1-Parameters!$B$4)^Parameters!B$71*F4+C4*Parameters!B$71-Parameters!$B$5*C4^2/F4*Parameters!B$71</f>
        <v>0.17083654436410872</v>
      </c>
      <c r="G5" s="5">
        <f>(1-Parameters!$B$4)^Parameters!B$71*G4+D4*Parameters!B$71-Parameters!$B$5*D4^2/G4*Parameters!B$71</f>
        <v>4.3171809863276129</v>
      </c>
      <c r="H5" s="7">
        <f>MAX(H4 * (1-Parameters!$B$4) ^ Parameters!B$71 + (LN(1+EXP(Parameters!$B$21*(-B4+0.004)))/Parameters!$B$21 -0.004) * Parameters!B$71,0)</f>
        <v>2.8124513073815163E-2</v>
      </c>
      <c r="I5" s="16">
        <f>I4*(1+Parameters!$B$52)^Parameters!B$71</f>
        <v>8.1836639999999985</v>
      </c>
      <c r="J5" s="16">
        <f>J4*(1+Parameters!$B$54)^Parameters!B$71</f>
        <v>9.233639607967616</v>
      </c>
      <c r="K5" s="16">
        <f>I5*J5*EXP(-Parameters!$B$43*'6states'!A5)*(Parameters!$B$38/Parameters!$B$39*('6states'!E5+'6states'!H5)/Parameters!$E$25*(EXP(-Parameters!$B$39*Parameters!$E$25*'6states'!H5/('6states'!E5+'6states'!H5))-EXP(-Parameters!$B$39*Parameters!$E$25))  +  Parameters!$B$40*'6states'!E5)</f>
        <v>42.49329783048362</v>
      </c>
      <c r="L5" s="6">
        <f>L4+K5*Parameters!B$71</f>
        <v>2342.4932978304837</v>
      </c>
      <c r="M5" s="5">
        <f>L5*Parameters!$B$46</f>
        <v>1.4054959786982901</v>
      </c>
      <c r="N5" s="7">
        <f>EXP(-Parameters!$B$47/2*M5^2)</f>
        <v>0.98034281191587458</v>
      </c>
      <c r="O5" s="6">
        <f>MAX((Parameters!$B$63 + Parameters!$B$31*'6states'!A5 - '6states'!L5 + Parameters!$B$48/Parameters!$B$46)/Parameters!B$63,1)</f>
        <v>1.2141340433903225</v>
      </c>
      <c r="P5" s="5">
        <f>Parameters!B$62*EXP(-Parameters!B$61*A5)</f>
        <v>0.48668062076216839</v>
      </c>
      <c r="Q5" s="5">
        <f>(1-Parameters!B$62)*O5^-Parameters!B$64</f>
        <v>0.49039195931086282</v>
      </c>
      <c r="R5" s="5">
        <f>Parameters!B$62*EXP(-Parameters!B$61*A5)+(1-Parameters!B$62)*O5^-Parameters!B$64</f>
        <v>0.97707258007303122</v>
      </c>
      <c r="S5" s="5">
        <f>1-R5/Parameters!$B$12</f>
        <v>0.51146370996348445</v>
      </c>
      <c r="T5" s="5">
        <f t="shared" si="0"/>
        <v>2.0469308429989002</v>
      </c>
      <c r="U5" s="5">
        <f>(Parameters!$B$19*(E5+Parameters!$B$20)^S5+Parameters!$B$18*F5^S5)^(1/S5)</f>
        <v>0.51585261067238153</v>
      </c>
      <c r="V5" s="5">
        <f>(Parameters!$B$10*G5^Parameters!$B$9+Parameters!$B$11*U5^Parameters!$B$9)^(Parameters!$B$7/Parameters!$B$9)*N5</f>
        <v>1.4928952388308876</v>
      </c>
      <c r="W5" s="5">
        <f>V5 - C5 - D5 - LN(1+EXP(Parameters!$B$21*B5))/Parameters!$B$21 - IF(B5&gt;0, 0,Parameters!$B$6*B5^2/E5)</f>
        <v>1.2009627391145032</v>
      </c>
      <c r="X5" s="5">
        <f>EXP(-Parameters!$B$56*A5)</f>
        <v>0.98501343333449787</v>
      </c>
      <c r="Y5" s="5">
        <f>IF(W5&gt;0,W5^(1-Parameters!$B$53)/(1-Parameters!$B$53)*X5*Parameters!$B$71,-10+W5*1000)</f>
        <v>-2.6396039667017273</v>
      </c>
      <c r="AA5" s="15"/>
      <c r="AB5" s="15">
        <f>C5/F5-C4/F4</f>
        <v>-3.5353471009474113E-3</v>
      </c>
      <c r="AC5" s="15">
        <f>D5/G5-D4/G4</f>
        <v>-7.7236259582195987E-4</v>
      </c>
      <c r="AD5" s="15">
        <f t="shared" ref="AD5:AD36" si="6">X5*(AA5^2+AB5^2+AC5^2)</f>
        <v>1.2898970669560347E-5</v>
      </c>
      <c r="AE5" s="15"/>
      <c r="AF5" s="15"/>
      <c r="AG5" s="15"/>
      <c r="AH5" s="15">
        <f t="shared" ref="AH5:AH36" si="7">X5*(AE5^2+AF5^2+AG5^2)</f>
        <v>0</v>
      </c>
      <c r="AI5" s="15"/>
      <c r="AK5" s="7"/>
      <c r="AL5" s="7"/>
      <c r="AM5" s="16">
        <f t="shared" si="1"/>
        <v>2.1252289442905217</v>
      </c>
      <c r="AN5" s="16">
        <f t="shared" si="2"/>
        <v>53.875352125223806</v>
      </c>
      <c r="AO5" s="16">
        <f t="shared" si="3"/>
        <v>38.980404613990295</v>
      </c>
      <c r="AP5" s="6">
        <f t="shared" si="4"/>
        <v>112.81063476653901</v>
      </c>
      <c r="AQ5" s="15">
        <f>-X5*V5*W5^(-Parameters!B$53)*Parameters!B$47*Parameters!B$46*M5</f>
        <v>-1.9466305355057605E-5</v>
      </c>
      <c r="AR5" s="5">
        <f>1000*EXP(-(Parameters!$B$55)*'6states'!A5)*AP5*Parameters!B$47*Parameters!B$46*M5</f>
        <v>1.8462190241739482</v>
      </c>
      <c r="AS5" s="5">
        <f>SUM(AR5:AR$204)*EXP(Parameters!$B$55*A5)</f>
        <v>175.71980726120478</v>
      </c>
      <c r="AT5" s="10">
        <f t="shared" si="5"/>
        <v>0.19500508434553812</v>
      </c>
      <c r="AU5">
        <f>(1/$S5-1/Parameters!$B$13) * LN(Parameters!$B$18) / LN(O5)</f>
        <v>0.27522157342548925</v>
      </c>
      <c r="AV5">
        <f>(Parameters!$B$18*'6states'!S5^+Parameters!$B$19*Parameters!$B$25^'6states'!S5)^((1-'6states'!S5)/'6states'!S5)*Parameters!$B$18*Parameters!$B$26^('6states'!S5-1)</f>
        <v>0.13931297968331405</v>
      </c>
      <c r="AW5">
        <f t="shared" ref="AW5:AW36" si="8">(LN(AV5)-LN(AV$4))/ LN(O5)</f>
        <v>0.36716266677572734</v>
      </c>
      <c r="AX5">
        <f>1-2^-AU5</f>
        <v>0.17367660081445824</v>
      </c>
      <c r="AY5">
        <f>1-2^-AV5</f>
        <v>9.204857552208634E-2</v>
      </c>
      <c r="AZ5">
        <f>(1/$S5-1/Parameters!$B$13) * LN(Parameters!$B$18) / A5</f>
        <v>5.3401544964742295E-2</v>
      </c>
    </row>
    <row r="6" spans="1:52" x14ac:dyDescent="0.35">
      <c r="A6">
        <f>A5+Parameters!$B$71</f>
        <v>2</v>
      </c>
      <c r="B6" s="13">
        <v>-6.6558128757959511E-3</v>
      </c>
      <c r="C6" s="13">
        <v>4.4251292975838102E-2</v>
      </c>
      <c r="D6" s="13">
        <v>0.24474072048770565</v>
      </c>
      <c r="E6" s="5">
        <f>MAX((1-Parameters!$B$4)^Parameters!B$71*E5 + B5*Parameters!B$71 - IF(B5&gt;0,Parameters!$B$5,0)*B5^2/E5*Parameters!B$71, 0.0001)</f>
        <v>0.65762172953272324</v>
      </c>
      <c r="F6" s="5">
        <f>(1-Parameters!$B$4)^Parameters!B$71*F5+C5*Parameters!B$71-Parameters!$B$5*C5^2/F5*Parameters!B$71</f>
        <v>0.19101252348771752</v>
      </c>
      <c r="G6" s="5">
        <f>(1-Parameters!$B$4)^Parameters!B$71*G5+D5*Parameters!B$71-Parameters!$B$5*D5^2/G5*Parameters!B$71</f>
        <v>4.2816648004109128</v>
      </c>
      <c r="H6" s="7">
        <f>MAX(H5 * (1-Parameters!$B$4) ^ Parameters!B$71 + (LN(1+EXP(Parameters!$B$21*(-B5+0.004)))/Parameters!$B$21 -0.004) * Parameters!B$71,0)</f>
        <v>3.6862659722843305E-2</v>
      </c>
      <c r="I6" s="16">
        <f>I5*(1+Parameters!$B$52)^Parameters!B$71</f>
        <v>8.2073966255999977</v>
      </c>
      <c r="J6" s="16">
        <f>J5*(1+Parameters!$B$54)^Parameters!B$71</f>
        <v>9.4183124001269682</v>
      </c>
      <c r="K6" s="16">
        <f>I6*J6*EXP(-Parameters!$B$43*'6states'!A6)*(Parameters!$B$38/Parameters!$B$39*('6states'!E6+'6states'!H6)/Parameters!$E$25*(EXP(-Parameters!$B$39*Parameters!$E$25*'6states'!H6/('6states'!E6+'6states'!H6))-EXP(-Parameters!$B$39*Parameters!$E$25))  +  Parameters!$B$40*'6states'!E6)</f>
        <v>39.005797201957783</v>
      </c>
      <c r="L6" s="6">
        <f>L5+K6*Parameters!B$71</f>
        <v>2381.4990950324413</v>
      </c>
      <c r="M6" s="5">
        <f>L6*Parameters!$B$46</f>
        <v>1.4288994570194646</v>
      </c>
      <c r="N6" s="7">
        <f>EXP(-Parameters!$B$47/2*M6^2)</f>
        <v>0.97968947059947664</v>
      </c>
      <c r="O6" s="6">
        <f>MAX((Parameters!$B$63 + Parameters!$B$31*'6states'!A6 - '6states'!L6 + Parameters!$B$48/Parameters!$B$46)/Parameters!B$63,1)</f>
        <v>1.4980180993511749</v>
      </c>
      <c r="P6" s="5">
        <f>Parameters!B$62*EXP(-Parameters!B$61*A6)</f>
        <v>0.47371605325089916</v>
      </c>
      <c r="Q6" s="5">
        <f>(1-Parameters!B$62)*O6^-Parameters!B$64</f>
        <v>0.48019573483377487</v>
      </c>
      <c r="R6" s="5">
        <f>Parameters!B$62*EXP(-Parameters!B$61*A6)+(1-Parameters!B$62)*O6^-Parameters!B$64</f>
        <v>0.95391178808467403</v>
      </c>
      <c r="S6" s="5">
        <f>1-R6/Parameters!$B$12</f>
        <v>0.52304410595766293</v>
      </c>
      <c r="T6" s="5">
        <f t="shared" si="0"/>
        <v>2.0966299242571784</v>
      </c>
      <c r="U6" s="5">
        <f>(Parameters!$B$19*(E6+Parameters!$B$20)^S6+Parameters!$B$18*F6^S6)^(1/S6)</f>
        <v>0.4937980461392521</v>
      </c>
      <c r="V6" s="5">
        <f>(Parameters!$B$10*G6^Parameters!$B$9+Parameters!$B$11*U6^Parameters!$B$9)^(Parameters!$B$7/Parameters!$B$9)*N6</f>
        <v>1.4846062187328997</v>
      </c>
      <c r="W6" s="5">
        <f>V6 - C6 - D6 - LN(1+EXP(Parameters!$B$21*B6))/Parameters!$B$21 - IF(B6&gt;0, 0,Parameters!$B$6*B6^2/E6)</f>
        <v>1.1951087406421137</v>
      </c>
      <c r="X6" s="5">
        <f>EXP(-Parameters!$B$56*A6)</f>
        <v>0.9702514638494153</v>
      </c>
      <c r="Y6" s="5">
        <f>IF(W6&gt;0,W6^(1-Parameters!$B$53)/(1-Parameters!$B$53)*X6*Parameters!$B$71,-10+W6*1000)</f>
        <v>-2.604495817532372</v>
      </c>
      <c r="AA6" s="15"/>
      <c r="AB6" s="15">
        <f t="shared" ref="AB6:AB69" si="9">C6/F6-C5/F5</f>
        <v>-5.6565586419080605E-3</v>
      </c>
      <c r="AC6" s="15">
        <f t="shared" ref="AC6:AC69" si="10">D6/G6-D5/G5</f>
        <v>-8.8201029436252992E-4</v>
      </c>
      <c r="AD6" s="15">
        <f t="shared" si="6"/>
        <v>3.1799601520378095E-5</v>
      </c>
      <c r="AE6" s="15"/>
      <c r="AF6" s="15">
        <f t="shared" ref="AF6:AF37" si="11">C6/F6-2*C5/F5+C4/F4</f>
        <v>-2.1212115409606491E-3</v>
      </c>
      <c r="AG6" s="15">
        <f t="shared" ref="AG6:AG37" si="12">D6/G6-2*D5/G5+D4/G4</f>
        <v>-1.0964769854057005E-4</v>
      </c>
      <c r="AH6" s="15">
        <f t="shared" si="7"/>
        <v>4.3773486832216839E-6</v>
      </c>
      <c r="AI6" s="15"/>
      <c r="AJ6" t="s">
        <v>92</v>
      </c>
      <c r="AK6" s="7"/>
      <c r="AL6" s="7"/>
      <c r="AM6" s="16">
        <f t="shared" si="1"/>
        <v>2.8494771607848013</v>
      </c>
      <c r="AN6" s="16">
        <f t="shared" si="2"/>
        <v>50.834044879785971</v>
      </c>
      <c r="AO6" s="16">
        <f t="shared" si="3"/>
        <v>38.170502755177431</v>
      </c>
      <c r="AP6" s="6">
        <f t="shared" si="4"/>
        <v>114.75980151310108</v>
      </c>
      <c r="AQ6" s="15">
        <f>-X6*V6*W6^(-Parameters!B$53)*Parameters!B$47*Parameters!B$46*M6</f>
        <v>-1.951392090740326E-5</v>
      </c>
      <c r="AR6" s="5">
        <f>1000*EXP(-(Parameters!$B$55)*'6states'!A6)*AP6*Parameters!B$47*Parameters!B$46*M6</f>
        <v>1.8435346077007821</v>
      </c>
      <c r="AS6" s="5">
        <f>SUM(AR6:AR$204)*EXP(Parameters!$B$55*A6)</f>
        <v>180.01661336124261</v>
      </c>
      <c r="AT6" s="10">
        <f t="shared" si="5"/>
        <v>0.19465903471035995</v>
      </c>
      <c r="AU6">
        <f>(1/$S6-1/Parameters!$B$13) * LN(Parameters!$B$18) / LN(O6)</f>
        <v>0.25973470441211721</v>
      </c>
      <c r="AV6">
        <f>(Parameters!$B$18*'6states'!S6^+Parameters!$B$19*Parameters!$B$25^'6states'!S6)^((1-'6states'!S6)/'6states'!S6)*Parameters!$B$18*Parameters!$B$26^('6states'!S6-1)</f>
        <v>0.14895625904996004</v>
      </c>
      <c r="AW6">
        <f t="shared" si="8"/>
        <v>0.34188550284376124</v>
      </c>
      <c r="AX6">
        <f t="shared" ref="AX6:AY44" si="13">1-2^-AU6</f>
        <v>0.16475850306194739</v>
      </c>
      <c r="AY6">
        <f t="shared" si="13"/>
        <v>9.8097277319212028E-2</v>
      </c>
      <c r="AZ6">
        <f>(1/$S6-1/Parameters!$B$13) * LN(Parameters!$B$18) / A6</f>
        <v>5.2484977084514862E-2</v>
      </c>
    </row>
    <row r="7" spans="1:52" x14ac:dyDescent="0.35">
      <c r="A7">
        <f>A6+Parameters!$B$71</f>
        <v>3</v>
      </c>
      <c r="B7" s="13">
        <v>-4.8907716974570716E-3</v>
      </c>
      <c r="C7" s="13">
        <v>4.7731893601737643E-2</v>
      </c>
      <c r="D7" s="13">
        <v>0.23983585173875394</v>
      </c>
      <c r="E7" s="5">
        <f>MAX((1-Parameters!$B$4)^Parameters!B$71*E6 + B6*Parameters!B$71 - IF(B6&gt;0,Parameters!$B$5,0)*B6^2/E6*Parameters!B$71, 0.0001)</f>
        <v>0.60960150986931905</v>
      </c>
      <c r="F7" s="5">
        <f>(1-Parameters!$B$4)^Parameters!B$71*F6+C6*Parameters!B$71-Parameters!$B$5*C6^2/F6*Parameters!B$71</f>
        <v>0.21299756567487257</v>
      </c>
      <c r="G7" s="5">
        <f>(1-Parameters!$B$4)^Parameters!B$71*G6+D6*Parameters!B$71-Parameters!$B$5*D6^2/G6*Parameters!B$71</f>
        <v>4.2430993818995955</v>
      </c>
      <c r="H7" s="7">
        <f>MAX(H6 * (1-Parameters!$B$4) ^ Parameters!B$71 + (LN(1+EXP(Parameters!$B$21*(-B6+0.004)))/Parameters!$B$21 -0.004) * Parameters!B$71,0)</f>
        <v>4.1234789226063842E-2</v>
      </c>
      <c r="I7" s="16">
        <f>I6*(1+Parameters!$B$52)^Parameters!B$71</f>
        <v>8.2311980758142376</v>
      </c>
      <c r="J7" s="16">
        <f>J6*(1+Parameters!$B$54)^Parameters!B$71</f>
        <v>9.6066786481295079</v>
      </c>
      <c r="K7" s="16">
        <f>I7*J7*EXP(-Parameters!$B$43*'6states'!A7)*(Parameters!$B$38/Parameters!$B$39*('6states'!E7+'6states'!H7)/Parameters!$E$25*(EXP(-Parameters!$B$39*Parameters!$E$25*'6states'!H7/('6states'!E7+'6states'!H7))-EXP(-Parameters!$B$39*Parameters!$E$25))  +  Parameters!$B$40*'6states'!E7)</f>
        <v>36.362440416506708</v>
      </c>
      <c r="L7" s="6">
        <f>L6+K7*Parameters!B$71</f>
        <v>2417.861535448948</v>
      </c>
      <c r="M7" s="5">
        <f>L7*Parameters!$B$46</f>
        <v>1.4507169212693687</v>
      </c>
      <c r="N7" s="7">
        <f>EXP(-Parameters!$B$47/2*M7^2)</f>
        <v>0.97907108935276499</v>
      </c>
      <c r="O7" s="6">
        <f>MAX((Parameters!$B$63 + Parameters!$B$31*'6states'!A7 - '6states'!L7 + Parameters!$B$48/Parameters!$B$46)/Parameters!B$63,1)</f>
        <v>1.8347692910210389</v>
      </c>
      <c r="P7" s="5">
        <f>Parameters!B$62*EXP(-Parameters!B$61*A7)</f>
        <v>0.46109684572230403</v>
      </c>
      <c r="Q7" s="5">
        <f>(1-Parameters!B$62)*O7^-Parameters!B$64</f>
        <v>0.47055658795954564</v>
      </c>
      <c r="R7" s="5">
        <f>Parameters!B$62*EXP(-Parameters!B$61*A7)+(1-Parameters!B$62)*O7^-Parameters!B$64</f>
        <v>0.93165343368184961</v>
      </c>
      <c r="S7" s="5">
        <f>1-R7/Parameters!$B$12</f>
        <v>0.5341732831590752</v>
      </c>
      <c r="T7" s="5">
        <f t="shared" si="0"/>
        <v>2.1467210098674743</v>
      </c>
      <c r="U7" s="5">
        <f>(Parameters!$B$19*(E7+Parameters!$B$20)^S7+Parameters!$B$18*F7^S7)^(1/S7)</f>
        <v>0.47527917838980699</v>
      </c>
      <c r="V7" s="5">
        <f>(Parameters!$B$10*G7^Parameters!$B$9+Parameters!$B$11*U7^Parameters!$B$9)^(Parameters!$B$7/Parameters!$B$9)*N7</f>
        <v>1.4763946250765021</v>
      </c>
      <c r="W7" s="5">
        <f>V7 - C7 - D7 - LN(1+EXP(Parameters!$B$21*B7))/Parameters!$B$21 - IF(B7&gt;0, 0,Parameters!$B$6*B7^2/E7)</f>
        <v>1.1883000951991316</v>
      </c>
      <c r="X7" s="5">
        <f>EXP(-Parameters!$B$56*A7)</f>
        <v>0.95571072560413495</v>
      </c>
      <c r="Y7" s="5">
        <f>IF(W7&gt;0,W7^(1-Parameters!$B$53)/(1-Parameters!$B$53)*X7*Parameters!$B$71,-10+W7*1000)</f>
        <v>-2.570598616388128</v>
      </c>
      <c r="AA7" s="15"/>
      <c r="AB7" s="15">
        <f t="shared" si="9"/>
        <v>-7.5710139080803207E-3</v>
      </c>
      <c r="AC7" s="15">
        <f t="shared" si="10"/>
        <v>-6.3643632494039121E-4</v>
      </c>
      <c r="AD7" s="15">
        <f t="shared" si="6"/>
        <v>5.5168691017107817E-5</v>
      </c>
      <c r="AE7" s="15"/>
      <c r="AF7" s="15">
        <f t="shared" si="11"/>
        <v>-1.9144552661722603E-3</v>
      </c>
      <c r="AG7" s="15">
        <f t="shared" si="12"/>
        <v>2.4557396942213872E-4</v>
      </c>
      <c r="AH7" s="15">
        <f t="shared" si="7"/>
        <v>3.5604482608365229E-6</v>
      </c>
      <c r="AI7" s="15"/>
      <c r="AJ7" t="s">
        <v>93</v>
      </c>
      <c r="AK7">
        <v>1</v>
      </c>
      <c r="AL7" s="7"/>
      <c r="AM7" s="16">
        <f t="shared" si="1"/>
        <v>3.2606193016819289</v>
      </c>
      <c r="AN7" s="16">
        <f t="shared" si="2"/>
        <v>48.203919232306134</v>
      </c>
      <c r="AO7" s="16">
        <f t="shared" si="3"/>
        <v>37.582451416188889</v>
      </c>
      <c r="AP7" s="6">
        <f t="shared" si="4"/>
        <v>116.74512958055989</v>
      </c>
      <c r="AQ7" s="15">
        <f>-X7*V7*W7^(-Parameters!B$53)*Parameters!B$47*Parameters!B$46*M7</f>
        <v>-1.9557287578462016E-5</v>
      </c>
      <c r="AR7" s="5">
        <f>1000*EXP(-(Parameters!$B$55)*'6states'!A7)*AP7*Parameters!B$47*Parameters!B$46*M7</f>
        <v>1.8383895688253666</v>
      </c>
      <c r="AS7" s="5">
        <f>SUM(AR7:AR$204)*EXP(Parameters!$B$55*A7)</f>
        <v>184.39914868419132</v>
      </c>
      <c r="AT7" s="10">
        <f t="shared" si="5"/>
        <v>0.19477701994857283</v>
      </c>
      <c r="AU7">
        <f>(1/$S7-1/Parameters!$B$13) * LN(Parameters!$B$18) / LN(O7)</f>
        <v>0.25114090021481406</v>
      </c>
      <c r="AV7">
        <f>(Parameters!$B$18*'6states'!S7^+Parameters!$B$19*Parameters!$B$25^'6states'!S7)^((1-'6states'!S7)/'6states'!S7)*Parameters!$B$18*Parameters!$B$26^('6states'!S7-1)</f>
        <v>0.15814998349246284</v>
      </c>
      <c r="AW7">
        <f t="shared" si="8"/>
        <v>0.32633984147667972</v>
      </c>
      <c r="AX7">
        <f>1-2^-AU7</f>
        <v>0.15976831265449476</v>
      </c>
      <c r="AY7">
        <f>1-2^-AV7</f>
        <v>0.10382647204257622</v>
      </c>
      <c r="AZ7">
        <f>(1/$S7-1/Parameters!$B$13) * LN(Parameters!$B$18) / A7</f>
        <v>5.0807373462656819E-2</v>
      </c>
    </row>
    <row r="8" spans="1:52" x14ac:dyDescent="0.35">
      <c r="A8">
        <f>A7+Parameters!$B$71</f>
        <v>4</v>
      </c>
      <c r="B8" s="13">
        <v>-3.9105240541653114E-3</v>
      </c>
      <c r="C8" s="13">
        <v>5.0910122671851209E-2</v>
      </c>
      <c r="D8" s="13">
        <v>0.23559760264421711</v>
      </c>
      <c r="E8" s="5">
        <f>MAX((1-Parameters!$B$4)^Parameters!B$71*E7 + B7*Parameters!B$71 - IF(B7&gt;0,Parameters!$B$5,0)*B7^2/E7*Parameters!B$71, 0.0001)</f>
        <v>0.56636680320108179</v>
      </c>
      <c r="F8" s="5">
        <f>(1-Parameters!$B$4)^Parameters!B$71*F7+C7*Parameters!B$71-Parameters!$B$5*C7^2/F7*Parameters!B$71</f>
        <v>0.23663538795610292</v>
      </c>
      <c r="G8" s="5">
        <f>(1-Parameters!$B$4)^Parameters!B$71*G7+D7*Parameters!B$71-Parameters!$B$5*D7^2/G7*Parameters!B$71</f>
        <v>4.2024878628806368</v>
      </c>
      <c r="H8" s="7">
        <f>MAX(H7 * (1-Parameters!$B$4) ^ Parameters!B$71 + (LN(1+EXP(Parameters!$B$21*(-B7+0.004)))/Parameters!$B$21 -0.004) * Parameters!B$71,0)</f>
        <v>4.3602253195211813E-2</v>
      </c>
      <c r="I8" s="16">
        <f>I7*(1+Parameters!$B$52)^Parameters!B$71</f>
        <v>8.2550685502340979</v>
      </c>
      <c r="J8" s="16">
        <f>J7*(1+Parameters!$B$54)^Parameters!B$71</f>
        <v>9.7988122210920974</v>
      </c>
      <c r="K8" s="16">
        <f>I8*J8*EXP(-Parameters!$B$43*'6states'!A8)*(Parameters!$B$38/Parameters!$B$39*('6states'!E8+'6states'!H8)/Parameters!$E$25*(EXP(-Parameters!$B$39*Parameters!$E$25*'6states'!H8/('6states'!E8+'6states'!H8))-EXP(-Parameters!$B$39*Parameters!$E$25))  +  Parameters!$B$40*'6states'!E8)</f>
        <v>34.08506521013436</v>
      </c>
      <c r="L8" s="6">
        <f>L7+K8*Parameters!B$71</f>
        <v>2451.9466006590824</v>
      </c>
      <c r="M8" s="5">
        <f>L8*Parameters!$B$46</f>
        <v>1.4711679603954493</v>
      </c>
      <c r="N8" s="7">
        <f>EXP(-Parameters!$B$47/2*M8^2)</f>
        <v>0.97848329099356501</v>
      </c>
      <c r="O8" s="6">
        <f>MAX((Parameters!$B$63 + Parameters!$B$31*'6states'!A8 - '6states'!L8 + Parameters!$B$48/Parameters!$B$46)/Parameters!B$63,1)</f>
        <v>2.217067986818356</v>
      </c>
      <c r="P8" s="5">
        <f>Parameters!B$62*EXP(-Parameters!B$61*A8)</f>
        <v>0.44881379821521744</v>
      </c>
      <c r="Q8" s="5">
        <f>(1-Parameters!B$62)*O8^-Parameters!B$64</f>
        <v>0.46173426369566378</v>
      </c>
      <c r="R8" s="5">
        <f>Parameters!B$62*EXP(-Parameters!B$61*A8)+(1-Parameters!B$62)*O8^-Parameters!B$64</f>
        <v>0.91054806191088122</v>
      </c>
      <c r="S8" s="5">
        <f>1-R8/Parameters!$B$12</f>
        <v>0.54472596904455939</v>
      </c>
      <c r="T8" s="5">
        <f t="shared" si="0"/>
        <v>2.1964793333399544</v>
      </c>
      <c r="U8" s="5">
        <f>(Parameters!$B$19*(E8+Parameters!$B$20)^S8+Parameters!$B$18*F8^S8)^(1/S8)</f>
        <v>0.45890198153025386</v>
      </c>
      <c r="V8" s="5">
        <f>(Parameters!$B$10*G8^Parameters!$B$9+Parameters!$B$11*U8^Parameters!$B$9)^(Parameters!$B$7/Parameters!$B$9)*N8</f>
        <v>1.4681993289989557</v>
      </c>
      <c r="W8" s="5">
        <f>V8 - C8 - D8 - LN(1+EXP(Parameters!$B$21*B8))/Parameters!$B$21 - IF(B8&gt;0, 0,Parameters!$B$6*B8^2/E8)</f>
        <v>1.1810815933503143</v>
      </c>
      <c r="X8" s="5">
        <f>EXP(-Parameters!$B$56*A8)</f>
        <v>0.94138790310193321</v>
      </c>
      <c r="Y8" s="5">
        <f>IF(W8&gt;0,W8^(1-Parameters!$B$53)/(1-Parameters!$B$53)*X8*Parameters!$B$71,-10+W8*1000)</f>
        <v>-2.5374798574444242</v>
      </c>
      <c r="AA8" s="15"/>
      <c r="AB8" s="15">
        <f t="shared" si="9"/>
        <v>-8.9543300565493311E-3</v>
      </c>
      <c r="AC8" s="15">
        <f t="shared" si="10"/>
        <v>-4.6228190619978377E-4</v>
      </c>
      <c r="AD8" s="15">
        <f t="shared" si="6"/>
        <v>7.5681686152155489E-5</v>
      </c>
      <c r="AE8" s="15"/>
      <c r="AF8" s="15">
        <f t="shared" si="11"/>
        <v>-1.3833161484690104E-3</v>
      </c>
      <c r="AG8" s="15">
        <f t="shared" si="12"/>
        <v>1.7415441874060744E-4</v>
      </c>
      <c r="AH8" s="15">
        <f t="shared" si="7"/>
        <v>1.8299576640711061E-6</v>
      </c>
      <c r="AI8" s="15"/>
      <c r="AJ8" t="s">
        <v>94</v>
      </c>
      <c r="AK8">
        <v>0.3</v>
      </c>
      <c r="AL8" s="7"/>
      <c r="AM8" s="16">
        <f t="shared" si="1"/>
        <v>3.5269804442451274</v>
      </c>
      <c r="AN8" s="16">
        <f t="shared" si="2"/>
        <v>45.813335155331075</v>
      </c>
      <c r="AO8" s="16">
        <f t="shared" si="3"/>
        <v>37.12052006661628</v>
      </c>
      <c r="AP8" s="6">
        <f t="shared" si="4"/>
        <v>118.76244785904301</v>
      </c>
      <c r="AQ8" s="15">
        <f>-X8*V8*W8^(-Parameters!B$53)*Parameters!B$47*Parameters!B$46*M8</f>
        <v>-1.9587785238899403E-5</v>
      </c>
      <c r="AR8" s="5">
        <f>1000*EXP(-(Parameters!$B$55)*'6states'!A8)*AP8*Parameters!B$47*Parameters!B$46*M8</f>
        <v>1.8311071611676786</v>
      </c>
      <c r="AS8" s="5">
        <f>SUM(AR8:AR$204)*EXP(Parameters!$B$55*A8)</f>
        <v>188.87099297450763</v>
      </c>
      <c r="AT8" s="10">
        <f t="shared" si="5"/>
        <v>0.19514225327388918</v>
      </c>
      <c r="AU8">
        <f>(1/$S8-1/Parameters!$B$13) * LN(Parameters!$B$18) / LN(O8)</f>
        <v>0.2457032034637511</v>
      </c>
      <c r="AV8">
        <f>(Parameters!$B$18*'6states'!S8^+Parameters!$B$19*Parameters!$B$25^'6states'!S8)^((1-'6states'!S8)/'6states'!S8)*Parameters!$B$18*Parameters!$B$26^('6states'!S8-1)</f>
        <v>0.16676645073644186</v>
      </c>
      <c r="AW8">
        <f t="shared" si="8"/>
        <v>0.31539412215308116</v>
      </c>
      <c r="AX8">
        <f t="shared" si="13"/>
        <v>0.15659539929592059</v>
      </c>
      <c r="AY8">
        <f t="shared" si="13"/>
        <v>0.10916289878014984</v>
      </c>
      <c r="AZ8">
        <f>(1/$S8-1/Parameters!$B$13) * LN(Parameters!$B$18) / A8</f>
        <v>4.890633789050753E-2</v>
      </c>
    </row>
    <row r="9" spans="1:52" x14ac:dyDescent="0.35">
      <c r="A9">
        <f>A8+Parameters!$B$71</f>
        <v>5</v>
      </c>
      <c r="B9" s="13">
        <v>-3.047935195548049E-3</v>
      </c>
      <c r="C9" s="13">
        <v>5.3707979630027318E-2</v>
      </c>
      <c r="D9" s="13">
        <v>0.23249509490777107</v>
      </c>
      <c r="E9" s="5">
        <f>MAX((1-Parameters!$B$4)^Parameters!B$71*E8 + B8*Parameters!B$71 - IF(B8&gt;0,Parameters!$B$5,0)*B8^2/E8*Parameters!B$71, 0.0001)</f>
        <v>0.52683180722556844</v>
      </c>
      <c r="F9" s="5">
        <f>(1-Parameters!$B$4)^Parameters!B$71*F8+C8*Parameters!B$71-Parameters!$B$5*C8^2/F8*Parameters!B$71</f>
        <v>0.2617082580383232</v>
      </c>
      <c r="G9" s="5">
        <f>(1-Parameters!$B$4)^Parameters!B$71*G8+D8*Parameters!B$71-Parameters!$B$5*D8^2/G8*Parameters!B$71</f>
        <v>4.1605410335176307</v>
      </c>
      <c r="H9" s="7">
        <f>MAX(H8 * (1-Parameters!$B$4) ^ Parameters!B$71 + (LN(1+EXP(Parameters!$B$21*(-B8+0.004)))/Parameters!$B$21 -0.004) * Parameters!B$71,0)</f>
        <v>4.4873644169520083E-2</v>
      </c>
      <c r="I9" s="16">
        <f>I8*(1+Parameters!$B$52)^Parameters!B$71</f>
        <v>8.2790082490297756</v>
      </c>
      <c r="J9" s="16">
        <f>J8*(1+Parameters!$B$54)^Parameters!B$71</f>
        <v>9.9947884655139401</v>
      </c>
      <c r="K9" s="16">
        <f>I9*J9*EXP(-Parameters!$B$43*'6states'!A9)*(Parameters!$B$38/Parameters!$B$39*('6states'!E9+'6states'!H9)/Parameters!$E$25*(EXP(-Parameters!$B$39*Parameters!$E$25*'6states'!H9/('6states'!E9+'6states'!H9))-EXP(-Parameters!$B$39*Parameters!$E$25))  +  Parameters!$B$40*'6states'!E9)</f>
        <v>32.033807043872109</v>
      </c>
      <c r="L9" s="6">
        <f>L8+K9*Parameters!B$71</f>
        <v>2483.9804077029544</v>
      </c>
      <c r="M9" s="5">
        <f>L9*Parameters!$B$46</f>
        <v>1.4903882446217724</v>
      </c>
      <c r="N9" s="7">
        <f>EXP(-Parameters!$B$47/2*M9^2)</f>
        <v>0.97792369442350691</v>
      </c>
      <c r="O9" s="6">
        <f>MAX((Parameters!$B$63 + Parameters!$B$31*'6states'!A9 - '6states'!L9 + Parameters!$B$48/Parameters!$B$46)/Parameters!B$63,1)</f>
        <v>2.6403918459409126</v>
      </c>
      <c r="P9" s="5">
        <f>Parameters!B$62*EXP(-Parameters!B$61*A9)</f>
        <v>0.43685795584401721</v>
      </c>
      <c r="Q9" s="5">
        <f>(1-Parameters!B$62)*O9^-Parameters!B$64</f>
        <v>0.45373592470248464</v>
      </c>
      <c r="R9" s="5">
        <f>Parameters!B$62*EXP(-Parameters!B$61*A9)+(1-Parameters!B$62)*O9^-Parameters!B$64</f>
        <v>0.8905938805465019</v>
      </c>
      <c r="S9" s="5">
        <f>1-R9/Parameters!$B$12</f>
        <v>0.55470305972674905</v>
      </c>
      <c r="T9" s="5">
        <f t="shared" si="0"/>
        <v>2.2456925021455625</v>
      </c>
      <c r="U9" s="5">
        <f>(Parameters!$B$19*(E9+Parameters!$B$20)^S9+Parameters!$B$18*F9^S9)^(1/S9)</f>
        <v>0.44408215298272974</v>
      </c>
      <c r="V9" s="5">
        <f>(Parameters!$B$10*G9^Parameters!$B$9+Parameters!$B$11*U9^Parameters!$B$9)^(Parameters!$B$7/Parameters!$B$9)*N9</f>
        <v>1.4600313009366706</v>
      </c>
      <c r="W9" s="5">
        <f>V9 - C9 - D9 - LN(1+EXP(Parameters!$B$21*B9))/Parameters!$B$21 - IF(B9&gt;0, 0,Parameters!$B$6*B9^2/E9)</f>
        <v>1.1730928668760028</v>
      </c>
      <c r="X9" s="5">
        <f>EXP(-Parameters!$B$56*A9)</f>
        <v>0.92727973053399881</v>
      </c>
      <c r="Y9" s="5">
        <f>IF(W9&gt;0,W9^(1-Parameters!$B$53)/(1-Parameters!$B$53)*X9*Parameters!$B$71,-10+W9*1000)</f>
        <v>-2.505396026798381</v>
      </c>
      <c r="AA9" s="15">
        <f t="shared" ref="AA9:AA69" si="14">B9/E9-B8/E8</f>
        <v>1.1191738372739613E-3</v>
      </c>
      <c r="AB9" s="15">
        <f t="shared" si="9"/>
        <v>-9.9208223548144236E-3</v>
      </c>
      <c r="AC9" s="15">
        <f t="shared" si="10"/>
        <v>-1.8048308133467722E-4</v>
      </c>
      <c r="AD9" s="15">
        <f t="shared" si="6"/>
        <v>9.2457059393513287E-5</v>
      </c>
      <c r="AE9" s="15">
        <f t="shared" ref="AE9:AE37" si="15">B9/E9-2*B8/E8+B7/E7</f>
        <v>8.5276028852394881E-7</v>
      </c>
      <c r="AF9" s="15">
        <f t="shared" si="11"/>
        <v>-9.6649229826509253E-4</v>
      </c>
      <c r="AG9" s="15">
        <f t="shared" si="12"/>
        <v>2.8179882486510655E-4</v>
      </c>
      <c r="AH9" s="15">
        <f t="shared" si="7"/>
        <v>9.3981531689169515E-7</v>
      </c>
      <c r="AI9" s="15"/>
      <c r="AK9" s="7"/>
      <c r="AL9" s="7"/>
      <c r="AM9" s="16">
        <f t="shared" si="1"/>
        <v>3.7131565690610717</v>
      </c>
      <c r="AN9" s="16">
        <f t="shared" si="2"/>
        <v>43.593717916020488</v>
      </c>
      <c r="AO9" s="16">
        <f t="shared" si="3"/>
        <v>36.746437559680857</v>
      </c>
      <c r="AP9" s="6">
        <f t="shared" si="4"/>
        <v>120.81311684042265</v>
      </c>
      <c r="AQ9" s="15">
        <f>-X9*V9*W9^(-Parameters!B$53)*Parameters!B$47*Parameters!B$46*M9</f>
        <v>-1.9616473026856627E-5</v>
      </c>
      <c r="AR9" s="5">
        <f>1000*EXP(-(Parameters!$B$55)*'6states'!A9)*AP9*Parameters!B$47*Parameters!B$46*M9</f>
        <v>1.821973816366766</v>
      </c>
      <c r="AS9" s="5">
        <f>SUM(AR9:AR$204)*EXP(Parameters!$B$55*A9)</f>
        <v>193.43569317485534</v>
      </c>
      <c r="AT9" s="10">
        <f t="shared" si="5"/>
        <v>0.1960253005221102</v>
      </c>
      <c r="AU9">
        <f>(1/$S9-1/Parameters!$B$13) * LN(Parameters!$B$18) / LN(O9)</f>
        <v>0.24199577664112892</v>
      </c>
      <c r="AV9">
        <f>(Parameters!$B$18*'6states'!S9^+Parameters!$B$19*Parameters!$B$25^'6states'!S9)^((1-'6states'!S9)/'6states'!S9)*Parameters!$B$18*Parameters!$B$26^('6states'!S9-1)</f>
        <v>0.17479565253256191</v>
      </c>
      <c r="AW9">
        <f t="shared" si="8"/>
        <v>0.30706264412369144</v>
      </c>
      <c r="AX9">
        <f t="shared" si="13"/>
        <v>0.15442523728268753</v>
      </c>
      <c r="AY9">
        <f t="shared" si="13"/>
        <v>0.11410700935741069</v>
      </c>
      <c r="AZ9">
        <f>(1/$S9-1/Parameters!$B$13) * LN(Parameters!$B$18) / A9</f>
        <v>4.6992062784711949E-2</v>
      </c>
    </row>
    <row r="10" spans="1:52" x14ac:dyDescent="0.35">
      <c r="A10">
        <f>A9+Parameters!$B$71</f>
        <v>6</v>
      </c>
      <c r="B10" s="13">
        <v>-1.3973649888093245E-3</v>
      </c>
      <c r="C10" s="13">
        <v>5.6014685745839773E-2</v>
      </c>
      <c r="D10" s="13">
        <v>0.23090231280457069</v>
      </c>
      <c r="E10" s="5">
        <f>MAX((1-Parameters!$B$4)^Parameters!B$71*E9 + B9*Parameters!B$71 - IF(B9&gt;0,Parameters!$B$5,0)*B9^2/E9*Parameters!B$71, 0.0001)</f>
        <v>0.49064615135553219</v>
      </c>
      <c r="F10" s="5">
        <f>(1-Parameters!$B$4)^Parameters!B$71*F9+C9*Parameters!B$71-Parameters!$B$5*C9^2/F9*Parameters!B$71</f>
        <v>0.28793279337383693</v>
      </c>
      <c r="G10" s="5">
        <f>(1-Parameters!$B$4)^Parameters!B$71*G9+D9*Parameters!B$71-Parameters!$B$5*D9^2/G9*Parameters!B$71</f>
        <v>4.1183460445276969</v>
      </c>
      <c r="H10" s="7">
        <f>MAX(H9 * (1-Parameters!$B$4) ^ Parameters!B$71 + (LN(1+EXP(Parameters!$B$21*(-B9+0.004)))/Parameters!$B$21 -0.004) * Parameters!B$71,0)</f>
        <v>4.5243886060505868E-2</v>
      </c>
      <c r="I10" s="16">
        <f>I9*(1+Parameters!$B$52)^Parameters!B$71</f>
        <v>8.3030173729519614</v>
      </c>
      <c r="J10" s="16">
        <f>J9*(1+Parameters!$B$54)^Parameters!B$71</f>
        <v>10.194684234824219</v>
      </c>
      <c r="K10" s="16">
        <f>I10*J10*EXP(-Parameters!$B$43*'6states'!A10)*(Parameters!$B$38/Parameters!$B$39*('6states'!E10+'6states'!H10)/Parameters!$E$25*(EXP(-Parameters!$B$39*Parameters!$E$25*'6states'!H10/('6states'!E10+'6states'!H10))-EXP(-Parameters!$B$39*Parameters!$E$25))  +  Parameters!$B$40*'6states'!E10)</f>
        <v>30.167742464749892</v>
      </c>
      <c r="L10" s="6">
        <f>L9+K10*Parameters!B$71</f>
        <v>2514.1481501677044</v>
      </c>
      <c r="M10" s="5">
        <f>L10*Parameters!$B$46</f>
        <v>1.5084888901006226</v>
      </c>
      <c r="N10" s="7">
        <f>EXP(-Parameters!$B$47/2*M10^2)</f>
        <v>0.97739035300594024</v>
      </c>
      <c r="O10" s="6">
        <f>MAX((Parameters!$B$63 + Parameters!$B$31*'6states'!A10 - '6states'!L10 + Parameters!$B$48/Parameters!$B$46)/Parameters!B$63,1)</f>
        <v>3.1010369966459077</v>
      </c>
      <c r="P10" s="5">
        <f>Parameters!B$62*EXP(-Parameters!B$61*A10)</f>
        <v>0.42522060227011649</v>
      </c>
      <c r="Q10" s="5">
        <f>(1-Parameters!B$62)*O10^-Parameters!B$64</f>
        <v>0.44649778583234578</v>
      </c>
      <c r="R10" s="5">
        <f>Parameters!B$62*EXP(-Parameters!B$61*A10)+(1-Parameters!B$62)*O10^-Parameters!B$64</f>
        <v>0.87171838810246227</v>
      </c>
      <c r="S10" s="5">
        <f>1-R10/Parameters!$B$12</f>
        <v>0.56414080594876892</v>
      </c>
      <c r="T10" s="5">
        <f t="shared" si="0"/>
        <v>2.2943189306279943</v>
      </c>
      <c r="U10" s="5">
        <f>(Parameters!$B$19*(E10+Parameters!$B$20)^S10+Parameters!$B$18*F10^S10)^(1/S10)</f>
        <v>0.43065413598524332</v>
      </c>
      <c r="V10" s="5">
        <f>(Parameters!$B$10*G10^Parameters!$B$9+Parameters!$B$11*U10^Parameters!$B$9)^(Parameters!$B$7/Parameters!$B$9)*N10</f>
        <v>1.4520046164383413</v>
      </c>
      <c r="W10" s="5">
        <f>V10 - C10 - D10 - LN(1+EXP(Parameters!$B$21*B10))/Parameters!$B$21 - IF(B10&gt;0, 0,Parameters!$B$6*B10^2/E10)</f>
        <v>1.1639371475015292</v>
      </c>
      <c r="X10" s="5">
        <f>EXP(-Parameters!$B$56*A10)</f>
        <v>0.91338299103478215</v>
      </c>
      <c r="Y10" s="5">
        <f>IF(W10&gt;0,W10^(1-Parameters!$B$53)/(1-Parameters!$B$53)*X10*Parameters!$B$71,-10+W10*1000)</f>
        <v>-2.474625822338512</v>
      </c>
      <c r="AA10" s="15">
        <f t="shared" si="14"/>
        <v>2.9373949850743241E-3</v>
      </c>
      <c r="AB10" s="15">
        <f t="shared" si="9"/>
        <v>-1.0679971963370116E-2</v>
      </c>
      <c r="AC10" s="15">
        <f t="shared" si="10"/>
        <v>1.8578212428994878E-4</v>
      </c>
      <c r="AD10" s="15">
        <f t="shared" si="6"/>
        <v>1.1209456718525148E-4</v>
      </c>
      <c r="AE10" s="15">
        <f t="shared" si="15"/>
        <v>1.8182211478003632E-3</v>
      </c>
      <c r="AF10" s="15">
        <f t="shared" si="11"/>
        <v>-7.5914960855569258E-4</v>
      </c>
      <c r="AG10" s="15">
        <f t="shared" si="12"/>
        <v>3.66265205624626E-4</v>
      </c>
      <c r="AH10" s="15">
        <f t="shared" si="7"/>
        <v>3.6684990883350123E-6</v>
      </c>
      <c r="AI10" s="15"/>
      <c r="AK10" s="7"/>
      <c r="AL10" s="7"/>
      <c r="AM10" s="16">
        <f t="shared" si="1"/>
        <v>3.8297429497488413</v>
      </c>
      <c r="AN10" s="16">
        <f t="shared" si="2"/>
        <v>41.531548294997251</v>
      </c>
      <c r="AO10" s="16">
        <f t="shared" si="3"/>
        <v>36.453425748266149</v>
      </c>
      <c r="AP10" s="6">
        <f t="shared" si="4"/>
        <v>122.90731250120501</v>
      </c>
      <c r="AQ10" s="15">
        <f>-X10*V10*W10^(-Parameters!B$53)*Parameters!B$47*Parameters!B$46*M10</f>
        <v>-1.9656467678945419E-5</v>
      </c>
      <c r="AR10" s="5">
        <f>1000*EXP(-(Parameters!$B$55)*'6states'!A10)*AP10*Parameters!B$47*Parameters!B$46*M10</f>
        <v>1.8113598136086708</v>
      </c>
      <c r="AS10" s="5">
        <f>SUM(AR10:AR$204)*EXP(Parameters!$B$55*A10)</f>
        <v>198.09677165526975</v>
      </c>
      <c r="AT10" s="10">
        <f t="shared" si="5"/>
        <v>0.19760061042656765</v>
      </c>
      <c r="AU10">
        <f>(1/$S10-1/Parameters!$B$13) * LN(Parameters!$B$18) / LN(O10)</f>
        <v>0.23935637827444445</v>
      </c>
      <c r="AV10">
        <f>(Parameters!$B$18*'6states'!S10^+Parameters!$B$19*Parameters!$B$25^'6states'!S10)^((1-'6states'!S10)/'6states'!S10)*Parameters!$B$18*Parameters!$B$26^('6states'!S10-1)</f>
        <v>0.18226504268052285</v>
      </c>
      <c r="AW10">
        <f t="shared" si="8"/>
        <v>0.30040544524434543</v>
      </c>
      <c r="AX10">
        <f t="shared" si="13"/>
        <v>0.1528768494617061</v>
      </c>
      <c r="AY10">
        <f t="shared" si="13"/>
        <v>0.1186817670999053</v>
      </c>
      <c r="AZ10">
        <f>(1/$S10-1/Parameters!$B$13) * LN(Parameters!$B$18) / A10</f>
        <v>4.514806111661198E-2</v>
      </c>
    </row>
    <row r="11" spans="1:52" x14ac:dyDescent="0.35">
      <c r="A11">
        <f>A10+Parameters!$B$71</f>
        <v>7</v>
      </c>
      <c r="B11" s="13">
        <v>-3.5797567777700839E-3</v>
      </c>
      <c r="C11" s="13">
        <v>5.7714133113546048E-2</v>
      </c>
      <c r="D11" s="13">
        <v>0.23026833025880991</v>
      </c>
      <c r="E11" s="5">
        <f>MAX((1-Parameters!$B$4)^Parameters!B$71*E10 + B10*Parameters!B$71 - IF(B10&gt;0,Parameters!$B$5,0)*B10^2/E10*Parameters!B$71, 0.0001)</f>
        <v>0.45838714344645992</v>
      </c>
      <c r="F11" s="5">
        <f>(1-Parameters!$B$4)^Parameters!B$71*F10+C10*Parameters!B$71-Parameters!$B$5*C10^2/F10*Parameters!B$71</f>
        <v>0.31493936273775874</v>
      </c>
      <c r="G11" s="5">
        <f>(1-Parameters!$B$4)^Parameters!B$71*G10+D10*Parameters!B$71-Parameters!$B$5*D10^2/G10*Parameters!B$71</f>
        <v>4.0772584469388198</v>
      </c>
      <c r="H11" s="7">
        <f>MAX(H10 * (1-Parameters!$B$4) ^ Parameters!B$71 + (LN(1+EXP(Parameters!$B$21*(-B10+0.004)))/Parameters!$B$21 -0.004) * Parameters!B$71,0)</f>
        <v>4.4068548083191175E-2</v>
      </c>
      <c r="I11" s="16">
        <f>I10*(1+Parameters!$B$52)^Parameters!B$71</f>
        <v>8.3270961233335221</v>
      </c>
      <c r="J11" s="16">
        <f>J10*(1+Parameters!$B$54)^Parameters!B$71</f>
        <v>10.398577919520704</v>
      </c>
      <c r="K11" s="16">
        <f>I11*J11*EXP(-Parameters!$B$43*'6states'!A11)*(Parameters!$B$38/Parameters!$B$39*('6states'!E11+'6states'!H11)/Parameters!$E$25*(EXP(-Parameters!$B$39*Parameters!$E$25*'6states'!H11/('6states'!E11+'6states'!H11))-EXP(-Parameters!$B$39*Parameters!$E$25))  +  Parameters!$B$40*'6states'!E11)</f>
        <v>28.524175649648722</v>
      </c>
      <c r="L11" s="6">
        <f>L10+K11*Parameters!B$71</f>
        <v>2542.6723258173533</v>
      </c>
      <c r="M11" s="5">
        <f>L11*Parameters!$B$46</f>
        <v>1.5256033954904118</v>
      </c>
      <c r="N11" s="7">
        <f>EXP(-Parameters!$B$47/2*M11^2)</f>
        <v>0.97688041905038425</v>
      </c>
      <c r="O11" s="6">
        <f>MAX((Parameters!$B$63 + Parameters!$B$31*'6states'!A11 - '6states'!L11 + Parameters!$B$48/Parameters!$B$46)/Parameters!B$63,1)</f>
        <v>3.5945534836529349</v>
      </c>
      <c r="P11" s="5">
        <f>Parameters!B$62*EXP(-Parameters!B$61*A11)</f>
        <v>0.41389325334736682</v>
      </c>
      <c r="Q11" s="5">
        <f>(1-Parameters!B$62)*O11^-Parameters!B$64</f>
        <v>0.43995221579935084</v>
      </c>
      <c r="R11" s="5">
        <f>Parameters!B$62*EXP(-Parameters!B$61*A11)+(1-Parameters!B$62)*O11^-Parameters!B$64</f>
        <v>0.85384546914671766</v>
      </c>
      <c r="S11" s="5">
        <f>1-R11/Parameters!$B$12</f>
        <v>0.57307726542664117</v>
      </c>
      <c r="T11" s="5">
        <f t="shared" si="0"/>
        <v>2.3423442206687364</v>
      </c>
      <c r="U11" s="5">
        <f>(Parameters!$B$19*(E11+Parameters!$B$20)^S11+Parameters!$B$18*F11^S11)^(1/S11)</f>
        <v>0.41903474149996212</v>
      </c>
      <c r="V11" s="5">
        <f>(Parameters!$B$10*G11^Parameters!$B$9+Parameters!$B$11*U11^Parameters!$B$9)^(Parameters!$B$7/Parameters!$B$9)*N11</f>
        <v>1.4444335624537727</v>
      </c>
      <c r="W11" s="5">
        <f>V11 - C11 - D11 - LN(1+EXP(Parameters!$B$21*B11))/Parameters!$B$21 - IF(B11&gt;0, 0,Parameters!$B$6*B11^2/E11)</f>
        <v>1.1557758522805937</v>
      </c>
      <c r="X11" s="5">
        <f>EXP(-Parameters!$B$56*A11)</f>
        <v>0.89969451594850369</v>
      </c>
      <c r="Y11" s="5">
        <f>IF(W11&gt;0,W11^(1-Parameters!$B$53)/(1-Parameters!$B$53)*X11*Parameters!$B$71,-10+W11*1000)</f>
        <v>-2.4435501864801403</v>
      </c>
      <c r="AA11" s="15">
        <f t="shared" si="14"/>
        <v>-4.9614518825132833E-3</v>
      </c>
      <c r="AB11" s="15">
        <f t="shared" si="9"/>
        <v>-1.1286087352519986E-2</v>
      </c>
      <c r="AC11" s="15">
        <f t="shared" si="10"/>
        <v>4.095069970181664E-4</v>
      </c>
      <c r="AD11" s="15">
        <f t="shared" si="6"/>
        <v>1.3689703935172332E-4</v>
      </c>
      <c r="AE11" s="15">
        <f t="shared" si="15"/>
        <v>-7.898846867587607E-3</v>
      </c>
      <c r="AF11" s="15">
        <f t="shared" si="11"/>
        <v>-6.061153891498694E-4</v>
      </c>
      <c r="AG11" s="15">
        <f t="shared" si="12"/>
        <v>2.2372487272821762E-4</v>
      </c>
      <c r="AH11" s="15">
        <f t="shared" si="7"/>
        <v>5.6509102257014783E-5</v>
      </c>
      <c r="AI11" s="15"/>
      <c r="AK11" s="7"/>
      <c r="AL11" s="7"/>
      <c r="AM11" s="16">
        <f t="shared" si="1"/>
        <v>3.8158937224365901</v>
      </c>
      <c r="AN11" s="16">
        <f t="shared" si="2"/>
        <v>39.691723444597855</v>
      </c>
      <c r="AO11" s="16">
        <f t="shared" si="3"/>
        <v>36.284200617502066</v>
      </c>
      <c r="AP11" s="6">
        <f t="shared" si="4"/>
        <v>125.0734413359629</v>
      </c>
      <c r="AQ11" s="15">
        <f>-X11*V11*W11^(-Parameters!B$53)*Parameters!B$47*Parameters!B$46*M11</f>
        <v>-1.9665374278697742E-5</v>
      </c>
      <c r="AR11" s="5">
        <f>1000*EXP(-(Parameters!$B$55)*'6states'!A11)*AP11*Parameters!B$47*Parameters!B$46*M11</f>
        <v>1.7998980218246621</v>
      </c>
      <c r="AS11" s="5">
        <f>SUM(AR11:AR$204)*EXP(Parameters!$B$55*A11)</f>
        <v>202.85758486047129</v>
      </c>
      <c r="AT11" s="10">
        <f t="shared" si="5"/>
        <v>0.19937397666330706</v>
      </c>
      <c r="AU11">
        <f>(1/$S11-1/Parameters!$B$13) * LN(Parameters!$B$18) / LN(O11)</f>
        <v>0.23746494320743003</v>
      </c>
      <c r="AV11">
        <f>(Parameters!$B$18*'6states'!S11^+Parameters!$B$19*Parameters!$B$25^'6states'!S11)^((1-'6states'!S11)/'6states'!S11)*Parameters!$B$18*Parameters!$B$26^('6states'!S11-1)</f>
        <v>0.18920882733978309</v>
      </c>
      <c r="AW11">
        <f t="shared" si="8"/>
        <v>0.29495341572477857</v>
      </c>
      <c r="AX11">
        <f t="shared" si="13"/>
        <v>0.15176550633332908</v>
      </c>
      <c r="AY11">
        <f t="shared" si="13"/>
        <v>0.12291341705643211</v>
      </c>
      <c r="AZ11">
        <f>(1/$S11-1/Parameters!$B$13) * LN(Parameters!$B$18) / A11</f>
        <v>4.3402477867385068E-2</v>
      </c>
    </row>
    <row r="12" spans="1:52" x14ac:dyDescent="0.35">
      <c r="A12">
        <f>A11+Parameters!$B$71</f>
        <v>8</v>
      </c>
      <c r="B12" s="13">
        <v>-6.5021139048236187E-4</v>
      </c>
      <c r="C12" s="13">
        <v>5.8701307132718164E-2</v>
      </c>
      <c r="D12" s="13">
        <v>0.22970673121777602</v>
      </c>
      <c r="E12" s="5">
        <f>MAX((1-Parameters!$B$4)^Parameters!B$71*E11 + B11*Parameters!B$71 - IF(B11&gt;0,Parameters!$B$5,0)*B11^2/E11*Parameters!B$71, 0.0001)</f>
        <v>0.42597483534590758</v>
      </c>
      <c r="F12" s="5">
        <f>(1-Parameters!$B$4)^Parameters!B$71*F11+C11*Parameters!B$71-Parameters!$B$5*C11^2/F11*Parameters!B$71</f>
        <v>0.34226742109601499</v>
      </c>
      <c r="G12" s="5">
        <f>(1-Parameters!$B$4)^Parameters!B$71*G11+D11*Parameters!B$71-Parameters!$B$5*D11^2/G11*Parameters!B$71</f>
        <v>4.0380625255463309</v>
      </c>
      <c r="H12" s="7">
        <f>MAX(H11 * (1-Parameters!$B$4) ^ Parameters!B$71 + (LN(1+EXP(Parameters!$B$21*(-B11+0.004)))/Parameters!$B$21 -0.004) * Parameters!B$71,0)</f>
        <v>4.4994135955990257E-2</v>
      </c>
      <c r="I12" s="16">
        <f>I11*(1+Parameters!$B$52)^Parameters!B$71</f>
        <v>8.3512447020911882</v>
      </c>
      <c r="J12" s="16">
        <f>J11*(1+Parameters!$B$54)^Parameters!B$71</f>
        <v>10.606549477911118</v>
      </c>
      <c r="K12" s="16">
        <f>I12*J12*EXP(-Parameters!$B$43*'6states'!A12)*(Parameters!$B$38/Parameters!$B$39*('6states'!E12+'6states'!H12)/Parameters!$E$25*(EXP(-Parameters!$B$39*Parameters!$E$25*'6states'!H12/('6states'!E12+'6states'!H12))-EXP(-Parameters!$B$39*Parameters!$E$25))  +  Parameters!$B$40*'6states'!E12)</f>
        <v>26.809679802340593</v>
      </c>
      <c r="L12" s="6">
        <f>L11+K12*Parameters!B$71</f>
        <v>2569.4820056196941</v>
      </c>
      <c r="M12" s="5">
        <f>L12*Parameters!$B$46</f>
        <v>1.5416892033718164</v>
      </c>
      <c r="N12" s="7">
        <f>EXP(-Parameters!$B$47/2*M12^2)</f>
        <v>0.97639613755027399</v>
      </c>
      <c r="O12" s="6">
        <f>MAX((Parameters!$B$63 + Parameters!$B$31*'6states'!A12 - '6states'!L12 + Parameters!$B$48/Parameters!$B$46)/Parameters!B$63,1)</f>
        <v>4.1223598876061169</v>
      </c>
      <c r="P12" s="5">
        <f>Parameters!B$62*EXP(-Parameters!B$61*A12)</f>
        <v>0.40286765093673982</v>
      </c>
      <c r="Q12" s="5">
        <f>(1-Parameters!B$62)*O12^-Parameters!B$64</f>
        <v>0.43396570908706306</v>
      </c>
      <c r="R12" s="5">
        <f>Parameters!B$62*EXP(-Parameters!B$61*A12)+(1-Parameters!B$62)*O12^-Parameters!B$64</f>
        <v>0.83683336002380293</v>
      </c>
      <c r="S12" s="5">
        <f>1-R12/Parameters!$B$12</f>
        <v>0.58158331998809853</v>
      </c>
      <c r="T12" s="5">
        <f t="shared" si="0"/>
        <v>2.3899620827055843</v>
      </c>
      <c r="U12" s="5">
        <f>(Parameters!$B$19*(E12+Parameters!$B$20)^S12+Parameters!$B$18*F12^S12)^(1/S12)</f>
        <v>0.40650391908253397</v>
      </c>
      <c r="V12" s="5">
        <f>(Parameters!$B$10*G12^Parameters!$B$9+Parameters!$B$11*U12^Parameters!$B$9)^(Parameters!$B$7/Parameters!$B$9)*N12</f>
        <v>1.4364709839772585</v>
      </c>
      <c r="W12" s="5">
        <f>V12 - C12 - D12 - LN(1+EXP(Parameters!$B$21*B12))/Parameters!$B$21 - IF(B12&gt;0, 0,Parameters!$B$6*B12^2/E12)</f>
        <v>1.1466291415009122</v>
      </c>
      <c r="X12" s="5">
        <f>EXP(-Parameters!$B$56*A12)</f>
        <v>0.88621118410665478</v>
      </c>
      <c r="Y12" s="5">
        <f>IF(W12&gt;0,W12^(1-Parameters!$B$53)/(1-Parameters!$B$53)*X12*Parameters!$B$71,-10+W12*1000)</f>
        <v>-2.4136324770763244</v>
      </c>
      <c r="AA12" s="15">
        <f t="shared" si="14"/>
        <v>6.283053577170448E-3</v>
      </c>
      <c r="AB12" s="15">
        <f t="shared" si="9"/>
        <v>-1.1747604775011772E-2</v>
      </c>
      <c r="AC12" s="15">
        <f t="shared" si="10"/>
        <v>4.0911704776357138E-4</v>
      </c>
      <c r="AD12" s="15">
        <f t="shared" si="6"/>
        <v>1.5743573320048062E-4</v>
      </c>
      <c r="AE12" s="15">
        <f t="shared" si="15"/>
        <v>1.1244505459683732E-2</v>
      </c>
      <c r="AF12" s="15">
        <f t="shared" si="11"/>
        <v>-4.6151742249178618E-4</v>
      </c>
      <c r="AG12" s="15">
        <f t="shared" si="12"/>
        <v>-3.8994925459501228E-7</v>
      </c>
      <c r="AH12" s="15">
        <f t="shared" si="7"/>
        <v>1.1224033161201433E-4</v>
      </c>
      <c r="AI12" s="15"/>
      <c r="AK12" s="7"/>
      <c r="AL12" s="7"/>
      <c r="AM12" s="16">
        <f t="shared" si="1"/>
        <v>3.985485631423257</v>
      </c>
      <c r="AN12" s="16">
        <f t="shared" si="2"/>
        <v>37.73195216549054</v>
      </c>
      <c r="AO12" s="16">
        <f t="shared" si="3"/>
        <v>36.007259483888113</v>
      </c>
      <c r="AP12" s="6">
        <f t="shared" si="4"/>
        <v>127.23956900067093</v>
      </c>
      <c r="AQ12" s="15">
        <f>-X12*V12*W12^(-Parameters!B$53)*Parameters!B$47*Parameters!B$46*M12</f>
        <v>-1.9676923937261845E-5</v>
      </c>
      <c r="AR12" s="5">
        <f>1000*EXP(-(Parameters!$B$55)*'6states'!A12)*AP12*Parameters!B$47*Parameters!B$46*M12</f>
        <v>1.7865551930000589</v>
      </c>
      <c r="AS12" s="5">
        <f>SUM(AR12:AR$204)*EXP(Parameters!$B$55*A12)</f>
        <v>207.72091764963207</v>
      </c>
      <c r="AT12" s="10">
        <f t="shared" si="5"/>
        <v>0.20077540136032437</v>
      </c>
      <c r="AU12">
        <f>(1/$S12-1/Parameters!$B$13) * LN(Parameters!$B$18) / LN(O12)</f>
        <v>0.23596036758751052</v>
      </c>
      <c r="AV12">
        <f>(Parameters!$B$18*'6states'!S12^+Parameters!$B$19*Parameters!$B$25^'6states'!S12)^((1-'6states'!S12)/'6states'!S12)*Parameters!$B$18*Parameters!$B$26^('6states'!S12-1)</f>
        <v>0.19568910753269739</v>
      </c>
      <c r="AW12">
        <f t="shared" si="8"/>
        <v>0.29019885096045511</v>
      </c>
      <c r="AX12">
        <f t="shared" si="13"/>
        <v>0.15088042762913767</v>
      </c>
      <c r="AY12">
        <f t="shared" si="13"/>
        <v>0.12684426911032465</v>
      </c>
      <c r="AZ12">
        <f>(1/$S12-1/Parameters!$B$13) * LN(Parameters!$B$18) / A12</f>
        <v>4.1777543688841165E-2</v>
      </c>
    </row>
    <row r="13" spans="1:52" x14ac:dyDescent="0.35">
      <c r="A13">
        <f>A12+Parameters!$B$71</f>
        <v>9</v>
      </c>
      <c r="B13" s="13">
        <v>1.4940548720075287E-2</v>
      </c>
      <c r="C13" s="13">
        <v>5.9104640004562461E-2</v>
      </c>
      <c r="D13" s="13">
        <v>0.22364573713998107</v>
      </c>
      <c r="E13" s="5">
        <f>MAX((1-Parameters!$B$4)^Parameters!B$71*E12 + B12*Parameters!B$71 - IF(B12&gt;0,Parameters!$B$5,0)*B12^2/E12*Parameters!B$71, 0.0001)</f>
        <v>0.39853080681216763</v>
      </c>
      <c r="F13" s="5">
        <f>(1-Parameters!$B$4)^Parameters!B$71*F12+C12*Parameters!B$71-Parameters!$B$5*C12^2/F12*Parameters!B$71</f>
        <v>0.36937241403394516</v>
      </c>
      <c r="G13" s="5">
        <f>(1-Parameters!$B$4)^Parameters!B$71*G12+D12*Parameters!B$71-Parameters!$B$5*D12^2/G12*Parameters!B$71</f>
        <v>4.0007081686451729</v>
      </c>
      <c r="H13" s="7">
        <f>MAX(H12 * (1-Parameters!$B$4) ^ Parameters!B$71 + (LN(1+EXP(Parameters!$B$21*(-B12+0.004)))/Parameters!$B$21 -0.004) * Parameters!B$71,0)</f>
        <v>4.3175894066991016E-2</v>
      </c>
      <c r="I13" s="16">
        <f>I12*(1+Parameters!$B$52)^Parameters!B$71</f>
        <v>8.3754633117272519</v>
      </c>
      <c r="J13" s="16">
        <f>J12*(1+Parameters!$B$54)^Parameters!B$71</f>
        <v>10.81868046746934</v>
      </c>
      <c r="K13" s="34">
        <f>I13*J13*EXP(-Parameters!$B$43*'6states'!A13)*(Parameters!$B$38/Parameters!$B$39*('6states'!E13+'6states'!H13)/Parameters!$E$25*(EXP(-Parameters!$B$39*Parameters!$E$25*'6states'!H13/('6states'!E13+'6states'!H13))-EXP(-Parameters!$B$39*Parameters!$E$25))  +  Parameters!$B$40*'6states'!E13)</f>
        <v>25.395103687225948</v>
      </c>
      <c r="L13" s="6">
        <f>L12+K13*Parameters!B$71</f>
        <v>2594.8771093069199</v>
      </c>
      <c r="M13" s="5">
        <f>L13*Parameters!$B$46</f>
        <v>1.5569262655841518</v>
      </c>
      <c r="N13" s="7">
        <f>EXP(-Parameters!$B$47/2*M13^2)</f>
        <v>0.9759329487946482</v>
      </c>
      <c r="O13" s="6">
        <f>MAX((Parameters!$B$63 + Parameters!$B$31*'6states'!A13 - '6states'!L13 + Parameters!$B$48/Parameters!$B$46)/Parameters!B$63,1)</f>
        <v>4.6784578138616055</v>
      </c>
      <c r="P13" s="5">
        <f>Parameters!B$62*EXP(-Parameters!B$61*A13)</f>
        <v>0.39213575688577823</v>
      </c>
      <c r="Q13" s="5">
        <f>(1-Parameters!B$62)*O13^-Parameters!B$64</f>
        <v>0.42850878756125121</v>
      </c>
      <c r="R13" s="5">
        <f>Parameters!B$62*EXP(-Parameters!B$61*A13)+(1-Parameters!B$62)*O13^-Parameters!B$64</f>
        <v>0.82064454444702939</v>
      </c>
      <c r="S13" s="5">
        <f>1-R13/Parameters!$B$12</f>
        <v>0.58967772777648531</v>
      </c>
      <c r="T13" s="5">
        <f t="shared" si="0"/>
        <v>2.4371087501076967</v>
      </c>
      <c r="U13" s="5">
        <f>(Parameters!$B$19*(E13+Parameters!$B$20)^S13+Parameters!$B$18*F13^S13)^(1/S13)</f>
        <v>0.39646223462071434</v>
      </c>
      <c r="V13" s="5">
        <f>(Parameters!$B$10*G13^Parameters!$B$9+Parameters!$B$11*U13^Parameters!$B$9)^(Parameters!$B$7/Parameters!$B$9)*N13</f>
        <v>1.4293617576440056</v>
      </c>
      <c r="W13" s="5">
        <f>V13 - C13 - D13 - LN(1+EXP(Parameters!$B$21*B13))/Parameters!$B$21 - IF(B13&gt;0, 0,Parameters!$B$6*B13^2/E13)</f>
        <v>1.1316644938085441</v>
      </c>
      <c r="X13" s="5">
        <f>EXP(-Parameters!$B$56*A13)</f>
        <v>0.87292992111632683</v>
      </c>
      <c r="Y13" s="5">
        <f>IF(W13&gt;0,W13^(1-Parameters!$B$53)/(1-Parameters!$B$53)*X13*Parameters!$B$71,-10+W13*1000)</f>
        <v>-2.3884169469683401</v>
      </c>
      <c r="AA13" s="15">
        <f t="shared" si="14"/>
        <v>3.9015476496314358E-2</v>
      </c>
      <c r="AB13" s="15">
        <f t="shared" si="9"/>
        <v>-1.1493459811523277E-2</v>
      </c>
      <c r="AC13" s="15">
        <f t="shared" si="10"/>
        <v>-9.8384511753887155E-4</v>
      </c>
      <c r="AD13" s="15">
        <f t="shared" si="6"/>
        <v>1.4449390541284954E-3</v>
      </c>
      <c r="AE13" s="15">
        <f t="shared" si="15"/>
        <v>3.2732422919143911E-2</v>
      </c>
      <c r="AF13" s="15">
        <f t="shared" si="11"/>
        <v>2.5414496348849513E-4</v>
      </c>
      <c r="AG13" s="15">
        <f t="shared" si="12"/>
        <v>-1.3929621653024429E-3</v>
      </c>
      <c r="AH13" s="15">
        <f t="shared" si="7"/>
        <v>9.37017331274463E-4</v>
      </c>
      <c r="AI13" s="15"/>
      <c r="AK13" s="7"/>
      <c r="AL13" s="7"/>
      <c r="AM13" s="16">
        <f t="shared" si="1"/>
        <v>3.9122308559238488</v>
      </c>
      <c r="AN13" s="16">
        <f t="shared" si="2"/>
        <v>36.111458792900628</v>
      </c>
      <c r="AO13" s="16">
        <f t="shared" si="3"/>
        <v>35.924022443752811</v>
      </c>
      <c r="AP13" s="6">
        <f t="shared" si="4"/>
        <v>129.51655763875971</v>
      </c>
      <c r="AQ13" s="15">
        <f>-X13*V13*W13^(-Parameters!B$53)*Parameters!B$47*Parameters!B$46*M13</f>
        <v>-1.9825219751633554E-5</v>
      </c>
      <c r="AR13" s="5">
        <f>1000*EXP(-(Parameters!$B$55)*'6states'!A13)*AP13*Parameters!B$47*Parameters!B$46*M13</f>
        <v>1.7731562993464789</v>
      </c>
      <c r="AS13" s="5">
        <f>SUM(AR13:AR$204)*EXP(Parameters!$B$55*A13)</f>
        <v>212.69114119216135</v>
      </c>
      <c r="AT13" s="10">
        <f t="shared" si="5"/>
        <v>0.20826842768992088</v>
      </c>
      <c r="AU13">
        <f>(1/$S13-1/Parameters!$B$13) * LN(Parameters!$B$18) / LN(O13)</f>
        <v>0.2348314499459177</v>
      </c>
      <c r="AV13">
        <f>(Parameters!$B$18*'6states'!S13^+Parameters!$B$19*Parameters!$B$25^'6states'!S13)^((1-'6states'!S13)/'6states'!S13)*Parameters!$B$18*Parameters!$B$26^('6states'!S13-1)</f>
        <v>0.20172899149605802</v>
      </c>
      <c r="AW13">
        <f t="shared" si="8"/>
        <v>0.28609986811105331</v>
      </c>
      <c r="AX13">
        <f t="shared" si="13"/>
        <v>0.15021572636833758</v>
      </c>
      <c r="AY13">
        <f t="shared" si="13"/>
        <v>0.13049211925529225</v>
      </c>
      <c r="AZ13">
        <f>(1/$S13-1/Parameters!$B$13) * LN(Parameters!$B$18) / A13</f>
        <v>4.0259726312080357E-2</v>
      </c>
    </row>
    <row r="14" spans="1:52" x14ac:dyDescent="0.35">
      <c r="A14">
        <f>A13+Parameters!$B$71</f>
        <v>10</v>
      </c>
      <c r="B14" s="13">
        <v>2.4351969017812801E-2</v>
      </c>
      <c r="C14" s="13">
        <v>5.9466324593807136E-2</v>
      </c>
      <c r="D14" s="13">
        <v>0.22088997315841519</v>
      </c>
      <c r="E14" s="5">
        <f>MAX((1-Parameters!$B$4)^Parameters!B$71*E13 + B13*Parameters!B$71 - IF(B13&gt;0,Parameters!$B$5,0)*B13^2/E13*Parameters!B$71, 0.0001)</f>
        <v>0.3878436605292081</v>
      </c>
      <c r="F14" s="5">
        <f>(1-Parameters!$B$4)^Parameters!B$71*F13+C13*Parameters!B$71-Parameters!$B$5*C13^2/F13*Parameters!B$71</f>
        <v>0.39578597812443589</v>
      </c>
      <c r="G14" s="5">
        <f>(1-Parameters!$B$4)^Parameters!B$71*G13+D13*Parameters!B$71-Parameters!$B$5*D13^2/G13*Parameters!B$71</f>
        <v>3.9602072214481314</v>
      </c>
      <c r="H14" s="7">
        <f>MAX(H13 * (1-Parameters!$B$4) ^ Parameters!B$71 + (LN(1+EXP(Parameters!$B$21*(-B13+0.004)))/Parameters!$B$21 -0.004) * Parameters!B$71,0)</f>
        <v>3.6491366378057534E-2</v>
      </c>
      <c r="I14" s="16">
        <f>I13*(1+Parameters!$B$52)^Parameters!B$71</f>
        <v>8.3997521553312602</v>
      </c>
      <c r="J14" s="16">
        <f>J13*(1+Parameters!$B$54)^Parameters!B$71</f>
        <v>11.035054076818728</v>
      </c>
      <c r="K14" s="16">
        <f>I14*J14*EXP(-Parameters!$B$43*'6states'!A14)*(Parameters!$B$38/Parameters!$B$39*('6states'!E14+'6states'!H14)/Parameters!$E$25*(EXP(-Parameters!$B$39*Parameters!$E$25*'6states'!H14/('6states'!E14+'6states'!H14))-EXP(-Parameters!$B$39*Parameters!$E$25))  +  Parameters!$B$40*'6states'!E14)</f>
        <v>25.08058428328933</v>
      </c>
      <c r="L14" s="6">
        <f>L13+K14*Parameters!B$71</f>
        <v>2619.9576935902091</v>
      </c>
      <c r="M14" s="5">
        <f>L14*Parameters!$B$46</f>
        <v>1.5719746161541253</v>
      </c>
      <c r="N14" s="7">
        <f>EXP(-Parameters!$B$47/2*M14^2)</f>
        <v>0.9754712444113961</v>
      </c>
      <c r="O14" s="6">
        <f>MAX((Parameters!$B$63 + Parameters!$B$31*'6states'!A14 - '6states'!L14 + Parameters!$B$48/Parameters!$B$46)/Parameters!B$63,1)</f>
        <v>5.240846128195817</v>
      </c>
      <c r="P14" s="5">
        <f>Parameters!B$62*EXP(-Parameters!B$61*A14)</f>
        <v>0.38168974716842657</v>
      </c>
      <c r="Q14" s="5">
        <f>(1-Parameters!B$62)*O14^-Parameters!B$64</f>
        <v>0.4236720980600473</v>
      </c>
      <c r="R14" s="5">
        <f>Parameters!B$62*EXP(-Parameters!B$61*A14)+(1-Parameters!B$62)*O14^-Parameters!B$64</f>
        <v>0.80536184522847387</v>
      </c>
      <c r="S14" s="5">
        <f>1-R14/Parameters!$B$12</f>
        <v>0.59731907738576306</v>
      </c>
      <c r="T14" s="5">
        <f t="shared" si="0"/>
        <v>2.4833557882700763</v>
      </c>
      <c r="U14" s="5">
        <f>(Parameters!$B$19*(E14+Parameters!$B$20)^S14+Parameters!$B$18*F14^S14)^(1/S14)</f>
        <v>0.39721801549367597</v>
      </c>
      <c r="V14" s="5">
        <f>(Parameters!$B$10*G14^Parameters!$B$9+Parameters!$B$11*U14^Parameters!$B$9)^(Parameters!$B$7/Parameters!$B$9)*N14</f>
        <v>1.4262003822592426</v>
      </c>
      <c r="W14" s="5">
        <f>V14 - C14 - D14 - LN(1+EXP(Parameters!$B$21*B14))/Parameters!$B$21 - IF(B14&gt;0, 0,Parameters!$B$6*B14^2/E14)</f>
        <v>1.1214919684080882</v>
      </c>
      <c r="X14" s="5">
        <f>EXP(-Parameters!$B$56*A14)</f>
        <v>0.85984769865920552</v>
      </c>
      <c r="Y14" s="5">
        <f>IF(W14&gt;0,W14^(1-Parameters!$B$53)/(1-Parameters!$B$53)*X14*Parameters!$B$71,-10+W14*1000)</f>
        <v>-2.3600697053836348</v>
      </c>
      <c r="AA14" s="15">
        <f t="shared" si="14"/>
        <v>2.5299037874001347E-2</v>
      </c>
      <c r="AB14" s="15">
        <f t="shared" si="9"/>
        <v>-9.764992368715697E-3</v>
      </c>
      <c r="AC14" s="15">
        <f t="shared" si="10"/>
        <v>-1.2415985865941309E-4</v>
      </c>
      <c r="AD14" s="15">
        <f t="shared" si="6"/>
        <v>6.3234215151974612E-4</v>
      </c>
      <c r="AE14" s="15">
        <f t="shared" si="15"/>
        <v>-1.3716438622313013E-2</v>
      </c>
      <c r="AF14" s="15">
        <f t="shared" si="11"/>
        <v>1.7284674428075797E-3</v>
      </c>
      <c r="AG14" s="15">
        <f t="shared" si="12"/>
        <v>8.5968525887945846E-4</v>
      </c>
      <c r="AH14" s="15">
        <f t="shared" si="7"/>
        <v>1.6497669670118871E-4</v>
      </c>
      <c r="AI14" s="15"/>
      <c r="AK14" s="7"/>
      <c r="AL14" s="7"/>
      <c r="AM14" s="16">
        <f t="shared" si="1"/>
        <v>3.3824474879460222</v>
      </c>
      <c r="AN14" s="16">
        <f t="shared" si="2"/>
        <v>35.949895700853752</v>
      </c>
      <c r="AO14" s="16">
        <f t="shared" si="3"/>
        <v>36.818820779519619</v>
      </c>
      <c r="AP14" s="6">
        <f t="shared" si="4"/>
        <v>132.19696544937159</v>
      </c>
      <c r="AQ14" s="15">
        <f>-X14*V14*W14^(-Parameters!B$53)*Parameters!B$47*Parameters!B$46*M14</f>
        <v>-1.9914531415489924E-5</v>
      </c>
      <c r="AR14" s="5">
        <f>1000*EXP(-(Parameters!$B$55)*'6states'!A14)*AP14*Parameters!B$47*Parameters!B$46*M14</f>
        <v>1.7643183849316857</v>
      </c>
      <c r="AS14" s="5">
        <f>SUM(AR14:AR$204)*EXP(Parameters!$B$55*A14)</f>
        <v>217.77041947074568</v>
      </c>
      <c r="AT14" s="10">
        <f t="shared" ref="AT14:AT45" si="16">(B14+C14+D14)/V14</f>
        <v>0.21365038921623838</v>
      </c>
      <c r="AU14">
        <f>(1/$S14-1/Parameters!$B$13) * LN(Parameters!$B$18) / LN(O14)</f>
        <v>0.23434089340440675</v>
      </c>
      <c r="AV14">
        <f>(Parameters!$B$18*'6states'!S14^+Parameters!$B$19*Parameters!$B$25^'6states'!S14)^((1-'6states'!S14)/'6states'!S14)*Parameters!$B$18*Parameters!$B$26^('6states'!S14-1)</f>
        <v>0.20730972767767369</v>
      </c>
      <c r="AW14">
        <f t="shared" si="8"/>
        <v>0.28296811824636847</v>
      </c>
      <c r="AX14">
        <f t="shared" si="13"/>
        <v>0.14992672688905628</v>
      </c>
      <c r="AY14">
        <f t="shared" si="13"/>
        <v>0.13384911478146544</v>
      </c>
      <c r="AZ14">
        <f>(1/$S14-1/Parameters!$B$13) * LN(Parameters!$B$18) / A14</f>
        <v>3.8818169678927927E-2</v>
      </c>
    </row>
    <row r="15" spans="1:52" x14ac:dyDescent="0.35">
      <c r="A15">
        <f>A14+Parameters!$B$71</f>
        <v>11</v>
      </c>
      <c r="B15" s="13">
        <v>2.7717100321438256E-2</v>
      </c>
      <c r="C15" s="13">
        <v>6.0311935324989935E-2</v>
      </c>
      <c r="D15" s="13">
        <v>0.22097237751296545</v>
      </c>
      <c r="E15" s="5">
        <f>MAX((1-Parameters!$B$4)^Parameters!B$71*E14 + B14*Parameters!B$71 - IF(B14&gt;0,Parameters!$B$5,0)*B14^2/E14*Parameters!B$71, 0.0001)</f>
        <v>0.38627124927837431</v>
      </c>
      <c r="F15" s="5">
        <f>(1-Parameters!$B$4)^Parameters!B$71*F14+C14*Parameters!B$71-Parameters!$B$5*C14^2/F14*Parameters!B$71</f>
        <v>0.42142262734588021</v>
      </c>
      <c r="G15" s="5">
        <f>(1-Parameters!$B$4)^Parameters!B$71*G14+D14*Parameters!B$71-Parameters!$B$5*D14^2/G14*Parameters!B$71</f>
        <v>3.9196794969592244</v>
      </c>
      <c r="H15" s="7">
        <f>MAX(H14 * (1-Parameters!$B$4) ^ Parameters!B$71 + (LN(1+EXP(Parameters!$B$21*(-B14+0.004)))/Parameters!$B$21 -0.004) * Parameters!B$71,0)</f>
        <v>3.0196787845733177E-2</v>
      </c>
      <c r="I15" s="16">
        <f>I14*(1+Parameters!$B$52)^Parameters!B$71</f>
        <v>8.42411143658172</v>
      </c>
      <c r="J15" s="16">
        <f>J14*(1+Parameters!$B$54)^Parameters!B$71</f>
        <v>11.255755158355102</v>
      </c>
      <c r="K15" s="16">
        <f>I15*J15*EXP(-Parameters!$B$43*'6states'!A15)*(Parameters!$B$38/Parameters!$B$39*('6states'!E15+'6states'!H15)/Parameters!$E$25*(EXP(-Parameters!$B$39*Parameters!$E$25*'6states'!H15/('6states'!E15+'6states'!H15))-EXP(-Parameters!$B$39*Parameters!$E$25))  +  Parameters!$B$40*'6states'!E15)</f>
        <v>25.397480973466084</v>
      </c>
      <c r="L15" s="6">
        <f>L14+K15*Parameters!B$71</f>
        <v>2645.3551745636751</v>
      </c>
      <c r="M15" s="5">
        <f>L15*Parameters!$B$46</f>
        <v>1.587213104738205</v>
      </c>
      <c r="N15" s="7">
        <f>EXP(-Parameters!$B$47/2*M15^2)</f>
        <v>0.97499940653110673</v>
      </c>
      <c r="O15" s="6">
        <f>MAX((Parameters!$B$63 + Parameters!$B$31*'6states'!A15 - '6states'!L15 + Parameters!$B$48/Parameters!$B$46)/Parameters!B$63,1)</f>
        <v>5.7968965087264994</v>
      </c>
      <c r="P15" s="5">
        <f>Parameters!B$62*EXP(-Parameters!B$61*A15)</f>
        <v>0.37152200618096992</v>
      </c>
      <c r="Q15" s="5">
        <f>(1-Parameters!B$62)*O15^-Parameters!B$64</f>
        <v>0.41942126872858887</v>
      </c>
      <c r="R15" s="5">
        <f>Parameters!B$62*EXP(-Parameters!B$61*A15)+(1-Parameters!B$62)*O15^-Parameters!B$64</f>
        <v>0.79094327490955885</v>
      </c>
      <c r="S15" s="5">
        <f>1-R15/Parameters!$B$12</f>
        <v>0.60452836254522058</v>
      </c>
      <c r="T15" s="5">
        <f t="shared" si="0"/>
        <v>2.5286263420454418</v>
      </c>
      <c r="U15" s="5">
        <f>(Parameters!$B$19*(E15+Parameters!$B$20)^S15+Parameters!$B$18*F15^S15)^(1/S15)</f>
        <v>0.40384827078504493</v>
      </c>
      <c r="V15" s="5">
        <f>(Parameters!$B$10*G15^Parameters!$B$9+Parameters!$B$11*U15^Parameters!$B$9)^(Parameters!$B$7/Parameters!$B$9)*N15</f>
        <v>1.4250620241865477</v>
      </c>
      <c r="W15" s="5">
        <f>V15 - C15 - D15 - LN(1+EXP(Parameters!$B$21*B15))/Parameters!$B$21 - IF(B15&gt;0, 0,Parameters!$B$6*B15^2/E15)</f>
        <v>1.1160605727461612</v>
      </c>
      <c r="X15" s="5">
        <f>EXP(-Parameters!$B$56*A15)</f>
        <v>0.84696153380107075</v>
      </c>
      <c r="Y15" s="5">
        <f>IF(W15&gt;0,W15^(1-Parameters!$B$53)/(1-Parameters!$B$53)*X15*Parameters!$B$71,-10+W15*1000)</f>
        <v>-2.3286537847115429</v>
      </c>
      <c r="AA15" s="15">
        <f t="shared" si="14"/>
        <v>8.9674290669935069E-3</v>
      </c>
      <c r="AB15" s="15">
        <f t="shared" si="9"/>
        <v>-7.1336041925643134E-3</v>
      </c>
      <c r="AC15" s="15">
        <f t="shared" si="10"/>
        <v>5.9773625478662384E-4</v>
      </c>
      <c r="AD15" s="15">
        <f t="shared" si="6"/>
        <v>1.1151127863745582E-4</v>
      </c>
      <c r="AE15" s="15">
        <f t="shared" si="15"/>
        <v>-1.633160880700784E-2</v>
      </c>
      <c r="AF15" s="15">
        <f t="shared" si="11"/>
        <v>2.6313881761513835E-3</v>
      </c>
      <c r="AG15" s="15">
        <f t="shared" si="12"/>
        <v>7.2189611344603694E-4</v>
      </c>
      <c r="AH15" s="15">
        <f t="shared" si="7"/>
        <v>2.3220871985781027E-4</v>
      </c>
      <c r="AI15" s="15"/>
      <c r="AK15" s="7"/>
      <c r="AL15" s="7"/>
      <c r="AM15" s="16">
        <f t="shared" si="1"/>
        <v>2.8632514442384696</v>
      </c>
      <c r="AN15" s="16">
        <f t="shared" si="2"/>
        <v>36.626137787048769</v>
      </c>
      <c r="AO15" s="16">
        <f t="shared" si="3"/>
        <v>38.292786321703979</v>
      </c>
      <c r="AP15" s="6">
        <f t="shared" si="4"/>
        <v>135.12400457050865</v>
      </c>
      <c r="AQ15" s="15">
        <f>-X15*V15*W15^(-Parameters!B$53)*Parameters!B$47*Parameters!B$46*M15</f>
        <v>-1.9920558840514424E-5</v>
      </c>
      <c r="AR15" s="5">
        <f>1000*EXP(-(Parameters!$B$55)*'6states'!A15)*AP15*Parameters!B$47*Parameters!B$46*M15</f>
        <v>1.7580610674466393</v>
      </c>
      <c r="AS15" s="5">
        <f>SUM(AR15:AR$204)*EXP(Parameters!$B$55*A15)</f>
        <v>222.95417096931902</v>
      </c>
      <c r="AT15" s="10">
        <f t="shared" si="16"/>
        <v>0.2168336591074185</v>
      </c>
      <c r="AU15">
        <f>(1/$S15-1/Parameters!$B$13) * LN(Parameters!$B$18) / LN(O15)</f>
        <v>0.2344279587149386</v>
      </c>
      <c r="AV15">
        <f>(Parameters!$B$18*'6states'!S15^+Parameters!$B$19*Parameters!$B$25^'6states'!S15)^((1-'6states'!S15)/'6states'!S15)*Parameters!$B$18*Parameters!$B$26^('6states'!S15-1)</f>
        <v>0.21246126973692636</v>
      </c>
      <c r="AW15">
        <f t="shared" si="8"/>
        <v>0.28069838100524225</v>
      </c>
      <c r="AX15">
        <f t="shared" si="13"/>
        <v>0.14997802647640568</v>
      </c>
      <c r="AY15">
        <f t="shared" si="13"/>
        <v>0.13693643097540387</v>
      </c>
      <c r="AZ15">
        <f>(1/$S15-1/Parameters!$B$13) * LN(Parameters!$B$18) / A15</f>
        <v>3.7451415539637968E-2</v>
      </c>
    </row>
    <row r="16" spans="1:52" x14ac:dyDescent="0.35">
      <c r="A16">
        <f>A15+Parameters!$B$71</f>
        <v>12</v>
      </c>
      <c r="B16" s="13">
        <v>2.565214507561233E-2</v>
      </c>
      <c r="C16" s="13">
        <v>6.1999033922398909E-2</v>
      </c>
      <c r="D16" s="13">
        <v>0.22351417584634298</v>
      </c>
      <c r="E16" s="5">
        <f>MAX((1-Parameters!$B$4)^Parameters!B$71*E15 + B15*Parameters!B$71 - IF(B15&gt;0,Parameters!$B$5,0)*B15^2/E15*Parameters!B$71, 0.0001)</f>
        <v>0.38770303264547878</v>
      </c>
      <c r="F16" s="5">
        <f>(1-Parameters!$B$4)^Parameters!B$71*F15+C15*Parameters!B$71-Parameters!$B$5*C15^2/F15*Parameters!B$71</f>
        <v>0.44659553163286292</v>
      </c>
      <c r="G16" s="5">
        <f>(1-Parameters!$B$4)^Parameters!B$71*G15+D15*Parameters!B$71-Parameters!$B$5*D15^2/G15*Parameters!B$71</f>
        <v>3.8816466911950829</v>
      </c>
      <c r="H16" s="7">
        <f>MAX(H15 * (1-Parameters!$B$4) ^ Parameters!B$71 + (LN(1+EXP(Parameters!$B$21*(-B15+0.004)))/Parameters!$B$21 -0.004) * Parameters!B$71,0)</f>
        <v>2.4297599491497585E-2</v>
      </c>
      <c r="I16" s="16">
        <f>I15*(1+Parameters!$B$52)^Parameters!B$71</f>
        <v>8.4485413597478054</v>
      </c>
      <c r="J16" s="16">
        <f>J15*(1+Parameters!$B$54)^Parameters!B$71</f>
        <v>11.480870261522204</v>
      </c>
      <c r="K16" s="16">
        <f>I16*J16*EXP(-Parameters!$B$43*'6states'!A16)*(Parameters!$B$38/Parameters!$B$39*('6states'!E16+'6states'!H16)/Parameters!$E$25*(EXP(-Parameters!$B$39*Parameters!$E$25*'6states'!H16/('6states'!E16+'6states'!H16))-EXP(-Parameters!$B$39*Parameters!$E$25))  +  Parameters!$B$40*'6states'!E16)</f>
        <v>25.995004817336071</v>
      </c>
      <c r="L16" s="6">
        <f>L15+K16*Parameters!B$71</f>
        <v>2671.350179381011</v>
      </c>
      <c r="M16" s="5">
        <f>L16*Parameters!$B$46</f>
        <v>1.6028101076286065</v>
      </c>
      <c r="N16" s="7">
        <f>EXP(-Parameters!$B$47/2*M16^2)</f>
        <v>0.97451199384102094</v>
      </c>
      <c r="O16" s="6">
        <f>MAX((Parameters!$B$63 + Parameters!$B$31*'6states'!A16 - '6states'!L16 + Parameters!$B$48/Parameters!$B$46)/Parameters!B$63,1)</f>
        <v>6.3409964123797815</v>
      </c>
      <c r="P16" s="5">
        <f>Parameters!B$62*EXP(-Parameters!B$61*A16)</f>
        <v>0.36162512118992118</v>
      </c>
      <c r="Q16" s="5">
        <f>(1-Parameters!B$62)*O16^-Parameters!B$64</f>
        <v>0.41567533320609518</v>
      </c>
      <c r="R16" s="5">
        <f>Parameters!B$62*EXP(-Parameters!B$61*A16)+(1-Parameters!B$62)*O16^-Parameters!B$64</f>
        <v>0.77730045439601636</v>
      </c>
      <c r="S16" s="5">
        <f>1-R16/Parameters!$B$12</f>
        <v>0.61134977280199188</v>
      </c>
      <c r="T16" s="5">
        <f t="shared" si="0"/>
        <v>2.5730076300470643</v>
      </c>
      <c r="U16" s="5">
        <f>(Parameters!$B$19*(E16+Parameters!$B$20)^S16+Parameters!$B$18*F16^S16)^(1/S16)</f>
        <v>0.41232482500649809</v>
      </c>
      <c r="V16" s="5">
        <f>(Parameters!$B$10*G16^Parameters!$B$9+Parameters!$B$11*U16^Parameters!$B$9)^(Parameters!$B$7/Parameters!$B$9)*N16</f>
        <v>1.4243407489460256</v>
      </c>
      <c r="W16" s="5">
        <f>V16 - C16 - D16 - LN(1+EXP(Parameters!$B$21*B16))/Parameters!$B$21 - IF(B16&gt;0, 0,Parameters!$B$6*B16^2/E16)</f>
        <v>1.1131753066640386</v>
      </c>
      <c r="X16" s="5">
        <f>EXP(-Parameters!$B$56*A16)</f>
        <v>0.83426848831164502</v>
      </c>
      <c r="Y16" s="5">
        <f>IF(W16&gt;0,W16^(1-Parameters!$B$53)/(1-Parameters!$B$53)*X16*Parameters!$B$71,-10+W16*1000)</f>
        <v>-2.2958343431429449</v>
      </c>
      <c r="AA16" s="15">
        <f t="shared" si="14"/>
        <v>-5.5911185764828258E-3</v>
      </c>
      <c r="AB16" s="15">
        <f t="shared" si="9"/>
        <v>-4.2891690916663783E-3</v>
      </c>
      <c r="AC16" s="15">
        <f t="shared" si="10"/>
        <v>1.2071943835776922E-3</v>
      </c>
      <c r="AD16" s="15">
        <f t="shared" si="6"/>
        <v>4.2643547610909531E-5</v>
      </c>
      <c r="AE16" s="15">
        <f t="shared" si="15"/>
        <v>-1.4558547643476333E-2</v>
      </c>
      <c r="AF16" s="15">
        <f t="shared" si="11"/>
        <v>2.8444351008979352E-3</v>
      </c>
      <c r="AG16" s="15">
        <f t="shared" si="12"/>
        <v>6.0945812879106831E-4</v>
      </c>
      <c r="AH16" s="15">
        <f t="shared" si="7"/>
        <v>1.8388408728879624E-4</v>
      </c>
      <c r="AI16" s="15"/>
      <c r="AK16" s="7"/>
      <c r="AL16" s="7"/>
      <c r="AM16" s="16">
        <f t="shared" si="1"/>
        <v>2.3567847150035557</v>
      </c>
      <c r="AN16" s="16">
        <f t="shared" si="2"/>
        <v>37.605878787290479</v>
      </c>
      <c r="AO16" s="16">
        <f t="shared" si="3"/>
        <v>39.994109110732396</v>
      </c>
      <c r="AP16" s="6">
        <f t="shared" si="4"/>
        <v>138.156220216214</v>
      </c>
      <c r="AQ16" s="15">
        <f>-X16*V16*W16^(-Parameters!B$53)*Parameters!B$47*Parameters!B$46*M16</f>
        <v>-1.9874138320921757E-5</v>
      </c>
      <c r="AR16" s="5">
        <f>1000*EXP(-(Parameters!$B$55)*'6states'!A16)*AP16*Parameters!B$47*Parameters!B$46*M16</f>
        <v>1.7525684431705408</v>
      </c>
      <c r="AS16" s="5">
        <f>SUM(AR16:AR$204)*EXP(Parameters!$B$55*A16)</f>
        <v>228.23991021679825</v>
      </c>
      <c r="AT16" s="10">
        <f t="shared" si="16"/>
        <v>0.21846272043723267</v>
      </c>
      <c r="AU16">
        <f>(1/$S16-1/Parameters!$B$13) * LN(Parameters!$B$18) / LN(O16)</f>
        <v>0.23494580529620557</v>
      </c>
      <c r="AV16">
        <f>(Parameters!$B$18*'6states'!S16^+Parameters!$B$19*Parameters!$B$25^'6states'!S16)^((1-'6states'!S16)/'6states'!S16)*Parameters!$B$18*Parameters!$B$26^('6states'!S16-1)</f>
        <v>0.21722959901637084</v>
      </c>
      <c r="AW16">
        <f t="shared" si="8"/>
        <v>0.27908107854455411</v>
      </c>
      <c r="AX16">
        <f t="shared" si="13"/>
        <v>0.15028308192459938</v>
      </c>
      <c r="AY16">
        <f t="shared" si="13"/>
        <v>0.13978428009693822</v>
      </c>
      <c r="AZ16">
        <f>(1/$S16-1/Parameters!$B$13) * LN(Parameters!$B$18) / A16</f>
        <v>3.6162778448791733E-2</v>
      </c>
    </row>
    <row r="17" spans="1:52" x14ac:dyDescent="0.35">
      <c r="A17">
        <f>A16+Parameters!$B$71</f>
        <v>13</v>
      </c>
      <c r="B17" s="13">
        <v>1.6234739146242867E-2</v>
      </c>
      <c r="C17" s="13">
        <v>6.4698148518354676E-2</v>
      </c>
      <c r="D17" s="13">
        <v>0.22825968009507422</v>
      </c>
      <c r="E17" s="5">
        <f>MAX((1-Parameters!$B$4)^Parameters!B$71*E16 + B16*Parameters!B$71 - IF(B16&gt;0,Parameters!$B$5,0)*B16^2/E16*Parameters!B$71, 0.0001)</f>
        <v>0.38727139774717267</v>
      </c>
      <c r="F17" s="5">
        <f>(1-Parameters!$B$4)^Parameters!B$71*F16+C16*Parameters!B$71-Parameters!$B$5*C16^2/F16*Parameters!B$71</f>
        <v>0.4718966339176785</v>
      </c>
      <c r="G17" s="5">
        <f>(1-Parameters!$B$4)^Parameters!B$71*G16+D16*Parameters!B$71-Parameters!$B$5*D16^2/G16*Parameters!B$71</f>
        <v>3.8481348280189729</v>
      </c>
      <c r="H17" s="7">
        <f>MAX(H16 * (1-Parameters!$B$4) ^ Parameters!B$71 + (LN(1+EXP(Parameters!$B$21*(-B16+0.004)))/Parameters!$B$21 -0.004) * Parameters!B$71,0)</f>
        <v>1.876971353497783E-2</v>
      </c>
      <c r="I17" s="16">
        <f>I16*(1+Parameters!$B$52)^Parameters!B$71</f>
        <v>8.4730421296910734</v>
      </c>
      <c r="J17" s="16">
        <f>J16*(1+Parameters!$B$54)^Parameters!B$71</f>
        <v>11.710487666752648</v>
      </c>
      <c r="K17" s="16">
        <f>I17*J17*EXP(-Parameters!$B$43*'6states'!A17)*(Parameters!$B$38/Parameters!$B$39*('6states'!E17+'6states'!H17)/Parameters!$E$25*(EXP(-Parameters!$B$39*Parameters!$E$25*'6states'!H17/('6states'!E17+'6states'!H17))-EXP(-Parameters!$B$39*Parameters!$E$25))  +  Parameters!$B$40*'6states'!E17)</f>
        <v>26.589699239015228</v>
      </c>
      <c r="L17" s="6">
        <f>L16+K17*Parameters!B$71</f>
        <v>2697.9398786200263</v>
      </c>
      <c r="M17" s="5">
        <f>L17*Parameters!$B$46</f>
        <v>1.6187639271720156</v>
      </c>
      <c r="N17" s="7">
        <f>EXP(-Parameters!$B$47/2*M17^2)</f>
        <v>0.97400875531353859</v>
      </c>
      <c r="O17" s="6">
        <f>MAX((Parameters!$B$63 + Parameters!$B$31*'6states'!A17 - '6states'!L17 + Parameters!$B$48/Parameters!$B$46)/Parameters!B$63,1)</f>
        <v>6.8732024275994714</v>
      </c>
      <c r="P17" s="5">
        <f>Parameters!B$62*EXP(-Parameters!B$61*A17)</f>
        <v>0.35199187692781048</v>
      </c>
      <c r="Q17" s="5">
        <f>(1-Parameters!B$62)*O17^-Parameters!B$64</f>
        <v>0.41233869381242366</v>
      </c>
      <c r="R17" s="5">
        <f>Parameters!B$62*EXP(-Parameters!B$61*A17)+(1-Parameters!B$62)*O17^-Parameters!B$64</f>
        <v>0.76433057074023414</v>
      </c>
      <c r="S17" s="5">
        <f>1-R17/Parameters!$B$12</f>
        <v>0.61783471462988293</v>
      </c>
      <c r="T17" s="5">
        <f t="shared" si="0"/>
        <v>2.6166688558107158</v>
      </c>
      <c r="U17" s="5">
        <f>(Parameters!$B$19*(E17+Parameters!$B$20)^S17+Parameters!$B$18*F17^S17)^(1/S17)</f>
        <v>0.41942474305808353</v>
      </c>
      <c r="V17" s="5">
        <f>(Parameters!$B$10*G17^Parameters!$B$9+Parameters!$B$11*U17^Parameters!$B$9)^(Parameters!$B$7/Parameters!$B$9)*N17</f>
        <v>1.4231437143081107</v>
      </c>
      <c r="W17" s="5">
        <f>V17 - C17 - D17 - LN(1+EXP(Parameters!$B$21*B17))/Parameters!$B$21 - IF(B17&gt;0, 0,Parameters!$B$6*B17^2/E17)</f>
        <v>1.1139473677937566</v>
      </c>
      <c r="X17" s="5">
        <f>EXP(-Parameters!$B$56*A17)</f>
        <v>0.82176566799463491</v>
      </c>
      <c r="Y17" s="5">
        <f>IF(W17&gt;0,W17^(1-Parameters!$B$53)/(1-Parameters!$B$53)*X17*Parameters!$B$71,-10+W17*1000)</f>
        <v>-2.2608789678797439</v>
      </c>
      <c r="AA17" s="15">
        <f t="shared" si="14"/>
        <v>-2.4243585022381726E-2</v>
      </c>
      <c r="AB17" s="15">
        <f t="shared" si="9"/>
        <v>-1.7235429440695671E-3</v>
      </c>
      <c r="AC17" s="15">
        <f t="shared" si="10"/>
        <v>1.7346571725440491E-3</v>
      </c>
      <c r="AD17" s="15">
        <f t="shared" si="6"/>
        <v>4.8790779334281575E-4</v>
      </c>
      <c r="AE17" s="15">
        <f t="shared" si="15"/>
        <v>-1.8652466445898908E-2</v>
      </c>
      <c r="AF17" s="15">
        <f t="shared" si="11"/>
        <v>2.5656261475968112E-3</v>
      </c>
      <c r="AG17" s="15">
        <f t="shared" si="12"/>
        <v>5.274627889663569E-4</v>
      </c>
      <c r="AH17" s="15">
        <f t="shared" si="7"/>
        <v>2.9154204555506178E-4</v>
      </c>
      <c r="AI17" s="15"/>
      <c r="AK17" s="7"/>
      <c r="AL17" s="7"/>
      <c r="AM17" s="16">
        <f t="shared" si="1"/>
        <v>1.8623958330507826</v>
      </c>
      <c r="AN17" s="16">
        <f t="shared" si="2"/>
        <v>38.426406246425358</v>
      </c>
      <c r="AO17" s="16">
        <f t="shared" si="3"/>
        <v>41.616772269545059</v>
      </c>
      <c r="AP17" s="6">
        <f t="shared" si="4"/>
        <v>141.20923680697874</v>
      </c>
      <c r="AQ17" s="15">
        <f>-X17*V17*W17^(-Parameters!B$53)*Parameters!B$47*Parameters!B$46*M17</f>
        <v>-1.9736051566892563E-5</v>
      </c>
      <c r="AR17" s="5">
        <f>1000*EXP(-(Parameters!$B$55)*'6states'!A17)*AP17*Parameters!B$47*Parameters!B$46*M17</f>
        <v>1.7467283113567884</v>
      </c>
      <c r="AS17" s="5">
        <f>SUM(AR17:AR$204)*EXP(Parameters!$B$55*A17)</f>
        <v>233.62744238747499</v>
      </c>
      <c r="AT17" s="10">
        <f t="shared" si="16"/>
        <v>0.21726025604518218</v>
      </c>
      <c r="AU17">
        <f>(1/$S17-1/Parameters!$B$13) * LN(Parameters!$B$18) / LN(O17)</f>
        <v>0.23573316938243796</v>
      </c>
      <c r="AV17">
        <f>(Parameters!$B$18*'6states'!S17^+Parameters!$B$19*Parameters!$B$25^'6states'!S17)^((1-'6states'!S17)/'6states'!S17)*Parameters!$B$18*Parameters!$B$26^('6states'!S17-1)</f>
        <v>0.22166367592721811</v>
      </c>
      <c r="AW17">
        <f t="shared" si="8"/>
        <v>0.27789520910990823</v>
      </c>
      <c r="AX17">
        <f t="shared" si="13"/>
        <v>0.15074669622462356</v>
      </c>
      <c r="AY17">
        <f t="shared" si="13"/>
        <v>0.14242406677917363</v>
      </c>
      <c r="AZ17">
        <f>(1/$S17-1/Parameters!$B$13) * LN(Parameters!$B$18) / A17</f>
        <v>3.4954335639245653E-2</v>
      </c>
    </row>
    <row r="18" spans="1:52" x14ac:dyDescent="0.35">
      <c r="A18">
        <f>A17+Parameters!$B$71</f>
        <v>14</v>
      </c>
      <c r="B18" s="13">
        <v>-3.8015281062989066E-4</v>
      </c>
      <c r="C18" s="13">
        <v>6.8013288215795192E-2</v>
      </c>
      <c r="D18" s="13">
        <v>0.23316509706506461</v>
      </c>
      <c r="E18" s="5">
        <f>MAX((1-Parameters!$B$4)^Parameters!B$71*E17 + B17*Parameters!B$71 - IF(B17&gt;0,Parameters!$B$5,0)*B17^2/E17*Parameters!B$71, 0.0001)</f>
        <v>0.3784661922051995</v>
      </c>
      <c r="F18" s="5">
        <f>(1-Parameters!$B$4)^Parameters!B$71*F17+C17*Parameters!B$71-Parameters!$B$5*C17^2/F17*Parameters!B$71</f>
        <v>0.49804221444495672</v>
      </c>
      <c r="G18" s="5">
        <f>(1-Parameters!$B$4)^Parameters!B$71*G17+D17*Parameters!B$71-Parameters!$B$5*D17^2/G17*Parameters!B$71</f>
        <v>3.820807155906182</v>
      </c>
      <c r="H18" s="7">
        <f>MAX(H17 * (1-Parameters!$B$4) ^ Parameters!B$71 + (LN(1+EXP(Parameters!$B$21*(-B17+0.004)))/Parameters!$B$21 -0.004) * Parameters!B$71,0)</f>
        <v>1.3607759182660842E-2</v>
      </c>
      <c r="I18" s="16">
        <f>I17*(1+Parameters!$B$52)^Parameters!B$71</f>
        <v>8.4976139518671765</v>
      </c>
      <c r="J18" s="16">
        <f>J17*(1+Parameters!$B$54)^Parameters!B$71</f>
        <v>11.944697420087701</v>
      </c>
      <c r="K18" s="16">
        <f>I18*J18*EXP(-Parameters!$B$43*'6states'!A18)*(Parameters!$B$38/Parameters!$B$39*('6states'!E18+'6states'!H18)/Parameters!$E$25*(EXP(-Parameters!$B$39*Parameters!$E$25*'6states'!H18/('6states'!E18+'6states'!H18))-EXP(-Parameters!$B$39*Parameters!$E$25))  +  Parameters!$B$40*'6states'!E18)</f>
        <v>26.748414705228171</v>
      </c>
      <c r="L18" s="6">
        <f>L17+K18*Parameters!B$71</f>
        <v>2724.6882933252546</v>
      </c>
      <c r="M18" s="5">
        <f>L18*Parameters!$B$46</f>
        <v>1.6348129759951526</v>
      </c>
      <c r="N18" s="7">
        <f>EXP(-Parameters!$B$47/2*M18^2)</f>
        <v>0.97349775008029626</v>
      </c>
      <c r="O18" s="6">
        <f>MAX((Parameters!$B$63 + Parameters!$B$31*'6states'!A18 - '6states'!L18 + Parameters!$B$48/Parameters!$B$46)/Parameters!B$63,1)</f>
        <v>7.402234133494912</v>
      </c>
      <c r="P18" s="5">
        <f>Parameters!B$62*EXP(-Parameters!B$61*A18)</f>
        <v>0.34261525033293516</v>
      </c>
      <c r="Q18" s="5">
        <f>(1-Parameters!B$62)*O18^-Parameters!B$64</f>
        <v>0.40929243967104573</v>
      </c>
      <c r="R18" s="5">
        <f>Parameters!B$62*EXP(-Parameters!B$61*A18)+(1-Parameters!B$62)*O18^-Parameters!B$64</f>
        <v>0.75190769000398094</v>
      </c>
      <c r="S18" s="5">
        <f>1-R18/Parameters!$B$12</f>
        <v>0.62404615499800953</v>
      </c>
      <c r="T18" s="5">
        <f t="shared" si="0"/>
        <v>2.6599009779902785</v>
      </c>
      <c r="U18" s="5">
        <f>(Parameters!$B$19*(E18+Parameters!$B$20)^S18+Parameters!$B$18*F18^S18)^(1/S18)</f>
        <v>0.42067357563900798</v>
      </c>
      <c r="V18" s="5">
        <f>(Parameters!$B$10*G18^Parameters!$B$9+Parameters!$B$11*U18^Parameters!$B$9)^(Parameters!$B$7/Parameters!$B$9)*N18</f>
        <v>1.4205643682364548</v>
      </c>
      <c r="W18" s="5">
        <f>V18 - C18 - D18 - LN(1+EXP(Parameters!$B$21*B18))/Parameters!$B$21 - IF(B18&gt;0, 0,Parameters!$B$6*B18^2/E18)</f>
        <v>1.117834063317739</v>
      </c>
      <c r="X18" s="5">
        <f>EXP(-Parameters!$B$56*A18)</f>
        <v>0.80945022202781236</v>
      </c>
      <c r="Y18" s="5">
        <f>IF(W18&gt;0,W18^(1-Parameters!$B$53)/(1-Parameters!$B$53)*X18*Parameters!$B$71,-10+W18*1000)</f>
        <v>-2.2242829525798795</v>
      </c>
      <c r="AA18" s="15">
        <f t="shared" si="14"/>
        <v>-4.29252883098016E-2</v>
      </c>
      <c r="AB18" s="15">
        <f t="shared" si="9"/>
        <v>-5.4108153774953816E-4</v>
      </c>
      <c r="AC18" s="15">
        <f t="shared" si="10"/>
        <v>1.7081237765616056E-3</v>
      </c>
      <c r="AD18" s="15">
        <f t="shared" si="6"/>
        <v>1.4940757992213723E-3</v>
      </c>
      <c r="AE18" s="15">
        <f t="shared" si="15"/>
        <v>-1.8681703287419874E-2</v>
      </c>
      <c r="AF18" s="15">
        <f t="shared" si="11"/>
        <v>1.1824614063200289E-3</v>
      </c>
      <c r="AG18" s="15">
        <f t="shared" si="12"/>
        <v>-2.6533395982443475E-5</v>
      </c>
      <c r="AH18" s="15">
        <f t="shared" si="7"/>
        <v>2.8363537001481519E-4</v>
      </c>
      <c r="AI18" s="15"/>
      <c r="AK18" s="7"/>
      <c r="AL18" s="7"/>
      <c r="AM18" s="16">
        <f t="shared" si="1"/>
        <v>1.3812069814055634</v>
      </c>
      <c r="AN18" s="16">
        <f t="shared" si="2"/>
        <v>38.414858749549502</v>
      </c>
      <c r="AO18" s="16">
        <f t="shared" si="3"/>
        <v>42.698968416916379</v>
      </c>
      <c r="AP18" s="6">
        <f t="shared" si="4"/>
        <v>144.18931115743851</v>
      </c>
      <c r="AQ18" s="15">
        <f>-X18*V18*W18^(-Parameters!B$53)*Parameters!B$47*Parameters!B$46*M18</f>
        <v>-1.9505497836412276E-5</v>
      </c>
      <c r="AR18" s="5">
        <f>1000*EXP(-(Parameters!$B$55)*'6states'!A18)*AP18*Parameters!B$47*Parameters!B$46*M18</f>
        <v>1.7391464020727148</v>
      </c>
      <c r="AS18" s="5">
        <f>SUM(AR18:AR$204)*EXP(Parameters!$B$55*A18)</f>
        <v>239.11817253297681</v>
      </c>
      <c r="AT18" s="10">
        <f t="shared" si="16"/>
        <v>0.21174558449868261</v>
      </c>
      <c r="AU18">
        <f>(1/$S18-1/Parameters!$B$13) * LN(Parameters!$B$18) / LN(O18)</f>
        <v>0.23658832076438494</v>
      </c>
      <c r="AV18">
        <f>(Parameters!$B$18*'6states'!S18^+Parameters!$B$19*Parameters!$B$25^'6states'!S18)^((1-'6states'!S18)/'6states'!S18)*Parameters!$B$18*Parameters!$B$26^('6states'!S18-1)</f>
        <v>0.22581752047196535</v>
      </c>
      <c r="AW18">
        <f t="shared" si="8"/>
        <v>0.27687590420632596</v>
      </c>
      <c r="AX18">
        <f t="shared" si="13"/>
        <v>0.15124993836548239</v>
      </c>
      <c r="AY18">
        <f t="shared" si="13"/>
        <v>0.14488967017222854</v>
      </c>
      <c r="AZ18">
        <f>(1/$S18-1/Parameters!$B$13) * LN(Parameters!$B$18) / A18</f>
        <v>3.3828443562620797E-2</v>
      </c>
    </row>
    <row r="19" spans="1:52" x14ac:dyDescent="0.35">
      <c r="A19">
        <f>A18+Parameters!$B$71</f>
        <v>15</v>
      </c>
      <c r="B19" s="13">
        <v>-2.816962864502762E-3</v>
      </c>
      <c r="C19" s="13">
        <v>7.1161641908151621E-2</v>
      </c>
      <c r="D19" s="13">
        <v>0.23022042359021697</v>
      </c>
      <c r="E19" s="5">
        <f>MAX((1-Parameters!$B$4)^Parameters!B$71*E18 + B18*Parameters!B$71 - IF(B18&gt;0,Parameters!$B$5,0)*B18^2/E18*Parameters!B$71, 0.0001)</f>
        <v>0.35428051590486259</v>
      </c>
      <c r="F19" s="5">
        <f>(1-Parameters!$B$4)^Parameters!B$71*F18+C18*Parameters!B$71-Parameters!$B$5*C18^2/F18*Parameters!B$71</f>
        <v>0.52544066486835161</v>
      </c>
      <c r="G19" s="5">
        <f>(1-Parameters!$B$4)^Parameters!B$71*G18+D18*Parameters!B$71-Parameters!$B$5*D18^2/G18*Parameters!B$71</f>
        <v>3.7994145620448831</v>
      </c>
      <c r="H19" s="7">
        <f>MAX(H18 * (1-Parameters!$B$4) ^ Parameters!B$71 + (LN(1+EXP(Parameters!$B$21*(-B18+0.004)))/Parameters!$B$21 -0.004) * Parameters!B$71,0)</f>
        <v>1.3531782127079933E-2</v>
      </c>
      <c r="I19" s="16">
        <f>I18*(1+Parameters!$B$52)^Parameters!B$71</f>
        <v>8.522257032327591</v>
      </c>
      <c r="J19" s="16">
        <f>J18*(1+Parameters!$B$54)^Parameters!B$71</f>
        <v>12.183591368489456</v>
      </c>
      <c r="K19" s="16">
        <f>I19*J19*EXP(-Parameters!$B$43*'6states'!A19)*(Parameters!$B$38/Parameters!$B$39*('6states'!E19+'6states'!H19)/Parameters!$E$25*(EXP(-Parameters!$B$39*Parameters!$E$25*'6states'!H19/('6states'!E19+'6states'!H19))-EXP(-Parameters!$B$39*Parameters!$E$25))  +  Parameters!$B$40*'6states'!E19)</f>
        <v>25.26994748986111</v>
      </c>
      <c r="L19" s="6">
        <f>L18+K19*Parameters!B$71</f>
        <v>2749.9582408151155</v>
      </c>
      <c r="M19" s="5">
        <f>L19*Parameters!$B$46</f>
        <v>1.6499749444890692</v>
      </c>
      <c r="N19" s="7">
        <f>EXP(-Parameters!$B$47/2*M19^2)</f>
        <v>0.97301060843926557</v>
      </c>
      <c r="O19" s="6">
        <f>MAX((Parameters!$B$63 + Parameters!$B$31*'6states'!A19 - '6states'!L19 + Parameters!$B$48/Parameters!$B$46)/Parameters!B$63,1)</f>
        <v>7.9608351836976912</v>
      </c>
      <c r="P19" s="5">
        <f>Parameters!B$62*EXP(-Parameters!B$61*A19)</f>
        <v>0.33348840542923719</v>
      </c>
      <c r="Q19" s="5">
        <f>(1-Parameters!B$62)*O19^-Parameters!B$64</f>
        <v>0.40632555859170105</v>
      </c>
      <c r="R19" s="5">
        <f>Parameters!B$62*EXP(-Parameters!B$61*A19)+(1-Parameters!B$62)*O19^-Parameters!B$64</f>
        <v>0.73981396402093824</v>
      </c>
      <c r="S19" s="5">
        <f>1-R19/Parameters!$B$12</f>
        <v>0.63009301798953088</v>
      </c>
      <c r="T19" s="5">
        <f t="shared" si="0"/>
        <v>2.7033823329447131</v>
      </c>
      <c r="U19" s="5">
        <f>(Parameters!$B$19*(E19+Parameters!$B$20)^S19+Parameters!$B$18*F19^S19)^(1/S19)</f>
        <v>0.41092963011835548</v>
      </c>
      <c r="V19" s="5">
        <f>(Parameters!$B$10*G19^Parameters!$B$9+Parameters!$B$11*U19^Parameters!$B$9)^(Parameters!$B$7/Parameters!$B$9)*N19</f>
        <v>1.4153189965075583</v>
      </c>
      <c r="W19" s="5">
        <f>V19 - C19 - D19 - LN(1+EXP(Parameters!$B$21*B19))/Parameters!$B$21 - IF(B19&gt;0, 0,Parameters!$B$6*B19^2/E19)</f>
        <v>1.1131231572341511</v>
      </c>
      <c r="X19" s="5">
        <f>EXP(-Parameters!$B$56*A19)</f>
        <v>0.79731934231298707</v>
      </c>
      <c r="Y19" s="5">
        <f>IF(W19&gt;0,W19^(1-Parameters!$B$53)/(1-Parameters!$B$53)*X19*Parameters!$B$71,-10+W19*1000)</f>
        <v>-2.1941894837672686</v>
      </c>
      <c r="AA19" s="15">
        <f t="shared" si="14"/>
        <v>-6.9467650692588076E-3</v>
      </c>
      <c r="AB19" s="15">
        <f t="shared" si="9"/>
        <v>-1.1289839798448442E-3</v>
      </c>
      <c r="AC19" s="15">
        <f t="shared" si="10"/>
        <v>-4.3143186981534076E-4</v>
      </c>
      <c r="AD19" s="15">
        <f t="shared" si="6"/>
        <v>3.9641348871931685E-5</v>
      </c>
      <c r="AE19" s="15">
        <f t="shared" si="15"/>
        <v>3.5978523240542792E-2</v>
      </c>
      <c r="AF19" s="15">
        <f t="shared" si="11"/>
        <v>-5.8790244209530607E-4</v>
      </c>
      <c r="AG19" s="15">
        <f t="shared" si="12"/>
        <v>-2.1395556463769463E-3</v>
      </c>
      <c r="AH19" s="15">
        <f t="shared" si="7"/>
        <v>1.0360187835900946E-3</v>
      </c>
      <c r="AI19" s="15"/>
      <c r="AK19" s="7"/>
      <c r="AL19" s="7"/>
      <c r="AM19" s="16">
        <f t="shared" si="1"/>
        <v>1.4050279046539955</v>
      </c>
      <c r="AN19" s="16">
        <f t="shared" si="2"/>
        <v>36.785547258065549</v>
      </c>
      <c r="AO19" s="16">
        <f t="shared" si="3"/>
        <v>42.667520932812003</v>
      </c>
      <c r="AP19" s="6">
        <f t="shared" si="4"/>
        <v>146.95497351383449</v>
      </c>
      <c r="AQ19" s="15">
        <f>-X19*V19*W19^(-Parameters!B$53)*Parameters!B$47*Parameters!B$46*M19</f>
        <v>-1.9430230325410225E-5</v>
      </c>
      <c r="AR19" s="5">
        <f>1000*EXP(-(Parameters!$B$55)*'6states'!A19)*AP19*Parameters!B$47*Parameters!B$46*M19</f>
        <v>1.7272408521640137</v>
      </c>
      <c r="AS19" s="5">
        <f>SUM(AR19:AR$204)*EXP(Parameters!$B$55*A19)</f>
        <v>244.71588832848832</v>
      </c>
      <c r="AT19" s="10">
        <f t="shared" si="16"/>
        <v>0.21095251556052394</v>
      </c>
      <c r="AU19">
        <f>(1/$S19-1/Parameters!$B$13) * LN(Parameters!$B$18) / LN(O19)</f>
        <v>0.23712221256044705</v>
      </c>
      <c r="AV19">
        <f>(Parameters!$B$18*'6states'!S19^+Parameters!$B$19*Parameters!$B$25^'6states'!S19)^((1-'6states'!S19)/'6states'!S19)*Parameters!$B$18*Parameters!$B$26^('6states'!S19-1)</f>
        <v>0.22977148735959835</v>
      </c>
      <c r="AW19">
        <f t="shared" si="8"/>
        <v>0.27553331346053073</v>
      </c>
      <c r="AX19">
        <f t="shared" si="13"/>
        <v>0.15156397345011574</v>
      </c>
      <c r="AY19">
        <f t="shared" si="13"/>
        <v>0.14723004622921243</v>
      </c>
      <c r="AZ19">
        <f>(1/$S19-1/Parameters!$B$13) * LN(Parameters!$B$18) / A19</f>
        <v>3.2794538160900895E-2</v>
      </c>
    </row>
    <row r="20" spans="1:52" x14ac:dyDescent="0.35">
      <c r="A20">
        <f>A19+Parameters!$B$71</f>
        <v>16</v>
      </c>
      <c r="B20" s="13">
        <v>1.7296602921014389E-5</v>
      </c>
      <c r="C20" s="13">
        <v>7.394461890993298E-2</v>
      </c>
      <c r="D20" s="13">
        <v>0.2254562995988002</v>
      </c>
      <c r="E20" s="5">
        <f>MAX((1-Parameters!$B$4)^Parameters!B$71*E19 + B19*Parameters!B$71 - IF(B19&gt;0,Parameters!$B$5,0)*B19^2/E19*Parameters!B$71, 0.0001)</f>
        <v>0.32917930858994399</v>
      </c>
      <c r="F20" s="5">
        <f>(1-Parameters!$B$4)^Parameters!B$71*F19+C19*Parameters!B$71-Parameters!$B$5*C19^2/F19*Parameters!B$71</f>
        <v>0.55391450355863914</v>
      </c>
      <c r="G20" s="5">
        <f>(1-Parameters!$B$4)^Parameters!B$71*G19+D19*Parameters!B$71-Parameters!$B$5*D19^2/G19*Parameters!B$71</f>
        <v>3.7767019122515602</v>
      </c>
      <c r="H20" s="7">
        <f>MAX(H19 * (1-Parameters!$B$4) ^ Parameters!B$71 + (LN(1+EXP(Parameters!$B$21*(-B19+0.004)))/Parameters!$B$21 -0.004) * Parameters!B$71,0)</f>
        <v>1.5656040431406434E-2</v>
      </c>
      <c r="I20" s="16">
        <f>I19*(1+Parameters!$B$52)^Parameters!B$71</f>
        <v>8.5469715777213402</v>
      </c>
      <c r="J20" s="16">
        <f>J19*(1+Parameters!$B$54)^Parameters!B$71</f>
        <v>12.427263195859245</v>
      </c>
      <c r="K20" s="16">
        <f>I20*J20*EXP(-Parameters!$B$43*'6states'!A20)*(Parameters!$B$38/Parameters!$B$39*('6states'!E20+'6states'!H20)/Parameters!$E$25*(EXP(-Parameters!$B$39*Parameters!$E$25*'6states'!H20/('6states'!E20+'6states'!H20))-EXP(-Parameters!$B$39*Parameters!$E$25))  +  Parameters!$B$40*'6states'!E20)</f>
        <v>23.500600111364083</v>
      </c>
      <c r="L20" s="6">
        <f>L19+K20*Parameters!B$71</f>
        <v>2773.4588409264798</v>
      </c>
      <c r="M20" s="5">
        <f>L20*Parameters!$B$46</f>
        <v>1.6640753045558878</v>
      </c>
      <c r="N20" s="7">
        <f>EXP(-Parameters!$B$47/2*M20^2)</f>
        <v>0.97255376125312099</v>
      </c>
      <c r="O20" s="6">
        <f>MAX((Parameters!$B$63 + Parameters!$B$31*'6states'!A20 - '6states'!L20 + Parameters!$B$48/Parameters!$B$46)/Parameters!B$63,1)</f>
        <v>8.5548231814704057</v>
      </c>
      <c r="P20" s="5">
        <f>Parameters!B$62*EXP(-Parameters!B$61*A20)</f>
        <v>0.32460468834257372</v>
      </c>
      <c r="Q20" s="5">
        <f>(1-Parameters!B$62)*O20^-Parameters!B$64</f>
        <v>0.40341208162095726</v>
      </c>
      <c r="R20" s="5">
        <f>Parameters!B$62*EXP(-Parameters!B$61*A20)+(1-Parameters!B$62)*O20^-Parameters!B$64</f>
        <v>0.72801676996353093</v>
      </c>
      <c r="S20" s="5">
        <f>1-R20/Parameters!$B$12</f>
        <v>0.63599161501823454</v>
      </c>
      <c r="T20" s="5">
        <f t="shared" si="0"/>
        <v>2.7471894639187879</v>
      </c>
      <c r="U20" s="5">
        <f>(Parameters!$B$19*(E20+Parameters!$B$20)^S20+Parameters!$B$18*F20^S20)^(1/S20)</f>
        <v>0.40035607100124559</v>
      </c>
      <c r="V20" s="5">
        <f>(Parameters!$B$10*G20^Parameters!$B$9+Parameters!$B$11*U20^Parameters!$B$9)^(Parameters!$B$7/Parameters!$B$9)*N20</f>
        <v>1.4095728617742989</v>
      </c>
      <c r="W20" s="5">
        <f>V20 - C20 - D20 - LN(1+EXP(Parameters!$B$21*B20))/Parameters!$B$21 - IF(B20&gt;0, 0,Parameters!$B$6*B20^2/E20)</f>
        <v>1.1084304120541113</v>
      </c>
      <c r="X20" s="5">
        <f>EXP(-Parameters!$B$56*A20)</f>
        <v>0.7853702628357192</v>
      </c>
      <c r="Y20" s="5">
        <f>IF(W20&gt;0,W20^(1-Parameters!$B$53)/(1-Parameters!$B$53)*X20*Parameters!$B$71,-10+W20*1000)</f>
        <v>-2.1645043216434097</v>
      </c>
      <c r="AA20" s="15">
        <f t="shared" si="14"/>
        <v>8.0037661503226405E-3</v>
      </c>
      <c r="AB20" s="15">
        <f t="shared" si="9"/>
        <v>-1.937664892233959E-3</v>
      </c>
      <c r="AC20" s="15">
        <f t="shared" si="10"/>
        <v>-8.9704762359074652E-4</v>
      </c>
      <c r="AD20" s="15">
        <f t="shared" si="6"/>
        <v>5.389172438136557E-5</v>
      </c>
      <c r="AE20" s="15">
        <f t="shared" si="15"/>
        <v>1.4950531219581446E-2</v>
      </c>
      <c r="AF20" s="15">
        <f t="shared" si="11"/>
        <v>-8.0868091238911477E-4</v>
      </c>
      <c r="AG20" s="15">
        <f t="shared" si="12"/>
        <v>-4.6561575377540576E-4</v>
      </c>
      <c r="AH20" s="15">
        <f t="shared" si="7"/>
        <v>1.7622856303950928E-4</v>
      </c>
      <c r="AI20" s="15"/>
      <c r="AK20" s="7"/>
      <c r="AL20" s="7"/>
      <c r="AM20" s="16">
        <f t="shared" si="1"/>
        <v>1.6629136195511793</v>
      </c>
      <c r="AN20" s="16">
        <f t="shared" si="2"/>
        <v>34.963933436871173</v>
      </c>
      <c r="AO20" s="16">
        <f t="shared" si="3"/>
        <v>42.524006376634212</v>
      </c>
      <c r="AP20" s="6">
        <f t="shared" si="4"/>
        <v>149.71843742125827</v>
      </c>
      <c r="AQ20" s="15">
        <f>-X20*V20*W20^(-Parameters!B$53)*Parameters!B$47*Parameters!B$46*M20</f>
        <v>-1.9334185528617786E-5</v>
      </c>
      <c r="AR20" s="5">
        <f>1000*EXP(-(Parameters!$B$55)*'6states'!A20)*AP20*Parameters!B$47*Parameters!B$46*M20</f>
        <v>1.7135460814487613</v>
      </c>
      <c r="AS20" s="5">
        <f>SUM(AR20:AR$204)*EXP(Parameters!$B$55*A20)</f>
        <v>250.42926646955542</v>
      </c>
      <c r="AT20" s="10">
        <f t="shared" si="16"/>
        <v>0.21241769278585695</v>
      </c>
      <c r="AU20">
        <f>(1/$S20-1/Parameters!$B$13) * LN(Parameters!$B$18) / LN(O20)</f>
        <v>0.23734182020050806</v>
      </c>
      <c r="AV20">
        <f>(Parameters!$B$18*'6states'!S20^+Parameters!$B$19*Parameters!$B$25^'6states'!S20)^((1-'6states'!S20)/'6states'!S20)*Parameters!$B$18*Parameters!$B$26^('6states'!S20-1)</f>
        <v>0.23354131353236798</v>
      </c>
      <c r="AW20">
        <f t="shared" si="8"/>
        <v>0.27387757711890182</v>
      </c>
      <c r="AX20">
        <f t="shared" si="13"/>
        <v>0.15169311290640253</v>
      </c>
      <c r="AY20">
        <f t="shared" si="13"/>
        <v>0.14945546314393532</v>
      </c>
      <c r="AZ20">
        <f>(1/$S20-1/Parameters!$B$13) * LN(Parameters!$B$18) / A20</f>
        <v>3.1840817937614833E-2</v>
      </c>
    </row>
    <row r="21" spans="1:52" x14ac:dyDescent="0.35">
      <c r="A21">
        <f>A20+Parameters!$B$71</f>
        <v>17</v>
      </c>
      <c r="B21" s="13">
        <v>-3.9375361194989744E-4</v>
      </c>
      <c r="C21" s="13">
        <v>7.645275680404548E-2</v>
      </c>
      <c r="D21" s="13">
        <v>0.2225277738600297</v>
      </c>
      <c r="E21" s="5">
        <f>MAX((1-Parameters!$B$4)^Parameters!B$71*E20 + B20*Parameters!B$71 - IF(B20&gt;0,Parameters!$B$5,0)*B20^2/E20*Parameters!B$71, 0.0001)</f>
        <v>0.30849122577371402</v>
      </c>
      <c r="F21" s="5">
        <f>(1-Parameters!$B$4)^Parameters!B$71*F20+C20*Parameters!B$71-Parameters!$B$5*C20^2/F20*Parameters!B$71</f>
        <v>0.58314668969093375</v>
      </c>
      <c r="G21" s="5">
        <f>(1-Parameters!$B$4)^Parameters!B$71*G20+D20*Parameters!B$71-Parameters!$B$5*D20^2/G20*Parameters!B$71</f>
        <v>3.7511446848726644</v>
      </c>
      <c r="H21" s="7">
        <f>MAX(H20 * (1-Parameters!$B$4) ^ Parameters!B$71 + (LN(1+EXP(Parameters!$B$21*(-B20+0.004)))/Parameters!$B$21 -0.004) * Parameters!B$71,0)</f>
        <v>1.51166446243691E-2</v>
      </c>
      <c r="I21" s="16">
        <f>I20*(1+Parameters!$B$52)^Parameters!B$71</f>
        <v>8.5717577952967314</v>
      </c>
      <c r="J21" s="16">
        <f>J20*(1+Parameters!$B$54)^Parameters!B$71</f>
        <v>12.67580845977643</v>
      </c>
      <c r="K21" s="16">
        <f>I21*J21*EXP(-Parameters!$B$43*'6states'!A21)*(Parameters!$B$38/Parameters!$B$39*('6states'!E21+'6states'!H21)/Parameters!$E$25*(EXP(-Parameters!$B$39*Parameters!$E$25*'6states'!H21/('6states'!E21+'6states'!H21))-EXP(-Parameters!$B$39*Parameters!$E$25))  +  Parameters!$B$40*'6states'!E21)</f>
        <v>22.272457887099844</v>
      </c>
      <c r="L21" s="6">
        <f>L20+K21*Parameters!B$71</f>
        <v>2795.7312988135795</v>
      </c>
      <c r="M21" s="5">
        <f>L21*Parameters!$B$46</f>
        <v>1.6774387792881476</v>
      </c>
      <c r="N21" s="7">
        <f>EXP(-Parameters!$B$47/2*M21^2)</f>
        <v>0.97211740126057311</v>
      </c>
      <c r="O21" s="6">
        <f>MAX((Parameters!$B$63 + Parameters!$B$31*'6states'!A21 - '6states'!L21 + Parameters!$B$48/Parameters!$B$46)/Parameters!B$63,1)</f>
        <v>9.1733740237284103</v>
      </c>
      <c r="P21" s="5">
        <f>Parameters!B$62*EXP(-Parameters!B$61*A21)</f>
        <v>0.31595762244974795</v>
      </c>
      <c r="Q21" s="5">
        <f>(1-Parameters!B$62)*O21^-Parameters!B$64</f>
        <v>0.40060567220731774</v>
      </c>
      <c r="R21" s="5">
        <f>Parameters!B$62*EXP(-Parameters!B$61*A21)+(1-Parameters!B$62)*O21^-Parameters!B$64</f>
        <v>0.7165632946570657</v>
      </c>
      <c r="S21" s="5">
        <f>1-R21/Parameters!$B$12</f>
        <v>0.64171835267146715</v>
      </c>
      <c r="T21" s="5">
        <f t="shared" si="0"/>
        <v>2.7911002627578965</v>
      </c>
      <c r="U21" s="5">
        <f>(Parameters!$B$19*(E21+Parameters!$B$20)^S21+Parameters!$B$18*F21^S21)^(1/S21)</f>
        <v>0.39282197373937672</v>
      </c>
      <c r="V21" s="5">
        <f>(Parameters!$B$10*G21^Parameters!$B$9+Parameters!$B$11*U21^Parameters!$B$9)^(Parameters!$B$7/Parameters!$B$9)*N21</f>
        <v>1.4044645635802815</v>
      </c>
      <c r="W21" s="5">
        <f>V21 - C21 - D21 - LN(1+EXP(Parameters!$B$21*B21))/Parameters!$B$21 - IF(B21&gt;0, 0,Parameters!$B$6*B21^2/E21)</f>
        <v>1.103937784768606</v>
      </c>
      <c r="X21" s="5">
        <f>EXP(-Parameters!$B$56*A21)</f>
        <v>0.7736002590346287</v>
      </c>
      <c r="Y21" s="5">
        <f>IF(W21&gt;0,W21^(1-Parameters!$B$53)/(1-Parameters!$B$53)*X21*Parameters!$B$71,-10+W21*1000)</f>
        <v>-2.1350986833819032</v>
      </c>
      <c r="AA21" s="15">
        <f t="shared" si="14"/>
        <v>-1.328929749346052E-3</v>
      </c>
      <c r="AB21" s="15">
        <f t="shared" si="9"/>
        <v>-2.3908261551182086E-3</v>
      </c>
      <c r="AC21" s="15">
        <f t="shared" si="10"/>
        <v>-3.73978087102593E-4</v>
      </c>
      <c r="AD21" s="15">
        <f t="shared" si="6"/>
        <v>5.8963530093768239E-6</v>
      </c>
      <c r="AE21" s="15">
        <f t="shared" si="15"/>
        <v>-9.3326958996686922E-3</v>
      </c>
      <c r="AF21" s="15">
        <f t="shared" si="11"/>
        <v>-4.5316126288424963E-4</v>
      </c>
      <c r="AG21" s="15">
        <f t="shared" si="12"/>
        <v>5.2306953648815352E-4</v>
      </c>
      <c r="AH21" s="15">
        <f t="shared" si="7"/>
        <v>6.7750494708354475E-5</v>
      </c>
      <c r="AI21" s="15"/>
      <c r="AK21" s="7"/>
      <c r="AL21" s="7"/>
      <c r="AM21" s="16">
        <f t="shared" si="1"/>
        <v>1.6424832999993593</v>
      </c>
      <c r="AN21" s="16">
        <f t="shared" si="2"/>
        <v>33.518793298403963</v>
      </c>
      <c r="AO21" s="16">
        <f t="shared" si="3"/>
        <v>42.681663012676729</v>
      </c>
      <c r="AP21" s="6">
        <f t="shared" si="4"/>
        <v>152.60063648005328</v>
      </c>
      <c r="AQ21" s="15">
        <f>-X21*V21*W21^(-Parameters!B$53)*Parameters!B$47*Parameters!B$46*M21</f>
        <v>-1.9232961902865558E-5</v>
      </c>
      <c r="AR21" s="5">
        <f>1000*EXP(-(Parameters!$B$55)*'6states'!A21)*AP21*Parameters!B$47*Parameters!B$46*M21</f>
        <v>1.6998351844738926</v>
      </c>
      <c r="AS21" s="5">
        <f>SUM(AR21:AR$204)*EXP(Parameters!$B$55*A21)</f>
        <v>256.26342228774968</v>
      </c>
      <c r="AT21" s="10">
        <f t="shared" si="16"/>
        <v>0.21259829887837364</v>
      </c>
      <c r="AU21">
        <f>(1/$S21-1/Parameters!$B$13) * LN(Parameters!$B$18) / LN(O21)</f>
        <v>0.23740810120142811</v>
      </c>
      <c r="AV21">
        <f>(Parameters!$B$18*'6states'!S21^+Parameters!$B$19*Parameters!$B$25^'6states'!S21)^((1-'6states'!S21)/'6states'!S21)*Parameters!$B$18*Parameters!$B$26^('6states'!S21-1)</f>
        <v>0.23711743392564411</v>
      </c>
      <c r="AW21">
        <f t="shared" si="8"/>
        <v>0.27210758394581491</v>
      </c>
      <c r="AX21">
        <f t="shared" si="13"/>
        <v>0.15173208534090488</v>
      </c>
      <c r="AY21">
        <f t="shared" si="13"/>
        <v>0.15156116317315194</v>
      </c>
      <c r="AZ21">
        <f>(1/$S21-1/Parameters!$B$13) * LN(Parameters!$B$18) / A21</f>
        <v>3.0951105867379414E-2</v>
      </c>
    </row>
    <row r="22" spans="1:52" x14ac:dyDescent="0.35">
      <c r="A22">
        <f>A21+Parameters!$B$71</f>
        <v>18</v>
      </c>
      <c r="B22" s="13">
        <v>-5.8173734502860701E-5</v>
      </c>
      <c r="C22" s="13">
        <v>7.8534877328805069E-2</v>
      </c>
      <c r="D22" s="13">
        <v>0.22047661548649244</v>
      </c>
      <c r="E22" s="5">
        <f>MAX((1-Parameters!$B$4)^Parameters!B$71*E21 + B21*Parameters!B$71 - IF(B21&gt;0,Parameters!$B$5,0)*B21^2/E21*Parameters!B$71, 0.0001)</f>
        <v>0.28869337406059753</v>
      </c>
      <c r="F22" s="5">
        <f>(1-Parameters!$B$4)^Parameters!B$71*F21+C21*Parameters!B$71-Parameters!$B$5*C21^2/F21*Parameters!B$71</f>
        <v>0.6128962714874262</v>
      </c>
      <c r="G22" s="5">
        <f>(1-Parameters!$B$4)^Parameters!B$71*G21+D21*Parameters!B$71-Parameters!$B$5*D21^2/G21*Parameters!B$71</f>
        <v>3.7245245249260321</v>
      </c>
      <c r="H22" s="7">
        <f>MAX(H21 * (1-Parameters!$B$4) ^ Parameters!B$71 + (LN(1+EXP(Parameters!$B$21*(-B21+0.004)))/Parameters!$B$21 -0.004) * Parameters!B$71,0)</f>
        <v>1.4957354102112234E-2</v>
      </c>
      <c r="I22" s="16">
        <f>I21*(1+Parameters!$B$52)^Parameters!B$71</f>
        <v>8.5966158929030918</v>
      </c>
      <c r="J22" s="16">
        <f>J21*(1+Parameters!$B$54)^Parameters!B$71</f>
        <v>12.929324628971958</v>
      </c>
      <c r="K22" s="16">
        <f>I22*J22*EXP(-Parameters!$B$43*'6states'!A22)*(Parameters!$B$38/Parameters!$B$39*('6states'!E22+'6states'!H22)/Parameters!$E$25*(EXP(-Parameters!$B$39*Parameters!$E$25*'6states'!H22/('6states'!E22+'6states'!H22))-EXP(-Parameters!$B$39*Parameters!$E$25))  +  Parameters!$B$40*'6states'!E22)</f>
        <v>21.054012163860559</v>
      </c>
      <c r="L22" s="6">
        <f>L21+K22*Parameters!B$71</f>
        <v>2816.7853109774401</v>
      </c>
      <c r="M22" s="5">
        <f>L22*Parameters!$B$46</f>
        <v>1.6900711865864639</v>
      </c>
      <c r="N22" s="7">
        <f>EXP(-Parameters!$B$47/2*M22^2)</f>
        <v>0.97170188602164276</v>
      </c>
      <c r="O22" s="6">
        <f>MAX((Parameters!$B$63 + Parameters!$B$31*'6states'!A22 - '6states'!L22 + Parameters!$B$48/Parameters!$B$46)/Parameters!B$63,1)</f>
        <v>9.8162937804511969</v>
      </c>
      <c r="P22" s="5">
        <f>Parameters!B$62*EXP(-Parameters!B$61*A22)</f>
        <v>0.30754090365676434</v>
      </c>
      <c r="Q22" s="5">
        <f>(1-Parameters!B$62)*O22^-Parameters!B$64</f>
        <v>0.39790120063317019</v>
      </c>
      <c r="R22" s="5">
        <f>Parameters!B$62*EXP(-Parameters!B$61*A22)+(1-Parameters!B$62)*O22^-Parameters!B$64</f>
        <v>0.70544210428993459</v>
      </c>
      <c r="S22" s="5">
        <f>1-R22/Parameters!$B$12</f>
        <v>0.6472789478550327</v>
      </c>
      <c r="T22" s="5">
        <f t="shared" si="0"/>
        <v>2.8351015453112307</v>
      </c>
      <c r="U22" s="5">
        <f>(Parameters!$B$19*(E22+Parameters!$B$20)^S22+Parameters!$B$18*F22^S22)^(1/S22)</f>
        <v>0.38572234316792303</v>
      </c>
      <c r="V22" s="5">
        <f>(Parameters!$B$10*G22^Parameters!$B$9+Parameters!$B$11*U22^Parameters!$B$9)^(Parameters!$B$7/Parameters!$B$9)*N22</f>
        <v>1.3993612086472875</v>
      </c>
      <c r="W22" s="5">
        <f>V22 - C22 - D22 - LN(1+EXP(Parameters!$B$21*B22))/Parameters!$B$21 - IF(B22&gt;0, 0,Parameters!$B$6*B22^2/E22)</f>
        <v>1.0986457069304176</v>
      </c>
      <c r="X22" s="5">
        <f>EXP(-Parameters!$B$56*A22)</f>
        <v>0.76200664718015654</v>
      </c>
      <c r="Y22" s="5">
        <f>IF(W22&gt;0,W22^(1-Parameters!$B$53)/(1-Parameters!$B$53)*X22*Parameters!$B$71,-10+W22*1000)</f>
        <v>-2.1066410054940978</v>
      </c>
      <c r="AA22" s="15">
        <f t="shared" si="14"/>
        <v>1.0748781298209377E-3</v>
      </c>
      <c r="AB22" s="15">
        <f t="shared" si="9"/>
        <v>-2.9665104572224321E-3</v>
      </c>
      <c r="AC22" s="15">
        <f t="shared" si="10"/>
        <v>-1.2672233228130936E-4</v>
      </c>
      <c r="AD22" s="15">
        <f t="shared" si="6"/>
        <v>7.5984299303029192E-6</v>
      </c>
      <c r="AE22" s="15">
        <f t="shared" si="15"/>
        <v>2.4038078791669892E-3</v>
      </c>
      <c r="AF22" s="15">
        <f t="shared" si="11"/>
        <v>-5.756843021042235E-4</v>
      </c>
      <c r="AG22" s="15">
        <f t="shared" si="12"/>
        <v>2.4725575482128365E-4</v>
      </c>
      <c r="AH22" s="15">
        <f t="shared" si="7"/>
        <v>4.702221208358352E-6</v>
      </c>
      <c r="AI22" s="15"/>
      <c r="AK22" s="7"/>
      <c r="AL22" s="7"/>
      <c r="AM22" s="16">
        <f t="shared" si="1"/>
        <v>1.6624865389290109</v>
      </c>
      <c r="AN22" s="16">
        <f t="shared" si="2"/>
        <v>32.087817469398829</v>
      </c>
      <c r="AO22" s="16">
        <f t="shared" si="3"/>
        <v>42.872435786639024</v>
      </c>
      <c r="AP22" s="6">
        <f t="shared" si="4"/>
        <v>155.53681196509322</v>
      </c>
      <c r="AQ22" s="15">
        <f>-X22*V22*W22^(-Parameters!B$53)*Parameters!B$47*Parameters!B$46*M22</f>
        <v>-1.9141812198457254E-5</v>
      </c>
      <c r="AR22" s="5">
        <f>1000*EXP(-(Parameters!$B$55)*'6states'!A22)*AP22*Parameters!B$47*Parameters!B$46*M22</f>
        <v>1.6853815866777158</v>
      </c>
      <c r="AS22" s="5">
        <f>SUM(AR22:AR$204)*EXP(Parameters!$B$55*A22)</f>
        <v>262.22061260745079</v>
      </c>
      <c r="AT22" s="10">
        <f t="shared" si="16"/>
        <v>0.21363556259343658</v>
      </c>
      <c r="AU22">
        <f>(1/$S22-1/Parameters!$B$13) * LN(Parameters!$B$18) / LN(O22)</f>
        <v>0.23734946148572367</v>
      </c>
      <c r="AV22">
        <f>(Parameters!$B$18*'6states'!S22^+Parameters!$B$19*Parameters!$B$25^'6states'!S22)^((1-'6states'!S22)/'6states'!S22)*Parameters!$B$18*Parameters!$B$26^('6states'!S22-1)</f>
        <v>0.24050952725238878</v>
      </c>
      <c r="AW22">
        <f t="shared" si="8"/>
        <v>0.27025649408094671</v>
      </c>
      <c r="AX22">
        <f t="shared" si="13"/>
        <v>0.15169760598187887</v>
      </c>
      <c r="AY22">
        <f t="shared" si="13"/>
        <v>0.15355368612421672</v>
      </c>
      <c r="AZ22">
        <f>(1/$S22-1/Parameters!$B$13) * LN(Parameters!$B$18) / A22</f>
        <v>3.0117584830111233E-2</v>
      </c>
    </row>
    <row r="23" spans="1:52" x14ac:dyDescent="0.35">
      <c r="A23">
        <f>A22+Parameters!$B$71</f>
        <v>19</v>
      </c>
      <c r="B23" s="13">
        <v>6.1081688084219251E-4</v>
      </c>
      <c r="C23" s="13">
        <v>8.0191488128401101E-2</v>
      </c>
      <c r="D23" s="13">
        <v>0.21857375095851247</v>
      </c>
      <c r="E23" s="5">
        <f>MAX((1-Parameters!$B$4)^Parameters!B$71*E22 + B22*Parameters!B$71 - IF(B22&gt;0,Parameters!$B$5,0)*B22^2/E22*Parameters!B$71, 0.0001)</f>
        <v>0.27047638709768312</v>
      </c>
      <c r="F23" s="5">
        <f>(1-Parameters!$B$4)^Parameters!B$71*F22+C22*Parameters!B$71-Parameters!$B$5*C22^2/F22*Parameters!B$71</f>
        <v>0.64281672570058612</v>
      </c>
      <c r="G23" s="5">
        <f>(1-Parameters!$B$4)^Parameters!B$71*G22+D22*Parameters!B$71-Parameters!$B$5*D22^2/G22*Parameters!B$71</f>
        <v>3.6976772340897841</v>
      </c>
      <c r="H23" s="7">
        <f>MAX(H22 * (1-Parameters!$B$4) ^ Parameters!B$71 + (LN(1+EXP(Parameters!$B$21*(-B22+0.004)))/Parameters!$B$21 -0.004) * Parameters!B$71,0)</f>
        <v>1.4524784108674263E-2</v>
      </c>
      <c r="I23" s="16">
        <f>I22*(1+Parameters!$B$52)^Parameters!B$71</f>
        <v>8.6215460789925107</v>
      </c>
      <c r="J23" s="16">
        <f>J22*(1+Parameters!$B$54)^Parameters!B$71</f>
        <v>13.187911121551398</v>
      </c>
      <c r="K23" s="16">
        <f>I23*J23*EXP(-Parameters!$B$43*'6states'!A23)*(Parameters!$B$38/Parameters!$B$39*('6states'!E23+'6states'!H23)/Parameters!$E$25*(EXP(-Parameters!$B$39*Parameters!$E$25*'6states'!H23/('6states'!E23+'6states'!H23))-EXP(-Parameters!$B$39*Parameters!$E$25))  +  Parameters!$B$40*'6states'!E23)</f>
        <v>19.945293556616924</v>
      </c>
      <c r="L23" s="6">
        <f>L22+K23*Parameters!B$71</f>
        <v>2836.730604534057</v>
      </c>
      <c r="M23" s="5">
        <f>L23*Parameters!$B$46</f>
        <v>1.7020383627204341</v>
      </c>
      <c r="N23" s="7">
        <f>EXP(-Parameters!$B$47/2*M23^2)</f>
        <v>0.97130554221740473</v>
      </c>
      <c r="O23" s="6">
        <f>MAX((Parameters!$B$63 + Parameters!$B$31*'6states'!A23 - '6states'!L23 + Parameters!$B$48/Parameters!$B$46)/Parameters!B$63,1)</f>
        <v>10.481387909318864</v>
      </c>
      <c r="P23" s="5">
        <f>Parameters!B$62*EXP(-Parameters!B$61*A23)</f>
        <v>0.2993483958028646</v>
      </c>
      <c r="Q23" s="5">
        <f>(1-Parameters!B$62)*O23^-Parameters!B$64</f>
        <v>0.39530119289765847</v>
      </c>
      <c r="R23" s="5">
        <f>Parameters!B$62*EXP(-Parameters!B$61*A23)+(1-Parameters!B$62)*O23^-Parameters!B$64</f>
        <v>0.69464958870052307</v>
      </c>
      <c r="S23" s="5">
        <f>1-R23/Parameters!$B$12</f>
        <v>0.65267520564973847</v>
      </c>
      <c r="T23" s="5">
        <f t="shared" si="0"/>
        <v>2.8791494769922608</v>
      </c>
      <c r="U23" s="5">
        <f>(Parameters!$B$19*(E23+Parameters!$B$20)^S23+Parameters!$B$18*F23^S23)^(1/S23)</f>
        <v>0.37953032642797274</v>
      </c>
      <c r="V23" s="5">
        <f>(Parameters!$B$10*G23^Parameters!$B$9+Parameters!$B$11*U23^Parameters!$B$9)^(Parameters!$B$7/Parameters!$B$9)*N23</f>
        <v>1.3945161929860559</v>
      </c>
      <c r="W23" s="5">
        <f>V23 - C23 - D23 - LN(1+EXP(Parameters!$B$21*B23))/Parameters!$B$21 - IF(B23&gt;0, 0,Parameters!$B$6*B23^2/E23)</f>
        <v>1.0936940688609198</v>
      </c>
      <c r="X23" s="5">
        <f>EXP(-Parameters!$B$56*A23)</f>
        <v>0.75058678376263543</v>
      </c>
      <c r="Y23" s="5">
        <f>IF(W23&gt;0,W23^(1-Parameters!$B$53)/(1-Parameters!$B$53)*X23*Parameters!$B$71,-10+W23*1000)</f>
        <v>-2.0783530296161326</v>
      </c>
      <c r="AA23" s="15">
        <f t="shared" si="14"/>
        <v>2.4598072022829478E-3</v>
      </c>
      <c r="AB23" s="15">
        <f t="shared" si="9"/>
        <v>-3.3871483463075308E-3</v>
      </c>
      <c r="AC23" s="15">
        <f t="shared" si="10"/>
        <v>-8.4813984095544193E-5</v>
      </c>
      <c r="AD23" s="15">
        <f t="shared" si="6"/>
        <v>1.3158250785609551E-5</v>
      </c>
      <c r="AE23" s="15">
        <f t="shared" si="15"/>
        <v>1.3849290724620099E-3</v>
      </c>
      <c r="AF23" s="15">
        <f t="shared" si="11"/>
        <v>-4.2063788908511257E-4</v>
      </c>
      <c r="AG23" s="15">
        <f t="shared" si="12"/>
        <v>4.1908348185765165E-5</v>
      </c>
      <c r="AH23" s="15">
        <f t="shared" si="7"/>
        <v>1.5737711312331014E-6</v>
      </c>
      <c r="AI23" s="15"/>
      <c r="AK23" s="7"/>
      <c r="AL23" s="7"/>
      <c r="AM23" s="16">
        <f t="shared" si="1"/>
        <v>1.6514706172938087</v>
      </c>
      <c r="AN23" s="16">
        <f t="shared" si="2"/>
        <v>30.753214823816105</v>
      </c>
      <c r="AO23" s="16">
        <f t="shared" si="3"/>
        <v>43.152667728355929</v>
      </c>
      <c r="AP23" s="6">
        <f t="shared" si="4"/>
        <v>158.55674692483251</v>
      </c>
      <c r="AQ23" s="15">
        <f>-X23*V23*W23^(-Parameters!B$53)*Parameters!B$47*Parameters!B$46*M23</f>
        <v>-1.9038455808515805E-5</v>
      </c>
      <c r="AR23" s="5">
        <f>1000*EXP(-(Parameters!$B$55)*'6states'!A23)*AP23*Parameters!B$47*Parameters!B$46*M23</f>
        <v>1.6705919688892144</v>
      </c>
      <c r="AS23" s="5">
        <f>SUM(AR23:AR$204)*EXP(Parameters!$B$55*A23)</f>
        <v>268.30455077565512</v>
      </c>
      <c r="AT23" s="10">
        <f t="shared" si="16"/>
        <v>0.21468094631924384</v>
      </c>
      <c r="AU23">
        <f>(1/$S23-1/Parameters!$B$13) * LN(Parameters!$B$18) / LN(O23)</f>
        <v>0.23720329524879677</v>
      </c>
      <c r="AV23">
        <f>(Parameters!$B$18*'6states'!S23^+Parameters!$B$19*Parameters!$B$25^'6states'!S23)^((1-'6states'!S23)/'6states'!S23)*Parameters!$B$18*Parameters!$B$26^('6states'!S23-1)</f>
        <v>0.24372477304549042</v>
      </c>
      <c r="AW23">
        <f t="shared" si="8"/>
        <v>0.26836790738055477</v>
      </c>
      <c r="AX23">
        <f t="shared" si="13"/>
        <v>0.15161165611265937</v>
      </c>
      <c r="AY23">
        <f t="shared" si="13"/>
        <v>0.15543800849848111</v>
      </c>
      <c r="AZ23">
        <f>(1/$S23-1/Parameters!$B$13) * LN(Parameters!$B$18) / A23</f>
        <v>2.9333322339005138E-2</v>
      </c>
    </row>
    <row r="24" spans="1:52" x14ac:dyDescent="0.35">
      <c r="A24">
        <f>A23+Parameters!$B$71</f>
        <v>20</v>
      </c>
      <c r="B24" s="13">
        <v>1.0705854822118431E-3</v>
      </c>
      <c r="C24" s="13">
        <v>8.1541130679914031E-2</v>
      </c>
      <c r="D24" s="13">
        <v>0.21716615360856778</v>
      </c>
      <c r="E24" s="5">
        <f>MAX((1-Parameters!$B$4)^Parameters!B$71*E23 + B23*Parameters!B$71 - IF(B23&gt;0,Parameters!$B$5,0)*B23^2/E23*Parameters!B$71, 0.0001)</f>
        <v>0.25407285982219291</v>
      </c>
      <c r="F24" s="5">
        <f>(1-Parameters!$B$4)^Parameters!B$71*F23+C23*Parameters!B$71-Parameters!$B$5*C23^2/F23*Parameters!B$71</f>
        <v>0.67257114096412896</v>
      </c>
      <c r="G24" s="5">
        <f>(1-Parameters!$B$4)^Parameters!B$71*G23+D23*Parameters!B$71-Parameters!$B$5*D23^2/G23*Parameters!B$71</f>
        <v>3.6707469532255583</v>
      </c>
      <c r="H24" s="7">
        <f>MAX(H23 * (1-Parameters!$B$4) ^ Parameters!B$71 + (LN(1+EXP(Parameters!$B$21*(-B23+0.004)))/Parameters!$B$21 -0.004) * Parameters!B$71,0)</f>
        <v>1.3573716421943147E-2</v>
      </c>
      <c r="I24" s="16">
        <f>I23*(1+Parameters!$B$52)^Parameters!B$71</f>
        <v>8.6465485626215877</v>
      </c>
      <c r="J24" s="16">
        <f>J23*(1+Parameters!$B$54)^Parameters!B$71</f>
        <v>13.451669343982426</v>
      </c>
      <c r="K24" s="16">
        <f>I24*J24*EXP(-Parameters!$B$43*'6states'!A24)*(Parameters!$B$38/Parameters!$B$39*('6states'!E24+'6states'!H24)/Parameters!$E$25*(EXP(-Parameters!$B$39*Parameters!$E$25*'6states'!H24/('6states'!E24+'6states'!H24))-EXP(-Parameters!$B$39*Parameters!$E$25))  +  Parameters!$B$40*'6states'!E24)</f>
        <v>18.979449721189347</v>
      </c>
      <c r="L24" s="6">
        <f>L23+K24*Parameters!B$71</f>
        <v>2855.7100542552462</v>
      </c>
      <c r="M24" s="5">
        <f>L24*Parameters!$B$46</f>
        <v>1.7134260325531476</v>
      </c>
      <c r="N24" s="7">
        <f>EXP(-Parameters!$B$47/2*M24^2)</f>
        <v>0.97092594617077377</v>
      </c>
      <c r="O24" s="6">
        <f>MAX((Parameters!$B$63 + Parameters!$B$31*'6states'!A24 - '6states'!L24 + Parameters!$B$48/Parameters!$B$46)/Parameters!B$63,1)</f>
        <v>11.165798914895076</v>
      </c>
      <c r="P24" s="5">
        <f>Parameters!B$62*EXP(-Parameters!B$61*A24)</f>
        <v>0.29137412618699482</v>
      </c>
      <c r="Q24" s="5">
        <f>(1-Parameters!B$62)*O24^-Parameters!B$64</f>
        <v>0.39280863310784042</v>
      </c>
      <c r="R24" s="5">
        <f>Parameters!B$62*EXP(-Parameters!B$61*A24)+(1-Parameters!B$62)*O24^-Parameters!B$64</f>
        <v>0.6841827592948353</v>
      </c>
      <c r="S24" s="5">
        <f>1-R24/Parameters!$B$12</f>
        <v>0.65790862035258235</v>
      </c>
      <c r="T24" s="5">
        <f t="shared" si="0"/>
        <v>2.9231955538624423</v>
      </c>
      <c r="U24" s="5">
        <f>(Parameters!$B$19*(E24+Parameters!$B$20)^S24+Parameters!$B$18*F24^S24)^(1/S24)</f>
        <v>0.3743996595067251</v>
      </c>
      <c r="V24" s="5">
        <f>(Parameters!$B$10*G24^Parameters!$B$9+Parameters!$B$11*U24^Parameters!$B$9)^(Parameters!$B$7/Parameters!$B$9)*N24</f>
        <v>1.3900284741120155</v>
      </c>
      <c r="W24" s="5">
        <f>V24 - C24 - D24 - LN(1+EXP(Parameters!$B$21*B24))/Parameters!$B$21 - IF(B24&gt;0, 0,Parameters!$B$6*B24^2/E24)</f>
        <v>1.0889961540763458</v>
      </c>
      <c r="X24" s="5">
        <f>EXP(-Parameters!$B$56*A24)</f>
        <v>0.7393380648895318</v>
      </c>
      <c r="Y24" s="5">
        <f>IF(W24&gt;0,W24^(1-Parameters!$B$53)/(1-Parameters!$B$53)*X24*Parameters!$B$71,-10+W24*1000)</f>
        <v>-2.0502923960148736</v>
      </c>
      <c r="AA24" s="15">
        <f t="shared" si="14"/>
        <v>1.9553945696965534E-3</v>
      </c>
      <c r="AB24" s="15">
        <f t="shared" si="9"/>
        <v>-3.5122313632374169E-3</v>
      </c>
      <c r="AC24" s="15">
        <f t="shared" si="10"/>
        <v>5.0202601270629699E-5</v>
      </c>
      <c r="AD24" s="15">
        <f t="shared" si="6"/>
        <v>1.1949076355382681E-5</v>
      </c>
      <c r="AE24" s="15">
        <f t="shared" si="15"/>
        <v>-5.0441263258639416E-4</v>
      </c>
      <c r="AF24" s="15">
        <f t="shared" si="11"/>
        <v>-1.2508301692987223E-4</v>
      </c>
      <c r="AG24" s="15">
        <f t="shared" si="12"/>
        <v>1.3501658536617389E-4</v>
      </c>
      <c r="AH24" s="15">
        <f t="shared" si="7"/>
        <v>2.1315659333393153E-7</v>
      </c>
      <c r="AI24" s="15"/>
      <c r="AK24" s="7"/>
      <c r="AL24" s="7"/>
      <c r="AM24" s="16">
        <f t="shared" si="1"/>
        <v>1.5787659099155229</v>
      </c>
      <c r="AN24" s="16">
        <f t="shared" si="2"/>
        <v>29.551344469932637</v>
      </c>
      <c r="AO24" s="16">
        <f t="shared" si="3"/>
        <v>43.546616176366186</v>
      </c>
      <c r="AP24" s="6">
        <f t="shared" si="4"/>
        <v>161.67492383974408</v>
      </c>
      <c r="AQ24" s="15">
        <f>-X24*V24*W24^(-Parameters!B$53)*Parameters!B$47*Parameters!B$46*M24</f>
        <v>-1.8927526583622383E-5</v>
      </c>
      <c r="AR24" s="5">
        <f>1000*EXP(-(Parameters!$B$55)*'6states'!A24)*AP24*Parameters!B$47*Parameters!B$46*M24</f>
        <v>1.6556960302757593</v>
      </c>
      <c r="AS24" s="5">
        <f>SUM(AR24:AR$204)*EXP(Parameters!$B$55*A24)</f>
        <v>274.51837412988999</v>
      </c>
      <c r="AT24" s="10">
        <f t="shared" si="16"/>
        <v>0.21566311435612798</v>
      </c>
      <c r="AU24">
        <f>(1/$S24-1/Parameters!$B$13) * LN(Parameters!$B$18) / LN(O24)</f>
        <v>0.23700222117075606</v>
      </c>
      <c r="AV24">
        <f>(Parameters!$B$18*'6states'!S24^+Parameters!$B$19*Parameters!$B$25^'6states'!S24)^((1-'6states'!S24)/'6states'!S24)*Parameters!$B$18*Parameters!$B$26^('6states'!S24-1)</f>
        <v>0.24677014781738604</v>
      </c>
      <c r="AW24">
        <f t="shared" si="8"/>
        <v>0.26647897747870042</v>
      </c>
      <c r="AX24">
        <f t="shared" si="13"/>
        <v>0.15149340465437622</v>
      </c>
      <c r="AY24">
        <f t="shared" si="13"/>
        <v>0.15721890813558492</v>
      </c>
      <c r="AZ24">
        <f>(1/$S24-1/Parameters!$B$13) * LN(Parameters!$B$18) / A24</f>
        <v>2.859260490884678E-2</v>
      </c>
    </row>
    <row r="25" spans="1:52" x14ac:dyDescent="0.35">
      <c r="A25">
        <f>A24+Parameters!$B$71</f>
        <v>21</v>
      </c>
      <c r="B25" s="26">
        <f>B24+(B26-B24)/2</f>
        <v>1.5070986020486879E-3</v>
      </c>
      <c r="C25" s="26">
        <f>C24+(C26-C24)/2</f>
        <v>8.2618814487901052E-2</v>
      </c>
      <c r="D25" s="26">
        <f>D24+(D26-D24)/2</f>
        <v>0.21635004364970825</v>
      </c>
      <c r="E25" s="5">
        <f>MAX((1-Parameters!$B$4)^Parameters!B$71*E24 + B24*Parameters!B$71 - IF(B24&gt;0,Parameters!$B$5,0)*B24^2/E24*Parameters!B$71, 0.0001)</f>
        <v>0.23915775130113495</v>
      </c>
      <c r="F25" s="5">
        <f>(1-Parameters!$B$4)^Parameters!B$71*F24+C24*Parameters!B$71-Parameters!$B$5*C24^2/F24*Parameters!B$71</f>
        <v>0.7019216692540633</v>
      </c>
      <c r="G25" s="5">
        <f>(1-Parameters!$B$4)^Parameters!B$71*G24+D24*Parameters!B$71-Parameters!$B$5*D24^2/G24*Parameters!B$71</f>
        <v>3.6441752919928674</v>
      </c>
      <c r="H25" s="7">
        <f>MAX(H24 * (1-Parameters!$B$4) ^ Parameters!B$71 + (LN(1+EXP(Parameters!$B$21*(-B24+0.004)))/Parameters!$B$21 -0.004) * Parameters!B$71,0)</f>
        <v>1.2324067295105958E-2</v>
      </c>
      <c r="I25" s="16">
        <f>I24*(1+Parameters!$B$52)^Parameters!B$71</f>
        <v>8.6716235534531894</v>
      </c>
      <c r="J25" s="16">
        <f>J24*(1+Parameters!$B$54)^Parameters!B$71</f>
        <v>13.720702730862074</v>
      </c>
      <c r="K25" s="16">
        <f>I25*J25*EXP(-Parameters!$B$43*'6states'!A25)*(Parameters!$B$38/Parameters!$B$39*('6states'!E25+'6states'!H25)/Parameters!$E$25*(EXP(-Parameters!$B$39*Parameters!$E$25*'6states'!H25/('6states'!E25+'6states'!H25))-EXP(-Parameters!$B$39*Parameters!$E$25))  +  Parameters!$B$40*'6states'!E25)</f>
        <v>18.123214786108083</v>
      </c>
      <c r="L25" s="6">
        <f>L24+K25*Parameters!B$71</f>
        <v>2873.8332690413545</v>
      </c>
      <c r="M25" s="5">
        <f>L25*Parameters!$B$46</f>
        <v>1.7242999614248125</v>
      </c>
      <c r="N25" s="7">
        <f>EXP(-Parameters!$B$47/2*M25^2)</f>
        <v>0.9705612524059738</v>
      </c>
      <c r="O25" s="6">
        <f>MAX((Parameters!$B$63 + Parameters!$B$31*'6states'!A25 - '6states'!L25 + Parameters!$B$48/Parameters!$B$46)/Parameters!B$63,1)</f>
        <v>11.867334619172912</v>
      </c>
      <c r="P25" s="5">
        <f>Parameters!B$62*EXP(-Parameters!B$61*A25)</f>
        <v>0.28361228121344206</v>
      </c>
      <c r="Q25" s="5">
        <f>(1-Parameters!B$62)*O25^-Parameters!B$64</f>
        <v>0.39042236287326904</v>
      </c>
      <c r="R25" s="5">
        <f>Parameters!B$62*EXP(-Parameters!B$61*A25)+(1-Parameters!B$62)*O25^-Parameters!B$64</f>
        <v>0.6740346440867111</v>
      </c>
      <c r="S25" s="5">
        <f>1-R25/Parameters!$B$12</f>
        <v>0.66298267795664445</v>
      </c>
      <c r="T25" s="5">
        <f t="shared" si="0"/>
        <v>2.9672065338865732</v>
      </c>
      <c r="U25" s="5">
        <f>(Parameters!$B$19*(E25+Parameters!$B$20)^S25+Parameters!$B$18*F25^S25)^(1/S25)</f>
        <v>0.37007934089200478</v>
      </c>
      <c r="V25" s="5">
        <f>(Parameters!$B$10*G25^Parameters!$B$9+Parameters!$B$11*U25^Parameters!$B$9)^(Parameters!$B$7/Parameters!$B$9)*N25</f>
        <v>1.385861783266235</v>
      </c>
      <c r="W25" s="5">
        <f>V25 - C25 - D25 - LN(1+EXP(Parameters!$B$21*B25))/Parameters!$B$21 - IF(B25&gt;0, 0,Parameters!$B$6*B25^2/E25)</f>
        <v>1.0842946196901746</v>
      </c>
      <c r="X25" s="5">
        <f>EXP(-Parameters!$B$56*A25)</f>
        <v>0.72825792569172154</v>
      </c>
      <c r="Y25" s="5">
        <f>IF(W25&gt;0,W25^(1-Parameters!$B$53)/(1-Parameters!$B$53)*X25*Parameters!$B$71,-10+W25*1000)</f>
        <v>-2.0226261576412963</v>
      </c>
      <c r="AA25" s="15">
        <f t="shared" si="14"/>
        <v>2.0879977001874378E-3</v>
      </c>
      <c r="AB25" s="15">
        <f t="shared" si="9"/>
        <v>-3.5341741076112265E-3</v>
      </c>
      <c r="AC25" s="15">
        <f t="shared" si="10"/>
        <v>2.0742800318697407E-4</v>
      </c>
      <c r="AD25" s="15">
        <f t="shared" si="6"/>
        <v>1.230256848058126E-5</v>
      </c>
      <c r="AE25" s="15">
        <f t="shared" si="15"/>
        <v>1.3260313049088439E-4</v>
      </c>
      <c r="AF25" s="15">
        <f t="shared" si="11"/>
        <v>-2.1942744373809608E-5</v>
      </c>
      <c r="AG25" s="15">
        <f t="shared" si="12"/>
        <v>1.5722540191634438E-4</v>
      </c>
      <c r="AH25" s="15">
        <f t="shared" si="7"/>
        <v>3.1158443438449306E-8</v>
      </c>
      <c r="AI25" s="15"/>
      <c r="AK25" s="7"/>
      <c r="AL25" s="7"/>
      <c r="AM25" s="16">
        <f t="shared" si="1"/>
        <v>1.4663270036204945</v>
      </c>
      <c r="AN25" s="16">
        <f t="shared" si="2"/>
        <v>28.455173155153854</v>
      </c>
      <c r="AO25" s="16">
        <f t="shared" si="3"/>
        <v>44.032324559564593</v>
      </c>
      <c r="AP25" s="6">
        <f t="shared" si="4"/>
        <v>164.89090066036206</v>
      </c>
      <c r="AQ25" s="15">
        <f>-X25*V25*W25^(-Parameters!B$53)*Parameters!B$47*Parameters!B$46*M25</f>
        <v>-1.8815527831022659E-5</v>
      </c>
      <c r="AR25" s="5">
        <f>1000*EXP(-(Parameters!$B$55)*'6states'!A25)*AP25*Parameters!B$47*Parameters!B$46*M25</f>
        <v>1.6407346651048622</v>
      </c>
      <c r="AS25" s="5">
        <f>SUM(AR25:AR$204)*EXP(Parameters!$B$55*A25)</f>
        <v>280.86488674577038</v>
      </c>
      <c r="AT25" s="10">
        <f t="shared" si="16"/>
        <v>0.2168152411501589</v>
      </c>
      <c r="AU25">
        <f>(1/$S25-1/Parameters!$B$13) * LN(Parameters!$B$18) / LN(O25)</f>
        <v>0.23676633894448548</v>
      </c>
      <c r="AV25">
        <f>(Parameters!$B$18*'6states'!S25^+Parameters!$B$19*Parameters!$B$25^'6states'!S25)^((1-'6states'!S25)/'6states'!S25)*Parameters!$B$18*Parameters!$B$26^('6states'!S25-1)</f>
        <v>0.24965369375514565</v>
      </c>
      <c r="AW25">
        <f t="shared" si="8"/>
        <v>0.26461128517538224</v>
      </c>
      <c r="AX25">
        <f t="shared" si="13"/>
        <v>0.15135466155059307</v>
      </c>
      <c r="AY25">
        <f t="shared" si="13"/>
        <v>0.15890171073595039</v>
      </c>
      <c r="AZ25">
        <f>(1/$S25-1/Parameters!$B$13) * LN(Parameters!$B$18) / A25</f>
        <v>2.789095787488434E-2</v>
      </c>
    </row>
    <row r="26" spans="1:52" x14ac:dyDescent="0.35">
      <c r="A26">
        <f>A25+Parameters!$B$71</f>
        <v>22</v>
      </c>
      <c r="B26" s="13">
        <v>1.9436117218855325E-3</v>
      </c>
      <c r="C26" s="13">
        <v>8.3696498295888072E-2</v>
      </c>
      <c r="D26" s="13">
        <v>0.21553393369084872</v>
      </c>
      <c r="E26" s="5">
        <f>MAX((1-Parameters!$B$4)^Parameters!B$71*E25 + B25*Parameters!B$71 - IF(B25&gt;0,Parameters!$B$5,0)*B25^2/E25*Parameters!B$71, 0.0001)</f>
        <v>0.22561233007442055</v>
      </c>
      <c r="F26" s="5">
        <f>(1-Parameters!$B$4)^Parameters!B$71*F25+C25*Parameters!B$71-Parameters!$B$5*C25^2/F25*Parameters!B$71</f>
        <v>0.73066506624700822</v>
      </c>
      <c r="G26" s="5">
        <f>(1-Parameters!$B$4)^Parameters!B$71*G25+D25*Parameters!B$71-Parameters!$B$5*D25^2/G25*Parameters!B$71</f>
        <v>3.6184622833596145</v>
      </c>
      <c r="H26" s="7">
        <f>MAX(H25 * (1-Parameters!$B$4) ^ Parameters!B$71 + (LN(1+EXP(Parameters!$B$21*(-B25+0.004)))/Parameters!$B$21 -0.004) * Parameters!B$71,0)</f>
        <v>1.0826850169442803E-2</v>
      </c>
      <c r="I26" s="16">
        <f>I25*(1+Parameters!$B$52)^Parameters!B$71</f>
        <v>8.6967712617582027</v>
      </c>
      <c r="J26" s="16">
        <f>J25*(1+Parameters!$B$54)^Parameters!B$71</f>
        <v>13.995116785479317</v>
      </c>
      <c r="K26" s="16">
        <f>I26*J26*EXP(-Parameters!$B$43*'6states'!A26)*(Parameters!$B$38/Parameters!$B$39*('6states'!E26+'6states'!H26)/Parameters!$E$25*(EXP(-Parameters!$B$39*Parameters!$E$25*'6states'!H26/('6states'!E26+'6states'!H26))-EXP(-Parameters!$B$39*Parameters!$E$25))  +  Parameters!$B$40*'6states'!E26)</f>
        <v>17.374241123594079</v>
      </c>
      <c r="L26" s="6">
        <f>L25+K26*Parameters!B$71</f>
        <v>2891.2075101649484</v>
      </c>
      <c r="M26" s="5">
        <f>L26*Parameters!$B$46</f>
        <v>1.7347245060989689</v>
      </c>
      <c r="N26" s="7">
        <f>EXP(-Parameters!$B$47/2*M26^2)</f>
        <v>0.97020959396212458</v>
      </c>
      <c r="O26" s="6">
        <f>MAX((Parameters!$B$63 + Parameters!$B$31*'6states'!A26 - '6states'!L26 + Parameters!$B$48/Parameters!$B$46)/Parameters!B$63,1)</f>
        <v>12.583849796701033</v>
      </c>
      <c r="P26" s="5">
        <f>Parameters!B$62*EXP(-Parameters!B$61*A26)</f>
        <v>0.2760572021534653</v>
      </c>
      <c r="Q26" s="5">
        <f>(1-Parameters!B$62)*O26^-Parameters!B$64</f>
        <v>0.38814022363668027</v>
      </c>
      <c r="R26" s="5">
        <f>Parameters!B$62*EXP(-Parameters!B$61*A26)+(1-Parameters!B$62)*O26^-Parameters!B$64</f>
        <v>0.66419742579014551</v>
      </c>
      <c r="S26" s="5">
        <f>1-R26/Parameters!$B$12</f>
        <v>0.66790128710492724</v>
      </c>
      <c r="T26" s="5">
        <f t="shared" si="0"/>
        <v>3.01115289271221</v>
      </c>
      <c r="U26" s="5">
        <f>(Parameters!$B$19*(E26+Parameters!$B$20)^S26+Parameters!$B$18*F26^S26)^(1/S26)</f>
        <v>0.36647996081273077</v>
      </c>
      <c r="V26" s="5">
        <f>(Parameters!$B$10*G26^Parameters!$B$9+Parameters!$B$11*U26^Parameters!$B$9)^(Parameters!$B$7/Parameters!$B$9)*N26</f>
        <v>1.3820332514379663</v>
      </c>
      <c r="W26" s="5">
        <f>V26 - C26 - D26 - LN(1+EXP(Parameters!$B$21*B26))/Parameters!$B$21 - IF(B26&gt;0, 0,Parameters!$B$6*B26^2/E26)</f>
        <v>1.0799138378412787</v>
      </c>
      <c r="X26" s="5">
        <f>EXP(-Parameters!$B$56*A26)</f>
        <v>0.71734383973866223</v>
      </c>
      <c r="Y26" s="5">
        <f>IF(W26&gt;0,W26^(1-Parameters!$B$53)/(1-Parameters!$B$53)*X26*Parameters!$B$71,-10+W26*1000)</f>
        <v>-1.9951389242577111</v>
      </c>
      <c r="AA26" s="15">
        <f t="shared" si="14"/>
        <v>2.3131368693317623E-3</v>
      </c>
      <c r="AB26" s="15">
        <f t="shared" si="9"/>
        <v>-3.1553744478302476E-3</v>
      </c>
      <c r="AC26" s="15">
        <f t="shared" si="10"/>
        <v>1.9633715770712989E-4</v>
      </c>
      <c r="AD26" s="15">
        <f t="shared" si="6"/>
        <v>1.1008027411295129E-5</v>
      </c>
      <c r="AE26" s="15">
        <f t="shared" si="15"/>
        <v>2.2513916914432448E-4</v>
      </c>
      <c r="AF26" s="15">
        <f t="shared" si="11"/>
        <v>3.7879965978097896E-4</v>
      </c>
      <c r="AG26" s="15">
        <f t="shared" si="12"/>
        <v>-1.109084547984418E-5</v>
      </c>
      <c r="AH26" s="15">
        <f t="shared" si="7"/>
        <v>1.3937978940296724E-7</v>
      </c>
      <c r="AI26" s="15"/>
      <c r="AK26" s="7"/>
      <c r="AL26" s="7"/>
      <c r="AM26" s="16">
        <f t="shared" si="1"/>
        <v>1.3177611548903996</v>
      </c>
      <c r="AN26" s="16">
        <f t="shared" si="2"/>
        <v>27.459802249363076</v>
      </c>
      <c r="AO26" s="16">
        <f t="shared" si="3"/>
        <v>44.605129732725054</v>
      </c>
      <c r="AP26" s="6">
        <f t="shared" si="4"/>
        <v>168.21048643047354</v>
      </c>
      <c r="AQ26" s="15">
        <f>-X26*V26*W26^(-Parameters!B$53)*Parameters!B$47*Parameters!B$46*M26</f>
        <v>-1.8695986831201902E-5</v>
      </c>
      <c r="AR26" s="5">
        <f>1000*EXP(-(Parameters!$B$55)*'6states'!A26)*AP26*Parameters!B$47*Parameters!B$46*M26</f>
        <v>1.6258058777193147</v>
      </c>
      <c r="AS26" s="5">
        <f>SUM(AR26:AR$204)*EXP(Parameters!$B$55*A26)</f>
        <v>287.3468927289955</v>
      </c>
      <c r="AT26" s="10">
        <f t="shared" si="16"/>
        <v>0.21792098228842127</v>
      </c>
      <c r="AU26">
        <f>(1/$S26-1/Parameters!$B$13) * LN(Parameters!$B$18) / LN(O26)</f>
        <v>0.23651051647676219</v>
      </c>
      <c r="AV26">
        <f>(Parameters!$B$18*'6states'!S26^+Parameters!$B$19*Parameters!$B$25^'6states'!S26)^((1-'6states'!S26)/'6states'!S26)*Parameters!$B$18*Parameters!$B$26^('6states'!S26-1)</f>
        <v>0.2523834889425805</v>
      </c>
      <c r="AW26">
        <f t="shared" si="8"/>
        <v>0.26277993019526996</v>
      </c>
      <c r="AX26">
        <f t="shared" si="13"/>
        <v>0.15120416419094018</v>
      </c>
      <c r="AY26">
        <f t="shared" si="13"/>
        <v>0.16049169001356101</v>
      </c>
      <c r="AZ26">
        <f>(1/$S26-1/Parameters!$B$13) * LN(Parameters!$B$18) / A26</f>
        <v>2.7224663517416106E-2</v>
      </c>
    </row>
    <row r="27" spans="1:52" x14ac:dyDescent="0.35">
      <c r="A27">
        <f>A26+Parameters!$B$71</f>
        <v>23</v>
      </c>
      <c r="B27" s="26">
        <f>B26+(B28-B26)/2</f>
        <v>1.74377372032706E-3</v>
      </c>
      <c r="C27" s="26">
        <f>C26+(C28-C26)/2</f>
        <v>8.4537067092583351E-2</v>
      </c>
      <c r="D27" s="26">
        <f>D26+(D28-D26)/2</f>
        <v>0.21534567000183405</v>
      </c>
      <c r="E27" s="5">
        <f>MAX((1-Parameters!$B$4)^Parameters!B$71*E26 + B26*Parameters!B$71 - IF(B26&gt;0,Parameters!$B$5,0)*B26^2/E26*Parameters!B$71, 0.0001)</f>
        <v>0.21334818235132663</v>
      </c>
      <c r="F27" s="5">
        <f>(1-Parameters!$B$4)^Parameters!B$71*F26+C26*Parameters!B$71-Parameters!$B$5*C26^2/F26*Parameters!B$71</f>
        <v>0.75881543374088567</v>
      </c>
      <c r="G27" s="5">
        <f>(1-Parameters!$B$4)^Parameters!B$71*G26+D26*Parameters!B$71-Parameters!$B$5*D26^2/G26*Parameters!B$71</f>
        <v>3.5935566470989677</v>
      </c>
      <c r="H27" s="7">
        <f>MAX(H26 * (1-Parameters!$B$4) ^ Parameters!B$71 + (LN(1+EXP(Parameters!$B$21*(-B26+0.004)))/Parameters!$B$21 -0.004) * Parameters!B$71,0)</f>
        <v>9.1126350724553846E-3</v>
      </c>
      <c r="I27" s="16">
        <f>I26*(1+Parameters!$B$52)^Parameters!B$71</f>
        <v>8.7219918984173006</v>
      </c>
      <c r="J27" s="16">
        <f>J26*(1+Parameters!$B$54)^Parameters!B$71</f>
        <v>14.275019121188903</v>
      </c>
      <c r="K27" s="16">
        <f>I27*J27*EXP(-Parameters!$B$43*'6states'!A27)*(Parameters!$B$38/Parameters!$B$39*('6states'!E27+'6states'!H27)/Parameters!$E$25*(EXP(-Parameters!$B$39*Parameters!$E$25*'6states'!H27/('6states'!E27+'6states'!H27))-EXP(-Parameters!$B$39*Parameters!$E$25))  +  Parameters!$B$40*'6states'!E27)</f>
        <v>16.740166571499135</v>
      </c>
      <c r="L27" s="6">
        <f>L26+K27*Parameters!B$71</f>
        <v>2907.9476767364476</v>
      </c>
      <c r="M27" s="5">
        <f>L27*Parameters!$B$46</f>
        <v>1.7447686060418683</v>
      </c>
      <c r="N27" s="7">
        <f>EXP(-Parameters!$B$47/2*M27^2)</f>
        <v>0.96986888593435105</v>
      </c>
      <c r="O27" s="6">
        <f>MAX((Parameters!$B$63 + Parameters!$B$31*'6states'!A27 - '6states'!L27 + Parameters!$B$48/Parameters!$B$46)/Parameters!B$63,1)</f>
        <v>13.31304646527105</v>
      </c>
      <c r="P27" s="5">
        <f>Parameters!B$62*EXP(-Parameters!B$61*A27)</f>
        <v>0.26870338101983182</v>
      </c>
      <c r="Q27" s="5">
        <f>(1-Parameters!B$62)*O27^-Parameters!B$64</f>
        <v>0.3859599660756029</v>
      </c>
      <c r="R27" s="5">
        <f>Parameters!B$62*EXP(-Parameters!B$61*A27)+(1-Parameters!B$62)*O27^-Parameters!B$64</f>
        <v>0.65466334709543472</v>
      </c>
      <c r="S27" s="5">
        <f>1-R27/Parameters!$B$12</f>
        <v>0.67266832645228258</v>
      </c>
      <c r="T27" s="5">
        <f t="shared" si="0"/>
        <v>3.0550053074965353</v>
      </c>
      <c r="U27" s="5">
        <f>(Parameters!$B$19*(E27+Parameters!$B$20)^S27+Parameters!$B$18*F27^S27)^(1/S27)</f>
        <v>0.36358362069675193</v>
      </c>
      <c r="V27" s="5">
        <f>(Parameters!$B$10*G27^Parameters!$B$9+Parameters!$B$11*U27^Parameters!$B$9)^(Parameters!$B$7/Parameters!$B$9)*N27</f>
        <v>1.3785403823986844</v>
      </c>
      <c r="W27" s="5">
        <f>V27 - C27 - D27 - LN(1+EXP(Parameters!$B$21*B27))/Parameters!$B$21 - IF(B27&gt;0, 0,Parameters!$B$6*B27^2/E27)</f>
        <v>1.0759038387865081</v>
      </c>
      <c r="X27" s="5">
        <f>EXP(-Parameters!$B$56*A27)</f>
        <v>0.70659331846233153</v>
      </c>
      <c r="Y27" s="5">
        <f>IF(W27&gt;0,W27^(1-Parameters!$B$53)/(1-Parameters!$B$53)*X27*Parameters!$B$71,-10+W27*1000)</f>
        <v>-1.9677991657379967</v>
      </c>
      <c r="AA27" s="15">
        <f t="shared" si="14"/>
        <v>-4.414589372877635E-4</v>
      </c>
      <c r="AB27" s="15">
        <f t="shared" si="9"/>
        <v>-3.1417523122574675E-3</v>
      </c>
      <c r="AC27" s="15">
        <f t="shared" si="10"/>
        <v>3.6043458608297357E-4</v>
      </c>
      <c r="AD27" s="15">
        <f t="shared" si="6"/>
        <v>7.2040062360779094E-6</v>
      </c>
      <c r="AE27" s="15">
        <f t="shared" si="15"/>
        <v>-2.7545958066195258E-3</v>
      </c>
      <c r="AF27" s="15">
        <f t="shared" si="11"/>
        <v>1.3622135572780025E-5</v>
      </c>
      <c r="AG27" s="15">
        <f t="shared" si="12"/>
        <v>1.6409742837584368E-4</v>
      </c>
      <c r="AH27" s="15">
        <f t="shared" si="7"/>
        <v>5.3806456476478886E-6</v>
      </c>
      <c r="AI27" s="15"/>
      <c r="AK27" s="7"/>
      <c r="AL27" s="7"/>
      <c r="AM27" s="16">
        <f t="shared" si="1"/>
        <v>1.1345832201617163</v>
      </c>
      <c r="AN27" s="16">
        <f t="shared" si="2"/>
        <v>26.563257040709541</v>
      </c>
      <c r="AO27" s="16">
        <f t="shared" si="3"/>
        <v>45.268560837587131</v>
      </c>
      <c r="AP27" s="6">
        <f t="shared" si="4"/>
        <v>171.6373775256894</v>
      </c>
      <c r="AQ27" s="15">
        <f>-X27*V27*W27^(-Parameters!B$53)*Parameters!B$47*Parameters!B$46*M27</f>
        <v>-1.8568635799796355E-5</v>
      </c>
      <c r="AR27" s="5">
        <f>1000*EXP(-(Parameters!$B$55)*'6states'!A27)*AP27*Parameters!B$47*Parameters!B$46*M27</f>
        <v>1.6109834584659557</v>
      </c>
      <c r="AS27" s="5">
        <f>SUM(AR27:AR$204)*EXP(Parameters!$B$55*A27)</f>
        <v>293.96705733185019</v>
      </c>
      <c r="AT27" s="10">
        <f t="shared" si="16"/>
        <v>0.21880136024010341</v>
      </c>
      <c r="AU27">
        <f>(1/$S27-1/Parameters!$B$13) * LN(Parameters!$B$18) / LN(O27)</f>
        <v>0.23624681911178766</v>
      </c>
      <c r="AV27">
        <f>(Parameters!$B$18*'6states'!S27^+Parameters!$B$19*Parameters!$B$25^'6states'!S27)^((1-'6states'!S27)/'6states'!S27)*Parameters!$B$18*Parameters!$B$26^('6states'!S27-1)</f>
        <v>0.25496735285954908</v>
      </c>
      <c r="AW27">
        <f t="shared" si="8"/>
        <v>0.26099656931425547</v>
      </c>
      <c r="AX27">
        <f t="shared" si="13"/>
        <v>0.15104900618754014</v>
      </c>
      <c r="AY27">
        <f t="shared" si="13"/>
        <v>0.16199390207754993</v>
      </c>
      <c r="AZ27">
        <f>(1/$S27-1/Parameters!$B$13) * LN(Parameters!$B$18) / A27</f>
        <v>2.6590550071661511E-2</v>
      </c>
    </row>
    <row r="28" spans="1:52" x14ac:dyDescent="0.35">
      <c r="A28">
        <f>A27+Parameters!$B$71</f>
        <v>24</v>
      </c>
      <c r="B28" s="13">
        <v>1.5439357187685876E-3</v>
      </c>
      <c r="C28" s="13">
        <v>8.5377635889278616E-2</v>
      </c>
      <c r="D28" s="13">
        <v>0.21515740631281938</v>
      </c>
      <c r="E28" s="5">
        <f>MAX((1-Parameters!$B$4)^Parameters!B$71*E27 + B27*Parameters!B$71 - IF(B27&gt;0,Parameters!$B$5,0)*B27^2/E27*Parameters!B$71, 0.0001)</f>
        <v>0.2016581028932305</v>
      </c>
      <c r="F28" s="5">
        <f>(1-Parameters!$B$4)^Parameters!B$71*F27+C27*Parameters!B$71-Parameters!$B$5*C27^2/F27*Parameters!B$71</f>
        <v>0.78620502064973363</v>
      </c>
      <c r="G28" s="5">
        <f>(1-Parameters!$B$4)^Parameters!B$71*G27+D27*Parameters!B$71-Parameters!$B$5*D27^2/G27*Parameters!B$71</f>
        <v>3.5699629075811563</v>
      </c>
      <c r="H28" s="7">
        <f>MAX(H27 * (1-Parameters!$B$4) ^ Parameters!B$71 + (LN(1+EXP(Parameters!$B$21*(-B27+0.004)))/Parameters!$B$21 -0.004) * Parameters!B$71,0)</f>
        <v>7.6467631764145366E-3</v>
      </c>
      <c r="I28" s="16">
        <f>I27*(1+Parameters!$B$52)^Parameters!B$71</f>
        <v>8.7472856749227095</v>
      </c>
      <c r="J28" s="16">
        <f>J27*(1+Parameters!$B$54)^Parameters!B$71</f>
        <v>14.560519503612682</v>
      </c>
      <c r="K28" s="16">
        <f>I28*J28*EXP(-Parameters!$B$43*'6states'!A28)*(Parameters!$B$38/Parameters!$B$39*('6states'!E28+'6states'!H28)/Parameters!$E$25*(EXP(-Parameters!$B$39*Parameters!$E$25*'6states'!H28/('6states'!E28+'6states'!H28))-EXP(-Parameters!$B$39*Parameters!$E$25))  +  Parameters!$B$40*'6states'!E28)</f>
        <v>16.131972374690381</v>
      </c>
      <c r="L28" s="6">
        <f>L27+K28*Parameters!B$71</f>
        <v>2924.0796491111382</v>
      </c>
      <c r="M28" s="5">
        <f>L28*Parameters!$B$46</f>
        <v>1.7544477894666828</v>
      </c>
      <c r="N28" s="7">
        <f>EXP(-Parameters!$B$47/2*M28^2)</f>
        <v>0.96953880936487302</v>
      </c>
      <c r="O28" s="6">
        <f>MAX((Parameters!$B$63 + Parameters!$B$31*'6states'!A28 - '6states'!L28 + Parameters!$B$48/Parameters!$B$46)/Parameters!B$63,1)</f>
        <v>14.054407017777239</v>
      </c>
      <c r="P28" s="5">
        <f>Parameters!B$62*EXP(-Parameters!B$61*A28)</f>
        <v>0.26154545655125039</v>
      </c>
      <c r="Q28" s="5">
        <f>(1-Parameters!B$62)*O28^-Parameters!B$64</f>
        <v>0.38387404734894837</v>
      </c>
      <c r="R28" s="5">
        <f>Parameters!B$62*EXP(-Parameters!B$61*A28)+(1-Parameters!B$62)*O28^-Parameters!B$64</f>
        <v>0.64541950390019875</v>
      </c>
      <c r="S28" s="5">
        <f>1-R28/Parameters!$B$12</f>
        <v>0.67729024804990057</v>
      </c>
      <c r="T28" s="5">
        <f t="shared" si="0"/>
        <v>3.0987597801340376</v>
      </c>
      <c r="U28" s="5">
        <f>(Parameters!$B$19*(E28+Parameters!$B$20)^S28+Parameters!$B$18*F28^S28)^(1/S28)</f>
        <v>0.36081159460459561</v>
      </c>
      <c r="V28" s="5">
        <f>(Parameters!$B$10*G28^Parameters!$B$9+Parameters!$B$11*U28^Parameters!$B$9)^(Parameters!$B$7/Parameters!$B$9)*N28</f>
        <v>1.3751971353377948</v>
      </c>
      <c r="W28" s="5">
        <f>V28 - C28 - D28 - LN(1+EXP(Parameters!$B$21*B28))/Parameters!$B$21 - IF(B28&gt;0, 0,Parameters!$B$6*B28^2/E28)</f>
        <v>1.0720399177105544</v>
      </c>
      <c r="X28" s="5">
        <f>EXP(-Parameters!$B$56*A28)</f>
        <v>0.69600391058979738</v>
      </c>
      <c r="Y28" s="5">
        <f>IF(W28&gt;0,W28^(1-Parameters!$B$53)/(1-Parameters!$B$53)*X28*Parameters!$B$71,-10+W28*1000)</f>
        <v>-1.9407509192870158</v>
      </c>
      <c r="AA28" s="15">
        <f t="shared" si="14"/>
        <v>-5.1716569057703738E-4</v>
      </c>
      <c r="AB28" s="15">
        <f t="shared" si="9"/>
        <v>-2.8120052725857658E-3</v>
      </c>
      <c r="AC28" s="15">
        <f t="shared" si="10"/>
        <v>3.4330969874404177E-4</v>
      </c>
      <c r="AD28" s="15">
        <f t="shared" si="6"/>
        <v>5.7717485347837048E-6</v>
      </c>
      <c r="AE28" s="15">
        <f t="shared" si="15"/>
        <v>-7.570675328927301E-5</v>
      </c>
      <c r="AF28" s="15">
        <f t="shared" si="11"/>
        <v>3.2974703967170171E-4</v>
      </c>
      <c r="AG28" s="15">
        <f t="shared" si="12"/>
        <v>-1.7124887338931805E-5</v>
      </c>
      <c r="AH28" s="15">
        <f t="shared" si="7"/>
        <v>7.9871936335840485E-8</v>
      </c>
      <c r="AI28" s="15"/>
      <c r="AK28" s="7"/>
      <c r="AL28" s="7"/>
      <c r="AM28" s="16">
        <f t="shared" si="1"/>
        <v>0.97393017298879803</v>
      </c>
      <c r="AN28" s="16">
        <f t="shared" si="2"/>
        <v>25.684189048925994</v>
      </c>
      <c r="AO28" s="16">
        <f t="shared" si="3"/>
        <v>45.954777288445726</v>
      </c>
      <c r="AP28" s="6">
        <f t="shared" si="4"/>
        <v>175.15201569786799</v>
      </c>
      <c r="AQ28" s="15">
        <f>-X28*V28*W28^(-Parameters!B$53)*Parameters!B$47*Parameters!B$46*M28</f>
        <v>-1.8436547793714236E-5</v>
      </c>
      <c r="AR28" s="5">
        <f>1000*EXP(-(Parameters!$B$55)*'6states'!A28)*AP28*Parameters!B$47*Parameters!B$46*M28</f>
        <v>1.5960747405217763</v>
      </c>
      <c r="AS28" s="5">
        <f>SUM(AR28:AR$204)*EXP(Parameters!$B$55*A28)</f>
        <v>300.72792809241992</v>
      </c>
      <c r="AT28" s="10">
        <f t="shared" si="16"/>
        <v>0.21966230888538449</v>
      </c>
      <c r="AU28">
        <f>(1/$S28-1/Parameters!$B$13) * LN(Parameters!$B$18) / LN(O28)</f>
        <v>0.23597545546682253</v>
      </c>
      <c r="AV28">
        <f>(Parameters!$B$18*'6states'!S28^+Parameters!$B$19*Parameters!$B$25^'6states'!S28)^((1-'6states'!S28)/'6states'!S28)*Parameters!$B$18*Parameters!$B$26^('6states'!S28-1)</f>
        <v>0.25741419295682078</v>
      </c>
      <c r="AW28">
        <f t="shared" si="8"/>
        <v>0.25925877587260543</v>
      </c>
      <c r="AX28">
        <f t="shared" si="13"/>
        <v>0.15088930777793896</v>
      </c>
      <c r="AY28">
        <f t="shared" si="13"/>
        <v>0.16341397286861692</v>
      </c>
      <c r="AZ28">
        <f>(1/$S28-1/Parameters!$B$13) * LN(Parameters!$B$18) / A28</f>
        <v>2.5986167896588582E-2</v>
      </c>
    </row>
    <row r="29" spans="1:52" x14ac:dyDescent="0.35">
      <c r="A29">
        <f>A28+Parameters!$B$71</f>
        <v>25</v>
      </c>
      <c r="B29" s="26">
        <f>B28+(B30-B28)/2</f>
        <v>1.3257325972175333E-3</v>
      </c>
      <c r="C29" s="26">
        <f>C28+(C30-C28)/2</f>
        <v>8.6032154223775206E-2</v>
      </c>
      <c r="D29" s="26">
        <f>D28+(D30-D28)/2</f>
        <v>0.21496034760573893</v>
      </c>
      <c r="E29" s="5">
        <f>MAX((1-Parameters!$B$4)^Parameters!B$71*E28 + B28*Parameters!B$71 - IF(B28&gt;0,Parameters!$B$5,0)*B28^2/E28*Parameters!B$71, 0.0001)</f>
        <v>0.19050592325208077</v>
      </c>
      <c r="F29" s="5">
        <f>(1-Parameters!$B$4)^Parameters!B$71*F28+C28*Parameters!B$71-Parameters!$B$5*C28^2/F28*Parameters!B$71</f>
        <v>0.81285880876758321</v>
      </c>
      <c r="G29" s="5">
        <f>(1-Parameters!$B$4)^Parameters!B$71*G28+D28*Parameters!B$71-Parameters!$B$5*D28^2/G28*Parameters!B$71</f>
        <v>3.5476023667608887</v>
      </c>
      <c r="H29" s="7">
        <f>MAX(H28 * (1-Parameters!$B$4) ^ Parameters!B$71 + (LN(1+EXP(Parameters!$B$21*(-B28+0.004)))/Parameters!$B$21 -0.004) * Parameters!B$71,0)</f>
        <v>6.4168925182972094E-3</v>
      </c>
      <c r="I29" s="16">
        <f>I28*(1+Parameters!$B$52)^Parameters!B$71</f>
        <v>8.7726528033799838</v>
      </c>
      <c r="J29" s="16">
        <f>J28*(1+Parameters!$B$54)^Parameters!B$71</f>
        <v>14.851729893684935</v>
      </c>
      <c r="K29" s="16">
        <f>I29*J29*EXP(-Parameters!$B$43*'6states'!A29)*(Parameters!$B$38/Parameters!$B$39*('6states'!E29+'6states'!H29)/Parameters!$E$25*(EXP(-Parameters!$B$39*Parameters!$E$25*'6states'!H29/('6states'!E29+'6states'!H29))-EXP(-Parameters!$B$39*Parameters!$E$25))  +  Parameters!$B$40*'6states'!E29)</f>
        <v>15.543034843745341</v>
      </c>
      <c r="L29" s="6">
        <f>L28+K29*Parameters!B$71</f>
        <v>2939.6226839548835</v>
      </c>
      <c r="M29" s="5">
        <f>L29*Parameters!$B$46</f>
        <v>1.76377361037293</v>
      </c>
      <c r="N29" s="7">
        <f>EXP(-Parameters!$B$47/2*M29^2)</f>
        <v>0.96921916290737098</v>
      </c>
      <c r="O29" s="6">
        <f>MAX((Parameters!$B$63 + Parameters!$B$31*'6states'!A29 - '6states'!L29 + Parameters!$B$48/Parameters!$B$46)/Parameters!B$63,1)</f>
        <v>14.807546320902329</v>
      </c>
      <c r="P29" s="5">
        <f>Parameters!B$62*EXP(-Parameters!B$61*A29)</f>
        <v>0.25457821030377459</v>
      </c>
      <c r="Q29" s="5">
        <f>(1-Parameters!B$62)*O29^-Parameters!B$64</f>
        <v>0.38187541042395767</v>
      </c>
      <c r="R29" s="5">
        <f>Parameters!B$62*EXP(-Parameters!B$61*A29)+(1-Parameters!B$62)*O29^-Parameters!B$64</f>
        <v>0.63645362072773226</v>
      </c>
      <c r="S29" s="5">
        <f>1-R29/Parameters!$B$12</f>
        <v>0.68177318963613387</v>
      </c>
      <c r="T29" s="5">
        <f t="shared" si="0"/>
        <v>3.142412793116276</v>
      </c>
      <c r="U29" s="5">
        <f>(Parameters!$B$19*(E29+Parameters!$B$20)^S29+Parameters!$B$18*F29^S29)^(1/S29)</f>
        <v>0.35816260567697999</v>
      </c>
      <c r="V29" s="5">
        <f>(Parameters!$B$10*G29^Parameters!$B$9+Parameters!$B$11*U29^Parameters!$B$9)^(Parameters!$B$7/Parameters!$B$9)*N29</f>
        <v>1.3719984907793359</v>
      </c>
      <c r="W29" s="5">
        <f>V29 - C29 - D29 - LN(1+EXP(Parameters!$B$21*B29))/Parameters!$B$21 - IF(B29&gt;0, 0,Parameters!$B$6*B29^2/E29)</f>
        <v>1.0685233871333348</v>
      </c>
      <c r="X29" s="5">
        <f>EXP(-Parameters!$B$56*A29)</f>
        <v>0.68557320158429325</v>
      </c>
      <c r="Y29" s="5">
        <f>IF(W29&gt;0,W29^(1-Parameters!$B$53)/(1-Parameters!$B$53)*X29*Parameters!$B$71,-10+W29*1000)</f>
        <v>-1.9138653400870804</v>
      </c>
      <c r="AA29" s="15">
        <f t="shared" si="14"/>
        <v>-6.9719486355372066E-4</v>
      </c>
      <c r="AB29" s="15">
        <f t="shared" si="9"/>
        <v>-2.7556319106469135E-3</v>
      </c>
      <c r="AC29" s="15">
        <f t="shared" si="10"/>
        <v>3.2432733388193524E-4</v>
      </c>
      <c r="AD29" s="15">
        <f t="shared" si="6"/>
        <v>5.6112631717487893E-6</v>
      </c>
      <c r="AE29" s="15">
        <f t="shared" si="15"/>
        <v>-1.8002917297668328E-4</v>
      </c>
      <c r="AF29" s="15">
        <f t="shared" si="11"/>
        <v>5.637336193885234E-5</v>
      </c>
      <c r="AG29" s="15">
        <f t="shared" si="12"/>
        <v>-1.8982364862106527E-5</v>
      </c>
      <c r="AH29" s="15">
        <f t="shared" si="7"/>
        <v>2.4645526528722901E-8</v>
      </c>
      <c r="AI29" s="15"/>
      <c r="AK29" s="7"/>
      <c r="AL29" s="7"/>
      <c r="AM29" s="16">
        <f t="shared" si="1"/>
        <v>0.83605095777300609</v>
      </c>
      <c r="AN29" s="16">
        <f t="shared" si="2"/>
        <v>24.820839548454465</v>
      </c>
      <c r="AO29" s="16">
        <f t="shared" si="3"/>
        <v>46.664672761914183</v>
      </c>
      <c r="AP29" s="6">
        <f t="shared" si="4"/>
        <v>178.75640724983927</v>
      </c>
      <c r="AQ29" s="15">
        <f>-X29*V29*W29^(-Parameters!B$53)*Parameters!B$47*Parameters!B$46*M29</f>
        <v>-1.8295284675045554E-5</v>
      </c>
      <c r="AR29" s="5">
        <f>1000*EXP(-(Parameters!$B$55)*'6states'!A29)*AP29*Parameters!B$47*Parameters!B$46*M29</f>
        <v>1.5810964286574274</v>
      </c>
      <c r="AS29" s="5">
        <f>SUM(AR29:AR$204)*EXP(Parameters!$B$55*A29)</f>
        <v>307.63254665522226</v>
      </c>
      <c r="AT29" s="10">
        <f t="shared" si="16"/>
        <v>0.22034880975343196</v>
      </c>
      <c r="AU29">
        <f>(1/$S29-1/Parameters!$B$13) * LN(Parameters!$B$18) / LN(O29)</f>
        <v>0.23569617228575793</v>
      </c>
      <c r="AV29">
        <f>(Parameters!$B$18*'6states'!S29^+Parameters!$B$19*Parameters!$B$25^'6states'!S29)^((1-'6states'!S29)/'6states'!S29)*Parameters!$B$18*Parameters!$B$26^('6states'!S29-1)</f>
        <v>0.25973236097246832</v>
      </c>
      <c r="AW29">
        <f t="shared" si="8"/>
        <v>0.25756377441661105</v>
      </c>
      <c r="AX29">
        <f t="shared" si="13"/>
        <v>0.15072491732570781</v>
      </c>
      <c r="AY29">
        <f t="shared" si="13"/>
        <v>0.16475714633750138</v>
      </c>
      <c r="AZ29">
        <f>(1/$S29-1/Parameters!$B$13) * LN(Parameters!$B$18) / A29</f>
        <v>2.5409338396958529E-2</v>
      </c>
    </row>
    <row r="30" spans="1:52" x14ac:dyDescent="0.35">
      <c r="A30">
        <f>A29+Parameters!$B$71</f>
        <v>26</v>
      </c>
      <c r="B30" s="13">
        <v>1.1075294756664788E-3</v>
      </c>
      <c r="C30" s="13">
        <v>8.6686672558271796E-2</v>
      </c>
      <c r="D30" s="13">
        <v>0.21476328889865848</v>
      </c>
      <c r="E30" s="5">
        <f>MAX((1-Parameters!$B$4)^Parameters!B$71*E29 + B29*Parameters!B$71 - IF(B29&gt;0,Parameters!$B$5,0)*B29^2/E29*Parameters!B$71, 0.0001)</f>
        <v>0.17983960749053418</v>
      </c>
      <c r="F30" s="5">
        <f>(1-Parameters!$B$4)^Parameters!B$71*F29+C29*Parameters!B$71-Parameters!$B$5*C29^2/F29*Parameters!B$71</f>
        <v>0.83865658772666196</v>
      </c>
      <c r="G30" s="5">
        <f>(1-Parameters!$B$4)^Parameters!B$71*G29+D29*Parameters!B$71-Parameters!$B$5*D29^2/G29*Parameters!B$71</f>
        <v>3.526393404227937</v>
      </c>
      <c r="H30" s="7">
        <f>MAX(H29 * (1-Parameters!$B$4) ^ Parameters!B$71 + (LN(1+EXP(Parameters!$B$21*(-B29+0.004)))/Parameters!$B$21 -0.004) * Parameters!B$71,0)</f>
        <v>5.4250051586939001E-3</v>
      </c>
      <c r="I30" s="16">
        <f>I29*(1+Parameters!$B$52)^Parameters!B$71</f>
        <v>8.7980934965097841</v>
      </c>
      <c r="J30" s="16">
        <f>J29*(1+Parameters!$B$54)^Parameters!B$71</f>
        <v>15.148764491558634</v>
      </c>
      <c r="K30" s="16">
        <f>I30*J30*EXP(-Parameters!$B$43*'6states'!A30)*(Parameters!$B$38/Parameters!$B$39*('6states'!E30+'6states'!H30)/Parameters!$E$25*(EXP(-Parameters!$B$39*Parameters!$E$25*'6states'!H30/('6states'!E30+'6states'!H30))-EXP(-Parameters!$B$39*Parameters!$E$25))  +  Parameters!$B$40*'6states'!E30)</f>
        <v>14.961124460576455</v>
      </c>
      <c r="L30" s="6">
        <f>L29+K30*Parameters!B$71</f>
        <v>2954.5838084154598</v>
      </c>
      <c r="M30" s="5">
        <f>L30*Parameters!$B$46</f>
        <v>1.7727502850492758</v>
      </c>
      <c r="N30" s="7">
        <f>EXP(-Parameters!$B$47/2*M30^2)</f>
        <v>0.96890998328804867</v>
      </c>
      <c r="O30" s="6">
        <f>MAX((Parameters!$B$63 + Parameters!$B$31*'6states'!A30 - '6states'!L30 + Parameters!$B$48/Parameters!$B$46)/Parameters!B$63,1)</f>
        <v>15.572323831690806</v>
      </c>
      <c r="P30" s="5">
        <f>Parameters!B$62*EXP(-Parameters!B$61*A30)</f>
        <v>0.24779656284632573</v>
      </c>
      <c r="Q30" s="5">
        <f>(1-Parameters!B$62)*O30^-Parameters!B$64</f>
        <v>0.37995718521745259</v>
      </c>
      <c r="R30" s="5">
        <f>Parameters!B$62*EXP(-Parameters!B$61*A30)+(1-Parameters!B$62)*O30^-Parameters!B$64</f>
        <v>0.62775374806377826</v>
      </c>
      <c r="S30" s="5">
        <f>1-R30/Parameters!$B$12</f>
        <v>0.68612312596811087</v>
      </c>
      <c r="T30" s="5">
        <f t="shared" si="0"/>
        <v>3.1859626583970706</v>
      </c>
      <c r="U30" s="5">
        <f>(Parameters!$B$19*(E30+Parameters!$B$20)^S30+Parameters!$B$18*F30^S30)^(1/S30)</f>
        <v>0.35558501415748539</v>
      </c>
      <c r="V30" s="5">
        <f>(Parameters!$B$10*G30^Parameters!$B$9+Parameters!$B$11*U30^Parameters!$B$9)^(Parameters!$B$7/Parameters!$B$9)*N30</f>
        <v>1.3689189785373059</v>
      </c>
      <c r="W30" s="5">
        <f>V30 - C30 - D30 - LN(1+EXP(Parameters!$B$21*B30))/Parameters!$B$21 - IF(B30&gt;0, 0,Parameters!$B$6*B30^2/E30)</f>
        <v>1.0651215483818011</v>
      </c>
      <c r="X30" s="5">
        <f>EXP(-Parameters!$B$56*A30)</f>
        <v>0.67529881309466844</v>
      </c>
      <c r="Y30" s="5">
        <f>IF(W30&gt;0,W30^(1-Parameters!$B$53)/(1-Parameters!$B$53)*X30*Parameters!$B$71,-10+W30*1000)</f>
        <v>-1.8872882333476917</v>
      </c>
      <c r="AA30" s="15">
        <f t="shared" si="14"/>
        <v>-8.005807345011183E-4</v>
      </c>
      <c r="AB30" s="15">
        <f t="shared" si="9"/>
        <v>-2.4752592777133181E-3</v>
      </c>
      <c r="AC30" s="15">
        <f t="shared" si="10"/>
        <v>3.0854720078560272E-4</v>
      </c>
      <c r="AD30" s="15">
        <f t="shared" si="6"/>
        <v>4.6346023471799773E-6</v>
      </c>
      <c r="AE30" s="15">
        <f t="shared" si="15"/>
        <v>-1.0338587094739764E-4</v>
      </c>
      <c r="AF30" s="15">
        <f t="shared" si="11"/>
        <v>2.8037263293359538E-4</v>
      </c>
      <c r="AG30" s="15">
        <f t="shared" si="12"/>
        <v>-1.5780133096332527E-5</v>
      </c>
      <c r="AH30" s="15">
        <f t="shared" si="7"/>
        <v>6.0470620997976677E-8</v>
      </c>
      <c r="AI30" s="15"/>
      <c r="AK30" s="7"/>
      <c r="AL30" s="7"/>
      <c r="AM30" s="16">
        <f t="shared" si="1"/>
        <v>0.72304602401886531</v>
      </c>
      <c r="AN30" s="16">
        <f t="shared" si="2"/>
        <v>23.969067190426433</v>
      </c>
      <c r="AO30" s="16">
        <f t="shared" si="3"/>
        <v>47.392458286465668</v>
      </c>
      <c r="AP30" s="6">
        <f t="shared" si="4"/>
        <v>182.44985869721518</v>
      </c>
      <c r="AQ30" s="15">
        <f>-X30*V30*W30^(-Parameters!B$53)*Parameters!B$47*Parameters!B$46*M30</f>
        <v>-1.8150129241114698E-5</v>
      </c>
      <c r="AR30" s="5">
        <f>1000*EXP(-(Parameters!$B$55)*'6states'!A30)*AP30*Parameters!B$47*Parameters!B$46*M30</f>
        <v>1.5660342599969006</v>
      </c>
      <c r="AS30" s="5">
        <f>SUM(AR30:AR$204)*EXP(Parameters!$B$55*A30)</f>
        <v>314.68400955798512</v>
      </c>
      <c r="AT30" s="10">
        <f t="shared" si="16"/>
        <v>0.22101928286207292</v>
      </c>
      <c r="AU30">
        <f>(1/$S30-1/Parameters!$B$13) * LN(Parameters!$B$18) / LN(O30)</f>
        <v>0.23540790602368256</v>
      </c>
      <c r="AV30">
        <f>(Parameters!$B$18*'6states'!S30^+Parameters!$B$19*Parameters!$B$25^'6states'!S30)^((1-'6states'!S30)/'6states'!S30)*Parameters!$B$18*Parameters!$B$26^('6states'!S30-1)</f>
        <v>0.26192974821665471</v>
      </c>
      <c r="AW30">
        <f t="shared" si="8"/>
        <v>0.25590802233001736</v>
      </c>
      <c r="AX30">
        <f t="shared" si="13"/>
        <v>0.15055520591280369</v>
      </c>
      <c r="AY30">
        <f t="shared" si="13"/>
        <v>0.16602834705961311</v>
      </c>
      <c r="AZ30">
        <f>(1/$S30-1/Parameters!$B$13) * LN(Parameters!$B$18) / A30</f>
        <v>2.4858126230221485E-2</v>
      </c>
    </row>
    <row r="31" spans="1:52" x14ac:dyDescent="0.35">
      <c r="A31">
        <f>A30+Parameters!$B$71</f>
        <v>27</v>
      </c>
      <c r="B31" s="26">
        <f>B30+(B32-B30)/2</f>
        <v>1.0966744174482042E-3</v>
      </c>
      <c r="C31" s="26">
        <f>C30+(C32-C30)/2</f>
        <v>8.7206922203845461E-2</v>
      </c>
      <c r="D31" s="26">
        <f>D30+(D32-D30)/2</f>
        <v>0.2145840895701138</v>
      </c>
      <c r="E31" s="5">
        <f>MAX((1-Parameters!$B$4)^Parameters!B$71*E30 + B30*Parameters!B$71 - IF(B30&gt;0,Parameters!$B$5,0)*B30^2/E30*Parameters!B$71, 0.0001)</f>
        <v>0.16962840501327206</v>
      </c>
      <c r="F31" s="5">
        <f>(1-Parameters!$B$4)^Parameters!B$71*F30+C30*Parameters!B$71-Parameters!$B$5*C30^2/F30*Parameters!B$71</f>
        <v>0.86363150315564841</v>
      </c>
      <c r="G31" s="5">
        <f>(1-Parameters!$B$4)^Parameters!B$71*G30+D30*Parameters!B$71-Parameters!$B$5*D30^2/G30*Parameters!B$71</f>
        <v>3.5062671025243626</v>
      </c>
      <c r="H31" s="7">
        <f>MAX(H30 * (1-Parameters!$B$4) ^ Parameters!B$71 + (LN(1+EXP(Parameters!$B$21*(-B30+0.004)))/Parameters!$B$21 -0.004) * Parameters!B$71,0)</f>
        <v>4.659753982556936E-3</v>
      </c>
      <c r="I31" s="16">
        <f>I30*(1+Parameters!$B$52)^Parameters!B$71</f>
        <v>8.8236079676496608</v>
      </c>
      <c r="J31" s="16">
        <f>J30*(1+Parameters!$B$54)^Parameters!B$71</f>
        <v>15.451739781389806</v>
      </c>
      <c r="K31" s="16">
        <f>I31*J31*EXP(-Parameters!$B$43*'6states'!A31)*(Parameters!$B$38/Parameters!$B$39*('6states'!E31+'6states'!H31)/Parameters!$E$25*(EXP(-Parameters!$B$39*Parameters!$E$25*'6states'!H31/('6states'!E31+'6states'!H31))-EXP(-Parameters!$B$39*Parameters!$E$25))  +  Parameters!$B$40*'6states'!E31)</f>
        <v>14.375803597772187</v>
      </c>
      <c r="L31" s="6">
        <f>L30+K31*Parameters!B$71</f>
        <v>2968.9596120132319</v>
      </c>
      <c r="M31" s="5">
        <f>L31*Parameters!$B$46</f>
        <v>1.7813757672079389</v>
      </c>
      <c r="N31" s="7">
        <f>EXP(-Parameters!$B$47/2*M31^2)</f>
        <v>0.96861151458362904</v>
      </c>
      <c r="O31" s="6">
        <f>MAX((Parameters!$B$63 + Parameters!$B$31*'6states'!A31 - '6states'!L31 + Parameters!$B$48/Parameters!$B$46)/Parameters!B$63,1)</f>
        <v>16.348807759735365</v>
      </c>
      <c r="P31" s="5">
        <f>Parameters!B$62*EXP(-Parameters!B$61*A31)</f>
        <v>0.24119557005756295</v>
      </c>
      <c r="Q31" s="5">
        <f>(1-Parameters!B$62)*O31^-Parameters!B$64</f>
        <v>0.37811281404361752</v>
      </c>
      <c r="R31" s="5">
        <f>Parameters!B$62*EXP(-Parameters!B$61*A31)+(1-Parameters!B$62)*O31^-Parameters!B$64</f>
        <v>0.6193083841011805</v>
      </c>
      <c r="S31" s="5">
        <f>1-R31/Parameters!$B$12</f>
        <v>0.69034580794940981</v>
      </c>
      <c r="T31" s="5">
        <f t="shared" si="0"/>
        <v>3.2294088879527378</v>
      </c>
      <c r="U31" s="5">
        <f>(Parameters!$B$19*(E31+Parameters!$B$20)^S31+Parameters!$B$18*F31^S31)^(1/S31)</f>
        <v>0.35307823607637606</v>
      </c>
      <c r="V31" s="5">
        <f>(Parameters!$B$10*G31^Parameters!$B$9+Parameters!$B$11*U31^Parameters!$B$9)^(Parameters!$B$7/Parameters!$B$9)*N31</f>
        <v>1.3659544971340789</v>
      </c>
      <c r="W31" s="5">
        <f>V31 - C31 - D31 - LN(1+EXP(Parameters!$B$21*B31))/Parameters!$B$21 - IF(B31&gt;0, 0,Parameters!$B$6*B31^2/E31)</f>
        <v>1.061822621522807</v>
      </c>
      <c r="X31" s="5">
        <f>EXP(-Parameters!$B$56*A31)</f>
        <v>0.66517840241309079</v>
      </c>
      <c r="Y31" s="5">
        <f>IF(W31&gt;0,W31^(1-Parameters!$B$53)/(1-Parameters!$B$53)*X31*Parameters!$B$71,-10+W31*1000)</f>
        <v>-1.8610237033375938</v>
      </c>
      <c r="AA31" s="15">
        <f t="shared" si="14"/>
        <v>3.0672874900869885E-4</v>
      </c>
      <c r="AB31" s="15">
        <f t="shared" si="9"/>
        <v>-2.3867248311820466E-3</v>
      </c>
      <c r="AC31" s="15">
        <f t="shared" si="10"/>
        <v>2.9847306619956021E-4</v>
      </c>
      <c r="AD31" s="15">
        <f t="shared" si="6"/>
        <v>3.9109989766002745E-6</v>
      </c>
      <c r="AE31" s="15">
        <f t="shared" si="15"/>
        <v>1.1073094835098172E-3</v>
      </c>
      <c r="AF31" s="15">
        <f t="shared" si="11"/>
        <v>8.8534446531271516E-5</v>
      </c>
      <c r="AG31" s="15">
        <f t="shared" si="12"/>
        <v>-1.0074134586042505E-5</v>
      </c>
      <c r="AH31" s="15">
        <f t="shared" si="7"/>
        <v>8.2087945737537744E-7</v>
      </c>
      <c r="AI31" s="15"/>
      <c r="AK31" s="7"/>
      <c r="AL31" s="7"/>
      <c r="AM31" s="16">
        <f t="shared" si="1"/>
        <v>0.6353112971595265</v>
      </c>
      <c r="AN31" s="16">
        <f t="shared" si="2"/>
        <v>23.127152726837465</v>
      </c>
      <c r="AO31" s="16">
        <f t="shared" si="3"/>
        <v>48.138719983966269</v>
      </c>
      <c r="AP31" s="6">
        <f t="shared" si="4"/>
        <v>186.23436487927009</v>
      </c>
      <c r="AQ31" s="15">
        <f>-X31*V31*W31^(-Parameters!B$53)*Parameters!B$47*Parameters!B$46*M31</f>
        <v>-1.8001432061406142E-5</v>
      </c>
      <c r="AR31" s="5">
        <f>1000*EXP(-(Parameters!$B$55)*'6states'!A31)*AP31*Parameters!B$47*Parameters!B$46*M31</f>
        <v>1.5508928351792306</v>
      </c>
      <c r="AS31" s="5">
        <f>SUM(AR31:AR$204)*EXP(Parameters!$B$55*A31)</f>
        <v>321.88554606577975</v>
      </c>
      <c r="AT31" s="10">
        <f t="shared" si="16"/>
        <v>0.22174068523285279</v>
      </c>
      <c r="AU31">
        <f>(1/$S31-1/Parameters!$B$13) * LN(Parameters!$B$18) / LN(O31)</f>
        <v>0.23510918237315806</v>
      </c>
      <c r="AV31">
        <f>(Parameters!$B$18*'6states'!S31^+Parameters!$B$19*Parameters!$B$25^'6states'!S31)^((1-'6states'!S31)/'6states'!S31)*Parameters!$B$18*Parameters!$B$26^('6states'!S31-1)</f>
        <v>0.26401376894307438</v>
      </c>
      <c r="AW31">
        <f t="shared" si="8"/>
        <v>0.25428767748339154</v>
      </c>
      <c r="AX31">
        <f t="shared" si="13"/>
        <v>0.15037930212508677</v>
      </c>
      <c r="AY31">
        <f t="shared" si="13"/>
        <v>0.16723217701359416</v>
      </c>
      <c r="AZ31">
        <f>(1/$S31-1/Parameters!$B$13) * LN(Parameters!$B$18) / A31</f>
        <v>2.4330795983219029E-2</v>
      </c>
    </row>
    <row r="32" spans="1:52" x14ac:dyDescent="0.35">
      <c r="A32">
        <f>A31+Parameters!$B$71</f>
        <v>28</v>
      </c>
      <c r="B32" s="13">
        <v>1.0858193592299297E-3</v>
      </c>
      <c r="C32" s="13">
        <v>8.7727171849419125E-2</v>
      </c>
      <c r="D32" s="13">
        <v>0.21440489024156911</v>
      </c>
      <c r="E32" s="5">
        <f>MAX((1-Parameters!$B$4)^Parameters!B$71*E31 + B31*Parameters!B$71 - IF(B31&gt;0,Parameters!$B$5,0)*B31^2/E31*Parameters!B$71, 0.0001)</f>
        <v>0.16004836258214597</v>
      </c>
      <c r="F32" s="5">
        <f>(1-Parameters!$B$4)^Parameters!B$71*F31+C31*Parameters!B$71-Parameters!$B$5*C31^2/F31*Parameters!B$71</f>
        <v>0.8877101100328364</v>
      </c>
      <c r="G32" s="5">
        <f>(1-Parameters!$B$4)^Parameters!B$71*G31+D31*Parameters!B$71-Parameters!$B$5*D31^2/G31*Parameters!B$71</f>
        <v>3.4871744118387071</v>
      </c>
      <c r="H32" s="7">
        <f>MAX(H31 * (1-Parameters!$B$4) ^ Parameters!B$71 + (LN(1+EXP(Parameters!$B$21*(-B31+0.004)))/Parameters!$B$21 -0.004) * Parameters!B$71,0)</f>
        <v>3.9508997567988787E-3</v>
      </c>
      <c r="I32" s="16">
        <f>I31*(1+Parameters!$B$52)^Parameters!B$71</f>
        <v>8.8491964307558444</v>
      </c>
      <c r="J32" s="16">
        <f>J31*(1+Parameters!$B$54)^Parameters!B$71</f>
        <v>15.760774577017603</v>
      </c>
      <c r="K32" s="16">
        <f>I32*J32*EXP(-Parameters!$B$43*'6states'!A32)*(Parameters!$B$38/Parameters!$B$39*('6states'!E32+'6states'!H32)/Parameters!$E$25*(EXP(-Parameters!$B$39*Parameters!$E$25*'6states'!H32/('6states'!E32+'6states'!H32))-EXP(-Parameters!$B$39*Parameters!$E$25))  +  Parameters!$B$40*'6states'!E32)</f>
        <v>13.829929836216763</v>
      </c>
      <c r="L32" s="6">
        <f>L31+K32*Parameters!B$71</f>
        <v>2982.7895418494486</v>
      </c>
      <c r="M32" s="5">
        <f>L32*Parameters!$B$46</f>
        <v>1.789673725109669</v>
      </c>
      <c r="N32" s="7">
        <f>EXP(-Parameters!$B$47/2*M32^2)</f>
        <v>0.9683230994003279</v>
      </c>
      <c r="O32" s="6">
        <f>MAX((Parameters!$B$63 + Parameters!$B$31*'6states'!A32 - '6states'!L32 + Parameters!$B$48/Parameters!$B$46)/Parameters!B$63,1)</f>
        <v>17.136209163011031</v>
      </c>
      <c r="P32" s="5">
        <f>Parameters!B$62*EXP(-Parameters!B$61*A32)</f>
        <v>0.23477041952139963</v>
      </c>
      <c r="Q32" s="5">
        <f>(1-Parameters!B$62)*O32^-Parameters!B$64</f>
        <v>0.37633839541641079</v>
      </c>
      <c r="R32" s="5">
        <f>Parameters!B$62*EXP(-Parameters!B$61*A32)+(1-Parameters!B$62)*O32^-Parameters!B$64</f>
        <v>0.61110881493781044</v>
      </c>
      <c r="S32" s="5">
        <f>1-R32/Parameters!$B$12</f>
        <v>0.69444559253109484</v>
      </c>
      <c r="T32" s="5">
        <f t="shared" si="0"/>
        <v>3.2727395696354513</v>
      </c>
      <c r="U32" s="5">
        <f>(Parameters!$B$19*(E32+Parameters!$B$20)^S32+Parameters!$B$18*F32^S32)^(1/S32)</f>
        <v>0.35079416539769975</v>
      </c>
      <c r="V32" s="5">
        <f>(Parameters!$B$10*G32^Parameters!$B$9+Parameters!$B$11*U32^Parameters!$B$9)^(Parameters!$B$7/Parameters!$B$9)*N32</f>
        <v>1.3631639948464849</v>
      </c>
      <c r="W32" s="5">
        <f>V32 - C32 - D32 - LN(1+EXP(Parameters!$B$21*B32))/Parameters!$B$21 - IF(B32&gt;0, 0,Parameters!$B$6*B32^2/E32)</f>
        <v>1.0586976625453928</v>
      </c>
      <c r="X32" s="5">
        <f>EXP(-Parameters!$B$56*A32)</f>
        <v>0.65520966194087471</v>
      </c>
      <c r="Y32" s="5">
        <f>IF(W32&gt;0,W32^(1-Parameters!$B$53)/(1-Parameters!$B$53)*X32*Parameters!$B$71,-10+W32*1000)</f>
        <v>-1.8350253353101886</v>
      </c>
      <c r="AA32" s="15">
        <f t="shared" si="14"/>
        <v>3.1916245605326417E-4</v>
      </c>
      <c r="AB32" s="15">
        <f t="shared" si="9"/>
        <v>-2.1528829383258424E-3</v>
      </c>
      <c r="AC32" s="15">
        <f t="shared" si="10"/>
        <v>2.8368993942221032E-4</v>
      </c>
      <c r="AD32" s="15">
        <f t="shared" si="6"/>
        <v>3.1563084826987563E-6</v>
      </c>
      <c r="AE32" s="15">
        <f t="shared" si="15"/>
        <v>1.2433707044565319E-5</v>
      </c>
      <c r="AF32" s="15">
        <f t="shared" si="11"/>
        <v>2.3384189285620416E-4</v>
      </c>
      <c r="AG32" s="15">
        <f t="shared" si="12"/>
        <v>-1.4783126777349886E-5</v>
      </c>
      <c r="AH32" s="15">
        <f t="shared" si="7"/>
        <v>3.6072678513144304E-8</v>
      </c>
      <c r="AI32" s="15"/>
      <c r="AK32" s="7"/>
      <c r="AL32" s="7"/>
      <c r="AM32" s="16">
        <f t="shared" si="1"/>
        <v>0.55103274027673488</v>
      </c>
      <c r="AN32" s="16">
        <f t="shared" si="2"/>
        <v>22.321975559789873</v>
      </c>
      <c r="AO32" s="16">
        <f t="shared" si="3"/>
        <v>48.925328945526218</v>
      </c>
      <c r="AP32" s="6">
        <f t="shared" si="4"/>
        <v>190.12074154355136</v>
      </c>
      <c r="AQ32" s="15">
        <f>-X32*V32*W32^(-Parameters!B$53)*Parameters!B$47*Parameters!B$46*M32</f>
        <v>-1.7848734577308672E-5</v>
      </c>
      <c r="AR32" s="5">
        <f>1000*EXP(-(Parameters!$B$55)*'6states'!A32)*AP32*Parameters!B$47*Parameters!B$46*M32</f>
        <v>1.5357695504581916</v>
      </c>
      <c r="AS32" s="5">
        <f>SUM(AR32:AR$204)*EXP(Parameters!$B$55*A32)</f>
        <v>329.2404795417952</v>
      </c>
      <c r="AT32" s="10">
        <f t="shared" si="16"/>
        <v>0.22243683268964684</v>
      </c>
      <c r="AU32">
        <f>(1/$S32-1/Parameters!$B$13) * LN(Parameters!$B$18) / LN(O32)</f>
        <v>0.23480237650862876</v>
      </c>
      <c r="AV32">
        <f>(Parameters!$B$18*'6states'!S32^+Parameters!$B$19*Parameters!$B$25^'6states'!S32)^((1-'6states'!S32)/'6states'!S32)*Parameters!$B$18*Parameters!$B$26^('6states'!S32-1)</f>
        <v>0.26599082105934874</v>
      </c>
      <c r="AW32">
        <f t="shared" si="8"/>
        <v>0.25270354432703268</v>
      </c>
      <c r="AX32">
        <f t="shared" si="13"/>
        <v>0.15019860119771511</v>
      </c>
      <c r="AY32">
        <f t="shared" si="13"/>
        <v>0.16837261053172181</v>
      </c>
      <c r="AZ32">
        <f>(1/$S32-1/Parameters!$B$13) * LN(Parameters!$B$18) / A32</f>
        <v>2.3825679910870003E-2</v>
      </c>
    </row>
    <row r="33" spans="1:52" x14ac:dyDescent="0.35">
      <c r="A33">
        <f>A32+Parameters!$B$71</f>
        <v>29</v>
      </c>
      <c r="B33" s="26">
        <f>B32+(B34-B32)/2</f>
        <v>1.0994217119007616E-3</v>
      </c>
      <c r="C33" s="26">
        <f>C32+(C34-C32)/2</f>
        <v>8.794016516739489E-2</v>
      </c>
      <c r="D33" s="26">
        <f>D32+(D34-D32)/2</f>
        <v>0.2146163161673956</v>
      </c>
      <c r="E33" s="5">
        <f>MAX((1-Parameters!$B$4)^Parameters!B$71*E32 + B32*Parameters!B$71 - IF(B32&gt;0,Parameters!$B$5,0)*B32^2/E32*Parameters!B$71, 0.0001)</f>
        <v>0.15105977338861096</v>
      </c>
      <c r="F33" s="5">
        <f>(1-Parameters!$B$4)^Parameters!B$71*F32+C32*Parameters!B$71-Parameters!$B$5*C32^2/F32*Parameters!B$71</f>
        <v>0.91093075526370881</v>
      </c>
      <c r="G33" s="5">
        <f>(1-Parameters!$B$4)^Parameters!B$71*G32+D32*Parameters!B$71-Parameters!$B$5*D32^2/G32*Parameters!B$71</f>
        <v>3.4690535945849632</v>
      </c>
      <c r="H33" s="7">
        <f>MAX(H32 * (1-Parameters!$B$4) ^ Parameters!B$71 + (LN(1+EXP(Parameters!$B$21*(-B32+0.004)))/Parameters!$B$21 -0.004) * Parameters!B$71,0)</f>
        <v>3.2949036715809632E-3</v>
      </c>
      <c r="I33" s="16">
        <f>I32*(1+Parameters!$B$52)^Parameters!B$71</f>
        <v>8.8748591004050361</v>
      </c>
      <c r="J33" s="16">
        <f>J32*(1+Parameters!$B$54)^Parameters!B$71</f>
        <v>16.075990068557957</v>
      </c>
      <c r="K33" s="16">
        <f>I33*J33*EXP(-Parameters!$B$43*'6states'!A33)*(Parameters!$B$38/Parameters!$B$39*('6states'!E33+'6states'!H33)/Parameters!$E$25*(EXP(-Parameters!$B$39*Parameters!$E$25*'6states'!H33/('6states'!E33+'6states'!H33))-EXP(-Parameters!$B$39*Parameters!$E$25))  +  Parameters!$B$40*'6states'!E33)</f>
        <v>13.322873054933051</v>
      </c>
      <c r="L33" s="6">
        <f>L32+K33*Parameters!B$71</f>
        <v>2996.1124149043817</v>
      </c>
      <c r="M33" s="5">
        <f>L33*Parameters!$B$46</f>
        <v>1.7976674489426288</v>
      </c>
      <c r="N33" s="7">
        <f>EXP(-Parameters!$B$47/2*M33^2)</f>
        <v>0.96804407280698268</v>
      </c>
      <c r="O33" s="6">
        <f>MAX((Parameters!$B$63 + Parameters!$B$31*'6states'!A33 - '6states'!L33 + Parameters!$B$48/Parameters!$B$46)/Parameters!B$63,1)</f>
        <v>17.933751701912371</v>
      </c>
      <c r="P33" s="5">
        <f>Parameters!B$62*EXP(-Parameters!B$61*A33)</f>
        <v>0.22851642701853894</v>
      </c>
      <c r="Q33" s="5">
        <f>(1-Parameters!B$62)*O33^-Parameters!B$64</f>
        <v>0.37463029051120733</v>
      </c>
      <c r="R33" s="5">
        <f>Parameters!B$62*EXP(-Parameters!B$61*A33)+(1-Parameters!B$62)*O33^-Parameters!B$64</f>
        <v>0.60314671752974625</v>
      </c>
      <c r="S33" s="5">
        <f>1-R33/Parameters!$B$12</f>
        <v>0.69842664123512688</v>
      </c>
      <c r="T33" s="5">
        <f t="shared" si="0"/>
        <v>3.3159427745726946</v>
      </c>
      <c r="U33" s="5">
        <f>(Parameters!$B$19*(E33+Parameters!$B$20)^S33+Parameters!$B$18*F33^S33)^(1/S33)</f>
        <v>0.34872723478667333</v>
      </c>
      <c r="V33" s="5">
        <f>(Parameters!$B$10*G33^Parameters!$B$9+Parameters!$B$11*U33^Parameters!$B$9)^(Parameters!$B$7/Parameters!$B$9)*N33</f>
        <v>1.3605417712297145</v>
      </c>
      <c r="W33" s="5">
        <f>V33 - C33 - D33 - LN(1+EXP(Parameters!$B$21*B33))/Parameters!$B$21 - IF(B33&gt;0, 0,Parameters!$B$6*B33^2/E33)</f>
        <v>1.0556427555021155</v>
      </c>
      <c r="X33" s="5">
        <f>EXP(-Parameters!$B$56*A33)</f>
        <v>0.64539031866231678</v>
      </c>
      <c r="Y33" s="5">
        <f>IF(W33&gt;0,W33^(1-Parameters!$B$53)/(1-Parameters!$B$53)*X33*Parameters!$B$71,-10+W33*1000)</f>
        <v>-1.8093536545718394</v>
      </c>
      <c r="AA33" s="15">
        <f t="shared" si="14"/>
        <v>4.9373714361839339E-4</v>
      </c>
      <c r="AB33" s="15">
        <f t="shared" si="9"/>
        <v>-2.2853181075062068E-3</v>
      </c>
      <c r="AC33" s="15">
        <f t="shared" si="10"/>
        <v>3.8211097203131456E-4</v>
      </c>
      <c r="AD33" s="15">
        <f t="shared" si="6"/>
        <v>3.6222299387543555E-6</v>
      </c>
      <c r="AE33" s="15">
        <f t="shared" si="15"/>
        <v>1.7457468756512922E-4</v>
      </c>
      <c r="AF33" s="15">
        <f t="shared" si="11"/>
        <v>-1.3243516918036435E-4</v>
      </c>
      <c r="AG33" s="15">
        <f t="shared" si="12"/>
        <v>9.8421032609104231E-5</v>
      </c>
      <c r="AH33" s="15">
        <f t="shared" si="7"/>
        <v>3.7240373630642755E-8</v>
      </c>
      <c r="AI33" s="15"/>
      <c r="AK33" s="7"/>
      <c r="AL33" s="7"/>
      <c r="AM33" s="16">
        <f t="shared" si="1"/>
        <v>0.47009098018514889</v>
      </c>
      <c r="AN33" s="16">
        <f t="shared" si="2"/>
        <v>21.552022158124469</v>
      </c>
      <c r="AO33" s="16">
        <f t="shared" si="3"/>
        <v>49.753663219982727</v>
      </c>
      <c r="AP33" s="6">
        <f t="shared" si="4"/>
        <v>194.11141525522416</v>
      </c>
      <c r="AQ33" s="15">
        <f>-X33*V33*W33^(-Parameters!B$53)*Parameters!B$47*Parameters!B$46*M33</f>
        <v>-1.7694694829726457E-5</v>
      </c>
      <c r="AR33" s="5">
        <f>1000*EXP(-(Parameters!$B$55)*'6states'!A33)*AP33*Parameters!B$47*Parameters!B$46*M33</f>
        <v>1.5206854312372282</v>
      </c>
      <c r="AS33" s="5">
        <f>SUM(AR33:AR$204)*EXP(Parameters!$B$55*A33)</f>
        <v>336.75197446044825</v>
      </c>
      <c r="AT33" s="10">
        <f t="shared" si="16"/>
        <v>0.22318749006304625</v>
      </c>
      <c r="AU33">
        <f>(1/$S33-1/Parameters!$B$13) * LN(Parameters!$B$18) / LN(O33)</f>
        <v>0.23448945614624814</v>
      </c>
      <c r="AV33">
        <f>(Parameters!$B$18*'6states'!S33^+Parameters!$B$19*Parameters!$B$25^'6states'!S33)^((1-'6states'!S33)/'6states'!S33)*Parameters!$B$18*Parameters!$B$26^('6states'!S33-1)</f>
        <v>0.26786692729489237</v>
      </c>
      <c r="AW33">
        <f t="shared" si="8"/>
        <v>0.25115603648512425</v>
      </c>
      <c r="AX33">
        <f t="shared" si="13"/>
        <v>0.15001425939626967</v>
      </c>
      <c r="AY33">
        <f t="shared" si="13"/>
        <v>0.16945337067623356</v>
      </c>
      <c r="AZ33">
        <f>(1/$S33-1/Parameters!$B$13) * LN(Parameters!$B$18) / A33</f>
        <v>2.3341278627231475E-2</v>
      </c>
    </row>
    <row r="34" spans="1:52" s="30" customFormat="1" x14ac:dyDescent="0.35">
      <c r="A34" s="30">
        <f>A33+Parameters!$B$71</f>
        <v>30</v>
      </c>
      <c r="B34" s="31">
        <v>1.1130240645715935E-3</v>
      </c>
      <c r="C34" s="31">
        <v>8.8153158485370656E-2</v>
      </c>
      <c r="D34" s="31">
        <v>0.21482774209322208</v>
      </c>
      <c r="E34" s="32">
        <f>MAX((1-Parameters!$B$4)^Parameters!B$71*E33 + B33*Parameters!B$71 - IF(B33&gt;0,Parameters!$B$5,0)*B33^2/E33*Parameters!B$71, 0.0001)</f>
        <v>0.14264953369996677</v>
      </c>
      <c r="F34" s="32">
        <f>(1-Parameters!$B$4)^Parameters!B$71*F33+C33*Parameters!B$71-Parameters!$B$5*C33^2/F33*Parameters!B$71</f>
        <v>0.93308373760181607</v>
      </c>
      <c r="G34" s="32">
        <f>(1-Parameters!$B$4)^Parameters!B$71*G33+D33*Parameters!B$71-Parameters!$B$5*D33^2/G33*Parameters!B$71</f>
        <v>3.4521889961343173</v>
      </c>
      <c r="H34" s="33">
        <f>MAX(H33 * (1-Parameters!$B$4) ^ Parameters!B$71 + (LN(1+EXP(Parameters!$B$21*(-B33+0.004)))/Parameters!$B$21 -0.004) * Parameters!B$71,0)</f>
        <v>2.6698065355712517E-3</v>
      </c>
      <c r="I34" s="34">
        <f>I33*(1+Parameters!$B$52)^Parameters!B$71</f>
        <v>8.9005961917962093</v>
      </c>
      <c r="J34" s="34">
        <f>J33*(1+Parameters!$B$54)^Parameters!B$71</f>
        <v>16.397509869929117</v>
      </c>
      <c r="K34" s="34">
        <f>I34*J34*EXP(-Parameters!$B$43*'6states'!A34)*(Parameters!$B$38/Parameters!$B$39*('6states'!E34+'6states'!H34)/Parameters!$E$25*(EXP(-Parameters!$B$39*Parameters!$E$25*'6states'!H34/('6states'!E34+'6states'!H34))-EXP(-Parameters!$B$39*Parameters!$E$25))  +  Parameters!$B$40*'6states'!E34)</f>
        <v>12.861964165385208</v>
      </c>
      <c r="L34" s="35">
        <f>L33+K34*Parameters!B$71</f>
        <v>3008.9743790697671</v>
      </c>
      <c r="M34" s="32">
        <f>L34*Parameters!$B$46</f>
        <v>1.8053846274418601</v>
      </c>
      <c r="N34" s="33">
        <f>EXP(-Parameters!$B$47/2*M34^2)</f>
        <v>0.96777359626980797</v>
      </c>
      <c r="O34" s="35">
        <f>MAX((Parameters!$B$63 + Parameters!$B$31*'6states'!A34 - '6states'!L34 + Parameters!$B$48/Parameters!$B$46)/Parameters!B$63,1)</f>
        <v>18.740512418604659</v>
      </c>
      <c r="P34" s="32">
        <f>Parameters!B$62*EXP(-Parameters!B$61*A34)</f>
        <v>0.22242903311147058</v>
      </c>
      <c r="Q34" s="32">
        <f>(1-Parameters!B$62)*O34^-Parameters!B$64</f>
        <v>0.37298542224276382</v>
      </c>
      <c r="R34" s="32">
        <f>Parameters!B$62*EXP(-Parameters!B$61*A34)+(1-Parameters!B$62)*O34^-Parameters!B$64</f>
        <v>0.59541445535423443</v>
      </c>
      <c r="S34" s="32">
        <f>1-R34/Parameters!$B$12</f>
        <v>0.70229277232288279</v>
      </c>
      <c r="T34" s="32">
        <f t="shared" si="0"/>
        <v>3.3590047772859744</v>
      </c>
      <c r="U34" s="32">
        <f>(Parameters!$B$19*(E34+Parameters!$B$20)^S34+Parameters!$B$18*F34^S34)^(1/S34)</f>
        <v>0.34683663726739372</v>
      </c>
      <c r="V34" s="32">
        <f>(Parameters!$B$10*G34^Parameters!$B$9+Parameters!$B$11*U34^Parameters!$B$9)^(Parameters!$B$7/Parameters!$B$9)*N34</f>
        <v>1.3580932239874275</v>
      </c>
      <c r="W34" s="32">
        <f>V34 - C34 - D34 - LN(1+EXP(Parameters!$B$21*B34))/Parameters!$B$21 - IF(B34&gt;0, 0,Parameters!$B$6*B34^2/E34)</f>
        <v>1.0527615071974505</v>
      </c>
      <c r="X34" s="32">
        <f>EXP(-Parameters!$B$56*A34)</f>
        <v>0.63571813362641427</v>
      </c>
      <c r="Y34" s="32">
        <f>IF(W34&gt;0,W34^(1-Parameters!$B$53)/(1-Parameters!$B$53)*X34*Parameters!$B$71,-10+W34*1000)</f>
        <v>-1.7839433389690447</v>
      </c>
      <c r="AA34" s="37">
        <f t="shared" si="14"/>
        <v>5.2445008762516329E-4</v>
      </c>
      <c r="AB34" s="37">
        <f t="shared" si="9"/>
        <v>-2.0637259153553772E-3</v>
      </c>
      <c r="AC34" s="37">
        <f t="shared" si="10"/>
        <v>3.634709538423847E-4</v>
      </c>
      <c r="AD34" s="37">
        <f t="shared" si="6"/>
        <v>2.9663394386494871E-6</v>
      </c>
      <c r="AE34" s="37">
        <f t="shared" si="15"/>
        <v>3.0712944006769903E-5</v>
      </c>
      <c r="AF34" s="37">
        <f t="shared" si="11"/>
        <v>2.2159219215082959E-4</v>
      </c>
      <c r="AG34" s="37">
        <f t="shared" si="12"/>
        <v>-1.8640018188929852E-5</v>
      </c>
      <c r="AH34" s="37">
        <f t="shared" si="7"/>
        <v>3.2036274624314353E-8</v>
      </c>
      <c r="AI34" s="37"/>
      <c r="AK34" s="33"/>
      <c r="AL34" s="33"/>
      <c r="AM34" s="34">
        <f t="shared" si="1"/>
        <v>0.38965189344987805</v>
      </c>
      <c r="AN34" s="34">
        <f t="shared" si="2"/>
        <v>20.819359067918811</v>
      </c>
      <c r="AO34" s="34">
        <f t="shared" si="3"/>
        <v>50.619979623396851</v>
      </c>
      <c r="AP34" s="35">
        <f t="shared" si="4"/>
        <v>198.21046549911244</v>
      </c>
      <c r="AQ34" s="37">
        <f>-X34*V34*W34^(-Parameters!B$53)*Parameters!B$47*Parameters!B$46*M34</f>
        <v>-1.7537421250003329E-5</v>
      </c>
      <c r="AR34" s="32">
        <f>1000*EXP(-(Parameters!$B$55)*'6states'!A34)*AP34*Parameters!B$47*Parameters!B$46*M34</f>
        <v>1.5056760419015225</v>
      </c>
      <c r="AS34" s="32">
        <f>SUM(AR34:AR$204)*EXP(Parameters!$B$55*A34)</f>
        <v>344.42321340760986</v>
      </c>
      <c r="AT34" s="36">
        <f t="shared" si="16"/>
        <v>0.2239124084209255</v>
      </c>
      <c r="AU34" s="30">
        <f>(1/$S34-1/Parameters!$B$13) * LN(Parameters!$B$18) / LN(O34)</f>
        <v>0.2341726088038818</v>
      </c>
      <c r="AV34" s="30">
        <f>(Parameters!$B$18*'6states'!S34^+Parameters!$B$19*Parameters!$B$25^'6states'!S34)^((1-'6states'!S34)/'6states'!S34)*Parameters!$B$18*Parameters!$B$26^('6states'!S34-1)</f>
        <v>0.26964768291948277</v>
      </c>
      <c r="AW34" s="30">
        <f t="shared" si="8"/>
        <v>0.2496459008548837</v>
      </c>
      <c r="AX34" s="30">
        <f t="shared" si="13"/>
        <v>0.14982756346171766</v>
      </c>
      <c r="AY34" s="30">
        <f t="shared" si="13"/>
        <v>0.1704779033258641</v>
      </c>
      <c r="AZ34" s="30">
        <f>(1/$S34-1/Parameters!$B$13) * LN(Parameters!$B$18) / A34</f>
        <v>2.2876225518914484E-2</v>
      </c>
    </row>
    <row r="35" spans="1:52" x14ac:dyDescent="0.35">
      <c r="A35">
        <f>A34+Parameters!$B$71</f>
        <v>31</v>
      </c>
      <c r="B35" s="7">
        <f>B34+(B36-B34)/2</f>
        <v>1.1212211385380469E-3</v>
      </c>
      <c r="C35" s="7">
        <f>C34+(C36-C34)/2</f>
        <v>8.8404857578413973E-2</v>
      </c>
      <c r="D35" s="7">
        <f>D34+(D36-D34)/2</f>
        <v>0.21484566140288075</v>
      </c>
      <c r="E35" s="5">
        <f>MAX((1-Parameters!$B$4)^Parameters!B$71*E34 + B34*Parameters!B$71 - IF(B34&gt;0,Parameters!$B$5,0)*B34^2/E34*Parameters!B$71, 0.0001)</f>
        <v>0.13478121771613649</v>
      </c>
      <c r="F35" s="5">
        <f>(1-Parameters!$B$4)^Parameters!B$71*F34+C34*Parameters!B$71-Parameters!$B$5*C34^2/F34*Parameters!B$71</f>
        <v>0.95421765250645185</v>
      </c>
      <c r="G35" s="5">
        <f>(1-Parameters!$B$4)^Parameters!B$71*G34+D34*Parameters!B$71-Parameters!$B$5*D34^2/G34*Parameters!B$71</f>
        <v>3.4365054431407418</v>
      </c>
      <c r="H35" s="7">
        <f>MAX(H34 * (1-Parameters!$B$4) ^ Parameters!B$71 + (LN(1+EXP(Parameters!$B$21*(-B34+0.004)))/Parameters!$B$21 -0.004) * Parameters!B$71,0)</f>
        <v>2.0736782511656016E-3</v>
      </c>
      <c r="I35" s="16">
        <f>I34*(1+Parameters!$B$52)^Parameters!B$71</f>
        <v>8.9264079207524176</v>
      </c>
      <c r="J35" s="16">
        <f>J34*(1+Parameters!$B$54)^Parameters!B$71</f>
        <v>16.725460067327699</v>
      </c>
      <c r="K35" s="16">
        <f>I35*J35*EXP(-Parameters!$B$43*'6states'!A35)*(Parameters!$B$38/Parameters!$B$39*('6states'!E35+'6states'!H35)/Parameters!$E$25*(EXP(-Parameters!$B$39*Parameters!$E$25*'6states'!H35/('6states'!E35+'6states'!H35))-EXP(-Parameters!$B$39*Parameters!$E$25))  +  Parameters!$B$40*'6states'!E35)</f>
        <v>12.449297677321526</v>
      </c>
      <c r="L35" s="6">
        <f>L34+K35*Parameters!B$71</f>
        <v>3021.4236767470888</v>
      </c>
      <c r="M35" s="5">
        <f>L35*Parameters!$B$46</f>
        <v>1.8128542060482531</v>
      </c>
      <c r="N35" s="7">
        <f>EXP(-Parameters!$B$47/2*M35^2)</f>
        <v>0.96751076672470948</v>
      </c>
      <c r="O35" s="6">
        <f>MAX((Parameters!$B$63 + Parameters!$B$31*'6states'!A35 - '6states'!L35 + Parameters!$B$48/Parameters!$B$46)/Parameters!B$63,1)</f>
        <v>19.555526465058225</v>
      </c>
      <c r="P35" s="5">
        <f>Parameters!B$62*EXP(-Parameters!B$61*A35)</f>
        <v>0.21650379982043882</v>
      </c>
      <c r="Q35" s="5">
        <f>(1-Parameters!B$62)*O35^-Parameters!B$64</f>
        <v>0.3714009866223385</v>
      </c>
      <c r="R35" s="5">
        <f>Parameters!B$62*EXP(-Parameters!B$61*A35)+(1-Parameters!B$62)*O35^-Parameters!B$64</f>
        <v>0.58790478644277733</v>
      </c>
      <c r="S35" s="5">
        <f>1-R35/Parameters!$B$12</f>
        <v>0.70604760677861134</v>
      </c>
      <c r="T35" s="5">
        <f t="shared" si="0"/>
        <v>3.4019114083104451</v>
      </c>
      <c r="U35" s="5">
        <f>(Parameters!$B$19*(E35+Parameters!$B$20)^S35+Parameters!$B$18*F35^S35)^(1/S35)</f>
        <v>0.34511831159401396</v>
      </c>
      <c r="V35" s="5">
        <f>(Parameters!$B$10*G35^Parameters!$B$9+Parameters!$B$11*U35^Parameters!$B$9)^(Parameters!$B$7/Parameters!$B$9)*N35</f>
        <v>1.3558113046357916</v>
      </c>
      <c r="W35" s="5">
        <f>V35 - C35 - D35 - LN(1+EXP(Parameters!$B$21*B35))/Parameters!$B$21 - IF(B35&gt;0, 0,Parameters!$B$6*B35^2/E35)</f>
        <v>1.050204970131466</v>
      </c>
      <c r="X35" s="5">
        <f>EXP(-Parameters!$B$56*A35)</f>
        <v>0.62619090143635336</v>
      </c>
      <c r="Y35" s="5">
        <f>IF(W35&gt;0,W35^(1-Parameters!$B$53)/(1-Parameters!$B$53)*X35*Parameters!$B$71,-10+W35*1000)</f>
        <v>-1.7587041339520761</v>
      </c>
      <c r="AA35" s="15">
        <f t="shared" si="14"/>
        <v>5.163157750275385E-4</v>
      </c>
      <c r="AB35" s="15">
        <f t="shared" si="9"/>
        <v>-1.8286490008426609E-3</v>
      </c>
      <c r="AC35" s="15">
        <f t="shared" si="10"/>
        <v>2.8921758965017724E-4</v>
      </c>
      <c r="AD35" s="15">
        <f t="shared" si="6"/>
        <v>2.3132656376109184E-6</v>
      </c>
      <c r="AE35" s="15">
        <f t="shared" si="15"/>
        <v>-8.1343125976247876E-6</v>
      </c>
      <c r="AF35" s="15">
        <f t="shared" si="11"/>
        <v>2.3507691451271628E-4</v>
      </c>
      <c r="AG35" s="15">
        <f t="shared" si="12"/>
        <v>-7.4253364192207461E-5</v>
      </c>
      <c r="AH35" s="15">
        <f t="shared" si="7"/>
        <v>3.809800854225533E-8</v>
      </c>
      <c r="AI35" s="15"/>
      <c r="AK35" s="7"/>
      <c r="AL35" s="7"/>
      <c r="AM35" s="16">
        <f t="shared" si="1"/>
        <v>0.30959659456164518</v>
      </c>
      <c r="AN35" s="16">
        <f t="shared" si="2"/>
        <v>20.122603876629654</v>
      </c>
      <c r="AO35" s="16">
        <f t="shared" si="3"/>
        <v>51.525570049410113</v>
      </c>
      <c r="AP35" s="6">
        <f t="shared" si="4"/>
        <v>202.42029473351565</v>
      </c>
      <c r="AQ35" s="15">
        <f>-X35*V35*W35^(-Parameters!B$53)*Parameters!B$47*Parameters!B$46*M35</f>
        <v>-1.7373855156475893E-5</v>
      </c>
      <c r="AR35" s="5">
        <f>1000*EXP(-(Parameters!$B$55)*'6states'!A35)*AP35*Parameters!B$47*Parameters!B$46*M35</f>
        <v>1.4907623416504625</v>
      </c>
      <c r="AS35" s="5">
        <f>SUM(AR35:AR$204)*EXP(Parameters!$B$55*A35)</f>
        <v>352.25734636912915</v>
      </c>
      <c r="AT35" s="10">
        <f t="shared" si="16"/>
        <v>0.22449417487457476</v>
      </c>
      <c r="AU35">
        <f>(1/$S35-1/Parameters!$B$13) * LN(Parameters!$B$18) / LN(O35)</f>
        <v>0.23385381546557252</v>
      </c>
      <c r="AV35">
        <f>(Parameters!$B$18*'6states'!S35^+Parameters!$B$19*Parameters!$B$25^'6states'!S35)^((1-'6states'!S35)/'6states'!S35)*Parameters!$B$18*Parameters!$B$26^('6states'!S35-1)</f>
        <v>0.27133834383123162</v>
      </c>
      <c r="AW35">
        <f t="shared" si="8"/>
        <v>0.24817371479690481</v>
      </c>
      <c r="AX35">
        <f t="shared" si="13"/>
        <v>0.14963967950254786</v>
      </c>
      <c r="AY35">
        <f t="shared" si="13"/>
        <v>0.17144943169577676</v>
      </c>
      <c r="AZ35">
        <f>(1/$S35-1/Parameters!$B$13) * LN(Parameters!$B$18) / A35</f>
        <v>2.2429281010370956E-2</v>
      </c>
    </row>
    <row r="36" spans="1:52" x14ac:dyDescent="0.35">
      <c r="A36">
        <f>A35+Parameters!$B$71</f>
        <v>32</v>
      </c>
      <c r="B36" s="13">
        <v>1.1294182125045002E-3</v>
      </c>
      <c r="C36" s="13">
        <v>8.865655667145729E-2</v>
      </c>
      <c r="D36" s="13">
        <v>0.21486358071253939</v>
      </c>
      <c r="E36" s="5">
        <f>MAX((1-Parameters!$B$4)^Parameters!B$71*E35 + B35*Parameters!B$71 - IF(B35&gt;0,Parameters!$B$5,0)*B35^2/E35*Parameters!B$71, 0.0001)</f>
        <v>0.12741537301976291</v>
      </c>
      <c r="F36" s="5">
        <f>(1-Parameters!$B$4)^Parameters!B$71*F35+C35*Parameters!B$71-Parameters!$B$5*C35^2/F35*Parameters!B$71</f>
        <v>0.97441182541977134</v>
      </c>
      <c r="G36" s="5">
        <f>(1-Parameters!$B$4)^Parameters!B$71*G35+D35*Parameters!B$71-Parameters!$B$5*D35^2/G35*Parameters!B$71</f>
        <v>3.4217630526874165</v>
      </c>
      <c r="H36" s="7">
        <f>MAX(H35 * (1-Parameters!$B$4) ^ Parameters!B$71 + (LN(1+EXP(Parameters!$B$21*(-B35+0.004)))/Parameters!$B$21 -0.004) * Parameters!B$71,0)</f>
        <v>1.5088159551833839E-3</v>
      </c>
      <c r="I36" s="16">
        <f>I35*(1+Parameters!$B$52)^Parameters!B$71</f>
        <v>8.9522945037225981</v>
      </c>
      <c r="J36" s="16">
        <f>J35*(1+Parameters!$B$54)^Parameters!B$71</f>
        <v>17.059969268674255</v>
      </c>
      <c r="K36" s="16">
        <f>I36*J36*EXP(-Parameters!$B$43*'6states'!A36)*(Parameters!$B$38/Parameters!$B$39*('6states'!E36+'6states'!H36)/Parameters!$E$25*(EXP(-Parameters!$B$39*Parameters!$E$25*'6states'!H36/('6states'!E36+'6states'!H36))-EXP(-Parameters!$B$39*Parameters!$E$25))  +  Parameters!$B$40*'6states'!E36)</f>
        <v>12.086063335175465</v>
      </c>
      <c r="L36" s="6">
        <f>L35+K36*Parameters!B$71</f>
        <v>3033.5097400822642</v>
      </c>
      <c r="M36" s="5">
        <f>L36*Parameters!$B$46</f>
        <v>1.8201058440493583</v>
      </c>
      <c r="N36" s="7">
        <f>EXP(-Parameters!$B$47/2*M36^2)</f>
        <v>0.9672546363323854</v>
      </c>
      <c r="O36" s="6">
        <f>MAX((Parameters!$B$63 + Parameters!$B$31*'6states'!A36 - '6states'!L36 + Parameters!$B$48/Parameters!$B$46)/Parameters!B$63,1)</f>
        <v>20.377805198354718</v>
      </c>
      <c r="P36" s="5">
        <f>Parameters!B$62*EXP(-Parameters!B$61*A36)</f>
        <v>0.21073640738795882</v>
      </c>
      <c r="Q36" s="5">
        <f>(1-Parameters!B$62)*O36^-Parameters!B$64</f>
        <v>0.36987439151622353</v>
      </c>
      <c r="R36" s="5">
        <f>Parameters!B$62*EXP(-Parameters!B$61*A36)+(1-Parameters!B$62)*O36^-Parameters!B$64</f>
        <v>0.58061079890418232</v>
      </c>
      <c r="S36" s="5">
        <f>1-R36/Parameters!$B$12</f>
        <v>0.70969460054790878</v>
      </c>
      <c r="T36" s="5">
        <f t="shared" si="0"/>
        <v>3.4446482975768036</v>
      </c>
      <c r="U36" s="5">
        <f>(Parameters!$B$19*(E36+Parameters!$B$20)^S36+Parameters!$B$18*F36^S36)^(1/S36)</f>
        <v>0.3435698607797264</v>
      </c>
      <c r="V36" s="5">
        <f>(Parameters!$B$10*G36^Parameters!$B$9+Parameters!$B$11*U36^Parameters!$B$9)^(Parameters!$B$7/Parameters!$B$9)*N36</f>
        <v>1.3536767923720425</v>
      </c>
      <c r="W36" s="5">
        <f>V36 - C36 - D36 - LN(1+EXP(Parameters!$B$21*B36))/Parameters!$B$21 - IF(B36&gt;0, 0,Parameters!$B$6*B36^2/E36)</f>
        <v>1.0477958337610347</v>
      </c>
      <c r="X36" s="5">
        <f>EXP(-Parameters!$B$56*A36)</f>
        <v>0.61680644974664667</v>
      </c>
      <c r="Y36" s="5">
        <f>IF(W36&gt;0,W36^(1-Parameters!$B$53)/(1-Parameters!$B$53)*X36*Parameters!$B$71,-10+W36*1000)</f>
        <v>-1.7337402367949772</v>
      </c>
      <c r="AA36" s="15">
        <f t="shared" si="14"/>
        <v>5.4524217159817277E-4</v>
      </c>
      <c r="AB36" s="15">
        <f t="shared" si="9"/>
        <v>-1.6617397931336791E-3</v>
      </c>
      <c r="AC36" s="15">
        <f t="shared" si="10"/>
        <v>2.7459340694768741E-4</v>
      </c>
      <c r="AD36" s="15">
        <f t="shared" si="6"/>
        <v>1.9331144079454099E-6</v>
      </c>
      <c r="AE36" s="15">
        <f t="shared" si="15"/>
        <v>2.8926396570634269E-5</v>
      </c>
      <c r="AF36" s="15">
        <f t="shared" si="11"/>
        <v>1.6690920770898177E-4</v>
      </c>
      <c r="AG36" s="15">
        <f t="shared" si="12"/>
        <v>-1.462418270248983E-5</v>
      </c>
      <c r="AH36" s="15">
        <f t="shared" si="7"/>
        <v>1.7831434528871903E-8</v>
      </c>
      <c r="AI36" s="15"/>
      <c r="AK36" s="7"/>
      <c r="AL36" s="7"/>
      <c r="AM36" s="16">
        <f t="shared" si="1"/>
        <v>0.23043522809392783</v>
      </c>
      <c r="AN36" s="16">
        <f t="shared" si="2"/>
        <v>19.459623583390183</v>
      </c>
      <c r="AO36" s="16">
        <f t="shared" ref="AO36:AO67" si="17">U36*I36*J36</f>
        <v>52.4720055902065</v>
      </c>
      <c r="AP36" s="6">
        <f t="shared" si="4"/>
        <v>206.74146461938435</v>
      </c>
      <c r="AQ36" s="15">
        <f>-X36*V36*W36^(-Parameters!B$53)*Parameters!B$47*Parameters!B$46*M36</f>
        <v>-1.7208156250686647E-5</v>
      </c>
      <c r="AR36" s="5">
        <f>1000*EXP(-(Parameters!$B$55)*'6states'!A36)*AP36*Parameters!B$47*Parameters!B$46*M36</f>
        <v>1.4759511320383927</v>
      </c>
      <c r="AS36" s="5">
        <f>SUM(AR36:AR$204)*EXP(Parameters!$B$55*A36)</f>
        <v>360.25751940991057</v>
      </c>
      <c r="AT36" s="10">
        <f t="shared" si="16"/>
        <v>0.22505339333081495</v>
      </c>
      <c r="AU36">
        <f>(1/$S36-1/Parameters!$B$13) * LN(Parameters!$B$18) / LN(O36)</f>
        <v>0.23353482258696967</v>
      </c>
      <c r="AV36">
        <f>(Parameters!$B$18*'6states'!S36^+Parameters!$B$19*Parameters!$B$25^'6states'!S36)^((1-'6states'!S36)/'6states'!S36)*Parameters!$B$18*Parameters!$B$26^('6states'!S36-1)</f>
        <v>0.2729438560537803</v>
      </c>
      <c r="AW36">
        <f t="shared" si="8"/>
        <v>0.24673985196423964</v>
      </c>
      <c r="AX36">
        <f t="shared" si="13"/>
        <v>0.14945163638193049</v>
      </c>
      <c r="AY36">
        <f t="shared" si="13"/>
        <v>0.17237097652249256</v>
      </c>
      <c r="AZ36">
        <f>(1/$S36-1/Parameters!$B$13) * LN(Parameters!$B$18) / A36</f>
        <v>2.1999318388439673E-2</v>
      </c>
    </row>
    <row r="37" spans="1:52" x14ac:dyDescent="0.35">
      <c r="A37">
        <f>A36+Parameters!$B$71</f>
        <v>33</v>
      </c>
      <c r="B37" s="7">
        <f>B36+(B38-B36)/2</f>
        <v>1.1192362475932315E-3</v>
      </c>
      <c r="C37" s="7">
        <f>C36+(C38-C36)/2</f>
        <v>8.8690075242698313E-2</v>
      </c>
      <c r="D37" s="7">
        <f>D36+(D38-D36)/2</f>
        <v>0.21510846058977609</v>
      </c>
      <c r="E37" s="5">
        <f>MAX((1-Parameters!$B$4)^Parameters!B$71*E36 + B36*Parameters!B$71 - IF(B36&gt;0,Parameters!$B$5,0)*B36^2/E36*Parameters!B$71, 0.0001)</f>
        <v>0.12052035303230871</v>
      </c>
      <c r="F37" s="5">
        <f>(1-Parameters!$B$4)^Parameters!B$71*F36+C36*Parameters!B$71-Parameters!$B$5*C36^2/F36*Parameters!B$71</f>
        <v>0.99371148905598594</v>
      </c>
      <c r="G37" s="5">
        <f>(1-Parameters!$B$4)^Parameters!B$71*G36+D36*Parameters!B$71-Parameters!$B$5*D36^2/G36*Parameters!B$71</f>
        <v>3.4079057574896603</v>
      </c>
      <c r="H37" s="7">
        <f>MAX(H36 * (1-Parameters!$B$4) ^ Parameters!B$71 + (LN(1+EXP(Parameters!$B$21*(-B36+0.004)))/Parameters!$B$21 -0.004) * Parameters!B$71,0)</f>
        <v>9.7325792225931747E-4</v>
      </c>
      <c r="I37" s="16">
        <f>I36*(1+Parameters!$B$52)^Parameters!B$71</f>
        <v>8.9782561577833935</v>
      </c>
      <c r="J37" s="16">
        <f>J36*(1+Parameters!$B$54)^Parameters!B$71</f>
        <v>17.401168654047741</v>
      </c>
      <c r="K37" s="16">
        <f>I37*J37*EXP(-Parameters!$B$43*'6states'!A37)*(Parameters!$B$38/Parameters!$B$39*('6states'!E37+'6states'!H37)/Parameters!$E$25*(EXP(-Parameters!$B$39*Parameters!$E$25*'6states'!H37/('6states'!E37+'6states'!H37))-EXP(-Parameters!$B$39*Parameters!$E$25))  +  Parameters!$B$40*'6states'!E37)</f>
        <v>11.776505833393276</v>
      </c>
      <c r="L37" s="6">
        <f>L36+K37*Parameters!B$71</f>
        <v>3045.2862459156577</v>
      </c>
      <c r="M37" s="5">
        <f>L37*Parameters!$B$46</f>
        <v>1.8271717475493945</v>
      </c>
      <c r="N37" s="7">
        <f>EXP(-Parameters!$B$47/2*M37^2)</f>
        <v>0.96700414819585501</v>
      </c>
      <c r="O37" s="6">
        <f>MAX((Parameters!$B$63 + Parameters!$B$31*'6states'!A37 - '6states'!L37 + Parameters!$B$48/Parameters!$B$46)/Parameters!B$63,1)</f>
        <v>21.206275081686851</v>
      </c>
      <c r="P37" s="5">
        <f>Parameters!B$62*EXP(-Parameters!B$61*A37)</f>
        <v>0.20512265112952199</v>
      </c>
      <c r="Q37" s="5">
        <f>(1-Parameters!B$62)*O37^-Parameters!B$64</f>
        <v>0.36840334538599667</v>
      </c>
      <c r="R37" s="5">
        <f>Parameters!B$62*EXP(-Parameters!B$61*A37)+(1-Parameters!B$62)*O37^-Parameters!B$64</f>
        <v>0.57352599651551861</v>
      </c>
      <c r="S37" s="5">
        <f>1-R37/Parameters!$B$12</f>
        <v>0.71323700174224069</v>
      </c>
      <c r="T37" s="5">
        <f t="shared" si="0"/>
        <v>3.4872002527367276</v>
      </c>
      <c r="U37" s="5">
        <f>(Parameters!$B$19*(E37+Parameters!$B$20)^S37+Parameters!$B$18*F37^S37)^(1/S37)</f>
        <v>0.34218593891572491</v>
      </c>
      <c r="V37" s="5">
        <f>(Parameters!$B$10*G37^Parameters!$B$9+Parameters!$B$11*U37^Parameters!$B$9)^(Parameters!$B$7/Parameters!$B$9)*N37</f>
        <v>1.351682844275548</v>
      </c>
      <c r="W37" s="5">
        <f>V37 - C37 - D37 - LN(1+EXP(Parameters!$B$21*B37))/Parameters!$B$21 - IF(B37&gt;0, 0,Parameters!$B$6*B37^2/E37)</f>
        <v>1.0455297040714553</v>
      </c>
      <c r="X37" s="5">
        <f>EXP(-Parameters!$B$56*A37)</f>
        <v>0.60756263876780681</v>
      </c>
      <c r="Y37" s="5">
        <f>IF(W37&gt;0,W37^(1-Parameters!$B$53)/(1-Parameters!$B$53)*X37*Parameters!$B$71,-10+W37*1000)</f>
        <v>-1.7090520271474723</v>
      </c>
      <c r="AA37" s="15">
        <f t="shared" si="14"/>
        <v>4.2263354378526373E-4</v>
      </c>
      <c r="AB37" s="15">
        <f t="shared" si="9"/>
        <v>-1.7333555434065201E-3</v>
      </c>
      <c r="AC37" s="15">
        <f t="shared" si="10"/>
        <v>3.2718754208088674E-4</v>
      </c>
      <c r="AD37" s="15">
        <f t="shared" ref="AD37:AD68" si="18">X37*(AA37^2+AB37^2+AC37^2)</f>
        <v>1.9989978793170015E-6</v>
      </c>
      <c r="AE37" s="15">
        <f t="shared" si="15"/>
        <v>-1.2260862781290904E-4</v>
      </c>
      <c r="AF37" s="15">
        <f t="shared" si="11"/>
        <v>-7.161575027284095E-5</v>
      </c>
      <c r="AG37" s="15">
        <f t="shared" si="12"/>
        <v>5.2594135133199327E-5</v>
      </c>
      <c r="AH37" s="15">
        <f t="shared" ref="AH37:AH68" si="19">X37*(AE37^2+AF37^2+AG37^2)</f>
        <v>1.3930095539959499E-8</v>
      </c>
      <c r="AI37" s="15"/>
      <c r="AK37" s="7"/>
      <c r="AL37" s="7"/>
      <c r="AM37" s="16">
        <f t="shared" si="1"/>
        <v>0.15205417733007728</v>
      </c>
      <c r="AN37" s="16">
        <f t="shared" si="2"/>
        <v>18.829153827299088</v>
      </c>
      <c r="AO37" s="16">
        <f t="shared" si="17"/>
        <v>53.460444806826239</v>
      </c>
      <c r="AP37" s="6">
        <f t="shared" si="4"/>
        <v>211.17631636676848</v>
      </c>
      <c r="AQ37" s="15">
        <f>-X37*V37*W37^(-Parameters!B$53)*Parameters!B$47*Parameters!B$46*M37</f>
        <v>-1.7040739329443078E-5</v>
      </c>
      <c r="AR37" s="5">
        <f>1000*EXP(-(Parameters!$B$55)*'6states'!A37)*AP37*Parameters!B$47*Parameters!B$46*M37</f>
        <v>1.4612636829846661</v>
      </c>
      <c r="AS37" s="5">
        <f>SUM(AR37:AR$204)*EXP(Parameters!$B$55*A37)</f>
        <v>368.42690967449744</v>
      </c>
      <c r="AT37" s="10">
        <f t="shared" si="16"/>
        <v>0.22558381455487977</v>
      </c>
      <c r="AU37">
        <f>(1/$S37-1/Parameters!$B$13) * LN(Parameters!$B$18) / LN(O37)</f>
        <v>0.23321735951854122</v>
      </c>
      <c r="AV37">
        <f>(Parameters!$B$18*'6states'!S37^+Parameters!$B$19*Parameters!$B$25^'6states'!S37)^((1-'6states'!S37)/'6states'!S37)*Parameters!$B$18*Parameters!$B$26^('6states'!S37-1)</f>
        <v>0.27446885147306121</v>
      </c>
      <c r="AW37">
        <f t="shared" ref="AW37:AW68" si="20">(LN(AV37)-LN(AV$4))/ LN(O37)</f>
        <v>0.24534472926502773</v>
      </c>
      <c r="AX37">
        <f t="shared" si="13"/>
        <v>0.14926445378519426</v>
      </c>
      <c r="AY37">
        <f t="shared" si="13"/>
        <v>0.1732453564875831</v>
      </c>
      <c r="AZ37">
        <f>(1/$S37-1/Parameters!$B$13) * LN(Parameters!$B$18) / A37</f>
        <v>2.1585306435755479E-2</v>
      </c>
    </row>
    <row r="38" spans="1:52" x14ac:dyDescent="0.35">
      <c r="A38">
        <f>A37+Parameters!$B$71</f>
        <v>34</v>
      </c>
      <c r="B38" s="13">
        <v>1.1090542826819631E-3</v>
      </c>
      <c r="C38" s="13">
        <v>8.872359381393935E-2</v>
      </c>
      <c r="D38" s="13">
        <v>0.21535334046701279</v>
      </c>
      <c r="E38" s="5">
        <f>MAX((1-Parameters!$B$4)^Parameters!B$71*E37 + B37*Parameters!B$71 - IF(B37&gt;0,Parameters!$B$5,0)*B37^2/E37*Parameters!B$71, 0.0001)</f>
        <v>0.11404846506397635</v>
      </c>
      <c r="F38" s="5">
        <f>(1-Parameters!$B$4)^Parameters!B$71*F37+C37*Parameters!B$71-Parameters!$B$5*C37^2/F37*Parameters!B$71</f>
        <v>1.0119814041775184</v>
      </c>
      <c r="G38" s="5">
        <f>(1-Parameters!$B$4)^Parameters!B$71*G37+D37*Parameters!B$71-Parameters!$B$5*D37^2/G37*Parameters!B$71</f>
        <v>3.3950792084282395</v>
      </c>
      <c r="H38" s="7">
        <f>MAX(H37 * (1-Parameters!$B$4) ^ Parameters!B$71 + (LN(1+EXP(Parameters!$B$21*(-B37+0.004)))/Parameters!$B$21 -0.004) * Parameters!B$71,0)</f>
        <v>4.7912030289110866E-4</v>
      </c>
      <c r="I38" s="16">
        <f>I37*(1+Parameters!$B$52)^Parameters!B$71</f>
        <v>9.0042931006409646</v>
      </c>
      <c r="J38" s="16">
        <f>J37*(1+Parameters!$B$54)^Parameters!B$71</f>
        <v>17.749192027128696</v>
      </c>
      <c r="K38" s="16">
        <f>I38*J38*EXP(-Parameters!$B$43*'6states'!A38)*(Parameters!$B$38/Parameters!$B$39*('6states'!E38+'6states'!H38)/Parameters!$E$25*(EXP(-Parameters!$B$39*Parameters!$E$25*'6states'!H38/('6states'!E38+'6states'!H38))-EXP(-Parameters!$B$39*Parameters!$E$25))  +  Parameters!$B$40*'6states'!E38)</f>
        <v>11.516989095611407</v>
      </c>
      <c r="L38" s="6">
        <f>L37+K38*Parameters!B$71</f>
        <v>3056.803235011269</v>
      </c>
      <c r="M38" s="5">
        <f>L38*Parameters!$B$46</f>
        <v>1.8340819410067613</v>
      </c>
      <c r="N38" s="7">
        <f>EXP(-Parameters!$B$47/2*M38^2)</f>
        <v>0.96675830442120592</v>
      </c>
      <c r="O38" s="6">
        <f>MAX((Parameters!$B$63 + Parameters!$B$31*'6states'!A38 - '6states'!L38 + Parameters!$B$48/Parameters!$B$46)/Parameters!B$63,1)</f>
        <v>22.039935299774626</v>
      </c>
      <c r="P38" s="5">
        <f>Parameters!B$62*EXP(-Parameters!B$61*A38)</f>
        <v>0.19965843836819494</v>
      </c>
      <c r="Q38" s="5">
        <f>(1-Parameters!B$62)*O38^-Parameters!B$64</f>
        <v>0.36698555718187925</v>
      </c>
      <c r="R38" s="5">
        <f>Parameters!B$62*EXP(-Parameters!B$61*A38)+(1-Parameters!B$62)*O38^-Parameters!B$64</f>
        <v>0.56664399555007416</v>
      </c>
      <c r="S38" s="5">
        <f>1-R38/Parameters!$B$12</f>
        <v>0.71667800222496292</v>
      </c>
      <c r="T38" s="5">
        <f t="shared" si="0"/>
        <v>3.5295529745417742</v>
      </c>
      <c r="U38" s="5">
        <f>(Parameters!$B$19*(E38+Parameters!$B$20)^S38+Parameters!$B$18*F38^S38)^(1/S38)</f>
        <v>0.34090416999738582</v>
      </c>
      <c r="V38" s="5">
        <f>(Parameters!$B$10*G38^Parameters!$B$9+Parameters!$B$11*U38^Parameters!$B$9)^(Parameters!$B$7/Parameters!$B$9)*N38</f>
        <v>1.3498139432106784</v>
      </c>
      <c r="W38" s="5">
        <f>V38 - C38 - D38 - LN(1+EXP(Parameters!$B$21*B38))/Parameters!$B$21 - IF(B38&gt;0, 0,Parameters!$B$6*B38^2/E38)</f>
        <v>1.0433886115488704</v>
      </c>
      <c r="X38" s="5">
        <f>EXP(-Parameters!$B$56*A38)</f>
        <v>0.59845736077844469</v>
      </c>
      <c r="Y38" s="5">
        <f>IF(W38&gt;0,W38^(1-Parameters!$B$53)/(1-Parameters!$B$53)*X38*Parameters!$B$71,-10+W38*1000)</f>
        <v>-1.6846474789655843</v>
      </c>
      <c r="AA38" s="15">
        <f t="shared" si="14"/>
        <v>4.3771313261886657E-4</v>
      </c>
      <c r="AB38" s="15">
        <f t="shared" si="9"/>
        <v>-1.5781868172022456E-3</v>
      </c>
      <c r="AC38" s="15">
        <f t="shared" si="10"/>
        <v>3.1059573094331661E-4</v>
      </c>
      <c r="AD38" s="15">
        <f t="shared" si="18"/>
        <v>1.6629550873908481E-6</v>
      </c>
      <c r="AE38" s="15">
        <f t="shared" ref="AE38:AE69" si="21">B38/E38-2*B37/E37+B36/E36</f>
        <v>1.5079588833602844E-5</v>
      </c>
      <c r="AF38" s="15">
        <f t="shared" ref="AF38:AF69" si="22">C38/F38-2*C37/F37+C36/F36</f>
        <v>1.5516872620427447E-4</v>
      </c>
      <c r="AG38" s="15">
        <f t="shared" ref="AG38:AG69" si="23">D38/G38-2*D37/G37+D36/G36</f>
        <v>-1.6591811137570134E-5</v>
      </c>
      <c r="AH38" s="15">
        <f t="shared" si="19"/>
        <v>1.4710091376422317E-8</v>
      </c>
      <c r="AI38" s="15"/>
      <c r="AK38" s="7"/>
      <c r="AL38" s="7"/>
      <c r="AM38" s="16">
        <f t="shared" si="1"/>
        <v>7.6572492861374408E-2</v>
      </c>
      <c r="AN38" s="16">
        <f t="shared" si="2"/>
        <v>18.227103348085027</v>
      </c>
      <c r="AO38" s="16">
        <f t="shared" si="17"/>
        <v>54.48293876511076</v>
      </c>
      <c r="AP38" s="6">
        <f t="shared" si="4"/>
        <v>215.72581647447734</v>
      </c>
      <c r="AQ38" s="15">
        <f>-X38*V38*W38^(-Parameters!B$53)*Parameters!B$47*Parameters!B$46*M38</f>
        <v>-1.6872169939701827E-5</v>
      </c>
      <c r="AR38" s="5">
        <f>1000*EXP(-(Parameters!$B$55)*'6states'!A38)*AP38*Parameters!B$47*Parameters!B$46*M38</f>
        <v>1.4467088198734861</v>
      </c>
      <c r="AS38" s="5">
        <f>SUM(AR38:AR$204)*EXP(Parameters!$B$55*A38)</f>
        <v>376.76867445573117</v>
      </c>
      <c r="AT38" s="10">
        <f t="shared" si="16"/>
        <v>0.22609485559003506</v>
      </c>
      <c r="AU38">
        <f>(1/$S38-1/Parameters!$B$13) * LN(Parameters!$B$18) / LN(O38)</f>
        <v>0.23290268641389633</v>
      </c>
      <c r="AV38">
        <f>(Parameters!$B$18*'6states'!S38^+Parameters!$B$19*Parameters!$B$25^'6states'!S38)^((1-'6states'!S38)/'6states'!S38)*Parameters!$B$18*Parameters!$B$26^('6states'!S38-1)</f>
        <v>0.2759177269034902</v>
      </c>
      <c r="AW38">
        <f t="shared" si="20"/>
        <v>0.24398828806205433</v>
      </c>
      <c r="AX38">
        <f t="shared" si="13"/>
        <v>0.14907887555476529</v>
      </c>
      <c r="AY38">
        <f t="shared" si="13"/>
        <v>0.17407523609438191</v>
      </c>
      <c r="AZ38">
        <f>(1/$S38-1/Parameters!$B$13) * LN(Parameters!$B$18) / A38</f>
        <v>2.1186308306863154E-2</v>
      </c>
    </row>
    <row r="39" spans="1:52" x14ac:dyDescent="0.35">
      <c r="A39">
        <f>A38+Parameters!$B$71</f>
        <v>35</v>
      </c>
      <c r="B39" s="7">
        <f>B38+(B40-B38)/2</f>
        <v>1.0910540604322579E-3</v>
      </c>
      <c r="C39" s="7">
        <f>C38+(C40-C38)/2</f>
        <v>8.8783627569477386E-2</v>
      </c>
      <c r="D39" s="7">
        <f>D38+(D40-D38)/2</f>
        <v>0.21562043938949027</v>
      </c>
      <c r="E39" s="5">
        <f>MAX((1-Parameters!$B$4)^Parameters!B$71*E38 + B38*Parameters!B$71 - IF(B38&gt;0,Parameters!$B$5,0)*B38^2/E38*Parameters!B$71, 0.0001)</f>
        <v>0.10797308599316036</v>
      </c>
      <c r="F39" s="5">
        <f>(1-Parameters!$B$4)^Parameters!B$71*F38+C38*Parameters!B$71-Parameters!$B$5*C38^2/F38*Parameters!B$71</f>
        <v>1.0292726910381083</v>
      </c>
      <c r="G39" s="5">
        <f>(1-Parameters!$B$4)^Parameters!B$71*G38+D38*Parameters!B$71-Parameters!$B$5*D38^2/G38*Parameters!B$71</f>
        <v>3.3832219844298419</v>
      </c>
      <c r="H39" s="7">
        <f>MAX(H38 * (1-Parameters!$B$4) ^ Parameters!B$71 + (LN(1+EXP(Parameters!$B$21*(-B38+0.004)))/Parameters!$B$21 -0.004) * Parameters!B$71,0)</f>
        <v>2.3805318475119493E-5</v>
      </c>
      <c r="I39" s="16">
        <f>I38*(1+Parameters!$B$52)^Parameters!B$71</f>
        <v>9.0304055506328229</v>
      </c>
      <c r="J39" s="16">
        <f>J38*(1+Parameters!$B$54)^Parameters!B$71</f>
        <v>18.10417586767127</v>
      </c>
      <c r="K39" s="16">
        <f>I39*J39*EXP(-Parameters!$B$43*'6states'!A39)*(Parameters!$B$38/Parameters!$B$39*('6states'!E39+'6states'!H39)/Parameters!$E$25*(EXP(-Parameters!$B$39*Parameters!$E$25*'6states'!H39/('6states'!E39+'6states'!H39))-EXP(-Parameters!$B$39*Parameters!$E$25))  +  Parameters!$B$40*'6states'!E39)</f>
        <v>11.311901126057084</v>
      </c>
      <c r="L39" s="6">
        <f>L38+K39*Parameters!B$71</f>
        <v>3068.1151361373259</v>
      </c>
      <c r="M39" s="5">
        <f>L39*Parameters!$B$46</f>
        <v>1.8408690816823954</v>
      </c>
      <c r="N39" s="7">
        <f>EXP(-Parameters!$B$47/2*M39^2)</f>
        <v>0.96651599631241747</v>
      </c>
      <c r="O39" s="6">
        <f>MAX((Parameters!$B$63 + Parameters!$B$31*'6states'!A39 - '6states'!L39 + Parameters!$B$48/Parameters!$B$46)/Parameters!B$63,1)</f>
        <v>22.877697277253482</v>
      </c>
      <c r="P39" s="5">
        <f>Parameters!B$62*EXP(-Parameters!B$61*A39)</f>
        <v>0.19433978545087652</v>
      </c>
      <c r="Q39" s="5">
        <f>(1-Parameters!B$62)*O39^-Parameters!B$64</f>
        <v>0.36561901427015697</v>
      </c>
      <c r="R39" s="5">
        <f>Parameters!B$62*EXP(-Parameters!B$61*A39)+(1-Parameters!B$62)*O39^-Parameters!B$64</f>
        <v>0.55995879972103346</v>
      </c>
      <c r="S39" s="5">
        <f>1-R39/Parameters!$B$12</f>
        <v>0.72002060013948332</v>
      </c>
      <c r="T39" s="5">
        <f t="shared" si="0"/>
        <v>3.5716913476426888</v>
      </c>
      <c r="U39" s="5">
        <f>(Parameters!$B$19*(E39+Parameters!$B$20)^S39+Parameters!$B$18*F39^S39)^(1/S39)</f>
        <v>0.33972142221914686</v>
      </c>
      <c r="V39" s="5">
        <f>(Parameters!$B$10*G39^Parameters!$B$9+Parameters!$B$11*U39^Parameters!$B$9)^(Parameters!$B$7/Parameters!$B$9)*N39</f>
        <v>1.3480633131476703</v>
      </c>
      <c r="W39" s="5">
        <f>V39 - C39 - D39 - LN(1+EXP(Parameters!$B$21*B39))/Parameters!$B$21 - IF(B39&gt;0, 0,Parameters!$B$6*B39^2/E39)</f>
        <v>1.0413217976965181</v>
      </c>
      <c r="X39" s="5">
        <f>EXP(-Parameters!$B$56*A39)</f>
        <v>0.58948853964467807</v>
      </c>
      <c r="Y39" s="5">
        <f>IF(W39&gt;0,W39^(1-Parameters!$B$53)/(1-Parameters!$B$53)*X39*Parameters!$B$71,-10+W39*1000)</f>
        <v>-1.6605524057783803</v>
      </c>
      <c r="AA39" s="15">
        <f t="shared" si="14"/>
        <v>3.8045840407041794E-4</v>
      </c>
      <c r="AB39" s="15">
        <f t="shared" si="9"/>
        <v>-1.414540365936745E-3</v>
      </c>
      <c r="AC39" s="15">
        <f t="shared" si="10"/>
        <v>3.0125565253028008E-4</v>
      </c>
      <c r="AD39" s="15">
        <f t="shared" si="18"/>
        <v>1.3183486829756824E-6</v>
      </c>
      <c r="AE39" s="15">
        <f t="shared" si="21"/>
        <v>-5.7254728548448638E-5</v>
      </c>
      <c r="AF39" s="15">
        <f t="shared" si="22"/>
        <v>1.6364645126550059E-4</v>
      </c>
      <c r="AG39" s="15">
        <f t="shared" si="23"/>
        <v>-9.3400784130365233E-6</v>
      </c>
      <c r="AH39" s="15">
        <f t="shared" si="19"/>
        <v>1.7770427961275603E-8</v>
      </c>
      <c r="AI39" s="15"/>
      <c r="AK39" s="7"/>
      <c r="AL39" s="7"/>
      <c r="AM39" s="16">
        <f t="shared" si="1"/>
        <v>3.8918851029597868E-3</v>
      </c>
      <c r="AN39" s="16">
        <f t="shared" si="2"/>
        <v>17.652309307963058</v>
      </c>
      <c r="AO39" s="16">
        <f t="shared" si="17"/>
        <v>55.540392945084214</v>
      </c>
      <c r="AP39" s="6">
        <f t="shared" si="4"/>
        <v>220.39224267339682</v>
      </c>
      <c r="AQ39" s="15">
        <f>-X39*V39*W39^(-Parameters!B$53)*Parameters!B$47*Parameters!B$46*M39</f>
        <v>-1.6703834261954331E-5</v>
      </c>
      <c r="AR39" s="5">
        <f>1000*EXP(-(Parameters!$B$55)*'6states'!A39)*AP39*Parameters!B$47*Parameters!B$46*M39</f>
        <v>1.4323057803473385</v>
      </c>
      <c r="AS39" s="5">
        <f>SUM(AR39:AR$204)*EXP(Parameters!$B$55*A39)</f>
        <v>385.2859815561925</v>
      </c>
      <c r="AT39" s="10">
        <f t="shared" si="16"/>
        <v>0.22661778422415624</v>
      </c>
      <c r="AU39">
        <f>(1/$S39-1/Parameters!$B$13) * LN(Parameters!$B$18) / LN(O39)</f>
        <v>0.23259211772458249</v>
      </c>
      <c r="AV39">
        <f>(Parameters!$B$18*'6states'!S39^+Parameters!$B$19*Parameters!$B$25^'6states'!S39)^((1-'6states'!S39)/'6states'!S39)*Parameters!$B$18*Parameters!$B$26^('6states'!S39-1)</f>
        <v>0.27729459686983526</v>
      </c>
      <c r="AW39">
        <f t="shared" si="20"/>
        <v>0.24267059153739395</v>
      </c>
      <c r="AX39">
        <f t="shared" si="13"/>
        <v>0.14889567820709515</v>
      </c>
      <c r="AY39">
        <f t="shared" si="13"/>
        <v>0.17486310081267564</v>
      </c>
      <c r="AZ39">
        <f>(1/$S39-1/Parameters!$B$13) * LN(Parameters!$B$18) / A39</f>
        <v>2.0801460825050237E-2</v>
      </c>
    </row>
    <row r="40" spans="1:52" x14ac:dyDescent="0.35">
      <c r="A40">
        <f>A39+Parameters!$B$71</f>
        <v>36</v>
      </c>
      <c r="B40" s="13">
        <v>1.0730538381825525E-3</v>
      </c>
      <c r="C40" s="13">
        <v>8.8843661325015422E-2</v>
      </c>
      <c r="D40" s="13">
        <v>0.21588753831196772</v>
      </c>
      <c r="E40" s="5">
        <f>MAX((1-Parameters!$B$4)^Parameters!B$71*E39 + B39*Parameters!B$71 - IF(B39&gt;0,Parameters!$B$5,0)*B39^2/E39*Parameters!B$71, 0.0001)</f>
        <v>0.10226160798454287</v>
      </c>
      <c r="F40" s="5">
        <f>(1-Parameters!$B$4)^Parameters!B$71*F39+C39*Parameters!B$71-Parameters!$B$5*C39^2/F39*Parameters!B$71</f>
        <v>1.0456567143874975</v>
      </c>
      <c r="G40" s="5">
        <f>(1-Parameters!$B$4)^Parameters!B$71*G39+D39*Parameters!B$71-Parameters!$B$5*D39^2/G39*Parameters!B$71</f>
        <v>3.3722957795099009</v>
      </c>
      <c r="H40" s="7">
        <f>MAX(H39 * (1-Parameters!$B$4) ^ Parameters!B$71 + (LN(1+EXP(Parameters!$B$21*(-B39+0.004)))/Parameters!$B$21 -0.004) * Parameters!B$71,0)</f>
        <v>0</v>
      </c>
      <c r="I40" s="16">
        <f>I39*(1+Parameters!$B$52)^Parameters!B$71</f>
        <v>9.0565937267296572</v>
      </c>
      <c r="J40" s="16">
        <f>J39*(1+Parameters!$B$54)^Parameters!B$71</f>
        <v>18.466259385024696</v>
      </c>
      <c r="K40" s="16">
        <f>I40*J40*EXP(-Parameters!$B$43*'6states'!A40)*(Parameters!$B$38/Parameters!$B$39*('6states'!E40+'6states'!H40)/Parameters!$E$25*(EXP(-Parameters!$B$39*Parameters!$E$25*'6states'!H40/('6states'!E40+'6states'!H40))-EXP(-Parameters!$B$39*Parameters!$E$25))  +  Parameters!$B$40*'6states'!E40)</f>
        <v>10.866089184353193</v>
      </c>
      <c r="L40" s="6">
        <f>L39+K40*Parameters!B$71</f>
        <v>3078.9812253216792</v>
      </c>
      <c r="M40" s="5">
        <f>L40*Parameters!$B$46</f>
        <v>1.8473887351930074</v>
      </c>
      <c r="N40" s="7">
        <f>EXP(-Parameters!$B$47/2*M40^2)</f>
        <v>0.96628245247093103</v>
      </c>
      <c r="O40" s="6">
        <f>MAX((Parameters!$B$63 + Parameters!$B$31*'6states'!A40 - '6states'!L40 + Parameters!$B$48/Parameters!$B$46)/Parameters!B$63,1)</f>
        <v>23.724375493566416</v>
      </c>
      <c r="P40" s="5">
        <f>Parameters!B$62*EXP(-Parameters!B$61*A40)</f>
        <v>0.18916281484403841</v>
      </c>
      <c r="Q40" s="5">
        <f>(1-Parameters!B$62)*O40^-Parameters!B$64</f>
        <v>0.36429274768407499</v>
      </c>
      <c r="R40" s="5">
        <f>Parameters!B$62*EXP(-Parameters!B$61*A40)+(1-Parameters!B$62)*O40^-Parameters!B$64</f>
        <v>0.55345556252811345</v>
      </c>
      <c r="S40" s="5">
        <f>1-R40/Parameters!$B$12</f>
        <v>0.72327221873594327</v>
      </c>
      <c r="T40" s="5">
        <f t="shared" si="0"/>
        <v>3.6136595878886077</v>
      </c>
      <c r="U40" s="5">
        <f>(Parameters!$B$19*(E40+Parameters!$B$20)^S40+Parameters!$B$18*F40^S40)^(1/S40)</f>
        <v>0.33863279685678349</v>
      </c>
      <c r="V40" s="5">
        <f>(Parameters!$B$10*G40^Parameters!$B$9+Parameters!$B$11*U40^Parameters!$B$9)^(Parameters!$B$7/Parameters!$B$9)*N40</f>
        <v>1.3464339378611145</v>
      </c>
      <c r="W40" s="5">
        <f>V40 - C40 - D40 - LN(1+EXP(Parameters!$B$21*B40))/Parameters!$B$21 - IF(B40&gt;0, 0,Parameters!$B$6*B40^2/E40)</f>
        <v>1.039376207714986</v>
      </c>
      <c r="X40" s="5">
        <f>EXP(-Parameters!$B$56*A40)</f>
        <v>0.58065413034674362</v>
      </c>
      <c r="Y40" s="5">
        <f>IF(W40&gt;0,W40^(1-Parameters!$B$53)/(1-Parameters!$B$53)*X40*Parameters!$B$71,-10+W40*1000)</f>
        <v>-1.6367373964763319</v>
      </c>
      <c r="AA40" s="15">
        <f t="shared" si="14"/>
        <v>3.8835223354115496E-4</v>
      </c>
      <c r="AB40" s="15">
        <f t="shared" si="9"/>
        <v>-1.2941429451702596E-3</v>
      </c>
      <c r="AC40" s="15">
        <f t="shared" si="10"/>
        <v>2.8569582856023679E-4</v>
      </c>
      <c r="AD40" s="15">
        <f t="shared" si="18"/>
        <v>1.1074499924239405E-6</v>
      </c>
      <c r="AE40" s="15">
        <f t="shared" si="21"/>
        <v>7.8938294707370238E-6</v>
      </c>
      <c r="AF40" s="15">
        <f t="shared" si="22"/>
        <v>1.2039742076648541E-4</v>
      </c>
      <c r="AG40" s="15">
        <f t="shared" si="23"/>
        <v>-1.5559823970043296E-5</v>
      </c>
      <c r="AH40" s="15">
        <f t="shared" si="19"/>
        <v>8.5936576665903909E-9</v>
      </c>
      <c r="AI40" s="15"/>
      <c r="AK40" s="7"/>
      <c r="AL40" s="7"/>
      <c r="AM40" s="16">
        <f t="shared" si="1"/>
        <v>0</v>
      </c>
      <c r="AN40" s="16">
        <f t="shared" si="2"/>
        <v>17.102375395978001</v>
      </c>
      <c r="AO40" s="16">
        <f t="shared" si="17"/>
        <v>56.633426046948721</v>
      </c>
      <c r="AP40" s="6">
        <f t="shared" si="4"/>
        <v>225.17950876213803</v>
      </c>
      <c r="AQ40" s="15">
        <f>-X40*V40*W40^(-Parameters!B$53)*Parameters!B$47*Parameters!B$46*M40</f>
        <v>-1.6533504854959757E-5</v>
      </c>
      <c r="AR40" s="5">
        <f>1000*EXP(-(Parameters!$B$55)*'6states'!A40)*AP40*Parameters!B$47*Parameters!B$46*M40</f>
        <v>1.4179468721492832</v>
      </c>
      <c r="AS40" s="5">
        <f>SUM(AR40:AR$204)*EXP(Parameters!$B$55*A40)</f>
        <v>393.98196652639558</v>
      </c>
      <c r="AT40" s="10">
        <f t="shared" si="16"/>
        <v>0.22712161724098609</v>
      </c>
      <c r="AU40">
        <f>(1/$S40-1/Parameters!$B$13) * LN(Parameters!$B$18) / LN(O40)</f>
        <v>0.23227178317669372</v>
      </c>
      <c r="AV40">
        <f>(Parameters!$B$18*'6states'!S40^+Parameters!$B$19*Parameters!$B$25^'6states'!S40)^((1-'6states'!S40)/'6states'!S40)*Parameters!$B$18*Parameters!$B$26^('6states'!S40-1)</f>
        <v>0.27860515005929398</v>
      </c>
      <c r="AW40">
        <f t="shared" si="20"/>
        <v>0.24137462168586957</v>
      </c>
      <c r="AX40">
        <f t="shared" si="13"/>
        <v>0.14870667888236866</v>
      </c>
      <c r="AY40">
        <f t="shared" si="13"/>
        <v>0.17561231997834958</v>
      </c>
      <c r="AZ40">
        <f>(1/$S40-1/Parameters!$B$13) * LN(Parameters!$B$18) / A40</f>
        <v>2.0430258422855327E-2</v>
      </c>
    </row>
    <row r="41" spans="1:52" x14ac:dyDescent="0.35">
      <c r="A41">
        <f>A40+Parameters!$B$71</f>
        <v>37</v>
      </c>
      <c r="B41" s="7">
        <f>B40+(B42-B40)/2</f>
        <v>1.086219799249416E-3</v>
      </c>
      <c r="C41" s="7">
        <f>C40+(C42-C40)/2</f>
        <v>8.8849398241823752E-2</v>
      </c>
      <c r="D41" s="7">
        <f>D40+(D42-D40)/2</f>
        <v>0.21615182860679724</v>
      </c>
      <c r="E41" s="5">
        <f>MAX((1-Parameters!$B$4)^Parameters!B$71*E40 + B40*Parameters!B$71 - IF(B40&gt;0,Parameters!$B$5,0)*B40^2/E40*Parameters!B$71, 0.0001)</f>
        <v>9.6891146887479254E-2</v>
      </c>
      <c r="F41" s="5">
        <f>(1-Parameters!$B$4)^Parameters!B$71*F40+C40*Parameters!B$71-Parameters!$B$5*C40^2/F40*Parameters!B$71</f>
        <v>1.0611800143932066</v>
      </c>
      <c r="G41" s="5">
        <f>(1-Parameters!$B$4)^Parameters!B$71*G40+D40*Parameters!B$71-Parameters!$B$5*D40^2/G40*Parameters!B$71</f>
        <v>3.362245230810355</v>
      </c>
      <c r="H41" s="7">
        <f>MAX(H40 * (1-Parameters!$B$4) ^ Parameters!B$71 + (LN(1+EXP(Parameters!$B$21*(-B40+0.004)))/Parameters!$B$21 -0.004) * Parameters!B$71,0)</f>
        <v>0</v>
      </c>
      <c r="I41" s="16">
        <f>I40*(1+Parameters!$B$52)^Parameters!B$71</f>
        <v>9.0828578485371718</v>
      </c>
      <c r="J41" s="16">
        <f>J40*(1+Parameters!$B$54)^Parameters!B$71</f>
        <v>18.835584572725189</v>
      </c>
      <c r="K41" s="16">
        <f>I41*J41*EXP(-Parameters!$B$43*'6states'!A41)*(Parameters!$B$38/Parameters!$B$39*('6states'!E41+'6states'!H41)/Parameters!$E$25*(EXP(-Parameters!$B$39*Parameters!$E$25*'6states'!H41/('6states'!E41+'6states'!H41))-EXP(-Parameters!$B$39*Parameters!$E$25))  +  Parameters!$B$40*'6states'!E41)</f>
        <v>10.427005502130696</v>
      </c>
      <c r="L41" s="6">
        <f>L40+K41*Parameters!B$71</f>
        <v>3089.4082308238098</v>
      </c>
      <c r="M41" s="5">
        <f>L41*Parameters!$B$46</f>
        <v>1.8536449384942857</v>
      </c>
      <c r="N41" s="7">
        <f>EXP(-Parameters!$B$47/2*M41^2)</f>
        <v>0.96605762285702923</v>
      </c>
      <c r="O41" s="6">
        <f>MAX((Parameters!$B$63 + Parameters!$B$31*'6states'!A41 - '6states'!L41 + Parameters!$B$48/Parameters!$B$46)/Parameters!B$63,1)</f>
        <v>24.579835383523804</v>
      </c>
      <c r="P41" s="5">
        <f>Parameters!B$62*EXP(-Parameters!B$61*A41)</f>
        <v>0.18412375230683145</v>
      </c>
      <c r="Q41" s="5">
        <f>(1-Parameters!B$62)*O41^-Parameters!B$64</f>
        <v>0.36300458234597249</v>
      </c>
      <c r="R41" s="5">
        <f>Parameters!B$62*EXP(-Parameters!B$61*A41)+(1-Parameters!B$62)*O41^-Parameters!B$64</f>
        <v>0.54712833465280397</v>
      </c>
      <c r="S41" s="5">
        <f>1-R41/Parameters!$B$12</f>
        <v>0.72643583267359801</v>
      </c>
      <c r="T41" s="5">
        <f t="shared" si="0"/>
        <v>3.6554495048573159</v>
      </c>
      <c r="U41" s="5">
        <f>(Parameters!$B$19*(E41+Parameters!$B$20)^S41+Parameters!$B$18*F41^S41)^(1/S41)</f>
        <v>0.33763478890563936</v>
      </c>
      <c r="V41" s="5">
        <f>(Parameters!$B$10*G41^Parameters!$B$9+Parameters!$B$11*U41^Parameters!$B$9)^(Parameters!$B$7/Parameters!$B$9)*N41</f>
        <v>1.3449206021537092</v>
      </c>
      <c r="W41" s="5">
        <f>V41 - C41 - D41 - LN(1+EXP(Parameters!$B$21*B41))/Parameters!$B$21 - IF(B41&gt;0, 0,Parameters!$B$6*B41^2/E41)</f>
        <v>1.0375848620576353</v>
      </c>
      <c r="X41" s="5">
        <f>EXP(-Parameters!$B$56*A41)</f>
        <v>0.571952118512703</v>
      </c>
      <c r="Y41" s="5">
        <f>IF(W41&gt;0,W41^(1-Parameters!$B$53)/(1-Parameters!$B$53)*X41*Parameters!$B$71,-10+W41*1000)</f>
        <v>-1.6131819691955969</v>
      </c>
      <c r="AA41" s="15">
        <f t="shared" si="14"/>
        <v>7.1750008355105609E-4</v>
      </c>
      <c r="AB41" s="15">
        <f t="shared" si="9"/>
        <v>-1.2374827229199442E-3</v>
      </c>
      <c r="AC41" s="15">
        <f t="shared" si="10"/>
        <v>2.6997020808731953E-4</v>
      </c>
      <c r="AD41" s="15">
        <f t="shared" si="18"/>
        <v>1.2119972945242837E-6</v>
      </c>
      <c r="AE41" s="15">
        <f t="shared" si="21"/>
        <v>3.2914785000990113E-4</v>
      </c>
      <c r="AF41" s="15">
        <f t="shared" si="22"/>
        <v>5.6660222250315417E-5</v>
      </c>
      <c r="AG41" s="15">
        <f t="shared" si="23"/>
        <v>-1.5725620472917257E-5</v>
      </c>
      <c r="AH41" s="15">
        <f t="shared" si="19"/>
        <v>6.3941949370024124E-8</v>
      </c>
      <c r="AI41" s="15"/>
      <c r="AK41" s="7"/>
      <c r="AL41" s="7"/>
      <c r="AM41" s="16">
        <f t="shared" si="1"/>
        <v>0</v>
      </c>
      <c r="AN41" s="16">
        <f t="shared" si="2"/>
        <v>16.576228212808058</v>
      </c>
      <c r="AO41" s="16">
        <f t="shared" si="17"/>
        <v>57.762876106551545</v>
      </c>
      <c r="AP41" s="6">
        <f t="shared" si="4"/>
        <v>230.09027703322622</v>
      </c>
      <c r="AQ41" s="15">
        <f>-X41*V41*W41^(-Parameters!B$53)*Parameters!B$47*Parameters!B$46*M41</f>
        <v>-1.636056435127702E-5</v>
      </c>
      <c r="AR41" s="5">
        <f>1000*EXP(-(Parameters!$B$55)*'6states'!A41)*AP41*Parameters!B$47*Parameters!B$46*M41</f>
        <v>1.4036340041443314</v>
      </c>
      <c r="AS41" s="5">
        <f>SUM(AR41:AR$204)*EXP(Parameters!$B$55*A41)</f>
        <v>402.86018463615426</v>
      </c>
      <c r="AT41" s="10">
        <f t="shared" si="16"/>
        <v>0.22758774470233603</v>
      </c>
      <c r="AU41">
        <f>(1/$S41-1/Parameters!$B$13) * LN(Parameters!$B$18) / LN(O41)</f>
        <v>0.23194232484139549</v>
      </c>
      <c r="AV41">
        <f>(Parameters!$B$18*'6states'!S41^+Parameters!$B$19*Parameters!$B$25^'6states'!S41)^((1-'6states'!S41)/'6states'!S41)*Parameters!$B$18*Parameters!$B$26^('6states'!S41-1)</f>
        <v>0.27985300565462456</v>
      </c>
      <c r="AW41">
        <f t="shared" si="20"/>
        <v>0.24009996171099809</v>
      </c>
      <c r="AX41">
        <f t="shared" si="13"/>
        <v>0.14851225268769686</v>
      </c>
      <c r="AY41">
        <f t="shared" si="13"/>
        <v>0.17632506382600055</v>
      </c>
      <c r="AZ41">
        <f>(1/$S41-1/Parameters!$B$13) * LN(Parameters!$B$18) / A41</f>
        <v>2.0071952832368435E-2</v>
      </c>
    </row>
    <row r="42" spans="1:52" x14ac:dyDescent="0.35">
      <c r="A42">
        <f>A41+Parameters!$B$71</f>
        <v>38</v>
      </c>
      <c r="B42" s="13">
        <v>1.0993857603162794E-3</v>
      </c>
      <c r="C42" s="13">
        <v>8.8855135158632095E-2</v>
      </c>
      <c r="D42" s="13">
        <v>0.21641611890162676</v>
      </c>
      <c r="E42" s="5">
        <f>MAX((1-Parameters!$B$4)^Parameters!B$71*E41 + B41*Parameters!B$71 - IF(B41&gt;0,Parameters!$B$5,0)*B41^2/E41*Parameters!B$71, 0.0001)</f>
        <v>9.1870736238328005E-2</v>
      </c>
      <c r="F42" s="5">
        <f>(1-Parameters!$B$4)^Parameters!B$71*F41+C41*Parameters!B$71-Parameters!$B$5*C41^2/F41*Parameters!B$71</f>
        <v>1.0758420979065746</v>
      </c>
      <c r="G42" s="5">
        <f>(1-Parameters!$B$4)^Parameters!B$71*G41+D41*Parameters!B$71-Parameters!$B$5*D41^2/G41*Parameters!B$71</f>
        <v>3.3530158780358787</v>
      </c>
      <c r="H42" s="7">
        <f>MAX(H41 * (1-Parameters!$B$4) ^ Parameters!B$71 + (LN(1+EXP(Parameters!$B$21*(-B41+0.004)))/Parameters!$B$21 -0.004) * Parameters!B$71,0)</f>
        <v>0</v>
      </c>
      <c r="I42" s="16">
        <f>I41*(1+Parameters!$B$52)^Parameters!B$71</f>
        <v>9.1091981362979286</v>
      </c>
      <c r="J42" s="16">
        <f>J41*(1+Parameters!$B$54)^Parameters!B$71</f>
        <v>19.212296264179692</v>
      </c>
      <c r="K42" s="16">
        <f>I42*J42*EXP(-Parameters!$B$43*'6states'!A42)*(Parameters!$B$38/Parameters!$B$39*('6states'!E42+'6states'!H42)/Parameters!$E$25*(EXP(-Parameters!$B$39*Parameters!$E$25*'6states'!H42/('6states'!E42+'6states'!H42))-EXP(-Parameters!$B$39*Parameters!$E$25))  +  Parameters!$B$40*'6states'!E42)</f>
        <v>10.013077120465184</v>
      </c>
      <c r="L42" s="6">
        <f>L41+K42*Parameters!B$71</f>
        <v>3099.4213079442752</v>
      </c>
      <c r="M42" s="5">
        <f>L42*Parameters!$B$46</f>
        <v>1.8596527847665649</v>
      </c>
      <c r="N42" s="7">
        <f>EXP(-Parameters!$B$47/2*M42^2)</f>
        <v>0.96584105251033237</v>
      </c>
      <c r="O42" s="6">
        <f>MAX((Parameters!$B$63 + Parameters!$B$31*'6states'!A42 - '6states'!L42 + Parameters!$B$48/Parameters!$B$46)/Parameters!B$63,1)</f>
        <v>25.443573841114503</v>
      </c>
      <c r="P42" s="5">
        <f>Parameters!B$62*EXP(-Parameters!B$61*A42)</f>
        <v>0.17921892413949694</v>
      </c>
      <c r="Q42" s="5">
        <f>(1-Parameters!B$62)*O42^-Parameters!B$64</f>
        <v>0.36175304302937111</v>
      </c>
      <c r="R42" s="5">
        <f>Parameters!B$62*EXP(-Parameters!B$61*A42)+(1-Parameters!B$62)*O42^-Parameters!B$64</f>
        <v>0.54097196716886808</v>
      </c>
      <c r="S42" s="5">
        <f>1-R42/Parameters!$B$12</f>
        <v>0.72951401641556601</v>
      </c>
      <c r="T42" s="5">
        <f t="shared" si="0"/>
        <v>3.6970492398466313</v>
      </c>
      <c r="U42" s="5">
        <f>(Parameters!$B$19*(E42+Parameters!$B$20)^S42+Parameters!$B$18*F42^S42)^(1/S42)</f>
        <v>0.33674295961264805</v>
      </c>
      <c r="V42" s="5">
        <f>(Parameters!$B$10*G42^Parameters!$B$9+Parameters!$B$11*U42^Parameters!$B$9)^(Parameters!$B$7/Parameters!$B$9)*N42</f>
        <v>1.3435256128651929</v>
      </c>
      <c r="W42" s="5">
        <f>V42 - C42 - D42 - LN(1+EXP(Parameters!$B$21*B42))/Parameters!$B$21 - IF(B42&gt;0, 0,Parameters!$B$6*B42^2/E42)</f>
        <v>1.035911846277958</v>
      </c>
      <c r="X42" s="5">
        <f>EXP(-Parameters!$B$56*A42)</f>
        <v>0.56338051995913718</v>
      </c>
      <c r="Y42" s="5">
        <f>IF(W42&gt;0,W42^(1-Parameters!$B$53)/(1-Parameters!$B$53)*X42*Parameters!$B$71,-10+W42*1000)</f>
        <v>-1.5899036343773771</v>
      </c>
      <c r="AA42" s="15">
        <f t="shared" si="14"/>
        <v>7.5593596550850052E-4</v>
      </c>
      <c r="AB42" s="15">
        <f t="shared" si="9"/>
        <v>-1.1357382874145755E-3</v>
      </c>
      <c r="AC42" s="15">
        <f t="shared" si="10"/>
        <v>2.55777612745825E-4</v>
      </c>
      <c r="AD42" s="15">
        <f t="shared" si="18"/>
        <v>1.0855006442318537E-6</v>
      </c>
      <c r="AE42" s="15">
        <f t="shared" si="21"/>
        <v>3.8435881957444434E-5</v>
      </c>
      <c r="AF42" s="15">
        <f t="shared" si="22"/>
        <v>1.0174443550536871E-4</v>
      </c>
      <c r="AG42" s="15">
        <f t="shared" si="23"/>
        <v>-1.4192595341494529E-5</v>
      </c>
      <c r="AH42" s="15">
        <f t="shared" si="19"/>
        <v>6.7778490303007841E-9</v>
      </c>
      <c r="AI42" s="15"/>
      <c r="AK42" s="7"/>
      <c r="AL42" s="7"/>
      <c r="AM42" s="16">
        <f t="shared" si="1"/>
        <v>0</v>
      </c>
      <c r="AN42" s="16">
        <f t="shared" si="2"/>
        <v>16.078170154094359</v>
      </c>
      <c r="AO42" s="16">
        <f t="shared" si="17"/>
        <v>58.93291840831791</v>
      </c>
      <c r="AP42" s="6">
        <f t="shared" si="4"/>
        <v>235.12855447237038</v>
      </c>
      <c r="AQ42" s="15">
        <f>-X42*V42*W42^(-Parameters!B$53)*Parameters!B$47*Parameters!B$46*M42</f>
        <v>-1.6186060886647439E-5</v>
      </c>
      <c r="AR42" s="5">
        <f>1000*EXP(-(Parameters!$B$55)*'6states'!A42)*AP42*Parameters!B$47*Parameters!B$46*M42</f>
        <v>1.3893848741887163</v>
      </c>
      <c r="AS42" s="5">
        <f>SUM(AR42:AR$204)*EXP(Parameters!$B$55*A42)</f>
        <v>411.92426338010944</v>
      </c>
      <c r="AT42" s="10">
        <f t="shared" si="16"/>
        <v>0.22803483378869965</v>
      </c>
      <c r="AU42">
        <f>(1/$S42-1/Parameters!$B$13) * LN(Parameters!$B$18) / LN(O42)</f>
        <v>0.23160522591036409</v>
      </c>
      <c r="AV42">
        <f>(Parameters!$B$18*'6states'!S42^+Parameters!$B$19*Parameters!$B$25^'6states'!S42)^((1-'6states'!S42)/'6states'!S42)*Parameters!$B$18*Parameters!$B$26^('6states'!S42-1)</f>
        <v>0.28104146040854638</v>
      </c>
      <c r="AW42">
        <f t="shared" si="20"/>
        <v>0.2388471848671285</v>
      </c>
      <c r="AX42">
        <f t="shared" si="13"/>
        <v>0.14831327151833462</v>
      </c>
      <c r="AY42">
        <f t="shared" si="13"/>
        <v>0.17700330647615492</v>
      </c>
      <c r="AZ42">
        <f>(1/$S42-1/Parameters!$B$13) * LN(Parameters!$B$18) / A42</f>
        <v>1.9725836653999171E-2</v>
      </c>
    </row>
    <row r="43" spans="1:52" x14ac:dyDescent="0.35">
      <c r="A43">
        <f>A42+Parameters!$B$71</f>
        <v>39</v>
      </c>
      <c r="B43" s="7">
        <f>B42+(B44-B42)/2</f>
        <v>1.1758840616473525E-3</v>
      </c>
      <c r="C43" s="7">
        <f>C42+(C44-C42)/2</f>
        <v>8.8851344663242987E-2</v>
      </c>
      <c r="D43" s="7">
        <f>D42+(D44-D42)/2</f>
        <v>0.21662710163831472</v>
      </c>
      <c r="E43" s="5">
        <f>MAX((1-Parameters!$B$4)^Parameters!B$71*E42 + B42*Parameters!B$71 - IF(B42&gt;0,Parameters!$B$5,0)*B42^2/E42*Parameters!B$71, 0.0001)</f>
        <v>8.7178296714897796E-2</v>
      </c>
      <c r="F43" s="5">
        <f>(1-Parameters!$B$4)^Parameters!B$71*F42+C42*Parameters!B$71-Parameters!$B$5*C42^2/F42*Parameters!B$71</f>
        <v>1.0896881091280721</v>
      </c>
      <c r="G43" s="5">
        <f>(1-Parameters!$B$4)^Parameters!B$71*G42+D42*Parameters!B$71-Parameters!$B$5*D42^2/G42*Parameters!B$71</f>
        <v>3.3445589967681748</v>
      </c>
      <c r="H43" s="7">
        <f>MAX(H42 * (1-Parameters!$B$4) ^ Parameters!B$71 + (LN(1+EXP(Parameters!$B$21*(-B42+0.004)))/Parameters!$B$21 -0.004) * Parameters!B$71,0)</f>
        <v>0</v>
      </c>
      <c r="I43" s="16">
        <f>I42*(1+Parameters!$B$52)^Parameters!B$71</f>
        <v>9.1356148108931912</v>
      </c>
      <c r="J43" s="16">
        <f>J42*(1+Parameters!$B$54)^Parameters!B$71</f>
        <v>19.596542189463285</v>
      </c>
      <c r="K43" s="16">
        <f>I43*J43*EXP(-Parameters!$B$43*'6states'!A43)*(Parameters!$B$38/Parameters!$B$39*('6states'!E43+'6states'!H43)/Parameters!$E$25*(EXP(-Parameters!$B$39*Parameters!$E$25*'6states'!H43/('6states'!E43+'6states'!H43))-EXP(-Parameters!$B$39*Parameters!$E$25))  +  Parameters!$B$40*'6states'!E43)</f>
        <v>9.6230690515304218</v>
      </c>
      <c r="L43" s="6">
        <f>L42+K43*Parameters!B$71</f>
        <v>3109.0443769958056</v>
      </c>
      <c r="M43" s="5">
        <f>L43*Parameters!$B$46</f>
        <v>1.8654266261974832</v>
      </c>
      <c r="N43" s="7">
        <f>EXP(-Parameters!$B$47/2*M43^2)</f>
        <v>0.96563230314014037</v>
      </c>
      <c r="O43" s="6">
        <f>MAX((Parameters!$B$63 + Parameters!$B$31*'6states'!A43 - '6states'!L43 + Parameters!$B$48/Parameters!$B$46)/Parameters!B$63,1)</f>
        <v>26.315112460083892</v>
      </c>
      <c r="P43" s="5">
        <f>Parameters!B$62*EXP(-Parameters!B$61*A43)</f>
        <v>0.17444475450507668</v>
      </c>
      <c r="Q43" s="5">
        <f>(1-Parameters!B$62)*O43^-Parameters!B$64</f>
        <v>0.3605367016536552</v>
      </c>
      <c r="R43" s="5">
        <f>Parameters!B$62*EXP(-Parameters!B$61*A43)+(1-Parameters!B$62)*O43^-Parameters!B$64</f>
        <v>0.53498145615873183</v>
      </c>
      <c r="S43" s="5">
        <f>1-R43/Parameters!$B$12</f>
        <v>0.73250927192063409</v>
      </c>
      <c r="T43" s="5">
        <f t="shared" si="0"/>
        <v>3.7384473367738367</v>
      </c>
      <c r="U43" s="5">
        <f>(Parameters!$B$19*(E43+Parameters!$B$20)^S43+Parameters!$B$18*F43^S43)^(1/S43)</f>
        <v>0.33595282297049467</v>
      </c>
      <c r="V43" s="5">
        <f>(Parameters!$B$10*G43^Parameters!$B$9+Parameters!$B$11*U43^Parameters!$B$9)^(Parameters!$B$7/Parameters!$B$9)*N43</f>
        <v>1.3422431676580304</v>
      </c>
      <c r="W43" s="5">
        <f>V43 - C43 - D43 - LN(1+EXP(Parameters!$B$21*B43))/Parameters!$B$21 - IF(B43&gt;0, 0,Parameters!$B$6*B43^2/E43)</f>
        <v>1.0343754042531814</v>
      </c>
      <c r="X43" s="5">
        <f>EXP(-Parameters!$B$56*A43)</f>
        <v>0.5549373802387243</v>
      </c>
      <c r="Y43" s="5">
        <f>IF(W43&gt;0,W43^(1-Parameters!$B$53)/(1-Parameters!$B$53)*X43*Parameters!$B$71,-10+W43*1000)</f>
        <v>-1.5668902221510561</v>
      </c>
      <c r="AA43" s="15">
        <f t="shared" si="14"/>
        <v>1.5216072044891109E-3</v>
      </c>
      <c r="AB43" s="15">
        <f t="shared" si="9"/>
        <v>-1.0529157385046478E-3</v>
      </c>
      <c r="AC43" s="15">
        <f t="shared" si="10"/>
        <v>2.2628433714004526E-4</v>
      </c>
      <c r="AD43" s="15">
        <f t="shared" si="18"/>
        <v>1.9284765628250111E-6</v>
      </c>
      <c r="AE43" s="15">
        <f t="shared" si="21"/>
        <v>7.6567123898061036E-4</v>
      </c>
      <c r="AF43" s="15">
        <f t="shared" si="22"/>
        <v>8.2822548909927685E-5</v>
      </c>
      <c r="AG43" s="15">
        <f t="shared" si="23"/>
        <v>-2.9493275605779745E-5</v>
      </c>
      <c r="AH43" s="15">
        <f t="shared" si="19"/>
        <v>3.2962274513122008E-7</v>
      </c>
      <c r="AI43" s="15"/>
      <c r="AK43" s="7"/>
      <c r="AL43" s="7"/>
      <c r="AM43" s="16">
        <f t="shared" si="1"/>
        <v>0</v>
      </c>
      <c r="AN43" s="16">
        <f t="shared" si="2"/>
        <v>15.60722194283507</v>
      </c>
      <c r="AO43" s="16">
        <f t="shared" si="17"/>
        <v>60.144444982330917</v>
      </c>
      <c r="AP43" s="6">
        <f t="shared" si="4"/>
        <v>240.29704419899466</v>
      </c>
      <c r="AQ43" s="15">
        <f>-X43*V43*W43^(-Parameters!B$53)*Parameters!B$47*Parameters!B$46*M43</f>
        <v>-1.6009770662691363E-5</v>
      </c>
      <c r="AR43" s="5">
        <f>1000*EXP(-(Parameters!$B$55)*'6states'!A43)*AP43*Parameters!B$47*Parameters!B$46*M43</f>
        <v>1.375207371592452</v>
      </c>
      <c r="AS43" s="5">
        <f>SUM(AR43:AR$204)*EXP(Parameters!$B$55*A43)</f>
        <v>421.17784196156595</v>
      </c>
      <c r="AT43" s="10">
        <f t="shared" si="16"/>
        <v>0.2284640650458746</v>
      </c>
      <c r="AU43">
        <f>(1/$S43-1/Parameters!$B$13) * LN(Parameters!$B$18) / LN(O43)</f>
        <v>0.23126175130232673</v>
      </c>
      <c r="AV43">
        <f>(Parameters!$B$18*'6states'!S43^+Parameters!$B$19*Parameters!$B$25^'6states'!S43)^((1-'6states'!S43)/'6states'!S43)*Parameters!$B$18*Parameters!$B$26^('6states'!S43-1)</f>
        <v>0.28217363346225854</v>
      </c>
      <c r="AW43">
        <f t="shared" si="20"/>
        <v>0.23761665221018777</v>
      </c>
      <c r="AX43">
        <f t="shared" si="13"/>
        <v>0.148110479117597</v>
      </c>
      <c r="AY43">
        <f t="shared" si="13"/>
        <v>0.17764891011239325</v>
      </c>
      <c r="AZ43">
        <f>(1/$S43-1/Parameters!$B$13) * LN(Parameters!$B$18) / A43</f>
        <v>1.9391258665077113E-2</v>
      </c>
    </row>
    <row r="44" spans="1:52" ht="15" customHeight="1" x14ac:dyDescent="0.35">
      <c r="A44">
        <f>A43+Parameters!$B$71</f>
        <v>40</v>
      </c>
      <c r="B44" s="13">
        <v>1.2523823629784253E-3</v>
      </c>
      <c r="C44" s="13">
        <v>8.8847554167853893E-2</v>
      </c>
      <c r="D44" s="13">
        <v>0.21683808437500271</v>
      </c>
      <c r="E44" s="5">
        <f>MAX((1-Parameters!$B$4)^Parameters!B$71*E43 + B43*Parameters!B$71 - IF(B43&gt;0,Parameters!$B$5,0)*B43^2/E43*Parameters!B$71, 0.0001)</f>
        <v>8.285480527608674E-2</v>
      </c>
      <c r="F44" s="5">
        <f>(1-Parameters!$B$4)^Parameters!B$71*F43+C43*Parameters!B$71-Parameters!$B$5*C43^2/F43*Parameters!B$71</f>
        <v>1.102753281789254</v>
      </c>
      <c r="G44" s="5">
        <f>(1-Parameters!$B$4)^Parameters!B$71*G43+D43*Parameters!B$71-Parameters!$B$5*D43^2/G43*Parameters!B$71</f>
        <v>3.3367823991380572</v>
      </c>
      <c r="H44" s="7">
        <f>MAX(H43 * (1-Parameters!$B$4) ^ Parameters!B$71 + (LN(1+EXP(Parameters!$B$21*(-B43+0.004)))/Parameters!$B$21 -0.004) * Parameters!B$71,0)</f>
        <v>0</v>
      </c>
      <c r="I44" s="16">
        <f>I43*(1+Parameters!$B$52)^Parameters!B$71</f>
        <v>9.1621080938447808</v>
      </c>
      <c r="J44" s="16">
        <f>J43*(1+Parameters!$B$54)^Parameters!B$71</f>
        <v>19.98847303325255</v>
      </c>
      <c r="K44" s="16">
        <f>I44*J44*EXP(-Parameters!$B$43*'6states'!A44)*(Parameters!$B$38/Parameters!$B$39*('6states'!E44+'6states'!H44)/Parameters!$E$25*(EXP(-Parameters!$B$39*Parameters!$E$25*'6states'!H44/('6states'!E44+'6states'!H44))-EXP(-Parameters!$B$39*Parameters!$E$25))  +  Parameters!$B$40*'6states'!E44)</f>
        <v>9.262703913035649</v>
      </c>
      <c r="L44" s="6">
        <f>L43+K44*Parameters!B$71</f>
        <v>3118.3070809088413</v>
      </c>
      <c r="M44" s="5">
        <f>L44*Parameters!$B$46</f>
        <v>1.8709842485453045</v>
      </c>
      <c r="N44" s="7">
        <f>EXP(-Parameters!$B$47/2*M44^2)</f>
        <v>0.96543080261116099</v>
      </c>
      <c r="O44" s="6">
        <f>MAX((Parameters!$B$63 + Parameters!$B$31*'6states'!A44 - '6states'!L44 + Parameters!$B$48/Parameters!$B$46)/Parameters!B$63,1)</f>
        <v>27.193858381823176</v>
      </c>
      <c r="P44" s="5">
        <f>Parameters!B$62*EXP(-Parameters!B$61*A44)</f>
        <v>0.16979776282246956</v>
      </c>
      <c r="Q44" s="5">
        <f>(1-Parameters!B$62)*O44^-Parameters!B$64</f>
        <v>0.35935436225003969</v>
      </c>
      <c r="R44" s="5">
        <f>Parameters!B$62*EXP(-Parameters!B$61*A44)+(1-Parameters!B$62)*O44^-Parameters!B$64</f>
        <v>0.52915212507250931</v>
      </c>
      <c r="S44" s="5">
        <f>1-R44/Parameters!$B$12</f>
        <v>0.73542393746374535</v>
      </c>
      <c r="T44" s="5">
        <f t="shared" si="0"/>
        <v>3.7796314239991791</v>
      </c>
      <c r="U44" s="5">
        <f>(Parameters!$B$19*(E44+Parameters!$B$20)^S44+Parameters!$B$18*F44^S44)^(1/S44)</f>
        <v>0.33531832576982484</v>
      </c>
      <c r="V44" s="5">
        <f>(Parameters!$B$10*G44^Parameters!$B$9+Parameters!$B$11*U44^Parameters!$B$9)^(Parameters!$B$7/Parameters!$B$9)*N44</f>
        <v>1.3410886789494574</v>
      </c>
      <c r="W44" s="5">
        <f>V44 - C44 - D44 - LN(1+EXP(Parameters!$B$21*B44))/Parameters!$B$21 - IF(B44&gt;0, 0,Parameters!$B$6*B44^2/E44)</f>
        <v>1.0329663647553451</v>
      </c>
      <c r="X44" s="5">
        <f>EXP(-Parameters!$B$56*A44)</f>
        <v>0.54662077419459754</v>
      </c>
      <c r="Y44" s="5">
        <f>IF(W44&gt;0,W44^(1-Parameters!$B$53)/(1-Parameters!$B$53)*X44*Parameters!$B$71,-10+W44*1000)</f>
        <v>-1.5441444522686045</v>
      </c>
      <c r="AA44" s="15">
        <f t="shared" si="14"/>
        <v>1.6271199209418972E-3</v>
      </c>
      <c r="AB44" s="15">
        <f t="shared" si="9"/>
        <v>-9.6948503833813038E-4</v>
      </c>
      <c r="AC44" s="15">
        <f t="shared" si="10"/>
        <v>2.1418028374389775E-4</v>
      </c>
      <c r="AD44" s="15">
        <f t="shared" si="18"/>
        <v>1.9860337991172323E-6</v>
      </c>
      <c r="AE44" s="15">
        <f t="shared" si="21"/>
        <v>1.055127164527863E-4</v>
      </c>
      <c r="AF44" s="15">
        <f t="shared" si="22"/>
        <v>8.3430700166517435E-5</v>
      </c>
      <c r="AG44" s="15">
        <f t="shared" si="23"/>
        <v>-1.2104053396147507E-5</v>
      </c>
      <c r="AH44" s="15">
        <f t="shared" si="19"/>
        <v>9.9704302497590009E-9</v>
      </c>
      <c r="AI44" s="15"/>
      <c r="AK44" s="7"/>
      <c r="AL44" s="7"/>
      <c r="AM44" s="16">
        <f t="shared" si="1"/>
        <v>0</v>
      </c>
      <c r="AN44" s="16">
        <f t="shared" si="2"/>
        <v>15.173743235712378</v>
      </c>
      <c r="AO44" s="16">
        <f t="shared" si="17"/>
        <v>61.409041521563623</v>
      </c>
      <c r="AP44" s="6">
        <f t="shared" si="4"/>
        <v>245.60235465996479</v>
      </c>
      <c r="AQ44" s="15">
        <f>-X44*V44*W44^(-Parameters!B$53)*Parameters!B$47*Parameters!B$46*M44</f>
        <v>-1.5832326041746034E-5</v>
      </c>
      <c r="AR44" s="5">
        <f>1000*EXP(-(Parameters!$B$55)*'6states'!A44)*AP44*Parameters!B$47*Parameters!B$46*M44</f>
        <v>1.3611328411346679</v>
      </c>
      <c r="AS44" s="5">
        <f>SUM(AR44:AR$204)*EXP(Parameters!$B$55*A44)</f>
        <v>430.62460170875931</v>
      </c>
      <c r="AT44" s="10">
        <f t="shared" si="16"/>
        <v>0.22887227796619317</v>
      </c>
      <c r="AU44">
        <f>(1/$S44-1/Parameters!$B$13) * LN(Parameters!$B$18) / LN(O44)</f>
        <v>0.2309132764071698</v>
      </c>
      <c r="AV44">
        <f>(Parameters!$B$18*'6states'!S44^+Parameters!$B$19*Parameters!$B$25^'6states'!S44)^((1-'6states'!S44)/'6states'!S44)*Parameters!$B$18*Parameters!$B$26^('6states'!S44-1)</f>
        <v>0.28325244115964154</v>
      </c>
      <c r="AW44">
        <f t="shared" si="20"/>
        <v>0.23640888040034583</v>
      </c>
      <c r="AX44">
        <f t="shared" si="13"/>
        <v>0.14790468512882204</v>
      </c>
      <c r="AY44">
        <f t="shared" si="13"/>
        <v>0.17826361179695549</v>
      </c>
      <c r="AZ44">
        <f>(1/$S44-1/Parameters!$B$13) * LN(Parameters!$B$18) / A44</f>
        <v>1.9067612727196818E-2</v>
      </c>
    </row>
    <row r="45" spans="1:52" x14ac:dyDescent="0.35">
      <c r="A45">
        <f>A44+Parameters!$B$71</f>
        <v>41</v>
      </c>
      <c r="B45" s="26">
        <f t="shared" ref="B45:D46" si="24">B44+(B$47-B$44)/3</f>
        <v>1.2787996757041382E-3</v>
      </c>
      <c r="C45" s="26">
        <f t="shared" si="24"/>
        <v>8.8817495623269904E-2</v>
      </c>
      <c r="D45" s="26">
        <f t="shared" si="24"/>
        <v>0.21712731873428998</v>
      </c>
      <c r="E45" s="5">
        <f>MAX((1-Parameters!$B$4)^Parameters!B$71*E44 + B44*Parameters!B$71 - IF(B44&gt;0,Parameters!$B$5,0)*B44^2/E44*Parameters!B$71, 0.0001)</f>
        <v>7.8876690144374248E-2</v>
      </c>
      <c r="F45" s="5">
        <f>(1-Parameters!$B$4)^Parameters!B$71*F44+C44*Parameters!B$71-Parameters!$B$5*C44^2/F44*Parameters!B$71</f>
        <v>1.1150793100397671</v>
      </c>
      <c r="G45" s="5">
        <f>(1-Parameters!$B$4)^Parameters!B$71*G44+D44*Parameters!B$71-Parameters!$B$5*D44^2/G44*Parameters!B$71</f>
        <v>3.3296458244402962</v>
      </c>
      <c r="H45" s="7">
        <f>MAX(H44 * (1-Parameters!$B$4) ^ Parameters!B$71 + (LN(1+EXP(Parameters!$B$21*(-B44+0.004)))/Parameters!$B$21 -0.004) * Parameters!B$71,0)</f>
        <v>0</v>
      </c>
      <c r="I45" s="16">
        <f>I44*(1+Parameters!$B$52)^Parameters!B$71</f>
        <v>9.1886782073169293</v>
      </c>
      <c r="J45" s="16">
        <f>J44*(1+Parameters!$B$54)^Parameters!B$71</f>
        <v>20.388242493917602</v>
      </c>
      <c r="K45" s="16">
        <f>I45*J45*EXP(-Parameters!$B$43*'6states'!A45)*(Parameters!$B$38/Parameters!$B$39*('6states'!E45+'6states'!H45)/Parameters!$E$25*(EXP(-Parameters!$B$39*Parameters!$E$25*'6states'!H45/('6states'!E45+'6states'!H45))-EXP(-Parameters!$B$39*Parameters!$E$25))  +  Parameters!$B$40*'6states'!E45)</f>
        <v>8.9306612701751718</v>
      </c>
      <c r="L45" s="6">
        <f>L44+K45*Parameters!B$71</f>
        <v>3127.2377421790165</v>
      </c>
      <c r="M45" s="5">
        <f>L45*Parameters!$B$46</f>
        <v>1.8763426453074097</v>
      </c>
      <c r="N45" s="7">
        <f>EXP(-Parameters!$B$47/2*M45^2)</f>
        <v>0.96523599772721436</v>
      </c>
      <c r="O45" s="6">
        <f>MAX((Parameters!$B$63 + Parameters!$B$31*'6states'!A45 - '6states'!L45 + Parameters!$B$48/Parameters!$B$46)/Parameters!B$63,1)</f>
        <v>28.079245156419674</v>
      </c>
      <c r="P45" s="5">
        <f>Parameters!B$62*EXP(-Parameters!B$61*A45)</f>
        <v>0.16527456122893386</v>
      </c>
      <c r="Q45" s="5">
        <f>(1-Parameters!B$62)*O45^-Parameters!B$64</f>
        <v>0.35820484974036343</v>
      </c>
      <c r="R45" s="5">
        <f>Parameters!B$62*EXP(-Parameters!B$61*A45)+(1-Parameters!B$62)*O45^-Parameters!B$64</f>
        <v>0.52347941096929729</v>
      </c>
      <c r="S45" s="5">
        <f>1-R45/Parameters!$B$12</f>
        <v>0.73826029451535136</v>
      </c>
      <c r="T45" s="5">
        <f t="shared" si="0"/>
        <v>3.8205896126778183</v>
      </c>
      <c r="U45" s="5">
        <f>(Parameters!$B$19*(E45+Parameters!$B$20)^S45+Parameters!$B$18*F45^S45)^(1/S45)</f>
        <v>0.33483218858176178</v>
      </c>
      <c r="V45" s="5">
        <f>(Parameters!$B$10*G45^Parameters!$B$9+Parameters!$B$11*U45^Parameters!$B$9)^(Parameters!$B$7/Parameters!$B$9)*N45</f>
        <v>1.3400554314501198</v>
      </c>
      <c r="W45" s="5">
        <f>V45 - C45 - D45 - LN(1+EXP(Parameters!$B$21*B45))/Parameters!$B$21 - IF(B45&gt;0, 0,Parameters!$B$6*B45^2/E45)</f>
        <v>1.0316574590586536</v>
      </c>
      <c r="X45" s="5">
        <f>EXP(-Parameters!$B$56*A45)</f>
        <v>0.53842880552138184</v>
      </c>
      <c r="Y45" s="5">
        <f>IF(W45&gt;0,W45^(1-Parameters!$B$53)/(1-Parameters!$B$53)*X45*Parameters!$B$71,-10+W45*1000)</f>
        <v>-1.5216781655861142</v>
      </c>
      <c r="AA45" s="15">
        <f t="shared" si="14"/>
        <v>1.0972577361041472E-3</v>
      </c>
      <c r="AB45" s="15">
        <f t="shared" si="9"/>
        <v>-9.1756016770007387E-4</v>
      </c>
      <c r="AC45" s="15">
        <f t="shared" si="10"/>
        <v>2.2614983354257712E-4</v>
      </c>
      <c r="AD45" s="15">
        <f t="shared" si="18"/>
        <v>1.1291040221890521E-6</v>
      </c>
      <c r="AE45" s="15">
        <f t="shared" si="21"/>
        <v>-5.2986218483775001E-4</v>
      </c>
      <c r="AF45" s="15">
        <f t="shared" si="22"/>
        <v>5.1924870638056508E-5</v>
      </c>
      <c r="AG45" s="15">
        <f t="shared" si="23"/>
        <v>1.1969549798679369E-5</v>
      </c>
      <c r="AH45" s="15">
        <f t="shared" si="19"/>
        <v>1.526948541265589E-7</v>
      </c>
      <c r="AI45" s="15"/>
      <c r="AK45" s="7"/>
      <c r="AL45" s="7"/>
      <c r="AM45" s="16">
        <f t="shared" si="1"/>
        <v>0</v>
      </c>
      <c r="AN45" s="16">
        <f t="shared" si="2"/>
        <v>14.77683796805912</v>
      </c>
      <c r="AO45" s="16">
        <f t="shared" si="17"/>
        <v>62.727796870114986</v>
      </c>
      <c r="AP45" s="6">
        <f t="shared" si="4"/>
        <v>251.04732389900246</v>
      </c>
      <c r="AQ45" s="15">
        <f>-X45*V45*W45^(-Parameters!B$53)*Parameters!B$47*Parameters!B$46*M45</f>
        <v>-1.5654440535354225E-5</v>
      </c>
      <c r="AR45" s="5">
        <f>1000*EXP(-(Parameters!$B$55)*'6states'!A45)*AP45*Parameters!B$47*Parameters!B$46*M45</f>
        <v>1.3471683293975312</v>
      </c>
      <c r="AS45" s="5">
        <f>SUM(AR45:AR$204)*EXP(Parameters!$B$55*A45)</f>
        <v>440.2681636059009</v>
      </c>
      <c r="AT45" s="10">
        <f t="shared" si="16"/>
        <v>0.22926186993683303</v>
      </c>
      <c r="AU45">
        <f>(1/$S45-1/Parameters!$B$13) * LN(Parameters!$B$18) / LN(O45)</f>
        <v>0.23056096629446951</v>
      </c>
      <c r="AV45">
        <f>(Parameters!$B$18*'6states'!S45^+Parameters!$B$19*Parameters!$B$25^'6states'!S45)^((1-'6states'!S45)/'6states'!S45)*Parameters!$B$18*Parameters!$B$26^('6states'!S45-1)</f>
        <v>0.28428064683157866</v>
      </c>
      <c r="AW45">
        <f t="shared" si="20"/>
        <v>0.23522418135818426</v>
      </c>
      <c r="AX45">
        <f t="shared" ref="AX45:AX69" si="25">1-2^-AU45</f>
        <v>0.14769657569062322</v>
      </c>
      <c r="AY45">
        <f t="shared" ref="AY45:AY69" si="26">1-2^-AV45</f>
        <v>0.17884905291829967</v>
      </c>
      <c r="AZ45">
        <f>(1/$S45-1/Parameters!$B$13) * LN(Parameters!$B$18) / A45</f>
        <v>1.8754339026817932E-2</v>
      </c>
    </row>
    <row r="46" spans="1:52" x14ac:dyDescent="0.35">
      <c r="A46">
        <f>A45+Parameters!$B$71</f>
        <v>42</v>
      </c>
      <c r="B46" s="26">
        <f t="shared" si="24"/>
        <v>1.3052169884298511E-3</v>
      </c>
      <c r="C46" s="26">
        <f t="shared" si="24"/>
        <v>8.8787437078685916E-2</v>
      </c>
      <c r="D46" s="26">
        <f t="shared" si="24"/>
        <v>0.21741655309357724</v>
      </c>
      <c r="E46" s="5">
        <f>MAX((1-Parameters!$B$4)^Parameters!B$71*E45 + B45*Parameters!B$71 - IF(B45&gt;0,Parameters!$B$5,0)*B45^2/E45*Parameters!B$71, 0.0001)</f>
        <v>7.5173413286456395E-2</v>
      </c>
      <c r="F46" s="5">
        <f>(1-Parameters!$B$4)^Parameters!B$71*F45+C45*Parameters!B$71-Parameters!$B$5*C45^2/F45*Parameters!B$71</f>
        <v>1.1266838897470264</v>
      </c>
      <c r="G46" s="5">
        <f>(1-Parameters!$B$4)^Parameters!B$71*G45+D45*Parameters!B$71-Parameters!$B$5*D45^2/G45*Parameters!B$71</f>
        <v>3.323179475684241</v>
      </c>
      <c r="H46" s="7">
        <f>MAX(H45 * (1-Parameters!$B$4) ^ Parameters!B$71 + (LN(1+EXP(Parameters!$B$21*(-B45+0.004)))/Parameters!$B$21 -0.004) * Parameters!B$71,0)</f>
        <v>0</v>
      </c>
      <c r="I46" s="16">
        <f>I45*(1+Parameters!$B$52)^Parameters!B$71</f>
        <v>9.215325374118148</v>
      </c>
      <c r="J46" s="16">
        <f>J45*(1+Parameters!$B$54)^Parameters!B$71</f>
        <v>20.796007343795953</v>
      </c>
      <c r="K46" s="16">
        <f>I46*J46*EXP(-Parameters!$B$43*'6states'!A46)*(Parameters!$B$38/Parameters!$B$39*('6states'!E46+'6states'!H46)/Parameters!$E$25*(EXP(-Parameters!$B$39*Parameters!$E$25*'6states'!H46/('6states'!E46+'6states'!H46))-EXP(-Parameters!$B$39*Parameters!$E$25))  +  Parameters!$B$40*'6states'!E46)</f>
        <v>8.6201350009637459</v>
      </c>
      <c r="L46" s="6">
        <f>L45+K46*Parameters!B$71</f>
        <v>3135.8578771799803</v>
      </c>
      <c r="M46" s="5">
        <f>L46*Parameters!$B$46</f>
        <v>1.8815147263079881</v>
      </c>
      <c r="N46" s="7">
        <f>EXP(-Parameters!$B$47/2*M46^2)</f>
        <v>0.96504747541080416</v>
      </c>
      <c r="O46" s="6">
        <f>MAX((Parameters!$B$63 + Parameters!$B$31*'6states'!A46 - '6states'!L46 + Parameters!$B$48/Parameters!$B$46)/Parameters!B$63,1)</f>
        <v>28.970842456400398</v>
      </c>
      <c r="P46" s="5">
        <f>Parameters!B$62*EXP(-Parameters!B$61*A46)</f>
        <v>0.16087185211018509</v>
      </c>
      <c r="Q46" s="5">
        <f>(1-Parameters!B$62)*O46^-Parameters!B$64</f>
        <v>0.35708687847858217</v>
      </c>
      <c r="R46" s="5">
        <f>Parameters!B$62*EXP(-Parameters!B$61*A46)+(1-Parameters!B$62)*O46^-Parameters!B$64</f>
        <v>0.51795873058876729</v>
      </c>
      <c r="S46" s="5">
        <f>1-R46/Parameters!$B$12</f>
        <v>0.7410206347056163</v>
      </c>
      <c r="T46" s="5">
        <f t="shared" si="0"/>
        <v>3.8613114943087949</v>
      </c>
      <c r="U46" s="5">
        <f>(Parameters!$B$19*(E46+Parameters!$B$20)^S46+Parameters!$B$18*F46^S46)^(1/S46)</f>
        <v>0.33443419162942389</v>
      </c>
      <c r="V46" s="5">
        <f>(Parameters!$B$10*G46^Parameters!$B$9+Parameters!$B$11*U46^Parameters!$B$9)^(Parameters!$B$7/Parameters!$B$9)*N46</f>
        <v>1.3391197871086891</v>
      </c>
      <c r="W46" s="5">
        <f>V46 - C46 - D46 - LN(1+EXP(Parameters!$B$21*B46))/Parameters!$B$21 - IF(B46&gt;0, 0,Parameters!$B$6*B46^2/E46)</f>
        <v>1.0304460911057516</v>
      </c>
      <c r="X46" s="5">
        <f>EXP(-Parameters!$B$56*A46)</f>
        <v>0.53035960633280899</v>
      </c>
      <c r="Y46" s="5">
        <f>IF(W46&gt;0,W46^(1-Parameters!$B$53)/(1-Parameters!$B$53)*X46*Parameters!$B$71,-10+W46*1000)</f>
        <v>-1.4994899128477426</v>
      </c>
      <c r="AA46" s="15">
        <f t="shared" si="14"/>
        <v>1.1501037037849951E-3</v>
      </c>
      <c r="AB46" s="15">
        <f t="shared" si="9"/>
        <v>-8.4706828073495555E-4</v>
      </c>
      <c r="AC46" s="15">
        <f t="shared" si="10"/>
        <v>2.1392378333255635E-4</v>
      </c>
      <c r="AD46" s="15">
        <f t="shared" si="18"/>
        <v>1.10634423935516E-6</v>
      </c>
      <c r="AE46" s="15">
        <f t="shared" si="21"/>
        <v>5.2845967680847927E-5</v>
      </c>
      <c r="AF46" s="15">
        <f t="shared" si="22"/>
        <v>7.0491886965118322E-5</v>
      </c>
      <c r="AG46" s="15">
        <f t="shared" si="23"/>
        <v>-1.2226050210020767E-5</v>
      </c>
      <c r="AH46" s="15">
        <f t="shared" si="19"/>
        <v>4.1958226737686417E-9</v>
      </c>
      <c r="AI46" s="15"/>
      <c r="AK46" s="7"/>
      <c r="AL46" s="7"/>
      <c r="AM46" s="16">
        <f t="shared" si="1"/>
        <v>0</v>
      </c>
      <c r="AN46" s="16">
        <f t="shared" si="2"/>
        <v>14.406381326233584</v>
      </c>
      <c r="AO46" s="16">
        <f t="shared" si="17"/>
        <v>64.091628709005136</v>
      </c>
      <c r="AP46" s="6">
        <f t="shared" si="4"/>
        <v>256.63155963237642</v>
      </c>
      <c r="AQ46" s="15">
        <f>-X46*V46*W46^(-Parameters!B$53)*Parameters!B$47*Parameters!B$46*M46</f>
        <v>-1.54760695840512E-5</v>
      </c>
      <c r="AR46" s="5">
        <f>1000*EXP(-(Parameters!$B$55)*'6states'!A46)*AP46*Parameters!B$47*Parameters!B$46*M46</f>
        <v>1.3333005790086465</v>
      </c>
      <c r="AS46" s="5">
        <f>SUM(AR46:AR$204)*EXP(Parameters!$B$55*A46)</f>
        <v>450.11217267884376</v>
      </c>
      <c r="AT46" s="10">
        <f t="shared" ref="AT46:AT69" si="27">(B46+C46+D46)/V46</f>
        <v>0.22963532472672973</v>
      </c>
      <c r="AU46">
        <f>(1/$S46-1/Parameters!$B$13) * LN(Parameters!$B$18) / LN(O46)</f>
        <v>0.2302055913503516</v>
      </c>
      <c r="AV46">
        <f>(Parameters!$B$18*'6states'!S46^+Parameters!$B$19*Parameters!$B$25^'6states'!S46)^((1-'6states'!S46)/'6states'!S46)*Parameters!$B$18*Parameters!$B$26^('6states'!S46-1)</f>
        <v>0.28526089135185057</v>
      </c>
      <c r="AW46">
        <f t="shared" si="20"/>
        <v>0.23406245966403175</v>
      </c>
      <c r="AX46">
        <f t="shared" si="25"/>
        <v>0.14748660436546979</v>
      </c>
      <c r="AY46">
        <f t="shared" si="26"/>
        <v>0.17940679748621102</v>
      </c>
      <c r="AZ46">
        <f>(1/$S46-1/Parameters!$B$13) * LN(Parameters!$B$18) / A46</f>
        <v>1.8450922742066913E-2</v>
      </c>
    </row>
    <row r="47" spans="1:52" x14ac:dyDescent="0.35">
      <c r="A47">
        <f>A46+Parameters!$B$71</f>
        <v>43</v>
      </c>
      <c r="B47" s="13">
        <v>1.331634301155564E-3</v>
      </c>
      <c r="C47" s="13">
        <v>8.8757378534101913E-2</v>
      </c>
      <c r="D47" s="13">
        <v>0.21770578745286448</v>
      </c>
      <c r="E47" s="5">
        <f>MAX((1-Parameters!$B$4)^Parameters!B$71*E46 + B46*Parameters!B$71 - IF(B46&gt;0,Parameters!$B$5,0)*B46^2/E46*Parameters!B$71, 0.0001)</f>
        <v>7.1727560426255194E-2</v>
      </c>
      <c r="F47" s="5">
        <f>(1-Parameters!$B$4)^Parameters!B$71*F46+C46*Parameters!B$71-Parameters!$B$5*C46^2/F46*Parameters!B$71</f>
        <v>1.1376060860693775</v>
      </c>
      <c r="G47" s="5">
        <f>(1-Parameters!$B$4)^Parameters!B$71*G46+D46*Parameters!B$71-Parameters!$B$5*D46^2/G46*Parameters!B$71</f>
        <v>3.3173437229832481</v>
      </c>
      <c r="H47" s="7">
        <f>MAX(H46 * (1-Parameters!$B$4) ^ Parameters!B$71 + (LN(1+EXP(Parameters!$B$21*(-B46+0.004)))/Parameters!$B$21 -0.004) * Parameters!B$71,0)</f>
        <v>0</v>
      </c>
      <c r="I47" s="16">
        <f>I46*(1+Parameters!$B$52)^Parameters!B$71</f>
        <v>9.242049817703089</v>
      </c>
      <c r="J47" s="16">
        <f>J46*(1+Parameters!$B$54)^Parameters!B$71</f>
        <v>21.211927490671872</v>
      </c>
      <c r="K47" s="16">
        <f>I47*J47*EXP(-Parameters!$B$43*'6states'!A47)*(Parameters!$B$38/Parameters!$B$39*('6states'!E47+'6states'!H47)/Parameters!$E$25*(EXP(-Parameters!$B$39*Parameters!$E$25*'6states'!H47/('6states'!E47+'6states'!H47))-EXP(-Parameters!$B$39*Parameters!$E$25))  +  Parameters!$B$40*'6states'!E47)</f>
        <v>8.3301096025148507</v>
      </c>
      <c r="L47" s="6">
        <f>L46+K47*Parameters!B$71</f>
        <v>3144.187986782495</v>
      </c>
      <c r="M47" s="5">
        <f>L47*Parameters!$B$46</f>
        <v>1.8865127920694968</v>
      </c>
      <c r="N47" s="7">
        <f>EXP(-Parameters!$B$47/2*M47^2)</f>
        <v>0.96486483802857748</v>
      </c>
      <c r="O47" s="6">
        <f>MAX((Parameters!$B$63 + Parameters!$B$31*'6states'!A47 - '6states'!L47 + Parameters!$B$48/Parameters!$B$46)/Parameters!B$63,1)</f>
        <v>29.868240264350096</v>
      </c>
      <c r="P47" s="5">
        <f>Parameters!B$62*EXP(-Parameters!B$61*A47)</f>
        <v>0.15658642569628925</v>
      </c>
      <c r="Q47" s="5">
        <f>(1-Parameters!B$62)*O47^-Parameters!B$64</f>
        <v>0.35599921531827911</v>
      </c>
      <c r="R47" s="5">
        <f>Parameters!B$62*EXP(-Parameters!B$61*A47)+(1-Parameters!B$62)*O47^-Parameters!B$64</f>
        <v>0.51258564101456838</v>
      </c>
      <c r="S47" s="5">
        <f>1-R47/Parameters!$B$12</f>
        <v>0.74370717949271581</v>
      </c>
      <c r="T47" s="5">
        <f t="shared" si="0"/>
        <v>3.9017870185387369</v>
      </c>
      <c r="U47" s="5">
        <f>(Parameters!$B$19*(E47+Parameters!$B$20)^S47+Parameters!$B$18*F47^S47)^(1/S47)</f>
        <v>0.33411969468379554</v>
      </c>
      <c r="V47" s="5">
        <f>(Parameters!$B$10*G47^Parameters!$B$9+Parameters!$B$11*U47^Parameters!$B$9)^(Parameters!$B$7/Parameters!$B$9)*N47</f>
        <v>1.3382763058389442</v>
      </c>
      <c r="W47" s="5">
        <f>V47 - C47 - D47 - LN(1+EXP(Parameters!$B$21*B47))/Parameters!$B$21 - IF(B47&gt;0, 0,Parameters!$B$6*B47^2/E47)</f>
        <v>1.0293268209849245</v>
      </c>
      <c r="X47" s="5">
        <f>EXP(-Parameters!$B$56*A47)</f>
        <v>0.52241133673581286</v>
      </c>
      <c r="Y47" s="5">
        <f>IF(W47&gt;0,W47^(1-Parameters!$B$53)/(1-Parameters!$B$53)*X47*Parameters!$B$71,-10+W47*1000)</f>
        <v>-1.4775796369607559</v>
      </c>
      <c r="AA47" s="15">
        <f t="shared" si="14"/>
        <v>1.2024218460761488E-3</v>
      </c>
      <c r="AB47" s="15">
        <f t="shared" si="9"/>
        <v>-7.8302466857993469E-4</v>
      </c>
      <c r="AC47" s="15">
        <f t="shared" si="10"/>
        <v>2.022805619902035E-4</v>
      </c>
      <c r="AD47" s="15">
        <f t="shared" si="18"/>
        <v>1.096992421352144E-6</v>
      </c>
      <c r="AE47" s="15">
        <f t="shared" si="21"/>
        <v>5.2318142291153669E-5</v>
      </c>
      <c r="AF47" s="15">
        <f t="shared" si="22"/>
        <v>6.4043612155020857E-5</v>
      </c>
      <c r="AG47" s="15">
        <f t="shared" si="23"/>
        <v>-1.164322134235285E-5</v>
      </c>
      <c r="AH47" s="15">
        <f t="shared" si="19"/>
        <v>3.6434726491332608E-9</v>
      </c>
      <c r="AI47" s="15"/>
      <c r="AK47" s="7"/>
      <c r="AL47" s="7"/>
      <c r="AM47" s="16">
        <f t="shared" si="1"/>
        <v>0</v>
      </c>
      <c r="AN47" s="16">
        <f t="shared" si="2"/>
        <v>14.061592208454437</v>
      </c>
      <c r="AO47" s="16">
        <f t="shared" si="17"/>
        <v>65.501389807997484</v>
      </c>
      <c r="AP47" s="6">
        <f t="shared" si="4"/>
        <v>262.35794948430765</v>
      </c>
      <c r="AQ47" s="15">
        <f>-X47*V47*W47^(-Parameters!B$53)*Parameters!B$47*Parameters!B$46*M47</f>
        <v>-1.5297431017979665E-5</v>
      </c>
      <c r="AR47" s="5">
        <f>1000*EXP(-(Parameters!$B$55)*'6states'!A47)*AP47*Parameters!B$47*Parameters!B$46*M47</f>
        <v>1.3195341323979755</v>
      </c>
      <c r="AS47" s="5">
        <f>SUM(AR47:AR$204)*EXP(Parameters!$B$55*A47)</f>
        <v>460.16038460887859</v>
      </c>
      <c r="AT47" s="10">
        <f t="shared" si="27"/>
        <v>0.22999346169785936</v>
      </c>
      <c r="AU47">
        <f>(1/$S47-1/Parameters!$B$13) * LN(Parameters!$B$18) / LN(O47)</f>
        <v>0.22984781353327541</v>
      </c>
      <c r="AV47">
        <f>(Parameters!$B$18*'6states'!S47^+Parameters!$B$19*Parameters!$B$25^'6states'!S47)^((1-'6states'!S47)/'6states'!S47)*Parameters!$B$18*Parameters!$B$26^('6states'!S47-1)</f>
        <v>0.28619566994399198</v>
      </c>
      <c r="AW47">
        <f t="shared" si="20"/>
        <v>0.23292353310676614</v>
      </c>
      <c r="AX47">
        <f t="shared" si="25"/>
        <v>0.1472751610622276</v>
      </c>
      <c r="AY47">
        <f t="shared" si="26"/>
        <v>0.17993831972909591</v>
      </c>
      <c r="AZ47">
        <f>(1/$S47-1/Parameters!$B$13) * LN(Parameters!$B$18) / A47</f>
        <v>1.8156885317475946E-2</v>
      </c>
    </row>
    <row r="48" spans="1:52" x14ac:dyDescent="0.35">
      <c r="A48">
        <f>A47+Parameters!$B$71</f>
        <v>44</v>
      </c>
      <c r="B48" s="26">
        <f t="shared" ref="B48:D49" si="28">B47+(B$50-B$47)/3</f>
        <v>9.6407893667289674E-4</v>
      </c>
      <c r="C48" s="26">
        <f t="shared" si="28"/>
        <v>8.9006402311692573E-2</v>
      </c>
      <c r="D48" s="26">
        <f t="shared" si="28"/>
        <v>0.21778860570542241</v>
      </c>
      <c r="E48" s="5">
        <f>MAX((1-Parameters!$B$4)^Parameters!B$71*E47 + B47*Parameters!B$71 - IF(B47&gt;0,Parameters!$B$5,0)*B47^2/E47*Parameters!B$71, 0.0001)</f>
        <v>6.8522809160383003E-2</v>
      </c>
      <c r="F48" s="5">
        <f>(1-Parameters!$B$4)^Parameters!B$71*F47+C47*Parameters!B$71-Parameters!$B$5*C47^2/F47*Parameters!B$71</f>
        <v>1.1478830856553253</v>
      </c>
      <c r="G48" s="5">
        <f>(1-Parameters!$B$4)^Parameters!B$71*G47+D47*Parameters!B$71-Parameters!$B$5*D47^2/G47*Parameters!B$71</f>
        <v>3.3121013128939083</v>
      </c>
      <c r="H48" s="7">
        <f>MAX(H47 * (1-Parameters!$B$4) ^ Parameters!B$71 + (LN(1+EXP(Parameters!$B$21*(-B47+0.004)))/Parameters!$B$21 -0.004) * Parameters!B$71,0)</f>
        <v>0</v>
      </c>
      <c r="I48" s="16">
        <f>I47*(1+Parameters!$B$52)^Parameters!B$71</f>
        <v>9.2688517621744264</v>
      </c>
      <c r="J48" s="16">
        <f>J47*(1+Parameters!$B$54)^Parameters!B$71</f>
        <v>21.63616604048531</v>
      </c>
      <c r="K48" s="16">
        <f>I48*J48*EXP(-Parameters!$B$43*'6states'!A48)*(Parameters!$B$38/Parameters!$B$39*('6states'!E48+'6states'!H48)/Parameters!$E$25*(EXP(-Parameters!$B$39*Parameters!$E$25*'6states'!H48/('6states'!E48+'6states'!H48))-EXP(-Parameters!$B$39*Parameters!$E$25))  +  Parameters!$B$40*'6states'!E48)</f>
        <v>8.0596219850381665</v>
      </c>
      <c r="L48" s="6">
        <f>L47+K48*Parameters!B$71</f>
        <v>3152.2476087675332</v>
      </c>
      <c r="M48" s="5">
        <f>L48*Parameters!$B$46</f>
        <v>1.8913485652605198</v>
      </c>
      <c r="N48" s="7">
        <f>EXP(-Parameters!$B$47/2*M48^2)</f>
        <v>0.96468770293434902</v>
      </c>
      <c r="O48" s="6">
        <f>MAX((Parameters!$B$63 + Parameters!$B$31*'6states'!A48 - '6states'!L48 + Parameters!$B$48/Parameters!$B$46)/Parameters!B$63,1)</f>
        <v>30.77104782464934</v>
      </c>
      <c r="P48" s="5">
        <f>Parameters!B$62*EXP(-Parameters!B$61*A48)</f>
        <v>0.15241515772159842</v>
      </c>
      <c r="Q48" s="5">
        <f>(1-Parameters!B$62)*O48^-Parameters!B$64</f>
        <v>0.35494067903472432</v>
      </c>
      <c r="R48" s="5">
        <f>Parameters!B$62*EXP(-Parameters!B$61*A48)+(1-Parameters!B$62)*O48^-Parameters!B$64</f>
        <v>0.50735583675632268</v>
      </c>
      <c r="S48" s="5">
        <f>1-R48/Parameters!$B$12</f>
        <v>0.74632208162183866</v>
      </c>
      <c r="T48" s="5">
        <f t="shared" si="0"/>
        <v>3.9420064875701382</v>
      </c>
      <c r="U48" s="5">
        <f>(Parameters!$B$19*(E48+Parameters!$B$20)^S48+Parameters!$B$18*F48^S48)^(1/S48)</f>
        <v>0.3338840918505091</v>
      </c>
      <c r="V48" s="5">
        <f>(Parameters!$B$10*G48^Parameters!$B$9+Parameters!$B$11*U48^Parameters!$B$9)^(Parameters!$B$7/Parameters!$B$9)*N48</f>
        <v>1.3375197168870647</v>
      </c>
      <c r="W48" s="5">
        <f>V48 - C48 - D48 - LN(1+EXP(Parameters!$B$21*B48))/Parameters!$B$21 - IF(B48&gt;0, 0,Parameters!$B$6*B48^2/E48)</f>
        <v>1.0284636141753782</v>
      </c>
      <c r="X48" s="5">
        <f>EXP(-Parameters!$B$56*A48)</f>
        <v>0.51458218441100756</v>
      </c>
      <c r="Y48" s="5">
        <f>IF(W48&gt;0,W48^(1-Parameters!$B$53)/(1-Parameters!$B$53)*X48*Parameters!$B$71,-10+W48*1000)</f>
        <v>-1.4558632247641246</v>
      </c>
      <c r="AA48" s="15">
        <f t="shared" si="14"/>
        <v>-4.4957090714031391E-3</v>
      </c>
      <c r="AB48" s="15">
        <f t="shared" si="9"/>
        <v>-4.8158209499088445E-4</v>
      </c>
      <c r="AC48" s="15">
        <f t="shared" si="10"/>
        <v>1.2887875182369946E-4</v>
      </c>
      <c r="AD48" s="15">
        <f t="shared" si="18"/>
        <v>1.0528316039151766E-5</v>
      </c>
      <c r="AE48" s="15">
        <f t="shared" si="21"/>
        <v>-5.6981309174792862E-3</v>
      </c>
      <c r="AF48" s="15">
        <f t="shared" si="22"/>
        <v>3.0144257358905024E-4</v>
      </c>
      <c r="AG48" s="15">
        <f t="shared" si="23"/>
        <v>-7.3401810166504045E-5</v>
      </c>
      <c r="AH48" s="15">
        <f t="shared" si="19"/>
        <v>1.6757343828523916E-5</v>
      </c>
      <c r="AI48" s="15"/>
      <c r="AK48" s="7"/>
      <c r="AL48" s="7"/>
      <c r="AM48" s="16">
        <f t="shared" si="1"/>
        <v>0</v>
      </c>
      <c r="AN48" s="16">
        <f t="shared" si="2"/>
        <v>13.74172968170098</v>
      </c>
      <c r="AO48" s="16">
        <f t="shared" si="17"/>
        <v>66.957922353869137</v>
      </c>
      <c r="AP48" s="6">
        <f t="shared" si="4"/>
        <v>268.22943511244301</v>
      </c>
      <c r="AQ48" s="15">
        <f>-X48*V48*W48^(-Parameters!B$53)*Parameters!B$47*Parameters!B$46*M48</f>
        <v>-1.5115369346743624E-5</v>
      </c>
      <c r="AR48" s="5">
        <f>1000*EXP(-(Parameters!$B$55)*'6states'!A48)*AP48*Parameters!B$47*Parameters!B$46*M48</f>
        <v>1.3058729299257328</v>
      </c>
      <c r="AS48" s="5">
        <f>SUM(AR48:AR$204)*EXP(Parameters!$B$55*A48)</f>
        <v>470.41659288528462</v>
      </c>
      <c r="AT48" s="10">
        <f t="shared" si="27"/>
        <v>0.23009685993270029</v>
      </c>
      <c r="AU48">
        <f>(1/$S48-1/Parameters!$B$13) * LN(Parameters!$B$18) / LN(O48)</f>
        <v>0.22948820306268422</v>
      </c>
      <c r="AV48">
        <f>(Parameters!$B$18*'6states'!S48^+Parameters!$B$19*Parameters!$B$25^'6states'!S48)^((1-'6states'!S48)/'6states'!S48)*Parameters!$B$18*Parameters!$B$26^('6states'!S48-1)</f>
        <v>0.28708733991104718</v>
      </c>
      <c r="AW48">
        <f t="shared" si="20"/>
        <v>0.23180715074620878</v>
      </c>
      <c r="AX48">
        <f t="shared" si="25"/>
        <v>0.14706258183155618</v>
      </c>
      <c r="AY48">
        <f t="shared" si="26"/>
        <v>0.18044500924249374</v>
      </c>
      <c r="AZ48">
        <f>(1/$S48-1/Parameters!$B$13) * LN(Parameters!$B$18) / A48</f>
        <v>1.7871781034187604E-2</v>
      </c>
    </row>
    <row r="49" spans="1:52" x14ac:dyDescent="0.35">
      <c r="A49">
        <f>A48+Parameters!$B$71</f>
        <v>45</v>
      </c>
      <c r="B49" s="26">
        <f t="shared" si="28"/>
        <v>5.965235721902295E-4</v>
      </c>
      <c r="C49" s="26">
        <f t="shared" si="28"/>
        <v>8.9255426089283232E-2</v>
      </c>
      <c r="D49" s="26">
        <f t="shared" si="28"/>
        <v>0.21787142395798034</v>
      </c>
      <c r="E49" s="5">
        <f>MAX((1-Parameters!$B$4)^Parameters!B$71*E48 + B48*Parameters!B$71 - IF(B48&gt;0,Parameters!$B$5,0)*B48^2/E48*Parameters!B$71, 0.0001)</f>
        <v>6.5163239330633033E-2</v>
      </c>
      <c r="F49" s="5">
        <f>(1-Parameters!$B$4)^Parameters!B$71*F48+C48*Parameters!B$71-Parameters!$B$5*C48^2/F48*Parameters!B$71</f>
        <v>1.157786120503584</v>
      </c>
      <c r="G49" s="5">
        <f>(1-Parameters!$B$4)^Parameters!B$71*G48+D48*Parameters!B$71-Parameters!$B$5*D48^2/G48*Parameters!B$71</f>
        <v>3.3072379652527939</v>
      </c>
      <c r="H49" s="7">
        <f>MAX(H48 * (1-Parameters!$B$4) ^ Parameters!B$71 + (LN(1+EXP(Parameters!$B$21*(-B48+0.004)))/Parameters!$B$21 -0.004) * Parameters!B$71,0)</f>
        <v>0</v>
      </c>
      <c r="I49" s="16">
        <f>I48*(1+Parameters!$B$52)^Parameters!B$71</f>
        <v>9.2957314322847306</v>
      </c>
      <c r="J49" s="16">
        <f>J48*(1+Parameters!$B$54)^Parameters!B$71</f>
        <v>22.068889361295017</v>
      </c>
      <c r="K49" s="16">
        <f>I49*J49*EXP(-Parameters!$B$43*'6states'!A49)*(Parameters!$B$38/Parameters!$B$39*('6states'!E49+'6states'!H49)/Parameters!$E$25*(EXP(-Parameters!$B$39*Parameters!$E$25*'6states'!H49/('6states'!E49+'6states'!H49))-EXP(-Parameters!$B$39*Parameters!$E$25))  +  Parameters!$B$40*'6states'!E49)</f>
        <v>7.7624182158512145</v>
      </c>
      <c r="L49" s="6">
        <f>L48+K49*Parameters!B$71</f>
        <v>3160.0100269833843</v>
      </c>
      <c r="M49" s="5">
        <f>L49*Parameters!$B$46</f>
        <v>1.8960060161900303</v>
      </c>
      <c r="N49" s="7">
        <f>EXP(-Parameters!$B$47/2*M49^2)</f>
        <v>0.96451670196807437</v>
      </c>
      <c r="O49" s="6">
        <f>MAX((Parameters!$B$63 + Parameters!$B$31*'6states'!A49 - '6states'!L49 + Parameters!$B$48/Parameters!$B$46)/Parameters!B$63,1)</f>
        <v>31.679799460332315</v>
      </c>
      <c r="P49" s="5">
        <f>Parameters!B$62*EXP(-Parameters!B$61*A49)</f>
        <v>0.14835500714702263</v>
      </c>
      <c r="Q49" s="5">
        <f>(1-Parameters!B$62)*O49^-Parameters!B$64</f>
        <v>0.35390912627668458</v>
      </c>
      <c r="R49" s="5">
        <f>Parameters!B$62*EXP(-Parameters!B$61*A49)+(1-Parameters!B$62)*O49^-Parameters!B$64</f>
        <v>0.50226413342370724</v>
      </c>
      <c r="S49" s="5">
        <f>1-R49/Parameters!$B$12</f>
        <v>0.74886793328814638</v>
      </c>
      <c r="T49" s="5">
        <f t="shared" si="0"/>
        <v>3.9819685836750982</v>
      </c>
      <c r="U49" s="5">
        <f>(Parameters!$B$19*(E49+Parameters!$B$20)^S49+Parameters!$B$18*F49^S49)^(1/S49)</f>
        <v>0.33339041197404556</v>
      </c>
      <c r="V49" s="5">
        <f>(Parameters!$B$10*G49^Parameters!$B$9+Parameters!$B$11*U49^Parameters!$B$9)^(Parameters!$B$7/Parameters!$B$9)*N49</f>
        <v>1.3366917955254616</v>
      </c>
      <c r="W49" s="5">
        <f>V49 - C49 - D49 - LN(1+EXP(Parameters!$B$21*B49))/Parameters!$B$21 - IF(B49&gt;0, 0,Parameters!$B$6*B49^2/E49)</f>
        <v>1.027516065770036</v>
      </c>
      <c r="X49" s="5">
        <f>EXP(-Parameters!$B$56*A49)</f>
        <v>0.50687036419945219</v>
      </c>
      <c r="Y49" s="5">
        <f>IF(W49&gt;0,W49^(1-Parameters!$B$53)/(1-Parameters!$B$53)*X49*Parameters!$B$71,-10+W49*1000)</f>
        <v>-1.4345075483462597</v>
      </c>
      <c r="AA49" s="15">
        <f t="shared" si="14"/>
        <v>-4.9151643433380642E-3</v>
      </c>
      <c r="AB49" s="15">
        <f t="shared" si="9"/>
        <v>-4.4814291220034164E-4</v>
      </c>
      <c r="AC49" s="15">
        <f t="shared" si="10"/>
        <v>1.2173593583338083E-4</v>
      </c>
      <c r="AD49" s="15">
        <f t="shared" si="18"/>
        <v>1.235470775372106E-5</v>
      </c>
      <c r="AE49" s="15">
        <f t="shared" si="21"/>
        <v>-4.194552719349251E-4</v>
      </c>
      <c r="AF49" s="15">
        <f t="shared" si="22"/>
        <v>3.343918279054281E-5</v>
      </c>
      <c r="AG49" s="15">
        <f t="shared" si="23"/>
        <v>-7.1428159903186295E-6</v>
      </c>
      <c r="AH49" s="15">
        <f t="shared" si="19"/>
        <v>8.9772785381382296E-8</v>
      </c>
      <c r="AI49" s="15"/>
      <c r="AK49" s="7"/>
      <c r="AL49" s="7"/>
      <c r="AM49" s="16">
        <f t="shared" si="1"/>
        <v>0</v>
      </c>
      <c r="AN49" s="16">
        <f t="shared" si="2"/>
        <v>13.368008425442804</v>
      </c>
      <c r="AO49" s="16">
        <f t="shared" si="17"/>
        <v>68.393865652037604</v>
      </c>
      <c r="AP49" s="6">
        <f t="shared" si="4"/>
        <v>274.21760134021645</v>
      </c>
      <c r="AQ49" s="15">
        <f>-X49*V49*W49^(-Parameters!B$53)*Parameters!B$47*Parameters!B$46*M49</f>
        <v>-1.4934839592289867E-5</v>
      </c>
      <c r="AR49" s="5">
        <f>1000*EXP(-(Parameters!$B$55)*'6states'!A49)*AP49*Parameters!B$47*Parameters!B$46*M49</f>
        <v>1.2921538095595053</v>
      </c>
      <c r="AS49" s="5">
        <f>SUM(AR49:AR$204)*EXP(Parameters!$B$55*A49)</f>
        <v>480.88462845925</v>
      </c>
      <c r="AT49" s="10">
        <f t="shared" si="27"/>
        <v>0.23021265982895173</v>
      </c>
      <c r="AU49">
        <f>(1/$S49-1/Parameters!$B$13) * LN(Parameters!$B$18) / LN(O49)</f>
        <v>0.22912566577457893</v>
      </c>
      <c r="AV49">
        <f>(Parameters!$B$18*'6states'!S49^+Parameters!$B$19*Parameters!$B$25^'6states'!S49)^((1-'6states'!S49)/'6states'!S49)*Parameters!$B$18*Parameters!$B$26^('6states'!S49-1)</f>
        <v>0.28793829572630719</v>
      </c>
      <c r="AW49">
        <f t="shared" si="20"/>
        <v>0.23071126508044051</v>
      </c>
      <c r="AX49">
        <f t="shared" si="25"/>
        <v>0.14684821880582377</v>
      </c>
      <c r="AY49">
        <f t="shared" si="26"/>
        <v>0.18092827107406872</v>
      </c>
      <c r="AZ49">
        <f>(1/$S49-1/Parameters!$B$13) * LN(Parameters!$B$18) / A49</f>
        <v>1.7595217907244522E-2</v>
      </c>
    </row>
    <row r="50" spans="1:52" x14ac:dyDescent="0.35">
      <c r="A50">
        <f>A49+Parameters!$B$71</f>
        <v>46</v>
      </c>
      <c r="B50" s="13">
        <v>2.2896820770756203E-4</v>
      </c>
      <c r="C50" s="13">
        <v>8.9504449866873878E-2</v>
      </c>
      <c r="D50" s="13">
        <v>0.21795424221053827</v>
      </c>
      <c r="E50" s="5">
        <f>MAX((1-Parameters!$B$4)^Parameters!B$71*E49 + B49*Parameters!B$71 - IF(B49&gt;0,Parameters!$B$5,0)*B49^2/E49*Parameters!B$71, 0.0001)</f>
        <v>6.1655534395657671E-2</v>
      </c>
      <c r="F50" s="5">
        <f>(1-Parameters!$B$4)^Parameters!B$71*F49+C49*Parameters!B$71-Parameters!$B$5*C49^2/F49*Parameters!B$71</f>
        <v>1.167335968218431</v>
      </c>
      <c r="G50" s="5">
        <f>(1-Parameters!$B$4)^Parameters!B$71*G49+D49*Parameters!B$71-Parameters!$B$5*D49^2/G49*Parameters!B$71</f>
        <v>3.3027313719003764</v>
      </c>
      <c r="H50" s="7">
        <f>MAX(H49 * (1-Parameters!$B$4) ^ Parameters!B$71 + (LN(1+EXP(Parameters!$B$21*(-B49+0.004)))/Parameters!$B$21 -0.004) * Parameters!B$71,0)</f>
        <v>0</v>
      </c>
      <c r="I50" s="16">
        <f>I49*(1+Parameters!$B$52)^Parameters!B$71</f>
        <v>9.3226890534383546</v>
      </c>
      <c r="J50" s="16">
        <f>J49*(1+Parameters!$B$54)^Parameters!B$71</f>
        <v>22.510267148520917</v>
      </c>
      <c r="K50" s="16">
        <f>I50*J50*EXP(-Parameters!$B$43*'6states'!A50)*(Parameters!$B$38/Parameters!$B$39*('6states'!E50+'6states'!H50)/Parameters!$E$25*(EXP(-Parameters!$B$39*Parameters!$E$25*'6states'!H50/('6states'!E50+'6states'!H50))-EXP(-Parameters!$B$39*Parameters!$E$25))  +  Parameters!$B$40*'6states'!E50)</f>
        <v>7.4384302793765231</v>
      </c>
      <c r="L50" s="6">
        <f>L49+K50*Parameters!B$71</f>
        <v>3167.4484572627607</v>
      </c>
      <c r="M50" s="5">
        <f>L50*Parameters!$B$46</f>
        <v>1.9004690743576562</v>
      </c>
      <c r="N50" s="7">
        <f>EXP(-Parameters!$B$47/2*M50^2)</f>
        <v>0.96435247217736941</v>
      </c>
      <c r="O50" s="6">
        <f>MAX((Parameters!$B$63 + Parameters!$B$31*'6states'!A50 - '6states'!L50 + Parameters!$B$48/Parameters!$B$46)/Parameters!B$63,1)</f>
        <v>32.595030854744792</v>
      </c>
      <c r="P50" s="5">
        <f>Parameters!B$62*EXP(-Parameters!B$61*A50)</f>
        <v>0.14440301394297783</v>
      </c>
      <c r="Q50" s="5">
        <f>(1-Parameters!B$62)*O50^-Parameters!B$64</f>
        <v>0.35290260541469598</v>
      </c>
      <c r="R50" s="5">
        <f>Parameters!B$62*EXP(-Parameters!B$61*A50)+(1-Parameters!B$62)*O50^-Parameters!B$64</f>
        <v>0.49730561935767381</v>
      </c>
      <c r="S50" s="5">
        <f>1-R50/Parameters!$B$12</f>
        <v>0.75134719032116304</v>
      </c>
      <c r="T50" s="5">
        <f t="shared" si="0"/>
        <v>4.0216718294541387</v>
      </c>
      <c r="U50" s="5">
        <f>(Parameters!$B$19*(E50+Parameters!$B$20)^S50+Parameters!$B$18*F50^S50)^(1/S50)</f>
        <v>0.33264537270605105</v>
      </c>
      <c r="V50" s="5">
        <f>(Parameters!$B$10*G50^Parameters!$B$9+Parameters!$B$11*U50^Parameters!$B$9)^(Parameters!$B$7/Parameters!$B$9)*N50</f>
        <v>1.3357942954705213</v>
      </c>
      <c r="W50" s="5">
        <f>V50 - C50 - D50 - LN(1+EXP(Parameters!$B$21*B50))/Parameters!$B$21 - IF(B50&gt;0, 0,Parameters!$B$6*B50^2/E50)</f>
        <v>1.0264856309315138</v>
      </c>
      <c r="X50" s="5">
        <f>EXP(-Parameters!$B$56*A50)</f>
        <v>0.49927411769560981</v>
      </c>
      <c r="Y50" s="5">
        <f>IF(W50&gt;0,W50^(1-Parameters!$B$53)/(1-Parameters!$B$53)*X50*Parameters!$B$71,-10+W50*1000)</f>
        <v>-1.4135054993822576</v>
      </c>
      <c r="AA50" s="15">
        <f t="shared" si="14"/>
        <v>-5.4406274959356397E-3</v>
      </c>
      <c r="AB50" s="15">
        <f t="shared" si="9"/>
        <v>-4.1735024812135368E-4</v>
      </c>
      <c r="AC50" s="15">
        <f t="shared" si="10"/>
        <v>1.1496538864758099E-4</v>
      </c>
      <c r="AD50" s="15">
        <f t="shared" si="18"/>
        <v>1.4872290454213582E-5</v>
      </c>
      <c r="AE50" s="15">
        <f t="shared" si="21"/>
        <v>-5.2546315259757552E-4</v>
      </c>
      <c r="AF50" s="15">
        <f t="shared" si="22"/>
        <v>3.0792664078987952E-5</v>
      </c>
      <c r="AG50" s="15">
        <f t="shared" si="23"/>
        <v>-6.7705471857998356E-6</v>
      </c>
      <c r="AH50" s="15">
        <f t="shared" si="19"/>
        <v>1.3835163058650774E-7</v>
      </c>
      <c r="AI50" s="15"/>
      <c r="AK50" s="7"/>
      <c r="AL50" s="7"/>
      <c r="AM50" s="16">
        <f t="shared" si="1"/>
        <v>0</v>
      </c>
      <c r="AN50" s="16">
        <f t="shared" si="2"/>
        <v>12.938797460361881</v>
      </c>
      <c r="AO50" s="16">
        <f t="shared" si="17"/>
        <v>69.807700894298193</v>
      </c>
      <c r="AP50" s="6">
        <f t="shared" si="4"/>
        <v>280.32474306178642</v>
      </c>
      <c r="AQ50" s="15">
        <f>-X50*V50*W50^(-Parameters!B$53)*Parameters!B$47*Parameters!B$46*M50</f>
        <v>-1.4755718846422918E-5</v>
      </c>
      <c r="AR50" s="5">
        <f>1000*EXP(-(Parameters!$B$55)*'6states'!A50)*AP50*Parameters!B$47*Parameters!B$46*M50</f>
        <v>1.2783732574353086</v>
      </c>
      <c r="AS50" s="5">
        <f>SUM(AR50:AR$204)*EXP(Parameters!$B$55*A50)</f>
        <v>491.56919640901373</v>
      </c>
      <c r="AT50" s="10">
        <f t="shared" si="27"/>
        <v>0.23034060059130554</v>
      </c>
      <c r="AU50">
        <f>(1/$S50-1/Parameters!$B$13) * LN(Parameters!$B$18) / LN(O50)</f>
        <v>0.2287592969175182</v>
      </c>
      <c r="AV50">
        <f>(Parameters!$B$18*'6states'!S50^+Parameters!$B$19*Parameters!$B$25^'6states'!S50)^((1-'6states'!S50)/'6states'!S50)*Parameters!$B$18*Parameters!$B$26^('6states'!S50-1)</f>
        <v>0.28875077247165948</v>
      </c>
      <c r="AW50">
        <f t="shared" si="20"/>
        <v>0.22963408509696404</v>
      </c>
      <c r="AX50">
        <f t="shared" si="25"/>
        <v>0.14663153549754082</v>
      </c>
      <c r="AY50">
        <f t="shared" si="26"/>
        <v>0.18138941453261026</v>
      </c>
      <c r="AZ50">
        <f>(1/$S50-1/Parameters!$B$13) * LN(Parameters!$B$18) / A50</f>
        <v>1.7326825160918241E-2</v>
      </c>
    </row>
    <row r="51" spans="1:52" x14ac:dyDescent="0.35">
      <c r="A51">
        <f>A50+Parameters!$B$71</f>
        <v>47</v>
      </c>
      <c r="B51" s="26">
        <f t="shared" ref="B51:D52" si="29">B50+(B$53-B$50)/3</f>
        <v>6.6355231848431464E-4</v>
      </c>
      <c r="C51" s="26">
        <f t="shared" si="29"/>
        <v>8.9251505023683897E-2</v>
      </c>
      <c r="D51" s="26">
        <f t="shared" si="29"/>
        <v>0.21818366004225778</v>
      </c>
      <c r="E51" s="5">
        <f>MAX((1-Parameters!$B$4)^Parameters!B$71*E50 + B50*Parameters!B$71 - IF(B50&gt;0,Parameters!$B$5,0)*B50^2/E50*Parameters!B$71, 0.0001)</f>
        <v>5.8005519177888459E-2</v>
      </c>
      <c r="F51" s="5">
        <f>(1-Parameters!$B$4)^Parameters!B$71*F50+C50*Parameters!B$71-Parameters!$B$5*C50^2/F50*Parameters!B$71</f>
        <v>1.1765523113865812</v>
      </c>
      <c r="G51" s="5">
        <f>(1-Parameters!$B$4)^Parameters!B$71*G50+D50*Parameters!B$71-Parameters!$B$5*D50^2/G50*Parameters!B$71</f>
        <v>3.2985605484974627</v>
      </c>
      <c r="H51" s="7">
        <f>MAX(H50 * (1-Parameters!$B$4) ^ Parameters!B$71 + (LN(1+EXP(Parameters!$B$21*(-B50+0.004)))/Parameters!$B$21 -0.004) * Parameters!B$71,0)</f>
        <v>2.7074142260861012E-4</v>
      </c>
      <c r="I51" s="16">
        <f>I50*(1+Parameters!$B$52)^Parameters!B$71</f>
        <v>9.3497248516933258</v>
      </c>
      <c r="J51" s="16">
        <f>J50*(1+Parameters!$B$54)^Parameters!B$71</f>
        <v>22.960472491491338</v>
      </c>
      <c r="K51" s="16">
        <f>I51*J51*EXP(-Parameters!$B$43*'6states'!A51)*(Parameters!$B$38/Parameters!$B$39*('6states'!E51+'6states'!H51)/Parameters!$E$25*(EXP(-Parameters!$B$39*Parameters!$E$25*'6states'!H51/('6states'!E51+'6states'!H51))-EXP(-Parameters!$B$39*Parameters!$E$25))  +  Parameters!$B$40*'6states'!E51)</f>
        <v>6.8910544222671879</v>
      </c>
      <c r="L51" s="6">
        <f>L50+K51*Parameters!B$71</f>
        <v>3174.3395116850279</v>
      </c>
      <c r="M51" s="5">
        <f>L51*Parameters!$B$46</f>
        <v>1.9046037070110167</v>
      </c>
      <c r="N51" s="7">
        <f>EXP(-Parameters!$B$47/2*M51^2)</f>
        <v>0.9642000081368608</v>
      </c>
      <c r="O51" s="6">
        <f>MAX((Parameters!$B$63 + Parameters!$B$31*'6states'!A51 - '6states'!L51 + Parameters!$B$48/Parameters!$B$46)/Parameters!B$63,1)</f>
        <v>33.521209766299442</v>
      </c>
      <c r="P51" s="5">
        <f>Parameters!B$62*EXP(-Parameters!B$61*A51)</f>
        <v>0.14055629693139302</v>
      </c>
      <c r="Q51" s="5">
        <f>(1-Parameters!B$62)*O51^-Parameters!B$64</f>
        <v>0.35191520857054021</v>
      </c>
      <c r="R51" s="5">
        <f>Parameters!B$62*EXP(-Parameters!B$61*A51)+(1-Parameters!B$62)*O51^-Parameters!B$64</f>
        <v>0.49247150550193319</v>
      </c>
      <c r="S51" s="5">
        <f>1-R51/Parameters!$B$12</f>
        <v>0.75376424724903335</v>
      </c>
      <c r="T51" s="5">
        <f t="shared" si="0"/>
        <v>4.0611486708486293</v>
      </c>
      <c r="U51" s="5">
        <f>(Parameters!$B$19*(E51+Parameters!$B$20)^S51+Parameters!$B$18*F51^S51)^(1/S51)</f>
        <v>0.3316547185106023</v>
      </c>
      <c r="V51" s="5">
        <f>(Parameters!$B$10*G51^Parameters!$B$9+Parameters!$B$11*U51^Parameters!$B$9)^(Parameters!$B$7/Parameters!$B$9)*N51</f>
        <v>1.3348336508680425</v>
      </c>
      <c r="W51" s="5">
        <f>V51 - C51 - D51 - LN(1+EXP(Parameters!$B$21*B51))/Parameters!$B$21 - IF(B51&gt;0, 0,Parameters!$B$6*B51^2/E51)</f>
        <v>1.0253118909274603</v>
      </c>
      <c r="X51" s="5">
        <f>EXP(-Parameters!$B$56*A51)</f>
        <v>0.49179171284640477</v>
      </c>
      <c r="Y51" s="5">
        <f>IF(W51&gt;0,W51^(1-Parameters!$B$53)/(1-Parameters!$B$53)*X51*Parameters!$B$71,-10+W51*1000)</f>
        <v>-1.3928795554965234</v>
      </c>
      <c r="AA51" s="15">
        <f t="shared" si="14"/>
        <v>7.725800289004537E-3</v>
      </c>
      <c r="AB51" s="15">
        <f t="shared" si="9"/>
        <v>-8.1560315752871038E-4</v>
      </c>
      <c r="AC51" s="15">
        <f t="shared" si="10"/>
        <v>1.5299379812887259E-4</v>
      </c>
      <c r="AD51" s="15">
        <f t="shared" si="18"/>
        <v>2.9692714342113459E-5</v>
      </c>
      <c r="AE51" s="15">
        <f t="shared" si="21"/>
        <v>1.3166427784940177E-2</v>
      </c>
      <c r="AF51" s="15">
        <f t="shared" si="22"/>
        <v>-3.9825290940735669E-4</v>
      </c>
      <c r="AG51" s="15">
        <f t="shared" si="23"/>
        <v>3.8028409481291603E-5</v>
      </c>
      <c r="AH51" s="15">
        <f t="shared" si="19"/>
        <v>8.5333176181837529E-5</v>
      </c>
      <c r="AI51" s="15"/>
      <c r="AK51" s="7"/>
      <c r="AL51" s="7"/>
      <c r="AM51" s="16">
        <f t="shared" si="1"/>
        <v>5.8121171301701774E-2</v>
      </c>
      <c r="AN51" s="16">
        <f t="shared" si="2"/>
        <v>12.452282639645798</v>
      </c>
      <c r="AO51" s="16">
        <f t="shared" si="17"/>
        <v>71.197678293352425</v>
      </c>
      <c r="AP51" s="6">
        <f t="shared" si="4"/>
        <v>286.55421299729187</v>
      </c>
      <c r="AQ51" s="15">
        <f>-X51*V51*W51^(-Parameters!B$53)*Parameters!B$47*Parameters!B$46*M51</f>
        <v>-1.4578226511413658E-5</v>
      </c>
      <c r="AR51" s="5">
        <f>1000*EXP(-(Parameters!$B$55)*'6states'!A51)*AP51*Parameters!B$47*Parameters!B$46*M51</f>
        <v>1.2644542609369209</v>
      </c>
      <c r="AS51" s="5">
        <f>SUM(AR51:AR$204)*EXP(Parameters!$B$55*A51)</f>
        <v>502.47519133679646</v>
      </c>
      <c r="AT51" s="10">
        <f t="shared" si="27"/>
        <v>0.23081431696306831</v>
      </c>
      <c r="AU51">
        <f>(1/$S51-1/Parameters!$B$13) * LN(Parameters!$B$18) / LN(O51)</f>
        <v>0.22838195887719512</v>
      </c>
      <c r="AV51">
        <f>(Parameters!$B$18*'6states'!S51^+Parameters!$B$19*Parameters!$B$25^'6states'!S51)^((1-'6states'!S51)/'6states'!S51)*Parameters!$B$18*Parameters!$B$26^('6states'!S51-1)</f>
        <v>0.28952751566526197</v>
      </c>
      <c r="AW51">
        <f t="shared" si="20"/>
        <v>0.22856705342020653</v>
      </c>
      <c r="AX51">
        <f t="shared" si="25"/>
        <v>0.14640830710249686</v>
      </c>
      <c r="AY51">
        <f t="shared" si="26"/>
        <v>0.18183003368159067</v>
      </c>
      <c r="AZ51">
        <f>(1/$S51-1/Parameters!$B$13) * LN(Parameters!$B$18) / A51</f>
        <v>1.706634415143099E-2</v>
      </c>
    </row>
    <row r="52" spans="1:52" x14ac:dyDescent="0.35">
      <c r="A52">
        <f>A51+Parameters!$B$71</f>
        <v>48</v>
      </c>
      <c r="B52" s="26">
        <f t="shared" si="29"/>
        <v>1.0981364292610672E-3</v>
      </c>
      <c r="C52" s="26">
        <f t="shared" si="29"/>
        <v>8.8998560180493916E-2</v>
      </c>
      <c r="D52" s="26">
        <f t="shared" si="29"/>
        <v>0.21841307787397729</v>
      </c>
      <c r="E52" s="5">
        <f>MAX((1-Parameters!$B$4)^Parameters!B$71*E51 + B51*Parameters!B$71 - IF(B51&gt;0,Parameters!$B$5,0)*B51^2/E51*Parameters!B$71, 0.0001)</f>
        <v>5.5012933654134968E-2</v>
      </c>
      <c r="F52" s="5">
        <f>(1-Parameters!$B$4)^Parameters!B$71*F51+C51*Parameters!B$71-Parameters!$B$5*C51^2/F51*Parameters!B$71</f>
        <v>1.1850281898570512</v>
      </c>
      <c r="G52" s="5">
        <f>(1-Parameters!$B$4)^Parameters!B$71*G51+D51*Parameters!B$71-Parameters!$B$5*D51^2/G51*Parameters!B$71</f>
        <v>3.2948329672025869</v>
      </c>
      <c r="H52" s="7">
        <f>MAX(H51 * (1-Parameters!$B$4) ^ Parameters!B$71 + (LN(1+EXP(Parameters!$B$21*(-B51+0.004)))/Parameters!$B$21 -0.004) * Parameters!B$71,0)</f>
        <v>1.7441642191965941E-4</v>
      </c>
      <c r="I52" s="16">
        <f>I51*(1+Parameters!$B$52)^Parameters!B$71</f>
        <v>9.376839053763236</v>
      </c>
      <c r="J52" s="16">
        <f>J51*(1+Parameters!$B$54)^Parameters!B$71</f>
        <v>23.419681941321166</v>
      </c>
      <c r="K52" s="16">
        <f>I52*J52*EXP(-Parameters!$B$43*'6states'!A52)*(Parameters!$B$38/Parameters!$B$39*('6states'!E52+'6states'!H52)/Parameters!$E$25*(EXP(-Parameters!$B$39*Parameters!$E$25*'6states'!H52/('6states'!E52+'6states'!H52))-EXP(-Parameters!$B$39*Parameters!$E$25))  +  Parameters!$B$40*'6states'!E52)</f>
        <v>6.6754684649426013</v>
      </c>
      <c r="L52" s="6">
        <f>L51+K52*Parameters!B$71</f>
        <v>3181.0149801499706</v>
      </c>
      <c r="M52" s="5">
        <f>L52*Parameters!$B$46</f>
        <v>1.9086089880899821</v>
      </c>
      <c r="N52" s="7">
        <f>EXP(-Parameters!$B$47/2*M52^2)</f>
        <v>0.96405202102601351</v>
      </c>
      <c r="O52" s="6">
        <f>MAX((Parameters!$B$63 + Parameters!$B$31*'6states'!A52 - '6states'!L52 + Parameters!$B$48/Parameters!$B$46)/Parameters!B$63,1)</f>
        <v>34.451700397000593</v>
      </c>
      <c r="P52" s="5">
        <f>Parameters!B$62*EXP(-Parameters!B$61*A52)</f>
        <v>0.13681205168520402</v>
      </c>
      <c r="Q52" s="5">
        <f>(1-Parameters!B$62)*O52^-Parameters!B$64</f>
        <v>0.35095298301090816</v>
      </c>
      <c r="R52" s="5">
        <f>Parameters!B$62*EXP(-Parameters!B$61*A52)+(1-Parameters!B$62)*O52^-Parameters!B$64</f>
        <v>0.48776503469611221</v>
      </c>
      <c r="S52" s="5">
        <f>1-R52/Parameters!$B$12</f>
        <v>0.7561174826519439</v>
      </c>
      <c r="T52" s="5">
        <f t="shared" si="0"/>
        <v>4.1003349107343086</v>
      </c>
      <c r="U52" s="5">
        <f>(Parameters!$B$19*(E52+Parameters!$B$20)^S52+Parameters!$B$18*F52^S52)^(1/S52)</f>
        <v>0.33115004288868477</v>
      </c>
      <c r="V52" s="5">
        <f>(Parameters!$B$10*G52^Parameters!$B$9+Parameters!$B$11*U52^Parameters!$B$9)^(Parameters!$B$7/Parameters!$B$9)*N52</f>
        <v>1.3341205242063523</v>
      </c>
      <c r="W52" s="5">
        <f>V52 - C52 - D52 - LN(1+EXP(Parameters!$B$21*B52))/Parameters!$B$21 - IF(B52&gt;0, 0,Parameters!$B$6*B52^2/E52)</f>
        <v>1.024367133394269</v>
      </c>
      <c r="X52" s="5">
        <f>EXP(-Parameters!$B$56*A52)</f>
        <v>0.48442144355629069</v>
      </c>
      <c r="Y52" s="5">
        <f>IF(W52&gt;0,W52^(1-Parameters!$B$53)/(1-Parameters!$B$53)*X52*Parameters!$B$71,-10+W52*1000)</f>
        <v>-1.3724478229664994</v>
      </c>
      <c r="AA52" s="15">
        <f t="shared" si="14"/>
        <v>8.5219541648556135E-3</v>
      </c>
      <c r="AB52" s="15">
        <f t="shared" si="9"/>
        <v>-7.5602619476151933E-4</v>
      </c>
      <c r="AC52" s="15">
        <f t="shared" si="10"/>
        <v>1.4446229056995497E-4</v>
      </c>
      <c r="AD52" s="15">
        <f t="shared" si="18"/>
        <v>3.5467471983940739E-5</v>
      </c>
      <c r="AE52" s="15">
        <f t="shared" si="21"/>
        <v>7.9615387585107696E-4</v>
      </c>
      <c r="AF52" s="15">
        <f t="shared" si="22"/>
        <v>5.9576962767191044E-5</v>
      </c>
      <c r="AG52" s="15">
        <f t="shared" si="23"/>
        <v>-8.5315075589176281E-6</v>
      </c>
      <c r="AH52" s="15">
        <f t="shared" si="19"/>
        <v>3.0881052963573596E-7</v>
      </c>
      <c r="AI52" s="15"/>
      <c r="AK52" s="7"/>
      <c r="AL52" s="7"/>
      <c r="AM52" s="16">
        <f t="shared" si="1"/>
        <v>3.830229768757528E-2</v>
      </c>
      <c r="AN52" s="16">
        <f t="shared" si="2"/>
        <v>12.080982617898787</v>
      </c>
      <c r="AO52" s="16">
        <f t="shared" si="17"/>
        <v>72.721406518809374</v>
      </c>
      <c r="AP52" s="6">
        <f t="shared" si="4"/>
        <v>292.97632015862348</v>
      </c>
      <c r="AQ52" s="15">
        <f>-X52*V52*W52^(-Parameters!B$53)*Parameters!B$47*Parameters!B$46*M52</f>
        <v>-1.4400169005414738E-5</v>
      </c>
      <c r="AR52" s="5">
        <f>1000*EXP(-(Parameters!$B$55)*'6states'!A52)*AP52*Parameters!B$47*Parameters!B$46*M52</f>
        <v>1.2508275818740018</v>
      </c>
      <c r="AS52" s="5">
        <f>SUM(AR52:AR$204)*EXP(Parameters!$B$55*A52)</f>
        <v>513.608107261182</v>
      </c>
      <c r="AT52" s="10">
        <f t="shared" si="27"/>
        <v>0.23124580492250502</v>
      </c>
      <c r="AU52">
        <f>(1/$S52-1/Parameters!$B$13) * LN(Parameters!$B$18) / LN(O52)</f>
        <v>0.22800497576222511</v>
      </c>
      <c r="AV52">
        <f>(Parameters!$B$18*'6states'!S52^+Parameters!$B$19*Parameters!$B$25^'6states'!S52)^((1-'6states'!S52)/'6states'!S52)*Parameters!$B$18*Parameters!$B$26^('6states'!S52-1)</f>
        <v>0.29026924406717036</v>
      </c>
      <c r="AW52">
        <f t="shared" si="20"/>
        <v>0.22752184356939353</v>
      </c>
      <c r="AX52">
        <f t="shared" si="25"/>
        <v>0.14618523036595177</v>
      </c>
      <c r="AY52">
        <f t="shared" si="26"/>
        <v>0.18225056879790269</v>
      </c>
      <c r="AZ52">
        <f>(1/$S52-1/Parameters!$B$13) * LN(Parameters!$B$18) / A52</f>
        <v>1.6813269101246527E-2</v>
      </c>
    </row>
    <row r="53" spans="1:52" x14ac:dyDescent="0.35">
      <c r="A53">
        <f>A52+Parameters!$B$71</f>
        <v>49</v>
      </c>
      <c r="B53" s="13">
        <v>1.53272054003782E-3</v>
      </c>
      <c r="C53" s="13">
        <v>8.8745615337303949E-2</v>
      </c>
      <c r="D53" s="13">
        <v>0.21864249570569677</v>
      </c>
      <c r="E53" s="5">
        <f>MAX((1-Parameters!$B$4)^Parameters!B$71*E52 + B52*Parameters!B$71 - IF(B52&gt;0,Parameters!$B$5,0)*B52^2/E52*Parameters!B$71, 0.0001)</f>
        <v>5.262883619097198E-2</v>
      </c>
      <c r="F53" s="5">
        <f>(1-Parameters!$B$4)^Parameters!B$71*F52+C52*Parameters!B$71-Parameters!$B$5*C52^2/F52*Parameters!B$71</f>
        <v>1.1928044639901925</v>
      </c>
      <c r="G53" s="5">
        <f>(1-Parameters!$B$4)^Parameters!B$71*G52+D52*Parameters!B$71-Parameters!$B$5*D52^2/G52*Parameters!B$71</f>
        <v>3.2915225412809668</v>
      </c>
      <c r="H53" s="7">
        <f>MAX(H52 * (1-Parameters!$B$4) ^ Parameters!B$71 + (LN(1+EXP(Parameters!$B$21*(-B52+0.004)))/Parameters!$B$21 -0.004) * Parameters!B$71,0)</f>
        <v>0</v>
      </c>
      <c r="I53" s="16">
        <f>I52*(1+Parameters!$B$52)^Parameters!B$71</f>
        <v>9.4040318870191477</v>
      </c>
      <c r="J53" s="16">
        <f>J52*(1+Parameters!$B$54)^Parameters!B$71</f>
        <v>23.888075580147589</v>
      </c>
      <c r="K53" s="16">
        <f>I53*J53*EXP(-Parameters!$B$43*'6states'!A53)*(Parameters!$B$38/Parameters!$B$39*('6states'!E53+'6states'!H53)/Parameters!$E$25*(EXP(-Parameters!$B$39*Parameters!$E$25*'6states'!H53/('6states'!E53+'6states'!H53))-EXP(-Parameters!$B$39*Parameters!$E$25))  +  Parameters!$B$40*'6states'!E53)</f>
        <v>6.595953290217107</v>
      </c>
      <c r="L53" s="6">
        <f>L52+K53*Parameters!B$71</f>
        <v>3187.6109334401876</v>
      </c>
      <c r="M53" s="5">
        <f>L53*Parameters!$B$46</f>
        <v>1.9125665600641124</v>
      </c>
      <c r="N53" s="7">
        <f>EXP(-Parameters!$B$47/2*M53^2)</f>
        <v>0.96390551370028488</v>
      </c>
      <c r="O53" s="6">
        <f>MAX((Parameters!$B$63 + Parameters!$B$31*'6states'!A53 - '6states'!L53 + Parameters!$B$48/Parameters!$B$46)/Parameters!B$63,1)</f>
        <v>35.383781331196253</v>
      </c>
      <c r="P53" s="5">
        <f>Parameters!B$62*EXP(-Parameters!B$61*A53)</f>
        <v>0.13316754848380194</v>
      </c>
      <c r="Q53" s="5">
        <f>(1-Parameters!B$62)*O53^-Parameters!B$64</f>
        <v>0.35001735618546898</v>
      </c>
      <c r="R53" s="5">
        <f>Parameters!B$62*EXP(-Parameters!B$61*A53)+(1-Parameters!B$62)*O53^-Parameters!B$64</f>
        <v>0.48318490466927089</v>
      </c>
      <c r="S53" s="5">
        <f>1-R53/Parameters!$B$12</f>
        <v>0.75840754766536456</v>
      </c>
      <c r="T53" s="5">
        <f t="shared" si="0"/>
        <v>4.1392021577515026</v>
      </c>
      <c r="U53" s="5">
        <f>(Parameters!$B$19*(E53+Parameters!$B$20)^S53+Parameters!$B$18*F53^S53)^(1/S53)</f>
        <v>0.33110129235196273</v>
      </c>
      <c r="V53" s="5">
        <f>(Parameters!$B$10*G53^Parameters!$B$9+Parameters!$B$11*U53^Parameters!$B$9)^(Parameters!$B$7/Parameters!$B$9)*N53</f>
        <v>1.3336371165497842</v>
      </c>
      <c r="W53" s="5">
        <f>V53 - C53 - D53 - LN(1+EXP(Parameters!$B$21*B53))/Parameters!$B$21 - IF(B53&gt;0, 0,Parameters!$B$6*B53^2/E53)</f>
        <v>1.0236341104812456</v>
      </c>
      <c r="X53" s="5">
        <f>EXP(-Parameters!$B$56*A53)</f>
        <v>0.47716162929823552</v>
      </c>
      <c r="Y53" s="5">
        <f>IF(W53&gt;0,W53^(1-Parameters!$B$53)/(1-Parameters!$B$53)*X53*Parameters!$B$71,-10+W53*1000)</f>
        <v>-1.3522182909956399</v>
      </c>
      <c r="AA53" s="15">
        <f t="shared" si="14"/>
        <v>9.1617851197461318E-3</v>
      </c>
      <c r="AB53" s="15">
        <f t="shared" si="9"/>
        <v>-7.016760658767468E-4</v>
      </c>
      <c r="AC53" s="15">
        <f t="shared" si="10"/>
        <v>1.3636988788288951E-4</v>
      </c>
      <c r="AD53" s="15">
        <f t="shared" si="18"/>
        <v>4.0295942977064976E-5</v>
      </c>
      <c r="AE53" s="15">
        <f t="shared" si="21"/>
        <v>6.3983095489051831E-4</v>
      </c>
      <c r="AF53" s="15">
        <f t="shared" si="22"/>
        <v>5.4350128884772531E-5</v>
      </c>
      <c r="AG53" s="15">
        <f t="shared" si="23"/>
        <v>-8.0924026870654586E-6</v>
      </c>
      <c r="AH53" s="15">
        <f t="shared" si="19"/>
        <v>1.9678292287354588E-7</v>
      </c>
      <c r="AI53" s="15"/>
      <c r="AK53" s="7"/>
      <c r="AL53" s="7"/>
      <c r="AM53" s="16">
        <f t="shared" si="1"/>
        <v>0</v>
      </c>
      <c r="AN53" s="16">
        <f t="shared" si="2"/>
        <v>11.822764091154889</v>
      </c>
      <c r="AO53" s="16">
        <f t="shared" si="17"/>
        <v>74.379993043153519</v>
      </c>
      <c r="AP53" s="6">
        <f t="shared" si="4"/>
        <v>299.59387577871001</v>
      </c>
      <c r="AQ53" s="15">
        <f>-X53*V53*W53^(-Parameters!B$53)*Parameters!B$47*Parameters!B$46*M53</f>
        <v>-1.4222359133579936E-5</v>
      </c>
      <c r="AR53" s="5">
        <f>1000*EXP(-(Parameters!$B$55)*'6states'!A53)*AP53*Parameters!B$47*Parameters!B$46*M53</f>
        <v>1.2375242499474342</v>
      </c>
      <c r="AS53" s="5">
        <f>SUM(AR53:AR$204)*EXP(Parameters!$B$55*A53)</f>
        <v>524.97128766482206</v>
      </c>
      <c r="AT53" s="10">
        <f t="shared" si="27"/>
        <v>0.23163784791940933</v>
      </c>
      <c r="AU53">
        <f>(1/$S53-1/Parameters!$B$13) * LN(Parameters!$B$18) / LN(O53)</f>
        <v>0.22763224754673617</v>
      </c>
      <c r="AV53">
        <f>(Parameters!$B$18*'6states'!S53^+Parameters!$B$19*Parameters!$B$25^'6states'!S53)^((1-'6states'!S53)/'6states'!S53)*Parameters!$B$18*Parameters!$B$26^('6states'!S53-1)</f>
        <v>0.29097737355303616</v>
      </c>
      <c r="AW53">
        <f>(LN(AV53)-LN(AV$4))/ LN(O53)</f>
        <v>0.22650196305115697</v>
      </c>
      <c r="AX53">
        <f t="shared" si="25"/>
        <v>0.14596461411677697</v>
      </c>
      <c r="AY53">
        <f t="shared" si="26"/>
        <v>0.18265185276696583</v>
      </c>
      <c r="AZ53">
        <f>(1/$S53-1/Parameters!$B$13) * LN(Parameters!$B$18) / A53</f>
        <v>1.6567230884420719E-2</v>
      </c>
    </row>
    <row r="54" spans="1:52" x14ac:dyDescent="0.35">
      <c r="A54">
        <f>A53+Parameters!$B$71</f>
        <v>50</v>
      </c>
      <c r="B54" s="7">
        <f t="shared" ref="B54:D56" si="30">B53+(B$57-B$53)/4</f>
        <v>1.335390739173726E-3</v>
      </c>
      <c r="C54" s="7">
        <f t="shared" si="30"/>
        <v>8.8793822326871441E-2</v>
      </c>
      <c r="D54" s="7">
        <f t="shared" si="30"/>
        <v>0.2189185493712312</v>
      </c>
      <c r="E54" s="5">
        <f>MAX((1-Parameters!$B$4)^Parameters!B$71*E53 + B53*Parameters!B$71 - IF(B53&gt;0,Parameters!$B$5,0)*B53^2/E53*Parameters!B$71, 0.0001)</f>
        <v>5.080656519559601E-2</v>
      </c>
      <c r="F54" s="5">
        <f>(1-Parameters!$B$4)^Parameters!B$71*F53+C53*Parameters!B$71-Parameters!$B$5*C53^2/F53*Parameters!B$71</f>
        <v>1.1999199330973374</v>
      </c>
      <c r="G54" s="5">
        <f>(1-Parameters!$B$4)^Parameters!B$71*G53+D53*Parameters!B$71-Parameters!$B$5*D53^2/G53*Parameters!B$71</f>
        <v>3.2886047347182941</v>
      </c>
      <c r="H54" s="7">
        <f>MAX(H53 * (1-Parameters!$B$4) ^ Parameters!B$71 + (LN(1+EXP(Parameters!$B$21*(-B53+0.004)))/Parameters!$B$21 -0.004) * Parameters!B$71,0)</f>
        <v>0</v>
      </c>
      <c r="I54" s="16">
        <f>I53*(1+Parameters!$B$52)^Parameters!B$71</f>
        <v>9.4313035794915017</v>
      </c>
      <c r="J54" s="16">
        <f>J53*(1+Parameters!$B$54)^Parameters!B$71</f>
        <v>24.365837091750542</v>
      </c>
      <c r="K54" s="16">
        <f>I54*J54*EXP(-Parameters!$B$43*'6states'!A54)*(Parameters!$B$38/Parameters!$B$39*('6states'!E54+'6states'!H54)/Parameters!$E$25*(EXP(-Parameters!$B$39*Parameters!$E$25*'6states'!H54/('6states'!E54+'6states'!H54))-EXP(-Parameters!$B$39*Parameters!$E$25))  +  Parameters!$B$40*'6states'!E54)</f>
        <v>6.4489424094118721</v>
      </c>
      <c r="L54" s="6">
        <f>L53+K54*Parameters!B$71</f>
        <v>3194.0598758495994</v>
      </c>
      <c r="M54" s="5">
        <f>L54*Parameters!$B$46</f>
        <v>1.9164359255097594</v>
      </c>
      <c r="N54" s="7">
        <f>EXP(-Parameters!$B$47/2*M54^2)</f>
        <v>0.96376199992441591</v>
      </c>
      <c r="O54" s="6">
        <f>MAX((Parameters!$B$63 + Parameters!$B$31*'6states'!A54 - '6states'!L54 + Parameters!$B$48/Parameters!$B$46)/Parameters!B$63,1)</f>
        <v>36.318802483008014</v>
      </c>
      <c r="P54" s="5">
        <f>Parameters!B$62*EXP(-Parameters!B$61*A54)</f>
        <v>0.12962013032294575</v>
      </c>
      <c r="Q54" s="5">
        <f>(1-Parameters!B$62)*O54^-Parameters!B$64</f>
        <v>0.3491056296740695</v>
      </c>
      <c r="R54" s="5">
        <f>Parameters!B$62*EXP(-Parameters!B$61*A54)+(1-Parameters!B$62)*O54^-Parameters!B$64</f>
        <v>0.47872575999701528</v>
      </c>
      <c r="S54" s="5">
        <f>1-R54/Parameters!$B$12</f>
        <v>0.76063712000149231</v>
      </c>
      <c r="T54" s="5">
        <f t="shared" si="0"/>
        <v>4.1777572195247421</v>
      </c>
      <c r="U54" s="5">
        <f>(Parameters!$B$19*(E54+Parameters!$B$20)^S54+Parameters!$B$18*F54^S54)^(1/S54)</f>
        <v>0.33147720054283297</v>
      </c>
      <c r="V54" s="5">
        <f>(Parameters!$B$10*G54^Parameters!$B$9+Parameters!$B$11*U54^Parameters!$B$9)^(Parameters!$B$7/Parameters!$B$9)*N54</f>
        <v>1.333369072849087</v>
      </c>
      <c r="W54" s="5">
        <f>V54 - C54 - D54 - LN(1+EXP(Parameters!$B$21*B54))/Parameters!$B$21 - IF(B54&gt;0, 0,Parameters!$B$6*B54^2/E54)</f>
        <v>1.0231680146877484</v>
      </c>
      <c r="X54" s="5">
        <f>EXP(-Parameters!$B$56*A54)</f>
        <v>0.4700106147305379</v>
      </c>
      <c r="Y54" s="5">
        <f>IF(W54&gt;0,W54^(1-Parameters!$B$53)/(1-Parameters!$B$53)*X54*Parameters!$B$71,-10+W54*1000)</f>
        <v>-1.3321655161180295</v>
      </c>
      <c r="AA54" s="15">
        <f t="shared" si="14"/>
        <v>-2.8393854846727254E-3</v>
      </c>
      <c r="AB54" s="15">
        <f t="shared" si="9"/>
        <v>-4.010181384880851E-4</v>
      </c>
      <c r="AC54" s="15">
        <f t="shared" si="10"/>
        <v>1.4287874708449055E-4</v>
      </c>
      <c r="AD54" s="15">
        <f t="shared" si="18"/>
        <v>3.874457213568335E-6</v>
      </c>
      <c r="AE54" s="15">
        <f t="shared" si="21"/>
        <v>-1.2001170604418861E-2</v>
      </c>
      <c r="AF54" s="15">
        <f t="shared" si="22"/>
        <v>3.0065792738866171E-4</v>
      </c>
      <c r="AG54" s="15">
        <f t="shared" si="23"/>
        <v>6.5088592016010471E-6</v>
      </c>
      <c r="AH54" s="15">
        <f t="shared" si="19"/>
        <v>6.7737240491928921E-5</v>
      </c>
      <c r="AI54" s="15"/>
      <c r="AK54" s="7"/>
      <c r="AL54" s="7"/>
      <c r="AM54" s="16">
        <f t="shared" si="1"/>
        <v>0</v>
      </c>
      <c r="AN54" s="16">
        <f t="shared" si="2"/>
        <v>11.675430306796752</v>
      </c>
      <c r="AO54" s="16">
        <f t="shared" si="17"/>
        <v>76.173993229627058</v>
      </c>
      <c r="AP54" s="6">
        <f t="shared" si="4"/>
        <v>306.41035510578354</v>
      </c>
      <c r="AQ54" s="15">
        <f>-X54*V54*W54^(-Parameters!B$53)*Parameters!B$47*Parameters!B$46*M54</f>
        <v>-1.4043367647463213E-5</v>
      </c>
      <c r="AR54" s="5">
        <f>1000*EXP(-(Parameters!$B$55)*'6states'!A54)*AP54*Parameters!B$47*Parameters!B$46*M54</f>
        <v>1.2244984331832867</v>
      </c>
      <c r="AS54" s="5">
        <f>SUM(AR54:AR$204)*EXP(Parameters!$B$55*A54)</f>
        <v>536.5678250102809</v>
      </c>
      <c r="AT54" s="10">
        <f t="shared" si="27"/>
        <v>0.23177960905971526</v>
      </c>
      <c r="AU54">
        <f>(1/$S54-1/Parameters!$B$13) * LN(Parameters!$B$18) / LN(O54)</f>
        <v>0.22726120708644398</v>
      </c>
      <c r="AV54">
        <f>(Parameters!$B$18*'6states'!S54^+Parameters!$B$19*Parameters!$B$25^'6states'!S54)^((1-'6states'!S54)/'6states'!S54)*Parameters!$B$18*Parameters!$B$26^('6states'!S54-1)</f>
        <v>0.29165387553312611</v>
      </c>
      <c r="AW54">
        <f t="shared" si="20"/>
        <v>0.22550389437095575</v>
      </c>
      <c r="AX54">
        <f t="shared" si="25"/>
        <v>0.14574494022457818</v>
      </c>
      <c r="AY54">
        <f t="shared" si="26"/>
        <v>0.18303503008727329</v>
      </c>
      <c r="AZ54">
        <f>(1/$S54-1/Parameters!$B$13) * LN(Parameters!$B$18) / A54</f>
        <v>1.6327970412074035E-2</v>
      </c>
    </row>
    <row r="55" spans="1:52" x14ac:dyDescent="0.35">
      <c r="A55">
        <f>A54+Parameters!$B$71</f>
        <v>51</v>
      </c>
      <c r="B55" s="7">
        <f t="shared" si="30"/>
        <v>1.138060938309632E-3</v>
      </c>
      <c r="C55" s="7">
        <f t="shared" si="30"/>
        <v>8.8842029316438947E-2</v>
      </c>
      <c r="D55" s="7">
        <f t="shared" si="30"/>
        <v>0.21919460303676563</v>
      </c>
      <c r="E55" s="5">
        <f>MAX((1-Parameters!$B$4)^Parameters!B$71*E54 + B54*Parameters!B$71 - IF(B54&gt;0,Parameters!$B$5,0)*B54^2/E54*Parameters!B$71, 0.0001)</f>
        <v>4.8911123810869622E-2</v>
      </c>
      <c r="F55" s="5">
        <f>(1-Parameters!$B$4)^Parameters!B$71*F54+C54*Parameters!B$71-Parameters!$B$5*C54^2/F54*Parameters!B$71</f>
        <v>1.2066680674815973</v>
      </c>
      <c r="G55" s="5">
        <f>(1-Parameters!$B$4)^Parameters!B$71*G54+D54*Parameters!B$71-Parameters!$B$5*D54^2/G54*Parameters!B$71</f>
        <v>3.2860968959202612</v>
      </c>
      <c r="H55" s="7">
        <f>MAX(H54 * (1-Parameters!$B$4) ^ Parameters!B$71 + (LN(1+EXP(Parameters!$B$21*(-B54+0.004)))/Parameters!$B$21 -0.004) * Parameters!B$71,0)</f>
        <v>0</v>
      </c>
      <c r="I55" s="16">
        <f>I54*(1+Parameters!$B$52)^Parameters!B$71</f>
        <v>9.4586543598720265</v>
      </c>
      <c r="J55" s="16">
        <f>J54*(1+Parameters!$B$54)^Parameters!B$71</f>
        <v>24.853153833585555</v>
      </c>
      <c r="K55" s="16">
        <f>I55*J55*EXP(-Parameters!$B$43*'6states'!A55)*(Parameters!$B$38/Parameters!$B$39*('6states'!E55+'6states'!H55)/Parameters!$E$25*(EXP(-Parameters!$B$39*Parameters!$E$25*'6states'!H55/('6states'!E55+'6states'!H55))-EXP(-Parameters!$B$39*Parameters!$E$25))  +  Parameters!$B$40*'6states'!E55)</f>
        <v>6.2876906012256137</v>
      </c>
      <c r="L55" s="6">
        <f>L54+K55*Parameters!B$71</f>
        <v>3200.3475664508251</v>
      </c>
      <c r="M55" s="5">
        <f>L55*Parameters!$B$46</f>
        <v>1.9202085398704949</v>
      </c>
      <c r="N55" s="7">
        <f>EXP(-Parameters!$B$47/2*M55^2)</f>
        <v>0.96362181599068386</v>
      </c>
      <c r="O55" s="6">
        <f>MAX((Parameters!$B$63 + Parameters!$B$31*'6states'!A55 - '6states'!L55 + Parameters!$B$48/Parameters!$B$46)/Parameters!B$63,1)</f>
        <v>37.257048670983501</v>
      </c>
      <c r="P55" s="5">
        <f>Parameters!B$62*EXP(-Parameters!B$61*A55)</f>
        <v>0.12616721097768882</v>
      </c>
      <c r="Q55" s="5">
        <f>(1-Parameters!B$62)*O55^-Parameters!B$64</f>
        <v>0.34821635038959203</v>
      </c>
      <c r="R55" s="5">
        <f>Parameters!B$62*EXP(-Parameters!B$61*A55)+(1-Parameters!B$62)*O55^-Parameters!B$64</f>
        <v>0.47438356136728088</v>
      </c>
      <c r="S55" s="5">
        <f>1-R55/Parameters!$B$12</f>
        <v>0.76280821931635956</v>
      </c>
      <c r="T55" s="5">
        <f t="shared" si="0"/>
        <v>4.2159976923221096</v>
      </c>
      <c r="U55" s="5">
        <f>(Parameters!$B$19*(E55+Parameters!$B$20)^S55+Parameters!$B$18*F55^S55)^(1/S55)</f>
        <v>0.33168339512456108</v>
      </c>
      <c r="V55" s="5">
        <f>(Parameters!$B$10*G55^Parameters!$B$9+Parameters!$B$11*U55^Parameters!$B$9)^(Parameters!$B$7/Parameters!$B$9)*N55</f>
        <v>1.3330645370690133</v>
      </c>
      <c r="W55" s="5">
        <f>V55 - C55 - D55 - LN(1+EXP(Parameters!$B$21*B55))/Parameters!$B$21 - IF(B55&gt;0, 0,Parameters!$B$6*B55^2/E55)</f>
        <v>1.0226617987208144</v>
      </c>
      <c r="X55" s="5">
        <f>EXP(-Parameters!$B$56*A55)</f>
        <v>0.46296676931938507</v>
      </c>
      <c r="Y55" s="5">
        <f>IF(W55&gt;0,W55^(1-Parameters!$B$53)/(1-Parameters!$B$53)*X55*Parameters!$B$71,-10+W55*1000)</f>
        <v>-1.3124282303201429</v>
      </c>
      <c r="AA55" s="15">
        <f t="shared" si="14"/>
        <v>-3.0158856419569384E-3</v>
      </c>
      <c r="AB55" s="15">
        <f t="shared" si="9"/>
        <v>-3.7388370982939512E-4</v>
      </c>
      <c r="AC55" s="15">
        <f t="shared" si="10"/>
        <v>1.3480964159362507E-4</v>
      </c>
      <c r="AD55" s="15">
        <f t="shared" si="18"/>
        <v>4.2840763672773911E-6</v>
      </c>
      <c r="AE55" s="15">
        <f t="shared" si="21"/>
        <v>-1.7650015728421301E-4</v>
      </c>
      <c r="AF55" s="15">
        <f t="shared" si="22"/>
        <v>2.713442865868998E-5</v>
      </c>
      <c r="AG55" s="15">
        <f t="shared" si="23"/>
        <v>-8.0691054908654802E-6</v>
      </c>
      <c r="AH55" s="15">
        <f t="shared" si="19"/>
        <v>1.4793498110204678E-8</v>
      </c>
      <c r="AI55" s="15"/>
      <c r="AK55" s="7"/>
      <c r="AL55" s="7"/>
      <c r="AM55" s="16">
        <f t="shared" si="1"/>
        <v>0</v>
      </c>
      <c r="AN55" s="16">
        <f t="shared" si="2"/>
        <v>11.49789941862646</v>
      </c>
      <c r="AO55" s="16">
        <f t="shared" si="17"/>
        <v>77.971267450682106</v>
      </c>
      <c r="AP55" s="6">
        <f t="shared" si="4"/>
        <v>313.37333456139288</v>
      </c>
      <c r="AQ55" s="15">
        <f>-X55*V55*W55^(-Parameters!B$53)*Parameters!B$47*Parameters!B$46*M55</f>
        <v>-1.3866231750233447E-5</v>
      </c>
      <c r="AR55" s="5">
        <f>1000*EXP(-(Parameters!$B$55)*'6states'!A55)*AP55*Parameters!B$47*Parameters!B$46*M55</f>
        <v>1.2115105251232254</v>
      </c>
      <c r="AS55" s="5">
        <f>SUM(AR55:AR$204)*EXP(Parameters!$B$55*A55)</f>
        <v>548.40097688345713</v>
      </c>
      <c r="AT55" s="10">
        <f t="shared" si="27"/>
        <v>0.23192777595846292</v>
      </c>
      <c r="AU55">
        <f>(1/$S55-1/Parameters!$B$13) * LN(Parameters!$B$18) / LN(O55)</f>
        <v>0.22689114238102331</v>
      </c>
      <c r="AV55">
        <f>(Parameters!$B$18*'6states'!S55^+Parameters!$B$19*Parameters!$B$25^'6states'!S55)^((1-'6states'!S55)/'6states'!S55)*Parameters!$B$18*Parameters!$B$26^('6states'!S55-1)</f>
        <v>0.29230043021655494</v>
      </c>
      <c r="AW55">
        <f t="shared" si="20"/>
        <v>0.22452618337629177</v>
      </c>
      <c r="AX55">
        <f t="shared" si="25"/>
        <v>0.14552578774491032</v>
      </c>
      <c r="AY55">
        <f t="shared" si="26"/>
        <v>0.18340107708195275</v>
      </c>
      <c r="AZ55">
        <f>(1/$S55-1/Parameters!$B$13) * LN(Parameters!$B$18) / A55</f>
        <v>1.6095217885397299E-2</v>
      </c>
    </row>
    <row r="56" spans="1:52" x14ac:dyDescent="0.35">
      <c r="A56">
        <f>A55+Parameters!$B$71</f>
        <v>52</v>
      </c>
      <c r="B56" s="7">
        <f t="shared" si="30"/>
        <v>9.407311374455379E-4</v>
      </c>
      <c r="C56" s="7">
        <f t="shared" si="30"/>
        <v>8.8890236306006454E-2</v>
      </c>
      <c r="D56" s="7">
        <f t="shared" si="30"/>
        <v>0.21947065670230007</v>
      </c>
      <c r="E56" s="5">
        <f>MAX((1-Parameters!$B$4)^Parameters!B$71*E55 + B55*Parameters!B$71 - IF(B55&gt;0,Parameters!$B$5,0)*B55^2/E55*Parameters!B$71, 0.0001)</f>
        <v>4.6946194731473032E-2</v>
      </c>
      <c r="F56" s="5">
        <f>(1-Parameters!$B$4)^Parameters!B$71*F55+C55*Parameters!B$71-Parameters!$B$5*C55^2/F55*Parameters!B$71</f>
        <v>1.2130696004830892</v>
      </c>
      <c r="G56" s="5">
        <f>(1-Parameters!$B$4)^Parameters!B$71*G55+D55*Parameters!B$71-Parameters!$B$5*D55^2/G55*Parameters!B$71</f>
        <v>3.2839749277344445</v>
      </c>
      <c r="H56" s="7">
        <f>MAX(H55 * (1-Parameters!$B$4) ^ Parameters!B$71 + (LN(1+EXP(Parameters!$B$21*(-B55+0.004)))/Parameters!$B$21 -0.004) * Parameters!B$71,0)</f>
        <v>0</v>
      </c>
      <c r="I56" s="16">
        <f>I55*(1+Parameters!$B$52)^Parameters!B$71</f>
        <v>9.4860844575156538</v>
      </c>
      <c r="J56" s="16">
        <f>J55*(1+Parameters!$B$54)^Parameters!B$71</f>
        <v>25.350216910257267</v>
      </c>
      <c r="K56" s="16">
        <f>I56*J56*EXP(-Parameters!$B$43*'6states'!A56)*(Parameters!$B$38/Parameters!$B$39*('6states'!E56+'6states'!H56)/Parameters!$E$25*(EXP(-Parameters!$B$39*Parameters!$E$25*'6states'!H56/('6states'!E56+'6states'!H56))-EXP(-Parameters!$B$39*Parameters!$E$25))  +  Parameters!$B$40*'6states'!E56)</f>
        <v>6.1122171595593198</v>
      </c>
      <c r="L56" s="6">
        <f>L55+K56*Parameters!B$71</f>
        <v>3206.4597836103844</v>
      </c>
      <c r="M56" s="5">
        <f>L56*Parameters!$B$46</f>
        <v>1.9238758701662304</v>
      </c>
      <c r="N56" s="7">
        <f>EXP(-Parameters!$B$47/2*M56^2)</f>
        <v>0.96348529957973461</v>
      </c>
      <c r="O56" s="6">
        <f>MAX((Parameters!$B$63 + Parameters!$B$31*'6states'!A56 - '6states'!L56 + Parameters!$B$48/Parameters!$B$46)/Parameters!B$63,1)</f>
        <v>38.198804327792317</v>
      </c>
      <c r="P56" s="5">
        <f>Parameters!B$62*EXP(-Parameters!B$61*A56)</f>
        <v>0.12280627311690613</v>
      </c>
      <c r="Q56" s="5">
        <f>(1-Parameters!B$62)*O56^-Parameters!B$64</f>
        <v>0.34734817982233851</v>
      </c>
      <c r="R56" s="5">
        <f>Parameters!B$62*EXP(-Parameters!B$61*A56)+(1-Parameters!B$62)*O56^-Parameters!B$64</f>
        <v>0.47015445293924463</v>
      </c>
      <c r="S56" s="5">
        <f>1-R56/Parameters!$B$12</f>
        <v>0.76492277353037763</v>
      </c>
      <c r="T56" s="5">
        <f t="shared" si="0"/>
        <v>4.25392121141613</v>
      </c>
      <c r="U56" s="5">
        <f>(Parameters!$B$19*(E56+Parameters!$B$20)^S56+Parameters!$B$18*F56^S56)^(1/S56)</f>
        <v>0.33172676275095681</v>
      </c>
      <c r="V56" s="5">
        <f>(Parameters!$B$10*G56^Parameters!$B$9+Parameters!$B$11*U56^Parameters!$B$9)^(Parameters!$B$7/Parameters!$B$9)*N56</f>
        <v>1.3327261736081208</v>
      </c>
      <c r="W56" s="5">
        <f>V56 - C56 - D56 - LN(1+EXP(Parameters!$B$21*B56))/Parameters!$B$21 - IF(B56&gt;0, 0,Parameters!$B$6*B56^2/E56)</f>
        <v>1.0221180569481789</v>
      </c>
      <c r="X56" s="5">
        <f>EXP(-Parameters!$B$56*A56)</f>
        <v>0.45602848696706794</v>
      </c>
      <c r="Y56" s="5">
        <f>IF(W56&gt;0,W56^(1-Parameters!$B$53)/(1-Parameters!$B$53)*X56*Parameters!$B$71,-10+W56*1000)</f>
        <v>-1.2930000962751249</v>
      </c>
      <c r="AA56" s="15">
        <f t="shared" si="14"/>
        <v>-3.2294407687105536E-3</v>
      </c>
      <c r="AB56" s="15">
        <f t="shared" si="9"/>
        <v>-3.4879422846137431E-4</v>
      </c>
      <c r="AC56" s="15">
        <f t="shared" si="10"/>
        <v>1.2716194944201176E-4</v>
      </c>
      <c r="AD56" s="15">
        <f t="shared" si="18"/>
        <v>4.8189055807987115E-6</v>
      </c>
      <c r="AE56" s="15">
        <f t="shared" si="21"/>
        <v>-2.1355512675361524E-4</v>
      </c>
      <c r="AF56" s="15">
        <f t="shared" si="22"/>
        <v>2.5089481368020805E-5</v>
      </c>
      <c r="AG56" s="15">
        <f t="shared" si="23"/>
        <v>-7.6476921516133167E-6</v>
      </c>
      <c r="AH56" s="15">
        <f t="shared" si="19"/>
        <v>2.1111273982448939E-8</v>
      </c>
      <c r="AI56" s="15"/>
      <c r="AK56" s="7"/>
      <c r="AL56" s="7"/>
      <c r="AM56" s="16">
        <f t="shared" si="1"/>
        <v>0</v>
      </c>
      <c r="AN56" s="16">
        <f t="shared" si="2"/>
        <v>11.289353251259509</v>
      </c>
      <c r="AO56" s="16">
        <f t="shared" si="17"/>
        <v>79.771760608355478</v>
      </c>
      <c r="AP56" s="6">
        <f t="shared" si="4"/>
        <v>320.4863918603142</v>
      </c>
      <c r="AQ56" s="15">
        <f>-X56*V56*W56^(-Parameters!B$53)*Parameters!B$47*Parameters!B$46*M56</f>
        <v>-1.3690862957121759E-5</v>
      </c>
      <c r="AR56" s="5">
        <f>1000*EXP(-(Parameters!$B$55)*'6states'!A56)*AP56*Parameters!B$47*Parameters!B$46*M56</f>
        <v>1.1985596716919389</v>
      </c>
      <c r="AS56" s="5">
        <f>SUM(AR56:AR$204)*EXP(Parameters!$B$55*A56)</f>
        <v>560.47540175981965</v>
      </c>
      <c r="AT56" s="10">
        <f t="shared" si="27"/>
        <v>0.23208190119683214</v>
      </c>
      <c r="AU56">
        <f>(1/$S56-1/Parameters!$B$13) * LN(Parameters!$B$18) / LN(O56)</f>
        <v>0.22652144756746359</v>
      </c>
      <c r="AV56">
        <f>(Parameters!$B$18*'6states'!S56^+Parameters!$B$19*Parameters!$B$25^'6states'!S56)^((1-'6states'!S56)/'6states'!S56)*Parameters!$B$18*Parameters!$B$26^('6states'!S56-1)</f>
        <v>0.29291861314669743</v>
      </c>
      <c r="AW56">
        <f t="shared" si="20"/>
        <v>0.22356752484424236</v>
      </c>
      <c r="AX56">
        <f t="shared" si="25"/>
        <v>0.1453067981777727</v>
      </c>
      <c r="AY56">
        <f t="shared" si="26"/>
        <v>0.18375090803245386</v>
      </c>
      <c r="AZ56">
        <f>(1/$S56-1/Parameters!$B$13) * LN(Parameters!$B$18) / A56</f>
        <v>1.5868716998885649E-2</v>
      </c>
    </row>
    <row r="57" spans="1:52" x14ac:dyDescent="0.35">
      <c r="A57">
        <f>A56+Parameters!$B$71</f>
        <v>53</v>
      </c>
      <c r="B57" s="13">
        <v>7.4340133658144369E-4</v>
      </c>
      <c r="C57" s="13">
        <v>8.8938443295573946E-2</v>
      </c>
      <c r="D57" s="13">
        <v>0.21974671036783447</v>
      </c>
      <c r="E57" s="5">
        <f>MAX((1-Parameters!$B$4)^Parameters!B$71*E56 + B56*Parameters!B$71 - IF(B56&gt;0,Parameters!$B$5,0)*B56^2/E56*Parameters!B$71, 0.0001)</f>
        <v>4.4915159383131988E-2</v>
      </c>
      <c r="F57" s="5">
        <f>(1-Parameters!$B$4)^Parameters!B$71*F56+C56*Parameters!B$71-Parameters!$B$5*C56^2/F56*Parameters!B$71</f>
        <v>1.2191441391664783</v>
      </c>
      <c r="G57" s="5">
        <f>(1-Parameters!$B$4)^Parameters!B$71*G56+D56*Parameters!B$71-Parameters!$B$5*D56^2/G56*Parameters!B$71</f>
        <v>3.2822161629139623</v>
      </c>
      <c r="H57" s="7">
        <f>MAX(H56 * (1-Parameters!$B$4) ^ Parameters!B$71 + (LN(1+EXP(Parameters!$B$21*(-B56+0.004)))/Parameters!$B$21 -0.004) * Parameters!B$71,0)</f>
        <v>0</v>
      </c>
      <c r="I57" s="16">
        <f>I56*(1+Parameters!$B$52)^Parameters!B$71</f>
        <v>9.5135941024424486</v>
      </c>
      <c r="J57" s="16">
        <f>J56*(1+Parameters!$B$54)^Parameters!B$71</f>
        <v>25.857221248462412</v>
      </c>
      <c r="K57" s="16">
        <f>I57*J57*EXP(-Parameters!$B$43*'6states'!A57)*(Parameters!$B$38/Parameters!$B$39*('6states'!E57+'6states'!H57)/Parameters!$E$25*(EXP(-Parameters!$B$39*Parameters!$E$25*'6states'!H57/('6states'!E57+'6states'!H57))-EXP(-Parameters!$B$39*Parameters!$E$25))  +  Parameters!$B$40*'6states'!E57)</f>
        <v>5.922515190411282</v>
      </c>
      <c r="L57" s="6">
        <f>L56+K57*Parameters!B$71</f>
        <v>3212.3822988007955</v>
      </c>
      <c r="M57" s="5">
        <f>L57*Parameters!$B$46</f>
        <v>1.9274293792804771</v>
      </c>
      <c r="N57" s="7">
        <f>EXP(-Parameters!$B$47/2*M57^2)</f>
        <v>0.96335279018704012</v>
      </c>
      <c r="O57" s="6">
        <f>MAX((Parameters!$B$63 + Parameters!$B$31*'6states'!A57 - '6states'!L57 + Parameters!$B$48/Parameters!$B$46)/Parameters!B$63,1)</f>
        <v>39.1443540239841</v>
      </c>
      <c r="P57" s="5">
        <f>Parameters!B$62*EXP(-Parameters!B$61*A57)</f>
        <v>0.11953486646804852</v>
      </c>
      <c r="Q57" s="5">
        <f>(1-Parameters!B$62)*O57^-Parameters!B$64</f>
        <v>0.34649988218420313</v>
      </c>
      <c r="R57" s="5">
        <f>Parameters!B$62*EXP(-Parameters!B$61*A57)+(1-Parameters!B$62)*O57^-Parameters!B$64</f>
        <v>0.46603474865225164</v>
      </c>
      <c r="S57" s="5">
        <f>1-R57/Parameters!$B$12</f>
        <v>0.76698262567387421</v>
      </c>
      <c r="T57" s="5">
        <f t="shared" si="0"/>
        <v>4.2915254834192016</v>
      </c>
      <c r="U57" s="5">
        <f>(Parameters!$B$19*(E57+Parameters!$B$20)^S57+Parameters!$B$18*F57^S57)^(1/S57)</f>
        <v>0.33161357916089829</v>
      </c>
      <c r="V57" s="5">
        <f>(Parameters!$B$10*G57^Parameters!$B$9+Parameters!$B$11*U57^Parameters!$B$9)^(Parameters!$B$7/Parameters!$B$9)*N57</f>
        <v>1.3323559322272134</v>
      </c>
      <c r="W57" s="5">
        <f>V57 - C57 - D57 - LN(1+EXP(Parameters!$B$21*B57))/Parameters!$B$21 - IF(B57&gt;0, 0,Parameters!$B$6*B57^2/E57)</f>
        <v>1.0215386788763188</v>
      </c>
      <c r="X57" s="5">
        <f>EXP(-Parameters!$B$56*A57)</f>
        <v>0.44919418564576791</v>
      </c>
      <c r="Y57" s="5">
        <f>IF(W57&gt;0,W57^(1-Parameters!$B$53)/(1-Parameters!$B$53)*X57*Parameters!$B$71,-10+W57*1000)</f>
        <v>-1.2738752402046956</v>
      </c>
      <c r="AA57" s="15">
        <f t="shared" si="14"/>
        <v>-3.4872615219598765E-3</v>
      </c>
      <c r="AB57" s="15">
        <f t="shared" si="9"/>
        <v>-3.2557073914811496E-4</v>
      </c>
      <c r="AC57" s="15">
        <f t="shared" si="10"/>
        <v>1.1991693964812089E-4</v>
      </c>
      <c r="AD57" s="15">
        <f t="shared" si="18"/>
        <v>5.5167196818431829E-6</v>
      </c>
      <c r="AE57" s="15">
        <f t="shared" si="21"/>
        <v>-2.5782075324932291E-4</v>
      </c>
      <c r="AF57" s="15">
        <f t="shared" si="22"/>
        <v>2.3223489313259349E-5</v>
      </c>
      <c r="AG57" s="15">
        <f t="shared" si="23"/>
        <v>-7.2450097938908664E-6</v>
      </c>
      <c r="AH57" s="15">
        <f t="shared" si="19"/>
        <v>3.0124472023697782E-8</v>
      </c>
      <c r="AI57" s="15"/>
      <c r="AK57" s="7"/>
      <c r="AL57" s="7"/>
      <c r="AM57" s="16">
        <f t="shared" si="1"/>
        <v>0</v>
      </c>
      <c r="AN57" s="16">
        <f t="shared" si="2"/>
        <v>11.048909464198301</v>
      </c>
      <c r="AO57" s="16">
        <f t="shared" si="17"/>
        <v>81.575318078989952</v>
      </c>
      <c r="AP57" s="6">
        <f t="shared" si="4"/>
        <v>327.75304087631827</v>
      </c>
      <c r="AQ57" s="15">
        <f>-X57*V57*W57^(-Parameters!B$53)*Parameters!B$47*Parameters!B$46*M57</f>
        <v>-1.3517182207320203E-5</v>
      </c>
      <c r="AR57" s="5">
        <f>1000*EXP(-(Parameters!$B$55)*'6states'!A57)*AP57*Parameters!B$47*Parameters!B$46*M57</f>
        <v>1.1856444900865624</v>
      </c>
      <c r="AS57" s="5">
        <f>SUM(AR57:AR$204)*EXP(Parameters!$B$55*A57)</f>
        <v>572.79587724753549</v>
      </c>
      <c r="AT57" s="10">
        <f t="shared" si="27"/>
        <v>0.23224166119239487</v>
      </c>
      <c r="AU57">
        <f>(1/$S57-1/Parameters!$B$13) * LN(Parameters!$B$18) / LN(O57)</f>
        <v>0.22615160755258365</v>
      </c>
      <c r="AV57">
        <f>(Parameters!$B$18*'6states'!S57^+Parameters!$B$19*Parameters!$B$25^'6states'!S57)^((1-'6states'!S57)/'6states'!S57)*Parameters!$B$18*Parameters!$B$26^('6states'!S57-1)</f>
        <v>0.29350990311353875</v>
      </c>
      <c r="AW57">
        <f t="shared" si="20"/>
        <v>0.22262674278432831</v>
      </c>
      <c r="AX57">
        <f t="shared" si="25"/>
        <v>0.14508766644332405</v>
      </c>
      <c r="AY57">
        <f t="shared" si="26"/>
        <v>0.18408537997083452</v>
      </c>
      <c r="AZ57">
        <f>(1/$S57-1/Parameters!$B$13) * LN(Parameters!$B$18) / A57</f>
        <v>1.5648224235948645E-2</v>
      </c>
    </row>
    <row r="58" spans="1:52" x14ac:dyDescent="0.35">
      <c r="A58">
        <f>A57+Parameters!$B$71</f>
        <v>54</v>
      </c>
      <c r="B58" s="26">
        <f t="shared" ref="B58:D60" si="31">B57+(B$61-B$57)/4</f>
        <v>8.3780352596044255E-4</v>
      </c>
      <c r="C58" s="26">
        <f t="shared" si="31"/>
        <v>8.8768926216567262E-2</v>
      </c>
      <c r="D58" s="26">
        <f t="shared" si="31"/>
        <v>0.22004877616042884</v>
      </c>
      <c r="E58" s="5">
        <f>MAX((1-Parameters!$B$4)^Parameters!B$71*E57 + B57*Parameters!B$71 - IF(B57&gt;0,Parameters!$B$5,0)*B57^2/E57*Parameters!B$71, 0.0001)</f>
        <v>4.282109298464807E-2</v>
      </c>
      <c r="F58" s="5">
        <f>(1-Parameters!$B$4)^Parameters!B$71*F57+C57*Parameters!B$71-Parameters!$B$5*C57^2/F57*Parameters!B$71</f>
        <v>1.2249102196420254</v>
      </c>
      <c r="G58" s="5">
        <f>(1-Parameters!$B$4)^Parameters!B$71*G57+D57*Parameters!B$71-Parameters!$B$5*D57^2/G57*Parameters!B$71</f>
        <v>3.2807992778271595</v>
      </c>
      <c r="H58" s="7">
        <f>MAX(H57 * (1-Parameters!$B$4) ^ Parameters!B$71 + (LN(1+EXP(Parameters!$B$21*(-B57+0.004)))/Parameters!$B$21 -0.004) * Parameters!B$71,0)</f>
        <v>0</v>
      </c>
      <c r="I58" s="16">
        <f>I57*(1+Parameters!$B$52)^Parameters!B$71</f>
        <v>9.5411835253395303</v>
      </c>
      <c r="J58" s="16">
        <f>J57*(1+Parameters!$B$54)^Parameters!B$71</f>
        <v>26.374365673431662</v>
      </c>
      <c r="K58" s="16">
        <f>I58*J58*EXP(-Parameters!$B$43*'6states'!A58)*(Parameters!$B$38/Parameters!$B$39*('6states'!E58+'6states'!H58)/Parameters!$E$25*(EXP(-Parameters!$B$39*Parameters!$E$25*'6states'!H58/('6states'!E58+'6states'!H58))-EXP(-Parameters!$B$39*Parameters!$E$25))  +  Parameters!$B$40*'6states'!E58)</f>
        <v>5.7185489722364151</v>
      </c>
      <c r="L58" s="6">
        <f>L57+K58*Parameters!B$71</f>
        <v>3218.100847773032</v>
      </c>
      <c r="M58" s="5">
        <f>L58*Parameters!$B$46</f>
        <v>1.9308605086638191</v>
      </c>
      <c r="N58" s="7">
        <f>EXP(-Parameters!$B$47/2*M58^2)</f>
        <v>0.96322462960204691</v>
      </c>
      <c r="O58" s="6">
        <f>MAX((Parameters!$B$63 + Parameters!$B$31*'6states'!A58 - '6states'!L58 + Parameters!$B$48/Parameters!$B$46)/Parameters!B$63,1)</f>
        <v>40.093983044539364</v>
      </c>
      <c r="P58" s="5">
        <f>Parameters!B$62*EXP(-Parameters!B$61*A58)</f>
        <v>0.11635060603078554</v>
      </c>
      <c r="Q58" s="5">
        <f>(1-Parameters!B$62)*O58^-Parameters!B$64</f>
        <v>0.34567031396417675</v>
      </c>
      <c r="R58" s="5">
        <f>Parameters!B$62*EXP(-Parameters!B$61*A58)+(1-Parameters!B$62)*O58^-Parameters!B$64</f>
        <v>0.46202091999496231</v>
      </c>
      <c r="S58" s="5">
        <f>1-R58/Parameters!$B$12</f>
        <v>0.76898954000251885</v>
      </c>
      <c r="T58" s="5">
        <f t="shared" si="0"/>
        <v>4.3288083146144274</v>
      </c>
      <c r="U58" s="5">
        <f>(Parameters!$B$19*(E58+Parameters!$B$20)^S58+Parameters!$B$18*F58^S58)^(1/S58)</f>
        <v>0.33134949395057806</v>
      </c>
      <c r="V58" s="5">
        <f>(Parameters!$B$10*G58^Parameters!$B$9+Parameters!$B$11*U58^Parameters!$B$9)^(Parameters!$B$7/Parameters!$B$9)*N58</f>
        <v>1.3319551134044267</v>
      </c>
      <c r="W58" s="5">
        <f>V58 - C58 - D58 - LN(1+EXP(Parameters!$B$21*B58))/Parameters!$B$21 - IF(B58&gt;0, 0,Parameters!$B$6*B58^2/E58)</f>
        <v>1.0209507085845444</v>
      </c>
      <c r="X58" s="5">
        <f>EXP(-Parameters!$B$56*A58)</f>
        <v>0.4424623070368317</v>
      </c>
      <c r="Y58" s="5">
        <f>IF(W58&gt;0,W58^(1-Parameters!$B$53)/(1-Parameters!$B$53)*X58*Parameters!$B$71,-10+W58*1000)</f>
        <v>-1.2550370993072677</v>
      </c>
      <c r="AA58" s="15">
        <f t="shared" si="14"/>
        <v>3.0139719575349964E-3</v>
      </c>
      <c r="AB58" s="15">
        <f t="shared" si="9"/>
        <v>-4.8179982832403934E-4</v>
      </c>
      <c r="AC58" s="15">
        <f t="shared" si="10"/>
        <v>1.2098492621344381E-4</v>
      </c>
      <c r="AD58" s="15">
        <f t="shared" si="18"/>
        <v>4.1285252537530627E-6</v>
      </c>
      <c r="AE58" s="15">
        <f t="shared" si="21"/>
        <v>6.501233479494873E-3</v>
      </c>
      <c r="AF58" s="15">
        <f t="shared" si="22"/>
        <v>-1.5622908917592437E-4</v>
      </c>
      <c r="AG58" s="15">
        <f t="shared" si="23"/>
        <v>1.0679865653229204E-6</v>
      </c>
      <c r="AH58" s="15">
        <f t="shared" si="19"/>
        <v>1.8711928047832008E-5</v>
      </c>
      <c r="AI58" s="15"/>
      <c r="AK58" s="7"/>
      <c r="AL58" s="7"/>
      <c r="AM58" s="16">
        <f t="shared" si="1"/>
        <v>0</v>
      </c>
      <c r="AN58" s="16">
        <f t="shared" si="2"/>
        <v>10.775613882130846</v>
      </c>
      <c r="AO58" s="16">
        <f t="shared" si="17"/>
        <v>83.38166912579625</v>
      </c>
      <c r="AP58" s="6">
        <f t="shared" si="4"/>
        <v>335.17673207270815</v>
      </c>
      <c r="AQ58" s="15">
        <f>-X58*V58*W58^(-Parameters!B$53)*Parameters!B$47*Parameters!B$46*M58</f>
        <v>-1.3344663613196382E-5</v>
      </c>
      <c r="AR58" s="5">
        <f>1000*EXP(-(Parameters!$B$55)*'6states'!A58)*AP58*Parameters!B$47*Parameters!B$46*M58</f>
        <v>1.1727631444829838</v>
      </c>
      <c r="AS58" s="5">
        <f>SUM(AR58:AR$204)*EXP(Parameters!$B$55*A58)</f>
        <v>585.36730941774931</v>
      </c>
      <c r="AT58" s="10">
        <f t="shared" si="27"/>
        <v>0.23248193785711654</v>
      </c>
      <c r="AU58">
        <f>(1/$S58-1/Parameters!$B$13) * LN(Parameters!$B$18) / LN(O58)</f>
        <v>0.22578118491239463</v>
      </c>
      <c r="AV58">
        <f>(Parameters!$B$18*'6states'!S58^+Parameters!$B$19*Parameters!$B$25^'6states'!S58)^((1-'6states'!S58)/'6states'!S58)*Parameters!$B$18*Parameters!$B$26^('6states'!S58-1)</f>
        <v>0.29407568931988554</v>
      </c>
      <c r="AW58">
        <f t="shared" si="20"/>
        <v>0.22170277361911603</v>
      </c>
      <c r="AX58">
        <f t="shared" si="25"/>
        <v>0.14486813318573732</v>
      </c>
      <c r="AY58">
        <f t="shared" si="26"/>
        <v>0.18440529701237707</v>
      </c>
      <c r="AZ58">
        <f>(1/$S58-1/Parameters!$B$13) * LN(Parameters!$B$18) / A58</f>
        <v>1.5433508184978552E-2</v>
      </c>
    </row>
    <row r="59" spans="1:52" x14ac:dyDescent="0.35">
      <c r="A59">
        <f>A58+Parameters!$B$71</f>
        <v>55</v>
      </c>
      <c r="B59" s="26">
        <f t="shared" si="31"/>
        <v>9.3220571533944141E-4</v>
      </c>
      <c r="C59" s="26">
        <f t="shared" si="31"/>
        <v>8.8599409137560578E-2</v>
      </c>
      <c r="D59" s="26">
        <f t="shared" si="31"/>
        <v>0.22035084195302324</v>
      </c>
      <c r="E59" s="5">
        <f>MAX((1-Parameters!$B$4)^Parameters!B$71*E58 + B58*Parameters!B$71 - IF(B58&gt;0,Parameters!$B$5,0)*B58^2/E58*Parameters!B$71, 0.0001)</f>
        <v>4.0949057962898737E-2</v>
      </c>
      <c r="F59" s="5">
        <f>(1-Parameters!$B$4)^Parameters!B$71*F58+C58*Parameters!B$71-Parameters!$B$5*C58^2/F58*Parameters!B$71</f>
        <v>1.2301992319621549</v>
      </c>
      <c r="G59" s="5">
        <f>(1-Parameters!$B$4)^Parameters!B$71*G58+D58*Parameters!B$71-Parameters!$B$5*D58^2/G58*Parameters!B$71</f>
        <v>3.279726734499957</v>
      </c>
      <c r="H59" s="7">
        <f>MAX(H58 * (1-Parameters!$B$4) ^ Parameters!B$71 + (LN(1+EXP(Parameters!$B$21*(-B58+0.004)))/Parameters!$B$21 -0.004) * Parameters!B$71,0)</f>
        <v>0</v>
      </c>
      <c r="I59" s="16">
        <f>I58*(1+Parameters!$B$52)^Parameters!B$71</f>
        <v>9.5688529575630135</v>
      </c>
      <c r="J59" s="16">
        <f>J58*(1+Parameters!$B$54)^Parameters!B$71</f>
        <v>26.901852986900295</v>
      </c>
      <c r="K59" s="16">
        <f>I59*J59*EXP(-Parameters!$B$43*'6states'!A59)*(Parameters!$B$38/Parameters!$B$39*('6states'!E59+'6states'!H59)/Parameters!$E$25*(EXP(-Parameters!$B$39*Parameters!$E$25*'6states'!H59/('6states'!E59+'6states'!H59))-EXP(-Parameters!$B$39*Parameters!$E$25))  +  Parameters!$B$40*'6states'!E59)</f>
        <v>5.538432535910121</v>
      </c>
      <c r="L59" s="6">
        <f>L58+K59*Parameters!B$71</f>
        <v>3223.639280308942</v>
      </c>
      <c r="M59" s="5">
        <f>L59*Parameters!$B$46</f>
        <v>1.934183568185365</v>
      </c>
      <c r="N59" s="7">
        <f>EXP(-Parameters!$B$47/2*M59^2)</f>
        <v>0.96310030468363272</v>
      </c>
      <c r="O59" s="6">
        <f>MAX((Parameters!$B$63 + Parameters!$B$31*'6states'!A59 - '6states'!L59 + Parameters!$B$48/Parameters!$B$46)/Parameters!B$63,1)</f>
        <v>41.047214393821157</v>
      </c>
      <c r="P59" s="5">
        <f>Parameters!B$62*EXP(-Parameters!B$61*A59)</f>
        <v>0.1132511703382344</v>
      </c>
      <c r="Q59" s="5">
        <f>(1-Parameters!B$62)*O59^-Parameters!B$64</f>
        <v>0.34485905624933016</v>
      </c>
      <c r="R59" s="5">
        <f>Parameters!B$62*EXP(-Parameters!B$61*A59)+(1-Parameters!B$62)*O59^-Parameters!B$64</f>
        <v>0.45811022658756456</v>
      </c>
      <c r="S59" s="5">
        <f>1-R59/Parameters!$B$12</f>
        <v>0.77094488670621775</v>
      </c>
      <c r="T59" s="5">
        <f t="shared" si="0"/>
        <v>4.3657615218456911</v>
      </c>
      <c r="U59" s="5">
        <f>(Parameters!$B$19*(E59+Parameters!$B$20)^S59+Parameters!$B$18*F59^S59)^(1/S59)</f>
        <v>0.3311994405286125</v>
      </c>
      <c r="V59" s="5">
        <f>(Parameters!$B$10*G59^Parameters!$B$9+Parameters!$B$11*U59^Parameters!$B$9)^(Parameters!$B$7/Parameters!$B$9)*N59</f>
        <v>1.3316349455801062</v>
      </c>
      <c r="W59" s="5">
        <f>V59 - C59 - D59 - LN(1+EXP(Parameters!$B$21*B59))/Parameters!$B$21 - IF(B59&gt;0, 0,Parameters!$B$6*B59^2/E59)</f>
        <v>1.0204425227213507</v>
      </c>
      <c r="X59" s="5">
        <f>EXP(-Parameters!$B$56*A59)</f>
        <v>0.43583131617545234</v>
      </c>
      <c r="Y59" s="5">
        <f>IF(W59&gt;0,W59^(1-Parameters!$B$53)/(1-Parameters!$B$53)*X59*Parameters!$B$71,-10+W59*1000)</f>
        <v>-1.2364438442220491</v>
      </c>
      <c r="AA59" s="15">
        <f t="shared" si="14"/>
        <v>3.1998035519340863E-3</v>
      </c>
      <c r="AB59" s="15">
        <f t="shared" si="9"/>
        <v>-4.493665879359704E-4</v>
      </c>
      <c r="AC59" s="15">
        <f t="shared" si="10"/>
        <v>1.1403483408384263E-4</v>
      </c>
      <c r="AD59" s="15">
        <f t="shared" si="18"/>
        <v>4.5560398252680885E-6</v>
      </c>
      <c r="AE59" s="15">
        <f t="shared" si="21"/>
        <v>1.8583159439908986E-4</v>
      </c>
      <c r="AF59" s="15">
        <f t="shared" si="22"/>
        <v>3.243324038806894E-5</v>
      </c>
      <c r="AG59" s="15">
        <f t="shared" si="23"/>
        <v>-6.9500921296011819E-6</v>
      </c>
      <c r="AH59" s="15">
        <f t="shared" si="19"/>
        <v>1.5530238936072707E-8</v>
      </c>
      <c r="AI59" s="15"/>
      <c r="AK59" s="7"/>
      <c r="AL59" s="7"/>
      <c r="AM59" s="16">
        <f t="shared" si="1"/>
        <v>0</v>
      </c>
      <c r="AN59" s="16">
        <f t="shared" si="2"/>
        <v>10.541101403373457</v>
      </c>
      <c r="AO59" s="16">
        <f t="shared" si="17"/>
        <v>85.257318752382901</v>
      </c>
      <c r="AP59" s="6">
        <f t="shared" si="4"/>
        <v>342.78930192615201</v>
      </c>
      <c r="AQ59" s="15">
        <f>-X59*V59*W59^(-Parameters!B$53)*Parameters!B$47*Parameters!B$46*M59</f>
        <v>-1.3172981266846473E-5</v>
      </c>
      <c r="AR59" s="5">
        <f>1000*EXP(-(Parameters!$B$55)*'6states'!A59)*AP59*Parameters!B$47*Parameters!B$46*M59</f>
        <v>1.1600234257138826</v>
      </c>
      <c r="AS59" s="5">
        <f>SUM(AR59:AR$204)*EXP(Parameters!$B$55*A59)</f>
        <v>598.19474275662014</v>
      </c>
      <c r="AT59" s="10">
        <f t="shared" si="27"/>
        <v>0.23270826425400523</v>
      </c>
      <c r="AU59">
        <f>(1/$S59-1/Parameters!$B$13) * LN(Parameters!$B$18) / LN(O59)</f>
        <v>0.22541076446065128</v>
      </c>
      <c r="AV59">
        <f>(Parameters!$B$18*'6states'!S59^+Parameters!$B$19*Parameters!$B$25^'6states'!S59)^((1-'6states'!S59)/'6states'!S59)*Parameters!$B$18*Parameters!$B$26^('6states'!S59-1)</f>
        <v>0.29461718984405649</v>
      </c>
      <c r="AW59">
        <f t="shared" si="20"/>
        <v>0.220795677059893</v>
      </c>
      <c r="AX59">
        <f t="shared" si="25"/>
        <v>0.1446485448516186</v>
      </c>
      <c r="AY59">
        <f t="shared" si="26"/>
        <v>0.18471136452742365</v>
      </c>
      <c r="AZ59">
        <f>(1/$S59-1/Parameters!$B$13) * LN(Parameters!$B$18) / A59</f>
        <v>1.5224337190816385E-2</v>
      </c>
    </row>
    <row r="60" spans="1:52" x14ac:dyDescent="0.35">
      <c r="A60">
        <f>A59+Parameters!$B$71</f>
        <v>56</v>
      </c>
      <c r="B60" s="26">
        <f t="shared" si="31"/>
        <v>1.0266079047184403E-3</v>
      </c>
      <c r="C60" s="26">
        <f t="shared" si="31"/>
        <v>8.8429892058553894E-2</v>
      </c>
      <c r="D60" s="26">
        <f t="shared" si="31"/>
        <v>0.22065290774561763</v>
      </c>
      <c r="E60" s="5">
        <f>MAX((1-Parameters!$B$4)^Parameters!B$71*E59 + B59*Parameters!B$71 - IF(B59&gt;0,Parameters!$B$5,0)*B59^2/E59*Parameters!B$71, 0.0001)</f>
        <v>3.9284346259909959E-2</v>
      </c>
      <c r="F60" s="5">
        <f>(1-Parameters!$B$4)^Parameters!B$71*F59+C59*Parameters!B$71-Parameters!$B$5*C59^2/F59*Parameters!B$71</f>
        <v>1.235038146801309</v>
      </c>
      <c r="G60" s="5">
        <f>(1-Parameters!$B$4)^Parameters!B$71*G59+D59*Parameters!B$71-Parameters!$B$5*D59^2/G59*Parameters!B$71</f>
        <v>3.2789783322035131</v>
      </c>
      <c r="H60" s="7">
        <f>MAX(H59 * (1-Parameters!$B$4) ^ Parameters!B$71 + (LN(1+EXP(Parameters!$B$21*(-B59+0.004)))/Parameters!$B$21 -0.004) * Parameters!B$71,0)</f>
        <v>0</v>
      </c>
      <c r="I60" s="16">
        <f>I59*(1+Parameters!$B$52)^Parameters!B$71</f>
        <v>9.5966026311399446</v>
      </c>
      <c r="J60" s="16">
        <f>J59*(1+Parameters!$B$54)^Parameters!B$71</f>
        <v>27.4398900466383</v>
      </c>
      <c r="K60" s="16">
        <f>I60*J60*EXP(-Parameters!$B$43*'6states'!A60)*(Parameters!$B$38/Parameters!$B$39*('6states'!E60+'6states'!H60)/Parameters!$E$25*(EXP(-Parameters!$B$39*Parameters!$E$25*'6states'!H60/('6states'!E60+'6states'!H60))-EXP(-Parameters!$B$39*Parameters!$E$25))  +  Parameters!$B$40*'6states'!E60)</f>
        <v>5.3811778177300704</v>
      </c>
      <c r="L60" s="6">
        <f>L59+K60*Parameters!B$71</f>
        <v>3229.0204581266721</v>
      </c>
      <c r="M60" s="5">
        <f>L60*Parameters!$B$46</f>
        <v>1.9374122748760032</v>
      </c>
      <c r="N60" s="7">
        <f>EXP(-Parameters!$B$47/2*M60^2)</f>
        <v>0.96297932041284839</v>
      </c>
      <c r="O60" s="6">
        <f>MAX((Parameters!$B$63 + Parameters!$B$31*'6states'!A60 - '6states'!L60 + Parameters!$B$48/Parameters!$B$46)/Parameters!B$63,1)</f>
        <v>42.003590837466561</v>
      </c>
      <c r="P60" s="5">
        <f>Parameters!B$62*EXP(-Parameters!B$61*A60)</f>
        <v>0.11023429976450796</v>
      </c>
      <c r="Q60" s="5">
        <f>(1-Parameters!B$62)*O60^-Parameters!B$64</f>
        <v>0.34406568618120825</v>
      </c>
      <c r="R60" s="5">
        <f>Parameters!B$62*EXP(-Parameters!B$61*A60)+(1-Parameters!B$62)*O60^-Parameters!B$64</f>
        <v>0.45429998594571619</v>
      </c>
      <c r="S60" s="5">
        <f>1-R60/Parameters!$B$12</f>
        <v>0.77285000702714191</v>
      </c>
      <c r="T60" s="5">
        <f t="shared" si="0"/>
        <v>4.4023774199257355</v>
      </c>
      <c r="U60" s="5">
        <f>(Parameters!$B$19*(E60+Parameters!$B$20)^S60+Parameters!$B$18*F60^S60)^(1/S60)</f>
        <v>0.33115597944948744</v>
      </c>
      <c r="V60" s="5">
        <f>(Parameters!$B$10*G60^Parameters!$B$9+Parameters!$B$11*U60^Parameters!$B$9)^(Parameters!$B$7/Parameters!$B$9)*N60</f>
        <v>1.3313900728250647</v>
      </c>
      <c r="W60" s="5">
        <f>V60 - C60 - D60 - LN(1+EXP(Parameters!$B$21*B60))/Parameters!$B$21 - IF(B60&gt;0, 0,Parameters!$B$6*B60^2/E60)</f>
        <v>1.0200087710696513</v>
      </c>
      <c r="X60" s="5">
        <f>EXP(-Parameters!$B$56*A60)</f>
        <v>0.42929970110067539</v>
      </c>
      <c r="Y60" s="5">
        <f>IF(W60&gt;0,W60^(1-Parameters!$B$53)/(1-Parameters!$B$53)*X60*Parameters!$B$71,-10+W60*1000)</f>
        <v>-1.2180950393629166</v>
      </c>
      <c r="AA60" s="15">
        <f t="shared" si="14"/>
        <v>3.3677375492810885E-3</v>
      </c>
      <c r="AB60" s="15">
        <f t="shared" si="9"/>
        <v>-4.194344427523311E-4</v>
      </c>
      <c r="AC60" s="15">
        <f t="shared" si="10"/>
        <v>1.0745656516640556E-4</v>
      </c>
      <c r="AD60" s="15">
        <f t="shared" si="18"/>
        <v>4.9494513614760247E-6</v>
      </c>
      <c r="AE60" s="15">
        <f t="shared" si="21"/>
        <v>1.6793399734700218E-4</v>
      </c>
      <c r="AF60" s="15">
        <f t="shared" si="22"/>
        <v>2.9932145183639292E-5</v>
      </c>
      <c r="AG60" s="15">
        <f t="shared" si="23"/>
        <v>-6.578268917437069E-6</v>
      </c>
      <c r="AH60" s="15">
        <f t="shared" si="19"/>
        <v>1.2510237358623597E-8</v>
      </c>
      <c r="AI60" s="15"/>
      <c r="AK60" s="7"/>
      <c r="AL60" s="7"/>
      <c r="AM60" s="16">
        <f t="shared" si="1"/>
        <v>0</v>
      </c>
      <c r="AN60" s="16">
        <f t="shared" si="2"/>
        <v>10.344735941065737</v>
      </c>
      <c r="AO60" s="16">
        <f t="shared" si="17"/>
        <v>87.203211682458871</v>
      </c>
      <c r="AP60" s="6">
        <f t="shared" si="4"/>
        <v>350.59457644550213</v>
      </c>
      <c r="AQ60" s="15">
        <f>-X60*V60*W60^(-Parameters!B$53)*Parameters!B$47*Parameters!B$46*M60</f>
        <v>-1.3002293999985746E-5</v>
      </c>
      <c r="AR60" s="5">
        <f>1000*EXP(-(Parameters!$B$55)*'6states'!A60)*AP60*Parameters!B$47*Parameters!B$46*M60</f>
        <v>1.1474276594253663</v>
      </c>
      <c r="AS60" s="5">
        <f>SUM(AR60:AR$204)*EXP(Parameters!$B$55*A60)</f>
        <v>611.28258538867135</v>
      </c>
      <c r="AT60" s="10">
        <f t="shared" si="27"/>
        <v>0.23292152618418699</v>
      </c>
      <c r="AU60">
        <f>(1/$S60-1/Parameters!$B$13) * LN(Parameters!$B$18) / LN(O60)</f>
        <v>0.22504085373838001</v>
      </c>
      <c r="AV60">
        <f>(Parameters!$B$18*'6states'!S60^+Parameters!$B$19*Parameters!$B$25^'6states'!S60)^((1-'6states'!S60)/'6states'!S60)*Parameters!$B$18*Parameters!$B$26^('6states'!S60-1)</f>
        <v>0.29513556235920613</v>
      </c>
      <c r="AW60">
        <f t="shared" si="20"/>
        <v>0.21990544646337096</v>
      </c>
      <c r="AX60">
        <f t="shared" si="25"/>
        <v>0.14442920241789114</v>
      </c>
      <c r="AY60">
        <f t="shared" si="26"/>
        <v>0.18500425199955972</v>
      </c>
      <c r="AZ60">
        <f>(1/$S60-1/Parameters!$B$13) * LN(Parameters!$B$18) / A60</f>
        <v>1.5020492878396156E-2</v>
      </c>
    </row>
    <row r="61" spans="1:52" x14ac:dyDescent="0.35">
      <c r="A61">
        <f>A60+Parameters!$B$71</f>
        <v>57</v>
      </c>
      <c r="B61" s="13">
        <v>1.1210100940974392E-3</v>
      </c>
      <c r="C61" s="13">
        <v>8.8260374979547224E-2</v>
      </c>
      <c r="D61" s="13">
        <v>0.220954973538212</v>
      </c>
      <c r="E61" s="5">
        <f>MAX((1-Parameters!$B$4)^Parameters!B$71*E60 + B60*Parameters!B$71 - IF(B60&gt;0,Parameters!$B$5,0)*B60^2/E60*Parameters!B$71, 0.0001)</f>
        <v>3.7813140699640785E-2</v>
      </c>
      <c r="F61" s="5">
        <f>(1-Parameters!$B$4)^Parameters!B$71*F60+C60*Parameters!B$71-Parameters!$B$5*C60^2/F60*Parameters!B$71</f>
        <v>1.2394524760440504</v>
      </c>
      <c r="G61" s="5">
        <f>(1-Parameters!$B$4)^Parameters!B$71*G60+D60*Parameters!B$71-Parameters!$B$5*D60^2/G60*Parameters!B$71</f>
        <v>3.278535065089113</v>
      </c>
      <c r="H61" s="7">
        <f>MAX(H60 * (1-Parameters!$B$4) ^ Parameters!B$71 + (LN(1+EXP(Parameters!$B$21*(-B60+0.004)))/Parameters!$B$21 -0.004) * Parameters!B$71,0)</f>
        <v>0</v>
      </c>
      <c r="I61" s="16">
        <f>I60*(1+Parameters!$B$52)^Parameters!B$71</f>
        <v>9.6244327787702488</v>
      </c>
      <c r="J61" s="16">
        <f>J60*(1+Parameters!$B$54)^Parameters!B$71</f>
        <v>27.988687847571068</v>
      </c>
      <c r="K61" s="16">
        <f>I61*J61*EXP(-Parameters!$B$43*'6states'!A61)*(Parameters!$B$38/Parameters!$B$39*('6states'!E61+'6states'!H61)/Parameters!$E$25*(EXP(-Parameters!$B$39*Parameters!$E$25*'6states'!H61/('6states'!E61+'6states'!H61))-EXP(-Parameters!$B$39*Parameters!$E$25))  +  Parameters!$B$40*'6states'!E61)</f>
        <v>5.2458446086759762</v>
      </c>
      <c r="L61" s="6">
        <f>L60+K61*Parameters!B$71</f>
        <v>3234.2663027353483</v>
      </c>
      <c r="M61" s="5">
        <f>L61*Parameters!$B$46</f>
        <v>1.9405597816412088</v>
      </c>
      <c r="N61" s="7">
        <f>EXP(-Parameters!$B$47/2*M61^2)</f>
        <v>0.9628611992447158</v>
      </c>
      <c r="O61" s="6">
        <f>MAX((Parameters!$B$63 + Parameters!$B$31*'6states'!A61 - '6states'!L61 + Parameters!$B$48/Parameters!$B$46)/Parameters!B$63,1)</f>
        <v>42.962673945293034</v>
      </c>
      <c r="P61" s="5">
        <f>Parameters!B$62*EXP(-Parameters!B$61*A61)</f>
        <v>0.10729779487734739</v>
      </c>
      <c r="Q61" s="5">
        <f>(1-Parameters!B$62)*O61^-Parameters!B$64</f>
        <v>0.34328977972140134</v>
      </c>
      <c r="R61" s="5">
        <f>Parameters!B$62*EXP(-Parameters!B$61*A61)+(1-Parameters!B$62)*O61^-Parameters!B$64</f>
        <v>0.45058757459874876</v>
      </c>
      <c r="S61" s="5">
        <f>1-R61/Parameters!$B$12</f>
        <v>0.77470621270062567</v>
      </c>
      <c r="T61" s="5">
        <f t="shared" si="0"/>
        <v>4.438648806019593</v>
      </c>
      <c r="U61" s="5">
        <f>(Parameters!$B$19*(E61+Parameters!$B$20)^S61+Parameters!$B$18*F61^S61)^(1/S61)</f>
        <v>0.33121178626484676</v>
      </c>
      <c r="V61" s="5">
        <f>(Parameters!$B$10*G61^Parameters!$B$9+Parameters!$B$11*U61^Parameters!$B$9)^(Parameters!$B$7/Parameters!$B$9)*N61</f>
        <v>1.3312152123303673</v>
      </c>
      <c r="W61" s="5">
        <f>V61 - C61 - D61 - LN(1+EXP(Parameters!$B$21*B61))/Parameters!$B$21 - IF(B61&gt;0, 0,Parameters!$B$6*B61^2/E61)</f>
        <v>1.0196441770836158</v>
      </c>
      <c r="X61" s="5">
        <f>EXP(-Parameters!$B$56*A61)</f>
        <v>0.42286597251064995</v>
      </c>
      <c r="Y61" s="5">
        <f>IF(W61&gt;0,W61^(1-Parameters!$B$53)/(1-Parameters!$B$53)*X61*Parameters!$B$71,-10+W61*1000)</f>
        <v>-1.1999901187020525</v>
      </c>
      <c r="AA61" s="15">
        <f t="shared" si="14"/>
        <v>3.5132980352362876E-3</v>
      </c>
      <c r="AB61" s="15">
        <f t="shared" si="9"/>
        <v>-3.9177557104354277E-4</v>
      </c>
      <c r="AC61" s="15">
        <f t="shared" si="10"/>
        <v>1.0123260651227761E-4</v>
      </c>
      <c r="AD61" s="15">
        <f t="shared" si="18"/>
        <v>5.2887843896589036E-6</v>
      </c>
      <c r="AE61" s="15">
        <f t="shared" si="21"/>
        <v>1.4556048595519913E-4</v>
      </c>
      <c r="AF61" s="15">
        <f t="shared" si="22"/>
        <v>2.7658871708788335E-5</v>
      </c>
      <c r="AG61" s="15">
        <f t="shared" si="23"/>
        <v>-6.2239586541279479E-6</v>
      </c>
      <c r="AH61" s="15">
        <f t="shared" si="19"/>
        <v>9.2995018231822931E-9</v>
      </c>
      <c r="AI61" s="15"/>
      <c r="AK61" s="7"/>
      <c r="AL61" s="7"/>
      <c r="AM61" s="16">
        <f t="shared" si="1"/>
        <v>0</v>
      </c>
      <c r="AN61" s="16">
        <f t="shared" si="2"/>
        <v>10.185924030918398</v>
      </c>
      <c r="AO61" s="16">
        <f t="shared" si="17"/>
        <v>89.220255990811154</v>
      </c>
      <c r="AP61" s="6">
        <f t="shared" si="4"/>
        <v>358.59642364298082</v>
      </c>
      <c r="AQ61" s="15">
        <f>-X61*V61*W61^(-Parameters!B$53)*Parameters!B$47*Parameters!B$46*M61</f>
        <v>-1.2832748317653941E-5</v>
      </c>
      <c r="AR61" s="5">
        <f>1000*EXP(-(Parameters!$B$55)*'6states'!A61)*AP61*Parameters!B$47*Parameters!B$46*M61</f>
        <v>1.1349776725980107</v>
      </c>
      <c r="AS61" s="5">
        <f>SUM(AR61:AR$204)*EXP(Parameters!$B$55*A61)</f>
        <v>624.6352575613962</v>
      </c>
      <c r="AT61" s="10">
        <f t="shared" si="27"/>
        <v>0.23312260537392399</v>
      </c>
      <c r="AU61">
        <f>(1/$S61-1/Parameters!$B$13) * LN(Parameters!$B$18) / LN(O61)</f>
        <v>0.224671892984498</v>
      </c>
      <c r="AV61">
        <f>(Parameters!$B$18*'6states'!S61^+Parameters!$B$19*Parameters!$B$25^'6states'!S61)^((1-'6states'!S61)/'6states'!S61)*Parameters!$B$18*Parameters!$B$26^('6states'!S61-1)</f>
        <v>0.29563190685670088</v>
      </c>
      <c r="AW61">
        <f t="shared" si="20"/>
        <v>0.21903201962929983</v>
      </c>
      <c r="AX61">
        <f t="shared" si="25"/>
        <v>0.14421036724718528</v>
      </c>
      <c r="AY61">
        <f t="shared" si="26"/>
        <v>0.18528459473746461</v>
      </c>
      <c r="AZ61">
        <f>(1/$S61-1/Parameters!$B$13) * LN(Parameters!$B$18) / A61</f>
        <v>1.4821769109695548E-2</v>
      </c>
    </row>
    <row r="62" spans="1:52" x14ac:dyDescent="0.35">
      <c r="A62">
        <f>A61+Parameters!$B$71</f>
        <v>58</v>
      </c>
      <c r="B62" s="26">
        <f t="shared" ref="B62:D64" si="32">B61+(B$65-B$61)/4</f>
        <v>1.1786891582746023E-3</v>
      </c>
      <c r="C62" s="26">
        <f t="shared" si="32"/>
        <v>8.8340673276015719E-2</v>
      </c>
      <c r="D62" s="26">
        <f t="shared" si="32"/>
        <v>0.2211676409115515</v>
      </c>
      <c r="E62" s="5">
        <f>MAX((1-Parameters!$B$4)^Parameters!B$71*E61 + B61*Parameters!B$71 - IF(B61&gt;0,Parameters!$B$5,0)*B61^2/E61*Parameters!B$71, 0.0001)</f>
        <v>3.6522470727344269E-2</v>
      </c>
      <c r="F62" s="5">
        <f>(1-Parameters!$B$4)^Parameters!B$71*F61+C61*Parameters!B$71-Parameters!$B$5*C61^2/F61*Parameters!B$71</f>
        <v>1.2434663427394019</v>
      </c>
      <c r="G62" s="5">
        <f>(1-Parameters!$B$4)^Parameters!B$71*G61+D61*Parameters!B$71-Parameters!$B$5*D61^2/G61*Parameters!B$71</f>
        <v>3.2783790504505199</v>
      </c>
      <c r="H62" s="7">
        <f>MAX(H61 * (1-Parameters!$B$4) ^ Parameters!B$71 + (LN(1+EXP(Parameters!$B$21*(-B61+0.004)))/Parameters!$B$21 -0.004) * Parameters!B$71,0)</f>
        <v>0</v>
      </c>
      <c r="I62" s="16">
        <f>I61*(1+Parameters!$B$52)^Parameters!B$71</f>
        <v>9.6523436338286821</v>
      </c>
      <c r="J62" s="16">
        <f>J61*(1+Parameters!$B$54)^Parameters!B$71</f>
        <v>28.54846160452249</v>
      </c>
      <c r="K62" s="16">
        <f>I62*J62*EXP(-Parameters!$B$43*'6states'!A62)*(Parameters!$B$38/Parameters!$B$39*('6states'!E62+'6states'!H62)/Parameters!$E$25*(EXP(-Parameters!$B$39*Parameters!$E$25*'6states'!H62/('6states'!E62+'6states'!H62))-EXP(-Parameters!$B$39*Parameters!$E$25))  +  Parameters!$B$40*'6states'!E62)</f>
        <v>5.1315395340096712</v>
      </c>
      <c r="L62" s="6">
        <f>L61+K62*Parameters!B$71</f>
        <v>3239.3978422693581</v>
      </c>
      <c r="M62" s="5">
        <f>L62*Parameters!$B$46</f>
        <v>1.9436387053616146</v>
      </c>
      <c r="N62" s="7">
        <f>EXP(-Parameters!$B$47/2*M62^2)</f>
        <v>0.96274548042547448</v>
      </c>
      <c r="O62" s="6">
        <f>MAX((Parameters!$B$63 + Parameters!$B$31*'6states'!A62 - '6states'!L62 + Parameters!$B$48/Parameters!$B$46)/Parameters!B$63,1)</f>
        <v>43.924043154612846</v>
      </c>
      <c r="P62" s="5">
        <f>Parameters!B$62*EXP(-Parameters!B$61*A62)</f>
        <v>0.10443951483463847</v>
      </c>
      <c r="Q62" s="5">
        <f>(1-Parameters!B$62)*O62^-Parameters!B$64</f>
        <v>0.34253091397164087</v>
      </c>
      <c r="R62" s="5">
        <f>Parameters!B$62*EXP(-Parameters!B$61*A62)+(1-Parameters!B$62)*O62^-Parameters!B$64</f>
        <v>0.44697042880627935</v>
      </c>
      <c r="S62" s="5">
        <f>1-R62/Parameters!$B$12</f>
        <v>0.77651478559686038</v>
      </c>
      <c r="T62" s="5">
        <f t="shared" si="0"/>
        <v>4.4745689448435906</v>
      </c>
      <c r="U62" s="5">
        <f>(Parameters!$B$19*(E62+Parameters!$B$20)^S62+Parameters!$B$18*F62^S62)^(1/S62)</f>
        <v>0.33135967785136233</v>
      </c>
      <c r="V62" s="5">
        <f>(Parameters!$B$10*G62^Parameters!$B$9+Parameters!$B$11*U62^Parameters!$B$9)^(Parameters!$B$7/Parameters!$B$9)*N62</f>
        <v>1.3311051798348272</v>
      </c>
      <c r="W62" s="5">
        <f>V62 - C62 - D62 - LN(1+EXP(Parameters!$B$21*B62))/Parameters!$B$21 - IF(B62&gt;0, 0,Parameters!$B$6*B62^2/E62)</f>
        <v>1.019205821725883</v>
      </c>
      <c r="X62" s="5">
        <f>EXP(-Parameters!$B$56*A62)</f>
        <v>0.41652866342304673</v>
      </c>
      <c r="Y62" s="5">
        <f>IF(W62&gt;0,W62^(1-Parameters!$B$53)/(1-Parameters!$B$53)*X62*Parameters!$B$71,-10+W62*1000)</f>
        <v>-1.1821842931997066</v>
      </c>
      <c r="AA62" s="15">
        <f t="shared" si="14"/>
        <v>2.6269396111889033E-3</v>
      </c>
      <c r="AB62" s="15">
        <f t="shared" si="9"/>
        <v>-1.6528456731046415E-4</v>
      </c>
      <c r="AC62" s="15">
        <f t="shared" si="10"/>
        <v>6.8076902088723412E-5</v>
      </c>
      <c r="AD62" s="15">
        <f t="shared" si="18"/>
        <v>2.8876954115947474E-6</v>
      </c>
      <c r="AE62" s="15">
        <f t="shared" si="21"/>
        <v>-8.863584240473843E-4</v>
      </c>
      <c r="AF62" s="15">
        <f t="shared" si="22"/>
        <v>2.2649100373307862E-4</v>
      </c>
      <c r="AG62" s="15">
        <f t="shared" si="23"/>
        <v>-3.31557044235542E-5</v>
      </c>
      <c r="AH62" s="15">
        <f t="shared" si="19"/>
        <v>3.4906298739498942E-7</v>
      </c>
      <c r="AI62" s="15"/>
      <c r="AK62" s="7"/>
      <c r="AL62" s="7"/>
      <c r="AM62" s="16">
        <f t="shared" si="1"/>
        <v>0</v>
      </c>
      <c r="AN62" s="16">
        <f t="shared" si="2"/>
        <v>10.064116023052916</v>
      </c>
      <c r="AO62" s="16">
        <f t="shared" si="17"/>
        <v>91.309327568596316</v>
      </c>
      <c r="AP62" s="6">
        <f t="shared" si="4"/>
        <v>366.79875983074095</v>
      </c>
      <c r="AQ62" s="15">
        <f>-X62*V62*W62^(-Parameters!B$53)*Parameters!B$47*Parameters!B$46*M62</f>
        <v>-1.2666789510911617E-5</v>
      </c>
      <c r="AR62" s="5">
        <f>1000*EXP(-(Parameters!$B$55)*'6states'!A62)*AP62*Parameters!B$47*Parameters!B$46*M62</f>
        <v>1.1226748638983968</v>
      </c>
      <c r="AS62" s="5">
        <f>SUM(AR62:AR$204)*EXP(Parameters!$B$55*A62)</f>
        <v>638.25718903885638</v>
      </c>
      <c r="AT62" s="10">
        <f t="shared" si="27"/>
        <v>0.23340529963559606</v>
      </c>
      <c r="AU62">
        <f>(1/$S62-1/Parameters!$B$13) * LN(Parameters!$B$18) / LN(O62)</f>
        <v>0.22430426382013888</v>
      </c>
      <c r="AV62">
        <f>(Parameters!$B$18*'6states'!S62^+Parameters!$B$19*Parameters!$B$25^'6states'!S62)^((1-'6states'!S62)/'6states'!S62)*Parameters!$B$18*Parameters!$B$26^('6states'!S62-1)</f>
        <v>0.29610726831384088</v>
      </c>
      <c r="AW62">
        <f t="shared" si="20"/>
        <v>0.21817528807978179</v>
      </c>
      <c r="AX62">
        <f t="shared" si="25"/>
        <v>0.14399226618834027</v>
      </c>
      <c r="AY62">
        <f t="shared" si="26"/>
        <v>0.18555299553875937</v>
      </c>
      <c r="AZ62">
        <f>(1/$S62-1/Parameters!$B$13) * LN(Parameters!$B$18) / A62</f>
        <v>1.462797104725959E-2</v>
      </c>
    </row>
    <row r="63" spans="1:52" x14ac:dyDescent="0.35">
      <c r="A63">
        <f>A62+Parameters!$B$71</f>
        <v>59</v>
      </c>
      <c r="B63" s="26">
        <f t="shared" si="32"/>
        <v>1.2363682224517654E-3</v>
      </c>
      <c r="C63" s="26">
        <f t="shared" si="32"/>
        <v>8.8420971572484214E-2</v>
      </c>
      <c r="D63" s="26">
        <f t="shared" si="32"/>
        <v>0.22138030828489103</v>
      </c>
      <c r="E63" s="5">
        <f>MAX((1-Parameters!$B$4)^Parameters!B$71*E62 + B62*Parameters!B$71 - IF(B62&gt;0,Parameters!$B$5,0)*B62^2/E62*Parameters!B$71, 0.0001)</f>
        <v>3.536585665907549E-2</v>
      </c>
      <c r="F63" s="5">
        <f>(1-Parameters!$B$4)^Parameters!B$71*F62+C62*Parameters!B$71-Parameters!$B$5*C62^2/F62*Parameters!B$71</f>
        <v>1.2473169188914583</v>
      </c>
      <c r="G63" s="5">
        <f>(1-Parameters!$B$4)^Parameters!B$71*G62+D62*Parameters!B$71-Parameters!$B$5*D62^2/G62*Parameters!B$71</f>
        <v>3.2784161275036356</v>
      </c>
      <c r="H63" s="7">
        <f>MAX(H62 * (1-Parameters!$B$4) ^ Parameters!B$71 + (LN(1+EXP(Parameters!$B$21*(-B62+0.004)))/Parameters!$B$21 -0.004) * Parameters!B$71,0)</f>
        <v>0</v>
      </c>
      <c r="I63" s="16">
        <f>I62*(1+Parameters!$B$52)^Parameters!B$71</f>
        <v>9.6803354303667835</v>
      </c>
      <c r="J63" s="16">
        <f>J62*(1+Parameters!$B$54)^Parameters!B$71</f>
        <v>29.119430836612942</v>
      </c>
      <c r="K63" s="16">
        <f>I63*J63*EXP(-Parameters!$B$43*'6states'!A63)*(Parameters!$B$38/Parameters!$B$39*('6states'!E63+'6states'!H63)/Parameters!$E$25*(EXP(-Parameters!$B$39*Parameters!$E$25*'6states'!H63/('6states'!E63+'6states'!H63))-EXP(-Parameters!$B$39*Parameters!$E$25))  +  Parameters!$B$40*'6states'!E63)</f>
        <v>5.0325322894172952</v>
      </c>
      <c r="L63" s="6">
        <f>L62+K63*Parameters!B$71</f>
        <v>3244.4303745587754</v>
      </c>
      <c r="M63" s="5">
        <f>L63*Parameters!$B$46</f>
        <v>1.9466582247352651</v>
      </c>
      <c r="N63" s="7">
        <f>EXP(-Parameters!$B$47/2*M63^2)</f>
        <v>0.96263182962838434</v>
      </c>
      <c r="O63" s="6">
        <f>MAX((Parameters!$B$63 + Parameters!$B$31*'6states'!A63 - '6states'!L63 + Parameters!$B$48/Parameters!$B$46)/Parameters!B$63,1)</f>
        <v>44.887392508824497</v>
      </c>
      <c r="P63" s="5">
        <f>Parameters!B$62*EXP(-Parameters!B$61*A63)</f>
        <v>0.10165737582364309</v>
      </c>
      <c r="Q63" s="5">
        <f>(1-Parameters!B$62)*O63^-Parameters!B$64</f>
        <v>0.34178859475281081</v>
      </c>
      <c r="R63" s="5">
        <f>Parameters!B$62*EXP(-Parameters!B$61*A63)+(1-Parameters!B$62)*O63^-Parameters!B$64</f>
        <v>0.44344597057645391</v>
      </c>
      <c r="S63" s="5">
        <f>1-R63/Parameters!$B$12</f>
        <v>0.77827701471177302</v>
      </c>
      <c r="T63" s="5">
        <f t="shared" si="0"/>
        <v>4.5101323108204507</v>
      </c>
      <c r="U63" s="5">
        <f>(Parameters!$B$19*(E63+Parameters!$B$20)^S63+Parameters!$B$18*F63^S63)^(1/S63)</f>
        <v>0.33160408025537508</v>
      </c>
      <c r="V63" s="5">
        <f>(Parameters!$B$10*G63^Parameters!$B$9+Parameters!$B$11*U63^Parameters!$B$9)^(Parameters!$B$7/Parameters!$B$9)*N63</f>
        <v>1.3310537362438279</v>
      </c>
      <c r="W63" s="5">
        <f>V63 - C63 - D63 - LN(1+EXP(Parameters!$B$21*B63))/Parameters!$B$21 - IF(B63&gt;0, 0,Parameters!$B$6*B63^2/E63)</f>
        <v>1.0188257404153291</v>
      </c>
      <c r="X63" s="5">
        <f>EXP(-Parameters!$B$56*A63)</f>
        <v>0.41028632884056476</v>
      </c>
      <c r="Y63" s="5">
        <f>IF(W63&gt;0,W63^(1-Parameters!$B$53)/(1-Parameters!$B$53)*X63*Parameters!$B$71,-10+W63*1000)</f>
        <v>-1.1646194359940136</v>
      </c>
      <c r="AA63" s="15">
        <f t="shared" si="14"/>
        <v>2.6863891304199014E-3</v>
      </c>
      <c r="AB63" s="15">
        <f t="shared" si="9"/>
        <v>-1.5494183520020632E-4</v>
      </c>
      <c r="AC63" s="15">
        <f t="shared" si="10"/>
        <v>6.4105975121922509E-5</v>
      </c>
      <c r="AD63" s="15">
        <f t="shared" si="18"/>
        <v>2.9724436705098333E-6</v>
      </c>
      <c r="AE63" s="15">
        <f t="shared" si="21"/>
        <v>5.9449519230998088E-5</v>
      </c>
      <c r="AF63" s="15">
        <f t="shared" si="22"/>
        <v>1.0342732110257824E-5</v>
      </c>
      <c r="AG63" s="15">
        <f t="shared" si="23"/>
        <v>-3.9709269668009028E-6</v>
      </c>
      <c r="AH63" s="15">
        <f t="shared" si="19"/>
        <v>1.5004112396405389E-9</v>
      </c>
      <c r="AI63" s="15"/>
      <c r="AK63" s="7"/>
      <c r="AL63" s="7"/>
      <c r="AM63" s="16">
        <f t="shared" si="1"/>
        <v>0</v>
      </c>
      <c r="AN63" s="16">
        <f t="shared" si="2"/>
        <v>9.9691348496553385</v>
      </c>
      <c r="AO63" s="16">
        <f t="shared" si="17"/>
        <v>93.474500692278255</v>
      </c>
      <c r="AP63" s="6">
        <f t="shared" si="4"/>
        <v>375.20522453814556</v>
      </c>
      <c r="AQ63" s="15">
        <f>-X63*V63*W63^(-Parameters!B$53)*Parameters!B$47*Parameters!B$46*M63</f>
        <v>-1.2502152004205597E-5</v>
      </c>
      <c r="AR63" s="5">
        <f>1000*EXP(-(Parameters!$B$55)*'6states'!A63)*AP63*Parameters!B$47*Parameters!B$46*M63</f>
        <v>1.1105176140344202</v>
      </c>
      <c r="AS63" s="5">
        <f>SUM(AR63:AR$204)*EXP(Parameters!$B$55*A63)</f>
        <v>652.15281610982004</v>
      </c>
      <c r="AT63" s="10">
        <f t="shared" si="27"/>
        <v>0.23367775440649066</v>
      </c>
      <c r="AU63">
        <f>(1/$S63-1/Parameters!$B$13) * LN(Parameters!$B$18) / LN(O63)</f>
        <v>0.2239381879700888</v>
      </c>
      <c r="AV63">
        <f>(Parameters!$B$18*'6states'!S63^+Parameters!$B$19*Parameters!$B$25^'6states'!S63)^((1-'6states'!S63)/'6states'!S63)*Parameters!$B$18*Parameters!$B$26^('6states'!S63-1)</f>
        <v>0.29656264881979433</v>
      </c>
      <c r="AW63">
        <f t="shared" si="20"/>
        <v>0.21733498918408692</v>
      </c>
      <c r="AX63">
        <f t="shared" si="25"/>
        <v>0.14377503142254344</v>
      </c>
      <c r="AY63">
        <f t="shared" si="26"/>
        <v>0.18581003167650978</v>
      </c>
      <c r="AZ63">
        <f>(1/$S63-1/Parameters!$B$13) * LN(Parameters!$B$18) / A63</f>
        <v>1.4438915550283831E-2</v>
      </c>
    </row>
    <row r="64" spans="1:52" x14ac:dyDescent="0.35">
      <c r="A64">
        <f>A63+Parameters!$B$71</f>
        <v>60</v>
      </c>
      <c r="B64" s="26">
        <f t="shared" si="32"/>
        <v>1.2940472866289285E-3</v>
      </c>
      <c r="C64" s="26">
        <f t="shared" si="32"/>
        <v>8.8501269868952709E-2</v>
      </c>
      <c r="D64" s="26">
        <f t="shared" si="32"/>
        <v>0.22159297565823055</v>
      </c>
      <c r="E64" s="5">
        <f>MAX((1-Parameters!$B$4)^Parameters!B$71*E63 + B63*Parameters!B$71 - IF(B63&gt;0,Parameters!$B$5,0)*B63^2/E63*Parameters!B$71, 0.0001)</f>
        <v>3.4334489838137833E-2</v>
      </c>
      <c r="F64" s="5">
        <f>(1-Parameters!$B$4)^Parameters!B$71*F63+C63*Parameters!B$71-Parameters!$B$5*C63^2/F63*Parameters!B$71</f>
        <v>1.2510135875051094</v>
      </c>
      <c r="G64" s="5">
        <f>(1-Parameters!$B$4)^Parameters!B$71*G63+D63*Parameters!B$71-Parameters!$B$5*D63^2/G63*Parameters!B$71</f>
        <v>3.2786350009106155</v>
      </c>
      <c r="H64" s="7">
        <f>MAX(H63 * (1-Parameters!$B$4) ^ Parameters!B$71 + (LN(1+EXP(Parameters!$B$21*(-B63+0.004)))/Parameters!$B$21 -0.004) * Parameters!B$71,0)</f>
        <v>0</v>
      </c>
      <c r="I64" s="16">
        <f>I63*(1+Parameters!$B$52)^Parameters!B$71</f>
        <v>9.7084084031148468</v>
      </c>
      <c r="J64" s="16">
        <f>J63*(1+Parameters!$B$54)^Parameters!B$71</f>
        <v>29.701819453345202</v>
      </c>
      <c r="K64" s="16">
        <f>I64*J64*EXP(-Parameters!$B$43*'6states'!A64)*(Parameters!$B$38/Parameters!$B$39*('6states'!E64+'6states'!H64)/Parameters!$E$25*(EXP(-Parameters!$B$39*Parameters!$E$25*'6states'!H64/('6states'!E64+'6states'!H64))-EXP(-Parameters!$B$39*Parameters!$E$25))  +  Parameters!$B$40*'6states'!E64)</f>
        <v>4.9482068337635301</v>
      </c>
      <c r="L64" s="6">
        <f>L63+K64*Parameters!B$71</f>
        <v>3249.3785813925388</v>
      </c>
      <c r="M64" s="5">
        <f>L64*Parameters!$B$46</f>
        <v>1.949627148835523</v>
      </c>
      <c r="N64" s="7">
        <f>EXP(-Parameters!$B$47/2*M64^2)</f>
        <v>0.96251992426851019</v>
      </c>
      <c r="O64" s="6">
        <f>MAX((Parameters!$B$63 + Parameters!$B$31*'6states'!A64 - '6states'!L64 + Parameters!$B$48/Parameters!$B$46)/Parameters!B$63,1)</f>
        <v>45.852428372149227</v>
      </c>
      <c r="P64" s="5">
        <f>Parameters!B$62*EXP(-Parameters!B$61*A64)</f>
        <v>9.8949349541807355E-2</v>
      </c>
      <c r="Q64" s="5">
        <f>(1-Parameters!B$62)*O64^-Parameters!B$64</f>
        <v>0.3410623422262905</v>
      </c>
      <c r="R64" s="5">
        <f>Parameters!B$62*EXP(-Parameters!B$61*A64)+(1-Parameters!B$62)*O64^-Parameters!B$64</f>
        <v>0.44001169176809785</v>
      </c>
      <c r="S64" s="5">
        <f>1-R64/Parameters!$B$12</f>
        <v>0.77999415411595108</v>
      </c>
      <c r="T64" s="5">
        <f t="shared" si="0"/>
        <v>4.5453337659356396</v>
      </c>
      <c r="U64" s="5">
        <f>(Parameters!$B$19*(E64+Parameters!$B$20)^S64+Parameters!$B$18*F64^S64)^(1/S64)</f>
        <v>0.33193831802723406</v>
      </c>
      <c r="V64" s="5">
        <f>(Parameters!$B$10*G64^Parameters!$B$9+Parameters!$B$11*U64^Parameters!$B$9)^(Parameters!$B$7/Parameters!$B$9)*N64</f>
        <v>1.3310564663149802</v>
      </c>
      <c r="W64" s="5">
        <f>V64 - C64 - D64 - LN(1+EXP(Parameters!$B$21*B64))/Parameters!$B$21 - IF(B64&gt;0, 0,Parameters!$B$6*B64^2/E64)</f>
        <v>1.0184995196257771</v>
      </c>
      <c r="X64" s="5">
        <f>EXP(-Parameters!$B$56*A64)</f>
        <v>0.40413754542145147</v>
      </c>
      <c r="Y64" s="5">
        <f>IF(W64&gt;0,W64^(1-Parameters!$B$53)/(1-Parameters!$B$53)*X64*Parameters!$B$71,-10+W64*1000)</f>
        <v>-1.1472943769968424</v>
      </c>
      <c r="AA64" s="15">
        <f t="shared" si="14"/>
        <v>2.7300537568228159E-3</v>
      </c>
      <c r="AB64" s="15">
        <f t="shared" si="9"/>
        <v>-1.4528588421476585E-4</v>
      </c>
      <c r="AC64" s="15">
        <f t="shared" si="10"/>
        <v>6.0356701907612886E-5</v>
      </c>
      <c r="AD64" s="15">
        <f t="shared" si="18"/>
        <v>3.0221181086617486E-6</v>
      </c>
      <c r="AE64" s="15">
        <f t="shared" si="21"/>
        <v>4.3664626402914464E-5</v>
      </c>
      <c r="AF64" s="15">
        <f t="shared" si="22"/>
        <v>9.6559509854404757E-6</v>
      </c>
      <c r="AG64" s="15">
        <f t="shared" si="23"/>
        <v>-3.749273214309623E-6</v>
      </c>
      <c r="AH64" s="15">
        <f t="shared" si="19"/>
        <v>8.1389019324605668E-10</v>
      </c>
      <c r="AI64" s="15"/>
      <c r="AK64" s="7"/>
      <c r="AL64" s="7"/>
      <c r="AM64" s="16">
        <f t="shared" si="1"/>
        <v>0</v>
      </c>
      <c r="AN64" s="16">
        <f t="shared" si="2"/>
        <v>9.900603999234951</v>
      </c>
      <c r="AO64" s="16">
        <f t="shared" si="17"/>
        <v>95.716868211897022</v>
      </c>
      <c r="AP64" s="6">
        <f t="shared" si="4"/>
        <v>383.81997331929404</v>
      </c>
      <c r="AQ64" s="15">
        <f>-X64*V64*W64^(-Parameters!B$53)*Parameters!B$47*Parameters!B$46*M64</f>
        <v>-1.2338928059442437E-5</v>
      </c>
      <c r="AR64" s="5">
        <f>1000*EXP(-(Parameters!$B$55)*'6states'!A64)*AP64*Parameters!B$47*Parameters!B$46*M64</f>
        <v>1.0985055707482194</v>
      </c>
      <c r="AS64" s="5">
        <f>SUM(AR64:AR$204)*EXP(Parameters!$B$55*A64)</f>
        <v>666.3265999770922</v>
      </c>
      <c r="AT64" s="25">
        <f t="shared" si="27"/>
        <v>0.23394070852297374</v>
      </c>
      <c r="AU64">
        <f>(1/$S64-1/Parameters!$B$13) * LN(Parameters!$B$18) / LN(O64)</f>
        <v>0.22357385861215662</v>
      </c>
      <c r="AV64">
        <f>(Parameters!$B$18*'6states'!S64^+Parameters!$B$19*Parameters!$B$25^'6states'!S64)^((1-'6states'!S64)/'6states'!S64)*Parameters!$B$18*Parameters!$B$26^('6states'!S64-1)</f>
        <v>0.29699899872473712</v>
      </c>
      <c r="AW64">
        <f t="shared" si="20"/>
        <v>0.21651084660325765</v>
      </c>
      <c r="AX64">
        <f t="shared" si="25"/>
        <v>0.14355877831552866</v>
      </c>
      <c r="AY64">
        <f t="shared" si="26"/>
        <v>0.18605625002746462</v>
      </c>
      <c r="AZ64">
        <f>(1/$S64-1/Parameters!$B$13) * LN(Parameters!$B$18) / A64</f>
        <v>1.4254428912209328E-2</v>
      </c>
    </row>
    <row r="65" spans="1:52" x14ac:dyDescent="0.35">
      <c r="A65">
        <f>A64+Parameters!$B$71</f>
        <v>61</v>
      </c>
      <c r="B65" s="13">
        <v>1.3517263508060918E-3</v>
      </c>
      <c r="C65" s="13">
        <v>8.8581568165421176E-2</v>
      </c>
      <c r="D65" s="13">
        <v>0.22180564303157005</v>
      </c>
      <c r="E65" s="5">
        <f>MAX((1-Parameters!$B$4)^Parameters!B$71*E64 + B64*Parameters!B$71 - IF(B64&gt;0,Parameters!$B$5,0)*B64^2/E64*Parameters!B$71, 0.0001)</f>
        <v>3.342012581176073E-2</v>
      </c>
      <c r="F65" s="5">
        <f>(1-Parameters!$B$4)^Parameters!B$71*F64+C64*Parameters!B$71-Parameters!$B$5*C64^2/F64*Parameters!B$71</f>
        <v>1.2545651996837275</v>
      </c>
      <c r="G65" s="5">
        <f>(1-Parameters!$B$4)^Parameters!B$71*G64+D64*Parameters!B$71-Parameters!$B$5*D64^2/G64*Parameters!B$71</f>
        <v>3.2790250392269109</v>
      </c>
      <c r="H65" s="7">
        <f>MAX(H64 * (1-Parameters!$B$4) ^ Parameters!B$71 + (LN(1+EXP(Parameters!$B$21*(-B64+0.004)))/Parameters!$B$21 -0.004) * Parameters!B$71,0)</f>
        <v>0</v>
      </c>
      <c r="I65" s="16">
        <f>I64*(1+Parameters!$B$52)^Parameters!B$71</f>
        <v>9.7365627874838783</v>
      </c>
      <c r="J65" s="16">
        <f>J64*(1+Parameters!$B$54)^Parameters!B$71</f>
        <v>30.295855842412106</v>
      </c>
      <c r="K65" s="16">
        <f>I65*J65*EXP(-Parameters!$B$43*'6states'!A65)*(Parameters!$B$38/Parameters!$B$39*('6states'!E65+'6states'!H65)/Parameters!$E$25*(EXP(-Parameters!$B$39*Parameters!$E$25*'6states'!H65/('6states'!E65+'6states'!H65))-EXP(-Parameters!$B$39*Parameters!$E$25))  +  Parameters!$B$40*'6states'!E65)</f>
        <v>4.8779819020886492</v>
      </c>
      <c r="L65" s="6">
        <f>L64+K65*Parameters!B$71</f>
        <v>3254.2565632946275</v>
      </c>
      <c r="M65" s="5">
        <f>L65*Parameters!$B$46</f>
        <v>1.9525539379767765</v>
      </c>
      <c r="N65" s="7">
        <f>EXP(-Parameters!$B$47/2*M65^2)</f>
        <v>0.96240945290335778</v>
      </c>
      <c r="O65" s="6">
        <f>MAX((Parameters!$B$63 + Parameters!$B$31*'6states'!A65 - '6states'!L65 + Parameters!$B$48/Parameters!$B$46)/Parameters!B$63,1)</f>
        <v>46.818868734107454</v>
      </c>
      <c r="P65" s="5">
        <f>Parameters!B$62*EXP(-Parameters!B$61*A65)</f>
        <v>9.6313461718039159E-2</v>
      </c>
      <c r="Q65" s="5">
        <f>(1-Parameters!B$62)*O65^-Parameters!B$64</f>
        <v>0.34035169105134849</v>
      </c>
      <c r="R65" s="5">
        <f>Parameters!B$62*EXP(-Parameters!B$61*A65)+(1-Parameters!B$62)*O65^-Parameters!B$64</f>
        <v>0.43666515276938767</v>
      </c>
      <c r="S65" s="5">
        <f>1-R65/Parameters!$B$12</f>
        <v>0.78166742361530617</v>
      </c>
      <c r="T65" s="5">
        <f t="shared" si="0"/>
        <v>4.5801685509268086</v>
      </c>
      <c r="U65" s="5">
        <f>(Parameters!$B$19*(E65+Parameters!$B$20)^S65+Parameters!$B$18*F65^S65)^(1/S65)</f>
        <v>0.33235602197997327</v>
      </c>
      <c r="V65" s="5">
        <f>(Parameters!$B$10*G65^Parameters!$B$9+Parameters!$B$11*U65^Parameters!$B$9)^(Parameters!$B$7/Parameters!$B$9)*N65</f>
        <v>1.3311091056880038</v>
      </c>
      <c r="W65" s="5">
        <f>V65 - C65 - D65 - LN(1+EXP(Parameters!$B$21*B65))/Parameters!$B$21 - IF(B65&gt;0, 0,Parameters!$B$6*B65^2/E65)</f>
        <v>1.018222896781809</v>
      </c>
      <c r="X65" s="5">
        <f>EXP(-Parameters!$B$56*A65)</f>
        <v>0.39808091115496053</v>
      </c>
      <c r="Y65" s="5">
        <f>IF(W65&gt;0,W65^(1-Parameters!$B$53)/(1-Parameters!$B$53)*X65*Parameters!$B$71,-10+W65*1000)</f>
        <v>-1.130207819739838</v>
      </c>
      <c r="AA65" s="15">
        <f t="shared" si="14"/>
        <v>2.7570489093750247E-3</v>
      </c>
      <c r="AB65" s="15">
        <f t="shared" si="9"/>
        <v>-1.3626690708579137E-4</v>
      </c>
      <c r="AC65" s="15">
        <f t="shared" si="10"/>
        <v>5.6817458443367275E-5</v>
      </c>
      <c r="AD65" s="15">
        <f t="shared" si="18"/>
        <v>3.0346167968163649E-6</v>
      </c>
      <c r="AE65" s="15">
        <f t="shared" si="21"/>
        <v>2.6995152552208856E-5</v>
      </c>
      <c r="AF65" s="15">
        <f t="shared" si="22"/>
        <v>9.0189771289744813E-6</v>
      </c>
      <c r="AG65" s="15">
        <f t="shared" si="23"/>
        <v>-3.5392434642456116E-6</v>
      </c>
      <c r="AH65" s="15">
        <f t="shared" si="19"/>
        <v>3.2746392675781767E-10</v>
      </c>
      <c r="AI65" s="15"/>
      <c r="AM65" s="16">
        <f t="shared" si="1"/>
        <v>0</v>
      </c>
      <c r="AN65" s="16">
        <f t="shared" si="2"/>
        <v>9.8581852488720543</v>
      </c>
      <c r="AO65" s="16">
        <f t="shared" si="17"/>
        <v>98.037549341115167</v>
      </c>
      <c r="AP65" s="6">
        <f t="shared" si="4"/>
        <v>392.64723969755181</v>
      </c>
      <c r="AQ65" s="15">
        <f>-X65*V65*W65^(-Parameters!B$53)*Parameters!B$47*Parameters!B$46*M65</f>
        <v>-1.2177201577630253E-5</v>
      </c>
      <c r="AR65" s="5">
        <f>1000*EXP(-(Parameters!$B$55)*'6states'!A65)*AP65*Parameters!B$47*Parameters!B$46*M65</f>
        <v>1.0866382321295964</v>
      </c>
      <c r="AS65" s="5">
        <f>SUM(AR65:AR$204)*EXP(Parameters!$B$55*A65)</f>
        <v>680.78301339821917</v>
      </c>
      <c r="AT65" s="10">
        <f t="shared" si="27"/>
        <v>0.23419488020605969</v>
      </c>
      <c r="AU65">
        <f>(1/$S65-1/Parameters!$B$13) * LN(Parameters!$B$18) / LN(O65)</f>
        <v>0.22321144405099635</v>
      </c>
      <c r="AV65">
        <f>(Parameters!$B$18*'6states'!S65^+Parameters!$B$19*Parameters!$B$25^'6states'!S65)^((1-'6states'!S65)/'6states'!S65)*Parameters!$B$18*Parameters!$B$26^('6states'!S65-1)</f>
        <v>0.29741721936700394</v>
      </c>
      <c r="AW65">
        <f t="shared" si="20"/>
        <v>0.21570257374912302</v>
      </c>
      <c r="AX65">
        <f t="shared" si="25"/>
        <v>0.14334360757632858</v>
      </c>
      <c r="AY65">
        <f t="shared" si="26"/>
        <v>0.18629216873018206</v>
      </c>
      <c r="AZ65">
        <f>(1/$S65-1/Parameters!$B$13) * LN(Parameters!$B$18) / A65</f>
        <v>1.4074346216399981E-2</v>
      </c>
    </row>
    <row r="66" spans="1:52" x14ac:dyDescent="0.35">
      <c r="A66">
        <f>A65+Parameters!$B$71</f>
        <v>62</v>
      </c>
      <c r="B66" s="7">
        <f t="shared" ref="B66:D69" si="33">B65+(B$70-B$65)/5</f>
        <v>1.1813619799487254E-3</v>
      </c>
      <c r="C66" s="7">
        <f t="shared" si="33"/>
        <v>8.8804927156936858E-2</v>
      </c>
      <c r="D66" s="7">
        <f t="shared" si="33"/>
        <v>0.22189271429818963</v>
      </c>
      <c r="E66" s="5">
        <f>MAX((1-Parameters!$B$4)^Parameters!B$71*E65 + B65*Parameters!B$71 - IF(B65&gt;0,Parameters!$B$5,0)*B65^2/E65*Parameters!B$71, 0.0001)</f>
        <v>3.261505368021559E-2</v>
      </c>
      <c r="F66" s="5">
        <f>(1-Parameters!$B$4)^Parameters!B$71*F65+C65*Parameters!B$71-Parameters!$B$5*C65^2/F65*Parameters!B$71</f>
        <v>1.2579801038943572</v>
      </c>
      <c r="G66" s="5">
        <f>(1-Parameters!$B$4)^Parameters!B$71*G65+D65*Parameters!B$71-Parameters!$B$5*D65^2/G65*Parameters!B$71</f>
        <v>3.2795762355320957</v>
      </c>
      <c r="H66" s="7">
        <f>MAX(H65 * (1-Parameters!$B$4) ^ Parameters!B$71 + (LN(1+EXP(Parameters!$B$21*(-B65+0.004)))/Parameters!$B$21 -0.004) * Parameters!B$71,0)</f>
        <v>0</v>
      </c>
      <c r="I66" s="16">
        <f>I65*(1+Parameters!$B$52)^Parameters!B$71</f>
        <v>9.7647988195675808</v>
      </c>
      <c r="J66" s="16">
        <f>J65*(1+Parameters!$B$54)^Parameters!B$71</f>
        <v>30.901772959260349</v>
      </c>
      <c r="K66" s="16">
        <f>I66*J66*EXP(-Parameters!$B$43*'6states'!A66)*(Parameters!$B$38/Parameters!$B$39*('6states'!E66+'6states'!H66)/Parameters!$E$25*(EXP(-Parameters!$B$39*Parameters!$E$25*'6states'!H66/('6states'!E66+'6states'!H66))-EXP(-Parameters!$B$39*Parameters!$E$25))  +  Parameters!$B$40*'6states'!E66)</f>
        <v>4.8213100391228041</v>
      </c>
      <c r="L66" s="6">
        <f>L65+K66*Parameters!B$71</f>
        <v>3259.0778733337502</v>
      </c>
      <c r="M66" s="5">
        <f>L66*Parameters!$B$46</f>
        <v>1.95544672400025</v>
      </c>
      <c r="N66" s="7">
        <f>EXP(-Parameters!$B$47/2*M66^2)</f>
        <v>0.96230011463036513</v>
      </c>
      <c r="O66" s="6">
        <f>MAX((Parameters!$B$63 + Parameters!$B$31*'6states'!A66 - '6states'!L66 + Parameters!$B$48/Parameters!$B$46)/Parameters!B$63,1)</f>
        <v>47.786442533325001</v>
      </c>
      <c r="P66" s="5">
        <f>Parameters!B$62*EXP(-Parameters!B$61*A66)</f>
        <v>9.3747790673377282E-2</v>
      </c>
      <c r="Q66" s="5">
        <f>(1-Parameters!B$62)*O66^-Parameters!B$64</f>
        <v>0.33965619043551293</v>
      </c>
      <c r="R66" s="5">
        <f>Parameters!B$62*EXP(-Parameters!B$61*A66)+(1-Parameters!B$62)*O66^-Parameters!B$64</f>
        <v>0.43340398110889022</v>
      </c>
      <c r="S66" s="5">
        <f>1-R66/Parameters!$B$12</f>
        <v>0.78329800944555483</v>
      </c>
      <c r="T66" s="5">
        <f t="shared" si="0"/>
        <v>4.6146322765261152</v>
      </c>
      <c r="U66" s="5">
        <f>(Parameters!$B$19*(E66+Parameters!$B$20)^S66+Parameters!$B$18*F66^S66)^(1/S66)</f>
        <v>0.33285112885774359</v>
      </c>
      <c r="V66" s="5">
        <f>(Parameters!$B$10*G66^Parameters!$B$9+Parameters!$B$11*U66^Parameters!$B$9)^(Parameters!$B$7/Parameters!$B$9)*N66</f>
        <v>1.3312075538194172</v>
      </c>
      <c r="W66" s="5">
        <f>V66 - C66 - D66 - LN(1+EXP(Parameters!$B$21*B66))/Parameters!$B$21 - IF(B66&gt;0, 0,Parameters!$B$6*B66^2/E66)</f>
        <v>1.0181172223604618</v>
      </c>
      <c r="X66" s="5">
        <f>EXP(-Parameters!$B$56*A66)</f>
        <v>0.39211504504167288</v>
      </c>
      <c r="Y66" s="5">
        <f>IF(W66&gt;0,W66^(1-Parameters!$B$53)/(1-Parameters!$B$53)*X66*Parameters!$B$71,-10+W66*1000)</f>
        <v>-1.1133103262819068</v>
      </c>
      <c r="AA66" s="15">
        <f t="shared" si="14"/>
        <v>-4.225105398775901E-3</v>
      </c>
      <c r="AB66" s="15">
        <f t="shared" si="9"/>
        <v>-1.4116650215542648E-5</v>
      </c>
      <c r="AC66" s="15">
        <f t="shared" si="10"/>
        <v>1.5180700900466193E-5</v>
      </c>
      <c r="AD66" s="15">
        <f t="shared" si="18"/>
        <v>7.0000163605876663E-6</v>
      </c>
      <c r="AE66" s="15">
        <f t="shared" si="21"/>
        <v>-6.9821543081509257E-3</v>
      </c>
      <c r="AF66" s="15">
        <f t="shared" si="22"/>
        <v>1.2215025687024872E-4</v>
      </c>
      <c r="AG66" s="15">
        <f t="shared" si="23"/>
        <v>-4.1636757542901082E-5</v>
      </c>
      <c r="AH66" s="15">
        <f t="shared" si="19"/>
        <v>1.9122326587222114E-5</v>
      </c>
      <c r="AI66" s="15"/>
      <c r="AM66" s="16">
        <f t="shared" si="1"/>
        <v>0</v>
      </c>
      <c r="AN66" s="16">
        <f t="shared" si="2"/>
        <v>9.8415792752783666</v>
      </c>
      <c r="AO66" s="16">
        <f t="shared" si="17"/>
        <v>100.43769369928951</v>
      </c>
      <c r="AP66" s="6">
        <f t="shared" si="4"/>
        <v>401.69134171042043</v>
      </c>
      <c r="AQ66" s="15">
        <f>-X66*V66*W66^(-Parameters!B$53)*Parameters!B$47*Parameters!B$46*M66</f>
        <v>-1.2015049570493582E-5</v>
      </c>
      <c r="AR66" s="5">
        <f>1000*EXP(-(Parameters!$B$55)*'6states'!A66)*AP66*Parameters!B$47*Parameters!B$46*M66</f>
        <v>1.0749149799036612</v>
      </c>
      <c r="AS66" s="5">
        <f>SUM(AR66:AR$204)*EXP(Parameters!$B$55*A66)</f>
        <v>695.5265373285697</v>
      </c>
      <c r="AT66" s="10">
        <f t="shared" si="27"/>
        <v>0.23428277772331713</v>
      </c>
      <c r="AU66">
        <f>(1/$S66-1/Parameters!$B$13) * LN(Parameters!$B$18) / LN(O66)</f>
        <v>0.22285109092030961</v>
      </c>
      <c r="AV66">
        <f>(Parameters!$B$18*'6states'!S66^+Parameters!$B$19*Parameters!$B$25^'6states'!S66)^((1-'6states'!S66)/'6states'!S66)*Parameters!$B$18*Parameters!$B$26^('6states'!S66-1)</f>
        <v>0.29781816566927827</v>
      </c>
      <c r="AW66">
        <f t="shared" si="20"/>
        <v>0.21490987672233203</v>
      </c>
      <c r="AX66">
        <f t="shared" si="25"/>
        <v>0.14312960713934009</v>
      </c>
      <c r="AY66">
        <f t="shared" si="26"/>
        <v>0.186518278757419</v>
      </c>
      <c r="AZ66">
        <f>(1/$S66-1/Parameters!$B$13) * LN(Parameters!$B$18) / A66</f>
        <v>1.3898510748050888E-2</v>
      </c>
    </row>
    <row r="67" spans="1:52" x14ac:dyDescent="0.35">
      <c r="A67">
        <f>A66+Parameters!$B$71</f>
        <v>63</v>
      </c>
      <c r="B67" s="7">
        <f t="shared" si="33"/>
        <v>1.010997609091359E-3</v>
      </c>
      <c r="C67" s="7">
        <f t="shared" si="33"/>
        <v>8.902828614845254E-2</v>
      </c>
      <c r="D67" s="7">
        <f t="shared" si="33"/>
        <v>0.22197978556480921</v>
      </c>
      <c r="E67" s="5">
        <f>MAX((1-Parameters!$B$4)^Parameters!B$71*E66 + B66*Parameters!B$71 - IF(B66&gt;0,Parameters!$B$5,0)*B66^2/E66*Parameters!B$71, 0.0001)</f>
        <v>3.1702138232378364E-2</v>
      </c>
      <c r="F67" s="5">
        <f>(1-Parameters!$B$4)^Parameters!B$71*F66+C66*Parameters!B$71-Parameters!$B$5*C66^2/F66*Parameters!B$71</f>
        <v>1.2613890524554223</v>
      </c>
      <c r="G67" s="5">
        <f>(1-Parameters!$B$4)^Parameters!B$71*G66+D66*Parameters!B$71-Parameters!$B$5*D66^2/G66*Parameters!B$71</f>
        <v>3.2801705745399139</v>
      </c>
      <c r="H67" s="7">
        <f>MAX(H66 * (1-Parameters!$B$4) ^ Parameters!B$71 + (LN(1+EXP(Parameters!$B$21*(-B66+0.004)))/Parameters!$B$21 -0.004) * Parameters!B$71,0)</f>
        <v>0</v>
      </c>
      <c r="I67" s="16">
        <f>I66*(1+Parameters!$B$52)^Parameters!B$71</f>
        <v>9.7931167361443254</v>
      </c>
      <c r="J67" s="16">
        <f>J66*(1+Parameters!$B$54)^Parameters!B$71</f>
        <v>31.519808418445557</v>
      </c>
      <c r="K67" s="16">
        <f>I67*J67*EXP(-Parameters!$B$43*'6states'!A67)*(Parameters!$B$38/Parameters!$B$39*('6states'!E67+'6states'!H67)/Parameters!$E$25*(EXP(-Parameters!$B$39*Parameters!$E$25*'6states'!H67/('6states'!E67+'6states'!H67))-EXP(-Parameters!$B$39*Parameters!$E$25))  +  Parameters!$B$40*'6states'!E67)</f>
        <v>4.7462474414837557</v>
      </c>
      <c r="L67" s="6">
        <f>L66+K67*Parameters!B$71</f>
        <v>3263.824120775234</v>
      </c>
      <c r="M67" s="5">
        <f>L67*Parameters!$B$46</f>
        <v>1.9582944724651401</v>
      </c>
      <c r="N67" s="7">
        <f>EXP(-Parameters!$B$47/2*M67^2)</f>
        <v>0.96219233268775917</v>
      </c>
      <c r="O67" s="6">
        <f>MAX((Parameters!$B$63 + Parameters!$B$31*'6states'!A67 - '6states'!L67 + Parameters!$B$48/Parameters!$B$46)/Parameters!B$63,1)</f>
        <v>48.75551758449533</v>
      </c>
      <c r="P67" s="5">
        <f>Parameters!B$62*EXP(-Parameters!B$61*A67)</f>
        <v>9.1250465920002147E-2</v>
      </c>
      <c r="Q67" s="5">
        <f>(1-Parameters!B$62)*O67^-Parameters!B$64</f>
        <v>0.33897496706784902</v>
      </c>
      <c r="R67" s="5">
        <f>Parameters!B$62*EXP(-Parameters!B$61*A67)+(1-Parameters!B$62)*O67^-Parameters!B$64</f>
        <v>0.43022543298785115</v>
      </c>
      <c r="S67" s="5">
        <f>1-R67/Parameters!$B$12</f>
        <v>0.7848872835060744</v>
      </c>
      <c r="T67" s="5">
        <f t="shared" si="0"/>
        <v>4.6487256369533982</v>
      </c>
      <c r="U67" s="5">
        <f>(Parameters!$B$19*(E67+Parameters!$B$20)^S67+Parameters!$B$18*F67^S67)^(1/S67)</f>
        <v>0.33321758146899139</v>
      </c>
      <c r="V67" s="5">
        <f>(Parameters!$B$10*G67^Parameters!$B$9+Parameters!$B$11*U67^Parameters!$B$9)^(Parameters!$B$7/Parameters!$B$9)*N67</f>
        <v>1.3312575202853585</v>
      </c>
      <c r="W67" s="5">
        <f>V67 - C67 - D67 - LN(1+EXP(Parameters!$B$21*B67))/Parameters!$B$21 - IF(B67&gt;0, 0,Parameters!$B$6*B67^2/E67)</f>
        <v>1.0179603204981464</v>
      </c>
      <c r="X67" s="5">
        <f>EXP(-Parameters!$B$56*A67)</f>
        <v>0.38623858677860945</v>
      </c>
      <c r="Y67" s="5">
        <f>IF(W67&gt;0,W67^(1-Parameters!$B$53)/(1-Parameters!$B$53)*X67*Parameters!$B$71,-10+W67*1000)</f>
        <v>-1.0966847832839415</v>
      </c>
      <c r="AA67" s="15">
        <f t="shared" si="14"/>
        <v>-4.3308536525789448E-3</v>
      </c>
      <c r="AB67" s="15">
        <f t="shared" si="9"/>
        <v>-1.3706975888566619E-5</v>
      </c>
      <c r="AC67" s="15">
        <f t="shared" si="10"/>
        <v>1.4285509533418228E-5</v>
      </c>
      <c r="AD67" s="15">
        <f t="shared" si="18"/>
        <v>7.2445556294996138E-6</v>
      </c>
      <c r="AE67" s="15">
        <f t="shared" si="21"/>
        <v>-1.0574825380304381E-4</v>
      </c>
      <c r="AF67" s="15">
        <f t="shared" si="22"/>
        <v>4.0967432697602835E-7</v>
      </c>
      <c r="AG67" s="15">
        <f t="shared" si="23"/>
        <v>-8.9519136704796498E-7</v>
      </c>
      <c r="AH67" s="15">
        <f t="shared" si="19"/>
        <v>4.3195619538309085E-9</v>
      </c>
      <c r="AI67" s="15"/>
      <c r="AM67" s="16">
        <f t="shared" si="1"/>
        <v>0</v>
      </c>
      <c r="AN67" s="16">
        <f t="shared" si="2"/>
        <v>9.7857261014700416</v>
      </c>
      <c r="AO67" s="16">
        <f t="shared" si="17"/>
        <v>102.8566578237773</v>
      </c>
      <c r="AP67" s="6">
        <f t="shared" si="4"/>
        <v>410.92879504037722</v>
      </c>
      <c r="AQ67" s="15">
        <f>-X67*V67*W67^(-Parameters!B$53)*Parameters!B$47*Parameters!B$46*M67</f>
        <v>-1.1855131950635518E-5</v>
      </c>
      <c r="AR67" s="5">
        <f>1000*EXP(-(Parameters!$B$55)*'6states'!A67)*AP67*Parameters!B$47*Parameters!B$46*M67</f>
        <v>1.0632526962916946</v>
      </c>
      <c r="AS67" s="5">
        <f>SUM(AR67:AR$204)*EXP(Parameters!$B$55*A67)</f>
        <v>710.56165715826364</v>
      </c>
      <c r="AT67" s="10">
        <f t="shared" si="27"/>
        <v>0.23437919753908398</v>
      </c>
      <c r="AU67">
        <f>(1/$S67-1/Parameters!$B$13) * LN(Parameters!$B$18) / LN(O67)</f>
        <v>0.22249229767678749</v>
      </c>
      <c r="AV67">
        <f>(Parameters!$B$18*'6states'!S67^+Parameters!$B$19*Parameters!$B$25^'6states'!S67)^((1-'6states'!S67)/'6states'!S67)*Parameters!$B$18*Parameters!$B$26^('6states'!S67-1)</f>
        <v>0.29820270105468955</v>
      </c>
      <c r="AW67">
        <f t="shared" si="20"/>
        <v>0.21413179177266728</v>
      </c>
      <c r="AX67">
        <f t="shared" si="25"/>
        <v>0.14291647994923329</v>
      </c>
      <c r="AY67">
        <f t="shared" si="26"/>
        <v>0.18673507497115716</v>
      </c>
      <c r="AZ67">
        <f>(1/$S67-1/Parameters!$B$13) * LN(Parameters!$B$18) / A67</f>
        <v>1.3726780163435327E-2</v>
      </c>
    </row>
    <row r="68" spans="1:52" x14ac:dyDescent="0.35">
      <c r="A68">
        <f>A67+Parameters!$B$71</f>
        <v>64</v>
      </c>
      <c r="B68" s="7">
        <f t="shared" si="33"/>
        <v>8.4063323823399256E-4</v>
      </c>
      <c r="C68" s="7">
        <f t="shared" si="33"/>
        <v>8.9251645139968222E-2</v>
      </c>
      <c r="D68" s="7">
        <f t="shared" si="33"/>
        <v>0.22206685683142879</v>
      </c>
      <c r="E68" s="5">
        <f>MAX((1-Parameters!$B$4)^Parameters!B$71*E67 + B67*Parameters!B$71 - IF(B67&gt;0,Parameters!$B$5,0)*B67^2/E67*Parameters!B$71, 0.0001)</f>
        <v>3.0686830109229447E-2</v>
      </c>
      <c r="F68" s="5">
        <f>(1-Parameters!$B$4)^Parameters!B$71*F67+C67*Parameters!B$71-Parameters!$B$5*C67^2/F67*Parameters!B$71</f>
        <v>1.2647923898108391</v>
      </c>
      <c r="G68" s="5">
        <f>(1-Parameters!$B$4)^Parameters!B$71*G67+D67*Parameters!B$71-Parameters!$B$5*D67^2/G67*Parameters!B$71</f>
        <v>3.2808055386451529</v>
      </c>
      <c r="H68" s="7">
        <f>MAX(H67 * (1-Parameters!$B$4) ^ Parameters!B$71 + (LN(1+EXP(Parameters!$B$21*(-B67+0.004)))/Parameters!$B$21 -0.004) * Parameters!B$71,0)</f>
        <v>0</v>
      </c>
      <c r="I68" s="16">
        <f>I67*(1+Parameters!$B$52)^Parameters!B$71</f>
        <v>9.821516774679143</v>
      </c>
      <c r="J68" s="16">
        <f>J67*(1+Parameters!$B$54)^Parameters!B$71</f>
        <v>32.150204586814468</v>
      </c>
      <c r="K68" s="16">
        <f>I68*J68*EXP(-Parameters!$B$43*'6states'!A68)*(Parameters!$B$38/Parameters!$B$39*('6states'!E68+'6states'!H68)/Parameters!$E$25*(EXP(-Parameters!$B$39*Parameters!$E$25*'6states'!H68/('6states'!E68+'6states'!H68))-EXP(-Parameters!$B$39*Parameters!$E$25))  +  Parameters!$B$40*'6states'!E68)</f>
        <v>4.6529534525370142</v>
      </c>
      <c r="L68" s="6">
        <f>L67+K68*Parameters!B$71</f>
        <v>3268.477074227771</v>
      </c>
      <c r="M68" s="5">
        <f>L68*Parameters!$B$46</f>
        <v>1.9610862445366624</v>
      </c>
      <c r="N68" s="7">
        <f>EXP(-Parameters!$B$47/2*M68^2)</f>
        <v>0.96208652883446</v>
      </c>
      <c r="O68" s="6">
        <f>MAX((Parameters!$B$63 + Parameters!$B$31*'6states'!A68 - '6states'!L68 + Parameters!$B$48/Parameters!$B$46)/Parameters!B$63,1)</f>
        <v>49.726458515444584</v>
      </c>
      <c r="P68" s="5">
        <f>Parameters!B$62*EXP(-Parameters!B$61*A68)</f>
        <v>8.8819666797567476E-2</v>
      </c>
      <c r="Q68" s="5">
        <f>(1-Parameters!B$62)*O68^-Parameters!B$64</f>
        <v>0.33830720824884936</v>
      </c>
      <c r="R68" s="5">
        <f>Parameters!B$62*EXP(-Parameters!B$61*A68)+(1-Parameters!B$62)*O68^-Parameters!B$64</f>
        <v>0.42712687504641683</v>
      </c>
      <c r="S68" s="5">
        <f>1-R68/Parameters!$B$12</f>
        <v>0.78643656247679161</v>
      </c>
      <c r="T68" s="5">
        <f t="shared" si="0"/>
        <v>4.6824494473279294</v>
      </c>
      <c r="U68" s="5">
        <f>(Parameters!$B$19*(E68+Parameters!$B$20)^S68+Parameters!$B$18*F68^S68)^(1/S68)</f>
        <v>0.33346094174652263</v>
      </c>
      <c r="V68" s="5">
        <f>(Parameters!$B$10*G68^Parameters!$B$9+Parameters!$B$11*U68^Parameters!$B$9)^(Parameters!$B$7/Parameters!$B$9)*N68</f>
        <v>1.3312622504809761</v>
      </c>
      <c r="W68" s="5">
        <f>V68 - C68 - D68 - LN(1+EXP(Parameters!$B$21*B68))/Parameters!$B$21 - IF(B68&gt;0, 0,Parameters!$B$6*B68^2/E68)</f>
        <v>1.0177553959410666</v>
      </c>
      <c r="X68" s="5">
        <f>EXP(-Parameters!$B$56*A68)</f>
        <v>0.38045019644906247</v>
      </c>
      <c r="Y68" s="5">
        <f>IF(W68&gt;0,W68^(1-Parameters!$B$53)/(1-Parameters!$B$53)*X68*Parameters!$B$71,-10+W68*1000)</f>
        <v>-1.0803253663691685</v>
      </c>
      <c r="AA68" s="15">
        <f t="shared" si="14"/>
        <v>-4.496576166925708E-3</v>
      </c>
      <c r="AB68" s="15">
        <f t="shared" si="9"/>
        <v>-1.3320025210622477E-5</v>
      </c>
      <c r="AC68" s="15">
        <f t="shared" si="10"/>
        <v>1.3442182081463416E-5</v>
      </c>
      <c r="AD68" s="15">
        <f t="shared" si="18"/>
        <v>7.6925338013279302E-6</v>
      </c>
      <c r="AE68" s="15">
        <f t="shared" si="21"/>
        <v>-1.6572251434676666E-4</v>
      </c>
      <c r="AF68" s="15">
        <f t="shared" si="22"/>
        <v>3.8695067794414229E-7</v>
      </c>
      <c r="AG68" s="15">
        <f t="shared" si="23"/>
        <v>-8.4332745195481174E-7</v>
      </c>
      <c r="AH68" s="15">
        <f t="shared" si="19"/>
        <v>1.0448993384653162E-8</v>
      </c>
      <c r="AI68" s="15"/>
      <c r="AM68" s="16">
        <f t="shared" ref="AM68:AM131" si="34">H68*I68*J68</f>
        <v>0</v>
      </c>
      <c r="AN68" s="16">
        <f t="shared" ref="AN68:AN131" si="35">E68*I68*J68</f>
        <v>9.6897892769156897</v>
      </c>
      <c r="AO68" s="16">
        <f t="shared" ref="AO68:AO99" si="36">U68*I68*J68</f>
        <v>105.29488533368747</v>
      </c>
      <c r="AP68" s="6">
        <f t="shared" ref="AP68:AP131" si="37">V68*J68*I68</f>
        <v>420.3643919413326</v>
      </c>
      <c r="AQ68" s="15">
        <f>-X68*V68*W68^(-Parameters!B$53)*Parameters!B$47*Parameters!B$46*M68</f>
        <v>-1.1697332171776142E-5</v>
      </c>
      <c r="AR68" s="5">
        <f>1000*EXP(-(Parameters!$B$55)*'6states'!A68)*AP68*Parameters!B$47*Parameters!B$46*M68</f>
        <v>1.0516489631698429</v>
      </c>
      <c r="AS68" s="5">
        <f>SUM(AR68:AR$204)*EXP(Parameters!$B$55*A68)</f>
        <v>725.89363761342531</v>
      </c>
      <c r="AT68" s="10">
        <f t="shared" si="27"/>
        <v>0.23448357759476016</v>
      </c>
      <c r="AU68">
        <f>(1/$S68-1/Parameters!$B$13) * LN(Parameters!$B$18) / LN(O68)</f>
        <v>0.22213462253609581</v>
      </c>
      <c r="AV68">
        <f>(Parameters!$B$18*'6states'!S68^+Parameters!$B$19*Parameters!$B$25^'6states'!S68)^((1-'6states'!S68)/'6states'!S68)*Parameters!$B$18*Parameters!$B$26^('6states'!S68-1)</f>
        <v>0.29857163859322994</v>
      </c>
      <c r="AW68">
        <f t="shared" si="20"/>
        <v>0.21336743725887497</v>
      </c>
      <c r="AX68">
        <f t="shared" si="25"/>
        <v>0.1427039641616511</v>
      </c>
      <c r="AY68">
        <f t="shared" si="26"/>
        <v>0.1869430230056105</v>
      </c>
      <c r="AZ68">
        <f>(1/$S68-1/Parameters!$B$13) * LN(Parameters!$B$18) / A68</f>
        <v>1.3559018071227731E-2</v>
      </c>
    </row>
    <row r="69" spans="1:52" x14ac:dyDescent="0.35">
      <c r="A69">
        <f>A68+Parameters!$B$71</f>
        <v>65</v>
      </c>
      <c r="B69" s="7">
        <f t="shared" si="33"/>
        <v>6.7026886737662616E-4</v>
      </c>
      <c r="C69" s="7">
        <f t="shared" si="33"/>
        <v>8.9475004131483904E-2</v>
      </c>
      <c r="D69" s="7">
        <f t="shared" si="33"/>
        <v>0.22215392809804838</v>
      </c>
      <c r="E69" s="5">
        <f>MAX((1-Parameters!$B$4)^Parameters!B$71*E68 + B68*Parameters!B$71 - IF(B68&gt;0,Parameters!$B$5,0)*B68^2/E68*Parameters!B$71, 0.0001)</f>
        <v>2.957423347558423E-2</v>
      </c>
      <c r="F69" s="5">
        <f>(1-Parameters!$B$4)^Parameters!B$71*F68+C68*Parameters!B$71-Parameters!$B$5*C68^2/F68*Parameters!B$71</f>
        <v>1.2681904404926105</v>
      </c>
      <c r="G69" s="5">
        <f>(1-Parameters!$B$4)^Parameters!B$71*G68+D68*Parameters!B$71-Parameters!$B$5*D68^2/G68*Parameters!B$71</f>
        <v>3.2814787573165458</v>
      </c>
      <c r="H69" s="7">
        <f>MAX(H68 * (1-Parameters!$B$4) ^ Parameters!B$71 + (LN(1+EXP(Parameters!$B$21*(-B68+0.004)))/Parameters!$B$21 -0.004) * Parameters!B$71,0)</f>
        <v>0</v>
      </c>
      <c r="I69" s="16">
        <f>I68*(1+Parameters!$B$52)^Parameters!B$71</f>
        <v>9.8499991733257115</v>
      </c>
      <c r="J69" s="16">
        <f>J68*(1+Parameters!$B$54)^Parameters!B$71</f>
        <v>32.793208678550755</v>
      </c>
      <c r="K69" s="16">
        <f>I69*J69*EXP(-Parameters!$B$43*'6states'!A69)*(Parameters!$B$38/Parameters!$B$39*('6states'!E69+'6states'!H69)/Parameters!$E$25*(EXP(-Parameters!$B$39*Parameters!$E$25*'6states'!H69/('6states'!E69+'6states'!H69))-EXP(-Parameters!$B$39*Parameters!$E$25))  +  Parameters!$B$40*'6states'!E69)</f>
        <v>4.5415597718412055</v>
      </c>
      <c r="L69" s="6">
        <f>L68+K69*Parameters!B$71</f>
        <v>3273.0186339996121</v>
      </c>
      <c r="M69" s="5">
        <f>L69*Parameters!$B$46</f>
        <v>1.9638111803997671</v>
      </c>
      <c r="N69" s="7">
        <f>EXP(-Parameters!$B$47/2*M69^2)</f>
        <v>0.96198312385531992</v>
      </c>
      <c r="O69" s="6">
        <f>MAX((Parameters!$B$63 + Parameters!$B$31*'6states'!A69 - '6states'!L69 + Parameters!$B$48/Parameters!$B$46)/Parameters!B$63,1)</f>
        <v>50.699627320007757</v>
      </c>
      <c r="P69" s="5">
        <f>Parameters!B$62*EXP(-Parameters!B$61*A69)</f>
        <v>8.6453621145858195E-2</v>
      </c>
      <c r="Q69" s="5">
        <f>(1-Parameters!B$62)*O69^-Parameters!B$64</f>
        <v>0.33765215637935236</v>
      </c>
      <c r="R69" s="5">
        <f>Parameters!B$62*EXP(-Parameters!B$61*A69)+(1-Parameters!B$62)*O69^-Parameters!B$64</f>
        <v>0.42410577752521056</v>
      </c>
      <c r="S69" s="5">
        <f>1-R69/Parameters!$B$12</f>
        <v>0.78794711123739469</v>
      </c>
      <c r="T69" s="5">
        <f t="shared" ref="T69:T132" si="38">1/(1-S69)</f>
        <v>4.7158046553164716</v>
      </c>
      <c r="U69" s="5">
        <f>(Parameters!$B$19*(E69+Parameters!$B$20)^S69+Parameters!$B$18*F69^S69)^(1/S69)</f>
        <v>0.33358619045687321</v>
      </c>
      <c r="V69" s="5">
        <f>(Parameters!$B$10*G69^Parameters!$B$9+Parameters!$B$11*U69^Parameters!$B$9)^(Parameters!$B$7/Parameters!$B$9)*N69</f>
        <v>1.331224521728035</v>
      </c>
      <c r="W69" s="5">
        <f>V69 - C69 - D69 - LN(1+EXP(Parameters!$B$21*B69))/Parameters!$B$21 - IF(B69&gt;0, 0,Parameters!$B$6*B69^2/E69)</f>
        <v>1.0175051910533179</v>
      </c>
      <c r="X69" s="5">
        <f>EXP(-Parameters!$B$56*A69)</f>
        <v>0.37474855421707526</v>
      </c>
      <c r="Y69" s="5">
        <f>IF(W69&gt;0,W69^(1-Parameters!$B$53)/(1-Parameters!$B$53)*X69*Parameters!$B$71,-10+W69*1000)</f>
        <v>-1.064226575838249</v>
      </c>
      <c r="AA69" s="15">
        <f t="shared" si="14"/>
        <v>-4.7299945588385219E-3</v>
      </c>
      <c r="AB69" s="15">
        <f t="shared" si="9"/>
        <v>-1.2954421327995846E-5</v>
      </c>
      <c r="AC69" s="15">
        <f t="shared" si="10"/>
        <v>1.2647750710567673E-5</v>
      </c>
      <c r="AD69" s="15">
        <f t="shared" ref="AD69:AD100" si="39">X69*(AA69^2+AB69^2+AC69^2)</f>
        <v>8.3843154751434008E-6</v>
      </c>
      <c r="AE69" s="15">
        <f t="shared" si="21"/>
        <v>-2.3341839191281383E-4</v>
      </c>
      <c r="AF69" s="15">
        <f t="shared" si="22"/>
        <v>3.6560388262663057E-7</v>
      </c>
      <c r="AG69" s="15">
        <f t="shared" si="23"/>
        <v>-7.9443137089574289E-7</v>
      </c>
      <c r="AH69" s="15">
        <f t="shared" ref="AH69:AH100" si="40">X69*(AE69^2+AF69^2+AG69^2)</f>
        <v>2.0418141425491394E-8</v>
      </c>
      <c r="AI69" s="15"/>
      <c r="AM69" s="16">
        <f t="shared" si="34"/>
        <v>0</v>
      </c>
      <c r="AN69" s="16">
        <f t="shared" si="35"/>
        <v>9.5528641955123579</v>
      </c>
      <c r="AO69" s="16">
        <f t="shared" si="36"/>
        <v>107.75270228267101</v>
      </c>
      <c r="AP69" s="6">
        <f t="shared" si="37"/>
        <v>430.00293077089083</v>
      </c>
      <c r="AQ69" s="15">
        <f>-X69*V69*W69^(-Parameters!B$53)*Parameters!B$47*Parameters!B$46*M69</f>
        <v>-1.1541542513646816E-5</v>
      </c>
      <c r="AR69" s="5">
        <f>1000*EXP(-(Parameters!$B$55)*'6states'!A69)*AP69*Parameters!B$47*Parameters!B$46*M69</f>
        <v>1.0401011850231157</v>
      </c>
      <c r="AS69" s="5">
        <f>SUM(AR69:AR$204)*EXP(Parameters!$B$55*A69)</f>
        <v>741.52786649707548</v>
      </c>
      <c r="AT69" s="25">
        <f t="shared" si="27"/>
        <v>0.23459543901093391</v>
      </c>
      <c r="AU69">
        <f>(1/$S69-1/Parameters!$B$13) * LN(Parameters!$B$18) / LN(O69)</f>
        <v>0.221777676227496</v>
      </c>
      <c r="AV69">
        <f>(Parameters!$B$18*'6states'!S69^+Parameters!$B$19*Parameters!$B$25^'6states'!S69)^((1-'6states'!S69)/'6states'!S69)*Parameters!$B$18*Parameters!$B$26^('6states'!S69-1)</f>
        <v>0.29892574450467918</v>
      </c>
      <c r="AW69">
        <f>(LN(AV69)-LN(AV$4))/ LN(O69)</f>
        <v>0.2126160046044073</v>
      </c>
      <c r="AX69">
        <f t="shared" si="25"/>
        <v>0.14249182888317102</v>
      </c>
      <c r="AY69">
        <f t="shared" si="26"/>
        <v>0.18714256133037377</v>
      </c>
      <c r="AZ69">
        <f>(1/$S69-1/Parameters!$B$13) * LN(Parameters!$B$18) / A69</f>
        <v>1.3395093773362621E-2</v>
      </c>
    </row>
    <row r="70" spans="1:52" x14ac:dyDescent="0.35">
      <c r="A70">
        <f>A69+Parameters!$B$71</f>
        <v>66</v>
      </c>
      <c r="B70" s="13">
        <v>4.9990449651925964E-4</v>
      </c>
      <c r="C70" s="13">
        <v>8.9698363122999586E-2</v>
      </c>
      <c r="D70" s="13">
        <v>0.2222409993646679</v>
      </c>
      <c r="E70" s="5">
        <f>MAX((1-Parameters!$B$4)^Parameters!B$71*E69 + B69*Parameters!B$71 - IF(B69&gt;0,Parameters!$B$5,0)*B69^2/E69*Parameters!B$71, 0.0001)</f>
        <v>2.8369092119094729E-2</v>
      </c>
      <c r="F70" s="5">
        <f>(1-Parameters!$B$4)^Parameters!B$71*F69+C69*Parameters!B$71-Parameters!$B$5*C69^2/F69*Parameters!B$71</f>
        <v>1.271583510270395</v>
      </c>
      <c r="G70" s="5">
        <f>(1-Parameters!$B$4)^Parameters!B$71*G69+D69*Parameters!B$71-Parameters!$B$5*D69^2/G69*Parameters!B$71</f>
        <v>3.2821879984870761</v>
      </c>
      <c r="H70" s="7">
        <f>MAX(H69 * (1-Parameters!$B$4) ^ Parameters!B$71 + (LN(1+EXP(Parameters!$B$21*(-B69+0.004)))/Parameters!$B$21 -0.004) * Parameters!B$71,0)</f>
        <v>0</v>
      </c>
      <c r="I70" s="16">
        <f>I69*(1+Parameters!$B$52)^Parameters!B$71</f>
        <v>9.8785641709283549</v>
      </c>
      <c r="J70" s="16">
        <f>J69*(1+Parameters!$B$54)^Parameters!B$71</f>
        <v>33.449072852121773</v>
      </c>
      <c r="K70" s="16">
        <f>I70*J70*EXP(-Parameters!$B$43*'6states'!A70)*(Parameters!$B$38/Parameters!$B$39*('6states'!E70+'6states'!H70)/Parameters!$E$25*(EXP(-Parameters!$B$39*Parameters!$E$25*'6states'!H70/('6states'!E70+'6states'!H70))-EXP(-Parameters!$B$39*Parameters!$E$25))  +  Parameters!$B$40*'6states'!E70)</f>
        <v>4.4121658919778151</v>
      </c>
      <c r="L70" s="6">
        <f>L69+K70*Parameters!B$71</f>
        <v>3277.4307998915901</v>
      </c>
      <c r="M70" s="5">
        <f>L70*Parameters!$B$46</f>
        <v>1.9664584799349538</v>
      </c>
      <c r="N70" s="7">
        <f>EXP(-Parameters!$B$47/2*M70^2)</f>
        <v>0.96188253815565805</v>
      </c>
      <c r="O70" s="6">
        <f>MAX((Parameters!$B$63 + Parameters!$B$31*'6states'!A70 - '6states'!L70 + Parameters!$B$48/Parameters!$B$46)/Parameters!B$63,1)</f>
        <v>51.675384002168201</v>
      </c>
      <c r="P70" s="5">
        <f>Parameters!B$62*EXP(-Parameters!B$61*A70)</f>
        <v>8.415060401280719E-2</v>
      </c>
      <c r="Q70" s="5">
        <f>(1-Parameters!B$62)*O70^-Parameters!B$64</f>
        <v>0.33700910397767658</v>
      </c>
      <c r="R70" s="5">
        <f>Parameters!B$62*EXP(-Parameters!B$61*A70)+(1-Parameters!B$62)*O70^-Parameters!B$64</f>
        <v>0.42115970799048374</v>
      </c>
      <c r="S70" s="5">
        <f>1-R70/Parameters!$B$12</f>
        <v>0.78942014600475807</v>
      </c>
      <c r="T70" s="5">
        <f t="shared" si="38"/>
        <v>4.7487923513452293</v>
      </c>
      <c r="U70" s="5">
        <f>(Parameters!$B$19*(E70+Parameters!$B$20)^S70+Parameters!$B$18*F70^S70)^(1/S70)</f>
        <v>0.33359771774308794</v>
      </c>
      <c r="V70" s="5">
        <f>(Parameters!$B$10*G70^Parameters!$B$9+Parameters!$B$11*U70^Parameters!$B$9)^(Parameters!$B$7/Parameters!$B$9)*N70</f>
        <v>1.3311466723896177</v>
      </c>
      <c r="W70" s="5">
        <f>V70 - C70 - D70 - LN(1+EXP(Parameters!$B$21*B70))/Parameters!$B$21 - IF(B70&gt;0, 0,Parameters!$B$6*B70^2/E70)</f>
        <v>1.0172120152391053</v>
      </c>
      <c r="X70" s="5">
        <f>EXP(-Parameters!$B$56*A70)</f>
        <v>0.36913236002650052</v>
      </c>
      <c r="Y70" s="5">
        <f>IF(W70&gt;0,W70^(1-Parameters!$B$53)/(1-Parameters!$B$53)*X70*Parameters!$B$71,-10+W70*1000)</f>
        <v>-1.0483832086800644</v>
      </c>
      <c r="AA70" s="15">
        <f t="shared" ref="AA70:AA133" si="41">B70/E70-B69/E69</f>
        <v>-5.042498721056804E-3</v>
      </c>
      <c r="AB70" s="15">
        <f t="shared" ref="AB70:AB133" si="42">C70/F70-C69/F69</f>
        <v>-1.2608872505801005E-5</v>
      </c>
      <c r="AC70" s="15">
        <f t="shared" ref="AC70:AC133" si="43">D70/G70-D69/G69</f>
        <v>1.1899413251595381E-5</v>
      </c>
      <c r="AD70" s="15">
        <f t="shared" si="39"/>
        <v>9.3859631915726608E-6</v>
      </c>
      <c r="AE70" s="15">
        <f t="shared" ref="AE70:AE101" si="44">B70/E70-2*B69/E69+B68/E68</f>
        <v>-3.1250416221828212E-4</v>
      </c>
      <c r="AF70" s="15">
        <f t="shared" ref="AF70:AF101" si="45">C70/F70-2*C69/F69+C68/F68</f>
        <v>3.4554882219484107E-7</v>
      </c>
      <c r="AG70" s="15">
        <f t="shared" ref="AG70:AG101" si="46">D70/G70-2*D69/G69+D68/G68</f>
        <v>-7.4833745897229242E-7</v>
      </c>
      <c r="AH70" s="15">
        <f t="shared" si="40"/>
        <v>3.6049293089446049E-8</v>
      </c>
      <c r="AI70" s="15"/>
      <c r="AM70" s="16">
        <f t="shared" si="34"/>
        <v>0</v>
      </c>
      <c r="AN70" s="16">
        <f t="shared" si="35"/>
        <v>9.3739654242395183</v>
      </c>
      <c r="AO70" s="16">
        <f t="shared" si="36"/>
        <v>110.23029776917332</v>
      </c>
      <c r="AP70" s="6">
        <f t="shared" si="37"/>
        <v>439.84921439107188</v>
      </c>
      <c r="AQ70" s="15">
        <f>-X70*V70*W70^(-Parameters!B$53)*Parameters!B$47*Parameters!B$46*M70</f>
        <v>-1.1387663335565661E-5</v>
      </c>
      <c r="AR70" s="5">
        <f>1000*EXP(-(Parameters!$B$55)*'6states'!A70)*AP70*Parameters!B$47*Parameters!B$46*M70</f>
        <v>1.0286066144866808</v>
      </c>
      <c r="AS70" s="5">
        <f>SUM(AR70:AR$204)*EXP(Parameters!$B$55*A70)</f>
        <v>757.46986377188114</v>
      </c>
      <c r="AT70" s="25">
        <f t="shared" ref="AT70:AT133" si="47">(B70+C70+D70)/V70</f>
        <v>0.23471438081523288</v>
      </c>
      <c r="AU70">
        <f>(1/$S70-1/Parameters!$B$13) * LN(Parameters!$B$18) / LN(O70)</f>
        <v>0.22142111559272828</v>
      </c>
      <c r="AV70">
        <f>(Parameters!$B$18*'6states'!S70^+Parameters!$B$19*Parameters!$B$25^'6states'!S70)^((1-'6states'!S70)/'6states'!S70)*Parameters!$B$18*Parameters!$B$26^('6states'!S70-1)</f>
        <v>0.29926574137144224</v>
      </c>
      <c r="AW70">
        <f t="shared" ref="AW70:AW133" si="48">(LN(AV70)-LN(AV$4))/ LN(O70)</f>
        <v>0.21187675030429642</v>
      </c>
      <c r="AX70">
        <f t="shared" ref="AX70:AX133" si="49">1-2^-AU70</f>
        <v>0.14227987040572909</v>
      </c>
      <c r="AY70">
        <f t="shared" ref="AY70:AY133" si="50">1-2^-AV70</f>
        <v>0.18733410314021881</v>
      </c>
      <c r="AZ70">
        <f>(1/$S70-1/Parameters!$B$13) * LN(Parameters!$B$18) / A70</f>
        <v>1.3234882012665419E-2</v>
      </c>
    </row>
    <row r="71" spans="1:52" x14ac:dyDescent="0.35">
      <c r="A71">
        <f>A70+Parameters!$B$71</f>
        <v>67</v>
      </c>
      <c r="B71" s="7">
        <f t="shared" ref="B71:D74" si="51">B70+(B$75-B$70)/5</f>
        <v>4.6672158945997369E-4</v>
      </c>
      <c r="C71" s="7">
        <f t="shared" si="51"/>
        <v>9.0014361262959725E-2</v>
      </c>
      <c r="D71" s="7">
        <f t="shared" si="51"/>
        <v>0.22213359331317092</v>
      </c>
      <c r="E71" s="5">
        <f>MAX((1-Parameters!$B$4)^Parameters!B$71*E70 + B70*Parameters!B$71 - IF(B70&gt;0,Parameters!$B$5,0)*B70^2/E70*Parameters!B$71, 0.0001)</f>
        <v>2.7075771679969364E-2</v>
      </c>
      <c r="F71" s="5">
        <f>(1-Parameters!$B$4)^Parameters!B$71*F70+C70*Parameters!B$71-Parameters!$B$5*C70^2/F70*Parameters!B$71</f>
        <v>1.2749718872348621</v>
      </c>
      <c r="G71" s="5">
        <f>(1-Parameters!$B$4)^Parameters!B$71*G70+D70*Parameters!B$71-Parameters!$B$5*D70^2/G70*Parameters!B$71</f>
        <v>3.2829311604503006</v>
      </c>
      <c r="H71" s="7">
        <f>MAX(H70 * (1-Parameters!$B$4) ^ Parameters!B$71 + (LN(1+EXP(Parameters!$B$21*(-B70+0.004)))/Parameters!$B$21 -0.004) * Parameters!B$71,0)</f>
        <v>5.1120136439146424E-5</v>
      </c>
      <c r="I71" s="16">
        <f>I70*(1+Parameters!$B$52)^Parameters!B$71</f>
        <v>9.9072120070240466</v>
      </c>
      <c r="J71" s="16">
        <f>J70*(1+Parameters!$B$54)^Parameters!B$71</f>
        <v>34.118054309164208</v>
      </c>
      <c r="K71" s="16">
        <f>I71*J71*EXP(-Parameters!$B$43*'6states'!A71)*(Parameters!$B$38/Parameters!$B$39*('6states'!E71+'6states'!H71)/Parameters!$E$25*(EXP(-Parameters!$B$39*Parameters!$E$25*'6states'!H71/('6states'!E71+'6states'!H71))-EXP(-Parameters!$B$39*Parameters!$E$25))  +  Parameters!$B$40*'6states'!E71)</f>
        <v>4.2141139530718554</v>
      </c>
      <c r="L71" s="6">
        <f>L70+K71*Parameters!B$71</f>
        <v>3281.6449138446619</v>
      </c>
      <c r="M71" s="5">
        <f>L71*Parameters!$B$46</f>
        <v>1.968986948306797</v>
      </c>
      <c r="N71" s="7">
        <f>EXP(-Parameters!$B$47/2*M71^2)</f>
        <v>0.96178635083951147</v>
      </c>
      <c r="O71" s="6">
        <f>MAX((Parameters!$B$63 + Parameters!$B$31*'6states'!A71 - '6states'!L71 + Parameters!$B$48/Parameters!$B$46)/Parameters!B$63,1)</f>
        <v>52.65510172310676</v>
      </c>
      <c r="P71" s="5">
        <f>Parameters!B$62*EXP(-Parameters!B$61*A71)</f>
        <v>8.1908936396928839E-2</v>
      </c>
      <c r="Q71" s="5">
        <f>(1-Parameters!B$62)*O71^-Parameters!B$64</f>
        <v>0.33637674111652888</v>
      </c>
      <c r="R71" s="5">
        <f>Parameters!B$62*EXP(-Parameters!B$61*A71)+(1-Parameters!B$62)*O71^-Parameters!B$64</f>
        <v>0.41828567751345769</v>
      </c>
      <c r="S71" s="5">
        <f>1-R71/Parameters!$B$12</f>
        <v>0.7908571612432711</v>
      </c>
      <c r="T71" s="5">
        <f t="shared" si="38"/>
        <v>4.7814211853707391</v>
      </c>
      <c r="U71" s="5">
        <f>(Parameters!$B$19*(E71+Parameters!$B$20)^S71+Parameters!$B$18*F71^S71)^(1/S71)</f>
        <v>0.33349942614373296</v>
      </c>
      <c r="V71" s="5">
        <f>(Parameters!$B$10*G71^Parameters!$B$9+Parameters!$B$11*U71^Parameters!$B$9)^(Parameters!$B$7/Parameters!$B$9)*N71</f>
        <v>1.3310322734694664</v>
      </c>
      <c r="W71" s="5">
        <f>V71 - C71 - D71 - LN(1+EXP(Parameters!$B$21*B71))/Parameters!$B$21 - IF(B71&gt;0, 0,Parameters!$B$6*B71^2/E71)</f>
        <v>1.0169072144749467</v>
      </c>
      <c r="X71" s="5">
        <f>EXP(-Parameters!$B$56*A71)</f>
        <v>0.3636003333045692</v>
      </c>
      <c r="Y71" s="5">
        <f>IF(W71&gt;0,W71^(1-Parameters!$B$53)/(1-Parameters!$B$53)*X71*Parameters!$B$71,-10+W71*1000)</f>
        <v>-1.0327798673302344</v>
      </c>
      <c r="AA71" s="15">
        <f t="shared" si="41"/>
        <v>-3.8383864496456185E-4</v>
      </c>
      <c r="AB71" s="15">
        <f t="shared" si="42"/>
        <v>6.0377590966276262E-5</v>
      </c>
      <c r="AC71" s="15">
        <f t="shared" si="43"/>
        <v>-4.804440219038919E-5</v>
      </c>
      <c r="AD71" s="15">
        <f t="shared" si="39"/>
        <v>5.5734776493996157E-8</v>
      </c>
      <c r="AE71" s="15">
        <f t="shared" si="44"/>
        <v>4.6586600760922421E-3</v>
      </c>
      <c r="AF71" s="15">
        <f t="shared" si="45"/>
        <v>7.2986463472077268E-5</v>
      </c>
      <c r="AG71" s="15">
        <f t="shared" si="46"/>
        <v>-5.9943815441984571E-5</v>
      </c>
      <c r="AH71" s="15">
        <f t="shared" si="40"/>
        <v>7.8945027952789471E-6</v>
      </c>
      <c r="AI71" s="15"/>
      <c r="AM71" s="16">
        <f t="shared" si="34"/>
        <v>1.7279362556837947E-2</v>
      </c>
      <c r="AN71" s="16">
        <f t="shared" si="35"/>
        <v>9.1520114763638905</v>
      </c>
      <c r="AO71" s="16">
        <f t="shared" si="36"/>
        <v>112.72774093032493</v>
      </c>
      <c r="AP71" s="6">
        <f t="shared" si="37"/>
        <v>449.90860412725488</v>
      </c>
      <c r="AQ71" s="15">
        <f>-X71*V71*W71^(-Parameters!B$53)*Parameters!B$47*Parameters!B$46*M71</f>
        <v>-1.1235003455512301E-5</v>
      </c>
      <c r="AR71" s="5">
        <f>1000*EXP(-(Parameters!$B$55)*'6states'!A71)*AP71*Parameters!B$47*Parameters!B$46*M71</f>
        <v>1.0171479094977904</v>
      </c>
      <c r="AS71" s="5">
        <f>SUM(AR71:AR$204)*EXP(Parameters!$B$55*A71)</f>
        <v>773.72529137400954</v>
      </c>
      <c r="AT71" s="25">
        <f t="shared" si="47"/>
        <v>0.23486633825243752</v>
      </c>
      <c r="AU71">
        <f>(1/$S71-1/Parameters!$B$13) * LN(Parameters!$B$18) / LN(O71)</f>
        <v>0.22106371915144671</v>
      </c>
      <c r="AV71">
        <f>(Parameters!$B$18*'6states'!S71^+Parameters!$B$19*Parameters!$B$25^'6states'!S71)^((1-'6states'!S71)/'6states'!S71)*Parameters!$B$18*Parameters!$B$26^('6states'!S71-1)</f>
        <v>0.29959238418314427</v>
      </c>
      <c r="AW71">
        <f t="shared" si="48"/>
        <v>0.21114802412342482</v>
      </c>
      <c r="AX71">
        <f t="shared" si="49"/>
        <v>0.1420673625045723</v>
      </c>
      <c r="AY71">
        <f t="shared" si="50"/>
        <v>0.18751807925272412</v>
      </c>
      <c r="AZ71">
        <f>(1/$S71-1/Parameters!$B$13) * LN(Parameters!$B$18) / A71</f>
        <v>1.3078271939586121E-2</v>
      </c>
    </row>
    <row r="72" spans="1:52" x14ac:dyDescent="0.35">
      <c r="A72">
        <f>A71+Parameters!$B$71</f>
        <v>68</v>
      </c>
      <c r="B72" s="7">
        <f t="shared" si="51"/>
        <v>4.3353868240068774E-4</v>
      </c>
      <c r="C72" s="7">
        <f t="shared" si="51"/>
        <v>9.0330359402919863E-2</v>
      </c>
      <c r="D72" s="7">
        <f t="shared" si="51"/>
        <v>0.22202618726167395</v>
      </c>
      <c r="E72" s="5">
        <f>MAX((1-Parameters!$B$4)^Parameters!B$71*E71 + B71*Parameters!B$71 - IF(B71&gt;0,Parameters!$B$5,0)*B71^2/E71*Parameters!B$71, 0.0001)</f>
        <v>2.583138206607688E-2</v>
      </c>
      <c r="F72" s="5">
        <f>(1-Parameters!$B$4)^Parameters!B$71*F71+C71*Parameters!B$71-Parameters!$B$5*C71^2/F71*Parameters!B$71</f>
        <v>1.2784354078548561</v>
      </c>
      <c r="G72" s="5">
        <f>(1-Parameters!$B$4)^Parameters!B$71*G71+D71*Parameters!B$71-Parameters!$B$5*D71^2/G71*Parameters!B$71</f>
        <v>3.2835381163465169</v>
      </c>
      <c r="H72" s="7">
        <f>MAX(H71 * (1-Parameters!$B$4) ^ Parameters!B$71 + (LN(1+EXP(Parameters!$B$21*(-B71+0.004)))/Parameters!$B$21 -0.004) * Parameters!B$71,0)</f>
        <v>1.2567866239902064E-4</v>
      </c>
      <c r="I72" s="16">
        <f>I71*(1+Parameters!$B$52)^Parameters!B$71</f>
        <v>9.9359429218444149</v>
      </c>
      <c r="J72" s="16">
        <f>J71*(1+Parameters!$B$54)^Parameters!B$71</f>
        <v>34.800415395347493</v>
      </c>
      <c r="K72" s="16">
        <f>I72*J72*EXP(-Parameters!$B$43*'6states'!A72)*(Parameters!$B$38/Parameters!$B$39*('6states'!E72+'6states'!H72)/Parameters!$E$25*(EXP(-Parameters!$B$39*Parameters!$E$25*'6states'!H72/('6states'!E72+'6states'!H72))-EXP(-Parameters!$B$39*Parameters!$E$25))  +  Parameters!$B$40*'6states'!E72)</f>
        <v>4.0022508993643298</v>
      </c>
      <c r="L72" s="6">
        <f>L71+K72*Parameters!B$71</f>
        <v>3285.6471647440262</v>
      </c>
      <c r="M72" s="5">
        <f>L72*Parameters!$B$46</f>
        <v>1.9713882988464155</v>
      </c>
      <c r="N72" s="7">
        <f>EXP(-Parameters!$B$47/2*M72^2)</f>
        <v>0.96169489379448392</v>
      </c>
      <c r="O72" s="6">
        <f>MAX((Parameters!$B$63 + Parameters!$B$31*'6states'!A72 - '6states'!L72 + Parameters!$B$48/Parameters!$B$46)/Parameters!B$63,1)</f>
        <v>53.639056705119486</v>
      </c>
      <c r="P72" s="5">
        <f>Parameters!B$62*EXP(-Parameters!B$61*A72)</f>
        <v>7.9726984023252581E-2</v>
      </c>
      <c r="Q72" s="5">
        <f>(1-Parameters!B$62)*O72^-Parameters!B$64</f>
        <v>0.3357545379467865</v>
      </c>
      <c r="R72" s="5">
        <f>Parameters!B$62*EXP(-Parameters!B$61*A72)+(1-Parameters!B$62)*O72^-Parameters!B$64</f>
        <v>0.41548152197003907</v>
      </c>
      <c r="S72" s="5">
        <f>1-R72/Parameters!$B$12</f>
        <v>0.79225923901498052</v>
      </c>
      <c r="T72" s="5">
        <f t="shared" si="38"/>
        <v>4.8136918111709024</v>
      </c>
      <c r="U72" s="5">
        <f>(Parameters!$B$19*(E72+Parameters!$B$20)^S72+Parameters!$B$18*F72^S72)^(1/S72)</f>
        <v>0.33346009991114178</v>
      </c>
      <c r="V72" s="5">
        <f>(Parameters!$B$10*G72^Parameters!$B$9+Parameters!$B$11*U72^Parameters!$B$9)^(Parameters!$B$7/Parameters!$B$9)*N72</f>
        <v>1.3309378186108376</v>
      </c>
      <c r="W72" s="5">
        <f>V72 - C72 - D72 - LN(1+EXP(Parameters!$B$21*B72))/Parameters!$B$21 - IF(B72&gt;0, 0,Parameters!$B$6*B72^2/E72)</f>
        <v>1.0166222486164245</v>
      </c>
      <c r="X72" s="5">
        <f>EXP(-Parameters!$B$56*A72)</f>
        <v>0.35815121266990152</v>
      </c>
      <c r="Y72" s="5">
        <f>IF(W72&gt;0,W72^(1-Parameters!$B$53)/(1-Parameters!$B$53)*X72*Parameters!$B$71,-10+W72*1000)</f>
        <v>-1.0174018386501933</v>
      </c>
      <c r="AA72" s="15">
        <f t="shared" si="41"/>
        <v>-4.5419963687581139E-4</v>
      </c>
      <c r="AB72" s="15">
        <f t="shared" si="42"/>
        <v>5.5904214801907881E-5</v>
      </c>
      <c r="AC72" s="15">
        <f t="shared" si="43"/>
        <v>-4.5217877203226897E-5</v>
      </c>
      <c r="AD72" s="15">
        <f t="shared" si="39"/>
        <v>7.5737251235777017E-8</v>
      </c>
      <c r="AE72" s="15">
        <f t="shared" si="44"/>
        <v>-7.0360991911249532E-5</v>
      </c>
      <c r="AF72" s="15">
        <f t="shared" si="45"/>
        <v>-4.4733761643683811E-6</v>
      </c>
      <c r="AG72" s="15">
        <f t="shared" si="46"/>
        <v>2.8265249871622933E-6</v>
      </c>
      <c r="AH72" s="15">
        <f t="shared" si="40"/>
        <v>1.7831165262661962E-9</v>
      </c>
      <c r="AI72" s="15"/>
      <c r="AM72" s="16">
        <f t="shared" si="34"/>
        <v>4.3456532079078049E-2</v>
      </c>
      <c r="AN72" s="16">
        <f t="shared" si="35"/>
        <v>8.9318446104828908</v>
      </c>
      <c r="AO72" s="16">
        <f t="shared" si="36"/>
        <v>115.30214638084838</v>
      </c>
      <c r="AP72" s="6">
        <f t="shared" si="37"/>
        <v>460.20494573763648</v>
      </c>
      <c r="AQ72" s="15">
        <f>-X72*V72*W72^(-Parameters!B$53)*Parameters!B$47*Parameters!B$46*M72</f>
        <v>-1.1083532537718737E-5</v>
      </c>
      <c r="AR72" s="5">
        <f>1000*EXP(-(Parameters!$B$55)*'6states'!A72)*AP72*Parameters!B$47*Parameters!B$46*M72</f>
        <v>1.0057654079278635</v>
      </c>
      <c r="AS72" s="5">
        <f>SUM(AR72:AR$204)*EXP(Parameters!$B$55*A72)</f>
        <v>790.30012118229695</v>
      </c>
      <c r="AT72" s="25">
        <f t="shared" si="47"/>
        <v>0.23501480007042569</v>
      </c>
      <c r="AU72">
        <f>(1/$S72-1/Parameters!$B$13) * LN(Parameters!$B$18) / LN(O72)</f>
        <v>0.22070535787818873</v>
      </c>
      <c r="AV72">
        <f>(Parameters!$B$18*'6states'!S72^+Parameters!$B$19*Parameters!$B$25^'6states'!S72)^((1-'6states'!S72)/'6states'!S72)*Parameters!$B$18*Parameters!$B$26^('6states'!S72-1)</f>
        <v>0.29990630354006226</v>
      </c>
      <c r="AW72">
        <f t="shared" si="48"/>
        <v>0.21042934157685919</v>
      </c>
      <c r="AX72">
        <f t="shared" si="49"/>
        <v>0.14185422805022552</v>
      </c>
      <c r="AY72">
        <f t="shared" si="50"/>
        <v>0.1876948498438602</v>
      </c>
      <c r="AZ72">
        <f>(1/$S72-1/Parameters!$B$13) * LN(Parameters!$B$18) / A72</f>
        <v>1.2925146687644946E-2</v>
      </c>
    </row>
    <row r="73" spans="1:52" x14ac:dyDescent="0.35">
      <c r="A73">
        <f>A72+Parameters!$B$71</f>
        <v>69</v>
      </c>
      <c r="B73" s="7">
        <f t="shared" si="51"/>
        <v>4.0035577534140178E-4</v>
      </c>
      <c r="C73" s="7">
        <f t="shared" si="51"/>
        <v>9.0646357542880002E-2</v>
      </c>
      <c r="D73" s="7">
        <f t="shared" si="51"/>
        <v>0.22191878121017697</v>
      </c>
      <c r="E73" s="5">
        <f>MAX((1-Parameters!$B$4)^Parameters!B$71*E72 + B72*Parameters!B$71 - IF(B72&gt;0,Parameters!$B$5,0)*B72^2/E72*Parameters!B$71, 0.0001)</f>
        <v>2.463285055895769E-2</v>
      </c>
      <c r="F73" s="5">
        <f>(1-Parameters!$B$4)^Parameters!B$71*F72+C72*Parameters!B$71-Parameters!$B$5*C72^2/F72*Parameters!B$71</f>
        <v>1.281969711517708</v>
      </c>
      <c r="G73" s="5">
        <f>(1-Parameters!$B$4)^Parameters!B$71*G72+D72*Parameters!B$71-Parameters!$B$5*D72^2/G72*Parameters!B$71</f>
        <v>3.2840167956542548</v>
      </c>
      <c r="H73" s="7">
        <f>MAX(H72 * (1-Parameters!$B$4) ^ Parameters!B$71 + (LN(1+EXP(Parameters!$B$21*(-B72+0.004)))/Parameters!$B$21 -0.004) * Parameters!B$71,0)</f>
        <v>2.2227063278638018E-4</v>
      </c>
      <c r="I73" s="16">
        <f>I72*(1+Parameters!$B$52)^Parameters!B$71</f>
        <v>9.9647571563177628</v>
      </c>
      <c r="J73" s="16">
        <f>J72*(1+Parameters!$B$54)^Parameters!B$71</f>
        <v>35.496423703254443</v>
      </c>
      <c r="K73" s="16">
        <f>I73*J73*EXP(-Parameters!$B$43*'6states'!A73)*(Parameters!$B$38/Parameters!$B$39*('6states'!E73+'6states'!H73)/Parameters!$E$25*(EXP(-Parameters!$B$39*Parameters!$E$25*'6states'!H73/('6states'!E73+'6states'!H73))-EXP(-Parameters!$B$39*Parameters!$E$25))  +  Parameters!$B$40*'6states'!E73)</f>
        <v>3.7848399895742753</v>
      </c>
      <c r="L73" s="6">
        <f>L72+K73*Parameters!B$71</f>
        <v>3289.4320047336005</v>
      </c>
      <c r="M73" s="5">
        <f>L73*Parameters!$B$46</f>
        <v>1.9736592028401601</v>
      </c>
      <c r="N73" s="7">
        <f>EXP(-Parameters!$B$47/2*M73^2)</f>
        <v>0.96160831035541838</v>
      </c>
      <c r="O73" s="6">
        <f>MAX((Parameters!$B$63 + Parameters!$B$31*'6states'!A73 - '6states'!L73 + Parameters!$B$48/Parameters!$B$46)/Parameters!B$63,1)</f>
        <v>54.627359905327992</v>
      </c>
      <c r="P73" s="5">
        <f>Parameters!B$62*EXP(-Parameters!B$61*A73)</f>
        <v>7.7603156151864111E-2</v>
      </c>
      <c r="Q73" s="5">
        <f>(1-Parameters!B$62)*O73^-Parameters!B$64</f>
        <v>0.33514209731554317</v>
      </c>
      <c r="R73" s="5">
        <f>Parameters!B$62*EXP(-Parameters!B$61*A73)+(1-Parameters!B$62)*O73^-Parameters!B$64</f>
        <v>0.41274525346740731</v>
      </c>
      <c r="S73" s="5">
        <f>1-R73/Parameters!$B$12</f>
        <v>0.7936273732662964</v>
      </c>
      <c r="T73" s="5">
        <f t="shared" si="38"/>
        <v>4.8456038759944979</v>
      </c>
      <c r="U73" s="5">
        <f>(Parameters!$B$19*(E73+Parameters!$B$20)^S73+Parameters!$B$18*F73^S73)^(1/S73)</f>
        <v>0.33347586514929295</v>
      </c>
      <c r="V73" s="5">
        <f>(Parameters!$B$10*G73^Parameters!$B$9+Parameters!$B$11*U73^Parameters!$B$9)^(Parameters!$B$7/Parameters!$B$9)*N73</f>
        <v>1.3308626205941503</v>
      </c>
      <c r="W73" s="5">
        <f>V73 - C73 - D73 - LN(1+EXP(Parameters!$B$21*B73))/Parameters!$B$21 - IF(B73&gt;0, 0,Parameters!$B$6*B73^2/E73)</f>
        <v>1.0163564303138006</v>
      </c>
      <c r="X73" s="5">
        <f>EXP(-Parameters!$B$56*A73)</f>
        <v>0.35278375564489362</v>
      </c>
      <c r="Y73" s="5">
        <f>IF(W73&gt;0,W73^(1-Parameters!$B$53)/(1-Parameters!$B$53)*X73*Parameters!$B$71,-10+W73*1000)</f>
        <v>-1.0022462067443891</v>
      </c>
      <c r="AA73" s="15">
        <f t="shared" si="41"/>
        <v>-5.3048919583692511E-4</v>
      </c>
      <c r="AB73" s="15">
        <f t="shared" si="42"/>
        <v>5.1697779620718531E-5</v>
      </c>
      <c r="AC73" s="15">
        <f t="shared" si="43"/>
        <v>-4.2561711481453601E-5</v>
      </c>
      <c r="AD73" s="15">
        <f t="shared" si="39"/>
        <v>1.0086191525207169E-7</v>
      </c>
      <c r="AE73" s="15">
        <f t="shared" si="44"/>
        <v>-7.6289558961113724E-5</v>
      </c>
      <c r="AF73" s="15">
        <f t="shared" si="45"/>
        <v>-4.2064351811893497E-6</v>
      </c>
      <c r="AG73" s="15">
        <f t="shared" si="46"/>
        <v>2.6561657217732959E-6</v>
      </c>
      <c r="AH73" s="15">
        <f t="shared" si="40"/>
        <v>2.0619667652941177E-9</v>
      </c>
      <c r="AI73" s="15"/>
      <c r="AM73" s="16">
        <f t="shared" si="34"/>
        <v>7.8620066151088353E-2</v>
      </c>
      <c r="AN73" s="16">
        <f t="shared" si="35"/>
        <v>8.7129654338834293</v>
      </c>
      <c r="AO73" s="16">
        <f t="shared" si="36"/>
        <v>117.95482943095915</v>
      </c>
      <c r="AP73" s="6">
        <f t="shared" si="37"/>
        <v>470.74373234759759</v>
      </c>
      <c r="AQ73" s="15">
        <f>-X73*V73*W73^(-Parameters!B$53)*Parameters!B$47*Parameters!B$46*M73</f>
        <v>-1.0933246141146628E-5</v>
      </c>
      <c r="AR73" s="5">
        <f>1000*EXP(-(Parameters!$B$55)*'6states'!A73)*AP73*Parameters!B$47*Parameters!B$46*M73</f>
        <v>0.99445746558541137</v>
      </c>
      <c r="AS73" s="5">
        <f>SUM(AR73:AR$204)*EXP(Parameters!$B$55*A73)</f>
        <v>807.20002346063291</v>
      </c>
      <c r="AT73" s="25">
        <f t="shared" si="47"/>
        <v>0.23515988028026369</v>
      </c>
      <c r="AU73">
        <f>(1/$S73-1/Parameters!$B$13) * LN(Parameters!$B$18) / LN(O73)</f>
        <v>0.22034606508280316</v>
      </c>
      <c r="AV73">
        <f>(Parameters!$B$18*'6states'!S73^+Parameters!$B$19*Parameters!$B$25^'6states'!S73)^((1-'6states'!S73)/'6states'!S73)*Parameters!$B$18*Parameters!$B$26^('6states'!S73-1)</f>
        <v>0.30020808495555162</v>
      </c>
      <c r="AW73">
        <f t="shared" si="48"/>
        <v>0.20972040076176193</v>
      </c>
      <c r="AX73">
        <f t="shared" si="49"/>
        <v>0.14164048642026739</v>
      </c>
      <c r="AY73">
        <f t="shared" si="50"/>
        <v>0.18786474920162344</v>
      </c>
      <c r="AZ73">
        <f>(1/$S73-1/Parameters!$B$13) * LN(Parameters!$B$18) / A73</f>
        <v>1.2775392947768405E-2</v>
      </c>
    </row>
    <row r="74" spans="1:52" x14ac:dyDescent="0.35">
      <c r="A74">
        <f>A73+Parameters!$B$71</f>
        <v>70</v>
      </c>
      <c r="B74" s="7">
        <f t="shared" si="51"/>
        <v>3.6717286828211583E-4</v>
      </c>
      <c r="C74" s="7">
        <f t="shared" si="51"/>
        <v>9.096235568284014E-2</v>
      </c>
      <c r="D74" s="7">
        <f t="shared" si="51"/>
        <v>0.22181137515867999</v>
      </c>
      <c r="E74" s="5">
        <f>MAX((1-Parameters!$B$4)^Parameters!B$71*E73 + B73*Parameters!B$71 - IF(B73&gt;0,Parameters!$B$5,0)*B73^2/E73*Parameters!B$71, 0.0001)</f>
        <v>2.3477293083332604E-2</v>
      </c>
      <c r="F74" s="5">
        <f>(1-Parameters!$B$4)^Parameters!B$71*F73+C73*Parameters!B$71-Parameters!$B$5*C73^2/F73*Parameters!B$71</f>
        <v>1.2855706919367935</v>
      </c>
      <c r="G74" s="5">
        <f>(1-Parameters!$B$4)^Parameters!B$71*G73+D73*Parameters!B$71-Parameters!$B$5*D73^2/G73*Parameters!B$71</f>
        <v>3.2843746678045225</v>
      </c>
      <c r="H74" s="7">
        <f>MAX(H73 * (1-Parameters!$B$4) ^ Parameters!B$71 + (LN(1+EXP(Parameters!$B$21*(-B73+0.004)))/Parameters!$B$21 -0.004) * Parameters!B$71,0)</f>
        <v>3.3957891389062322E-4</v>
      </c>
      <c r="I74" s="16">
        <f>I73*(1+Parameters!$B$52)^Parameters!B$71</f>
        <v>9.9936549520710827</v>
      </c>
      <c r="J74" s="16">
        <f>J73*(1+Parameters!$B$54)^Parameters!B$71</f>
        <v>36.20635217731953</v>
      </c>
      <c r="K74" s="16">
        <f>I74*J74*EXP(-Parameters!$B$43*'6states'!A74)*(Parameters!$B$38/Parameters!$B$39*('6states'!E74+'6states'!H74)/Parameters!$E$25*(EXP(-Parameters!$B$39*Parameters!$E$25*'6states'!H74/('6states'!E74+'6states'!H74))-EXP(-Parameters!$B$39*Parameters!$E$25))  +  Parameters!$B$40*'6states'!E74)</f>
        <v>3.5705327939594853</v>
      </c>
      <c r="L74" s="6">
        <f>L73+K74*Parameters!B$71</f>
        <v>3293.00253752756</v>
      </c>
      <c r="M74" s="5">
        <f>L74*Parameters!$B$46</f>
        <v>1.9758015225165357</v>
      </c>
      <c r="N74" s="7">
        <f>EXP(-Parameters!$B$47/2*M74^2)</f>
        <v>0.96152654527256598</v>
      </c>
      <c r="O74" s="6">
        <f>MAX((Parameters!$B$63 + Parameters!$B$31*'6states'!A74 - '6states'!L74 + Parameters!$B$48/Parameters!$B$46)/Parameters!B$63,1)</f>
        <v>55.619949249448801</v>
      </c>
      <c r="P74" s="5">
        <f>Parameters!B$62*EXP(-Parameters!B$61*A74)</f>
        <v>7.5535904418185432E-2</v>
      </c>
      <c r="Q74" s="5">
        <f>(1-Parameters!B$62)*O74^-Parameters!B$64</f>
        <v>0.3345391472261553</v>
      </c>
      <c r="R74" s="5">
        <f>Parameters!B$62*EXP(-Parameters!B$61*A74)+(1-Parameters!B$62)*O74^-Parameters!B$64</f>
        <v>0.41007505164434072</v>
      </c>
      <c r="S74" s="5">
        <f>1-R74/Parameters!$B$12</f>
        <v>0.79496247417782961</v>
      </c>
      <c r="T74" s="5">
        <f t="shared" si="38"/>
        <v>4.877156003468861</v>
      </c>
      <c r="U74" s="5">
        <f>(Parameters!$B$19*(E74+Parameters!$B$20)^S74+Parameters!$B$18*F74^S74)^(1/S74)</f>
        <v>0.33354304774799698</v>
      </c>
      <c r="V74" s="5">
        <f>(Parameters!$B$10*G74^Parameters!$B$9+Parameters!$B$11*U74^Parameters!$B$9)^(Parameters!$B$7/Parameters!$B$9)*N74</f>
        <v>1.3308057017978667</v>
      </c>
      <c r="W74" s="5">
        <f>V74 - C74 - D74 - LN(1+EXP(Parameters!$B$21*B74))/Parameters!$B$21 - IF(B74&gt;0, 0,Parameters!$B$6*B74^2/E74)</f>
        <v>1.0161087818247911</v>
      </c>
      <c r="X74" s="5">
        <f>EXP(-Parameters!$B$56*A74)</f>
        <v>0.34749673837241518</v>
      </c>
      <c r="Y74" s="5">
        <f>IF(W74&gt;0,W74^(1-Parameters!$B$53)/(1-Parameters!$B$53)*X74*Parameters!$B$71,-10+W74*1000)</f>
        <v>-0.98731018366786116</v>
      </c>
      <c r="AA74" s="15">
        <f t="shared" si="41"/>
        <v>-6.1343199105163074E-4</v>
      </c>
      <c r="AB74" s="15">
        <f t="shared" si="42"/>
        <v>4.7743502885513878E-5</v>
      </c>
      <c r="AC74" s="15">
        <f t="shared" si="43"/>
        <v>-4.0065285500670567E-5</v>
      </c>
      <c r="AD74" s="15">
        <f t="shared" si="39"/>
        <v>1.3211251817650479E-7</v>
      </c>
      <c r="AE74" s="15">
        <f t="shared" si="44"/>
        <v>-8.2942795214705628E-5</v>
      </c>
      <c r="AF74" s="15">
        <f t="shared" si="45"/>
        <v>-3.9542767352046537E-6</v>
      </c>
      <c r="AG74" s="15">
        <f t="shared" si="46"/>
        <v>2.4964259807830347E-6</v>
      </c>
      <c r="AH74" s="15">
        <f t="shared" si="40"/>
        <v>2.3982055547911963E-9</v>
      </c>
      <c r="AI74" s="15"/>
      <c r="AM74" s="16">
        <f t="shared" si="34"/>
        <v>0.12287112566614071</v>
      </c>
      <c r="AN74" s="16">
        <f t="shared" si="35"/>
        <v>8.4948779524988964</v>
      </c>
      <c r="AO74" s="16">
        <f t="shared" si="36"/>
        <v>120.68714533939549</v>
      </c>
      <c r="AP74" s="6">
        <f t="shared" si="37"/>
        <v>481.53047181101033</v>
      </c>
      <c r="AQ74" s="15">
        <f>-X74*V74*W74^(-Parameters!B$53)*Parameters!B$47*Parameters!B$46*M74</f>
        <v>-1.078417017910383E-5</v>
      </c>
      <c r="AR74" s="5">
        <f>1000*EXP(-(Parameters!$B$55)*'6states'!A74)*AP74*Parameters!B$47*Parameters!B$46*M74</f>
        <v>0.98322487298047634</v>
      </c>
      <c r="AS74" s="5">
        <f>SUM(AR74:AR$204)*EXP(Parameters!$B$55*A74)</f>
        <v>824.43078290965047</v>
      </c>
      <c r="AT74" s="25">
        <f t="shared" si="47"/>
        <v>0.23530174486535568</v>
      </c>
      <c r="AU74">
        <f>(1/$S74-1/Parameters!$B$13) * LN(Parameters!$B$18) / LN(O74)</f>
        <v>0.21998602421252383</v>
      </c>
      <c r="AV74">
        <f>(Parameters!$B$18*'6states'!S74^+Parameters!$B$19*Parameters!$B$25^'6states'!S74)^((1-'6states'!S74)/'6states'!S74)*Parameters!$B$18*Parameters!$B$26^('6states'!S74-1)</f>
        <v>0.30049827231695903</v>
      </c>
      <c r="AW74">
        <f t="shared" si="48"/>
        <v>0.20902106786376359</v>
      </c>
      <c r="AX74">
        <f t="shared" si="49"/>
        <v>0.1414262463601671</v>
      </c>
      <c r="AY74">
        <f t="shared" si="50"/>
        <v>0.18802808773033086</v>
      </c>
      <c r="AZ74">
        <f>(1/$S74-1/Parameters!$B$13) * LN(Parameters!$B$18) / A74</f>
        <v>1.2628900910139957E-2</v>
      </c>
    </row>
    <row r="75" spans="1:52" x14ac:dyDescent="0.35">
      <c r="A75">
        <f>A74+Parameters!$B$71</f>
        <v>71</v>
      </c>
      <c r="B75" s="13">
        <v>3.3398996122282988E-4</v>
      </c>
      <c r="C75" s="13">
        <v>9.1278353822800307E-2</v>
      </c>
      <c r="D75" s="13">
        <v>0.22170396910718301</v>
      </c>
      <c r="E75" s="5">
        <f>MAX((1-Parameters!$B$4)^Parameters!B$71*E74 + B74*Parameters!B$71 - IF(B74&gt;0,Parameters!$B$5,0)*B74^2/E74*Parameters!B$71, 0.0001)</f>
        <v>2.2362001820617306E-2</v>
      </c>
      <c r="F75" s="5">
        <f>(1-Parameters!$B$4)^Parameters!B$71*F74+C74*Parameters!B$71-Parameters!$B$5*C74^2/F74*Parameters!B$71</f>
        <v>1.2892344821616681</v>
      </c>
      <c r="G75" s="5">
        <f>(1-Parameters!$B$4)^Parameters!B$71*G74+D74*Parameters!B$71-Parameters!$B$5*D74^2/G74*Parameters!B$71</f>
        <v>3.2846187686890738</v>
      </c>
      <c r="H75" s="7">
        <f>MAX(H74 * (1-Parameters!$B$4) ^ Parameters!B$71 + (LN(1+EXP(Parameters!$B$21*(-B74+0.004)))/Parameters!$B$21 -0.004) * Parameters!B$71,0)</f>
        <v>4.763686608129023E-4</v>
      </c>
      <c r="I75" s="16">
        <f>I74*(1+Parameters!$B$52)^Parameters!B$71</f>
        <v>10.022636551432088</v>
      </c>
      <c r="J75" s="16">
        <f>J74*(1+Parameters!$B$54)^Parameters!B$71</f>
        <v>36.930479220865919</v>
      </c>
      <c r="K75" s="16">
        <f>I75*J75*EXP(-Parameters!$B$43*'6states'!A75)*(Parameters!$B$38/Parameters!$B$39*('6states'!E75+'6states'!H75)/Parameters!$E$25*(EXP(-Parameters!$B$39*Parameters!$E$25*'6states'!H75/('6states'!E75+'6states'!H75))-EXP(-Parameters!$B$39*Parameters!$E$25))  +  Parameters!$B$40*'6states'!E75)</f>
        <v>3.3668252346850021</v>
      </c>
      <c r="L75" s="6">
        <f>L74+K75*Parameters!B$71</f>
        <v>3296.3693627622451</v>
      </c>
      <c r="M75" s="5">
        <f>L75*Parameters!$B$46</f>
        <v>1.9778216176573469</v>
      </c>
      <c r="N75" s="7">
        <f>EXP(-Parameters!$B$47/2*M75^2)</f>
        <v>0.96144937020743138</v>
      </c>
      <c r="O75" s="6">
        <f>MAX((Parameters!$B$63 + Parameters!$B$31*'6states'!A75 - '6states'!L75 + Parameters!$B$48/Parameters!$B$46)/Parameters!B$63,1)</f>
        <v>56.616612744755102</v>
      </c>
      <c r="P75" s="5">
        <f>Parameters!B$62*EXP(-Parameters!B$61*A75)</f>
        <v>7.3523721704148601E-2</v>
      </c>
      <c r="Q75" s="5">
        <f>(1-Parameters!B$62)*O75^-Parameters!B$64</f>
        <v>0.3339455157151423</v>
      </c>
      <c r="R75" s="5">
        <f>Parameters!B$62*EXP(-Parameters!B$61*A75)+(1-Parameters!B$62)*O75^-Parameters!B$64</f>
        <v>0.40746923741929092</v>
      </c>
      <c r="S75" s="5">
        <f>1-R75/Parameters!$B$12</f>
        <v>0.79626538129035451</v>
      </c>
      <c r="T75" s="5">
        <f t="shared" si="38"/>
        <v>4.9083459960487144</v>
      </c>
      <c r="U75" s="5">
        <f>(Parameters!$B$19*(E75+Parameters!$B$20)^S75+Parameters!$B$18*F75^S75)^(1/S75)</f>
        <v>0.33365816370250762</v>
      </c>
      <c r="V75" s="5">
        <f>(Parameters!$B$10*G75^Parameters!$B$9+Parameters!$B$11*U75^Parameters!$B$9)^(Parameters!$B$7/Parameters!$B$9)*N75</f>
        <v>1.3307658397063158</v>
      </c>
      <c r="W75" s="5">
        <f>V75 - C75 - D75 - LN(1+EXP(Parameters!$B$21*B75))/Parameters!$B$21 - IF(B75&gt;0, 0,Parameters!$B$6*B75^2/E75)</f>
        <v>1.0158780805224312</v>
      </c>
      <c r="X75" s="5">
        <f>EXP(-Parameters!$B$56*A75)</f>
        <v>0.34228895533675241</v>
      </c>
      <c r="Y75" s="5">
        <f>IF(W75&gt;0,W75^(1-Parameters!$B$53)/(1-Parameters!$B$53)*X75*Parameters!$B$71,-10+W75*1000)</f>
        <v>-0.97259108679076012</v>
      </c>
      <c r="AA75" s="15">
        <f t="shared" si="41"/>
        <v>-7.0388696352514067E-4</v>
      </c>
      <c r="AB75" s="15">
        <f t="shared" si="42"/>
        <v>4.402731201116894E-5</v>
      </c>
      <c r="AC75" s="15">
        <f t="shared" si="43"/>
        <v>-3.7718681402607035E-5</v>
      </c>
      <c r="AD75" s="15">
        <f t="shared" si="39"/>
        <v>1.7073987861997943E-7</v>
      </c>
      <c r="AE75" s="15">
        <f t="shared" si="44"/>
        <v>-9.0454972473511669E-5</v>
      </c>
      <c r="AF75" s="15">
        <f t="shared" si="45"/>
        <v>-3.7161908743449379E-6</v>
      </c>
      <c r="AG75" s="15">
        <f t="shared" si="46"/>
        <v>2.3466040980635317E-6</v>
      </c>
      <c r="AH75" s="15">
        <f t="shared" si="40"/>
        <v>2.8072550290360559E-9</v>
      </c>
      <c r="AI75" s="15"/>
      <c r="AM75" s="16">
        <f t="shared" si="34"/>
        <v>0.17632346334634272</v>
      </c>
      <c r="AN75" s="16">
        <f t="shared" si="35"/>
        <v>8.2770885927718254</v>
      </c>
      <c r="AO75" s="16">
        <f t="shared" si="36"/>
        <v>123.50048993024288</v>
      </c>
      <c r="AP75" s="6">
        <f t="shared" si="37"/>
        <v>492.57069379755109</v>
      </c>
      <c r="AQ75" s="15">
        <f>-X75*V75*W75^(-Parameters!B$53)*Parameters!B$47*Parameters!B$46*M75</f>
        <v>-1.0636354688568612E-5</v>
      </c>
      <c r="AR75" s="5">
        <f>1000*EXP(-(Parameters!$B$55)*'6states'!A75)*AP75*Parameters!B$47*Parameters!B$46*M75</f>
        <v>0.97207039848559729</v>
      </c>
      <c r="AS75" s="5">
        <f>SUM(AR75:AR$204)*EXP(Parameters!$B$55*A75)</f>
        <v>841.99827463136705</v>
      </c>
      <c r="AT75" s="25">
        <f t="shared" si="47"/>
        <v>0.23544060385586044</v>
      </c>
      <c r="AU75">
        <f>(1/$S75-1/Parameters!$B$13) * LN(Parameters!$B$18) / LN(O75)</f>
        <v>0.21962553231155096</v>
      </c>
      <c r="AV75">
        <f>(Parameters!$B$18*'6states'!S75^+Parameters!$B$19*Parameters!$B$25^'6states'!S75)^((1-'6states'!S75)/'6states'!S75)*Parameters!$B$18*Parameters!$B$26^('6states'!S75-1)</f>
        <v>0.30077737297564272</v>
      </c>
      <c r="AW75">
        <f t="shared" si="48"/>
        <v>0.20833133748044502</v>
      </c>
      <c r="AX75">
        <f t="shared" si="49"/>
        <v>0.14121168434385334</v>
      </c>
      <c r="AY75">
        <f t="shared" si="50"/>
        <v>0.18818515486485887</v>
      </c>
      <c r="AZ75">
        <f>(1/$S75-1/Parameters!$B$13) * LN(Parameters!$B$18) / A75</f>
        <v>1.2485564435604788E-2</v>
      </c>
    </row>
    <row r="76" spans="1:52" x14ac:dyDescent="0.35">
      <c r="A76">
        <f>A75+Parameters!$B$71</f>
        <v>72</v>
      </c>
      <c r="B76" s="7">
        <f>B75+(B$85-B$75)/10</f>
        <v>3.0211748047270873E-4</v>
      </c>
      <c r="C76" s="7">
        <f>C75+(C$85-C$75)/10</f>
        <v>9.131991176366959E-2</v>
      </c>
      <c r="D76" s="7">
        <f>D75+(D$85-D$75)/10</f>
        <v>0.22179645822657529</v>
      </c>
      <c r="E76" s="5">
        <f>MAX((1-Parameters!$B$4)^Parameters!B$71*E75 + B75*Parameters!B$71 - IF(B75&gt;0,Parameters!$B$5,0)*B75^2/E75*Parameters!B$71, 0.0001)</f>
        <v>2.1284433526159025E-2</v>
      </c>
      <c r="F76" s="5">
        <f>(1-Parameters!$B$4)^Parameters!B$71*F75+C75*Parameters!B$71-Parameters!$B$5*C75^2/F75*Parameters!B$71</f>
        <v>1.2929574404896171</v>
      </c>
      <c r="G76" s="5">
        <f>(1-Parameters!$B$4)^Parameters!B$71*G75+D75*Parameters!B$71-Parameters!$B$5*D75^2/G75*Parameters!B$71</f>
        <v>3.2847557256625723</v>
      </c>
      <c r="H76" s="7">
        <f>MAX(H75 * (1-Parameters!$B$4) ^ Parameters!B$71 + (LN(1+EXP(Parameters!$B$21*(-B75+0.004)))/Parameters!$B$21 -0.004) * Parameters!B$71,0)</f>
        <v>6.3148214235021912E-4</v>
      </c>
      <c r="I76" s="16">
        <f>I75*(1+Parameters!$B$52)^Parameters!B$71</f>
        <v>10.05170219743124</v>
      </c>
      <c r="J76" s="16">
        <f>J75*(1+Parameters!$B$54)^Parameters!B$71</f>
        <v>37.669088805283238</v>
      </c>
      <c r="K76" s="16">
        <f>I76*J76*EXP(-Parameters!$B$43*'6states'!A76)*(Parameters!$B$38/Parameters!$B$39*('6states'!E76+'6states'!H76)/Parameters!$E$25*(EXP(-Parameters!$B$39*Parameters!$E$25*'6states'!H76/('6states'!E76+'6states'!H76))-EXP(-Parameters!$B$39*Parameters!$E$25))  +  Parameters!$B$40*'6states'!E76)</f>
        <v>3.1788713121051737</v>
      </c>
      <c r="L76" s="6">
        <f>L75+K76*Parameters!B$71</f>
        <v>3299.5482340743501</v>
      </c>
      <c r="M76" s="5">
        <f>L76*Parameters!$B$46</f>
        <v>1.9797289404446099</v>
      </c>
      <c r="N76" s="7">
        <f>EXP(-Parameters!$B$47/2*M76^2)</f>
        <v>0.961376436770914</v>
      </c>
      <c r="O76" s="6">
        <f>MAX((Parameters!$B$63 + Parameters!$B$31*'6states'!A76 - '6states'!L76 + Parameters!$B$48/Parameters!$B$46)/Parameters!B$63,1)</f>
        <v>57.617035318512997</v>
      </c>
      <c r="P76" s="5">
        <f>Parameters!B$62*EXP(-Parameters!B$61*A76)</f>
        <v>7.1565141039439908E-2</v>
      </c>
      <c r="Q76" s="5">
        <f>(1-Parameters!B$62)*O76^-Parameters!B$64</f>
        <v>0.33336109465758246</v>
      </c>
      <c r="R76" s="5">
        <f>Parameters!B$62*EXP(-Parameters!B$61*A76)+(1-Parameters!B$62)*O76^-Parameters!B$64</f>
        <v>0.40492623569702235</v>
      </c>
      <c r="S76" s="5">
        <f>1-R76/Parameters!$B$12</f>
        <v>0.79753688215148877</v>
      </c>
      <c r="T76" s="5">
        <f t="shared" si="38"/>
        <v>4.9391711963471243</v>
      </c>
      <c r="U76" s="5">
        <f>(Parameters!$B$19*(E76+Parameters!$B$20)^S76+Parameters!$B$18*F76^S76)^(1/S76)</f>
        <v>0.33381791259974858</v>
      </c>
      <c r="V76" s="5">
        <f>(Parameters!$B$10*G76^Parameters!$B$9+Parameters!$B$11*U76^Parameters!$B$9)^(Parameters!$B$7/Parameters!$B$9)*N76</f>
        <v>1.3307416501201457</v>
      </c>
      <c r="W76" s="5">
        <f>V76 - C76 - D76 - LN(1+EXP(Parameters!$B$21*B76))/Parameters!$B$21 - IF(B76&gt;0, 0,Parameters!$B$6*B76^2/E76)</f>
        <v>1.0157367924640037</v>
      </c>
      <c r="X76" s="5">
        <f>EXP(-Parameters!$B$56*A76)</f>
        <v>0.33715921908873309</v>
      </c>
      <c r="Y76" s="5">
        <f>IF(W76&gt;0,W76^(1-Parameters!$B$53)/(1-Parameters!$B$53)*X76*Parameters!$B$71,-10+W76*1000)</f>
        <v>-0.95806192418933911</v>
      </c>
      <c r="AA76" s="15">
        <f t="shared" si="41"/>
        <v>-7.4130934494260475E-4</v>
      </c>
      <c r="AB76" s="15">
        <f t="shared" si="42"/>
        <v>-1.7172189681195771E-4</v>
      </c>
      <c r="AC76" s="15">
        <f t="shared" si="43"/>
        <v>2.5342782165066469E-5</v>
      </c>
      <c r="AD76" s="15">
        <f t="shared" si="39"/>
        <v>1.9544115578837257E-7</v>
      </c>
      <c r="AE76" s="15">
        <f t="shared" si="44"/>
        <v>-3.7422381417462347E-5</v>
      </c>
      <c r="AF76" s="15">
        <f t="shared" si="45"/>
        <v>-2.1574920882312665E-4</v>
      </c>
      <c r="AG76" s="15">
        <f t="shared" si="46"/>
        <v>6.3061463567673504E-5</v>
      </c>
      <c r="AH76" s="15">
        <f t="shared" si="40"/>
        <v>1.7506960058966582E-8</v>
      </c>
      <c r="AI76" s="15"/>
      <c r="AM76" s="16">
        <f t="shared" si="34"/>
        <v>0.23910342761417591</v>
      </c>
      <c r="AN76" s="16">
        <f t="shared" si="35"/>
        <v>8.0591051901959414</v>
      </c>
      <c r="AO76" s="16">
        <f t="shared" si="36"/>
        <v>126.39630125493379</v>
      </c>
      <c r="AP76" s="6">
        <f t="shared" si="37"/>
        <v>503.86997267803395</v>
      </c>
      <c r="AQ76" s="15">
        <f>-X76*V76*W76^(-Parameters!B$53)*Parameters!B$47*Parameters!B$46*M76</f>
        <v>-1.0488834440251346E-5</v>
      </c>
      <c r="AR76" s="5">
        <f>1000*EXP(-(Parameters!$B$55)*'6states'!A76)*AP76*Parameters!B$47*Parameters!B$46*M76</f>
        <v>0.96099804241251385</v>
      </c>
      <c r="AS76" s="5">
        <f>SUM(AR76:AR$204)*EXP(Parameters!$B$55*A76)</f>
        <v>859.90843993782767</v>
      </c>
      <c r="AT76" s="25">
        <f t="shared" si="47"/>
        <v>0.23552166375976938</v>
      </c>
      <c r="AU76">
        <f>(1/$S76-1/Parameters!$B$13) * LN(Parameters!$B$18) / LN(O76)</f>
        <v>0.2192649488271077</v>
      </c>
      <c r="AV76">
        <f>(Parameters!$B$18*'6states'!S76^+Parameters!$B$19*Parameters!$B$25^'6states'!S76)^((1-'6states'!S76)/'6states'!S76)*Parameters!$B$18*Parameters!$B$26^('6states'!S76-1)</f>
        <v>0.30104586361545538</v>
      </c>
      <c r="AW76">
        <f t="shared" si="48"/>
        <v>0.2076512780871988</v>
      </c>
      <c r="AX76">
        <f t="shared" si="49"/>
        <v>0.14099701417716748</v>
      </c>
      <c r="AY76">
        <f t="shared" si="50"/>
        <v>0.1883362224157008</v>
      </c>
      <c r="AZ76">
        <f>(1/$S76-1/Parameters!$B$13) * LN(Parameters!$B$18) / A76</f>
        <v>1.234528134512285E-2</v>
      </c>
    </row>
    <row r="77" spans="1:52" x14ac:dyDescent="0.35">
      <c r="A77">
        <f>A76+Parameters!$B$71</f>
        <v>73</v>
      </c>
      <c r="B77" s="7">
        <f t="shared" ref="B77:B84" si="52">B76+(B$85-B$75)/10</f>
        <v>2.7024499972258759E-4</v>
      </c>
      <c r="C77" s="7">
        <f t="shared" ref="C77:C84" si="53">C76+(C$85-C$75)/10</f>
        <v>9.1361469704538872E-2</v>
      </c>
      <c r="D77" s="7">
        <f t="shared" ref="D77:D84" si="54">D76+(D$85-D$75)/10</f>
        <v>0.22188894734596756</v>
      </c>
      <c r="E77" s="5">
        <f>MAX((1-Parameters!$B$4)^Parameters!B$71*E76 + B76*Parameters!B$71 - IF(B76&gt;0,Parameters!$B$5,0)*B76^2/E76*Parameters!B$71, 0.0001)</f>
        <v>2.0243471793873827E-2</v>
      </c>
      <c r="F77" s="5">
        <f>(1-Parameters!$B$4)^Parameters!B$71*F76+C76*Parameters!B$71-Parameters!$B$5*C76^2/F76*Parameters!B$71</f>
        <v>1.2965005219880494</v>
      </c>
      <c r="G77" s="5">
        <f>(1-Parameters!$B$4)^Parameters!B$71*G76+D76*Parameters!B$71-Parameters!$B$5*D76^2/G76*Parameters!B$71</f>
        <v>3.2849646934265166</v>
      </c>
      <c r="H77" s="7">
        <f>MAX(H76 * (1-Parameters!$B$4) ^ Parameters!B$71 + (LN(1+EXP(Parameters!$B$21*(-B76+0.004)))/Parameters!$B$21 -0.004) * Parameters!B$71,0)</f>
        <v>8.0276656993209219E-4</v>
      </c>
      <c r="I77" s="16">
        <f>I76*(1+Parameters!$B$52)^Parameters!B$71</f>
        <v>10.08085213380379</v>
      </c>
      <c r="J77" s="16">
        <f>J76*(1+Parameters!$B$54)^Parameters!B$71</f>
        <v>38.4224705813889</v>
      </c>
      <c r="K77" s="16">
        <f>I77*J77*EXP(-Parameters!$B$43*'6states'!A77)*(Parameters!$B$38/Parameters!$B$39*('6states'!E77+'6states'!H77)/Parameters!$E$25*(EXP(-Parameters!$B$39*Parameters!$E$25*'6states'!H77/('6states'!E77+'6states'!H77))-EXP(-Parameters!$B$39*Parameters!$E$25))  +  Parameters!$B$40*'6states'!E77)</f>
        <v>3.0093777585487875</v>
      </c>
      <c r="L77" s="6">
        <f>L76+K77*Parameters!B$71</f>
        <v>3302.5576118328991</v>
      </c>
      <c r="M77" s="5">
        <f>L77*Parameters!$B$46</f>
        <v>1.9815345670997393</v>
      </c>
      <c r="N77" s="7">
        <f>EXP(-Parameters!$B$47/2*M77^2)</f>
        <v>0.96130733238430444</v>
      </c>
      <c r="O77" s="6">
        <f>MAX((Parameters!$B$63 + Parameters!$B$31*'6states'!A77 - '6states'!L77 + Parameters!$B$48/Parameters!$B$46)/Parameters!B$63,1)</f>
        <v>58.620847763342027</v>
      </c>
      <c r="P77" s="5">
        <f>Parameters!B$62*EXP(-Parameters!B$61*A77)</f>
        <v>6.9658734532013489E-2</v>
      </c>
      <c r="Q77" s="5">
        <f>(1-Parameters!B$62)*O77^-Parameters!B$64</f>
        <v>0.3327858063014088</v>
      </c>
      <c r="R77" s="5">
        <f>Parameters!B$62*EXP(-Parameters!B$61*A77)+(1-Parameters!B$62)*O77^-Parameters!B$64</f>
        <v>0.40244454083342229</v>
      </c>
      <c r="S77" s="5">
        <f>1-R77/Parameters!$B$12</f>
        <v>0.79877772958328885</v>
      </c>
      <c r="T77" s="5">
        <f t="shared" si="38"/>
        <v>4.9696288483829365</v>
      </c>
      <c r="U77" s="5">
        <f>(Parameters!$B$19*(E77+Parameters!$B$20)^S77+Parameters!$B$18*F77^S77)^(1/S77)</f>
        <v>0.33396612064318659</v>
      </c>
      <c r="V77" s="5">
        <f>(Parameters!$B$10*G77^Parameters!$B$9+Parameters!$B$11*U77^Parameters!$B$9)^(Parameters!$B$7/Parameters!$B$9)*N77</f>
        <v>1.3307236474875768</v>
      </c>
      <c r="W77" s="5">
        <f>V77 - C77 - D77 - LN(1+EXP(Parameters!$B$21*B77))/Parameters!$B$21 - IF(B77&gt;0, 0,Parameters!$B$6*B77^2/E77)</f>
        <v>1.0156015901443403</v>
      </c>
      <c r="X77" s="5">
        <f>EXP(-Parameters!$B$56*A77)</f>
        <v>0.33210635997497118</v>
      </c>
      <c r="Y77" s="5">
        <f>IF(W77&gt;0,W77^(1-Parameters!$B$53)/(1-Parameters!$B$53)*X77*Parameters!$B$71,-10+W77*1000)</f>
        <v>-0.94374783420890096</v>
      </c>
      <c r="AA77" s="15">
        <f t="shared" si="41"/>
        <v>-8.4455696904965974E-4</v>
      </c>
      <c r="AB77" s="15">
        <f t="shared" si="42"/>
        <v>-1.6096046191228786E-4</v>
      </c>
      <c r="AC77" s="15">
        <f t="shared" si="43"/>
        <v>2.3859920246283028E-5</v>
      </c>
      <c r="AD77" s="15">
        <f t="shared" si="39"/>
        <v>2.4567702152227597E-7</v>
      </c>
      <c r="AE77" s="15">
        <f t="shared" si="44"/>
        <v>-1.0324762410705499E-4</v>
      </c>
      <c r="AF77" s="15">
        <f t="shared" si="45"/>
        <v>1.0761434899669853E-5</v>
      </c>
      <c r="AG77" s="15">
        <f t="shared" si="46"/>
        <v>-1.4828619187834402E-6</v>
      </c>
      <c r="AH77" s="15">
        <f t="shared" si="40"/>
        <v>3.5794686653534783E-9</v>
      </c>
      <c r="AI77" s="15"/>
      <c r="AM77" s="16">
        <f t="shared" si="34"/>
        <v>0.31093657461204804</v>
      </c>
      <c r="AN77" s="16">
        <f t="shared" si="35"/>
        <v>7.8409291238612484</v>
      </c>
      <c r="AO77" s="16">
        <f t="shared" si="36"/>
        <v>129.3555131450612</v>
      </c>
      <c r="AP77" s="6">
        <f t="shared" si="37"/>
        <v>515.43084652869811</v>
      </c>
      <c r="AQ77" s="15">
        <f>-X77*V77*W77^(-Parameters!B$53)*Parameters!B$47*Parameters!B$46*M77</f>
        <v>-1.0342784485908571E-5</v>
      </c>
      <c r="AR77" s="5">
        <f>1000*EXP(-(Parameters!$B$55)*'6states'!A77)*AP77*Parameters!B$47*Parameters!B$46*M77</f>
        <v>0.95000658469166188</v>
      </c>
      <c r="AS77" s="5">
        <f>SUM(AR77:AR$204)*EXP(Parameters!$B$55*A77)</f>
        <v>878.1672664263956</v>
      </c>
      <c r="AT77" s="25">
        <f t="shared" si="47"/>
        <v>0.23560163121934447</v>
      </c>
      <c r="AU77">
        <f>(1/$S77-1/Parameters!$B$13) * LN(Parameters!$B$18) / LN(O77)</f>
        <v>0.21890464926608461</v>
      </c>
      <c r="AV77">
        <f>(Parameters!$B$18*'6states'!S77^+Parameters!$B$19*Parameters!$B$25^'6states'!S77)^((1-'6states'!S77)/'6states'!S77)*Parameters!$B$18*Parameters!$B$26^('6states'!S77-1)</f>
        <v>0.30130419539068032</v>
      </c>
      <c r="AW77">
        <f t="shared" si="48"/>
        <v>0.20698098305840962</v>
      </c>
      <c r="AX77">
        <f t="shared" si="49"/>
        <v>0.14078245944431267</v>
      </c>
      <c r="AY77">
        <f t="shared" si="50"/>
        <v>0.18848154749619517</v>
      </c>
      <c r="AZ77">
        <f>(1/$S77-1/Parameters!$B$13) * LN(Parameters!$B$18) / A77</f>
        <v>1.2207953637372348E-2</v>
      </c>
    </row>
    <row r="78" spans="1:52" x14ac:dyDescent="0.35">
      <c r="A78">
        <f>A77+Parameters!$B$71</f>
        <v>74</v>
      </c>
      <c r="B78" s="7">
        <f t="shared" si="52"/>
        <v>2.3837251897246644E-4</v>
      </c>
      <c r="C78" s="7">
        <f t="shared" si="53"/>
        <v>9.1403027645408155E-2</v>
      </c>
      <c r="D78" s="7">
        <f t="shared" si="54"/>
        <v>0.22198143646535984</v>
      </c>
      <c r="E78" s="5">
        <f>MAX((1-Parameters!$B$4)^Parameters!B$71*E77 + B77*Parameters!B$71 - IF(B77&gt;0,Parameters!$B$5,0)*B77^2/E77*Parameters!B$71, 0.0001)</f>
        <v>1.923679471841953E-2</v>
      </c>
      <c r="F78" s="5">
        <f>(1-Parameters!$B$4)^Parameters!B$71*F77+C77*Parameters!B$71-Parameters!$B$5*C77^2/F77*Parameters!B$71</f>
        <v>1.29987407200185</v>
      </c>
      <c r="G78" s="5">
        <f>(1-Parameters!$B$4)^Parameters!B$71*G77+D77*Parameters!B$71-Parameters!$B$5*D77^2/G77*Parameters!B$71</f>
        <v>3.2852414668449952</v>
      </c>
      <c r="H78" s="7">
        <f>MAX(H77 * (1-Parameters!$B$4) ^ Parameters!B$71 + (LN(1+EXP(Parameters!$B$21*(-B77+0.004)))/Parameters!$B$21 -0.004) * Parameters!B$71,0)</f>
        <v>9.8926619939778988E-4</v>
      </c>
      <c r="I78" s="16">
        <f>I77*(1+Parameters!$B$52)^Parameters!B$71</f>
        <v>10.110086604991819</v>
      </c>
      <c r="J78" s="16">
        <f>J77*(1+Parameters!$B$54)^Parameters!B$71</f>
        <v>39.190919993016678</v>
      </c>
      <c r="K78" s="16">
        <f>I78*J78*EXP(-Parameters!$B$43*'6states'!A78)*(Parameters!$B$38/Parameters!$B$39*('6states'!E78+'6states'!H78)/Parameters!$E$25*(EXP(-Parameters!$B$39*Parameters!$E$25*'6states'!H78/('6states'!E78+'6states'!H78))-EXP(-Parameters!$B$39*Parameters!$E$25))  +  Parameters!$B$40*'6states'!E78)</f>
        <v>2.8576699829340955</v>
      </c>
      <c r="L78" s="6">
        <f>L77+K78*Parameters!B$71</f>
        <v>3305.4152818158332</v>
      </c>
      <c r="M78" s="5">
        <f>L78*Parameters!$B$46</f>
        <v>1.9832491690894998</v>
      </c>
      <c r="N78" s="7">
        <f>EXP(-Parameters!$B$47/2*M78^2)</f>
        <v>0.96124165795496419</v>
      </c>
      <c r="O78" s="6">
        <f>MAX((Parameters!$B$63 + Parameters!$B$31*'6states'!A78 - '6states'!L78 + Parameters!$B$48/Parameters!$B$46)/Parameters!B$63,1)</f>
        <v>59.627694363683339</v>
      </c>
      <c r="P78" s="5">
        <f>Parameters!B$62*EXP(-Parameters!B$61*A78)</f>
        <v>6.780311232709485E-2</v>
      </c>
      <c r="Q78" s="5">
        <f>(1-Parameters!B$62)*O78^-Parameters!B$64</f>
        <v>0.33221956302851829</v>
      </c>
      <c r="R78" s="5">
        <f>Parameters!B$62*EXP(-Parameters!B$61*A78)+(1-Parameters!B$62)*O78^-Parameters!B$64</f>
        <v>0.40002267535561314</v>
      </c>
      <c r="S78" s="5">
        <f>1-R78/Parameters!$B$12</f>
        <v>0.79998866232219346</v>
      </c>
      <c r="T78" s="5">
        <f t="shared" si="38"/>
        <v>4.999716574121793</v>
      </c>
      <c r="U78" s="5">
        <f>(Parameters!$B$19*(E78+Parameters!$B$20)^S78+Parameters!$B$18*F78^S78)^(1/S78)</f>
        <v>0.33410271751428744</v>
      </c>
      <c r="V78" s="5">
        <f>(Parameters!$B$10*G78^Parameters!$B$9+Parameters!$B$11*U78^Parameters!$B$9)^(Parameters!$B$7/Parameters!$B$9)*N78</f>
        <v>1.3307109445834799</v>
      </c>
      <c r="W78" s="5">
        <f>V78 - C78 - D78 - LN(1+EXP(Parameters!$B$21*B78))/Parameters!$B$21 - IF(B78&gt;0, 0,Parameters!$B$6*B78^2/E78)</f>
        <v>1.0154715862645101</v>
      </c>
      <c r="X78" s="5">
        <f>EXP(-Parameters!$B$56*A78)</f>
        <v>0.32712922587116899</v>
      </c>
      <c r="Y78" s="5">
        <f>IF(W78&gt;0,W78^(1-Parameters!$B$53)/(1-Parameters!$B$53)*X78*Parameters!$B$71,-10+W78*1000)</f>
        <v>-0.92964594645038523</v>
      </c>
      <c r="AA78" s="15">
        <f t="shared" si="41"/>
        <v>-9.5824736119627316E-4</v>
      </c>
      <c r="AB78" s="15">
        <f t="shared" si="42"/>
        <v>-1.5091348419901673E-4</v>
      </c>
      <c r="AC78" s="15">
        <f t="shared" si="43"/>
        <v>2.2462261437275477E-5</v>
      </c>
      <c r="AD78" s="15">
        <f t="shared" si="39"/>
        <v>3.0799787068346269E-7</v>
      </c>
      <c r="AE78" s="15">
        <f t="shared" si="44"/>
        <v>-1.1369039214661342E-4</v>
      </c>
      <c r="AF78" s="15">
        <f t="shared" si="45"/>
        <v>1.0046977713271121E-5</v>
      </c>
      <c r="AG78" s="15">
        <f t="shared" si="46"/>
        <v>-1.3976588090075515E-6</v>
      </c>
      <c r="AH78" s="15">
        <f t="shared" si="40"/>
        <v>4.2619705626318463E-9</v>
      </c>
      <c r="AI78" s="15"/>
      <c r="AM78" s="16">
        <f t="shared" si="34"/>
        <v>0.39197061019330626</v>
      </c>
      <c r="AN78" s="16">
        <f t="shared" si="35"/>
        <v>7.6220719645858344</v>
      </c>
      <c r="AO78" s="16">
        <f t="shared" si="36"/>
        <v>132.37937991921413</v>
      </c>
      <c r="AP78" s="6">
        <f t="shared" si="37"/>
        <v>527.25907471297239</v>
      </c>
      <c r="AQ78" s="15">
        <f>-X78*V78*W78^(-Parameters!B$53)*Parameters!B$47*Parameters!B$46*M78</f>
        <v>-1.0198262020112983E-5</v>
      </c>
      <c r="AR78" s="5">
        <f>1000*EXP(-(Parameters!$B$55)*'6states'!A78)*AP78*Parameters!B$47*Parameters!B$46*M78</f>
        <v>0.93910070088764708</v>
      </c>
      <c r="AS78" s="5">
        <f>SUM(AR78:AR$204)*EXP(Parameters!$B$55*A78)</f>
        <v>896.78085069484075</v>
      </c>
      <c r="AT78" s="25">
        <f t="shared" si="47"/>
        <v>0.23568066221015876</v>
      </c>
      <c r="AU78">
        <f>(1/$S78-1/Parameters!$B$13) * LN(Parameters!$B$18) / LN(O78)</f>
        <v>0.21854497044341895</v>
      </c>
      <c r="AV78">
        <f>(Parameters!$B$18*'6states'!S78^+Parameters!$B$19*Parameters!$B$25^'6states'!S78)^((1-'6states'!S78)/'6states'!S78)*Parameters!$B$18*Parameters!$B$26^('6states'!S78-1)</f>
        <v>0.30155279936711932</v>
      </c>
      <c r="AW78">
        <f t="shared" si="48"/>
        <v>0.2063205133678418</v>
      </c>
      <c r="AX78">
        <f t="shared" si="49"/>
        <v>0.14056822090354493</v>
      </c>
      <c r="AY78">
        <f t="shared" si="50"/>
        <v>0.18862137561448511</v>
      </c>
      <c r="AZ78">
        <f>(1/$S78-1/Parameters!$B$13) * LN(Parameters!$B$18) / A78</f>
        <v>1.2073487762692127E-2</v>
      </c>
    </row>
    <row r="79" spans="1:52" x14ac:dyDescent="0.35">
      <c r="A79">
        <f>A78+Parameters!$B$71</f>
        <v>75</v>
      </c>
      <c r="B79" s="7">
        <f t="shared" si="52"/>
        <v>2.065000382223453E-4</v>
      </c>
      <c r="C79" s="7">
        <f t="shared" si="53"/>
        <v>9.1444585586277438E-2</v>
      </c>
      <c r="D79" s="7">
        <f t="shared" si="54"/>
        <v>0.22207392558475211</v>
      </c>
      <c r="E79" s="5">
        <f>MAX((1-Parameters!$B$4)^Parameters!B$71*E78 + B78*Parameters!B$71 - IF(B78&gt;0,Parameters!$B$5,0)*B78^2/E78*Parameters!B$71, 0.0001)</f>
        <v>1.8262219059295148E-2</v>
      </c>
      <c r="F79" s="5">
        <f>(1-Parameters!$B$4)^Parameters!B$71*F78+C78*Parameters!B$71-Parameters!$B$5*C78^2/F78*Parameters!B$71</f>
        <v>1.3030878491155913</v>
      </c>
      <c r="G79" s="5">
        <f>(1-Parameters!$B$4)^Parameters!B$71*G78+D78*Parameters!B$71-Parameters!$B$5*D78^2/G78*Parameters!B$71</f>
        <v>3.2855820867830818</v>
      </c>
      <c r="H79" s="7">
        <f>MAX(H78 * (1-Parameters!$B$4) ^ Parameters!B$71 + (LN(1+EXP(Parameters!$B$21*(-B78+0.004)))/Parameters!$B$21 -0.004) * Parameters!B$71,0)</f>
        <v>1.1900849110225279E-3</v>
      </c>
      <c r="I79" s="16">
        <f>I78*(1+Parameters!$B$52)^Parameters!B$71</f>
        <v>10.139405856146295</v>
      </c>
      <c r="J79" s="16">
        <f>J78*(1+Parameters!$B$54)^Parameters!B$71</f>
        <v>39.974738392877015</v>
      </c>
      <c r="K79" s="16">
        <f>I79*J79*EXP(-Parameters!$B$43*'6states'!A79)*(Parameters!$B$38/Parameters!$B$39*('6states'!E79+'6states'!H79)/Parameters!$E$25*(EXP(-Parameters!$B$39*Parameters!$E$25*'6states'!H79/('6states'!E79+'6states'!H79))-EXP(-Parameters!$B$39*Parameters!$E$25))  +  Parameters!$B$40*'6states'!E79)</f>
        <v>2.7212966430731682</v>
      </c>
      <c r="L79" s="6">
        <f>L78+K79*Parameters!B$71</f>
        <v>3308.1365784589061</v>
      </c>
      <c r="M79" s="5">
        <f>L79*Parameters!$B$46</f>
        <v>1.9848819470753436</v>
      </c>
      <c r="N79" s="7">
        <f>EXP(-Parameters!$B$47/2*M79^2)</f>
        <v>0.96117906900633698</v>
      </c>
      <c r="O79" s="6">
        <f>MAX((Parameters!$B$63 + Parameters!$B$31*'6states'!A79 - '6states'!L79 + Parameters!$B$48/Parameters!$B$46)/Parameters!B$63,1)</f>
        <v>60.637268430821877</v>
      </c>
      <c r="P79" s="5">
        <f>Parameters!B$62*EXP(-Parameters!B$61*A79)</f>
        <v>6.5996921593915112E-2</v>
      </c>
      <c r="Q79" s="5">
        <f>(1-Parameters!B$62)*O79^-Parameters!B$64</f>
        <v>0.3316622490507572</v>
      </c>
      <c r="R79" s="5">
        <f>Parameters!B$62*EXP(-Parameters!B$61*A79)+(1-Parameters!B$62)*O79^-Parameters!B$64</f>
        <v>0.39765917064467232</v>
      </c>
      <c r="S79" s="5">
        <f>1-R79/Parameters!$B$12</f>
        <v>0.80117041467766381</v>
      </c>
      <c r="T79" s="5">
        <f t="shared" si="38"/>
        <v>5.0294326087278804</v>
      </c>
      <c r="U79" s="5">
        <f>(Parameters!$B$19*(E79+Parameters!$B$20)^S79+Parameters!$B$18*F79^S79)^(1/S79)</f>
        <v>0.33422764491066204</v>
      </c>
      <c r="V79" s="5">
        <f>(Parameters!$B$10*G79^Parameters!$B$9+Parameters!$B$11*U79^Parameters!$B$9)^(Parameters!$B$7/Parameters!$B$9)*N79</f>
        <v>1.3307027496243373</v>
      </c>
      <c r="W79" s="5">
        <f>V79 - C79 - D79 - LN(1+EXP(Parameters!$B$21*B79))/Parameters!$B$21 - IF(B79&gt;0, 0,Parameters!$B$6*B79^2/E79)</f>
        <v>1.0153459889753529</v>
      </c>
      <c r="X79" s="5">
        <f>EXP(-Parameters!$B$56*A79)</f>
        <v>0.32222668191941661</v>
      </c>
      <c r="Y79" s="5">
        <f>IF(W79&gt;0,W79^(1-Parameters!$B$53)/(1-Parameters!$B$53)*X79*Parameters!$B$71,-10+W79*1000)</f>
        <v>-0.91575338941276563</v>
      </c>
      <c r="AA79" s="15">
        <f t="shared" si="41"/>
        <v>-1.0839886265925271E-3</v>
      </c>
      <c r="AB79" s="15">
        <f t="shared" si="42"/>
        <v>-1.4152897433704348E-4</v>
      </c>
      <c r="AC79" s="15">
        <f t="shared" si="43"/>
        <v>2.1145011709453043E-5</v>
      </c>
      <c r="AD79" s="15">
        <f t="shared" si="39"/>
        <v>3.852248675598437E-7</v>
      </c>
      <c r="AE79" s="15">
        <f t="shared" si="44"/>
        <v>-1.2574126539625398E-4</v>
      </c>
      <c r="AF79" s="15">
        <f t="shared" si="45"/>
        <v>9.3845098619732559E-6</v>
      </c>
      <c r="AG79" s="15">
        <f t="shared" si="46"/>
        <v>-1.3172497278224338E-6</v>
      </c>
      <c r="AH79" s="15">
        <f t="shared" si="40"/>
        <v>5.1236201329926668E-9</v>
      </c>
      <c r="AI79" s="15"/>
      <c r="AM79" s="16">
        <f t="shared" si="34"/>
        <v>0.48236533104864737</v>
      </c>
      <c r="AN79" s="16">
        <f t="shared" si="35"/>
        <v>7.4020443924887891</v>
      </c>
      <c r="AO79" s="16">
        <f t="shared" si="36"/>
        <v>135.46918130776083</v>
      </c>
      <c r="AP79" s="6">
        <f t="shared" si="37"/>
        <v>539.36056696860192</v>
      </c>
      <c r="AQ79" s="15">
        <f>-X79*V79*W79^(-Parameters!B$53)*Parameters!B$47*Parameters!B$46*M79</f>
        <v>-1.0055312343020971E-5</v>
      </c>
      <c r="AR79" s="5">
        <f>1000*EXP(-(Parameters!$B$55)*'6states'!A79)*AP79*Parameters!B$47*Parameters!B$46*M79</f>
        <v>0.92828419808325391</v>
      </c>
      <c r="AS79" s="5">
        <f>SUM(AR79:AR$204)*EXP(Parameters!$B$55*A79)</f>
        <v>915.75532053398751</v>
      </c>
      <c r="AT79" s="25">
        <f t="shared" si="47"/>
        <v>0.23575889604031983</v>
      </c>
      <c r="AU79" s="30">
        <f>(1/$S79-1/Parameters!$B$13) * LN(Parameters!$B$18) / LN(O79)</f>
        <v>0.21818618703783432</v>
      </c>
      <c r="AV79">
        <f>(Parameters!$B$18*'6states'!S79^+Parameters!$B$19*Parameters!$B$25^'6states'!S79)^((1-'6states'!S79)/'6states'!S79)*Parameters!$B$18*Parameters!$B$26^('6states'!S79-1)</f>
        <v>0.3017920893468467</v>
      </c>
      <c r="AW79">
        <f t="shared" si="48"/>
        <v>0.20566987325199429</v>
      </c>
      <c r="AX79" s="30">
        <f t="shared" si="49"/>
        <v>0.14035446248840655</v>
      </c>
      <c r="AY79">
        <f t="shared" si="50"/>
        <v>0.18875594228894144</v>
      </c>
      <c r="AZ79" s="30">
        <f>(1/$S79-1/Parameters!$B$13) * LN(Parameters!$B$18) / A79</f>
        <v>1.1941794592148315E-2</v>
      </c>
    </row>
    <row r="80" spans="1:52" x14ac:dyDescent="0.35">
      <c r="A80">
        <f>A79+Parameters!$B$71</f>
        <v>76</v>
      </c>
      <c r="B80" s="7">
        <f t="shared" si="52"/>
        <v>1.7462755747222415E-4</v>
      </c>
      <c r="C80" s="7">
        <f t="shared" si="53"/>
        <v>9.1486143527146721E-2</v>
      </c>
      <c r="D80" s="7">
        <f t="shared" si="54"/>
        <v>0.22216641470414439</v>
      </c>
      <c r="E80" s="5">
        <f>MAX((1-Parameters!$B$4)^Parameters!B$71*E79 + B79*Parameters!B$71 - IF(B79&gt;0,Parameters!$B$5,0)*B79^2/E79*Parameters!B$71, 0.0001)</f>
        <v>1.7317690519548491E-2</v>
      </c>
      <c r="F80" s="5">
        <f>(1-Parameters!$B$4)^Parameters!B$71*F79+C79*Parameters!B$71-Parameters!$B$5*C79^2/F79*Parameters!B$71</f>
        <v>1.306151057425379</v>
      </c>
      <c r="G80" s="5">
        <f>(1-Parameters!$B$4)^Parameters!B$71*G79+D79*Parameters!B$71-Parameters!$B$5*D79^2/G79*Parameters!B$71</f>
        <v>3.2859828256664816</v>
      </c>
      <c r="H80" s="7">
        <f>MAX(H79 * (1-Parameters!$B$4) ^ Parameters!B$71 + (LN(1+EXP(Parameters!$B$21*(-B79+0.004)))/Parameters!$B$21 -0.004) * Parameters!B$71,0)</f>
        <v>1.4043824601354552E-3</v>
      </c>
      <c r="I80" s="16">
        <f>I79*(1+Parameters!$B$52)^Parameters!B$71</f>
        <v>10.168810133129119</v>
      </c>
      <c r="J80" s="16">
        <f>J79*(1+Parameters!$B$54)^Parameters!B$71</f>
        <v>40.774233160734553</v>
      </c>
      <c r="K80" s="16">
        <f>I80*J80*EXP(-Parameters!$B$43*'6states'!A80)*(Parameters!$B$38/Parameters!$B$39*('6states'!E80+'6states'!H80)/Parameters!$E$25*(EXP(-Parameters!$B$39*Parameters!$E$25*'6states'!H80/('6states'!E80+'6states'!H80))-EXP(-Parameters!$B$39*Parameters!$E$25))  +  Parameters!$B$40*'6states'!E80)</f>
        <v>2.596942910328111</v>
      </c>
      <c r="L80" s="6">
        <f>L79+K80*Parameters!B$71</f>
        <v>3310.733521369234</v>
      </c>
      <c r="M80" s="5">
        <f>L80*Parameters!$B$46</f>
        <v>1.9864401128215403</v>
      </c>
      <c r="N80" s="7">
        <f>EXP(-Parameters!$B$47/2*M80^2)</f>
        <v>0.96111929592789003</v>
      </c>
      <c r="O80" s="6">
        <f>MAX((Parameters!$B$63 + Parameters!$B$31*'6states'!A80 - '6states'!L80 + Parameters!$B$48/Parameters!$B$46)/Parameters!B$63,1)</f>
        <v>61.649329572615322</v>
      </c>
      <c r="P80" s="5">
        <f>Parameters!B$62*EXP(-Parameters!B$61*A80)</f>
        <v>6.4238845539437511E-2</v>
      </c>
      <c r="Q80" s="5">
        <f>(1-Parameters!B$62)*O80^-Parameters!B$64</f>
        <v>0.33111371391204486</v>
      </c>
      <c r="R80" s="5">
        <f>Parameters!B$62*EXP(-Parameters!B$61*A80)+(1-Parameters!B$62)*O80^-Parameters!B$64</f>
        <v>0.3953525594514824</v>
      </c>
      <c r="S80" s="5">
        <f>1-R80/Parameters!$B$12</f>
        <v>0.8023237202742588</v>
      </c>
      <c r="T80" s="5">
        <f t="shared" si="38"/>
        <v>5.0587759006159656</v>
      </c>
      <c r="U80" s="5">
        <f>(Parameters!$B$19*(E80+Parameters!$B$20)^S80+Parameters!$B$18*F80^S80)^(1/S80)</f>
        <v>0.33434085616257803</v>
      </c>
      <c r="V80" s="5">
        <f>(Parameters!$B$10*G80^Parameters!$B$9+Parameters!$B$11*U80^Parameters!$B$9)^(Parameters!$B$7/Parameters!$B$9)*N80</f>
        <v>1.3306983932879781</v>
      </c>
      <c r="W80" s="5">
        <f>V80 - C80 - D80 - LN(1+EXP(Parameters!$B$21*B80))/Parameters!$B$21 - IF(B80&gt;0, 0,Parameters!$B$6*B80^2/E80)</f>
        <v>1.0152241288972359</v>
      </c>
      <c r="X80" s="5">
        <f>EXP(-Parameters!$B$56*A80)</f>
        <v>0.31739761026942775</v>
      </c>
      <c r="Y80" s="5">
        <f>IF(W80&gt;0,W80^(1-Parameters!$B$53)/(1-Parameters!$B$53)*X80*Parameters!$B$71,-10+W80*1000)</f>
        <v>-0.90206728426833416</v>
      </c>
      <c r="AA80" s="15">
        <f t="shared" si="41"/>
        <v>-1.2237327176546249E-3</v>
      </c>
      <c r="AB80" s="15">
        <f t="shared" si="42"/>
        <v>-1.3275924836080033E-4</v>
      </c>
      <c r="AC80" s="15">
        <f t="shared" si="43"/>
        <v>1.990363523862726E-5</v>
      </c>
      <c r="AD80" s="15">
        <f t="shared" si="39"/>
        <v>4.8102970645797494E-7</v>
      </c>
      <c r="AE80" s="15">
        <f t="shared" si="44"/>
        <v>-1.3974409106209777E-4</v>
      </c>
      <c r="AF80" s="15">
        <f t="shared" si="45"/>
        <v>8.7697259762431479E-6</v>
      </c>
      <c r="AG80" s="15">
        <f t="shared" si="46"/>
        <v>-1.2413764708257835E-6</v>
      </c>
      <c r="AH80" s="15">
        <f t="shared" si="40"/>
        <v>6.2231705393613972E-9</v>
      </c>
      <c r="AI80" s="15"/>
      <c r="AM80" s="16">
        <f t="shared" si="34"/>
        <v>0.58229268891112895</v>
      </c>
      <c r="AN80" s="16">
        <f t="shared" si="35"/>
        <v>7.180354970672334</v>
      </c>
      <c r="AO80" s="16">
        <f t="shared" si="36"/>
        <v>138.62622303683494</v>
      </c>
      <c r="AP80" s="6">
        <f t="shared" si="37"/>
        <v>551.74140061720755</v>
      </c>
      <c r="AQ80" s="15">
        <f>-X80*V80*W80^(-Parameters!B$53)*Parameters!B$47*Parameters!B$46*M80</f>
        <v>-9.9139668491493342E-6</v>
      </c>
      <c r="AR80" s="5">
        <f>1000*EXP(-(Parameters!$B$55)*'6states'!A80)*AP80*Parameters!B$47*Parameters!B$46*M80</f>
        <v>0.91755984081603126</v>
      </c>
      <c r="AS80" s="5">
        <f>SUM(AR80:AR$204)*EXP(Parameters!$B$55*A80)</f>
        <v>935.09683730323468</v>
      </c>
      <c r="AT80" s="25">
        <f t="shared" si="47"/>
        <v>0.23583645052229923</v>
      </c>
      <c r="AU80">
        <f>(1/$S80-1/Parameters!$B$13) * LN(Parameters!$B$18) / LN(O80)</f>
        <v>0.21782850476749663</v>
      </c>
      <c r="AV80">
        <f>(Parameters!$B$18*'6states'!S80^+Parameters!$B$19*Parameters!$B$25^'6states'!S80)^((1-'6states'!S80)/'6states'!S80)*Parameters!$B$18*Parameters!$B$26^('6states'!S80-1)</f>
        <v>0.30202246332442029</v>
      </c>
      <c r="AW80">
        <f t="shared" si="48"/>
        <v>0.20502900328193913</v>
      </c>
      <c r="AX80">
        <f t="shared" si="49"/>
        <v>0.14014130719349882</v>
      </c>
      <c r="AY80">
        <f t="shared" si="50"/>
        <v>0.18888547389077637</v>
      </c>
      <c r="AZ80">
        <f>(1/$S80-1/Parameters!$B$13) * LN(Parameters!$B$18) / A80</f>
        <v>1.1812789239542668E-2</v>
      </c>
    </row>
    <row r="81" spans="1:52" x14ac:dyDescent="0.35">
      <c r="A81">
        <f>A80+Parameters!$B$71</f>
        <v>77</v>
      </c>
      <c r="B81" s="7">
        <f t="shared" si="52"/>
        <v>1.4275507672210301E-4</v>
      </c>
      <c r="C81" s="7">
        <f t="shared" si="53"/>
        <v>9.1527701468016004E-2</v>
      </c>
      <c r="D81" s="7">
        <f t="shared" si="54"/>
        <v>0.22225890382353666</v>
      </c>
      <c r="E81" s="5">
        <f>MAX((1-Parameters!$B$4)^Parameters!B$71*E80 + B80*Parameters!B$71 - IF(B80&gt;0,Parameters!$B$5,0)*B80^2/E80*Parameters!B$71, 0.0001)</f>
        <v>1.6401274439726728E-2</v>
      </c>
      <c r="F81" s="5">
        <f>(1-Parameters!$B$4)^Parameters!B$71*F80+C80*Parameters!B$71-Parameters!$B$5*C80^2/F80*Parameters!B$71</f>
        <v>1.3090723771638779</v>
      </c>
      <c r="G81" s="5">
        <f>(1-Parameters!$B$4)^Parameters!B$71*G80+D80*Parameters!B$71-Parameters!$B$5*D80^2/G80*Parameters!B$71</f>
        <v>3.2864401738943276</v>
      </c>
      <c r="H81" s="7">
        <f>MAX(H80 * (1-Parameters!$B$4) ^ Parameters!B$71 + (LN(1+EXP(Parameters!$B$21*(-B80+0.004)))/Parameters!$B$21 -0.004) * Parameters!B$71,0)</f>
        <v>1.6313709636369359E-3</v>
      </c>
      <c r="I81" s="16">
        <f>I80*(1+Parameters!$B$52)^Parameters!B$71</f>
        <v>10.198299682515193</v>
      </c>
      <c r="J81" s="16">
        <f>J80*(1+Parameters!$B$54)^Parameters!B$71</f>
        <v>41.589717823949243</v>
      </c>
      <c r="K81" s="16">
        <f>I81*J81*EXP(-Parameters!$B$43*'6states'!A81)*(Parameters!$B$38/Parameters!$B$39*('6states'!E81+'6states'!H81)/Parameters!$E$25*(EXP(-Parameters!$B$39*Parameters!$E$25*'6states'!H81/('6states'!E81+'6states'!H81))-EXP(-Parameters!$B$39*Parameters!$E$25))  +  Parameters!$B$40*'6states'!E81)</f>
        <v>2.4812412355652564</v>
      </c>
      <c r="L81" s="6">
        <f>L80+K81*Parameters!B$71</f>
        <v>3313.2147626047995</v>
      </c>
      <c r="M81" s="5">
        <f>L81*Parameters!$B$46</f>
        <v>1.9879288575628795</v>
      </c>
      <c r="N81" s="7">
        <f>EXP(-Parameters!$B$47/2*M81^2)</f>
        <v>0.96106214558114378</v>
      </c>
      <c r="O81" s="6">
        <f>MAX((Parameters!$B$63 + Parameters!$B$31*'6states'!A81 - '6states'!L81 + Parameters!$B$48/Parameters!$B$46)/Parameters!B$63,1)</f>
        <v>62.663704747904021</v>
      </c>
      <c r="P81" s="5">
        <f>Parameters!B$62*EXP(-Parameters!B$61*A81)</f>
        <v>6.2527602448356992E-2</v>
      </c>
      <c r="Q81" s="5">
        <f>(1-Parameters!B$62)*O81^-Parameters!B$64</f>
        <v>0.33057377526848258</v>
      </c>
      <c r="R81" s="5">
        <f>Parameters!B$62*EXP(-Parameters!B$61*A81)+(1-Parameters!B$62)*O81^-Parameters!B$64</f>
        <v>0.39310137771683956</v>
      </c>
      <c r="S81" s="5">
        <f>1-R81/Parameters!$B$12</f>
        <v>0.80344931114158025</v>
      </c>
      <c r="T81" s="5">
        <f t="shared" si="38"/>
        <v>5.0877460964806103</v>
      </c>
      <c r="U81" s="5">
        <f>(Parameters!$B$19*(E81+Parameters!$B$20)^S81+Parameters!$B$18*F81^S81)^(1/S81)</f>
        <v>0.3344423137086438</v>
      </c>
      <c r="V81" s="5">
        <f>(Parameters!$B$10*G81^Parameters!$B$9+Parameters!$B$11*U81^Parameters!$B$9)^(Parameters!$B$7/Parameters!$B$9)*N81</f>
        <v>1.3306973290992139</v>
      </c>
      <c r="W81" s="5">
        <f>V81 - C81 - D81 - LN(1+EXP(Parameters!$B$21*B81))/Parameters!$B$21 - IF(B81&gt;0, 0,Parameters!$B$6*B81^2/E81)</f>
        <v>1.0151054595057083</v>
      </c>
      <c r="X81" s="5">
        <f>EXP(-Parameters!$B$56*A81)</f>
        <v>0.31264090982365395</v>
      </c>
      <c r="Y81" s="5">
        <f>IF(W81&gt;0,W81^(1-Parameters!$B$53)/(1-Parameters!$B$53)*X81*Parameters!$B$71,-10+W81*1000)</f>
        <v>-0.88858474744382976</v>
      </c>
      <c r="AA81" s="15">
        <f t="shared" si="41"/>
        <v>-1.3798656037849986E-3</v>
      </c>
      <c r="AB81" s="15">
        <f t="shared" si="42"/>
        <v>-1.2456051298352644E-4</v>
      </c>
      <c r="AC81" s="15">
        <f t="shared" si="43"/>
        <v>1.8733841829640663E-5</v>
      </c>
      <c r="AD81" s="15">
        <f t="shared" si="39"/>
        <v>6.002378329711705E-7</v>
      </c>
      <c r="AE81" s="15">
        <f t="shared" si="44"/>
        <v>-1.5613288613037374E-4</v>
      </c>
      <c r="AF81" s="15">
        <f t="shared" si="45"/>
        <v>8.1987353772738913E-6</v>
      </c>
      <c r="AG81" s="15">
        <f t="shared" si="46"/>
        <v>-1.1697934089865969E-6</v>
      </c>
      <c r="AH81" s="15">
        <f t="shared" si="40"/>
        <v>7.6428402563868308E-9</v>
      </c>
      <c r="AI81" s="15"/>
      <c r="AM81" s="16">
        <f t="shared" si="34"/>
        <v>0.69193686846774649</v>
      </c>
      <c r="AN81" s="16">
        <f t="shared" si="35"/>
        <v>6.9565088061909774</v>
      </c>
      <c r="AO81" s="16">
        <f t="shared" si="36"/>
        <v>141.85183651593297</v>
      </c>
      <c r="AP81" s="6">
        <f t="shared" si="37"/>
        <v>564.40782832286607</v>
      </c>
      <c r="AQ81" s="15">
        <f>-X81*V81*W81^(-Parameters!B$53)*Parameters!B$47*Parameters!B$46*M81</f>
        <v>-9.7742437726501371E-6</v>
      </c>
      <c r="AR81" s="5">
        <f>1000*EXP(-(Parameters!$B$55)*'6states'!A81)*AP81*Parameters!B$47*Parameters!B$46*M81</f>
        <v>0.90692939542338258</v>
      </c>
      <c r="AS81" s="5">
        <f>SUM(AR81:AR$204)*EXP(Parameters!$B$55*A81)</f>
        <v>954.81160235848256</v>
      </c>
      <c r="AT81" s="25">
        <f t="shared" si="47"/>
        <v>0.23591342186038827</v>
      </c>
      <c r="AU81">
        <f>(1/$S81-1/Parameters!$B$13) * LN(Parameters!$B$18) / LN(O81)</f>
        <v>0.21747206631509408</v>
      </c>
      <c r="AV81">
        <f>(Parameters!$B$18*'6states'!S81^+Parameters!$B$19*Parameters!$B$25^'6states'!S81)^((1-'6states'!S81)/'6states'!S81)*Parameters!$B$18*Parameters!$B$26^('6states'!S81-1)</f>
        <v>0.3022443039469902</v>
      </c>
      <c r="AW81">
        <f t="shared" si="48"/>
        <v>0.20439778667338546</v>
      </c>
      <c r="AX81">
        <f t="shared" si="49"/>
        <v>0.13992884055492183</v>
      </c>
      <c r="AY81">
        <f t="shared" si="50"/>
        <v>0.18901018792435531</v>
      </c>
      <c r="AZ81">
        <f>(1/$S81-1/Parameters!$B$13) * LN(Parameters!$B$18) / A81</f>
        <v>1.1686390783291622E-2</v>
      </c>
    </row>
    <row r="82" spans="1:52" x14ac:dyDescent="0.35">
      <c r="A82">
        <f>A81+Parameters!$B$71</f>
        <v>78</v>
      </c>
      <c r="B82" s="7">
        <f t="shared" si="52"/>
        <v>1.1088259597198186E-4</v>
      </c>
      <c r="C82" s="7">
        <f t="shared" si="53"/>
        <v>9.1569259408885287E-2</v>
      </c>
      <c r="D82" s="7">
        <f t="shared" si="54"/>
        <v>0.22235139294292894</v>
      </c>
      <c r="E82" s="5">
        <f>MAX((1-Parameters!$B$4)^Parameters!B$71*E81 + B81*Parameters!B$71 - IF(B81&gt;0,Parameters!$B$5,0)*B81^2/E81*Parameters!B$71, 0.0001)</f>
        <v>1.5511146828067746E-2</v>
      </c>
      <c r="F82" s="5">
        <f>(1-Parameters!$B$4)^Parameters!B$71*F81+C81*Parameters!B$71-Parameters!$B$5*C81^2/F81*Parameters!B$71</f>
        <v>1.31185999374522</v>
      </c>
      <c r="G82" s="5">
        <f>(1-Parameters!$B$4)^Parameters!B$71*G81+D81*Parameters!B$71-Parameters!$B$5*D81^2/G81*Parameters!B$71</f>
        <v>3.2869508270541146</v>
      </c>
      <c r="H82" s="7">
        <f>MAX(H81 * (1-Parameters!$B$4) ^ Parameters!B$71 + (LN(1+EXP(Parameters!$B$21*(-B81+0.004)))/Parameters!$B$21 -0.004) * Parameters!B$71,0)</f>
        <v>1.8703116075757707E-3</v>
      </c>
      <c r="I82" s="16">
        <f>I81*(1+Parameters!$B$52)^Parameters!B$71</f>
        <v>10.227874751594486</v>
      </c>
      <c r="J82" s="16">
        <f>J81*(1+Parameters!$B$54)^Parameters!B$71</f>
        <v>42.42151218042823</v>
      </c>
      <c r="K82" s="16">
        <f>I82*J82*EXP(-Parameters!$B$43*'6states'!A82)*(Parameters!$B$38/Parameters!$B$39*('6states'!E82+'6states'!H82)/Parameters!$E$25*(EXP(-Parameters!$B$39*Parameters!$E$25*'6states'!H82/('6states'!E82+'6states'!H82))-EXP(-Parameters!$B$39*Parameters!$E$25))  +  Parameters!$B$40*'6states'!E82)</f>
        <v>2.3713059806382617</v>
      </c>
      <c r="L82" s="6">
        <f>L81+K82*Parameters!B$71</f>
        <v>3315.5860685854377</v>
      </c>
      <c r="M82" s="5">
        <f>L82*Parameters!$B$46</f>
        <v>1.9893516411512624</v>
      </c>
      <c r="N82" s="7">
        <f>EXP(-Parameters!$B$47/2*M82^2)</f>
        <v>0.96100749053670098</v>
      </c>
      <c r="O82" s="6">
        <f>MAX((Parameters!$B$63 + Parameters!$B$31*'6states'!A82 - '6states'!L82 + Parameters!$B$48/Parameters!$B$46)/Parameters!B$63,1)</f>
        <v>63.680278628291255</v>
      </c>
      <c r="P82" s="5">
        <f>Parameters!B$62*EXP(-Parameters!B$61*A82)</f>
        <v>6.0861944748672944E-2</v>
      </c>
      <c r="Q82" s="5">
        <f>(1-Parameters!B$62)*O82^-Parameters!B$64</f>
        <v>0.33004222694877167</v>
      </c>
      <c r="R82" s="5">
        <f>Parameters!B$62*EXP(-Parameters!B$61*A82)+(1-Parameters!B$62)*O82^-Parameters!B$64</f>
        <v>0.39090417169744462</v>
      </c>
      <c r="S82" s="5">
        <f>1-R82/Parameters!$B$12</f>
        <v>0.80454791415127769</v>
      </c>
      <c r="T82" s="5">
        <f t="shared" si="38"/>
        <v>5.1163434539858974</v>
      </c>
      <c r="U82" s="5">
        <f>(Parameters!$B$19*(E82+Parameters!$B$20)^S82+Parameters!$B$18*F82^S82)^(1/S82)</f>
        <v>0.33453198511927751</v>
      </c>
      <c r="V82" s="5">
        <f>(Parameters!$B$10*G82^Parameters!$B$9+Parameters!$B$11*U82^Parameters!$B$9)^(Parameters!$B$7/Parameters!$B$9)*N82</f>
        <v>1.3306991161426103</v>
      </c>
      <c r="W82" s="5">
        <f>V82 - C82 - D82 - LN(1+EXP(Parameters!$B$21*B82))/Parameters!$B$21 - IF(B82&gt;0, 0,Parameters!$B$6*B82^2/E82)</f>
        <v>1.0149895398442876</v>
      </c>
      <c r="X82" s="5">
        <f>EXP(-Parameters!$B$56*A82)</f>
        <v>0.30795549598621846</v>
      </c>
      <c r="Y82" s="5">
        <f>IF(W82&gt;0,W82^(1-Parameters!$B$53)/(1-Parameters!$B$53)*X82*Parameters!$B$71,-10+W82*1000)</f>
        <v>-0.87530289841933606</v>
      </c>
      <c r="AA82" s="15">
        <f t="shared" si="41"/>
        <v>-1.5553265009377801E-3</v>
      </c>
      <c r="AB82" s="15">
        <f t="shared" si="42"/>
        <v>-1.1689249712668048E-4</v>
      </c>
      <c r="AC82" s="15">
        <f t="shared" si="43"/>
        <v>1.763157479507671E-5</v>
      </c>
      <c r="AD82" s="15">
        <f t="shared" si="39"/>
        <v>7.4926041892841329E-7</v>
      </c>
      <c r="AE82" s="15">
        <f t="shared" si="44"/>
        <v>-1.7546089715278143E-4</v>
      </c>
      <c r="AF82" s="15">
        <f t="shared" si="45"/>
        <v>7.6680158568459555E-6</v>
      </c>
      <c r="AG82" s="15">
        <f t="shared" si="46"/>
        <v>-1.1022670345639529E-6</v>
      </c>
      <c r="AH82" s="15">
        <f t="shared" si="40"/>
        <v>9.4993614911158691E-9</v>
      </c>
      <c r="AI82" s="15"/>
      <c r="AM82" s="16">
        <f t="shared" si="34"/>
        <v>0.81149437886440512</v>
      </c>
      <c r="AN82" s="16">
        <f t="shared" si="35"/>
        <v>6.7300060640870969</v>
      </c>
      <c r="AO82" s="16">
        <f t="shared" si="36"/>
        <v>145.14737778188473</v>
      </c>
      <c r="AP82" s="6">
        <f t="shared" si="37"/>
        <v>577.36627861131046</v>
      </c>
      <c r="AQ82" s="15">
        <f>-X82*V82*W82^(-Parameters!B$53)*Parameters!B$47*Parameters!B$46*M82</f>
        <v>-9.6361505619321037E-6</v>
      </c>
      <c r="AR82" s="5">
        <f>1000*EXP(-(Parameters!$B$55)*'6states'!A82)*AP82*Parameters!B$47*Parameters!B$46*M82</f>
        <v>0.89639380585280559</v>
      </c>
      <c r="AS82" s="5">
        <f>SUM(AR82:AR$204)*EXP(Parameters!$B$55*A82)</f>
        <v>974.90586503729389</v>
      </c>
      <c r="AT82" s="25">
        <f t="shared" si="47"/>
        <v>0.2359898876750525</v>
      </c>
      <c r="AU82">
        <f>(1/$S82-1/Parameters!$B$13) * LN(Parameters!$B$18) / LN(O82)</f>
        <v>0.21711696424759974</v>
      </c>
      <c r="AV82">
        <f>(Parameters!$B$18*'6states'!S82^+Parameters!$B$19*Parameters!$B$25^'6states'!S82)^((1-'6states'!S82)/'6states'!S82)*Parameters!$B$18*Parameters!$B$26^('6states'!S82-1)</f>
        <v>0.30245797845401318</v>
      </c>
      <c r="AW82">
        <f t="shared" si="48"/>
        <v>0.20377606276877705</v>
      </c>
      <c r="AX82">
        <f t="shared" si="49"/>
        <v>0.13971711830717304</v>
      </c>
      <c r="AY82">
        <f t="shared" si="50"/>
        <v>0.18913029301335205</v>
      </c>
      <c r="AZ82">
        <f>(1/$S82-1/Parameters!$B$13) * LN(Parameters!$B$18) / A82</f>
        <v>1.1562521946627647E-2</v>
      </c>
    </row>
    <row r="83" spans="1:52" x14ac:dyDescent="0.35">
      <c r="A83">
        <f>A82+Parameters!$B$71</f>
        <v>79</v>
      </c>
      <c r="B83" s="7">
        <f t="shared" si="52"/>
        <v>7.9010115221860716E-5</v>
      </c>
      <c r="C83" s="7">
        <f t="shared" si="53"/>
        <v>9.161081734975457E-2</v>
      </c>
      <c r="D83" s="7">
        <f t="shared" si="54"/>
        <v>0.22244388206232121</v>
      </c>
      <c r="E83" s="5">
        <f>MAX((1-Parameters!$B$4)^Parameters!B$71*E82 + B82*Parameters!B$71 - IF(B82&gt;0,Parameters!$B$5,0)*B82^2/E82*Parameters!B$71, 0.0001)</f>
        <v>1.4645585636004087E-2</v>
      </c>
      <c r="F83" s="5">
        <f>(1-Parameters!$B$4)^Parameters!B$71*F82+C82*Parameters!B$71-Parameters!$B$5*C82^2/F82*Parameters!B$71</f>
        <v>1.3145216252964143</v>
      </c>
      <c r="G83" s="5">
        <f>(1-Parameters!$B$4)^Parameters!B$71*G82+D82*Parameters!B$71-Parameters!$B$5*D82^2/G82*Parameters!B$71</f>
        <v>3.2875116738908821</v>
      </c>
      <c r="H83" s="7">
        <f>MAX(H82 * (1-Parameters!$B$4) ^ Parameters!B$71 + (LN(1+EXP(Parameters!$B$21*(-B82+0.004)))/Parameters!$B$21 -0.004) * Parameters!B$71,0)</f>
        <v>2.1205115618804036E-3</v>
      </c>
      <c r="I83" s="16">
        <f>I82*(1+Parameters!$B$52)^Parameters!B$71</f>
        <v>10.257535588374109</v>
      </c>
      <c r="J83" s="16">
        <f>J82*(1+Parameters!$B$54)^Parameters!B$71</f>
        <v>43.269942424036799</v>
      </c>
      <c r="K83" s="16">
        <f>I83*J83*EXP(-Parameters!$B$43*'6states'!A83)*(Parameters!$B$38/Parameters!$B$39*('6states'!E83+'6states'!H83)/Parameters!$E$25*(EXP(-Parameters!$B$39*Parameters!$E$25*'6states'!H83/('6states'!E83+'6states'!H83))-EXP(-Parameters!$B$39*Parameters!$E$25))  +  Parameters!$B$40*'6states'!E83)</f>
        <v>2.2649572448318884</v>
      </c>
      <c r="L83" s="6">
        <f>L82+K83*Parameters!B$71</f>
        <v>3317.8510258302695</v>
      </c>
      <c r="M83" s="5">
        <f>L83*Parameters!$B$46</f>
        <v>1.9907106154981615</v>
      </c>
      <c r="N83" s="7">
        <f>EXP(-Parameters!$B$47/2*M83^2)</f>
        <v>0.96095525306427254</v>
      </c>
      <c r="O83" s="6">
        <f>MAX((Parameters!$B$63 + Parameters!$B$31*'6states'!A83 - '6states'!L83 + Parameters!$B$48/Parameters!$B$46)/Parameters!B$63,1)</f>
        <v>64.698979483394609</v>
      </c>
      <c r="P83" s="5">
        <f>Parameters!B$62*EXP(-Parameters!B$61*A83)</f>
        <v>5.9240658102153877E-2</v>
      </c>
      <c r="Q83" s="5">
        <f>(1-Parameters!B$62)*O83^-Parameters!B$64</f>
        <v>0.32951884848169816</v>
      </c>
      <c r="R83" s="5">
        <f>Parameters!B$62*EXP(-Parameters!B$61*A83)+(1-Parameters!B$62)*O83^-Parameters!B$64</f>
        <v>0.38875950658385205</v>
      </c>
      <c r="S83" s="5">
        <f>1-R83/Parameters!$B$12</f>
        <v>0.80562024670807397</v>
      </c>
      <c r="T83" s="5">
        <f t="shared" si="38"/>
        <v>5.1445687272694833</v>
      </c>
      <c r="U83" s="5">
        <f>(Parameters!$B$19*(E83+Parameters!$B$20)^S83+Parameters!$B$18*F83^S83)^(1/S83)</f>
        <v>0.33460983835915048</v>
      </c>
      <c r="V83" s="5">
        <f>(Parameters!$B$10*G83^Parameters!$B$9+Parameters!$B$11*U83^Parameters!$B$9)^(Parameters!$B$7/Parameters!$B$9)*N83</f>
        <v>1.3307033942368209</v>
      </c>
      <c r="W83" s="5">
        <f>V83 - C83 - D83 - LN(1+EXP(Parameters!$B$21*B83))/Parameters!$B$21 - IF(B83&gt;0, 0,Parameters!$B$6*B83^2/E83)</f>
        <v>1.0148760096988083</v>
      </c>
      <c r="X83" s="5">
        <f>EXP(-Parameters!$B$56*A83)</f>
        <v>0.30334030041561322</v>
      </c>
      <c r="Y83" s="5">
        <f>IF(W83&gt;0,W83^(1-Parameters!$B$53)/(1-Parameters!$B$53)*X83*Parameters!$B$71,-10+W83*1000)</f>
        <v>-0.86221886918006951</v>
      </c>
      <c r="AA83" s="15">
        <f t="shared" si="41"/>
        <v>-1.7537674706800807E-3</v>
      </c>
      <c r="AB83" s="15">
        <f t="shared" si="42"/>
        <v>-1.0971812383955837E-4</v>
      </c>
      <c r="AC83" s="15">
        <f t="shared" si="43"/>
        <v>1.6592999291603627E-5</v>
      </c>
      <c r="AD83" s="15">
        <f t="shared" si="39"/>
        <v>9.3671901422623499E-7</v>
      </c>
      <c r="AE83" s="15">
        <f t="shared" si="44"/>
        <v>-1.9844096974230147E-4</v>
      </c>
      <c r="AF83" s="15">
        <f t="shared" si="45"/>
        <v>7.1743732871221155E-6</v>
      </c>
      <c r="AG83" s="15">
        <f t="shared" si="46"/>
        <v>-1.0385755034730826E-6</v>
      </c>
      <c r="AH83" s="15">
        <f t="shared" si="40"/>
        <v>1.1961123240423109E-8</v>
      </c>
      <c r="AI83" s="15"/>
      <c r="AM83" s="16">
        <f t="shared" si="34"/>
        <v>0.94117415870803478</v>
      </c>
      <c r="AN83" s="16">
        <f t="shared" si="35"/>
        <v>6.5003402893636482</v>
      </c>
      <c r="AO83" s="16">
        <f t="shared" si="36"/>
        <v>148.514225894547</v>
      </c>
      <c r="AP83" s="6">
        <f t="shared" si="37"/>
        <v>590.62335243772782</v>
      </c>
      <c r="AQ83" s="15">
        <f>-X83*V83*W83^(-Parameters!B$53)*Parameters!B$47*Parameters!B$46*M83</f>
        <v>-9.4996867673312261E-6</v>
      </c>
      <c r="AR83" s="5">
        <f>1000*EXP(-(Parameters!$B$55)*'6states'!A83)*AP83*Parameters!B$47*Parameters!B$46*M83</f>
        <v>0.88595341323934196</v>
      </c>
      <c r="AS83" s="5">
        <f>SUM(AR83:AR$204)*EXP(Parameters!$B$55*A83)</f>
        <v>995.38593025024363</v>
      </c>
      <c r="AT83" s="25">
        <f t="shared" si="47"/>
        <v>0.23606591137272795</v>
      </c>
      <c r="AU83">
        <f>(1/$S83-1/Parameters!$B$13) * LN(Parameters!$B$18) / LN(O83)</f>
        <v>0.21676325559256543</v>
      </c>
      <c r="AV83">
        <f>(Parameters!$B$18*'6states'!S83^+Parameters!$B$19*Parameters!$B$25^'6states'!S83)^((1-'6states'!S83)/'6states'!S83)*Parameters!$B$18*Parameters!$B$26^('6states'!S83-1)</f>
        <v>0.30266383850557721</v>
      </c>
      <c r="AW83">
        <f t="shared" si="48"/>
        <v>0.20316364212168969</v>
      </c>
      <c r="AX83">
        <f t="shared" si="49"/>
        <v>0.13950617503980689</v>
      </c>
      <c r="AY83">
        <f t="shared" si="50"/>
        <v>0.18924598882300381</v>
      </c>
      <c r="AZ83">
        <f>(1/$S83-1/Parameters!$B$13) * LN(Parameters!$B$18) / A83</f>
        <v>1.1441108785274105E-2</v>
      </c>
    </row>
    <row r="84" spans="1:52" x14ac:dyDescent="0.35">
      <c r="A84">
        <f>A83+Parameters!$B$71</f>
        <v>80</v>
      </c>
      <c r="B84" s="7">
        <f t="shared" si="52"/>
        <v>4.7137634471739578E-5</v>
      </c>
      <c r="C84" s="7">
        <f t="shared" si="53"/>
        <v>9.1652375290623853E-2</v>
      </c>
      <c r="D84" s="7">
        <f t="shared" si="54"/>
        <v>0.22253637118171349</v>
      </c>
      <c r="E84" s="5">
        <f>MAX((1-Parameters!$B$4)^Parameters!B$71*E83 + B83*Parameters!B$71 - IF(B83&gt;0,Parameters!$B$5,0)*B83^2/E83*Parameters!B$71, 0.0001)</f>
        <v>1.3802962170359166E-2</v>
      </c>
      <c r="F84" s="5">
        <f>(1-Parameters!$B$4)^Parameters!B$71*F83+C83*Parameters!B$71-Parameters!$B$5*C83^2/F83*Parameters!B$71</f>
        <v>1.3170645487412791</v>
      </c>
      <c r="G84" s="5">
        <f>(1-Parameters!$B$4)^Parameters!B$71*G83+D83*Parameters!B$71-Parameters!$B$5*D83^2/G83*Parameters!B$71</f>
        <v>3.288119784985656</v>
      </c>
      <c r="H84" s="7">
        <f>MAX(H83 * (1-Parameters!$B$4) ^ Parameters!B$71 + (LN(1+EXP(Parameters!$B$21*(-B83+0.004)))/Parameters!$B$21 -0.004) * Parameters!B$71,0)</f>
        <v>2.3813210892128386E-3</v>
      </c>
      <c r="I84" s="16">
        <f>I83*(1+Parameters!$B$52)^Parameters!B$71</f>
        <v>10.287282441580393</v>
      </c>
      <c r="J84" s="16">
        <f>J83*(1+Parameters!$B$54)^Parameters!B$71</f>
        <v>44.135341272517536</v>
      </c>
      <c r="K84" s="16">
        <f>I84*J84*EXP(-Parameters!$B$43*'6states'!A84)*(Parameters!$B$38/Parameters!$B$39*('6states'!E84+'6states'!H84)/Parameters!$E$25*(EXP(-Parameters!$B$39*Parameters!$E$25*'6states'!H84/('6states'!E84+'6states'!H84))-EXP(-Parameters!$B$39*Parameters!$E$25))  +  Parameters!$B$40*'6states'!E84)</f>
        <v>2.1607041277023198</v>
      </c>
      <c r="L84" s="6">
        <f>L83+K84*Parameters!B$71</f>
        <v>3320.011729957972</v>
      </c>
      <c r="M84" s="5">
        <f>L84*Parameters!$B$46</f>
        <v>1.992007037974783</v>
      </c>
      <c r="N84" s="7">
        <f>EXP(-Parameters!$B$47/2*M84^2)</f>
        <v>0.96090538941834269</v>
      </c>
      <c r="O84" s="6">
        <f>MAX((Parameters!$B$63 + Parameters!$B$31*'6states'!A84 - '6states'!L84 + Parameters!$B$48/Parameters!$B$46)/Parameters!B$63,1)</f>
        <v>65.719765400840558</v>
      </c>
      <c r="P84" s="5">
        <f>Parameters!B$62*EXP(-Parameters!B$61*A84)</f>
        <v>5.7662560519031257E-2</v>
      </c>
      <c r="Q84" s="5">
        <f>(1-Parameters!B$62)*O84^-Parameters!B$64</f>
        <v>0.32900341349411577</v>
      </c>
      <c r="R84" s="5">
        <f>Parameters!B$62*EXP(-Parameters!B$61*A84)+(1-Parameters!B$62)*O84^-Parameters!B$64</f>
        <v>0.38666597401314701</v>
      </c>
      <c r="S84" s="5">
        <f>1-R84/Parameters!$B$12</f>
        <v>0.80666701299342647</v>
      </c>
      <c r="T84" s="5">
        <f t="shared" si="38"/>
        <v>5.1724230586992324</v>
      </c>
      <c r="U84" s="5">
        <f>(Parameters!$B$19*(E84+Parameters!$B$20)^S84+Parameters!$B$18*F84^S84)^(1/S84)</f>
        <v>0.33467583674320156</v>
      </c>
      <c r="V84" s="5">
        <f>(Parameters!$B$10*G84^Parameters!$B$9+Parameters!$B$11*U84^Parameters!$B$9)^(Parameters!$B$7/Parameters!$B$9)*N84</f>
        <v>1.3307098594226716</v>
      </c>
      <c r="W84" s="5">
        <f>V84 - C84 - D84 - LN(1+EXP(Parameters!$B$21*B84))/Parameters!$B$21 - IF(B84&gt;0, 0,Parameters!$B$6*B84^2/E84)</f>
        <v>1.0147645650855153</v>
      </c>
      <c r="X84" s="5">
        <f>EXP(-Parameters!$B$56*A84)</f>
        <v>0.29879427078110121</v>
      </c>
      <c r="Y84" s="5">
        <f>IF(W84&gt;0,W84^(1-Parameters!$B$53)/(1-Parameters!$B$53)*X84*Parameters!$B$71,-10+W84*1000)</f>
        <v>-0.84932981281521447</v>
      </c>
      <c r="AA84" s="15">
        <f t="shared" si="41"/>
        <v>-1.9797699233858796E-3</v>
      </c>
      <c r="AB84" s="15">
        <f t="shared" si="42"/>
        <v>-1.0300321759254549E-4</v>
      </c>
      <c r="AC84" s="15">
        <f t="shared" si="43"/>
        <v>1.5614491115908957E-5</v>
      </c>
      <c r="AD84" s="15">
        <f t="shared" si="39"/>
        <v>1.1743637987114165E-6</v>
      </c>
      <c r="AE84" s="15">
        <f t="shared" si="44"/>
        <v>-2.2600245270579938E-4</v>
      </c>
      <c r="AF84" s="15">
        <f t="shared" si="45"/>
        <v>6.7149062470128751E-6</v>
      </c>
      <c r="AG84" s="15">
        <f t="shared" si="46"/>
        <v>-9.7850817569467008E-7</v>
      </c>
      <c r="AH84" s="15">
        <f t="shared" si="40"/>
        <v>1.5275306138918176E-8</v>
      </c>
      <c r="AI84" s="15"/>
      <c r="AM84" s="16">
        <f t="shared" si="34"/>
        <v>1.0811976944861283</v>
      </c>
      <c r="AN84" s="16">
        <f t="shared" si="35"/>
        <v>6.2669964765670105</v>
      </c>
      <c r="AO84" s="16">
        <f t="shared" si="36"/>
        <v>151.95378091854784</v>
      </c>
      <c r="AP84" s="6">
        <f t="shared" si="37"/>
        <v>604.18581876891881</v>
      </c>
      <c r="AQ84" s="15">
        <f>-X84*V84*W84^(-Parameters!B$53)*Parameters!B$47*Parameters!B$46*M84</f>
        <v>-9.3648466578997208E-6</v>
      </c>
      <c r="AR84" s="5">
        <f>1000*EXP(-(Parameters!$B$55)*'6states'!A84)*AP84*Parameters!B$47*Parameters!B$46*M84</f>
        <v>0.87560815670377112</v>
      </c>
      <c r="AS84" s="5">
        <f>SUM(AR84:AR$204)*EXP(Parameters!$B$55*A84)</f>
        <v>1016.2581645884032</v>
      </c>
      <c r="AT84" s="25">
        <f t="shared" si="47"/>
        <v>0.23614154646989713</v>
      </c>
      <c r="AU84">
        <f>(1/$S84-1/Parameters!$B$13) * LN(Parameters!$B$18) / LN(O84)</f>
        <v>0.21641097452830163</v>
      </c>
      <c r="AV84">
        <f>(Parameters!$B$18*'6states'!S84^+Parameters!$B$19*Parameters!$B$25^'6states'!S84)^((1-'6states'!S84)/'6states'!S84)*Parameters!$B$18*Parameters!$B$26^('6states'!S84-1)</f>
        <v>0.30286222015204911</v>
      </c>
      <c r="AW84">
        <f t="shared" si="48"/>
        <v>0.20256031952226261</v>
      </c>
      <c r="AX84">
        <f t="shared" si="49"/>
        <v>0.13929603174194927</v>
      </c>
      <c r="AY84">
        <f t="shared" si="50"/>
        <v>0.18935746606059767</v>
      </c>
      <c r="AZ84">
        <f>(1/$S84-1/Parameters!$B$13) * LN(Parameters!$B$18) / A84</f>
        <v>1.132208041187583E-2</v>
      </c>
    </row>
    <row r="85" spans="1:52" x14ac:dyDescent="0.35">
      <c r="A85">
        <f>A84+Parameters!$B$71</f>
        <v>81</v>
      </c>
      <c r="B85" s="13">
        <v>1.52651537216185E-5</v>
      </c>
      <c r="C85" s="13">
        <v>9.1693933231493108E-2</v>
      </c>
      <c r="D85" s="13">
        <v>0.22262886030110587</v>
      </c>
      <c r="E85" s="5">
        <f>MAX((1-Parameters!$B$4)^Parameters!B$71*E84 + B84*Parameters!B$71 - IF(B84&gt;0,Parameters!$B$5,0)*B84^2/E84*Parameters!B$71, 0.0001)</f>
        <v>1.298173250752235E-2</v>
      </c>
      <c r="F85" s="5">
        <f>(1-Parameters!$B$4)^Parameters!B$71*F84+C84*Parameters!B$71-Parameters!$B$5*C84^2/F84*Parameters!B$71</f>
        <v>1.3194956245019136</v>
      </c>
      <c r="G85" s="5">
        <f>(1-Parameters!$B$4)^Parameters!B$71*G84+D84*Parameters!B$71-Parameters!$B$5*D84^2/G84*Parameters!B$71</f>
        <v>3.2887724021009239</v>
      </c>
      <c r="H85" s="7">
        <f>MAX(H84 * (1-Parameters!$B$4) ^ Parameters!B$71 + (LN(1+EXP(Parameters!$B$21*(-B84+0.004)))/Parameters!$B$21 -0.004) * Parameters!B$71,0)</f>
        <v>2.6521308357336545E-3</v>
      </c>
      <c r="I85" s="16">
        <f>I84*(1+Parameters!$B$52)^Parameters!B$71</f>
        <v>10.317115560660975</v>
      </c>
      <c r="J85" s="16">
        <f>J84*(1+Parameters!$B$54)^Parameters!B$71</f>
        <v>45.018048097967885</v>
      </c>
      <c r="K85" s="16">
        <f>I85*J85*EXP(-Parameters!$B$43*'6states'!A85)*(Parameters!$B$38/Parameters!$B$39*('6states'!E85+'6states'!H85)/Parameters!$E$25*(EXP(-Parameters!$B$39*Parameters!$E$25*'6states'!H85/('6states'!E85+'6states'!H85))-EXP(-Parameters!$B$39*Parameters!$E$25))  +  Parameters!$B$40*'6states'!E85)</f>
        <v>2.0575989505786443</v>
      </c>
      <c r="L85" s="6">
        <f>L84+K85*Parameters!B$71</f>
        <v>3322.0693289085507</v>
      </c>
      <c r="M85" s="5">
        <f>L85*Parameters!$B$46</f>
        <v>1.9932415973451303</v>
      </c>
      <c r="N85" s="7">
        <f>EXP(-Parameters!$B$47/2*M85^2)</f>
        <v>0.96085787741358486</v>
      </c>
      <c r="O85" s="6">
        <f>MAX((Parameters!$B$63 + Parameters!$B$31*'6states'!A85 - '6states'!L85 + Parameters!$B$48/Parameters!$B$46)/Parameters!B$63,1)</f>
        <v>66.742613421828977</v>
      </c>
      <c r="P85" s="5">
        <f>Parameters!B$62*EXP(-Parameters!B$61*A85)</f>
        <v>5.6126501496276487E-2</v>
      </c>
      <c r="Q85" s="5">
        <f>(1-Parameters!B$62)*O85^-Parameters!B$64</f>
        <v>0.32849569582952953</v>
      </c>
      <c r="R85" s="5">
        <f>Parameters!B$62*EXP(-Parameters!B$61*A85)+(1-Parameters!B$62)*O85^-Parameters!B$64</f>
        <v>0.38462219732580605</v>
      </c>
      <c r="S85" s="5">
        <f>1-R85/Parameters!$B$12</f>
        <v>0.80768890133709692</v>
      </c>
      <c r="T85" s="5">
        <f t="shared" si="38"/>
        <v>5.1999078937865821</v>
      </c>
      <c r="U85" s="5">
        <f>(Parameters!$B$19*(E85+Parameters!$B$20)^S85+Parameters!$B$18*F85^S85)^(1/S85)</f>
        <v>0.3347299337206659</v>
      </c>
      <c r="V85" s="5">
        <f>(Parameters!$B$10*G85^Parameters!$B$9+Parameters!$B$11*U85^Parameters!$B$9)^(Parameters!$B$7/Parameters!$B$9)*N85</f>
        <v>1.3307182439591143</v>
      </c>
      <c r="W85" s="5">
        <f>V85 - C85 - D85 - LN(1+EXP(Parameters!$B$21*B85))/Parameters!$B$21 - IF(B85&gt;0, 0,Parameters!$B$6*B85^2/E85)</f>
        <v>1.0146549382470267</v>
      </c>
      <c r="X85" s="5">
        <f>EXP(-Parameters!$B$56*A85)</f>
        <v>0.29431637052277015</v>
      </c>
      <c r="Y85" s="5">
        <f>IF(W85&gt;0,W85^(1-Parameters!$B$53)/(1-Parameters!$B$53)*X85*Parameters!$B$71,-10+W85*1000)</f>
        <v>-0.8366329100997647</v>
      </c>
      <c r="AA85" s="15">
        <f t="shared" si="41"/>
        <v>-2.2391426241584059E-3</v>
      </c>
      <c r="AB85" s="15">
        <f t="shared" si="42"/>
        <v>-9.6716242618338777E-5</v>
      </c>
      <c r="AC85" s="15">
        <f t="shared" si="43"/>
        <v>1.4692625956241878E-5</v>
      </c>
      <c r="AD85" s="15">
        <f t="shared" si="39"/>
        <v>1.4784481346833934E-6</v>
      </c>
      <c r="AE85" s="15">
        <f t="shared" si="44"/>
        <v>-2.5937270077252671E-4</v>
      </c>
      <c r="AF85" s="15">
        <f t="shared" si="45"/>
        <v>6.286974974206716E-6</v>
      </c>
      <c r="AG85" s="15">
        <f t="shared" si="46"/>
        <v>-9.2186515966707905E-7</v>
      </c>
      <c r="AH85" s="15">
        <f t="shared" si="40"/>
        <v>1.9811781042847481E-8</v>
      </c>
      <c r="AI85" s="15"/>
      <c r="AM85" s="16">
        <f t="shared" si="34"/>
        <v>1.2317991523401641</v>
      </c>
      <c r="AN85" s="16">
        <f t="shared" si="35"/>
        <v>6.0294488051715032</v>
      </c>
      <c r="AO85" s="16">
        <f t="shared" si="36"/>
        <v>155.4674615085255</v>
      </c>
      <c r="AP85" s="6">
        <f t="shared" si="37"/>
        <v>618.06061104786545</v>
      </c>
      <c r="AQ85" s="15">
        <f>-X85*V85*W85^(-Parameters!B$53)*Parameters!B$47*Parameters!B$46*M85</f>
        <v>-9.2316212020424172E-6</v>
      </c>
      <c r="AR85" s="5">
        <f>1000*EXP(-(Parameters!$B$55)*'6states'!A85)*AP85*Parameters!B$47*Parameters!B$46*M85</f>
        <v>0.86535772548334711</v>
      </c>
      <c r="AS85" s="5">
        <f>SUM(AR85:AR$204)*EXP(Parameters!$B$55*A85)</f>
        <v>1037.5290006569251</v>
      </c>
      <c r="AT85" s="25">
        <f t="shared" si="47"/>
        <v>0.23621684012620967</v>
      </c>
      <c r="AU85">
        <f>(1/$S85-1/Parameters!$B$13) * LN(Parameters!$B$18) / LN(O85)</f>
        <v>0.21606014169198209</v>
      </c>
      <c r="AV85">
        <f>(Parameters!$B$18*'6states'!S85^+Parameters!$B$19*Parameters!$B$25^'6states'!S85)^((1-'6states'!S85)/'6states'!S85)*Parameters!$B$18*Parameters!$B$26^('6states'!S85-1)</f>
        <v>0.30305344403783213</v>
      </c>
      <c r="AW85">
        <f t="shared" si="48"/>
        <v>0.20196588344559965</v>
      </c>
      <c r="AX85">
        <f t="shared" si="49"/>
        <v>0.13908670133991885</v>
      </c>
      <c r="AY85">
        <f t="shared" si="50"/>
        <v>0.18946490660631343</v>
      </c>
      <c r="AZ85">
        <f>(1/$S85-1/Parameters!$B$13) * LN(Parameters!$B$18) / A85</f>
        <v>1.1205368766650022E-2</v>
      </c>
    </row>
    <row r="86" spans="1:52" x14ac:dyDescent="0.35">
      <c r="A86">
        <f>A85+Parameters!$B$71</f>
        <v>82</v>
      </c>
      <c r="B86" s="7">
        <f>B85+(B$95-B$85)/10</f>
        <v>-2.4165757324978211E-6</v>
      </c>
      <c r="C86" s="7">
        <f>C85+(C$95-C$85)/10</f>
        <v>9.1842148810240595E-2</v>
      </c>
      <c r="D86" s="7">
        <f>D85+(D$95-D$85)/10</f>
        <v>0.22260892982894426</v>
      </c>
      <c r="E86" s="5">
        <f>MAX((1-Parameters!$B$4)^Parameters!B$71*E85 + B85*Parameters!B$71 - IF(B85&gt;0,Parameters!$B$5,0)*B85^2/E85*Parameters!B$71, 0.0001)</f>
        <v>1.2180428736303614E-2</v>
      </c>
      <c r="F86" s="5">
        <f>(1-Parameters!$B$4)^Parameters!B$71*F85+C85*Parameters!B$71-Parameters!$B$5*C85^2/F85*Parameters!B$71</f>
        <v>1.3218213198813962</v>
      </c>
      <c r="G86" s="5">
        <f>(1-Parameters!$B$4)^Parameters!B$71*G85+D85*Parameters!B$71-Parameters!$B$5*D85^2/G85*Parameters!B$71</f>
        <v>3.2894669281534443</v>
      </c>
      <c r="H86" s="7">
        <f>MAX(H85 * (1-Parameters!$B$4) ^ Parameters!B$71 + (LN(1+EXP(Parameters!$B$21*(-B85+0.004)))/Parameters!$B$21 -0.004) * Parameters!B$71,0)</f>
        <v>2.932369292334638E-3</v>
      </c>
      <c r="I86" s="16">
        <f>I85*(1+Parameters!$B$52)^Parameters!B$71</f>
        <v>10.347035195786891</v>
      </c>
      <c r="J86" s="16">
        <f>J85*(1+Parameters!$B$54)^Parameters!B$71</f>
        <v>45.918409059927242</v>
      </c>
      <c r="K86" s="16">
        <f>I86*J86*EXP(-Parameters!$B$43*'6states'!A86)*(Parameters!$B$38/Parameters!$B$39*('6states'!E86+'6states'!H86)/Parameters!$E$25*(EXP(-Parameters!$B$39*Parameters!$E$25*'6states'!H86/('6states'!E86+'6states'!H86))-EXP(-Parameters!$B$39*Parameters!$E$25))  +  Parameters!$B$40*'6states'!E86)</f>
        <v>1.9550602928982617</v>
      </c>
      <c r="L86" s="6">
        <f>L85+K86*Parameters!B$71</f>
        <v>3324.0243892014491</v>
      </c>
      <c r="M86" s="5">
        <f>L86*Parameters!$B$46</f>
        <v>1.9944146335208692</v>
      </c>
      <c r="N86" s="7">
        <f>EXP(-Parameters!$B$47/2*M86^2)</f>
        <v>0.9608127080339699</v>
      </c>
      <c r="O86" s="6">
        <f>MAX((Parameters!$B$63 + Parameters!$B$31*'6states'!A86 - '6states'!L86 + Parameters!$B$48/Parameters!$B$46)/Parameters!B$63,1)</f>
        <v>67.767512215971024</v>
      </c>
      <c r="P86" s="5">
        <f>Parameters!B$62*EXP(-Parameters!B$61*A86)</f>
        <v>5.4631361178833215E-2</v>
      </c>
      <c r="Q86" s="5">
        <f>(1-Parameters!B$62)*O86^-Parameters!B$64</f>
        <v>0.32799547334026907</v>
      </c>
      <c r="R86" s="5">
        <f>Parameters!B$62*EXP(-Parameters!B$61*A86)+(1-Parameters!B$62)*O86^-Parameters!B$64</f>
        <v>0.38262683451910229</v>
      </c>
      <c r="S86" s="5">
        <f>1-R86/Parameters!$B$12</f>
        <v>0.8086865827404488</v>
      </c>
      <c r="T86" s="5">
        <f t="shared" si="38"/>
        <v>5.2270249223729008</v>
      </c>
      <c r="U86" s="5">
        <f>(Parameters!$B$19*(E86+Parameters!$B$20)^S86+Parameters!$B$18*F86^S86)^(1/S86)</f>
        <v>0.33477206733689996</v>
      </c>
      <c r="V86" s="5">
        <f>(Parameters!$B$10*G86^Parameters!$B$9+Parameters!$B$11*U86^Parameters!$B$9)^(Parameters!$B$7/Parameters!$B$9)*N86</f>
        <v>1.3307283017899139</v>
      </c>
      <c r="W86" s="5">
        <f>V86 - C86 - D86 - LN(1+EXP(Parameters!$B$21*B86))/Parameters!$B$21 - IF(B86&gt;0, 0,Parameters!$B$6*B86^2/E86)</f>
        <v>1.0145455607979816</v>
      </c>
      <c r="X86" s="5">
        <f>EXP(-Parameters!$B$56*A86)</f>
        <v>0.28990557861518201</v>
      </c>
      <c r="Y86" s="5">
        <f>IF(W86&gt;0,W86^(1-Parameters!$B$53)/(1-Parameters!$B$53)*X86*Parameters!$B$71,-10+W86*1000)</f>
        <v>-0.82412574990295984</v>
      </c>
      <c r="AA86" s="15">
        <f t="shared" si="41"/>
        <v>-1.3742932007610783E-3</v>
      </c>
      <c r="AB86" s="15">
        <f t="shared" si="42"/>
        <v>-1.0138162690936925E-5</v>
      </c>
      <c r="AC86" s="15">
        <f t="shared" si="43"/>
        <v>-2.0351456927594769E-5</v>
      </c>
      <c r="AD86" s="15">
        <f t="shared" si="39"/>
        <v>5.4768926131832321E-7</v>
      </c>
      <c r="AE86" s="15">
        <f t="shared" si="44"/>
        <v>8.6484942339732761E-4</v>
      </c>
      <c r="AF86" s="15">
        <f t="shared" si="45"/>
        <v>8.6578079927401852E-5</v>
      </c>
      <c r="AG86" s="15">
        <f t="shared" si="46"/>
        <v>-3.5044082883836647E-5</v>
      </c>
      <c r="AH86" s="15">
        <f t="shared" si="40"/>
        <v>2.1936818171331972E-7</v>
      </c>
      <c r="AI86" s="15"/>
      <c r="AM86" s="16">
        <f t="shared" si="34"/>
        <v>1.3932255231452355</v>
      </c>
      <c r="AN86" s="16">
        <f t="shared" si="35"/>
        <v>5.7871579281063008</v>
      </c>
      <c r="AO86" s="16">
        <f t="shared" si="36"/>
        <v>159.05670198807894</v>
      </c>
      <c r="AP86" s="6">
        <f t="shared" si="37"/>
        <v>632.25482522678351</v>
      </c>
      <c r="AQ86" s="15">
        <f>-X86*V86*W86^(-Parameters!B$53)*Parameters!B$47*Parameters!B$46*M86</f>
        <v>-9.1000153879023774E-6</v>
      </c>
      <c r="AR86" s="5">
        <f>1000*EXP(-(Parameters!$B$55)*'6states'!A86)*AP86*Parameters!B$47*Parameters!B$46*M86</f>
        <v>0.85520165861747055</v>
      </c>
      <c r="AS86" s="5">
        <f>SUM(AR86:AR$204)*EXP(Parameters!$B$55*A86)</f>
        <v>1059.2049398679685</v>
      </c>
      <c r="AT86" s="25">
        <f t="shared" si="47"/>
        <v>0.23629816968685416</v>
      </c>
      <c r="AU86">
        <f>(1/$S86-1/Parameters!$B$13) * LN(Parameters!$B$18) / LN(O86)</f>
        <v>0.21571077013012868</v>
      </c>
      <c r="AV86">
        <f>(Parameters!$B$18*'6states'!S86^+Parameters!$B$19*Parameters!$B$25^'6states'!S86)^((1-'6states'!S86)/'6states'!S86)*Parameters!$B$18*Parameters!$B$26^('6states'!S86-1)</f>
        <v>0.30323781582160952</v>
      </c>
      <c r="AW86">
        <f t="shared" si="48"/>
        <v>0.20138012198224139</v>
      </c>
      <c r="AX86">
        <f t="shared" si="49"/>
        <v>0.13887819223899822</v>
      </c>
      <c r="AY86">
        <f t="shared" si="50"/>
        <v>0.18956848376447366</v>
      </c>
      <c r="AZ86">
        <f>(1/$S86-1/Parameters!$B$13) * LN(Parameters!$B$18) / A86</f>
        <v>1.1090908430330466E-2</v>
      </c>
    </row>
    <row r="87" spans="1:52" x14ac:dyDescent="0.35">
      <c r="A87">
        <f>A86+Parameters!$B$71</f>
        <v>83</v>
      </c>
      <c r="B87" s="7">
        <f t="shared" ref="B87:B94" si="55">B86+(B$95-B$85)/10</f>
        <v>-2.0098305186614142E-5</v>
      </c>
      <c r="C87" s="7">
        <f t="shared" ref="C87:C94" si="56">C86+(C$95-C$85)/10</f>
        <v>9.1990364388988083E-2</v>
      </c>
      <c r="D87" s="7">
        <f t="shared" ref="D87:D94" si="57">D86+(D$95-D$85)/10</f>
        <v>0.22258899935678264</v>
      </c>
      <c r="E87" s="5">
        <f>MAX((1-Parameters!$B$4)^Parameters!B$71*E86 + B86*Parameters!B$71 - IF(B86&gt;0,Parameters!$B$5,0)*B86^2/E86*Parameters!B$71, 0.0001)</f>
        <v>1.1411863193057618E-2</v>
      </c>
      <c r="F87" s="5">
        <f>(1-Parameters!$B$4)^Parameters!B$71*F86+C86*Parameters!B$71-Parameters!$B$5*C86^2/F86*Parameters!B$71</f>
        <v>1.3241395759652055</v>
      </c>
      <c r="G87" s="5">
        <f>(1-Parameters!$B$4)^Parameters!B$71*G86+D86*Parameters!B$71-Parameters!$B$5*D86^2/G86*Parameters!B$71</f>
        <v>3.2901037176266592</v>
      </c>
      <c r="H87" s="7">
        <f>MAX(H86 * (1-Parameters!$B$4) ^ Parameters!B$71 + (LN(1+EXP(Parameters!$B$21*(-B86+0.004)))/Parameters!$B$21 -0.004) * Parameters!B$71,0)</f>
        <v>3.2096859147108065E-3</v>
      </c>
      <c r="I87" s="16">
        <f>I86*(1+Parameters!$B$52)^Parameters!B$71</f>
        <v>10.377041597854671</v>
      </c>
      <c r="J87" s="16">
        <f>J86*(1+Parameters!$B$54)^Parameters!B$71</f>
        <v>46.836777241125787</v>
      </c>
      <c r="K87" s="16">
        <f>I87*J87*EXP(-Parameters!$B$43*'6states'!A87)*(Parameters!$B$38/Parameters!$B$39*('6states'!E87+'6states'!H87)/Parameters!$E$25*(EXP(-Parameters!$B$39*Parameters!$E$25*'6states'!H87/('6states'!E87+'6states'!H87))-EXP(-Parameters!$B$39*Parameters!$E$25))  +  Parameters!$B$40*'6states'!E87)</f>
        <v>1.8550347438119006</v>
      </c>
      <c r="L87" s="6">
        <f>L86+K87*Parameters!B$71</f>
        <v>3325.8794239452609</v>
      </c>
      <c r="M87" s="5">
        <f>L87*Parameters!$B$46</f>
        <v>1.9955276543671563</v>
      </c>
      <c r="N87" s="7">
        <f>EXP(-Parameters!$B$47/2*M87^2)</f>
        <v>0.96076982702245683</v>
      </c>
      <c r="O87" s="6">
        <f>MAX((Parameters!$B$63 + Parameters!$B$31*'6states'!A87 - '6states'!L87 + Parameters!$B$48/Parameters!$B$46)/Parameters!B$63,1)</f>
        <v>68.794411521094787</v>
      </c>
      <c r="P87" s="5">
        <f>Parameters!B$62*EXP(-Parameters!B$61*A87)</f>
        <v>5.3176049543193549E-2</v>
      </c>
      <c r="Q87" s="5">
        <f>(1-Parameters!B$62)*O87^-Parameters!B$64</f>
        <v>0.32750255188076488</v>
      </c>
      <c r="R87" s="5">
        <f>Parameters!B$62*EXP(-Parameters!B$61*A87)+(1-Parameters!B$62)*O87^-Parameters!B$64</f>
        <v>0.38067860142395843</v>
      </c>
      <c r="S87" s="5">
        <f>1-R87/Parameters!$B$12</f>
        <v>0.80966069928802076</v>
      </c>
      <c r="T87" s="5">
        <f t="shared" si="38"/>
        <v>5.2537757376402077</v>
      </c>
      <c r="U87" s="5">
        <f>(Parameters!$B$19*(E87+Parameters!$B$20)^S87+Parameters!$B$18*F87^S87)^(1/S87)</f>
        <v>0.33484032993634877</v>
      </c>
      <c r="V87" s="5">
        <f>(Parameters!$B$10*G87^Parameters!$B$9+Parameters!$B$11*U87^Parameters!$B$9)^(Parameters!$B$7/Parameters!$B$9)*N87</f>
        <v>1.3307475990809756</v>
      </c>
      <c r="W87" s="5">
        <f>V87 - C87 - D87 - LN(1+EXP(Parameters!$B$21*B87))/Parameters!$B$21 - IF(B87&gt;0, 0,Parameters!$B$6*B87^2/E87)</f>
        <v>1.014445219356046</v>
      </c>
      <c r="X87" s="5">
        <f>EXP(-Parameters!$B$56*A87)</f>
        <v>0.28556088933456458</v>
      </c>
      <c r="Y87" s="5">
        <f>IF(W87&gt;0,W87^(1-Parameters!$B$53)/(1-Parameters!$B$53)*X87*Parameters!$B$71,-10+W87*1000)</f>
        <v>-0.81180303668495857</v>
      </c>
      <c r="AA87" s="15">
        <f t="shared" si="41"/>
        <v>-1.5627782431648471E-3</v>
      </c>
      <c r="AB87" s="15">
        <f t="shared" si="42"/>
        <v>-9.7122448459163735E-6</v>
      </c>
      <c r="AC87" s="15">
        <f t="shared" si="43"/>
        <v>-1.9155653778218928E-5</v>
      </c>
      <c r="AD87" s="15">
        <f t="shared" si="39"/>
        <v>6.975501798519161E-7</v>
      </c>
      <c r="AE87" s="15">
        <f t="shared" si="44"/>
        <v>-1.8848504240376904E-4</v>
      </c>
      <c r="AF87" s="15">
        <f t="shared" si="45"/>
        <v>4.2591784502055141E-7</v>
      </c>
      <c r="AG87" s="15">
        <f t="shared" si="46"/>
        <v>1.1958031493758403E-6</v>
      </c>
      <c r="AH87" s="15">
        <f t="shared" si="40"/>
        <v>1.0145470831033589E-8</v>
      </c>
      <c r="AI87" s="15"/>
      <c r="AM87" s="16">
        <f t="shared" si="34"/>
        <v>1.5599946122381856</v>
      </c>
      <c r="AN87" s="16">
        <f t="shared" si="35"/>
        <v>5.5464757517787051</v>
      </c>
      <c r="AO87" s="16">
        <f t="shared" si="36"/>
        <v>162.74150323142266</v>
      </c>
      <c r="AP87" s="6">
        <f t="shared" si="37"/>
        <v>646.77951051240711</v>
      </c>
      <c r="AQ87" s="15">
        <f>-X87*V87*W87^(-Parameters!B$53)*Parameters!B$47*Parameters!B$46*M87</f>
        <v>-8.9699674240514209E-6</v>
      </c>
      <c r="AR87" s="5">
        <f>1000*EXP(-(Parameters!$B$55)*'6states'!A87)*AP87*Parameters!B$47*Parameters!B$46*M87</f>
        <v>0.845144944020637</v>
      </c>
      <c r="AS87" s="5">
        <f>SUM(AR87:AR$204)*EXP(Parameters!$B$55*A87)</f>
        <v>1081.2925541427592</v>
      </c>
      <c r="AT87" s="25">
        <f t="shared" si="47"/>
        <v>0.23637785682109899</v>
      </c>
      <c r="AU87">
        <f>(1/$S87-1/Parameters!$B$13) * LN(Parameters!$B$18) / LN(O87)</f>
        <v>0.21536289814992093</v>
      </c>
      <c r="AV87">
        <f>(Parameters!$B$18*'6states'!S87^+Parameters!$B$19*Parameters!$B$25^'6states'!S87)^((1-'6states'!S87)/'6states'!S87)*Parameters!$B$18*Parameters!$B$26^('6states'!S87-1)</f>
        <v>0.30341562474961731</v>
      </c>
      <c r="AW87">
        <f t="shared" si="48"/>
        <v>0.20080285642100548</v>
      </c>
      <c r="AX87">
        <f t="shared" si="49"/>
        <v>0.13867052793100509</v>
      </c>
      <c r="AY87">
        <f t="shared" si="50"/>
        <v>0.18966836147617627</v>
      </c>
      <c r="AZ87">
        <f>(1/$S87-1/Parameters!$B$13) * LN(Parameters!$B$18) / A87</f>
        <v>1.0978636228775644E-2</v>
      </c>
    </row>
    <row r="88" spans="1:52" x14ac:dyDescent="0.35">
      <c r="A88">
        <f>A87+Parameters!$B$71</f>
        <v>84</v>
      </c>
      <c r="B88" s="7">
        <f t="shared" si="55"/>
        <v>-3.7780034640730464E-5</v>
      </c>
      <c r="C88" s="7">
        <f t="shared" si="56"/>
        <v>9.213857996773557E-2</v>
      </c>
      <c r="D88" s="7">
        <f t="shared" si="57"/>
        <v>0.22256906888462102</v>
      </c>
      <c r="E88" s="5">
        <f>MAX((1-Parameters!$B$4)^Parameters!B$71*E87 + B87*Parameters!B$71 - IF(B87&gt;0,Parameters!$B$5,0)*B87^2/E87*Parameters!B$71, 0.0001)</f>
        <v>1.0673958693027681E-2</v>
      </c>
      <c r="F88" s="5">
        <f>(1-Parameters!$B$4)^Parameters!B$71*F87+C87*Parameters!B$71-Parameters!$B$5*C87^2/F87*Parameters!B$71</f>
        <v>1.3264508245099693</v>
      </c>
      <c r="G88" s="5">
        <f>(1-Parameters!$B$4)^Parameters!B$71*G87+D87*Parameters!B$71-Parameters!$B$5*D87^2/G87*Parameters!B$71</f>
        <v>3.2906861351675514</v>
      </c>
      <c r="H88" s="7">
        <f>MAX(H87 * (1-Parameters!$B$4) ^ Parameters!B$71 + (LN(1+EXP(Parameters!$B$21*(-B87+0.004)))/Parameters!$B$21 -0.004) * Parameters!B$71,0)</f>
        <v>3.4842819535285388E-3</v>
      </c>
      <c r="I88" s="16">
        <f>I87*(1+Parameters!$B$52)^Parameters!B$71</f>
        <v>10.407135018488448</v>
      </c>
      <c r="J88" s="16">
        <f>J87*(1+Parameters!$B$54)^Parameters!B$71</f>
        <v>47.773512785948306</v>
      </c>
      <c r="K88" s="16">
        <f>I88*J88*EXP(-Parameters!$B$43*'6states'!A88)*(Parameters!$B$38/Parameters!$B$39*('6states'!E88+'6states'!H88)/Parameters!$E$25*(EXP(-Parameters!$B$39*Parameters!$E$25*'6states'!H88/('6states'!E88+'6states'!H88))-EXP(-Parameters!$B$39*Parameters!$E$25))  +  Parameters!$B$40*'6states'!E88)</f>
        <v>1.7572348982396058</v>
      </c>
      <c r="L88" s="6">
        <f>L87+K88*Parameters!B$71</f>
        <v>3327.6366588435003</v>
      </c>
      <c r="M88" s="5">
        <f>L88*Parameters!$B$46</f>
        <v>1.9965819953060999</v>
      </c>
      <c r="N88" s="7">
        <f>EXP(-Parameters!$B$47/2*M88^2)</f>
        <v>0.96072918645500227</v>
      </c>
      <c r="O88" s="6">
        <f>MAX((Parameters!$B$63 + Parameters!$B$31*'6states'!A88 - '6states'!L88 + Parameters!$B$48/Parameters!$B$46)/Parameters!B$63,1)</f>
        <v>69.823266823129998</v>
      </c>
      <c r="P88" s="5">
        <f>Parameters!B$62*EXP(-Parameters!B$61*A88)</f>
        <v>5.1759505602722529E-2</v>
      </c>
      <c r="Q88" s="5">
        <f>(1-Parameters!B$62)*O88^-Parameters!B$64</f>
        <v>0.32701674235280631</v>
      </c>
      <c r="R88" s="5">
        <f>Parameters!B$62*EXP(-Parameters!B$61*A88)+(1-Parameters!B$62)*O88^-Parameters!B$64</f>
        <v>0.37877624795552883</v>
      </c>
      <c r="S88" s="5">
        <f>1-R88/Parameters!$B$12</f>
        <v>0.81061187602223561</v>
      </c>
      <c r="T88" s="5">
        <f t="shared" si="38"/>
        <v>5.2801621294765431</v>
      </c>
      <c r="U88" s="5">
        <f>(Parameters!$B$19*(E88+Parameters!$B$20)^S88+Parameters!$B$18*F88^S88)^(1/S88)</f>
        <v>0.33493277117492248</v>
      </c>
      <c r="V88" s="5">
        <f>(Parameters!$B$10*G88^Parameters!$B$9+Parameters!$B$11*U88^Parameters!$B$9)^(Parameters!$B$7/Parameters!$B$9)*N88</f>
        <v>1.3307755360848732</v>
      </c>
      <c r="W88" s="5">
        <f>V88 - C88 - D88 - LN(1+EXP(Parameters!$B$21*B88))/Parameters!$B$21 - IF(B88&gt;0, 0,Parameters!$B$6*B88^2/E88)</f>
        <v>1.0143531693282271</v>
      </c>
      <c r="X88" s="5">
        <f>EXP(-Parameters!$B$56*A88)</f>
        <v>0.28128131202949208</v>
      </c>
      <c r="Y88" s="5">
        <f>IF(W88&gt;0,W88^(1-Parameters!$B$53)/(1-Parameters!$B$53)*X88*Parameters!$B$71,-10+W88*1000)</f>
        <v>-0.79966229337839145</v>
      </c>
      <c r="AA88" s="15">
        <f t="shared" si="41"/>
        <v>-1.7782820843572039E-3</v>
      </c>
      <c r="AB88" s="15">
        <f t="shared" si="42"/>
        <v>-9.3113334453387431E-6</v>
      </c>
      <c r="AC88" s="15">
        <f t="shared" si="43"/>
        <v>-1.8030709437316661E-5</v>
      </c>
      <c r="AD88" s="15">
        <f t="shared" si="39"/>
        <v>8.8960811835596331E-7</v>
      </c>
      <c r="AE88" s="15">
        <f t="shared" si="44"/>
        <v>-2.1550384119235668E-4</v>
      </c>
      <c r="AF88" s="15">
        <f t="shared" si="45"/>
        <v>4.0091140057763042E-7</v>
      </c>
      <c r="AG88" s="15">
        <f t="shared" si="46"/>
        <v>1.1249443409022675E-6</v>
      </c>
      <c r="AH88" s="15">
        <f t="shared" si="40"/>
        <v>1.3063641303269843E-8</v>
      </c>
      <c r="AI88" s="15"/>
      <c r="AM88" s="16">
        <f t="shared" si="34"/>
        <v>1.732334109359303</v>
      </c>
      <c r="AN88" s="16">
        <f t="shared" si="35"/>
        <v>5.3069363996499668</v>
      </c>
      <c r="AO88" s="16">
        <f t="shared" si="36"/>
        <v>166.52368309658959</v>
      </c>
      <c r="AP88" s="6">
        <f t="shared" si="37"/>
        <v>661.64216438514904</v>
      </c>
      <c r="AQ88" s="15">
        <f>-X88*V88*W88^(-Parameters!B$53)*Parameters!B$47*Parameters!B$46*M88</f>
        <v>-8.8414753159172684E-6</v>
      </c>
      <c r="AR88" s="5">
        <f>1000*EXP(-(Parameters!$B$55)*'6states'!A88)*AP88*Parameters!B$47*Parameters!B$46*M88</f>
        <v>0.83518710710438304</v>
      </c>
      <c r="AS88" s="5">
        <f>SUM(AR88:AR$204)*EXP(Parameters!$B$55*A88)</f>
        <v>1103.7983812644341</v>
      </c>
      <c r="AT88" s="25">
        <f t="shared" si="47"/>
        <v>0.23645600650540294</v>
      </c>
      <c r="AU88">
        <f>(1/$S88-1/Parameters!$B$13) * LN(Parameters!$B$18) / LN(O88)</f>
        <v>0.21501655881332052</v>
      </c>
      <c r="AV88">
        <f>(Parameters!$B$18*'6states'!S88^+Parameters!$B$19*Parameters!$B$25^'6states'!S88)^((1-'6states'!S88)/'6states'!S88)*Parameters!$B$18*Parameters!$B$26^('6states'!S88-1)</f>
        <v>0.30358714655359353</v>
      </c>
      <c r="AW88">
        <f t="shared" si="48"/>
        <v>0.2002339094986107</v>
      </c>
      <c r="AX88">
        <f t="shared" si="49"/>
        <v>0.13846372879508262</v>
      </c>
      <c r="AY88">
        <f t="shared" si="50"/>
        <v>0.18976469596033518</v>
      </c>
      <c r="AZ88">
        <f>(1/$S88-1/Parameters!$B$13) * LN(Parameters!$B$18) / A88</f>
        <v>1.0868491374840063E-2</v>
      </c>
    </row>
    <row r="89" spans="1:52" x14ac:dyDescent="0.35">
      <c r="A89">
        <f>A88+Parameters!$B$71</f>
        <v>85</v>
      </c>
      <c r="B89" s="7">
        <f t="shared" si="55"/>
        <v>-5.5461764094846785E-5</v>
      </c>
      <c r="C89" s="7">
        <f t="shared" si="56"/>
        <v>9.2286795546483058E-2</v>
      </c>
      <c r="D89" s="7">
        <f t="shared" si="57"/>
        <v>0.22254913841245941</v>
      </c>
      <c r="E89" s="5">
        <f>MAX((1-Parameters!$B$4)^Parameters!B$71*E88 + B88*Parameters!B$71 - IF(B88&gt;0,Parameters!$B$5,0)*B88^2/E88*Parameters!B$71, 0.0001)</f>
        <v>9.9647866565955104E-3</v>
      </c>
      <c r="F89" s="5">
        <f>(1-Parameters!$B$4)^Parameters!B$71*F88+C88*Parameters!B$71-Parameters!$B$5*C88^2/F88*Parameters!B$71</f>
        <v>1.3287554722294983</v>
      </c>
      <c r="G89" s="5">
        <f>(1-Parameters!$B$4)^Parameters!B$71*G88+D88*Parameters!B$71-Parameters!$B$5*D88^2/G88*Parameters!B$71</f>
        <v>3.2912173496292878</v>
      </c>
      <c r="H89" s="7">
        <f>MAX(H88 * (1-Parameters!$B$4) ^ Parameters!B$71 + (LN(1+EXP(Parameters!$B$21*(-B88+0.004)))/Parameters!$B$21 -0.004) * Parameters!B$71,0)</f>
        <v>3.7563459187898063E-3</v>
      </c>
      <c r="I89" s="16">
        <f>I88*(1+Parameters!$B$52)^Parameters!B$71</f>
        <v>10.437315710042064</v>
      </c>
      <c r="J89" s="16">
        <f>J88*(1+Parameters!$B$54)^Parameters!B$71</f>
        <v>48.72898304166727</v>
      </c>
      <c r="K89" s="16">
        <f>I89*J89*EXP(-Parameters!$B$43*'6states'!A89)*(Parameters!$B$38/Parameters!$B$39*('6states'!E89+'6states'!H89)/Parameters!$E$25*(EXP(-Parameters!$B$39*Parameters!$E$25*'6states'!H89/('6states'!E89+'6states'!H89))-EXP(-Parameters!$B$39*Parameters!$E$25))  +  Parameters!$B$40*'6states'!E89)</f>
        <v>1.6614416872208637</v>
      </c>
      <c r="L89" s="6">
        <f>L88+K89*Parameters!B$71</f>
        <v>3329.2981005307211</v>
      </c>
      <c r="M89" s="5">
        <f>L89*Parameters!$B$46</f>
        <v>1.9975788603184326</v>
      </c>
      <c r="N89" s="7">
        <f>EXP(-Parameters!$B$47/2*M89^2)</f>
        <v>0.96069074319032466</v>
      </c>
      <c r="O89" s="6">
        <f>MAX((Parameters!$B$63 + Parameters!$B$31*'6states'!A89 - '6states'!L89 + Parameters!$B$48/Parameters!$B$46)/Parameters!B$63,1)</f>
        <v>70.854037989385574</v>
      </c>
      <c r="P89" s="5">
        <f>Parameters!B$62*EXP(-Parameters!B$61*A89)</f>
        <v>5.0380696634151866E-2</v>
      </c>
      <c r="Q89" s="5">
        <f>(1-Parameters!B$62)*O89^-Parameters!B$64</f>
        <v>0.32653786114487349</v>
      </c>
      <c r="R89" s="5">
        <f>Parameters!B$62*EXP(-Parameters!B$61*A89)+(1-Parameters!B$62)*O89^-Parameters!B$64</f>
        <v>0.37691855777902533</v>
      </c>
      <c r="S89" s="5">
        <f>1-R89/Parameters!$B$12</f>
        <v>0.81154072111048736</v>
      </c>
      <c r="T89" s="5">
        <f t="shared" si="38"/>
        <v>5.3061860678468715</v>
      </c>
      <c r="U89" s="5">
        <f>(Parameters!$B$19*(E89+Parameters!$B$20)^S89+Parameters!$B$18*F89^S89)^(1/S89)</f>
        <v>0.33504757943623897</v>
      </c>
      <c r="V89" s="5">
        <f>(Parameters!$B$10*G89^Parameters!$B$9+Parameters!$B$11*U89^Parameters!$B$9)^(Parameters!$B$7/Parameters!$B$9)*N89</f>
        <v>1.3308115510833669</v>
      </c>
      <c r="W89" s="5">
        <f>V89 - C89 - D89 - LN(1+EXP(Parameters!$B$21*B89))/Parameters!$B$21 - IF(B89&gt;0, 0,Parameters!$B$6*B89^2/E89)</f>
        <v>1.0142687828192605</v>
      </c>
      <c r="X89" s="5">
        <f>EXP(-Parameters!$B$56*A89)</f>
        <v>0.27706587089500223</v>
      </c>
      <c r="Y89" s="5">
        <f>IF(W89&gt;0,W89^(1-Parameters!$B$53)/(1-Parameters!$B$53)*X89*Parameters!$B$71,-10+W89*1000)</f>
        <v>-0.78770103749720988</v>
      </c>
      <c r="AA89" s="15">
        <f t="shared" si="41"/>
        <v>-2.0263167889581911E-3</v>
      </c>
      <c r="AB89" s="15">
        <f t="shared" si="42"/>
        <v>-8.9339201960886294E-6</v>
      </c>
      <c r="AC89" s="15">
        <f t="shared" si="43"/>
        <v>-1.6972361077866038E-5</v>
      </c>
      <c r="AD89" s="15">
        <f t="shared" si="39"/>
        <v>1.1377232341106218E-6</v>
      </c>
      <c r="AE89" s="15">
        <f t="shared" si="44"/>
        <v>-2.4803470460098721E-4</v>
      </c>
      <c r="AF89" s="15">
        <f t="shared" si="45"/>
        <v>3.7741324925011366E-7</v>
      </c>
      <c r="AG89" s="15">
        <f t="shared" si="46"/>
        <v>1.0583483594506227E-6</v>
      </c>
      <c r="AH89" s="15">
        <f t="shared" si="40"/>
        <v>1.7045778732934967E-8</v>
      </c>
      <c r="AI89" s="15"/>
      <c r="AM89" s="16">
        <f t="shared" si="34"/>
        <v>1.9104767087837624</v>
      </c>
      <c r="AN89" s="16">
        <f t="shared" si="35"/>
        <v>5.0680883036348021</v>
      </c>
      <c r="AO89" s="16">
        <f t="shared" si="36"/>
        <v>170.40512526959586</v>
      </c>
      <c r="AP89" s="6">
        <f t="shared" si="37"/>
        <v>676.85046241542238</v>
      </c>
      <c r="AQ89" s="15">
        <f>-X89*V89*W89^(-Parameters!B$53)*Parameters!B$47*Parameters!B$46*M89</f>
        <v>-8.7145347458965754E-6</v>
      </c>
      <c r="AR89" s="5">
        <f>1000*EXP(-(Parameters!$B$55)*'6states'!A89)*AP89*Parameters!B$47*Parameters!B$46*M89</f>
        <v>0.82532762977914365</v>
      </c>
      <c r="AS89" s="5">
        <f>SUM(AR89:AR$204)*EXP(Parameters!$B$55*A89)</f>
        <v>1126.7290134331708</v>
      </c>
      <c r="AT89" s="25">
        <f t="shared" si="47"/>
        <v>0.23653271715187316</v>
      </c>
      <c r="AU89">
        <f>(1/$S89-1/Parameters!$B$13) * LN(Parameters!$B$18) / LN(O89)</f>
        <v>0.21467178113173552</v>
      </c>
      <c r="AV89">
        <f>(Parameters!$B$18*'6states'!S89^+Parameters!$B$19*Parameters!$B$25^'6states'!S89)^((1-'6states'!S89)/'6states'!S89)*Parameters!$B$18*Parameters!$B$26^('6states'!S89-1)</f>
        <v>0.30375264408330183</v>
      </c>
      <c r="AW89">
        <f t="shared" si="48"/>
        <v>0.1996731064141217</v>
      </c>
      <c r="AX89">
        <f t="shared" si="49"/>
        <v>0.13825781280731508</v>
      </c>
      <c r="AY89">
        <f t="shared" si="50"/>
        <v>0.18985763608050854</v>
      </c>
      <c r="AZ89">
        <f>(1/$S89-1/Parameters!$B$13) * LN(Parameters!$B$18) / A89</f>
        <v>1.0760415346532718E-2</v>
      </c>
    </row>
    <row r="90" spans="1:52" x14ac:dyDescent="0.35">
      <c r="A90">
        <f>A89+Parameters!$B$71</f>
        <v>86</v>
      </c>
      <c r="B90" s="7">
        <f t="shared" si="55"/>
        <v>-7.3143493548963106E-5</v>
      </c>
      <c r="C90" s="7">
        <f t="shared" si="56"/>
        <v>9.2435011125230546E-2</v>
      </c>
      <c r="D90" s="7">
        <f t="shared" si="57"/>
        <v>0.22252920794029779</v>
      </c>
      <c r="E90" s="5">
        <f>MAX((1-Parameters!$B$4)^Parameters!B$71*E89 + B89*Parameters!B$71 - IF(B89&gt;0,Parameters!$B$5,0)*B89^2/E89*Parameters!B$71, 0.0001)</f>
        <v>9.2825398118008065E-3</v>
      </c>
      <c r="F90" s="5">
        <f>(1-Parameters!$B$4)^Parameters!B$71*F89+C89*Parameters!B$71-Parameters!$B$5*C89^2/F89*Parameters!B$71</f>
        <v>1.3310539022456094</v>
      </c>
      <c r="G90" s="5">
        <f>(1-Parameters!$B$4)^Parameters!B$71*G89+D89*Parameters!B$71-Parameters!$B$5*D89^2/G89*Parameters!B$71</f>
        <v>3.2917003454323108</v>
      </c>
      <c r="H90" s="7">
        <f>MAX(H89 * (1-Parameters!$B$4) ^ Parameters!B$71 + (LN(1+EXP(Parameters!$B$21*(-B89+0.004)))/Parameters!$B$21 -0.004) * Parameters!B$71,0)</f>
        <v>4.0260543813642261E-3</v>
      </c>
      <c r="I90" s="16">
        <f>I89*(1+Parameters!$B$52)^Parameters!B$71</f>
        <v>10.467583925601184</v>
      </c>
      <c r="J90" s="16">
        <f>J89*(1+Parameters!$B$54)^Parameters!B$71</f>
        <v>49.703562702500619</v>
      </c>
      <c r="K90" s="16">
        <f>I90*J90*EXP(-Parameters!$B$43*'6states'!A90)*(Parameters!$B$38/Parameters!$B$39*('6states'!E90+'6states'!H90)/Parameters!$E$25*(EXP(-Parameters!$B$39*Parameters!$E$25*'6states'!H90/('6states'!E90+'6states'!H90))-EXP(-Parameters!$B$39*Parameters!$E$25))  +  Parameters!$B$40*'6states'!E90)</f>
        <v>1.5674659123096482</v>
      </c>
      <c r="L90" s="6">
        <f>L89+K90*Parameters!B$71</f>
        <v>3330.8655664430307</v>
      </c>
      <c r="M90" s="5">
        <f>L90*Parameters!$B$46</f>
        <v>1.9985193398658183</v>
      </c>
      <c r="N90" s="7">
        <f>EXP(-Parameters!$B$47/2*M90^2)</f>
        <v>0.96065445820318285</v>
      </c>
      <c r="O90" s="6">
        <f>MAX((Parameters!$B$63 + Parameters!$B$31*'6states'!A90 - '6states'!L90 + Parameters!$B$48/Parameters!$B$46)/Parameters!B$63,1)</f>
        <v>71.886688671139382</v>
      </c>
      <c r="P90" s="5">
        <f>Parameters!B$62*EXP(-Parameters!B$61*A90)</f>
        <v>4.9038617424679028E-2</v>
      </c>
      <c r="Q90" s="5">
        <f>(1-Parameters!B$62)*O90^-Parameters!B$64</f>
        <v>0.32606573017080276</v>
      </c>
      <c r="R90" s="5">
        <f>Parameters!B$62*EXP(-Parameters!B$61*A90)+(1-Parameters!B$62)*O90^-Parameters!B$64</f>
        <v>0.37510434759548178</v>
      </c>
      <c r="S90" s="5">
        <f>1-R90/Parameters!$B$12</f>
        <v>0.81244782620225908</v>
      </c>
      <c r="T90" s="5">
        <f t="shared" si="38"/>
        <v>5.3318496914805955</v>
      </c>
      <c r="U90" s="5">
        <f>(Parameters!$B$19*(E90+Parameters!$B$20)^S90+Parameters!$B$18*F90^S90)^(1/S90)</f>
        <v>0.33518305280369698</v>
      </c>
      <c r="V90" s="5">
        <f>(Parameters!$B$10*G90^Parameters!$B$9+Parameters!$B$11*U90^Parameters!$B$9)^(Parameters!$B$7/Parameters!$B$9)*N90</f>
        <v>1.3308551108985542</v>
      </c>
      <c r="W90" s="5">
        <f>V90 - C90 - D90 - LN(1+EXP(Parameters!$B$21*B90))/Parameters!$B$21 - IF(B90&gt;0, 0,Parameters!$B$6*B90^2/E90)</f>
        <v>1.0141914464008124</v>
      </c>
      <c r="X90" s="5">
        <f>EXP(-Parameters!$B$56*A90)</f>
        <v>0.27291360475009885</v>
      </c>
      <c r="Y90" s="5">
        <f>IF(W90&gt;0,W90^(1-Parameters!$B$53)/(1-Parameters!$B$53)*X90*Parameters!$B$71,-10+W90*1000)</f>
        <v>-0.77591681075727315</v>
      </c>
      <c r="AA90" s="15">
        <f t="shared" si="41"/>
        <v>-2.3139100474093817E-3</v>
      </c>
      <c r="AB90" s="15">
        <f t="shared" si="42"/>
        <v>-8.5785888645356634E-6</v>
      </c>
      <c r="AC90" s="15">
        <f t="shared" si="43"/>
        <v>-1.5976609563456146E-5</v>
      </c>
      <c r="AD90" s="15">
        <f t="shared" si="39"/>
        <v>1.4613182305211776E-6</v>
      </c>
      <c r="AE90" s="15">
        <f t="shared" si="44"/>
        <v>-2.8759325845119062E-4</v>
      </c>
      <c r="AF90" s="15">
        <f t="shared" si="45"/>
        <v>3.5533133155296603E-7</v>
      </c>
      <c r="AG90" s="15">
        <f t="shared" si="46"/>
        <v>9.9575151440989274E-7</v>
      </c>
      <c r="AH90" s="15">
        <f t="shared" si="40"/>
        <v>2.2572957186503724E-8</v>
      </c>
      <c r="AI90" s="15"/>
      <c r="AM90" s="16">
        <f t="shared" si="34"/>
        <v>2.0946603308532503</v>
      </c>
      <c r="AN90" s="16">
        <f t="shared" si="35"/>
        <v>4.8294846694933709</v>
      </c>
      <c r="AO90" s="16">
        <f t="shared" si="36"/>
        <v>174.3877697062527</v>
      </c>
      <c r="AP90" s="6">
        <f t="shared" si="37"/>
        <v>692.41225846728321</v>
      </c>
      <c r="AQ90" s="15">
        <f>-X90*V90*W90^(-Parameters!B$53)*Parameters!B$47*Parameters!B$46*M90</f>
        <v>-8.589140403883417E-6</v>
      </c>
      <c r="AR90" s="5">
        <f>1000*EXP(-(Parameters!$B$55)*'6states'!A90)*AP90*Parameters!B$47*Parameters!B$46*M90</f>
        <v>0.81556595460733816</v>
      </c>
      <c r="AS90" s="5">
        <f>SUM(AR90:AR$204)*EXP(Parameters!$B$55*A90)</f>
        <v>1150.0910959775247</v>
      </c>
      <c r="AT90" s="25">
        <f t="shared" si="47"/>
        <v>0.23660808227228747</v>
      </c>
      <c r="AU90">
        <f>(1/$S90-1/Parameters!$B$13) * LN(Parameters!$B$18) / LN(O90)</f>
        <v>0.21432859067616297</v>
      </c>
      <c r="AV90">
        <f>(Parameters!$B$18*'6states'!S90^+Parameters!$B$19*Parameters!$B$25^'6states'!S90)^((1-'6states'!S90)/'6states'!S90)*Parameters!$B$18*Parameters!$B$26^('6states'!S90-1)</f>
        <v>0.303912367941437</v>
      </c>
      <c r="AW90">
        <f t="shared" si="48"/>
        <v>0.19912027524438533</v>
      </c>
      <c r="AX90">
        <f t="shared" si="49"/>
        <v>0.13805279590218023</v>
      </c>
      <c r="AY90">
        <f t="shared" si="50"/>
        <v>0.18994732371204359</v>
      </c>
      <c r="AZ90">
        <f>(1/$S90-1/Parameters!$B$13) * LN(Parameters!$B$18) / A90</f>
        <v>1.0654351776839904E-2</v>
      </c>
    </row>
    <row r="91" spans="1:52" x14ac:dyDescent="0.35">
      <c r="A91">
        <f>A90+Parameters!$B$71</f>
        <v>87</v>
      </c>
      <c r="B91" s="7">
        <f t="shared" si="55"/>
        <v>-9.0825223003079434E-5</v>
      </c>
      <c r="C91" s="7">
        <f t="shared" si="56"/>
        <v>9.2583226703978033E-2</v>
      </c>
      <c r="D91" s="7">
        <f t="shared" si="57"/>
        <v>0.22250927746813617</v>
      </c>
      <c r="E91" s="5">
        <f>MAX((1-Parameters!$B$4)^Parameters!B$71*E90 + B90*Parameters!B$71 - IF(B90&gt;0,Parameters!$B$5,0)*B90^2/E90*Parameters!B$71, 0.0001)</f>
        <v>8.6255245640895727E-3</v>
      </c>
      <c r="F91" s="5">
        <f>(1-Parameters!$B$4)^Parameters!B$71*F90+C90*Parameters!B$71-Parameters!$B$5*C90^2/F90*Parameters!B$71</f>
        <v>1.3333464754550846</v>
      </c>
      <c r="G91" s="5">
        <f>(1-Parameters!$B$4)^Parameters!B$71*G90+D90*Parameters!B$71-Parameters!$B$5*D90^2/G90*Parameters!B$71</f>
        <v>3.2921379332699221</v>
      </c>
      <c r="H91" s="7">
        <f>MAX(H90 * (1-Parameters!$B$4) ^ Parameters!B$71 + (LN(1+EXP(Parameters!$B$21*(-B90+0.004)))/Parameters!$B$21 -0.004) * Parameters!B$71,0)</f>
        <v>4.2935727241074709E-3</v>
      </c>
      <c r="I91" s="16">
        <f>I90*(1+Parameters!$B$52)^Parameters!B$71</f>
        <v>10.497939918985427</v>
      </c>
      <c r="J91" s="16">
        <f>J90*(1+Parameters!$B$54)^Parameters!B$71</f>
        <v>50.697633956550632</v>
      </c>
      <c r="K91" s="16">
        <f>I91*J91*EXP(-Parameters!$B$43*'6states'!A91)*(Parameters!$B$38/Parameters!$B$39*('6states'!E91+'6states'!H91)/Parameters!$E$25*(EXP(-Parameters!$B$39*Parameters!$E$25*'6states'!H91/('6states'!E91+'6states'!H91))-EXP(-Parameters!$B$39*Parameters!$E$25))  +  Parameters!$B$40*'6states'!E91)</f>
        <v>1.4751339203138827</v>
      </c>
      <c r="L91" s="6">
        <f>L90+K91*Parameters!B$71</f>
        <v>3332.3407003633447</v>
      </c>
      <c r="M91" s="5">
        <f>L91*Parameters!$B$46</f>
        <v>1.9994044202180066</v>
      </c>
      <c r="N91" s="7">
        <f>EXP(-Parameters!$B$47/2*M91^2)</f>
        <v>0.96062029624552026</v>
      </c>
      <c r="O91" s="6">
        <f>MAX((Parameters!$B$63 + Parameters!$B$31*'6states'!A91 - '6states'!L91 + Parameters!$B$48/Parameters!$B$46)/Parameters!B$63,1)</f>
        <v>72.921185992733115</v>
      </c>
      <c r="P91" s="5">
        <f>Parameters!B$62*EXP(-Parameters!B$61*A91)</f>
        <v>4.773228953912257E-2</v>
      </c>
      <c r="Q91" s="5">
        <f>(1-Parameters!B$62)*O91^-Parameters!B$64</f>
        <v>0.32560017676699143</v>
      </c>
      <c r="R91" s="5">
        <f>Parameters!B$62*EXP(-Parameters!B$61*A91)+(1-Parameters!B$62)*O91^-Parameters!B$64</f>
        <v>0.373332466306114</v>
      </c>
      <c r="S91" s="5">
        <f>1-R91/Parameters!$B$12</f>
        <v>0.81333376684694303</v>
      </c>
      <c r="T91" s="5">
        <f t="shared" si="38"/>
        <v>5.3571552985699888</v>
      </c>
      <c r="U91" s="5">
        <f>(Parameters!$B$19*(E91+Parameters!$B$20)^S91+Parameters!$B$18*F91^S91)^(1/S91)</f>
        <v>0.33533759271582703</v>
      </c>
      <c r="V91" s="5">
        <f>(Parameters!$B$10*G91^Parameters!$B$9+Parameters!$B$11*U91^Parameters!$B$9)^(Parameters!$B$7/Parameters!$B$9)*N91</f>
        <v>1.3309057107045092</v>
      </c>
      <c r="W91" s="5">
        <f>V91 - C91 - D91 - LN(1+EXP(Parameters!$B$21*B91))/Parameters!$B$21 - IF(B91&gt;0, 0,Parameters!$B$6*B91^2/E91)</f>
        <v>1.0141205568877709</v>
      </c>
      <c r="X91" s="5">
        <f>EXP(-Parameters!$B$56*A91)</f>
        <v>0.26882356681858899</v>
      </c>
      <c r="Y91" s="5">
        <f>IF(W91&gt;0,W91^(1-Parameters!$B$53)/(1-Parameters!$B$53)*X91*Parameters!$B$71,-10+W91*1000)</f>
        <v>-0.76430718029466715</v>
      </c>
      <c r="AA91" s="15">
        <f t="shared" si="41"/>
        <v>-2.6501348118204895E-3</v>
      </c>
      <c r="AB91" s="15">
        <f t="shared" si="42"/>
        <v>-8.2440095523494961E-6</v>
      </c>
      <c r="AC91" s="15">
        <f t="shared" si="43"/>
        <v>-1.5039702323693671E-5</v>
      </c>
      <c r="AD91" s="15">
        <f t="shared" si="39"/>
        <v>1.8880846541760806E-6</v>
      </c>
      <c r="AE91" s="15">
        <f t="shared" si="44"/>
        <v>-3.3622476441110775E-4</v>
      </c>
      <c r="AF91" s="15">
        <f t="shared" si="45"/>
        <v>3.3457931218616732E-7</v>
      </c>
      <c r="AG91" s="15">
        <f t="shared" si="46"/>
        <v>9.3690723976247448E-7</v>
      </c>
      <c r="AH91" s="15">
        <f t="shared" si="40"/>
        <v>3.0389988609593981E-8</v>
      </c>
      <c r="AI91" s="15"/>
      <c r="AM91" s="16">
        <f t="shared" si="34"/>
        <v>2.285128346462491</v>
      </c>
      <c r="AN91" s="16">
        <f t="shared" si="35"/>
        <v>4.590682853428766</v>
      </c>
      <c r="AO91" s="16">
        <f t="shared" si="36"/>
        <v>178.47361346574672</v>
      </c>
      <c r="AP91" s="6">
        <f t="shared" si="37"/>
        <v>708.33558936209511</v>
      </c>
      <c r="AQ91" s="15">
        <f>-X91*V91*W91^(-Parameters!B$53)*Parameters!B$47*Parameters!B$46*M91</f>
        <v>-8.4652861288218716E-6</v>
      </c>
      <c r="AR91" s="5">
        <f>1000*EXP(-(Parameters!$B$55)*'6states'!A91)*AP91*Parameters!B$47*Parameters!B$46*M91</f>
        <v>0.80590149088126128</v>
      </c>
      <c r="AS91" s="5">
        <f>SUM(AR91:AR$204)*EXP(Parameters!$B$55*A91)</f>
        <v>1173.8913259742512</v>
      </c>
      <c r="AT91" s="25">
        <f t="shared" si="47"/>
        <v>0.23668219049294359</v>
      </c>
      <c r="AU91">
        <f>(1/$S91-1/Parameters!$B$13) * LN(Parameters!$B$18) / LN(O91)</f>
        <v>0.21398700996092598</v>
      </c>
      <c r="AV91">
        <f>(Parameters!$B$18*'6states'!S91^+Parameters!$B$19*Parameters!$B$25^'6states'!S91)^((1-'6states'!S91)/'6states'!S91)*Parameters!$B$18*Parameters!$B$26^('6states'!S91-1)</f>
        <v>0.30406655709733471</v>
      </c>
      <c r="AW91">
        <f t="shared" si="48"/>
        <v>0.19857524713176045</v>
      </c>
      <c r="AX91">
        <f t="shared" si="49"/>
        <v>0.13784869219925222</v>
      </c>
      <c r="AY91">
        <f t="shared" si="50"/>
        <v>0.19003389409637539</v>
      </c>
      <c r="AZ91">
        <f>(1/$S91-1/Parameters!$B$13) * LN(Parameters!$B$18) / A91</f>
        <v>1.0550246351582469E-2</v>
      </c>
    </row>
    <row r="92" spans="1:52" x14ac:dyDescent="0.35">
      <c r="A92">
        <f>A91+Parameters!$B$71</f>
        <v>88</v>
      </c>
      <c r="B92" s="7">
        <f t="shared" si="55"/>
        <v>-1.0850695245719576E-4</v>
      </c>
      <c r="C92" s="7">
        <f t="shared" si="56"/>
        <v>9.2731442282725521E-2</v>
      </c>
      <c r="D92" s="7">
        <f t="shared" si="57"/>
        <v>0.22248934699597456</v>
      </c>
      <c r="E92" s="5">
        <f>MAX((1-Parameters!$B$4)^Parameters!B$71*E91 + B91*Parameters!B$71 - IF(B91&gt;0,Parameters!$B$5,0)*B91^2/E91*Parameters!B$71, 0.0001)</f>
        <v>7.9921538460052607E-3</v>
      </c>
      <c r="F92" s="5">
        <f>(1-Parameters!$B$4)^Parameters!B$71*F91+C91*Parameters!B$71-Parameters!$B$5*C91^2/F91*Parameters!B$71</f>
        <v>1.33563353181759</v>
      </c>
      <c r="G92" s="5">
        <f>(1-Parameters!$B$4)^Parameters!B$71*G91+D91*Parameters!B$71-Parameters!$B$5*D91^2/G91*Parameters!B$71</f>
        <v>3.2925327601957517</v>
      </c>
      <c r="H92" s="7">
        <f>MAX(H91 * (1-Parameters!$B$4) ^ Parameters!B$71 + (LN(1+EXP(Parameters!$B$21*(-B91+0.004)))/Parameters!$B$21 -0.004) * Parameters!B$71,0)</f>
        <v>4.5590558457370067E-3</v>
      </c>
      <c r="I92" s="16">
        <f>I91*(1+Parameters!$B$52)^Parameters!B$71</f>
        <v>10.528383944750484</v>
      </c>
      <c r="J92" s="16">
        <f>J91*(1+Parameters!$B$54)^Parameters!B$71</f>
        <v>51.711586635681648</v>
      </c>
      <c r="K92" s="16">
        <f>I92*J92*EXP(-Parameters!$B$43*'6states'!A92)*(Parameters!$B$38/Parameters!$B$39*('6states'!E92+'6states'!H92)/Parameters!$E$25*(EXP(-Parameters!$B$39*Parameters!$E$25*'6states'!H92/('6states'!E92+'6states'!H92))-EXP(-Parameters!$B$39*Parameters!$E$25))  +  Parameters!$B$40*'6states'!E92)</f>
        <v>1.3842819765967336</v>
      </c>
      <c r="L92" s="6">
        <f>L91+K92*Parameters!B$71</f>
        <v>3333.7249823399416</v>
      </c>
      <c r="M92" s="5">
        <f>L92*Parameters!$B$46</f>
        <v>2.0002349894039648</v>
      </c>
      <c r="N92" s="7">
        <f>EXP(-Parameters!$B$47/2*M92^2)</f>
        <v>0.96058822563525093</v>
      </c>
      <c r="O92" s="6">
        <f>MAX((Parameters!$B$63 + Parameters!$B$31*'6states'!A92 - '6states'!L92 + Parameters!$B$48/Parameters!$B$46)/Parameters!B$63,1)</f>
        <v>73.957500353201169</v>
      </c>
      <c r="P92" s="5">
        <f>Parameters!B$62*EXP(-Parameters!B$61*A92)</f>
        <v>4.6460760606599448E-2</v>
      </c>
      <c r="Q92" s="5">
        <f>(1-Parameters!B$62)*O92^-Parameters!B$64</f>
        <v>0.32514103354018847</v>
      </c>
      <c r="R92" s="5">
        <f>Parameters!B$62*EXP(-Parameters!B$61*A92)+(1-Parameters!B$62)*O92^-Parameters!B$64</f>
        <v>0.3716017941467879</v>
      </c>
      <c r="S92" s="5">
        <f>1-R92/Parameters!$B$12</f>
        <v>0.81419910292660602</v>
      </c>
      <c r="T92" s="5">
        <f t="shared" si="38"/>
        <v>5.3821053383019235</v>
      </c>
      <c r="U92" s="5">
        <f>(Parameters!$B$19*(E92+Parameters!$B$20)^S92+Parameters!$B$18*F92^S92)^(1/S92)</f>
        <v>0.3355096979486224</v>
      </c>
      <c r="V92" s="5">
        <f>(Parameters!$B$10*G92^Parameters!$B$9+Parameters!$B$11*U92^Parameters!$B$9)^(Parameters!$B$7/Parameters!$B$9)*N92</f>
        <v>1.3309628737677146</v>
      </c>
      <c r="W92" s="5">
        <f>V92 - C92 - D92 - LN(1+EXP(Parameters!$B$21*B92))/Parameters!$B$21 - IF(B92&gt;0, 0,Parameters!$B$6*B92^2/E92)</f>
        <v>1.0140555155487276</v>
      </c>
      <c r="X92" s="5">
        <f>EXP(-Parameters!$B$56*A92)</f>
        <v>0.26479482451320413</v>
      </c>
      <c r="Y92" s="5">
        <f>IF(W92&gt;0,W92^(1-Parameters!$B$53)/(1-Parameters!$B$53)*X92*Parameters!$B$71,-10+W92*1000)</f>
        <v>-0.75286974017814789</v>
      </c>
      <c r="AA92" s="15">
        <f t="shared" si="41"/>
        <v>-3.0468644273241429E-3</v>
      </c>
      <c r="AB92" s="15">
        <f t="shared" si="42"/>
        <v>-7.9289333398957496E-6</v>
      </c>
      <c r="AC92" s="15">
        <f t="shared" si="43"/>
        <v>-1.4158117431717354E-5</v>
      </c>
      <c r="AD92" s="15">
        <f t="shared" si="39"/>
        <v>2.4582614554532294E-6</v>
      </c>
      <c r="AE92" s="15">
        <f t="shared" si="44"/>
        <v>-3.9672961550365343E-4</v>
      </c>
      <c r="AF92" s="15">
        <f t="shared" si="45"/>
        <v>3.1507621245374651E-7</v>
      </c>
      <c r="AG92" s="15">
        <f t="shared" si="46"/>
        <v>8.8158489197631695E-7</v>
      </c>
      <c r="AH92" s="15">
        <f t="shared" si="40"/>
        <v>4.1677451384925247E-8</v>
      </c>
      <c r="AI92" s="15"/>
      <c r="AM92" s="16">
        <f t="shared" si="34"/>
        <v>2.4821298047098463</v>
      </c>
      <c r="AN92" s="16">
        <f t="shared" si="35"/>
        <v>4.3512437522662513</v>
      </c>
      <c r="AO92" s="16">
        <f t="shared" si="36"/>
        <v>182.66471155999812</v>
      </c>
      <c r="AP92" s="6">
        <f t="shared" si="37"/>
        <v>724.62867964870406</v>
      </c>
      <c r="AQ92" s="15">
        <f>-X92*V92*W92^(-Parameters!B$53)*Parameters!B$47*Parameters!B$46*M92</f>
        <v>-8.3429650436270186E-6</v>
      </c>
      <c r="AR92" s="5">
        <f>1000*EXP(-(Parameters!$B$55)*'6states'!A92)*AP92*Parameters!B$47*Parameters!B$46*M92</f>
        <v>0.79633361894023402</v>
      </c>
      <c r="AS92" s="5">
        <f>SUM(AR92:AR$204)*EXP(Parameters!$B$55*A92)</f>
        <v>1198.1364507248277</v>
      </c>
      <c r="AT92" s="25">
        <f t="shared" si="47"/>
        <v>0.23675512558379419</v>
      </c>
      <c r="AU92">
        <f>(1/$S92-1/Parameters!$B$13) * LN(Parameters!$B$18) / LN(O92)</f>
        <v>0.21364705872930218</v>
      </c>
      <c r="AV92">
        <f>(Parameters!$B$18*'6states'!S92^+Parameters!$B$19*Parameters!$B$25^'6states'!S92)^((1-'6states'!S92)/'6states'!S92)*Parameters!$B$18*Parameters!$B$26^('6states'!S92-1)</f>
        <v>0.30421543947244534</v>
      </c>
      <c r="AW92">
        <f t="shared" si="48"/>
        <v>0.19803785637695459</v>
      </c>
      <c r="AX92">
        <f t="shared" si="49"/>
        <v>0.13764551417161708</v>
      </c>
      <c r="AY92">
        <f t="shared" si="50"/>
        <v>0.19011747617861174</v>
      </c>
      <c r="AZ92">
        <f>(1/$S92-1/Parameters!$B$13) * LN(Parameters!$B$18) / A92</f>
        <v>1.0448046713762872E-2</v>
      </c>
    </row>
    <row r="93" spans="1:52" x14ac:dyDescent="0.35">
      <c r="A93">
        <f>A92+Parameters!$B$71</f>
        <v>89</v>
      </c>
      <c r="B93" s="7">
        <f t="shared" si="55"/>
        <v>-1.2618868191131209E-4</v>
      </c>
      <c r="C93" s="7">
        <f t="shared" si="56"/>
        <v>9.2879657861473008E-2</v>
      </c>
      <c r="D93" s="7">
        <f t="shared" si="57"/>
        <v>0.22246941652381294</v>
      </c>
      <c r="E93" s="5">
        <f>MAX((1-Parameters!$B$4)^Parameters!B$71*E92 + B92*Parameters!B$71 - IF(B92&gt;0,Parameters!$B$5,0)*B92^2/E92*Parameters!B$71, 0.0001)</f>
        <v>7.3809404166343346E-3</v>
      </c>
      <c r="F93" s="5">
        <f>(1-Parameters!$B$4)^Parameters!B$71*F92+C92*Parameters!B$71-Parameters!$B$5*C92^2/F92*Parameters!B$71</f>
        <v>1.3379153915691095</v>
      </c>
      <c r="G93" s="5">
        <f>(1-Parameters!$B$4)^Parameters!B$71*G92+D92*Parameters!B$71-Parameters!$B$5*D92^2/G92*Parameters!B$71</f>
        <v>3.2928873191284063</v>
      </c>
      <c r="H93" s="7">
        <f>MAX(H92 * (1-Parameters!$B$4) ^ Parameters!B$71 + (LN(1+EXP(Parameters!$B$21*(-B92+0.004)))/Parameters!$B$21 -0.004) * Parameters!B$71,0)</f>
        <v>4.8226488204367009E-3</v>
      </c>
      <c r="I93" s="16">
        <f>I92*(1+Parameters!$B$52)^Parameters!B$71</f>
        <v>10.558916258190258</v>
      </c>
      <c r="J93" s="16">
        <f>J92*(1+Parameters!$B$54)^Parameters!B$71</f>
        <v>52.745818368395284</v>
      </c>
      <c r="K93" s="16">
        <f>I93*J93*EXP(-Parameters!$B$43*'6states'!A93)*(Parameters!$B$38/Parameters!$B$39*('6states'!E93+'6states'!H93)/Parameters!$E$25*(EXP(-Parameters!$B$39*Parameters!$E$25*'6states'!H93/('6states'!E93+'6states'!H93))-EXP(-Parameters!$B$39*Parameters!$E$25))  +  Parameters!$B$40*'6states'!E93)</f>
        <v>1.2947540225536716</v>
      </c>
      <c r="L93" s="6">
        <f>L92+K93*Parameters!B$71</f>
        <v>3335.0197363624952</v>
      </c>
      <c r="M93" s="5">
        <f>L93*Parameters!$B$46</f>
        <v>2.0010118418174971</v>
      </c>
      <c r="N93" s="7">
        <f>EXP(-Parameters!$B$47/2*M93^2)</f>
        <v>0.96055821809482711</v>
      </c>
      <c r="O93" s="6">
        <f>MAX((Parameters!$B$63 + Parameters!$B$31*'6states'!A93 - '6states'!L93 + Parameters!$B$48/Parameters!$B$46)/Parameters!B$63,1)</f>
        <v>74.995605272750097</v>
      </c>
      <c r="P93" s="5">
        <f>Parameters!B$62*EXP(-Parameters!B$61*A93)</f>
        <v>4.522310362620463E-2</v>
      </c>
      <c r="Q93" s="5">
        <f>(1-Parameters!B$62)*O93^-Parameters!B$64</f>
        <v>0.32468813820086756</v>
      </c>
      <c r="R93" s="5">
        <f>Parameters!B$62*EXP(-Parameters!B$61*A93)+(1-Parameters!B$62)*O93^-Parameters!B$64</f>
        <v>0.36991124182707219</v>
      </c>
      <c r="S93" s="5">
        <f>1-R93/Parameters!$B$12</f>
        <v>0.81504437908646388</v>
      </c>
      <c r="T93" s="5">
        <f t="shared" si="38"/>
        <v>5.4067024027752284</v>
      </c>
      <c r="U93" s="5">
        <f>(Parameters!$B$19*(E93+Parameters!$B$20)^S93+Parameters!$B$18*F93^S93)^(1/S93)</f>
        <v>0.33569795890215698</v>
      </c>
      <c r="V93" s="5">
        <f>(Parameters!$B$10*G93^Parameters!$B$9+Parameters!$B$11*U93^Parameters!$B$9)^(Parameters!$B$7/Parameters!$B$9)*N93</f>
        <v>1.3310261510460228</v>
      </c>
      <c r="W93" s="5">
        <f>V93 - C93 - D93 - LN(1+EXP(Parameters!$B$21*B93))/Parameters!$B$21 - IF(B93&gt;0, 0,Parameters!$B$6*B93^2/E93)</f>
        <v>1.0139957199945187</v>
      </c>
      <c r="X93" s="5">
        <f>EXP(-Parameters!$B$56*A93)</f>
        <v>0.26082645922295711</v>
      </c>
      <c r="Y93" s="5">
        <f>IF(W93&gt;0,W93^(1-Parameters!$B$53)/(1-Parameters!$B$53)*X93*Parameters!$B$71,-10+W93*1000)</f>
        <v>-0.74160211337211301</v>
      </c>
      <c r="AA93" s="15">
        <f t="shared" si="41"/>
        <v>-3.5198741587427248E-3</v>
      </c>
      <c r="AB93" s="15">
        <f t="shared" si="42"/>
        <v>-7.6321872725798601E-6</v>
      </c>
      <c r="AC93" s="15">
        <f t="shared" si="43"/>
        <v>-1.3328548789395822E-5</v>
      </c>
      <c r="AD93" s="15">
        <f t="shared" si="39"/>
        <v>3.2315746215614277E-6</v>
      </c>
      <c r="AE93" s="15">
        <f t="shared" si="44"/>
        <v>-4.7300973141858188E-4</v>
      </c>
      <c r="AF93" s="15">
        <f t="shared" si="45"/>
        <v>2.9674606731588948E-7</v>
      </c>
      <c r="AG93" s="15">
        <f t="shared" si="46"/>
        <v>8.2956864232153205E-7</v>
      </c>
      <c r="AH93" s="15">
        <f t="shared" si="40"/>
        <v>5.8357046532773353E-8</v>
      </c>
      <c r="AI93" s="15"/>
      <c r="AM93" s="16">
        <f t="shared" si="34"/>
        <v>2.6859196639213554</v>
      </c>
      <c r="AN93" s="16">
        <f t="shared" si="35"/>
        <v>4.1107312063155534</v>
      </c>
      <c r="AO93" s="16">
        <f t="shared" si="36"/>
        <v>186.96317781478425</v>
      </c>
      <c r="AP93" s="6">
        <f t="shared" si="37"/>
        <v>741.29994643987834</v>
      </c>
      <c r="AQ93" s="15">
        <f>-X93*V93*W93^(-Parameters!B$53)*Parameters!B$47*Parameters!B$46*M93</f>
        <v>-8.2221696998118998E-6</v>
      </c>
      <c r="AR93" s="5">
        <f>1000*EXP(-(Parameters!$B$55)*'6states'!A93)*AP93*Parameters!B$47*Parameters!B$46*M93</f>
        <v>0.78686169361981428</v>
      </c>
      <c r="AS93" s="5">
        <f>SUM(AR93:AR$204)*EXP(Parameters!$B$55*A93)</f>
        <v>1222.8332661071322</v>
      </c>
      <c r="AT93" s="25">
        <f t="shared" si="47"/>
        <v>0.23682696651425536</v>
      </c>
      <c r="AU93">
        <f>(1/$S93-1/Parameters!$B$13) * LN(Parameters!$B$18) / LN(O93)</f>
        <v>0.21330875419092549</v>
      </c>
      <c r="AV93">
        <f>(Parameters!$B$18*'6states'!S93^+Parameters!$B$19*Parameters!$B$25^'6states'!S93)^((1-'6states'!S93)/'6states'!S93)*Parameters!$B$18*Parameters!$B$26^('6states'!S93-1)</f>
        <v>0.30435923249606112</v>
      </c>
      <c r="AW93">
        <f t="shared" si="48"/>
        <v>0.19750794048846038</v>
      </c>
      <c r="AX93">
        <f t="shared" si="49"/>
        <v>0.137443272785719</v>
      </c>
      <c r="AY93">
        <f t="shared" si="50"/>
        <v>0.19019819292762963</v>
      </c>
      <c r="AZ93">
        <f>(1/$S93-1/Parameters!$B$13) * LN(Parameters!$B$18) / A93</f>
        <v>1.0347702373585182E-2</v>
      </c>
    </row>
    <row r="94" spans="1:52" x14ac:dyDescent="0.35">
      <c r="A94">
        <f>A93+Parameters!$B$71</f>
        <v>90</v>
      </c>
      <c r="B94" s="7">
        <f t="shared" si="55"/>
        <v>-1.4387041136542842E-4</v>
      </c>
      <c r="C94" s="7">
        <f t="shared" si="56"/>
        <v>9.3027873440220496E-2</v>
      </c>
      <c r="D94" s="7">
        <f t="shared" si="57"/>
        <v>0.22244948605165132</v>
      </c>
      <c r="E94" s="5">
        <f>MAX((1-Parameters!$B$4)^Parameters!B$71*E93 + B93*Parameters!B$71 - IF(B93&gt;0,Parameters!$B$5,0)*B93^2/E93*Parameters!B$71, 0.0001)</f>
        <v>6.7904905825167229E-3</v>
      </c>
      <c r="F94" s="5">
        <f>(1-Parameters!$B$4)^Parameters!B$71*F93+C93*Parameters!B$71-Parameters!$B$5*C93^2/F93*Parameters!B$71</f>
        <v>1.3401923563651841</v>
      </c>
      <c r="G94" s="5">
        <f>(1-Parameters!$B$4)^Parameters!B$71*G93+D93*Parameters!B$71-Parameters!$B$5*D93^2/G93*Parameters!B$71</f>
        <v>3.2932039578066492</v>
      </c>
      <c r="H94" s="7">
        <f>MAX(H93 * (1-Parameters!$B$4) ^ Parameters!B$71 + (LN(1+EXP(Parameters!$B$21*(-B93+0.004)))/Parameters!$B$21 -0.004) * Parameters!B$71,0)</f>
        <v>5.0844875159749038E-3</v>
      </c>
      <c r="I94" s="16">
        <f>I93*(1+Parameters!$B$52)^Parameters!B$71</f>
        <v>10.589537115339009</v>
      </c>
      <c r="J94" s="16">
        <f>J93*(1+Parameters!$B$54)^Parameters!B$71</f>
        <v>53.800734735763193</v>
      </c>
      <c r="K94" s="16">
        <f>I94*J94*EXP(-Parameters!$B$43*'6states'!A94)*(Parameters!$B$38/Parameters!$B$39*('6states'!E94+'6states'!H94)/Parameters!$E$25*(EXP(-Parameters!$B$39*Parameters!$E$25*'6states'!H94/('6states'!E94+'6states'!H94))-EXP(-Parameters!$B$39*Parameters!$E$25))  +  Parameters!$B$40*'6states'!E94)</f>
        <v>1.2064006822095543</v>
      </c>
      <c r="L94" s="6">
        <f>L93+K94*Parameters!B$71</f>
        <v>3336.226137044705</v>
      </c>
      <c r="M94" s="5">
        <f>L94*Parameters!$B$46</f>
        <v>2.0017356822268226</v>
      </c>
      <c r="N94" s="7">
        <f>EXP(-Parameters!$B$47/2*M94^2)</f>
        <v>0.96053024861092084</v>
      </c>
      <c r="O94" s="6">
        <f>MAX((Parameters!$B$63 + Parameters!$B$31*'6states'!A94 - '6states'!L94 + Parameters!$B$48/Parameters!$B$46)/Parameters!B$63,1)</f>
        <v>76.035477259105903</v>
      </c>
      <c r="P94" s="5">
        <f>Parameters!B$62*EXP(-Parameters!B$61*A94)</f>
        <v>4.4018416291186274E-2</v>
      </c>
      <c r="Q94" s="5">
        <f>(1-Parameters!B$62)*O94^-Parameters!B$64</f>
        <v>0.32424133339480959</v>
      </c>
      <c r="R94" s="5">
        <f>Parameters!B$62*EXP(-Parameters!B$61*A94)+(1-Parameters!B$62)*O94^-Parameters!B$64</f>
        <v>0.36825974968599584</v>
      </c>
      <c r="S94" s="5">
        <f>1-R94/Parameters!$B$12</f>
        <v>0.81587012515700208</v>
      </c>
      <c r="T94" s="5">
        <f t="shared" si="38"/>
        <v>5.4309492191458357</v>
      </c>
      <c r="U94" s="5">
        <f>(Parameters!$B$19*(E94+Parameters!$B$20)^S94+Parameters!$B$18*F94^S94)^(1/S94)</f>
        <v>0.33590105217405669</v>
      </c>
      <c r="V94" s="5">
        <f>(Parameters!$B$10*G94^Parameters!$B$9+Parameters!$B$11*U94^Parameters!$B$9)^(Parameters!$B$7/Parameters!$B$9)*N94</f>
        <v>1.3310951206411406</v>
      </c>
      <c r="W94" s="5">
        <f>V94 - C94 - D94 - LN(1+EXP(Parameters!$B$21*B94))/Parameters!$B$21 - IF(B94&gt;0, 0,Parameters!$B$6*B94^2/E94)</f>
        <v>1.0139405526690954</v>
      </c>
      <c r="X94" s="5">
        <f>EXP(-Parameters!$B$56*A94)</f>
        <v>0.25691756610368538</v>
      </c>
      <c r="Y94" s="5">
        <f>IF(W94&gt;0,W94^(1-Parameters!$B$53)/(1-Parameters!$B$53)*X94*Parameters!$B$71,-10+W94*1000)</f>
        <v>-0.7305019543663176</v>
      </c>
      <c r="AA94" s="15">
        <f t="shared" si="41"/>
        <v>-4.0904835122509767E-3</v>
      </c>
      <c r="AB94" s="15">
        <f t="shared" si="42"/>
        <v>-7.3526696667408631E-6</v>
      </c>
      <c r="AC94" s="15">
        <f t="shared" si="43"/>
        <v>-1.2547892335013078E-5</v>
      </c>
      <c r="AD94" s="15">
        <f t="shared" si="39"/>
        <v>4.2988132810123333E-6</v>
      </c>
      <c r="AE94" s="15">
        <f t="shared" si="44"/>
        <v>-5.7060935350825188E-4</v>
      </c>
      <c r="AF94" s="15">
        <f t="shared" si="45"/>
        <v>2.7951760583899699E-7</v>
      </c>
      <c r="AG94" s="15">
        <f t="shared" si="46"/>
        <v>7.8065645438274434E-7</v>
      </c>
      <c r="AH94" s="15">
        <f t="shared" si="40"/>
        <v>8.3651260395507347E-8</v>
      </c>
      <c r="AI94" s="15"/>
      <c r="AM94" s="16">
        <f t="shared" si="34"/>
        <v>2.8967590262579743</v>
      </c>
      <c r="AN94" s="16">
        <f t="shared" si="35"/>
        <v>3.8687114140457215</v>
      </c>
      <c r="AO94" s="16">
        <f t="shared" si="36"/>
        <v>191.37118574047301</v>
      </c>
      <c r="AP94" s="6">
        <f t="shared" si="37"/>
        <v>758.358004304362</v>
      </c>
      <c r="AQ94" s="15">
        <f>-X94*V94*W94^(-Parameters!B$53)*Parameters!B$47*Parameters!B$46*M94</f>
        <v>-8.1028922449089208E-6</v>
      </c>
      <c r="AR94" s="5">
        <f>1000*EXP(-(Parameters!$B$55)*'6states'!A94)*AP94*Parameters!B$47*Parameters!B$46*M94</f>
        <v>0.77748504718525624</v>
      </c>
      <c r="AS94" s="5">
        <f>SUM(AR94:AR$204)*EXP(Parameters!$B$55*A94)</f>
        <v>1247.988614807967</v>
      </c>
      <c r="AT94" s="25">
        <f t="shared" si="47"/>
        <v>0.23689778753649224</v>
      </c>
      <c r="AU94">
        <f>(1/$S94-1/Parameters!$B$13) * LN(Parameters!$B$18) / LN(O94)</f>
        <v>0.21297211123013193</v>
      </c>
      <c r="AV94">
        <f>(Parameters!$B$18*'6states'!S94^+Parameters!$B$19*Parameters!$B$25^'6states'!S94)^((1-'6states'!S94)/'6states'!S94)*Parameters!$B$18*Parameters!$B$26^('6states'!S94-1)</f>
        <v>0.30449814363185712</v>
      </c>
      <c r="AW94">
        <f t="shared" si="48"/>
        <v>0.19698534020827593</v>
      </c>
      <c r="AX94">
        <f t="shared" si="49"/>
        <v>0.13724197762405776</v>
      </c>
      <c r="AY94">
        <f t="shared" si="50"/>
        <v>0.19027616163907179</v>
      </c>
      <c r="AZ94">
        <f>(1/$S94-1/Parameters!$B$13) * LN(Parameters!$B$18) / A94</f>
        <v>1.02491646236292E-2</v>
      </c>
    </row>
    <row r="95" spans="1:52" x14ac:dyDescent="0.35">
      <c r="A95">
        <f>A94+Parameters!$B$71</f>
        <v>91</v>
      </c>
      <c r="B95" s="13">
        <v>-1.6155214081954469E-4</v>
      </c>
      <c r="C95" s="13">
        <v>9.3176089018967928E-2</v>
      </c>
      <c r="D95" s="13">
        <v>0.22242955557948962</v>
      </c>
      <c r="E95" s="5">
        <f>MAX((1-Parameters!$B$4)^Parameters!B$71*E94 + B94*Parameters!B$71 - IF(B94&gt;0,Parameters!$B$5,0)*B94^2/E94*Parameters!B$71, 0.0001)</f>
        <v>6.2194983135109927E-3</v>
      </c>
      <c r="F95" s="5">
        <f>(1-Parameters!$B$4)^Parameters!B$71*F94+C94*Parameters!B$71-Parameters!$B$5*C94^2/F94*Parameters!B$71</f>
        <v>1.3424647103580007</v>
      </c>
      <c r="G95" s="5">
        <f>(1-Parameters!$B$4)^Parameters!B$71*G94+D94*Parameters!B$71-Parameters!$B$5*D94^2/G94*Parameters!B$71</f>
        <v>3.2934848872265672</v>
      </c>
      <c r="H95" s="7">
        <f>MAX(H94 * (1-Parameters!$B$4) ^ Parameters!B$71 + (LN(1+EXP(Parameters!$B$21*(-B94+0.004)))/Parameters!$B$21 -0.004) * Parameters!B$71,0)</f>
        <v>5.3446991729454779E-3</v>
      </c>
      <c r="I95" s="16">
        <f>I94*(1+Parameters!$B$52)^Parameters!B$71</f>
        <v>10.620246772973491</v>
      </c>
      <c r="J95" s="16">
        <f>J94*(1+Parameters!$B$54)^Parameters!B$71</f>
        <v>54.876749430478455</v>
      </c>
      <c r="K95" s="16">
        <f>I95*J95*EXP(-Parameters!$B$43*'6states'!A95)*(Parameters!$B$38/Parameters!$B$39*('6states'!E95+'6states'!H95)/Parameters!$E$25*(EXP(-Parameters!$B$39*Parameters!$E$25*'6states'!H95/('6states'!E95+'6states'!H95))-EXP(-Parameters!$B$39*Parameters!$E$25))  +  Parameters!$B$40*'6states'!E95)</f>
        <v>1.1190787117598209</v>
      </c>
      <c r="L95" s="6">
        <f>L94+K95*Parameters!B$71</f>
        <v>3337.3452157564648</v>
      </c>
      <c r="M95" s="5">
        <f>L95*Parameters!$B$46</f>
        <v>2.0024071294538786</v>
      </c>
      <c r="N95" s="7">
        <f>EXP(-Parameters!$B$47/2*M95^2)</f>
        <v>0.96050429530513504</v>
      </c>
      <c r="O95" s="6">
        <f>MAX((Parameters!$B$63 + Parameters!$B$31*'6states'!A95 - '6states'!L95 + Parameters!$B$48/Parameters!$B$46)/Parameters!B$63,1)</f>
        <v>77.077095684870699</v>
      </c>
      <c r="P95" s="5">
        <f>Parameters!B$62*EXP(-Parameters!B$61*A95)</f>
        <v>4.2845820331124176E-2</v>
      </c>
      <c r="Q95" s="5">
        <f>(1-Parameters!B$62)*O95^-Parameters!B$64</f>
        <v>0.32380046653724764</v>
      </c>
      <c r="R95" s="5">
        <f>Parameters!B$62*EXP(-Parameters!B$61*A95)+(1-Parameters!B$62)*O95^-Parameters!B$64</f>
        <v>0.36664628686837181</v>
      </c>
      <c r="S95" s="5">
        <f>1-R95/Parameters!$B$12</f>
        <v>0.81667685656581412</v>
      </c>
      <c r="T95" s="5">
        <f t="shared" si="38"/>
        <v>5.4548486419501421</v>
      </c>
      <c r="U95" s="5">
        <f>(Parameters!$B$19*(E95+Parameters!$B$20)^S95+Parameters!$B$18*F95^S95)^(1/S95)</f>
        <v>0.33611773540463391</v>
      </c>
      <c r="V95" s="5">
        <f>(Parameters!$B$10*G95^Parameters!$B$9+Parameters!$B$11*U95^Parameters!$B$9)^(Parameters!$B$7/Parameters!$B$9)*N95</f>
        <v>1.3311693871216848</v>
      </c>
      <c r="W95" s="5">
        <f>V95 - C95 - D95 - LN(1+EXP(Parameters!$B$21*B95))/Parameters!$B$21 - IF(B95&gt;0, 0,Parameters!$B$6*B95^2/E95)</f>
        <v>1.0138893642429363</v>
      </c>
      <c r="X95" s="5">
        <f>EXP(-Parameters!$B$56*A95)</f>
        <v>0.2530672538717339</v>
      </c>
      <c r="Y95" s="5">
        <f>IF(W95&gt;0,W95^(1-Parameters!$B$53)/(1-Parameters!$B$53)*X95*Parameters!$B$71,-10+W95*1000)</f>
        <v>-0.71956695281463512</v>
      </c>
      <c r="AA95" s="15">
        <f t="shared" si="41"/>
        <v>-4.78806574461655E-3</v>
      </c>
      <c r="AB95" s="15">
        <f t="shared" si="42"/>
        <v>-7.0893457139453719E-6</v>
      </c>
      <c r="AC95" s="15">
        <f t="shared" si="43"/>
        <v>-1.181323319500438E-5</v>
      </c>
      <c r="AD95" s="15">
        <f t="shared" si="39"/>
        <v>5.8017599830262854E-6</v>
      </c>
      <c r="AE95" s="15">
        <f t="shared" si="44"/>
        <v>-6.9758223236557337E-4</v>
      </c>
      <c r="AF95" s="15">
        <f t="shared" si="45"/>
        <v>2.6332395279549115E-7</v>
      </c>
      <c r="AG95" s="15">
        <f t="shared" si="46"/>
        <v>7.346591400086977E-7</v>
      </c>
      <c r="AH95" s="15">
        <f t="shared" si="40"/>
        <v>1.2314798691917293E-7</v>
      </c>
      <c r="AI95" s="15"/>
      <c r="AM95" s="16">
        <f t="shared" si="34"/>
        <v>3.1149153761164143</v>
      </c>
      <c r="AN95" s="16">
        <f t="shared" si="35"/>
        <v>3.6247523577288394</v>
      </c>
      <c r="AO95" s="16">
        <f t="shared" si="36"/>
        <v>195.89096941078728</v>
      </c>
      <c r="AP95" s="6">
        <f t="shared" si="37"/>
        <v>775.81167021523186</v>
      </c>
      <c r="AQ95" s="15">
        <f>-X95*V95*W95^(-Parameters!B$53)*Parameters!B$47*Parameters!B$46*M95</f>
        <v>-7.985124628993634E-6</v>
      </c>
      <c r="AR95" s="5">
        <f>1000*EXP(-(Parameters!$B$55)*'6states'!A95)*AP95*Parameters!B$47*Parameters!B$46*M95</f>
        <v>0.76820299189716668</v>
      </c>
      <c r="AS95" s="5">
        <f>SUM(AR95:AR$204)*EXP(Parameters!$B$55*A95)</f>
        <v>1273.6093844372617</v>
      </c>
      <c r="AT95" s="25">
        <f t="shared" si="47"/>
        <v>0.23696765829306338</v>
      </c>
      <c r="AU95">
        <f>(1/$S95-1/Parameters!$B$13) * LN(Parameters!$B$18) / LN(O95)</f>
        <v>0.21263714259301231</v>
      </c>
      <c r="AV95">
        <f>(Parameters!$B$18*'6states'!S95^+Parameters!$B$19*Parameters!$B$25^'6states'!S95)^((1-'6states'!S95)/'6states'!S95)*Parameters!$B$18*Parameters!$B$26^('6states'!S95-1)</f>
        <v>0.30463237087649198</v>
      </c>
      <c r="AW95">
        <f t="shared" si="48"/>
        <v>0.19646989952178559</v>
      </c>
      <c r="AX95">
        <f t="shared" si="49"/>
        <v>0.13704163699534355</v>
      </c>
      <c r="AY95">
        <f t="shared" si="50"/>
        <v>0.19035149422200648</v>
      </c>
      <c r="AZ95">
        <f>(1/$S95-1/Parameters!$B$13) * LN(Parameters!$B$18) / A95</f>
        <v>1.0152386458785993E-2</v>
      </c>
    </row>
    <row r="96" spans="1:52" x14ac:dyDescent="0.35">
      <c r="A96">
        <f>A95+Parameters!$B$71</f>
        <v>92</v>
      </c>
      <c r="B96" s="7">
        <f>B95+(B$119-B$95)/24</f>
        <v>-1.5494400459015225E-4</v>
      </c>
      <c r="C96" s="7">
        <f>C95+(C$119-C$95)/24</f>
        <v>9.3083335051187419E-2</v>
      </c>
      <c r="D96" s="7">
        <f>D95+(D$119-D$95)/24</f>
        <v>0.22257730595722594</v>
      </c>
      <c r="E96" s="5">
        <f>MAX((1-Parameters!$B$4)^Parameters!B$71*E95 + B95*Parameters!B$71 - IF(B95&gt;0,Parameters!$B$5,0)*B95^2/E95*Parameters!B$71, 0.0001)</f>
        <v>5.6667397287716069E-3</v>
      </c>
      <c r="F96" s="5">
        <f>(1-Parameters!$B$4)^Parameters!B$71*F95+C95*Parameters!B$71-Parameters!$B$5*C95^2/F95*Parameters!B$71</f>
        <v>1.3447327212111486</v>
      </c>
      <c r="G96" s="5">
        <f>(1-Parameters!$B$4)^Parameters!B$71*G95+D95*Parameters!B$71-Parameters!$B$5*D95^2/G95*Parameters!B$71</f>
        <v>3.2937321895904321</v>
      </c>
      <c r="H96" s="7">
        <f>MAX(H95 * (1-Parameters!$B$4) ^ Parameters!B$71 + (LN(1+EXP(Parameters!$B$21*(-B95+0.004)))/Parameters!$B$21 -0.004) * Parameters!B$71,0)</f>
        <v>5.603402947577104E-3</v>
      </c>
      <c r="I96" s="16">
        <f>I95*(1+Parameters!$B$52)^Parameters!B$71</f>
        <v>10.651045488615113</v>
      </c>
      <c r="J96" s="16">
        <f>J95*(1+Parameters!$B$54)^Parameters!B$71</f>
        <v>55.974284419088022</v>
      </c>
      <c r="K96" s="16">
        <f>I96*J96*EXP(-Parameters!$B$43*'6states'!A96)*(Parameters!$B$38/Parameters!$B$39*('6states'!E96+'6states'!H96)/Parameters!$E$25*(EXP(-Parameters!$B$39*Parameters!$E$25*'6states'!H96/('6states'!E96+'6states'!H96))-EXP(-Parameters!$B$39*Parameters!$E$25))  +  Parameters!$B$40*'6states'!E96)</f>
        <v>1.0326506051711986</v>
      </c>
      <c r="L96" s="6">
        <f>L95+K96*Parameters!B$71</f>
        <v>3338.3778663616358</v>
      </c>
      <c r="M96" s="5">
        <f>L96*Parameters!$B$46</f>
        <v>2.0030267198169813</v>
      </c>
      <c r="N96" s="7">
        <f>EXP(-Parameters!$B$47/2*M96^2)</f>
        <v>0.96048033931226928</v>
      </c>
      <c r="O96" s="6">
        <f>MAX((Parameters!$B$63 + Parameters!$B$31*'6states'!A96 - '6states'!L96 + Parameters!$B$48/Parameters!$B$46)/Parameters!B$63,1)</f>
        <v>78.120442672767297</v>
      </c>
      <c r="P96" s="5">
        <f>Parameters!B$62*EXP(-Parameters!B$61*A96)</f>
        <v>4.1704460871631696E-2</v>
      </c>
      <c r="Q96" s="5">
        <f>(1-Parameters!B$62)*O96^-Parameters!B$64</f>
        <v>0.32336538965102402</v>
      </c>
      <c r="R96" s="5">
        <f>Parameters!B$62*EXP(-Parameters!B$61*A96)+(1-Parameters!B$62)*O96^-Parameters!B$64</f>
        <v>0.36506985052265573</v>
      </c>
      <c r="S96" s="5">
        <f>1-R96/Parameters!$B$12</f>
        <v>0.81746507473867214</v>
      </c>
      <c r="T96" s="5">
        <f t="shared" si="38"/>
        <v>5.4784036455946197</v>
      </c>
      <c r="U96" s="5">
        <f>(Parameters!$B$19*(E96+Parameters!$B$20)^S96+Parameters!$B$18*F96^S96)^(1/S96)</f>
        <v>0.3363468423795431</v>
      </c>
      <c r="V96" s="5">
        <f>(Parameters!$B$10*G96^Parameters!$B$9+Parameters!$B$11*U96^Parameters!$B$9)^(Parameters!$B$7/Parameters!$B$9)*N96</f>
        <v>1.3312485807392684</v>
      </c>
      <c r="W96" s="5">
        <f>V96 - C96 - D96 - LN(1+EXP(Parameters!$B$21*B96))/Parameters!$B$21 - IF(B96&gt;0, 0,Parameters!$B$6*B96^2/E96)</f>
        <v>1.0139101606489267</v>
      </c>
      <c r="X96" s="5">
        <f>EXP(-Parameters!$B$56*A96)</f>
        <v>0.24927464460072962</v>
      </c>
      <c r="Y96" s="5">
        <f>IF(W96&gt;0,W96^(1-Parameters!$B$53)/(1-Parameters!$B$53)*X96*Parameters!$B$71,-10+W96*1000)</f>
        <v>-0.70877802640123733</v>
      </c>
      <c r="AA96" s="15">
        <f t="shared" si="41"/>
        <v>-1.3675990279109797E-3</v>
      </c>
      <c r="AB96" s="15">
        <f t="shared" si="42"/>
        <v>-1.8603636721724326E-4</v>
      </c>
      <c r="AC96" s="15">
        <f t="shared" si="43"/>
        <v>3.9787238507019151E-5</v>
      </c>
      <c r="AD96" s="15">
        <f t="shared" si="39"/>
        <v>4.7524700952874213E-7</v>
      </c>
      <c r="AE96" s="15">
        <f t="shared" si="44"/>
        <v>3.4204667167055704E-3</v>
      </c>
      <c r="AF96" s="15">
        <f t="shared" si="45"/>
        <v>-1.7894702150329789E-4</v>
      </c>
      <c r="AG96" s="15">
        <f t="shared" si="46"/>
        <v>5.1600471702023532E-5</v>
      </c>
      <c r="AH96" s="15">
        <f t="shared" si="40"/>
        <v>2.9250577799914576E-6</v>
      </c>
      <c r="AI96" s="15"/>
      <c r="AM96" s="16">
        <f t="shared" si="34"/>
        <v>3.3406628225348256</v>
      </c>
      <c r="AN96" s="16">
        <f t="shared" si="35"/>
        <v>3.3784232392342863</v>
      </c>
      <c r="AO96" s="16">
        <f t="shared" si="36"/>
        <v>200.52482434806356</v>
      </c>
      <c r="AP96" s="6">
        <f t="shared" si="37"/>
        <v>793.66996855917785</v>
      </c>
      <c r="AQ96" s="15">
        <f>-X96*V96*W96^(-Parameters!B$53)*Parameters!B$47*Parameters!B$46*M96</f>
        <v>-7.8681389780665986E-6</v>
      </c>
      <c r="AR96" s="5">
        <f>1000*EXP(-(Parameters!$B$55)*'6states'!A96)*AP96*Parameters!B$47*Parameters!B$46*M96</f>
        <v>0.75901482228246253</v>
      </c>
      <c r="AS96" s="5">
        <f>SUM(AR96:AR$204)*EXP(Parameters!$B$55*A96)</f>
        <v>1299.702505523016</v>
      </c>
      <c r="AT96" s="25">
        <f t="shared" si="47"/>
        <v>0.23699983727202675</v>
      </c>
      <c r="AU96">
        <f>(1/$S96-1/Parameters!$B$13) * LN(Parameters!$B$18) / LN(O96)</f>
        <v>0.2123038590568487</v>
      </c>
      <c r="AV96">
        <f>(Parameters!$B$18*'6states'!S96^+Parameters!$B$19*Parameters!$B$25^'6states'!S96)^((1-'6states'!S96)/'6states'!S96)*Parameters!$B$18*Parameters!$B$26^('6states'!S96-1)</f>
        <v>0.30476210323169745</v>
      </c>
      <c r="AW96">
        <f t="shared" si="48"/>
        <v>0.19596146565545469</v>
      </c>
      <c r="AX96">
        <f t="shared" si="49"/>
        <v>0.1368422580342914</v>
      </c>
      <c r="AY96">
        <f t="shared" si="50"/>
        <v>0.19042429747011314</v>
      </c>
      <c r="AZ96">
        <f>(1/$S96-1/Parameters!$B$13) * LN(Parameters!$B$18) / A96</f>
        <v>1.0057322500621959E-2</v>
      </c>
    </row>
    <row r="97" spans="1:52" x14ac:dyDescent="0.35">
      <c r="A97">
        <f>A96+Parameters!$B$71</f>
        <v>93</v>
      </c>
      <c r="B97" s="7">
        <f t="shared" ref="B97:B118" si="58">B96+(B$119-B$95)/24</f>
        <v>-1.483358683607598E-4</v>
      </c>
      <c r="C97" s="7">
        <f t="shared" ref="C97:C118" si="59">C96+(C$119-C$95)/24</f>
        <v>9.2990581083406909E-2</v>
      </c>
      <c r="D97" s="7">
        <f t="shared" ref="D97:D118" si="60">D96+(D$119-D$95)/24</f>
        <v>0.22272505633496226</v>
      </c>
      <c r="E97" s="5">
        <f>MAX((1-Parameters!$B$4)^Parameters!B$71*E96 + B96*Parameters!B$71 - IF(B96&gt;0,Parameters!$B$5,0)*B96^2/E96*Parameters!B$71, 0.0001)</f>
        <v>5.1553577952417207E-3</v>
      </c>
      <c r="F97" s="5">
        <f>(1-Parameters!$B$4)^Parameters!B$71*F96+C96*Parameters!B$71-Parameters!$B$5*C96^2/F96*Parameters!B$71</f>
        <v>1.3467890748491829</v>
      </c>
      <c r="G97" s="5">
        <f>(1-Parameters!$B$4)^Parameters!B$71*G96+D96*Parameters!B$71-Parameters!$B$5*D96^2/G96*Parameters!B$71</f>
        <v>3.2940928527733715</v>
      </c>
      <c r="H97" s="7">
        <f>MAX(H96 * (1-Parameters!$B$4) ^ Parameters!B$71 + (LN(1+EXP(Parameters!$B$21*(-B96+0.004)))/Parameters!$B$21 -0.004) * Parameters!B$71,0)</f>
        <v>5.8402789244285953E-3</v>
      </c>
      <c r="I97" s="16">
        <f>I96*(1+Parameters!$B$52)^Parameters!B$71</f>
        <v>10.681933520532095</v>
      </c>
      <c r="J97" s="16">
        <f>J96*(1+Parameters!$B$54)^Parameters!B$71</f>
        <v>57.09377010746978</v>
      </c>
      <c r="K97" s="16">
        <f>I97*J97*EXP(-Parameters!$B$43*'6states'!A97)*(Parameters!$B$38/Parameters!$B$39*('6states'!E97+'6states'!H97)/Parameters!$E$25*(EXP(-Parameters!$B$39*Parameters!$E$25*'6states'!H97/('6states'!E97+'6states'!H97))-EXP(-Parameters!$B$39*Parameters!$E$25))  +  Parameters!$B$40*'6states'!E97)</f>
        <v>0.95146717013045634</v>
      </c>
      <c r="L97" s="6">
        <f>L96+K97*Parameters!B$71</f>
        <v>3339.3293335317662</v>
      </c>
      <c r="M97" s="5">
        <f>L97*Parameters!$B$46</f>
        <v>2.0035976001190594</v>
      </c>
      <c r="N97" s="7">
        <f>EXP(-Parameters!$B$47/2*M97^2)</f>
        <v>0.96045826062588768</v>
      </c>
      <c r="O97" s="6">
        <f>MAX((Parameters!$B$63 + Parameters!$B$31*'6states'!A97 - '6states'!L97 + Parameters!$B$48/Parameters!$B$46)/Parameters!B$63,1)</f>
        <v>79.165413329364682</v>
      </c>
      <c r="P97" s="5">
        <f>Parameters!B$62*EXP(-Parameters!B$61*A97)</f>
        <v>4.0593505811114546E-2</v>
      </c>
      <c r="Q97" s="5">
        <f>(1-Parameters!B$62)*O97^-Parameters!B$64</f>
        <v>0.32293599578309495</v>
      </c>
      <c r="R97" s="5">
        <f>Parameters!B$62*EXP(-Parameters!B$61*A97)+(1-Parameters!B$62)*O97^-Parameters!B$64</f>
        <v>0.36352950159420949</v>
      </c>
      <c r="S97" s="5">
        <f>1-R97/Parameters!$B$12</f>
        <v>0.81823524920289525</v>
      </c>
      <c r="T97" s="5">
        <f t="shared" si="38"/>
        <v>5.5016167635068687</v>
      </c>
      <c r="U97" s="5">
        <f>(Parameters!$B$19*(E97+Parameters!$B$20)^S97+Parameters!$B$18*F97^S97)^(1/S97)</f>
        <v>0.33656796880784984</v>
      </c>
      <c r="V97" s="5">
        <f>(Parameters!$B$10*G97^Parameters!$B$9+Parameters!$B$11*U97^Parameters!$B$9)^(Parameters!$B$7/Parameters!$B$9)*N97</f>
        <v>1.331336046407906</v>
      </c>
      <c r="W97" s="5">
        <f>V97 - C97 - D97 - LN(1+EXP(Parameters!$B$21*B97))/Parameters!$B$21 - IF(B97&gt;0, 0,Parameters!$B$6*B97^2/E97)</f>
        <v>1.0139392685083459</v>
      </c>
      <c r="X97" s="5">
        <f>EXP(-Parameters!$B$56*A97)</f>
        <v>0.24553887352140147</v>
      </c>
      <c r="Y97" s="5">
        <f>IF(W97&gt;0,W97^(1-Parameters!$B$53)/(1-Parameters!$B$53)*X97*Parameters!$B$71,-10+W97*1000)</f>
        <v>-0.69814886233595097</v>
      </c>
      <c r="AA97" s="15">
        <f t="shared" si="41"/>
        <v>-1.430440036546958E-3</v>
      </c>
      <c r="AB97" s="15">
        <f t="shared" si="42"/>
        <v>-1.745605176450421E-4</v>
      </c>
      <c r="AC97" s="15">
        <f t="shared" si="43"/>
        <v>3.7454377117940307E-5</v>
      </c>
      <c r="AD97" s="15">
        <f t="shared" si="39"/>
        <v>5.1023785810429655E-7</v>
      </c>
      <c r="AE97" s="15">
        <f t="shared" si="44"/>
        <v>-6.2841008635978329E-5</v>
      </c>
      <c r="AF97" s="15">
        <f t="shared" si="45"/>
        <v>1.1475849572201158E-5</v>
      </c>
      <c r="AG97" s="15">
        <f t="shared" si="46"/>
        <v>-2.3328613890788441E-6</v>
      </c>
      <c r="AH97" s="15">
        <f t="shared" si="40"/>
        <v>1.003303691470243E-9</v>
      </c>
      <c r="AI97" s="15"/>
      <c r="AM97" s="16">
        <f t="shared" si="34"/>
        <v>3.5618217514304358</v>
      </c>
      <c r="AN97" s="16">
        <f t="shared" si="35"/>
        <v>3.1441076306633722</v>
      </c>
      <c r="AO97" s="16">
        <f t="shared" si="36"/>
        <v>205.26333205084867</v>
      </c>
      <c r="AP97" s="6">
        <f t="shared" si="37"/>
        <v>811.94438654709097</v>
      </c>
      <c r="AQ97" s="15">
        <f>-X97*V97*W97^(-Parameters!B$53)*Parameters!B$47*Parameters!B$46*M97</f>
        <v>-7.7526403539911152E-6</v>
      </c>
      <c r="AR97" s="5">
        <f>1000*EXP(-(Parameters!$B$55)*'6states'!A97)*AP97*Parameters!B$47*Parameters!B$46*M97</f>
        <v>0.74992290233320125</v>
      </c>
      <c r="AS97" s="5">
        <f>SUM(AR97:AR$204)*EXP(Parameters!$B$55*A97)</f>
        <v>1326.2749493854153</v>
      </c>
      <c r="AT97" s="25">
        <f t="shared" si="47"/>
        <v>0.23703053966085</v>
      </c>
      <c r="AU97">
        <f>(1/$S97-1/Parameters!$B$13) * LN(Parameters!$B$18) / LN(O97)</f>
        <v>0.21197231705691039</v>
      </c>
      <c r="AV97">
        <f>(Parameters!$B$18*'6states'!S97^+Parameters!$B$19*Parameters!$B$25^'6states'!S97)^((1-'6states'!S97)/'6states'!S97)*Parameters!$B$18*Parameters!$B$26^('6states'!S97-1)</f>
        <v>0.30488751818923826</v>
      </c>
      <c r="AW97">
        <f t="shared" si="48"/>
        <v>0.19545993748022747</v>
      </c>
      <c r="AX97">
        <f t="shared" si="49"/>
        <v>0.13664387520161858</v>
      </c>
      <c r="AY97">
        <f t="shared" si="50"/>
        <v>0.19049467165622291</v>
      </c>
      <c r="AZ97">
        <f>(1/$S97-1/Parameters!$B$13) * LN(Parameters!$B$18) / A97</f>
        <v>9.9639285759977065E-3</v>
      </c>
    </row>
    <row r="98" spans="1:52" x14ac:dyDescent="0.35">
      <c r="A98">
        <f>A97+Parameters!$B$71</f>
        <v>94</v>
      </c>
      <c r="B98" s="7">
        <f t="shared" si="58"/>
        <v>-1.4172773213136735E-4</v>
      </c>
      <c r="C98" s="7">
        <f t="shared" si="59"/>
        <v>9.28978271156264E-2</v>
      </c>
      <c r="D98" s="7">
        <f t="shared" si="60"/>
        <v>0.22287280671269857</v>
      </c>
      <c r="E98" s="5">
        <f>MAX((1-Parameters!$B$4)^Parameters!B$71*E97 + B97*Parameters!B$71 - IF(B97&gt;0,Parameters!$B$5,0)*B97^2/E97*Parameters!B$71, 0.0001)</f>
        <v>4.6827499215602569E-3</v>
      </c>
      <c r="F98" s="5">
        <f>(1-Parameters!$B$4)^Parameters!B$71*F97+C97*Parameters!B$71-Parameters!$B$5*C97^2/F97*Parameters!B$71</f>
        <v>1.3486459828537916</v>
      </c>
      <c r="G98" s="5">
        <f>(1-Parameters!$B$4)^Parameters!B$71*G97+D97*Parameters!B$71-Parameters!$B$5*D97^2/G97*Parameters!B$71</f>
        <v>3.294560254209391</v>
      </c>
      <c r="H98" s="7">
        <f>MAX(H97 * (1-Parameters!$B$4) ^ Parameters!B$71 + (LN(1+EXP(Parameters!$B$21*(-B97+0.004)))/Parameters!$B$21 -0.004) * Parameters!B$71,0)</f>
        <v>6.0567024135611521E-3</v>
      </c>
      <c r="I98" s="16">
        <f>I97*(1+Parameters!$B$52)^Parameters!B$71</f>
        <v>10.712911127741636</v>
      </c>
      <c r="J98" s="16">
        <f>J97*(1+Parameters!$B$54)^Parameters!B$71</f>
        <v>58.235645509619175</v>
      </c>
      <c r="K98" s="16">
        <f>I98*J98*EXP(-Parameters!$B$43*'6states'!A98)*(Parameters!$B$38/Parameters!$B$39*('6states'!E98+'6states'!H98)/Parameters!$E$25*(EXP(-Parameters!$B$39*Parameters!$E$25*'6states'!H98/('6states'!E98+'6states'!H98))-EXP(-Parameters!$B$39*Parameters!$E$25))  +  Parameters!$B$40*'6states'!E98)</f>
        <v>0.87528768763760934</v>
      </c>
      <c r="L98" s="6">
        <f>L97+K98*Parameters!B$71</f>
        <v>3340.2046212194036</v>
      </c>
      <c r="M98" s="5">
        <f>L98*Parameters!$B$46</f>
        <v>2.004122772731642</v>
      </c>
      <c r="N98" s="7">
        <f>EXP(-Parameters!$B$47/2*M98^2)</f>
        <v>0.96043794456775977</v>
      </c>
      <c r="O98" s="6">
        <f>MAX((Parameters!$B$63 + Parameters!$B$31*'6states'!A98 - '6states'!L98 + Parameters!$B$48/Parameters!$B$46)/Parameters!B$63,1)</f>
        <v>80.211907575611932</v>
      </c>
      <c r="P98" s="5">
        <f>Parameters!B$62*EXP(-Parameters!B$61*A98)</f>
        <v>3.9512145214131843E-2</v>
      </c>
      <c r="Q98" s="5">
        <f>(1-Parameters!B$62)*O98^-Parameters!B$64</f>
        <v>0.32251217926512443</v>
      </c>
      <c r="R98" s="5">
        <f>Parameters!B$62*EXP(-Parameters!B$61*A98)+(1-Parameters!B$62)*O98^-Parameters!B$64</f>
        <v>0.36202432447925625</v>
      </c>
      <c r="S98" s="5">
        <f>1-R98/Parameters!$B$12</f>
        <v>0.81898783776037187</v>
      </c>
      <c r="T98" s="5">
        <f t="shared" si="38"/>
        <v>5.5244906619930694</v>
      </c>
      <c r="U98" s="5">
        <f>(Parameters!$B$19*(E98+Parameters!$B$20)^S98+Parameters!$B$18*F98^S98)^(1/S98)</f>
        <v>0.33678124293732009</v>
      </c>
      <c r="V98" s="5">
        <f>(Parameters!$B$10*G98^Parameters!$B$9+Parameters!$B$11*U98^Parameters!$B$9)^(Parameters!$B$7/Parameters!$B$9)*N98</f>
        <v>1.3314311859410932</v>
      </c>
      <c r="W98" s="5">
        <f>V98 - C98 - D98 - LN(1+EXP(Parameters!$B$21*B98))/Parameters!$B$21 - IF(B98&gt;0, 0,Parameters!$B$6*B98^2/E98)</f>
        <v>1.0139760962237419</v>
      </c>
      <c r="X98" s="5">
        <f>EXP(-Parameters!$B$56*A98)</f>
        <v>0.24185908882440066</v>
      </c>
      <c r="Y98" s="5">
        <f>IF(W98&gt;0,W98^(1-Parameters!$B$53)/(1-Parameters!$B$53)*X98*Parameters!$B$71,-10+W98*1000)</f>
        <v>-0.68767726587579769</v>
      </c>
      <c r="AA98" s="15">
        <f t="shared" si="41"/>
        <v>-1.4927723608763946E-3</v>
      </c>
      <c r="AB98" s="15">
        <f t="shared" si="42"/>
        <v>-1.6384306368630308E-4</v>
      </c>
      <c r="AC98" s="15">
        <f t="shared" si="43"/>
        <v>3.5254399573497741E-5</v>
      </c>
      <c r="AD98" s="15">
        <f t="shared" si="39"/>
        <v>5.457445719797102E-7</v>
      </c>
      <c r="AE98" s="15">
        <f t="shared" si="44"/>
        <v>-6.2332324329436584E-5</v>
      </c>
      <c r="AF98" s="15">
        <f t="shared" si="45"/>
        <v>1.0717453958739021E-5</v>
      </c>
      <c r="AG98" s="15">
        <f t="shared" si="46"/>
        <v>-2.1999775444425662E-6</v>
      </c>
      <c r="AH98" s="15">
        <f t="shared" si="40"/>
        <v>9.6865106278961732E-10</v>
      </c>
      <c r="AI98" s="15"/>
      <c r="AM98" s="16">
        <f t="shared" si="34"/>
        <v>3.7786148904394432</v>
      </c>
      <c r="AN98" s="16">
        <f t="shared" si="35"/>
        <v>2.9214426223407628</v>
      </c>
      <c r="AO98" s="16">
        <f t="shared" si="36"/>
        <v>210.10882366192263</v>
      </c>
      <c r="AP98" s="6">
        <f t="shared" si="37"/>
        <v>830.64436078747531</v>
      </c>
      <c r="AQ98" s="15">
        <f>-X98*V98*W98^(-Parameters!B$53)*Parameters!B$47*Parameters!B$46*M98</f>
        <v>-7.6386278232755236E-6</v>
      </c>
      <c r="AR98" s="5">
        <f>1000*EXP(-(Parameters!$B$55)*'6states'!A98)*AP98*Parameters!B$47*Parameters!B$46*M98</f>
        <v>0.74092719964562925</v>
      </c>
      <c r="AS98" s="5">
        <f>SUM(AR98:AR$204)*EXP(Parameters!$B$55*A98)</f>
        <v>1353.3336422911896</v>
      </c>
      <c r="AT98" s="25">
        <f t="shared" si="47"/>
        <v>0.23705987168469256</v>
      </c>
      <c r="AU98">
        <f>(1/$S98-1/Parameters!$B$13) * LN(Parameters!$B$18) / LN(O98)</f>
        <v>0.21164256688740365</v>
      </c>
      <c r="AV98">
        <f>(Parameters!$B$18*'6states'!S98^+Parameters!$B$19*Parameters!$B$25^'6states'!S98)^((1-'6states'!S98)/'6states'!S98)*Parameters!$B$18*Parameters!$B$26^('6states'!S98-1)</f>
        <v>0.30500878548095356</v>
      </c>
      <c r="AW98">
        <f t="shared" si="48"/>
        <v>0.1949652123707552</v>
      </c>
      <c r="AX98">
        <f t="shared" si="49"/>
        <v>0.1364465193098624</v>
      </c>
      <c r="AY98">
        <f t="shared" si="50"/>
        <v>0.19056271264228319</v>
      </c>
      <c r="AZ98">
        <f>(1/$S98-1/Parameters!$B$13) * LN(Parameters!$B$18) / A98</f>
        <v>9.8721620451948707E-3</v>
      </c>
    </row>
    <row r="99" spans="1:52" x14ac:dyDescent="0.35">
      <c r="A99">
        <f>A98+Parameters!$B$71</f>
        <v>95</v>
      </c>
      <c r="B99" s="7">
        <f t="shared" si="58"/>
        <v>-1.3511959590197491E-4</v>
      </c>
      <c r="C99" s="7">
        <f t="shared" si="59"/>
        <v>9.280507314784589E-2</v>
      </c>
      <c r="D99" s="7">
        <f t="shared" si="60"/>
        <v>0.22302055709043489</v>
      </c>
      <c r="E99" s="5">
        <f>MAX((1-Parameters!$B$4)^Parameters!B$71*E98 + B98*Parameters!B$71 - IF(B98&gt;0,Parameters!$B$5,0)*B98^2/E98*Parameters!B$71, 0.0001)</f>
        <v>4.2464772193627496E-3</v>
      </c>
      <c r="F99" s="5">
        <f>(1-Parameters!$B$4)^Parameters!B$71*F98+C98*Parameters!B$71-Parameters!$B$5*C98^2/F98*Parameters!B$71</f>
        <v>1.3503149623447708</v>
      </c>
      <c r="G99" s="5">
        <f>(1-Parameters!$B$4)^Parameters!B$71*G98+D98*Parameters!B$71-Parameters!$B$5*D98^2/G98*Parameters!B$71</f>
        <v>3.2951281593097455</v>
      </c>
      <c r="H99" s="7">
        <f>MAX(H98 * (1-Parameters!$B$4) ^ Parameters!B$71 + (LN(1+EXP(Parameters!$B$21*(-B98+0.004)))/Parameters!$B$21 -0.004) * Parameters!B$71,0)</f>
        <v>6.2539622222497395E-3</v>
      </c>
      <c r="I99" s="16">
        <f>I98*(1+Parameters!$B$52)^Parameters!B$71</f>
        <v>10.743978570012086</v>
      </c>
      <c r="J99" s="16">
        <f>J98*(1+Parameters!$B$54)^Parameters!B$71</f>
        <v>59.40035841981156</v>
      </c>
      <c r="K99" s="16">
        <f>I99*J99*EXP(-Parameters!$B$43*'6states'!A99)*(Parameters!$B$38/Parameters!$B$39*('6states'!E99+'6states'!H99)/Parameters!$E$25*(EXP(-Parameters!$B$39*Parameters!$E$25*'6states'!H99/('6states'!E99+'6states'!H99))-EXP(-Parameters!$B$39*Parameters!$E$25))  +  Parameters!$B$40*'6states'!E99)</f>
        <v>0.80388423363884831</v>
      </c>
      <c r="L99" s="6">
        <f>L98+K99*Parameters!B$71</f>
        <v>3341.0085054530423</v>
      </c>
      <c r="M99" s="5">
        <f>L99*Parameters!$B$46</f>
        <v>2.0046051032718251</v>
      </c>
      <c r="N99" s="7">
        <f>EXP(-Parameters!$B$47/2*M99^2)</f>
        <v>0.96041928152335732</v>
      </c>
      <c r="O99" s="6">
        <f>MAX((Parameters!$B$63 + Parameters!$B$31*'6states'!A99 - '6states'!L99 + Parameters!$B$48/Parameters!$B$46)/Parameters!B$63,1)</f>
        <v>81.259829890939159</v>
      </c>
      <c r="P99" s="5">
        <f>Parameters!B$62*EXP(-Parameters!B$61*A99)</f>
        <v>3.8459590720917251E-2</v>
      </c>
      <c r="Q99" s="5">
        <f>(1-Parameters!B$62)*O99^-Parameters!B$64</f>
        <v>0.32209383582788836</v>
      </c>
      <c r="R99" s="5">
        <f>Parameters!B$62*EXP(-Parameters!B$61*A99)+(1-Parameters!B$62)*O99^-Parameters!B$64</f>
        <v>0.36055342654880562</v>
      </c>
      <c r="S99" s="5">
        <f>1-R99/Parameters!$B$12</f>
        <v>0.81972328672559724</v>
      </c>
      <c r="T99" s="5">
        <f t="shared" si="38"/>
        <v>5.5470281315694958</v>
      </c>
      <c r="U99" s="5">
        <f>(Parameters!$B$19*(E99+Parameters!$B$20)^S99+Parameters!$B$18*F99^S99)^(1/S99)</f>
        <v>0.33698678015103334</v>
      </c>
      <c r="V99" s="5">
        <f>(Parameters!$B$10*G99^Parameters!$B$9+Parameters!$B$11*U99^Parameters!$B$9)^(Parameters!$B$7/Parameters!$B$9)*N99</f>
        <v>1.3315334278582784</v>
      </c>
      <c r="W99" s="5">
        <f>V99 - C99 - D99 - LN(1+EXP(Parameters!$B$21*B99))/Parameters!$B$21 - IF(B99&gt;0, 0,Parameters!$B$6*B99^2/E99)</f>
        <v>1.0140200797111529</v>
      </c>
      <c r="X99" s="5">
        <f>EXP(-Parameters!$B$56*A99)</f>
        <v>0.23823445146607616</v>
      </c>
      <c r="Y99" s="5">
        <f>IF(W99&gt;0,W99^(1-Parameters!$B$53)/(1-Parameters!$B$53)*X99*Parameters!$B$71,-10+W99*1000)</f>
        <v>-0.67736106111202676</v>
      </c>
      <c r="AA99" s="15">
        <f t="shared" si="41"/>
        <v>-1.5533012215854756E-3</v>
      </c>
      <c r="AB99" s="15">
        <f t="shared" si="42"/>
        <v>-1.5382863043342243E-4</v>
      </c>
      <c r="AC99" s="15">
        <f t="shared" si="43"/>
        <v>3.3179990410830973E-5</v>
      </c>
      <c r="AD99" s="15">
        <f t="shared" si="39"/>
        <v>5.8069858246161659E-7</v>
      </c>
      <c r="AE99" s="15">
        <f t="shared" si="44"/>
        <v>-6.0528860709081062E-5</v>
      </c>
      <c r="AF99" s="15">
        <f t="shared" si="45"/>
        <v>1.001443325288065E-5</v>
      </c>
      <c r="AG99" s="15">
        <f t="shared" si="46"/>
        <v>-2.0744091626667682E-6</v>
      </c>
      <c r="AH99" s="15">
        <f t="shared" si="40"/>
        <v>8.9774722773798713E-10</v>
      </c>
      <c r="AI99" s="15"/>
      <c r="AM99" s="16">
        <f t="shared" si="34"/>
        <v>3.9912547870551545</v>
      </c>
      <c r="AN99" s="16">
        <f t="shared" si="35"/>
        <v>2.7100855309940215</v>
      </c>
      <c r="AO99" s="16">
        <f t="shared" si="36"/>
        <v>215.0636750997638</v>
      </c>
      <c r="AP99" s="6">
        <f t="shared" si="37"/>
        <v>849.77954442320413</v>
      </c>
      <c r="AQ99" s="15">
        <f>-X99*V99*W99^(-Parameters!B$53)*Parameters!B$47*Parameters!B$46*M99</f>
        <v>-7.5260990490392914E-6</v>
      </c>
      <c r="AR99" s="5">
        <f>1000*EXP(-(Parameters!$B$55)*'6states'!A99)*AP99*Parameters!B$47*Parameters!B$46*M99</f>
        <v>0.73202761087739521</v>
      </c>
      <c r="AS99" s="5">
        <f>SUM(AR99:AR$204)*EXP(Parameters!$B$55*A99)</f>
        <v>1380.8855150117847</v>
      </c>
      <c r="AT99" s="25">
        <f t="shared" si="47"/>
        <v>0.23708793488583696</v>
      </c>
      <c r="AU99">
        <f>(1/$S99-1/Parameters!$B$13) * LN(Parameters!$B$18) / LN(O99)</f>
        <v>0.21131465324211887</v>
      </c>
      <c r="AV99">
        <f>(Parameters!$B$18*'6states'!S99^+Parameters!$B$19*Parameters!$B$25^'6states'!S99)^((1-'6states'!S99)/'6states'!S99)*Parameters!$B$18*Parameters!$B$26^('6states'!S99-1)</f>
        <v>0.30512606743883447</v>
      </c>
      <c r="AW99">
        <f t="shared" si="48"/>
        <v>0.19447718662457941</v>
      </c>
      <c r="AX99">
        <f t="shared" si="49"/>
        <v>0.13625021784249014</v>
      </c>
      <c r="AY99">
        <f t="shared" si="50"/>
        <v>0.19062851208607179</v>
      </c>
      <c r="AZ99">
        <f>(1/$S99-1/Parameters!$B$13) * LN(Parameters!$B$18) / A99</f>
        <v>9.7819817326054229E-3</v>
      </c>
    </row>
    <row r="100" spans="1:52" x14ac:dyDescent="0.35">
      <c r="A100">
        <f>A99+Parameters!$B$71</f>
        <v>96</v>
      </c>
      <c r="B100" s="7">
        <f t="shared" si="58"/>
        <v>-1.2851145967258246E-4</v>
      </c>
      <c r="C100" s="7">
        <f t="shared" si="59"/>
        <v>9.2712319180065381E-2</v>
      </c>
      <c r="D100" s="7">
        <f t="shared" si="60"/>
        <v>0.22316830746817121</v>
      </c>
      <c r="E100" s="5">
        <f>MAX((1-Parameters!$B$4)^Parameters!B$71*E99 + B99*Parameters!B$71 - IF(B99&gt;0,Parameters!$B$5,0)*B99^2/E99*Parameters!B$71, 0.0001)</f>
        <v>3.8442542063628583E-3</v>
      </c>
      <c r="F100" s="5">
        <f>(1-Parameters!$B$4)^Parameters!B$71*F99+C99*Parameters!B$71-Parameters!$B$5*C99^2/F99*Parameters!B$71</f>
        <v>1.3518068742412286</v>
      </c>
      <c r="G100" s="5">
        <f>(1-Parameters!$B$4)^Parameters!B$71*G99+D99*Parameters!B$71-Parameters!$B$5*D99^2/G99*Parameters!B$71</f>
        <v>3.2957906986121341</v>
      </c>
      <c r="H100" s="7">
        <f>MAX(H99 * (1-Parameters!$B$4) ^ Parameters!B$71 + (LN(1+EXP(Parameters!$B$21*(-B99+0.004)))/Parameters!$B$21 -0.004) * Parameters!B$71,0)</f>
        <v>6.4332660960115251E-3</v>
      </c>
      <c r="I100" s="16">
        <f>I99*(1+Parameters!$B$52)^Parameters!B$71</f>
        <v>10.775136107865119</v>
      </c>
      <c r="J100" s="16">
        <f>J99*(1+Parameters!$B$54)^Parameters!B$71</f>
        <v>60.588365588207793</v>
      </c>
      <c r="K100" s="16">
        <f>I100*J100*EXP(-Parameters!$B$43*'6states'!A100)*(Parameters!$B$38/Parameters!$B$39*('6states'!E100+'6states'!H100)/Parameters!$E$25*(EXP(-Parameters!$B$39*Parameters!$E$25*'6states'!H100/('6states'!E100+'6states'!H100))-EXP(-Parameters!$B$39*Parameters!$E$25))  +  Parameters!$B$40*'6states'!E100)</f>
        <v>0.73704103654284414</v>
      </c>
      <c r="L100" s="6">
        <f>L99+K100*Parameters!B$71</f>
        <v>3341.7455464895852</v>
      </c>
      <c r="M100" s="5">
        <f>L100*Parameters!$B$46</f>
        <v>2.0050473278937511</v>
      </c>
      <c r="N100" s="7">
        <f>EXP(-Parameters!$B$47/2*M100^2)</f>
        <v>0.96040216668860967</v>
      </c>
      <c r="O100" s="6">
        <f>MAX((Parameters!$B$63 + Parameters!$B$31*'6states'!A100 - '6states'!L100 + Parameters!$B$48/Parameters!$B$46)/Parameters!B$63,1)</f>
        <v>82.309089070208316</v>
      </c>
      <c r="P100" s="5">
        <f>Parameters!B$62*EXP(-Parameters!B$61*A100)</f>
        <v>3.7435074972629871E-2</v>
      </c>
      <c r="Q100" s="5">
        <f>(1-Parameters!B$62)*O100^-Parameters!B$64</f>
        <v>0.32168086269768142</v>
      </c>
      <c r="R100" s="5">
        <f>Parameters!B$62*EXP(-Parameters!B$61*A100)+(1-Parameters!B$62)*O100^-Parameters!B$64</f>
        <v>0.3591159376703113</v>
      </c>
      <c r="S100" s="5">
        <f>1-R100/Parameters!$B$12</f>
        <v>0.82044203116484438</v>
      </c>
      <c r="T100" s="5">
        <f t="shared" si="38"/>
        <v>5.5692320785721101</v>
      </c>
      <c r="U100" s="5">
        <f>(Parameters!$B$19*(E100+Parameters!$B$20)^S100+Parameters!$B$18*F100^S100)^(1/S100)</f>
        <v>0.33718468458848216</v>
      </c>
      <c r="V100" s="5">
        <f>(Parameters!$B$10*G100^Parameters!$B$9+Parameters!$B$11*U100^Parameters!$B$9)^(Parameters!$B$7/Parameters!$B$9)*N100</f>
        <v>1.331642226600674</v>
      </c>
      <c r="W100" s="5">
        <f>V100 - C100 - D100 - LN(1+EXP(Parameters!$B$21*B100))/Parameters!$B$21 - IF(B100&gt;0, 0,Parameters!$B$6*B100^2/E100)</f>
        <v>1.0140706816988767</v>
      </c>
      <c r="X100" s="5">
        <f>EXP(-Parameters!$B$56*A100)</f>
        <v>0.23466413497716049</v>
      </c>
      <c r="Y100" s="5">
        <f>IF(W100&gt;0,W100^(1-Parameters!$B$53)/(1-Parameters!$B$53)*X100*Parameters!$B$71,-10+W100*1000)</f>
        <v>-0.66719809143796316</v>
      </c>
      <c r="AA100" s="15">
        <f t="shared" si="41"/>
        <v>-1.6102698378931413E-3</v>
      </c>
      <c r="AB100" s="15">
        <f t="shared" si="42"/>
        <v>-1.4446647995705608E-4</v>
      </c>
      <c r="AC100" s="15">
        <f t="shared" si="43"/>
        <v>3.1224208030047884E-5</v>
      </c>
      <c r="AD100" s="15">
        <f t="shared" si="39"/>
        <v>6.1360317474898615E-7</v>
      </c>
      <c r="AE100" s="15">
        <f t="shared" si="44"/>
        <v>-5.6968616307665615E-5</v>
      </c>
      <c r="AF100" s="15">
        <f t="shared" si="45"/>
        <v>9.3621504763663488E-6</v>
      </c>
      <c r="AG100" s="15">
        <f t="shared" si="46"/>
        <v>-1.9557823807830887E-6</v>
      </c>
      <c r="AH100" s="15">
        <f t="shared" si="40"/>
        <v>7.8305032732729695E-10</v>
      </c>
      <c r="AI100" s="15"/>
      <c r="AM100" s="16">
        <f t="shared" si="34"/>
        <v>4.199944169351407</v>
      </c>
      <c r="AN100" s="16">
        <f t="shared" si="35"/>
        <v>2.5097132309711605</v>
      </c>
      <c r="AO100" s="16">
        <f t="shared" ref="AO100:AO131" si="61">U100*I100*J100</f>
        <v>220.13030844627636</v>
      </c>
      <c r="AP100" s="6">
        <f t="shared" si="37"/>
        <v>869.35981223301906</v>
      </c>
      <c r="AQ100" s="15">
        <f>-X100*V100*W100^(-Parameters!B$53)*Parameters!B$47*Parameters!B$46*M100</f>
        <v>-7.4150503996484695E-6</v>
      </c>
      <c r="AR100" s="5">
        <f>1000*EXP(-(Parameters!$B$55)*'6states'!A100)*AP100*Parameters!B$47*Parameters!B$46*M100</f>
        <v>0.72322396753957707</v>
      </c>
      <c r="AS100" s="5">
        <f>SUM(AR100:AR$204)*EXP(Parameters!$B$55*A100)</f>
        <v>1408.9374974394636</v>
      </c>
      <c r="AT100" s="25">
        <f t="shared" si="47"/>
        <v>0.23711482625073749</v>
      </c>
      <c r="AU100">
        <f>(1/$S100-1/Parameters!$B$13) * LN(Parameters!$B$18) / LN(O100)</f>
        <v>0.21098861570631253</v>
      </c>
      <c r="AV100">
        <f>(Parameters!$B$18*'6states'!S100^+Parameters!$B$19*Parameters!$B$25^'6states'!S100)^((1-'6states'!S100)/'6states'!S100)*Parameters!$B$18*Parameters!$B$26^('6states'!S100-1)</f>
        <v>0.30523951933833593</v>
      </c>
      <c r="AW100">
        <f t="shared" si="48"/>
        <v>0.19399575583318554</v>
      </c>
      <c r="AX100">
        <f t="shared" si="49"/>
        <v>0.13605499524430131</v>
      </c>
      <c r="AY100">
        <f t="shared" si="50"/>
        <v>0.19069215763811309</v>
      </c>
      <c r="AZ100">
        <f>(1/$S100-1/Parameters!$B$13) * LN(Parameters!$B$18) / A100</f>
        <v>9.6933478613936766E-3</v>
      </c>
    </row>
    <row r="101" spans="1:52" x14ac:dyDescent="0.35">
      <c r="A101">
        <f>A100+Parameters!$B$71</f>
        <v>97</v>
      </c>
      <c r="B101" s="7">
        <f t="shared" si="58"/>
        <v>-1.2190332344319001E-4</v>
      </c>
      <c r="C101" s="7">
        <f t="shared" si="59"/>
        <v>9.2619565212284871E-2</v>
      </c>
      <c r="D101" s="7">
        <f t="shared" si="60"/>
        <v>0.22331605784590752</v>
      </c>
      <c r="E101" s="5">
        <f>MAX((1-Parameters!$B$4)^Parameters!B$71*E100 + B100*Parameters!B$71 - IF(B100&gt;0,Parameters!$B$5,0)*B100^2/E100*Parameters!B$71, 0.0001)</f>
        <v>3.4739391571100521E-3</v>
      </c>
      <c r="F101" s="5">
        <f>(1-Parameters!$B$4)^Parameters!B$71*F100+C100*Parameters!B$71-Parameters!$B$5*C100^2/F100*Parameters!B$71</f>
        <v>1.3531319595717461</v>
      </c>
      <c r="G101" s="5">
        <f>(1-Parameters!$B$4)^Parameters!B$71*G100+D100*Parameters!B$71-Parameters!$B$5*D100^2/G100*Parameters!B$71</f>
        <v>3.2965423462891796</v>
      </c>
      <c r="H101" s="7">
        <f>MAX(H100 * (1-Parameters!$B$4) ^ Parameters!B$71 + (LN(1+EXP(Parameters!$B$21*(-B100+0.004)))/Parameters!$B$21 -0.004) * Parameters!B$71,0)</f>
        <v>6.5957458173936043E-3</v>
      </c>
      <c r="I101" s="16">
        <f>I100*(1+Parameters!$B$52)^Parameters!B$71</f>
        <v>10.806384002577927</v>
      </c>
      <c r="J101" s="16">
        <f>J100*(1+Parameters!$B$54)^Parameters!B$71</f>
        <v>61.800132899971949</v>
      </c>
      <c r="K101" s="16">
        <f>I101*J101*EXP(-Parameters!$B$43*'6states'!A101)*(Parameters!$B$38/Parameters!$B$39*('6states'!E101+'6states'!H101)/Parameters!$E$25*(EXP(-Parameters!$B$39*Parameters!$E$25*'6states'!H101/('6states'!E101+'6states'!H101))-EXP(-Parameters!$B$39*Parameters!$E$25))  +  Parameters!$B$40*'6states'!E101)</f>
        <v>0.67455386784869953</v>
      </c>
      <c r="L101" s="6">
        <f>L100+K101*Parameters!B$71</f>
        <v>3342.420100357434</v>
      </c>
      <c r="M101" s="5">
        <f>L101*Parameters!$B$46</f>
        <v>2.0054520602144601</v>
      </c>
      <c r="N101" s="7">
        <f>EXP(-Parameters!$B$47/2*M101^2)</f>
        <v>0.96038649982753832</v>
      </c>
      <c r="O101" s="6">
        <f>MAX((Parameters!$B$63 + Parameters!$B$31*'6states'!A101 - '6states'!L101 + Parameters!$B$48/Parameters!$B$46)/Parameters!B$63,1)</f>
        <v>83.359597992851334</v>
      </c>
      <c r="P101" s="5">
        <f>Parameters!B$62*EXP(-Parameters!B$61*A101)</f>
        <v>3.6437851051915653E-2</v>
      </c>
      <c r="Q101" s="5">
        <f>(1-Parameters!B$62)*O101^-Parameters!B$64</f>
        <v>0.32127315867669692</v>
      </c>
      <c r="R101" s="5">
        <f>Parameters!B$62*EXP(-Parameters!B$61*A101)+(1-Parameters!B$62)*O101^-Parameters!B$64</f>
        <v>0.35771100972861258</v>
      </c>
      <c r="S101" s="5">
        <f>1-R101/Parameters!$B$12</f>
        <v>0.82114449513569365</v>
      </c>
      <c r="T101" s="5">
        <f t="shared" si="38"/>
        <v>5.5911055170411306</v>
      </c>
      <c r="U101" s="5">
        <f>(Parameters!$B$19*(E101+Parameters!$B$20)^S101+Parameters!$B$18*F101^S101)^(1/S101)</f>
        <v>0.33737505066712337</v>
      </c>
      <c r="V101" s="5">
        <f>(Parameters!$B$10*G101^Parameters!$B$9+Parameters!$B$11*U101^Parameters!$B$9)^(Parameters!$B$7/Parameters!$B$9)*N101</f>
        <v>1.331757061736083</v>
      </c>
      <c r="W101" s="5">
        <f>V101 - C101 - D101 - LN(1+EXP(Parameters!$B$21*B101))/Parameters!$B$21 - IF(B101&gt;0, 0,Parameters!$B$6*B101^2/E101)</f>
        <v>1.0141273910117057</v>
      </c>
      <c r="X101" s="5">
        <f>EXP(-Parameters!$B$56*A101)</f>
        <v>0.23114732527432291</v>
      </c>
      <c r="Y101" s="5">
        <f>IF(W101&gt;0,W101^(1-Parameters!$B$53)/(1-Parameters!$B$53)*X101*Parameters!$B$71,-10+W101*1000)</f>
        <v>-0.65718621998401783</v>
      </c>
      <c r="AA101" s="15">
        <f t="shared" si="41"/>
        <v>-1.6613149943052602E-3</v>
      </c>
      <c r="AB101" s="15">
        <f t="shared" si="42"/>
        <v>-1.3571005797009816E-4</v>
      </c>
      <c r="AC101" s="15">
        <f t="shared" si="43"/>
        <v>2.9380468960393813E-5</v>
      </c>
      <c r="AD101" s="15">
        <f t="shared" ref="AD101:AD132" si="62">X101*(AA101^2+AB101^2+AC101^2)</f>
        <v>6.424157280892099E-7</v>
      </c>
      <c r="AE101" s="15">
        <f t="shared" si="44"/>
        <v>-5.1045156412118931E-5</v>
      </c>
      <c r="AF101" s="15">
        <f t="shared" si="45"/>
        <v>8.7564219869579185E-6</v>
      </c>
      <c r="AG101" s="15">
        <f t="shared" si="46"/>
        <v>-1.8437390696540712E-6</v>
      </c>
      <c r="AH101" s="15">
        <f t="shared" ref="AH101:AH132" si="63">X101*(AE101^2+AF101^2+AG101^2)</f>
        <v>6.2078827854237228E-10</v>
      </c>
      <c r="AI101" s="15"/>
      <c r="AM101" s="16">
        <f t="shared" si="34"/>
        <v>4.404876289524168</v>
      </c>
      <c r="AN101" s="16">
        <f t="shared" si="35"/>
        <v>2.3200215181200745</v>
      </c>
      <c r="AO101" s="16">
        <f t="shared" si="61"/>
        <v>225.31119338189967</v>
      </c>
      <c r="AP101" s="6">
        <f t="shared" si="37"/>
        <v>889.39526583602651</v>
      </c>
      <c r="AQ101" s="15">
        <f>-X101*V101*W101^(-Parameters!B$53)*Parameters!B$47*Parameters!B$46*M101</f>
        <v>-7.3054770506231615E-6</v>
      </c>
      <c r="AR101" s="5">
        <f>1000*EXP(-(Parameters!$B$55)*'6states'!A101)*AP101*Parameters!B$47*Parameters!B$46*M101</f>
        <v>0.71451604135072877</v>
      </c>
      <c r="AS101" s="5">
        <f>SUM(AR101:AR$204)*EXP(Parameters!$B$55*A101)</f>
        <v>1437.4965128561128</v>
      </c>
      <c r="AT101" s="25">
        <f t="shared" si="47"/>
        <v>0.23714063834063953</v>
      </c>
      <c r="AU101">
        <f>(1/$S101-1/Parameters!$B$13) * LN(Parameters!$B$18) / LN(O101)</f>
        <v>0.21066448920439981</v>
      </c>
      <c r="AV101">
        <f>(Parameters!$B$18*'6states'!S101^+Parameters!$B$19*Parameters!$B$25^'6states'!S101)^((1-'6states'!S101)/'6states'!S101)*Parameters!$B$18*Parameters!$B$26^('6states'!S101-1)</f>
        <v>0.30534928972561703</v>
      </c>
      <c r="AW101">
        <f t="shared" si="48"/>
        <v>0.19352081520990252</v>
      </c>
      <c r="AX101">
        <f t="shared" si="49"/>
        <v>0.13586087318581164</v>
      </c>
      <c r="AY101">
        <f t="shared" si="50"/>
        <v>0.19075373312921984</v>
      </c>
      <c r="AZ101">
        <f>(1/$S101-1/Parameters!$B$13) * LN(Parameters!$B$18) / A101</f>
        <v>9.6062219918502043E-3</v>
      </c>
    </row>
    <row r="102" spans="1:52" x14ac:dyDescent="0.35">
      <c r="A102">
        <f>A101+Parameters!$B$71</f>
        <v>98</v>
      </c>
      <c r="B102" s="7">
        <f t="shared" si="58"/>
        <v>-1.1529518721379756E-4</v>
      </c>
      <c r="C102" s="7">
        <f t="shared" si="59"/>
        <v>9.2526811244504362E-2</v>
      </c>
      <c r="D102" s="7">
        <f t="shared" si="60"/>
        <v>0.22346380822364384</v>
      </c>
      <c r="E102" s="5">
        <f>MAX((1-Parameters!$B$4)^Parameters!B$71*E101 + B101*Parameters!B$71 - IF(B101&gt;0,Parameters!$B$5,0)*B101^2/E101*Parameters!B$71, 0.0001)</f>
        <v>3.1335250606846403E-3</v>
      </c>
      <c r="F102" s="5">
        <f>(1-Parameters!$B$4)^Parameters!B$71*F101+C101*Parameters!B$71-Parameters!$B$5*C101^2/F101*Parameters!B$71</f>
        <v>1.3542998739116452</v>
      </c>
      <c r="G102" s="5">
        <f>(1-Parameters!$B$4)^Parameters!B$71*G101+D101*Parameters!B$71-Parameters!$B$5*D101^2/G101*Parameters!B$71</f>
        <v>3.2973778999338799</v>
      </c>
      <c r="H102" s="7">
        <f>MAX(H101 * (1-Parameters!$B$4) ^ Parameters!B$71 + (LN(1+EXP(Parameters!$B$21*(-B101+0.004)))/Parameters!$B$21 -0.004) * Parameters!B$71,0)</f>
        <v>6.7424619840469723E-3</v>
      </c>
      <c r="I102" s="16">
        <f>I101*(1+Parameters!$B$52)^Parameters!B$71</f>
        <v>10.837722516185401</v>
      </c>
      <c r="J102" s="16">
        <f>J101*(1+Parameters!$B$54)^Parameters!B$71</f>
        <v>63.036135557971392</v>
      </c>
      <c r="K102" s="16">
        <f>I102*J102*EXP(-Parameters!$B$43*'6states'!A102)*(Parameters!$B$38/Parameters!$B$39*('6states'!E102+'6states'!H102)/Parameters!$E$25*(EXP(-Parameters!$B$39*Parameters!$E$25*'6states'!H102/('6states'!E102+'6states'!H102))-EXP(-Parameters!$B$39*Parameters!$E$25))  +  Parameters!$B$40*'6states'!E102)</f>
        <v>0.61622946401061351</v>
      </c>
      <c r="L102" s="6">
        <f>L101+K102*Parameters!B$71</f>
        <v>3343.0363298214447</v>
      </c>
      <c r="M102" s="5">
        <f>L102*Parameters!$B$46</f>
        <v>2.0058217978928665</v>
      </c>
      <c r="N102" s="7">
        <f>EXP(-Parameters!$B$47/2*M102^2)</f>
        <v>0.96037218504038802</v>
      </c>
      <c r="O102" s="6">
        <f>MAX((Parameters!$B$63 + Parameters!$B$31*'6states'!A102 - '6states'!L102 + Parameters!$B$48/Parameters!$B$46)/Parameters!B$63,1)</f>
        <v>84.411273403571101</v>
      </c>
      <c r="P102" s="5">
        <f>Parameters!B$62*EXP(-Parameters!B$61*A102)</f>
        <v>3.5467191938371473E-2</v>
      </c>
      <c r="Q102" s="5">
        <f>(1-Parameters!B$62)*O102^-Parameters!B$64</f>
        <v>0.32087062420915174</v>
      </c>
      <c r="R102" s="5">
        <f>Parameters!B$62*EXP(-Parameters!B$61*A102)+(1-Parameters!B$62)*O102^-Parameters!B$64</f>
        <v>0.35633781614752325</v>
      </c>
      <c r="S102" s="5">
        <f>1-R102/Parameters!$B$12</f>
        <v>0.82183109192623838</v>
      </c>
      <c r="T102" s="5">
        <f t="shared" si="38"/>
        <v>5.6126515608772864</v>
      </c>
      <c r="U102" s="5">
        <f>(Parameters!$B$19*(E102+Parameters!$B$20)^S102+Parameters!$B$18*F102^S102)^(1/S102)</f>
        <v>0.33755796450992986</v>
      </c>
      <c r="V102" s="5">
        <f>(Parameters!$B$10*G102^Parameters!$B$9+Parameters!$B$11*U102^Parameters!$B$9)^(Parameters!$B$7/Parameters!$B$9)*N102</f>
        <v>1.3318774371599214</v>
      </c>
      <c r="W102" s="5">
        <f>V102 - C102 - D102 - LN(1+EXP(Parameters!$B$21*B102))/Parameters!$B$21 - IF(B102&gt;0, 0,Parameters!$B$6*B102^2/E102)</f>
        <v>1.0141897218393114</v>
      </c>
      <c r="X102" s="5">
        <f>EXP(-Parameters!$B$56*A102)</f>
        <v>0.22768322047454675</v>
      </c>
      <c r="Y102" s="5">
        <f>IF(W102&gt;0,W102^(1-Parameters!$B$53)/(1-Parameters!$B$53)*X102*Parameters!$B$71,-10+W102*1000)</f>
        <v>-0.64732333002106601</v>
      </c>
      <c r="AA102" s="15">
        <f t="shared" si="41"/>
        <v>-1.7032793835255328E-3</v>
      </c>
      <c r="AB102" s="15">
        <f t="shared" si="42"/>
        <v>-1.275165917556248E-4</v>
      </c>
      <c r="AC102" s="15">
        <f t="shared" si="43"/>
        <v>2.7642532371696671E-5</v>
      </c>
      <c r="AD102" s="15">
        <f t="shared" si="62"/>
        <v>6.6442181545913991E-7</v>
      </c>
      <c r="AE102" s="15">
        <f t="shared" ref="AE102:AE133" si="64">B102/E102-2*B101/E101+B100/E100</f>
        <v>-4.1964389220272569E-5</v>
      </c>
      <c r="AF102" s="15">
        <f t="shared" ref="AF102:AF133" si="65">C102/F102-2*C101/F101+C100/F100</f>
        <v>8.1934662144733661E-6</v>
      </c>
      <c r="AG102" s="15">
        <f t="shared" ref="AG102:AG133" si="66">D102/G102-2*D101/G101+D100/G100</f>
        <v>-1.7379365886971421E-6</v>
      </c>
      <c r="AH102" s="15">
        <f t="shared" si="63"/>
        <v>4.1692515162677727E-10</v>
      </c>
      <c r="AI102" s="15"/>
      <c r="AM102" s="16">
        <f t="shared" si="34"/>
        <v>4.606235250891447</v>
      </c>
      <c r="AN102" s="16">
        <f t="shared" si="35"/>
        <v>2.1407245051182175</v>
      </c>
      <c r="AO102" s="16">
        <f t="shared" si="61"/>
        <v>230.60884867036881</v>
      </c>
      <c r="AP102" s="6">
        <f t="shared" si="37"/>
        <v>909.89623900417791</v>
      </c>
      <c r="AQ102" s="15">
        <f>-X102*V102*W102^(-Parameters!B$53)*Parameters!B$47*Parameters!B$46*M102</f>
        <v>-7.1973730802624647E-6</v>
      </c>
      <c r="AR102" s="5">
        <f>1000*EXP(-(Parameters!$B$55)*'6states'!A102)*AP102*Parameters!B$47*Parameters!B$46*M102</f>
        <v>0.70590354918860687</v>
      </c>
      <c r="AS102" s="5">
        <f>SUM(AR102:AR$204)*EXP(Parameters!$B$55*A102)</f>
        <v>1466.5694718388179</v>
      </c>
      <c r="AT102" s="25">
        <f t="shared" si="47"/>
        <v>0.23716545942433184</v>
      </c>
      <c r="AU102">
        <f>(1/$S102-1/Parameters!$B$13) * LN(Parameters!$B$18) / LN(O102)</f>
        <v>0.21034230440758864</v>
      </c>
      <c r="AV102">
        <f>(Parameters!$B$18*'6states'!S102^+Parameters!$B$19*Parameters!$B$25^'6states'!S102)^((1-'6states'!S102)/'6states'!S102)*Parameters!$B$18*Parameters!$B$26^('6states'!S102-1)</f>
        <v>0.30545552072938598</v>
      </c>
      <c r="AW102">
        <f t="shared" si="48"/>
        <v>0.1930522598791099</v>
      </c>
      <c r="AX102">
        <f t="shared" si="49"/>
        <v>0.13566787080404907</v>
      </c>
      <c r="AY102">
        <f t="shared" si="50"/>
        <v>0.1908133187490707</v>
      </c>
      <c r="AZ102">
        <f>(1/$S102-1/Parameters!$B$13) * LN(Parameters!$B$18) / A102</f>
        <v>9.5205669631805261E-3</v>
      </c>
    </row>
    <row r="103" spans="1:52" x14ac:dyDescent="0.35">
      <c r="A103">
        <f>A102+Parameters!$B$71</f>
        <v>99</v>
      </c>
      <c r="B103" s="7">
        <f t="shared" si="58"/>
        <v>-1.0868705098440512E-4</v>
      </c>
      <c r="C103" s="7">
        <f t="shared" si="59"/>
        <v>9.2434057276723852E-2</v>
      </c>
      <c r="D103" s="7">
        <f t="shared" si="60"/>
        <v>0.22361155860138016</v>
      </c>
      <c r="E103" s="5">
        <f>MAX((1-Parameters!$B$4)^Parameters!B$71*E102 + B102*Parameters!B$71 - IF(B102&gt;0,Parameters!$B$5,0)*B102^2/E102*Parameters!B$71, 0.0001)</f>
        <v>2.8211311471537789E-3</v>
      </c>
      <c r="F103" s="5">
        <f>(1-Parameters!$B$4)^Parameters!B$71*F102+C102*Parameters!B$71-Parameters!$B$5*C102^2/F102*Parameters!B$71</f>
        <v>1.3553197200256406</v>
      </c>
      <c r="G103" s="5">
        <f>(1-Parameters!$B$4)^Parameters!B$71*G102+D102*Parameters!B$71-Parameters!$B$5*D102^2/G102*Parameters!B$71</f>
        <v>3.2982924615448472</v>
      </c>
      <c r="H103" s="7">
        <f>MAX(H102 * (1-Parameters!$B$4) ^ Parameters!B$71 + (LN(1+EXP(Parameters!$B$21*(-B102+0.004)))/Parameters!$B$21 -0.004) * Parameters!B$71,0)</f>
        <v>6.8744084862596118E-3</v>
      </c>
      <c r="I103" s="16">
        <f>I102*(1+Parameters!$B$52)^Parameters!B$71</f>
        <v>10.869151911482337</v>
      </c>
      <c r="J103" s="16">
        <f>J102*(1+Parameters!$B$54)^Parameters!B$71</f>
        <v>64.296858269130823</v>
      </c>
      <c r="K103" s="16">
        <f>I103*J103*EXP(-Parameters!$B$43*'6states'!A103)*(Parameters!$B$38/Parameters!$B$39*('6states'!E103+'6states'!H103)/Parameters!$E$25*(EXP(-Parameters!$B$39*Parameters!$E$25*'6states'!H103/('6states'!E103+'6states'!H103))-EXP(-Parameters!$B$39*Parameters!$E$25))  +  Parameters!$B$40*'6states'!E103)</f>
        <v>0.56188497791181313</v>
      </c>
      <c r="L103" s="6">
        <f>L102+K103*Parameters!B$71</f>
        <v>3343.5982147993564</v>
      </c>
      <c r="M103" s="5">
        <f>L103*Parameters!$B$46</f>
        <v>2.0061589288796138</v>
      </c>
      <c r="N103" s="7">
        <f>EXP(-Parameters!$B$47/2*M103^2)</f>
        <v>0.9603591305418786</v>
      </c>
      <c r="O103" s="6">
        <f>MAX((Parameters!$B$63 + Parameters!$B$31*'6states'!A103 - '6states'!L103 + Parameters!$B$48/Parameters!$B$46)/Parameters!B$63,1)</f>
        <v>85.464035704012872</v>
      </c>
      <c r="P103" s="5">
        <f>Parameters!B$62*EXP(-Parameters!B$61*A103)</f>
        <v>3.4522389978515207E-2</v>
      </c>
      <c r="Q103" s="5">
        <f>(1-Parameters!B$62)*O103^-Parameters!B$64</f>
        <v>0.32047316143474253</v>
      </c>
      <c r="R103" s="5">
        <f>Parameters!B$62*EXP(-Parameters!B$61*A103)+(1-Parameters!B$62)*O103^-Parameters!B$64</f>
        <v>0.35499555141325773</v>
      </c>
      <c r="S103" s="5">
        <f>1-R103/Parameters!$B$12</f>
        <v>0.82250222429337116</v>
      </c>
      <c r="T103" s="5">
        <f t="shared" si="38"/>
        <v>5.6338734162664439</v>
      </c>
      <c r="U103" s="5">
        <f>(Parameters!$B$19*(E103+Parameters!$B$20)^S103+Parameters!$B$18*F103^S103)^(1/S103)</f>
        <v>0.33773350528244223</v>
      </c>
      <c r="V103" s="5">
        <f>(Parameters!$B$10*G103^Parameters!$B$9+Parameters!$B$11*U103^Parameters!$B$9)^(Parameters!$B$7/Parameters!$B$9)*N103</f>
        <v>1.3320028802977566</v>
      </c>
      <c r="W103" s="5">
        <f>V103 - C103 - D103 - LN(1+EXP(Parameters!$B$21*B103))/Parameters!$B$21 - IF(B103&gt;0, 0,Parameters!$B$6*B103^2/E103)</f>
        <v>1.0142572129805114</v>
      </c>
      <c r="X103" s="5">
        <f>EXP(-Parameters!$B$56*A103)</f>
        <v>0.22427103071228871</v>
      </c>
      <c r="Y103" s="5">
        <f>IF(W103&gt;0,W103^(1-Parameters!$B$53)/(1-Parameters!$B$53)*X103*Parameters!$B$71,-10+W103*1000)</f>
        <v>-0.63760732533490327</v>
      </c>
      <c r="AA103" s="15">
        <f t="shared" si="41"/>
        <v>-1.7319690939128565E-3</v>
      </c>
      <c r="AB103" s="15">
        <f t="shared" si="42"/>
        <v>-1.1984673281095759E-4</v>
      </c>
      <c r="AC103" s="15">
        <f t="shared" si="43"/>
        <v>2.6004484889458057E-5</v>
      </c>
      <c r="AD103" s="15">
        <f t="shared" si="62"/>
        <v>6.761225285091882E-7</v>
      </c>
      <c r="AE103" s="15">
        <f t="shared" si="64"/>
        <v>-2.8689710387323764E-5</v>
      </c>
      <c r="AF103" s="15">
        <f t="shared" si="65"/>
        <v>7.6698589446672072E-6</v>
      </c>
      <c r="AG103" s="15">
        <f t="shared" si="66"/>
        <v>-1.6380474822386137E-6</v>
      </c>
      <c r="AH103" s="15">
        <f t="shared" si="63"/>
        <v>1.9839226592881178E-10</v>
      </c>
      <c r="AI103" s="15"/>
      <c r="AM103" s="16">
        <f t="shared" si="34"/>
        <v>4.804196318963089</v>
      </c>
      <c r="AN103" s="16">
        <f t="shared" si="35"/>
        <v>1.9715540470948474</v>
      </c>
      <c r="AO103" s="16">
        <f t="shared" si="61"/>
        <v>236.02584369426063</v>
      </c>
      <c r="AP103" s="6">
        <f t="shared" si="37"/>
        <v>930.87330308713467</v>
      </c>
      <c r="AQ103" s="15">
        <f>-X103*V103*W103^(-Parameters!B$53)*Parameters!B$47*Parameters!B$46*M103</f>
        <v>-7.0907315594589787E-6</v>
      </c>
      <c r="AR103" s="5">
        <f>1000*EXP(-(Parameters!$B$55)*'6states'!A103)*AP103*Parameters!B$47*Parameters!B$46*M103</f>
        <v>0.69738615767161227</v>
      </c>
      <c r="AS103" s="5">
        <f>SUM(AR103:AR$204)*EXP(Parameters!$B$55*A103)</f>
        <v>1496.1632657854734</v>
      </c>
      <c r="AT103" s="25">
        <f t="shared" si="47"/>
        <v>0.23718937361193612</v>
      </c>
      <c r="AU103">
        <f>(1/$S103-1/Parameters!$B$13) * LN(Parameters!$B$18) / LN(O103)</f>
        <v>0.21002208810518588</v>
      </c>
      <c r="AV103">
        <f>(Parameters!$B$18*'6states'!S103^+Parameters!$B$19*Parameters!$B$25^'6states'!S103)^((1-'6states'!S103)/'6states'!S103)*Parameters!$B$18*Parameters!$B$26^('6states'!S103-1)</f>
        <v>0.3055583483580166</v>
      </c>
      <c r="AW103">
        <f t="shared" si="48"/>
        <v>0.19258998513076259</v>
      </c>
      <c r="AX103">
        <f t="shared" si="49"/>
        <v>0.135476004921954</v>
      </c>
      <c r="AY103">
        <f t="shared" si="50"/>
        <v>0.19087099121622242</v>
      </c>
      <c r="AZ103">
        <f>(1/$S103-1/Parameters!$B$13) * LN(Parameters!$B$18) / A103</f>
        <v>9.4363468384928099E-3</v>
      </c>
    </row>
    <row r="104" spans="1:52" x14ac:dyDescent="0.35">
      <c r="A104">
        <f>A103+Parameters!$B$71</f>
        <v>100</v>
      </c>
      <c r="B104" s="7">
        <f t="shared" si="58"/>
        <v>-1.0207891475501267E-4</v>
      </c>
      <c r="C104" s="7">
        <f t="shared" si="59"/>
        <v>9.2341303308943343E-2</v>
      </c>
      <c r="D104" s="7">
        <f t="shared" si="60"/>
        <v>0.22375930897911647</v>
      </c>
      <c r="E104" s="5">
        <f>MAX((1-Parameters!$B$4)^Parameters!B$71*E103 + B103*Parameters!B$71 - IF(B103&gt;0,Parameters!$B$5,0)*B103^2/E103*Parameters!B$71, 0.0001)</f>
        <v>2.5349949470134013E-3</v>
      </c>
      <c r="F104" s="5">
        <f>(1-Parameters!$B$4)^Parameters!B$71*F103+C103*Parameters!B$71-Parameters!$B$5*C103^2/F103*Parameters!B$71</f>
        <v>1.3562000787936215</v>
      </c>
      <c r="G104" s="5">
        <f>(1-Parameters!$B$4)^Parameters!B$71*G103+D103*Parameters!B$71-Parameters!$B$5*D103^2/G103*Parameters!B$71</f>
        <v>3.299281419638965</v>
      </c>
      <c r="H104" s="7">
        <f>MAX(H103 * (1-Parameters!$B$4) ^ Parameters!B$71 + (LN(1+EXP(Parameters!$B$21*(-B103+0.004)))/Parameters!$B$21 -0.004) * Parameters!B$71,0)</f>
        <v>6.9925167028527368E-3</v>
      </c>
      <c r="I104" s="16">
        <f>I103*(1+Parameters!$B$52)^Parameters!B$71</f>
        <v>10.900672452025635</v>
      </c>
      <c r="J104" s="16">
        <f>J103*(1+Parameters!$B$54)^Parameters!B$71</f>
        <v>65.582795434513443</v>
      </c>
      <c r="K104" s="16">
        <f>I104*J104*EXP(-Parameters!$B$43*'6states'!A104)*(Parameters!$B$38/Parameters!$B$39*('6states'!E104+'6states'!H104)/Parameters!$E$25*(EXP(-Parameters!$B$39*Parameters!$E$25*'6states'!H104/('6states'!E104+'6states'!H104))-EXP(-Parameters!$B$39*Parameters!$E$25))  +  Parameters!$B$40*'6states'!E104)</f>
        <v>0.51134745843406004</v>
      </c>
      <c r="L104" s="6">
        <f>L103+K104*Parameters!B$71</f>
        <v>3344.1095622577905</v>
      </c>
      <c r="M104" s="5">
        <f>L104*Parameters!$B$46</f>
        <v>2.0064657373546742</v>
      </c>
      <c r="N104" s="7">
        <f>EXP(-Parameters!$B$47/2*M104^2)</f>
        <v>0.96034724844920183</v>
      </c>
      <c r="O104" s="6">
        <f>MAX((Parameters!$B$63 + Parameters!$B$31*'6states'!A104 - '6states'!L104 + Parameters!$B$48/Parameters!$B$46)/Parameters!B$63,1)</f>
        <v>86.517808754844197</v>
      </c>
      <c r="P104" s="5">
        <f>Parameters!B$62*EXP(-Parameters!B$61*A104)</f>
        <v>3.3602756369874878E-2</v>
      </c>
      <c r="Q104" s="5">
        <f>(1-Parameters!B$62)*O104^-Parameters!B$64</f>
        <v>0.32008067423086056</v>
      </c>
      <c r="R104" s="5">
        <f>Parameters!B$62*EXP(-Parameters!B$61*A104)+(1-Parameters!B$62)*O104^-Parameters!B$64</f>
        <v>0.35368343060073543</v>
      </c>
      <c r="S104" s="5">
        <f>1-R104/Parameters!$B$12</f>
        <v>0.82315828469963226</v>
      </c>
      <c r="T104" s="5">
        <f t="shared" si="38"/>
        <v>5.6547743743691257</v>
      </c>
      <c r="U104" s="5">
        <f>(Parameters!$B$19*(E104+Parameters!$B$20)^S104+Parameters!$B$18*F104^S104)^(1/S104)</f>
        <v>0.33790174644119875</v>
      </c>
      <c r="V104" s="5">
        <f>(Parameters!$B$10*G104^Parameters!$B$9+Parameters!$B$11*U104^Parameters!$B$9)^(Parameters!$B$7/Parameters!$B$9)*N104</f>
        <v>1.3321329413131424</v>
      </c>
      <c r="W104" s="5">
        <f>V104 - C104 - D104 - LN(1+EXP(Parameters!$B$21*B104))/Parameters!$B$21 - IF(B104&gt;0, 0,Parameters!$B$6*B104^2/E104)</f>
        <v>1.0143294270460153</v>
      </c>
      <c r="X104" s="5">
        <f>EXP(-Parameters!$B$56*A104)</f>
        <v>0.22090997795937814</v>
      </c>
      <c r="Y104" s="5">
        <f>IF(W104&gt;0,W104^(1-Parameters!$B$53)/(1-Parameters!$B$53)*X104*Parameters!$B$71,-10+W104*1000)</f>
        <v>-0.62803613057625551</v>
      </c>
      <c r="AA104" s="15">
        <f t="shared" si="41"/>
        <v>-1.7418427128138847E-3</v>
      </c>
      <c r="AB104" s="15">
        <f t="shared" si="42"/>
        <v>-1.1266423858366514E-4</v>
      </c>
      <c r="AC104" s="15">
        <f t="shared" si="43"/>
        <v>2.4460725759109514E-5</v>
      </c>
      <c r="AD104" s="15">
        <f t="shared" si="62"/>
        <v>6.73180653413423E-7</v>
      </c>
      <c r="AE104" s="15">
        <f t="shared" si="64"/>
        <v>-9.8736189010281694E-6</v>
      </c>
      <c r="AF104" s="15">
        <f t="shared" si="65"/>
        <v>7.1824942272924464E-6</v>
      </c>
      <c r="AG104" s="15">
        <f t="shared" si="66"/>
        <v>-1.5437591303485432E-6</v>
      </c>
      <c r="AH104" s="15">
        <f t="shared" si="63"/>
        <v>3.3458973520272903E-11</v>
      </c>
      <c r="AI104" s="15"/>
      <c r="AM104" s="16">
        <f t="shared" si="34"/>
        <v>4.9989262171645903</v>
      </c>
      <c r="AN104" s="16">
        <f t="shared" si="35"/>
        <v>1.8122591964399819</v>
      </c>
      <c r="AO104" s="16">
        <f t="shared" si="61"/>
        <v>241.564800041377</v>
      </c>
      <c r="AP104" s="6">
        <f t="shared" si="37"/>
        <v>952.3372725533967</v>
      </c>
      <c r="AQ104" s="15">
        <f>-X104*V104*W104^(-Parameters!B$53)*Parameters!B$47*Parameters!B$46*M104</f>
        <v>-6.9855446362181898E-6</v>
      </c>
      <c r="AR104" s="5">
        <f>1000*EXP(-(Parameters!$B$55)*'6states'!A104)*AP104*Parameters!B$47*Parameters!B$46*M104</f>
        <v>0.68896348739885094</v>
      </c>
      <c r="AS104" s="5">
        <f>SUM(AR104:AR$204)*EXP(Parameters!$B$55*A104)</f>
        <v>1526.2847600429311</v>
      </c>
      <c r="AT104" s="25">
        <f t="shared" si="47"/>
        <v>0.23721246098892432</v>
      </c>
      <c r="AU104">
        <f>(1/$S104-1/Parameters!$B$13) * LN(Parameters!$B$18) / LN(O104)</f>
        <v>0.20970386354294968</v>
      </c>
      <c r="AV104">
        <f>(Parameters!$B$18*'6states'!S104^+Parameters!$B$19*Parameters!$B$25^'6states'!S104)^((1-'6states'!S104)/'6states'!S104)*Parameters!$B$18*Parameters!$B$26^('6states'!S104-1)</f>
        <v>0.30565790278258204</v>
      </c>
      <c r="AW104">
        <f t="shared" si="48"/>
        <v>0.19213388664383221</v>
      </c>
      <c r="AX104">
        <f t="shared" si="49"/>
        <v>0.13528529024836777</v>
      </c>
      <c r="AY104">
        <f t="shared" si="50"/>
        <v>0.19092682393994886</v>
      </c>
      <c r="AZ104">
        <f>(1/$S104-1/Parameters!$B$13) * LN(Parameters!$B$18) / A104</f>
        <v>9.3535268527682926E-3</v>
      </c>
    </row>
    <row r="105" spans="1:52" x14ac:dyDescent="0.35">
      <c r="A105">
        <f>A104+Parameters!$B$71</f>
        <v>101</v>
      </c>
      <c r="B105" s="7">
        <f t="shared" si="58"/>
        <v>-9.5470778525620224E-5</v>
      </c>
      <c r="C105" s="7">
        <f t="shared" si="59"/>
        <v>9.2248549341162833E-2</v>
      </c>
      <c r="D105" s="7">
        <f t="shared" si="60"/>
        <v>0.22390705935685279</v>
      </c>
      <c r="E105" s="5">
        <f>MAX((1-Parameters!$B$4)^Parameters!B$71*E104 + B104*Parameters!B$71 - IF(B104&gt;0,Parameters!$B$5,0)*B104^2/E104*Parameters!B$71, 0.0001)</f>
        <v>2.2734648500912454E-3</v>
      </c>
      <c r="F105" s="5">
        <f>(1-Parameters!$B$4)^Parameters!B$71*F104+C104*Parameters!B$71-Parameters!$B$5*C104^2/F104*Parameters!B$71</f>
        <v>1.3569490384962539</v>
      </c>
      <c r="G105" s="5">
        <f>(1-Parameters!$B$4)^Parameters!B$71*G104+D104*Parameters!B$71-Parameters!$B$5*D104^2/G104*Parameters!B$71</f>
        <v>3.3003404324235737</v>
      </c>
      <c r="H105" s="7">
        <f>MAX(H104 * (1-Parameters!$B$4) ^ Parameters!B$71 + (LN(1+EXP(Parameters!$B$21*(-B104+0.004)))/Parameters!$B$21 -0.004) * Parameters!B$71,0)</f>
        <v>7.0976594331551473E-3</v>
      </c>
      <c r="I105" s="16">
        <f>I104*(1+Parameters!$B$52)^Parameters!B$71</f>
        <v>10.932284402136508</v>
      </c>
      <c r="J105" s="16">
        <f>J104*(1+Parameters!$B$54)^Parameters!B$71</f>
        <v>66.894451343203713</v>
      </c>
      <c r="K105" s="16">
        <f>I105*J105*EXP(-Parameters!$B$43*'6states'!A105)*(Parameters!$B$38/Parameters!$B$39*('6states'!E105+'6states'!H105)/Parameters!$E$25*(EXP(-Parameters!$B$39*Parameters!$E$25*'6states'!H105/('6states'!E105+'6states'!H105))-EXP(-Parameters!$B$39*Parameters!$E$25))  +  Parameters!$B$40*'6states'!E105)</f>
        <v>0.46445335669261734</v>
      </c>
      <c r="L105" s="6">
        <f>L104+K105*Parameters!B$71</f>
        <v>3344.574015614483</v>
      </c>
      <c r="M105" s="5">
        <f>L105*Parameters!$B$46</f>
        <v>2.0067444093686895</v>
      </c>
      <c r="N105" s="7">
        <f>EXP(-Parameters!$B$47/2*M105^2)</f>
        <v>0.96033645457939376</v>
      </c>
      <c r="O105" s="6">
        <f>MAX((Parameters!$B$63 + Parameters!$B$31*'6states'!A105 - '6states'!L105 + Parameters!$B$48/Parameters!$B$46)/Parameters!B$63,1)</f>
        <v>87.572519687710354</v>
      </c>
      <c r="P105" s="5">
        <f>Parameters!B$62*EXP(-Parameters!B$61*A105)</f>
        <v>3.2707620658821233E-2</v>
      </c>
      <c r="Q105" s="5">
        <f>(1-Parameters!B$62)*O105^-Parameters!B$64</f>
        <v>0.31969306824484639</v>
      </c>
      <c r="R105" s="5">
        <f>Parameters!B$62*EXP(-Parameters!B$61*A105)+(1-Parameters!B$62)*O105^-Parameters!B$64</f>
        <v>0.3524006889036676</v>
      </c>
      <c r="S105" s="5">
        <f>1-R105/Parameters!$B$12</f>
        <v>0.82379965554816614</v>
      </c>
      <c r="T105" s="5">
        <f t="shared" si="38"/>
        <v>5.6753578042712629</v>
      </c>
      <c r="U105" s="5">
        <f>(Parameters!$B$19*(E105+Parameters!$B$20)^S105+Parameters!$B$18*F105^S105)^(1/S105)</f>
        <v>0.33806275689423471</v>
      </c>
      <c r="V105" s="5">
        <f>(Parameters!$B$10*G105^Parameters!$B$9+Parameters!$B$11*U105^Parameters!$B$9)^(Parameters!$B$7/Parameters!$B$9)*N105</f>
        <v>1.3322671923232945</v>
      </c>
      <c r="W105" s="5">
        <f>V105 - C105 - D105 - LN(1+EXP(Parameters!$B$21*B105))/Parameters!$B$21 - IF(B105&gt;0, 0,Parameters!$B$6*B105^2/E105)</f>
        <v>1.0144059495898727</v>
      </c>
      <c r="X105" s="5">
        <f>EXP(-Parameters!$B$56*A105)</f>
        <v>0.21759929584761534</v>
      </c>
      <c r="Y105" s="5">
        <f>IF(W105&gt;0,W105^(1-Parameters!$B$53)/(1-Parameters!$B$53)*X105*Parameters!$B$71,-10+W105*1000)</f>
        <v>-0.61860769159302509</v>
      </c>
      <c r="AA105" s="15">
        <f t="shared" si="41"/>
        <v>-1.725617489496109E-3</v>
      </c>
      <c r="AB105" s="15">
        <f t="shared" si="42"/>
        <v>-1.0593568845752854E-4</v>
      </c>
      <c r="AC105" s="15">
        <f t="shared" si="43"/>
        <v>2.3005952397639473E-5</v>
      </c>
      <c r="AD105" s="15">
        <f t="shared" si="62"/>
        <v>6.5051469733538609E-7</v>
      </c>
      <c r="AE105" s="15">
        <f t="shared" si="64"/>
        <v>1.622522331777565E-5</v>
      </c>
      <c r="AF105" s="15">
        <f t="shared" si="65"/>
        <v>6.728550126136601E-6</v>
      </c>
      <c r="AG105" s="15">
        <f t="shared" si="66"/>
        <v>-1.4547733614700409E-6</v>
      </c>
      <c r="AH105" s="15">
        <f t="shared" si="63"/>
        <v>6.7596704248897666E-11</v>
      </c>
      <c r="AI105" s="15"/>
      <c r="AM105" s="16">
        <f t="shared" si="34"/>
        <v>5.1905834077727393</v>
      </c>
      <c r="AN105" s="16">
        <f t="shared" si="35"/>
        <v>1.6626056857439822</v>
      </c>
      <c r="AO105" s="16">
        <f t="shared" si="61"/>
        <v>247.22839314101637</v>
      </c>
      <c r="AP105" s="6">
        <f t="shared" si="37"/>
        <v>974.29921065108203</v>
      </c>
      <c r="AQ105" s="15">
        <f>-X105*V105*W105^(-Parameters!B$53)*Parameters!B$47*Parameters!B$46*M105</f>
        <v>-6.8818036154639208E-6</v>
      </c>
      <c r="AR105" s="5">
        <f>1000*EXP(-(Parameters!$B$55)*'6states'!A105)*AP105*Parameters!B$47*Parameters!B$46*M105</f>
        <v>0.68063511687494971</v>
      </c>
      <c r="AS105" s="5">
        <f>SUM(AR105:AR$204)*EXP(Parameters!$B$55*A105)</f>
        <v>1556.9407866193776</v>
      </c>
      <c r="AT105" s="25">
        <f t="shared" si="47"/>
        <v>0.23723479774978448</v>
      </c>
      <c r="AU105">
        <f>(1/$S105-1/Parameters!$B$13) * LN(Parameters!$B$18) / LN(O105)</f>
        <v>0.20938765073153529</v>
      </c>
      <c r="AV105">
        <f>(Parameters!$B$18*'6states'!S105^+Parameters!$B$19*Parameters!$B$25^'6states'!S105)^((1-'6states'!S105)/'6states'!S105)*Parameters!$B$18*Parameters!$B$26^('6states'!S105-1)</f>
        <v>0.30575430860643282</v>
      </c>
      <c r="AW105">
        <f t="shared" si="48"/>
        <v>0.19168386068189533</v>
      </c>
      <c r="AX105">
        <f t="shared" si="49"/>
        <v>0.13509573956040222</v>
      </c>
      <c r="AY105">
        <f t="shared" si="50"/>
        <v>0.19098088717427675</v>
      </c>
      <c r="AZ105">
        <f>(1/$S105-1/Parameters!$B$13) * LN(Parameters!$B$18) / A105</f>
        <v>9.2720733636154854E-3</v>
      </c>
    </row>
    <row r="106" spans="1:52" x14ac:dyDescent="0.35">
      <c r="A106">
        <f>A105+Parameters!$B$71</f>
        <v>102</v>
      </c>
      <c r="B106" s="7">
        <f t="shared" si="58"/>
        <v>-8.8862642296227778E-5</v>
      </c>
      <c r="C106" s="7">
        <f t="shared" si="59"/>
        <v>9.2155795373382324E-2</v>
      </c>
      <c r="D106" s="7">
        <f t="shared" si="60"/>
        <v>0.22405480973458911</v>
      </c>
      <c r="E106" s="5">
        <f>MAX((1-Parameters!$B$4)^Parameters!B$71*E105 + B105*Parameters!B$71 - IF(B105&gt;0,Parameters!$B$5,0)*B105^2/E105*Parameters!B$71, 0.0001)</f>
        <v>2.0349931324948863E-3</v>
      </c>
      <c r="F106" s="5">
        <f>(1-Parameters!$B$4)^Parameters!B$71*F105+C105*Parameters!B$71-Parameters!$B$5*C105^2/F105*Parameters!B$71</f>
        <v>1.35757422253565</v>
      </c>
      <c r="G106" s="5">
        <f>(1-Parameters!$B$4)^Parameters!B$71*G105+D105*Parameters!B$71-Parameters!$B$5*D105^2/G105*Parameters!B$71</f>
        <v>3.3014654119645046</v>
      </c>
      <c r="H106" s="7">
        <f>MAX(H105 * (1-Parameters!$B$4) ^ Parameters!B$71 + (LN(1+EXP(Parameters!$B$21*(-B105+0.004)))/Parameters!$B$21 -0.004) * Parameters!B$71,0)</f>
        <v>7.190654581656371E-3</v>
      </c>
      <c r="I106" s="16">
        <f>I105*(1+Parameters!$B$52)^Parameters!B$71</f>
        <v>10.963988026902703</v>
      </c>
      <c r="J106" s="16">
        <f>J105*(1+Parameters!$B$54)^Parameters!B$71</f>
        <v>68.232340370067789</v>
      </c>
      <c r="K106" s="16">
        <f>I106*J106*EXP(-Parameters!$B$43*'6states'!A106)*(Parameters!$B$38/Parameters!$B$39*('6states'!E106+'6states'!H106)/Parameters!$E$25*(EXP(-Parameters!$B$39*Parameters!$E$25*'6states'!H106/('6states'!E106+'6states'!H106))-EXP(-Parameters!$B$39*Parameters!$E$25))  +  Parameters!$B$40*'6states'!E106)</f>
        <v>0.42104805758084968</v>
      </c>
      <c r="L106" s="6">
        <f>L105+K106*Parameters!B$71</f>
        <v>3344.9950636720637</v>
      </c>
      <c r="M106" s="5">
        <f>L106*Parameters!$B$46</f>
        <v>2.006997038203238</v>
      </c>
      <c r="N106" s="7">
        <f>EXP(-Parameters!$B$47/2*M106^2)</f>
        <v>0.96032666825571611</v>
      </c>
      <c r="O106" s="6">
        <f>MAX((Parameters!$B$63 + Parameters!$B$31*'6states'!A106 - '6states'!L106 + Parameters!$B$48/Parameters!$B$46)/Parameters!B$63,1)</f>
        <v>88.628098726558747</v>
      </c>
      <c r="P106" s="5">
        <f>Parameters!B$62*EXP(-Parameters!B$61*A106)</f>
        <v>3.1836330251777283E-2</v>
      </c>
      <c r="Q106" s="5">
        <f>(1-Parameters!B$62)*O106^-Parameters!B$64</f>
        <v>0.31931025091743098</v>
      </c>
      <c r="R106" s="5">
        <f>Parameters!B$62*EXP(-Parameters!B$61*A106)+(1-Parameters!B$62)*O106^-Parameters!B$64</f>
        <v>0.35114658116920827</v>
      </c>
      <c r="S106" s="5">
        <f>1-R106/Parameters!$B$12</f>
        <v>0.82442670941539586</v>
      </c>
      <c r="T106" s="5">
        <f t="shared" si="38"/>
        <v>5.6956271461924119</v>
      </c>
      <c r="U106" s="5">
        <f>(Parameters!$B$19*(E106+Parameters!$B$20)^S106+Parameters!$B$18*F106^S106)^(1/S106)</f>
        <v>0.33821660207356091</v>
      </c>
      <c r="V106" s="5">
        <f>(Parameters!$B$10*G106^Parameters!$B$9+Parameters!$B$11*U106^Parameters!$B$9)^(Parameters!$B$7/Parameters!$B$9)*N106</f>
        <v>1.3324052266242004</v>
      </c>
      <c r="W106" s="5">
        <f>V106 - C106 - D106 - LN(1+EXP(Parameters!$B$21*B106))/Parameters!$B$21 - IF(B106&gt;0, 0,Parameters!$B$6*B106^2/E106)</f>
        <v>1.0144863881229091</v>
      </c>
      <c r="X106" s="5">
        <f>EXP(-Parameters!$B$56*A106)</f>
        <v>0.2143382294940287</v>
      </c>
      <c r="Y106" s="5">
        <f>IF(W106&gt;0,W106^(1-Parameters!$B$53)/(1-Parameters!$B$53)*X106*Parameters!$B$71,-10+W106*1000)</f>
        <v>-0.60931997575428343</v>
      </c>
      <c r="AA106" s="15">
        <f t="shared" si="41"/>
        <v>-1.6737792288852513E-3</v>
      </c>
      <c r="AB106" s="15">
        <f t="shared" si="42"/>
        <v>-9.9630229811645266E-5</v>
      </c>
      <c r="AC106" s="15">
        <f t="shared" si="43"/>
        <v>2.1635146361262403E-5</v>
      </c>
      <c r="AD106" s="15">
        <f t="shared" si="62"/>
        <v>6.0270434828642881E-7</v>
      </c>
      <c r="AE106" s="15">
        <f t="shared" si="64"/>
        <v>5.1838260610857778E-5</v>
      </c>
      <c r="AF106" s="15">
        <f t="shared" si="65"/>
        <v>6.3054586458832773E-6</v>
      </c>
      <c r="AG106" s="15">
        <f t="shared" si="66"/>
        <v>-1.3708060363770702E-6</v>
      </c>
      <c r="AH106" s="15">
        <f t="shared" si="63"/>
        <v>5.84895416000295E-10</v>
      </c>
      <c r="AI106" s="15"/>
      <c r="AM106" s="16">
        <f t="shared" si="34"/>
        <v>5.3793183585955662</v>
      </c>
      <c r="AN106" s="16">
        <f t="shared" si="35"/>
        <v>1.5223754378595145</v>
      </c>
      <c r="AO106" s="16">
        <f t="shared" si="61"/>
        <v>253.01935394830542</v>
      </c>
      <c r="AP106" s="6">
        <f t="shared" si="37"/>
        <v>996.77043519134327</v>
      </c>
      <c r="AQ106" s="15">
        <f>-X106*V106*W106^(-Parameters!B$53)*Parameters!B$47*Parameters!B$46*M106</f>
        <v>-6.7794990348077498E-6</v>
      </c>
      <c r="AR106" s="5">
        <f>1000*EXP(-(Parameters!$B$55)*'6states'!A106)*AP106*Parameters!B$47*Parameters!B$46*M106</f>
        <v>0.67240058614340281</v>
      </c>
      <c r="AS106" s="5">
        <f>SUM(AR106:AR$204)*EXP(Parameters!$B$55*A106)</f>
        <v>1588.1381364618226</v>
      </c>
      <c r="AT106" s="25">
        <f t="shared" si="47"/>
        <v>0.23725645633093578</v>
      </c>
      <c r="AU106">
        <f>(1/$S106-1/Parameters!$B$13) * LN(Parameters!$B$18) / LN(O106)</f>
        <v>0.20907346672779051</v>
      </c>
      <c r="AV106">
        <f>(Parameters!$B$18*'6states'!S106^+Parameters!$B$19*Parameters!$B$25^'6states'!S106)^((1-'6states'!S106)/'6states'!S106)*Parameters!$B$18*Parameters!$B$26^('6states'!S106-1)</f>
        <v>0.30584768512192823</v>
      </c>
      <c r="AW106">
        <f t="shared" si="48"/>
        <v>0.19123980426377352</v>
      </c>
      <c r="AX106">
        <f t="shared" si="49"/>
        <v>0.13490736386981017</v>
      </c>
      <c r="AY106">
        <f t="shared" si="50"/>
        <v>0.19103324816458589</v>
      </c>
      <c r="AZ106">
        <f>(1/$S106-1/Parameters!$B$13) * LN(Parameters!$B$18) / A106</f>
        <v>9.1919538046251973E-3</v>
      </c>
    </row>
    <row r="107" spans="1:52" x14ac:dyDescent="0.35">
      <c r="A107">
        <f>A106+Parameters!$B$71</f>
        <v>103</v>
      </c>
      <c r="B107" s="7">
        <f t="shared" si="58"/>
        <v>-8.2254506066835331E-5</v>
      </c>
      <c r="C107" s="7">
        <f t="shared" si="59"/>
        <v>9.2063041405601814E-2</v>
      </c>
      <c r="D107" s="7">
        <f t="shared" si="60"/>
        <v>0.22420256011232542</v>
      </c>
      <c r="E107" s="5">
        <f>MAX((1-Parameters!$B$4)^Parameters!B$71*E106 + B106*Parameters!B$71 - IF(B106&gt;0,Parameters!$B$5,0)*B106^2/E106*Parameters!B$71, 0.0001)</f>
        <v>1.8181294221647302E-3</v>
      </c>
      <c r="F107" s="5">
        <f>(1-Parameters!$B$4)^Parameters!B$71*F106+C106*Parameters!B$71-Parameters!$B$5*C106^2/F106*Parameters!B$71</f>
        <v>1.3580828156645595</v>
      </c>
      <c r="G107" s="5">
        <f>(1-Parameters!$B$4)^Parameters!B$71*G106+D106*Parameters!B$71-Parameters!$B$5*D106^2/G106*Parameters!B$71</f>
        <v>3.3026525092901942</v>
      </c>
      <c r="H107" s="7">
        <f>MAX(H106 * (1-Parameters!$B$4) ^ Parameters!B$71 + (LN(1+EXP(Parameters!$B$21*(-B106+0.004)))/Parameters!$B$21 -0.004) * Parameters!B$71,0)</f>
        <v>7.2722686108951115E-3</v>
      </c>
      <c r="I107" s="16">
        <f>I106*(1+Parameters!$B$52)^Parameters!B$71</f>
        <v>10.99578359218072</v>
      </c>
      <c r="J107" s="16">
        <f>J106*(1+Parameters!$B$54)^Parameters!B$71</f>
        <v>69.596987177469146</v>
      </c>
      <c r="K107" s="16">
        <f>I107*J107*EXP(-Parameters!$B$43*'6states'!A107)*(Parameters!$B$38/Parameters!$B$39*('6states'!E107+'6states'!H107)/Parameters!$E$25*(EXP(-Parameters!$B$39*Parameters!$E$25*'6states'!H107/('6states'!E107+'6states'!H107))-EXP(-Parameters!$B$39*Parameters!$E$25))  +  Parameters!$B$40*'6states'!E107)</f>
        <v>0.38098543533802198</v>
      </c>
      <c r="L107" s="6">
        <f>L106+K107*Parameters!B$71</f>
        <v>3345.3760491074017</v>
      </c>
      <c r="M107" s="5">
        <f>L107*Parameters!$B$46</f>
        <v>2.0072256294644411</v>
      </c>
      <c r="N107" s="7">
        <f>EXP(-Parameters!$B$47/2*M107^2)</f>
        <v>0.96031781212268996</v>
      </c>
      <c r="O107" s="6">
        <f>MAX((Parameters!$B$63 + Parameters!$B$31*'6states'!A107 - '6states'!L107 + Parameters!$B$48/Parameters!$B$46)/Parameters!B$63,1)</f>
        <v>89.68447901785197</v>
      </c>
      <c r="P107" s="5">
        <f>Parameters!B$62*EXP(-Parameters!B$61*A107)</f>
        <v>3.0988249939448733E-2</v>
      </c>
      <c r="Q107" s="5">
        <f>(1-Parameters!B$62)*O107^-Parameters!B$64</f>
        <v>0.31893213149839533</v>
      </c>
      <c r="R107" s="5">
        <f>Parameters!B$62*EXP(-Parameters!B$61*A107)+(1-Parameters!B$62)*O107^-Parameters!B$64</f>
        <v>0.34992038143784404</v>
      </c>
      <c r="S107" s="5">
        <f>1-R107/Parameters!$B$12</f>
        <v>0.82503980928107801</v>
      </c>
      <c r="T107" s="5">
        <f t="shared" si="38"/>
        <v>5.7155859049475177</v>
      </c>
      <c r="U107" s="5">
        <f>(Parameters!$B$19*(E107+Parameters!$B$20)^S107+Parameters!$B$18*F107^S107)^(1/S107)</f>
        <v>0.33836334491911674</v>
      </c>
      <c r="V107" s="5">
        <f>(Parameters!$B$10*G107^Parameters!$B$9+Parameters!$B$11*U107^Parameters!$B$9)^(Parameters!$B$7/Parameters!$B$9)*N107</f>
        <v>1.3325466579260261</v>
      </c>
      <c r="W107" s="5">
        <f>V107 - C107 - D107 - LN(1+EXP(Parameters!$B$21*B107))/Parameters!$B$21 - IF(B107&gt;0, 0,Parameters!$B$6*B107^2/E107)</f>
        <v>1.0145703709382403</v>
      </c>
      <c r="X107" s="5">
        <f>EXP(-Parameters!$B$56*A107)</f>
        <v>0.21112603532875074</v>
      </c>
      <c r="Y107" s="5">
        <f>IF(W107&gt;0,W107^(1-Parameters!$B$53)/(1-Parameters!$B$53)*X107*Parameters!$B$71,-10+W107*1000)</f>
        <v>-0.60017097227920901</v>
      </c>
      <c r="AA107" s="15">
        <f t="shared" si="41"/>
        <v>-1.573988636077453E-3</v>
      </c>
      <c r="AB107" s="15">
        <f t="shared" si="42"/>
        <v>-9.3719350538701285E-5</v>
      </c>
      <c r="AC107" s="15">
        <f t="shared" si="43"/>
        <v>2.0343559751806461E-5</v>
      </c>
      <c r="AD107" s="15">
        <f t="shared" si="62"/>
        <v>5.2499389632007876E-7</v>
      </c>
      <c r="AE107" s="15">
        <f t="shared" si="64"/>
        <v>9.9790592807798284E-5</v>
      </c>
      <c r="AF107" s="15">
        <f t="shared" si="65"/>
        <v>5.9108792729439807E-6</v>
      </c>
      <c r="AG107" s="15">
        <f t="shared" si="66"/>
        <v>-1.2915866094559414E-6</v>
      </c>
      <c r="AH107" s="15">
        <f t="shared" si="63"/>
        <v>2.1101559746753027E-9</v>
      </c>
      <c r="AI107" s="15"/>
      <c r="AM107" s="16">
        <f t="shared" si="34"/>
        <v>5.5652737959047416</v>
      </c>
      <c r="AN107" s="16">
        <f t="shared" si="35"/>
        <v>1.391366102123581</v>
      </c>
      <c r="AO107" s="16">
        <f t="shared" si="61"/>
        <v>258.94047067401397</v>
      </c>
      <c r="AP107" s="6">
        <f t="shared" si="37"/>
        <v>1019.7625244570484</v>
      </c>
      <c r="AQ107" s="15">
        <f>-X107*V107*W107^(-Parameters!B$53)*Parameters!B$47*Parameters!B$46*M107</f>
        <v>-6.6786207370969243E-6</v>
      </c>
      <c r="AR107" s="5">
        <f>1000*EXP(-(Parameters!$B$55)*'6states'!A107)*AP107*Parameters!B$47*Parameters!B$46*M107</f>
        <v>0.6642594001501112</v>
      </c>
      <c r="AS107" s="5">
        <f>SUM(AR107:AR$204)*EXP(Parameters!$B$55*A107)</f>
        <v>1619.8835512787284</v>
      </c>
      <c r="AT107" s="25">
        <f t="shared" si="47"/>
        <v>0.23727750554263349</v>
      </c>
      <c r="AU107">
        <f>(1/$S107-1/Parameters!$B$13) * LN(Parameters!$B$18) / LN(O107)</f>
        <v>0.20876132589139576</v>
      </c>
      <c r="AV107">
        <f>(Parameters!$B$18*'6states'!S107^+Parameters!$B$19*Parameters!$B$25^'6states'!S107)^((1-'6states'!S107)/'6states'!S107)*Parameters!$B$18*Parameters!$B$26^('6states'!S107-1)</f>
        <v>0.30593814655490792</v>
      </c>
      <c r="AW107">
        <f t="shared" si="48"/>
        <v>0.19080161531183268</v>
      </c>
      <c r="AX107">
        <f t="shared" si="49"/>
        <v>0.13472017257482627</v>
      </c>
      <c r="AY107">
        <f t="shared" si="50"/>
        <v>0.19108397128711885</v>
      </c>
      <c r="AZ107">
        <f>(1/$S107-1/Parameters!$B$13) * LN(Parameters!$B$18) / A107</f>
        <v>9.1131366411577493E-3</v>
      </c>
    </row>
    <row r="108" spans="1:52" x14ac:dyDescent="0.35">
      <c r="A108">
        <f>A107+Parameters!$B$71</f>
        <v>104</v>
      </c>
      <c r="B108" s="7">
        <f t="shared" si="58"/>
        <v>-7.5646369837442884E-5</v>
      </c>
      <c r="C108" s="7">
        <f t="shared" si="59"/>
        <v>9.1970287437821305E-2</v>
      </c>
      <c r="D108" s="7">
        <f t="shared" si="60"/>
        <v>0.22435031049006174</v>
      </c>
      <c r="E108" s="5">
        <f>MAX((1-Parameters!$B$4)^Parameters!B$71*E107 + B107*Parameters!B$71 - IF(B107&gt;0,Parameters!$B$5,0)*B107^2/E107*Parameters!B$71, 0.0001)</f>
        <v>1.6215145754437334E-3</v>
      </c>
      <c r="F108" s="5">
        <f>(1-Parameters!$B$4)^Parameters!B$71*F107+C107*Parameters!B$71-Parameters!$B$5*C107^2/F107*Parameters!B$71</f>
        <v>1.3584815887955306</v>
      </c>
      <c r="G108" s="5">
        <f>(1-Parameters!$B$4)^Parameters!B$71*G107+D107*Parameters!B$71-Parameters!$B$5*D107^2/G107*Parameters!B$71</f>
        <v>3.3038981003758034</v>
      </c>
      <c r="H108" s="7">
        <f>MAX(H107 * (1-Parameters!$B$4) ^ Parameters!B$71 + (LN(1+EXP(Parameters!$B$21*(-B107+0.004)))/Parameters!$B$21 -0.004) * Parameters!B$71,0)</f>
        <v>7.343219777160989E-3</v>
      </c>
      <c r="I108" s="16">
        <f>I107*(1+Parameters!$B$52)^Parameters!B$71</f>
        <v>11.027671364598042</v>
      </c>
      <c r="J108" s="16">
        <f>J107*(1+Parameters!$B$54)^Parameters!B$71</f>
        <v>70.988926921018532</v>
      </c>
      <c r="K108" s="16">
        <f>I108*J108*EXP(-Parameters!$B$43*'6states'!A108)*(Parameters!$B$38/Parameters!$B$39*('6states'!E108+'6states'!H108)/Parameters!$E$25*(EXP(-Parameters!$B$39*Parameters!$E$25*'6states'!H108/('6states'!E108+'6states'!H108))-EXP(-Parameters!$B$39*Parameters!$E$25))  +  Parameters!$B$40*'6states'!E108)</f>
        <v>0.34412743191949546</v>
      </c>
      <c r="L108" s="6">
        <f>L107+K108*Parameters!B$71</f>
        <v>3345.7201765393211</v>
      </c>
      <c r="M108" s="5">
        <f>L108*Parameters!$B$46</f>
        <v>2.0074321059235927</v>
      </c>
      <c r="N108" s="7">
        <f>EXP(-Parameters!$B$47/2*M108^2)</f>
        <v>0.96030981196942955</v>
      </c>
      <c r="O108" s="6">
        <f>MAX((Parameters!$B$63 + Parameters!$B$31*'6states'!A108 - '6states'!L108 + Parameters!$B$48/Parameters!$B$46)/Parameters!B$63,1)</f>
        <v>90.741596469213576</v>
      </c>
      <c r="P108" s="5">
        <f>Parameters!B$62*EXP(-Parameters!B$61*A108)</f>
        <v>3.0162761433728282E-2</v>
      </c>
      <c r="Q108" s="5">
        <f>(1-Parameters!B$62)*O108^-Parameters!B$64</f>
        <v>0.31855862105537169</v>
      </c>
      <c r="R108" s="5">
        <f>Parameters!B$62*EXP(-Parameters!B$61*A108)+(1-Parameters!B$62)*O108^-Parameters!B$64</f>
        <v>0.34872138248909995</v>
      </c>
      <c r="S108" s="5">
        <f>1-R108/Parameters!$B$12</f>
        <v>0.82563930875545</v>
      </c>
      <c r="T108" s="5">
        <f t="shared" si="38"/>
        <v>5.7352376436581549</v>
      </c>
      <c r="U108" s="5">
        <f>(Parameters!$B$19*(E108+Parameters!$B$20)^S108+Parameters!$B$18*F108^S108)^(1/S108)</f>
        <v>0.33850304677363158</v>
      </c>
      <c r="V108" s="5">
        <f>(Parameters!$B$10*G108^Parameters!$B$9+Parameters!$B$11*U108^Parameters!$B$9)^(Parameters!$B$7/Parameters!$B$9)*N108</f>
        <v>1.3326911195991922</v>
      </c>
      <c r="W108" s="5">
        <f>V108 - C108 - D108 - LN(1+EXP(Parameters!$B$21*B108))/Parameters!$B$21 - IF(B108&gt;0, 0,Parameters!$B$6*B108^2/E108)</f>
        <v>1.0146575456480431</v>
      </c>
      <c r="X108" s="5">
        <f>EXP(-Parameters!$B$56*A108)</f>
        <v>0.20796198092547327</v>
      </c>
      <c r="Y108" s="5">
        <f>IF(W108&gt;0,W108^(1-Parameters!$B$53)/(1-Parameters!$B$53)*X108*Parameters!$B$71,-10+W108*1000)</f>
        <v>-0.59115869258885212</v>
      </c>
      <c r="AA108" s="15">
        <f t="shared" si="41"/>
        <v>-1.4103922031317093E-3</v>
      </c>
      <c r="AB108" s="15">
        <f t="shared" si="42"/>
        <v>-8.8176674890971807E-5</v>
      </c>
      <c r="AC108" s="15">
        <f t="shared" si="43"/>
        <v>1.9126702077224E-5</v>
      </c>
      <c r="AD108" s="15">
        <f t="shared" si="62"/>
        <v>4.153722643742947E-7</v>
      </c>
      <c r="AE108" s="15">
        <f t="shared" si="64"/>
        <v>1.6359643294574372E-4</v>
      </c>
      <c r="AF108" s="15">
        <f t="shared" si="65"/>
        <v>5.5426756477294781E-6</v>
      </c>
      <c r="AG108" s="15">
        <f t="shared" si="66"/>
        <v>-1.2168576745824611E-6</v>
      </c>
      <c r="AH108" s="15">
        <f t="shared" si="63"/>
        <v>5.5725481737236032E-9</v>
      </c>
      <c r="AI108" s="15"/>
      <c r="AM108" s="16">
        <f t="shared" si="34"/>
        <v>5.748584944105195</v>
      </c>
      <c r="AN108" s="16">
        <f t="shared" si="35"/>
        <v>1.2693906158214954</v>
      </c>
      <c r="AO108" s="16">
        <f t="shared" si="61"/>
        <v>264.99459055669956</v>
      </c>
      <c r="AP108" s="6">
        <f t="shared" si="37"/>
        <v>1043.2873232390868</v>
      </c>
      <c r="AQ108" s="15">
        <f>-X108*V108*W108^(-Parameters!B$53)*Parameters!B$47*Parameters!B$46*M108</f>
        <v>-6.5791579407376166E-6</v>
      </c>
      <c r="AR108" s="5">
        <f>1000*EXP(-(Parameters!$B$55)*'6states'!A108)*AP108*Parameters!B$47*Parameters!B$46*M108</f>
        <v>0.65621103185698804</v>
      </c>
      <c r="AS108" s="5">
        <f>SUM(AR108:AR$204)*EXP(Parameters!$B$55*A108)</f>
        <v>1652.1837148869511</v>
      </c>
      <c r="AT108" s="25">
        <f t="shared" si="47"/>
        <v>0.237298010699701</v>
      </c>
      <c r="AU108">
        <f>(1/$S108-1/Parameters!$B$13) * LN(Parameters!$B$18) / LN(O108)</f>
        <v>0.20845124011910232</v>
      </c>
      <c r="AV108">
        <f>(Parameters!$B$18*'6states'!S108^+Parameters!$B$19*Parameters!$B$25^'6states'!S108)^((1-'6states'!S108)/'6states'!S108)*Parameters!$B$18*Parameters!$B$26^('6states'!S108-1)</f>
        <v>0.30602580229747123</v>
      </c>
      <c r="AW108">
        <f t="shared" si="48"/>
        <v>0.19036919278028355</v>
      </c>
      <c r="AX108">
        <f t="shared" si="49"/>
        <v>0.13453417359880104</v>
      </c>
      <c r="AY108">
        <f t="shared" si="50"/>
        <v>0.19113311818173839</v>
      </c>
      <c r="AZ108">
        <f>(1/$S108-1/Parameters!$B$13) * LN(Parameters!$B$18) / A108</f>
        <v>9.0355913284069014E-3</v>
      </c>
    </row>
    <row r="109" spans="1:52" x14ac:dyDescent="0.35">
      <c r="A109">
        <f>A108+Parameters!$B$71</f>
        <v>105</v>
      </c>
      <c r="B109" s="7">
        <f t="shared" si="58"/>
        <v>-6.9038233608050437E-5</v>
      </c>
      <c r="C109" s="7">
        <f t="shared" si="59"/>
        <v>9.1877533470040795E-2</v>
      </c>
      <c r="D109" s="7">
        <f t="shared" si="60"/>
        <v>0.22449806086779805</v>
      </c>
      <c r="E109" s="5">
        <f>MAX((1-Parameters!$B$4)^Parameters!B$71*E108 + B108*Parameters!B$71 - IF(B108&gt;0,Parameters!$B$5,0)*B108^2/E108*Parameters!B$71, 0.0001)</f>
        <v>1.4438749388108797E-3</v>
      </c>
      <c r="F109" s="5">
        <f>(1-Parameters!$B$4)^Parameters!B$71*F108+C108*Parameters!B$71-Parameters!$B$5*C108^2/F108*Parameters!B$71</f>
        <v>1.3587769224592781</v>
      </c>
      <c r="G109" s="5">
        <f>(1-Parameters!$B$4)^Parameters!B$71*G108+D108*Parameters!B$71-Parameters!$B$5*D108^2/G108*Parameters!B$71</f>
        <v>3.3051987729546939</v>
      </c>
      <c r="H109" s="7">
        <f>MAX(H108 * (1-Parameters!$B$4) ^ Parameters!B$71 + (LN(1+EXP(Parameters!$B$21*(-B108+0.004)))/Parameters!$B$21 -0.004) * Parameters!B$71,0)</f>
        <v>7.4041811626706236E-3</v>
      </c>
      <c r="I109" s="16">
        <f>I108*(1+Parameters!$B$52)^Parameters!B$71</f>
        <v>11.059651611555376</v>
      </c>
      <c r="J109" s="16">
        <f>J108*(1+Parameters!$B$54)^Parameters!B$71</f>
        <v>72.408705459438906</v>
      </c>
      <c r="K109" s="16">
        <f>I109*J109*EXP(-Parameters!$B$43*'6states'!A109)*(Parameters!$B$38/Parameters!$B$39*('6states'!E109+'6states'!H109)/Parameters!$E$25*(EXP(-Parameters!$B$39*Parameters!$E$25*'6states'!H109/('6states'!E109+'6states'!H109))-EXP(-Parameters!$B$39*Parameters!$E$25))  +  Parameters!$B$40*'6states'!E109)</f>
        <v>0.31034365701073857</v>
      </c>
      <c r="L109" s="6">
        <f>L108+K109*Parameters!B$71</f>
        <v>3346.030520196332</v>
      </c>
      <c r="M109" s="5">
        <f>L109*Parameters!$B$46</f>
        <v>2.0076183121177991</v>
      </c>
      <c r="N109" s="7">
        <f>EXP(-Parameters!$B$47/2*M109^2)</f>
        <v>0.96030259656093253</v>
      </c>
      <c r="O109" s="6">
        <f>MAX((Parameters!$B$63 + Parameters!$B$31*'6states'!A109 - '6states'!L109 + Parameters!$B$48/Parameters!$B$46)/Parameters!B$63,1)</f>
        <v>91.799389596073354</v>
      </c>
      <c r="P109" s="5">
        <f>Parameters!B$62*EXP(-Parameters!B$61*A109)</f>
        <v>2.9359262916936142E-2</v>
      </c>
      <c r="Q109" s="5">
        <f>(1-Parameters!B$62)*O109^-Parameters!B$64</f>
        <v>0.31818963247661564</v>
      </c>
      <c r="R109" s="5">
        <f>Parameters!B$62*EXP(-Parameters!B$61*A109)+(1-Parameters!B$62)*O109^-Parameters!B$64</f>
        <v>0.34754889539355177</v>
      </c>
      <c r="S109" s="5">
        <f>1-R109/Parameters!$B$12</f>
        <v>0.82622555230322414</v>
      </c>
      <c r="T109" s="5">
        <f t="shared" si="38"/>
        <v>5.754585977709044</v>
      </c>
      <c r="U109" s="5">
        <f>(Parameters!$B$19*(E109+Parameters!$B$20)^S109+Parameters!$B$18*F109^S109)^(1/S109)</f>
        <v>0.33863576818803387</v>
      </c>
      <c r="V109" s="5">
        <f>(Parameters!$B$10*G109^Parameters!$B$9+Parameters!$B$11*U109^Parameters!$B$9)^(Parameters!$B$7/Parameters!$B$9)*N109</f>
        <v>1.3328382639311618</v>
      </c>
      <c r="W109" s="5">
        <f>V109 - C109 - D109 - LN(1+EXP(Parameters!$B$21*B109))/Parameters!$B$21 - IF(B109&gt;0, 0,Parameters!$B$6*B109^2/E109)</f>
        <v>1.0147475772912968</v>
      </c>
      <c r="X109" s="5">
        <f>EXP(-Parameters!$B$56*A109)</f>
        <v>0.2048453448344438</v>
      </c>
      <c r="Y109" s="5">
        <f>IF(W109&gt;0,W109^(1-Parameters!$B$53)/(1-Parameters!$B$53)*X109*Parameters!$B$71,-10+W109*1000)</f>
        <v>-0.58228117070426566</v>
      </c>
      <c r="AA109" s="15">
        <f t="shared" si="41"/>
        <v>-1.1628778888467042E-3</v>
      </c>
      <c r="AB109" s="15">
        <f t="shared" si="42"/>
        <v>-8.2977779933643414E-5</v>
      </c>
      <c r="AC109" s="15">
        <f t="shared" si="43"/>
        <v>1.7980327577549193E-5</v>
      </c>
      <c r="AD109" s="15">
        <f t="shared" si="62"/>
        <v>2.7848593293876758E-7</v>
      </c>
      <c r="AE109" s="15">
        <f t="shared" si="64"/>
        <v>2.4751431428500503E-4</v>
      </c>
      <c r="AF109" s="15">
        <f t="shared" si="65"/>
        <v>5.1988949573283927E-6</v>
      </c>
      <c r="AG109" s="15">
        <f t="shared" si="66"/>
        <v>-1.1463744996748071E-6</v>
      </c>
      <c r="AH109" s="15">
        <f t="shared" si="63"/>
        <v>1.2555315009466321E-8</v>
      </c>
      <c r="AI109" s="15"/>
      <c r="AM109" s="16">
        <f t="shared" si="34"/>
        <v>5.9293797526042287</v>
      </c>
      <c r="AN109" s="16">
        <f t="shared" si="35"/>
        <v>1.156276790017104</v>
      </c>
      <c r="AO109" s="16">
        <f t="shared" si="61"/>
        <v>271.18462167361059</v>
      </c>
      <c r="AP109" s="6">
        <f t="shared" si="37"/>
        <v>1067.3569490024597</v>
      </c>
      <c r="AQ109" s="15">
        <f>-X109*V109*W109^(-Parameters!B$53)*Parameters!B$47*Parameters!B$46*M109</f>
        <v>-6.4810993090164795E-6</v>
      </c>
      <c r="AR109" s="5">
        <f>1000*EXP(-(Parameters!$B$55)*'6states'!A109)*AP109*Parameters!B$47*Parameters!B$46*M109</f>
        <v>0.64825492512389449</v>
      </c>
      <c r="AS109" s="5">
        <f>SUM(AR109:AR$204)*EXP(Parameters!$B$55*A109)</f>
        <v>1685.045244061283</v>
      </c>
      <c r="AT109" s="25">
        <f t="shared" si="47"/>
        <v>0.23731803375099333</v>
      </c>
      <c r="AU109">
        <f>(1/$S109-1/Parameters!$B$13) * LN(Parameters!$B$18) / LN(O109)</f>
        <v>0.20814321905861249</v>
      </c>
      <c r="AV109">
        <f>(Parameters!$B$18*'6states'!S109^+Parameters!$B$19*Parameters!$B$25^'6states'!S109)^((1-'6states'!S109)/'6states'!S109)*Parameters!$B$18*Parameters!$B$26^('6states'!S109-1)</f>
        <v>0.30611075712960978</v>
      </c>
      <c r="AW109">
        <f t="shared" si="48"/>
        <v>0.18994243676559114</v>
      </c>
      <c r="AX109">
        <f t="shared" si="49"/>
        <v>0.13434937351683263</v>
      </c>
      <c r="AY109">
        <f t="shared" si="50"/>
        <v>0.19118074787825323</v>
      </c>
      <c r="AZ109">
        <f>(1/$S109-1/Parameters!$B$13) * LN(Parameters!$B$18) / A109</f>
        <v>8.9592882715967964E-3</v>
      </c>
    </row>
    <row r="110" spans="1:52" x14ac:dyDescent="0.35">
      <c r="A110">
        <f>A109+Parameters!$B$71</f>
        <v>106</v>
      </c>
      <c r="B110" s="7">
        <f t="shared" si="58"/>
        <v>-6.2430097378657991E-5</v>
      </c>
      <c r="C110" s="7">
        <f t="shared" si="59"/>
        <v>9.1784779502260286E-2</v>
      </c>
      <c r="D110" s="7">
        <f t="shared" si="60"/>
        <v>0.22464581124553437</v>
      </c>
      <c r="E110" s="5">
        <f>MAX((1-Parameters!$B$4)^Parameters!B$71*E109 + B109*Parameters!B$71 - IF(B109&gt;0,Parameters!$B$5,0)*B109^2/E109*Parameters!B$71, 0.0001)</f>
        <v>1.284016971551625E-3</v>
      </c>
      <c r="F110" s="5">
        <f>(1-Parameters!$B$4)^Parameters!B$71*F109+C109*Parameters!B$71-Parameters!$B$5*C109^2/F109*Parameters!B$71</f>
        <v>1.3589748289791717</v>
      </c>
      <c r="G110" s="5">
        <f>(1-Parameters!$B$4)^Parameters!B$71*G109+D109*Parameters!B$71-Parameters!$B$5*D109^2/G109*Parameters!B$71</f>
        <v>3.3065513141078346</v>
      </c>
      <c r="H110" s="7">
        <f>MAX(H109 * (1-Parameters!$B$4) ^ Parameters!B$71 + (LN(1+EXP(Parameters!$B$21*(-B109+0.004)))/Parameters!$B$21 -0.004) * Parameters!B$71,0)</f>
        <v>7.4557835170198242E-3</v>
      </c>
      <c r="I110" s="16">
        <f>I109*(1+Parameters!$B$52)^Parameters!B$71</f>
        <v>11.091724601228885</v>
      </c>
      <c r="J110" s="16">
        <f>J109*(1+Parameters!$B$54)^Parameters!B$71</f>
        <v>73.85687956862769</v>
      </c>
      <c r="K110" s="16">
        <f>I110*J110*EXP(-Parameters!$B$43*'6states'!A110)*(Parameters!$B$38/Parameters!$B$39*('6states'!E110+'6states'!H110)/Parameters!$E$25*(EXP(-Parameters!$B$39*Parameters!$E$25*'6states'!H110/('6states'!E110+'6states'!H110))-EXP(-Parameters!$B$39*Parameters!$E$25))  +  Parameters!$B$40*'6states'!E110)</f>
        <v>0.279511008585618</v>
      </c>
      <c r="L110" s="6">
        <f>L109+K110*Parameters!B$71</f>
        <v>3346.3100312049178</v>
      </c>
      <c r="M110" s="5">
        <f>L110*Parameters!$B$46</f>
        <v>2.0077860187229506</v>
      </c>
      <c r="N110" s="7">
        <f>EXP(-Parameters!$B$47/2*M110^2)</f>
        <v>0.96029609747699451</v>
      </c>
      <c r="O110" s="6">
        <f>MAX((Parameters!$B$63 + Parameters!$B$31*'6states'!A110 - '6states'!L110 + Parameters!$B$48/Parameters!$B$46)/Parameters!B$63,1)</f>
        <v>92.857799375901664</v>
      </c>
      <c r="P110" s="5">
        <f>Parameters!B$62*EXP(-Parameters!B$61*A110)</f>
        <v>2.857716860306838E-2</v>
      </c>
      <c r="Q110" s="5">
        <f>(1-Parameters!B$62)*O110^-Parameters!B$64</f>
        <v>0.31782508046849028</v>
      </c>
      <c r="R110" s="5">
        <f>Parameters!B$62*EXP(-Parameters!B$61*A110)+(1-Parameters!B$62)*O110^-Parameters!B$64</f>
        <v>0.34640224907155864</v>
      </c>
      <c r="S110" s="5">
        <f>1-R110/Parameters!$B$12</f>
        <v>0.82679887546422071</v>
      </c>
      <c r="T110" s="5">
        <f t="shared" si="38"/>
        <v>5.7736345689454422</v>
      </c>
      <c r="U110" s="5">
        <f>(Parameters!$B$19*(E110+Parameters!$B$20)^S110+Parameters!$B$18*F110^S110)^(1/S110)</f>
        <v>0.33876156963749809</v>
      </c>
      <c r="V110" s="5">
        <f>(Parameters!$B$10*G110^Parameters!$B$9+Parameters!$B$11*U110^Parameters!$B$9)^(Parameters!$B$7/Parameters!$B$9)*N110</f>
        <v>1.3329877613938188</v>
      </c>
      <c r="W110" s="5">
        <f>V110 - C110 - D110 - LN(1+EXP(Parameters!$B$21*B110))/Parameters!$B$21 - IF(B110&gt;0, 0,Parameters!$B$6*B110^2/E110)</f>
        <v>1.0148401458260166</v>
      </c>
      <c r="X110" s="5">
        <f>EXP(-Parameters!$B$56*A110)</f>
        <v>0.20177541641796462</v>
      </c>
      <c r="Y110" s="5">
        <f>IF(W110&gt;0,W110^(1-Parameters!$B$53)/(1-Parameters!$B$53)*X110*Parameters!$B$71,-10+W110*1000)</f>
        <v>-0.57353646372060252</v>
      </c>
      <c r="AA110" s="15">
        <f t="shared" si="41"/>
        <v>-8.063763260102233E-4</v>
      </c>
      <c r="AB110" s="15">
        <f t="shared" si="42"/>
        <v>-7.8100030237365781E-5</v>
      </c>
      <c r="AC110" s="15">
        <f t="shared" si="43"/>
        <v>1.6900423021798394E-5</v>
      </c>
      <c r="AD110" s="15">
        <f t="shared" si="62"/>
        <v>1.3249139179818443E-7</v>
      </c>
      <c r="AE110" s="15">
        <f t="shared" si="64"/>
        <v>3.5650156283648093E-4</v>
      </c>
      <c r="AF110" s="15">
        <f t="shared" si="65"/>
        <v>4.8777496962776334E-6</v>
      </c>
      <c r="AG110" s="15">
        <f t="shared" si="66"/>
        <v>-1.0799045557507991E-6</v>
      </c>
      <c r="AH110" s="15">
        <f t="shared" si="63"/>
        <v>2.5649352545733713E-8</v>
      </c>
      <c r="AI110" s="15"/>
      <c r="AM110" s="16">
        <f t="shared" si="34"/>
        <v>6.1077791103207746</v>
      </c>
      <c r="AN110" s="16">
        <f t="shared" si="35"/>
        <v>1.051866918914393</v>
      </c>
      <c r="AO110" s="16">
        <f t="shared" si="61"/>
        <v>277.51353478653925</v>
      </c>
      <c r="AP110" s="6">
        <f t="shared" si="37"/>
        <v>1091.9837981841945</v>
      </c>
      <c r="AQ110" s="15">
        <f>-X110*V110*W110^(-Parameters!B$53)*Parameters!B$47*Parameters!B$46*M110</f>
        <v>-6.3844330198893548E-6</v>
      </c>
      <c r="AR110" s="5">
        <f>1000*EXP(-(Parameters!$B$55)*'6states'!A110)*AP110*Parameters!B$47*Parameters!B$46*M110</f>
        <v>0.6403904973757949</v>
      </c>
      <c r="AS110" s="5">
        <f>SUM(AR110:AR$204)*EXP(Parameters!$B$55*A110)</f>
        <v>1718.4746788639295</v>
      </c>
      <c r="AT110" s="25">
        <f t="shared" si="47"/>
        <v>0.23733763340753433</v>
      </c>
      <c r="AU110">
        <f>(1/$S110-1/Parameters!$B$13) * LN(Parameters!$B$18) / LN(O110)</f>
        <v>0.20783727030394852</v>
      </c>
      <c r="AV110">
        <f>(Parameters!$B$18*'6states'!S110^+Parameters!$B$19*Parameters!$B$25^'6states'!S110)^((1-'6states'!S110)/'6states'!S110)*Parameters!$B$18*Parameters!$B$26^('6states'!S110-1)</f>
        <v>0.30619311143021644</v>
      </c>
      <c r="AW110">
        <f t="shared" si="48"/>
        <v>0.18952124860088132</v>
      </c>
      <c r="AX110">
        <f t="shared" si="49"/>
        <v>0.13416577767148274</v>
      </c>
      <c r="AY110">
        <f t="shared" si="50"/>
        <v>0.19122691691662264</v>
      </c>
      <c r="AZ110">
        <f>(1/$S110-1/Parameters!$B$13) * LN(Parameters!$B$18) / A110</f>
        <v>8.8841987881791932E-3</v>
      </c>
    </row>
    <row r="111" spans="1:52" x14ac:dyDescent="0.35">
      <c r="A111">
        <f>A110+Parameters!$B$71</f>
        <v>107</v>
      </c>
      <c r="B111" s="7">
        <f t="shared" si="58"/>
        <v>-5.5821961149265544E-5</v>
      </c>
      <c r="C111" s="7">
        <f t="shared" si="59"/>
        <v>9.1692025534479776E-2</v>
      </c>
      <c r="D111" s="7">
        <f t="shared" si="60"/>
        <v>0.22479356162327069</v>
      </c>
      <c r="E111" s="5">
        <f>MAX((1-Parameters!$B$4)^Parameters!B$71*E110 + B110*Parameters!B$71 - IF(B110&gt;0,Parameters!$B$5,0)*B110^2/E110*Parameters!B$71, 0.0001)</f>
        <v>1.1408222066623698E-3</v>
      </c>
      <c r="F111" s="5">
        <f>(1-Parameters!$B$4)^Parameters!B$71*F110+C110*Parameters!B$71-Parameters!$B$5*C110^2/F110*Parameters!B$71</f>
        <v>1.3590809734263429</v>
      </c>
      <c r="G111" s="5">
        <f>(1-Parameters!$B$4)^Parameters!B$71*G110+D110*Parameters!B$71-Parameters!$B$5*D110^2/G110*Parameters!B$71</f>
        <v>3.3079526985847401</v>
      </c>
      <c r="H111" s="7">
        <f>MAX(H110 * (1-Parameters!$B$4) ^ Parameters!B$71 + (LN(1+EXP(Parameters!$B$21*(-B110+0.004)))/Parameters!$B$21 -0.004) * Parameters!B$71,0)</f>
        <v>7.4986179199084211E-3</v>
      </c>
      <c r="I111" s="16">
        <f>I110*(1+Parameters!$B$52)^Parameters!B$71</f>
        <v>11.123890602572446</v>
      </c>
      <c r="J111" s="16">
        <f>J110*(1+Parameters!$B$54)^Parameters!B$71</f>
        <v>75.334017160000244</v>
      </c>
      <c r="K111" s="16">
        <f>I111*J111*EXP(-Parameters!$B$43*'6states'!A111)*(Parameters!$B$38/Parameters!$B$39*('6states'!E111+'6states'!H111)/Parameters!$E$25*(EXP(-Parameters!$B$39*Parameters!$E$25*'6states'!H111/('6states'!E111+'6states'!H111))-EXP(-Parameters!$B$39*Parameters!$E$25))  +  Parameters!$B$40*'6states'!E111)</f>
        <v>0.25151331296546919</v>
      </c>
      <c r="L111" s="6">
        <f>L110+K111*Parameters!B$71</f>
        <v>3346.5615445178832</v>
      </c>
      <c r="M111" s="5">
        <f>L111*Parameters!$B$46</f>
        <v>2.0079369267107299</v>
      </c>
      <c r="N111" s="7">
        <f>EXP(-Parameters!$B$47/2*M111^2)</f>
        <v>0.96029024895841975</v>
      </c>
      <c r="O111" s="6">
        <f>MAX((Parameters!$B$63 + Parameters!$B$31*'6states'!A111 - '6states'!L111 + Parameters!$B$48/Parameters!$B$46)/Parameters!B$63,1)</f>
        <v>93.916769109642331</v>
      </c>
      <c r="P111" s="5">
        <f>Parameters!B$62*EXP(-Parameters!B$61*A111)</f>
        <v>2.7815908310732943E-2</v>
      </c>
      <c r="Q111" s="5">
        <f>(1-Parameters!B$62)*O111^-Parameters!B$64</f>
        <v>0.31746488154832847</v>
      </c>
      <c r="R111" s="5">
        <f>Parameters!B$62*EXP(-Parameters!B$61*A111)+(1-Parameters!B$62)*O111^-Parameters!B$64</f>
        <v>0.34528078985906141</v>
      </c>
      <c r="S111" s="5">
        <f>1-R111/Parameters!$B$12</f>
        <v>0.82735960507046924</v>
      </c>
      <c r="T111" s="5">
        <f t="shared" si="38"/>
        <v>5.7923871201070014</v>
      </c>
      <c r="U111" s="5">
        <f>(Parameters!$B$19*(E111+Parameters!$B$20)^S111+Parameters!$B$18*F111^S111)^(1/S111)</f>
        <v>0.33888051214883486</v>
      </c>
      <c r="V111" s="5">
        <f>(Parameters!$B$10*G111^Parameters!$B$9+Parameters!$B$11*U111^Parameters!$B$9)^(Parameters!$B$7/Parameters!$B$9)*N111</f>
        <v>1.3331392999212459</v>
      </c>
      <c r="W111" s="5">
        <f>V111 - C111 - D111 - LN(1+EXP(Parameters!$B$21*B111))/Parameters!$B$21 - IF(B111&gt;0, 0,Parameters!$B$6*B111^2/E111)</f>
        <v>1.0149349427740786</v>
      </c>
      <c r="X111" s="5">
        <f>EXP(-Parameters!$B$56*A111)</f>
        <v>0.19875149568835732</v>
      </c>
      <c r="Y111" s="5">
        <f>IF(W111&gt;0,W111^(1-Parameters!$B$53)/(1-Parameters!$B$53)*X111*Parameters!$B$71,-10+W111*1000)</f>
        <v>-0.56492265239166173</v>
      </c>
      <c r="AA111" s="15">
        <f t="shared" si="41"/>
        <v>-3.1041313461394743E-4</v>
      </c>
      <c r="AB111" s="15">
        <f t="shared" si="42"/>
        <v>-7.3522428744809964E-5</v>
      </c>
      <c r="AC111" s="15">
        <f t="shared" si="43"/>
        <v>1.5883195978616538E-5</v>
      </c>
      <c r="AD111" s="15">
        <f t="shared" si="62"/>
        <v>2.0275462426155494E-8</v>
      </c>
      <c r="AE111" s="15">
        <f t="shared" si="64"/>
        <v>4.9596319139627587E-4</v>
      </c>
      <c r="AF111" s="15">
        <f t="shared" si="65"/>
        <v>4.5776014925558162E-6</v>
      </c>
      <c r="AG111" s="15">
        <f t="shared" si="66"/>
        <v>-1.0172270431818564E-6</v>
      </c>
      <c r="AH111" s="15">
        <f t="shared" si="63"/>
        <v>4.8893161377288514E-8</v>
      </c>
      <c r="AI111" s="15"/>
      <c r="AM111" s="16">
        <f t="shared" si="34"/>
        <v>6.2838970482546763</v>
      </c>
      <c r="AN111" s="16">
        <f t="shared" si="35"/>
        <v>0.95601741195484236</v>
      </c>
      <c r="AO111" s="16">
        <f t="shared" si="61"/>
        <v>283.98436521874464</v>
      </c>
      <c r="AP111" s="6">
        <f t="shared" si="37"/>
        <v>1117.1805526250541</v>
      </c>
      <c r="AQ111" s="15">
        <f>-X111*V111*W111^(-Parameters!B$53)*Parameters!B$47*Parameters!B$46*M111</f>
        <v>-6.2891468379025467E-6</v>
      </c>
      <c r="AR111" s="5">
        <f>1000*EXP(-(Parameters!$B$55)*'6states'!A111)*AP111*Parameters!B$47*Parameters!B$46*M111</f>
        <v>0.63261714207075537</v>
      </c>
      <c r="AS111" s="5">
        <f>SUM(AR111:AR$204)*EXP(Parameters!$B$55*A111)</f>
        <v>1752.4784724303465</v>
      </c>
      <c r="AT111" s="25">
        <f t="shared" si="47"/>
        <v>0.23735686526928884</v>
      </c>
      <c r="AU111">
        <f>(1/$S111-1/Parameters!$B$13) * LN(Parameters!$B$18) / LN(O111)</f>
        <v>0.20753339957398528</v>
      </c>
      <c r="AV111">
        <f>(Parameters!$B$18*'6states'!S111^+Parameters!$B$19*Parameters!$B$25^'6states'!S111)^((1-'6states'!S111)/'6states'!S111)*Parameters!$B$18*Parameters!$B$26^('6states'!S111-1)</f>
        <v>0.30627296137797616</v>
      </c>
      <c r="AW111">
        <f t="shared" si="48"/>
        <v>0.18910553093604848</v>
      </c>
      <c r="AX111">
        <f t="shared" si="49"/>
        <v>0.13398339027856132</v>
      </c>
      <c r="AY111">
        <f t="shared" si="50"/>
        <v>0.19127167946133483</v>
      </c>
      <c r="AZ111">
        <f>(1/$S111-1/Parameters!$B$13) * LN(Parameters!$B$18) / A111</f>
        <v>8.8102950719080309E-3</v>
      </c>
    </row>
    <row r="112" spans="1:52" x14ac:dyDescent="0.35">
      <c r="A112">
        <f>A111+Parameters!$B$71</f>
        <v>108</v>
      </c>
      <c r="B112" s="7">
        <f t="shared" si="58"/>
        <v>-4.9213824919873097E-5</v>
      </c>
      <c r="C112" s="7">
        <f t="shared" si="59"/>
        <v>9.1599271566699267E-2</v>
      </c>
      <c r="D112" s="7">
        <f t="shared" si="60"/>
        <v>0.224941312001007</v>
      </c>
      <c r="E112" s="5">
        <f>MAX((1-Parameters!$B$4)^Parameters!B$71*E111 + B111*Parameters!B$71 - IF(B111&gt;0,Parameters!$B$5,0)*B111^2/E111*Parameters!B$71, 0.0001)</f>
        <v>1.0132425287140412E-3</v>
      </c>
      <c r="F112" s="5">
        <f>(1-Parameters!$B$4)^Parameters!B$71*F111+C111*Parameters!B$71-Parameters!$B$5*C111^2/F111*Parameters!B$71</f>
        <v>1.3591006934174377</v>
      </c>
      <c r="G112" s="5">
        <f>(1-Parameters!$B$4)^Parameters!B$71*G111+D111*Parameters!B$71-Parameters!$B$5*D111^2/G111*Parameters!B$71</f>
        <v>3.3094000778123478</v>
      </c>
      <c r="H112" s="7">
        <f>MAX(H111 * (1-Parameters!$B$4) ^ Parameters!B$71 + (LN(1+EXP(Parameters!$B$21*(-B111+0.004)))/Parameters!$B$21 -0.004) * Parameters!B$71,0)</f>
        <v>7.5332382763796781E-3</v>
      </c>
      <c r="I112" s="16">
        <f>I111*(1+Parameters!$B$52)^Parameters!B$71</f>
        <v>11.156149885319905</v>
      </c>
      <c r="J112" s="16">
        <f>J111*(1+Parameters!$B$54)^Parameters!B$71</f>
        <v>76.840697503200246</v>
      </c>
      <c r="K112" s="16">
        <f>I112*J112*EXP(-Parameters!$B$43*'6states'!A112)*(Parameters!$B$38/Parameters!$B$39*('6states'!E112+'6states'!H112)/Parameters!$E$25*(EXP(-Parameters!$B$39*Parameters!$E$25*'6states'!H112/('6states'!E112+'6states'!H112))-EXP(-Parameters!$B$39*Parameters!$E$25))  +  Parameters!$B$40*'6states'!E112)</f>
        <v>0.22624098338862675</v>
      </c>
      <c r="L112" s="6">
        <f>L111+K112*Parameters!B$71</f>
        <v>3346.7877855012721</v>
      </c>
      <c r="M112" s="5">
        <f>L112*Parameters!$B$46</f>
        <v>2.0080726713007633</v>
      </c>
      <c r="N112" s="7">
        <f>EXP(-Parameters!$B$47/2*M112^2)</f>
        <v>0.96028498776021431</v>
      </c>
      <c r="O112" s="6">
        <f>MAX((Parameters!$B$63 + Parameters!$B$31*'6states'!A112 - '6states'!L112 + Parameters!$B$48/Parameters!$B$46)/Parameters!B$63,1)</f>
        <v>94.976244289974559</v>
      </c>
      <c r="P112" s="5">
        <f>Parameters!B$62*EXP(-Parameters!B$61*A112)</f>
        <v>2.7074927047462134E-2</v>
      </c>
      <c r="Q112" s="5">
        <f>(1-Parameters!B$62)*O112^-Parameters!B$64</f>
        <v>0.31710895403326783</v>
      </c>
      <c r="R112" s="5">
        <f>Parameters!B$62*EXP(-Parameters!B$61*A112)+(1-Parameters!B$62)*O112^-Parameters!B$64</f>
        <v>0.34418388108072995</v>
      </c>
      <c r="S112" s="5">
        <f>1-R112/Parameters!$B$12</f>
        <v>0.82790805945963508</v>
      </c>
      <c r="T112" s="5">
        <f t="shared" si="38"/>
        <v>5.8108473694934339</v>
      </c>
      <c r="U112" s="5">
        <f>(Parameters!$B$19*(E112+Parameters!$B$20)^S112+Parameters!$B$18*F112^S112)^(1/S112)</f>
        <v>0.33899265784066396</v>
      </c>
      <c r="V112" s="5">
        <f>(Parameters!$B$10*G112^Parameters!$B$9+Parameters!$B$11*U112^Parameters!$B$9)^(Parameters!$B$7/Parameters!$B$9)*N112</f>
        <v>1.3332925841977747</v>
      </c>
      <c r="W112" s="5">
        <f>V112 - C112 - D112 - LN(1+EXP(Parameters!$B$21*B112))/Parameters!$B$21 - IF(B112&gt;0, 0,Parameters!$B$6*B112^2/E112)</f>
        <v>1.0150316667613892</v>
      </c>
      <c r="X112" s="5">
        <f>EXP(-Parameters!$B$56*A112)</f>
        <v>0.19577289314835553</v>
      </c>
      <c r="Y112" s="5">
        <f>IF(W112&gt;0,W112^(1-Parameters!$B$53)/(1-Parameters!$B$53)*X112*Parameters!$B$71,-10+W112*1000)</f>
        <v>-0.55643784185947665</v>
      </c>
      <c r="AA112" s="15">
        <f t="shared" si="41"/>
        <v>3.6071464680262344E-4</v>
      </c>
      <c r="AB112" s="15">
        <f t="shared" si="42"/>
        <v>-6.9225482006191053E-5</v>
      </c>
      <c r="AC112" s="15">
        <f t="shared" si="43"/>
        <v>1.4925063559156904E-5</v>
      </c>
      <c r="AD112" s="15">
        <f t="shared" si="62"/>
        <v>2.6454787390022808E-8</v>
      </c>
      <c r="AE112" s="15">
        <f t="shared" si="64"/>
        <v>6.7112778141657087E-4</v>
      </c>
      <c r="AF112" s="15">
        <f t="shared" si="65"/>
        <v>4.296946738618912E-6</v>
      </c>
      <c r="AG112" s="15">
        <f t="shared" si="66"/>
        <v>-9.5813241945963412E-7</v>
      </c>
      <c r="AH112" s="15">
        <f t="shared" si="63"/>
        <v>8.8182352462275426E-8</v>
      </c>
      <c r="AI112" s="15"/>
      <c r="AM112" s="16">
        <f t="shared" si="34"/>
        <v>6.4578409305158422</v>
      </c>
      <c r="AN112" s="16">
        <f t="shared" si="35"/>
        <v>0.86859844789265239</v>
      </c>
      <c r="AO112" s="16">
        <f t="shared" si="61"/>
        <v>290.60021475915107</v>
      </c>
      <c r="AP112" s="6">
        <f t="shared" si="37"/>
        <v>1142.960186137045</v>
      </c>
      <c r="AQ112" s="15">
        <f>-X112*V112*W112^(-Parameters!B$53)*Parameters!B$47*Parameters!B$46*M112</f>
        <v>-6.1952281899052759E-6</v>
      </c>
      <c r="AR112" s="5">
        <f>1000*EXP(-(Parameters!$B$55)*'6states'!A112)*AP112*Parameters!B$47*Parameters!B$46*M112</f>
        <v>0.62493423098333512</v>
      </c>
      <c r="AS112" s="5">
        <f>SUM(AR112:AR$204)*EXP(Parameters!$B$55*A112)</f>
        <v>1787.0629801868179</v>
      </c>
      <c r="AT112" s="25">
        <f t="shared" si="47"/>
        <v>0.23737578195052758</v>
      </c>
      <c r="AU112">
        <f>(1/$S112-1/Parameters!$B$13) * LN(Parameters!$B$18) / LN(O112)</f>
        <v>0.20723161087566372</v>
      </c>
      <c r="AV112">
        <f>(Parameters!$B$18*'6states'!S112^+Parameters!$B$19*Parameters!$B$25^'6states'!S112)^((1-'6states'!S112)/'6states'!S112)*Parameters!$B$18*Parameters!$B$26^('6states'!S112-1)</f>
        <v>0.30635039914262058</v>
      </c>
      <c r="AW112">
        <f t="shared" si="48"/>
        <v>0.18869518780508959</v>
      </c>
      <c r="AX112">
        <f t="shared" si="49"/>
        <v>0.13380221452387364</v>
      </c>
      <c r="AY112">
        <f t="shared" si="50"/>
        <v>0.19131508741024283</v>
      </c>
      <c r="AZ112">
        <f>(1/$S112-1/Parameters!$B$13) * LN(Parameters!$B$18) / A112</f>
        <v>8.7375501586775279E-3</v>
      </c>
    </row>
    <row r="113" spans="1:52" x14ac:dyDescent="0.35">
      <c r="A113">
        <f>A112+Parameters!$B$71</f>
        <v>109</v>
      </c>
      <c r="B113" s="7">
        <f t="shared" si="58"/>
        <v>-4.260568869048065E-5</v>
      </c>
      <c r="C113" s="7">
        <f t="shared" si="59"/>
        <v>9.1506517598918757E-2</v>
      </c>
      <c r="D113" s="7">
        <f t="shared" si="60"/>
        <v>0.22508906237874332</v>
      </c>
      <c r="E113" s="5">
        <f>MAX((1-Parameters!$B$4)^Parameters!B$71*E112 + B112*Parameters!B$71 - IF(B112&gt;0,Parameters!$B$5,0)*B112^2/E112*Parameters!B$71, 0.0001)</f>
        <v>9.0029574873805502E-4</v>
      </c>
      <c r="F113" s="5">
        <f>(1-Parameters!$B$4)^Parameters!B$71*F112+C112*Parameters!B$71-Parameters!$B$5*C112^2/F112*Parameters!B$71</f>
        <v>1.3590390178145579</v>
      </c>
      <c r="G113" s="5">
        <f>(1-Parameters!$B$4)^Parameters!B$71*G112+D112*Parameters!B$71-Parameters!$B$5*D112^2/G112*Parameters!B$71</f>
        <v>3.3108907695509053</v>
      </c>
      <c r="H113" s="7">
        <f>MAX(H112 * (1-Parameters!$B$4) ^ Parameters!B$71 + (LN(1+EXP(Parameters!$B$21*(-B112+0.004)))/Parameters!$B$21 -0.004) * Parameters!B$71,0)</f>
        <v>7.5601636551091292E-3</v>
      </c>
      <c r="I113" s="16">
        <f>I112*(1+Parameters!$B$52)^Parameters!B$71</f>
        <v>11.188502719987332</v>
      </c>
      <c r="J113" s="16">
        <f>J112*(1+Parameters!$B$54)^Parameters!B$71</f>
        <v>78.377511453264248</v>
      </c>
      <c r="K113" s="16">
        <f>I113*J113*EXP(-Parameters!$B$43*'6states'!A113)*(Parameters!$B$38/Parameters!$B$39*('6states'!E113+'6states'!H113)/Parameters!$E$25*(EXP(-Parameters!$B$39*Parameters!$E$25*'6states'!H113/('6states'!E113+'6states'!H113))-EXP(-Parameters!$B$39*Parameters!$E$25))  +  Parameters!$B$40*'6states'!E113)</f>
        <v>0.20359069615056449</v>
      </c>
      <c r="L113" s="6">
        <f>L112+K113*Parameters!B$71</f>
        <v>3346.9913761974226</v>
      </c>
      <c r="M113" s="5">
        <f>L113*Parameters!$B$46</f>
        <v>2.0081948257184532</v>
      </c>
      <c r="N113" s="7">
        <f>EXP(-Parameters!$B$47/2*M113^2)</f>
        <v>0.96028025301145425</v>
      </c>
      <c r="O113" s="6">
        <f>MAX((Parameters!$B$63 + Parameters!$B$31*'6states'!A113 - '6states'!L113 + Parameters!$B$48/Parameters!$B$46)/Parameters!B$63,1)</f>
        <v>96.036172476051547</v>
      </c>
      <c r="P113" s="5">
        <f>Parameters!B$62*EXP(-Parameters!B$61*A113)</f>
        <v>2.6353684605098585E-2</v>
      </c>
      <c r="Q113" s="5">
        <f>(1-Parameters!B$62)*O113^-Parameters!B$64</f>
        <v>0.3167572180255917</v>
      </c>
      <c r="R113" s="5">
        <f>Parameters!B$62*EXP(-Parameters!B$61*A113)+(1-Parameters!B$62)*O113^-Parameters!B$64</f>
        <v>0.34311090263069027</v>
      </c>
      <c r="S113" s="5">
        <f>1-R113/Parameters!$B$12</f>
        <v>0.82844454868465489</v>
      </c>
      <c r="T113" s="5">
        <f t="shared" si="38"/>
        <v>5.8290190858572446</v>
      </c>
      <c r="U113" s="5">
        <f>(Parameters!$B$19*(E113+Parameters!$B$20)^S113+Parameters!$B$18*F113^S113)^(1/S113)</f>
        <v>0.33909807037859918</v>
      </c>
      <c r="V113" s="5">
        <f>(Parameters!$B$10*G113^Parameters!$B$9+Parameters!$B$11*U113^Parameters!$B$9)^(Parameters!$B$7/Parameters!$B$9)*N113</f>
        <v>1.3334473349562557</v>
      </c>
      <c r="W113" s="5">
        <f>V113 - C113 - D113 - LN(1+EXP(Parameters!$B$21*B113))/Parameters!$B$21 - IF(B113&gt;0, 0,Parameters!$B$6*B113^2/E113)</f>
        <v>1.0151300177304146</v>
      </c>
      <c r="X113" s="5">
        <f>EXP(-Parameters!$B$56*A113)</f>
        <v>0.19283892963388949</v>
      </c>
      <c r="Y113" s="5">
        <f>IF(W113&gt;0,W113^(1-Parameters!$B$53)/(1-Parameters!$B$53)*X113*Parameters!$B$71,-10+W113*1000)</f>
        <v>-0.54808016255204872</v>
      </c>
      <c r="AA113" s="15">
        <f t="shared" si="41"/>
        <v>1.2465240563633018E-3</v>
      </c>
      <c r="AB113" s="15">
        <f t="shared" si="42"/>
        <v>-6.5191078203269415E-5</v>
      </c>
      <c r="AC113" s="15">
        <f t="shared" si="43"/>
        <v>1.4022641628572141E-5</v>
      </c>
      <c r="AD113" s="15">
        <f t="shared" si="62"/>
        <v>3.0049487479433396E-7</v>
      </c>
      <c r="AE113" s="15">
        <f t="shared" si="64"/>
        <v>8.8580940956067833E-4</v>
      </c>
      <c r="AF113" s="15">
        <f t="shared" si="65"/>
        <v>4.0344038029216378E-6</v>
      </c>
      <c r="AG113" s="15">
        <f t="shared" si="66"/>
        <v>-9.024219305847625E-7</v>
      </c>
      <c r="AH113" s="15">
        <f t="shared" si="63"/>
        <v>1.5131596440911319E-7</v>
      </c>
      <c r="AI113" s="15"/>
      <c r="AM113" s="16">
        <f t="shared" si="34"/>
        <v>6.6297116341938764</v>
      </c>
      <c r="AN113" s="16">
        <f t="shared" si="35"/>
        <v>0.78949365012625694</v>
      </c>
      <c r="AO113" s="16">
        <f t="shared" si="61"/>
        <v>297.36425359025407</v>
      </c>
      <c r="AP113" s="6">
        <f t="shared" si="37"/>
        <v>1169.335971208774</v>
      </c>
      <c r="AQ113" s="15">
        <f>-X113*V113*W113^(-Parameters!B$53)*Parameters!B$47*Parameters!B$46*M113</f>
        <v>-6.1026642457078254E-6</v>
      </c>
      <c r="AR113" s="5">
        <f>1000*EXP(-(Parameters!$B$55)*'6states'!A113)*AP113*Parameters!B$47*Parameters!B$46*M113</f>
        <v>0.61734111631689903</v>
      </c>
      <c r="AS113" s="5">
        <f>SUM(AR113:AR$204)*EXP(Parameters!$B$55*A113)</f>
        <v>1822.2344484741704</v>
      </c>
      <c r="AT113" s="25">
        <f t="shared" si="47"/>
        <v>0.23739443320373524</v>
      </c>
      <c r="AU113">
        <f>(1/$S113-1/Parameters!$B$13) * LN(Parameters!$B$18) / LN(O113)</f>
        <v>0.20693190665325831</v>
      </c>
      <c r="AV113">
        <f>(Parameters!$B$18*'6states'!S113^+Parameters!$B$19*Parameters!$B$25^'6states'!S113)^((1-'6states'!S113)/'6states'!S113)*Parameters!$B$18*Parameters!$B$26^('6states'!S113-1)</f>
        <v>0.30642551306700727</v>
      </c>
      <c r="AW113">
        <f t="shared" si="48"/>
        <v>0.18829012468203946</v>
      </c>
      <c r="AX113">
        <f t="shared" si="49"/>
        <v>0.13362225265173866</v>
      </c>
      <c r="AY113">
        <f t="shared" si="50"/>
        <v>0.19135719049812872</v>
      </c>
      <c r="AZ113">
        <f>(1/$S113-1/Parameters!$B$13) * LN(Parameters!$B$18) / A113</f>
        <v>8.665937894018089E-3</v>
      </c>
    </row>
    <row r="114" spans="1:52" x14ac:dyDescent="0.35">
      <c r="A114">
        <f>A113+Parameters!$B$71</f>
        <v>110</v>
      </c>
      <c r="B114" s="7">
        <f t="shared" si="58"/>
        <v>-3.5997552461088203E-5</v>
      </c>
      <c r="C114" s="7">
        <f t="shared" si="59"/>
        <v>9.1413763631138248E-2</v>
      </c>
      <c r="D114" s="7">
        <f t="shared" si="60"/>
        <v>0.22523681275647964</v>
      </c>
      <c r="E114" s="5">
        <f>MAX((1-Parameters!$B$4)^Parameters!B$71*E113 + B113*Parameters!B$71 - IF(B113&gt;0,Parameters!$B$5,0)*B113^2/E113*Parameters!B$71, 0.0001)</f>
        <v>8.0106145745195072E-4</v>
      </c>
      <c r="F114" s="5">
        <f>(1-Parameters!$B$4)^Parameters!B$71*F113+C113*Parameters!B$71-Parameters!$B$5*C113^2/F113*Parameters!B$71</f>
        <v>1.3589006843844458</v>
      </c>
      <c r="G114" s="5">
        <f>(1-Parameters!$B$4)^Parameters!B$71*G113+D113*Parameters!B$71-Parameters!$B$5*D113^2/G113*Parameters!B$71</f>
        <v>3.3124222481584131</v>
      </c>
      <c r="H114" s="7">
        <f>MAX(H113 * (1-Parameters!$B$4) ^ Parameters!B$71 + (LN(1+EXP(Parameters!$B$21*(-B113+0.004)))/Parameters!$B$21 -0.004) * Parameters!B$71,0)</f>
        <v>7.579880479615035E-3</v>
      </c>
      <c r="I114" s="16">
        <f>I113*(1+Parameters!$B$52)^Parameters!B$71</f>
        <v>11.220949377875295</v>
      </c>
      <c r="J114" s="16">
        <f>J113*(1+Parameters!$B$54)^Parameters!B$71</f>
        <v>79.945061682329538</v>
      </c>
      <c r="K114" s="16">
        <f>I114*J114*EXP(-Parameters!$B$43*'6states'!A114)*(Parameters!$B$38/Parameters!$B$39*('6states'!E114+'6states'!H114)/Parameters!$E$25*(EXP(-Parameters!$B$39*Parameters!$E$25*'6states'!H114/('6states'!E114+'6states'!H114))-EXP(-Parameters!$B$39*Parameters!$E$25))  +  Parameters!$B$40*'6states'!E114)</f>
        <v>0.18346508342270385</v>
      </c>
      <c r="L114" s="6">
        <f>L113+K114*Parameters!B$71</f>
        <v>3347.1748412808452</v>
      </c>
      <c r="M114" s="5">
        <f>L114*Parameters!$B$46</f>
        <v>2.0083049047685071</v>
      </c>
      <c r="N114" s="7">
        <f>EXP(-Parameters!$B$47/2*M114^2)</f>
        <v>0.96027598608153153</v>
      </c>
      <c r="O114" s="6">
        <f>MAX((Parameters!$B$63 + Parameters!$B$31*'6states'!A114 - '6states'!L114 + Parameters!$B$48/Parameters!$B$46)/Parameters!B$63,1)</f>
        <v>97.096503174383102</v>
      </c>
      <c r="P114" s="5">
        <f>Parameters!B$62*EXP(-Parameters!B$61*A114)</f>
        <v>2.5651655165959568E-2</v>
      </c>
      <c r="Q114" s="5">
        <f>(1-Parameters!B$62)*O114^-Parameters!B$64</f>
        <v>0.3164095953950527</v>
      </c>
      <c r="R114" s="5">
        <f>Parameters!B$62*EXP(-Parameters!B$61*A114)+(1-Parameters!B$62)*O114^-Parameters!B$64</f>
        <v>0.34206125056101228</v>
      </c>
      <c r="S114" s="5">
        <f>1-R114/Parameters!$B$12</f>
        <v>0.82896937471949383</v>
      </c>
      <c r="T114" s="5">
        <f t="shared" si="38"/>
        <v>5.8469060635187811</v>
      </c>
      <c r="U114" s="5">
        <f>(Parameters!$B$19*(E114+Parameters!$B$20)^S114+Parameters!$B$18*F114^S114)^(1/S114)</f>
        <v>0.33919681534847568</v>
      </c>
      <c r="V114" s="5">
        <f>(Parameters!$B$10*G114^Parameters!$B$9+Parameters!$B$11*U114^Parameters!$B$9)^(Parameters!$B$7/Parameters!$B$9)*N114</f>
        <v>1.3336032882866447</v>
      </c>
      <c r="W114" s="5">
        <f>V114 - C114 - D114 - LN(1+EXP(Parameters!$B$21*B114))/Parameters!$B$21 - IF(B114&gt;0, 0,Parameters!$B$6*B114^2/E114)</f>
        <v>1.0152296897661397</v>
      </c>
      <c r="X114" s="5">
        <f>EXP(-Parameters!$B$56*A114)</f>
        <v>0.18994893615922709</v>
      </c>
      <c r="Y114" s="5">
        <f>IF(W114&gt;0,W114^(1-Parameters!$B$53)/(1-Parameters!$B$53)*X114*Parameters!$B$71,-10+W114*1000)</f>
        <v>-0.53984777123794736</v>
      </c>
      <c r="AA114" s="15">
        <f t="shared" si="41"/>
        <v>2.3867861766675921E-3</v>
      </c>
      <c r="AB114" s="15">
        <f t="shared" si="42"/>
        <v>-6.140237657528691E-5</v>
      </c>
      <c r="AC114" s="15">
        <f t="shared" si="43"/>
        <v>1.3172734479593995E-5</v>
      </c>
      <c r="AD114" s="15">
        <f t="shared" si="62"/>
        <v>1.0828403856938037E-6</v>
      </c>
      <c r="AE114" s="15">
        <f t="shared" si="64"/>
        <v>1.1402621203042904E-3</v>
      </c>
      <c r="AF114" s="15">
        <f t="shared" si="65"/>
        <v>3.7887016279825048E-6</v>
      </c>
      <c r="AG114" s="15">
        <f t="shared" si="66"/>
        <v>-8.4990714897814623E-7</v>
      </c>
      <c r="AH114" s="15">
        <f t="shared" si="63"/>
        <v>2.4697403426622597E-7</v>
      </c>
      <c r="AI114" s="15"/>
      <c r="AM114" s="16">
        <f t="shared" si="34"/>
        <v>6.7996037184303164</v>
      </c>
      <c r="AN114" s="16">
        <f t="shared" si="35"/>
        <v>0.71859978259949142</v>
      </c>
      <c r="AO114" s="16">
        <f t="shared" si="61"/>
        <v>304.27972223651125</v>
      </c>
      <c r="AP114" s="6">
        <f t="shared" si="37"/>
        <v>1196.3214858508309</v>
      </c>
      <c r="AQ114" s="15">
        <f>-X114*V114*W114^(-Parameters!B$53)*Parameters!B$47*Parameters!B$46*M114</f>
        <v>-6.0114420033527288E-6</v>
      </c>
      <c r="AR114" s="5">
        <f>1000*EXP(-(Parameters!$B$55)*'6states'!A114)*AP114*Parameters!B$47*Parameters!B$46*M114</f>
        <v>0.60983713265747252</v>
      </c>
      <c r="AS114" s="5">
        <f>SUM(AR114:AR$204)*EXP(Parameters!$B$55*A114)</f>
        <v>1857.9990025509121</v>
      </c>
      <c r="AT114" s="25">
        <f t="shared" si="47"/>
        <v>0.23741286604199172</v>
      </c>
      <c r="AU114">
        <f>(1/$S114-1/Parameters!$B$13) * LN(Parameters!$B$18) / LN(O114)</f>
        <v>0.20663428792494717</v>
      </c>
      <c r="AV114">
        <f>(Parameters!$B$18*'6states'!S114^+Parameters!$B$19*Parameters!$B$25^'6states'!S114)^((1-'6states'!S114)/'6states'!S114)*Parameters!$B$18*Parameters!$B$26^('6states'!S114-1)</f>
        <v>0.30649838784046901</v>
      </c>
      <c r="AW114">
        <f t="shared" si="48"/>
        <v>0.18789024852674185</v>
      </c>
      <c r="AX114">
        <f t="shared" si="49"/>
        <v>0.13344350604601241</v>
      </c>
      <c r="AY114">
        <f t="shared" si="50"/>
        <v>0.19139803639525432</v>
      </c>
      <c r="AZ114">
        <f>(1/$S114-1/Parameters!$B$13) * LN(Parameters!$B$18) / A114</f>
        <v>8.5954329021520753E-3</v>
      </c>
    </row>
    <row r="115" spans="1:52" x14ac:dyDescent="0.35">
      <c r="A115">
        <f>A114+Parameters!$B$71</f>
        <v>111</v>
      </c>
      <c r="B115" s="7">
        <f t="shared" si="58"/>
        <v>-2.9389416231695757E-5</v>
      </c>
      <c r="C115" s="7">
        <f t="shared" si="59"/>
        <v>9.1321009663357738E-2</v>
      </c>
      <c r="D115" s="7">
        <f t="shared" si="60"/>
        <v>0.22538456313421595</v>
      </c>
      <c r="E115" s="5">
        <f>MAX((1-Parameters!$B$4)^Parameters!B$71*E114 + B114*Parameters!B$71 - IF(B114&gt;0,Parameters!$B$5,0)*B114^2/E114*Parameters!B$71, 0.0001)</f>
        <v>7.146771393171348E-4</v>
      </c>
      <c r="F115" s="5">
        <f>(1-Parameters!$B$4)^Parameters!B$71*F114+C114*Parameters!B$71-Parameters!$B$5*C114^2/F114*Parameters!B$71</f>
        <v>1.358690156471497</v>
      </c>
      <c r="G115" s="5">
        <f>(1-Parameters!$B$4)^Parameters!B$71*G114+D114*Parameters!B$71-Parameters!$B$5*D114^2/G114*Parameters!B$71</f>
        <v>3.3139921354274899</v>
      </c>
      <c r="H115" s="7">
        <f>MAX(H114 * (1-Parameters!$B$4) ^ Parameters!B$71 + (LN(1+EXP(Parameters!$B$21*(-B114+0.004)))/Parameters!$B$21 -0.004) * Parameters!B$71,0)</f>
        <v>7.5928445816416737E-3</v>
      </c>
      <c r="I115" s="16">
        <f>I114*(1+Parameters!$B$52)^Parameters!B$71</f>
        <v>11.253490131071132</v>
      </c>
      <c r="J115" s="16">
        <f>J114*(1+Parameters!$B$54)^Parameters!B$71</f>
        <v>81.543962915976124</v>
      </c>
      <c r="K115" s="16">
        <f>I115*J115*EXP(-Parameters!$B$43*'6states'!A115)*(Parameters!$B$38/Parameters!$B$39*('6states'!E115+'6states'!H115)/Parameters!$E$25*(EXP(-Parameters!$B$39*Parameters!$E$25*'6states'!H115/('6states'!E115+'6states'!H115))-EXP(-Parameters!$B$39*Parameters!$E$25))  +  Parameters!$B$40*'6states'!E115)</f>
        <v>0.16577244190340723</v>
      </c>
      <c r="L115" s="6">
        <f>L114+K115*Parameters!B$71</f>
        <v>3347.3406137227485</v>
      </c>
      <c r="M115" s="5">
        <f>L115*Parameters!$B$46</f>
        <v>2.008404368233649</v>
      </c>
      <c r="N115" s="7">
        <f>EXP(-Parameters!$B$47/2*M115^2)</f>
        <v>0.96027213045249282</v>
      </c>
      <c r="O115" s="6">
        <f>MAX((Parameters!$B$63 + Parameters!$B$31*'6states'!A115 - '6states'!L115 + Parameters!$B$48/Parameters!$B$46)/Parameters!B$63,1)</f>
        <v>98.157187725545043</v>
      </c>
      <c r="P115" s="5">
        <f>Parameters!B$62*EXP(-Parameters!B$61*A115)</f>
        <v>2.4968326919492568E-2</v>
      </c>
      <c r="Q115" s="5">
        <f>(1-Parameters!B$62)*O115^-Parameters!B$64</f>
        <v>0.31606600975860422</v>
      </c>
      <c r="R115" s="5">
        <f>Parameters!B$62*EXP(-Parameters!B$61*A115)+(1-Parameters!B$62)*O115^-Parameters!B$64</f>
        <v>0.34103433667809679</v>
      </c>
      <c r="S115" s="5">
        <f>1-R115/Parameters!$B$12</f>
        <v>0.8294828316609516</v>
      </c>
      <c r="T115" s="5">
        <f t="shared" si="38"/>
        <v>5.8645121176985917</v>
      </c>
      <c r="U115" s="5">
        <f>(Parameters!$B$19*(E115+Parameters!$B$20)^S115+Parameters!$B$18*F115^S115)^(1/S115)</f>
        <v>0.3392889605514039</v>
      </c>
      <c r="V115" s="5">
        <f>(Parameters!$B$10*G115^Parameters!$B$9+Parameters!$B$11*U115^Parameters!$B$9)^(Parameters!$B$7/Parameters!$B$9)*N115</f>
        <v>1.3337601949551681</v>
      </c>
      <c r="W115" s="5">
        <f>V115 - C115 - D115 - LN(1+EXP(Parameters!$B$21*B115))/Parameters!$B$21 - IF(B115&gt;0, 0,Parameters!$B$6*B115^2/E115)</f>
        <v>1.0153303628746182</v>
      </c>
      <c r="X115" s="5">
        <f>EXP(-Parameters!$B$56*A115)</f>
        <v>0.18710225376443562</v>
      </c>
      <c r="Y115" s="5">
        <f>IF(W115&gt;0,W115^(1-Parameters!$B$53)/(1-Parameters!$B$53)*X115*Parameters!$B$71,-10+W115*1000)</f>
        <v>-0.53173885215363503</v>
      </c>
      <c r="AA115" s="15">
        <f t="shared" si="41"/>
        <v>3.814669046943428E-3</v>
      </c>
      <c r="AB115" s="15">
        <f t="shared" si="42"/>
        <v>-5.7843707028243374E-5</v>
      </c>
      <c r="AC115" s="15">
        <f t="shared" si="43"/>
        <v>1.2372324960499559E-5</v>
      </c>
      <c r="AD115" s="15">
        <f t="shared" si="62"/>
        <v>2.7233105194100147E-6</v>
      </c>
      <c r="AE115" s="15">
        <f t="shared" si="64"/>
        <v>1.4278828702758359E-3</v>
      </c>
      <c r="AF115" s="15">
        <f t="shared" si="65"/>
        <v>3.5586695470435359E-6</v>
      </c>
      <c r="AG115" s="15">
        <f t="shared" si="66"/>
        <v>-8.0040951909443603E-7</v>
      </c>
      <c r="AH115" s="15">
        <f t="shared" si="63"/>
        <v>3.8147582425021098E-7</v>
      </c>
      <c r="AI115" s="15"/>
      <c r="AM115" s="16">
        <f t="shared" si="34"/>
        <v>6.9676055830376651</v>
      </c>
      <c r="AN115" s="16">
        <f t="shared" si="35"/>
        <v>0.65582646561939795</v>
      </c>
      <c r="AO115" s="16">
        <f t="shared" si="61"/>
        <v>311.3499335304283</v>
      </c>
      <c r="AP115" s="6">
        <f t="shared" si="37"/>
        <v>1223.9306205835362</v>
      </c>
      <c r="AQ115" s="15">
        <f>-X115*V115*W115^(-Parameters!B$53)*Parameters!B$47*Parameters!B$46*M115</f>
        <v>-5.9215483755273125E-6</v>
      </c>
      <c r="AR115" s="5">
        <f>1000*EXP(-(Parameters!$B$55)*'6states'!A115)*AP115*Parameters!B$47*Parameters!B$46*M115</f>
        <v>0.60242159878093693</v>
      </c>
      <c r="AS115" s="5">
        <f>SUM(AR115:AR$204)*EXP(Parameters!$B$55*A115)</f>
        <v>1894.3626339479797</v>
      </c>
      <c r="AT115" s="25">
        <f t="shared" si="47"/>
        <v>0.23743112485973275</v>
      </c>
      <c r="AU115">
        <f>(1/$S115-1/Parameters!$B$13) * LN(Parameters!$B$18) / LN(O115)</f>
        <v>0.2063387544078136</v>
      </c>
      <c r="AV115">
        <f>(Parameters!$B$18*'6states'!S115^+Parameters!$B$19*Parameters!$B$25^'6states'!S115)^((1-'6states'!S115)/'6states'!S115)*Parameters!$B$18*Parameters!$B$26^('6states'!S115-1)</f>
        <v>0.30656910466385273</v>
      </c>
      <c r="AW115">
        <f t="shared" si="48"/>
        <v>0.1874954678215664</v>
      </c>
      <c r="AX115">
        <f t="shared" si="49"/>
        <v>0.13326597530428208</v>
      </c>
      <c r="AY115">
        <f t="shared" si="50"/>
        <v>0.19143767080114482</v>
      </c>
      <c r="AZ115">
        <f>(1/$S115-1/Parameters!$B$13) * LN(Parameters!$B$18) / A115</f>
        <v>8.526010556518214E-3</v>
      </c>
    </row>
    <row r="116" spans="1:52" x14ac:dyDescent="0.35">
      <c r="A116">
        <f>A115+Parameters!$B$71</f>
        <v>112</v>
      </c>
      <c r="B116" s="7">
        <f t="shared" si="58"/>
        <v>-2.278128000230331E-5</v>
      </c>
      <c r="C116" s="7">
        <f t="shared" si="59"/>
        <v>9.1228255695577229E-2</v>
      </c>
      <c r="D116" s="7">
        <f t="shared" si="60"/>
        <v>0.22553231351195227</v>
      </c>
      <c r="E116" s="5">
        <f>MAX((1-Parameters!$B$4)^Parameters!B$71*E115 + B115*Parameters!B$71 - IF(B115&gt;0,Parameters!$B$5,0)*B115^2/E115*Parameters!B$71, 0.0001)</f>
        <v>6.4033453102239121E-4</v>
      </c>
      <c r="F116" s="5">
        <f>(1-Parameters!$B$4)^Parameters!B$71*F115+C115*Parameters!B$71-Parameters!$B$5*C115^2/F115*Parameters!B$71</f>
        <v>1.3584116387367575</v>
      </c>
      <c r="G116" s="5">
        <f>(1-Parameters!$B$4)^Parameters!B$71*G115+D115*Parameters!B$71-Parameters!$B$5*D115^2/G115*Parameters!B$71</f>
        <v>3.3155981919607203</v>
      </c>
      <c r="H116" s="7">
        <f>MAX(H115 * (1-Parameters!$B$4) ^ Parameters!B$71 + (LN(1+EXP(Parameters!$B$21*(-B115+0.004)))/Parameters!$B$21 -0.004) * Parameters!B$71,0)</f>
        <v>7.5994831253848047E-3</v>
      </c>
      <c r="I116" s="16">
        <f>I115*(1+Parameters!$B$52)^Parameters!B$71</f>
        <v>11.286125252451237</v>
      </c>
      <c r="J116" s="16">
        <f>J115*(1+Parameters!$B$54)^Parameters!B$71</f>
        <v>83.174842174295648</v>
      </c>
      <c r="K116" s="16">
        <f>I116*J116*EXP(-Parameters!$B$43*'6states'!A116)*(Parameters!$B$38/Parameters!$B$39*('6states'!E116+'6states'!H116)/Parameters!$E$25*(EXP(-Parameters!$B$39*Parameters!$E$25*'6states'!H116/('6states'!E116+'6states'!H116))-EXP(-Parameters!$B$39*Parameters!$E$25))  +  Parameters!$B$40*'6states'!E116)</f>
        <v>0.1504264564978269</v>
      </c>
      <c r="L116" s="6">
        <f>L115+K116*Parameters!B$71</f>
        <v>3347.4910401792463</v>
      </c>
      <c r="M116" s="5">
        <f>L116*Parameters!$B$46</f>
        <v>2.0084946241075476</v>
      </c>
      <c r="N116" s="7">
        <f>EXP(-Parameters!$B$47/2*M116^2)</f>
        <v>0.960268631597192</v>
      </c>
      <c r="O116" s="6">
        <f>MAX((Parameters!$B$63 + Parameters!$B$31*'6states'!A116 - '6states'!L116 + Parameters!$B$48/Parameters!$B$46)/Parameters!B$63,1)</f>
        <v>99.218179196415079</v>
      </c>
      <c r="P116" s="5">
        <f>Parameters!B$62*EXP(-Parameters!B$61*A116)</f>
        <v>2.4303201689142802E-2</v>
      </c>
      <c r="Q116" s="5">
        <f>(1-Parameters!B$62)*O116^-Parameters!B$64</f>
        <v>0.31572638645792095</v>
      </c>
      <c r="R116" s="5">
        <f>Parameters!B$62*EXP(-Parameters!B$61*A116)+(1-Parameters!B$62)*O116^-Parameters!B$64</f>
        <v>0.34002958814706374</v>
      </c>
      <c r="S116" s="5">
        <f>1-R116/Parameters!$B$12</f>
        <v>0.82998520592646807</v>
      </c>
      <c r="T116" s="5">
        <f t="shared" si="38"/>
        <v>5.8818410800621086</v>
      </c>
      <c r="U116" s="5">
        <f>(Parameters!$B$19*(E116+Parameters!$B$20)^S116+Parameters!$B$18*F116^S116)^(1/S116)</f>
        <v>0.3393745762251319</v>
      </c>
      <c r="V116" s="5">
        <f>(Parameters!$B$10*G116^Parameters!$B$9+Parameters!$B$11*U116^Parameters!$B$9)^(Parameters!$B$7/Parameters!$B$9)*N116</f>
        <v>1.3339178197344641</v>
      </c>
      <c r="W116" s="5">
        <f>V116 - C116 - D116 - LN(1+EXP(Parameters!$B$21*B116))/Parameters!$B$21 - IF(B116&gt;0, 0,Parameters!$B$6*B116^2/E116)</f>
        <v>1.015431694800794</v>
      </c>
      <c r="X116" s="5">
        <f>EXP(-Parameters!$B$56*A116)</f>
        <v>0.18429823336512921</v>
      </c>
      <c r="Y116" s="5">
        <f>IF(W116&gt;0,W116^(1-Parameters!$B$53)/(1-Parameters!$B$53)*X116*Parameters!$B$71,-10+W116*1000)</f>
        <v>-0.52375161799341818</v>
      </c>
      <c r="AA116" s="15">
        <f t="shared" si="41"/>
        <v>5.5454940598597263E-3</v>
      </c>
      <c r="AB116" s="15">
        <f t="shared" si="42"/>
        <v>-5.4500478854663248E-5</v>
      </c>
      <c r="AC116" s="15">
        <f t="shared" si="43"/>
        <v>1.1618565047263885E-5</v>
      </c>
      <c r="AD116" s="15">
        <f t="shared" si="62"/>
        <v>5.668204526624569E-6</v>
      </c>
      <c r="AE116" s="15">
        <f t="shared" si="64"/>
        <v>1.7308250129162983E-3</v>
      </c>
      <c r="AF116" s="15">
        <f t="shared" si="65"/>
        <v>3.3432281735801261E-6</v>
      </c>
      <c r="AG116" s="15">
        <f t="shared" si="66"/>
        <v>-7.5375991323567426E-7</v>
      </c>
      <c r="AH116" s="15">
        <f t="shared" si="63"/>
        <v>5.5211456026722551E-7</v>
      </c>
      <c r="AI116" s="15"/>
      <c r="AM116" s="16">
        <f t="shared" si="34"/>
        <v>7.1337996169923752</v>
      </c>
      <c r="AN116" s="16">
        <f t="shared" si="35"/>
        <v>0.6010959109700269</v>
      </c>
      <c r="AO116" s="16">
        <f t="shared" si="61"/>
        <v>318.57827459406394</v>
      </c>
      <c r="AP116" s="6">
        <f t="shared" si="37"/>
        <v>1252.1775855695685</v>
      </c>
      <c r="AQ116" s="15">
        <f>-X116*V116*W116^(-Parameters!B$53)*Parameters!B$47*Parameters!B$46*M116</f>
        <v>-5.8329702682244739E-6</v>
      </c>
      <c r="AR116" s="5">
        <f>1000*EXP(-(Parameters!$B$55)*'6states'!A116)*AP116*Parameters!B$47*Parameters!B$46*M116</f>
        <v>0.59509381932455441</v>
      </c>
      <c r="AS116" s="5">
        <f>SUM(AR116:AR$204)*EXP(Parameters!$B$55*A116)</f>
        <v>1931.3311871461042</v>
      </c>
      <c r="AT116" s="25">
        <f t="shared" si="47"/>
        <v>0.2374492515517774</v>
      </c>
      <c r="AU116">
        <f>(1/$S116-1/Parameters!$B$13) * LN(Parameters!$B$18) / LN(O116)</f>
        <v>0.2060453046323048</v>
      </c>
      <c r="AV116">
        <f>(Parameters!$B$18*'6states'!S116^+Parameters!$B$19*Parameters!$B$25^'6states'!S116)^((1-'6states'!S116)/'6states'!S116)*Parameters!$B$18*Parameters!$B$26^('6states'!S116-1)</f>
        <v>0.30663774140665345</v>
      </c>
      <c r="AW116">
        <f t="shared" si="48"/>
        <v>0.18710569260006785</v>
      </c>
      <c r="AX116">
        <f t="shared" si="49"/>
        <v>0.1330896603058348</v>
      </c>
      <c r="AY116">
        <f t="shared" si="50"/>
        <v>0.19147613753384207</v>
      </c>
      <c r="AZ116">
        <f>(1/$S116-1/Parameters!$B$13) * LN(Parameters!$B$18) / A116</f>
        <v>8.45764695167988E-3</v>
      </c>
    </row>
    <row r="117" spans="1:52" x14ac:dyDescent="0.35">
      <c r="A117">
        <f>A116+Parameters!$B$71</f>
        <v>113</v>
      </c>
      <c r="B117" s="7">
        <f t="shared" si="58"/>
        <v>-1.6173143772910863E-5</v>
      </c>
      <c r="C117" s="7">
        <f t="shared" si="59"/>
        <v>9.1135501727796719E-2</v>
      </c>
      <c r="D117" s="7">
        <f t="shared" si="60"/>
        <v>0.22568006388968859</v>
      </c>
      <c r="E117" s="5">
        <f>MAX((1-Parameters!$B$4)^Parameters!B$71*E116 + B116*Parameters!B$71 - IF(B116&gt;0,Parameters!$B$5,0)*B116^2/E116*Parameters!B$71, 0.0001)</f>
        <v>5.7727620901877955E-4</v>
      </c>
      <c r="F117" s="5">
        <f>(1-Parameters!$B$4)^Parameters!B$71*F116+C116*Parameters!B$71-Parameters!$B$5*C116^2/F116*Parameters!B$71</f>
        <v>1.3580690920126768</v>
      </c>
      <c r="G117" s="5">
        <f>(1-Parameters!$B$4)^Parameters!B$71*G116+D116*Parameters!B$71-Parameters!$B$5*D116^2/G116*Parameters!B$71</f>
        <v>3.3172383090525748</v>
      </c>
      <c r="H117" s="7">
        <f>MAX(H116 * (1-Parameters!$B$4) ^ Parameters!B$71 + (LN(1+EXP(Parameters!$B$21*(-B116+0.004)))/Parameters!$B$21 -0.004) * Parameters!B$71,0)</f>
        <v>7.6001964106833337E-3</v>
      </c>
      <c r="I117" s="16">
        <f>I116*(1+Parameters!$B$52)^Parameters!B$71</f>
        <v>11.318855015683344</v>
      </c>
      <c r="J117" s="16">
        <f>J116*(1+Parameters!$B$54)^Parameters!B$71</f>
        <v>84.838339017781564</v>
      </c>
      <c r="K117" s="16">
        <f>I117*J117*EXP(-Parameters!$B$43*'6states'!A117)*(Parameters!$B$38/Parameters!$B$39*('6states'!E117+'6states'!H117)/Parameters!$E$25*(EXP(-Parameters!$B$39*Parameters!$E$25*'6states'!H117/('6states'!E117+'6states'!H117))-EXP(-Parameters!$B$39*Parameters!$E$25))  +  Parameters!$B$40*'6states'!E117)</f>
        <v>0.13734593826423047</v>
      </c>
      <c r="L117" s="6">
        <f>L116+K117*Parameters!B$71</f>
        <v>3347.6283861175107</v>
      </c>
      <c r="M117" s="5">
        <f>L117*Parameters!$B$46</f>
        <v>2.0085770316705061</v>
      </c>
      <c r="N117" s="7">
        <f>EXP(-Parameters!$B$47/2*M117^2)</f>
        <v>0.96026543686299004</v>
      </c>
      <c r="O117" s="6">
        <f>MAX((Parameters!$B$63 + Parameters!$B$31*'6states'!A117 - '6states'!L117 + Parameters!$B$48/Parameters!$B$46)/Parameters!B$63,1)</f>
        <v>100.27943227764979</v>
      </c>
      <c r="P117" s="5">
        <f>Parameters!B$62*EXP(-Parameters!B$61*A117)</f>
        <v>2.3655794569160393E-2</v>
      </c>
      <c r="Q117" s="5">
        <f>(1-Parameters!B$62)*O117^-Parameters!B$64</f>
        <v>0.31539065253504783</v>
      </c>
      <c r="R117" s="5">
        <f>Parameters!B$62*EXP(-Parameters!B$61*A117)+(1-Parameters!B$62)*O117^-Parameters!B$64</f>
        <v>0.33904644710420823</v>
      </c>
      <c r="S117" s="5">
        <f>1-R117/Parameters!$B$12</f>
        <v>0.83047677644789586</v>
      </c>
      <c r="T117" s="5">
        <f t="shared" si="38"/>
        <v>5.8988967944716029</v>
      </c>
      <c r="U117" s="5">
        <f>(Parameters!$B$19*(E117+Parameters!$B$20)^S117+Parameters!$B$18*F117^S117)^(1/S117)</f>
        <v>0.33945373519677591</v>
      </c>
      <c r="V117" s="5">
        <f>(Parameters!$B$10*G117^Parameters!$B$9+Parameters!$B$11*U117^Parameters!$B$9)^(Parameters!$B$7/Parameters!$B$9)*N117</f>
        <v>1.3340759407452589</v>
      </c>
      <c r="W117" s="5">
        <f>V117 - C117 - D117 - LN(1+EXP(Parameters!$B$21*B117))/Parameters!$B$21 - IF(B117&gt;0, 0,Parameters!$B$6*B117^2/E117)</f>
        <v>1.01553331511147</v>
      </c>
      <c r="X117" s="5">
        <f>EXP(-Parameters!$B$56*A117)</f>
        <v>0.18153623560446847</v>
      </c>
      <c r="Y117" s="5">
        <f>IF(W117&gt;0,W117^(1-Parameters!$B$53)/(1-Parameters!$B$53)*X117*Parameters!$B$71,-10+W117*1000)</f>
        <v>-0.51588431037410876</v>
      </c>
      <c r="AA117" s="15">
        <f t="shared" si="41"/>
        <v>7.5608531061983827E-3</v>
      </c>
      <c r="AB117" s="15">
        <f t="shared" si="42"/>
        <v>-5.1359097617373339E-5</v>
      </c>
      <c r="AC117" s="15">
        <f t="shared" si="43"/>
        <v>1.0908766849115903E-5</v>
      </c>
      <c r="AD117" s="15">
        <f t="shared" si="62"/>
        <v>1.0378291608532111E-5</v>
      </c>
      <c r="AE117" s="15">
        <f t="shared" si="64"/>
        <v>2.0153590463386564E-3</v>
      </c>
      <c r="AF117" s="15">
        <f t="shared" si="65"/>
        <v>3.1413812372899086E-6</v>
      </c>
      <c r="AG117" s="15">
        <f t="shared" si="66"/>
        <v>-7.0979819814798173E-7</v>
      </c>
      <c r="AH117" s="15">
        <f t="shared" si="63"/>
        <v>7.3734254360038973E-7</v>
      </c>
      <c r="AI117" s="15"/>
      <c r="AM117" s="16">
        <f t="shared" si="34"/>
        <v>7.2982623371122672</v>
      </c>
      <c r="AN117" s="16">
        <f t="shared" si="35"/>
        <v>0.55434267573275875</v>
      </c>
      <c r="AO117" s="16">
        <f t="shared" si="61"/>
        <v>325.96820883421947</v>
      </c>
      <c r="AP117" s="6">
        <f t="shared" si="37"/>
        <v>1281.0769178941964</v>
      </c>
      <c r="AQ117" s="15">
        <f>-X117*V117*W117^(-Parameters!B$53)*Parameters!B$47*Parameters!B$46*M117</f>
        <v>-5.7456946351086057E-6</v>
      </c>
      <c r="AR117" s="5">
        <f>1000*EXP(-(Parameters!$B$55)*'6states'!A117)*AP117*Parameters!B$47*Parameters!B$46*M117</f>
        <v>0.58785308633309552</v>
      </c>
      <c r="AS117" s="5">
        <f>SUM(AR117:AR$204)*EXP(Parameters!$B$55*A117)</f>
        <v>1968.9103455455834</v>
      </c>
      <c r="AT117" s="25">
        <f t="shared" si="47"/>
        <v>0.23746728563048503</v>
      </c>
      <c r="AU117">
        <f>(1/$S117-1/Parameters!$B$13) * LN(Parameters!$B$18) / LN(O117)</f>
        <v>0.20575393604708056</v>
      </c>
      <c r="AV117">
        <f>(Parameters!$B$18*'6states'!S117^+Parameters!$B$19*Parameters!$B$25^'6states'!S117)^((1-'6states'!S117)/'6states'!S117)*Parameters!$B$18*Parameters!$B$26^('6states'!S117-1)</f>
        <v>0.3067043727566291</v>
      </c>
      <c r="AW117">
        <f t="shared" si="48"/>
        <v>0.18672083446848678</v>
      </c>
      <c r="AX117">
        <f t="shared" si="49"/>
        <v>0.13291456027395077</v>
      </c>
      <c r="AY117">
        <f t="shared" si="50"/>
        <v>0.19151347861484935</v>
      </c>
      <c r="AZ117">
        <f>(1/$S117-1/Parameters!$B$13) * LN(Parameters!$B$18) / A117</f>
        <v>8.3903188765383514E-3</v>
      </c>
    </row>
    <row r="118" spans="1:52" x14ac:dyDescent="0.35">
      <c r="A118">
        <f>A117+Parameters!$B$71</f>
        <v>114</v>
      </c>
      <c r="B118" s="7">
        <f t="shared" si="58"/>
        <v>-9.5650075435184162E-6</v>
      </c>
      <c r="C118" s="7">
        <f t="shared" si="59"/>
        <v>9.104274776001621E-2</v>
      </c>
      <c r="D118" s="7">
        <f t="shared" si="60"/>
        <v>0.2258278142674249</v>
      </c>
      <c r="E118" s="5">
        <f>MAX((1-Parameters!$B$4)^Parameters!B$71*E117 + B117*Parameters!B$71 - IF(B117&gt;0,Parameters!$B$5,0)*B117^2/E117*Parameters!B$71, 0.0001)</f>
        <v>5.2479239169858746E-4</v>
      </c>
      <c r="F118" s="5">
        <f>(1-Parameters!$B$4)^Parameters!B$71*F117+C117*Parameters!B$71-Parameters!$B$5*C117^2/F117*Parameters!B$71</f>
        <v>1.3576662473210579</v>
      </c>
      <c r="G118" s="5">
        <f>(1-Parameters!$B$4)^Parameters!B$71*G117+D117*Parameters!B$71-Parameters!$B$5*D117^2/G117*Parameters!B$71</f>
        <v>3.3189105010479238</v>
      </c>
      <c r="H118" s="7">
        <f>MAX(H117 * (1-Parameters!$B$4) ^ Parameters!B$71 + (LN(1+EXP(Parameters!$B$21*(-B117+0.004)))/Parameters!$B$21 -0.004) * Parameters!B$71,0)</f>
        <v>7.5953595627902045E-3</v>
      </c>
      <c r="I118" s="16">
        <f>I117*(1+Parameters!$B$52)^Parameters!B$71</f>
        <v>11.351679695228825</v>
      </c>
      <c r="J118" s="16">
        <f>J117*(1+Parameters!$B$54)^Parameters!B$71</f>
        <v>86.535105798137195</v>
      </c>
      <c r="K118" s="16">
        <f>I118*J118*EXP(-Parameters!$B$43*'6states'!A118)*(Parameters!$B$38/Parameters!$B$39*('6states'!E118+'6states'!H118)/Parameters!$E$25*(EXP(-Parameters!$B$39*Parameters!$E$25*'6states'!H118/('6states'!E118+'6states'!H118))-EXP(-Parameters!$B$39*Parameters!$E$25))  +  Parameters!$B$40*'6states'!E118)</f>
        <v>0.12645457590329248</v>
      </c>
      <c r="L118" s="6">
        <f>L117+K118*Parameters!B$71</f>
        <v>3347.7548406934138</v>
      </c>
      <c r="M118" s="5">
        <f>L118*Parameters!$B$46</f>
        <v>2.0086529044160479</v>
      </c>
      <c r="N118" s="7">
        <f>EXP(-Parameters!$B$47/2*M118^2)</f>
        <v>0.96026249536074504</v>
      </c>
      <c r="O118" s="6">
        <f>MAX((Parameters!$B$63 + Parameters!$B$31*'6states'!A118 - '6states'!L118 + Parameters!$B$48/Parameters!$B$46)/Parameters!B$63,1)</f>
        <v>101.34090318613173</v>
      </c>
      <c r="P118" s="5">
        <f>Parameters!B$62*EXP(-Parameters!B$61*A118)</f>
        <v>2.3025633571082633E-2</v>
      </c>
      <c r="Q118" s="5">
        <f>(1-Parameters!B$62)*O118^-Parameters!B$64</f>
        <v>0.31505873670648055</v>
      </c>
      <c r="R118" s="5">
        <f>Parameters!B$62*EXP(-Parameters!B$61*A118)+(1-Parameters!B$62)*O118^-Parameters!B$64</f>
        <v>0.33808437027756316</v>
      </c>
      <c r="S118" s="5">
        <f>1-R118/Parameters!$B$12</f>
        <v>0.83095781486121845</v>
      </c>
      <c r="T118" s="5">
        <f t="shared" si="38"/>
        <v>5.9156831129401946</v>
      </c>
      <c r="U118" s="5">
        <f>(Parameters!$B$19*(E118+Parameters!$B$20)^S118+Parameters!$B$18*F118^S118)^(1/S118)</f>
        <v>0.33952651297245334</v>
      </c>
      <c r="V118" s="5">
        <f>(Parameters!$B$10*G118^Parameters!$B$9+Parameters!$B$11*U118^Parameters!$B$9)^(Parameters!$B$7/Parameters!$B$9)*N118</f>
        <v>1.3342343488102506</v>
      </c>
      <c r="W118" s="5">
        <f>V118 - C118 - D118 - LN(1+EXP(Parameters!$B$21*B118))/Parameters!$B$21 - IF(B118&gt;0, 0,Parameters!$B$6*B118^2/E118)</f>
        <v>1.0156348250886913</v>
      </c>
      <c r="X118" s="5">
        <f>EXP(-Parameters!$B$56*A118)</f>
        <v>0.17881563070737777</v>
      </c>
      <c r="Y118" s="5">
        <f>IF(W118&gt;0,W118^(1-Parameters!$B$53)/(1-Parameters!$B$53)*X118*Parameters!$B$71,-10+W118*1000)</f>
        <v>-0.50813519920301453</v>
      </c>
      <c r="AA118" s="15">
        <f t="shared" si="41"/>
        <v>9.7900310876229656E-3</v>
      </c>
      <c r="AB118" s="15">
        <f t="shared" si="42"/>
        <v>-4.8406889361293781E-5</v>
      </c>
      <c r="AC118" s="15">
        <f t="shared" si="43"/>
        <v>1.0240394035479494E-5</v>
      </c>
      <c r="AD118" s="15">
        <f t="shared" si="62"/>
        <v>1.71389697927754E-5</v>
      </c>
      <c r="AE118" s="15">
        <f t="shared" si="64"/>
        <v>2.2291779814245863E-3</v>
      </c>
      <c r="AF118" s="15">
        <f t="shared" si="65"/>
        <v>2.9522082560795582E-6</v>
      </c>
      <c r="AG118" s="15">
        <f t="shared" si="66"/>
        <v>-6.6837281363640866E-7</v>
      </c>
      <c r="AH118" s="15">
        <f t="shared" si="63"/>
        <v>8.8857843475332026E-7</v>
      </c>
      <c r="AI118" s="15"/>
      <c r="AM118" s="16">
        <f t="shared" si="34"/>
        <v>7.4610645172130203</v>
      </c>
      <c r="AN118" s="16">
        <f t="shared" si="35"/>
        <v>0.51551343425370366</v>
      </c>
      <c r="AO118" s="16">
        <f t="shared" si="61"/>
        <v>333.52327795015401</v>
      </c>
      <c r="AP118" s="6">
        <f t="shared" si="37"/>
        <v>1310.6434889960649</v>
      </c>
      <c r="AQ118" s="15">
        <f>-X118*V118*W118^(-Parameters!B$53)*Parameters!B$47*Parameters!B$46*M118</f>
        <v>-5.6597084831487252E-6</v>
      </c>
      <c r="AR118" s="5">
        <f>1000*EXP(-(Parameters!$B$55)*'6states'!A118)*AP118*Parameters!B$47*Parameters!B$46*M118</f>
        <v>0.58069868068913588</v>
      </c>
      <c r="AS118" s="5">
        <f>SUM(AR118:AR$204)*EXP(Parameters!$B$55*A118)</f>
        <v>2007.1056166969747</v>
      </c>
      <c r="AT118" s="25">
        <f t="shared" si="47"/>
        <v>0.23748526434088998</v>
      </c>
      <c r="AU118">
        <f>(1/$S118-1/Parameters!$B$13) * LN(Parameters!$B$18) / LN(O118)</f>
        <v>0.20546464511509502</v>
      </c>
      <c r="AV118">
        <f>(Parameters!$B$18*'6states'!S118^+Parameters!$B$19*Parameters!$B$25^'6states'!S118)^((1-'6states'!S118)/'6states'!S118)*Parameters!$B$18*Parameters!$B$26^('6states'!S118-1)</f>
        <v>0.3067690703622622</v>
      </c>
      <c r="AW118">
        <f t="shared" si="48"/>
        <v>0.18634080662089622</v>
      </c>
      <c r="AX118">
        <f t="shared" si="49"/>
        <v>0.13274067383301624</v>
      </c>
      <c r="AY118">
        <f t="shared" si="50"/>
        <v>0.19154973434998368</v>
      </c>
      <c r="AZ118">
        <f>(1/$S118-1/Parameters!$B$13) * LN(Parameters!$B$18) / A118</f>
        <v>8.3240037887773958E-3</v>
      </c>
    </row>
    <row r="119" spans="1:52" x14ac:dyDescent="0.35">
      <c r="A119">
        <f>A118+Parameters!$B$71</f>
        <v>115</v>
      </c>
      <c r="B119" s="13">
        <v>-2.9568713141259393E-6</v>
      </c>
      <c r="C119" s="13">
        <v>9.0949993792235756E-2</v>
      </c>
      <c r="D119" s="13">
        <v>0.22597556464516125</v>
      </c>
      <c r="E119" s="5">
        <f>MAX((1-Parameters!$B$4)^Parameters!B$71*E118 + B118*Parameters!B$71 - IF(B118&gt;0,Parameters!$B$5,0)*B118^2/E118*Parameters!B$71, 0.0001)</f>
        <v>4.8221794271722791E-4</v>
      </c>
      <c r="F119" s="5">
        <f>(1-Parameters!$B$4)^Parameters!B$71*F118+C118*Parameters!B$71-Parameters!$B$5*C118^2/F118*Parameters!B$71</f>
        <v>1.357206619099387</v>
      </c>
      <c r="G119" s="5">
        <f>(1-Parameters!$B$4)^Parameters!B$71*G118+D118*Parameters!B$71-Parameters!$B$5*D118^2/G118*Parameters!B$71</f>
        <v>3.3206128981489598</v>
      </c>
      <c r="H119" s="7">
        <f>MAX(H118 * (1-Parameters!$B$4) ^ Parameters!B$71 + (LN(1+EXP(Parameters!$B$21*(-B118+0.004)))/Parameters!$B$21 -0.004) * Parameters!B$71,0)</f>
        <v>7.5853241158566741E-3</v>
      </c>
      <c r="I119" s="16">
        <f>I118*(1+Parameters!$B$52)^Parameters!B$71</f>
        <v>11.384599566344987</v>
      </c>
      <c r="J119" s="16">
        <f>J118*(1+Parameters!$B$54)^Parameters!B$71</f>
        <v>88.265807914099938</v>
      </c>
      <c r="K119" s="16">
        <f>I119*J119*EXP(-Parameters!$B$43*'6states'!A119)*(Parameters!$B$38/Parameters!$B$39*('6states'!E119+'6states'!H119)/Parameters!$E$25*(EXP(-Parameters!$B$39*Parameters!$E$25*'6states'!H119/('6states'!E119+'6states'!H119))-EXP(-Parameters!$B$39*Parameters!$E$25))  +  Parameters!$B$40*'6states'!E119)</f>
        <v>0.11768070010373118</v>
      </c>
      <c r="L119" s="6">
        <f>L118+K119*Parameters!B$71</f>
        <v>3347.8725213935177</v>
      </c>
      <c r="M119" s="5">
        <f>L119*Parameters!$B$46</f>
        <v>2.0087235128361103</v>
      </c>
      <c r="N119" s="7">
        <f>EXP(-Parameters!$B$47/2*M119^2)</f>
        <v>0.96025975785884365</v>
      </c>
      <c r="O119" s="6">
        <f>MAX((Parameters!$B$63 + Parameters!$B$31*'6states'!A119 - '6states'!L119 + Parameters!$B$48/Parameters!$B$46)/Parameters!B$63,1)</f>
        <v>102.40254957212964</v>
      </c>
      <c r="P119" s="5">
        <f>Parameters!B$62*EXP(-Parameters!B$61*A119)</f>
        <v>2.2412259279633435E-2</v>
      </c>
      <c r="Q119" s="5">
        <f>(1-Parameters!B$62)*O119^-Parameters!B$64</f>
        <v>0.31473056933594656</v>
      </c>
      <c r="R119" s="5">
        <f>Parameters!B$62*EXP(-Parameters!B$61*A119)+(1-Parameters!B$62)*O119^-Parameters!B$64</f>
        <v>0.33714282861557998</v>
      </c>
      <c r="S119" s="5">
        <f>1-R119/Parameters!$B$12</f>
        <v>0.83142858569221001</v>
      </c>
      <c r="T119" s="5">
        <f t="shared" si="38"/>
        <v>5.9322038917827848</v>
      </c>
      <c r="U119" s="5">
        <f>(Parameters!$B$19*(E119+Parameters!$B$20)^S119+Parameters!$B$18*F119^S119)^(1/S119)</f>
        <v>0.33959298776968461</v>
      </c>
      <c r="V119" s="5">
        <f>(Parameters!$B$10*G119^Parameters!$B$9+Parameters!$B$11*U119^Parameters!$B$9)^(Parameters!$B$7/Parameters!$B$9)*N119</f>
        <v>1.3343928468209609</v>
      </c>
      <c r="W119" s="5">
        <f>V119 - C119 - D119 - LN(1+EXP(Parameters!$B$21*B119))/Parameters!$B$21 - IF(B119&gt;0, 0,Parameters!$B$6*B119^2/E119)</f>
        <v>1.0157358077757241</v>
      </c>
      <c r="X119" s="5">
        <f>EXP(-Parameters!$B$56*A119)</f>
        <v>0.17613579833694784</v>
      </c>
      <c r="Y119" s="5">
        <f>IF(W119&gt;0,W119^(1-Parameters!$B$53)/(1-Parameters!$B$53)*X119*Parameters!$B$71,-10+W119*1000)</f>
        <v>-0.50050258031270856</v>
      </c>
      <c r="AA119" s="15">
        <f t="shared" si="41"/>
        <v>1.2094454256788418E-2</v>
      </c>
      <c r="AB119" s="15">
        <f t="shared" si="42"/>
        <v>-4.5632031413098129E-5</v>
      </c>
      <c r="AC119" s="15">
        <f t="shared" si="43"/>
        <v>9.6110536715876549E-6</v>
      </c>
      <c r="AD119" s="15">
        <f t="shared" si="62"/>
        <v>2.576479203157569E-5</v>
      </c>
      <c r="AE119" s="15">
        <f t="shared" si="64"/>
        <v>2.3044231691654524E-3</v>
      </c>
      <c r="AF119" s="15">
        <f t="shared" si="65"/>
        <v>2.7748579481956526E-6</v>
      </c>
      <c r="AG119" s="15">
        <f t="shared" si="66"/>
        <v>-6.2934036389183934E-7</v>
      </c>
      <c r="AH119" s="15">
        <f t="shared" si="63"/>
        <v>9.3534700596483311E-7</v>
      </c>
      <c r="AI119" s="15"/>
      <c r="AM119" s="16">
        <f t="shared" si="34"/>
        <v>7.6222713080229392</v>
      </c>
      <c r="AN119" s="16">
        <f t="shared" si="35"/>
        <v>0.48456676772766483</v>
      </c>
      <c r="AO119" s="16">
        <f t="shared" si="61"/>
        <v>341.24710395322563</v>
      </c>
      <c r="AP119" s="6">
        <f t="shared" si="37"/>
        <v>1340.8925122516998</v>
      </c>
      <c r="AQ119" s="15">
        <f>-X119*V119*W119^(-Parameters!B$53)*Parameters!B$47*Parameters!B$46*M119</f>
        <v>-5.5749988022658249E-6</v>
      </c>
      <c r="AR119" s="5">
        <f>1000*EXP(-(Parameters!$B$55)*'6states'!A119)*AP119*Parameters!B$47*Parameters!B$46*M119</f>
        <v>0.57362987343642435</v>
      </c>
      <c r="AS119" s="5">
        <f>SUM(AR119:AR$204)*EXP(Parameters!$B$55*A119)</f>
        <v>2045.92231675992</v>
      </c>
      <c r="AT119" s="25">
        <f t="shared" si="47"/>
        <v>0.23750322277364938</v>
      </c>
      <c r="AU119">
        <f>(1/$S119-1/Parameters!$B$13) * LN(Parameters!$B$18) / LN(O119)</f>
        <v>0.20517742740168141</v>
      </c>
      <c r="AV119">
        <f>(Parameters!$B$18*'6states'!S119^+Parameters!$B$19*Parameters!$B$25^'6states'!S119)^((1-'6states'!S119)/'6states'!S119)*Parameters!$B$18*Parameters!$B$26^('6states'!S119-1)</f>
        <v>0.30683190296842028</v>
      </c>
      <c r="AW119">
        <f t="shared" si="48"/>
        <v>0.18596552384871923</v>
      </c>
      <c r="AX119">
        <f t="shared" si="49"/>
        <v>0.13256799906091155</v>
      </c>
      <c r="AY119">
        <f t="shared" si="50"/>
        <v>0.19158494340633581</v>
      </c>
      <c r="AZ119">
        <f>(1/$S119-1/Parameters!$B$13) * LN(Parameters!$B$18) / A119</f>
        <v>8.2586797904705845E-3</v>
      </c>
    </row>
    <row r="120" spans="1:52" x14ac:dyDescent="0.35">
      <c r="A120">
        <f>A119+Parameters!$B$71</f>
        <v>116</v>
      </c>
      <c r="B120" s="7">
        <f>B119</f>
        <v>-2.9568713141259393E-6</v>
      </c>
      <c r="C120" s="7">
        <f t="shared" ref="C120:C136" si="67">C119</f>
        <v>9.0949993792235756E-2</v>
      </c>
      <c r="D120" s="7">
        <f t="shared" ref="D120:D136" si="68">D119</f>
        <v>0.22597556464516125</v>
      </c>
      <c r="E120" s="5">
        <f>MAX((1-Parameters!$B$4)^Parameters!B$71*E119 + B119*Parameters!B$71 - IF(B119&gt;0,Parameters!$B$5,0)*B119^2/E119*Parameters!B$71, 0.0001)</f>
        <v>4.4892956280618836E-4</v>
      </c>
      <c r="F120" s="5">
        <f>(1-Parameters!$B$4)^Parameters!B$71*F119+C119*Parameters!B$71-Parameters!$B$5*C119^2/F119*Parameters!B$71</f>
        <v>1.3566935176785295</v>
      </c>
      <c r="G120" s="5">
        <f>(1-Parameters!$B$4)^Parameters!B$71*G119+D119*Parameters!B$71-Parameters!$B$5*D119^2/G119*Parameters!B$71</f>
        <v>3.3223437396440354</v>
      </c>
      <c r="H120" s="7">
        <f>MAX(H119 * (1-Parameters!$B$4) ^ Parameters!B$71 + (LN(1+EXP(Parameters!$B$21*(-B119+0.004)))/Parameters!$B$21 -0.004) * Parameters!B$71,0)</f>
        <v>7.5704194968154136E-3</v>
      </c>
      <c r="I120" s="16">
        <f>I119*(1+Parameters!$B$52)^Parameters!B$71</f>
        <v>11.417614905087387</v>
      </c>
      <c r="J120" s="16">
        <f>J119*(1+Parameters!$B$54)^Parameters!B$71</f>
        <v>90.031124072381942</v>
      </c>
      <c r="K120" s="16">
        <f>I120*J120*EXP(-Parameters!$B$43*'6states'!A120)*(Parameters!$B$38/Parameters!$B$39*('6states'!E120+'6states'!H120)/Parameters!$E$25*(EXP(-Parameters!$B$39*Parameters!$E$25*'6states'!H120/('6states'!E120+'6states'!H120))-EXP(-Parameters!$B$39*Parameters!$E$25))  +  Parameters!$B$40*'6states'!E120)</f>
        <v>0.11095706009268053</v>
      </c>
      <c r="L120" s="6">
        <f>L119+K120*Parameters!B$71</f>
        <v>3347.9834784536101</v>
      </c>
      <c r="M120" s="5">
        <f>L120*Parameters!$B$46</f>
        <v>2.0087900870721658</v>
      </c>
      <c r="N120" s="7">
        <f>EXP(-Parameters!$B$47/2*M120^2)</f>
        <v>0.96025717668203592</v>
      </c>
      <c r="O120" s="6">
        <f>MAX((Parameters!$B$63 + Parameters!$B$31*'6states'!A120 - '6states'!L120 + Parameters!$B$48/Parameters!$B$46)/Parameters!B$63,1)</f>
        <v>103.4643304309278</v>
      </c>
      <c r="P120" s="5">
        <f>Parameters!B$62*EXP(-Parameters!B$61*A120)</f>
        <v>2.1815224517789337E-2</v>
      </c>
      <c r="Q120" s="5">
        <f>(1-Parameters!B$62)*O120^-Parameters!B$64</f>
        <v>0.3144060824061275</v>
      </c>
      <c r="R120" s="5">
        <f>Parameters!B$62*EXP(-Parameters!B$61*A120)+(1-Parameters!B$62)*O120^-Parameters!B$64</f>
        <v>0.33622130692391683</v>
      </c>
      <c r="S120" s="5">
        <f>1-R120/Parameters!$B$12</f>
        <v>0.83188934653804159</v>
      </c>
      <c r="T120" s="5">
        <f t="shared" si="38"/>
        <v>5.9484629879586359</v>
      </c>
      <c r="U120" s="5">
        <f>(Parameters!$B$19*(E120+Parameters!$B$20)^S120+Parameters!$B$18*F120^S120)^(1/S120)</f>
        <v>0.33965324049864382</v>
      </c>
      <c r="V120" s="5">
        <f>(Parameters!$B$10*G120^Parameters!$B$9+Parameters!$B$11*U120^Parameters!$B$9)^(Parameters!$B$7/Parameters!$B$9)*N120</f>
        <v>1.3345512491183782</v>
      </c>
      <c r="W120" s="5">
        <f>V120 - C120 - D120 - LN(1+EXP(Parameters!$B$21*B120))/Parameters!$B$21 - IF(B120&gt;0, 0,Parameters!$B$6*B120^2/E120)</f>
        <v>1.0158942033510263</v>
      </c>
      <c r="X120" s="5">
        <f>EXP(-Parameters!$B$56*A120)</f>
        <v>0.17349612745298973</v>
      </c>
      <c r="Y120" s="5">
        <f>IF(W120&gt;0,W120^(1-Parameters!$B$53)/(1-Parameters!$B$53)*X120*Parameters!$B$71,-10+W120*1000)</f>
        <v>-0.49297486002078156</v>
      </c>
      <c r="AA120" s="15">
        <f t="shared" si="41"/>
        <v>-4.5467755090798645E-4</v>
      </c>
      <c r="AB120" s="15">
        <f t="shared" si="42"/>
        <v>2.5344175780747658E-5</v>
      </c>
      <c r="AC120" s="15">
        <f t="shared" si="43"/>
        <v>-3.5453242748756386E-5</v>
      </c>
      <c r="AD120" s="15">
        <f t="shared" si="62"/>
        <v>3.6196659283687054E-8</v>
      </c>
      <c r="AE120" s="15">
        <f t="shared" si="64"/>
        <v>-1.2549131807696404E-2</v>
      </c>
      <c r="AF120" s="15">
        <f t="shared" si="65"/>
        <v>7.0976207193845786E-5</v>
      </c>
      <c r="AG120" s="15">
        <f t="shared" si="66"/>
        <v>-4.5064296420344041E-5</v>
      </c>
      <c r="AH120" s="15">
        <f t="shared" si="63"/>
        <v>2.7323519524322324E-5</v>
      </c>
      <c r="AI120" s="15"/>
      <c r="AM120" s="16">
        <f t="shared" si="34"/>
        <v>7.7819423481204586</v>
      </c>
      <c r="AN120" s="16">
        <f t="shared" si="35"/>
        <v>0.46147297089603562</v>
      </c>
      <c r="AO120" s="16">
        <f t="shared" si="61"/>
        <v>349.14339119841594</v>
      </c>
      <c r="AP120" s="6">
        <f t="shared" si="37"/>
        <v>1371.8395507171174</v>
      </c>
      <c r="AQ120" s="15">
        <f>-X120*V120*W120^(-Parameters!B$53)*Parameters!B$47*Parameters!B$46*M120</f>
        <v>-5.4911265782120406E-6</v>
      </c>
      <c r="AR120" s="5">
        <f>1000*EXP(-(Parameters!$B$55)*'6states'!A120)*AP120*Parameters!B$47*Parameters!B$46*M120</f>
        <v>0.56664592700461114</v>
      </c>
      <c r="AS120" s="5">
        <f>SUM(AR120:AR$204)*EXP(Parameters!$B$55*A120)</f>
        <v>2085.3655541558473</v>
      </c>
      <c r="AT120" s="25">
        <f t="shared" si="47"/>
        <v>0.23747503273137396</v>
      </c>
      <c r="AU120">
        <f>(1/$S120-1/Parameters!$B$13) * LN(Parameters!$B$18) / LN(O120)</f>
        <v>0.2048922776553368</v>
      </c>
      <c r="AV120">
        <f>(Parameters!$B$18*'6states'!S120^+Parameters!$B$19*Parameters!$B$25^'6states'!S120)^((1-'6states'!S120)/'6states'!S120)*Parameters!$B$18*Parameters!$B$26^('6states'!S120-1)</f>
        <v>0.30689293654554889</v>
      </c>
      <c r="AW120">
        <f t="shared" si="48"/>
        <v>0.18559490254526964</v>
      </c>
      <c r="AX120">
        <f t="shared" si="49"/>
        <v>0.13239653353708425</v>
      </c>
      <c r="AY120">
        <f t="shared" si="50"/>
        <v>0.19161914288553572</v>
      </c>
      <c r="AZ120">
        <f>(1/$S120-1/Parameters!$B$13) * LN(Parameters!$B$18) / A120</f>
        <v>8.1943256047872746E-3</v>
      </c>
    </row>
    <row r="121" spans="1:52" x14ac:dyDescent="0.35">
      <c r="A121">
        <f>A120+Parameters!$B$71</f>
        <v>117</v>
      </c>
      <c r="B121" s="7">
        <f t="shared" ref="B121:B184" si="69">B120</f>
        <v>-2.9568713141259393E-6</v>
      </c>
      <c r="C121" s="7">
        <f t="shared" si="67"/>
        <v>9.0949993792235756E-2</v>
      </c>
      <c r="D121" s="7">
        <f t="shared" si="68"/>
        <v>0.22597556464516125</v>
      </c>
      <c r="E121" s="5">
        <f>MAX((1-Parameters!$B$4)^Parameters!B$71*E120 + B120*Parameters!B$71 - IF(B120&gt;0,Parameters!$B$5,0)*B120^2/E120*Parameters!B$71, 0.0001)</f>
        <v>4.1773502199155319E-4</v>
      </c>
      <c r="F121" s="5">
        <f>(1-Parameters!$B$4)^Parameters!B$71*F120+C120*Parameters!B$71-Parameters!$B$5*C120^2/F120*Parameters!B$71</f>
        <v>1.3562103852844138</v>
      </c>
      <c r="G121" s="5">
        <f>(1-Parameters!$B$4)^Parameters!B$71*G120+D120*Parameters!B$71-Parameters!$B$5*D120^2/G120*Parameters!B$71</f>
        <v>3.3239737227756194</v>
      </c>
      <c r="H121" s="7">
        <f>MAX(H120 * (1-Parameters!$B$4) ^ Parameters!B$71 + (LN(1+EXP(Parameters!$B$21*(-B120+0.004)))/Parameters!$B$21 -0.004) * Parameters!B$71,0)</f>
        <v>7.556452378311848E-3</v>
      </c>
      <c r="I121" s="16">
        <f>I120*(1+Parameters!$B$52)^Parameters!B$71</f>
        <v>11.450725988312138</v>
      </c>
      <c r="J121" s="16">
        <f>J120*(1+Parameters!$B$54)^Parameters!B$71</f>
        <v>91.831746553829589</v>
      </c>
      <c r="K121" s="16">
        <f>I121*J121*EXP(-Parameters!$B$43*'6states'!A121)*(Parameters!$B$38/Parameters!$B$39*('6states'!E121+'6states'!H121)/Parameters!$E$25*(EXP(-Parameters!$B$39*Parameters!$E$25*'6states'!H121/('6states'!E121+'6states'!H121))-EXP(-Parameters!$B$39*Parameters!$E$25))  +  Parameters!$B$40*'6states'!E121)</f>
        <v>0.10456647817944323</v>
      </c>
      <c r="L121" s="6">
        <f>L120+K121*Parameters!B$71</f>
        <v>3348.0880449317897</v>
      </c>
      <c r="M121" s="5">
        <f>L121*Parameters!$B$46</f>
        <v>2.0088528269590737</v>
      </c>
      <c r="N121" s="7">
        <f>EXP(-Parameters!$B$47/2*M121^2)</f>
        <v>0.96025474409639366</v>
      </c>
      <c r="O121" s="6">
        <f>MAX((Parameters!$B$63 + Parameters!$B$31*'6states'!A121 - '6states'!L121 + Parameters!$B$48/Parameters!$B$46)/Parameters!B$63,1)</f>
        <v>104.52623910136423</v>
      </c>
      <c r="P121" s="5">
        <f>Parameters!B$62*EXP(-Parameters!B$61*A121)</f>
        <v>2.1234094020767588E-2</v>
      </c>
      <c r="Q121" s="5">
        <f>(1-Parameters!B$62)*O121^-Parameters!B$64</f>
        <v>0.3140851995487029</v>
      </c>
      <c r="R121" s="5">
        <f>Parameters!B$62*EXP(-Parameters!B$61*A121)+(1-Parameters!B$62)*O121^-Parameters!B$64</f>
        <v>0.33531929356947049</v>
      </c>
      <c r="S121" s="5">
        <f>1-R121/Parameters!$B$12</f>
        <v>0.83234035321526478</v>
      </c>
      <c r="T121" s="5">
        <f t="shared" si="38"/>
        <v>5.9644644324220675</v>
      </c>
      <c r="U121" s="5">
        <f>(Parameters!$B$19*(E121+Parameters!$B$20)^S121+Parameters!$B$18*F121^S121)^(1/S121)</f>
        <v>0.33971845644554322</v>
      </c>
      <c r="V121" s="5">
        <f>(Parameters!$B$10*G121^Parameters!$B$9+Parameters!$B$11*U121^Parameters!$B$9)^(Parameters!$B$7/Parameters!$B$9)*N121</f>
        <v>1.334703716797214</v>
      </c>
      <c r="W121" s="5">
        <f>V121 - C121 - D121 - LN(1+EXP(Parameters!$B$21*B121))/Parameters!$B$21 - IF(B121&gt;0, 0,Parameters!$B$6*B121^2/E121)</f>
        <v>1.0160466637581889</v>
      </c>
      <c r="X121" s="5">
        <f>EXP(-Parameters!$B$56*A121)</f>
        <v>0.17089601617270908</v>
      </c>
      <c r="Y121" s="5">
        <f>IF(W121&gt;0,W121^(1-Parameters!$B$53)/(1-Parameters!$B$53)*X121*Parameters!$B$71,-10+W121*1000)</f>
        <v>-0.48556135592921545</v>
      </c>
      <c r="AA121" s="15">
        <f t="shared" si="41"/>
        <v>-4.9184915398001357E-4</v>
      </c>
      <c r="AB121" s="15">
        <f t="shared" si="42"/>
        <v>2.3881412826304294E-5</v>
      </c>
      <c r="AC121" s="15">
        <f t="shared" si="43"/>
        <v>-3.3353579142900158E-5</v>
      </c>
      <c r="AD121" s="15">
        <f t="shared" si="62"/>
        <v>4.1629991558687153E-8</v>
      </c>
      <c r="AE121" s="15">
        <f t="shared" si="64"/>
        <v>-3.7171603072027118E-5</v>
      </c>
      <c r="AF121" s="15">
        <f t="shared" si="65"/>
        <v>-1.462762954443364E-6</v>
      </c>
      <c r="AG121" s="15">
        <f t="shared" si="66"/>
        <v>2.0996636058562279E-6</v>
      </c>
      <c r="AH121" s="15">
        <f t="shared" si="63"/>
        <v>2.3725089545344282E-10</v>
      </c>
      <c r="AI121" s="15"/>
      <c r="AM121" s="16">
        <f t="shared" si="34"/>
        <v>7.9459131944274288</v>
      </c>
      <c r="AN121" s="16">
        <f t="shared" si="35"/>
        <v>0.43926515470989586</v>
      </c>
      <c r="AO121" s="16">
        <f t="shared" si="61"/>
        <v>357.22760236123077</v>
      </c>
      <c r="AP121" s="6">
        <f t="shared" si="37"/>
        <v>1403.4945690109178</v>
      </c>
      <c r="AQ121" s="15">
        <f>-X121*V121*W121^(-Parameters!B$53)*Parameters!B$47*Parameters!B$46*M121</f>
        <v>-5.4085245318581614E-6</v>
      </c>
      <c r="AR121" s="5">
        <f>1000*EXP(-(Parameters!$B$55)*'6states'!A121)*AP121*Parameters!B$47*Parameters!B$46*M121</f>
        <v>0.55974344441181034</v>
      </c>
      <c r="AS121" s="5">
        <f>SUM(AR121:AR$204)*EXP(Parameters!$B$55*A121)</f>
        <v>2125.44021237897</v>
      </c>
      <c r="AT121" s="25">
        <f t="shared" si="47"/>
        <v>0.23744790516248632</v>
      </c>
      <c r="AU121">
        <f>(1/$S121-1/Parameters!$B$13) * LN(Parameters!$B$18) / LN(O121)</f>
        <v>0.20460917779172808</v>
      </c>
      <c r="AV121">
        <f>(Parameters!$B$18*'6states'!S121^+Parameters!$B$19*Parameters!$B$25^'6states'!S121)^((1-'6states'!S121)/'6states'!S121)*Parameters!$B$18*Parameters!$B$26^('6states'!S121-1)</f>
        <v>0.30695223506381325</v>
      </c>
      <c r="AW121">
        <f t="shared" si="48"/>
        <v>0.18522884855303889</v>
      </c>
      <c r="AX121">
        <f t="shared" si="49"/>
        <v>0.13222626711454011</v>
      </c>
      <c r="AY121">
        <f t="shared" si="50"/>
        <v>0.19165236875831704</v>
      </c>
      <c r="AZ121">
        <f>(1/$S121-1/Parameters!$B$13) * LN(Parameters!$B$18) / A121</f>
        <v>8.1309206267870058E-3</v>
      </c>
    </row>
    <row r="122" spans="1:52" x14ac:dyDescent="0.35">
      <c r="A122">
        <f>A121+Parameters!$B$71</f>
        <v>118</v>
      </c>
      <c r="B122" s="7">
        <f t="shared" si="69"/>
        <v>-2.9568713141259393E-6</v>
      </c>
      <c r="C122" s="7">
        <f t="shared" si="67"/>
        <v>9.0949993792235756E-2</v>
      </c>
      <c r="D122" s="7">
        <f t="shared" si="68"/>
        <v>0.22597556464516125</v>
      </c>
      <c r="E122" s="5">
        <f>MAX((1-Parameters!$B$4)^Parameters!B$71*E121 + B121*Parameters!B$71 - IF(B121&gt;0,Parameters!$B$5,0)*B121^2/E121*Parameters!B$71, 0.0001)</f>
        <v>3.8850261779415859E-4</v>
      </c>
      <c r="F122" s="5">
        <f>(1-Parameters!$B$4)^Parameters!B$71*F121+C121*Parameters!B$71-Parameters!$B$5*C121^2/F121*Parameters!B$71</f>
        <v>1.3557554699035399</v>
      </c>
      <c r="G122" s="5">
        <f>(1-Parameters!$B$4)^Parameters!B$71*G121+D121*Parameters!B$71-Parameters!$B$5*D121^2/G121*Parameters!B$71</f>
        <v>3.3255087170621067</v>
      </c>
      <c r="H122" s="7">
        <f>MAX(H121 * (1-Parameters!$B$4) ^ Parameters!B$71 + (LN(1+EXP(Parameters!$B$21*(-B121+0.004)))/Parameters!$B$21 -0.004) * Parameters!B$71,0)</f>
        <v>7.5433637915621569E-3</v>
      </c>
      <c r="I122" s="16">
        <f>I121*(1+Parameters!$B$52)^Parameters!B$71</f>
        <v>11.483933093678242</v>
      </c>
      <c r="J122" s="16">
        <f>J121*(1+Parameters!$B$54)^Parameters!B$71</f>
        <v>93.668381484906178</v>
      </c>
      <c r="K122" s="16">
        <f>I122*J122*EXP(-Parameters!$B$43*'6states'!A122)*(Parameters!$B$38/Parameters!$B$39*('6states'!E122+'6states'!H122)/Parameters!$E$25*(EXP(-Parameters!$B$39*Parameters!$E$25*'6states'!H122/('6states'!E122+'6states'!H122))-EXP(-Parameters!$B$39*Parameters!$E$25))  +  Parameters!$B$40*'6states'!E122)</f>
        <v>9.8491874219400782E-2</v>
      </c>
      <c r="L122" s="6">
        <f>L121+K122*Parameters!B$71</f>
        <v>3348.1865368060089</v>
      </c>
      <c r="M122" s="5">
        <f>L122*Parameters!$B$46</f>
        <v>2.0089119220836054</v>
      </c>
      <c r="N122" s="7">
        <f>EXP(-Parameters!$B$47/2*M122^2)</f>
        <v>0.96025245276365023</v>
      </c>
      <c r="O122" s="6">
        <f>MAX((Parameters!$B$63 + Parameters!$B$31*'6states'!A122 - '6states'!L122 + Parameters!$B$48/Parameters!$B$46)/Parameters!B$63,1)</f>
        <v>105.58826926387982</v>
      </c>
      <c r="P122" s="5">
        <f>Parameters!B$62*EXP(-Parameters!B$61*A122)</f>
        <v>2.0668444118698833E-2</v>
      </c>
      <c r="Q122" s="5">
        <f>(1-Parameters!B$62)*O122^-Parameters!B$64</f>
        <v>0.31376784664447294</v>
      </c>
      <c r="R122" s="5">
        <f>Parameters!B$62*EXP(-Parameters!B$61*A122)+(1-Parameters!B$62)*O122^-Parameters!B$64</f>
        <v>0.33443629076317177</v>
      </c>
      <c r="S122" s="5">
        <f>1-R122/Parameters!$B$12</f>
        <v>0.83278185461841414</v>
      </c>
      <c r="T122" s="5">
        <f t="shared" si="38"/>
        <v>5.9802122414289167</v>
      </c>
      <c r="U122" s="5">
        <f>(Parameters!$B$19*(E122+Parameters!$B$20)^S122+Parameters!$B$18*F122^S122)^(1/S122)</f>
        <v>0.3397881812476875</v>
      </c>
      <c r="V122" s="5">
        <f>(Parameters!$B$10*G122^Parameters!$B$9+Parameters!$B$11*U122^Parameters!$B$9)^(Parameters!$B$7/Parameters!$B$9)*N122</f>
        <v>1.3348505478542054</v>
      </c>
      <c r="W122" s="5">
        <f>V122 - C122 - D122 - LN(1+EXP(Parameters!$B$21*B122))/Parameters!$B$21 - IF(B122&gt;0, 0,Parameters!$B$6*B122^2/E122)</f>
        <v>1.0161934869410145</v>
      </c>
      <c r="X122" s="5">
        <f>EXP(-Parameters!$B$56*A122)</f>
        <v>0.16833487163346803</v>
      </c>
      <c r="Y122" s="5">
        <f>IF(W122&gt;0,W122^(1-Parameters!$B$53)/(1-Parameters!$B$53)*X122*Parameters!$B$71,-10+W122*1000)</f>
        <v>-0.47826027068964422</v>
      </c>
      <c r="AA122" s="15">
        <f t="shared" si="41"/>
        <v>-5.3260117778222878E-4</v>
      </c>
      <c r="AB122" s="15">
        <f t="shared" si="42"/>
        <v>2.2502193944048954E-5</v>
      </c>
      <c r="AC122" s="15">
        <f t="shared" si="43"/>
        <v>-3.1379973398540373E-5</v>
      </c>
      <c r="AD122" s="15">
        <f t="shared" si="62"/>
        <v>4.8001541437107161E-8</v>
      </c>
      <c r="AE122" s="15">
        <f t="shared" si="64"/>
        <v>-4.0752023802215209E-5</v>
      </c>
      <c r="AF122" s="15">
        <f t="shared" si="65"/>
        <v>-1.3792188822553397E-6</v>
      </c>
      <c r="AG122" s="15">
        <f t="shared" si="66"/>
        <v>1.9736057443597854E-6</v>
      </c>
      <c r="AH122" s="15">
        <f t="shared" si="63"/>
        <v>2.805342396851723E-10</v>
      </c>
      <c r="AI122" s="15"/>
      <c r="AM122" s="16">
        <f t="shared" si="34"/>
        <v>8.1142563198863069</v>
      </c>
      <c r="AN122" s="16">
        <f t="shared" si="35"/>
        <v>0.41790504990026378</v>
      </c>
      <c r="AO122" s="16">
        <f t="shared" si="61"/>
        <v>365.50383533083561</v>
      </c>
      <c r="AP122" s="6">
        <f t="shared" si="37"/>
        <v>1435.8739407670309</v>
      </c>
      <c r="AQ122" s="15">
        <f>-X122*V122*W122^(-Parameters!B$53)*Parameters!B$47*Parameters!B$46*M122</f>
        <v>-5.327172875811231E-6</v>
      </c>
      <c r="AR122" s="5">
        <f>1000*EXP(-(Parameters!$B$55)*'6states'!A122)*AP122*Parameters!B$47*Parameters!B$46*M122</f>
        <v>0.5529216972887393</v>
      </c>
      <c r="AS122" s="5">
        <f>SUM(AR122:AR$204)*EXP(Parameters!$B$55*A122)</f>
        <v>2166.151098777173</v>
      </c>
      <c r="AT122" s="25">
        <f t="shared" si="47"/>
        <v>0.23742178633820937</v>
      </c>
      <c r="AU122">
        <f>(1/$S122-1/Parameters!$B$13) * LN(Parameters!$B$18) / LN(O122)</f>
        <v>0.20432811000520446</v>
      </c>
      <c r="AV122">
        <f>(Parameters!$B$18*'6states'!S122^+Parameters!$B$19*Parameters!$B$25^'6states'!S122)^((1-'6states'!S122)/'6states'!S122)*Parameters!$B$18*Parameters!$B$26^('6states'!S122-1)</f>
        <v>0.30700985989551516</v>
      </c>
      <c r="AW122">
        <f t="shared" si="48"/>
        <v>0.18486727029218439</v>
      </c>
      <c r="AX122">
        <f t="shared" si="49"/>
        <v>0.1320571898004067</v>
      </c>
      <c r="AY122">
        <f t="shared" si="50"/>
        <v>0.1916846555303795</v>
      </c>
      <c r="AZ122">
        <f>(1/$S122-1/Parameters!$B$13) * LN(Parameters!$B$18) / A122</f>
        <v>8.0684448212985579E-3</v>
      </c>
    </row>
    <row r="123" spans="1:52" x14ac:dyDescent="0.35">
      <c r="A123">
        <f>A122+Parameters!$B$71</f>
        <v>119</v>
      </c>
      <c r="B123" s="7">
        <f t="shared" si="69"/>
        <v>-2.9568713141259393E-6</v>
      </c>
      <c r="C123" s="7">
        <f t="shared" si="67"/>
        <v>9.0949993792235756E-2</v>
      </c>
      <c r="D123" s="7">
        <f t="shared" si="68"/>
        <v>0.22597556464516125</v>
      </c>
      <c r="E123" s="5">
        <f>MAX((1-Parameters!$B$4)^Parameters!B$71*E122 + B122*Parameters!B$71 - IF(B122&gt;0,Parameters!$B$5,0)*B122^2/E122*Parameters!B$71, 0.0001)</f>
        <v>3.6110893182078011E-4</v>
      </c>
      <c r="F123" s="5">
        <f>(1-Parameters!$B$4)^Parameters!B$71*F122+C122*Parameters!B$71-Parameters!$B$5*C122^2/F122*Parameters!B$71</f>
        <v>1.3553271221257235</v>
      </c>
      <c r="G123" s="5">
        <f>(1-Parameters!$B$4)^Parameters!B$71*G122+D122*Parameters!B$71-Parameters!$B$5*D122^2/G122*Parameters!B$71</f>
        <v>3.3269542513151813</v>
      </c>
      <c r="H123" s="7">
        <f>MAX(H122 * (1-Parameters!$B$4) ^ Parameters!B$71 + (LN(1+EXP(Parameters!$B$21*(-B122+0.004)))/Parameters!$B$21 -0.004) * Parameters!B$71,0)</f>
        <v>7.5310984769190216E-3</v>
      </c>
      <c r="I123" s="16">
        <f>I122*(1+Parameters!$B$52)^Parameters!B$71</f>
        <v>11.517236499649908</v>
      </c>
      <c r="J123" s="16">
        <f>J122*(1+Parameters!$B$54)^Parameters!B$71</f>
        <v>95.541749114604301</v>
      </c>
      <c r="K123" s="16">
        <f>I123*J123*EXP(-Parameters!$B$43*'6states'!A123)*(Parameters!$B$38/Parameters!$B$39*('6states'!E123+'6states'!H123)/Parameters!$E$25*(EXP(-Parameters!$B$39*Parameters!$E$25*'6states'!H123/('6states'!E123+'6states'!H123))-EXP(-Parameters!$B$39*Parameters!$E$25))  +  Parameters!$B$40*'6states'!E123)</f>
        <v>9.2717036339252643E-2</v>
      </c>
      <c r="L123" s="6">
        <f>L122+K123*Parameters!B$71</f>
        <v>3348.2792538423482</v>
      </c>
      <c r="M123" s="5">
        <f>L123*Parameters!$B$46</f>
        <v>2.0089675523054087</v>
      </c>
      <c r="N123" s="7">
        <f>EXP(-Parameters!$B$47/2*M123^2)</f>
        <v>0.96025029572118237</v>
      </c>
      <c r="O123" s="6">
        <f>MAX((Parameters!$B$63 + Parameters!$B$31*'6states'!A123 - '6states'!L123 + Parameters!$B$48/Parameters!$B$46)/Parameters!B$63,1)</f>
        <v>106.65041492315304</v>
      </c>
      <c r="P123" s="5">
        <f>Parameters!B$62*EXP(-Parameters!B$61*A123)</f>
        <v>2.0117862427753069E-2</v>
      </c>
      <c r="Q123" s="5">
        <f>(1-Parameters!B$62)*O123^-Parameters!B$64</f>
        <v>0.31345395173920887</v>
      </c>
      <c r="R123" s="5">
        <f>Parameters!B$62*EXP(-Parameters!B$61*A123)+(1-Parameters!B$62)*O123^-Parameters!B$64</f>
        <v>0.33357181416696191</v>
      </c>
      <c r="S123" s="5">
        <f>1-R123/Parameters!$B$12</f>
        <v>0.83321409291651904</v>
      </c>
      <c r="T123" s="5">
        <f t="shared" si="38"/>
        <v>5.9957104139468589</v>
      </c>
      <c r="U123" s="5">
        <f>(Parameters!$B$19*(E123+Parameters!$B$20)^S123+Parameters!$B$18*F123^S123)^(1/S123)</f>
        <v>0.33986199132771372</v>
      </c>
      <c r="V123" s="5">
        <f>(Parameters!$B$10*G123^Parameters!$B$9+Parameters!$B$11*U123^Parameters!$B$9)^(Parameters!$B$7/Parameters!$B$9)*N123</f>
        <v>1.3349920216181868</v>
      </c>
      <c r="W123" s="5">
        <f>V123 - C123 - D123 - LN(1+EXP(Parameters!$B$21*B123))/Parameters!$B$21 - IF(B123&gt;0, 0,Parameters!$B$6*B123^2/E123)</f>
        <v>1.0163349521690208</v>
      </c>
      <c r="X123" s="5">
        <f>EXP(-Parameters!$B$56*A123)</f>
        <v>0.16581210985760431</v>
      </c>
      <c r="Y123" s="5">
        <f>IF(W123&gt;0,W123^(1-Parameters!$B$53)/(1-Parameters!$B$53)*X123*Parameters!$B$71,-10+W123*1000)</f>
        <v>-0.47106983997518376</v>
      </c>
      <c r="AA123" s="15">
        <f t="shared" si="41"/>
        <v>-5.7736535039952259E-4</v>
      </c>
      <c r="AB123" s="15">
        <f t="shared" si="42"/>
        <v>2.1201847058505141E-5</v>
      </c>
      <c r="AC123" s="15">
        <f t="shared" si="43"/>
        <v>-2.9524662903804288E-5</v>
      </c>
      <c r="AD123" s="15">
        <f t="shared" si="62"/>
        <v>5.5492665767667252E-8</v>
      </c>
      <c r="AE123" s="15">
        <f t="shared" si="64"/>
        <v>-4.4764172617293811E-5</v>
      </c>
      <c r="AF123" s="15">
        <f t="shared" si="65"/>
        <v>-1.3003468855438127E-6</v>
      </c>
      <c r="AG123" s="15">
        <f t="shared" si="66"/>
        <v>1.8553104947360843E-6</v>
      </c>
      <c r="AH123" s="15">
        <f t="shared" si="63"/>
        <v>3.3311059746638692E-10</v>
      </c>
      <c r="AI123" s="15"/>
      <c r="AM123" s="16">
        <f t="shared" si="34"/>
        <v>8.2870469473266564</v>
      </c>
      <c r="AN123" s="16">
        <f t="shared" si="35"/>
        <v>0.39735593423312005</v>
      </c>
      <c r="AO123" s="16">
        <f t="shared" si="61"/>
        <v>373.97629129089563</v>
      </c>
      <c r="AP123" s="6">
        <f t="shared" si="37"/>
        <v>1468.9944091638511</v>
      </c>
      <c r="AQ123" s="15">
        <f>-X123*V123*W123^(-Parameters!B$53)*Parameters!B$47*Parameters!B$46*M123</f>
        <v>-5.2470521776713521E-6</v>
      </c>
      <c r="AR123" s="5">
        <f>1000*EXP(-(Parameters!$B$55)*'6states'!A123)*AP123*Parameters!B$47*Parameters!B$46*M123</f>
        <v>0.54617994777252987</v>
      </c>
      <c r="AS123" s="5">
        <f>SUM(AR123:AR$204)*EXP(Parameters!$B$55*A123)</f>
        <v>2207.5027810531242</v>
      </c>
      <c r="AT123" s="25">
        <f t="shared" si="47"/>
        <v>0.23739662592285068</v>
      </c>
      <c r="AU123">
        <f>(1/$S123-1/Parameters!$B$13) * LN(Parameters!$B$18) / LN(O123)</f>
        <v>0.20404905675282461</v>
      </c>
      <c r="AV123">
        <f>(Parameters!$B$18*'6states'!S123^+Parameters!$B$19*Parameters!$B$25^'6states'!S123)^((1-'6states'!S123)/'6states'!S123)*Parameters!$B$18*Parameters!$B$26^('6states'!S123-1)</f>
        <v>0.30706586993285806</v>
      </c>
      <c r="AW123">
        <f t="shared" si="48"/>
        <v>0.18451007867130448</v>
      </c>
      <c r="AX123">
        <f t="shared" si="49"/>
        <v>0.13188929174662911</v>
      </c>
      <c r="AY123">
        <f t="shared" si="50"/>
        <v>0.19171603630907541</v>
      </c>
      <c r="AZ123">
        <f>(1/$S123-1/Parameters!$B$13) * LN(Parameters!$B$18) / A123</f>
        <v>8.0068787033368491E-3</v>
      </c>
    </row>
    <row r="124" spans="1:52" x14ac:dyDescent="0.35">
      <c r="A124">
        <f>A123+Parameters!$B$71</f>
        <v>120</v>
      </c>
      <c r="B124" s="7">
        <f t="shared" si="69"/>
        <v>-2.9568713141259393E-6</v>
      </c>
      <c r="C124" s="7">
        <f t="shared" si="67"/>
        <v>9.0949993792235756E-2</v>
      </c>
      <c r="D124" s="7">
        <f t="shared" si="68"/>
        <v>0.22597556464516125</v>
      </c>
      <c r="E124" s="5">
        <f>MAX((1-Parameters!$B$4)^Parameters!B$71*E123 + B123*Parameters!B$71 - IF(B123&gt;0,Parameters!$B$5,0)*B123^2/E123*Parameters!B$71, 0.0001)</f>
        <v>3.3543830869512715E-4</v>
      </c>
      <c r="F124" s="5">
        <f>(1-Parameters!$B$4)^Parameters!B$71*F123+C123*Parameters!B$71-Parameters!$B$5*C123^2/F123*Parameters!B$71</f>
        <v>1.3549237891152732</v>
      </c>
      <c r="G124" s="5">
        <f>(1-Parameters!$B$4)^Parameters!B$71*G123+D123*Parameters!B$71-Parameters!$B$5*D123^2/G123*Parameters!B$71</f>
        <v>3.3283155333161081</v>
      </c>
      <c r="H124" s="7">
        <f>MAX(H123 * (1-Parameters!$B$4) ^ Parameters!B$71 + (LN(1+EXP(Parameters!$B$21*(-B123+0.004)))/Parameters!$B$21 -0.004) * Parameters!B$71,0)</f>
        <v>7.5196046505669389E-3</v>
      </c>
      <c r="I124" s="16">
        <f>I123*(1+Parameters!$B$52)^Parameters!B$71</f>
        <v>11.550636485498892</v>
      </c>
      <c r="J124" s="16">
        <f>J123*(1+Parameters!$B$54)^Parameters!B$71</f>
        <v>97.452584096896388</v>
      </c>
      <c r="K124" s="16">
        <f>I124*J124*EXP(-Parameters!$B$43*'6states'!A124)*(Parameters!$B$38/Parameters!$B$39*('6states'!E124+'6states'!H124)/Parameters!$E$25*(EXP(-Parameters!$B$39*Parameters!$E$25*'6states'!H124/('6states'!E124+'6states'!H124))-EXP(-Parameters!$B$39*Parameters!$E$25))  +  Parameters!$B$40*'6states'!E124)</f>
        <v>8.7226576701306083E-2</v>
      </c>
      <c r="L124" s="6">
        <f>L123+K124*Parameters!B$71</f>
        <v>3348.3664804190494</v>
      </c>
      <c r="M124" s="5">
        <f>L124*Parameters!$B$46</f>
        <v>2.0090198882514296</v>
      </c>
      <c r="N124" s="7">
        <f>EXP(-Parameters!$B$47/2*M124^2)</f>
        <v>0.96024826636300342</v>
      </c>
      <c r="O124" s="6">
        <f>MAX((Parameters!$B$63 + Parameters!$B$31*'6states'!A124 - '6states'!L124 + Parameters!$B$48/Parameters!$B$46)/Parameters!B$63,1)</f>
        <v>107.71267039161901</v>
      </c>
      <c r="P124" s="5">
        <f>Parameters!B$62*EXP(-Parameters!B$61*A124)</f>
        <v>1.958194754949354E-2</v>
      </c>
      <c r="Q124" s="5">
        <f>(1-Parameters!B$62)*O124^-Parameters!B$64</f>
        <v>0.31314344496328311</v>
      </c>
      <c r="R124" s="5">
        <f>Parameters!B$62*EXP(-Parameters!B$61*A124)+(1-Parameters!B$62)*O124^-Parameters!B$64</f>
        <v>0.33272539251277666</v>
      </c>
      <c r="S124" s="5">
        <f>1-R124/Parameters!$B$12</f>
        <v>0.83363730374361167</v>
      </c>
      <c r="T124" s="5">
        <f t="shared" si="38"/>
        <v>6.0109629292065527</v>
      </c>
      <c r="U124" s="5">
        <f>(Parameters!$B$19*(E124+Parameters!$B$20)^S124+Parameters!$B$18*F124^S124)^(1/S124)</f>
        <v>0.33993949197910367</v>
      </c>
      <c r="V124" s="5">
        <f>(Parameters!$B$10*G124^Parameters!$B$9+Parameters!$B$11*U124^Parameters!$B$9)^(Parameters!$B$7/Parameters!$B$9)*N124</f>
        <v>1.3351284002161099</v>
      </c>
      <c r="W124" s="5">
        <f>V124 - C124 - D124 - LN(1+EXP(Parameters!$B$21*B124))/Parameters!$B$21 - IF(B124&gt;0, 0,Parameters!$B$6*B124^2/E124)</f>
        <v>1.0164713215024783</v>
      </c>
      <c r="X124" s="5">
        <f>EXP(-Parameters!$B$56*A124)</f>
        <v>0.16332715561927577</v>
      </c>
      <c r="Y124" s="5">
        <f>IF(W124&gt;0,W124^(1-Parameters!$B$53)/(1-Parameters!$B$53)*X124*Parameters!$B$71,-10+W124*1000)</f>
        <v>-0.46398833147834823</v>
      </c>
      <c r="AA124" s="15">
        <f t="shared" si="41"/>
        <v>-6.2663975624356605E-4</v>
      </c>
      <c r="AB124" s="15">
        <f t="shared" si="42"/>
        <v>1.9975950096881578E-5</v>
      </c>
      <c r="AC124" s="15">
        <f t="shared" si="43"/>
        <v>-2.7780385093698068E-5</v>
      </c>
      <c r="AD124" s="15">
        <f t="shared" si="62"/>
        <v>6.4326101757534743E-8</v>
      </c>
      <c r="AE124" s="15">
        <f t="shared" si="64"/>
        <v>-4.927440584404346E-5</v>
      </c>
      <c r="AF124" s="15">
        <f t="shared" si="65"/>
        <v>-1.2258969616235627E-6</v>
      </c>
      <c r="AG124" s="15">
        <f t="shared" si="66"/>
        <v>1.7442778101062206E-6</v>
      </c>
      <c r="AH124" s="15">
        <f t="shared" si="63"/>
        <v>3.9729533125535204E-10</v>
      </c>
      <c r="AI124" s="15"/>
      <c r="AM124" s="16">
        <f t="shared" si="34"/>
        <v>8.4643630676495842</v>
      </c>
      <c r="AN124" s="16">
        <f t="shared" si="35"/>
        <v>0.37758256763935166</v>
      </c>
      <c r="AO124" s="16">
        <f t="shared" si="61"/>
        <v>382.64927677102656</v>
      </c>
      <c r="AP124" s="6">
        <f t="shared" si="37"/>
        <v>1502.8730959289562</v>
      </c>
      <c r="AQ124" s="15">
        <f>-X124*V124*W124^(-Parameters!B$53)*Parameters!B$47*Parameters!B$46*M124</f>
        <v>-5.1681433488341308E-6</v>
      </c>
      <c r="AR124" s="5">
        <f>1000*EXP(-(Parameters!$B$55)*'6states'!A124)*AP124*Parameters!B$47*Parameters!B$46*M124</f>
        <v>0.53951745003429841</v>
      </c>
      <c r="AS124" s="5">
        <f>SUM(AR124:AR$204)*EXP(Parameters!$B$55*A124)</f>
        <v>2249.4995694532936</v>
      </c>
      <c r="AT124" s="25">
        <f t="shared" si="47"/>
        <v>0.23737237670532987</v>
      </c>
      <c r="AU124">
        <f>(1/$S124-1/Parameters!$B$13) * LN(Parameters!$B$18) / LN(O124)</f>
        <v>0.20377200073963156</v>
      </c>
      <c r="AV124">
        <f>(Parameters!$B$18*'6states'!S124^+Parameters!$B$19*Parameters!$B$25^'6states'!S124)^((1-'6states'!S124)/'6states'!S124)*Parameters!$B$18*Parameters!$B$26^('6states'!S124-1)</f>
        <v>0.30712032169985259</v>
      </c>
      <c r="AW124">
        <f t="shared" si="48"/>
        <v>0.18415718700201442</v>
      </c>
      <c r="AX124">
        <f t="shared" si="49"/>
        <v>0.13172256324140141</v>
      </c>
      <c r="AY124">
        <f t="shared" si="50"/>
        <v>0.19174654286675785</v>
      </c>
      <c r="AZ124">
        <f>(1/$S124-1/Parameters!$B$13) * LN(Parameters!$B$18) / A124</f>
        <v>7.9462033193287013E-3</v>
      </c>
    </row>
    <row r="125" spans="1:52" x14ac:dyDescent="0.35">
      <c r="A125">
        <f>A124+Parameters!$B$71</f>
        <v>121</v>
      </c>
      <c r="B125" s="7">
        <f t="shared" si="69"/>
        <v>-2.9568713141259393E-6</v>
      </c>
      <c r="C125" s="7">
        <f t="shared" si="67"/>
        <v>9.0949993792235756E-2</v>
      </c>
      <c r="D125" s="7">
        <f t="shared" si="68"/>
        <v>0.22597556464516125</v>
      </c>
      <c r="E125" s="5">
        <f>MAX((1-Parameters!$B$4)^Parameters!B$71*E124 + B124*Parameters!B$71 - IF(B124&gt;0,Parameters!$B$5,0)*B124^2/E124*Parameters!B$71, 0.0001)</f>
        <v>3.1138236776407773E-4</v>
      </c>
      <c r="F125" s="5">
        <f>(1-Parameters!$B$4)^Parameters!B$71*F124+C124*Parameters!B$71-Parameters!$B$5*C124^2/F124*Parameters!B$71</f>
        <v>1.3545440089386429</v>
      </c>
      <c r="G125" s="5">
        <f>(1-Parameters!$B$4)^Parameters!B$71*G124+D124*Parameters!B$71-Parameters!$B$5*D124^2/G124*Parameters!B$71</f>
        <v>3.3295974683673837</v>
      </c>
      <c r="H125" s="7">
        <f>MAX(H124 * (1-Parameters!$B$4) ^ Parameters!B$71 + (LN(1+EXP(Parameters!$B$21*(-B124+0.004)))/Parameters!$B$21 -0.004) * Parameters!B$71,0)</f>
        <v>7.5088337858924027E-3</v>
      </c>
      <c r="I125" s="16">
        <f>I124*(1+Parameters!$B$52)^Parameters!B$71</f>
        <v>11.584133331306838</v>
      </c>
      <c r="J125" s="16">
        <f>J124*(1+Parameters!$B$54)^Parameters!B$71</f>
        <v>99.401635778834319</v>
      </c>
      <c r="K125" s="16">
        <f>I125*J125*EXP(-Parameters!$B$43*'6states'!A125)*(Parameters!$B$38/Parameters!$B$39*('6states'!E125+'6states'!H125)/Parameters!$E$25*(EXP(-Parameters!$B$39*Parameters!$E$25*'6states'!H125/('6states'!E125+'6states'!H125))-EXP(-Parameters!$B$39*Parameters!$E$25))  +  Parameters!$B$40*'6states'!E125)</f>
        <v>8.2005889520194469E-2</v>
      </c>
      <c r="L125" s="6">
        <f>L124+K125*Parameters!B$71</f>
        <v>3348.4484863085695</v>
      </c>
      <c r="M125" s="5">
        <f>L125*Parameters!$B$46</f>
        <v>2.0090690917851415</v>
      </c>
      <c r="N125" s="7">
        <f>EXP(-Parameters!$B$47/2*M125^2)</f>
        <v>0.96024635842171602</v>
      </c>
      <c r="O125" s="6">
        <f>MAX((Parameters!$B$63 + Parameters!$B$31*'6states'!A125 - '6states'!L125 + Parameters!$B$48/Parameters!$B$46)/Parameters!B$63,1)</f>
        <v>108.77503027382863</v>
      </c>
      <c r="P125" s="5">
        <f>Parameters!B$62*EXP(-Parameters!B$61*A125)</f>
        <v>1.9060308778239474E-2</v>
      </c>
      <c r="Q125" s="5">
        <f>(1-Parameters!B$62)*O125^-Parameters!B$64</f>
        <v>0.31283625845488117</v>
      </c>
      <c r="R125" s="5">
        <f>Parameters!B$62*EXP(-Parameters!B$61*A125)+(1-Parameters!B$62)*O125^-Parameters!B$64</f>
        <v>0.33189656723312067</v>
      </c>
      <c r="S125" s="5">
        <f>1-R125/Parameters!$B$12</f>
        <v>0.83405171638343967</v>
      </c>
      <c r="T125" s="5">
        <f t="shared" si="38"/>
        <v>6.025973744390134</v>
      </c>
      <c r="U125" s="5">
        <f>(Parameters!$B$19*(E125+Parameters!$B$20)^S125+Parameters!$B$18*F125^S125)^(1/S125)</f>
        <v>0.34002031556600448</v>
      </c>
      <c r="V125" s="5">
        <f>(Parameters!$B$10*G125^Parameters!$B$9+Parameters!$B$11*U125^Parameters!$B$9)^(Parameters!$B$7/Parameters!$B$9)*N125</f>
        <v>1.3352599298998928</v>
      </c>
      <c r="W125" s="5">
        <f>V125 - C125 - D125 - LN(1+EXP(Parameters!$B$21*B125))/Parameters!$B$21 - IF(B125&gt;0, 0,Parameters!$B$6*B125^2/E125)</f>
        <v>1.0166028411180916</v>
      </c>
      <c r="X125" s="5">
        <f>EXP(-Parameters!$B$56*A125)</f>
        <v>0.16087944231330067</v>
      </c>
      <c r="Y125" s="5">
        <f>IF(W125&gt;0,W125^(1-Parameters!$B$53)/(1-Parameters!$B$53)*X125*Parameters!$B$71,-10+W125*1000)</f>
        <v>-0.45701404397352019</v>
      </c>
      <c r="AA125" s="15">
        <f t="shared" si="41"/>
        <v>-6.8100154365728291E-4</v>
      </c>
      <c r="AB125" s="15">
        <f t="shared" si="42"/>
        <v>1.882031890521052E-5</v>
      </c>
      <c r="AC125" s="15">
        <f t="shared" si="43"/>
        <v>-2.6140342773497971E-5</v>
      </c>
      <c r="AD125" s="15">
        <f t="shared" si="62"/>
        <v>7.4776865238352962E-8</v>
      </c>
      <c r="AE125" s="15">
        <f t="shared" si="64"/>
        <v>-5.4361787413716861E-5</v>
      </c>
      <c r="AF125" s="15">
        <f t="shared" si="65"/>
        <v>-1.1556311916710582E-6</v>
      </c>
      <c r="AG125" s="15">
        <f t="shared" si="66"/>
        <v>1.6400423202000969E-6</v>
      </c>
      <c r="AH125" s="15">
        <f t="shared" si="63"/>
        <v>4.7607913582434602E-10</v>
      </c>
      <c r="AI125" s="15"/>
      <c r="AM125" s="16">
        <f t="shared" si="34"/>
        <v>8.6462854602898656</v>
      </c>
      <c r="AN125" s="16">
        <f t="shared" si="35"/>
        <v>0.35855113001002525</v>
      </c>
      <c r="AO125" s="16">
        <f t="shared" si="61"/>
        <v>391.52720575664154</v>
      </c>
      <c r="AP125" s="6">
        <f t="shared" si="37"/>
        <v>1537.5275105026201</v>
      </c>
      <c r="AQ125" s="15">
        <f>-X125*V125*W125^(-Parameters!B$53)*Parameters!B$47*Parameters!B$46*M125</f>
        <v>-5.0904276341536684E-6</v>
      </c>
      <c r="AR125" s="5">
        <f>1000*EXP(-(Parameters!$B$55)*'6states'!A125)*AP125*Parameters!B$47*Parameters!B$46*M125</f>
        <v>0.53293345166283645</v>
      </c>
      <c r="AS125" s="5">
        <f>SUM(AR125:AR$204)*EXP(Parameters!$B$55*A125)</f>
        <v>2292.1454980947392</v>
      </c>
      <c r="AT125" s="25">
        <f t="shared" si="47"/>
        <v>0.23734899435635967</v>
      </c>
      <c r="AU125">
        <f>(1/$S125-1/Parameters!$B$13) * LN(Parameters!$B$18) / LN(O125)</f>
        <v>0.20349692490508114</v>
      </c>
      <c r="AV125">
        <f>(Parameters!$B$18*'6states'!S125^+Parameters!$B$19*Parameters!$B$25^'6states'!S125)^((1-'6states'!S125)/'6states'!S125)*Parameters!$B$18*Parameters!$B$26^('6states'!S125-1)</f>
        <v>0.3071732694586784</v>
      </c>
      <c r="AW125">
        <f t="shared" si="48"/>
        <v>0.18380851091712558</v>
      </c>
      <c r="AX125">
        <f t="shared" si="49"/>
        <v>0.13155699470127591</v>
      </c>
      <c r="AY125">
        <f t="shared" si="50"/>
        <v>0.19177620570097476</v>
      </c>
      <c r="AZ125">
        <f>(1/$S125-1/Parameters!$B$13) * LN(Parameters!$B$18) / A125</f>
        <v>7.8864002291084614E-3</v>
      </c>
    </row>
    <row r="126" spans="1:52" x14ac:dyDescent="0.35">
      <c r="A126">
        <f>A125+Parameters!$B$71</f>
        <v>122</v>
      </c>
      <c r="B126" s="7">
        <f t="shared" si="69"/>
        <v>-2.9568713141259393E-6</v>
      </c>
      <c r="C126" s="7">
        <f t="shared" si="67"/>
        <v>9.0949993792235756E-2</v>
      </c>
      <c r="D126" s="7">
        <f t="shared" si="68"/>
        <v>0.22597556464516125</v>
      </c>
      <c r="E126" s="5">
        <f>MAX((1-Parameters!$B$4)^Parameters!B$71*E125 + B125*Parameters!B$71 - IF(B125&gt;0,Parameters!$B$5,0)*B125^2/E125*Parameters!B$71, 0.0001)</f>
        <v>2.8883954551759132E-4</v>
      </c>
      <c r="F126" s="5">
        <f>(1-Parameters!$B$4)^Parameters!B$71*F125+C125*Parameters!B$71-Parameters!$B$5*C125^2/F125*Parameters!B$71</f>
        <v>1.3541864052272352</v>
      </c>
      <c r="G126" s="5">
        <f>(1-Parameters!$B$4)^Parameters!B$71*G125+D125*Parameters!B$71-Parameters!$B$5*D125^2/G125*Parameters!B$71</f>
        <v>3.3308046767826522</v>
      </c>
      <c r="H126" s="7">
        <f>MAX(H125 * (1-Parameters!$B$4) ^ Parameters!B$71 + (LN(1+EXP(Parameters!$B$21*(-B125+0.004)))/Parameters!$B$21 -0.004) * Parameters!B$71,0)</f>
        <v>7.498740408605895E-3</v>
      </c>
      <c r="I126" s="16">
        <f>I125*(1+Parameters!$B$52)^Parameters!B$71</f>
        <v>11.617727317967626</v>
      </c>
      <c r="J126" s="16">
        <f>J125*(1+Parameters!$B$54)^Parameters!B$71</f>
        <v>101.38966849441101</v>
      </c>
      <c r="K126" s="16">
        <f>I126*J126*EXP(-Parameters!$B$43*'6states'!A126)*(Parameters!$B$38/Parameters!$B$39*('6states'!E126+'6states'!H126)/Parameters!$E$25*(EXP(-Parameters!$B$39*Parameters!$E$25*'6states'!H126/('6states'!E126+'6states'!H126))-EXP(-Parameters!$B$39*Parameters!$E$25))  +  Parameters!$B$40*'6states'!E126)</f>
        <v>7.7041111217318423E-2</v>
      </c>
      <c r="L126" s="6">
        <f>L125+K126*Parameters!B$71</f>
        <v>3348.5255274197866</v>
      </c>
      <c r="M126" s="5">
        <f>L126*Parameters!$B$46</f>
        <v>2.0091153164518718</v>
      </c>
      <c r="N126" s="7">
        <f>EXP(-Parameters!$B$47/2*M126^2)</f>
        <v>0.96024456595137631</v>
      </c>
      <c r="O126" s="6">
        <f>MAX((Parameters!$B$63 + Parameters!$B$31*'6states'!A126 - '6states'!L126 + Parameters!$B$48/Parameters!$B$46)/Parameters!B$63,1)</f>
        <v>109.83748945160427</v>
      </c>
      <c r="P126" s="5">
        <f>Parameters!B$62*EXP(-Parameters!B$61*A126)</f>
        <v>1.8552565816224387E-2</v>
      </c>
      <c r="Q126" s="5">
        <f>(1-Parameters!B$62)*O126^-Parameters!B$64</f>
        <v>0.31253232628660982</v>
      </c>
      <c r="R126" s="5">
        <f>Parameters!B$62*EXP(-Parameters!B$61*A126)+(1-Parameters!B$62)*O126^-Parameters!B$64</f>
        <v>0.33108489210283421</v>
      </c>
      <c r="S126" s="5">
        <f>1-R126/Parameters!$B$12</f>
        <v>0.8344575539485829</v>
      </c>
      <c r="T126" s="5">
        <f t="shared" si="38"/>
        <v>6.040746792453473</v>
      </c>
      <c r="U126" s="5">
        <f>(Parameters!$B$19*(E126+Parameters!$B$20)^S126+Parameters!$B$18*F126^S126)^(1/S126)</f>
        <v>0.34010411983076883</v>
      </c>
      <c r="V126" s="5">
        <f>(Parameters!$B$10*G126^Parameters!$B$9+Parameters!$B$11*U126^Parameters!$B$9)^(Parameters!$B$7/Parameters!$B$9)*N126</f>
        <v>1.335386842248915</v>
      </c>
      <c r="W126" s="5">
        <f>V126 - C126 - D126 - LN(1+EXP(Parameters!$B$21*B126))/Parameters!$B$21 - IF(B126&gt;0, 0,Parameters!$B$6*B126^2/E126)</f>
        <v>1.0167297425100934</v>
      </c>
      <c r="X126" s="5">
        <f>EXP(-Parameters!$B$56*A126)</f>
        <v>0.15846841182596355</v>
      </c>
      <c r="Y126" s="5">
        <f>IF(W126&gt;0,W126^(1-Parameters!$B$53)/(1-Parameters!$B$53)*X126*Parameters!$B$71,-10+W126*1000)</f>
        <v>-0.45014530643752454</v>
      </c>
      <c r="AA126" s="15">
        <f t="shared" si="41"/>
        <v>-7.4112257260588489E-4</v>
      </c>
      <c r="AB126" s="15">
        <f t="shared" si="42"/>
        <v>1.7730995595252597E-5</v>
      </c>
      <c r="AC126" s="15">
        <f t="shared" si="43"/>
        <v>-2.4598172115683492E-5</v>
      </c>
      <c r="AD126" s="15">
        <f t="shared" si="62"/>
        <v>8.7186487706753442E-8</v>
      </c>
      <c r="AE126" s="15">
        <f t="shared" si="64"/>
        <v>-6.0121028948601982E-5</v>
      </c>
      <c r="AF126" s="15">
        <f t="shared" si="65"/>
        <v>-1.0893233099579236E-6</v>
      </c>
      <c r="AG126" s="15">
        <f t="shared" si="66"/>
        <v>1.5421706578144789E-6</v>
      </c>
      <c r="AH126" s="15">
        <f t="shared" si="63"/>
        <v>5.7335504216740873E-10</v>
      </c>
      <c r="AI126" s="15"/>
      <c r="AM126" s="16">
        <f t="shared" si="34"/>
        <v>8.8328977159310469</v>
      </c>
      <c r="AN126" s="16">
        <f t="shared" si="35"/>
        <v>0.34022916154624017</v>
      </c>
      <c r="AO126" s="16">
        <f t="shared" si="61"/>
        <v>400.61460185823876</v>
      </c>
      <c r="AP126" s="6">
        <f t="shared" si="37"/>
        <v>1572.9755593683376</v>
      </c>
      <c r="AQ126" s="15">
        <f>-X126*V126*W126^(-Parameters!B$53)*Parameters!B$47*Parameters!B$46*M126</f>
        <v>-5.0138866023659791E-6</v>
      </c>
      <c r="AR126" s="5">
        <f>1000*EXP(-(Parameters!$B$55)*'6states'!A126)*AP126*Parameters!B$47*Parameters!B$46*M126</f>
        <v>0.52642719491893464</v>
      </c>
      <c r="AS126" s="5">
        <f>SUM(AR126:AR$204)*EXP(Parameters!$B$55*A126)</f>
        <v>2335.4443053948967</v>
      </c>
      <c r="AT126" s="25">
        <f t="shared" si="47"/>
        <v>0.23732643720852895</v>
      </c>
      <c r="AU126">
        <f>(1/$S126-1/Parameters!$B$13) * LN(Parameters!$B$18) / LN(O126)</f>
        <v>0.20322381241053616</v>
      </c>
      <c r="AV126">
        <f>(Parameters!$B$18*'6states'!S126^+Parameters!$B$19*Parameters!$B$25^'6states'!S126)^((1-'6states'!S126)/'6states'!S126)*Parameters!$B$18*Parameters!$B$26^('6states'!S126-1)</f>
        <v>0.30722476531079873</v>
      </c>
      <c r="AW126">
        <f t="shared" si="48"/>
        <v>0.18346396829224329</v>
      </c>
      <c r="AX126">
        <f t="shared" si="49"/>
        <v>0.13139257666390403</v>
      </c>
      <c r="AY126">
        <f t="shared" si="50"/>
        <v>0.19180505409167481</v>
      </c>
      <c r="AZ126">
        <f>(1/$S126-1/Parameters!$B$13) * LN(Parameters!$B$18) / A126</f>
        <v>7.8274514886466917E-3</v>
      </c>
    </row>
    <row r="127" spans="1:52" x14ac:dyDescent="0.35">
      <c r="A127">
        <f>A126+Parameters!$B$71</f>
        <v>123</v>
      </c>
      <c r="B127" s="7">
        <f t="shared" si="69"/>
        <v>-2.9568713141259393E-6</v>
      </c>
      <c r="C127" s="7">
        <f t="shared" si="67"/>
        <v>9.0949993792235756E-2</v>
      </c>
      <c r="D127" s="7">
        <f t="shared" si="68"/>
        <v>0.22597556464516125</v>
      </c>
      <c r="E127" s="5">
        <f>MAX((1-Parameters!$B$4)^Parameters!B$71*E126 + B126*Parameters!B$71 - IF(B126&gt;0,Parameters!$B$5,0)*B126^2/E126*Parameters!B$71, 0.0001)</f>
        <v>2.6771466679040892E-4</v>
      </c>
      <c r="F127" s="5">
        <f>(1-Parameters!$B$4)^Parameters!B$71*F126+C126*Parameters!B$71-Parameters!$B$5*C126^2/F126*Parameters!B$71</f>
        <v>1.3538496821553356</v>
      </c>
      <c r="G127" s="5">
        <f>(1-Parameters!$B$4)^Parameters!B$71*G126+D126*Parameters!B$71-Parameters!$B$5*D126^2/G126*Parameters!B$71</f>
        <v>3.3319415103744339</v>
      </c>
      <c r="H127" s="7">
        <f>MAX(H126 * (1-Parameters!$B$4) ^ Parameters!B$71 + (LN(1+EXP(Parameters!$B$21*(-B126+0.004)))/Parameters!$B$21 -0.004) * Parameters!B$71,0)</f>
        <v>7.4892819047507088E-3</v>
      </c>
      <c r="I127" s="16">
        <f>I126*(1+Parameters!$B$52)^Parameters!B$71</f>
        <v>11.65141872718973</v>
      </c>
      <c r="J127" s="16">
        <f>J126*(1+Parameters!$B$54)^Parameters!B$71</f>
        <v>103.41746186429923</v>
      </c>
      <c r="K127" s="16">
        <f>I127*J127*EXP(-Parameters!$B$43*'6states'!A127)*(Parameters!$B$38/Parameters!$B$39*('6states'!E127+'6states'!H127)/Parameters!$E$25*(EXP(-Parameters!$B$39*Parameters!$E$25*'6states'!H127/('6states'!E127+'6states'!H127))-EXP(-Parameters!$B$39*Parameters!$E$25))  +  Parameters!$B$40*'6states'!E127)</f>
        <v>7.2319082604143145E-2</v>
      </c>
      <c r="L127" s="6">
        <f>L126+K127*Parameters!B$71</f>
        <v>3348.5978465023909</v>
      </c>
      <c r="M127" s="5">
        <f>L127*Parameters!$B$46</f>
        <v>2.0091587079014346</v>
      </c>
      <c r="N127" s="7">
        <f>EXP(-Parameters!$B$47/2*M127^2)</f>
        <v>0.96024288331122443</v>
      </c>
      <c r="O127" s="6">
        <f>MAX((Parameters!$B$63 + Parameters!$B$31*'6states'!A127 - '6states'!L127 + Parameters!$B$48/Parameters!$B$46)/Parameters!B$63,1)</f>
        <v>110.90004306995219</v>
      </c>
      <c r="P127" s="5">
        <f>Parameters!B$62*EXP(-Parameters!B$61*A127)</f>
        <v>1.8058348496342139E-2</v>
      </c>
      <c r="Q127" s="5">
        <f>(1-Parameters!B$62)*O127^-Parameters!B$64</f>
        <v>0.31223158439532661</v>
      </c>
      <c r="R127" s="5">
        <f>Parameters!B$62*EXP(-Parameters!B$61*A127)+(1-Parameters!B$62)*O127^-Parameters!B$64</f>
        <v>0.33028993289166875</v>
      </c>
      <c r="S127" s="5">
        <f>1-R127/Parameters!$B$12</f>
        <v>0.83485503355416557</v>
      </c>
      <c r="T127" s="5">
        <f t="shared" si="38"/>
        <v>6.0552859800785273</v>
      </c>
      <c r="U127" s="5">
        <f>(Parameters!$B$19*(E127+Parameters!$B$20)^S127+Parameters!$B$18*F127^S127)^(1/S127)</f>
        <v>0.34019058630297816</v>
      </c>
      <c r="V127" s="5">
        <f>(Parameters!$B$10*G127^Parameters!$B$9+Parameters!$B$11*U127^Parameters!$B$9)^(Parameters!$B$7/Parameters!$B$9)*N127</f>
        <v>1.3355093552613377</v>
      </c>
      <c r="W127" s="5">
        <f>V127 - C127 - D127 - LN(1+EXP(Parameters!$B$21*B127))/Parameters!$B$21 - IF(B127&gt;0, 0,Parameters!$B$6*B127^2/E127)</f>
        <v>1.0168522435798784</v>
      </c>
      <c r="X127" s="5">
        <f>EXP(-Parameters!$B$56*A127)</f>
        <v>0.15609351440775748</v>
      </c>
      <c r="Y127" s="5">
        <f>IF(W127&gt;0,W127^(1-Parameters!$B$53)/(1-Parameters!$B$53)*X127*Parameters!$B$71,-10+W127*1000)</f>
        <v>-0.44338047722262125</v>
      </c>
      <c r="AA127" s="15">
        <f t="shared" si="41"/>
        <v>-8.0778880631447378E-4</v>
      </c>
      <c r="AB127" s="15">
        <f t="shared" si="42"/>
        <v>1.6704237326956028E-5</v>
      </c>
      <c r="AC127" s="15">
        <f t="shared" si="43"/>
        <v>-2.3147913096530082E-5</v>
      </c>
      <c r="AD127" s="15">
        <f t="shared" si="62"/>
        <v>1.0198176411299691E-7</v>
      </c>
      <c r="AE127" s="15">
        <f t="shared" si="64"/>
        <v>-6.6666233708588887E-5</v>
      </c>
      <c r="AF127" s="15">
        <f t="shared" si="65"/>
        <v>-1.0267582682965681E-6</v>
      </c>
      <c r="AG127" s="15">
        <f t="shared" si="66"/>
        <v>1.4502590191534104E-6</v>
      </c>
      <c r="AH127" s="15">
        <f t="shared" si="63"/>
        <v>6.9423280476366496E-10</v>
      </c>
      <c r="AI127" s="15"/>
      <c r="AM127" s="16">
        <f t="shared" si="34"/>
        <v>9.024286261451449</v>
      </c>
      <c r="AN127" s="16">
        <f t="shared" si="35"/>
        <v>0.32258550555737925</v>
      </c>
      <c r="AO127" s="16">
        <f t="shared" si="61"/>
        <v>409.91610054118632</v>
      </c>
      <c r="AP127" s="6">
        <f t="shared" si="37"/>
        <v>1609.2355555583722</v>
      </c>
      <c r="AQ127" s="15">
        <f>-X127*V127*W127^(-Parameters!B$53)*Parameters!B$47*Parameters!B$46*M127</f>
        <v>-4.9385021371855043E-6</v>
      </c>
      <c r="AR127" s="5">
        <f>1000*EXP(-(Parameters!$B$55)*'6states'!A127)*AP127*Parameters!B$47*Parameters!B$46*M127</f>
        <v>0.5199979178732409</v>
      </c>
      <c r="AS127" s="5">
        <f>SUM(AR127:AR$204)*EXP(Parameters!$B$55*A127)</f>
        <v>2379.3994135681601</v>
      </c>
      <c r="AT127" s="25">
        <f t="shared" si="47"/>
        <v>0.23730466605684405</v>
      </c>
      <c r="AU127">
        <f>(1/$S127-1/Parameters!$B$13) * LN(Parameters!$B$18) / LN(O127)</f>
        <v>0.20295264662774529</v>
      </c>
      <c r="AV127">
        <f>(Parameters!$B$18*'6states'!S127^+Parameters!$B$19*Parameters!$B$25^'6states'!S127)^((1-'6states'!S127)/'6states'!S127)*Parameters!$B$18*Parameters!$B$26^('6states'!S127-1)</f>
        <v>0.30727485929310849</v>
      </c>
      <c r="AW127">
        <f t="shared" si="48"/>
        <v>0.18312347917060795</v>
      </c>
      <c r="AX127">
        <f t="shared" si="49"/>
        <v>0.13122929978135511</v>
      </c>
      <c r="AY127">
        <f t="shared" si="50"/>
        <v>0.19183311615559095</v>
      </c>
      <c r="AZ127">
        <f>(1/$S127-1/Parameters!$B$13) * LN(Parameters!$B$18) / A127</f>
        <v>7.7693396334770713E-3</v>
      </c>
    </row>
    <row r="128" spans="1:52" x14ac:dyDescent="0.35">
      <c r="A128">
        <f>A127+Parameters!$B$71</f>
        <v>124</v>
      </c>
      <c r="B128" s="7">
        <f t="shared" si="69"/>
        <v>-2.9568713141259393E-6</v>
      </c>
      <c r="C128" s="7">
        <f t="shared" si="67"/>
        <v>9.0949993792235756E-2</v>
      </c>
      <c r="D128" s="7">
        <f t="shared" si="68"/>
        <v>0.22597556464516125</v>
      </c>
      <c r="E128" s="5">
        <f>MAX((1-Parameters!$B$4)^Parameters!B$71*E127 + B127*Parameters!B$71 - IF(B127&gt;0,Parameters!$B$5,0)*B127^2/E127*Parameters!B$71, 0.0001)</f>
        <v>2.479185429351663E-4</v>
      </c>
      <c r="F128" s="5">
        <f>(1-Parameters!$B$4)^Parameters!B$71*F127+C127*Parameters!B$71-Parameters!$B$5*C127^2/F127*Parameters!B$71</f>
        <v>1.3535326197143773</v>
      </c>
      <c r="G128" s="5">
        <f>(1-Parameters!$B$4)^Parameters!B$71*G127+D127*Parameters!B$71-Parameters!$B$5*D127^2/G127*Parameters!B$71</f>
        <v>3.3330120679960249</v>
      </c>
      <c r="H128" s="7">
        <f>MAX(H127 * (1-Parameters!$B$4) ^ Parameters!B$71 + (LN(1+EXP(Parameters!$B$21*(-B127+0.004)))/Parameters!$B$21 -0.004) * Parameters!B$71,0)</f>
        <v>7.4804183407880132E-3</v>
      </c>
      <c r="I128" s="16">
        <f>I127*(1+Parameters!$B$52)^Parameters!B$71</f>
        <v>11.685207841498579</v>
      </c>
      <c r="J128" s="16">
        <f>J127*(1+Parameters!$B$54)^Parameters!B$71</f>
        <v>105.48581110158521</v>
      </c>
      <c r="K128" s="16">
        <f>I128*J128*EXP(-Parameters!$B$43*'6states'!A128)*(Parameters!$B$38/Parameters!$B$39*('6states'!E128+'6states'!H128)/Parameters!$E$25*(EXP(-Parameters!$B$39*Parameters!$E$25*'6states'!H128/('6states'!E128+'6states'!H128))-EXP(-Parameters!$B$39*Parameters!$E$25))  +  Parameters!$B$40*'6states'!E128)</f>
        <v>6.7827312991031258E-2</v>
      </c>
      <c r="L128" s="6">
        <f>L127+K128*Parameters!B$71</f>
        <v>3348.665673815382</v>
      </c>
      <c r="M128" s="5">
        <f>L128*Parameters!$B$46</f>
        <v>2.0091994042892289</v>
      </c>
      <c r="N128" s="7">
        <f>EXP(-Parameters!$B$47/2*M128^2)</f>
        <v>0.96024130515023776</v>
      </c>
      <c r="O128" s="6">
        <f>MAX((Parameters!$B$63 + Parameters!$B$31*'6states'!A128 - '6states'!L128 + Parameters!$B$48/Parameters!$B$46)/Parameters!B$63,1)</f>
        <v>111.96268652369235</v>
      </c>
      <c r="P128" s="5">
        <f>Parameters!B$62*EXP(-Parameters!B$61*A128)</f>
        <v>1.7577296512278729E-2</v>
      </c>
      <c r="Q128" s="5">
        <f>(1-Parameters!B$62)*O128^-Parameters!B$64</f>
        <v>0.31193397051502675</v>
      </c>
      <c r="R128" s="5">
        <f>Parameters!B$62*EXP(-Parameters!B$61*A128)+(1-Parameters!B$62)*O128^-Parameters!B$64</f>
        <v>0.32951126702730549</v>
      </c>
      <c r="S128" s="5">
        <f>1-R128/Parameters!$B$12</f>
        <v>0.83524436648634726</v>
      </c>
      <c r="T128" s="5">
        <f t="shared" si="38"/>
        <v>6.0695951857520756</v>
      </c>
      <c r="U128" s="5">
        <f>(Parameters!$B$19*(E128+Parameters!$B$20)^S128+Parameters!$B$18*F128^S128)^(1/S128)</f>
        <v>0.34027941880406648</v>
      </c>
      <c r="V128" s="5">
        <f>(Parameters!$B$10*G128^Parameters!$B$9+Parameters!$B$11*U128^Parameters!$B$9)^(Parameters!$B$7/Parameters!$B$9)*N128</f>
        <v>1.3356276743459443</v>
      </c>
      <c r="W128" s="5">
        <f>V128 - C128 - D128 - LN(1+EXP(Parameters!$B$21*B128))/Parameters!$B$21 - IF(B128&gt;0, 0,Parameters!$B$6*B128^2/E128)</f>
        <v>1.0169705496257986</v>
      </c>
      <c r="X128" s="5">
        <f>EXP(-Parameters!$B$56*A128)</f>
        <v>0.15375420854803312</v>
      </c>
      <c r="Y128" s="5">
        <f>IF(W128&gt;0,W128^(1-Parameters!$B$53)/(1-Parameters!$B$53)*X128*Parameters!$B$71,-10+W128*1000)</f>
        <v>-0.43671794327688174</v>
      </c>
      <c r="AA128" s="15">
        <f t="shared" si="41"/>
        <v>-8.8192450665516668E-4</v>
      </c>
      <c r="AB128" s="15">
        <f t="shared" si="42"/>
        <v>1.5736505526886546E-5</v>
      </c>
      <c r="AC128" s="15">
        <f t="shared" si="43"/>
        <v>-2.1783982161002746E-5</v>
      </c>
      <c r="AD128" s="15">
        <f t="shared" si="62"/>
        <v>1.1969965245397467E-7</v>
      </c>
      <c r="AE128" s="15">
        <f t="shared" si="64"/>
        <v>-7.4135700340692903E-5</v>
      </c>
      <c r="AF128" s="15">
        <f t="shared" si="65"/>
        <v>-9.6773180006948234E-7</v>
      </c>
      <c r="AG128" s="15">
        <f t="shared" si="66"/>
        <v>1.3639309355273355E-6</v>
      </c>
      <c r="AH128" s="15">
        <f t="shared" si="63"/>
        <v>8.4547884478626561E-10</v>
      </c>
      <c r="AI128" s="15"/>
      <c r="AM128" s="16">
        <f t="shared" si="34"/>
        <v>9.2205403870815523</v>
      </c>
      <c r="AN128" s="16">
        <f t="shared" si="35"/>
        <v>0.30559025360596392</v>
      </c>
      <c r="AO128" s="16">
        <f t="shared" si="61"/>
        <v>419.43645141710238</v>
      </c>
      <c r="AP128" s="6">
        <f t="shared" si="37"/>
        <v>1646.3262283420986</v>
      </c>
      <c r="AQ128" s="15">
        <f>-X128*V128*W128^(-Parameters!B$53)*Parameters!B$47*Parameters!B$46*M128</f>
        <v>-4.8642564289987197E-6</v>
      </c>
      <c r="AR128" s="5">
        <f>1000*EXP(-(Parameters!$B$55)*'6states'!A128)*AP128*Parameters!B$47*Parameters!B$46*M128</f>
        <v>0.51364485543913241</v>
      </c>
      <c r="AS128" s="5">
        <f>SUM(AR128:AR$204)*EXP(Parameters!$B$55*A128)</f>
        <v>2424.0139071515296</v>
      </c>
      <c r="AT128" s="25">
        <f t="shared" si="47"/>
        <v>0.23728364397756252</v>
      </c>
      <c r="AU128">
        <f>(1/$S128-1/Parameters!$B$13) * LN(Parameters!$B$18) / LN(O128)</f>
        <v>0.20268341112823329</v>
      </c>
      <c r="AV128">
        <f>(Parameters!$B$18*'6states'!S128^+Parameters!$B$19*Parameters!$B$25^'6states'!S128)^((1-'6states'!S128)/'6states'!S128)*Parameters!$B$18*Parameters!$B$26^('6states'!S128-1)</f>
        <v>0.30732359946937965</v>
      </c>
      <c r="AW128">
        <f t="shared" si="48"/>
        <v>0.18278696569101874</v>
      </c>
      <c r="AX128">
        <f t="shared" si="49"/>
        <v>0.13106715481397357</v>
      </c>
      <c r="AY128">
        <f t="shared" si="50"/>
        <v>0.19186041889794792</v>
      </c>
      <c r="AZ128">
        <f>(1/$S128-1/Parameters!$B$13) * LN(Parameters!$B$18) / A128</f>
        <v>7.7120476627885633E-3</v>
      </c>
    </row>
    <row r="129" spans="1:52" x14ac:dyDescent="0.35">
      <c r="A129">
        <f>A128+Parameters!$B$71</f>
        <v>125</v>
      </c>
      <c r="B129" s="7">
        <f t="shared" si="69"/>
        <v>-2.9568713141259393E-6</v>
      </c>
      <c r="C129" s="7">
        <f t="shared" si="67"/>
        <v>9.0949993792235756E-2</v>
      </c>
      <c r="D129" s="7">
        <f t="shared" si="68"/>
        <v>0.22597556464516125</v>
      </c>
      <c r="E129" s="5">
        <f>MAX((1-Parameters!$B$4)^Parameters!B$71*E128 + B128*Parameters!B$71 - IF(B128&gt;0,Parameters!$B$5,0)*B128^2/E128*Parameters!B$71, 0.0001)</f>
        <v>2.2936759527041842E-4</v>
      </c>
      <c r="F129" s="5">
        <f>(1-Parameters!$B$4)^Parameters!B$71*F128+C128*Parameters!B$71-Parameters!$B$5*C128^2/F128*Parameters!B$71</f>
        <v>1.3532340692658753</v>
      </c>
      <c r="G129" s="5">
        <f>(1-Parameters!$B$4)^Parameters!B$71*G128+D128*Parameters!B$71-Parameters!$B$5*D128^2/G128*Parameters!B$71</f>
        <v>3.3340202101908867</v>
      </c>
      <c r="H129" s="7">
        <f>MAX(H128 * (1-Parameters!$B$4) ^ Parameters!B$71 + (LN(1+EXP(Parameters!$B$21*(-B128+0.004)))/Parameters!$B$21 -0.004) * Parameters!B$71,0)</f>
        <v>7.4721122949985711E-3</v>
      </c>
      <c r="I129" s="16">
        <f>I128*(1+Parameters!$B$52)^Parameters!B$71</f>
        <v>11.719094944238924</v>
      </c>
      <c r="J129" s="16">
        <f>J128*(1+Parameters!$B$54)^Parameters!B$71</f>
        <v>107.59552732361692</v>
      </c>
      <c r="K129" s="16">
        <f>I129*J129*EXP(-Parameters!$B$43*'6states'!A129)*(Parameters!$B$38/Parameters!$B$39*('6states'!E129+'6states'!H129)/Parameters!$E$25*(EXP(-Parameters!$B$39*Parameters!$E$25*'6states'!H129/('6states'!E129+'6states'!H129))-EXP(-Parameters!$B$39*Parameters!$E$25))  +  Parameters!$B$40*'6states'!E129)</f>
        <v>6.355394612355042E-2</v>
      </c>
      <c r="L129" s="6">
        <f>L128+K129*Parameters!B$71</f>
        <v>3348.7292277615056</v>
      </c>
      <c r="M129" s="5">
        <f>L129*Parameters!$B$46</f>
        <v>2.0092375366569031</v>
      </c>
      <c r="N129" s="7">
        <f>EXP(-Parameters!$B$47/2*M129^2)</f>
        <v>0.96023982639246586</v>
      </c>
      <c r="O129" s="6">
        <f>MAX((Parameters!$B$63 + Parameters!$B$31*'6states'!A129 - '6states'!L129 + Parameters!$B$48/Parameters!$B$46)/Parameters!B$63,1)</f>
        <v>113.02541544476989</v>
      </c>
      <c r="P129" s="5">
        <f>Parameters!B$62*EXP(-Parameters!B$61*A129)</f>
        <v>1.7109059155833016E-2</v>
      </c>
      <c r="Q129" s="5">
        <f>(1-Parameters!B$62)*O129^-Parameters!B$64</f>
        <v>0.31163942411263185</v>
      </c>
      <c r="R129" s="5">
        <f>Parameters!B$62*EXP(-Parameters!B$61*A129)+(1-Parameters!B$62)*O129^-Parameters!B$64</f>
        <v>0.32874848326846484</v>
      </c>
      <c r="S129" s="5">
        <f>1-R129/Parameters!$B$12</f>
        <v>0.83562575836576758</v>
      </c>
      <c r="T129" s="5">
        <f t="shared" si="38"/>
        <v>6.0836782579670379</v>
      </c>
      <c r="U129" s="5">
        <f>(Parameters!$B$19*(E129+Parameters!$B$20)^S129+Parameters!$B$18*F129^S129)^(1/S129)</f>
        <v>0.34037034204197936</v>
      </c>
      <c r="V129" s="5">
        <f>(Parameters!$B$10*G129^Parameters!$B$9+Parameters!$B$11*U129^Parameters!$B$9)^(Parameters!$B$7/Parameters!$B$9)*N129</f>
        <v>1.3357419932248979</v>
      </c>
      <c r="W129" s="5">
        <f>V129 - C129 - D129 - LN(1+EXP(Parameters!$B$21*B129))/Parameters!$B$21 - IF(B129&gt;0, 0,Parameters!$B$6*B129^2/E129)</f>
        <v>1.017084854243427</v>
      </c>
      <c r="X129" s="5">
        <f>EXP(-Parameters!$B$56*A129)</f>
        <v>0.15144996085152654</v>
      </c>
      <c r="Y129" s="5">
        <f>IF(W129&gt;0,W129^(1-Parameters!$B$53)/(1-Parameters!$B$53)*X129*Parameters!$B$71,-10+W129*1000)</f>
        <v>-0.43015611940750781</v>
      </c>
      <c r="AA129" s="15">
        <f t="shared" si="41"/>
        <v>-9.6462264289280501E-4</v>
      </c>
      <c r="AB129" s="15">
        <f t="shared" si="42"/>
        <v>1.4824455541559423E-5</v>
      </c>
      <c r="AC129" s="15">
        <f t="shared" si="43"/>
        <v>-2.050114692589422E-5</v>
      </c>
      <c r="AD129" s="15">
        <f t="shared" si="62"/>
        <v>1.4102064776254259E-7</v>
      </c>
      <c r="AE129" s="15">
        <f t="shared" si="64"/>
        <v>-8.2698136237638331E-5</v>
      </c>
      <c r="AF129" s="15">
        <f t="shared" si="65"/>
        <v>-9.1204998532712356E-7</v>
      </c>
      <c r="AG129" s="15">
        <f t="shared" si="66"/>
        <v>1.2828352351085259E-6</v>
      </c>
      <c r="AH129" s="15">
        <f t="shared" si="63"/>
        <v>1.0361387338525518E-9</v>
      </c>
      <c r="AI129" s="15"/>
      <c r="AM129" s="16">
        <f t="shared" si="34"/>
        <v>9.4217522757557131</v>
      </c>
      <c r="AN129" s="16">
        <f t="shared" si="35"/>
        <v>0.28921469290151952</v>
      </c>
      <c r="AO129" s="16">
        <f t="shared" si="61"/>
        <v>429.18052059794195</v>
      </c>
      <c r="AP129" s="6">
        <f t="shared" si="37"/>
        <v>1684.2667331047599</v>
      </c>
      <c r="AQ129" s="15">
        <f>-X129*V129*W129^(-Parameters!B$53)*Parameters!B$47*Parameters!B$46*M129</f>
        <v>-4.7911319670886473E-6</v>
      </c>
      <c r="AR129" s="5">
        <f>1000*EXP(-(Parameters!$B$55)*'6states'!A129)*AP129*Parameters!B$47*Parameters!B$46*M129</f>
        <v>0.50736724031083391</v>
      </c>
      <c r="AS129" s="5">
        <f>SUM(AR129:AR$204)*EXP(Parameters!$B$55*A129)</f>
        <v>2469.2905105200889</v>
      </c>
      <c r="AT129" s="25">
        <f t="shared" si="47"/>
        <v>0.23726333616339546</v>
      </c>
      <c r="AU129">
        <f>(1/$S129-1/Parameters!$B$13) * LN(Parameters!$B$18) / LN(O129)</f>
        <v>0.20241608967353222</v>
      </c>
      <c r="AV129">
        <f>(Parameters!$B$18*'6states'!S129^+Parameters!$B$19*Parameters!$B$25^'6states'!S129)^((1-'6states'!S129)/'6states'!S129)*Parameters!$B$18*Parameters!$B$26^('6states'!S129-1)</f>
        <v>0.30737103201725402</v>
      </c>
      <c r="AW129">
        <f t="shared" si="48"/>
        <v>0.18245435201868504</v>
      </c>
      <c r="AX129">
        <f t="shared" si="49"/>
        <v>0.13090613262473261</v>
      </c>
      <c r="AY129">
        <f t="shared" si="50"/>
        <v>0.1918869882616413</v>
      </c>
      <c r="AZ129">
        <f>(1/$S129-1/Parameters!$B$13) * LN(Parameters!$B$18) / A129</f>
        <v>7.6555590241517042E-3</v>
      </c>
    </row>
    <row r="130" spans="1:52" x14ac:dyDescent="0.35">
      <c r="A130">
        <f>A129+Parameters!$B$71</f>
        <v>126</v>
      </c>
      <c r="B130" s="7">
        <f t="shared" si="69"/>
        <v>-2.9568713141259393E-6</v>
      </c>
      <c r="C130" s="7">
        <f t="shared" si="67"/>
        <v>9.0949993792235756E-2</v>
      </c>
      <c r="D130" s="7">
        <f t="shared" si="68"/>
        <v>0.22597556464516125</v>
      </c>
      <c r="E130" s="5">
        <f>MAX((1-Parameters!$B$4)^Parameters!B$71*E129 + B129*Parameters!B$71 - IF(B129&gt;0,Parameters!$B$5,0)*B129^2/E129*Parameters!B$71, 0.0001)</f>
        <v>2.1198350221378318E-4</v>
      </c>
      <c r="F130" s="5">
        <f>(1-Parameters!$B$4)^Parameters!B$71*F129+C129*Parameters!B$71-Parameters!$B$5*C129^2/F129*Parameters!B$71</f>
        <v>1.3529529493564445</v>
      </c>
      <c r="G130" s="5">
        <f>(1-Parameters!$B$4)^Parameters!B$71*G129+D129*Parameters!B$71-Parameters!$B$5*D129^2/G129*Parameters!B$71</f>
        <v>3.334969572999944</v>
      </c>
      <c r="H130" s="7">
        <f>MAX(H129 * (1-Parameters!$B$4) ^ Parameters!B$71 + (LN(1+EXP(Parameters!$B$21*(-B129+0.004)))/Parameters!$B$21 -0.004) * Parameters!B$71,0)</f>
        <v>7.4643286994892852E-3</v>
      </c>
      <c r="I130" s="16">
        <f>I129*(1+Parameters!$B$52)^Parameters!B$71</f>
        <v>11.753080319577215</v>
      </c>
      <c r="J130" s="16">
        <f>J129*(1+Parameters!$B$54)^Parameters!B$71</f>
        <v>109.74743787008926</v>
      </c>
      <c r="K130" s="16">
        <f>I130*J130*EXP(-Parameters!$B$43*'6states'!A130)*(Parameters!$B$38/Parameters!$B$39*('6states'!E130+'6states'!H130)/Parameters!$E$25*(EXP(-Parameters!$B$39*Parameters!$E$25*'6states'!H130/('6states'!E130+'6states'!H130))-EXP(-Parameters!$B$39*Parameters!$E$25))  +  Parameters!$B$40*'6states'!E130)</f>
        <v>5.9487727853189752E-2</v>
      </c>
      <c r="L130" s="6">
        <f>L129+K130*Parameters!B$71</f>
        <v>3348.7887154893588</v>
      </c>
      <c r="M130" s="5">
        <f>L130*Parameters!$B$46</f>
        <v>2.0092732292936151</v>
      </c>
      <c r="N130" s="7">
        <f>EXP(-Parameters!$B$47/2*M130^2)</f>
        <v>0.96023844222310684</v>
      </c>
      <c r="O130" s="6">
        <f>MAX((Parameters!$B$63 + Parameters!$B$31*'6states'!A130 - '6states'!L130 + Parameters!$B$48/Parameters!$B$46)/Parameters!B$63,1)</f>
        <v>114.08822569021284</v>
      </c>
      <c r="P130" s="5">
        <f>Parameters!B$62*EXP(-Parameters!B$61*A130)</f>
        <v>1.6653295061234946E-2</v>
      </c>
      <c r="Q130" s="5">
        <f>(1-Parameters!B$62)*O130^-Parameters!B$64</f>
        <v>0.31134788632653471</v>
      </c>
      <c r="R130" s="5">
        <f>Parameters!B$62*EXP(-Parameters!B$61*A130)+(1-Parameters!B$62)*O130^-Parameters!B$64</f>
        <v>0.32800118138776968</v>
      </c>
      <c r="S130" s="5">
        <f>1-R130/Parameters!$B$12</f>
        <v>0.83599940930611516</v>
      </c>
      <c r="T130" s="5">
        <f t="shared" si="38"/>
        <v>6.0975390135426348</v>
      </c>
      <c r="U130" s="5">
        <f>(Parameters!$B$19*(E130+Parameters!$B$20)^S130+Parameters!$B$18*F130^S130)^(1/S130)</f>
        <v>0.34046310029061616</v>
      </c>
      <c r="V130" s="5">
        <f>(Parameters!$B$10*G130^Parameters!$B$9+Parameters!$B$11*U130^Parameters!$B$9)^(Parameters!$B$7/Parameters!$B$9)*N130</f>
        <v>1.3358524947566515</v>
      </c>
      <c r="W130" s="5">
        <f>V130 - C130 - D130 - LN(1+EXP(Parameters!$B$21*B130))/Parameters!$B$21 - IF(B130&gt;0, 0,Parameters!$B$6*B130^2/E130)</f>
        <v>1.0171953401454041</v>
      </c>
      <c r="X130" s="5">
        <f>EXP(-Parameters!$B$56*A130)</f>
        <v>0.14918024591673743</v>
      </c>
      <c r="Y130" s="5">
        <f>IF(W130&gt;0,W130^(1-Parameters!$B$53)/(1-Parameters!$B$53)*X130*Parameters!$B$71,-10+W130*1000)</f>
        <v>-0.42369344758315369</v>
      </c>
      <c r="AA130" s="15">
        <f t="shared" si="41"/>
        <v>-1.0571834063739377E-3</v>
      </c>
      <c r="AB130" s="15">
        <f t="shared" si="42"/>
        <v>1.3964926720816395E-5</v>
      </c>
      <c r="AC130" s="15">
        <f t="shared" si="43"/>
        <v>-1.9294502749581111E-5</v>
      </c>
      <c r="AD130" s="15">
        <f t="shared" si="62"/>
        <v>1.6681395542173704E-7</v>
      </c>
      <c r="AE130" s="15">
        <f t="shared" si="64"/>
        <v>-9.2560763481132693E-5</v>
      </c>
      <c r="AF130" s="15">
        <f t="shared" si="65"/>
        <v>-8.5952882074302739E-7</v>
      </c>
      <c r="AG130" s="15">
        <f t="shared" si="66"/>
        <v>1.2066441763131097E-6</v>
      </c>
      <c r="AH130" s="15">
        <f t="shared" si="63"/>
        <v>1.2784284192886905E-9</v>
      </c>
      <c r="AI130" s="15"/>
      <c r="AM130" s="16">
        <f t="shared" si="34"/>
        <v>9.6280170346435572</v>
      </c>
      <c r="AN130" s="16">
        <f t="shared" si="35"/>
        <v>0.27343125584988642</v>
      </c>
      <c r="AO130" s="16">
        <f t="shared" si="61"/>
        <v>439.15329311393964</v>
      </c>
      <c r="AP130" s="6">
        <f t="shared" si="37"/>
        <v>1723.0766614241056</v>
      </c>
      <c r="AQ130" s="15">
        <f>-X130*V130*W130^(-Parameters!B$53)*Parameters!B$47*Parameters!B$46*M130</f>
        <v>-4.7191115323326046E-6</v>
      </c>
      <c r="AR130" s="5">
        <f>1000*EXP(-(Parameters!$B$55)*'6states'!A130)*AP130*Parameters!B$47*Parameters!B$46*M130</f>
        <v>0.5011643038158865</v>
      </c>
      <c r="AS130" s="5">
        <f>SUM(AR130:AR$204)*EXP(Parameters!$B$55*A130)</f>
        <v>2515.2315643514817</v>
      </c>
      <c r="AT130" s="25">
        <f t="shared" si="47"/>
        <v>0.2372437097733727</v>
      </c>
      <c r="AU130">
        <f>(1/$S130-1/Parameters!$B$13) * LN(Parameters!$B$18) / LN(O130)</f>
        <v>0.20215066620619074</v>
      </c>
      <c r="AV130">
        <f>(Parameters!$B$18*'6states'!S130^+Parameters!$B$19*Parameters!$B$25^'6states'!S130)^((1-'6states'!S130)/'6states'!S130)*Parameters!$B$18*Parameters!$B$26^('6states'!S130-1)</f>
        <v>0.30741720131101602</v>
      </c>
      <c r="AW130">
        <f t="shared" si="48"/>
        <v>0.18212556427886109</v>
      </c>
      <c r="AX130">
        <f t="shared" si="49"/>
        <v>0.13074622417404658</v>
      </c>
      <c r="AY130">
        <f t="shared" si="50"/>
        <v>0.19191284917401796</v>
      </c>
      <c r="AZ130">
        <f>(1/$S130-1/Parameters!$B$13) * LN(Parameters!$B$18) / A130</f>
        <v>7.5998575988494559E-3</v>
      </c>
    </row>
    <row r="131" spans="1:52" x14ac:dyDescent="0.35">
      <c r="A131">
        <f>A130+Parameters!$B$71</f>
        <v>127</v>
      </c>
      <c r="B131" s="7">
        <f t="shared" si="69"/>
        <v>-2.9568713141259393E-6</v>
      </c>
      <c r="C131" s="7">
        <f t="shared" si="67"/>
        <v>9.0949993792235756E-2</v>
      </c>
      <c r="D131" s="7">
        <f t="shared" si="68"/>
        <v>0.22597556464516125</v>
      </c>
      <c r="E131" s="5">
        <f>MAX((1-Parameters!$B$4)^Parameters!B$71*E130 + B130*Parameters!B$71 - IF(B130&gt;0,Parameters!$B$5,0)*B130^2/E130*Parameters!B$71, 0.0001)</f>
        <v>1.9569286861041029E-4</v>
      </c>
      <c r="F131" s="5">
        <f>(1-Parameters!$B$4)^Parameters!B$71*F130+C130*Parameters!B$71-Parameters!$B$5*C130^2/F130*Parameters!B$71</f>
        <v>1.3526882417793185</v>
      </c>
      <c r="G131" s="5">
        <f>(1-Parameters!$B$4)^Parameters!B$71*G130+D130*Parameters!B$71-Parameters!$B$5*D130^2/G130*Parameters!B$71</f>
        <v>3.3358635809744652</v>
      </c>
      <c r="H131" s="7">
        <f>MAX(H130 * (1-Parameters!$B$4) ^ Parameters!B$71 + (LN(1+EXP(Parameters!$B$21*(-B130+0.004)))/Parameters!$B$21 -0.004) * Parameters!B$71,0)</f>
        <v>7.4570346921375335E-3</v>
      </c>
      <c r="I131" s="16">
        <f>I130*(1+Parameters!$B$52)^Parameters!B$71</f>
        <v>11.787164252503988</v>
      </c>
      <c r="J131" s="16">
        <f>J130*(1+Parameters!$B$54)^Parameters!B$71</f>
        <v>111.94238662749105</v>
      </c>
      <c r="K131" s="16">
        <f>I131*J131*EXP(-Parameters!$B$43*'6states'!A131)*(Parameters!$B$38/Parameters!$B$39*('6states'!E131+'6states'!H131)/Parameters!$E$25*(EXP(-Parameters!$B$39*Parameters!$E$25*'6states'!H131/('6states'!E131+'6states'!H131))-EXP(-Parameters!$B$39*Parameters!$E$25))  +  Parameters!$B$40*'6states'!E131)</f>
        <v>5.5617975454157392E-2</v>
      </c>
      <c r="L131" s="6">
        <f>L130+K131*Parameters!B$71</f>
        <v>3348.8443334648127</v>
      </c>
      <c r="M131" s="5">
        <f>L131*Parameters!$B$46</f>
        <v>2.0093066000788875</v>
      </c>
      <c r="N131" s="7">
        <f>EXP(-Parameters!$B$47/2*M131^2)</f>
        <v>0.96023714807528959</v>
      </c>
      <c r="O131" s="6">
        <f>MAX((Parameters!$B$63 + Parameters!$B$31*'6states'!A131 - '6states'!L131 + Parameters!$B$48/Parameters!$B$46)/Parameters!B$63,1)</f>
        <v>115.15111333070375</v>
      </c>
      <c r="P131" s="5">
        <f>Parameters!B$62*EXP(-Parameters!B$61*A131)</f>
        <v>1.6209671956274756E-2</v>
      </c>
      <c r="Q131" s="5">
        <f>(1-Parameters!B$62)*O131^-Parameters!B$64</f>
        <v>0.31105929990776299</v>
      </c>
      <c r="R131" s="5">
        <f>Parameters!B$62*EXP(-Parameters!B$61*A131)+(1-Parameters!B$62)*O131^-Parameters!B$64</f>
        <v>0.32726897186403775</v>
      </c>
      <c r="S131" s="5">
        <f>1-R131/Parameters!$B$12</f>
        <v>0.8363655140679811</v>
      </c>
      <c r="T131" s="5">
        <f t="shared" si="38"/>
        <v>6.1111812360595232</v>
      </c>
      <c r="U131" s="5">
        <f>(Parameters!$B$19*(E131+Parameters!$B$20)^S131+Parameters!$B$18*F131^S131)^(1/S131)</f>
        <v>0.3405574561490991</v>
      </c>
      <c r="V131" s="5">
        <f>(Parameters!$B$10*G131^Parameters!$B$9+Parameters!$B$11*U131^Parameters!$B$9)^(Parameters!$B$7/Parameters!$B$9)*N131</f>
        <v>1.3359593516872228</v>
      </c>
      <c r="W131" s="5">
        <f>V131 - C131 - D131 - LN(1+EXP(Parameters!$B$21*B131))/Parameters!$B$21 - IF(B131&gt;0, 0,Parameters!$B$6*B131^2/E131)</f>
        <v>1.0173021799089217</v>
      </c>
      <c r="X131" s="5">
        <f>EXP(-Parameters!$B$56*A131)</f>
        <v>0.14694454621613023</v>
      </c>
      <c r="Y131" s="5">
        <f>IF(W131&gt;0,W131^(1-Parameters!$B$53)/(1-Parameters!$B$53)*X131*Parameters!$B$71,-10+W131*1000)</f>
        <v>-0.4173283962717666</v>
      </c>
      <c r="AA131" s="15">
        <f t="shared" si="41"/>
        <v>-1.161163397864531E-3</v>
      </c>
      <c r="AB131" s="15">
        <f t="shared" si="42"/>
        <v>1.3154932925349416E-5</v>
      </c>
      <c r="AC131" s="15">
        <f t="shared" si="43"/>
        <v>-1.8159451012564332E-5</v>
      </c>
      <c r="AD131" s="15">
        <f t="shared" si="62"/>
        <v>1.9819928216170701E-7</v>
      </c>
      <c r="AE131" s="15">
        <f t="shared" si="64"/>
        <v>-1.0397999149059332E-4</v>
      </c>
      <c r="AF131" s="15">
        <f t="shared" si="65"/>
        <v>-8.0999379546697892E-7</v>
      </c>
      <c r="AG131" s="15">
        <f t="shared" si="66"/>
        <v>1.135051737016779E-6</v>
      </c>
      <c r="AH131" s="15">
        <f t="shared" si="63"/>
        <v>1.5890264450396265E-9</v>
      </c>
      <c r="AI131" s="15"/>
      <c r="AM131" s="16">
        <f t="shared" si="34"/>
        <v>9.839432728848811</v>
      </c>
      <c r="AN131" s="16">
        <f t="shared" si="35"/>
        <v>0.25821347166827263</v>
      </c>
      <c r="AO131" s="16">
        <f t="shared" si="61"/>
        <v>449.35987539658572</v>
      </c>
      <c r="AP131" s="6">
        <f t="shared" si="37"/>
        <v>1762.7760513522442</v>
      </c>
      <c r="AQ131" s="15">
        <f>-X131*V131*W131^(-Parameters!B$53)*Parameters!B$47*Parameters!B$46*M131</f>
        <v>-4.6481781903231495E-6</v>
      </c>
      <c r="AR131" s="5">
        <f>1000*EXP(-(Parameters!$B$55)*'6states'!A131)*AP131*Parameters!B$47*Parameters!B$46*M131</f>
        <v>0.49503527669011976</v>
      </c>
      <c r="AS131" s="5">
        <f>SUM(AR131:AR$204)*EXP(Parameters!$B$55*A131)</f>
        <v>2561.839000996868</v>
      </c>
      <c r="AT131" s="25">
        <f t="shared" si="47"/>
        <v>0.23722473379585382</v>
      </c>
      <c r="AU131">
        <f>(1/$S131-1/Parameters!$B$13) * LN(Parameters!$B$18) / LN(O131)</f>
        <v>0.2018871248415032</v>
      </c>
      <c r="AV131">
        <f>(Parameters!$B$18*'6states'!S131^+Parameters!$B$19*Parameters!$B$25^'6states'!S131)^((1-'6states'!S131)/'6states'!S131)*Parameters!$B$18*Parameters!$B$26^('6states'!S131-1)</f>
        <v>0.30746215000036958</v>
      </c>
      <c r="AW131">
        <f t="shared" si="48"/>
        <v>0.18180053049313022</v>
      </c>
      <c r="AX131">
        <f t="shared" si="49"/>
        <v>0.13058742051500771</v>
      </c>
      <c r="AY131">
        <f t="shared" si="50"/>
        <v>0.19193802559138773</v>
      </c>
      <c r="AZ131">
        <f>(1/$S131-1/Parameters!$B$13) * LN(Parameters!$B$18) / A131</f>
        <v>7.5449276877847188E-3</v>
      </c>
    </row>
    <row r="132" spans="1:52" x14ac:dyDescent="0.35">
      <c r="A132">
        <f>A131+Parameters!$B$71</f>
        <v>128</v>
      </c>
      <c r="B132" s="7">
        <f t="shared" si="69"/>
        <v>-2.9568713141259393E-6</v>
      </c>
      <c r="C132" s="7">
        <f t="shared" si="67"/>
        <v>9.0949993792235756E-2</v>
      </c>
      <c r="D132" s="7">
        <f t="shared" si="68"/>
        <v>0.22597556464516125</v>
      </c>
      <c r="E132" s="5">
        <f>MAX((1-Parameters!$B$4)^Parameters!B$71*E131 + B131*Parameters!B$71 - IF(B131&gt;0,Parameters!$B$5,0)*B131^2/E131*Parameters!B$71, 0.0001)</f>
        <v>1.8042691586068956E-4</v>
      </c>
      <c r="F132" s="5">
        <f>(1-Parameters!$B$4)^Parameters!B$71*F131+C131*Parameters!B$71-Parameters!$B$5*C131^2/F131*Parameters!B$71</f>
        <v>1.3524389878677257</v>
      </c>
      <c r="G132" s="5">
        <f>(1-Parameters!$B$4)^Parameters!B$71*G131+D131*Parameters!B$71-Parameters!$B$5*D131^2/G131*Parameters!B$71</f>
        <v>3.3367054594395853</v>
      </c>
      <c r="H132" s="7">
        <f>MAX(H131 * (1-Parameters!$B$4) ^ Parameters!B$71 + (LN(1+EXP(Parameters!$B$21*(-B131+0.004)))/Parameters!$B$21 -0.004) * Parameters!B$71,0)</f>
        <v>7.4501994778482065E-3</v>
      </c>
      <c r="I132" s="16">
        <f>I131*(1+Parameters!$B$52)^Parameters!B$71</f>
        <v>11.821347028836248</v>
      </c>
      <c r="J132" s="16">
        <f>J131*(1+Parameters!$B$54)^Parameters!B$71</f>
        <v>114.18123436004088</v>
      </c>
      <c r="K132" s="16">
        <f>I132*J132*EXP(-Parameters!$B$43*'6states'!A132)*(Parameters!$B$38/Parameters!$B$39*('6states'!E132+'6states'!H132)/Parameters!$E$25*(EXP(-Parameters!$B$39*Parameters!$E$25*'6states'!H132/('6states'!E132+'6states'!H132))-EXP(-Parameters!$B$39*Parameters!$E$25))  +  Parameters!$B$40*'6states'!E132)</f>
        <v>5.1934548502430553E-2</v>
      </c>
      <c r="L132" s="6">
        <f>L131+K132*Parameters!B$71</f>
        <v>3348.896268013315</v>
      </c>
      <c r="M132" s="5">
        <f>L132*Parameters!$B$46</f>
        <v>2.009337760807989</v>
      </c>
      <c r="N132" s="7">
        <f>EXP(-Parameters!$B$47/2*M132^2)</f>
        <v>0.96023593961752496</v>
      </c>
      <c r="O132" s="6">
        <f>MAX((Parameters!$B$63 + Parameters!$B$31*'6states'!A132 - '6states'!L132 + Parameters!$B$48/Parameters!$B$46)/Parameters!B$63,1)</f>
        <v>116.2140746397337</v>
      </c>
      <c r="P132" s="5">
        <f>Parameters!B$62*EXP(-Parameters!B$61*A132)</f>
        <v>1.577786642006182E-2</v>
      </c>
      <c r="Q132" s="5">
        <f>(1-Parameters!B$62)*O132^-Parameters!B$64</f>
        <v>0.31077360916363139</v>
      </c>
      <c r="R132" s="5">
        <f>Parameters!B$62*EXP(-Parameters!B$61*A132)+(1-Parameters!B$62)*O132^-Parameters!B$64</f>
        <v>0.32655147558369324</v>
      </c>
      <c r="S132" s="5">
        <f>1-R132/Parameters!$B$12</f>
        <v>0.83672426220815344</v>
      </c>
      <c r="T132" s="5">
        <f t="shared" si="38"/>
        <v>6.1246086744061037</v>
      </c>
      <c r="U132" s="5">
        <f>(Parameters!$B$19*(E132+Parameters!$B$20)^S132+Parameters!$B$18*F132^S132)^(1/S132)</f>
        <v>0.34065318937618522</v>
      </c>
      <c r="V132" s="5">
        <f>(Parameters!$B$10*G132^Parameters!$B$9+Parameters!$B$11*U132^Parameters!$B$9)^(Parameters!$B$7/Parameters!$B$9)*N132</f>
        <v>1.3360627273371353</v>
      </c>
      <c r="W132" s="5">
        <f>V132 - C132 - D132 - LN(1+EXP(Parameters!$B$21*B132))/Parameters!$B$21 - IF(B132&gt;0, 0,Parameters!$B$6*B132^2/E132)</f>
        <v>1.0174055366579362</v>
      </c>
      <c r="X132" s="5">
        <f>EXP(-Parameters!$B$56*A132)</f>
        <v>0.14474235197813023</v>
      </c>
      <c r="Y132" s="5">
        <f>IF(W132&gt;0,W132^(1-Parameters!$B$53)/(1-Parameters!$B$53)*X132*Parameters!$B$71,-10+W132*1000)</f>
        <v>-0.41105945981085235</v>
      </c>
      <c r="AA132" s="15">
        <f t="shared" si="41"/>
        <v>-1.2784390061501682E-3</v>
      </c>
      <c r="AB132" s="15">
        <f t="shared" si="42"/>
        <v>1.239165345054416E-5</v>
      </c>
      <c r="AC132" s="15">
        <f t="shared" si="43"/>
        <v>-1.7091678968614299E-5</v>
      </c>
      <c r="AD132" s="15">
        <f t="shared" si="62"/>
        <v>2.3663231942027699E-7</v>
      </c>
      <c r="AE132" s="15">
        <f t="shared" si="64"/>
        <v>-1.1727560828563716E-4</v>
      </c>
      <c r="AF132" s="15">
        <f t="shared" si="65"/>
        <v>-7.6327947480525626E-7</v>
      </c>
      <c r="AG132" s="15">
        <f t="shared" si="66"/>
        <v>1.0677720439500327E-6</v>
      </c>
      <c r="AH132" s="15">
        <f t="shared" si="63"/>
        <v>1.9909731760373039E-9</v>
      </c>
      <c r="AI132" s="15"/>
      <c r="AM132" s="16">
        <f t="shared" ref="AM132:AM195" si="70">H132*I132*J132</f>
        <v>10.05610041726554</v>
      </c>
      <c r="AN132" s="16">
        <f t="shared" ref="AN132:AN195" si="71">E132*I132*J132</f>
        <v>0.24353591998004515</v>
      </c>
      <c r="AO132" s="16">
        <f t="shared" ref="AO132:AO155" si="72">U132*I132*J132</f>
        <v>459.805497827838</v>
      </c>
      <c r="AP132" s="6">
        <f t="shared" ref="AP132:AP195" si="73">V132*J132*I132</f>
        <v>1803.3853979099654</v>
      </c>
      <c r="AQ132" s="15">
        <f>-X132*V132*W132^(-Parameters!B$53)*Parameters!B$47*Parameters!B$46*M132</f>
        <v>-4.5783152848686372E-6</v>
      </c>
      <c r="AR132" s="5">
        <f>1000*EXP(-(Parameters!$B$55)*'6states'!A132)*AP132*Parameters!B$47*Parameters!B$46*M132</f>
        <v>0.48897938978239325</v>
      </c>
      <c r="AS132" s="5">
        <f>SUM(AR132:AR$204)*EXP(Parameters!$B$55*A132)</f>
        <v>2609.1143187142065</v>
      </c>
      <c r="AT132" s="25">
        <f t="shared" si="47"/>
        <v>0.23720637892333946</v>
      </c>
      <c r="AU132">
        <f>(1/$S132-1/Parameters!$B$13) * LN(Parameters!$B$18) / LN(O132)</f>
        <v>0.20162544985990277</v>
      </c>
      <c r="AV132">
        <f>(Parameters!$B$18*'6states'!S132^+Parameters!$B$19*Parameters!$B$25^'6states'!S132)^((1-'6states'!S132)/'6states'!S132)*Parameters!$B$18*Parameters!$B$26^('6states'!S132-1)</f>
        <v>0.30750591908542696</v>
      </c>
      <c r="AW132">
        <f t="shared" si="48"/>
        <v>0.18147918051820933</v>
      </c>
      <c r="AX132">
        <f t="shared" si="49"/>
        <v>0.13042971278901516</v>
      </c>
      <c r="AY132">
        <f t="shared" si="50"/>
        <v>0.19196254054138462</v>
      </c>
      <c r="AZ132">
        <f>(1/$S132-1/Parameters!$B$13) * LN(Parameters!$B$18) / A132</f>
        <v>7.4907539979380128E-3</v>
      </c>
    </row>
    <row r="133" spans="1:52" x14ac:dyDescent="0.35">
      <c r="A133">
        <f>A132+Parameters!$B$71</f>
        <v>129</v>
      </c>
      <c r="B133" s="7">
        <f t="shared" si="69"/>
        <v>-2.9568713141259393E-6</v>
      </c>
      <c r="C133" s="7">
        <f t="shared" si="67"/>
        <v>9.0949993792235756E-2</v>
      </c>
      <c r="D133" s="7">
        <f t="shared" si="68"/>
        <v>0.22597556464516125</v>
      </c>
      <c r="E133" s="5">
        <f>MAX((1-Parameters!$B$4)^Parameters!B$71*E132 + B132*Parameters!B$71 - IF(B132&gt;0,Parameters!$B$5,0)*B132^2/E132*Parameters!B$71, 0.0001)</f>
        <v>1.6612119153892624E-4</v>
      </c>
      <c r="F133" s="5">
        <f>(1-Parameters!$B$4)^Parameters!B$71*F132+C132*Parameters!B$71-Parameters!$B$5*C132^2/F132*Parameters!B$71</f>
        <v>1.3522042850063676</v>
      </c>
      <c r="G133" s="5">
        <f>(1-Parameters!$B$4)^Parameters!B$71*G132+D132*Parameters!B$71-Parameters!$B$5*D132^2/G132*Parameters!B$71</f>
        <v>3.3374982460510552</v>
      </c>
      <c r="H133" s="7">
        <f>MAX(H132 * (1-Parameters!$B$4) ^ Parameters!B$71 + (LN(1+EXP(Parameters!$B$21*(-B132+0.004)))/Parameters!$B$21 -0.004) * Parameters!B$71,0)</f>
        <v>7.4437941985376786E-3</v>
      </c>
      <c r="I133" s="16">
        <f>I132*(1+Parameters!$B$52)^Parameters!B$71</f>
        <v>11.855628935219872</v>
      </c>
      <c r="J133" s="16">
        <f>J132*(1+Parameters!$B$54)^Parameters!B$71</f>
        <v>116.46485904724169</v>
      </c>
      <c r="K133" s="16">
        <f>I133*J133*EXP(-Parameters!$B$43*'6states'!A133)*(Parameters!$B$38/Parameters!$B$39*('6states'!E133+'6states'!H133)/Parameters!$E$25*(EXP(-Parameters!$B$39*Parameters!$E$25*'6states'!H133/('6states'!E133+'6states'!H133))-EXP(-Parameters!$B$39*Parameters!$E$25))  +  Parameters!$B$40*'6states'!E133)</f>
        <v>4.8427821237497289E-2</v>
      </c>
      <c r="L133" s="6">
        <f>L132+K133*Parameters!B$71</f>
        <v>3348.9446958345525</v>
      </c>
      <c r="M133" s="5">
        <f>L133*Parameters!$B$46</f>
        <v>2.0093668175007311</v>
      </c>
      <c r="N133" s="7">
        <f>EXP(-Parameters!$B$47/2*M133^2)</f>
        <v>0.96023481274179279</v>
      </c>
      <c r="O133" s="6">
        <f>MAX((Parameters!$B$63 + Parameters!$B$31*'6states'!A133 - '6states'!L133 + Parameters!$B$48/Parameters!$B$46)/Parameters!B$63,1)</f>
        <v>117.27710608330895</v>
      </c>
      <c r="P133" s="5">
        <f>Parameters!B$62*EXP(-Parameters!B$61*A133)</f>
        <v>1.5357563647236516E-2</v>
      </c>
      <c r="Q133" s="5">
        <f>(1-Parameters!B$62)*O133^-Parameters!B$64</f>
        <v>0.3104907599037604</v>
      </c>
      <c r="R133" s="5">
        <f>Parameters!B$62*EXP(-Parameters!B$61*A133)+(1-Parameters!B$62)*O133^-Parameters!B$64</f>
        <v>0.32584832355099691</v>
      </c>
      <c r="S133" s="5">
        <f>1-R133/Parameters!$B$12</f>
        <v>0.8370758382245016</v>
      </c>
      <c r="T133" s="5">
        <f t="shared" ref="T133:T196" si="74">1/(1-S133)</f>
        <v>6.13782504143217</v>
      </c>
      <c r="U133" s="5">
        <f>(Parameters!$B$19*(E133+Parameters!$B$20)^S133+Parameters!$B$18*F133^S133)^(1/S133)</f>
        <v>0.34075009579540688</v>
      </c>
      <c r="V133" s="5">
        <f>(Parameters!$B$10*G133^Parameters!$B$9+Parameters!$B$11*U133^Parameters!$B$9)^(Parameters!$B$7/Parameters!$B$9)*N133</f>
        <v>1.3361627762305068</v>
      </c>
      <c r="W133" s="5">
        <f>V133 - C133 - D133 - LN(1+EXP(Parameters!$B$21*B133))/Parameters!$B$21 - IF(B133&gt;0, 0,Parameters!$B$6*B133^2/E133)</f>
        <v>1.01750556468631</v>
      </c>
      <c r="X133" s="5">
        <f>EXP(-Parameters!$B$56*A133)</f>
        <v>0.14257316107088844</v>
      </c>
      <c r="Y133" s="5">
        <f>IF(W133&gt;0,W133^(1-Parameters!$B$53)/(1-Parameters!$B$53)*X133*Parameters!$B$71,-10+W133*1000)</f>
        <v>-0.40488515780743234</v>
      </c>
      <c r="AA133" s="15">
        <f t="shared" si="41"/>
        <v>-1.4112888575380164E-3</v>
      </c>
      <c r="AB133" s="15">
        <f t="shared" si="42"/>
        <v>1.1672424356970468E-5</v>
      </c>
      <c r="AC133" s="15">
        <f t="shared" si="43"/>
        <v>-1.6087141038942376E-5</v>
      </c>
      <c r="AD133" s="15">
        <f t="shared" ref="AD133:AD164" si="75">X133*(AA133^2+AB133^2+AC133^2)</f>
        <v>2.8402445400152824E-7</v>
      </c>
      <c r="AE133" s="15">
        <f t="shared" si="64"/>
        <v>-1.3284985138784823E-4</v>
      </c>
      <c r="AF133" s="15">
        <f t="shared" si="65"/>
        <v>-7.1922909357369225E-7</v>
      </c>
      <c r="AG133" s="15">
        <f t="shared" si="66"/>
        <v>1.0045379296719226E-6</v>
      </c>
      <c r="AH133" s="15">
        <f t="shared" ref="AH133:AH164" si="76">X133*(AE133^2+AF133^2+AG133^2)</f>
        <v>2.5165031770874134E-9</v>
      </c>
      <c r="AI133" s="15"/>
      <c r="AM133" s="16">
        <f t="shared" si="70"/>
        <v>10.27812419058411</v>
      </c>
      <c r="AN133" s="16">
        <f t="shared" si="71"/>
        <v>0.22937418630680478</v>
      </c>
      <c r="AO133" s="16">
        <f t="shared" si="72"/>
        <v>470.49551735681246</v>
      </c>
      <c r="AP133" s="6">
        <f t="shared" si="73"/>
        <v>1844.9256638006823</v>
      </c>
      <c r="AQ133" s="15">
        <f>-X133*V133*W133^(-Parameters!B$53)*Parameters!B$47*Parameters!B$46*M133</f>
        <v>-4.5095064318359045E-6</v>
      </c>
      <c r="AR133" s="5">
        <f>1000*EXP(-(Parameters!$B$55)*'6states'!A133)*AP133*Parameters!B$47*Parameters!B$46*M133</f>
        <v>0.48299587469560923</v>
      </c>
      <c r="AS133" s="5">
        <f>SUM(AR133:AR$204)*EXP(Parameters!$B$55*A133)</f>
        <v>2657.0585547178912</v>
      </c>
      <c r="AT133" s="25">
        <f t="shared" si="47"/>
        <v>0.23718861743788713</v>
      </c>
      <c r="AU133">
        <f>(1/$S133-1/Parameters!$B$13) * LN(Parameters!$B$18) / LN(O133)</f>
        <v>0.20136562569996908</v>
      </c>
      <c r="AV133">
        <f>(Parameters!$B$18*'6states'!S133^+Parameters!$B$19*Parameters!$B$25^'6states'!S133)^((1-'6states'!S133)/'6states'!S133)*Parameters!$B$18*Parameters!$B$26^('6states'!S133-1)</f>
        <v>0.30754854798810688</v>
      </c>
      <c r="AW133">
        <f t="shared" si="48"/>
        <v>0.18116144598715403</v>
      </c>
      <c r="AX133">
        <f t="shared" si="49"/>
        <v>0.13027309222176653</v>
      </c>
      <c r="AY133">
        <f t="shared" si="50"/>
        <v>0.19198641616329126</v>
      </c>
      <c r="AZ133">
        <f>(1/$S133-1/Parameters!$B$13) * LN(Parameters!$B$18) / A133</f>
        <v>7.437321629350205E-3</v>
      </c>
    </row>
    <row r="134" spans="1:52" x14ac:dyDescent="0.35">
      <c r="A134">
        <f>A133+Parameters!$B$71</f>
        <v>130</v>
      </c>
      <c r="B134" s="7">
        <f t="shared" si="69"/>
        <v>-2.9568713141259393E-6</v>
      </c>
      <c r="C134" s="7">
        <f t="shared" si="67"/>
        <v>9.0949993792235756E-2</v>
      </c>
      <c r="D134" s="7">
        <f t="shared" si="68"/>
        <v>0.22597556464516125</v>
      </c>
      <c r="E134" s="5">
        <f>MAX((1-Parameters!$B$4)^Parameters!B$71*E133 + B133*Parameters!B$71 - IF(B133&gt;0,Parameters!$B$5,0)*B133^2/E133*Parameters!B$71, 0.0001)</f>
        <v>1.5271529727700186E-4</v>
      </c>
      <c r="F134" s="5">
        <f>(1-Parameters!$B$4)^Parameters!B$71*F133+C133*Parameters!B$71-Parameters!$B$5*C133^2/F133*Parameters!B$71</f>
        <v>1.3519832833480663</v>
      </c>
      <c r="G134" s="5">
        <f>(1-Parameters!$B$4)^Parameters!B$71*G133+D133*Parameters!B$71-Parameters!$B$5*D133^2/G133*Parameters!B$71</f>
        <v>3.3382448016854429</v>
      </c>
      <c r="H134" s="7">
        <f>MAX(H133 * (1-Parameters!$B$4) ^ Parameters!B$71 + (LN(1+EXP(Parameters!$B$21*(-B133+0.004)))/Parameters!$B$21 -0.004) * Parameters!B$71,0)</f>
        <v>7.4377918112957823E-3</v>
      </c>
      <c r="I134" s="16">
        <f>I133*(1+Parameters!$B$52)^Parameters!B$71</f>
        <v>11.890010259132008</v>
      </c>
      <c r="J134" s="16">
        <f>J133*(1+Parameters!$B$54)^Parameters!B$71</f>
        <v>118.79415622818652</v>
      </c>
      <c r="K134" s="16">
        <f>I134*J134*EXP(-Parameters!$B$43*'6states'!A134)*(Parameters!$B$38/Parameters!$B$39*('6states'!E134+'6states'!H134)/Parameters!$E$25*(EXP(-Parameters!$B$39*Parameters!$E$25*'6states'!H134/('6states'!E134+'6states'!H134))-EXP(-Parameters!$B$39*Parameters!$E$25))  +  Parameters!$B$40*'6states'!E134)</f>
        <v>4.5088656331281653E-2</v>
      </c>
      <c r="L134" s="6">
        <f>L133+K134*Parameters!B$71</f>
        <v>3348.9897844908837</v>
      </c>
      <c r="M134" s="5">
        <f>L134*Parameters!$B$46</f>
        <v>2.00939387069453</v>
      </c>
      <c r="N134" s="7">
        <f>EXP(-Parameters!$B$47/2*M134^2)</f>
        <v>0.96023376355223289</v>
      </c>
      <c r="O134" s="6">
        <f>MAX((Parameters!$B$63 + Parameters!$B$31*'6states'!A134 - '6states'!L134 + Parameters!$B$48/Parameters!$B$46)/Parameters!B$63,1)</f>
        <v>118.34020431018233</v>
      </c>
      <c r="P134" s="5">
        <f>Parameters!B$62*EXP(-Parameters!B$61*A134)</f>
        <v>1.4948457218463161E-2</v>
      </c>
      <c r="Q134" s="5">
        <f>(1-Parameters!B$62)*O134^-Parameters!B$64</f>
        <v>0.31021069938834595</v>
      </c>
      <c r="R134" s="5">
        <f>Parameters!B$62*EXP(-Parameters!B$61*A134)+(1-Parameters!B$62)*O134^-Parameters!B$64</f>
        <v>0.32515915660680911</v>
      </c>
      <c r="S134" s="5">
        <f>1-R134/Parameters!$B$12</f>
        <v>0.83742042169659547</v>
      </c>
      <c r="T134" s="5">
        <f t="shared" si="74"/>
        <v>6.1508340127061292</v>
      </c>
      <c r="U134" s="5">
        <f>(Parameters!$B$19*(E134+Parameters!$B$20)^S134+Parameters!$B$18*F134^S134)^(1/S134)</f>
        <v>0.3408479862667752</v>
      </c>
      <c r="V134" s="5">
        <f>(Parameters!$B$10*G134^Parameters!$B$9+Parameters!$B$11*U134^Parameters!$B$9)^(Parameters!$B$7/Parameters!$B$9)*N134</f>
        <v>1.3362596446720785</v>
      </c>
      <c r="W134" s="5">
        <f>V134 - C134 - D134 - LN(1+EXP(Parameters!$B$21*B134))/Parameters!$B$21 - IF(B134&gt;0, 0,Parameters!$B$6*B134^2/E134)</f>
        <v>1.0176024100272922</v>
      </c>
      <c r="X134" s="5">
        <f>EXP(-Parameters!$B$56*A134)</f>
        <v>0.14043647888778818</v>
      </c>
      <c r="Y134" s="5">
        <f>IF(W134&gt;0,W134^(1-Parameters!$B$53)/(1-Parameters!$B$53)*X134*Parameters!$B$71,-10+W134*1000)</f>
        <v>-0.39880403456525731</v>
      </c>
      <c r="AA134" s="15">
        <f t="shared" ref="AA134:AA197" si="77">B134/E134-B133/E133</f>
        <v>-1.5625021881456209E-3</v>
      </c>
      <c r="AB134" s="15">
        <f t="shared" ref="AB134:AB197" si="78">C134/F134-C133/F133</f>
        <v>1.099473019805508E-5</v>
      </c>
      <c r="AC134" s="15">
        <f t="shared" ref="AC134:AC197" si="79">D134/G134-D133/G133</f>
        <v>-1.5142041433435782E-5</v>
      </c>
      <c r="AD134" s="15">
        <f t="shared" si="75"/>
        <v>3.4291263359502245E-7</v>
      </c>
      <c r="AE134" s="15">
        <f t="shared" ref="AE134:AE165" si="80">B134/E134-2*B133/E133+B132/E132</f>
        <v>-1.5121333060760453E-4</v>
      </c>
      <c r="AF134" s="15">
        <f t="shared" ref="AF134:AF165" si="81">C134/F134-2*C133/F133+C132/F132</f>
        <v>-6.7769415891538731E-7</v>
      </c>
      <c r="AG134" s="15">
        <f t="shared" ref="AG134:AG165" si="82">D134/G134-2*D133/G133+D132/G132</f>
        <v>9.4509960550659411E-7</v>
      </c>
      <c r="AH134" s="15">
        <f t="shared" si="76"/>
        <v>3.2113362228867101E-9</v>
      </c>
      <c r="AI134" s="15"/>
      <c r="AM134" s="16">
        <f t="shared" si="70"/>
        <v>10.505611211441263</v>
      </c>
      <c r="AN134" s="16">
        <f t="shared" si="71"/>
        <v>0.21570481937868996</v>
      </c>
      <c r="AO134" s="16">
        <f t="shared" si="72"/>
        <v>481.43542018522504</v>
      </c>
      <c r="AP134" s="6">
        <f t="shared" si="73"/>
        <v>1887.418290351128</v>
      </c>
      <c r="AQ134" s="15">
        <f>-X134*V134*W134^(-Parameters!B$53)*Parameters!B$47*Parameters!B$46*M134</f>
        <v>-4.44173551330262E-6</v>
      </c>
      <c r="AR134" s="5">
        <f>1000*EXP(-(Parameters!$B$55)*'6states'!A134)*AP134*Parameters!B$47*Parameters!B$46*M134</f>
        <v>0.47708396436983536</v>
      </c>
      <c r="AS134" s="5">
        <f>SUM(AR134:AR$204)*EXP(Parameters!$B$55*A134)</f>
        <v>2705.6722569969916</v>
      </c>
      <c r="AT134" s="25">
        <f t="shared" ref="AT134:AT197" si="83">(B134+C134+D134)/V134</f>
        <v>0.23717142310606595</v>
      </c>
      <c r="AU134">
        <f>(1/$S134-1/Parameters!$B$13) * LN(Parameters!$B$18) / LN(O134)</f>
        <v>0.20110763695200398</v>
      </c>
      <c r="AV134">
        <f>(Parameters!$B$18*'6states'!S134^+Parameters!$B$19*Parameters!$B$25^'6states'!S134)^((1-'6states'!S134)/'6states'!S134)*Parameters!$B$18*Parameters!$B$26^('6states'!S134-1)</f>
        <v>0.30759007462012927</v>
      </c>
      <c r="AW134">
        <f t="shared" ref="AW134:AW197" si="84">(LN(AV134)-LN(AV$4))/ LN(O134)</f>
        <v>0.18084726025285147</v>
      </c>
      <c r="AX134">
        <f t="shared" ref="AX134:AX197" si="85">1-2^-AU134</f>
        <v>0.13011755011958459</v>
      </c>
      <c r="AY134">
        <f t="shared" ref="AY134:AY197" si="86">1-2^-AV134</f>
        <v>0.19200967374643052</v>
      </c>
      <c r="AZ134">
        <f>(1/$S134-1/Parameters!$B$13) * LN(Parameters!$B$18) / A134</f>
        <v>7.3846160626065615E-3</v>
      </c>
    </row>
    <row r="135" spans="1:52" x14ac:dyDescent="0.35">
      <c r="A135">
        <f>A134+Parameters!$B$71</f>
        <v>131</v>
      </c>
      <c r="B135" s="7">
        <f t="shared" si="69"/>
        <v>-2.9568713141259393E-6</v>
      </c>
      <c r="C135" s="7">
        <f t="shared" si="67"/>
        <v>9.0949993792235756E-2</v>
      </c>
      <c r="D135" s="7">
        <f t="shared" si="68"/>
        <v>0.22597556464516125</v>
      </c>
      <c r="E135" s="5">
        <f>MAX((1-Parameters!$B$4)^Parameters!B$71*E134 + B134*Parameters!B$71 - IF(B134&gt;0,Parameters!$B$5,0)*B134^2/E134*Parameters!B$71, 0.0001)</f>
        <v>1.4015263376415251E-4</v>
      </c>
      <c r="F135" s="5">
        <f>(1-Parameters!$B$4)^Parameters!B$71*F134+C134*Parameters!B$71-Parameters!$B$5*C134^2/F134*Parameters!B$71</f>
        <v>1.3517751827234288</v>
      </c>
      <c r="G135" s="5">
        <f>(1-Parameters!$B$4)^Parameters!B$71*G134+D134*Parameters!B$71-Parameters!$B$5*D134^2/G134*Parameters!B$71</f>
        <v>3.3389478207017906</v>
      </c>
      <c r="H135" s="7">
        <f>MAX(H134 * (1-Parameters!$B$4) ^ Parameters!B$71 + (LN(1+EXP(Parameters!$B$21*(-B134+0.004)))/Parameters!$B$21 -0.004) * Parameters!B$71,0)</f>
        <v>7.4321669742114021E-3</v>
      </c>
      <c r="I135" s="16">
        <f>I134*(1+Parameters!$B$52)^Parameters!B$71</f>
        <v>11.924491288883489</v>
      </c>
      <c r="J135" s="16">
        <f>J134*(1+Parameters!$B$54)^Parameters!B$71</f>
        <v>121.17003935275025</v>
      </c>
      <c r="K135" s="16">
        <f>I135*J135*EXP(-Parameters!$B$43*'6states'!A135)*(Parameters!$B$38/Parameters!$B$39*('6states'!E135+'6states'!H135)/Parameters!$E$25*(EXP(-Parameters!$B$39*Parameters!$E$25*'6states'!H135/('6states'!E135+'6states'!H135))-EXP(-Parameters!$B$39*Parameters!$E$25))  +  Parameters!$B$40*'6states'!E135)</f>
        <v>4.1908379992588299E-2</v>
      </c>
      <c r="L135" s="6">
        <f>L134+K135*Parameters!B$71</f>
        <v>3349.0316928708762</v>
      </c>
      <c r="M135" s="5">
        <f>L135*Parameters!$B$46</f>
        <v>2.0094190157225253</v>
      </c>
      <c r="N135" s="7">
        <f>EXP(-Parameters!$B$47/2*M135^2)</f>
        <v>0.96023278835440928</v>
      </c>
      <c r="O135" s="6">
        <f>MAX((Parameters!$B$63 + Parameters!$B$31*'6states'!A135 - '6states'!L135 + Parameters!$B$48/Parameters!$B$46)/Parameters!B$63,1)</f>
        <v>119.40336614258248</v>
      </c>
      <c r="P135" s="5">
        <f>Parameters!B$62*EXP(-Parameters!B$61*A135)</f>
        <v>1.4550248877036735E-2</v>
      </c>
      <c r="Q135" s="5">
        <f>(1-Parameters!B$62)*O135^-Parameters!B$64</f>
        <v>0.30993337627857076</v>
      </c>
      <c r="R135" s="5">
        <f>Parameters!B$62*EXP(-Parameters!B$61*A135)+(1-Parameters!B$62)*O135^-Parameters!B$64</f>
        <v>0.32448362515560747</v>
      </c>
      <c r="S135" s="5">
        <f>1-R135/Parameters!$B$12</f>
        <v>0.83775818742219621</v>
      </c>
      <c r="T135" s="5">
        <f t="shared" si="74"/>
        <v>6.1636392253719769</v>
      </c>
      <c r="U135" s="5">
        <f>(Parameters!$B$19*(E135+Parameters!$B$20)^S135+Parameters!$B$18*F135^S135)^(1/S135)</f>
        <v>0.34094668572111464</v>
      </c>
      <c r="V135" s="5">
        <f>(Parameters!$B$10*G135^Parameters!$B$9+Parameters!$B$11*U135^Parameters!$B$9)^(Parameters!$B$7/Parameters!$B$9)*N135</f>
        <v>1.3363534712773062</v>
      </c>
      <c r="W135" s="5">
        <f>V135 - C135 - D135 - LN(1+EXP(Parameters!$B$21*B135))/Parameters!$B$21 - IF(B135&gt;0, 0,Parameters!$B$6*B135^2/E135)</f>
        <v>1.0176962109739307</v>
      </c>
      <c r="X135" s="5">
        <f>EXP(-Parameters!$B$56*A135)</f>
        <v>0.13833181823466795</v>
      </c>
      <c r="Y135" s="5">
        <f>IF(W135&gt;0,W135^(1-Parameters!$B$53)/(1-Parameters!$B$53)*X135*Parameters!$B$71,-10+W135*1000)</f>
        <v>-0.39281465853713909</v>
      </c>
      <c r="AA135" s="15">
        <f t="shared" si="77"/>
        <v>-1.735522890467623E-3</v>
      </c>
      <c r="AB135" s="15">
        <f t="shared" si="78"/>
        <v>1.0356196132807471E-5</v>
      </c>
      <c r="AC135" s="15">
        <f t="shared" si="79"/>
        <v>-1.4252817994053757E-5</v>
      </c>
      <c r="AD135" s="15">
        <f t="shared" si="75"/>
        <v>4.167038660713303E-7</v>
      </c>
      <c r="AE135" s="15">
        <f t="shared" si="80"/>
        <v>-1.7302070232200206E-4</v>
      </c>
      <c r="AF135" s="15">
        <f t="shared" si="81"/>
        <v>-6.3853406524760903E-7</v>
      </c>
      <c r="AG135" s="15">
        <f t="shared" si="82"/>
        <v>8.892234393820253E-7</v>
      </c>
      <c r="AH135" s="15">
        <f t="shared" si="76"/>
        <v>4.1412897014668884E-9</v>
      </c>
      <c r="AI135" s="15"/>
      <c r="AM135" s="16">
        <f t="shared" si="70"/>
        <v>10.738671756710968</v>
      </c>
      <c r="AN135" s="16">
        <f t="shared" si="71"/>
        <v>0.20250529018711338</v>
      </c>
      <c r="AO135" s="16">
        <f t="shared" si="72"/>
        <v>492.63082452288847</v>
      </c>
      <c r="AP135" s="6">
        <f t="shared" si="73"/>
        <v>1930.8852086858506</v>
      </c>
      <c r="AQ135" s="15">
        <f>-X135*V135*W135^(-Parameters!B$53)*Parameters!B$47*Parameters!B$46*M135</f>
        <v>-4.3749866719918723E-6</v>
      </c>
      <c r="AR135" s="5">
        <f>1000*EXP(-(Parameters!$B$55)*'6states'!A135)*AP135*Parameters!B$47*Parameters!B$46*M135</f>
        <v>0.47124289361275273</v>
      </c>
      <c r="AS135" s="5">
        <f>SUM(AR135:AR$204)*EXP(Parameters!$B$55*A135)</f>
        <v>2754.9554548524438</v>
      </c>
      <c r="AT135" s="25">
        <f t="shared" si="83"/>
        <v>0.23715477108250679</v>
      </c>
      <c r="AU135">
        <f>(1/$S135-1/Parameters!$B$13) * LN(Parameters!$B$18) / LN(O135)</f>
        <v>0.20085146835213152</v>
      </c>
      <c r="AV135">
        <f>(Parameters!$B$18*'6states'!S135^+Parameters!$B$19*Parameters!$B$25^'6states'!S135)^((1-'6states'!S135)/'6states'!S135)*Parameters!$B$18*Parameters!$B$26^('6states'!S135-1)</f>
        <v>0.30763053544778185</v>
      </c>
      <c r="AW135">
        <f t="shared" si="84"/>
        <v>0.18053655833369348</v>
      </c>
      <c r="AX135">
        <f t="shared" si="85"/>
        <v>0.12996307786605332</v>
      </c>
      <c r="AY135">
        <f t="shared" si="86"/>
        <v>0.19203233376672946</v>
      </c>
      <c r="AZ135">
        <f>(1/$S135-1/Parameters!$B$13) * LN(Parameters!$B$18) / A135</f>
        <v>7.3326231467995134E-3</v>
      </c>
    </row>
    <row r="136" spans="1:52" x14ac:dyDescent="0.35">
      <c r="A136">
        <f>A135+Parameters!$B$71</f>
        <v>132</v>
      </c>
      <c r="B136" s="7">
        <f t="shared" si="69"/>
        <v>-2.9568713141259393E-6</v>
      </c>
      <c r="C136" s="7">
        <f t="shared" si="67"/>
        <v>9.0949993792235756E-2</v>
      </c>
      <c r="D136" s="7">
        <f t="shared" si="68"/>
        <v>0.22597556464516125</v>
      </c>
      <c r="E136" s="5">
        <f>MAX((1-Parameters!$B$4)^Parameters!B$71*E135 + B135*Parameters!B$71 - IF(B135&gt;0,Parameters!$B$5,0)*B135^2/E135*Parameters!B$71, 0.0001)</f>
        <v>1.2838016178626138E-4</v>
      </c>
      <c r="F136" s="5">
        <f>(1-Parameters!$B$4)^Parameters!B$71*F135+C135*Parameters!B$71-Parameters!$B$5*C135^2/F135*Parameters!B$71</f>
        <v>1.3515792297321072</v>
      </c>
      <c r="G136" s="5">
        <f>(1-Parameters!$B$4)^Parameters!B$71*G135+D135*Parameters!B$71-Parameters!$B$5*D135^2/G135*Parameters!B$71</f>
        <v>3.3396098406106041</v>
      </c>
      <c r="H136" s="7">
        <f>MAX(H135 * (1-Parameters!$B$4) ^ Parameters!B$71 + (LN(1+EXP(Parameters!$B$21*(-B135+0.004)))/Parameters!$B$21 -0.004) * Parameters!B$71,0)</f>
        <v>7.426895939379629E-3</v>
      </c>
      <c r="I136" s="16">
        <f>I135*(1+Parameters!$B$52)^Parameters!B$71</f>
        <v>11.959072313621251</v>
      </c>
      <c r="J136" s="16">
        <f>J135*(1+Parameters!$B$54)^Parameters!B$71</f>
        <v>123.59344013980525</v>
      </c>
      <c r="K136" s="16">
        <f>I136*J136*EXP(-Parameters!$B$43*'6states'!A136)*(Parameters!$B$38/Parameters!$B$39*('6states'!E136+'6states'!H136)/Parameters!$E$25*(EXP(-Parameters!$B$39*Parameters!$E$25*'6states'!H136/('6states'!E136+'6states'!H136))-EXP(-Parameters!$B$39*Parameters!$E$25))  +  Parameters!$B$40*'6states'!E136)</f>
        <v>3.8878758339052681E-2</v>
      </c>
      <c r="L136" s="6">
        <f>L135+K136*Parameters!B$71</f>
        <v>3349.0705716292155</v>
      </c>
      <c r="M136" s="5">
        <f>L136*Parameters!$B$46</f>
        <v>2.009442342977529</v>
      </c>
      <c r="N136" s="7">
        <f>EXP(-Parameters!$B$47/2*M136^2)</f>
        <v>0.96023188364511947</v>
      </c>
      <c r="O136" s="6">
        <f>MAX((Parameters!$B$63 + Parameters!$B$31*'6states'!A136 - '6states'!L136 + Parameters!$B$48/Parameters!$B$46)/Parameters!B$63,1)</f>
        <v>120.46658856741571</v>
      </c>
      <c r="P136" s="5">
        <f>Parameters!B$62*EXP(-Parameters!B$61*A136)</f>
        <v>1.4162648311440561E-2</v>
      </c>
      <c r="Q136" s="5">
        <f>(1-Parameters!B$62)*O136^-Parameters!B$64</f>
        <v>0.30965874058905413</v>
      </c>
      <c r="R136" s="5">
        <f>Parameters!B$62*EXP(-Parameters!B$61*A136)+(1-Parameters!B$62)*O136^-Parameters!B$64</f>
        <v>0.32382138890049467</v>
      </c>
      <c r="S136" s="5">
        <f>1-R136/Parameters!$B$12</f>
        <v>0.83808930554975269</v>
      </c>
      <c r="T136" s="5">
        <f t="shared" si="74"/>
        <v>6.1762442771023061</v>
      </c>
      <c r="U136" s="5">
        <f>(Parameters!$B$19*(E136+Parameters!$B$20)^S136+Parameters!$B$18*F136^S136)^(1/S136)</f>
        <v>0.34104603225332569</v>
      </c>
      <c r="V136" s="5">
        <f>(Parameters!$B$10*G136^Parameters!$B$9+Parameters!$B$11*U136^Parameters!$B$9)^(Parameters!$B$7/Parameters!$B$9)*N136</f>
        <v>1.3364443874601106</v>
      </c>
      <c r="W136" s="5">
        <f>V136 - C136 - D136 - LN(1+EXP(Parameters!$B$21*B136))/Parameters!$B$21 - IF(B136&gt;0, 0,Parameters!$B$6*B136^2/E136)</f>
        <v>1.0177870985542785</v>
      </c>
      <c r="X136" s="5">
        <f>EXP(-Parameters!$B$56*A136)</f>
        <v>0.13625869921873399</v>
      </c>
      <c r="Y136" s="5">
        <f>IF(W136&gt;0,W136^(1-Parameters!$B$53)/(1-Parameters!$B$53)*X136*Parameters!$B$71,-10+W136*1000)</f>
        <v>-0.38691562180049771</v>
      </c>
      <c r="AA136" s="15">
        <f t="shared" si="77"/>
        <v>-1.934643316000427E-3</v>
      </c>
      <c r="AB136" s="15">
        <f t="shared" si="78"/>
        <v>9.7545804125798163E-6</v>
      </c>
      <c r="AC136" s="15">
        <f t="shared" si="79"/>
        <v>-1.3416127164322944E-5</v>
      </c>
      <c r="AD136" s="15">
        <f t="shared" si="75"/>
        <v>5.100326492004145E-7</v>
      </c>
      <c r="AE136" s="15">
        <f t="shared" si="80"/>
        <v>-1.9912042553280399E-4</v>
      </c>
      <c r="AF136" s="15">
        <f t="shared" si="81"/>
        <v>-6.0161572022765508E-7</v>
      </c>
      <c r="AG136" s="15">
        <f t="shared" si="82"/>
        <v>8.3669082973081288E-7</v>
      </c>
      <c r="AH136" s="15">
        <f t="shared" si="76"/>
        <v>5.4026582221423709E-9</v>
      </c>
      <c r="AI136" s="15"/>
      <c r="AM136" s="16">
        <f t="shared" si="70"/>
        <v>10.977419261934699</v>
      </c>
      <c r="AN136" s="16">
        <f t="shared" si="71"/>
        <v>0.18975395270726203</v>
      </c>
      <c r="AO136" s="16">
        <f t="shared" si="72"/>
        <v>504.08748341460955</v>
      </c>
      <c r="AP136" s="6">
        <f t="shared" si="73"/>
        <v>1975.348851142593</v>
      </c>
      <c r="AQ136" s="15">
        <f>-X136*V136*W136^(-Parameters!B$53)*Parameters!B$47*Parameters!B$46*M136</f>
        <v>-4.3092443059659583E-6</v>
      </c>
      <c r="AR136" s="5">
        <f>1000*EXP(-(Parameters!$B$55)*'6states'!A136)*AP136*Parameters!B$47*Parameters!B$46*M136</f>
        <v>0.46547189958213586</v>
      </c>
      <c r="AS136" s="5">
        <f>SUM(AR136:AR$204)*EXP(Parameters!$B$55*A136)</f>
        <v>2804.9076281015755</v>
      </c>
      <c r="AT136" s="25">
        <f t="shared" si="83"/>
        <v>0.23713863782120315</v>
      </c>
      <c r="AU136">
        <f>(1/$S136-1/Parameters!$B$13) * LN(Parameters!$B$18) / LN(O136)</f>
        <v>0.20059710477688253</v>
      </c>
      <c r="AV136">
        <f>(Parameters!$B$18*'6states'!S136^+Parameters!$B$19*Parameters!$B$25^'6states'!S136)^((1-'6states'!S136)/'6states'!S136)*Parameters!$B$18*Parameters!$B$26^('6states'!S136-1)</f>
        <v>0.30766996555362469</v>
      </c>
      <c r="AW136">
        <f t="shared" si="84"/>
        <v>0.18022927686132903</v>
      </c>
      <c r="AX136">
        <f t="shared" si="85"/>
        <v>0.12980966691894047</v>
      </c>
      <c r="AY136">
        <f t="shared" si="86"/>
        <v>0.19205441592154493</v>
      </c>
      <c r="AZ136">
        <f>(1/$S136-1/Parameters!$B$13) * LN(Parameters!$B$18) / A136</f>
        <v>7.2813290879487538E-3</v>
      </c>
    </row>
    <row r="137" spans="1:52" x14ac:dyDescent="0.35">
      <c r="A137">
        <f>A136+Parameters!$B$71</f>
        <v>133</v>
      </c>
      <c r="B137" s="7">
        <f t="shared" si="69"/>
        <v>-2.9568713141259393E-6</v>
      </c>
      <c r="C137" s="7">
        <f t="shared" ref="C137:C168" si="87">C136</f>
        <v>9.0949993792235756E-2</v>
      </c>
      <c r="D137" s="7">
        <f t="shared" ref="D137:D168" si="88">D136</f>
        <v>0.22597556464516125</v>
      </c>
      <c r="E137" s="5">
        <f>MAX((1-Parameters!$B$4)^Parameters!B$71*E136 + B136*Parameters!B$71 - IF(B136&gt;0,Parameters!$B$5,0)*B136^2/E136*Parameters!B$71, 0.0001)</f>
        <v>1.173481782957796E-4</v>
      </c>
      <c r="F137" s="5">
        <f>(1-Parameters!$B$4)^Parameters!B$71*F136+C136*Parameters!B$71-Parameters!$B$5*C136^2/F136*Parameters!B$71</f>
        <v>1.3513947150049117</v>
      </c>
      <c r="G137" s="5">
        <f>(1-Parameters!$B$4)^Parameters!B$71*G136+D136*Parameters!B$71-Parameters!$B$5*D136^2/G136*Parameters!B$71</f>
        <v>3.3402332511840642</v>
      </c>
      <c r="H137" s="7">
        <f>MAX(H136 * (1-Parameters!$B$4) ^ Parameters!B$71 + (LN(1+EXP(Parameters!$B$21*(-B136+0.004)))/Parameters!$B$21 -0.004) * Parameters!B$71,0)</f>
        <v>7.4219564526387741E-3</v>
      </c>
      <c r="I137" s="16">
        <f>I136*(1+Parameters!$B$52)^Parameters!B$71</f>
        <v>11.99375362333075</v>
      </c>
      <c r="J137" s="16">
        <f>J136*(1+Parameters!$B$54)^Parameters!B$71</f>
        <v>126.06530894260136</v>
      </c>
      <c r="K137" s="16">
        <f>I137*J137*EXP(-Parameters!$B$43*'6states'!A137)*(Parameters!$B$38/Parameters!$B$39*('6states'!E137+'6states'!H137)/Parameters!$E$25*(EXP(-Parameters!$B$39*Parameters!$E$25*'6states'!H137/('6states'!E137+'6states'!H137))-EXP(-Parameters!$B$39*Parameters!$E$25))  +  Parameters!$B$40*'6states'!E137)</f>
        <v>3.5991974972045905E-2</v>
      </c>
      <c r="L137" s="6">
        <f>L136+K137*Parameters!B$71</f>
        <v>3349.1065636041876</v>
      </c>
      <c r="M137" s="5">
        <f>L137*Parameters!$B$46</f>
        <v>2.0094639381625123</v>
      </c>
      <c r="N137" s="7">
        <f>EXP(-Parameters!$B$47/2*M137^2)</f>
        <v>0.96023104610271992</v>
      </c>
      <c r="O137" s="6">
        <f>MAX((Parameters!$B$63 + Parameters!$B$31*'6states'!A137 - '6states'!L137 + Parameters!$B$48/Parameters!$B$46)/Parameters!B$63,1)</f>
        <v>121.52986872791625</v>
      </c>
      <c r="P137" s="5">
        <f>Parameters!B$62*EXP(-Parameters!B$61*A137)</f>
        <v>1.378537294369634E-2</v>
      </c>
      <c r="Q137" s="5">
        <f>(1-Parameters!B$62)*O137^-Parameters!B$64</f>
        <v>0.30938674364224328</v>
      </c>
      <c r="R137" s="5">
        <f>Parameters!B$62*EXP(-Parameters!B$61*A137)+(1-Parameters!B$62)*O137^-Parameters!B$64</f>
        <v>0.32317211658593964</v>
      </c>
      <c r="S137" s="5">
        <f>1-R137/Parameters!$B$12</f>
        <v>0.83841394170703021</v>
      </c>
      <c r="T137" s="5">
        <f t="shared" si="74"/>
        <v>6.1886527251435997</v>
      </c>
      <c r="U137" s="5">
        <f>(Parameters!$B$19*(E137+Parameters!$B$20)^S137+Parameters!$B$18*F137^S137)^(1/S137)</f>
        <v>0.34114587627108012</v>
      </c>
      <c r="V137" s="5">
        <f>(Parameters!$B$10*G137^Parameters!$B$9+Parameters!$B$11*U137^Parameters!$B$9)^(Parameters!$B$7/Parameters!$B$9)*N137</f>
        <v>1.3365325178823526</v>
      </c>
      <c r="W137" s="5">
        <f>V137 - C137 - D137 - LN(1+EXP(Parameters!$B$21*B137))/Parameters!$B$21 - IF(B137&gt;0, 0,Parameters!$B$6*B137^2/E137)</f>
        <v>1.0178751969644189</v>
      </c>
      <c r="X137" s="5">
        <f>EXP(-Parameters!$B$56*A137)</f>
        <v>0.13421664913913783</v>
      </c>
      <c r="Y137" s="5">
        <f>IF(W137&gt;0,W137^(1-Parameters!$B$53)/(1-Parameters!$B$53)*X137*Parameters!$B$71,-10+W137*1000)</f>
        <v>-0.38110553955447557</v>
      </c>
      <c r="AA137" s="15">
        <f t="shared" si="77"/>
        <v>-2.1652684934788634E-3</v>
      </c>
      <c r="AB137" s="15">
        <f t="shared" si="78"/>
        <v>9.1877672291212908E-6</v>
      </c>
      <c r="AC137" s="15">
        <f t="shared" si="79"/>
        <v>-1.262882999808479E-5</v>
      </c>
      <c r="AD137" s="15">
        <f t="shared" si="75"/>
        <v>6.2929241585896083E-7</v>
      </c>
      <c r="AE137" s="15">
        <f t="shared" si="80"/>
        <v>-2.3062517747843639E-4</v>
      </c>
      <c r="AF137" s="15">
        <f t="shared" si="81"/>
        <v>-5.6681318345852549E-7</v>
      </c>
      <c r="AG137" s="15">
        <f t="shared" si="82"/>
        <v>7.8729716623815449E-7</v>
      </c>
      <c r="AH137" s="15">
        <f t="shared" si="76"/>
        <v>7.1388377548737356E-9</v>
      </c>
      <c r="AI137" s="15"/>
      <c r="AM137" s="16">
        <f t="shared" si="70"/>
        <v>11.22197036789192</v>
      </c>
      <c r="AN137" s="16">
        <f t="shared" si="71"/>
        <v>0.17743000622068308</v>
      </c>
      <c r="AO137" s="16">
        <f t="shared" si="72"/>
        <v>515.81128763986146</v>
      </c>
      <c r="AP137" s="6">
        <f t="shared" si="73"/>
        <v>2020.8321629355855</v>
      </c>
      <c r="AQ137" s="15">
        <f>-X137*V137*W137^(-Parameters!B$53)*Parameters!B$47*Parameters!B$46*M137</f>
        <v>-4.2444930635608803E-6</v>
      </c>
      <c r="AR137" s="5">
        <f>1000*EXP(-(Parameters!$B$55)*'6states'!A137)*AP137*Parameters!B$47*Parameters!B$46*M137</f>
        <v>0.45977022222457697</v>
      </c>
      <c r="AS137" s="5">
        <f>SUM(AR137:AR$204)*EXP(Parameters!$B$55*A137)</f>
        <v>2855.5276748963734</v>
      </c>
      <c r="AT137" s="25">
        <f t="shared" si="83"/>
        <v>0.23712300099381478</v>
      </c>
      <c r="AU137">
        <f>(1/$S137-1/Parameters!$B$13) * LN(Parameters!$B$18) / LN(O137)</f>
        <v>0.20034453123822676</v>
      </c>
      <c r="AV137">
        <f>(Parameters!$B$18*'6states'!S137^+Parameters!$B$19*Parameters!$B$25^'6states'!S137)^((1-'6states'!S137)/'6states'!S137)*Parameters!$B$18*Parameters!$B$26^('6states'!S137-1)</f>
        <v>0.30770839869529065</v>
      </c>
      <c r="AW137">
        <f t="shared" si="84"/>
        <v>0.17992535403040052</v>
      </c>
      <c r="AX137">
        <f t="shared" si="85"/>
        <v>0.12965730880738335</v>
      </c>
      <c r="AY137">
        <f t="shared" si="86"/>
        <v>0.19207593916284438</v>
      </c>
      <c r="AZ137">
        <f>(1/$S137-1/Parameters!$B$13) * LN(Parameters!$B$18) / A137</f>
        <v>7.2307204378583541E-3</v>
      </c>
    </row>
    <row r="138" spans="1:52" x14ac:dyDescent="0.35">
      <c r="A138">
        <f>A137+Parameters!$B$71</f>
        <v>134</v>
      </c>
      <c r="B138" s="7">
        <f t="shared" si="69"/>
        <v>-2.9568713141259393E-6</v>
      </c>
      <c r="C138" s="7">
        <f t="shared" si="87"/>
        <v>9.0949993792235756E-2</v>
      </c>
      <c r="D138" s="7">
        <f t="shared" si="88"/>
        <v>0.22597556464516125</v>
      </c>
      <c r="E138" s="5">
        <f>MAX((1-Parameters!$B$4)^Parameters!B$71*E137 + B137*Parameters!B$71 - IF(B137&gt;0,Parameters!$B$5,0)*B137^2/E137*Parameters!B$71, 0.0001)</f>
        <v>1.0701010656684913E-4</v>
      </c>
      <c r="F138" s="5">
        <f>(1-Parameters!$B$4)^Parameters!B$71*F137+C137*Parameters!B$71-Parameters!$B$5*C137^2/F137*Parameters!B$71</f>
        <v>1.3512209706266844</v>
      </c>
      <c r="G138" s="5">
        <f>(1-Parameters!$B$4)^Parameters!B$71*G137+D137*Parameters!B$71-Parameters!$B$5*D137^2/G137*Parameters!B$71</f>
        <v>3.3408203030394437</v>
      </c>
      <c r="H138" s="7">
        <f>MAX(H137 * (1-Parameters!$B$4) ^ Parameters!B$71 + (LN(1+EXP(Parameters!$B$21*(-B137+0.004)))/Parameters!$B$21 -0.004) * Parameters!B$71,0)</f>
        <v>7.4173276596139195E-3</v>
      </c>
      <c r="I138" s="16">
        <f>I137*(1+Parameters!$B$52)^Parameters!B$71</f>
        <v>12.028535508838408</v>
      </c>
      <c r="J138" s="16">
        <f>J137*(1+Parameters!$B$54)^Parameters!B$71</f>
        <v>128.58661512145341</v>
      </c>
      <c r="K138" s="16">
        <f>I138*J138*EXP(-Parameters!$B$43*'6states'!A138)*(Parameters!$B$38/Parameters!$B$39*('6states'!E138+'6states'!H138)/Parameters!$E$25*(EXP(-Parameters!$B$39*Parameters!$E$25*'6states'!H138/('6states'!E138+'6states'!H138))-EXP(-Parameters!$B$39*Parameters!$E$25))  +  Parameters!$B$40*'6states'!E138)</f>
        <v>3.3240609693270952E-2</v>
      </c>
      <c r="L138" s="6">
        <f>L137+K138*Parameters!B$71</f>
        <v>3349.1398042138808</v>
      </c>
      <c r="M138" s="5">
        <f>L138*Parameters!$B$46</f>
        <v>2.0094838825283281</v>
      </c>
      <c r="N138" s="7">
        <f>EXP(-Parameters!$B$47/2*M138^2)</f>
        <v>0.96023027257794302</v>
      </c>
      <c r="O138" s="6">
        <f>MAX((Parameters!$B$63 + Parameters!$B$31*'6states'!A138 - '6states'!L138 + Parameters!$B$48/Parameters!$B$46)/Parameters!B$63,1)</f>
        <v>122.59320391572238</v>
      </c>
      <c r="P138" s="5">
        <f>Parameters!B$62*EXP(-Parameters!B$61*A138)</f>
        <v>1.3418147723352271E-2</v>
      </c>
      <c r="Q138" s="5">
        <f>(1-Parameters!B$62)*O138^-Parameters!B$64</f>
        <v>0.30911733802465358</v>
      </c>
      <c r="R138" s="5">
        <f>Parameters!B$62*EXP(-Parameters!B$61*A138)+(1-Parameters!B$62)*O138^-Parameters!B$64</f>
        <v>0.32253548574800583</v>
      </c>
      <c r="S138" s="5">
        <f>1-R138/Parameters!$B$12</f>
        <v>0.83873225712599708</v>
      </c>
      <c r="T138" s="5">
        <f t="shared" si="74"/>
        <v>6.2008680854502396</v>
      </c>
      <c r="U138" s="5">
        <f>(Parameters!$B$19*(E138+Parameters!$B$20)^S138+Parameters!$B$18*F138^S138)^(1/S138)</f>
        <v>0.34124607969566084</v>
      </c>
      <c r="V138" s="5">
        <f>(Parameters!$B$10*G138^Parameters!$B$9+Parameters!$B$11*U138^Parameters!$B$9)^(Parameters!$B$7/Parameters!$B$9)*N138</f>
        <v>1.3366179808686851</v>
      </c>
      <c r="W138" s="5">
        <f>V138 - C138 - D138 - LN(1+EXP(Parameters!$B$21*B138))/Parameters!$B$21 - IF(B138&gt;0, 0,Parameters!$B$6*B138^2/E138)</f>
        <v>1.0179606239614643</v>
      </c>
      <c r="X138" s="5">
        <f>EXP(-Parameters!$B$56*A138)</f>
        <v>0.13220520237919381</v>
      </c>
      <c r="Y138" s="5">
        <f>IF(W138&gt;0,W138^(1-Parameters!$B$53)/(1-Parameters!$B$53)*X138*Parameters!$B$71,-10+W138*1000)</f>
        <v>-0.37538304963718006</v>
      </c>
      <c r="AA138" s="15">
        <f t="shared" si="77"/>
        <v>-2.4342816009066404E-3</v>
      </c>
      <c r="AB138" s="15">
        <f t="shared" si="78"/>
        <v>8.6537599115477093E-6</v>
      </c>
      <c r="AC138" s="15">
        <f t="shared" si="79"/>
        <v>-1.1887979127475634E-5</v>
      </c>
      <c r="AD138" s="15">
        <f t="shared" si="75"/>
        <v>7.8344051001200053E-7</v>
      </c>
      <c r="AE138" s="15">
        <f t="shared" si="80"/>
        <v>-2.6901310742777698E-4</v>
      </c>
      <c r="AF138" s="15">
        <f t="shared" si="81"/>
        <v>-5.3400731757358155E-7</v>
      </c>
      <c r="AG138" s="15">
        <f t="shared" si="82"/>
        <v>7.4085087060915544E-7</v>
      </c>
      <c r="AH138" s="15">
        <f t="shared" si="76"/>
        <v>9.5675432184995999E-9</v>
      </c>
      <c r="AI138" s="15"/>
      <c r="AM138" s="16">
        <f t="shared" si="70"/>
        <v>11.472444969313552</v>
      </c>
      <c r="AN138" s="16">
        <f t="shared" si="71"/>
        <v>0.16551345917115073</v>
      </c>
      <c r="AO138" s="16">
        <f t="shared" si="72"/>
        <v>527.80826868665429</v>
      </c>
      <c r="AP138" s="6">
        <f t="shared" si="73"/>
        <v>2067.3586140738389</v>
      </c>
      <c r="AQ138" s="15">
        <f>-X138*V138*W138^(-Parameters!B$53)*Parameters!B$47*Parameters!B$46*M138</f>
        <v>-4.1807178385477315E-6</v>
      </c>
      <c r="AR138" s="5">
        <f>1000*EXP(-(Parameters!$B$55)*'6states'!A138)*AP138*Parameters!B$47*Parameters!B$46*M138</f>
        <v>0.45413710467426938</v>
      </c>
      <c r="AS138" s="5">
        <f>SUM(AR138:AR$204)*EXP(Parameters!$B$55*A138)</f>
        <v>2906.8138780997438</v>
      </c>
      <c r="AT138" s="25">
        <f t="shared" si="83"/>
        <v>0.23710783941430358</v>
      </c>
      <c r="AU138">
        <f>(1/$S138-1/Parameters!$B$13) * LN(Parameters!$B$18) / LN(O138)</f>
        <v>0.20009373287901894</v>
      </c>
      <c r="AV138">
        <f>(Parameters!$B$18*'6states'!S138^+Parameters!$B$19*Parameters!$B$25^'6states'!S138)^((1-'6states'!S138)/'6states'!S138)*Parameters!$B$18*Parameters!$B$26^('6states'!S138-1)</f>
        <v>0.30774586736152942</v>
      </c>
      <c r="AW138">
        <f t="shared" si="84"/>
        <v>0.17962472955017489</v>
      </c>
      <c r="AX138">
        <f t="shared" si="85"/>
        <v>0.12950599512931993</v>
      </c>
      <c r="AY138">
        <f t="shared" si="86"/>
        <v>0.19209692172882531</v>
      </c>
      <c r="AZ138">
        <f>(1/$S138-1/Parameters!$B$13) * LN(Parameters!$B$18) / A138</f>
        <v>7.1807840833916416E-3</v>
      </c>
    </row>
    <row r="139" spans="1:52" x14ac:dyDescent="0.35">
      <c r="A139">
        <f>A138+Parameters!$B$71</f>
        <v>135</v>
      </c>
      <c r="B139" s="7">
        <f t="shared" si="69"/>
        <v>-2.9568713141259393E-6</v>
      </c>
      <c r="C139" s="7">
        <f t="shared" si="87"/>
        <v>9.0949993792235756E-2</v>
      </c>
      <c r="D139" s="7">
        <f t="shared" si="88"/>
        <v>0.22597556464516125</v>
      </c>
      <c r="E139" s="5">
        <f>MAX((1-Parameters!$B$4)^Parameters!B$71*E138 + B138*Parameters!B$71 - IF(B138&gt;0,Parameters!$B$5,0)*B138^2/E138*Parameters!B$71, 0.0001)</f>
        <v>1E-4</v>
      </c>
      <c r="F139" s="5">
        <f>(1-Parameters!$B$4)^Parameters!B$71*F138+C138*Parameters!B$71-Parameters!$B$5*C138^2/F138*Parameters!B$71</f>
        <v>1.3510573677104372</v>
      </c>
      <c r="G139" s="5">
        <f>(1-Parameters!$B$4)^Parameters!B$71*G138+D138*Parameters!B$71-Parameters!$B$5*D138^2/G138*Parameters!B$71</f>
        <v>3.3413731157259154</v>
      </c>
      <c r="H139" s="7">
        <f>MAX(H138 * (1-Parameters!$B$4) ^ Parameters!B$71 + (LN(1+EXP(Parameters!$B$21*(-B138+0.004)))/Parameters!$B$21 -0.004) * Parameters!B$71,0)</f>
        <v>7.4129900176703283E-3</v>
      </c>
      <c r="I139" s="16">
        <f>I138*(1+Parameters!$B$52)^Parameters!B$71</f>
        <v>12.063418261814038</v>
      </c>
      <c r="J139" s="16">
        <f>J138*(1+Parameters!$B$54)^Parameters!B$71</f>
        <v>131.15834742388247</v>
      </c>
      <c r="K139" s="16">
        <f>I139*J139*EXP(-Parameters!$B$43*'6states'!A139)*(Parameters!$B$38/Parameters!$B$39*('6states'!E139+'6states'!H139)/Parameters!$E$25*(EXP(-Parameters!$B$39*Parameters!$E$25*'6states'!H139/('6states'!E139+'6states'!H139))-EXP(-Parameters!$B$39*Parameters!$E$25))  +  Parameters!$B$40*'6states'!E139)</f>
        <v>3.1460023495726012E-2</v>
      </c>
      <c r="L139" s="6">
        <f>L138+K139*Parameters!B$71</f>
        <v>3349.1712642373764</v>
      </c>
      <c r="M139" s="5">
        <f>L139*Parameters!$B$46</f>
        <v>2.0095027585424257</v>
      </c>
      <c r="N139" s="7">
        <f>EXP(-Parameters!$B$47/2*M139^2)</f>
        <v>0.96022954048175513</v>
      </c>
      <c r="O139" s="6">
        <f>MAX((Parameters!$B$63 + Parameters!$B$31*'6states'!A139 - '6states'!L139 + Parameters!$B$48/Parameters!$B$46)/Parameters!B$63,1)</f>
        <v>123.65657471525246</v>
      </c>
      <c r="P139" s="5">
        <f>Parameters!B$62*EXP(-Parameters!B$61*A139)</f>
        <v>1.3060704926959116E-2</v>
      </c>
      <c r="Q139" s="5">
        <f>(1-Parameters!B$62)*O139^-Parameters!B$64</f>
        <v>0.30885048175293212</v>
      </c>
      <c r="R139" s="5">
        <f>Parameters!B$62*EXP(-Parameters!B$61*A139)+(1-Parameters!B$62)*O139^-Parameters!B$64</f>
        <v>0.32191118667989121</v>
      </c>
      <c r="S139" s="5">
        <f>1-R139/Parameters!$B$12</f>
        <v>0.83904440666005442</v>
      </c>
      <c r="T139" s="5">
        <f t="shared" si="74"/>
        <v>6.2128937506878321</v>
      </c>
      <c r="U139" s="5">
        <f>(Parameters!$B$19*(E139+Parameters!$B$20)^S139+Parameters!$B$18*F139^S139)^(1/S139)</f>
        <v>0.34134979941965682</v>
      </c>
      <c r="V139" s="5">
        <f>(Parameters!$B$10*G139^Parameters!$B$9+Parameters!$B$11*U139^Parameters!$B$9)^(Parameters!$B$7/Parameters!$B$9)*N139</f>
        <v>1.3367021721854335</v>
      </c>
      <c r="W139" s="5">
        <f>V139 - C139 - D139 - LN(1+EXP(Parameters!$B$21*B139))/Parameters!$B$21 - IF(B139&gt;0, 0,Parameters!$B$6*B139^2/E139)</f>
        <v>1.0180447866407407</v>
      </c>
      <c r="X139" s="5">
        <f>EXP(-Parameters!$B$56*A139)</f>
        <v>0.13022390030021183</v>
      </c>
      <c r="Y139" s="5">
        <f>IF(W139&gt;0,W139^(1-Parameters!$B$53)/(1-Parameters!$B$53)*X139*Parameters!$B$71,-10+W139*1000)</f>
        <v>-0.36974664739073881</v>
      </c>
      <c r="AA139" s="15">
        <f t="shared" si="77"/>
        <v>-1.9370117161348031E-3</v>
      </c>
      <c r="AB139" s="15">
        <f t="shared" si="78"/>
        <v>8.1506744594728175E-6</v>
      </c>
      <c r="AC139" s="15">
        <f t="shared" si="79"/>
        <v>-1.1190806617766835E-5</v>
      </c>
      <c r="AD139" s="15">
        <f t="shared" si="75"/>
        <v>4.8862690735416666E-7</v>
      </c>
      <c r="AE139" s="15">
        <f t="shared" si="80"/>
        <v>4.9726988477183723E-4</v>
      </c>
      <c r="AF139" s="15">
        <f t="shared" si="81"/>
        <v>-5.0308545207489175E-7</v>
      </c>
      <c r="AG139" s="15">
        <f t="shared" si="82"/>
        <v>6.9717250970879885E-7</v>
      </c>
      <c r="AH139" s="15">
        <f t="shared" si="76"/>
        <v>3.2201515703687815E-8</v>
      </c>
      <c r="AI139" s="15"/>
      <c r="AM139" s="16">
        <f t="shared" si="70"/>
        <v>11.728966265743153</v>
      </c>
      <c r="AN139" s="16">
        <f t="shared" si="71"/>
        <v>0.1582218003502614</v>
      </c>
      <c r="AO139" s="16">
        <f t="shared" si="72"/>
        <v>540.0897981337871</v>
      </c>
      <c r="AP139" s="6">
        <f t="shared" si="73"/>
        <v>2114.954242152844</v>
      </c>
      <c r="AQ139" s="15">
        <f>-X139*V139*W139^(-Parameters!B$53)*Parameters!B$47*Parameters!B$46*M139</f>
        <v>-4.1179016811250005E-6</v>
      </c>
      <c r="AR139" s="5">
        <f>1000*EXP(-(Parameters!$B$55)*'6states'!A139)*AP139*Parameters!B$47*Parameters!B$46*M139</f>
        <v>0.44857233712655054</v>
      </c>
      <c r="AS139" s="5">
        <f>SUM(AR139:AR$204)*EXP(Parameters!$B$55*A139)</f>
        <v>2958.7638701619308</v>
      </c>
      <c r="AT139" s="25">
        <f t="shared" si="83"/>
        <v>0.23709290533128416</v>
      </c>
      <c r="AU139">
        <f>(1/$S139-1/Parameters!$B$13) * LN(Parameters!$B$18) / LN(O139)</f>
        <v>0.19984469988179968</v>
      </c>
      <c r="AV139">
        <f>(Parameters!$B$18*'6states'!S139^+Parameters!$B$19*Parameters!$B$25^'6states'!S139)^((1-'6states'!S139)/'6states'!S139)*Parameters!$B$18*Parameters!$B$26^('6states'!S139-1)</f>
        <v>0.30778240258006462</v>
      </c>
      <c r="AW139">
        <f t="shared" si="84"/>
        <v>0.17932734950411333</v>
      </c>
      <c r="AX139">
        <f t="shared" si="85"/>
        <v>0.12935572051404753</v>
      </c>
      <c r="AY139">
        <f t="shared" si="86"/>
        <v>0.19211738103653697</v>
      </c>
      <c r="AZ139">
        <f>(1/$S139-1/Parameters!$B$13) * LN(Parameters!$B$18) / A139</f>
        <v>7.131507209772338E-3</v>
      </c>
    </row>
    <row r="140" spans="1:52" x14ac:dyDescent="0.35">
      <c r="A140">
        <f>A139+Parameters!$B$71</f>
        <v>136</v>
      </c>
      <c r="B140" s="7">
        <f t="shared" si="69"/>
        <v>-2.9568713141259393E-6</v>
      </c>
      <c r="C140" s="7">
        <f t="shared" si="87"/>
        <v>9.0949993792235756E-2</v>
      </c>
      <c r="D140" s="7">
        <f t="shared" si="88"/>
        <v>0.22597556464516125</v>
      </c>
      <c r="E140" s="5">
        <f>MAX((1-Parameters!$B$4)^Parameters!B$71*E139 + B139*Parameters!B$71 - IF(B139&gt;0,Parameters!$B$5,0)*B139^2/E139*Parameters!B$71, 0.0001)</f>
        <v>1E-4</v>
      </c>
      <c r="F140" s="5">
        <f>(1-Parameters!$B$4)^Parameters!B$71*F139+C139*Parameters!B$71-Parameters!$B$5*C139^2/F139*Parameters!B$71</f>
        <v>1.3509033141138305</v>
      </c>
      <c r="G140" s="5">
        <f>(1-Parameters!$B$4)^Parameters!B$71*G139+D139*Parameters!B$71-Parameters!$B$5*D139^2/G139*Parameters!B$71</f>
        <v>3.3418936853432522</v>
      </c>
      <c r="H140" s="7">
        <f>MAX(H139 * (1-Parameters!$B$4) ^ Parameters!B$71 + (LN(1+EXP(Parameters!$B$21*(-B139+0.004)))/Parameters!$B$21 -0.004) * Parameters!B$71,0)</f>
        <v>7.4089252134049884E-3</v>
      </c>
      <c r="I140" s="16">
        <f>I139*(1+Parameters!$B$52)^Parameters!B$71</f>
        <v>12.098402174773296</v>
      </c>
      <c r="J140" s="16">
        <f>J139*(1+Parameters!$B$54)^Parameters!B$71</f>
        <v>133.78151437236014</v>
      </c>
      <c r="K140" s="16">
        <f>I140*J140*EXP(-Parameters!$B$43*'6states'!A140)*(Parameters!$B$38/Parameters!$B$39*('6states'!E140+'6states'!H140)/Parameters!$E$25*(EXP(-Parameters!$B$39*Parameters!$E$25*'6states'!H140/('6states'!E140+'6states'!H140))-EXP(-Parameters!$B$39*Parameters!$E$25))  +  Parameters!$B$40*'6states'!E140)</f>
        <v>3.1862063651793962E-2</v>
      </c>
      <c r="L140" s="6">
        <f>L139+K140*Parameters!B$71</f>
        <v>3349.2031263010281</v>
      </c>
      <c r="M140" s="5">
        <f>L140*Parameters!$B$46</f>
        <v>2.0095218757806168</v>
      </c>
      <c r="N140" s="7">
        <f>EXP(-Parameters!$B$47/2*M140^2)</f>
        <v>0.96022879902337843</v>
      </c>
      <c r="O140" s="6">
        <f>MAX((Parameters!$B$63 + Parameters!$B$31*'6states'!A140 - '6states'!L140 + Parameters!$B$48/Parameters!$B$46)/Parameters!B$63,1)</f>
        <v>124.71993747397944</v>
      </c>
      <c r="P140" s="5">
        <f>Parameters!B$62*EXP(-Parameters!B$61*A140)</f>
        <v>1.2712783962887947E-2</v>
      </c>
      <c r="Q140" s="5">
        <f>(1-Parameters!B$62)*O140^-Parameters!B$64</f>
        <v>0.30858613989755074</v>
      </c>
      <c r="R140" s="5">
        <f>Parameters!B$62*EXP(-Parameters!B$61*A140)+(1-Parameters!B$62)*O140^-Parameters!B$64</f>
        <v>0.32129892386043868</v>
      </c>
      <c r="S140" s="5">
        <f>1-R140/Parameters!$B$12</f>
        <v>0.83935053806978066</v>
      </c>
      <c r="T140" s="5">
        <f t="shared" si="74"/>
        <v>6.2247329557466307</v>
      </c>
      <c r="U140" s="5">
        <f>(Parameters!$B$19*(E140+Parameters!$B$20)^S140+Parameters!$B$18*F140^S140)^(1/S140)</f>
        <v>0.34146146970505875</v>
      </c>
      <c r="V140" s="5">
        <f>(Parameters!$B$10*G140^Parameters!$B$9+Parameters!$B$11*U140^Parameters!$B$9)^(Parameters!$B$7/Parameters!$B$9)*N140</f>
        <v>1.3367869444987315</v>
      </c>
      <c r="W140" s="5">
        <f>V140 - C140 - D140 - LN(1+EXP(Parameters!$B$21*B140))/Parameters!$B$21 - IF(B140&gt;0, 0,Parameters!$B$6*B140^2/E140)</f>
        <v>1.0181295589540387</v>
      </c>
      <c r="X140" s="5">
        <f>EXP(-Parameters!$B$56*A140)</f>
        <v>0.12827229113692101</v>
      </c>
      <c r="Y140" s="5">
        <f>IF(W140&gt;0,W140^(1-Parameters!$B$53)/(1-Parameters!$B$53)*X140*Parameters!$B$71,-10+W140*1000)</f>
        <v>-0.36419480065670862</v>
      </c>
      <c r="AA140" s="15">
        <f t="shared" si="77"/>
        <v>0</v>
      </c>
      <c r="AB140" s="15">
        <f t="shared" si="78"/>
        <v>7.6767333991867304E-6</v>
      </c>
      <c r="AC140" s="15">
        <f t="shared" si="79"/>
        <v>-1.0534712642507049E-5</v>
      </c>
      <c r="AD140" s="15">
        <f t="shared" si="75"/>
        <v>2.179505362847102E-11</v>
      </c>
      <c r="AE140" s="15">
        <f t="shared" si="80"/>
        <v>1.9370117161348031E-3</v>
      </c>
      <c r="AF140" s="15">
        <f t="shared" si="81"/>
        <v>-4.7394106028608718E-7</v>
      </c>
      <c r="AG140" s="15">
        <f t="shared" si="82"/>
        <v>6.5609397525978608E-7</v>
      </c>
      <c r="AH140" s="15">
        <f t="shared" si="76"/>
        <v>4.8127956601288045E-7</v>
      </c>
      <c r="AI140" s="15"/>
      <c r="AM140" s="16">
        <f t="shared" si="70"/>
        <v>11.991660814552567</v>
      </c>
      <c r="AN140" s="16">
        <f t="shared" si="71"/>
        <v>0.16185425644270271</v>
      </c>
      <c r="AO140" s="16">
        <f t="shared" si="72"/>
        <v>552.66992282944727</v>
      </c>
      <c r="AP140" s="6">
        <f t="shared" si="73"/>
        <v>2163.6465692415463</v>
      </c>
      <c r="AQ140" s="15">
        <f>-X140*V140*W140^(-Parameters!B$53)*Parameters!B$47*Parameters!B$46*M140</f>
        <v>-4.0560283415736514E-6</v>
      </c>
      <c r="AR140" s="5">
        <f>1000*EXP(-(Parameters!$B$55)*'6states'!A140)*AP140*Parameters!B$47*Parameters!B$46*M140</f>
        <v>0.44307600140072767</v>
      </c>
      <c r="AS140" s="5">
        <f>SUM(AR140:AR$204)*EXP(Parameters!$B$55*A140)</f>
        <v>3011.374532115356</v>
      </c>
      <c r="AT140" s="25">
        <f t="shared" si="83"/>
        <v>0.23707787009015302</v>
      </c>
      <c r="AU140">
        <f>(1/$S140-1/Parameters!$B$13) * LN(Parameters!$B$18) / LN(O140)</f>
        <v>0.19959742935198246</v>
      </c>
      <c r="AV140">
        <f>(Parameters!$B$18*'6states'!S140^+Parameters!$B$19*Parameters!$B$25^'6states'!S140)^((1-'6states'!S140)/'6states'!S140)*Parameters!$B$18*Parameters!$B$26^('6states'!S140-1)</f>
        <v>0.30781803387875506</v>
      </c>
      <c r="AW140">
        <f t="shared" si="84"/>
        <v>0.17903316818170653</v>
      </c>
      <c r="AX140">
        <f t="shared" si="85"/>
        <v>0.1292064837616036</v>
      </c>
      <c r="AY140">
        <f t="shared" si="86"/>
        <v>0.19213733366035324</v>
      </c>
      <c r="AZ140">
        <f>(1/$S140-1/Parameters!$B$13) * LN(Parameters!$B$18) / A140</f>
        <v>7.0828772813613591E-3</v>
      </c>
    </row>
    <row r="141" spans="1:52" x14ac:dyDescent="0.35">
      <c r="A141">
        <f>A140+Parameters!$B$71</f>
        <v>137</v>
      </c>
      <c r="B141" s="7">
        <f t="shared" si="69"/>
        <v>-2.9568713141259393E-6</v>
      </c>
      <c r="C141" s="7">
        <f t="shared" si="87"/>
        <v>9.0949993792235756E-2</v>
      </c>
      <c r="D141" s="7">
        <f t="shared" si="88"/>
        <v>0.22597556464516125</v>
      </c>
      <c r="E141" s="5">
        <f>MAX((1-Parameters!$B$4)^Parameters!B$71*E140 + B140*Parameters!B$71 - IF(B140&gt;0,Parameters!$B$5,0)*B140^2/E140*Parameters!B$71, 0.0001)</f>
        <v>1E-4</v>
      </c>
      <c r="F141" s="5">
        <f>(1-Parameters!$B$4)^Parameters!B$71*F140+C140*Parameters!B$71-Parameters!$B$5*C140^2/F140*Parameters!B$71</f>
        <v>1.3507582522895953</v>
      </c>
      <c r="G141" s="5">
        <f>(1-Parameters!$B$4)^Parameters!B$71*G140+D140*Parameters!B$71-Parameters!$B$5*D140^2/G140*Parameters!B$71</f>
        <v>3.3423838917192965</v>
      </c>
      <c r="H141" s="7">
        <f>MAX(H140 * (1-Parameters!$B$4) ^ Parameters!B$71 + (LN(1+EXP(Parameters!$B$21*(-B140+0.004)))/Parameters!$B$21 -0.004) * Parameters!B$71,0)</f>
        <v>7.4051160853279389E-3</v>
      </c>
      <c r="I141" s="16">
        <f>I140*(1+Parameters!$B$52)^Parameters!B$71</f>
        <v>12.133487541080138</v>
      </c>
      <c r="J141" s="16">
        <f>J140*(1+Parameters!$B$54)^Parameters!B$71</f>
        <v>136.45714465980734</v>
      </c>
      <c r="K141" s="16">
        <f>I141*J141*EXP(-Parameters!$B$43*'6states'!A141)*(Parameters!$B$38/Parameters!$B$39*('6states'!E141+'6states'!H141)/Parameters!$E$25*(EXP(-Parameters!$B$39*Parameters!$E$25*'6states'!H141/('6states'!E141+'6states'!H141))-EXP(-Parameters!$B$39*Parameters!$E$25))  +  Parameters!$B$40*'6states'!E141)</f>
        <v>3.2269241638960888E-2</v>
      </c>
      <c r="L141" s="6">
        <f>L140+K141*Parameters!B$71</f>
        <v>3349.235395542667</v>
      </c>
      <c r="M141" s="5">
        <f>L141*Parameters!$B$46</f>
        <v>2.0095412373256001</v>
      </c>
      <c r="N141" s="7">
        <f>EXP(-Parameters!$B$47/2*M141^2)</f>
        <v>0.96022804808300422</v>
      </c>
      <c r="O141" s="6">
        <f>MAX((Parameters!$B$63 + Parameters!$B$31*'6states'!A141 - '6states'!L141 + Parameters!$B$48/Parameters!$B$46)/Parameters!B$63,1)</f>
        <v>125.78329208914667</v>
      </c>
      <c r="P141" s="5">
        <f>Parameters!B$62*EXP(-Parameters!B$61*A141)</f>
        <v>1.2374131181347293E-2</v>
      </c>
      <c r="Q141" s="5">
        <f>(1-Parameters!B$62)*O141^-Parameters!B$64</f>
        <v>0.30832426765306498</v>
      </c>
      <c r="R141" s="5">
        <f>Parameters!B$62*EXP(-Parameters!B$61*A141)+(1-Parameters!B$62)*O141^-Parameters!B$64</f>
        <v>0.32069839883441226</v>
      </c>
      <c r="S141" s="5">
        <f>1-R141/Parameters!$B$12</f>
        <v>0.83965080058279384</v>
      </c>
      <c r="T141" s="5">
        <f t="shared" si="74"/>
        <v>6.2363891034974239</v>
      </c>
      <c r="U141" s="5">
        <f>(Parameters!$B$19*(E141+Parameters!$B$20)^S141+Parameters!$B$18*F141^S141)^(1/S141)</f>
        <v>0.34157242359406997</v>
      </c>
      <c r="V141" s="5">
        <f>(Parameters!$B$10*G141^Parameters!$B$9+Parameters!$B$11*U141^Parameters!$B$9)^(Parameters!$B$7/Parameters!$B$9)*N141</f>
        <v>1.3368689851455422</v>
      </c>
      <c r="W141" s="5">
        <f>V141 - C141 - D141 - LN(1+EXP(Parameters!$B$21*B141))/Parameters!$B$21 - IF(B141&gt;0, 0,Parameters!$B$6*B141^2/E141)</f>
        <v>1.0182115996008494</v>
      </c>
      <c r="X141" s="5">
        <f>EXP(-Parameters!$B$56*A141)</f>
        <v>0.12634992989446087</v>
      </c>
      <c r="Y141" s="5">
        <f>IF(W141&gt;0,W141^(1-Parameters!$B$53)/(1-Parameters!$B$53)*X141*Parameters!$B$71,-10+W141*1000)</f>
        <v>-0.35872665412329102</v>
      </c>
      <c r="AA141" s="15">
        <f t="shared" si="77"/>
        <v>0</v>
      </c>
      <c r="AB141" s="15">
        <f t="shared" si="78"/>
        <v>7.2302599502943599E-6</v>
      </c>
      <c r="AC141" s="15">
        <f t="shared" si="79"/>
        <v>-9.9172549180154279E-6</v>
      </c>
      <c r="AD141" s="15">
        <f t="shared" si="75"/>
        <v>1.9031913562794916E-11</v>
      </c>
      <c r="AE141" s="15">
        <f t="shared" si="80"/>
        <v>0</v>
      </c>
      <c r="AF141" s="15">
        <f t="shared" si="81"/>
        <v>-4.4647344889237051E-7</v>
      </c>
      <c r="AG141" s="15">
        <f t="shared" si="82"/>
        <v>6.1745772449162128E-7</v>
      </c>
      <c r="AH141" s="15">
        <f t="shared" si="76"/>
        <v>7.3357832045606701E-14</v>
      </c>
      <c r="AI141" s="15"/>
      <c r="AM141" s="16">
        <f t="shared" si="70"/>
        <v>12.260658586120615</v>
      </c>
      <c r="AN141" s="16">
        <f t="shared" si="71"/>
        <v>0.16557010646211426</v>
      </c>
      <c r="AO141" s="16">
        <f t="shared" si="72"/>
        <v>565.54182538992552</v>
      </c>
      <c r="AP141" s="6">
        <f t="shared" si="73"/>
        <v>2213.4554019644606</v>
      </c>
      <c r="AQ141" s="15">
        <f>-X141*V141*W141^(-Parameters!B$53)*Parameters!B$47*Parameters!B$46*M141</f>
        <v>-3.9950914897322388E-6</v>
      </c>
      <c r="AR141" s="5">
        <f>1000*EXP(-(Parameters!$B$55)*'6states'!A141)*AP141*Parameters!B$47*Parameters!B$46*M141</f>
        <v>0.43764616916822302</v>
      </c>
      <c r="AS141" s="5">
        <f>SUM(AR141:AR$204)*EXP(Parameters!$B$55*A141)</f>
        <v>3064.6419085101497</v>
      </c>
      <c r="AT141" s="25">
        <f t="shared" si="83"/>
        <v>0.23706332115377796</v>
      </c>
      <c r="AU141">
        <f>(1/$S141-1/Parameters!$B$13) * LN(Parameters!$B$18) / LN(O141)</f>
        <v>0.19935190560598282</v>
      </c>
      <c r="AV141">
        <f>(Parameters!$B$18*'6states'!S141^+Parameters!$B$19*Parameters!$B$25^'6states'!S141)^((1-'6states'!S141)/'6states'!S141)*Parameters!$B$18*Parameters!$B$26^('6states'!S141-1)</f>
        <v>0.30785279031811891</v>
      </c>
      <c r="AW141">
        <f t="shared" si="84"/>
        <v>0.17874212835636588</v>
      </c>
      <c r="AX141">
        <f t="shared" si="85"/>
        <v>0.1290582759465132</v>
      </c>
      <c r="AY141">
        <f t="shared" si="86"/>
        <v>0.19215679591035117</v>
      </c>
      <c r="AZ141">
        <f>(1/$S141-1/Parameters!$B$13) * LN(Parameters!$B$18) / A141</f>
        <v>7.0348821376705045E-3</v>
      </c>
    </row>
    <row r="142" spans="1:52" x14ac:dyDescent="0.35">
      <c r="A142">
        <f>A141+Parameters!$B$71</f>
        <v>138</v>
      </c>
      <c r="B142" s="7">
        <f t="shared" si="69"/>
        <v>-2.9568713141259393E-6</v>
      </c>
      <c r="C142" s="7">
        <f t="shared" si="87"/>
        <v>9.0949993792235756E-2</v>
      </c>
      <c r="D142" s="7">
        <f t="shared" si="88"/>
        <v>0.22597556464516125</v>
      </c>
      <c r="E142" s="5">
        <f>MAX((1-Parameters!$B$4)^Parameters!B$71*E141 + B141*Parameters!B$71 - IF(B141&gt;0,Parameters!$B$5,0)*B141^2/E141*Parameters!B$71, 0.0001)</f>
        <v>1E-4</v>
      </c>
      <c r="F142" s="5">
        <f>(1-Parameters!$B$4)^Parameters!B$71*F141+C141*Parameters!B$71-Parameters!$B$5*C141^2/F141*Parameters!B$71</f>
        <v>1.3506216572620069</v>
      </c>
      <c r="G142" s="5">
        <f>(1-Parameters!$B$4)^Parameters!B$71*G141+D141*Parameters!B$71-Parameters!$B$5*D141^2/G141*Parameters!B$71</f>
        <v>3.3428455051715678</v>
      </c>
      <c r="H142" s="7">
        <f>MAX(H141 * (1-Parameters!$B$4) ^ Parameters!B$71 + (LN(1+EXP(Parameters!$B$21*(-B141+0.004)))/Parameters!$B$21 -0.004) * Parameters!B$71,0)</f>
        <v>7.4015465514069359E-3</v>
      </c>
      <c r="I142" s="16">
        <f>I141*(1+Parameters!$B$52)^Parameters!B$71</f>
        <v>12.168674654949269</v>
      </c>
      <c r="J142" s="16">
        <f>J141*(1+Parameters!$B$54)^Parameters!B$71</f>
        <v>139.1862875530035</v>
      </c>
      <c r="K142" s="16">
        <f>I142*J142*EXP(-Parameters!$B$43*'6states'!A142)*(Parameters!$B$38/Parameters!$B$39*('6states'!E142+'6states'!H142)/Parameters!$E$25*(EXP(-Parameters!$B$39*Parameters!$E$25*'6states'!H142/('6states'!E142+'6states'!H142))-EXP(-Parameters!$B$39*Parameters!$E$25))  +  Parameters!$B$40*'6states'!E142)</f>
        <v>3.2681623115614414E-2</v>
      </c>
      <c r="L142" s="6">
        <f>L141+K142*Parameters!B$71</f>
        <v>3349.2680771657824</v>
      </c>
      <c r="M142" s="5">
        <f>L142*Parameters!$B$46</f>
        <v>2.0095608462994692</v>
      </c>
      <c r="N142" s="7">
        <f>EXP(-Parameters!$B$47/2*M142^2)</f>
        <v>0.96022728753928832</v>
      </c>
      <c r="O142" s="6">
        <f>MAX((Parameters!$B$63 + Parameters!$B$31*'6states'!A142 - '6states'!L142 + Parameters!$B$48/Parameters!$B$46)/Parameters!B$63,1)</f>
        <v>126.84663845668436</v>
      </c>
      <c r="P142" s="5">
        <f>Parameters!B$62*EXP(-Parameters!B$61*A142)</f>
        <v>1.2044499689461209E-2</v>
      </c>
      <c r="Q142" s="5">
        <f>(1-Parameters!B$62)*O142^-Parameters!B$64</f>
        <v>0.30806482138340735</v>
      </c>
      <c r="R142" s="5">
        <f>Parameters!B$62*EXP(-Parameters!B$61*A142)+(1-Parameters!B$62)*O142^-Parameters!B$64</f>
        <v>0.32010932107286855</v>
      </c>
      <c r="S142" s="5">
        <f>1-R142/Parameters!$B$12</f>
        <v>0.83994533946356575</v>
      </c>
      <c r="T142" s="5">
        <f t="shared" si="74"/>
        <v>6.2478655519834971</v>
      </c>
      <c r="U142" s="5">
        <f>(Parameters!$B$19*(E142+Parameters!$B$20)^S142+Parameters!$B$18*F142^S142)^(1/S142)</f>
        <v>0.34168260864364003</v>
      </c>
      <c r="V142" s="5">
        <f>(Parameters!$B$10*G142^Parameters!$B$9+Parameters!$B$11*U142^Parameters!$B$9)^(Parameters!$B$7/Parameters!$B$9)*N142</f>
        <v>1.3369484129471316</v>
      </c>
      <c r="W142" s="5">
        <f>V142 - C142 - D142 - LN(1+EXP(Parameters!$B$21*B142))/Parameters!$B$21 - IF(B142&gt;0, 0,Parameters!$B$6*B142^2/E142)</f>
        <v>1.0182910274024388</v>
      </c>
      <c r="X142" s="5">
        <f>EXP(-Parameters!$B$56*A142)</f>
        <v>0.12445637824691602</v>
      </c>
      <c r="Y142" s="5">
        <f>IF(W142&gt;0,W142^(1-Parameters!$B$53)/(1-Parameters!$B$53)*X142*Parameters!$B$71,-10+W142*1000)</f>
        <v>-0.35334092635760328</v>
      </c>
      <c r="AA142" s="15">
        <f t="shared" si="77"/>
        <v>0</v>
      </c>
      <c r="AB142" s="15">
        <f t="shared" si="78"/>
        <v>6.8096724899630034E-6</v>
      </c>
      <c r="AC142" s="15">
        <f t="shared" si="79"/>
        <v>-9.3361388415064139E-6</v>
      </c>
      <c r="AD142" s="15">
        <f t="shared" si="75"/>
        <v>1.6619298385734448E-11</v>
      </c>
      <c r="AE142" s="15">
        <f t="shared" si="80"/>
        <v>0</v>
      </c>
      <c r="AF142" s="15">
        <f t="shared" si="81"/>
        <v>-4.2058746033135641E-7</v>
      </c>
      <c r="AG142" s="15">
        <f t="shared" si="82"/>
        <v>5.8111607650901398E-7</v>
      </c>
      <c r="AH142" s="15">
        <f t="shared" si="76"/>
        <v>6.404397111246681E-14</v>
      </c>
      <c r="AI142" s="15"/>
      <c r="AM142" s="16">
        <f t="shared" si="70"/>
        <v>12.536093021185369</v>
      </c>
      <c r="AN142" s="16">
        <f t="shared" si="71"/>
        <v>0.16937126496627147</v>
      </c>
      <c r="AO142" s="16">
        <f t="shared" si="72"/>
        <v>578.71215642948789</v>
      </c>
      <c r="AP142" s="6">
        <f t="shared" si="73"/>
        <v>2264.4064389550476</v>
      </c>
      <c r="AQ142" s="15">
        <f>-X142*V142*W142^(-Parameters!B$53)*Parameters!B$47*Parameters!B$46*M142</f>
        <v>-3.9350765837326158E-6</v>
      </c>
      <c r="AR142" s="5">
        <f>1000*EXP(-(Parameters!$B$55)*'6states'!A142)*AP142*Parameters!B$47*Parameters!B$46*M142</f>
        <v>0.43228208547643904</v>
      </c>
      <c r="AS142" s="5">
        <f>SUM(AR142:AR$204)*EXP(Parameters!$B$55*A142)</f>
        <v>3118.5614041212175</v>
      </c>
      <c r="AT142" s="25">
        <f t="shared" si="83"/>
        <v>0.23704923727570579</v>
      </c>
      <c r="AU142">
        <f>(1/$S142-1/Parameters!$B$13) * LN(Parameters!$B$18) / LN(O142)</f>
        <v>0.19910811316116192</v>
      </c>
      <c r="AV142">
        <f>(Parameters!$B$18*'6states'!S142^+Parameters!$B$19*Parameters!$B$25^'6states'!S142)^((1-'6states'!S142)/'6states'!S142)*Parameters!$B$18*Parameters!$B$26^('6states'!S142-1)</f>
        <v>0.30788669988375167</v>
      </c>
      <c r="AW142">
        <f t="shared" si="84"/>
        <v>0.17845417422646934</v>
      </c>
      <c r="AX142">
        <f t="shared" si="85"/>
        <v>0.12891108825451758</v>
      </c>
      <c r="AY142">
        <f t="shared" si="86"/>
        <v>0.1921757834922323</v>
      </c>
      <c r="AZ142">
        <f>(1/$S142-1/Parameters!$B$13) * LN(Parameters!$B$18) / A142</f>
        <v>6.9875099135532585E-3</v>
      </c>
    </row>
    <row r="143" spans="1:52" x14ac:dyDescent="0.35">
      <c r="A143">
        <f>A142+Parameters!$B$71</f>
        <v>139</v>
      </c>
      <c r="B143" s="7">
        <f t="shared" si="69"/>
        <v>-2.9568713141259393E-6</v>
      </c>
      <c r="C143" s="7">
        <f t="shared" si="87"/>
        <v>9.0949993792235756E-2</v>
      </c>
      <c r="D143" s="7">
        <f t="shared" si="88"/>
        <v>0.22597556464516125</v>
      </c>
      <c r="E143" s="5">
        <f>MAX((1-Parameters!$B$4)^Parameters!B$71*E142 + B142*Parameters!B$71 - IF(B142&gt;0,Parameters!$B$5,0)*B142^2/E142*Parameters!B$71, 0.0001)</f>
        <v>1E-4</v>
      </c>
      <c r="F143" s="5">
        <f>(1-Parameters!$B$4)^Parameters!B$71*F142+C142*Parameters!B$71-Parameters!$B$5*C142^2/F142*Parameters!B$71</f>
        <v>1.3504930347219832</v>
      </c>
      <c r="G143" s="5">
        <f>(1-Parameters!$B$4)^Parameters!B$71*G142+D142*Parameters!B$71-Parameters!$B$5*D142^2/G142*Parameters!B$71</f>
        <v>3.3432801928769376</v>
      </c>
      <c r="H143" s="7">
        <f>MAX(H142 * (1-Parameters!$B$4) ^ Parameters!B$71 + (LN(1+EXP(Parameters!$B$21*(-B142+0.004)))/Parameters!$B$21 -0.004) * Parameters!B$71,0)</f>
        <v>7.3982015411695641E-3</v>
      </c>
      <c r="I143" s="16">
        <f>I142*(1+Parameters!$B$52)^Parameters!B$71</f>
        <v>12.20396381144862</v>
      </c>
      <c r="J143" s="16">
        <f>J142*(1+Parameters!$B$54)^Parameters!B$71</f>
        <v>141.97001330406357</v>
      </c>
      <c r="K143" s="16">
        <f>I143*J143*EXP(-Parameters!$B$43*'6states'!A143)*(Parameters!$B$38/Parameters!$B$39*('6states'!E143+'6states'!H143)/Parameters!$E$25*(EXP(-Parameters!$B$39*Parameters!$E$25*'6states'!H143/('6states'!E143+'6states'!H143))-EXP(-Parameters!$B$39*Parameters!$E$25))  +  Parameters!$B$40*'6states'!E143)</f>
        <v>3.3099274579216804E-2</v>
      </c>
      <c r="L143" s="6">
        <f>L142+K143*Parameters!B$71</f>
        <v>3349.3011764403618</v>
      </c>
      <c r="M143" s="5">
        <f>L143*Parameters!$B$46</f>
        <v>2.009580705864217</v>
      </c>
      <c r="N143" s="7">
        <f>EXP(-Parameters!$B$47/2*M143^2)</f>
        <v>0.9602265172693315</v>
      </c>
      <c r="O143" s="6">
        <f>MAX((Parameters!$B$63 + Parameters!$B$31*'6states'!A143 - '6states'!L143 + Parameters!$B$48/Parameters!$B$46)/Parameters!B$63,1)</f>
        <v>127.90997647119276</v>
      </c>
      <c r="P143" s="5">
        <f>Parameters!B$62*EXP(-Parameters!B$61*A143)</f>
        <v>1.1723649171273449E-2</v>
      </c>
      <c r="Q143" s="5">
        <f>(1-Parameters!B$62)*O143^-Parameters!B$64</f>
        <v>0.30780775858187021</v>
      </c>
      <c r="R143" s="5">
        <f>Parameters!B$62*EXP(-Parameters!B$61*A143)+(1-Parameters!B$62)*O143^-Parameters!B$64</f>
        <v>0.31953140775314365</v>
      </c>
      <c r="S143" s="5">
        <f>1-R143/Parameters!$B$12</f>
        <v>0.84023429612342815</v>
      </c>
      <c r="T143" s="5">
        <f t="shared" si="74"/>
        <v>6.2591656139953367</v>
      </c>
      <c r="U143" s="5">
        <f>(Parameters!$B$19*(E143+Parameters!$B$20)^S143+Parameters!$B$18*F143^S143)^(1/S143)</f>
        <v>0.34179197759322993</v>
      </c>
      <c r="V143" s="5">
        <f>(Parameters!$B$10*G143^Parameters!$B$9+Parameters!$B$11*U143^Parameters!$B$9)^(Parameters!$B$7/Parameters!$B$9)*N143</f>
        <v>1.3370253406733403</v>
      </c>
      <c r="W143" s="5">
        <f>V143 - C143 - D143 - LN(1+EXP(Parameters!$B$21*B143))/Parameters!$B$21 - IF(B143&gt;0, 0,Parameters!$B$6*B143^2/E143)</f>
        <v>1.0183679551286475</v>
      </c>
      <c r="X143" s="5">
        <f>EXP(-Parameters!$B$56*A143)</f>
        <v>0.12259120443737162</v>
      </c>
      <c r="Y143" s="5">
        <f>IF(W143&gt;0,W143^(1-Parameters!$B$53)/(1-Parameters!$B$53)*X143*Parameters!$B$71,-10+W143*1000)</f>
        <v>-0.34803635678141126</v>
      </c>
      <c r="AA143" s="15">
        <f t="shared" si="77"/>
        <v>0</v>
      </c>
      <c r="AB143" s="15">
        <f t="shared" si="78"/>
        <v>6.4134793021225489E-6</v>
      </c>
      <c r="AC143" s="15">
        <f t="shared" si="79"/>
        <v>-8.7892082817758732E-6</v>
      </c>
      <c r="AD143" s="15">
        <f t="shared" si="75"/>
        <v>1.4512702170646831E-11</v>
      </c>
      <c r="AE143" s="15">
        <f t="shared" si="80"/>
        <v>0</v>
      </c>
      <c r="AF143" s="15">
        <f t="shared" si="81"/>
        <v>-3.9619318784045454E-7</v>
      </c>
      <c r="AG143" s="15">
        <f t="shared" si="82"/>
        <v>5.4693055973054072E-7</v>
      </c>
      <c r="AH143" s="15">
        <f t="shared" si="76"/>
        <v>5.5914103242669958E-14</v>
      </c>
      <c r="AI143" s="15"/>
      <c r="AM143" s="16">
        <f t="shared" si="70"/>
        <v>12.818101090382369</v>
      </c>
      <c r="AN143" s="16">
        <f t="shared" si="71"/>
        <v>0.17325969046736711</v>
      </c>
      <c r="AO143" s="16">
        <f t="shared" si="72"/>
        <v>592.18772242032287</v>
      </c>
      <c r="AP143" s="6">
        <f t="shared" si="73"/>
        <v>2316.5259667208898</v>
      </c>
      <c r="AQ143" s="15">
        <f>-X143*V143*W143^(-Parameters!B$53)*Parameters!B$47*Parameters!B$46*M143</f>
        <v>-3.8759693306344973E-6</v>
      </c>
      <c r="AR143" s="5">
        <f>1000*EXP(-(Parameters!$B$55)*'6states'!A143)*AP143*Parameters!B$47*Parameters!B$46*M143</f>
        <v>0.42698300086618701</v>
      </c>
      <c r="AS143" s="5">
        <f>SUM(AR143:AR$204)*EXP(Parameters!$B$55*A143)</f>
        <v>3173.1276131494733</v>
      </c>
      <c r="AT143" s="25">
        <f t="shared" si="83"/>
        <v>0.23703559829799281</v>
      </c>
      <c r="AU143">
        <f>(1/$S143-1/Parameters!$B$13) * LN(Parameters!$B$18) / LN(O143)</f>
        <v>0.19886603672692188</v>
      </c>
      <c r="AV143">
        <f>(Parameters!$B$18*'6states'!S143^+Parameters!$B$19*Parameters!$B$25^'6states'!S143)^((1-'6states'!S143)/'6states'!S143)*Parameters!$B$18*Parameters!$B$26^('6states'!S143-1)</f>
        <v>0.30791978953097021</v>
      </c>
      <c r="AW143">
        <f t="shared" si="84"/>
        <v>0.17816925136908598</v>
      </c>
      <c r="AX143">
        <f t="shared" si="85"/>
        <v>0.12876491197740736</v>
      </c>
      <c r="AY143">
        <f t="shared" si="86"/>
        <v>0.19219431153248823</v>
      </c>
      <c r="AZ143">
        <f>(1/$S143-1/Parameters!$B$13) * LN(Parameters!$B$18) / A143</f>
        <v>6.9407490303628411E-3</v>
      </c>
    </row>
    <row r="144" spans="1:52" x14ac:dyDescent="0.35">
      <c r="A144">
        <f>A143+Parameters!$B$71</f>
        <v>140</v>
      </c>
      <c r="B144" s="7">
        <f t="shared" si="69"/>
        <v>-2.9568713141259393E-6</v>
      </c>
      <c r="C144" s="7">
        <f t="shared" si="87"/>
        <v>9.0949993792235756E-2</v>
      </c>
      <c r="D144" s="7">
        <f t="shared" si="88"/>
        <v>0.22597556464516125</v>
      </c>
      <c r="E144" s="5">
        <f>MAX((1-Parameters!$B$4)^Parameters!B$71*E143 + B143*Parameters!B$71 - IF(B143&gt;0,Parameters!$B$5,0)*B143^2/E143*Parameters!B$71, 0.0001)</f>
        <v>1E-4</v>
      </c>
      <c r="F144" s="5">
        <f>(1-Parameters!$B$4)^Parameters!B$71*F143+C143*Parameters!B$71-Parameters!$B$5*C143^2/F143*Parameters!B$71</f>
        <v>1.3503719192338244</v>
      </c>
      <c r="G144" s="5">
        <f>(1-Parameters!$B$4)^Parameters!B$71*G143+D143*Parameters!B$71-Parameters!$B$5*D143^2/G143*Parameters!B$71</f>
        <v>3.3436895248719432</v>
      </c>
      <c r="H144" s="7">
        <f>MAX(H143 * (1-Parameters!$B$4) ^ Parameters!B$71 + (LN(1+EXP(Parameters!$B$21*(-B143+0.004)))/Parameters!$B$21 -0.004) * Parameters!B$71,0)</f>
        <v>7.3950669320761225E-3</v>
      </c>
      <c r="I144" s="16">
        <f>I143*(1+Parameters!$B$52)^Parameters!B$71</f>
        <v>12.239355306501819</v>
      </c>
      <c r="J144" s="16">
        <f>J143*(1+Parameters!$B$54)^Parameters!B$71</f>
        <v>144.80941357014484</v>
      </c>
      <c r="K144" s="16">
        <f>I144*J144*EXP(-Parameters!$B$43*'6states'!A144)*(Parameters!$B$38/Parameters!$B$39*('6states'!E144+'6states'!H144)/Parameters!$E$25*(EXP(-Parameters!$B$39*Parameters!$E$25*'6states'!H144/('6states'!E144+'6states'!H144))-EXP(-Parameters!$B$39*Parameters!$E$25))  +  Parameters!$B$40*'6states'!E144)</f>
        <v>3.3522263377027836E-2</v>
      </c>
      <c r="L144" s="6">
        <f>L143+K144*Parameters!B$71</f>
        <v>3349.3346987037389</v>
      </c>
      <c r="M144" s="5">
        <f>L144*Parameters!$B$46</f>
        <v>2.0096008192222432</v>
      </c>
      <c r="N144" s="7">
        <f>EXP(-Parameters!$B$47/2*M144^2)</f>
        <v>0.96022573714865955</v>
      </c>
      <c r="O144" s="6">
        <f>MAX((Parameters!$B$63 + Parameters!$B$31*'6states'!A144 - '6states'!L144 + Parameters!$B$48/Parameters!$B$46)/Parameters!B$63,1)</f>
        <v>128.97330602592524</v>
      </c>
      <c r="P144" s="5">
        <f>Parameters!B$62*EXP(-Parameters!B$61*A144)</f>
        <v>1.141134571254649E-2</v>
      </c>
      <c r="Q144" s="5">
        <f>(1-Parameters!B$62)*O144^-Parameters!B$64</f>
        <v>0.3075530378327786</v>
      </c>
      <c r="R144" s="5">
        <f>Parameters!B$62*EXP(-Parameters!B$61*A144)+(1-Parameters!B$62)*O144^-Parameters!B$64</f>
        <v>0.31896438354532508</v>
      </c>
      <c r="S144" s="5">
        <f>1-R144/Parameters!$B$12</f>
        <v>0.84051780822733746</v>
      </c>
      <c r="T144" s="5">
        <f t="shared" si="74"/>
        <v>6.2702925567104844</v>
      </c>
      <c r="U144" s="5">
        <f>(Parameters!$B$19*(E144+Parameters!$B$20)^S144+Parameters!$B$18*F144^S144)^(1/S144)</f>
        <v>0.341900488014934</v>
      </c>
      <c r="V144" s="5">
        <f>(Parameters!$B$10*G144^Parameters!$B$9+Parameters!$B$11*U144^Parameters!$B$9)^(Parameters!$B$7/Parameters!$B$9)*N144</f>
        <v>1.3370998753864087</v>
      </c>
      <c r="W144" s="5">
        <f>V144 - C144 - D144 - LN(1+EXP(Parameters!$B$21*B144))/Parameters!$B$21 - IF(B144&gt;0, 0,Parameters!$B$6*B144^2/E144)</f>
        <v>1.0184424898417159</v>
      </c>
      <c r="X144" s="5">
        <f>EXP(-Parameters!$B$56*A144)</f>
        <v>0.12075398317946676</v>
      </c>
      <c r="Y144" s="5">
        <f>IF(W144&gt;0,W144^(1-Parameters!$B$53)/(1-Parameters!$B$53)*X144*Parameters!$B$71,-10+W144*1000)</f>
        <v>-0.34281170524861904</v>
      </c>
      <c r="AA144" s="15">
        <f t="shared" si="77"/>
        <v>0</v>
      </c>
      <c r="AB144" s="15">
        <f t="shared" si="78"/>
        <v>6.0402735992115542E-6</v>
      </c>
      <c r="AC144" s="15">
        <f t="shared" si="79"/>
        <v>-8.2744369752640878E-6</v>
      </c>
      <c r="AD144" s="15">
        <f t="shared" si="75"/>
        <v>1.2673276938136453E-11</v>
      </c>
      <c r="AE144" s="15">
        <f t="shared" si="80"/>
        <v>0</v>
      </c>
      <c r="AF144" s="15">
        <f t="shared" si="81"/>
        <v>-3.7320570291099475E-7</v>
      </c>
      <c r="AG144" s="15">
        <f t="shared" si="82"/>
        <v>5.1477130651178538E-7</v>
      </c>
      <c r="AH144" s="15">
        <f t="shared" si="76"/>
        <v>4.8817453647104921E-14</v>
      </c>
      <c r="AI144" s="15"/>
      <c r="AM144" s="16">
        <f t="shared" si="70"/>
        <v>13.106823355983005</v>
      </c>
      <c r="AN144" s="16">
        <f t="shared" si="71"/>
        <v>0.17723738644111689</v>
      </c>
      <c r="AO144" s="16">
        <f t="shared" si="72"/>
        <v>605.9754891870931</v>
      </c>
      <c r="AP144" s="6">
        <f t="shared" si="73"/>
        <v>2369.8408732423013</v>
      </c>
      <c r="AQ144" s="15">
        <f>-X144*V144*W144^(-Parameters!B$53)*Parameters!B$47*Parameters!B$46*M144</f>
        <v>-3.8177556806254037E-6</v>
      </c>
      <c r="AR144" s="5">
        <f>1000*EXP(-(Parameters!$B$55)*'6states'!A144)*AP144*Parameters!B$47*Parameters!B$46*M144</f>
        <v>0.42174817154993749</v>
      </c>
      <c r="AS144" s="5">
        <f>SUM(AR144:AR$204)*EXP(Parameters!$B$55*A144)</f>
        <v>3228.3342754538498</v>
      </c>
      <c r="AT144" s="25">
        <f t="shared" si="83"/>
        <v>0.23702238508884413</v>
      </c>
      <c r="AU144">
        <f>(1/$S144-1/Parameters!$B$13) * LN(Parameters!$B$18) / LN(O144)</f>
        <v>0.19862566119649011</v>
      </c>
      <c r="AV144">
        <f>(Parameters!$B$18*'6states'!S144^+Parameters!$B$19*Parameters!$B$25^'6states'!S144)^((1-'6states'!S144)/'6states'!S144)*Parameters!$B$18*Parameters!$B$26^('6states'!S144-1)</f>
        <v>0.30795208522740147</v>
      </c>
      <c r="AW144">
        <f t="shared" si="84"/>
        <v>0.1778873066956014</v>
      </c>
      <c r="AX144">
        <f t="shared" si="85"/>
        <v>0.12861973850826225</v>
      </c>
      <c r="AY144">
        <f t="shared" si="86"/>
        <v>0.19221239460240047</v>
      </c>
      <c r="AZ144">
        <f>(1/$S144-1/Parameters!$B$13) * LN(Parameters!$B$18) / A144</f>
        <v>6.8945881874266438E-3</v>
      </c>
    </row>
    <row r="145" spans="1:52" x14ac:dyDescent="0.35">
      <c r="A145">
        <f>A144+Parameters!$B$71</f>
        <v>141</v>
      </c>
      <c r="B145" s="7">
        <f t="shared" si="69"/>
        <v>-2.9568713141259393E-6</v>
      </c>
      <c r="C145" s="7">
        <f t="shared" si="87"/>
        <v>9.0949993792235756E-2</v>
      </c>
      <c r="D145" s="7">
        <f t="shared" si="88"/>
        <v>0.22597556464516125</v>
      </c>
      <c r="E145" s="5">
        <f>MAX((1-Parameters!$B$4)^Parameters!B$71*E144 + B144*Parameters!B$71 - IF(B144&gt;0,Parameters!$B$5,0)*B144^2/E144*Parameters!B$71, 0.0001)</f>
        <v>1E-4</v>
      </c>
      <c r="F145" s="5">
        <f>(1-Parameters!$B$4)^Parameters!B$71*F144+C144*Parameters!B$71-Parameters!$B$5*C144^2/F144*Parameters!B$71</f>
        <v>1.3502578725470242</v>
      </c>
      <c r="G145" s="5">
        <f>(1-Parameters!$B$4)^Parameters!B$71*G144+D144*Parameters!B$71-Parameters!$B$5*D144^2/G144*Parameters!B$71</f>
        <v>3.3440749797050309</v>
      </c>
      <c r="H145" s="7">
        <f>MAX(H144 * (1-Parameters!$B$4) ^ Parameters!B$71 + (LN(1+EXP(Parameters!$B$21*(-B144+0.004)))/Parameters!$B$21 -0.004) * Parameters!B$71,0)</f>
        <v>7.3921294898946586E-3</v>
      </c>
      <c r="I145" s="16">
        <f>I144*(1+Parameters!$B$52)^Parameters!B$71</f>
        <v>12.274849436890673</v>
      </c>
      <c r="J145" s="16">
        <f>J144*(1+Parameters!$B$54)^Parameters!B$71</f>
        <v>147.70560184154775</v>
      </c>
      <c r="K145" s="16">
        <f>I145*J145*EXP(-Parameters!$B$43*'6states'!A145)*(Parameters!$B$38/Parameters!$B$39*('6states'!E145+'6states'!H145)/Parameters!$E$25*(EXP(-Parameters!$B$39*Parameters!$E$25*'6states'!H145/('6states'!E145+'6states'!H145))-EXP(-Parameters!$B$39*Parameters!$E$25))  +  Parameters!$B$40*'6states'!E145)</f>
        <v>3.3950657716964754E-2</v>
      </c>
      <c r="L145" s="6">
        <f>L144+K145*Parameters!B$71</f>
        <v>3349.3686493614559</v>
      </c>
      <c r="M145" s="5">
        <f>L145*Parameters!$B$46</f>
        <v>2.0096211896168734</v>
      </c>
      <c r="N145" s="7">
        <f>EXP(-Parameters!$B$47/2*M145^2)</f>
        <v>0.96022494705120287</v>
      </c>
      <c r="O145" s="6">
        <f>MAX((Parameters!$B$63 + Parameters!$B$31*'6states'!A145 - '6states'!L145 + Parameters!$B$48/Parameters!$B$46)/Parameters!B$63,1)</f>
        <v>130.03662701277091</v>
      </c>
      <c r="P145" s="5">
        <f>Parameters!B$62*EXP(-Parameters!B$61*A145)</f>
        <v>1.1107361630227668E-2</v>
      </c>
      <c r="Q145" s="5">
        <f>(1-Parameters!B$62)*O145^-Parameters!B$64</f>
        <v>0.30730061877476744</v>
      </c>
      <c r="R145" s="5">
        <f>Parameters!B$62*EXP(-Parameters!B$61*A145)+(1-Parameters!B$62)*O145^-Parameters!B$64</f>
        <v>0.31840798040499513</v>
      </c>
      <c r="S145" s="5">
        <f>1-R145/Parameters!$B$12</f>
        <v>0.84079600979750246</v>
      </c>
      <c r="T145" s="5">
        <f t="shared" si="74"/>
        <v>6.2812496013954329</v>
      </c>
      <c r="U145" s="5">
        <f>(Parameters!$B$19*(E145+Parameters!$B$20)^S145+Parameters!$B$18*F145^S145)^(1/S145)</f>
        <v>0.34200810198473591</v>
      </c>
      <c r="V145" s="5">
        <f>(Parameters!$B$10*G145^Parameters!$B$9+Parameters!$B$11*U145^Parameters!$B$9)^(Parameters!$B$7/Parameters!$B$9)*N145</f>
        <v>1.3371721187627896</v>
      </c>
      <c r="W145" s="5">
        <f>V145 - C145 - D145 - LN(1+EXP(Parameters!$B$21*B145))/Parameters!$B$21 - IF(B145&gt;0, 0,Parameters!$B$6*B145^2/E145)</f>
        <v>1.0185147332180968</v>
      </c>
      <c r="X145" s="5">
        <f>EXP(-Parameters!$B$56*A145)</f>
        <v>0.11894429556042277</v>
      </c>
      <c r="Y145" s="5">
        <f>IF(W145&gt;0,W145^(1-Parameters!$B$53)/(1-Parameters!$B$53)*X145*Parameters!$B$71,-10+W145*1000)</f>
        <v>-0.33766575163704809</v>
      </c>
      <c r="AA145" s="15">
        <f t="shared" si="77"/>
        <v>0</v>
      </c>
      <c r="AB145" s="15">
        <f t="shared" si="78"/>
        <v>5.6887288044649154E-6</v>
      </c>
      <c r="AC145" s="15">
        <f t="shared" si="79"/>
        <v>-7.7899204844189551E-6</v>
      </c>
      <c r="AD145" s="15">
        <f t="shared" si="75"/>
        <v>1.1067112099617084E-11</v>
      </c>
      <c r="AE145" s="15">
        <f t="shared" si="80"/>
        <v>0</v>
      </c>
      <c r="AF145" s="15">
        <f t="shared" si="81"/>
        <v>-3.515447947466388E-7</v>
      </c>
      <c r="AG145" s="15">
        <f t="shared" si="82"/>
        <v>4.8451649084513271E-7</v>
      </c>
      <c r="AH145" s="15">
        <f t="shared" si="76"/>
        <v>4.2622495613753617E-14</v>
      </c>
      <c r="AI145" s="15"/>
      <c r="AM145" s="16">
        <f t="shared" si="70"/>
        <v>13.40240403584907</v>
      </c>
      <c r="AN145" s="16">
        <f t="shared" si="71"/>
        <v>0.18130640235903203</v>
      </c>
      <c r="AO145" s="16">
        <f t="shared" si="72"/>
        <v>620.08258548493393</v>
      </c>
      <c r="AP145" s="6">
        <f t="shared" si="73"/>
        <v>2424.3786618768572</v>
      </c>
      <c r="AQ145" s="15">
        <f>-X145*V145*W145^(-Parameters!B$53)*Parameters!B$47*Parameters!B$46*M145</f>
        <v>-3.7604218214576878E-6</v>
      </c>
      <c r="AR145" s="5">
        <f>1000*EXP(-(Parameters!$B$55)*'6states'!A145)*AP145*Parameters!B$47*Parameters!B$46*M145</f>
        <v>0.41657685957057716</v>
      </c>
      <c r="AS145" s="5">
        <f>SUM(AR145:AR$204)*EXP(Parameters!$B$55*A145)</f>
        <v>3284.1742308762923</v>
      </c>
      <c r="AT145" s="25">
        <f t="shared" si="83"/>
        <v>0.23700957948428777</v>
      </c>
      <c r="AU145">
        <f>(1/$S145-1/Parameters!$B$13) * LN(Parameters!$B$18) / LN(O145)</f>
        <v>0.19838697163934069</v>
      </c>
      <c r="AV145">
        <f>(Parameters!$B$18*'6states'!S145^+Parameters!$B$19*Parameters!$B$25^'6states'!S145)^((1-'6states'!S145)/'6states'!S145)*Parameters!$B$18*Parameters!$B$26^('6states'!S145-1)</f>
        <v>0.30798361199361868</v>
      </c>
      <c r="AW145">
        <f t="shared" si="84"/>
        <v>0.17760828840914777</v>
      </c>
      <c r="AX145">
        <f t="shared" si="85"/>
        <v>0.12847555933706811</v>
      </c>
      <c r="AY145">
        <f t="shared" si="86"/>
        <v>0.19223004674093858</v>
      </c>
      <c r="AZ145">
        <f>(1/$S145-1/Parameters!$B$13) * LN(Parameters!$B$18) / A145</f>
        <v>6.8490163538239184E-3</v>
      </c>
    </row>
    <row r="146" spans="1:52" x14ac:dyDescent="0.35">
      <c r="A146">
        <f>A145+Parameters!$B$71</f>
        <v>142</v>
      </c>
      <c r="B146" s="7">
        <f t="shared" si="69"/>
        <v>-2.9568713141259393E-6</v>
      </c>
      <c r="C146" s="7">
        <f t="shared" si="87"/>
        <v>9.0949993792235756E-2</v>
      </c>
      <c r="D146" s="7">
        <f t="shared" si="88"/>
        <v>0.22597556464516125</v>
      </c>
      <c r="E146" s="5">
        <f>MAX((1-Parameters!$B$4)^Parameters!B$71*E145 + B145*Parameters!B$71 - IF(B145&gt;0,Parameters!$B$5,0)*B145^2/E145*Parameters!B$71, 0.0001)</f>
        <v>1E-4</v>
      </c>
      <c r="F146" s="5">
        <f>(1-Parameters!$B$4)^Parameters!B$71*F145+C145*Parameters!B$71-Parameters!$B$5*C145^2/F145*Parameters!B$71</f>
        <v>1.3501504820069743</v>
      </c>
      <c r="G146" s="5">
        <f>(1-Parameters!$B$4)^Parameters!B$71*G145+D145*Parameters!B$71-Parameters!$B$5*D145^2/G145*Parameters!B$71</f>
        <v>3.3444379497607972</v>
      </c>
      <c r="H146" s="7">
        <f>MAX(H145 * (1-Parameters!$B$4) ^ Parameters!B$71 + (LN(1+EXP(Parameters!$B$21*(-B145+0.004)))/Parameters!$B$21 -0.004) * Parameters!B$71,0)</f>
        <v>7.3893768128264091E-3</v>
      </c>
      <c r="I146" s="16">
        <f>I145*(1+Parameters!$B$52)^Parameters!B$71</f>
        <v>12.310446500257655</v>
      </c>
      <c r="J146" s="16">
        <f>J145*(1+Parameters!$B$54)^Parameters!B$71</f>
        <v>150.65971387837871</v>
      </c>
      <c r="K146" s="16">
        <f>I146*J146*EXP(-Parameters!$B$43*'6states'!A146)*(Parameters!$B$38/Parameters!$B$39*('6states'!E146+'6states'!H146)/Parameters!$E$25*(EXP(-Parameters!$B$39*Parameters!$E$25*'6states'!H146/('6states'!E146+'6states'!H146))-EXP(-Parameters!$B$39*Parameters!$E$25))  +  Parameters!$B$40*'6states'!E146)</f>
        <v>3.4384526678600855E-2</v>
      </c>
      <c r="L146" s="6">
        <f>L145+K146*Parameters!B$71</f>
        <v>3349.4030338881344</v>
      </c>
      <c r="M146" s="5">
        <f>L146*Parameters!$B$46</f>
        <v>2.0096418203328805</v>
      </c>
      <c r="N146" s="7">
        <f>EXP(-Parameters!$B$47/2*M146^2)</f>
        <v>0.96022414684927615</v>
      </c>
      <c r="O146" s="6">
        <f>MAX((Parameters!$B$63 + Parameters!$B$31*'6states'!A146 - '6states'!L146 + Parameters!$B$48/Parameters!$B$46)/Parameters!B$63,1)</f>
        <v>131.09993932223733</v>
      </c>
      <c r="P146" s="5">
        <f>Parameters!B$62*EXP(-Parameters!B$61*A146)</f>
        <v>1.0811475306458183E-2</v>
      </c>
      <c r="Q146" s="5">
        <f>(1-Parameters!B$62)*O146^-Parameters!B$64</f>
        <v>0.30705046206558434</v>
      </c>
      <c r="R146" s="5">
        <f>Parameters!B$62*EXP(-Parameters!B$61*A146)+(1-Parameters!B$62)*O146^-Parameters!B$64</f>
        <v>0.31786193737204255</v>
      </c>
      <c r="S146" s="5">
        <f>1-R146/Parameters!$B$12</f>
        <v>0.8410690313139787</v>
      </c>
      <c r="T146" s="5">
        <f t="shared" si="74"/>
        <v>6.2920399231666835</v>
      </c>
      <c r="U146" s="5">
        <f>(Parameters!$B$19*(E146+Parameters!$B$20)^S146+Parameters!$B$18*F146^S146)^(1/S146)</f>
        <v>0.34211478577368726</v>
      </c>
      <c r="V146" s="5">
        <f>(Parameters!$B$10*G146^Parameters!$B$9+Parameters!$B$11*U146^Parameters!$B$9)^(Parameters!$B$7/Parameters!$B$9)*N146</f>
        <v>1.3372421673945774</v>
      </c>
      <c r="W146" s="5">
        <f>V146 - C146 - D146 - LN(1+EXP(Parameters!$B$21*B146))/Parameters!$B$21 - IF(B146&gt;0, 0,Parameters!$B$6*B146^2/E146)</f>
        <v>1.0185847818498845</v>
      </c>
      <c r="X146" s="5">
        <f>EXP(-Parameters!$B$56*A146)</f>
        <v>0.11716172894552528</v>
      </c>
      <c r="Y146" s="5">
        <f>IF(W146&gt;0,W146^(1-Parameters!$B$53)/(1-Parameters!$B$53)*X146*Parameters!$B$71,-10+W146*1000)</f>
        <v>-0.33259729545366129</v>
      </c>
      <c r="AA146" s="15">
        <f t="shared" si="77"/>
        <v>0</v>
      </c>
      <c r="AB146" s="15">
        <f t="shared" si="78"/>
        <v>5.3575940827249591E-6</v>
      </c>
      <c r="AC146" s="15">
        <f t="shared" si="79"/>
        <v>-7.3338686785856533E-6</v>
      </c>
      <c r="AD146" s="15">
        <f t="shared" si="75"/>
        <v>9.6646058963680777E-12</v>
      </c>
      <c r="AE146" s="15">
        <f t="shared" si="80"/>
        <v>0</v>
      </c>
      <c r="AF146" s="15">
        <f t="shared" si="81"/>
        <v>-3.3113472173995628E-7</v>
      </c>
      <c r="AG146" s="15">
        <f t="shared" si="82"/>
        <v>4.5605180583330185E-7</v>
      </c>
      <c r="AH146" s="15">
        <f t="shared" si="76"/>
        <v>3.7214484588342315E-14</v>
      </c>
      <c r="AI146" s="15"/>
      <c r="AM146" s="16">
        <f t="shared" si="70"/>
        <v>13.704991069621336</v>
      </c>
      <c r="AN146" s="16">
        <f t="shared" si="71"/>
        <v>0.18546883474439069</v>
      </c>
      <c r="AO146" s="16">
        <f t="shared" si="72"/>
        <v>634.51630666272615</v>
      </c>
      <c r="AP146" s="6">
        <f t="shared" si="73"/>
        <v>2480.1674655773568</v>
      </c>
      <c r="AQ146" s="15">
        <f>-X146*V146*W146^(-Parameters!B$53)*Parameters!B$47*Parameters!B$46*M146</f>
        <v>-3.7039541731071155E-6</v>
      </c>
      <c r="AR146" s="5">
        <f>1000*EXP(-(Parameters!$B$55)*'6states'!A146)*AP146*Parameters!B$47*Parameters!B$46*M146</f>
        <v>0.4114683329422531</v>
      </c>
      <c r="AS146" s="5">
        <f>SUM(AR146:AR$204)*EXP(Parameters!$B$55*A146)</f>
        <v>3340.6393715838562</v>
      </c>
      <c r="AT146" s="25">
        <f t="shared" si="83"/>
        <v>0.2369971642335813</v>
      </c>
      <c r="AU146">
        <f>(1/$S146-1/Parameters!$B$13) * LN(Parameters!$B$18) / LN(O146)</f>
        <v>0.19814995329420235</v>
      </c>
      <c r="AV146">
        <f>(Parameters!$B$18*'6states'!S146^+Parameters!$B$19*Parameters!$B$25^'6states'!S146)^((1-'6states'!S146)/'6states'!S146)*Parameters!$B$18*Parameters!$B$26^('6states'!S146-1)</f>
        <v>0.30801439394192554</v>
      </c>
      <c r="AW146">
        <f t="shared" si="84"/>
        <v>0.17733214596374958</v>
      </c>
      <c r="AX146">
        <f t="shared" si="85"/>
        <v>0.12833236604668308</v>
      </c>
      <c r="AY146">
        <f t="shared" si="86"/>
        <v>0.1922472814766103</v>
      </c>
      <c r="AZ146">
        <f>(1/$S146-1/Parameters!$B$13) * LN(Parameters!$B$18) / A146</f>
        <v>6.804022760454157E-3</v>
      </c>
    </row>
    <row r="147" spans="1:52" x14ac:dyDescent="0.35">
      <c r="A147">
        <f>A146+Parameters!$B$71</f>
        <v>143</v>
      </c>
      <c r="B147" s="7">
        <f t="shared" si="69"/>
        <v>-2.9568713141259393E-6</v>
      </c>
      <c r="C147" s="7">
        <f t="shared" si="87"/>
        <v>9.0949993792235756E-2</v>
      </c>
      <c r="D147" s="7">
        <f t="shared" si="88"/>
        <v>0.22597556464516125</v>
      </c>
      <c r="E147" s="5">
        <f>MAX((1-Parameters!$B$4)^Parameters!B$71*E146 + B146*Parameters!B$71 - IF(B146&gt;0,Parameters!$B$5,0)*B146^2/E146*Parameters!B$71, 0.0001)</f>
        <v>1E-4</v>
      </c>
      <c r="F147" s="5">
        <f>(1-Parameters!$B$4)^Parameters!B$71*F146+C146*Parameters!B$71-Parameters!$B$5*C146^2/F146*Parameters!B$71</f>
        <v>1.350049359058745</v>
      </c>
      <c r="G147" s="5">
        <f>(1-Parameters!$B$4)^Parameters!B$71*G146+D146*Parameters!B$71-Parameters!$B$5*D146^2/G146*Parameters!B$71</f>
        <v>3.3447797462751718</v>
      </c>
      <c r="H147" s="7">
        <f>MAX(H146 * (1-Parameters!$B$4) ^ Parameters!B$71 + (LN(1+EXP(Parameters!$B$21*(-B146+0.004)))/Parameters!$B$21 -0.004) * Parameters!B$71,0)</f>
        <v>7.3867972791457522E-3</v>
      </c>
      <c r="I147" s="16">
        <f>I146*(1+Parameters!$B$52)^Parameters!B$71</f>
        <v>12.346146795108401</v>
      </c>
      <c r="J147" s="16">
        <f>J146*(1+Parameters!$B$54)^Parameters!B$71</f>
        <v>153.67290815594629</v>
      </c>
      <c r="K147" s="16">
        <f>I147*J147*EXP(-Parameters!$B$43*'6states'!A147)*(Parameters!$B$38/Parameters!$B$39*('6states'!E147+'6states'!H147)/Parameters!$E$25*(EXP(-Parameters!$B$39*Parameters!$E$25*'6states'!H147/('6states'!E147+'6states'!H147))-EXP(-Parameters!$B$39*Parameters!$E$25))  +  Parameters!$B$40*'6states'!E147)</f>
        <v>3.4823940224304829E-2</v>
      </c>
      <c r="L147" s="6">
        <f>L146+K147*Parameters!B$71</f>
        <v>3349.4378578283586</v>
      </c>
      <c r="M147" s="5">
        <f>L147*Parameters!$B$46</f>
        <v>2.009662714697015</v>
      </c>
      <c r="N147" s="7">
        <f>EXP(-Parameters!$B$47/2*M147^2)</f>
        <v>0.96022333641355739</v>
      </c>
      <c r="O147" s="6">
        <f>MAX((Parameters!$B$63 + Parameters!$B$31*'6states'!A147 - '6states'!L147 + Parameters!$B$48/Parameters!$B$46)/Parameters!B$63,1)</f>
        <v>132.16324284343284</v>
      </c>
      <c r="P147" s="5">
        <f>Parameters!B$62*EXP(-Parameters!B$61*A147)</f>
        <v>1.052347102700385E-2</v>
      </c>
      <c r="Q147" s="5">
        <f>(1-Parameters!B$62)*O147^-Parameters!B$64</f>
        <v>0.30680252934834179</v>
      </c>
      <c r="R147" s="5">
        <f>Parameters!B$62*EXP(-Parameters!B$61*A147)+(1-Parameters!B$62)*O147^-Parameters!B$64</f>
        <v>0.31732600037534564</v>
      </c>
      <c r="S147" s="5">
        <f>1-R147/Parameters!$B$12</f>
        <v>0.84133699981232724</v>
      </c>
      <c r="T147" s="5">
        <f t="shared" si="74"/>
        <v>6.3026666508080718</v>
      </c>
      <c r="U147" s="5">
        <f>(Parameters!$B$19*(E147+Parameters!$B$20)^S147+Parameters!$B$18*F147^S147)^(1/S147)</f>
        <v>0.34222050955786348</v>
      </c>
      <c r="V147" s="5">
        <f>(Parameters!$B$10*G147^Parameters!$B$9+Parameters!$B$11*U147^Parameters!$B$9)^(Parameters!$B$7/Parameters!$B$9)*N147</f>
        <v>1.3373101130720439</v>
      </c>
      <c r="W147" s="5">
        <f>V147 - C147 - D147 - LN(1+EXP(Parameters!$B$21*B147))/Parameters!$B$21 - IF(B147&gt;0, 0,Parameters!$B$6*B147^2/E147)</f>
        <v>1.0186527275273511</v>
      </c>
      <c r="X147" s="5">
        <f>EXP(-Parameters!$B$56*A147)</f>
        <v>0.11540587688403768</v>
      </c>
      <c r="Y147" s="5">
        <f>IF(W147&gt;0,W147^(1-Parameters!$B$53)/(1-Parameters!$B$53)*X147*Parameters!$B$71,-10+W147*1000)</f>
        <v>-0.32760515545245544</v>
      </c>
      <c r="AA147" s="15">
        <f t="shared" si="77"/>
        <v>0</v>
      </c>
      <c r="AB147" s="15">
        <f t="shared" si="78"/>
        <v>5.0456901083684169E-6</v>
      </c>
      <c r="AC147" s="15">
        <f t="shared" si="79"/>
        <v>-6.9045987005356135E-6</v>
      </c>
      <c r="AD147" s="15">
        <f t="shared" si="75"/>
        <v>8.4399170466000802E-12</v>
      </c>
      <c r="AE147" s="15">
        <f t="shared" si="80"/>
        <v>0</v>
      </c>
      <c r="AF147" s="15">
        <f t="shared" si="81"/>
        <v>-3.1190397435654216E-7</v>
      </c>
      <c r="AG147" s="15">
        <f t="shared" si="82"/>
        <v>4.2926997805003975E-7</v>
      </c>
      <c r="AH147" s="15">
        <f t="shared" si="76"/>
        <v>3.2493309774558787E-14</v>
      </c>
      <c r="AI147" s="15"/>
      <c r="AM147" s="16">
        <f t="shared" si="70"/>
        <v>14.014736187161688</v>
      </c>
      <c r="AN147" s="16">
        <f t="shared" si="71"/>
        <v>0.18972682825245241</v>
      </c>
      <c r="AO147" s="16">
        <f t="shared" si="72"/>
        <v>649.2841184135151</v>
      </c>
      <c r="AP147" s="6">
        <f t="shared" si="73"/>
        <v>2537.2360614308736</v>
      </c>
      <c r="AQ147" s="15">
        <f>-X147*V147*W147^(-Parameters!B$53)*Parameters!B$47*Parameters!B$46*M147</f>
        <v>-3.6483393826388236E-6</v>
      </c>
      <c r="AR147" s="5">
        <f>1000*EXP(-(Parameters!$B$55)*'6states'!A147)*AP147*Parameters!B$47*Parameters!B$46*M147</f>
        <v>0.40642186577475409</v>
      </c>
      <c r="AS147" s="5">
        <f>SUM(AR147:AR$204)*EXP(Parameters!$B$55*A147)</f>
        <v>3397.7205923490942</v>
      </c>
      <c r="AT147" s="25">
        <f t="shared" si="83"/>
        <v>0.23698512294807533</v>
      </c>
      <c r="AU147">
        <f>(1/$S147-1/Parameters!$B$13) * LN(Parameters!$B$18) / LN(O147)</f>
        <v>0.19791459156260904</v>
      </c>
      <c r="AV147">
        <f>(Parameters!$B$18*'6states'!S147^+Parameters!$B$19*Parameters!$B$25^'6states'!S147)^((1-'6states'!S147)/'6states'!S147)*Parameters!$B$18*Parameters!$B$26^('6states'!S147-1)</f>
        <v>0.30804445431337735</v>
      </c>
      <c r="AW147">
        <f t="shared" si="84"/>
        <v>0.17705883002509637</v>
      </c>
      <c r="AX147">
        <f t="shared" si="85"/>
        <v>0.12819015030912106</v>
      </c>
      <c r="AY147">
        <f t="shared" si="86"/>
        <v>0.1922641118483156</v>
      </c>
      <c r="AZ147">
        <f>(1/$S147-1/Parameters!$B$13) * LN(Parameters!$B$18) / A147</f>
        <v>6.7595968923842304E-3</v>
      </c>
    </row>
    <row r="148" spans="1:52" x14ac:dyDescent="0.35">
      <c r="A148">
        <f>A147+Parameters!$B$71</f>
        <v>144</v>
      </c>
      <c r="B148" s="7">
        <f t="shared" si="69"/>
        <v>-2.9568713141259393E-6</v>
      </c>
      <c r="C148" s="7">
        <f t="shared" si="87"/>
        <v>9.0949993792235756E-2</v>
      </c>
      <c r="D148" s="7">
        <f t="shared" si="88"/>
        <v>0.22597556464516125</v>
      </c>
      <c r="E148" s="5">
        <f>MAX((1-Parameters!$B$4)^Parameters!B$71*E147 + B147*Parameters!B$71 - IF(B147&gt;0,Parameters!$B$5,0)*B147^2/E147*Parameters!B$71, 0.0001)</f>
        <v>1E-4</v>
      </c>
      <c r="F148" s="5">
        <f>(1-Parameters!$B$4)^Parameters!B$71*F147+C147*Parameters!B$71-Parameters!$B$5*C147^2/F147*Parameters!B$71</f>
        <v>1.3499541378384752</v>
      </c>
      <c r="G148" s="5">
        <f>(1-Parameters!$B$4)^Parameters!B$71*G147+D147*Parameters!B$71-Parameters!$B$5*D147^2/G147*Parameters!B$71</f>
        <v>3.3451016040593822</v>
      </c>
      <c r="H148" s="7">
        <f>MAX(H147 * (1-Parameters!$B$4) ^ Parameters!B$71 + (LN(1+EXP(Parameters!$B$21*(-B147+0.004)))/Parameters!$B$21 -0.004) * Parameters!B$71,0)</f>
        <v>7.3843799981336087E-3</v>
      </c>
      <c r="I148" s="16">
        <f>I147*(1+Parameters!$B$52)^Parameters!B$71</f>
        <v>12.381950620814214</v>
      </c>
      <c r="J148" s="16">
        <f>J147*(1+Parameters!$B$54)^Parameters!B$71</f>
        <v>156.7463663190652</v>
      </c>
      <c r="K148" s="16">
        <f>I148*J148*EXP(-Parameters!$B$43*'6states'!A148)*(Parameters!$B$38/Parameters!$B$39*('6states'!E148+'6states'!H148)/Parameters!$E$25*(EXP(-Parameters!$B$39*Parameters!$E$25*'6states'!H148/('6states'!E148+'6states'!H148))-EXP(-Parameters!$B$39*Parameters!$E$25))  +  Parameters!$B$40*'6states'!E148)</f>
        <v>3.5268969210522284E-2</v>
      </c>
      <c r="L148" s="6">
        <f>L147+K148*Parameters!B$71</f>
        <v>3349.473126797569</v>
      </c>
      <c r="M148" s="5">
        <f>L148*Parameters!$B$46</f>
        <v>2.0096838760785412</v>
      </c>
      <c r="N148" s="7">
        <f>EXP(-Parameters!$B$47/2*M148^2)</f>
        <v>0.96022251561306704</v>
      </c>
      <c r="O148" s="6">
        <f>MAX((Parameters!$B$63 + Parameters!$B$31*'6states'!A148 - '6states'!L148 + Parameters!$B$48/Parameters!$B$46)/Parameters!B$63,1)</f>
        <v>133.22653746404865</v>
      </c>
      <c r="P148" s="5">
        <f>Parameters!B$62*EXP(-Parameters!B$61*A148)</f>
        <v>1.0243138823989853E-2</v>
      </c>
      <c r="Q148" s="5">
        <f>(1-Parameters!B$62)*O148^-Parameters!B$64</f>
        <v>0.3065567832191492</v>
      </c>
      <c r="R148" s="5">
        <f>Parameters!B$62*EXP(-Parameters!B$61*A148)+(1-Parameters!B$62)*O148^-Parameters!B$64</f>
        <v>0.31679992204313906</v>
      </c>
      <c r="S148" s="5">
        <f>1-R148/Parameters!$B$12</f>
        <v>0.8416000389784305</v>
      </c>
      <c r="T148" s="5">
        <f t="shared" si="74"/>
        <v>6.3131328666414817</v>
      </c>
      <c r="U148" s="5">
        <f>(Parameters!$B$19*(E148+Parameters!$B$20)^S148+Parameters!$B$18*F148^S148)^(1/S148)</f>
        <v>0.34232524714601775</v>
      </c>
      <c r="V148" s="5">
        <f>(Parameters!$B$10*G148^Parameters!$B$9+Parameters!$B$11*U148^Parameters!$B$9)^(Parameters!$B$7/Parameters!$B$9)*N148</f>
        <v>1.3373760430486428</v>
      </c>
      <c r="W148" s="5">
        <f>V148 - C148 - D148 - LN(1+EXP(Parameters!$B$21*B148))/Parameters!$B$21 - IF(B148&gt;0, 0,Parameters!$B$6*B148^2/E148)</f>
        <v>1.01871865750395</v>
      </c>
      <c r="X148" s="5">
        <f>EXP(-Parameters!$B$56*A148)</f>
        <v>0.11367633901652432</v>
      </c>
      <c r="Y148" s="5">
        <f>IF(W148&gt;0,W148^(1-Parameters!$B$53)/(1-Parameters!$B$53)*X148*Parameters!$B$71,-10+W148*1000)</f>
        <v>-0.3226881692643036</v>
      </c>
      <c r="AA148" s="15">
        <f t="shared" si="77"/>
        <v>0</v>
      </c>
      <c r="AB148" s="15">
        <f t="shared" si="78"/>
        <v>4.7519050591776635E-6</v>
      </c>
      <c r="AC148" s="15">
        <f t="shared" si="79"/>
        <v>-6.5005283854391305E-6</v>
      </c>
      <c r="AD148" s="15">
        <f t="shared" si="75"/>
        <v>7.3704863322486531E-12</v>
      </c>
      <c r="AE148" s="15">
        <f t="shared" si="80"/>
        <v>0</v>
      </c>
      <c r="AF148" s="15">
        <f t="shared" si="81"/>
        <v>-2.9378504919075343E-7</v>
      </c>
      <c r="AG148" s="15">
        <f t="shared" si="82"/>
        <v>4.0407031509648306E-7</v>
      </c>
      <c r="AH148" s="15">
        <f t="shared" si="76"/>
        <v>2.8371622003190988E-14</v>
      </c>
      <c r="AI148" s="15"/>
      <c r="AM148" s="16">
        <f t="shared" si="70"/>
        <v>14.331794979270271</v>
      </c>
      <c r="AN148" s="16">
        <f t="shared" si="71"/>
        <v>0.19408257677547217</v>
      </c>
      <c r="AO148" s="16">
        <f t="shared" si="72"/>
        <v>664.39366061399483</v>
      </c>
      <c r="AP148" s="6">
        <f t="shared" si="73"/>
        <v>2595.6138855266536</v>
      </c>
      <c r="AQ148" s="15">
        <f>-X148*V148*W148^(-Parameters!B$53)*Parameters!B$47*Parameters!B$46*M148</f>
        <v>-3.5935643192675528E-6</v>
      </c>
      <c r="AR148" s="5">
        <f>1000*EXP(-(Parameters!$B$55)*'6states'!A148)*AP148*Parameters!B$47*Parameters!B$46*M148</f>
        <v>0.40143673838274324</v>
      </c>
      <c r="AS148" s="5">
        <f>SUM(AR148:AR$204)*EXP(Parameters!$B$55*A148)</f>
        <v>3455.4077386869849</v>
      </c>
      <c r="AT148" s="25">
        <f t="shared" si="83"/>
        <v>0.23697344005328189</v>
      </c>
      <c r="AU148">
        <f>(1/$S148-1/Parameters!$B$13) * LN(Parameters!$B$18) / LN(O148)</f>
        <v>0.19768087200295006</v>
      </c>
      <c r="AV148">
        <f>(Parameters!$B$18*'6states'!S148^+Parameters!$B$19*Parameters!$B$25^'6states'!S148)^((1-'6states'!S148)/'6states'!S148)*Parameters!$B$18*Parameters!$B$26^('6states'!S148-1)</f>
        <v>0.30807381551312946</v>
      </c>
      <c r="AW148">
        <f t="shared" si="84"/>
        <v>0.1767882924328657</v>
      </c>
      <c r="AX148">
        <f t="shared" si="85"/>
        <v>0.12804890388213441</v>
      </c>
      <c r="AY148">
        <f t="shared" si="86"/>
        <v>0.19228055042525516</v>
      </c>
      <c r="AZ148">
        <f>(1/$S148-1/Parameters!$B$13) * LN(Parameters!$B$18) / A148</f>
        <v>6.7157284814628538E-3</v>
      </c>
    </row>
    <row r="149" spans="1:52" x14ac:dyDescent="0.35">
      <c r="A149">
        <f>A148+Parameters!$B$71</f>
        <v>145</v>
      </c>
      <c r="B149" s="7">
        <f t="shared" si="69"/>
        <v>-2.9568713141259393E-6</v>
      </c>
      <c r="C149" s="7">
        <f t="shared" si="87"/>
        <v>9.0949993792235756E-2</v>
      </c>
      <c r="D149" s="7">
        <f t="shared" si="88"/>
        <v>0.22597556464516125</v>
      </c>
      <c r="E149" s="5">
        <f>MAX((1-Parameters!$B$4)^Parameters!B$71*E148 + B148*Parameters!B$71 - IF(B148&gt;0,Parameters!$B$5,0)*B148^2/E148*Parameters!B$71, 0.0001)</f>
        <v>1E-4</v>
      </c>
      <c r="F149" s="5">
        <f>(1-Parameters!$B$4)^Parameters!B$71*F148+C148*Parameters!B$71-Parameters!$B$5*C148^2/F148*Parameters!B$71</f>
        <v>1.3498644738472247</v>
      </c>
      <c r="G149" s="5">
        <f>(1-Parameters!$B$4)^Parameters!B$71*G148+D148*Parameters!B$71-Parameters!$B$5*D148^2/G148*Parameters!B$71</f>
        <v>3.3454046859495379</v>
      </c>
      <c r="H149" s="7">
        <f>MAX(H148 * (1-Parameters!$B$4) ^ Parameters!B$71 + (LN(1+EXP(Parameters!$B$21*(-B148+0.004)))/Parameters!$B$21 -0.004) * Parameters!B$71,0)</f>
        <v>7.3821147640971288E-3</v>
      </c>
      <c r="I149" s="16">
        <f>I148*(1+Parameters!$B$52)^Parameters!B$71</f>
        <v>12.417858277614574</v>
      </c>
      <c r="J149" s="16">
        <f>J148*(1+Parameters!$B$54)^Parameters!B$71</f>
        <v>159.8812936454465</v>
      </c>
      <c r="K149" s="16">
        <f>I149*J149*EXP(-Parameters!$B$43*'6states'!A149)*(Parameters!$B$38/Parameters!$B$39*('6states'!E149+'6states'!H149)/Parameters!$E$25*(EXP(-Parameters!$B$39*Parameters!$E$25*'6states'!H149/('6states'!E149+'6states'!H149))-EXP(-Parameters!$B$39*Parameters!$E$25))  +  Parameters!$B$40*'6states'!E149)</f>
        <v>3.5719685399201555E-2</v>
      </c>
      <c r="L149" s="6">
        <f>L148+K149*Parameters!B$71</f>
        <v>3349.5088464829682</v>
      </c>
      <c r="M149" s="5">
        <f>L149*Parameters!$B$46</f>
        <v>2.0097053078897806</v>
      </c>
      <c r="N149" s="7">
        <f>EXP(-Parameters!$B$47/2*M149^2)</f>
        <v>0.96022168431514665</v>
      </c>
      <c r="O149" s="6">
        <f>MAX((Parameters!$B$63 + Parameters!$B$31*'6states'!A149 - '6states'!L149 + Parameters!$B$48/Parameters!$B$46)/Parameters!B$63,1)</f>
        <v>134.28982307034065</v>
      </c>
      <c r="P149" s="5">
        <f>Parameters!B$62*EXP(-Parameters!B$61*A149)</f>
        <v>9.9702743228248982E-3</v>
      </c>
      <c r="Q149" s="5">
        <f>(1-Parameters!B$62)*O149^-Parameters!B$64</f>
        <v>0.30631318719605671</v>
      </c>
      <c r="R149" s="5">
        <f>Parameters!B$62*EXP(-Parameters!B$61*A149)+(1-Parameters!B$62)*O149^-Parameters!B$64</f>
        <v>0.31628346151888159</v>
      </c>
      <c r="S149" s="5">
        <f>1-R149/Parameters!$B$12</f>
        <v>0.84185826924055918</v>
      </c>
      <c r="T149" s="5">
        <f t="shared" si="74"/>
        <v>6.3234416064483439</v>
      </c>
      <c r="U149" s="5">
        <f>(Parameters!$B$19*(E149+Parameters!$B$20)^S149+Parameters!$B$18*F149^S149)^(1/S149)</f>
        <v>0.34242897572391323</v>
      </c>
      <c r="V149" s="5">
        <f>(Parameters!$B$10*G149^Parameters!$B$9+Parameters!$B$11*U149^Parameters!$B$9)^(Parameters!$B$7/Parameters!$B$9)*N149</f>
        <v>1.3374400402897308</v>
      </c>
      <c r="W149" s="5">
        <f>V149 - C149 - D149 - LN(1+EXP(Parameters!$B$21*B149))/Parameters!$B$21 - IF(B149&gt;0, 0,Parameters!$B$6*B149^2/E149)</f>
        <v>1.018782654745038</v>
      </c>
      <c r="X149" s="5">
        <f>EXP(-Parameters!$B$56*A149)</f>
        <v>0.11197272098356298</v>
      </c>
      <c r="Y149" s="5">
        <f>IF(W149&gt;0,W149^(1-Parameters!$B$53)/(1-Parameters!$B$53)*X149*Parameters!$B$71,-10+W149*1000)</f>
        <v>-0.31784519303809011</v>
      </c>
      <c r="AA149" s="15">
        <f t="shared" si="77"/>
        <v>0</v>
      </c>
      <c r="AB149" s="15">
        <f t="shared" si="78"/>
        <v>4.4751908250539874E-6</v>
      </c>
      <c r="AC149" s="15">
        <f t="shared" si="79"/>
        <v>-6.1201701003210651E-6</v>
      </c>
      <c r="AD149" s="15">
        <f t="shared" si="75"/>
        <v>6.4366191755476356E-12</v>
      </c>
      <c r="AE149" s="15">
        <f t="shared" si="80"/>
        <v>0</v>
      </c>
      <c r="AF149" s="15">
        <f t="shared" si="81"/>
        <v>-2.7671423412367613E-7</v>
      </c>
      <c r="AG149" s="15">
        <f t="shared" si="82"/>
        <v>3.8035828511806535E-7</v>
      </c>
      <c r="AH149" s="15">
        <f t="shared" si="76"/>
        <v>2.4773202254873381E-14</v>
      </c>
      <c r="AI149" s="15"/>
      <c r="AM149" s="16">
        <f t="shared" si="70"/>
        <v>14.65632697070067</v>
      </c>
      <c r="AN149" s="16">
        <f t="shared" si="71"/>
        <v>0.19853832457308343</v>
      </c>
      <c r="AO149" s="16">
        <f t="shared" si="72"/>
        <v>679.85275125502801</v>
      </c>
      <c r="AP149" s="6">
        <f t="shared" si="73"/>
        <v>2655.3310481608037</v>
      </c>
      <c r="AQ149" s="15">
        <f>-X149*V149*W149^(-Parameters!B$53)*Parameters!B$47*Parameters!B$46*M149</f>
        <v>-3.5396160696002026E-6</v>
      </c>
      <c r="AR149" s="5">
        <f>1000*EXP(-(Parameters!$B$55)*'6states'!A149)*AP149*Parameters!B$47*Parameters!B$46*M149</f>
        <v>0.3965122373810675</v>
      </c>
      <c r="AS149" s="5">
        <f>SUM(AR149:AR$204)*EXP(Parameters!$B$55*A149)</f>
        <v>3513.6895527634397</v>
      </c>
      <c r="AT149" s="25">
        <f t="shared" si="83"/>
        <v>0.23696210074391644</v>
      </c>
      <c r="AU149">
        <f>(1/$S149-1/Parameters!$B$13) * LN(Parameters!$B$18) / LN(O149)</f>
        <v>0.19744878032498214</v>
      </c>
      <c r="AV149">
        <f>(Parameters!$B$18*'6states'!S149^+Parameters!$B$19*Parameters!$B$25^'6states'!S149)^((1-'6states'!S149)/'6states'!S149)*Parameters!$B$18*Parameters!$B$26^('6states'!S149-1)</f>
        <v>0.3081024991441943</v>
      </c>
      <c r="AW149">
        <f t="shared" si="84"/>
        <v>0.17652048616451821</v>
      </c>
      <c r="AX149">
        <f t="shared" si="85"/>
        <v>0.1279086186060685</v>
      </c>
      <c r="AY149">
        <f t="shared" si="86"/>
        <v>0.19229660932594062</v>
      </c>
      <c r="AZ149">
        <f>(1/$S149-1/Parameters!$B$13) * LN(Parameters!$B$18) / A149</f>
        <v>6.6724074991915631E-3</v>
      </c>
    </row>
    <row r="150" spans="1:52" x14ac:dyDescent="0.35">
      <c r="A150">
        <f>A149+Parameters!$B$71</f>
        <v>146</v>
      </c>
      <c r="B150" s="7">
        <f t="shared" si="69"/>
        <v>-2.9568713141259393E-6</v>
      </c>
      <c r="C150" s="7">
        <f t="shared" si="87"/>
        <v>9.0949993792235756E-2</v>
      </c>
      <c r="D150" s="7">
        <f t="shared" si="88"/>
        <v>0.22597556464516125</v>
      </c>
      <c r="E150" s="5">
        <f>MAX((1-Parameters!$B$4)^Parameters!B$71*E149 + B149*Parameters!B$71 - IF(B149&gt;0,Parameters!$B$5,0)*B149^2/E149*Parameters!B$71, 0.0001)</f>
        <v>1E-4</v>
      </c>
      <c r="F150" s="5">
        <f>(1-Parameters!$B$4)^Parameters!B$71*F149+C149*Parameters!B$71-Parameters!$B$5*C149^2/F149*Parameters!B$71</f>
        <v>1.3497800427024462</v>
      </c>
      <c r="G150" s="5">
        <f>(1-Parameters!$B$4)^Parameters!B$71*G149+D149*Parameters!B$71-Parameters!$B$5*D149^2/G149*Parameters!B$71</f>
        <v>3.3456900869976969</v>
      </c>
      <c r="H150" s="7">
        <f>MAX(H149 * (1-Parameters!$B$4) ^ Parameters!B$71 + (LN(1+EXP(Parameters!$B$21*(-B149+0.004)))/Parameters!$B$21 -0.004) * Parameters!B$71,0)</f>
        <v>7.3799920132815435E-3</v>
      </c>
      <c r="I150" s="16">
        <f>I149*(1+Parameters!$B$52)^Parameters!B$71</f>
        <v>12.453870066619654</v>
      </c>
      <c r="J150" s="16">
        <f>J149*(1+Parameters!$B$54)^Parameters!B$71</f>
        <v>163.07891951835543</v>
      </c>
      <c r="K150" s="16">
        <f>I150*J150*EXP(-Parameters!$B$43*'6states'!A150)*(Parameters!$B$38/Parameters!$B$39*('6states'!E150+'6states'!H150)/Parameters!$E$25*(EXP(-Parameters!$B$39*Parameters!$E$25*'6states'!H150/('6states'!E150+'6states'!H150))-EXP(-Parameters!$B$39*Parameters!$E$25))  +  Parameters!$B$40*'6states'!E150)</f>
        <v>3.6176161469365455E-2</v>
      </c>
      <c r="L150" s="6">
        <f>L149+K150*Parameters!B$71</f>
        <v>3349.5450226444377</v>
      </c>
      <c r="M150" s="5">
        <f>L150*Parameters!$B$46</f>
        <v>2.0097270135866623</v>
      </c>
      <c r="N150" s="7">
        <f>EXP(-Parameters!$B$47/2*M150^2)</f>
        <v>0.96022084238543715</v>
      </c>
      <c r="O150" s="6">
        <f>MAX((Parameters!$B$63 + Parameters!$B$31*'6states'!A150 - '6states'!L150 + Parameters!$B$48/Parameters!$B$46)/Parameters!B$63,1)</f>
        <v>135.35309954711127</v>
      </c>
      <c r="P150" s="5">
        <f>Parameters!B$62*EXP(-Parameters!B$61*A150)</f>
        <v>9.7046785932030574E-3</v>
      </c>
      <c r="Q150" s="5">
        <f>(1-Parameters!B$62)*O150^-Parameters!B$64</f>
        <v>0.30607170568924835</v>
      </c>
      <c r="R150" s="5">
        <f>Parameters!B$62*EXP(-Parameters!B$61*A150)+(1-Parameters!B$62)*O150^-Parameters!B$64</f>
        <v>0.31577638428245142</v>
      </c>
      <c r="S150" s="5">
        <f>1-R150/Parameters!$B$12</f>
        <v>0.84211180785877426</v>
      </c>
      <c r="T150" s="5">
        <f t="shared" si="74"/>
        <v>6.3335958594391482</v>
      </c>
      <c r="U150" s="5">
        <f>(Parameters!$B$19*(E150+Parameters!$B$20)^S150+Parameters!$B$18*F150^S150)^(1/S150)</f>
        <v>0.34253167561436787</v>
      </c>
      <c r="V150" s="5">
        <f>(Parameters!$B$10*G150^Parameters!$B$9+Parameters!$B$11*U150^Parameters!$B$9)^(Parameters!$B$7/Parameters!$B$9)*N150</f>
        <v>1.3375021837061474</v>
      </c>
      <c r="W150" s="5">
        <f>V150 - C150 - D150 - LN(1+EXP(Parameters!$B$21*B150))/Parameters!$B$21 - IF(B150&gt;0, 0,Parameters!$B$6*B150^2/E150)</f>
        <v>1.0188447981614546</v>
      </c>
      <c r="X150" s="5">
        <f>EXP(-Parameters!$B$56*A150)</f>
        <v>0.11029463433582516</v>
      </c>
      <c r="Y150" s="5">
        <f>IF(W150&gt;0,W150^(1-Parameters!$B$53)/(1-Parameters!$B$53)*X150*Parameters!$B$71,-10+W150*1000)</f>
        <v>-0.31307510109253023</v>
      </c>
      <c r="AA150" s="15">
        <f t="shared" si="77"/>
        <v>0</v>
      </c>
      <c r="AB150" s="15">
        <f t="shared" si="78"/>
        <v>4.2145594217335436E-6</v>
      </c>
      <c r="AC150" s="15">
        <f t="shared" si="79"/>
        <v>-5.7621249758416093E-6</v>
      </c>
      <c r="AD150" s="15">
        <f t="shared" si="75"/>
        <v>5.6211214089229437E-12</v>
      </c>
      <c r="AE150" s="15">
        <f t="shared" si="80"/>
        <v>0</v>
      </c>
      <c r="AF150" s="15">
        <f t="shared" si="81"/>
        <v>-2.6063140332044377E-7</v>
      </c>
      <c r="AG150" s="15">
        <f t="shared" si="82"/>
        <v>3.580451244794558E-7</v>
      </c>
      <c r="AH150" s="15">
        <f t="shared" si="76"/>
        <v>2.163153952240174E-14</v>
      </c>
      <c r="AI150" s="15"/>
      <c r="AM150" s="16">
        <f t="shared" si="70"/>
        <v>14.988495695497997</v>
      </c>
      <c r="AN150" s="16">
        <f t="shared" si="71"/>
        <v>0.20309636742863224</v>
      </c>
      <c r="AO150" s="16">
        <f t="shared" si="72"/>
        <v>695.66939046520724</v>
      </c>
      <c r="AP150" s="6">
        <f t="shared" si="73"/>
        <v>2716.4183493858168</v>
      </c>
      <c r="AQ150" s="15">
        <f>-X150*V150*W150^(-Parameters!B$53)*Parameters!B$47*Parameters!B$46*M150</f>
        <v>-3.4864819330496628E-6</v>
      </c>
      <c r="AR150" s="5">
        <f>1000*EXP(-(Parameters!$B$55)*'6states'!A150)*AP150*Parameters!B$47*Parameters!B$46*M150</f>
        <v>0.39164765576723992</v>
      </c>
      <c r="AS150" s="5">
        <f>SUM(AR150:AR$204)*EXP(Parameters!$B$55*A150)</f>
        <v>3572.5536169872526</v>
      </c>
      <c r="AT150" s="25">
        <f t="shared" si="83"/>
        <v>0.23695109094170388</v>
      </c>
      <c r="AU150">
        <f>(1/$S150-1/Parameters!$B$13) * LN(Parameters!$B$18) / LN(O150)</f>
        <v>0.19721830238476679</v>
      </c>
      <c r="AV150">
        <f>(Parameters!$B$18*'6states'!S150^+Parameters!$B$19*Parameters!$B$25^'6states'!S150)^((1-'6states'!S150)/'6states'!S150)*Parameters!$B$18*Parameters!$B$26^('6states'!S150-1)</f>
        <v>0.30813052603968538</v>
      </c>
      <c r="AW150">
        <f t="shared" si="84"/>
        <v>0.17625536530049501</v>
      </c>
      <c r="AX150">
        <f t="shared" si="85"/>
        <v>0.12776928640096741</v>
      </c>
      <c r="AY150">
        <f t="shared" si="86"/>
        <v>0.19231230023634949</v>
      </c>
      <c r="AZ150">
        <f>(1/$S150-1/Parameters!$B$13) * LN(Parameters!$B$18) / A150</f>
        <v>6.6296241498417828E-3</v>
      </c>
    </row>
    <row r="151" spans="1:52" x14ac:dyDescent="0.35">
      <c r="A151">
        <f>A150+Parameters!$B$71</f>
        <v>147</v>
      </c>
      <c r="B151" s="7">
        <f t="shared" si="69"/>
        <v>-2.9568713141259393E-6</v>
      </c>
      <c r="C151" s="7">
        <f t="shared" si="87"/>
        <v>9.0949993792235756E-2</v>
      </c>
      <c r="D151" s="7">
        <f t="shared" si="88"/>
        <v>0.22597556464516125</v>
      </c>
      <c r="E151" s="5">
        <f>MAX((1-Parameters!$B$4)^Parameters!B$71*E150 + B150*Parameters!B$71 - IF(B150&gt;0,Parameters!$B$5,0)*B150^2/E150*Parameters!B$71, 0.0001)</f>
        <v>1E-4</v>
      </c>
      <c r="F151" s="5">
        <f>(1-Parameters!$B$4)^Parameters!B$71*F150+C150*Parameters!B$71-Parameters!$B$5*C150^2/F150*Parameters!B$71</f>
        <v>1.349700538962521</v>
      </c>
      <c r="G151" s="5">
        <f>(1-Parameters!$B$4)^Parameters!B$71*G150+D150*Parameters!B$71-Parameters!$B$5*D150^2/G150*Parameters!B$71</f>
        <v>3.3459588384193721</v>
      </c>
      <c r="H151" s="7">
        <f>MAX(H150 * (1-Parameters!$B$4) ^ Parameters!B$71 + (LN(1+EXP(Parameters!$B$21*(-B150+0.004)))/Parameters!$B$21 -0.004) * Parameters!B$71,0)</f>
        <v>7.3780027834922587E-3</v>
      </c>
      <c r="I151" s="16">
        <f>I150*(1+Parameters!$B$52)^Parameters!B$71</f>
        <v>12.489986289812849</v>
      </c>
      <c r="J151" s="16">
        <f>J150*(1+Parameters!$B$54)^Parameters!B$71</f>
        <v>166.34049790872254</v>
      </c>
      <c r="K151" s="16">
        <f>I151*J151*EXP(-Parameters!$B$43*'6states'!A151)*(Parameters!$B$38/Parameters!$B$39*('6states'!E151+'6states'!H151)/Parameters!$E$25*(EXP(-Parameters!$B$39*Parameters!$E$25*'6states'!H151/('6states'!E151+'6states'!H151))-EXP(-Parameters!$B$39*Parameters!$E$25))  +  Parameters!$B$40*'6states'!E151)</f>
        <v>3.6638471028830936E-2</v>
      </c>
      <c r="L151" s="6">
        <f>L150+K151*Parameters!B$71</f>
        <v>3349.5816611154664</v>
      </c>
      <c r="M151" s="5">
        <f>L151*Parameters!$B$46</f>
        <v>2.0097489966692796</v>
      </c>
      <c r="N151" s="7">
        <f>EXP(-Parameters!$B$47/2*M151^2)</f>
        <v>0.96021998968785716</v>
      </c>
      <c r="O151" s="6">
        <f>MAX((Parameters!$B$63 + Parameters!$B$31*'6states'!A151 - '6states'!L151 + Parameters!$B$48/Parameters!$B$46)/Parameters!B$63,1)</f>
        <v>136.41636677769068</v>
      </c>
      <c r="P151" s="5">
        <f>Parameters!B$62*EXP(-Parameters!B$61*A151)</f>
        <v>9.4461580040747853E-3</v>
      </c>
      <c r="Q151" s="5">
        <f>(1-Parameters!B$62)*O151^-Parameters!B$64</f>
        <v>0.30583230397242456</v>
      </c>
      <c r="R151" s="5">
        <f>Parameters!B$62*EXP(-Parameters!B$61*A151)+(1-Parameters!B$62)*O151^-Parameters!B$64</f>
        <v>0.31527846197649934</v>
      </c>
      <c r="S151" s="5">
        <f>1-R151/Parameters!$B$12</f>
        <v>0.84236076901175028</v>
      </c>
      <c r="T151" s="5">
        <f t="shared" si="74"/>
        <v>6.3435985682684475</v>
      </c>
      <c r="U151" s="5">
        <f>(Parameters!$B$19*(E151+Parameters!$B$20)^S151+Parameters!$B$18*F151^S151)^(1/S151)</f>
        <v>0.34263333005210295</v>
      </c>
      <c r="V151" s="5">
        <f>(Parameters!$B$10*G151^Parameters!$B$9+Parameters!$B$11*U151^Parameters!$B$9)^(Parameters!$B$7/Parameters!$B$9)*N151</f>
        <v>1.3375625483737037</v>
      </c>
      <c r="W151" s="5">
        <f>V151 - C151 - D151 - LN(1+EXP(Parameters!$B$21*B151))/Parameters!$B$21 - IF(B151&gt;0, 0,Parameters!$B$6*B151^2/E151)</f>
        <v>1.0189051628290109</v>
      </c>
      <c r="X151" s="5">
        <f>EXP(-Parameters!$B$56*A151)</f>
        <v>0.1086416964455041</v>
      </c>
      <c r="Y151" s="5">
        <f>IF(W151&gt;0,W151^(1-Parameters!$B$53)/(1-Parameters!$B$53)*X151*Parameters!$B$71,-10+W151*1000)</f>
        <v>-0.30837678557811077</v>
      </c>
      <c r="AA151" s="15">
        <f t="shared" si="77"/>
        <v>0</v>
      </c>
      <c r="AB151" s="15">
        <f t="shared" si="78"/>
        <v>3.9690795985702909E-6</v>
      </c>
      <c r="AC151" s="15">
        <f t="shared" si="79"/>
        <v>-5.4250775035208365E-6</v>
      </c>
      <c r="AD151" s="15">
        <f t="shared" si="75"/>
        <v>4.9089814397398108E-12</v>
      </c>
      <c r="AE151" s="15">
        <f t="shared" si="80"/>
        <v>0</v>
      </c>
      <c r="AF151" s="15">
        <f t="shared" si="81"/>
        <v>-2.4547982316325268E-7</v>
      </c>
      <c r="AG151" s="15">
        <f t="shared" si="82"/>
        <v>3.3704747232077281E-7</v>
      </c>
      <c r="AH151" s="15">
        <f t="shared" si="76"/>
        <v>1.8888591160519314E-14</v>
      </c>
      <c r="AI151" s="15"/>
      <c r="AM151" s="16">
        <f t="shared" si="70"/>
        <v>15.328468774686474</v>
      </c>
      <c r="AN151" s="16">
        <f t="shared" si="71"/>
        <v>0.20775905383205873</v>
      </c>
      <c r="AO151" s="16">
        <f t="shared" si="72"/>
        <v>711.85176462952404</v>
      </c>
      <c r="AP151" s="6">
        <f t="shared" si="73"/>
        <v>2778.9072949131796</v>
      </c>
      <c r="AQ151" s="15">
        <f>-X151*V151*W151^(-Parameters!B$53)*Parameters!B$47*Parameters!B$46*M151</f>
        <v>-3.4341494174097427E-6</v>
      </c>
      <c r="AR151" s="5">
        <f>1000*EXP(-(Parameters!$B$55)*'6states'!A151)*AP151*Parameters!B$47*Parameters!B$46*M151</f>
        <v>0.38684229299212436</v>
      </c>
      <c r="AS151" s="5">
        <f>SUM(AR151:AR$204)*EXP(Parameters!$B$55*A151)</f>
        <v>3631.986295193994</v>
      </c>
      <c r="AT151" s="25">
        <f t="shared" si="83"/>
        <v>0.23694039725575314</v>
      </c>
      <c r="AU151">
        <f>(1/$S151-1/Parameters!$B$13) * LN(Parameters!$B$18) / LN(O151)</f>
        <v>0.19698942418000076</v>
      </c>
      <c r="AV151">
        <f>(Parameters!$B$18*'6states'!S151^+Parameters!$B$19*Parameters!$B$25^'6states'!S151)^((1-'6states'!S151)/'6states'!S151)*Parameters!$B$18*Parameters!$B$26^('6states'!S151-1)</f>
        <v>0.30815791629362338</v>
      </c>
      <c r="AW151">
        <f t="shared" si="84"/>
        <v>0.17599288499075047</v>
      </c>
      <c r="AX151">
        <f t="shared" si="85"/>
        <v>0.1276308992639128</v>
      </c>
      <c r="AY151">
        <f t="shared" si="86"/>
        <v>0.19232763442726819</v>
      </c>
      <c r="AZ151">
        <f>(1/$S151-1/Parameters!$B$13) * LN(Parameters!$B$18) / A151</f>
        <v>6.5873688638081237E-3</v>
      </c>
    </row>
    <row r="152" spans="1:52" x14ac:dyDescent="0.35">
      <c r="A152">
        <f>A151+Parameters!$B$71</f>
        <v>148</v>
      </c>
      <c r="B152" s="7">
        <f t="shared" si="69"/>
        <v>-2.9568713141259393E-6</v>
      </c>
      <c r="C152" s="7">
        <f t="shared" si="87"/>
        <v>9.0949993792235756E-2</v>
      </c>
      <c r="D152" s="7">
        <f t="shared" si="88"/>
        <v>0.22597556464516125</v>
      </c>
      <c r="E152" s="5">
        <f>MAX((1-Parameters!$B$4)^Parameters!B$71*E151 + B151*Parameters!B$71 - IF(B151&gt;0,Parameters!$B$5,0)*B151^2/E151*Parameters!B$71, 0.0001)</f>
        <v>1E-4</v>
      </c>
      <c r="F152" s="5">
        <f>(1-Parameters!$B$4)^Parameters!B$71*F151+C151*Parameters!B$71-Parameters!$B$5*C151^2/F151*Parameters!B$71</f>
        <v>1.3496256750200721</v>
      </c>
      <c r="G152" s="5">
        <f>(1-Parameters!$B$4)^Parameters!B$71*G151+D151*Parameters!B$71-Parameters!$B$5*D151^2/G151*Parameters!B$71</f>
        <v>3.3462119113115762</v>
      </c>
      <c r="H152" s="7">
        <f>MAX(H151 * (1-Parameters!$B$4) ^ Parameters!B$71 + (LN(1+EXP(Parameters!$B$21*(-B151+0.004)))/Parameters!$B$21 -0.004) * Parameters!B$71,0)</f>
        <v>7.3761386762567199E-3</v>
      </c>
      <c r="I152" s="16">
        <f>I151*(1+Parameters!$B$52)^Parameters!B$71</f>
        <v>12.526207250053305</v>
      </c>
      <c r="J152" s="16">
        <f>J151*(1+Parameters!$B$54)^Parameters!B$71</f>
        <v>169.667307866897</v>
      </c>
      <c r="K152" s="16">
        <f>I152*J152*EXP(-Parameters!$B$43*'6states'!A152)*(Parameters!$B$38/Parameters!$B$39*('6states'!E152+'6states'!H152)/Parameters!$E$25*(EXP(-Parameters!$B$39*Parameters!$E$25*'6states'!H152/('6states'!E152+'6states'!H152))-EXP(-Parameters!$B$39*Parameters!$E$25))  +  Parameters!$B$40*'6states'!E152)</f>
        <v>3.7106688626078549E-2</v>
      </c>
      <c r="L152" s="6">
        <f>L151+K152*Parameters!B$71</f>
        <v>3349.6187678040924</v>
      </c>
      <c r="M152" s="5">
        <f>L152*Parameters!$B$46</f>
        <v>2.0097712606824554</v>
      </c>
      <c r="N152" s="7">
        <f>EXP(-Parameters!$B$47/2*M152^2)</f>
        <v>0.96021912608458071</v>
      </c>
      <c r="O152" s="6">
        <f>MAX((Parameters!$B$63 + Parameters!$B$31*'6states'!A152 - '6states'!L152 + Parameters!$B$48/Parameters!$B$46)/Parameters!B$63,1)</f>
        <v>137.47962464391816</v>
      </c>
      <c r="P152" s="5">
        <f>Parameters!B$62*EXP(-Parameters!B$61*A152)</f>
        <v>9.194524082481283E-3</v>
      </c>
      <c r="Q152" s="5">
        <f>(1-Parameters!B$62)*O152^-Parameters!B$64</f>
        <v>0.30559494815531796</v>
      </c>
      <c r="R152" s="5">
        <f>Parameters!B$62*EXP(-Parameters!B$61*A152)+(1-Parameters!B$62)*O152^-Parameters!B$64</f>
        <v>0.31478947223779924</v>
      </c>
      <c r="S152" s="5">
        <f>1-R152/Parameters!$B$12</f>
        <v>0.84260526388110035</v>
      </c>
      <c r="T152" s="5">
        <f t="shared" si="74"/>
        <v>6.3534526290928603</v>
      </c>
      <c r="U152" s="5">
        <f>(Parameters!$B$19*(E152+Parameters!$B$20)^S152+Parameters!$B$18*F152^S152)^(1/S152)</f>
        <v>0.34273392497253524</v>
      </c>
      <c r="V152" s="5">
        <f>(Parameters!$B$10*G152^Parameters!$B$9+Parameters!$B$11*U152^Parameters!$B$9)^(Parameters!$B$7/Parameters!$B$9)*N152</f>
        <v>1.3376212057395456</v>
      </c>
      <c r="W152" s="5">
        <f>V152 - C152 - D152 - LN(1+EXP(Parameters!$B$21*B152))/Parameters!$B$21 - IF(B152&gt;0, 0,Parameters!$B$6*B152^2/E152)</f>
        <v>1.0189638201948528</v>
      </c>
      <c r="X152" s="5">
        <f>EXP(-Parameters!$B$56*A152)</f>
        <v>0.10701353041907032</v>
      </c>
      <c r="Y152" s="5">
        <f>IF(W152&gt;0,W152^(1-Parameters!$B$53)/(1-Parameters!$B$53)*X152*Parameters!$B$71,-10+W152*1000)</f>
        <v>-0.30374915614863279</v>
      </c>
      <c r="AA152" s="15">
        <f t="shared" si="77"/>
        <v>0</v>
      </c>
      <c r="AB152" s="15">
        <f t="shared" si="78"/>
        <v>3.7378736315041294E-6</v>
      </c>
      <c r="AC152" s="15">
        <f t="shared" si="79"/>
        <v>-5.107790473607432E-6</v>
      </c>
      <c r="AD152" s="15">
        <f t="shared" si="75"/>
        <v>4.287092885521504E-12</v>
      </c>
      <c r="AE152" s="15">
        <f t="shared" si="80"/>
        <v>0</v>
      </c>
      <c r="AF152" s="15">
        <f t="shared" si="81"/>
        <v>-2.3120596706616148E-7</v>
      </c>
      <c r="AG152" s="15">
        <f t="shared" si="82"/>
        <v>3.1728702991340452E-7</v>
      </c>
      <c r="AH152" s="15">
        <f t="shared" si="76"/>
        <v>1.6493702072133192E-14</v>
      </c>
      <c r="AI152" s="15"/>
      <c r="AM152" s="16">
        <f t="shared" si="70"/>
        <v>15.676417996334758</v>
      </c>
      <c r="AN152" s="16">
        <f t="shared" si="71"/>
        <v>0.21252878618993515</v>
      </c>
      <c r="AO152" s="16">
        <f t="shared" si="72"/>
        <v>728.40825060525219</v>
      </c>
      <c r="AP152" s="6">
        <f t="shared" si="73"/>
        <v>2842.8301123774313</v>
      </c>
      <c r="AQ152" s="15">
        <f>-X152*V152*W152^(-Parameters!B$53)*Parameters!B$47*Parameters!B$46*M152</f>
        <v>-3.382606234581851E-6</v>
      </c>
      <c r="AR152" s="5">
        <f>1000*EXP(-(Parameters!$B$55)*'6states'!A152)*AP152*Parameters!B$47*Parameters!B$46*M152</f>
        <v>0.38209545501975206</v>
      </c>
      <c r="AS152" s="5">
        <f>SUM(AR152:AR$204)*EXP(Parameters!$B$55*A152)</f>
        <v>3691.9726713268506</v>
      </c>
      <c r="AT152" s="25">
        <f t="shared" si="83"/>
        <v>0.23693000694532376</v>
      </c>
      <c r="AU152">
        <f>(1/$S152-1/Parameters!$B$13) * LN(Parameters!$B$18) / LN(O152)</f>
        <v>0.19676213184570851</v>
      </c>
      <c r="AV152">
        <f>(Parameters!$B$18*'6states'!S152^+Parameters!$B$19*Parameters!$B$25^'6states'!S152)^((1-'6states'!S152)/'6states'!S152)*Parameters!$B$18*Parameters!$B$26^('6states'!S152-1)</f>
        <v>0.30818468929037413</v>
      </c>
      <c r="AW152">
        <f t="shared" si="84"/>
        <v>0.17573300142255727</v>
      </c>
      <c r="AX152">
        <f t="shared" si="85"/>
        <v>0.12749344926657746</v>
      </c>
      <c r="AY152">
        <f t="shared" si="86"/>
        <v>0.19234262277086434</v>
      </c>
      <c r="AZ152">
        <f>(1/$S152-1/Parameters!$B$13) * LN(Parameters!$B$18) / A152</f>
        <v>6.5456322911884701E-3</v>
      </c>
    </row>
    <row r="153" spans="1:52" x14ac:dyDescent="0.35">
      <c r="A153">
        <f>A152+Parameters!$B$71</f>
        <v>149</v>
      </c>
      <c r="B153" s="7">
        <f t="shared" si="69"/>
        <v>-2.9568713141259393E-6</v>
      </c>
      <c r="C153" s="7">
        <f t="shared" si="87"/>
        <v>9.0949993792235756E-2</v>
      </c>
      <c r="D153" s="7">
        <f t="shared" si="88"/>
        <v>0.22597556464516125</v>
      </c>
      <c r="E153" s="5">
        <f>MAX((1-Parameters!$B$4)^Parameters!B$71*E152 + B152*Parameters!B$71 - IF(B152&gt;0,Parameters!$B$5,0)*B152^2/E152*Parameters!B$71, 0.0001)</f>
        <v>1E-4</v>
      </c>
      <c r="F153" s="5">
        <f>(1-Parameters!$B$4)^Parameters!B$71*F152+C152*Parameters!B$71-Parameters!$B$5*C152^2/F152*Parameters!B$71</f>
        <v>1.3495551800600198</v>
      </c>
      <c r="G153" s="5">
        <f>(1-Parameters!$B$4)^Parameters!B$71*G152+D152*Parameters!B$71-Parameters!$B$5*D152^2/G152*Parameters!B$71</f>
        <v>3.3464502201546966</v>
      </c>
      <c r="H153" s="7">
        <f>MAX(H152 * (1-Parameters!$B$4) ^ Parameters!B$71 + (LN(1+EXP(Parameters!$B$21*(-B152+0.004)))/Parameters!$B$21 -0.004) * Parameters!B$71,0)</f>
        <v>7.3743918213662963E-3</v>
      </c>
      <c r="I153" s="16">
        <f>I152*(1+Parameters!$B$52)^Parameters!B$71</f>
        <v>12.56253325107846</v>
      </c>
      <c r="J153" s="16">
        <f>J152*(1+Parameters!$B$54)^Parameters!B$71</f>
        <v>173.06065402423494</v>
      </c>
      <c r="K153" s="16">
        <f>I153*J153*EXP(-Parameters!$B$43*'6states'!A153)*(Parameters!$B$38/Parameters!$B$39*('6states'!E153+'6states'!H153)/Parameters!$E$25*(EXP(-Parameters!$B$39*Parameters!$E$25*'6states'!H153/('6states'!E153+'6states'!H153))-EXP(-Parameters!$B$39*Parameters!$E$25))  +  Parameters!$B$40*'6states'!E153)</f>
        <v>3.7580889762273507E-2</v>
      </c>
      <c r="L153" s="6">
        <f>L152+K153*Parameters!B$71</f>
        <v>3349.6563486938549</v>
      </c>
      <c r="M153" s="5">
        <f>L153*Parameters!$B$46</f>
        <v>2.0097938092163128</v>
      </c>
      <c r="N153" s="7">
        <f>EXP(-Parameters!$B$47/2*M153^2)</f>
        <v>0.96021825143601502</v>
      </c>
      <c r="O153" s="6">
        <f>MAX((Parameters!$B$63 + Parameters!$B$31*'6states'!A153 - '6states'!L153 + Parameters!$B$48/Parameters!$B$46)/Parameters!B$63,1)</f>
        <v>138.54287302612292</v>
      </c>
      <c r="P153" s="5">
        <f>Parameters!B$62*EXP(-Parameters!B$61*A153)</f>
        <v>8.9495933761493968E-3</v>
      </c>
      <c r="Q153" s="5">
        <f>(1-Parameters!B$62)*O153^-Parameters!B$64</f>
        <v>0.30535960515728905</v>
      </c>
      <c r="R153" s="5">
        <f>Parameters!B$62*EXP(-Parameters!B$61*A153)+(1-Parameters!B$62)*O153^-Parameters!B$64</f>
        <v>0.31430919853343847</v>
      </c>
      <c r="S153" s="5">
        <f>1-R153/Parameters!$B$12</f>
        <v>0.84284540073328074</v>
      </c>
      <c r="T153" s="5">
        <f t="shared" si="74"/>
        <v>6.363160891669625</v>
      </c>
      <c r="U153" s="5">
        <f>(Parameters!$B$19*(E153+Parameters!$B$20)^S153+Parameters!$B$18*F153^S153)^(1/S153)</f>
        <v>0.34283344881370165</v>
      </c>
      <c r="V153" s="5">
        <f>(Parameters!$B$10*G153^Parameters!$B$9+Parameters!$B$11*U153^Parameters!$B$9)^(Parameters!$B$7/Parameters!$B$9)*N153</f>
        <v>1.3376782238162752</v>
      </c>
      <c r="W153" s="5">
        <f>V153 - C153 - D153 - LN(1+EXP(Parameters!$B$21*B153))/Parameters!$B$21 - IF(B153&gt;0, 0,Parameters!$B$6*B153^2/E153)</f>
        <v>1.0190208382715824</v>
      </c>
      <c r="X153" s="5">
        <f>EXP(-Parameters!$B$56*A153)</f>
        <v>0.10540976501133419</v>
      </c>
      <c r="Y153" s="5">
        <f>IF(W153&gt;0,W153^(1-Parameters!$B$53)/(1-Parameters!$B$53)*X153*Parameters!$B$71,-10+W153*1000)</f>
        <v>-0.29919113964187299</v>
      </c>
      <c r="AA153" s="15">
        <f t="shared" si="77"/>
        <v>0</v>
      </c>
      <c r="AB153" s="15">
        <f t="shared" si="78"/>
        <v>3.5201142914026429E-6</v>
      </c>
      <c r="AC153" s="15">
        <f t="shared" si="79"/>
        <v>-4.8091002310818309E-6</v>
      </c>
      <c r="AD153" s="15">
        <f t="shared" si="75"/>
        <v>3.7440125138778161E-12</v>
      </c>
      <c r="AE153" s="15">
        <f t="shared" si="80"/>
        <v>0</v>
      </c>
      <c r="AF153" s="15">
        <f t="shared" si="81"/>
        <v>-2.1775934010148656E-7</v>
      </c>
      <c r="AG153" s="15">
        <f t="shared" si="82"/>
        <v>2.9869024252560106E-7</v>
      </c>
      <c r="AH153" s="15">
        <f t="shared" si="76"/>
        <v>1.4402662312761022E-14</v>
      </c>
      <c r="AI153" s="15"/>
      <c r="AM153" s="16">
        <f t="shared" si="70"/>
        <v>16.032519398029024</v>
      </c>
      <c r="AN153" s="16">
        <f t="shared" si="71"/>
        <v>0.21740802206328366</v>
      </c>
      <c r="AO153" s="16">
        <f t="shared" si="72"/>
        <v>745.34742003720874</v>
      </c>
      <c r="AP153" s="6">
        <f t="shared" si="73"/>
        <v>2908.2197679702285</v>
      </c>
      <c r="AQ153" s="15">
        <f>-X153*V153*W153^(-Parameters!B$53)*Parameters!B$47*Parameters!B$46*M153</f>
        <v>-3.331840296444736E-6</v>
      </c>
      <c r="AR153" s="5">
        <f>1000*EXP(-(Parameters!$B$55)*'6states'!A153)*AP153*Parameters!B$47*Parameters!B$46*M153</f>
        <v>0.37740645437713161</v>
      </c>
      <c r="AS153" s="5">
        <f>SUM(AR153:AR$204)*EXP(Parameters!$B$55*A153)</f>
        <v>3752.4964855158137</v>
      </c>
      <c r="AT153" s="25">
        <f t="shared" si="83"/>
        <v>0.23691990788482098</v>
      </c>
      <c r="AU153">
        <f>(1/$S153-1/Parameters!$B$13) * LN(Parameters!$B$18) / LN(O153)</f>
        <v>0.19653641165026831</v>
      </c>
      <c r="AV153">
        <f>(Parameters!$B$18*'6states'!S153^+Parameters!$B$19*Parameters!$B$25^'6states'!S153)^((1-'6states'!S153)/'6states'!S153)*Parameters!$B$18*Parameters!$B$26^('6states'!S153-1)</f>
        <v>0.30821086373278422</v>
      </c>
      <c r="AW153">
        <f t="shared" si="84"/>
        <v>0.17547567178952383</v>
      </c>
      <c r="AX153">
        <f t="shared" si="85"/>
        <v>0.12735692855297442</v>
      </c>
      <c r="AY153">
        <f t="shared" si="86"/>
        <v>0.19235727575652017</v>
      </c>
      <c r="AZ153">
        <f>(1/$S153-1/Parameters!$B$13) * LN(Parameters!$B$18) / A153</f>
        <v>6.504405295581819E-3</v>
      </c>
    </row>
    <row r="154" spans="1:52" x14ac:dyDescent="0.35">
      <c r="A154">
        <f>A153+Parameters!$B$71</f>
        <v>150</v>
      </c>
      <c r="B154" s="7">
        <f t="shared" si="69"/>
        <v>-2.9568713141259393E-6</v>
      </c>
      <c r="C154" s="7">
        <f t="shared" si="87"/>
        <v>9.0949993792235756E-2</v>
      </c>
      <c r="D154" s="7">
        <f t="shared" si="88"/>
        <v>0.22597556464516125</v>
      </c>
      <c r="E154" s="5">
        <f>MAX((1-Parameters!$B$4)^Parameters!B$71*E153 + B153*Parameters!B$71 - IF(B153&gt;0,Parameters!$B$5,0)*B153^2/E153*Parameters!B$71, 0.0001)</f>
        <v>1E-4</v>
      </c>
      <c r="F154" s="5">
        <f>(1-Parameters!$B$4)^Parameters!B$71*F153+C153*Parameters!B$71-Parameters!$B$5*C153^2/F153*Parameters!B$71</f>
        <v>1.349488799078582</v>
      </c>
      <c r="G154" s="5">
        <f>(1-Parameters!$B$4)^Parameters!B$71*G153+D153*Parameters!B$71-Parameters!$B$5*D153^2/G153*Parameters!B$71</f>
        <v>3.3466746261107247</v>
      </c>
      <c r="H154" s="7">
        <f>MAX(H153 * (1-Parameters!$B$4) ^ Parameters!B$71 + (LN(1+EXP(Parameters!$B$21*(-B153+0.004)))/Parameters!$B$21 -0.004) * Parameters!B$71,0)</f>
        <v>7.3727548436484805E-3</v>
      </c>
      <c r="I154" s="16">
        <f>I153*(1+Parameters!$B$52)^Parameters!B$71</f>
        <v>12.598964597506585</v>
      </c>
      <c r="J154" s="16">
        <f>J153*(1+Parameters!$B$54)^Parameters!B$71</f>
        <v>176.52186710471963</v>
      </c>
      <c r="K154" s="16">
        <f>I154*J154*EXP(-Parameters!$B$43*'6states'!A154)*(Parameters!$B$38/Parameters!$B$39*('6states'!E154+'6states'!H154)/Parameters!$E$25*(EXP(-Parameters!$B$39*Parameters!$E$25*'6states'!H154/('6states'!E154+'6states'!H154))-EXP(-Parameters!$B$39*Parameters!$E$25))  +  Parameters!$B$40*'6states'!E154)</f>
        <v>3.8061150903440463E-2</v>
      </c>
      <c r="L154" s="6">
        <f>L153+K154*Parameters!B$71</f>
        <v>3349.6944098447584</v>
      </c>
      <c r="M154" s="5">
        <f>L154*Parameters!$B$46</f>
        <v>2.0098166459068549</v>
      </c>
      <c r="N154" s="7">
        <f>EXP(-Parameters!$B$47/2*M154^2)</f>
        <v>0.96021736560077742</v>
      </c>
      <c r="O154" s="6">
        <f>MAX((Parameters!$B$63 + Parameters!$B$31*'6states'!A154 - '6states'!L154 + Parameters!$B$48/Parameters!$B$46)/Parameters!B$63,1)</f>
        <v>139.60611180310482</v>
      </c>
      <c r="P154" s="5">
        <f>Parameters!B$62*EXP(-Parameters!B$61*A154)</f>
        <v>8.7111873197467573E-3</v>
      </c>
      <c r="Q154" s="5">
        <f>(1-Parameters!B$62)*O154^-Parameters!B$64</f>
        <v>0.30512624268195154</v>
      </c>
      <c r="R154" s="5">
        <f>Parameters!B$62*EXP(-Parameters!B$61*A154)+(1-Parameters!B$62)*O154^-Parameters!B$64</f>
        <v>0.31383743000169828</v>
      </c>
      <c r="S154" s="5">
        <f>1-R154/Parameters!$B$12</f>
        <v>0.84308128499915092</v>
      </c>
      <c r="T154" s="5">
        <f t="shared" si="74"/>
        <v>6.3727261594933973</v>
      </c>
      <c r="U154" s="5">
        <f>(Parameters!$B$19*(E154+Parameters!$B$20)^S154+Parameters!$B$18*F154^S154)^(1/S154)</f>
        <v>0.34293189233054888</v>
      </c>
      <c r="V154" s="5">
        <f>(Parameters!$B$10*G154^Parameters!$B$9+Parameters!$B$11*U154^Parameters!$B$9)^(Parameters!$B$7/Parameters!$B$9)*N154</f>
        <v>1.3377336673646547</v>
      </c>
      <c r="W154" s="5">
        <f>V154 - C154 - D154 - LN(1+EXP(Parameters!$B$21*B154))/Parameters!$B$21 - IF(B154&gt;0, 0,Parameters!$B$6*B154^2/E154)</f>
        <v>1.0190762818199619</v>
      </c>
      <c r="X154" s="5">
        <f>EXP(-Parameters!$B$56*A154)</f>
        <v>0.10383003454079688</v>
      </c>
      <c r="Y154" s="5">
        <f>IF(W154&gt;0,W154^(1-Parameters!$B$53)/(1-Parameters!$B$53)*X154*Parameters!$B$71,-10+W154*1000)</f>
        <v>-0.29470167976891848</v>
      </c>
      <c r="AA154" s="15">
        <f t="shared" si="77"/>
        <v>0</v>
      </c>
      <c r="AB154" s="15">
        <f t="shared" si="78"/>
        <v>3.3150219789362945E-6</v>
      </c>
      <c r="AC154" s="15">
        <f t="shared" si="79"/>
        <v>-4.5279122285191153E-6</v>
      </c>
      <c r="AD154" s="15">
        <f t="shared" si="75"/>
        <v>3.2697489830391439E-12</v>
      </c>
      <c r="AE154" s="15">
        <f t="shared" si="80"/>
        <v>0</v>
      </c>
      <c r="AF154" s="15">
        <f t="shared" si="81"/>
        <v>-2.050923124663484E-7</v>
      </c>
      <c r="AG154" s="15">
        <f t="shared" si="82"/>
        <v>2.8118800256271559E-7</v>
      </c>
      <c r="AH154" s="15">
        <f t="shared" si="76"/>
        <v>1.2576885299982523E-14</v>
      </c>
      <c r="AI154" s="15"/>
      <c r="AM154" s="16">
        <f t="shared" si="70"/>
        <v>16.396953351785537</v>
      </c>
      <c r="AN154" s="16">
        <f t="shared" si="71"/>
        <v>0.22239927543381249</v>
      </c>
      <c r="AO154" s="16">
        <f t="shared" si="72"/>
        <v>762.67804377460266</v>
      </c>
      <c r="AP154" s="6">
        <f t="shared" si="73"/>
        <v>2975.1099834531597</v>
      </c>
      <c r="AQ154" s="15">
        <f>-X154*V154*W154^(-Parameters!B$53)*Parameters!B$47*Parameters!B$46*M154</f>
        <v>-3.2818397108593021E-6</v>
      </c>
      <c r="AR154" s="5">
        <f>1000*EXP(-(Parameters!$B$55)*'6states'!A154)*AP154*Parameters!B$47*Parameters!B$46*M154</f>
        <v>0.37277461019484509</v>
      </c>
      <c r="AS154" s="5">
        <f>SUM(AR154:AR$204)*EXP(Parameters!$B$55*A154)</f>
        <v>3813.5400674528955</v>
      </c>
      <c r="AT154" s="25">
        <f t="shared" si="83"/>
        <v>0.23691008853086784</v>
      </c>
      <c r="AU154">
        <f>(1/$S154-1/Parameters!$B$13) * LN(Parameters!$B$18) / LN(O154)</f>
        <v>0.19631224999174687</v>
      </c>
      <c r="AV154">
        <f>(Parameters!$B$18*'6states'!S154^+Parameters!$B$19*Parameters!$B$25^'6states'!S154)^((1-'6states'!S154)/'6states'!S154)*Parameters!$B$18*Parameters!$B$26^('6states'!S154-1)</f>
        <v>0.30823645766907876</v>
      </c>
      <c r="AW154">
        <f t="shared" si="84"/>
        <v>0.17522085426176867</v>
      </c>
      <c r="AX154">
        <f t="shared" si="85"/>
        <v>0.12722132933739028</v>
      </c>
      <c r="AY154">
        <f t="shared" si="86"/>
        <v>0.1923716035059716</v>
      </c>
      <c r="AZ154">
        <f>(1/$S154-1/Parameters!$B$13) * LN(Parameters!$B$18) / A154</f>
        <v>6.4636789480953015E-3</v>
      </c>
    </row>
    <row r="155" spans="1:52" x14ac:dyDescent="0.35">
      <c r="A155">
        <f>A154+Parameters!$B$71</f>
        <v>151</v>
      </c>
      <c r="B155" s="7">
        <f t="shared" si="69"/>
        <v>-2.9568713141259393E-6</v>
      </c>
      <c r="C155" s="7">
        <f t="shared" si="87"/>
        <v>9.0949993792235756E-2</v>
      </c>
      <c r="D155" s="7">
        <f t="shared" si="88"/>
        <v>0.22597556464516125</v>
      </c>
      <c r="E155" s="5">
        <f>MAX((1-Parameters!$B$4)^Parameters!B$71*E154 + B154*Parameters!B$71 - IF(B154&gt;0,Parameters!$B$5,0)*B154^2/E154*Parameters!B$71, 0.0001)</f>
        <v>1E-4</v>
      </c>
      <c r="F155" s="5">
        <f>(1-Parameters!$B$4)^Parameters!B$71*F154+C154*Parameters!B$71-Parameters!$B$5*C154^2/F154*Parameters!B$71</f>
        <v>1.3494262919596482</v>
      </c>
      <c r="G155" s="5">
        <f>(1-Parameters!$B$4)^Parameters!B$71*G154+D154*Parameters!B$71-Parameters!$B$5*D154^2/G154*Parameters!B$71</f>
        <v>3.3468859401296416</v>
      </c>
      <c r="H155" s="7">
        <f>MAX(H154 * (1-Parameters!$B$4) ^ Parameters!B$71 + (LN(1+EXP(Parameters!$B$21*(-B154+0.004)))/Parameters!$B$21 -0.004) * Parameters!B$71,0)</f>
        <v>7.3712208318291155E-3</v>
      </c>
      <c r="I155" s="16">
        <f>I154*(1+Parameters!$B$52)^Parameters!B$71</f>
        <v>12.635501594839353</v>
      </c>
      <c r="J155" s="16">
        <f>J154*(1+Parameters!$B$54)^Parameters!B$71</f>
        <v>180.05230444681402</v>
      </c>
      <c r="K155" s="16">
        <f>I155*J155*EXP(-Parameters!$B$43*'6states'!A155)*(Parameters!$B$38/Parameters!$B$39*('6states'!E155+'6states'!H155)/Parameters!$E$25*(EXP(-Parameters!$B$39*Parameters!$E$25*'6states'!H155/('6states'!E155+'6states'!H155))-EXP(-Parameters!$B$39*Parameters!$E$25))  +  Parameters!$B$40*'6states'!E155)</f>
        <v>3.8547549492793834E-2</v>
      </c>
      <c r="L155" s="6">
        <f>L154+K155*Parameters!B$71</f>
        <v>3349.7329573942511</v>
      </c>
      <c r="M155" s="5">
        <f>L155*Parameters!$B$46</f>
        <v>2.0098397744365504</v>
      </c>
      <c r="N155" s="7">
        <f>EXP(-Parameters!$B$47/2*M155^2)</f>
        <v>0.96021646843567277</v>
      </c>
      <c r="O155" s="6">
        <f>MAX((Parameters!$B$63 + Parameters!$B$31*'6states'!A155 - '6states'!L155 + Parameters!$B$48/Parameters!$B$46)/Parameters!B$63,1)</f>
        <v>140.66934085211497</v>
      </c>
      <c r="P155" s="5">
        <f>Parameters!B$62*EXP(-Parameters!B$61*A155)</f>
        <v>8.4791321046997631E-3</v>
      </c>
      <c r="Q155" s="5">
        <f>(1-Parameters!B$62)*O155^-Parameters!B$64</f>
        <v>0.30489482919277933</v>
      </c>
      <c r="R155" s="5">
        <f>Parameters!B$62*EXP(-Parameters!B$61*A155)+(1-Parameters!B$62)*O155^-Parameters!B$64</f>
        <v>0.31337396129747908</v>
      </c>
      <c r="S155" s="5">
        <f>1-R155/Parameters!$B$12</f>
        <v>0.84331301935126046</v>
      </c>
      <c r="T155" s="5">
        <f t="shared" si="74"/>
        <v>6.3821511899689822</v>
      </c>
      <c r="U155" s="5">
        <f>(Parameters!$B$19*(E155+Parameters!$B$20)^S155+Parameters!$B$18*F155^S155)^(1/S155)</f>
        <v>0.34302924842086802</v>
      </c>
      <c r="V155" s="5">
        <f>(Parameters!$B$10*G155^Parameters!$B$9+Parameters!$B$11*U155^Parameters!$B$9)^(Parameters!$B$7/Parameters!$B$9)*N155</f>
        <v>1.3377875980656377</v>
      </c>
      <c r="W155" s="5">
        <f>V155 - C155 - D155 - LN(1+EXP(Parameters!$B$21*B155))/Parameters!$B$21 - IF(B155&gt;0, 0,Parameters!$B$6*B155^2/E155)</f>
        <v>1.0191302125209449</v>
      </c>
      <c r="X155" s="5">
        <f>EXP(-Parameters!$B$56*A155)</f>
        <v>0.10227397880626984</v>
      </c>
      <c r="Y155" s="5">
        <f>IF(W155&gt;0,W155^(1-Parameters!$B$53)/(1-Parameters!$B$53)*X155*Parameters!$B$71,-10+W155*1000)</f>
        <v>-0.29027973681175873</v>
      </c>
      <c r="AA155" s="15">
        <f t="shared" si="77"/>
        <v>0</v>
      </c>
      <c r="AB155" s="15">
        <f t="shared" si="78"/>
        <v>3.1218620176187706E-6</v>
      </c>
      <c r="AC155" s="15">
        <f t="shared" si="79"/>
        <v>-4.263196856063578E-6</v>
      </c>
      <c r="AD155" s="15">
        <f t="shared" si="75"/>
        <v>2.8555784554439565E-12</v>
      </c>
      <c r="AE155" s="15">
        <f t="shared" si="80"/>
        <v>0</v>
      </c>
      <c r="AF155" s="15">
        <f t="shared" si="81"/>
        <v>-1.9315996131752389E-7</v>
      </c>
      <c r="AG155" s="15">
        <f t="shared" si="82"/>
        <v>2.6471537245553733E-7</v>
      </c>
      <c r="AH155" s="15">
        <f t="shared" si="76"/>
        <v>1.0982691119043655E-14</v>
      </c>
      <c r="AI155" s="15"/>
      <c r="AM155" s="16">
        <f t="shared" si="70"/>
        <v>16.769904651436057</v>
      </c>
      <c r="AN155" s="16">
        <f t="shared" si="71"/>
        <v>0.22750511799922193</v>
      </c>
      <c r="AO155" s="16">
        <f t="shared" si="72"/>
        <v>780.40909639173981</v>
      </c>
      <c r="AP155" s="6">
        <f t="shared" si="73"/>
        <v>3043.535253558186</v>
      </c>
      <c r="AQ155" s="15">
        <f>-X155*V155*W155^(-Parameters!B$53)*Parameters!B$47*Parameters!B$46*M155</f>
        <v>-3.2325927778011002E-6</v>
      </c>
      <c r="AR155" s="5">
        <f>1000*EXP(-(Parameters!$B$55)*'6states'!A155)*AP155*Parameters!B$47*Parameters!B$46*M155</f>
        <v>0.36819924823915379</v>
      </c>
      <c r="AS155" s="5">
        <f>SUM(AR155:AR$204)*EXP(Parameters!$B$55*A155)</f>
        <v>3875.0842669571553</v>
      </c>
      <c r="AT155" s="25">
        <f t="shared" si="83"/>
        <v>0.23690053789131724</v>
      </c>
      <c r="AU155">
        <f>(1/$S155-1/Parameters!$B$13) * LN(Parameters!$B$18) / LN(O155)</f>
        <v>0.19608963339451693</v>
      </c>
      <c r="AV155">
        <f>(Parameters!$B$18*'6states'!S155^+Parameters!$B$19*Parameters!$B$25^'6states'!S155)^((1-'6states'!S155)/'6states'!S155)*Parameters!$B$18*Parameters!$B$26^('6states'!S155-1)</f>
        <v>0.30826148851858037</v>
      </c>
      <c r="AW155">
        <f t="shared" si="84"/>
        <v>0.17496850795719876</v>
      </c>
      <c r="AX155">
        <f t="shared" si="85"/>
        <v>0.12708664390248425</v>
      </c>
      <c r="AY155">
        <f t="shared" si="86"/>
        <v>0.19238561578777946</v>
      </c>
      <c r="AZ155">
        <f>(1/$S155-1/Parameters!$B$13) * LN(Parameters!$B$18) / A155</f>
        <v>6.4234445215521378E-3</v>
      </c>
    </row>
    <row r="156" spans="1:52" x14ac:dyDescent="0.35">
      <c r="A156">
        <f>A155+Parameters!$B$71</f>
        <v>152</v>
      </c>
      <c r="B156" s="7">
        <f t="shared" si="69"/>
        <v>-2.9568713141259393E-6</v>
      </c>
      <c r="C156" s="7">
        <f t="shared" si="87"/>
        <v>9.0949993792235756E-2</v>
      </c>
      <c r="D156" s="7">
        <f t="shared" si="88"/>
        <v>0.22597556464516125</v>
      </c>
      <c r="E156" s="5">
        <f>MAX((1-Parameters!$B$4)^Parameters!B$71*E155 + B155*Parameters!B$71 - IF(B155&gt;0,Parameters!$B$5,0)*B155^2/E155*Parameters!B$71, 0.0001)</f>
        <v>1E-4</v>
      </c>
      <c r="F156" s="5">
        <f>(1-Parameters!$B$4)^Parameters!B$71*F155+C155*Parameters!B$71-Parameters!$B$5*C155^2/F155*Parameters!B$71</f>
        <v>1.3493674326051641</v>
      </c>
      <c r="G156" s="5">
        <f>(1-Parameters!$B$4)^Parameters!B$71*G155+D155*Parameters!B$71-Parameters!$B$5*D155^2/G155*Parameters!B$71</f>
        <v>3.3470849258750852</v>
      </c>
      <c r="H156" s="7">
        <f>MAX(H155 * (1-Parameters!$B$4) ^ Parameters!B$71 + (LN(1+EXP(Parameters!$B$21*(-B155+0.004)))/Parameters!$B$21 -0.004) * Parameters!B$71,0)</f>
        <v>7.3697833093531884E-3</v>
      </c>
      <c r="I156" s="16">
        <f>I155*(1+Parameters!$B$52)^Parameters!B$71</f>
        <v>12.672144549464386</v>
      </c>
      <c r="J156" s="16">
        <f>J155*(1+Parameters!$B$54)^Parameters!B$71</f>
        <v>183.65335053575029</v>
      </c>
      <c r="K156" s="16">
        <f>I156*J156*EXP(-Parameters!$B$43*'6states'!A156)*(Parameters!$B$38/Parameters!$B$39*('6states'!E156+'6states'!H156)/Parameters!$E$25*(EXP(-Parameters!$B$39*Parameters!$E$25*'6states'!H156/('6states'!E156+'6states'!H156))-EXP(-Parameters!$B$39*Parameters!$E$25))  +  Parameters!$B$40*'6states'!E156)</f>
        <v>3.9040163963225655E-2</v>
      </c>
      <c r="L156" s="6">
        <f>L155+K156*Parameters!B$71</f>
        <v>3349.7719975582145</v>
      </c>
      <c r="M156" s="5">
        <f>L156*Parameters!$B$46</f>
        <v>2.0098631985349287</v>
      </c>
      <c r="N156" s="7">
        <f>EXP(-Parameters!$B$47/2*M156^2)</f>
        <v>0.96021555979566964</v>
      </c>
      <c r="O156" s="6">
        <f>MAX((Parameters!$B$63 + Parameters!$B$31*'6states'!A156 - '6states'!L156 + Parameters!$B$48/Parameters!$B$46)/Parameters!B$63,1)</f>
        <v>141.73256004883572</v>
      </c>
      <c r="P156" s="5">
        <f>Parameters!B$62*EXP(-Parameters!B$61*A156)</f>
        <v>8.2532585524794227E-3</v>
      </c>
      <c r="Q156" s="5">
        <f>(1-Parameters!B$62)*O156^-Parameters!B$64</f>
        <v>0.30466533388965056</v>
      </c>
      <c r="R156" s="5">
        <f>Parameters!B$62*EXP(-Parameters!B$61*A156)+(1-Parameters!B$62)*O156^-Parameters!B$64</f>
        <v>0.31291859244212999</v>
      </c>
      <c r="S156" s="5">
        <f>1-R156/Parameters!$B$12</f>
        <v>0.84354070377893497</v>
      </c>
      <c r="T156" s="5">
        <f t="shared" si="74"/>
        <v>6.3914386946179054</v>
      </c>
      <c r="U156" s="5">
        <f>(Parameters!$B$19*(E156+Parameters!$B$20)^S156+Parameters!$B$18*F156^S156)^(1/S156)</f>
        <v>0.34312551196218793</v>
      </c>
      <c r="V156" s="5">
        <f>(Parameters!$B$10*G156^Parameters!$B$9+Parameters!$B$11*U156^Parameters!$B$9)^(Parameters!$B$7/Parameters!$B$9)*N156</f>
        <v>1.337840074682433</v>
      </c>
      <c r="W156" s="5">
        <f>V156 - C156 - D156 - LN(1+EXP(Parameters!$B$21*B156))/Parameters!$B$21 - IF(B156&gt;0, 0,Parameters!$B$6*B156^2/E156)</f>
        <v>1.0191826891377402</v>
      </c>
      <c r="X156" s="5">
        <f>EXP(-Parameters!$B$56*A156)</f>
        <v>0.10074124300474355</v>
      </c>
      <c r="Y156" s="5">
        <f>IF(W156&gt;0,W156^(1-Parameters!$B$53)/(1-Parameters!$B$53)*X156*Parameters!$B$71,-10+W156*1000)</f>
        <v>-0.28592428732874825</v>
      </c>
      <c r="AA156" s="15">
        <f t="shared" si="77"/>
        <v>0</v>
      </c>
      <c r="AB156" s="15">
        <f t="shared" si="78"/>
        <v>2.9399420965331435E-6</v>
      </c>
      <c r="AC156" s="15">
        <f t="shared" si="79"/>
        <v>-4.0139855303905625E-6</v>
      </c>
      <c r="AD156" s="15">
        <f t="shared" si="75"/>
        <v>2.4938836590526868E-12</v>
      </c>
      <c r="AE156" s="15">
        <f t="shared" si="80"/>
        <v>0</v>
      </c>
      <c r="AF156" s="15">
        <f t="shared" si="81"/>
        <v>-1.8191992108562705E-7</v>
      </c>
      <c r="AG156" s="15">
        <f t="shared" si="82"/>
        <v>2.4921132567301552E-7</v>
      </c>
      <c r="AH156" s="15">
        <f t="shared" si="76"/>
        <v>9.5906814340953276E-15</v>
      </c>
      <c r="AI156" s="15"/>
      <c r="AM156" s="16">
        <f t="shared" si="70"/>
        <v>17.151562602521246</v>
      </c>
      <c r="AN156" s="16">
        <f t="shared" si="71"/>
        <v>0.23272818049824803</v>
      </c>
      <c r="AO156" s="16">
        <f t="shared" ref="AO156:AO204" si="89">U156*I156*J156</f>
        <v>798.54976081489838</v>
      </c>
      <c r="AP156" s="6">
        <f t="shared" si="73"/>
        <v>3113.5308637848289</v>
      </c>
      <c r="AQ156" s="15">
        <f>-X156*V156*W156^(-Parameters!B$53)*Parameters!B$47*Parameters!B$46*M156</f>
        <v>-3.1840879856135967E-6</v>
      </c>
      <c r="AR156" s="5">
        <f>1000*EXP(-(Parameters!$B$55)*'6states'!A156)*AP156*Parameters!B$47*Parameters!B$46*M156</f>
        <v>0.36367970093629282</v>
      </c>
      <c r="AS156" s="5">
        <f>SUM(AR156:AR$204)*EXP(Parameters!$B$55*A156)</f>
        <v>3937.1083816192686</v>
      </c>
      <c r="AT156" s="25">
        <f t="shared" si="83"/>
        <v>0.23689124549607449</v>
      </c>
      <c r="AU156">
        <f>(1/$S156-1/Parameters!$B$13) * LN(Parameters!$B$18) / LN(O156)</f>
        <v>0.19586854850613666</v>
      </c>
      <c r="AV156">
        <f>(Parameters!$B$18*'6states'!S156^+Parameters!$B$19*Parameters!$B$25^'6states'!S156)^((1-'6states'!S156)/'6states'!S156)*Parameters!$B$18*Parameters!$B$26^('6states'!S156-1)</f>
        <v>0.30828597309630523</v>
      </c>
      <c r="AW156">
        <f t="shared" si="84"/>
        <v>0.17471859291384059</v>
      </c>
      <c r="AX156">
        <f t="shared" si="85"/>
        <v>0.12695286459754318</v>
      </c>
      <c r="AY156">
        <f t="shared" si="86"/>
        <v>0.19239932203116783</v>
      </c>
      <c r="AZ156">
        <f>(1/$S156-1/Parameters!$B$13) * LN(Parameters!$B$18) / A156</f>
        <v>6.3836934848926887E-3</v>
      </c>
    </row>
    <row r="157" spans="1:52" x14ac:dyDescent="0.35">
      <c r="A157">
        <f>A156+Parameters!$B$71</f>
        <v>153</v>
      </c>
      <c r="B157" s="7">
        <f t="shared" si="69"/>
        <v>-2.9568713141259393E-6</v>
      </c>
      <c r="C157" s="7">
        <f t="shared" si="87"/>
        <v>9.0949993792235756E-2</v>
      </c>
      <c r="D157" s="7">
        <f t="shared" si="88"/>
        <v>0.22597556464516125</v>
      </c>
      <c r="E157" s="5">
        <f>MAX((1-Parameters!$B$4)^Parameters!B$71*E156 + B156*Parameters!B$71 - IF(B156&gt;0,Parameters!$B$5,0)*B156^2/E156*Parameters!B$71, 0.0001)</f>
        <v>1E-4</v>
      </c>
      <c r="F157" s="5">
        <f>(1-Parameters!$B$4)^Parameters!B$71*F156+C156*Parameters!B$71-Parameters!$B$5*C156^2/F156*Parameters!B$71</f>
        <v>1.3493120081163616</v>
      </c>
      <c r="G157" s="5">
        <f>(1-Parameters!$B$4)^Parameters!B$71*G156+D156*Parameters!B$71-Parameters!$B$5*D156^2/G156*Parameters!B$71</f>
        <v>3.3472723024797872</v>
      </c>
      <c r="H157" s="7">
        <f>MAX(H156 * (1-Parameters!$B$4) ^ Parameters!B$71 + (LN(1+EXP(Parameters!$B$21*(-B156+0.004)))/Parameters!$B$21 -0.004) * Parameters!B$71,0)</f>
        <v>7.3684362070409971E-3</v>
      </c>
      <c r="I157" s="16">
        <f>I156*(1+Parameters!$B$52)^Parameters!B$71</f>
        <v>12.708893768657832</v>
      </c>
      <c r="J157" s="16">
        <f>J156*(1+Parameters!$B$54)^Parameters!B$71</f>
        <v>187.32641754646531</v>
      </c>
      <c r="K157" s="16">
        <f>I157*J157*EXP(-Parameters!$B$43*'6states'!A157)*(Parameters!$B$38/Parameters!$B$39*('6states'!E157+'6states'!H157)/Parameters!$E$25*(EXP(-Parameters!$B$39*Parameters!$E$25*'6states'!H157/('6states'!E157+'6states'!H157))-EXP(-Parameters!$B$39*Parameters!$E$25))  +  Parameters!$B$40*'6states'!E157)</f>
        <v>3.9539073749953121E-2</v>
      </c>
      <c r="L157" s="6">
        <f>L156+K157*Parameters!B$71</f>
        <v>3349.8115366319644</v>
      </c>
      <c r="M157" s="5">
        <f>L157*Parameters!$B$46</f>
        <v>2.0098869219791786</v>
      </c>
      <c r="N157" s="7">
        <f>EXP(-Parameters!$B$47/2*M157^2)</f>
        <v>0.96021463953387698</v>
      </c>
      <c r="O157" s="6">
        <f>MAX((Parameters!$B$63 + Parameters!$B$31*'6states'!A157 - '6states'!L157 + Parameters!$B$48/Parameters!$B$46)/Parameters!B$63,1)</f>
        <v>142.79576926736073</v>
      </c>
      <c r="P157" s="5">
        <f>Parameters!B$62*EXP(-Parameters!B$61*A157)</f>
        <v>8.0334019912627203E-3</v>
      </c>
      <c r="Q157" s="5">
        <f>(1-Parameters!B$62)*O157^-Parameters!B$64</f>
        <v>0.30443772668628583</v>
      </c>
      <c r="R157" s="5">
        <f>Parameters!B$62*EXP(-Parameters!B$61*A157)+(1-Parameters!B$62)*O157^-Parameters!B$64</f>
        <v>0.31247112867754856</v>
      </c>
      <c r="S157" s="5">
        <f>1-R157/Parameters!$B$12</f>
        <v>0.84376443566122572</v>
      </c>
      <c r="T157" s="5">
        <f t="shared" si="74"/>
        <v>6.4005913393165992</v>
      </c>
      <c r="U157" s="5">
        <f>(Parameters!$B$19*(E157+Parameters!$B$20)^S157+Parameters!$B$18*F157^S157)^(1/S157)</f>
        <v>0.34322067965898717</v>
      </c>
      <c r="V157" s="5">
        <f>(Parameters!$B$10*G157^Parameters!$B$9+Parameters!$B$11*U157^Parameters!$B$9)^(Parameters!$B$7/Parameters!$B$9)*N157</f>
        <v>1.3378911532132396</v>
      </c>
      <c r="W157" s="5">
        <f>V157 - C157 - D157 - LN(1+EXP(Parameters!$B$21*B157))/Parameters!$B$21 - IF(B157&gt;0, 0,Parameters!$B$6*B157^2/E157)</f>
        <v>1.0192337676685468</v>
      </c>
      <c r="X157" s="5">
        <f>EXP(-Parameters!$B$56*A157)</f>
        <v>9.9231477650487412E-2</v>
      </c>
      <c r="Y157" s="5">
        <f>IF(W157&gt;0,W157^(1-Parameters!$B$53)/(1-Parameters!$B$53)*X157*Parameters!$B$71,-10+W157*1000)</f>
        <v>-0.2816343238675813</v>
      </c>
      <c r="AA157" s="15">
        <f t="shared" si="77"/>
        <v>0</v>
      </c>
      <c r="AB157" s="15">
        <f t="shared" si="78"/>
        <v>2.768609855013926E-6</v>
      </c>
      <c r="AC157" s="15">
        <f t="shared" si="79"/>
        <v>-3.7793670260161116E-6</v>
      </c>
      <c r="AD157" s="15">
        <f t="shared" si="75"/>
        <v>2.1780134092920525E-12</v>
      </c>
      <c r="AE157" s="15">
        <f t="shared" si="80"/>
        <v>0</v>
      </c>
      <c r="AF157" s="15">
        <f t="shared" si="81"/>
        <v>-1.7133224151921755E-7</v>
      </c>
      <c r="AG157" s="15">
        <f t="shared" si="82"/>
        <v>2.3461850437445086E-7</v>
      </c>
      <c r="AH157" s="15">
        <f t="shared" si="76"/>
        <v>8.3751942261721696E-15</v>
      </c>
      <c r="AI157" s="15"/>
      <c r="AM157" s="16">
        <f t="shared" si="70"/>
        <v>17.542121114728843</v>
      </c>
      <c r="AN157" s="16">
        <f t="shared" si="71"/>
        <v>0.23807115406612683</v>
      </c>
      <c r="AO157" s="16">
        <f t="shared" si="89"/>
        <v>817.10943305775493</v>
      </c>
      <c r="AP157" s="6">
        <f t="shared" si="73"/>
        <v>3185.132908603372</v>
      </c>
      <c r="AQ157" s="15">
        <f>-X157*V157*W157^(-Parameters!B$53)*Parameters!B$47*Parameters!B$46*M157</f>
        <v>-3.1363140073758874E-6</v>
      </c>
      <c r="AR157" s="5">
        <f>1000*EXP(-(Parameters!$B$55)*'6states'!A157)*AP157*Parameters!B$47*Parameters!B$46*M157</f>
        <v>0.35921530738956148</v>
      </c>
      <c r="AS157" s="5">
        <f>SUM(AR157:AR$204)*EXP(Parameters!$B$55*A157)</f>
        <v>3999.5900814113088</v>
      </c>
      <c r="AT157" s="25">
        <f t="shared" si="83"/>
        <v>0.23688220136961338</v>
      </c>
      <c r="AU157">
        <f>(1/$S157-1/Parameters!$B$13) * LN(Parameters!$B$18) / LN(O157)</f>
        <v>0.19564898209446949</v>
      </c>
      <c r="AV157">
        <f>(Parameters!$B$18*'6states'!S157^+Parameters!$B$19*Parameters!$B$25^'6states'!S157)^((1-'6states'!S157)/'6states'!S157)*Parameters!$B$18*Parameters!$B$26^('6states'!S157-1)</f>
        <v>0.30830992763649162</v>
      </c>
      <c r="AW157">
        <f t="shared" si="84"/>
        <v>0.17447107006317877</v>
      </c>
      <c r="AX157">
        <f t="shared" si="85"/>
        <v>0.1268199838368772</v>
      </c>
      <c r="AY157">
        <f t="shared" si="86"/>
        <v>0.19241273133926096</v>
      </c>
      <c r="AZ157">
        <f>(1/$S157-1/Parameters!$B$13) * LN(Parameters!$B$18) / A157</f>
        <v>6.3444174977611012E-3</v>
      </c>
    </row>
    <row r="158" spans="1:52" x14ac:dyDescent="0.35">
      <c r="A158">
        <f>A157+Parameters!$B$71</f>
        <v>154</v>
      </c>
      <c r="B158" s="7">
        <f t="shared" si="69"/>
        <v>-2.9568713141259393E-6</v>
      </c>
      <c r="C158" s="7">
        <f t="shared" si="87"/>
        <v>9.0949993792235756E-2</v>
      </c>
      <c r="D158" s="7">
        <f t="shared" si="88"/>
        <v>0.22597556464516125</v>
      </c>
      <c r="E158" s="5">
        <f>MAX((1-Parameters!$B$4)^Parameters!B$71*E157 + B157*Parameters!B$71 - IF(B157&gt;0,Parameters!$B$5,0)*B157^2/E157*Parameters!B$71, 0.0001)</f>
        <v>1E-4</v>
      </c>
      <c r="F158" s="5">
        <f>(1-Parameters!$B$4)^Parameters!B$71*F157+C157*Parameters!B$71-Parameters!$B$5*C157^2/F157*Parameters!B$71</f>
        <v>1.3492598180228557</v>
      </c>
      <c r="G158" s="5">
        <f>(1-Parameters!$B$4)^Parameters!B$71*G157+D157*Parameters!B$71-Parameters!$B$5*D157^2/G157*Parameters!B$71</f>
        <v>3.3474487471406511</v>
      </c>
      <c r="H158" s="7">
        <f>MAX(H157 * (1-Parameters!$B$4) ^ Parameters!B$71 + (LN(1+EXP(Parameters!$B$21*(-B157+0.004)))/Parameters!$B$21 -0.004) * Parameters!B$71,0)</f>
        <v>7.3671738374642423E-3</v>
      </c>
      <c r="I158" s="16">
        <f>I157*(1+Parameters!$B$52)^Parameters!B$71</f>
        <v>12.745749560586939</v>
      </c>
      <c r="J158" s="16">
        <f>J157*(1+Parameters!$B$54)^Parameters!B$71</f>
        <v>191.07294589739462</v>
      </c>
      <c r="K158" s="16">
        <f>I158*J158*EXP(-Parameters!$B$43*'6states'!A158)*(Parameters!$B$38/Parameters!$B$39*('6states'!E158+'6states'!H158)/Parameters!$E$25*(EXP(-Parameters!$B$39*Parameters!$E$25*'6states'!H158/('6states'!E158+'6states'!H158))-EXP(-Parameters!$B$39*Parameters!$E$25))  +  Parameters!$B$40*'6states'!E158)</f>
        <v>4.0044359303327635E-2</v>
      </c>
      <c r="L158" s="6">
        <f>L157+K158*Parameters!B$71</f>
        <v>3349.8515809912678</v>
      </c>
      <c r="M158" s="5">
        <f>L158*Parameters!$B$46</f>
        <v>2.0099109485947606</v>
      </c>
      <c r="N158" s="7">
        <f>EXP(-Parameters!$B$47/2*M158^2)</f>
        <v>0.96021370750152046</v>
      </c>
      <c r="O158" s="6">
        <f>MAX((Parameters!$B$63 + Parameters!$B$31*'6states'!A158 - '6states'!L158 + Parameters!$B$48/Parameters!$B$46)/Parameters!B$63,1)</f>
        <v>143.85896838017467</v>
      </c>
      <c r="P158" s="5">
        <f>Parameters!B$62*EXP(-Parameters!B$61*A158)</f>
        <v>7.8194021358795589E-3</v>
      </c>
      <c r="Q158" s="5">
        <f>(1-Parameters!B$62)*O158^-Parameters!B$64</f>
        <v>0.30421197818853951</v>
      </c>
      <c r="R158" s="5">
        <f>Parameters!B$62*EXP(-Parameters!B$61*A158)+(1-Parameters!B$62)*O158^-Parameters!B$64</f>
        <v>0.31203138032441907</v>
      </c>
      <c r="S158" s="5">
        <f>1-R158/Parameters!$B$12</f>
        <v>0.84398430983779049</v>
      </c>
      <c r="T158" s="5">
        <f t="shared" si="74"/>
        <v>6.4096117445642813</v>
      </c>
      <c r="U158" s="5">
        <f>(Parameters!$B$19*(E158+Parameters!$B$20)^S158+Parameters!$B$18*F158^S158)^(1/S158)</f>
        <v>0.34331474989961341</v>
      </c>
      <c r="V158" s="5">
        <f>(Parameters!$B$10*G158^Parameters!$B$9+Parameters!$B$11*U158^Parameters!$B$9)^(Parameters!$B$7/Parameters!$B$9)*N158</f>
        <v>1.3379408870352507</v>
      </c>
      <c r="W158" s="5">
        <f>V158 - C158 - D158 - LN(1+EXP(Parameters!$B$21*B158))/Parameters!$B$21 - IF(B158&gt;0, 0,Parameters!$B$6*B158^2/E158)</f>
        <v>1.0192835014905579</v>
      </c>
      <c r="X158" s="5">
        <f>EXP(-Parameters!$B$56*A158)</f>
        <v>9.7744338495362112E-2</v>
      </c>
      <c r="Y158" s="5">
        <f>IF(W158&gt;0,W158^(1-Parameters!$B$53)/(1-Parameters!$B$53)*X158*Parameters!$B$71,-10+W158*1000)</f>
        <v>-0.27740885468544302</v>
      </c>
      <c r="AA158" s="15">
        <f t="shared" si="77"/>
        <v>0</v>
      </c>
      <c r="AB158" s="15">
        <f t="shared" si="78"/>
        <v>2.6072506020963226E-6</v>
      </c>
      <c r="AC158" s="15">
        <f t="shared" si="79"/>
        <v>-3.5584840326896572E-6</v>
      </c>
      <c r="AD158" s="15">
        <f t="shared" si="75"/>
        <v>1.9021599855244367E-12</v>
      </c>
      <c r="AE158" s="15">
        <f t="shared" si="80"/>
        <v>0</v>
      </c>
      <c r="AF158" s="15">
        <f t="shared" si="81"/>
        <v>-1.6135925291760334E-7</v>
      </c>
      <c r="AG158" s="15">
        <f t="shared" si="82"/>
        <v>2.2088299332645445E-7</v>
      </c>
      <c r="AH158" s="15">
        <f t="shared" si="76"/>
        <v>7.3138281591595834E-15</v>
      </c>
      <c r="AI158" s="15"/>
      <c r="AM158" s="16">
        <f t="shared" si="70"/>
        <v>17.941778796915155</v>
      </c>
      <c r="AN158" s="16">
        <f t="shared" si="71"/>
        <v>0.24353679162117695</v>
      </c>
      <c r="AO158" s="16">
        <f t="shared" si="89"/>
        <v>836.0977270677862</v>
      </c>
      <c r="AP158" s="6">
        <f t="shared" si="73"/>
        <v>3258.378310073565</v>
      </c>
      <c r="AQ158" s="15">
        <f>-X158*V158*W158^(-Parameters!B$53)*Parameters!B$47*Parameters!B$46*M158</f>
        <v>-3.0892596973789257E-6</v>
      </c>
      <c r="AR158" s="5">
        <f>1000*EXP(-(Parameters!$B$55)*'6states'!A158)*AP158*Parameters!B$47*Parameters!B$46*M158</f>
        <v>0.3548054133897926</v>
      </c>
      <c r="AS158" s="5">
        <f>SUM(AR158:AR$204)*EXP(Parameters!$B$55*A158)</f>
        <v>4062.505330142922</v>
      </c>
      <c r="AT158" s="25">
        <f t="shared" si="83"/>
        <v>0.23687339600507545</v>
      </c>
      <c r="AU158">
        <f>(1/$S158-1/Parameters!$B$13) * LN(Parameters!$B$18) / LN(O158)</f>
        <v>0.19543092104502571</v>
      </c>
      <c r="AV158">
        <f>(Parameters!$B$18*'6states'!S158^+Parameters!$B$19*Parameters!$B$25^'6states'!S158)^((1-'6states'!S158)/'6states'!S158)*Parameters!$B$18*Parameters!$B$26^('6states'!S158-1)</f>
        <v>0.30833336781511</v>
      </c>
      <c r="AW158">
        <f t="shared" si="84"/>
        <v>0.17422590120445527</v>
      </c>
      <c r="AX158">
        <f t="shared" si="85"/>
        <v>0.12668799409834686</v>
      </c>
      <c r="AY158">
        <f t="shared" si="86"/>
        <v>0.19242585250174449</v>
      </c>
      <c r="AZ158">
        <f>(1/$S158-1/Parameters!$B$13) * LN(Parameters!$B$18) / A158</f>
        <v>6.3056084052703649E-3</v>
      </c>
    </row>
    <row r="159" spans="1:52" x14ac:dyDescent="0.35">
      <c r="A159">
        <f>A158+Parameters!$B$71</f>
        <v>155</v>
      </c>
      <c r="B159" s="7">
        <f t="shared" si="69"/>
        <v>-2.9568713141259393E-6</v>
      </c>
      <c r="C159" s="7">
        <f t="shared" si="87"/>
        <v>9.0949993792235756E-2</v>
      </c>
      <c r="D159" s="7">
        <f t="shared" si="88"/>
        <v>0.22597556464516125</v>
      </c>
      <c r="E159" s="5">
        <f>MAX((1-Parameters!$B$4)^Parameters!B$71*E158 + B158*Parameters!B$71 - IF(B158&gt;0,Parameters!$B$5,0)*B158^2/E158*Parameters!B$71, 0.0001)</f>
        <v>1E-4</v>
      </c>
      <c r="F159" s="5">
        <f>(1-Parameters!$B$4)^Parameters!B$71*F158+C158*Parameters!B$71-Parameters!$B$5*C158^2/F158*Parameters!B$71</f>
        <v>1.3492106735568052</v>
      </c>
      <c r="G159" s="5">
        <f>(1-Parameters!$B$4)^Parameters!B$71*G158+D158*Parameters!B$71-Parameters!$B$5*D158^2/G158*Parameters!B$71</f>
        <v>3.3476148975627851</v>
      </c>
      <c r="H159" s="7">
        <f>MAX(H158 * (1-Parameters!$B$4) ^ Parameters!B$71 + (LN(1+EXP(Parameters!$B$21*(-B158+0.004)))/Parameters!$B$21 -0.004) * Parameters!B$71,0)</f>
        <v>7.365990870933866E-3</v>
      </c>
      <c r="I159" s="16">
        <f>I158*(1+Parameters!$B$52)^Parameters!B$71</f>
        <v>12.782712234312639</v>
      </c>
      <c r="J159" s="16">
        <f>J158*(1+Parameters!$B$54)^Parameters!B$71</f>
        <v>194.89440481534251</v>
      </c>
      <c r="K159" s="16">
        <f>I159*J159*EXP(-Parameters!$B$43*'6states'!A159)*(Parameters!$B$38/Parameters!$B$39*('6states'!E159+'6states'!H159)/Parameters!$E$25*(EXP(-Parameters!$B$39*Parameters!$E$25*'6states'!H159/('6states'!E159+'6states'!H159))-EXP(-Parameters!$B$39*Parameters!$E$25))  +  Parameters!$B$40*'6states'!E159)</f>
        <v>4.0556102101807677E-2</v>
      </c>
      <c r="L159" s="6">
        <f>L158+K159*Parameters!B$71</f>
        <v>3349.8921370933695</v>
      </c>
      <c r="M159" s="5">
        <f>L159*Parameters!$B$46</f>
        <v>2.0099352822560217</v>
      </c>
      <c r="N159" s="7">
        <f>EXP(-Parameters!$B$47/2*M159^2)</f>
        <v>0.96021276354791762</v>
      </c>
      <c r="O159" s="6">
        <f>MAX((Parameters!$B$63 + Parameters!$B$31*'6states'!A159 - '6states'!L159 + Parameters!$B$48/Parameters!$B$46)/Parameters!B$63,1)</f>
        <v>144.92215725813261</v>
      </c>
      <c r="P159" s="5">
        <f>Parameters!B$62*EXP(-Parameters!B$61*A159)</f>
        <v>7.6111029709577845E-3</v>
      </c>
      <c r="Q159" s="5">
        <f>(1-Parameters!B$62)*O159^-Parameters!B$64</f>
        <v>0.30398805967350706</v>
      </c>
      <c r="R159" s="5">
        <f>Parameters!B$62*EXP(-Parameters!B$61*A159)+(1-Parameters!B$62)*O159^-Parameters!B$64</f>
        <v>0.31159916264446486</v>
      </c>
      <c r="S159" s="5">
        <f>1-R159/Parameters!$B$12</f>
        <v>0.84420041867776763</v>
      </c>
      <c r="T159" s="5">
        <f t="shared" si="74"/>
        <v>6.4185024857785127</v>
      </c>
      <c r="U159" s="5">
        <f>(Parameters!$B$19*(E159+Parameters!$B$20)^S159+Parameters!$B$18*F159^S159)^(1/S159)</f>
        <v>0.34340772262233993</v>
      </c>
      <c r="V159" s="5">
        <f>(Parameters!$B$10*G159^Parameters!$B$9+Parameters!$B$11*U159^Parameters!$B$9)^(Parameters!$B$7/Parameters!$B$9)*N159</f>
        <v>1.3379893270404744</v>
      </c>
      <c r="W159" s="5">
        <f>V159 - C159 - D159 - LN(1+EXP(Parameters!$B$21*B159))/Parameters!$B$21 - IF(B159&gt;0, 0,Parameters!$B$6*B159^2/E159)</f>
        <v>1.0193319414957815</v>
      </c>
      <c r="X159" s="5">
        <f>EXP(-Parameters!$B$56*A159)</f>
        <v>9.6279486450325927E-2</v>
      </c>
      <c r="Y159" s="5">
        <f>IF(W159&gt;0,W159^(1-Parameters!$B$53)/(1-Parameters!$B$53)*X159*Parameters!$B$71,-10+W159*1000)</f>
        <v>-0.27324690347602432</v>
      </c>
      <c r="AA159" s="15">
        <f t="shared" si="77"/>
        <v>0</v>
      </c>
      <c r="AB159" s="15">
        <f t="shared" si="78"/>
        <v>2.4552851631415296E-6</v>
      </c>
      <c r="AC159" s="15">
        <f t="shared" si="79"/>
        <v>-3.3505299247282849E-6</v>
      </c>
      <c r="AD159" s="15">
        <f t="shared" si="75"/>
        <v>1.6612520891008403E-12</v>
      </c>
      <c r="AE159" s="15">
        <f t="shared" si="80"/>
        <v>0</v>
      </c>
      <c r="AF159" s="15">
        <f t="shared" si="81"/>
        <v>-1.5196543895479309E-7</v>
      </c>
      <c r="AG159" s="15">
        <f t="shared" si="82"/>
        <v>2.0795410796137226E-7</v>
      </c>
      <c r="AH159" s="15">
        <f t="shared" si="76"/>
        <v>6.3870276283710918E-15</v>
      </c>
      <c r="AI159" s="15"/>
      <c r="AM159" s="16">
        <f t="shared" si="70"/>
        <v>18.350739054750086</v>
      </c>
      <c r="AN159" s="16">
        <f t="shared" si="71"/>
        <v>0.2491279092832159</v>
      </c>
      <c r="AO159" s="16">
        <f t="shared" si="89"/>
        <v>855.52447968614058</v>
      </c>
      <c r="AP159" s="6">
        <f t="shared" si="73"/>
        <v>3333.3048368885038</v>
      </c>
      <c r="AQ159" s="15">
        <f>-X159*V159*W159^(-Parameters!B$53)*Parameters!B$47*Parameters!B$46*M159</f>
        <v>-3.0429140877047747E-6</v>
      </c>
      <c r="AR159" s="5">
        <f>1000*EXP(-(Parameters!$B$55)*'6states'!A159)*AP159*Parameters!B$47*Parameters!B$46*M159</f>
        <v>0.35044937141971716</v>
      </c>
      <c r="AS159" s="5">
        <f>SUM(AR159:AR$204)*EXP(Parameters!$B$55*A159)</f>
        <v>4125.8283036407311</v>
      </c>
      <c r="AT159" s="25">
        <f t="shared" si="83"/>
        <v>0.23686482033985307</v>
      </c>
      <c r="AU159">
        <f>(1/$S159-1/Parameters!$B$13) * LN(Parameters!$B$18) / LN(O159)</f>
        <v>0.1952143523585077</v>
      </c>
      <c r="AV159">
        <f>(Parameters!$B$18*'6states'!S159^+Parameters!$B$19*Parameters!$B$25^'6states'!S159)^((1-'6states'!S159)/'6states'!S159)*Parameters!$B$18*Parameters!$B$26^('6states'!S159-1)</f>
        <v>0.30835630877140474</v>
      </c>
      <c r="AW159">
        <f t="shared" si="84"/>
        <v>0.1739830489798885</v>
      </c>
      <c r="AX159">
        <f t="shared" si="85"/>
        <v>0.12655688792201103</v>
      </c>
      <c r="AY159">
        <f t="shared" si="86"/>
        <v>0.19243869400698221</v>
      </c>
      <c r="AZ159">
        <f>(1/$S159-1/Parameters!$B$13) * LN(Parameters!$B$18) / A159</f>
        <v>6.2672582329389472E-3</v>
      </c>
    </row>
    <row r="160" spans="1:52" x14ac:dyDescent="0.35">
      <c r="A160">
        <f>A159+Parameters!$B$71</f>
        <v>156</v>
      </c>
      <c r="B160" s="7">
        <f t="shared" si="69"/>
        <v>-2.9568713141259393E-6</v>
      </c>
      <c r="C160" s="7">
        <f t="shared" si="87"/>
        <v>9.0949993792235756E-2</v>
      </c>
      <c r="D160" s="7">
        <f t="shared" si="88"/>
        <v>0.22597556464516125</v>
      </c>
      <c r="E160" s="5">
        <f>MAX((1-Parameters!$B$4)^Parameters!B$71*E159 + B159*Parameters!B$71 - IF(B159&gt;0,Parameters!$B$5,0)*B159^2/E159*Parameters!B$71, 0.0001)</f>
        <v>1E-4</v>
      </c>
      <c r="F160" s="5">
        <f>(1-Parameters!$B$4)^Parameters!B$71*F159+C159*Parameters!B$71-Parameters!$B$5*C159^2/F159*Parameters!B$71</f>
        <v>1.3491643969694991</v>
      </c>
      <c r="G160" s="5">
        <f>(1-Parameters!$B$4)^Parameters!B$71*G159+D159*Parameters!B$71-Parameters!$B$5*D159^2/G159*Parameters!B$71</f>
        <v>3.3477713542612588</v>
      </c>
      <c r="H160" s="7">
        <f>MAX(H159 * (1-Parameters!$B$4) ^ Parameters!B$71 + (LN(1+EXP(Parameters!$B$21*(-B159+0.004)))/Parameters!$B$21 -0.004) * Parameters!B$71,0)</f>
        <v>7.3648823129982503E-3</v>
      </c>
      <c r="I160" s="16">
        <f>I159*(1+Parameters!$B$52)^Parameters!B$71</f>
        <v>12.819782099792144</v>
      </c>
      <c r="J160" s="16">
        <f>J159*(1+Parameters!$B$54)^Parameters!B$71</f>
        <v>198.79229291164935</v>
      </c>
      <c r="K160" s="16">
        <f>I160*J160*EXP(-Parameters!$B$43*'6states'!A160)*(Parameters!$B$38/Parameters!$B$39*('6states'!E160+'6states'!H160)/Parameters!$E$25*(EXP(-Parameters!$B$39*Parameters!$E$25*'6states'!H160/('6states'!E160+'6states'!H160))-EXP(-Parameters!$B$39*Parameters!$E$25))  +  Parameters!$B$40*'6states'!E160)</f>
        <v>4.1074384665097358E-2</v>
      </c>
      <c r="L160" s="6">
        <f>L159+K160*Parameters!B$71</f>
        <v>3349.9332114780345</v>
      </c>
      <c r="M160" s="5">
        <f>L160*Parameters!$B$46</f>
        <v>2.0099599268868205</v>
      </c>
      <c r="N160" s="7">
        <f>EXP(-Parameters!$B$47/2*M160^2)</f>
        <v>0.96021180752045387</v>
      </c>
      <c r="O160" s="6">
        <f>MAX((Parameters!$B$63 + Parameters!$B$31*'6states'!A160 - '6states'!L160 + Parameters!$B$48/Parameters!$B$46)/Parameters!B$63,1)</f>
        <v>145.98533577043932</v>
      </c>
      <c r="P160" s="5">
        <f>Parameters!B$62*EXP(-Parameters!B$61*A160)</f>
        <v>7.4083526371810362E-3</v>
      </c>
      <c r="Q160" s="5">
        <f>(1-Parameters!B$62)*O160^-Parameters!B$64</f>
        <v>0.30376594306941085</v>
      </c>
      <c r="R160" s="5">
        <f>Parameters!B$62*EXP(-Parameters!B$61*A160)+(1-Parameters!B$62)*O160^-Parameters!B$64</f>
        <v>0.31117429570659189</v>
      </c>
      <c r="S160" s="5">
        <f>1-R160/Parameters!$B$12</f>
        <v>0.84441285214670403</v>
      </c>
      <c r="T160" s="5">
        <f t="shared" si="74"/>
        <v>6.4272660936165877</v>
      </c>
      <c r="U160" s="5">
        <f>(Parameters!$B$19*(E160+Parameters!$B$20)^S160+Parameters!$B$18*F160^S160)^(1/S160)</f>
        <v>0.34349959919001644</v>
      </c>
      <c r="V160" s="5">
        <f>(Parameters!$B$10*G160^Parameters!$B$9+Parameters!$B$11*U160^Parameters!$B$9)^(Parameters!$B$7/Parameters!$B$9)*N160</f>
        <v>1.3380365217638948</v>
      </c>
      <c r="W160" s="5">
        <f>V160 - C160 - D160 - LN(1+EXP(Parameters!$B$21*B160))/Parameters!$B$21 - IF(B160&gt;0, 0,Parameters!$B$6*B160^2/E160)</f>
        <v>1.019379136219202</v>
      </c>
      <c r="X160" s="5">
        <f>EXP(-Parameters!$B$56*A160)</f>
        <v>9.4836587508117826E-2</v>
      </c>
      <c r="Y160" s="5">
        <f>IF(W160&gt;0,W160^(1-Parameters!$B$53)/(1-Parameters!$B$53)*X160*Parameters!$B$71,-10+W160*1000)</f>
        <v>-0.26914750910310808</v>
      </c>
      <c r="AA160" s="15">
        <f t="shared" si="77"/>
        <v>0</v>
      </c>
      <c r="AB160" s="15">
        <f t="shared" si="78"/>
        <v>2.3121678470600093E-6</v>
      </c>
      <c r="AC160" s="15">
        <f t="shared" si="79"/>
        <v>-3.154745728567443E-6</v>
      </c>
      <c r="AD160" s="15">
        <f t="shared" si="75"/>
        <v>1.4508613999962492E-12</v>
      </c>
      <c r="AE160" s="15">
        <f t="shared" si="80"/>
        <v>0</v>
      </c>
      <c r="AF160" s="15">
        <f t="shared" si="81"/>
        <v>-1.4311731608152023E-7</v>
      </c>
      <c r="AG160" s="15">
        <f t="shared" si="82"/>
        <v>1.9578419616084197E-7</v>
      </c>
      <c r="AH160" s="15">
        <f t="shared" si="76"/>
        <v>5.5777207295505458E-15</v>
      </c>
      <c r="AI160" s="15"/>
      <c r="AM160" s="16">
        <f t="shared" si="70"/>
        <v>18.769210191027597</v>
      </c>
      <c r="AN160" s="16">
        <f t="shared" si="71"/>
        <v>0.25484738782453997</v>
      </c>
      <c r="AO160" s="16">
        <f t="shared" si="89"/>
        <v>875.39975572352148</v>
      </c>
      <c r="AP160" s="6">
        <f t="shared" si="73"/>
        <v>3409.9511238536174</v>
      </c>
      <c r="AQ160" s="15">
        <f>-X160*V160*W160^(-Parameters!B$53)*Parameters!B$47*Parameters!B$46*M160</f>
        <v>-2.9972663849037597E-6</v>
      </c>
      <c r="AR160" s="5">
        <f>1000*EXP(-(Parameters!$B$55)*'6states'!A160)*AP160*Parameters!B$47*Parameters!B$46*M160</f>
        <v>0.34614654065272071</v>
      </c>
      <c r="AS160" s="5">
        <f>SUM(AR160:AR$204)*EXP(Parameters!$B$55*A160)</f>
        <v>4189.5313045231114</v>
      </c>
      <c r="AT160" s="25">
        <f t="shared" si="83"/>
        <v>0.23685646573255936</v>
      </c>
      <c r="AU160">
        <f>(1/$S160-1/Parameters!$B$13) * LN(Parameters!$B$18) / LN(O160)</f>
        <v>0.19499926314854288</v>
      </c>
      <c r="AV160">
        <f>(Parameters!$B$18*'6states'!S160^+Parameters!$B$19*Parameters!$B$25^'6states'!S160)^((1-'6states'!S160)/'6states'!S160)*Parameters!$B$18*Parameters!$B$26^('6states'!S160-1)</f>
        <v>0.30837876512851159</v>
      </c>
      <c r="AW160">
        <f t="shared" si="84"/>
        <v>0.17374247685077107</v>
      </c>
      <c r="AX160">
        <f t="shared" si="85"/>
        <v>0.12642665790888397</v>
      </c>
      <c r="AY160">
        <f t="shared" si="86"/>
        <v>0.19245126405361013</v>
      </c>
      <c r="AZ160">
        <f>(1/$S160-1/Parameters!$B$13) * LN(Parameters!$B$18) / A160</f>
        <v>6.2293591817924182E-3</v>
      </c>
    </row>
    <row r="161" spans="1:52" x14ac:dyDescent="0.35">
      <c r="A161">
        <f>A160+Parameters!$B$71</f>
        <v>157</v>
      </c>
      <c r="B161" s="7">
        <f t="shared" si="69"/>
        <v>-2.9568713141259393E-6</v>
      </c>
      <c r="C161" s="7">
        <f t="shared" si="87"/>
        <v>9.0949993792235756E-2</v>
      </c>
      <c r="D161" s="7">
        <f t="shared" si="88"/>
        <v>0.22597556464516125</v>
      </c>
      <c r="E161" s="5">
        <f>MAX((1-Parameters!$B$4)^Parameters!B$71*E160 + B160*Parameters!B$71 - IF(B160&gt;0,Parameters!$B$5,0)*B160^2/E160*Parameters!B$71, 0.0001)</f>
        <v>1E-4</v>
      </c>
      <c r="F161" s="5">
        <f>(1-Parameters!$B$4)^Parameters!B$71*F160+C160*Parameters!B$71-Parameters!$B$5*C160^2/F160*Parameters!B$71</f>
        <v>1.3491208208878831</v>
      </c>
      <c r="G161" s="5">
        <f>(1-Parameters!$B$4)^Parameters!B$71*G160+D160*Parameters!B$71-Parameters!$B$5*D160^2/G160*Parameters!B$71</f>
        <v>3.3479186827288454</v>
      </c>
      <c r="H161" s="7">
        <f>MAX(H160 * (1-Parameters!$B$4) ^ Parameters!B$71 + (LN(1+EXP(Parameters!$B$21*(-B160+0.004)))/Parameters!$B$21 -0.004) * Parameters!B$71,0)</f>
        <v>7.3638434833567844E-3</v>
      </c>
      <c r="I161" s="16">
        <f>I160*(1+Parameters!$B$52)^Parameters!B$71</f>
        <v>12.85695946788154</v>
      </c>
      <c r="J161" s="16">
        <f>J160*(1+Parameters!$B$54)^Parameters!B$71</f>
        <v>202.76813876988234</v>
      </c>
      <c r="K161" s="16">
        <f>I161*J161*EXP(-Parameters!$B$43*'6states'!A161)*(Parameters!$B$38/Parameters!$B$39*('6states'!E161+'6states'!H161)/Parameters!$E$25*(EXP(-Parameters!$B$39*Parameters!$E$25*'6states'!H161/('6states'!E161+'6states'!H161))-EXP(-Parameters!$B$39*Parameters!$E$25))  +  Parameters!$B$40*'6states'!E161)</f>
        <v>4.1599290567452894E-2</v>
      </c>
      <c r="L161" s="6">
        <f>L160+K161*Parameters!B$71</f>
        <v>3349.9748107686019</v>
      </c>
      <c r="M161" s="5">
        <f>L161*Parameters!$B$46</f>
        <v>2.0099848864611611</v>
      </c>
      <c r="N161" s="7">
        <f>EXP(-Parameters!$B$47/2*M161^2)</f>
        <v>0.96021083926455708</v>
      </c>
      <c r="O161" s="6">
        <f>MAX((Parameters!$B$63 + Parameters!$B$31*'6states'!A161 - '6states'!L161 + Parameters!$B$48/Parameters!$B$46)/Parameters!B$63,1)</f>
        <v>147.04850378462797</v>
      </c>
      <c r="P161" s="5">
        <f>Parameters!B$62*EXP(-Parameters!B$61*A161)</f>
        <v>7.2110033205766274E-3</v>
      </c>
      <c r="Q161" s="5">
        <f>(1-Parameters!B$62)*O161^-Parameters!B$64</f>
        <v>0.30354560093623051</v>
      </c>
      <c r="R161" s="5">
        <f>Parameters!B$62*EXP(-Parameters!B$61*A161)+(1-Parameters!B$62)*O161^-Parameters!B$64</f>
        <v>0.31075660425680712</v>
      </c>
      <c r="S161" s="5">
        <f>1-R161/Parameters!$B$12</f>
        <v>0.84462169787159647</v>
      </c>
      <c r="T161" s="5">
        <f t="shared" si="74"/>
        <v>6.4359050543209504</v>
      </c>
      <c r="U161" s="5">
        <f>(Parameters!$B$19*(E161+Parameters!$B$20)^S161+Parameters!$B$18*F161^S161)^(1/S161)</f>
        <v>0.34359038227280658</v>
      </c>
      <c r="V161" s="5">
        <f>(Parameters!$B$10*G161^Parameters!$B$9+Parameters!$B$11*U161^Parameters!$B$9)^(Parameters!$B$7/Parameters!$B$9)*N161</f>
        <v>1.3380825175044322</v>
      </c>
      <c r="W161" s="5">
        <f>V161 - C161 - D161 - LN(1+EXP(Parameters!$B$21*B161))/Parameters!$B$21 - IF(B161&gt;0, 0,Parameters!$B$6*B161^2/E161)</f>
        <v>1.0194251319597394</v>
      </c>
      <c r="X161" s="5">
        <f>EXP(-Parameters!$B$56*A161)</f>
        <v>9.3415312667098696E-2</v>
      </c>
      <c r="Y161" s="5">
        <f>IF(W161&gt;0,W161^(1-Parameters!$B$53)/(1-Parameters!$B$53)*X161*Parameters!$B$71,-10+W161*1000)</f>
        <v>-0.26510972534045363</v>
      </c>
      <c r="AA161" s="15">
        <f t="shared" si="77"/>
        <v>0</v>
      </c>
      <c r="AB161" s="15">
        <f t="shared" si="78"/>
        <v>2.1773845278461046E-6</v>
      </c>
      <c r="AC161" s="15">
        <f t="shared" si="79"/>
        <v>-2.9704172755246061E-6</v>
      </c>
      <c r="AD161" s="15">
        <f t="shared" si="75"/>
        <v>1.2671210018117399E-12</v>
      </c>
      <c r="AE161" s="15">
        <f t="shared" si="80"/>
        <v>0</v>
      </c>
      <c r="AF161" s="15">
        <f t="shared" si="81"/>
        <v>-1.3478331921390474E-7</v>
      </c>
      <c r="AG161" s="15">
        <f t="shared" si="82"/>
        <v>1.8432845304283685E-7</v>
      </c>
      <c r="AH161" s="15">
        <f t="shared" si="76"/>
        <v>4.8710033868574297E-15</v>
      </c>
      <c r="AI161" s="15"/>
      <c r="AM161" s="16">
        <f t="shared" si="70"/>
        <v>19.197405508685328</v>
      </c>
      <c r="AN161" s="16">
        <f t="shared" si="71"/>
        <v>0.2606981741542157</v>
      </c>
      <c r="AO161" s="16">
        <f t="shared" si="89"/>
        <v>895.73385315469659</v>
      </c>
      <c r="AP161" s="6">
        <f t="shared" si="73"/>
        <v>3488.3566918108177</v>
      </c>
      <c r="AQ161" s="15">
        <f>-X161*V161*W161^(-Parameters!B$53)*Parameters!B$47*Parameters!B$46*M161</f>
        <v>-2.9523059667647703E-6</v>
      </c>
      <c r="AR161" s="5">
        <f>1000*EXP(-(Parameters!$B$55)*'6states'!A161)*AP161*Parameters!B$47*Parameters!B$46*M161</f>
        <v>0.34189628694643276</v>
      </c>
      <c r="AS161" s="5">
        <f>SUM(AR161:AR$204)*EXP(Parameters!$B$55*A161)</f>
        <v>4253.5846734376173</v>
      </c>
      <c r="AT161" s="25">
        <f t="shared" si="83"/>
        <v>0.23684832394130215</v>
      </c>
      <c r="AU161">
        <f>(1/$S161-1/Parameters!$B$13) * LN(Parameters!$B$18) / LN(O161)</f>
        <v>0.19478564063958917</v>
      </c>
      <c r="AV161">
        <f>(Parameters!$B$18*'6states'!S161^+Parameters!$B$19*Parameters!$B$25^'6states'!S161)^((1-'6states'!S161)/'6states'!S161)*Parameters!$B$18*Parameters!$B$26^('6states'!S161-1)</f>
        <v>0.30840075101319531</v>
      </c>
      <c r="AW161">
        <f t="shared" si="84"/>
        <v>0.17350414907440914</v>
      </c>
      <c r="AX161">
        <f t="shared" si="85"/>
        <v>0.12629729671979473</v>
      </c>
      <c r="AY161">
        <f t="shared" si="86"/>
        <v>0.19246357056163632</v>
      </c>
      <c r="AZ161">
        <f>(1/$S161-1/Parameters!$B$13) * LN(Parameters!$B$18) / A161</f>
        <v>6.1919036236238404E-3</v>
      </c>
    </row>
    <row r="162" spans="1:52" x14ac:dyDescent="0.35">
      <c r="A162">
        <f>A161+Parameters!$B$71</f>
        <v>158</v>
      </c>
      <c r="B162" s="7">
        <f t="shared" si="69"/>
        <v>-2.9568713141259393E-6</v>
      </c>
      <c r="C162" s="7">
        <f t="shared" si="87"/>
        <v>9.0949993792235756E-2</v>
      </c>
      <c r="D162" s="7">
        <f t="shared" si="88"/>
        <v>0.22597556464516125</v>
      </c>
      <c r="E162" s="5">
        <f>MAX((1-Parameters!$B$4)^Parameters!B$71*E161 + B161*Parameters!B$71 - IF(B161&gt;0,Parameters!$B$5,0)*B161^2/E161*Parameters!B$71, 0.0001)</f>
        <v>1E-4</v>
      </c>
      <c r="F162" s="5">
        <f>(1-Parameters!$B$4)^Parameters!B$71*F161+C161*Parameters!B$71-Parameters!$B$5*C161^2/F161*Parameters!B$71</f>
        <v>1.3490797877086915</v>
      </c>
      <c r="G162" s="5">
        <f>(1-Parameters!$B$4)^Parameters!B$71*G161+D161*Parameters!B$71-Parameters!$B$5*D161^2/G161*Parameters!B$71</f>
        <v>3.3480574154775424</v>
      </c>
      <c r="H162" s="7">
        <f>MAX(H161 * (1-Parameters!$B$4) ^ Parameters!B$71 + (LN(1+EXP(Parameters!$B$21*(-B161+0.004)))/Parameters!$B$21 -0.004) * Parameters!B$71,0)</f>
        <v>7.3628699960997671E-3</v>
      </c>
      <c r="I162" s="16">
        <f>I161*(1+Parameters!$B$52)^Parameters!B$71</f>
        <v>12.894244650338395</v>
      </c>
      <c r="J162" s="16">
        <f>J161*(1+Parameters!$B$54)^Parameters!B$71</f>
        <v>206.82350154527998</v>
      </c>
      <c r="K162" s="16">
        <f>I162*J162*EXP(-Parameters!$B$43*'6states'!A162)*(Parameters!$B$38/Parameters!$B$39*('6states'!E162+'6states'!H162)/Parameters!$E$25*(EXP(-Parameters!$B$39*Parameters!$E$25*'6states'!H162/('6states'!E162+'6states'!H162))-EXP(-Parameters!$B$39*Parameters!$E$25))  +  Parameters!$B$40*'6states'!E162)</f>
        <v>4.2130904451159204E-2</v>
      </c>
      <c r="L162" s="6">
        <f>L161+K162*Parameters!B$71</f>
        <v>3350.0169416730532</v>
      </c>
      <c r="M162" s="5">
        <f>L162*Parameters!$B$46</f>
        <v>2.0100101650038318</v>
      </c>
      <c r="N162" s="7">
        <f>EXP(-Parameters!$B$47/2*M162^2)</f>
        <v>0.96020985862367303</v>
      </c>
      <c r="O162" s="6">
        <f>MAX((Parameters!$B$63 + Parameters!$B$31*'6states'!A162 - '6states'!L162 + Parameters!$B$48/Parameters!$B$46)/Parameters!B$63,1)</f>
        <v>148.11166116653894</v>
      </c>
      <c r="P162" s="5">
        <f>Parameters!B$62*EXP(-Parameters!B$61*A162)</f>
        <v>7.0189111447525807E-3</v>
      </c>
      <c r="Q162" s="5">
        <f>(1-Parameters!B$62)*O162^-Parameters!B$64</f>
        <v>0.30332700644704513</v>
      </c>
      <c r="R162" s="5">
        <f>Parameters!B$62*EXP(-Parameters!B$61*A162)+(1-Parameters!B$62)*O162^-Parameters!B$64</f>
        <v>0.31034591759179769</v>
      </c>
      <c r="S162" s="5">
        <f>1-R162/Parameters!$B$12</f>
        <v>0.84482704120410113</v>
      </c>
      <c r="T162" s="5">
        <f t="shared" si="74"/>
        <v>6.4444218100868573</v>
      </c>
      <c r="U162" s="5">
        <f>(Parameters!$B$19*(E162+Parameters!$B$20)^S162+Parameters!$B$18*F162^S162)^(1/S162)</f>
        <v>0.34368007573852638</v>
      </c>
      <c r="V162" s="5">
        <f>(Parameters!$B$10*G162^Parameters!$B$9+Parameters!$B$11*U162^Parameters!$B$9)^(Parameters!$B$7/Parameters!$B$9)*N162</f>
        <v>1.33812735843916</v>
      </c>
      <c r="W162" s="5">
        <f>V162 - C162 - D162 - LN(1+EXP(Parameters!$B$21*B162))/Parameters!$B$21 - IF(B162&gt;0, 0,Parameters!$B$6*B162^2/E162)</f>
        <v>1.0194699728944672</v>
      </c>
      <c r="X162" s="5">
        <f>EXP(-Parameters!$B$56*A162)</f>
        <v>9.2015337856234475E-2</v>
      </c>
      <c r="Y162" s="5">
        <f>IF(W162&gt;0,W162^(1-Parameters!$B$53)/(1-Parameters!$B$53)*X162*Parameters!$B$71,-10+W162*1000)</f>
        <v>-0.26113262061772241</v>
      </c>
      <c r="AA162" s="15">
        <f t="shared" si="77"/>
        <v>0</v>
      </c>
      <c r="AB162" s="15">
        <f t="shared" si="78"/>
        <v>2.0504508338736738E-6</v>
      </c>
      <c r="AC162" s="15">
        <f t="shared" si="79"/>
        <v>-2.7968725287291774E-6</v>
      </c>
      <c r="AD162" s="15">
        <f t="shared" si="75"/>
        <v>1.1066541659094518E-12</v>
      </c>
      <c r="AE162" s="15">
        <f t="shared" si="80"/>
        <v>0</v>
      </c>
      <c r="AF162" s="15">
        <f t="shared" si="81"/>
        <v>-1.2693369397243082E-7</v>
      </c>
      <c r="AG162" s="15">
        <f t="shared" si="82"/>
        <v>1.7354474679542875E-7</v>
      </c>
      <c r="AH162" s="15">
        <f t="shared" si="76"/>
        <v>4.2538637143325544E-15</v>
      </c>
      <c r="AI162" s="15"/>
      <c r="AM162" s="16">
        <f t="shared" si="70"/>
        <v>19.63554341657872</v>
      </c>
      <c r="AN162" s="16">
        <f t="shared" si="71"/>
        <v>0.2666832828364481</v>
      </c>
      <c r="AO162" s="16">
        <f t="shared" si="89"/>
        <v>916.53730843429332</v>
      </c>
      <c r="AP162" s="6">
        <f t="shared" si="73"/>
        <v>3568.5619680181971</v>
      </c>
      <c r="AQ162" s="15">
        <f>-X162*V162*W162^(-Parameters!B$53)*Parameters!B$47*Parameters!B$46*M162</f>
        <v>-2.9080223791742583E-6</v>
      </c>
      <c r="AR162" s="5">
        <f>1000*EXP(-(Parameters!$B$55)*'6states'!A162)*AP162*Parameters!B$47*Parameters!B$46*M162</f>
        <v>0.33769798283157237</v>
      </c>
      <c r="AS162" s="5">
        <f>SUM(AR162:AR$204)*EXP(Parameters!$B$55*A162)</f>
        <v>4317.9566966234052</v>
      </c>
      <c r="AT162" s="25">
        <f t="shared" si="83"/>
        <v>0.2368403871031774</v>
      </c>
      <c r="AU162">
        <f>(1/$S162-1/Parameters!$B$13) * LN(Parameters!$B$18) / LN(O162)</f>
        <v>0.19457347216499821</v>
      </c>
      <c r="AV162">
        <f>(Parameters!$B$18*'6states'!S162^+Parameters!$B$19*Parameters!$B$25^'6states'!S162)^((1-'6states'!S162)/'6states'!S162)*Parameters!$B$18*Parameters!$B$26^('6states'!S162-1)</f>
        <v>0.30842228007474914</v>
      </c>
      <c r="AW162">
        <f t="shared" si="84"/>
        <v>0.1732680306818665</v>
      </c>
      <c r="AX162">
        <f t="shared" si="85"/>
        <v>0.12616879707433981</v>
      </c>
      <c r="AY162">
        <f t="shared" si="86"/>
        <v>0.19247562118306627</v>
      </c>
      <c r="AZ162">
        <f>(1/$S162-1/Parameters!$B$13) * LN(Parameters!$B$18) / A162</f>
        <v>6.1548840964068601E-3</v>
      </c>
    </row>
    <row r="163" spans="1:52" x14ac:dyDescent="0.35">
      <c r="A163">
        <f>A162+Parameters!$B$71</f>
        <v>159</v>
      </c>
      <c r="B163" s="7">
        <f t="shared" si="69"/>
        <v>-2.9568713141259393E-6</v>
      </c>
      <c r="C163" s="7">
        <f t="shared" si="87"/>
        <v>9.0949993792235756E-2</v>
      </c>
      <c r="D163" s="7">
        <f t="shared" si="88"/>
        <v>0.22597556464516125</v>
      </c>
      <c r="E163" s="5">
        <f>MAX((1-Parameters!$B$4)^Parameters!B$71*E162 + B162*Parameters!B$71 - IF(B162&gt;0,Parameters!$B$5,0)*B162^2/E162*Parameters!B$71, 0.0001)</f>
        <v>1E-4</v>
      </c>
      <c r="F163" s="5">
        <f>(1-Parameters!$B$4)^Parameters!B$71*F162+C162*Parameters!B$71-Parameters!$B$5*C162^2/F162*Parameters!B$71</f>
        <v>1.3490411490279803</v>
      </c>
      <c r="G163" s="5">
        <f>(1-Parameters!$B$4)^Parameters!B$71*G162+D162*Parameters!B$71-Parameters!$B$5*D162^2/G162*Parameters!B$71</f>
        <v>3.348188053961195</v>
      </c>
      <c r="H163" s="7">
        <f>MAX(H162 * (1-Parameters!$B$4) ^ Parameters!B$71 + (LN(1+EXP(Parameters!$B$21*(-B162+0.004)))/Parameters!$B$21 -0.004) * Parameters!B$71,0)</f>
        <v>7.3619577411912157E-3</v>
      </c>
      <c r="I163" s="16">
        <f>I162*(1+Parameters!$B$52)^Parameters!B$71</f>
        <v>12.931637959824375</v>
      </c>
      <c r="J163" s="16">
        <f>J162*(1+Parameters!$B$54)^Parameters!B$71</f>
        <v>210.95997157618558</v>
      </c>
      <c r="K163" s="16">
        <f>I163*J163*EXP(-Parameters!$B$43*'6states'!A163)*(Parameters!$B$38/Parameters!$B$39*('6states'!E163+'6states'!H163)/Parameters!$E$25*(EXP(-Parameters!$B$39*Parameters!$E$25*'6states'!H163/('6states'!E163+'6states'!H163))-EXP(-Parameters!$B$39*Parameters!$E$25))  +  Parameters!$B$40*'6states'!E163)</f>
        <v>4.2669312040178611E-2</v>
      </c>
      <c r="L163" s="6">
        <f>L162+K163*Parameters!B$71</f>
        <v>3350.0596109850935</v>
      </c>
      <c r="M163" s="5">
        <f>L163*Parameters!$B$46</f>
        <v>2.0100357665910558</v>
      </c>
      <c r="N163" s="7">
        <f>EXP(-Parameters!$B$47/2*M163^2)</f>
        <v>0.96020886543923945</v>
      </c>
      <c r="O163" s="6">
        <f>MAX((Parameters!$B$63 + Parameters!$B$31*'6states'!A163 - '6states'!L163 + Parameters!$B$48/Parameters!$B$46)/Parameters!B$63,1)</f>
        <v>149.17480778029815</v>
      </c>
      <c r="P163" s="5">
        <f>Parameters!B$62*EXP(-Parameters!B$61*A163)</f>
        <v>6.831936066005375E-3</v>
      </c>
      <c r="Q163" s="5">
        <f>(1-Parameters!B$62)*O163^-Parameters!B$64</f>
        <v>0.30311013337005599</v>
      </c>
      <c r="R163" s="5">
        <f>Parameters!B$62*EXP(-Parameters!B$61*A163)+(1-Parameters!B$62)*O163^-Parameters!B$64</f>
        <v>0.30994206943606134</v>
      </c>
      <c r="S163" s="5">
        <f>1-R163/Parameters!$B$12</f>
        <v>0.84502896528196936</v>
      </c>
      <c r="T163" s="5">
        <f t="shared" si="74"/>
        <v>6.4528187594507393</v>
      </c>
      <c r="U163" s="5">
        <f>(Parameters!$B$19*(E163+Parameters!$B$20)^S163+Parameters!$B$18*F163^S163)^(1/S163)</f>
        <v>0.34376868455013759</v>
      </c>
      <c r="V163" s="5">
        <f>(Parameters!$B$10*G163^Parameters!$B$9+Parameters!$B$11*U163^Parameters!$B$9)^(Parameters!$B$7/Parameters!$B$9)*N163</f>
        <v>1.3381710867311789</v>
      </c>
      <c r="W163" s="5">
        <f>V163 - C163 - D163 - LN(1+EXP(Parameters!$B$21*B163))/Parameters!$B$21 - IF(B163&gt;0, 0,Parameters!$B$6*B163^2/E163)</f>
        <v>1.0195137011864861</v>
      </c>
      <c r="X163" s="5">
        <f>EXP(-Parameters!$B$56*A163)</f>
        <v>9.0636343861203325E-2</v>
      </c>
      <c r="Y163" s="5">
        <f>IF(W163&gt;0,W163^(1-Parameters!$B$53)/(1-Parameters!$B$53)*X163*Parameters!$B$71,-10+W163*1000)</f>
        <v>-0.2572152777722076</v>
      </c>
      <c r="AA163" s="15">
        <f t="shared" si="77"/>
        <v>0</v>
      </c>
      <c r="AB163" s="15">
        <f t="shared" si="78"/>
        <v>1.9309104394849008E-6</v>
      </c>
      <c r="AC163" s="15">
        <f t="shared" si="79"/>
        <v>-2.6334790722698509E-6</v>
      </c>
      <c r="AD163" s="15">
        <f t="shared" si="75"/>
        <v>9.6651217712023287E-13</v>
      </c>
      <c r="AE163" s="15">
        <f t="shared" si="80"/>
        <v>0</v>
      </c>
      <c r="AF163" s="15">
        <f t="shared" si="81"/>
        <v>-1.1954039438877295E-7</v>
      </c>
      <c r="AG163" s="15">
        <f t="shared" si="82"/>
        <v>1.6339345645932646E-7</v>
      </c>
      <c r="AH163" s="15">
        <f t="shared" si="76"/>
        <v>3.7149415096359495E-15</v>
      </c>
      <c r="AI163" s="15"/>
      <c r="AM163" s="16">
        <f t="shared" si="70"/>
        <v>20.083847538056709</v>
      </c>
      <c r="AN163" s="16">
        <f t="shared" si="71"/>
        <v>0.27280579764380725</v>
      </c>
      <c r="AO163" s="16">
        <f t="shared" si="89"/>
        <v>937.82090193662657</v>
      </c>
      <c r="AP163" s="6">
        <f t="shared" si="73"/>
        <v>3650.6083069957963</v>
      </c>
      <c r="AQ163" s="15">
        <f>-X163*V163*W163^(-Parameters!B$53)*Parameters!B$47*Parameters!B$46*M163</f>
        <v>-2.8644053330598075E-6</v>
      </c>
      <c r="AR163" s="5">
        <f>1000*EXP(-(Parameters!$B$55)*'6states'!A163)*AP163*Parameters!B$47*Parameters!B$46*M163</f>
        <v>0.33355100749643007</v>
      </c>
      <c r="AS163" s="5">
        <f>SUM(AR163:AR$204)*EXP(Parameters!$B$55*A163)</f>
        <v>4382.6135096557773</v>
      </c>
      <c r="AT163" s="25">
        <f t="shared" si="83"/>
        <v>0.23683264771490947</v>
      </c>
      <c r="AU163">
        <f>(1/$S163-1/Parameters!$B$13) * LN(Parameters!$B$18) / LN(O163)</f>
        <v>0.19436274516522492</v>
      </c>
      <c r="AV163">
        <f>(Parameters!$B$18*'6states'!S163^+Parameters!$B$19*Parameters!$B$25^'6states'!S163)^((1-'6states'!S163)/'6states'!S163)*Parameters!$B$18*Parameters!$B$26^('6states'!S163-1)</f>
        <v>0.30844336550309387</v>
      </c>
      <c r="AW163">
        <f t="shared" si="84"/>
        <v>0.17303408745647961</v>
      </c>
      <c r="AX163">
        <f t="shared" si="85"/>
        <v>0.12604115174992125</v>
      </c>
      <c r="AY163">
        <f t="shared" si="86"/>
        <v>0.19248742331207946</v>
      </c>
      <c r="AZ163">
        <f>(1/$S163-1/Parameters!$B$13) * LN(Parameters!$B$18) / A163</f>
        <v>6.1182932998558445E-3</v>
      </c>
    </row>
    <row r="164" spans="1:52" x14ac:dyDescent="0.35">
      <c r="A164">
        <f>A163+Parameters!$B$71</f>
        <v>160</v>
      </c>
      <c r="B164" s="7">
        <f t="shared" si="69"/>
        <v>-2.9568713141259393E-6</v>
      </c>
      <c r="C164" s="7">
        <f t="shared" si="87"/>
        <v>9.0949993792235756E-2</v>
      </c>
      <c r="D164" s="7">
        <f t="shared" si="88"/>
        <v>0.22597556464516125</v>
      </c>
      <c r="E164" s="5">
        <f>MAX((1-Parameters!$B$4)^Parameters!B$71*E163 + B163*Parameters!B$71 - IF(B163&gt;0,Parameters!$B$5,0)*B163^2/E163*Parameters!B$71, 0.0001)</f>
        <v>1E-4</v>
      </c>
      <c r="F164" s="5">
        <f>(1-Parameters!$B$4)^Parameters!B$71*F163+C163*Parameters!B$71-Parameters!$B$5*C163^2/F163*Parameters!B$71</f>
        <v>1.3490047651039936</v>
      </c>
      <c r="G164" s="5">
        <f>(1-Parameters!$B$4)^Parameters!B$71*G163+D163*Parameters!B$71-Parameters!$B$5*D163^2/G163*Parameters!B$71</f>
        <v>3.3483110703861461</v>
      </c>
      <c r="H164" s="7">
        <f>MAX(H163 * (1-Parameters!$B$4) ^ Parameters!B$71 + (LN(1+EXP(Parameters!$B$21*(-B163+0.004)))/Parameters!$B$21 -0.004) * Parameters!B$71,0)</f>
        <v>7.3611028671164121E-3</v>
      </c>
      <c r="I164" s="16">
        <f>I163*(1+Parameters!$B$52)^Parameters!B$71</f>
        <v>12.969139709907864</v>
      </c>
      <c r="J164" s="16">
        <f>J163*(1+Parameters!$B$54)^Parameters!B$71</f>
        <v>215.1791710077093</v>
      </c>
      <c r="K164" s="16">
        <f>I164*J164*EXP(-Parameters!$B$43*'6states'!A164)*(Parameters!$B$38/Parameters!$B$39*('6states'!E164+'6states'!H164)/Parameters!$E$25*(EXP(-Parameters!$B$39*Parameters!$E$25*'6states'!H164/('6states'!E164+'6states'!H164))-EXP(-Parameters!$B$39*Parameters!$E$25))  +  Parameters!$B$40*'6states'!E164)</f>
        <v>4.3214600153974068E-2</v>
      </c>
      <c r="L164" s="6">
        <f>L163+K164*Parameters!B$71</f>
        <v>3350.1028255852475</v>
      </c>
      <c r="M164" s="5">
        <f>L164*Parameters!$B$46</f>
        <v>2.0100616953511485</v>
      </c>
      <c r="N164" s="7">
        <f>EXP(-Parameters!$B$47/2*M164^2)</f>
        <v>0.96020785955066035</v>
      </c>
      <c r="O164" s="6">
        <f>MAX((Parameters!$B$63 + Parameters!$B$31*'6states'!A164 - '6states'!L164 + Parameters!$B$48/Parameters!$B$46)/Parameters!B$63,1)</f>
        <v>150.23794348829506</v>
      </c>
      <c r="P164" s="5">
        <f>Parameters!B$62*EXP(-Parameters!B$61*A164)</f>
        <v>6.6499417712218836E-3</v>
      </c>
      <c r="Q164" s="5">
        <f>(1-Parameters!B$62)*O164^-Parameters!B$64</f>
        <v>0.30289495605126054</v>
      </c>
      <c r="R164" s="5">
        <f>Parameters!B$62*EXP(-Parameters!B$61*A164)+(1-Parameters!B$62)*O164^-Parameters!B$64</f>
        <v>0.3095448978224824</v>
      </c>
      <c r="S164" s="5">
        <f>1-R164/Parameters!$B$12</f>
        <v>0.8452275510887588</v>
      </c>
      <c r="T164" s="5">
        <f t="shared" si="74"/>
        <v>6.4610982576975271</v>
      </c>
      <c r="U164" s="5">
        <f>(Parameters!$B$19*(E164+Parameters!$B$20)^S164+Parameters!$B$18*F164^S164)^(1/S164)</f>
        <v>0.34385621466995969</v>
      </c>
      <c r="V164" s="5">
        <f>(Parameters!$B$10*G164^Parameters!$B$9+Parameters!$B$11*U164^Parameters!$B$9)^(Parameters!$B$7/Parameters!$B$9)*N164</f>
        <v>1.3382137426315373</v>
      </c>
      <c r="W164" s="5">
        <f>V164 - C164 - D164 - LN(1+EXP(Parameters!$B$21*B164))/Parameters!$B$21 - IF(B164&gt;0, 0,Parameters!$B$6*B164^2/E164)</f>
        <v>1.0195563570868444</v>
      </c>
      <c r="X164" s="5">
        <f>EXP(-Parameters!$B$56*A164)</f>
        <v>8.9278016251610026E-2</v>
      </c>
      <c r="Y164" s="5">
        <f>IF(W164&gt;0,W164^(1-Parameters!$B$53)/(1-Parameters!$B$53)*X164*Parameters!$B$71,-10+W164*1000)</f>
        <v>-0.25335679380613835</v>
      </c>
      <c r="AA164" s="15">
        <f t="shared" si="77"/>
        <v>0</v>
      </c>
      <c r="AB164" s="15">
        <f t="shared" si="78"/>
        <v>1.8183334530297302E-6</v>
      </c>
      <c r="AC164" s="15">
        <f t="shared" si="79"/>
        <v>-2.4796417530947856E-6</v>
      </c>
      <c r="AD164" s="15">
        <f t="shared" si="75"/>
        <v>8.4412005201312847E-13</v>
      </c>
      <c r="AE164" s="15">
        <f t="shared" si="80"/>
        <v>0</v>
      </c>
      <c r="AF164" s="15">
        <f t="shared" si="81"/>
        <v>-1.1257698645517067E-7</v>
      </c>
      <c r="AG164" s="15">
        <f t="shared" si="82"/>
        <v>1.5383731917506527E-7</v>
      </c>
      <c r="AH164" s="15">
        <f t="shared" si="76"/>
        <v>3.244318351076718E-15</v>
      </c>
      <c r="AI164" s="15"/>
      <c r="AM164" s="16">
        <f t="shared" si="70"/>
        <v>20.542546822388044</v>
      </c>
      <c r="AN164" s="16">
        <f t="shared" si="71"/>
        <v>0.27906887314611378</v>
      </c>
      <c r="AO164" s="16">
        <f t="shared" si="89"/>
        <v>959.59566352233855</v>
      </c>
      <c r="AP164" s="6">
        <f t="shared" si="73"/>
        <v>3734.5380118482663</v>
      </c>
      <c r="AQ164" s="15">
        <f>-X164*V164*W164^(-Parameters!B$53)*Parameters!B$47*Parameters!B$46*M164</f>
        <v>-2.8214447014143732E-6</v>
      </c>
      <c r="AR164" s="5">
        <f>1000*EXP(-(Parameters!$B$55)*'6states'!A164)*AP164*Parameters!B$47*Parameters!B$46*M164</f>
        <v>0.32945474676734804</v>
      </c>
      <c r="AS164" s="5">
        <f>SUM(AR164:AR$204)*EXP(Parameters!$B$55*A164)</f>
        <v>4447.518997224598</v>
      </c>
      <c r="AT164" s="25">
        <f t="shared" si="83"/>
        <v>0.23682509861456721</v>
      </c>
      <c r="AU164">
        <f>(1/$S164-1/Parameters!$B$13) * LN(Parameters!$B$18) / LN(O164)</f>
        <v>0.19415344718616942</v>
      </c>
      <c r="AV164">
        <f>(Parameters!$B$18*'6states'!S164^+Parameters!$B$19*Parameters!$B$25^'6states'!S164)^((1-'6states'!S164)/'6states'!S164)*Parameters!$B$18*Parameters!$B$26^('6states'!S164-1)</f>
        <v>0.30846402004611506</v>
      </c>
      <c r="AW164">
        <f t="shared" si="84"/>
        <v>0.17280228591311148</v>
      </c>
      <c r="AX164">
        <f t="shared" si="85"/>
        <v>0.12591435358086178</v>
      </c>
      <c r="AY164">
        <f t="shared" si="86"/>
        <v>0.19249898409477517</v>
      </c>
      <c r="AZ164">
        <f>(1/$S164-1/Parameters!$B$13) * LN(Parameters!$B$18) / A164</f>
        <v>6.0821240911274766E-3</v>
      </c>
    </row>
    <row r="165" spans="1:52" x14ac:dyDescent="0.35">
      <c r="A165">
        <f>A164+Parameters!$B$71</f>
        <v>161</v>
      </c>
      <c r="B165" s="7">
        <f t="shared" si="69"/>
        <v>-2.9568713141259393E-6</v>
      </c>
      <c r="C165" s="7">
        <f t="shared" si="87"/>
        <v>9.0949993792235756E-2</v>
      </c>
      <c r="D165" s="7">
        <f t="shared" si="88"/>
        <v>0.22597556464516125</v>
      </c>
      <c r="E165" s="5">
        <f>MAX((1-Parameters!$B$4)^Parameters!B$71*E164 + B164*Parameters!B$71 - IF(B164&gt;0,Parameters!$B$5,0)*B164^2/E164*Parameters!B$71, 0.0001)</f>
        <v>1E-4</v>
      </c>
      <c r="F165" s="5">
        <f>(1-Parameters!$B$4)^Parameters!B$71*F164+C164*Parameters!B$71-Parameters!$B$5*C164^2/F164*Parameters!B$71</f>
        <v>1.3489705043514091</v>
      </c>
      <c r="G165" s="5">
        <f>(1-Parameters!$B$4)^Parameters!B$71*G164+D164*Parameters!B$71-Parameters!$B$5*D164^2/G164*Parameters!B$71</f>
        <v>3.3484269094164132</v>
      </c>
      <c r="H165" s="7">
        <f>MAX(H164 * (1-Parameters!$B$4) ^ Parameters!B$71 + (LN(1+EXP(Parameters!$B$21*(-B164+0.004)))/Parameters!$B$21 -0.004) * Parameters!B$71,0)</f>
        <v>7.360301764620914E-3</v>
      </c>
      <c r="I165" s="16">
        <f>I164*(1+Parameters!$B$52)^Parameters!B$71</f>
        <v>13.006750215066596</v>
      </c>
      <c r="J165" s="16">
        <f>J164*(1+Parameters!$B$54)^Parameters!B$71</f>
        <v>219.48275442786348</v>
      </c>
      <c r="K165" s="16">
        <f>I165*J165*EXP(-Parameters!$B$43*'6states'!A165)*(Parameters!$B$38/Parameters!$B$39*('6states'!E165+'6states'!H165)/Parameters!$E$25*(EXP(-Parameters!$B$39*Parameters!$E$25*'6states'!H165/('6states'!E165+'6states'!H165))-EXP(-Parameters!$B$39*Parameters!$E$25))  +  Parameters!$B$40*'6states'!E165)</f>
        <v>4.3766856721508998E-2</v>
      </c>
      <c r="L165" s="6">
        <f>L164+K165*Parameters!B$71</f>
        <v>3350.146592441969</v>
      </c>
      <c r="M165" s="5">
        <f>L165*Parameters!$B$46</f>
        <v>2.0100879554651812</v>
      </c>
      <c r="N165" s="7">
        <f>EXP(-Parameters!$B$47/2*M165^2)</f>
        <v>0.96020684079527963</v>
      </c>
      <c r="O165" s="6">
        <f>MAX((Parameters!$B$63 + Parameters!$B$31*'6states'!A165 - '6states'!L165 + Parameters!$B$48/Parameters!$B$46)/Parameters!B$63,1)</f>
        <v>151.30106815116062</v>
      </c>
      <c r="P165" s="5">
        <f>Parameters!B$62*EXP(-Parameters!B$61*A165)</f>
        <v>6.4727955785010846E-3</v>
      </c>
      <c r="Q165" s="5">
        <f>(1-Parameters!B$62)*O165^-Parameters!B$64</f>
        <v>0.30268144939774988</v>
      </c>
      <c r="R165" s="5">
        <f>Parameters!B$62*EXP(-Parameters!B$61*A165)+(1-Parameters!B$62)*O165^-Parameters!B$64</f>
        <v>0.30915424497625099</v>
      </c>
      <c r="S165" s="5">
        <f>1-R165/Parameters!$B$12</f>
        <v>0.8454228775118745</v>
      </c>
      <c r="T165" s="5">
        <f t="shared" si="74"/>
        <v>6.4692626172855512</v>
      </c>
      <c r="U165" s="5">
        <f>(Parameters!$B$19*(E165+Parameters!$B$20)^S165+Parameters!$B$18*F165^S165)^(1/S165)</f>
        <v>0.34394267297020459</v>
      </c>
      <c r="V165" s="5">
        <f>(Parameters!$B$10*G165^Parameters!$B$9+Parameters!$B$11*U165^Parameters!$B$9)^(Parameters!$B$7/Parameters!$B$9)*N165</f>
        <v>1.3382553645755513</v>
      </c>
      <c r="W165" s="5">
        <f>V165 - C165 - D165 - LN(1+EXP(Parameters!$B$21*B165))/Parameters!$B$21 - IF(B165&gt;0, 0,Parameters!$B$6*B165^2/E165)</f>
        <v>1.0195979790308585</v>
      </c>
      <c r="X165" s="5">
        <f>EXP(-Parameters!$B$56*A165)</f>
        <v>8.7940045309291504E-2</v>
      </c>
      <c r="Y165" s="5">
        <f>IF(W165&gt;0,W165^(1-Parameters!$B$53)/(1-Parameters!$B$53)*X165*Parameters!$B$71,-10+W165*1000)</f>
        <v>-0.24955627964935084</v>
      </c>
      <c r="AA165" s="15">
        <f t="shared" si="77"/>
        <v>0</v>
      </c>
      <c r="AB165" s="15">
        <f t="shared" si="78"/>
        <v>1.712314896248901E-6</v>
      </c>
      <c r="AC165" s="15">
        <f t="shared" si="79"/>
        <v>-2.3348004657003374E-6</v>
      </c>
      <c r="AD165" s="15">
        <f t="shared" ref="AD165:AD196" si="90">X165*(AA165^2+AB165^2+AC165^2)</f>
        <v>7.3722914654340851E-13</v>
      </c>
      <c r="AE165" s="15">
        <f t="shared" si="80"/>
        <v>0</v>
      </c>
      <c r="AF165" s="15">
        <f t="shared" si="81"/>
        <v>-1.0601855678082917E-7</v>
      </c>
      <c r="AG165" s="15">
        <f t="shared" si="82"/>
        <v>1.4484128739444824E-7</v>
      </c>
      <c r="AH165" s="15">
        <f t="shared" ref="AH165:AH196" si="91">X165*(AE165^2+AF165^2+AG165^2)</f>
        <v>2.8333344204475175E-15</v>
      </c>
      <c r="AI165" s="15"/>
      <c r="AM165" s="16">
        <f t="shared" si="70"/>
        <v>21.011875659088599</v>
      </c>
      <c r="AN165" s="16">
        <f t="shared" si="71"/>
        <v>0.2854757363358022</v>
      </c>
      <c r="AO165" s="16">
        <f t="shared" si="89"/>
        <v>981.87287823473173</v>
      </c>
      <c r="AP165" s="6">
        <f t="shared" si="73"/>
        <v>3820.3943560754296</v>
      </c>
      <c r="AQ165" s="15">
        <f>-X165*V165*W165^(-Parameters!B$53)*Parameters!B$47*Parameters!B$46*M165</f>
        <v>-2.7791305163975947E-6</v>
      </c>
      <c r="AR165" s="5">
        <f>1000*EXP(-(Parameters!$B$55)*'6states'!A165)*AP165*Parameters!B$47*Parameters!B$46*M165</f>
        <v>0.32540859308552345</v>
      </c>
      <c r="AS165" s="5">
        <f>SUM(AR165:AR$204)*EXP(Parameters!$B$55*A165)</f>
        <v>4512.6346887927675</v>
      </c>
      <c r="AT165" s="25">
        <f t="shared" si="83"/>
        <v>0.23681773296429107</v>
      </c>
      <c r="AU165">
        <f>(1/$S165-1/Parameters!$B$13) * LN(Parameters!$B$18) / LN(O165)</f>
        <v>0.19394556587764242</v>
      </c>
      <c r="AV165">
        <f>(Parameters!$B$18*'6states'!S165^+Parameters!$B$19*Parameters!$B$25^'6states'!S165)^((1-'6states'!S165)/'6states'!S165)*Parameters!$B$18*Parameters!$B$26^('6states'!S165-1)</f>
        <v>0.30848425602627266</v>
      </c>
      <c r="AW165">
        <f t="shared" si="84"/>
        <v>0.17257259327811283</v>
      </c>
      <c r="AX165">
        <f t="shared" si="85"/>
        <v>0.12578839545759435</v>
      </c>
      <c r="AY165">
        <f t="shared" si="86"/>
        <v>0.19251031043850819</v>
      </c>
      <c r="AZ165">
        <f>(1/$S165-1/Parameters!$B$13) * LN(Parameters!$B$18) / A165</f>
        <v>6.0463694806586346E-3</v>
      </c>
    </row>
    <row r="166" spans="1:52" x14ac:dyDescent="0.35">
      <c r="A166">
        <f>A165+Parameters!$B$71</f>
        <v>162</v>
      </c>
      <c r="B166" s="7">
        <f t="shared" si="69"/>
        <v>-2.9568713141259393E-6</v>
      </c>
      <c r="C166" s="7">
        <f t="shared" si="87"/>
        <v>9.0949993792235756E-2</v>
      </c>
      <c r="D166" s="7">
        <f t="shared" si="88"/>
        <v>0.22597556464516125</v>
      </c>
      <c r="E166" s="5">
        <f>MAX((1-Parameters!$B$4)^Parameters!B$71*E165 + B165*Parameters!B$71 - IF(B165&gt;0,Parameters!$B$5,0)*B165^2/E165*Parameters!B$71, 0.0001)</f>
        <v>1E-4</v>
      </c>
      <c r="F166" s="5">
        <f>(1-Parameters!$B$4)^Parameters!B$71*F165+C165*Parameters!B$71-Parameters!$B$5*C165^2/F165*Parameters!B$71</f>
        <v>1.3489382428651331</v>
      </c>
      <c r="G166" s="5">
        <f>(1-Parameters!$B$4)^Parameters!B$71*G165+D165*Parameters!B$71-Parameters!$B$5*D165^2/G165*Parameters!B$71</f>
        <v>3.3485359897795299</v>
      </c>
      <c r="H166" s="7">
        <f>MAX(H165 * (1-Parameters!$B$4) ^ Parameters!B$71 + (LN(1+EXP(Parameters!$B$21*(-B165+0.004)))/Parameters!$B$21 -0.004) * Parameters!B$71,0)</f>
        <v>7.3595510514723825E-3</v>
      </c>
      <c r="I166" s="16">
        <f>I165*(1+Parameters!$B$52)^Parameters!B$71</f>
        <v>13.044469790690288</v>
      </c>
      <c r="J166" s="16">
        <f>J165*(1+Parameters!$B$54)^Parameters!B$71</f>
        <v>223.87240951642076</v>
      </c>
      <c r="K166" s="16">
        <f>I166*J166*EXP(-Parameters!$B$43*'6states'!A166)*(Parameters!$B$38/Parameters!$B$39*('6states'!E166+'6states'!H166)/Parameters!$E$25*(EXP(-Parameters!$B$39*Parameters!$E$25*'6states'!H166/('6states'!E166+'6states'!H166))-EXP(-Parameters!$B$39*Parameters!$E$25))  +  Parameters!$B$40*'6states'!E166)</f>
        <v>4.4326170795425994E-2</v>
      </c>
      <c r="L166" s="6">
        <f>L165+K166*Parameters!B$71</f>
        <v>3350.1909186127646</v>
      </c>
      <c r="M166" s="5">
        <f>L166*Parameters!$B$46</f>
        <v>2.0101145511676584</v>
      </c>
      <c r="N166" s="7">
        <f>EXP(-Parameters!$B$47/2*M166^2)</f>
        <v>0.96020580900835473</v>
      </c>
      <c r="O166" s="6">
        <f>MAX((Parameters!$B$63 + Parameters!$B$31*'6states'!A166 - '6states'!L166 + Parameters!$B$48/Parameters!$B$46)/Parameters!B$63,1)</f>
        <v>152.3641816277447</v>
      </c>
      <c r="P166" s="5">
        <f>Parameters!B$62*EXP(-Parameters!B$61*A166)</f>
        <v>6.3003683404230532E-3</v>
      </c>
      <c r="Q166" s="5">
        <f>(1-Parameters!B$62)*O166^-Parameters!B$64</f>
        <v>0.30246958886160213</v>
      </c>
      <c r="R166" s="5">
        <f>Parameters!B$62*EXP(-Parameters!B$61*A166)+(1-Parameters!B$62)*O166^-Parameters!B$64</f>
        <v>0.30876995720202521</v>
      </c>
      <c r="S166" s="5">
        <f>1-R166/Parameters!$B$12</f>
        <v>0.84561502139898737</v>
      </c>
      <c r="T166" s="5">
        <f t="shared" si="74"/>
        <v>6.477314108287481</v>
      </c>
      <c r="U166" s="5">
        <f>(Parameters!$B$19*(E166+Parameters!$B$20)^S166+Parameters!$B$18*F166^S166)^(1/S166)</f>
        <v>0.34402806714944911</v>
      </c>
      <c r="V166" s="5">
        <f>(Parameters!$B$10*G166^Parameters!$B$9+Parameters!$B$11*U166^Parameters!$B$9)^(Parameters!$B$7/Parameters!$B$9)*N166</f>
        <v>1.3382959892738591</v>
      </c>
      <c r="W166" s="5">
        <f>V166 - C166 - D166 - LN(1+EXP(Parameters!$B$21*B166))/Parameters!$B$21 - IF(B166&gt;0, 0,Parameters!$B$6*B166^2/E166)</f>
        <v>1.0196386037291663</v>
      </c>
      <c r="X166" s="5">
        <f>EXP(-Parameters!$B$56*A166)</f>
        <v>8.6622125957696541E-2</v>
      </c>
      <c r="Y166" s="5">
        <f>IF(W166&gt;0,W166^(1-Parameters!$B$53)/(1-Parameters!$B$53)*X166*Parameters!$B$71,-10+W166*1000)</f>
        <v>-0.24581285992712482</v>
      </c>
      <c r="AA166" s="15">
        <f t="shared" si="77"/>
        <v>0</v>
      </c>
      <c r="AB166" s="15">
        <f t="shared" si="78"/>
        <v>1.6124732699074329E-6</v>
      </c>
      <c r="AC166" s="15">
        <f t="shared" si="79"/>
        <v>-2.198428070712688E-6</v>
      </c>
      <c r="AD166" s="15">
        <f t="shared" si="90"/>
        <v>6.4387577774345059E-13</v>
      </c>
      <c r="AE166" s="15">
        <f t="shared" ref="AE166:AE197" si="92">B166/E166-2*B165/E165+B164/E164</f>
        <v>0</v>
      </c>
      <c r="AF166" s="15">
        <f t="shared" ref="AF166:AF197" si="93">C166/F166-2*C165/F165+C164/F164</f>
        <v>-9.9841626341468093E-8</v>
      </c>
      <c r="AG166" s="15">
        <f t="shared" ref="AG166:AG197" si="94">D166/G166-2*D165/G165+D164/G164</f>
        <v>1.3637239498764941E-7</v>
      </c>
      <c r="AH166" s="15">
        <f t="shared" si="91"/>
        <v>2.4744286335344519E-15</v>
      </c>
      <c r="AI166" s="15"/>
      <c r="AM166" s="16">
        <f t="shared" si="70"/>
        <v>21.49207399520234</v>
      </c>
      <c r="AN166" s="16">
        <f t="shared" si="71"/>
        <v>0.29202968829059955</v>
      </c>
      <c r="AO166" s="16">
        <f t="shared" si="89"/>
        <v>1004.6640921287108</v>
      </c>
      <c r="AP166" s="6">
        <f t="shared" si="73"/>
        <v>3908.2216058820459</v>
      </c>
      <c r="AQ166" s="15">
        <f>-X166*V166*W166^(-Parameters!B$53)*Parameters!B$47*Parameters!B$46*M166</f>
        <v>-2.7374529665107921E-6</v>
      </c>
      <c r="AR166" s="5">
        <f>1000*EXP(-(Parameters!$B$55)*'6states'!A166)*AP166*Parameters!B$47*Parameters!B$46*M166</f>
        <v>0.32141194548044444</v>
      </c>
      <c r="AS166" s="5">
        <f>SUM(AR166:AR$204)*EXP(Parameters!$B$55*A166)</f>
        <v>4577.9196499751997</v>
      </c>
      <c r="AT166" s="25">
        <f t="shared" si="83"/>
        <v>0.23681054423397077</v>
      </c>
      <c r="AU166">
        <f>(1/$S166-1/Parameters!$B$13) * LN(Parameters!$B$18) / LN(O166)</f>
        <v>0.19373908899194139</v>
      </c>
      <c r="AV166">
        <f>(Parameters!$B$18*'6states'!S166^+Parameters!$B$19*Parameters!$B$25^'6states'!S166)^((1-'6states'!S166)/'6states'!S166)*Parameters!$B$18*Parameters!$B$26^('6states'!S166-1)</f>
        <v>0.30850408535651785</v>
      </c>
      <c r="AW166">
        <f t="shared" si="84"/>
        <v>0.17234497746996166</v>
      </c>
      <c r="AX166">
        <f t="shared" si="85"/>
        <v>0.12566327032591429</v>
      </c>
      <c r="AY166">
        <f t="shared" si="86"/>
        <v>0.19252140902083581</v>
      </c>
      <c r="AZ166">
        <f>(1/$S166-1/Parameters!$B$13) * LN(Parameters!$B$18) / A166</f>
        <v>6.0110226281354486E-3</v>
      </c>
    </row>
    <row r="167" spans="1:52" x14ac:dyDescent="0.35">
      <c r="A167">
        <f>A166+Parameters!$B$71</f>
        <v>163</v>
      </c>
      <c r="B167" s="7">
        <f t="shared" si="69"/>
        <v>-2.9568713141259393E-6</v>
      </c>
      <c r="C167" s="7">
        <f t="shared" si="87"/>
        <v>9.0949993792235756E-2</v>
      </c>
      <c r="D167" s="7">
        <f t="shared" si="88"/>
        <v>0.22597556464516125</v>
      </c>
      <c r="E167" s="5">
        <f>MAX((1-Parameters!$B$4)^Parameters!B$71*E166 + B166*Parameters!B$71 - IF(B166&gt;0,Parameters!$B$5,0)*B166^2/E166*Parameters!B$71, 0.0001)</f>
        <v>1E-4</v>
      </c>
      <c r="F167" s="5">
        <f>(1-Parameters!$B$4)^Parameters!B$71*F166+C166*Parameters!B$71-Parameters!$B$5*C166^2/F166*Parameters!B$71</f>
        <v>1.3489078639719099</v>
      </c>
      <c r="G167" s="5">
        <f>(1-Parameters!$B$4)^Parameters!B$71*G166+D166*Parameters!B$71-Parameters!$B$5*D166^2/G166*Parameters!B$71</f>
        <v>3.3486387057788312</v>
      </c>
      <c r="H167" s="7">
        <f>MAX(H166 * (1-Parameters!$B$4) ^ Parameters!B$71 + (LN(1+EXP(Parameters!$B$21*(-B166+0.004)))/Parameters!$B$21 -0.004) * Parameters!B$71,0)</f>
        <v>7.3588475581808938E-3</v>
      </c>
      <c r="I167" s="16">
        <f>I166*(1+Parameters!$B$52)^Parameters!B$71</f>
        <v>13.082298753083288</v>
      </c>
      <c r="J167" s="16">
        <f>J166*(1+Parameters!$B$54)^Parameters!B$71</f>
        <v>228.34985770674919</v>
      </c>
      <c r="K167" s="16">
        <f>I167*J167*EXP(-Parameters!$B$43*'6states'!A167)*(Parameters!$B$38/Parameters!$B$39*('6states'!E167+'6states'!H167)/Parameters!$E$25*(EXP(-Parameters!$B$39*Parameters!$E$25*'6states'!H167/('6states'!E167+'6states'!H167))-EXP(-Parameters!$B$39*Parameters!$E$25))  +  Parameters!$B$40*'6states'!E167)</f>
        <v>4.4892632566406826E-2</v>
      </c>
      <c r="L167" s="6">
        <f>L166+K167*Parameters!B$71</f>
        <v>3350.2358112453308</v>
      </c>
      <c r="M167" s="5">
        <f>L167*Parameters!$B$46</f>
        <v>2.0101414867471981</v>
      </c>
      <c r="N167" s="7">
        <f>EXP(-Parameters!$B$47/2*M167^2)</f>
        <v>0.96020476402303001</v>
      </c>
      <c r="O167" s="6">
        <f>MAX((Parameters!$B$63 + Parameters!$B$31*'6states'!A167 - '6states'!L167 + Parameters!$B$48/Parameters!$B$46)/Parameters!B$63,1)</f>
        <v>153.42728377509337</v>
      </c>
      <c r="P167" s="5">
        <f>Parameters!B$62*EXP(-Parameters!B$61*A167)</f>
        <v>6.1325343498948078E-3</v>
      </c>
      <c r="Q167" s="5">
        <f>(1-Parameters!B$62)*O167^-Parameters!B$64</f>
        <v>0.30225935042434787</v>
      </c>
      <c r="R167" s="5">
        <f>Parameters!B$62*EXP(-Parameters!B$61*A167)+(1-Parameters!B$62)*O167^-Parameters!B$64</f>
        <v>0.30839188477424267</v>
      </c>
      <c r="S167" s="5">
        <f>1-R167/Parameters!$B$12</f>
        <v>0.84580405761287869</v>
      </c>
      <c r="T167" s="5">
        <f t="shared" si="74"/>
        <v>6.485254958845931</v>
      </c>
      <c r="U167" s="5">
        <f>(Parameters!$B$19*(E167+Parameters!$B$20)^S167+Parameters!$B$18*F167^S167)^(1/S167)</f>
        <v>0.34411240565469048</v>
      </c>
      <c r="V167" s="5">
        <f>(Parameters!$B$10*G167^Parameters!$B$9+Parameters!$B$11*U167^Parameters!$B$9)^(Parameters!$B$7/Parameters!$B$9)*N167</f>
        <v>1.3383356517985219</v>
      </c>
      <c r="W167" s="5">
        <f>V167 - C167 - D167 - LN(1+EXP(Parameters!$B$21*B167))/Parameters!$B$21 - IF(B167&gt;0, 0,Parameters!$B$6*B167^2/E167)</f>
        <v>1.0196782662538291</v>
      </c>
      <c r="X167" s="5">
        <f>EXP(-Parameters!$B$56*A167)</f>
        <v>8.5323957692323968E-2</v>
      </c>
      <c r="Y167" s="5">
        <f>IF(W167&gt;0,W167^(1-Parameters!$B$53)/(1-Parameters!$B$53)*X167*Parameters!$B$71,-10+W167*1000)</f>
        <v>-0.24212567273299876</v>
      </c>
      <c r="AA167" s="15">
        <f t="shared" si="77"/>
        <v>0</v>
      </c>
      <c r="AB167" s="15">
        <f t="shared" si="78"/>
        <v>1.5184492009462369E-6</v>
      </c>
      <c r="AC167" s="15">
        <f t="shared" si="79"/>
        <v>-2.0700284390773316E-6</v>
      </c>
      <c r="AD167" s="15">
        <f t="shared" si="90"/>
        <v>5.6234509554170927E-13</v>
      </c>
      <c r="AE167" s="15">
        <f t="shared" si="92"/>
        <v>0</v>
      </c>
      <c r="AF167" s="15">
        <f t="shared" si="93"/>
        <v>-9.4024068961195972E-8</v>
      </c>
      <c r="AG167" s="15">
        <f t="shared" si="94"/>
        <v>1.2839963163535639E-7</v>
      </c>
      <c r="AH167" s="15">
        <f t="shared" si="91"/>
        <v>2.1609991041308318E-15</v>
      </c>
      <c r="AI167" s="15"/>
      <c r="AM167" s="16">
        <f t="shared" si="70"/>
        <v>21.98338745558998</v>
      </c>
      <c r="AN167" s="16">
        <f t="shared" si="71"/>
        <v>0.2987341058743751</v>
      </c>
      <c r="AO167" s="16">
        <f t="shared" si="89"/>
        <v>1027.9811182353421</v>
      </c>
      <c r="AP167" s="6">
        <f t="shared" si="73"/>
        <v>3998.0650429983048</v>
      </c>
      <c r="AQ167" s="15">
        <f>-X167*V167*W167^(-Parameters!B$53)*Parameters!B$47*Parameters!B$46*M167</f>
        <v>-2.6964023938424554E-6</v>
      </c>
      <c r="AR167" s="5">
        <f>1000*EXP(-(Parameters!$B$55)*'6states'!A167)*AP167*Parameters!B$47*Parameters!B$46*M167</f>
        <v>0.31746420954024274</v>
      </c>
      <c r="AS167" s="5">
        <f>SUM(AR167:AR$204)*EXP(Parameters!$B$55*A167)</f>
        <v>4643.3303694726519</v>
      </c>
      <c r="AT167" s="25">
        <f t="shared" si="83"/>
        <v>0.23680352618581635</v>
      </c>
      <c r="AU167">
        <f>(1/$S167-1/Parameters!$B$13) * LN(Parameters!$B$18) / LN(O167)</f>
        <v>0.19353400438253088</v>
      </c>
      <c r="AV167">
        <f>(Parameters!$B$18*'6states'!S167^+Parameters!$B$19*Parameters!$B$25^'6states'!S167)^((1-'6states'!S167)/'6states'!S167)*Parameters!$B$18*Parameters!$B$26^('6states'!S167-1)</f>
        <v>0.30852351955554669</v>
      </c>
      <c r="AW167">
        <f t="shared" si="84"/>
        <v>0.17211940708055368</v>
      </c>
      <c r="AX167">
        <f t="shared" si="85"/>
        <v>0.1255389711862942</v>
      </c>
      <c r="AY167">
        <f t="shared" si="86"/>
        <v>0.19253228629808983</v>
      </c>
      <c r="AZ167">
        <f>(1/$S167-1/Parameters!$B$13) * LN(Parameters!$B$18) / A167</f>
        <v>5.9760768385887656E-3</v>
      </c>
    </row>
    <row r="168" spans="1:52" x14ac:dyDescent="0.35">
      <c r="A168">
        <f>A167+Parameters!$B$71</f>
        <v>164</v>
      </c>
      <c r="B168" s="7">
        <f t="shared" si="69"/>
        <v>-2.9568713141259393E-6</v>
      </c>
      <c r="C168" s="7">
        <f t="shared" si="87"/>
        <v>9.0949993792235756E-2</v>
      </c>
      <c r="D168" s="7">
        <f t="shared" si="88"/>
        <v>0.22597556464516125</v>
      </c>
      <c r="E168" s="5">
        <f>MAX((1-Parameters!$B$4)^Parameters!B$71*E167 + B167*Parameters!B$71 - IF(B167&gt;0,Parameters!$B$5,0)*B167^2/E167*Parameters!B$71, 0.0001)</f>
        <v>1E-4</v>
      </c>
      <c r="F168" s="5">
        <f>(1-Parameters!$B$4)^Parameters!B$71*F167+C167*Parameters!B$71-Parameters!$B$5*C167^2/F167*Parameters!B$71</f>
        <v>1.3488792578081252</v>
      </c>
      <c r="G168" s="5">
        <f>(1-Parameters!$B$4)^Parameters!B$71*G167+D167*Parameters!B$71-Parameters!$B$5*D167^2/G167*Parameters!B$71</f>
        <v>3.3487354287176219</v>
      </c>
      <c r="H168" s="7">
        <f>MAX(H167 * (1-Parameters!$B$4) ^ Parameters!B$71 + (LN(1+EXP(Parameters!$B$21*(-B167+0.004)))/Parameters!$B$21 -0.004) * Parameters!B$71,0)</f>
        <v>7.3581883146174396E-3</v>
      </c>
      <c r="I168" s="16">
        <f>I167*(1+Parameters!$B$52)^Parameters!B$71</f>
        <v>13.120237419467228</v>
      </c>
      <c r="J168" s="16">
        <f>J167*(1+Parameters!$B$54)^Parameters!B$71</f>
        <v>232.91685486088417</v>
      </c>
      <c r="K168" s="16">
        <f>I168*J168*EXP(-Parameters!$B$43*'6states'!A168)*(Parameters!$B$38/Parameters!$B$39*('6states'!E168+'6states'!H168)/Parameters!$E$25*(EXP(-Parameters!$B$39*Parameters!$E$25*'6states'!H168/('6states'!E168+'6states'!H168))-EXP(-Parameters!$B$39*Parameters!$E$25))  +  Parameters!$B$40*'6states'!E168)</f>
        <v>4.5466333377715856E-2</v>
      </c>
      <c r="L168" s="6">
        <f>L167+K168*Parameters!B$71</f>
        <v>3350.2812775787083</v>
      </c>
      <c r="M168" s="5">
        <f>L168*Parameters!$B$46</f>
        <v>2.010168766547225</v>
      </c>
      <c r="N168" s="7">
        <f>EXP(-Parameters!$B$47/2*M168^2)</f>
        <v>0.96020370567030888</v>
      </c>
      <c r="O168" s="6">
        <f>MAX((Parameters!$B$63 + Parameters!$B$31*'6states'!A168 - '6states'!L168 + Parameters!$B$48/Parameters!$B$46)/Parameters!B$63,1)</f>
        <v>154.49037444842585</v>
      </c>
      <c r="P168" s="5">
        <f>Parameters!B$62*EXP(-Parameters!B$61*A168)</f>
        <v>5.9691712485042507E-3</v>
      </c>
      <c r="Q168" s="5">
        <f>(1-Parameters!B$62)*O168^-Parameters!B$64</f>
        <v>0.30205071058198191</v>
      </c>
      <c r="R168" s="5">
        <f>Parameters!B$62*EXP(-Parameters!B$61*A168)+(1-Parameters!B$62)*O168^-Parameters!B$64</f>
        <v>0.30801988183048618</v>
      </c>
      <c r="S168" s="5">
        <f>1-R168/Parameters!$B$12</f>
        <v>0.84599005908475688</v>
      </c>
      <c r="T168" s="5">
        <f t="shared" si="74"/>
        <v>6.4930873556424116</v>
      </c>
      <c r="U168" s="5">
        <f>(Parameters!$B$19*(E168+Parameters!$B$20)^S168+Parameters!$B$18*F168^S168)^(1/S168)</f>
        <v>0.34419569760864321</v>
      </c>
      <c r="V168" s="5">
        <f>(Parameters!$B$10*G168^Parameters!$B$9+Parameters!$B$11*U168^Parameters!$B$9)^(Parameters!$B$7/Parameters!$B$9)*N168</f>
        <v>1.3383743856644568</v>
      </c>
      <c r="W168" s="5">
        <f>V168 - C168 - D168 - LN(1+EXP(Parameters!$B$21*B168))/Parameters!$B$21 - IF(B168&gt;0, 0,Parameters!$B$6*B168^2/E168)</f>
        <v>1.019717000119764</v>
      </c>
      <c r="X168" s="5">
        <f>EXP(-Parameters!$B$56*A168)</f>
        <v>8.4045244512203479E-2</v>
      </c>
      <c r="Y168" s="5">
        <f>IF(W168&gt;0,W168^(1-Parameters!$B$53)/(1-Parameters!$B$53)*X168*Parameters!$B$71,-10+W168*1000)</f>
        <v>-0.23849386940638889</v>
      </c>
      <c r="AA168" s="15">
        <f t="shared" si="77"/>
        <v>0</v>
      </c>
      <c r="AB168" s="15">
        <f t="shared" si="78"/>
        <v>1.4299041665583045E-6</v>
      </c>
      <c r="AC168" s="15">
        <f t="shared" si="79"/>
        <v>-1.9491346140293464E-6</v>
      </c>
      <c r="AD168" s="15">
        <f t="shared" si="90"/>
        <v>4.9113953790215175E-13</v>
      </c>
      <c r="AE168" s="15">
        <f t="shared" si="92"/>
        <v>0</v>
      </c>
      <c r="AF168" s="15">
        <f t="shared" si="93"/>
        <v>-8.8545034387932375E-8</v>
      </c>
      <c r="AG168" s="15">
        <f t="shared" si="94"/>
        <v>1.2089382504798518E-7</v>
      </c>
      <c r="AH168" s="15">
        <f t="shared" si="91"/>
        <v>1.887281354113215E-15</v>
      </c>
      <c r="AI168" s="15"/>
      <c r="AM168" s="16">
        <f t="shared" si="70"/>
        <v>22.486067466281387</v>
      </c>
      <c r="AN168" s="16">
        <f t="shared" si="71"/>
        <v>0.30559244347703901</v>
      </c>
      <c r="AO168" s="16">
        <f t="shared" si="89"/>
        <v>1051.8360426650931</v>
      </c>
      <c r="AP168" s="6">
        <f t="shared" si="73"/>
        <v>4089.9709880228224</v>
      </c>
      <c r="AQ168" s="15">
        <f>-X168*V168*W168^(-Parameters!B$53)*Parameters!B$47*Parameters!B$46*M168</f>
        <v>-2.655969291381287E-6</v>
      </c>
      <c r="AR168" s="5">
        <f>1000*EXP(-(Parameters!$B$55)*'6states'!A168)*AP168*Parameters!B$47*Parameters!B$46*M168</f>
        <v>0.31356479737922305</v>
      </c>
      <c r="AS168" s="5">
        <f>SUM(AR168:AR$204)*EXP(Parameters!$B$55*A168)</f>
        <v>4708.8206413886746</v>
      </c>
      <c r="AT168" s="25">
        <f t="shared" si="83"/>
        <v>0.23679667285977063</v>
      </c>
      <c r="AU168">
        <f>(1/$S168-1/Parameters!$B$13) * LN(Parameters!$B$18) / LN(O168)</f>
        <v>0.19333030000281484</v>
      </c>
      <c r="AV168">
        <f>(Parameters!$B$18*'6states'!S168^+Parameters!$B$19*Parameters!$B$25^'6states'!S168)^((1-'6states'!S168)/'6states'!S168)*Parameters!$B$18*Parameters!$B$26^('6states'!S168-1)</f>
        <v>0.30854256976242422</v>
      </c>
      <c r="AW168">
        <f t="shared" si="84"/>
        <v>0.17189585135711682</v>
      </c>
      <c r="AX168">
        <f t="shared" si="85"/>
        <v>0.1254154910932509</v>
      </c>
      <c r="AY168">
        <f t="shared" si="86"/>
        <v>0.19254294851359488</v>
      </c>
      <c r="AZ168">
        <f>(1/$S168-1/Parameters!$B$13) * LN(Parameters!$B$18) / A168</f>
        <v>5.941525558611346E-3</v>
      </c>
    </row>
    <row r="169" spans="1:52" x14ac:dyDescent="0.35">
      <c r="A169">
        <f>A168+Parameters!$B$71</f>
        <v>165</v>
      </c>
      <c r="B169" s="7">
        <f t="shared" si="69"/>
        <v>-2.9568713141259393E-6</v>
      </c>
      <c r="C169" s="7">
        <f t="shared" ref="C169:C204" si="95">C168</f>
        <v>9.0949993792235756E-2</v>
      </c>
      <c r="D169" s="7">
        <f t="shared" ref="D169:D204" si="96">D168</f>
        <v>0.22597556464516125</v>
      </c>
      <c r="E169" s="5">
        <f>MAX((1-Parameters!$B$4)^Parameters!B$71*E168 + B168*Parameters!B$71 - IF(B168&gt;0,Parameters!$B$5,0)*B168^2/E168*Parameters!B$71, 0.0001)</f>
        <v>1E-4</v>
      </c>
      <c r="F169" s="5">
        <f>(1-Parameters!$B$4)^Parameters!B$71*F168+C168*Parameters!B$71-Parameters!$B$5*C168^2/F168*Parameters!B$71</f>
        <v>1.3488523209222674</v>
      </c>
      <c r="G169" s="5">
        <f>(1-Parameters!$B$4)^Parameters!B$71*G168+D168*Parameters!B$71-Parameters!$B$5*D168^2/G168*Parameters!B$71</f>
        <v>3.3488265082403577</v>
      </c>
      <c r="H169" s="7">
        <f>MAX(H168 * (1-Parameters!$B$4) ^ Parameters!B$71 + (LN(1+EXP(Parameters!$B$21*(-B168+0.004)))/Parameters!$B$21 -0.004) * Parameters!B$71,0)</f>
        <v>7.3575705374741267E-3</v>
      </c>
      <c r="I169" s="16">
        <f>I168*(1+Parameters!$B$52)^Parameters!B$71</f>
        <v>13.158286107983683</v>
      </c>
      <c r="J169" s="16">
        <f>J168*(1+Parameters!$B$54)^Parameters!B$71</f>
        <v>237.57519195810187</v>
      </c>
      <c r="K169" s="16">
        <f>I169*J169*EXP(-Parameters!$B$43*'6states'!A169)*(Parameters!$B$38/Parameters!$B$39*('6states'!E169+'6states'!H169)/Parameters!$E$25*(EXP(-Parameters!$B$39*Parameters!$E$25*'6states'!H169/('6states'!E169+'6states'!H169))-EXP(-Parameters!$B$39*Parameters!$E$25))  +  Parameters!$B$40*'6states'!E169)</f>
        <v>4.6047365739929375E-2</v>
      </c>
      <c r="L169" s="6">
        <f>L168+K169*Parameters!B$71</f>
        <v>3350.3273249444483</v>
      </c>
      <c r="M169" s="5">
        <f>L169*Parameters!$B$46</f>
        <v>2.0101963949666688</v>
      </c>
      <c r="N169" s="7">
        <f>EXP(-Parameters!$B$47/2*M169^2)</f>
        <v>0.96020263377902693</v>
      </c>
      <c r="O169" s="6">
        <f>MAX((Parameters!$B$63 + Parameters!$B$31*'6states'!A169 - '6states'!L169 + Parameters!$B$48/Parameters!$B$46)/Parameters!B$63,1)</f>
        <v>155.55345350111102</v>
      </c>
      <c r="P169" s="5">
        <f>Parameters!B$62*EXP(-Parameters!B$61*A169)</f>
        <v>5.8101599373154723E-3</v>
      </c>
      <c r="Q169" s="5">
        <f>(1-Parameters!B$62)*O169^-Parameters!B$64</f>
        <v>0.30184364633050026</v>
      </c>
      <c r="R169" s="5">
        <f>Parameters!B$62*EXP(-Parameters!B$61*A169)+(1-Parameters!B$62)*O169^-Parameters!B$64</f>
        <v>0.30765380626781574</v>
      </c>
      <c r="S169" s="5">
        <f>1-R169/Parameters!$B$12</f>
        <v>0.8461730968660921</v>
      </c>
      <c r="T169" s="5">
        <f t="shared" si="74"/>
        <v>6.5008134443783847</v>
      </c>
      <c r="U169" s="5">
        <f>(Parameters!$B$19*(E169+Parameters!$B$20)^S169+Parameters!$B$18*F169^S169)^(1/S169)</f>
        <v>0.34427795274196443</v>
      </c>
      <c r="V169" s="5">
        <f>(Parameters!$B$10*G169^Parameters!$B$9+Parameters!$B$11*U169^Parameters!$B$9)^(Parameters!$B$7/Parameters!$B$9)*N169</f>
        <v>1.338412222906481</v>
      </c>
      <c r="W169" s="5">
        <f>V169 - C169 - D169 - LN(1+EXP(Parameters!$B$21*B169))/Parameters!$B$21 - IF(B169&gt;0, 0,Parameters!$B$6*B169^2/E169)</f>
        <v>1.0197548373617882</v>
      </c>
      <c r="X169" s="5">
        <f>EXP(-Parameters!$B$56*A169)</f>
        <v>8.2785694852402933E-2</v>
      </c>
      <c r="Y169" s="5">
        <f>IF(W169&gt;0,W169^(1-Parameters!$B$53)/(1-Parameters!$B$53)*X169*Parameters!$B$71,-10+W169*1000)</f>
        <v>-0.23491661431484179</v>
      </c>
      <c r="AA169" s="15">
        <f t="shared" si="77"/>
        <v>0</v>
      </c>
      <c r="AB169" s="15">
        <f t="shared" si="78"/>
        <v>1.346519291164916E-6</v>
      </c>
      <c r="AC169" s="15">
        <f t="shared" si="79"/>
        <v>-1.8353070835863683E-6</v>
      </c>
      <c r="AD169" s="15">
        <f t="shared" si="90"/>
        <v>4.2895128738235783E-13</v>
      </c>
      <c r="AE169" s="15">
        <f t="shared" si="92"/>
        <v>0</v>
      </c>
      <c r="AF169" s="15">
        <f t="shared" si="93"/>
        <v>-8.3384875393388569E-8</v>
      </c>
      <c r="AG169" s="15">
        <f t="shared" si="94"/>
        <v>1.1382753044297811E-7</v>
      </c>
      <c r="AH169" s="15">
        <f t="shared" si="91"/>
        <v>1.6482420022281589E-15</v>
      </c>
      <c r="AI169" s="15"/>
      <c r="AM169" s="16">
        <f t="shared" si="70"/>
        <v>23.000371380949602</v>
      </c>
      <c r="AN169" s="16">
        <f t="shared" si="71"/>
        <v>0.31260823479438488</v>
      </c>
      <c r="AO169" s="16">
        <f t="shared" si="89"/>
        <v>1076.2412308529015</v>
      </c>
      <c r="AP169" s="6">
        <f t="shared" si="73"/>
        <v>4183.9868243002384</v>
      </c>
      <c r="AQ169" s="15">
        <f>-X169*V169*W169^(-Parameters!B$53)*Parameters!B$47*Parameters!B$46*M169</f>
        <v>-2.6161443003939461E-6</v>
      </c>
      <c r="AR169" s="5">
        <f>1000*EXP(-(Parameters!$B$55)*'6states'!A169)*AP169*Parameters!B$47*Parameters!B$46*M169</f>
        <v>0.3097131276028175</v>
      </c>
      <c r="AS169" s="5">
        <f>SUM(AR169:AR$204)*EXP(Parameters!$B$55*A169)</f>
        <v>4774.3414427514308</v>
      </c>
      <c r="AT169" s="25">
        <f t="shared" si="83"/>
        <v>0.23678997855971257</v>
      </c>
      <c r="AU169">
        <f>(1/$S169-1/Parameters!$B$13) * LN(Parameters!$B$18) / LN(O169)</f>
        <v>0.1931279639049964</v>
      </c>
      <c r="AV169">
        <f>(Parameters!$B$18*'6states'!S169^+Parameters!$B$19*Parameters!$B$25^'6states'!S169)^((1-'6states'!S169)/'6states'!S169)*Parameters!$B$18*Parameters!$B$26^('6states'!S169-1)</f>
        <v>0.3085612467506042</v>
      </c>
      <c r="AW169">
        <f t="shared" si="84"/>
        <v>0.17167428018472464</v>
      </c>
      <c r="AX169">
        <f t="shared" si="85"/>
        <v>0.12529282315476431</v>
      </c>
      <c r="AY169">
        <f t="shared" si="86"/>
        <v>0.19255340170554591</v>
      </c>
      <c r="AZ169">
        <f>(1/$S169-1/Parameters!$B$13) * LN(Parameters!$B$18) / A169</f>
        <v>5.9073623726924266E-3</v>
      </c>
    </row>
    <row r="170" spans="1:52" x14ac:dyDescent="0.35">
      <c r="A170">
        <f>A169+Parameters!$B$71</f>
        <v>166</v>
      </c>
      <c r="B170" s="7">
        <f t="shared" si="69"/>
        <v>-2.9568713141259393E-6</v>
      </c>
      <c r="C170" s="7">
        <f t="shared" si="95"/>
        <v>9.0949993792235756E-2</v>
      </c>
      <c r="D170" s="7">
        <f t="shared" si="96"/>
        <v>0.22597556464516125</v>
      </c>
      <c r="E170" s="5">
        <f>MAX((1-Parameters!$B$4)^Parameters!B$71*E169 + B169*Parameters!B$71 - IF(B169&gt;0,Parameters!$B$5,0)*B169^2/E169*Parameters!B$71, 0.0001)</f>
        <v>1E-4</v>
      </c>
      <c r="F170" s="5">
        <f>(1-Parameters!$B$4)^Parameters!B$71*F169+C169*Parameters!B$71-Parameters!$B$5*C169^2/F169*Parameters!B$71</f>
        <v>1.3488269559006087</v>
      </c>
      <c r="G170" s="5">
        <f>(1-Parameters!$B$4)^Parameters!B$71*G169+D169*Parameters!B$71-Parameters!$B$5*D169^2/G169*Parameters!B$71</f>
        <v>3.3489122735956673</v>
      </c>
      <c r="H170" s="7">
        <f>MAX(H169 * (1-Parameters!$B$4) ^ Parameters!B$71 + (LN(1+EXP(Parameters!$B$21*(-B169+0.004)))/Parameters!$B$21 -0.004) * Parameters!B$71,0)</f>
        <v>7.3569916185131281E-3</v>
      </c>
      <c r="I170" s="16">
        <f>I169*(1+Parameters!$B$52)^Parameters!B$71</f>
        <v>13.196445137696834</v>
      </c>
      <c r="J170" s="16">
        <f>J169*(1+Parameters!$B$54)^Parameters!B$71</f>
        <v>242.32669579726391</v>
      </c>
      <c r="K170" s="16">
        <f>I170*J170*EXP(-Parameters!$B$43*'6states'!A170)*(Parameters!$B$38/Parameters!$B$39*('6states'!E170+'6states'!H170)/Parameters!$E$25*(EXP(-Parameters!$B$39*Parameters!$E$25*'6states'!H170/('6states'!E170+'6states'!H170))-EXP(-Parameters!$B$39*Parameters!$E$25))  +  Parameters!$B$40*'6states'!E170)</f>
        <v>4.6635823345853096E-2</v>
      </c>
      <c r="L170" s="6">
        <f>L169+K170*Parameters!B$71</f>
        <v>3350.373960767794</v>
      </c>
      <c r="M170" s="5">
        <f>L170*Parameters!$B$46</f>
        <v>2.0102243764606764</v>
      </c>
      <c r="N170" s="7">
        <f>EXP(-Parameters!$B$47/2*M170^2)</f>
        <v>0.96020154817582359</v>
      </c>
      <c r="O170" s="6">
        <f>MAX((Parameters!$B$63 + Parameters!$B$31*'6states'!A170 - '6states'!L170 + Parameters!$B$48/Parameters!$B$46)/Parameters!B$63,1)</f>
        <v>156.61652078464414</v>
      </c>
      <c r="P170" s="5">
        <f>Parameters!B$62*EXP(-Parameters!B$61*A170)</f>
        <v>5.6553844900403497E-3</v>
      </c>
      <c r="Q170" s="5">
        <f>(1-Parameters!B$62)*O170^-Parameters!B$64</f>
        <v>0.30163813515193877</v>
      </c>
      <c r="R170" s="5">
        <f>Parameters!B$62*EXP(-Parameters!B$61*A170)+(1-Parameters!B$62)*O170^-Parameters!B$64</f>
        <v>0.3072935196419791</v>
      </c>
      <c r="S170" s="5">
        <f>1-R170/Parameters!$B$12</f>
        <v>0.84635324017901048</v>
      </c>
      <c r="T170" s="5">
        <f t="shared" si="74"/>
        <v>6.5084353302671536</v>
      </c>
      <c r="U170" s="5">
        <f>(Parameters!$B$19*(E170+Parameters!$B$20)^S170+Parameters!$B$18*F170^S170)^(1/S170)</f>
        <v>0.34435918133010301</v>
      </c>
      <c r="V170" s="5">
        <f>(Parameters!$B$10*G170^Parameters!$B$9+Parameters!$B$11*U170^Parameters!$B$9)^(Parameters!$B$7/Parameters!$B$9)*N170</f>
        <v>1.3384491941522119</v>
      </c>
      <c r="W170" s="5">
        <f>V170 - C170 - D170 - LN(1+EXP(Parameters!$B$21*B170))/Parameters!$B$21 - IF(B170&gt;0, 0,Parameters!$B$6*B170^2/E170)</f>
        <v>1.0197918086075191</v>
      </c>
      <c r="X170" s="5">
        <f>EXP(-Parameters!$B$56*A170)</f>
        <v>8.1545021517547445E-2</v>
      </c>
      <c r="Y170" s="5">
        <f>IF(W170&gt;0,W170^(1-Parameters!$B$53)/(1-Parameters!$B$53)*X170*Parameters!$B$71,-10+W170*1000)</f>
        <v>-0.23139308464076691</v>
      </c>
      <c r="AA170" s="15">
        <f t="shared" si="77"/>
        <v>0</v>
      </c>
      <c r="AB170" s="15">
        <f t="shared" si="78"/>
        <v>1.2679942118509757E-6</v>
      </c>
      <c r="AC170" s="15">
        <f t="shared" si="79"/>
        <v>-1.7281321566531282E-6</v>
      </c>
      <c r="AD170" s="15">
        <f t="shared" si="90"/>
        <v>3.7463822099015327E-13</v>
      </c>
      <c r="AE170" s="15">
        <f t="shared" si="92"/>
        <v>0</v>
      </c>
      <c r="AF170" s="15">
        <f t="shared" si="93"/>
        <v>-7.852507931394026E-8</v>
      </c>
      <c r="AG170" s="15">
        <f t="shared" si="94"/>
        <v>1.0717492693324004E-7</v>
      </c>
      <c r="AH170" s="15">
        <f t="shared" si="91"/>
        <v>1.4394859723478826E-15</v>
      </c>
      <c r="AI170" s="15"/>
      <c r="AM170" s="16">
        <f t="shared" si="70"/>
        <v>23.526562610566071</v>
      </c>
      <c r="AN170" s="16">
        <f t="shared" si="71"/>
        <v>0.31978509464879434</v>
      </c>
      <c r="AO170" s="16">
        <f t="shared" si="89"/>
        <v>1101.2093339482833</v>
      </c>
      <c r="AP170" s="6">
        <f t="shared" si="73"/>
        <v>4280.1610223456755</v>
      </c>
      <c r="AQ170" s="15">
        <f>-X170*V170*W170^(-Parameters!B$53)*Parameters!B$47*Parameters!B$46*M170</f>
        <v>-2.576918207864951E-6</v>
      </c>
      <c r="AR170" s="5">
        <f>1000*EXP(-(Parameters!$B$55)*'6states'!A170)*AP170*Parameters!B$47*Parameters!B$46*M170</f>
        <v>0.30590862527018658</v>
      </c>
      <c r="AS170" s="5">
        <f>SUM(AR170:AR$204)*EXP(Parameters!$B$55*A170)</f>
        <v>4839.8408060554584</v>
      </c>
      <c r="AT170" s="25">
        <f t="shared" si="83"/>
        <v>0.23678343784040684</v>
      </c>
      <c r="AU170">
        <f>(1/$S170-1/Parameters!$B$13) * LN(Parameters!$B$18) / LN(O170)</f>
        <v>0.19292698423901442</v>
      </c>
      <c r="AV170">
        <f>(Parameters!$B$18*'6states'!S170^+Parameters!$B$19*Parameters!$B$25^'6states'!S170)^((1-'6states'!S170)/'6states'!S170)*Parameters!$B$18*Parameters!$B$26^('6states'!S170-1)</f>
        <v>0.30857956094137412</v>
      </c>
      <c r="AW170">
        <f t="shared" si="84"/>
        <v>0.17145466406938473</v>
      </c>
      <c r="AX170">
        <f t="shared" si="85"/>
        <v>0.12517096053174159</v>
      </c>
      <c r="AY170">
        <f t="shared" si="86"/>
        <v>0.19256365171456236</v>
      </c>
      <c r="AZ170">
        <f>(1/$S170-1/Parameters!$B$13) * LN(Parameters!$B$18) / A170</f>
        <v>5.8735809996653364E-3</v>
      </c>
    </row>
    <row r="171" spans="1:52" x14ac:dyDescent="0.35">
      <c r="A171">
        <f>A170+Parameters!$B$71</f>
        <v>167</v>
      </c>
      <c r="B171" s="7">
        <f t="shared" si="69"/>
        <v>-2.9568713141259393E-6</v>
      </c>
      <c r="C171" s="7">
        <f t="shared" si="95"/>
        <v>9.0949993792235756E-2</v>
      </c>
      <c r="D171" s="7">
        <f t="shared" si="96"/>
        <v>0.22597556464516125</v>
      </c>
      <c r="E171" s="5">
        <f>MAX((1-Parameters!$B$4)^Parameters!B$71*E170 + B170*Parameters!B$71 - IF(B170&gt;0,Parameters!$B$5,0)*B170^2/E170*Parameters!B$71, 0.0001)</f>
        <v>1E-4</v>
      </c>
      <c r="F171" s="5">
        <f>(1-Parameters!$B$4)^Parameters!B$71*F170+C170*Parameters!B$71-Parameters!$B$5*C170^2/F170*Parameters!B$71</f>
        <v>1.3488030710147469</v>
      </c>
      <c r="G171" s="5">
        <f>(1-Parameters!$B$4)^Parameters!B$71*G170+D170*Parameters!B$71-Parameters!$B$5*D170^2/G170*Parameters!B$71</f>
        <v>3.3489930348257686</v>
      </c>
      <c r="H171" s="7">
        <f>MAX(H170 * (1-Parameters!$B$4) ^ Parameters!B$71 + (LN(1+EXP(Parameters!$B$21*(-B170+0.004)))/Parameters!$B$21 -0.004) * Parameters!B$71,0)</f>
        <v>7.3564491135547768E-3</v>
      </c>
      <c r="I171" s="16">
        <f>I170*(1+Parameters!$B$52)^Parameters!B$71</f>
        <v>13.234714828596154</v>
      </c>
      <c r="J171" s="16">
        <f>J170*(1+Parameters!$B$54)^Parameters!B$71</f>
        <v>247.1732297132092</v>
      </c>
      <c r="K171" s="16">
        <f>I171*J171*EXP(-Parameters!$B$43*'6states'!A171)*(Parameters!$B$38/Parameters!$B$39*('6states'!E171+'6states'!H171)/Parameters!$E$25*(EXP(-Parameters!$B$39*Parameters!$E$25*'6states'!H171/('6states'!E171+'6states'!H171))-EXP(-Parameters!$B$39*Parameters!$E$25))  +  Parameters!$B$40*'6states'!E171)</f>
        <v>4.723180108563043E-2</v>
      </c>
      <c r="L171" s="6">
        <f>L170+K171*Parameters!B$71</f>
        <v>3350.4211925688796</v>
      </c>
      <c r="M171" s="5">
        <f>L171*Parameters!$B$46</f>
        <v>2.0102527155413275</v>
      </c>
      <c r="N171" s="7">
        <f>EXP(-Parameters!$B$47/2*M171^2)</f>
        <v>0.96020044868511389</v>
      </c>
      <c r="O171" s="6">
        <f>MAX((Parameters!$B$63 + Parameters!$B$31*'6states'!A171 - '6states'!L171 + Parameters!$B$48/Parameters!$B$46)/Parameters!B$63,1)</f>
        <v>157.6795761486224</v>
      </c>
      <c r="P171" s="5">
        <f>Parameters!B$62*EXP(-Parameters!B$61*A171)</f>
        <v>5.5047320685231525E-3</v>
      </c>
      <c r="Q171" s="5">
        <f>(1-Parameters!B$62)*O171^-Parameters!B$64</f>
        <v>0.30143415500089438</v>
      </c>
      <c r="R171" s="5">
        <f>Parameters!B$62*EXP(-Parameters!B$61*A171)+(1-Parameters!B$62)*O171^-Parameters!B$64</f>
        <v>0.30693888706941752</v>
      </c>
      <c r="S171" s="5">
        <f>1-R171/Parameters!$B$12</f>
        <v>0.84653055646529118</v>
      </c>
      <c r="T171" s="5">
        <f t="shared" si="74"/>
        <v>6.5159550785354803</v>
      </c>
      <c r="U171" s="5">
        <f>(Parameters!$B$19*(E171+Parameters!$B$20)^S171+Parameters!$B$18*F171^S171)^(1/S171)</f>
        <v>0.34443939413449282</v>
      </c>
      <c r="V171" s="5">
        <f>(Parameters!$B$10*G171^Parameters!$B$9+Parameters!$B$11*U171^Parameters!$B$9)^(Parameters!$B$7/Parameters!$B$9)*N171</f>
        <v>1.3384853286910727</v>
      </c>
      <c r="W171" s="5">
        <f>V171 - C171 - D171 - LN(1+EXP(Parameters!$B$21*B171))/Parameters!$B$21 - IF(B171&gt;0, 0,Parameters!$B$6*B171^2/E171)</f>
        <v>1.0198279431463799</v>
      </c>
      <c r="X171" s="5">
        <f>EXP(-Parameters!$B$56*A171)</f>
        <v>8.0322941616334922E-2</v>
      </c>
      <c r="Y171" s="5">
        <f>IF(W171&gt;0,W171^(1-Parameters!$B$53)/(1-Parameters!$B$53)*X171*Parameters!$B$71,-10+W171*1000)</f>
        <v>-0.22792247017249945</v>
      </c>
      <c r="AA171" s="15">
        <f t="shared" si="77"/>
        <v>0</v>
      </c>
      <c r="AB171" s="15">
        <f t="shared" si="78"/>
        <v>1.1940460088871729E-6</v>
      </c>
      <c r="AC171" s="15">
        <f t="shared" si="79"/>
        <v>-1.6272204366035714E-6</v>
      </c>
      <c r="AD171" s="15">
        <f t="shared" si="90"/>
        <v>3.2720291010719911E-13</v>
      </c>
      <c r="AE171" s="15">
        <f t="shared" si="92"/>
        <v>0</v>
      </c>
      <c r="AF171" s="15">
        <f t="shared" si="93"/>
        <v>-7.3948202963802778E-8</v>
      </c>
      <c r="AG171" s="15">
        <f t="shared" si="94"/>
        <v>1.0091172004955684E-7</v>
      </c>
      <c r="AH171" s="15">
        <f t="shared" si="91"/>
        <v>1.257175481766914E-15</v>
      </c>
      <c r="AI171" s="15"/>
      <c r="AM171" s="16">
        <f t="shared" si="70"/>
        <v>24.064910756298733</v>
      </c>
      <c r="AN171" s="16">
        <f t="shared" si="71"/>
        <v>0.32712672085174133</v>
      </c>
      <c r="AO171" s="16">
        <f t="shared" si="89"/>
        <v>1126.7532953537714</v>
      </c>
      <c r="AP171" s="6">
        <f t="shared" si="73"/>
        <v>4378.5431648287577</v>
      </c>
      <c r="AQ171" s="15">
        <f>-X171*V171*W171^(-Parameters!B$53)*Parameters!B$47*Parameters!B$46*M171</f>
        <v>-2.5382819439962159E-6</v>
      </c>
      <c r="AR171" s="5">
        <f>1000*EXP(-(Parameters!$B$55)*'6states'!A171)*AP171*Parameters!B$47*Parameters!B$46*M171</f>
        <v>0.30215072185468284</v>
      </c>
      <c r="AS171" s="5">
        <f>SUM(AR171:AR$204)*EXP(Parameters!$B$55*A171)</f>
        <v>4905.2636866315761</v>
      </c>
      <c r="AT171" s="25">
        <f t="shared" si="83"/>
        <v>0.23677704549515444</v>
      </c>
      <c r="AU171">
        <f>(1/$S171-1/Parameters!$B$13) * LN(Parameters!$B$18) / LN(O171)</f>
        <v>0.19272734925155233</v>
      </c>
      <c r="AV171">
        <f>(Parameters!$B$18*'6states'!S171^+Parameters!$B$19*Parameters!$B$25^'6states'!S171)^((1-'6states'!S171)/'6states'!S171)*Parameters!$B$18*Parameters!$B$26^('6states'!S171-1)</f>
        <v>0.30859752241675131</v>
      </c>
      <c r="AW171">
        <f t="shared" si="84"/>
        <v>0.17123697412167968</v>
      </c>
      <c r="AX171">
        <f t="shared" si="85"/>
        <v>0.12504989643752107</v>
      </c>
      <c r="AY171">
        <f t="shared" si="86"/>
        <v>0.19257370419093367</v>
      </c>
      <c r="AZ171">
        <f>(1/$S171-1/Parameters!$B$13) * LN(Parameters!$B$18) / A171</f>
        <v>5.8401752892641495E-3</v>
      </c>
    </row>
    <row r="172" spans="1:52" x14ac:dyDescent="0.35">
      <c r="A172">
        <f>A171+Parameters!$B$71</f>
        <v>168</v>
      </c>
      <c r="B172" s="7">
        <f t="shared" si="69"/>
        <v>-2.9568713141259393E-6</v>
      </c>
      <c r="C172" s="7">
        <f t="shared" si="95"/>
        <v>9.0949993792235756E-2</v>
      </c>
      <c r="D172" s="7">
        <f t="shared" si="96"/>
        <v>0.22597556464516125</v>
      </c>
      <c r="E172" s="5">
        <f>MAX((1-Parameters!$B$4)^Parameters!B$71*E171 + B171*Parameters!B$71 - IF(B171&gt;0,Parameters!$B$5,0)*B171^2/E171*Parameters!B$71, 0.0001)</f>
        <v>1E-4</v>
      </c>
      <c r="F172" s="5">
        <f>(1-Parameters!$B$4)^Parameters!B$71*F171+C171*Parameters!B$71-Parameters!$B$5*C171^2/F171*Parameters!B$71</f>
        <v>1.3487805798897288</v>
      </c>
      <c r="G172" s="5">
        <f>(1-Parameters!$B$4)^Parameters!B$71*G171+D171*Parameters!B$71-Parameters!$B$5*D171^2/G171*Parameters!B$71</f>
        <v>3.3490690838865533</v>
      </c>
      <c r="H172" s="7">
        <f>MAX(H171 * (1-Parameters!$B$4) ^ Parameters!B$71 + (LN(1+EXP(Parameters!$B$21*(-B171+0.004)))/Parameters!$B$21 -0.004) * Parameters!B$71,0)</f>
        <v>7.3559407321583054E-3</v>
      </c>
      <c r="I172" s="16">
        <f>I171*(1+Parameters!$B$52)^Parameters!B$71</f>
        <v>13.273095501599082</v>
      </c>
      <c r="J172" s="16">
        <f>J171*(1+Parameters!$B$54)^Parameters!B$71</f>
        <v>252.11669430747338</v>
      </c>
      <c r="K172" s="16">
        <f>I172*J172*EXP(-Parameters!$B$43*'6states'!A172)*(Parameters!$B$38/Parameters!$B$39*('6states'!E172+'6states'!H172)/Parameters!$E$25*(EXP(-Parameters!$B$39*Parameters!$E$25*'6states'!H172/('6states'!E172+'6states'!H172))-EXP(-Parameters!$B$39*Parameters!$E$25))  +  Parameters!$B$40*'6states'!E172)</f>
        <v>4.7835395062043602E-2</v>
      </c>
      <c r="L172" s="6">
        <f>L171+K172*Parameters!B$71</f>
        <v>3350.4690279639417</v>
      </c>
      <c r="M172" s="5">
        <f>L172*Parameters!$B$46</f>
        <v>2.0102814167783647</v>
      </c>
      <c r="N172" s="7">
        <f>EXP(-Parameters!$B$47/2*M172^2)</f>
        <v>0.96019933512905997</v>
      </c>
      <c r="O172" s="6">
        <f>MAX((Parameters!$B$63 + Parameters!$B$31*'6states'!A172 - '6states'!L172 + Parameters!$B$48/Parameters!$B$46)/Parameters!B$63,1)</f>
        <v>158.74261944072117</v>
      </c>
      <c r="P172" s="5">
        <f>Parameters!B$62*EXP(-Parameters!B$61*A172)</f>
        <v>5.3580928404765304E-3</v>
      </c>
      <c r="Q172" s="5">
        <f>(1-Parameters!B$62)*O172^-Parameters!B$64</f>
        <v>0.30123168429150743</v>
      </c>
      <c r="R172" s="5">
        <f>Parameters!B$62*EXP(-Parameters!B$61*A172)+(1-Parameters!B$62)*O172^-Parameters!B$64</f>
        <v>0.30658977713198399</v>
      </c>
      <c r="S172" s="5">
        <f>1-R172/Parameters!$B$12</f>
        <v>0.84670511143400806</v>
      </c>
      <c r="T172" s="5">
        <f t="shared" si="74"/>
        <v>6.5233747149338894</v>
      </c>
      <c r="U172" s="5">
        <f>(Parameters!$B$19*(E172+Parameters!$B$20)^S172+Parameters!$B$18*F172^S172)^(1/S172)</f>
        <v>0.34451860234782444</v>
      </c>
      <c r="V172" s="5">
        <f>(Parameters!$B$10*G172^Parameters!$B$9+Parameters!$B$11*U172^Parameters!$B$9)^(Parameters!$B$7/Parameters!$B$9)*N172</f>
        <v>1.3385206545396151</v>
      </c>
      <c r="W172" s="5">
        <f>V172 - C172 - D172 - LN(1+EXP(Parameters!$B$21*B172))/Parameters!$B$21 - IF(B172&gt;0, 0,Parameters!$B$6*B172^2/E172)</f>
        <v>1.0198632689949223</v>
      </c>
      <c r="X172" s="5">
        <f>EXP(-Parameters!$B$56*A172)</f>
        <v>7.9119176497032498E-2</v>
      </c>
      <c r="Y172" s="5">
        <f>IF(W172&gt;0,W172^(1-Parameters!$B$53)/(1-Parameters!$B$53)*X172*Parameters!$B$71,-10+W172*1000)</f>
        <v>-0.22450397309955092</v>
      </c>
      <c r="AA172" s="15">
        <f t="shared" si="77"/>
        <v>0</v>
      </c>
      <c r="AB172" s="15">
        <f t="shared" si="78"/>
        <v>1.1244081971617526E-6</v>
      </c>
      <c r="AC172" s="15">
        <f t="shared" si="79"/>
        <v>-1.5322053858735085E-6</v>
      </c>
      <c r="AD172" s="15">
        <f t="shared" si="90"/>
        <v>2.8577428313661647E-13</v>
      </c>
      <c r="AE172" s="15">
        <f t="shared" si="92"/>
        <v>0</v>
      </c>
      <c r="AF172" s="15">
        <f t="shared" si="93"/>
        <v>-6.9637811725420384E-8</v>
      </c>
      <c r="AG172" s="15">
        <f t="shared" si="94"/>
        <v>9.5015050730062889E-8</v>
      </c>
      <c r="AH172" s="15">
        <f t="shared" si="91"/>
        <v>1.0979593364615164E-15</v>
      </c>
      <c r="AI172" s="15"/>
      <c r="AM172" s="16">
        <f t="shared" si="70"/>
        <v>24.61569174571629</v>
      </c>
      <c r="AN172" s="16">
        <f t="shared" si="71"/>
        <v>0.33463689610905561</v>
      </c>
      <c r="AO172" s="16">
        <f t="shared" si="89"/>
        <v>1152.8863574150596</v>
      </c>
      <c r="AP172" s="6">
        <f t="shared" si="73"/>
        <v>4479.183972129983</v>
      </c>
      <c r="AQ172" s="15">
        <f>-X172*V172*W172^(-Parameters!B$53)*Parameters!B$47*Parameters!B$46*M172</f>
        <v>-2.500226579763918E-6</v>
      </c>
      <c r="AR172" s="5">
        <f>1000*EXP(-(Parameters!$B$55)*'6states'!A172)*AP172*Parameters!B$47*Parameters!B$46*M172</f>
        <v>0.29843885520236535</v>
      </c>
      <c r="AS172" s="5">
        <f>SUM(AR172:AR$204)*EXP(Parameters!$B$55*A172)</f>
        <v>4970.5518246458969</v>
      </c>
      <c r="AT172" s="25">
        <f t="shared" si="83"/>
        <v>0.23677079654410604</v>
      </c>
      <c r="AU172">
        <f>(1/$S172-1/Parameters!$B$13) * LN(Parameters!$B$18) / LN(O172)</f>
        <v>0.19252904728511125</v>
      </c>
      <c r="AV172">
        <f>(Parameters!$B$18*'6states'!S172^+Parameters!$B$19*Parameters!$B$25^'6states'!S172)^((1-'6states'!S172)/'6states'!S172)*Parameters!$B$18*Parameters!$B$26^('6states'!S172-1)</f>
        <v>0.30861514093185333</v>
      </c>
      <c r="AW172">
        <f t="shared" si="84"/>
        <v>0.17102118204093797</v>
      </c>
      <c r="AX172">
        <f t="shared" si="85"/>
        <v>0.12492962413741604</v>
      </c>
      <c r="AY172">
        <f t="shared" si="86"/>
        <v>0.192583564601568</v>
      </c>
      <c r="AZ172">
        <f>(1/$S172-1/Parameters!$B$13) * LN(Parameters!$B$18) / A172</f>
        <v>5.8071392187854501E-3</v>
      </c>
    </row>
    <row r="173" spans="1:52" x14ac:dyDescent="0.35">
      <c r="A173">
        <f>A172+Parameters!$B$71</f>
        <v>169</v>
      </c>
      <c r="B173" s="7">
        <f t="shared" si="69"/>
        <v>-2.9568713141259393E-6</v>
      </c>
      <c r="C173" s="7">
        <f t="shared" si="95"/>
        <v>9.0949993792235756E-2</v>
      </c>
      <c r="D173" s="7">
        <f t="shared" si="96"/>
        <v>0.22597556464516125</v>
      </c>
      <c r="E173" s="5">
        <f>MAX((1-Parameters!$B$4)^Parameters!B$71*E172 + B172*Parameters!B$71 - IF(B172&gt;0,Parameters!$B$5,0)*B172^2/E172*Parameters!B$71, 0.0001)</f>
        <v>1E-4</v>
      </c>
      <c r="F173" s="5">
        <f>(1-Parameters!$B$4)^Parameters!B$71*F172+C172*Parameters!B$71-Parameters!$B$5*C172^2/F172*Parameters!B$71</f>
        <v>1.3487594011915556</v>
      </c>
      <c r="G173" s="5">
        <f>(1-Parameters!$B$4)^Parameters!B$71*G172+D172*Parameters!B$71-Parameters!$B$5*D172^2/G172*Parameters!B$71</f>
        <v>3.3491406957023919</v>
      </c>
      <c r="H173" s="7">
        <f>MAX(H172 * (1-Parameters!$B$4) ^ Parameters!B$71 + (LN(1+EXP(Parameters!$B$21*(-B172+0.004)))/Parameters!$B$21 -0.004) * Parameters!B$71,0)</f>
        <v>7.3554643279516718E-3</v>
      </c>
      <c r="I173" s="16">
        <f>I172*(1+Parameters!$B$52)^Parameters!B$71</f>
        <v>13.311587478553719</v>
      </c>
      <c r="J173" s="16">
        <f>J172*(1+Parameters!$B$54)^Parameters!B$71</f>
        <v>257.15902819362287</v>
      </c>
      <c r="K173" s="16">
        <f>I173*J173*EXP(-Parameters!$B$43*'6states'!A173)*(Parameters!$B$38/Parameters!$B$39*('6states'!E173+'6states'!H173)/Parameters!$E$25*(EXP(-Parameters!$B$39*Parameters!$E$25*'6states'!H173/('6states'!E173+'6states'!H173))-EXP(-Parameters!$B$39*Parameters!$E$25))  +  Parameters!$B$40*'6states'!E173)</f>
        <v>4.844670260601059E-2</v>
      </c>
      <c r="L173" s="6">
        <f>L172+K173*Parameters!B$71</f>
        <v>3350.5174746665475</v>
      </c>
      <c r="M173" s="5">
        <f>L173*Parameters!$B$46</f>
        <v>2.0103104847999282</v>
      </c>
      <c r="N173" s="7">
        <f>EXP(-Parameters!$B$47/2*M173^2)</f>
        <v>0.9601982073275418</v>
      </c>
      <c r="O173" s="6">
        <f>MAX((Parameters!$B$63 + Parameters!$B$31*'6states'!A173 - '6states'!L173 + Parameters!$B$48/Parameters!$B$46)/Parameters!B$63,1)</f>
        <v>159.80565050666908</v>
      </c>
      <c r="P173" s="5">
        <f>Parameters!B$62*EXP(-Parameters!B$61*A173)</f>
        <v>5.2153598994088947E-3</v>
      </c>
      <c r="Q173" s="5">
        <f>(1-Parameters!B$62)*O173^-Parameters!B$64</f>
        <v>0.30103070188488823</v>
      </c>
      <c r="R173" s="5">
        <f>Parameters!B$62*EXP(-Parameters!B$61*A173)+(1-Parameters!B$62)*O173^-Parameters!B$64</f>
        <v>0.30624606178429714</v>
      </c>
      <c r="S173" s="5">
        <f>1-R173/Parameters!$B$12</f>
        <v>0.84687696910785148</v>
      </c>
      <c r="T173" s="5">
        <f t="shared" si="74"/>
        <v>6.5306962262544639</v>
      </c>
      <c r="U173" s="5">
        <f>(Parameters!$B$19*(E173+Parameters!$B$20)^S173+Parameters!$B$18*F173^S173)^(1/S173)</f>
        <v>0.34459681754314198</v>
      </c>
      <c r="V173" s="5">
        <f>(Parameters!$B$10*G173^Parameters!$B$9+Parameters!$B$11*U173^Parameters!$B$9)^(Parameters!$B$7/Parameters!$B$9)*N173</f>
        <v>1.3385551985033768</v>
      </c>
      <c r="W173" s="5">
        <f>V173 - C173 - D173 - LN(1+EXP(Parameters!$B$21*B173))/Parameters!$B$21 - IF(B173&gt;0, 0,Parameters!$B$6*B173^2/E173)</f>
        <v>1.019897812958684</v>
      </c>
      <c r="X173" s="5">
        <f>EXP(-Parameters!$B$56*A173)</f>
        <v>7.79334516839401E-2</v>
      </c>
      <c r="Y173" s="5">
        <f>IF(W173&gt;0,W173^(1-Parameters!$B$53)/(1-Parameters!$B$53)*X173*Parameters!$B$71,-10+W173*1000)</f>
        <v>-0.22113680781191711</v>
      </c>
      <c r="AA173" s="15">
        <f t="shared" si="77"/>
        <v>0</v>
      </c>
      <c r="AB173" s="15">
        <f t="shared" si="78"/>
        <v>1.0588297757463394E-6</v>
      </c>
      <c r="AC173" s="15">
        <f t="shared" si="79"/>
        <v>-1.4427419766371852E-6</v>
      </c>
      <c r="AD173" s="15">
        <f t="shared" si="90"/>
        <v>2.4959161330791546E-13</v>
      </c>
      <c r="AE173" s="15">
        <f t="shared" si="92"/>
        <v>0</v>
      </c>
      <c r="AF173" s="15">
        <f t="shared" si="93"/>
        <v>-6.5578421415413146E-8</v>
      </c>
      <c r="AG173" s="15">
        <f t="shared" si="94"/>
        <v>8.9463409236323344E-8</v>
      </c>
      <c r="AH173" s="15">
        <f t="shared" si="91"/>
        <v>9.5891118805685397E-16</v>
      </c>
      <c r="AI173" s="15"/>
      <c r="AM173" s="16">
        <f t="shared" si="70"/>
        <v>25.179187972364105</v>
      </c>
      <c r="AN173" s="16">
        <f t="shared" si="71"/>
        <v>0.34231948996992728</v>
      </c>
      <c r="AO173" s="16">
        <f t="shared" si="89"/>
        <v>1179.6220682662845</v>
      </c>
      <c r="AP173" s="6">
        <f t="shared" si="73"/>
        <v>4582.1353284827073</v>
      </c>
      <c r="AQ173" s="15">
        <f>-X173*V173*W173^(-Parameters!B$53)*Parameters!B$47*Parameters!B$46*M173</f>
        <v>-2.4627433245305266E-6</v>
      </c>
      <c r="AR173" s="5">
        <f>1000*EXP(-(Parameters!$B$55)*'6states'!A173)*AP173*Parameters!B$47*Parameters!B$46*M173</f>
        <v>0.29477246948875163</v>
      </c>
      <c r="AS173" s="5">
        <f>SUM(AR173:AR$204)*EXP(Parameters!$B$55*A173)</f>
        <v>5035.6436015215186</v>
      </c>
      <c r="AT173" s="25">
        <f t="shared" si="83"/>
        <v>0.23676468622319827</v>
      </c>
      <c r="AU173">
        <f>(1/$S173-1/Parameters!$B$13) * LN(Parameters!$B$18) / LN(O173)</f>
        <v>0.19233206677714224</v>
      </c>
      <c r="AV173">
        <f>(Parameters!$B$18*'6states'!S173^+Parameters!$B$19*Parameters!$B$25^'6states'!S173)^((1-'6states'!S173)/'6states'!S173)*Parameters!$B$18*Parameters!$B$26^('6states'!S173-1)</f>
        <v>0.30863242592676837</v>
      </c>
      <c r="AW173">
        <f t="shared" si="84"/>
        <v>0.17080726009991526</v>
      </c>
      <c r="AX173">
        <f t="shared" si="85"/>
        <v>0.12481013694829002</v>
      </c>
      <c r="AY173">
        <f t="shared" si="86"/>
        <v>0.19259323823666075</v>
      </c>
      <c r="AZ173">
        <f>(1/$S173-1/Parameters!$B$13) * LN(Parameters!$B$18) / A173</f>
        <v>5.7744668898514562E-3</v>
      </c>
    </row>
    <row r="174" spans="1:52" x14ac:dyDescent="0.35">
      <c r="A174">
        <f>A173+Parameters!$B$71</f>
        <v>170</v>
      </c>
      <c r="B174" s="7">
        <f t="shared" si="69"/>
        <v>-2.9568713141259393E-6</v>
      </c>
      <c r="C174" s="7">
        <f t="shared" si="95"/>
        <v>9.0949993792235756E-2</v>
      </c>
      <c r="D174" s="7">
        <f t="shared" si="96"/>
        <v>0.22597556464516125</v>
      </c>
      <c r="E174" s="5">
        <f>MAX((1-Parameters!$B$4)^Parameters!B$71*E173 + B173*Parameters!B$71 - IF(B173&gt;0,Parameters!$B$5,0)*B173^2/E173*Parameters!B$71, 0.0001)</f>
        <v>1E-4</v>
      </c>
      <c r="F174" s="5">
        <f>(1-Parameters!$B$4)^Parameters!B$71*F173+C173*Parameters!B$71-Parameters!$B$5*C173^2/F173*Parameters!B$71</f>
        <v>1.348739458332936</v>
      </c>
      <c r="G174" s="5">
        <f>(1-Parameters!$B$4)^Parameters!B$71*G173+D173*Parameters!B$71-Parameters!$B$5*D173^2/G173*Parameters!B$71</f>
        <v>3.3492081291594471</v>
      </c>
      <c r="H174" s="7">
        <f>MAX(H173 * (1-Parameters!$B$4) ^ Parameters!B$71 + (LN(1+EXP(Parameters!$B$21*(-B173+0.004)))/Parameters!$B$21 -0.004) * Parameters!B$71,0)</f>
        <v>7.355017889569636E-3</v>
      </c>
      <c r="I174" s="16">
        <f>I173*(1+Parameters!$B$52)^Parameters!B$71</f>
        <v>13.350191082241523</v>
      </c>
      <c r="J174" s="16">
        <f>J173*(1+Parameters!$B$54)^Parameters!B$71</f>
        <v>262.30220875749535</v>
      </c>
      <c r="K174" s="16">
        <f>I174*J174*EXP(-Parameters!$B$43*'6states'!A174)*(Parameters!$B$38/Parameters!$B$39*('6states'!E174+'6states'!H174)/Parameters!$E$25*(EXP(-Parameters!$B$39*Parameters!$E$25*'6states'!H174/('6states'!E174+'6states'!H174))-EXP(-Parameters!$B$39*Parameters!$E$25))  +  Parameters!$B$40*'6states'!E174)</f>
        <v>4.9065822292279869E-2</v>
      </c>
      <c r="L174" s="6">
        <f>L173+K174*Parameters!B$71</f>
        <v>3350.56654048884</v>
      </c>
      <c r="M174" s="5">
        <f>L174*Parameters!$B$46</f>
        <v>2.0103399242933038</v>
      </c>
      <c r="N174" s="7">
        <f>EXP(-Parameters!$B$47/2*M174^2)</f>
        <v>0.96019706509812808</v>
      </c>
      <c r="O174" s="6">
        <f>MAX((Parameters!$B$63 + Parameters!$B$31*'6states'!A174 - '6states'!L174 + Parameters!$B$48/Parameters!$B$46)/Parameters!B$63,1)</f>
        <v>160.86866919022319</v>
      </c>
      <c r="P174" s="5">
        <f>Parameters!B$62*EXP(-Parameters!B$61*A174)</f>
        <v>5.0764291866848815E-3</v>
      </c>
      <c r="Q174" s="5">
        <f>(1-Parameters!B$62)*O174^-Parameters!B$64</f>
        <v>0.30083118707696815</v>
      </c>
      <c r="R174" s="5">
        <f>Parameters!B$62*EXP(-Parameters!B$61*A174)+(1-Parameters!B$62)*O174^-Parameters!B$64</f>
        <v>0.30590761626365304</v>
      </c>
      <c r="S174" s="5">
        <f>1-R174/Parameters!$B$12</f>
        <v>0.84704619186817354</v>
      </c>
      <c r="T174" s="5">
        <f t="shared" si="74"/>
        <v>6.537921560855346</v>
      </c>
      <c r="U174" s="5">
        <f>(Parameters!$B$19*(E174+Parameters!$B$20)^S174+Parameters!$B$18*F174^S174)^(1/S174)</f>
        <v>0.34467405162653264</v>
      </c>
      <c r="V174" s="5">
        <f>(Parameters!$B$10*G174^Parameters!$B$9+Parameters!$B$11*U174^Parameters!$B$9)^(Parameters!$B$7/Parameters!$B$9)*N174</f>
        <v>1.3385889862354665</v>
      </c>
      <c r="W174" s="5">
        <f>V174 - C174 - D174 - LN(1+EXP(Parameters!$B$21*B174))/Parameters!$B$21 - IF(B174&gt;0, 0,Parameters!$B$6*B174^2/E174)</f>
        <v>1.0199316006907737</v>
      </c>
      <c r="X174" s="5">
        <f>EXP(-Parameters!$B$56*A174)</f>
        <v>7.6765496814806045E-2</v>
      </c>
      <c r="Y174" s="5">
        <f>IF(W174&gt;0,W174^(1-Parameters!$B$53)/(1-Parameters!$B$53)*X174*Parameters!$B$71,-10+W174*1000)</f>
        <v>-0.21782020070331556</v>
      </c>
      <c r="AA174" s="15">
        <f t="shared" si="77"/>
        <v>0</v>
      </c>
      <c r="AB174" s="15">
        <f t="shared" si="78"/>
        <v>9.9707433162676828E-7</v>
      </c>
      <c r="AC174" s="15">
        <f t="shared" si="79"/>
        <v>-1.3585054218223647E-6</v>
      </c>
      <c r="AD174" s="15">
        <f t="shared" si="90"/>
        <v>2.1799053636525539E-13</v>
      </c>
      <c r="AE174" s="15">
        <f t="shared" si="92"/>
        <v>0</v>
      </c>
      <c r="AF174" s="15">
        <f t="shared" si="93"/>
        <v>-6.1755444119571123E-8</v>
      </c>
      <c r="AG174" s="15">
        <f t="shared" si="94"/>
        <v>8.4236554814820508E-8</v>
      </c>
      <c r="AH174" s="15">
        <f t="shared" si="91"/>
        <v>8.3747564748799181E-16</v>
      </c>
      <c r="AI174" s="15"/>
      <c r="AM174" s="16">
        <f t="shared" si="70"/>
        <v>25.755688438778911</v>
      </c>
      <c r="AN174" s="16">
        <f t="shared" si="71"/>
        <v>0.3501784608206569</v>
      </c>
      <c r="AO174" s="16">
        <f t="shared" si="89"/>
        <v>1206.9742888339881</v>
      </c>
      <c r="AP174" s="6">
        <f t="shared" si="73"/>
        <v>4687.4503087141911</v>
      </c>
      <c r="AQ174" s="15">
        <f>-X174*V174*W174^(-Parameters!B$53)*Parameters!B$47*Parameters!B$46*M174</f>
        <v>-2.4258235237099305E-6</v>
      </c>
      <c r="AR174" s="5">
        <f>1000*EXP(-(Parameters!$B$55)*'6states'!A174)*AP174*Parameters!B$47*Parameters!B$46*M174</f>
        <v>0.29115101517397324</v>
      </c>
      <c r="AS174" s="5">
        <f>SUM(AR174:AR$204)*EXP(Parameters!$B$55*A174)</f>
        <v>5100.4738905687318</v>
      </c>
      <c r="AT174" s="25">
        <f t="shared" si="83"/>
        <v>0.23675870997367829</v>
      </c>
      <c r="AU174">
        <f>(1/$S174-1/Parameters!$B$13) * LN(Parameters!$B$18) / LN(O174)</f>
        <v>0.19213639625923218</v>
      </c>
      <c r="AV174">
        <f>(Parameters!$B$18*'6states'!S174^+Parameters!$B$19*Parameters!$B$25^'6states'!S174)^((1-'6states'!S174)/'6states'!S174)*Parameters!$B$18*Parameters!$B$26^('6states'!S174-1)</f>
        <v>0.30864938653794566</v>
      </c>
      <c r="AW174">
        <f t="shared" si="84"/>
        <v>0.17059518112996516</v>
      </c>
      <c r="AX174">
        <f t="shared" si="85"/>
        <v>0.12469142823816481</v>
      </c>
      <c r="AY174">
        <f t="shared" si="86"/>
        <v>0.19260273021609164</v>
      </c>
      <c r="AZ174">
        <f>(1/$S174-1/Parameters!$B$13) * LN(Parameters!$B$18) / A174</f>
        <v>5.7421525252709356E-3</v>
      </c>
    </row>
    <row r="175" spans="1:52" x14ac:dyDescent="0.35">
      <c r="A175">
        <f>A174+Parameters!$B$71</f>
        <v>171</v>
      </c>
      <c r="B175" s="7">
        <f t="shared" si="69"/>
        <v>-2.9568713141259393E-6</v>
      </c>
      <c r="C175" s="7">
        <f t="shared" si="95"/>
        <v>9.0949993792235756E-2</v>
      </c>
      <c r="D175" s="7">
        <f t="shared" si="96"/>
        <v>0.22597556464516125</v>
      </c>
      <c r="E175" s="5">
        <f>MAX((1-Parameters!$B$4)^Parameters!B$71*E174 + B174*Parameters!B$71 - IF(B174&gt;0,Parameters!$B$5,0)*B174^2/E174*Parameters!B$71, 0.0001)</f>
        <v>1E-4</v>
      </c>
      <c r="F175" s="5">
        <f>(1-Parameters!$B$4)^Parameters!B$71*F174+C174*Parameters!B$71-Parameters!$B$5*C174^2/F174*Parameters!B$71</f>
        <v>1.3487206791962192</v>
      </c>
      <c r="G175" s="5">
        <f>(1-Parameters!$B$4)^Parameters!B$71*G174+D174*Parameters!B$71-Parameters!$B$5*D174^2/G174*Parameters!B$71</f>
        <v>3.349271628041083</v>
      </c>
      <c r="H175" s="7">
        <f>MAX(H174 * (1-Parameters!$B$4) ^ Parameters!B$71 + (LN(1+EXP(Parameters!$B$21*(-B174+0.004)))/Parameters!$B$21 -0.004) * Parameters!B$71,0)</f>
        <v>7.3545995321618301E-3</v>
      </c>
      <c r="I175" s="16">
        <f>I174*(1+Parameters!$B$52)^Parameters!B$71</f>
        <v>13.388906636380021</v>
      </c>
      <c r="J175" s="16">
        <f>J174*(1+Parameters!$B$54)^Parameters!B$71</f>
        <v>267.54825293264525</v>
      </c>
      <c r="K175" s="16">
        <f>I175*J175*EXP(-Parameters!$B$43*'6states'!A175)*(Parameters!$B$38/Parameters!$B$39*('6states'!E175+'6states'!H175)/Parameters!$E$25*(EXP(-Parameters!$B$39*Parameters!$E$25*'6states'!H175/('6states'!E175+'6states'!H175))-EXP(-Parameters!$B$39*Parameters!$E$25))  +  Parameters!$B$40*'6states'!E175)</f>
        <v>4.9692853955325848E-2</v>
      </c>
      <c r="L175" s="6">
        <f>L174+K175*Parameters!B$71</f>
        <v>3350.6162333427956</v>
      </c>
      <c r="M175" s="5">
        <f>L175*Parameters!$B$46</f>
        <v>2.010369740005677</v>
      </c>
      <c r="N175" s="7">
        <f>EXP(-Parameters!$B$47/2*M175^2)</f>
        <v>0.96019590825604628</v>
      </c>
      <c r="O175" s="6">
        <f>MAX((Parameters!$B$63 + Parameters!$B$31*'6states'!A175 - '6states'!L175 + Parameters!$B$48/Parameters!$B$46)/Parameters!B$63,1)</f>
        <v>161.93167533314411</v>
      </c>
      <c r="P175" s="5">
        <f>Parameters!B$62*EXP(-Parameters!B$61*A175)</f>
        <v>4.9411994156619747E-3</v>
      </c>
      <c r="Q175" s="5">
        <f>(1-Parameters!B$62)*O175^-Parameters!B$64</f>
        <v>0.30063311958675909</v>
      </c>
      <c r="R175" s="5">
        <f>Parameters!B$62*EXP(-Parameters!B$61*A175)+(1-Parameters!B$62)*O175^-Parameters!B$64</f>
        <v>0.30557431900242105</v>
      </c>
      <c r="S175" s="5">
        <f>1-R175/Parameters!$B$12</f>
        <v>0.84721284049878953</v>
      </c>
      <c r="T175" s="5">
        <f t="shared" si="74"/>
        <v>6.5450526291908542</v>
      </c>
      <c r="U175" s="5">
        <f>(Parameters!$B$19*(E175+Parameters!$B$20)^S175+Parameters!$B$18*F175^S175)^(1/S175)</f>
        <v>0.34475031679318502</v>
      </c>
      <c r="V175" s="5">
        <f>(Parameters!$B$10*G175^Parameters!$B$9+Parameters!$B$11*U175^Parameters!$B$9)^(Parameters!$B$7/Parameters!$B$9)*N175</f>
        <v>1.3386220422920592</v>
      </c>
      <c r="W175" s="5">
        <f>V175 - C175 - D175 - LN(1+EXP(Parameters!$B$21*B175))/Parameters!$B$21 - IF(B175&gt;0, 0,Parameters!$B$6*B175^2/E175)</f>
        <v>1.0199646567473664</v>
      </c>
      <c r="X175" s="5">
        <f>EXP(-Parameters!$B$56*A175)</f>
        <v>7.5615045579180543E-2</v>
      </c>
      <c r="Y175" s="5">
        <f>IF(W175&gt;0,W175^(1-Parameters!$B$53)/(1-Parameters!$B$53)*X175*Parameters!$B$71,-10+W175*1000)</f>
        <v>-0.21455338997823314</v>
      </c>
      <c r="AA175" s="15">
        <f t="shared" si="77"/>
        <v>0</v>
      </c>
      <c r="AB175" s="15">
        <f t="shared" si="78"/>
        <v>9.3891919522581802E-7</v>
      </c>
      <c r="AC175" s="15">
        <f t="shared" si="79"/>
        <v>-1.2791899817454766E-6</v>
      </c>
      <c r="AD175" s="15">
        <f t="shared" si="90"/>
        <v>1.9039084080846553E-13</v>
      </c>
      <c r="AE175" s="15">
        <f t="shared" si="92"/>
        <v>0</v>
      </c>
      <c r="AF175" s="15">
        <f t="shared" si="93"/>
        <v>-5.8155136400950269E-8</v>
      </c>
      <c r="AG175" s="15">
        <f t="shared" si="94"/>
        <v>7.9315440076888066E-8</v>
      </c>
      <c r="AH175" s="15">
        <f t="shared" si="91"/>
        <v>7.3142122995431582E-16</v>
      </c>
      <c r="AI175" s="15"/>
      <c r="AM175" s="16">
        <f t="shared" si="70"/>
        <v>26.345488903011685</v>
      </c>
      <c r="AN175" s="16">
        <f t="shared" si="71"/>
        <v>0.35821785792417743</v>
      </c>
      <c r="AO175" s="16">
        <f t="shared" si="89"/>
        <v>1234.9572000033631</v>
      </c>
      <c r="AP175" s="6">
        <f t="shared" si="73"/>
        <v>4795.183205599491</v>
      </c>
      <c r="AQ175" s="15">
        <f>-X175*V175*W175^(-Parameters!B$53)*Parameters!B$47*Parameters!B$46*M175</f>
        <v>-2.3894586564837123E-6</v>
      </c>
      <c r="AR175" s="5">
        <f>1000*EXP(-(Parameters!$B$55)*'6states'!A175)*AP175*Parameters!B$47*Parameters!B$46*M175</f>
        <v>0.2875739489564898</v>
      </c>
      <c r="AS175" s="5">
        <f>SUM(AR175:AR$204)*EXP(Parameters!$B$55*A175)</f>
        <v>5164.9739016015528</v>
      </c>
      <c r="AT175" s="25">
        <f t="shared" si="83"/>
        <v>0.23675286343218382</v>
      </c>
      <c r="AU175">
        <f>(1/$S175-1/Parameters!$B$13) * LN(Parameters!$B$18) / LN(O175)</f>
        <v>0.19194202435633811</v>
      </c>
      <c r="AV175">
        <f>(Parameters!$B$18*'6states'!S175^+Parameters!$B$19*Parameters!$B$25^'6states'!S175)^((1-'6states'!S175)/'6states'!S175)*Parameters!$B$18*Parameters!$B$26^('6states'!S175-1)</f>
        <v>0.30866603160912964</v>
      </c>
      <c r="AW175">
        <f t="shared" si="84"/>
        <v>0.17038491850668161</v>
      </c>
      <c r="AX175">
        <f t="shared" si="85"/>
        <v>0.12457349142585561</v>
      </c>
      <c r="AY175">
        <f t="shared" si="86"/>
        <v>0.19261204549556621</v>
      </c>
      <c r="AZ175">
        <f>(1/$S175-1/Parameters!$B$13) * LN(Parameters!$B$18) / A175</f>
        <v>5.7101904659944648E-3</v>
      </c>
    </row>
    <row r="176" spans="1:52" x14ac:dyDescent="0.35">
      <c r="A176">
        <f>A175+Parameters!$B$71</f>
        <v>172</v>
      </c>
      <c r="B176" s="7">
        <f t="shared" si="69"/>
        <v>-2.9568713141259393E-6</v>
      </c>
      <c r="C176" s="7">
        <f t="shared" si="95"/>
        <v>9.0949993792235756E-2</v>
      </c>
      <c r="D176" s="7">
        <f t="shared" si="96"/>
        <v>0.22597556464516125</v>
      </c>
      <c r="E176" s="5">
        <f>MAX((1-Parameters!$B$4)^Parameters!B$71*E175 + B175*Parameters!B$71 - IF(B175&gt;0,Parameters!$B$5,0)*B175^2/E175*Parameters!B$71, 0.0001)</f>
        <v>1E-4</v>
      </c>
      <c r="F176" s="5">
        <f>(1-Parameters!$B$4)^Parameters!B$71*F175+C175*Parameters!B$71-Parameters!$B$5*C175^2/F175*Parameters!B$71</f>
        <v>1.348702995872507</v>
      </c>
      <c r="G176" s="5">
        <f>(1-Parameters!$B$4)^Parameters!B$71*G175+D175*Parameters!B$71-Parameters!$B$5*D175^2/G175*Parameters!B$71</f>
        <v>3.3493314219087424</v>
      </c>
      <c r="H176" s="7">
        <f>MAX(H175 * (1-Parameters!$B$4) ^ Parameters!B$71 + (LN(1+EXP(Parameters!$B$21*(-B175+0.004)))/Parameters!$B$21 -0.004) * Parameters!B$71,0)</f>
        <v>7.3542074894349749E-3</v>
      </c>
      <c r="I176" s="16">
        <f>I175*(1+Parameters!$B$52)^Parameters!B$71</f>
        <v>13.427734465625521</v>
      </c>
      <c r="J176" s="16">
        <f>J175*(1+Parameters!$B$54)^Parameters!B$71</f>
        <v>272.89921799129814</v>
      </c>
      <c r="K176" s="16">
        <f>I176*J176*EXP(-Parameters!$B$43*'6states'!A176)*(Parameters!$B$38/Parameters!$B$39*('6states'!E176+'6states'!H176)/Parameters!$E$25*(EXP(-Parameters!$B$39*Parameters!$E$25*'6states'!H176/('6states'!E176+'6states'!H176))-EXP(-Parameters!$B$39*Parameters!$E$25))  +  Parameters!$B$40*'6states'!E176)</f>
        <v>5.0327898705447356E-2</v>
      </c>
      <c r="L176" s="6">
        <f>L175+K176*Parameters!B$71</f>
        <v>3350.6665612415009</v>
      </c>
      <c r="M176" s="5">
        <f>L176*Parameters!$B$46</f>
        <v>2.0103999367449004</v>
      </c>
      <c r="N176" s="7">
        <f>EXP(-Parameters!$B$47/2*M176^2)</f>
        <v>0.96019473661415233</v>
      </c>
      <c r="O176" s="6">
        <f>MAX((Parameters!$B$63 + Parameters!$B$31*'6states'!A176 - '6states'!L176 + Parameters!$B$48/Parameters!$B$46)/Parameters!B$63,1)</f>
        <v>162.99466877516997</v>
      </c>
      <c r="P176" s="5">
        <f>Parameters!B$62*EXP(-Parameters!B$61*A176)</f>
        <v>4.8095719978480667E-3</v>
      </c>
      <c r="Q176" s="5">
        <f>(1-Parameters!B$62)*O176^-Parameters!B$64</f>
        <v>0.30043647954500524</v>
      </c>
      <c r="R176" s="5">
        <f>Parameters!B$62*EXP(-Parameters!B$61*A176)+(1-Parameters!B$62)*O176^-Parameters!B$64</f>
        <v>0.30524605154285334</v>
      </c>
      <c r="S176" s="5">
        <f>1-R176/Parameters!$B$12</f>
        <v>0.84737697422857328</v>
      </c>
      <c r="T176" s="5">
        <f t="shared" si="74"/>
        <v>6.5520913043463898</v>
      </c>
      <c r="U176" s="5">
        <f>(Parameters!$B$19*(E176+Parameters!$B$20)^S176+Parameters!$B$18*F176^S176)^(1/S176)</f>
        <v>0.34482562548660523</v>
      </c>
      <c r="V176" s="5">
        <f>(Parameters!$B$10*G176^Parameters!$B$9+Parameters!$B$11*U176^Parameters!$B$9)^(Parameters!$B$7/Parameters!$B$9)*N176</f>
        <v>1.3386543901849788</v>
      </c>
      <c r="W176" s="5">
        <f>V176 - C176 - D176 - LN(1+EXP(Parameters!$B$21*B176))/Parameters!$B$21 - IF(B176&gt;0, 0,Parameters!$B$6*B176^2/E176)</f>
        <v>1.019997004640286</v>
      </c>
      <c r="X176" s="5">
        <f>EXP(-Parameters!$B$56*A176)</f>
        <v>7.4481835657693174E-2</v>
      </c>
      <c r="Y176" s="5">
        <f>IF(W176&gt;0,W176^(1-Parameters!$B$53)/(1-Parameters!$B$53)*X176*Parameters!$B$71,-10+W176*1000)</f>
        <v>-0.21133562546267021</v>
      </c>
      <c r="AA176" s="15">
        <f t="shared" si="77"/>
        <v>0</v>
      </c>
      <c r="AB176" s="15">
        <f t="shared" si="78"/>
        <v>8.8415464406799149E-7</v>
      </c>
      <c r="AC176" s="15">
        <f t="shared" si="79"/>
        <v>-1.2045078418287947E-6</v>
      </c>
      <c r="AD176" s="15">
        <f t="shared" si="90"/>
        <v>1.6628580574639561E-13</v>
      </c>
      <c r="AE176" s="15">
        <f t="shared" si="92"/>
        <v>0</v>
      </c>
      <c r="AF176" s="15">
        <f t="shared" si="93"/>
        <v>-5.4764551157826524E-8</v>
      </c>
      <c r="AG176" s="15">
        <f t="shared" si="94"/>
        <v>7.4682139916681933E-8</v>
      </c>
      <c r="AH176" s="15">
        <f t="shared" si="91"/>
        <v>6.3879927951077645E-16</v>
      </c>
      <c r="AI176" s="15"/>
      <c r="AM176" s="16">
        <f t="shared" si="70"/>
        <v>26.948892028729809</v>
      </c>
      <c r="AN176" s="16">
        <f t="shared" si="71"/>
        <v>0.36644182350640064</v>
      </c>
      <c r="AO176" s="16">
        <f t="shared" si="89"/>
        <v>1263.5853099504679</v>
      </c>
      <c r="AP176" s="6">
        <f t="shared" si="73"/>
        <v>4905.3895578423235</v>
      </c>
      <c r="AQ176" s="15">
        <f>-X176*V176*W176^(-Parameters!B$53)*Parameters!B$47*Parameters!B$46*M176</f>
        <v>-2.3536403335667577E-6</v>
      </c>
      <c r="AR176" s="5">
        <f>1000*EXP(-(Parameters!$B$55)*'6states'!A176)*AP176*Parameters!B$47*Parameters!B$46*M176</f>
        <v>0.28404073372550825</v>
      </c>
      <c r="AS176" s="5">
        <f>SUM(AR176:AR$204)*EXP(Parameters!$B$55*A176)</f>
        <v>5229.0710193102123</v>
      </c>
      <c r="AT176" s="25">
        <f t="shared" si="83"/>
        <v>0.23674714242134573</v>
      </c>
      <c r="AU176">
        <f>(1/$S176-1/Parameters!$B$13) * LN(Parameters!$B$18) / LN(O176)</f>
        <v>0.19174893978606497</v>
      </c>
      <c r="AV176">
        <f>(Parameters!$B$18*'6states'!S176^+Parameters!$B$19*Parameters!$B$25^'6states'!S176)^((1-'6states'!S176)/'6states'!S176)*Parameters!$B$18*Parameters!$B$26^('6states'!S176-1)</f>
        <v>0.30868236970185603</v>
      </c>
      <c r="AW176">
        <f t="shared" si="84"/>
        <v>0.17017644613599439</v>
      </c>
      <c r="AX176">
        <f t="shared" si="85"/>
        <v>0.12445631998063023</v>
      </c>
      <c r="AY176">
        <f t="shared" si="86"/>
        <v>0.19262118887251023</v>
      </c>
      <c r="AZ176">
        <f>(1/$S176-1/Parameters!$B$13) * LN(Parameters!$B$18) / A176</f>
        <v>5.6785751681606832E-3</v>
      </c>
    </row>
    <row r="177" spans="1:52" x14ac:dyDescent="0.35">
      <c r="A177">
        <f>A176+Parameters!$B$71</f>
        <v>173</v>
      </c>
      <c r="B177" s="7">
        <f t="shared" si="69"/>
        <v>-2.9568713141259393E-6</v>
      </c>
      <c r="C177" s="7">
        <f t="shared" si="95"/>
        <v>9.0949993792235756E-2</v>
      </c>
      <c r="D177" s="7">
        <f t="shared" si="96"/>
        <v>0.22597556464516125</v>
      </c>
      <c r="E177" s="5">
        <f>MAX((1-Parameters!$B$4)^Parameters!B$71*E176 + B176*Parameters!B$71 - IF(B176&gt;0,Parameters!$B$5,0)*B176^2/E176*Parameters!B$71, 0.0001)</f>
        <v>1E-4</v>
      </c>
      <c r="F177" s="5">
        <f>(1-Parameters!$B$4)^Parameters!B$71*F176+C176*Parameters!B$71-Parameters!$B$5*C176^2/F176*Parameters!B$71</f>
        <v>1.3486863444159969</v>
      </c>
      <c r="G177" s="5">
        <f>(1-Parameters!$B$4)^Parameters!B$71*G176+D176*Parameters!B$71-Parameters!$B$5*D176^2/G176*Parameters!B$71</f>
        <v>3.3493877269314658</v>
      </c>
      <c r="H177" s="7">
        <f>MAX(H176 * (1-Parameters!$B$4) ^ Parameters!B$71 + (LN(1+EXP(Parameters!$B$21*(-B176+0.004)))/Parameters!$B$21 -0.004) * Parameters!B$71,0)</f>
        <v>7.3538401061956395E-3</v>
      </c>
      <c r="I177" s="16">
        <f>I176*(1+Parameters!$B$52)^Parameters!B$71</f>
        <v>13.466674895575833</v>
      </c>
      <c r="J177" s="16">
        <f>J176*(1+Parameters!$B$54)^Parameters!B$71</f>
        <v>278.3572023511241</v>
      </c>
      <c r="K177" s="16">
        <f>I177*J177*EXP(-Parameters!$B$43*'6states'!A177)*(Parameters!$B$38/Parameters!$B$39*('6states'!E177+'6states'!H177)/Parameters!$E$25*(EXP(-Parameters!$B$39*Parameters!$E$25*'6states'!H177/('6states'!E177+'6states'!H177))-EXP(-Parameters!$B$39*Parameters!$E$25))  +  Parameters!$B$40*'6states'!E177)</f>
        <v>5.0971058945072062E-2</v>
      </c>
      <c r="L177" s="6">
        <f>L176+K177*Parameters!B$71</f>
        <v>3350.7175323004458</v>
      </c>
      <c r="M177" s="5">
        <f>L177*Parameters!$B$46</f>
        <v>2.0104305193802672</v>
      </c>
      <c r="N177" s="7">
        <f>EXP(-Parameters!$B$47/2*M177^2)</f>
        <v>0.96019354998290052</v>
      </c>
      <c r="O177" s="6">
        <f>MAX((Parameters!$B$63 + Parameters!$B$31*'6states'!A177 - '6states'!L177 + Parameters!$B$48/Parameters!$B$46)/Parameters!B$63,1)</f>
        <v>164.05764935399108</v>
      </c>
      <c r="P177" s="5">
        <f>Parameters!B$62*EXP(-Parameters!B$61*A177)</f>
        <v>4.6814509710260783E-3</v>
      </c>
      <c r="Q177" s="5">
        <f>(1-Parameters!B$62)*O177^-Parameters!B$64</f>
        <v>0.30024124748321052</v>
      </c>
      <c r="R177" s="5">
        <f>Parameters!B$62*EXP(-Parameters!B$61*A177)+(1-Parameters!B$62)*O177^-Parameters!B$64</f>
        <v>0.30492269845423658</v>
      </c>
      <c r="S177" s="5">
        <f>1-R177/Parameters!$B$12</f>
        <v>0.84753865077288171</v>
      </c>
      <c r="T177" s="5">
        <f t="shared" si="74"/>
        <v>6.5590394225773387</v>
      </c>
      <c r="U177" s="5">
        <f>(Parameters!$B$19*(E177+Parameters!$B$20)^S177+Parameters!$B$18*F177^S177)^(1/S177)</f>
        <v>0.34489999036079916</v>
      </c>
      <c r="V177" s="5">
        <f>(Parameters!$B$10*G177^Parameters!$B$9+Parameters!$B$11*U177^Parameters!$B$9)^(Parameters!$B$7/Parameters!$B$9)*N177</f>
        <v>1.3386860524315274</v>
      </c>
      <c r="W177" s="5">
        <f>V177 - C177 - D177 - LN(1+EXP(Parameters!$B$21*B177))/Parameters!$B$21 - IF(B177&gt;0, 0,Parameters!$B$6*B177^2/E177)</f>
        <v>1.0200286668868346</v>
      </c>
      <c r="X177" s="5">
        <f>EXP(-Parameters!$B$56*A177)</f>
        <v>7.3365608662240192E-2</v>
      </c>
      <c r="Y177" s="5">
        <f>IF(W177&gt;0,W177^(1-Parameters!$B$53)/(1-Parameters!$B$53)*X177*Parameters!$B$71,-10+W177*1000)</f>
        <v>-0.20816616841847277</v>
      </c>
      <c r="AA177" s="15">
        <f t="shared" si="77"/>
        <v>0</v>
      </c>
      <c r="AB177" s="15">
        <f t="shared" si="78"/>
        <v>8.3258315275447359E-7</v>
      </c>
      <c r="AC177" s="15">
        <f t="shared" si="79"/>
        <v>-1.1341880570697738E-6</v>
      </c>
      <c r="AD177" s="15">
        <f t="shared" si="90"/>
        <v>1.4523289021069102E-13</v>
      </c>
      <c r="AE177" s="15">
        <f t="shared" si="92"/>
        <v>0</v>
      </c>
      <c r="AF177" s="15">
        <f t="shared" si="93"/>
        <v>-5.1571491313517903E-8</v>
      </c>
      <c r="AG177" s="15">
        <f t="shared" si="94"/>
        <v>7.0319784759020898E-8</v>
      </c>
      <c r="AH177" s="15">
        <f t="shared" si="91"/>
        <v>5.5790809939924078E-16</v>
      </c>
      <c r="AI177" s="15"/>
      <c r="AM177" s="16">
        <f t="shared" si="70"/>
        <v>27.566207538971877</v>
      </c>
      <c r="AN177" s="16">
        <f t="shared" si="71"/>
        <v>0.37485459489046058</v>
      </c>
      <c r="AO177" s="16">
        <f t="shared" si="89"/>
        <v>1292.8734616442109</v>
      </c>
      <c r="AP177" s="6">
        <f t="shared" si="73"/>
        <v>5018.1261786973</v>
      </c>
      <c r="AQ177" s="15">
        <f>-X177*V177*W177^(-Parameters!B$53)*Parameters!B$47*Parameters!B$46*M177</f>
        <v>-2.3183602950204535E-6</v>
      </c>
      <c r="AR177" s="5">
        <f>1000*EXP(-(Parameters!$B$55)*'6states'!A177)*AP177*Parameters!B$47*Parameters!B$46*M177</f>
        <v>0.28055083851224094</v>
      </c>
      <c r="AS177" s="5">
        <f>SUM(AR177:AR$204)*EXP(Parameters!$B$55*A177)</f>
        <v>5292.6886351504436</v>
      </c>
      <c r="AT177" s="25">
        <f t="shared" si="83"/>
        <v>0.23674154294088545</v>
      </c>
      <c r="AU177">
        <f>(1/$S177-1/Parameters!$B$13) * LN(Parameters!$B$18) / LN(O177)</f>
        <v>0.19155713135798369</v>
      </c>
      <c r="AV177">
        <f>(Parameters!$B$18*'6states'!S177^+Parameters!$B$19*Parameters!$B$25^'6states'!S177)^((1-'6states'!S177)/'6states'!S177)*Parameters!$B$18*Parameters!$B$26^('6states'!S177-1)</f>
        <v>0.30869840910552998</v>
      </c>
      <c r="AW177">
        <f t="shared" si="84"/>
        <v>0.16996973844070026</v>
      </c>
      <c r="AX177">
        <f t="shared" si="85"/>
        <v>0.12433990742189216</v>
      </c>
      <c r="AY177">
        <f t="shared" si="86"/>
        <v>0.19263016499172914</v>
      </c>
      <c r="AZ177">
        <f>(1/$S177-1/Parameters!$B$13) * LN(Parameters!$B$18) / A177</f>
        <v>5.6473012002304533E-3</v>
      </c>
    </row>
    <row r="178" spans="1:52" x14ac:dyDescent="0.35">
      <c r="A178">
        <f>A177+Parameters!$B$71</f>
        <v>174</v>
      </c>
      <c r="B178" s="7">
        <f t="shared" si="69"/>
        <v>-2.9568713141259393E-6</v>
      </c>
      <c r="C178" s="7">
        <f t="shared" si="95"/>
        <v>9.0949993792235756E-2</v>
      </c>
      <c r="D178" s="7">
        <f t="shared" si="96"/>
        <v>0.22597556464516125</v>
      </c>
      <c r="E178" s="5">
        <f>MAX((1-Parameters!$B$4)^Parameters!B$71*E177 + B177*Parameters!B$71 - IF(B177&gt;0,Parameters!$B$5,0)*B177^2/E177*Parameters!B$71, 0.0001)</f>
        <v>1E-4</v>
      </c>
      <c r="F178" s="5">
        <f>(1-Parameters!$B$4)^Parameters!B$71*F177+C177*Parameters!B$71-Parameters!$B$5*C177^2/F177*Parameters!B$71</f>
        <v>1.3486706646126687</v>
      </c>
      <c r="G178" s="5">
        <f>(1-Parameters!$B$4)^Parameters!B$71*G177+D177*Parameters!B$71-Parameters!$B$5*D177^2/G177*Parameters!B$71</f>
        <v>3.3494407466670464</v>
      </c>
      <c r="H178" s="7">
        <f>MAX(H177 * (1-Parameters!$B$4) ^ Parameters!B$71 + (LN(1+EXP(Parameters!$B$21*(-B177+0.004)))/Parameters!$B$21 -0.004) * Parameters!B$71,0)</f>
        <v>7.353495831362058E-3</v>
      </c>
      <c r="I178" s="16">
        <f>I177*(1+Parameters!$B$52)^Parameters!B$71</f>
        <v>13.505728252773002</v>
      </c>
      <c r="J178" s="16">
        <f>J177*(1+Parameters!$B$54)^Parameters!B$71</f>
        <v>283.92434639814661</v>
      </c>
      <c r="K178" s="16">
        <f>I178*J178*EXP(-Parameters!$B$43*'6states'!A178)*(Parameters!$B$38/Parameters!$B$39*('6states'!E178+'6states'!H178)/Parameters!$E$25*(EXP(-Parameters!$B$39*Parameters!$E$25*'6states'!H178/('6states'!E178+'6states'!H178))-EXP(-Parameters!$B$39*Parameters!$E$25))  +  Parameters!$B$40*'6states'!E178)</f>
        <v>5.1622438385268907E-2</v>
      </c>
      <c r="L178" s="6">
        <f>L177+K178*Parameters!B$71</f>
        <v>3350.7691547388313</v>
      </c>
      <c r="M178" s="5">
        <f>L178*Parameters!$B$46</f>
        <v>2.0104614928432984</v>
      </c>
      <c r="N178" s="7">
        <f>EXP(-Parameters!$B$47/2*M178^2)</f>
        <v>0.96019234817031196</v>
      </c>
      <c r="O178" s="6">
        <f>MAX((Parameters!$B$63 + Parameters!$B$31*'6states'!A178 - '6states'!L178 + Parameters!$B$48/Parameters!$B$46)/Parameters!B$63,1)</f>
        <v>165.12061690522339</v>
      </c>
      <c r="P178" s="5">
        <f>Parameters!B$62*EXP(-Parameters!B$61*A178)</f>
        <v>4.5567429292932594E-3</v>
      </c>
      <c r="Q178" s="5">
        <f>(1-Parameters!B$62)*O178^-Parameters!B$64</f>
        <v>0.30004740432302812</v>
      </c>
      <c r="R178" s="5">
        <f>Parameters!B$62*EXP(-Parameters!B$61*A178)+(1-Parameters!B$62)*O178^-Parameters!B$64</f>
        <v>0.30460414725232138</v>
      </c>
      <c r="S178" s="5">
        <f>1-R178/Parameters!$B$12</f>
        <v>0.84769792637383934</v>
      </c>
      <c r="T178" s="5">
        <f t="shared" si="74"/>
        <v>6.5658987838510408</v>
      </c>
      <c r="U178" s="5">
        <f>(Parameters!$B$19*(E178+Parameters!$B$20)^S178+Parameters!$B$18*F178^S178)^(1/S178)</f>
        <v>0.34497342424522887</v>
      </c>
      <c r="V178" s="5">
        <f>(Parameters!$B$10*G178^Parameters!$B$9+Parameters!$B$11*U178^Parameters!$B$9)^(Parameters!$B$7/Parameters!$B$9)*N178</f>
        <v>1.3387170506017168</v>
      </c>
      <c r="W178" s="5">
        <f>V178 - C178 - D178 - LN(1+EXP(Parameters!$B$21*B178))/Parameters!$B$21 - IF(B178&gt;0, 0,Parameters!$B$6*B178^2/E178)</f>
        <v>1.0200596650570239</v>
      </c>
      <c r="X178" s="5">
        <f>EXP(-Parameters!$B$56*A178)</f>
        <v>7.226611007706836E-2</v>
      </c>
      <c r="Y178" s="5">
        <f>IF(W178&gt;0,W178^(1-Parameters!$B$53)/(1-Parameters!$B$53)*X178*Parameters!$B$71,-10+W178*1000)</f>
        <v>-0.20504429136115004</v>
      </c>
      <c r="AA178" s="15">
        <f t="shared" si="77"/>
        <v>0</v>
      </c>
      <c r="AB178" s="15">
        <f t="shared" si="78"/>
        <v>7.8401868562616439E-7</v>
      </c>
      <c r="AC178" s="15">
        <f t="shared" si="79"/>
        <v>-1.0679755589743101E-6</v>
      </c>
      <c r="AD178" s="15">
        <f t="shared" si="90"/>
        <v>1.2684560236693084E-13</v>
      </c>
      <c r="AE178" s="15">
        <f t="shared" si="92"/>
        <v>0</v>
      </c>
      <c r="AF178" s="15">
        <f t="shared" si="93"/>
        <v>-4.8564467128309197E-8</v>
      </c>
      <c r="AG178" s="15">
        <f t="shared" si="94"/>
        <v>6.6212498095463701E-8</v>
      </c>
      <c r="AH178" s="15">
        <f t="shared" si="91"/>
        <v>4.8726164518460622E-16</v>
      </c>
      <c r="AI178" s="15"/>
      <c r="AM178" s="16">
        <f t="shared" si="70"/>
        <v>28.197752373630369</v>
      </c>
      <c r="AN178" s="16">
        <f t="shared" si="71"/>
        <v>0.38346050667995574</v>
      </c>
      <c r="AO178" s="16">
        <f t="shared" si="89"/>
        <v>1322.8368405219478</v>
      </c>
      <c r="AP178" s="6">
        <f t="shared" si="73"/>
        <v>5133.451185248302</v>
      </c>
      <c r="AQ178" s="15">
        <f>-X178*V178*W178^(-Parameters!B$53)*Parameters!B$47*Parameters!B$46*M178</f>
        <v>-2.2836104081118478E-6</v>
      </c>
      <c r="AR178" s="5">
        <f>1000*EXP(-(Parameters!$B$55)*'6states'!A178)*AP178*Parameters!B$47*Parameters!B$46*M178</f>
        <v>0.27710373844012853</v>
      </c>
      <c r="AS178" s="5">
        <f>SUM(AR178:AR$204)*EXP(Parameters!$B$55*A178)</f>
        <v>5355.7459725017097</v>
      </c>
      <c r="AT178" s="25">
        <f t="shared" si="83"/>
        <v>0.23673606115917836</v>
      </c>
      <c r="AU178">
        <f>(1/$S178-1/Parameters!$B$13) * LN(Parameters!$B$18) / LN(O178)</f>
        <v>0.19136658797298395</v>
      </c>
      <c r="AV178">
        <f>(Parameters!$B$18*'6states'!S178^+Parameters!$B$19*Parameters!$B$25^'6states'!S178)^((1-'6states'!S178)/'6states'!S178)*Parameters!$B$18*Parameters!$B$26^('6states'!S178-1)</f>
        <v>0.30871415784710499</v>
      </c>
      <c r="AW178">
        <f t="shared" si="84"/>
        <v>0.1697647703474143</v>
      </c>
      <c r="AX178">
        <f t="shared" si="85"/>
        <v>0.12422424731888282</v>
      </c>
      <c r="AY178">
        <f t="shared" si="86"/>
        <v>0.19263897835084309</v>
      </c>
      <c r="AZ178">
        <f>(1/$S178-1/Parameters!$B$13) * LN(Parameters!$B$18) / A178</f>
        <v>5.6163632402057755E-3</v>
      </c>
    </row>
    <row r="179" spans="1:52" x14ac:dyDescent="0.35">
      <c r="A179">
        <f>A178+Parameters!$B$71</f>
        <v>175</v>
      </c>
      <c r="B179" s="7">
        <f t="shared" si="69"/>
        <v>-2.9568713141259393E-6</v>
      </c>
      <c r="C179" s="7">
        <f t="shared" si="95"/>
        <v>9.0949993792235756E-2</v>
      </c>
      <c r="D179" s="7">
        <f t="shared" si="96"/>
        <v>0.22597556464516125</v>
      </c>
      <c r="E179" s="5">
        <f>MAX((1-Parameters!$B$4)^Parameters!B$71*E178 + B178*Parameters!B$71 - IF(B178&gt;0,Parameters!$B$5,0)*B178^2/E178*Parameters!B$71, 0.0001)</f>
        <v>1E-4</v>
      </c>
      <c r="F179" s="5">
        <f>(1-Parameters!$B$4)^Parameters!B$71*F178+C178*Parameters!B$71-Parameters!$B$5*C178^2/F178*Parameters!B$71</f>
        <v>1.3486558997624754</v>
      </c>
      <c r="G179" s="5">
        <f>(1-Parameters!$B$4)^Parameters!B$71*G178+D178*Parameters!B$71-Parameters!$B$5*D178^2/G178*Parameters!B$71</f>
        <v>3.3494906727976392</v>
      </c>
      <c r="H179" s="7">
        <f>MAX(H178 * (1-Parameters!$B$4) ^ Parameters!B$71 + (LN(1+EXP(Parameters!$B$21*(-B178+0.004)))/Parameters!$B$21 -0.004) * Parameters!B$71,0)</f>
        <v>7.3531732114155085E-3</v>
      </c>
      <c r="I179" s="16">
        <f>I178*(1+Parameters!$B$52)^Parameters!B$71</f>
        <v>13.544894864706043</v>
      </c>
      <c r="J179" s="16">
        <f>J178*(1+Parameters!$B$54)^Parameters!B$71</f>
        <v>289.60283332610953</v>
      </c>
      <c r="K179" s="16">
        <f>I179*J179*EXP(-Parameters!$B$43*'6states'!A179)*(Parameters!$B$38/Parameters!$B$39*('6states'!E179+'6states'!H179)/Parameters!$E$25*(EXP(-Parameters!$B$39*Parameters!$E$25*'6states'!H179/('6states'!E179+'6states'!H179))-EXP(-Parameters!$B$39*Parameters!$E$25))  +  Parameters!$B$40*'6states'!E179)</f>
        <v>5.2282142062471858E-2</v>
      </c>
      <c r="L179" s="6">
        <f>L178+K179*Parameters!B$71</f>
        <v>3350.8214368808935</v>
      </c>
      <c r="M179" s="5">
        <f>L179*Parameters!$B$46</f>
        <v>2.0104928621285358</v>
      </c>
      <c r="N179" s="7">
        <f>EXP(-Parameters!$B$47/2*M179^2)</f>
        <v>0.96019113098194342</v>
      </c>
      <c r="O179" s="6">
        <f>MAX((Parameters!$B$63 + Parameters!$B$31*'6states'!A179 - '6states'!L179 + Parameters!$B$48/Parameters!$B$46)/Parameters!B$63,1)</f>
        <v>166.18357126238215</v>
      </c>
      <c r="P179" s="5">
        <f>Parameters!B$62*EXP(-Parameters!B$61*A179)</f>
        <v>4.4353569549641291E-3</v>
      </c>
      <c r="Q179" s="5">
        <f>(1-Parameters!B$62)*O179^-Parameters!B$64</f>
        <v>0.29985493136599717</v>
      </c>
      <c r="R179" s="5">
        <f>Parameters!B$62*EXP(-Parameters!B$61*A179)+(1-Parameters!B$62)*O179^-Parameters!B$64</f>
        <v>0.30429028832096128</v>
      </c>
      <c r="S179" s="5">
        <f>1-R179/Parameters!$B$12</f>
        <v>0.84785485583951936</v>
      </c>
      <c r="T179" s="5">
        <f t="shared" si="74"/>
        <v>6.5726711523912558</v>
      </c>
      <c r="U179" s="5">
        <f>(Parameters!$B$19*(E179+Parameters!$B$20)^S179+Parameters!$B$18*F179^S179)^(1/S179)</f>
        <v>0.34504594011237461</v>
      </c>
      <c r="V179" s="5">
        <f>(Parameters!$B$10*G179^Parameters!$B$9+Parameters!$B$11*U179^Parameters!$B$9)^(Parameters!$B$7/Parameters!$B$9)*N179</f>
        <v>1.3387474053630408</v>
      </c>
      <c r="W179" s="5">
        <f>V179 - C179 - D179 - LN(1+EXP(Parameters!$B$21*B179))/Parameters!$B$21 - IF(B179&gt;0, 0,Parameters!$B$6*B179^2/E179)</f>
        <v>1.020090019818348</v>
      </c>
      <c r="X179" s="5">
        <f>EXP(-Parameters!$B$56*A179)</f>
        <v>7.1183089200741873E-2</v>
      </c>
      <c r="Y179" s="5">
        <f>IF(W179&gt;0,W179^(1-Parameters!$B$53)/(1-Parameters!$B$53)*X179*Parameters!$B$71,-10+W179*1000)</f>
        <v>-0.20196927788108057</v>
      </c>
      <c r="AA179" s="15">
        <f t="shared" si="77"/>
        <v>0</v>
      </c>
      <c r="AB179" s="15">
        <f t="shared" si="78"/>
        <v>7.3828603046333097E-7</v>
      </c>
      <c r="AC179" s="15">
        <f t="shared" si="79"/>
        <v>-1.0056302218314217E-6</v>
      </c>
      <c r="AD179" s="15">
        <f t="shared" si="90"/>
        <v>1.1078639923109198E-13</v>
      </c>
      <c r="AE179" s="15">
        <f t="shared" si="92"/>
        <v>0</v>
      </c>
      <c r="AF179" s="15">
        <f t="shared" si="93"/>
        <v>-4.5732655162833424E-8</v>
      </c>
      <c r="AG179" s="15">
        <f t="shared" si="94"/>
        <v>6.2345337142888368E-8</v>
      </c>
      <c r="AH179" s="15">
        <f t="shared" si="91"/>
        <v>4.2556217718667309E-16</v>
      </c>
      <c r="AI179" s="15"/>
      <c r="AM179" s="16">
        <f t="shared" si="70"/>
        <v>28.843850850739649</v>
      </c>
      <c r="AN179" s="16">
        <f t="shared" si="71"/>
        <v>0.39226399299231413</v>
      </c>
      <c r="AO179" s="16">
        <f t="shared" si="89"/>
        <v>1353.4909823426694</v>
      </c>
      <c r="AP179" s="6">
        <f t="shared" si="73"/>
        <v>5251.4240283580648</v>
      </c>
      <c r="AQ179" s="15">
        <f>-X179*V179*W179^(-Parameters!B$53)*Parameters!B$47*Parameters!B$46*M179</f>
        <v>-2.2493826652172353E-6</v>
      </c>
      <c r="AR179" s="5">
        <f>1000*EXP(-(Parameters!$B$55)*'6states'!A179)*AP179*Parameters!B$47*Parameters!B$46*M179</f>
        <v>0.27369891467414165</v>
      </c>
      <c r="AS179" s="5">
        <f>SUM(AR179:AR$204)*EXP(Parameters!$B$55*A179)</f>
        <v>5418.1579048371314</v>
      </c>
      <c r="AT179" s="25">
        <f t="shared" si="83"/>
        <v>0.23673069340525815</v>
      </c>
      <c r="AU179">
        <f>(1/$S179-1/Parameters!$B$13) * LN(Parameters!$B$18) / LN(O179)</f>
        <v>0.19117729862265972</v>
      </c>
      <c r="AV179">
        <f>(Parameters!$B$18*'6states'!S179^+Parameters!$B$19*Parameters!$B$25^'6states'!S179)^((1-'6states'!S179)/'6states'!S179)*Parameters!$B$18*Parameters!$B$26^('6states'!S179-1)</f>
        <v>0.30872962370037954</v>
      </c>
      <c r="AW179">
        <f t="shared" si="84"/>
        <v>0.16956151727392516</v>
      </c>
      <c r="AX179">
        <f t="shared" si="85"/>
        <v>0.12410933329040219</v>
      </c>
      <c r="AY179">
        <f t="shared" si="86"/>
        <v>0.19264763330550649</v>
      </c>
      <c r="AZ179">
        <f>(1/$S179-1/Parameters!$B$13) * LN(Parameters!$B$18) / A179</f>
        <v>5.5857560729306276E-3</v>
      </c>
    </row>
    <row r="180" spans="1:52" x14ac:dyDescent="0.35">
      <c r="A180">
        <f>A179+Parameters!$B$71</f>
        <v>176</v>
      </c>
      <c r="B180" s="7">
        <f t="shared" si="69"/>
        <v>-2.9568713141259393E-6</v>
      </c>
      <c r="C180" s="7">
        <f t="shared" si="95"/>
        <v>9.0949993792235756E-2</v>
      </c>
      <c r="D180" s="7">
        <f t="shared" si="96"/>
        <v>0.22597556464516125</v>
      </c>
      <c r="E180" s="5">
        <f>MAX((1-Parameters!$B$4)^Parameters!B$71*E179 + B179*Parameters!B$71 - IF(B179&gt;0,Parameters!$B$5,0)*B179^2/E179*Parameters!B$71, 0.0001)</f>
        <v>1E-4</v>
      </c>
      <c r="F180" s="5">
        <f>(1-Parameters!$B$4)^Parameters!B$71*F179+C179*Parameters!B$71-Parameters!$B$5*C179^2/F179*Parameters!B$71</f>
        <v>1.3486419964742491</v>
      </c>
      <c r="G180" s="5">
        <f>(1-Parameters!$B$4)^Parameters!B$71*G179+D179*Parameters!B$71-Parameters!$B$5*D179^2/G179*Parameters!B$71</f>
        <v>3.3495376858224746</v>
      </c>
      <c r="H180" s="7">
        <f>MAX(H179 * (1-Parameters!$B$4) ^ Parameters!B$71 + (LN(1+EXP(Parameters!$B$21*(-B179+0.004)))/Parameters!$B$21 -0.004) * Parameters!B$71,0)</f>
        <v>7.3528708842635973E-3</v>
      </c>
      <c r="I180" s="16">
        <f>I179*(1+Parameters!$B$52)^Parameters!B$71</f>
        <v>13.584175059813688</v>
      </c>
      <c r="J180" s="16">
        <f>J179*(1+Parameters!$B$54)^Parameters!B$71</f>
        <v>295.3948899926317</v>
      </c>
      <c r="K180" s="16">
        <f>I180*J180*EXP(-Parameters!$B$43*'6states'!A180)*(Parameters!$B$38/Parameters!$B$39*('6states'!E180+'6states'!H180)/Parameters!$E$25*(EXP(-Parameters!$B$39*Parameters!$E$25*'6states'!H180/('6states'!E180+'6states'!H180))-EXP(-Parameters!$B$39*Parameters!$E$25))  +  Parameters!$B$40*'6states'!E180)</f>
        <v>5.2950276355417249E-2</v>
      </c>
      <c r="L180" s="6">
        <f>L179+K180*Parameters!B$71</f>
        <v>3350.8743871572487</v>
      </c>
      <c r="M180" s="5">
        <f>L180*Parameters!$B$46</f>
        <v>2.0105246322943491</v>
      </c>
      <c r="N180" s="7">
        <f>EXP(-Parameters!$B$47/2*M180^2)</f>
        <v>0.9601898982208561</v>
      </c>
      <c r="O180" s="6">
        <f>MAX((Parameters!$B$63 + Parameters!$B$31*'6states'!A180 - '6states'!L180 + Parameters!$B$48/Parameters!$B$46)/Parameters!B$63,1)</f>
        <v>167.24651225685506</v>
      </c>
      <c r="P180" s="5">
        <f>Parameters!B$62*EXP(-Parameters!B$61*A180)</f>
        <v>4.3172045522874864E-3</v>
      </c>
      <c r="Q180" s="5">
        <f>(1-Parameters!B$62)*O180^-Parameters!B$64</f>
        <v>0.29966381028361333</v>
      </c>
      <c r="R180" s="5">
        <f>Parameters!B$62*EXP(-Parameters!B$61*A180)+(1-Parameters!B$62)*O180^-Parameters!B$64</f>
        <v>0.30398101483590084</v>
      </c>
      <c r="S180" s="5">
        <f>1-R180/Parameters!$B$12</f>
        <v>0.84800949258204961</v>
      </c>
      <c r="T180" s="5">
        <f t="shared" si="74"/>
        <v>6.5793582572242792</v>
      </c>
      <c r="U180" s="5">
        <f>(Parameters!$B$19*(E180+Parameters!$B$20)^S180+Parameters!$B$18*F180^S180)^(1/S180)</f>
        <v>0.34511755104773428</v>
      </c>
      <c r="V180" s="5">
        <f>(Parameters!$B$10*G180^Parameters!$B$9+Parameters!$B$11*U180^Parameters!$B$9)^(Parameters!$B$7/Parameters!$B$9)*N180</f>
        <v>1.3387771365229348</v>
      </c>
      <c r="W180" s="5">
        <f>V180 - C180 - D180 - LN(1+EXP(Parameters!$B$21*B180))/Parameters!$B$21 - IF(B180&gt;0, 0,Parameters!$B$6*B180^2/E180)</f>
        <v>1.020119750978242</v>
      </c>
      <c r="X180" s="5">
        <f>EXP(-Parameters!$B$56*A180)</f>
        <v>7.0116299088978581E-2</v>
      </c>
      <c r="Y180" s="5">
        <f>IF(W180&gt;0,W180^(1-Parameters!$B$53)/(1-Parameters!$B$53)*X180*Parameters!$B$71,-10+W180*1000)</f>
        <v>-0.19894042246801052</v>
      </c>
      <c r="AA180" s="15">
        <f t="shared" si="77"/>
        <v>0</v>
      </c>
      <c r="AB180" s="15">
        <f t="shared" si="78"/>
        <v>6.95220170585098E-7</v>
      </c>
      <c r="AC180" s="15">
        <f t="shared" si="79"/>
        <v>-9.4692598374968018E-7</v>
      </c>
      <c r="AD180" s="15">
        <f t="shared" si="90"/>
        <v>9.6760486031866368E-14</v>
      </c>
      <c r="AE180" s="15">
        <f t="shared" si="92"/>
        <v>0</v>
      </c>
      <c r="AF180" s="15">
        <f t="shared" si="93"/>
        <v>-4.306585987823297E-8</v>
      </c>
      <c r="AG180" s="15">
        <f t="shared" si="94"/>
        <v>5.8704238081741522E-8</v>
      </c>
      <c r="AH180" s="15">
        <f t="shared" si="91"/>
        <v>3.7167639461349456E-16</v>
      </c>
      <c r="AI180" s="15"/>
      <c r="AM180" s="16">
        <f t="shared" si="70"/>
        <v>29.504834831648765</v>
      </c>
      <c r="AN180" s="16">
        <f t="shared" si="71"/>
        <v>0.40126958974343163</v>
      </c>
      <c r="AO180" s="16">
        <f t="shared" si="89"/>
        <v>1384.8517812218213</v>
      </c>
      <c r="AP180" s="6">
        <f t="shared" si="73"/>
        <v>5372.1055233044408</v>
      </c>
      <c r="AQ180" s="15">
        <f>-X180*V180*W180^(-Parameters!B$53)*Parameters!B$47*Parameters!B$46*M180</f>
        <v>-2.2156691817686592E-6</v>
      </c>
      <c r="AR180" s="5">
        <f>1000*EXP(-(Parameters!$B$55)*'6states'!A180)*AP180*Parameters!B$47*Parameters!B$46*M180</f>
        <v>0.27033585436927293</v>
      </c>
      <c r="AS180" s="5">
        <f>SUM(AR180:AR$204)*EXP(Parameters!$B$55*A180)</f>
        <v>5479.8347666383597</v>
      </c>
      <c r="AT180" s="25">
        <f t="shared" si="83"/>
        <v>0.2367254361612364</v>
      </c>
      <c r="AU180">
        <f>(1/$S180-1/Parameters!$B$13) * LN(Parameters!$B$18) / LN(O180)</f>
        <v>0.1909892523887228</v>
      </c>
      <c r="AV180">
        <f>(Parameters!$B$18*'6states'!S180^+Parameters!$B$19*Parameters!$B$25^'6states'!S180)^((1-'6states'!S180)/'6states'!S180)*Parameters!$B$18*Parameters!$B$26^('6states'!S180-1)</f>
        <v>0.30874481419492789</v>
      </c>
      <c r="AW180">
        <f t="shared" si="84"/>
        <v>0.16935995511693866</v>
      </c>
      <c r="AX180">
        <f t="shared" si="85"/>
        <v>0.12399515900454428</v>
      </c>
      <c r="AY180">
        <f t="shared" si="86"/>
        <v>0.19265613407442284</v>
      </c>
      <c r="AZ180">
        <f>(1/$S180-1/Parameters!$B$13) * LN(Parameters!$B$18) / A180</f>
        <v>5.555474587470844E-3</v>
      </c>
    </row>
    <row r="181" spans="1:52" x14ac:dyDescent="0.35">
      <c r="A181">
        <f>A180+Parameters!$B$71</f>
        <v>177</v>
      </c>
      <c r="B181" s="7">
        <f t="shared" si="69"/>
        <v>-2.9568713141259393E-6</v>
      </c>
      <c r="C181" s="7">
        <f t="shared" si="95"/>
        <v>9.0949993792235756E-2</v>
      </c>
      <c r="D181" s="7">
        <f t="shared" si="96"/>
        <v>0.22597556464516125</v>
      </c>
      <c r="E181" s="5">
        <f>MAX((1-Parameters!$B$4)^Parameters!B$71*E180 + B180*Parameters!B$71 - IF(B180&gt;0,Parameters!$B$5,0)*B180^2/E180*Parameters!B$71, 0.0001)</f>
        <v>1E-4</v>
      </c>
      <c r="F181" s="5">
        <f>(1-Parameters!$B$4)^Parameters!B$71*F180+C180*Parameters!B$71-Parameters!$B$5*C180^2/F180*Parameters!B$71</f>
        <v>1.3486289044725821</v>
      </c>
      <c r="G181" s="5">
        <f>(1-Parameters!$B$4)^Parameters!B$71*G180+D180*Parameters!B$71-Parameters!$B$5*D180^2/G180*Parameters!B$71</f>
        <v>3.3495819557101818</v>
      </c>
      <c r="H181" s="7">
        <f>MAX(H180 * (1-Parameters!$B$4) ^ Parameters!B$71 + (LN(1+EXP(Parameters!$B$21*(-B180+0.004)))/Parameters!$B$21 -0.004) * Parameters!B$71,0)</f>
        <v>7.3525875734895413E-3</v>
      </c>
      <c r="I181" s="16">
        <f>I180*(1+Parameters!$B$52)^Parameters!B$71</f>
        <v>13.623569167487148</v>
      </c>
      <c r="J181" s="16">
        <f>J180*(1+Parameters!$B$54)^Parameters!B$71</f>
        <v>301.30278779248437</v>
      </c>
      <c r="K181" s="16">
        <f>I181*J181*EXP(-Parameters!$B$43*'6states'!A181)*(Parameters!$B$38/Parameters!$B$39*('6states'!E181+'6states'!H181)/Parameters!$E$25*(EXP(-Parameters!$B$39*Parameters!$E$25*'6states'!H181/('6states'!E181+'6states'!H181))-EXP(-Parameters!$B$39*Parameters!$E$25))  +  Parameters!$B$40*'6states'!E181)</f>
        <v>5.3626949002297669E-2</v>
      </c>
      <c r="L181" s="6">
        <f>L180+K181*Parameters!B$71</f>
        <v>3350.9280141062509</v>
      </c>
      <c r="M181" s="5">
        <f>L181*Parameters!$B$46</f>
        <v>2.0105568084637504</v>
      </c>
      <c r="N181" s="7">
        <f>EXP(-Parameters!$B$47/2*M181^2)</f>
        <v>0.96018864968758233</v>
      </c>
      <c r="O181" s="6">
        <f>MAX((Parameters!$B$63 + Parameters!$B$31*'6states'!A181 - '6states'!L181 + Parameters!$B$48/Parameters!$B$46)/Parameters!B$63,1)</f>
        <v>168.30943971787499</v>
      </c>
      <c r="P181" s="5">
        <f>Parameters!B$62*EXP(-Parameters!B$61*A181)</f>
        <v>4.2021995829290655E-3</v>
      </c>
      <c r="Q181" s="5">
        <f>(1-Parameters!B$62)*O181^-Parameters!B$64</f>
        <v>0.29947402310772037</v>
      </c>
      <c r="R181" s="5">
        <f>Parameters!B$62*EXP(-Parameters!B$61*A181)+(1-Parameters!B$62)*O181^-Parameters!B$64</f>
        <v>0.30367622269064942</v>
      </c>
      <c r="S181" s="5">
        <f>1-R181/Parameters!$B$12</f>
        <v>0.84816188865467534</v>
      </c>
      <c r="T181" s="5">
        <f t="shared" si="74"/>
        <v>6.5859617927261027</v>
      </c>
      <c r="U181" s="5">
        <f>(Parameters!$B$19*(E181+Parameters!$B$20)^S181+Parameters!$B$18*F181^S181)^(1/S181)</f>
        <v>0.3451882702221078</v>
      </c>
      <c r="V181" s="5">
        <f>(Parameters!$B$10*G181^Parameters!$B$9+Parameters!$B$11*U181^Parameters!$B$9)^(Parameters!$B$7/Parameters!$B$9)*N181</f>
        <v>1.3388062630690312</v>
      </c>
      <c r="W181" s="5">
        <f>V181 - C181 - D181 - LN(1+EXP(Parameters!$B$21*B181))/Parameters!$B$21 - IF(B181&gt;0, 0,Parameters!$B$6*B181^2/E181)</f>
        <v>1.0201488775243384</v>
      </c>
      <c r="X181" s="5">
        <f>EXP(-Parameters!$B$56*A181)</f>
        <v>6.9065496498343315E-2</v>
      </c>
      <c r="Y181" s="5">
        <f>IF(W181&gt;0,W181^(1-Parameters!$B$53)/(1-Parameters!$B$53)*X181*Parameters!$B$71,-10+W181*1000)</f>
        <v>-0.19595703033875905</v>
      </c>
      <c r="AA181" s="15">
        <f t="shared" si="77"/>
        <v>0</v>
      </c>
      <c r="AB181" s="15">
        <f t="shared" si="78"/>
        <v>6.5466569303118671E-7</v>
      </c>
      <c r="AC181" s="15">
        <f t="shared" si="79"/>
        <v>-8.9165002041535768E-7</v>
      </c>
      <c r="AD181" s="15">
        <f t="shared" si="90"/>
        <v>8.4510401348268983E-14</v>
      </c>
      <c r="AE181" s="15">
        <f t="shared" si="92"/>
        <v>0</v>
      </c>
      <c r="AF181" s="15">
        <f t="shared" si="93"/>
        <v>-4.0554477553911283E-8</v>
      </c>
      <c r="AG181" s="15">
        <f t="shared" si="94"/>
        <v>5.5275963334322498E-8</v>
      </c>
      <c r="AH181" s="15">
        <f t="shared" si="91"/>
        <v>3.2461458622830694E-16</v>
      </c>
      <c r="AI181" s="15"/>
      <c r="AM181" s="16">
        <f t="shared" si="70"/>
        <v>30.18104389016073</v>
      </c>
      <c r="AN181" s="16">
        <f t="shared" si="71"/>
        <v>0.41048193698476132</v>
      </c>
      <c r="AO181" s="16">
        <f t="shared" si="89"/>
        <v>1416.9354978519</v>
      </c>
      <c r="AP181" s="6">
        <f t="shared" si="73"/>
        <v>5495.557881119058</v>
      </c>
      <c r="AQ181" s="15">
        <f>-X181*V181*W181^(-Parameters!B$53)*Parameters!B$47*Parameters!B$46*M181</f>
        <v>-2.1824621942420148E-6</v>
      </c>
      <c r="AR181" s="5">
        <f>1000*EXP(-(Parameters!$B$55)*'6states'!A181)*AP181*Parameters!B$47*Parameters!B$46*M181</f>
        <v>0.26701405061831429</v>
      </c>
      <c r="AS181" s="5">
        <f>SUM(AR181:AR$204)*EXP(Parameters!$B$55*A181)</f>
        <v>5540.6821567786828</v>
      </c>
      <c r="AT181" s="25">
        <f t="shared" si="83"/>
        <v>0.23672028605511669</v>
      </c>
      <c r="AU181">
        <f>(1/$S181-1/Parameters!$B$13) * LN(Parameters!$B$18) / LN(O181)</f>
        <v>0.19080243844244238</v>
      </c>
      <c r="AV181">
        <f>(Parameters!$B$18*'6states'!S181^+Parameters!$B$19*Parameters!$B$25^'6states'!S181)^((1-'6states'!S181)/'6states'!S181)*Parameters!$B$18*Parameters!$B$26^('6states'!S181-1)</f>
        <v>0.3087597366246817</v>
      </c>
      <c r="AW181">
        <f t="shared" si="84"/>
        <v>0.16916006024019709</v>
      </c>
      <c r="AX181">
        <f t="shared" si="85"/>
        <v>0.12388171817844851</v>
      </c>
      <c r="AY181">
        <f t="shared" si="86"/>
        <v>0.19266448474416165</v>
      </c>
      <c r="AZ181">
        <f>(1/$S181-1/Parameters!$B$13) * LN(Parameters!$B$18) / A181</f>
        <v>5.5255137745703854E-3</v>
      </c>
    </row>
    <row r="182" spans="1:52" x14ac:dyDescent="0.35">
      <c r="A182">
        <f>A181+Parameters!$B$71</f>
        <v>178</v>
      </c>
      <c r="B182" s="7">
        <f t="shared" si="69"/>
        <v>-2.9568713141259393E-6</v>
      </c>
      <c r="C182" s="7">
        <f t="shared" si="95"/>
        <v>9.0949993792235756E-2</v>
      </c>
      <c r="D182" s="7">
        <f t="shared" si="96"/>
        <v>0.22597556464516125</v>
      </c>
      <c r="E182" s="5">
        <f>MAX((1-Parameters!$B$4)^Parameters!B$71*E181 + B181*Parameters!B$71 - IF(B181&gt;0,Parameters!$B$5,0)*B181^2/E181*Parameters!B$71, 0.0001)</f>
        <v>1E-4</v>
      </c>
      <c r="F182" s="5">
        <f>(1-Parameters!$B$4)^Parameters!B$71*F181+C181*Parameters!B$71-Parameters!$B$5*C181^2/F181*Parameters!B$71</f>
        <v>1.3486165764159792</v>
      </c>
      <c r="G182" s="5">
        <f>(1-Parameters!$B$4)^Parameters!B$71*G181+D181*Parameters!B$71-Parameters!$B$5*D181^2/G181*Parameters!B$71</f>
        <v>3.3496236425130692</v>
      </c>
      <c r="H182" s="7">
        <f>MAX(H181 * (1-Parameters!$B$4) ^ Parameters!B$71 + (LN(1+EXP(Parameters!$B$21*(-B181+0.004)))/Parameters!$B$21 -0.004) * Parameters!B$71,0)</f>
        <v>7.3523220829631733E-3</v>
      </c>
      <c r="I182" s="16">
        <f>I181*(1+Parameters!$B$52)^Parameters!B$71</f>
        <v>13.663077518072859</v>
      </c>
      <c r="J182" s="16">
        <f>J181*(1+Parameters!$B$54)^Parameters!B$71</f>
        <v>307.32884354833408</v>
      </c>
      <c r="K182" s="16">
        <f>I182*J182*EXP(-Parameters!$B$43*'6states'!A182)*(Parameters!$B$38/Parameters!$B$39*('6states'!E182+'6states'!H182)/Parameters!$E$25*(EXP(-Parameters!$B$39*Parameters!$E$25*'6states'!H182/('6states'!E182+'6states'!H182))-EXP(-Parameters!$B$39*Parameters!$E$25))  +  Parameters!$B$40*'6states'!E182)</f>
        <v>5.4312269118134859E-2</v>
      </c>
      <c r="L182" s="6">
        <f>L181+K182*Parameters!B$71</f>
        <v>3350.9823263753692</v>
      </c>
      <c r="M182" s="5">
        <f>L182*Parameters!$B$46</f>
        <v>2.0105893958252214</v>
      </c>
      <c r="N182" s="7">
        <f>EXP(-Parameters!$B$47/2*M182^2)</f>
        <v>0.96018738518009406</v>
      </c>
      <c r="O182" s="6">
        <f>MAX((Parameters!$B$63 + Parameters!$B$31*'6states'!A182 - '6states'!L182 + Parameters!$B$48/Parameters!$B$46)/Parameters!B$63,1)</f>
        <v>169.37235347249262</v>
      </c>
      <c r="P182" s="5">
        <f>Parameters!B$62*EXP(-Parameters!B$61*A182)</f>
        <v>4.090258203172885E-3</v>
      </c>
      <c r="Q182" s="5">
        <f>(1-Parameters!B$62)*O182^-Parameters!B$64</f>
        <v>0.29928555222121017</v>
      </c>
      <c r="R182" s="5">
        <f>Parameters!B$62*EXP(-Parameters!B$61*A182)+(1-Parameters!B$62)*O182^-Parameters!B$64</f>
        <v>0.30337581042438305</v>
      </c>
      <c r="S182" s="5">
        <f>1-R182/Parameters!$B$12</f>
        <v>0.84831209478780845</v>
      </c>
      <c r="T182" s="5">
        <f t="shared" si="74"/>
        <v>6.5924834191699775</v>
      </c>
      <c r="U182" s="5">
        <f>(Parameters!$B$19*(E182+Parameters!$B$20)^S182+Parameters!$B$18*F182^S182)^(1/S182)</f>
        <v>0.34525811086602104</v>
      </c>
      <c r="V182" s="5">
        <f>(Parameters!$B$10*G182^Parameters!$B$9+Parameters!$B$11*U182^Parameters!$B$9)^(Parameters!$B$7/Parameters!$B$9)*N182</f>
        <v>1.3388348032073547</v>
      </c>
      <c r="W182" s="5">
        <f>V182 - C182 - D182 - LN(1+EXP(Parameters!$B$21*B182))/Parameters!$B$21 - IF(B182&gt;0, 0,Parameters!$B$6*B182^2/E182)</f>
        <v>1.0201774176626619</v>
      </c>
      <c r="X182" s="5">
        <f>EXP(-Parameters!$B$56*A182)</f>
        <v>6.8030441830784896E-2</v>
      </c>
      <c r="Y182" s="5">
        <f>IF(W182&gt;0,W182^(1-Parameters!$B$53)/(1-Parameters!$B$53)*X182*Parameters!$B$71,-10+W182*1000)</f>
        <v>-0.19301841726804289</v>
      </c>
      <c r="AA182" s="15">
        <f t="shared" si="77"/>
        <v>0</v>
      </c>
      <c r="AB182" s="15">
        <f t="shared" si="78"/>
        <v>6.1647623109117866E-7</v>
      </c>
      <c r="AC182" s="15">
        <f t="shared" si="79"/>
        <v>-8.3960196711752033E-7</v>
      </c>
      <c r="AD182" s="15">
        <f t="shared" si="90"/>
        <v>7.3811288262077931E-14</v>
      </c>
      <c r="AE182" s="15">
        <f t="shared" si="92"/>
        <v>0</v>
      </c>
      <c r="AF182" s="15">
        <f t="shared" si="93"/>
        <v>-3.8189461940008051E-8</v>
      </c>
      <c r="AG182" s="15">
        <f t="shared" si="94"/>
        <v>5.2048053297837349E-8</v>
      </c>
      <c r="AH182" s="15">
        <f t="shared" si="91"/>
        <v>2.8351243451127917E-16</v>
      </c>
      <c r="AI182" s="15"/>
      <c r="AM182" s="16">
        <f t="shared" si="70"/>
        <v>30.872825485722029</v>
      </c>
      <c r="AN182" s="16">
        <f t="shared" si="71"/>
        <v>0.41990578129405742</v>
      </c>
      <c r="AO182" s="16">
        <f t="shared" si="89"/>
        <v>1449.7587679130686</v>
      </c>
      <c r="AP182" s="6">
        <f t="shared" si="73"/>
        <v>5621.8447406445994</v>
      </c>
      <c r="AQ182" s="15">
        <f>-X182*V182*W182^(-Parameters!B$53)*Parameters!B$47*Parameters!B$46*M182</f>
        <v>-2.1497540581853568E-6</v>
      </c>
      <c r="AR182" s="5">
        <f>1000*EXP(-(Parameters!$B$55)*'6states'!A182)*AP182*Parameters!B$47*Parameters!B$46*M182</f>
        <v>0.26373300239901765</v>
      </c>
      <c r="AS182" s="5">
        <f>SUM(AR182:AR$204)*EXP(Parameters!$B$55*A182)</f>
        <v>5600.6007340874112</v>
      </c>
      <c r="AT182" s="25">
        <f t="shared" si="83"/>
        <v>0.23671523985397835</v>
      </c>
      <c r="AU182">
        <f>(1/$S182-1/Parameters!$B$13) * LN(Parameters!$B$18) / LN(O182)</f>
        <v>0.19061684604410703</v>
      </c>
      <c r="AV182">
        <f>(Parameters!$B$18*'6states'!S182^+Parameters!$B$19*Parameters!$B$25^'6states'!S182)^((1-'6states'!S182)/'6states'!S182)*Parameters!$B$18*Parameters!$B$26^('6states'!S182-1)</f>
        <v>0.30877439805617679</v>
      </c>
      <c r="AW182">
        <f t="shared" si="84"/>
        <v>0.16896180946295861</v>
      </c>
      <c r="AX182">
        <f t="shared" si="85"/>
        <v>0.12376900457806217</v>
      </c>
      <c r="AY182">
        <f t="shared" si="86"/>
        <v>0.19267268927378844</v>
      </c>
      <c r="AZ182">
        <f>(1/$S182-1/Parameters!$B$13) * LN(Parameters!$B$18) / A182</f>
        <v>5.4958687241813686E-3</v>
      </c>
    </row>
    <row r="183" spans="1:52" x14ac:dyDescent="0.35">
      <c r="A183">
        <f>A182+Parameters!$B$71</f>
        <v>179</v>
      </c>
      <c r="B183" s="7">
        <f t="shared" si="69"/>
        <v>-2.9568713141259393E-6</v>
      </c>
      <c r="C183" s="7">
        <f t="shared" si="95"/>
        <v>9.0949993792235756E-2</v>
      </c>
      <c r="D183" s="7">
        <f t="shared" si="96"/>
        <v>0.22597556464516125</v>
      </c>
      <c r="E183" s="5">
        <f>MAX((1-Parameters!$B$4)^Parameters!B$71*E182 + B182*Parameters!B$71 - IF(B182&gt;0,Parameters!$B$5,0)*B182^2/E182*Parameters!B$71, 0.0001)</f>
        <v>1E-4</v>
      </c>
      <c r="F183" s="5">
        <f>(1-Parameters!$B$4)^Parameters!B$71*F182+C182*Parameters!B$71-Parameters!$B$5*C182^2/F182*Parameters!B$71</f>
        <v>1.3486049677256275</v>
      </c>
      <c r="G183" s="5">
        <f>(1-Parameters!$B$4)^Parameters!B$71*G182+D182*Parameters!B$71-Parameters!$B$5*D182^2/G182*Parameters!B$71</f>
        <v>3.3496628969455835</v>
      </c>
      <c r="H183" s="7">
        <f>MAX(H182 * (1-Parameters!$B$4) ^ Parameters!B$71 + (LN(1+EXP(Parameters!$B$21*(-B182+0.004)))/Parameters!$B$21 -0.004) * Parameters!B$71,0)</f>
        <v>7.3520732917909141E-3</v>
      </c>
      <c r="I183" s="16">
        <f>I182*(1+Parameters!$B$52)^Parameters!B$71</f>
        <v>13.702700442875269</v>
      </c>
      <c r="J183" s="16">
        <f>J182*(1+Parameters!$B$54)^Parameters!B$71</f>
        <v>313.47542041930075</v>
      </c>
      <c r="K183" s="16">
        <f>I183*J183*EXP(-Parameters!$B$43*'6states'!A183)*(Parameters!$B$38/Parameters!$B$39*('6states'!E183+'6states'!H183)/Parameters!$E$25*(EXP(-Parameters!$B$39*Parameters!$E$25*'6states'!H183/('6states'!E183+'6states'!H183))-EXP(-Parameters!$B$39*Parameters!$E$25))  +  Parameters!$B$40*'6states'!E183)</f>
        <v>5.5006347212374865E-2</v>
      </c>
      <c r="L183" s="6">
        <f>L182+K183*Parameters!B$71</f>
        <v>3351.0373327225816</v>
      </c>
      <c r="M183" s="5">
        <f>L183*Parameters!$B$46</f>
        <v>2.0106223996335486</v>
      </c>
      <c r="N183" s="7">
        <f>EXP(-Parameters!$B$47/2*M183^2)</f>
        <v>0.96018610449376929</v>
      </c>
      <c r="O183" s="6">
        <f>MAX((Parameters!$B$63 + Parameters!$B$31*'6states'!A183 - '6states'!L183 + Parameters!$B$48/Parameters!$B$46)/Parameters!B$63,1)</f>
        <v>170.4352533455484</v>
      </c>
      <c r="P183" s="5">
        <f>Parameters!B$62*EXP(-Parameters!B$61*A183)</f>
        <v>3.9812988027954624E-3</v>
      </c>
      <c r="Q183" s="5">
        <f>(1-Parameters!B$62)*O183^-Parameters!B$64</f>
        <v>0.29909838034901964</v>
      </c>
      <c r="R183" s="5">
        <f>Parameters!B$62*EXP(-Parameters!B$61*A183)+(1-Parameters!B$62)*O183^-Parameters!B$64</f>
        <v>0.30307967915181511</v>
      </c>
      <c r="S183" s="5">
        <f>1-R183/Parameters!$B$12</f>
        <v>0.84846016042409245</v>
      </c>
      <c r="T183" s="5">
        <f t="shared" si="74"/>
        <v>6.5989247632738302</v>
      </c>
      <c r="U183" s="5">
        <f>(Parameters!$B$19*(E183+Parameters!$B$20)^S183+Parameters!$B$18*F183^S183)^(1/S183)</f>
        <v>0.34532708624615227</v>
      </c>
      <c r="V183" s="5">
        <f>(Parameters!$B$10*G183^Parameters!$B$9+Parameters!$B$11*U183^Parameters!$B$9)^(Parameters!$B$7/Parameters!$B$9)*N183</f>
        <v>1.3388627743985486</v>
      </c>
      <c r="W183" s="5">
        <f>V183 - C183 - D183 - LN(1+EXP(Parameters!$B$21*B183))/Parameters!$B$21 - IF(B183&gt;0, 0,Parameters!$B$6*B183^2/E183)</f>
        <v>1.0202053888538558</v>
      </c>
      <c r="X183" s="5">
        <f>EXP(-Parameters!$B$56*A183)</f>
        <v>6.701089907900426E-2</v>
      </c>
      <c r="Y183" s="5">
        <f>IF(W183&gt;0,W183^(1-Parameters!$B$53)/(1-Parameters!$B$53)*X183*Parameters!$B$71,-10+W183*1000)</f>
        <v>-0.19012390942233945</v>
      </c>
      <c r="AA183" s="15">
        <f t="shared" si="77"/>
        <v>0</v>
      </c>
      <c r="AB183" s="15">
        <f t="shared" si="78"/>
        <v>5.8051393896085823E-7</v>
      </c>
      <c r="AC183" s="15">
        <f t="shared" si="79"/>
        <v>-7.9059318716656612E-7</v>
      </c>
      <c r="AD183" s="15">
        <f t="shared" si="90"/>
        <v>6.44667646865755E-14</v>
      </c>
      <c r="AE183" s="15">
        <f t="shared" si="92"/>
        <v>0</v>
      </c>
      <c r="AF183" s="15">
        <f t="shared" si="93"/>
        <v>-3.5962292130320428E-8</v>
      </c>
      <c r="AG183" s="15">
        <f t="shared" si="94"/>
        <v>4.9008779950954207E-8</v>
      </c>
      <c r="AH183" s="15">
        <f t="shared" si="91"/>
        <v>2.4761512052441803E-16</v>
      </c>
      <c r="AI183" s="15"/>
      <c r="AM183" s="16">
        <f t="shared" si="70"/>
        <v>31.580535140748623</v>
      </c>
      <c r="AN183" s="16">
        <f t="shared" si="71"/>
        <v>0.42954597822100637</v>
      </c>
      <c r="AO183" s="16">
        <f t="shared" si="89"/>
        <v>1483.3386106781331</v>
      </c>
      <c r="AP183" s="6">
        <f t="shared" si="73"/>
        <v>5751.0312013271514</v>
      </c>
      <c r="AQ183" s="15">
        <f>-X183*V183*W183^(-Parameters!B$53)*Parameters!B$47*Parameters!B$46*M183</f>
        <v>-2.1175372462862195E-6</v>
      </c>
      <c r="AR183" s="5">
        <f>1000*EXP(-(Parameters!$B$55)*'6states'!A183)*AP183*Parameters!B$47*Parameters!B$46*M183</f>
        <v>0.26049221452072102</v>
      </c>
      <c r="AS183" s="5">
        <f>SUM(AR183:AR$204)*EXP(Parameters!$B$55*A183)</f>
        <v>5659.48600479785</v>
      </c>
      <c r="AT183" s="25">
        <f t="shared" si="83"/>
        <v>0.23671029445751274</v>
      </c>
      <c r="AU183">
        <f>(1/$S183-1/Parameters!$B$13) * LN(Parameters!$B$18) / LN(O183)</f>
        <v>0.19043246454250684</v>
      </c>
      <c r="AV183">
        <f>(Parameters!$B$18*'6states'!S183^+Parameters!$B$19*Parameters!$B$25^'6states'!S183)^((1-'6states'!S183)/'6states'!S183)*Parameters!$B$18*Parameters!$B$26^('6states'!S183-1)</f>
        <v>0.30878880533647962</v>
      </c>
      <c r="AW183">
        <f t="shared" si="84"/>
        <v>0.16876518004882515</v>
      </c>
      <c r="AX183">
        <f t="shared" si="85"/>
        <v>0.12365701201791357</v>
      </c>
      <c r="AY183">
        <f t="shared" si="86"/>
        <v>0.19268075149931385</v>
      </c>
      <c r="AZ183">
        <f>(1/$S183-1/Parameters!$B$13) * LN(Parameters!$B$18) / A183</f>
        <v>5.4665346230653869E-3</v>
      </c>
    </row>
    <row r="184" spans="1:52" x14ac:dyDescent="0.35">
      <c r="A184">
        <f>A183+Parameters!$B$71</f>
        <v>180</v>
      </c>
      <c r="B184" s="7">
        <f t="shared" si="69"/>
        <v>-2.9568713141259393E-6</v>
      </c>
      <c r="C184" s="7">
        <f t="shared" si="95"/>
        <v>9.0949993792235756E-2</v>
      </c>
      <c r="D184" s="7">
        <f t="shared" si="96"/>
        <v>0.22597556464516125</v>
      </c>
      <c r="E184" s="5">
        <f>MAX((1-Parameters!$B$4)^Parameters!B$71*E183 + B183*Parameters!B$71 - IF(B183&gt;0,Parameters!$B$5,0)*B183^2/E183*Parameters!B$71, 0.0001)</f>
        <v>1E-4</v>
      </c>
      <c r="F184" s="5">
        <f>(1-Parameters!$B$4)^Parameters!B$71*F183+C183*Parameters!B$71-Parameters!$B$5*C183^2/F183*Parameters!B$71</f>
        <v>1.3485940364241598</v>
      </c>
      <c r="G184" s="5">
        <f>(1-Parameters!$B$4)^Parameters!B$71*G183+D183*Parameters!B$71-Parameters!$B$5*D183^2/G183*Parameters!B$71</f>
        <v>3.3496998609290345</v>
      </c>
      <c r="H184" s="7">
        <f>MAX(H183 * (1-Parameters!$B$4) ^ Parameters!B$71 + (LN(1+EXP(Parameters!$B$21*(-B183+0.004)))/Parameters!$B$21 -0.004) * Parameters!B$71,0)</f>
        <v>7.3518401495833901E-3</v>
      </c>
      <c r="I184" s="16">
        <f>I183*(1+Parameters!$B$52)^Parameters!B$71</f>
        <v>13.742438274159605</v>
      </c>
      <c r="J184" s="16">
        <f>J183*(1+Parameters!$B$54)^Parameters!B$71</f>
        <v>319.74492882768675</v>
      </c>
      <c r="K184" s="16">
        <f>I184*J184*EXP(-Parameters!$B$43*'6states'!A184)*(Parameters!$B$38/Parameters!$B$39*('6states'!E184+'6states'!H184)/Parameters!$E$25*(EXP(-Parameters!$B$39*Parameters!$E$25*'6states'!H184/('6states'!E184+'6states'!H184))-EXP(-Parameters!$B$39*Parameters!$E$25))  +  Parameters!$B$40*'6states'!E184)</f>
        <v>5.57092952067079E-2</v>
      </c>
      <c r="L184" s="6">
        <f>L183+K184*Parameters!B$71</f>
        <v>3351.0930420177883</v>
      </c>
      <c r="M184" s="5">
        <f>L184*Parameters!$B$46</f>
        <v>2.010655825210673</v>
      </c>
      <c r="N184" s="7">
        <f>EXP(-Parameters!$B$47/2*M184^2)</f>
        <v>0.96018480742135848</v>
      </c>
      <c r="O184" s="6">
        <f>MAX((Parameters!$B$63 + Parameters!$B$31*'6states'!A184 - '6states'!L184 + Parameters!$B$48/Parameters!$B$46)/Parameters!B$63,1)</f>
        <v>171.49813915964424</v>
      </c>
      <c r="P184" s="5">
        <f>Parameters!B$62*EXP(-Parameters!B$61*A184)</f>
        <v>3.875241945568346E-3</v>
      </c>
      <c r="Q184" s="5">
        <f>(1-Parameters!B$62)*O184^-Parameters!B$64</f>
        <v>0.29891249054941393</v>
      </c>
      <c r="R184" s="5">
        <f>Parameters!B$62*EXP(-Parameters!B$61*A184)+(1-Parameters!B$62)*O184^-Parameters!B$64</f>
        <v>0.30278773249498225</v>
      </c>
      <c r="S184" s="5">
        <f>1-R184/Parameters!$B$12</f>
        <v>0.84860613375250882</v>
      </c>
      <c r="T184" s="5">
        <f t="shared" si="74"/>
        <v>6.6052874187468706</v>
      </c>
      <c r="U184" s="5">
        <f>(Parameters!$B$19*(E184+Parameters!$B$20)^S184+Parameters!$B$18*F184^S184)^(1/S184)</f>
        <v>0.34539520964363157</v>
      </c>
      <c r="V184" s="5">
        <f>(Parameters!$B$10*G184^Parameters!$B$9+Parameters!$B$11*U184^Parameters!$B$9)^(Parameters!$B$7/Parameters!$B$9)*N184</f>
        <v>1.3388901933922506</v>
      </c>
      <c r="W184" s="5">
        <f>V184 - C184 - D184 - LN(1+EXP(Parameters!$B$21*B184))/Parameters!$B$21 - IF(B184&gt;0, 0,Parameters!$B$6*B184^2/E184)</f>
        <v>1.0202328078475578</v>
      </c>
      <c r="X184" s="5">
        <f>EXP(-Parameters!$B$56*A184)</f>
        <v>6.6006635772641528E-2</v>
      </c>
      <c r="Y184" s="5">
        <f>IF(W184&gt;0,W184^(1-Parameters!$B$53)/(1-Parameters!$B$53)*X184*Parameters!$B$71,-10+W184*1000)</f>
        <v>-0.18727284319671211</v>
      </c>
      <c r="AA184" s="15">
        <f t="shared" si="77"/>
        <v>0</v>
      </c>
      <c r="AB184" s="15">
        <f t="shared" si="78"/>
        <v>5.4664899674927714E-7</v>
      </c>
      <c r="AC184" s="15">
        <f t="shared" si="79"/>
        <v>-7.4444608341717178E-7</v>
      </c>
      <c r="AD184" s="15">
        <f t="shared" si="90"/>
        <v>5.630531686690205E-14</v>
      </c>
      <c r="AE184" s="15">
        <f t="shared" si="92"/>
        <v>0</v>
      </c>
      <c r="AF184" s="15">
        <f t="shared" si="93"/>
        <v>-3.3864942211581095E-8</v>
      </c>
      <c r="AG184" s="15">
        <f t="shared" si="94"/>
        <v>4.6147103749394347E-8</v>
      </c>
      <c r="AH184" s="15">
        <f t="shared" si="91"/>
        <v>2.1626344807554903E-16</v>
      </c>
      <c r="AI184" s="15"/>
      <c r="AM184" s="16">
        <f t="shared" si="70"/>
        <v>32.304536622176549</v>
      </c>
      <c r="AN184" s="16">
        <f t="shared" si="71"/>
        <v>0.43940749478900415</v>
      </c>
      <c r="AO184" s="16">
        <f t="shared" si="89"/>
        <v>1517.6924378163101</v>
      </c>
      <c r="AP184" s="6">
        <f t="shared" si="73"/>
        <v>5883.1838567605409</v>
      </c>
      <c r="AQ184" s="15">
        <f>-X184*V184*W184^(-Parameters!B$53)*Parameters!B$47*Parameters!B$46*M184</f>
        <v>-2.0858043464767342E-6</v>
      </c>
      <c r="AR184" s="5">
        <f>1000*EXP(-(Parameters!$B$55)*'6states'!A184)*AP184*Parameters!B$47*Parameters!B$46*M184</f>
        <v>0.25729119757052438</v>
      </c>
      <c r="AS184" s="5">
        <f>SUM(AR184:AR$204)*EXP(Parameters!$B$55*A184)</f>
        <v>5717.228101570151</v>
      </c>
      <c r="AT184" s="25">
        <f t="shared" si="83"/>
        <v>0.23670544689189088</v>
      </c>
      <c r="AU184">
        <f>(1/$S184-1/Parameters!$B$13) * LN(Parameters!$B$18) / LN(O184)</f>
        <v>0.19024928337443339</v>
      </c>
      <c r="AV184">
        <f>(Parameters!$B$18*'6states'!S184^+Parameters!$B$19*Parameters!$B$25^'6states'!S184)^((1-'6states'!S184)/'6states'!S184)*Parameters!$B$18*Parameters!$B$26^('6states'!S184-1)</f>
        <v>0.30880296510080779</v>
      </c>
      <c r="AW184">
        <f t="shared" si="84"/>
        <v>0.16857014969490519</v>
      </c>
      <c r="AX184">
        <f t="shared" si="85"/>
        <v>0.12354573436089578</v>
      </c>
      <c r="AY184">
        <f t="shared" si="86"/>
        <v>0.19268867513797205</v>
      </c>
      <c r="AZ184">
        <f>(1/$S184-1/Parameters!$B$13) * LN(Parameters!$B$18) / A184</f>
        <v>5.4375067524637085E-3</v>
      </c>
    </row>
    <row r="185" spans="1:52" x14ac:dyDescent="0.35">
      <c r="A185">
        <f>A184+Parameters!$B$71</f>
        <v>181</v>
      </c>
      <c r="B185" s="7">
        <f t="shared" ref="B185:B204" si="97">B184</f>
        <v>-2.9568713141259393E-6</v>
      </c>
      <c r="C185" s="7">
        <f t="shared" si="95"/>
        <v>9.0949993792235756E-2</v>
      </c>
      <c r="D185" s="7">
        <f t="shared" si="96"/>
        <v>0.22597556464516125</v>
      </c>
      <c r="E185" s="5">
        <f>MAX((1-Parameters!$B$4)^Parameters!B$71*E184 + B184*Parameters!B$71 - IF(B184&gt;0,Parameters!$B$5,0)*B184^2/E184*Parameters!B$71, 0.0001)</f>
        <v>1E-4</v>
      </c>
      <c r="F185" s="5">
        <f>(1-Parameters!$B$4)^Parameters!B$71*F184+C184*Parameters!B$71-Parameters!$B$5*C184^2/F184*Parameters!B$71</f>
        <v>1.3485837429838314</v>
      </c>
      <c r="G185" s="5">
        <f>(1-Parameters!$B$4)^Parameters!B$71*G184+D184*Parameters!B$71-Parameters!$B$5*D184^2/G184*Parameters!B$71</f>
        <v>3.3497346681045506</v>
      </c>
      <c r="H185" s="7">
        <f>MAX(H184 * (1-Parameters!$B$4) ^ Parameters!B$71 + (LN(1+EXP(Parameters!$B$21*(-B184+0.004)))/Parameters!$B$21 -0.004) * Parameters!B$71,0)</f>
        <v>7.3516216720207186E-3</v>
      </c>
      <c r="I185" s="16">
        <f>I184*(1+Parameters!$B$52)^Parameters!B$71</f>
        <v>13.782291345154666</v>
      </c>
      <c r="J185" s="16">
        <f>J184*(1+Parameters!$B$54)^Parameters!B$71</f>
        <v>326.13982740424046</v>
      </c>
      <c r="K185" s="16">
        <f>I185*J185*EXP(-Parameters!$B$43*'6states'!A185)*(Parameters!$B$38/Parameters!$B$39*('6states'!E185+'6states'!H185)/Parameters!$E$25*(EXP(-Parameters!$B$39*Parameters!$E$25*'6states'!H185/('6states'!E185+'6states'!H185))-EXP(-Parameters!$B$39*Parameters!$E$25))  +  Parameters!$B$40*'6states'!E185)</f>
        <v>5.6421226453115987E-2</v>
      </c>
      <c r="L185" s="6">
        <f>L184+K185*Parameters!B$71</f>
        <v>3351.1494632442414</v>
      </c>
      <c r="M185" s="5">
        <f>L185*Parameters!$B$46</f>
        <v>2.0106896779465449</v>
      </c>
      <c r="N185" s="7">
        <f>EXP(-Parameters!$B$47/2*M185^2)</f>
        <v>0.9601834937529512</v>
      </c>
      <c r="O185" s="6">
        <f>MAX((Parameters!$B$63 + Parameters!$B$31*'6states'!A185 - '6states'!L185 + Parameters!$B$48/Parameters!$B$46)/Parameters!B$63,1)</f>
        <v>172.56101073511519</v>
      </c>
      <c r="P185" s="5">
        <f>Parameters!B$62*EXP(-Parameters!B$61*A185)</f>
        <v>3.7720103113455944E-3</v>
      </c>
      <c r="Q185" s="5">
        <f>(1-Parameters!B$62)*O185^-Parameters!B$64</f>
        <v>0.29872786620554298</v>
      </c>
      <c r="R185" s="5">
        <f>Parameters!B$62*EXP(-Parameters!B$61*A185)+(1-Parameters!B$62)*O185^-Parameters!B$64</f>
        <v>0.30249987651688859</v>
      </c>
      <c r="S185" s="5">
        <f>1-R185/Parameters!$B$12</f>
        <v>0.84875006174155576</v>
      </c>
      <c r="T185" s="5">
        <f t="shared" si="74"/>
        <v>6.6115729468350395</v>
      </c>
      <c r="U185" s="5">
        <f>(Parameters!$B$19*(E185+Parameters!$B$20)^S185+Parameters!$B$18*F185^S185)^(1/S185)</f>
        <v>0.34546249433409515</v>
      </c>
      <c r="V185" s="5">
        <f>(Parameters!$B$10*G185^Parameters!$B$9+Parameters!$B$11*U185^Parameters!$B$9)^(Parameters!$B$7/Parameters!$B$9)*N185</f>
        <v>1.3389170762597191</v>
      </c>
      <c r="W185" s="5">
        <f>V185 - C185 - D185 - LN(1+EXP(Parameters!$B$21*B185))/Parameters!$B$21 - IF(B185&gt;0, 0,Parameters!$B$6*B185^2/E185)</f>
        <v>1.0202596907150263</v>
      </c>
      <c r="X185" s="5">
        <f>EXP(-Parameters!$B$56*A185)</f>
        <v>6.5017422925269325E-2</v>
      </c>
      <c r="Y185" s="5">
        <f>IF(W185&gt;0,W185^(1-Parameters!$B$53)/(1-Parameters!$B$53)*X185*Parameters!$B$71,-10+W185*1000)</f>
        <v>-0.18446456505452113</v>
      </c>
      <c r="AA185" s="15">
        <f t="shared" si="77"/>
        <v>0</v>
      </c>
      <c r="AB185" s="15">
        <f t="shared" si="78"/>
        <v>5.1475914412957291E-7</v>
      </c>
      <c r="AC185" s="15">
        <f t="shared" si="79"/>
        <v>-7.0099345034213556E-7</v>
      </c>
      <c r="AD185" s="15">
        <f t="shared" si="90"/>
        <v>4.917714975966481E-14</v>
      </c>
      <c r="AE185" s="15">
        <f t="shared" si="92"/>
        <v>0</v>
      </c>
      <c r="AF185" s="15">
        <f t="shared" si="93"/>
        <v>-3.1889852619704229E-8</v>
      </c>
      <c r="AG185" s="15">
        <f t="shared" si="94"/>
        <v>4.3452633075036218E-8</v>
      </c>
      <c r="AH185" s="15">
        <f t="shared" si="91"/>
        <v>1.88881726617945E-16</v>
      </c>
      <c r="AI185" s="15"/>
      <c r="AM185" s="16">
        <f t="shared" si="70"/>
        <v>33.04520212732789</v>
      </c>
      <c r="AN185" s="16">
        <f t="shared" si="71"/>
        <v>0.44949541205437005</v>
      </c>
      <c r="AO185" s="16">
        <f t="shared" si="89"/>
        <v>1552.8380624003457</v>
      </c>
      <c r="AP185" s="6">
        <f t="shared" si="73"/>
        <v>6018.3708289999477</v>
      </c>
      <c r="AQ185" s="15">
        <f>-X185*V185*W185^(-Parameters!B$53)*Parameters!B$47*Parameters!B$46*M185</f>
        <v>-2.0545480600754167E-6</v>
      </c>
      <c r="AR185" s="5">
        <f>1000*EXP(-(Parameters!$B$55)*'6states'!A185)*AP185*Parameters!B$47*Parameters!B$46*M185</f>
        <v>0.25412946785908397</v>
      </c>
      <c r="AS185" s="5">
        <f>SUM(AR185:AR$204)*EXP(Parameters!$B$55*A185)</f>
        <v>5773.7115537689142</v>
      </c>
      <c r="AT185" s="25">
        <f t="shared" si="83"/>
        <v>0.23670069430394447</v>
      </c>
      <c r="AU185">
        <f>(1/$S185-1/Parameters!$B$13) * LN(Parameters!$B$18) / LN(O185)</f>
        <v>0.19006729206419515</v>
      </c>
      <c r="AV185">
        <f>(Parameters!$B$18*'6states'!S185^+Parameters!$B$19*Parameters!$B$25^'6states'!S185)^((1-'6states'!S185)/'6states'!S185)*Parameters!$B$18*Parameters!$B$26^('6states'!S185-1)</f>
        <v>0.30881688377985689</v>
      </c>
      <c r="AW185">
        <f t="shared" si="84"/>
        <v>0.16837669652130036</v>
      </c>
      <c r="AX185">
        <f t="shared" si="85"/>
        <v>0.123435165518057</v>
      </c>
      <c r="AY185">
        <f t="shared" si="86"/>
        <v>0.19269646379233141</v>
      </c>
      <c r="AZ185">
        <f>(1/$S185-1/Parameters!$B$13) * LN(Parameters!$B$18) / A185</f>
        <v>5.4087804858340468E-3</v>
      </c>
    </row>
    <row r="186" spans="1:52" x14ac:dyDescent="0.35">
      <c r="A186">
        <f>A185+Parameters!$B$71</f>
        <v>182</v>
      </c>
      <c r="B186" s="7">
        <f t="shared" si="97"/>
        <v>-2.9568713141259393E-6</v>
      </c>
      <c r="C186" s="7">
        <f t="shared" si="95"/>
        <v>9.0949993792235756E-2</v>
      </c>
      <c r="D186" s="7">
        <f t="shared" si="96"/>
        <v>0.22597556464516125</v>
      </c>
      <c r="E186" s="5">
        <f>MAX((1-Parameters!$B$4)^Parameters!B$71*E185 + B185*Parameters!B$71 - IF(B185&gt;0,Parameters!$B$5,0)*B185^2/E185*Parameters!B$71, 0.0001)</f>
        <v>1E-4</v>
      </c>
      <c r="F186" s="5">
        <f>(1-Parameters!$B$4)^Parameters!B$71*F185+C185*Parameters!B$71-Parameters!$B$5*C185^2/F185*Parameters!B$71</f>
        <v>1.3485740501835588</v>
      </c>
      <c r="G186" s="5">
        <f>(1-Parameters!$B$4)^Parameters!B$71*G185+D185*Parameters!B$71-Parameters!$B$5*D185^2/G185*Parameters!B$71</f>
        <v>3.3497674443161176</v>
      </c>
      <c r="H186" s="7">
        <f>MAX(H185 * (1-Parameters!$B$4) ^ Parameters!B$71 + (LN(1+EXP(Parameters!$B$21*(-B185+0.004)))/Parameters!$B$21 -0.004) * Parameters!B$71,0)</f>
        <v>7.3514169366967396E-3</v>
      </c>
      <c r="I186" s="16">
        <f>I185*(1+Parameters!$B$52)^Parameters!B$71</f>
        <v>13.822259990055613</v>
      </c>
      <c r="J186" s="16">
        <f>J185*(1+Parameters!$B$54)^Parameters!B$71</f>
        <v>332.6626239523253</v>
      </c>
      <c r="K186" s="16">
        <f>I186*J186*EXP(-Parameters!$B$43*'6states'!A186)*(Parameters!$B$38/Parameters!$B$39*('6states'!E186+'6states'!H186)/Parameters!$E$25*(EXP(-Parameters!$B$39*Parameters!$E$25*'6states'!H186/('6states'!E186+'6states'!H186))-EXP(-Parameters!$B$39*Parameters!$E$25))  +  Parameters!$B$40*'6states'!E186)</f>
        <v>5.714225575215124E-2</v>
      </c>
      <c r="L186" s="6">
        <f>L185+K186*Parameters!B$71</f>
        <v>3351.2066054999937</v>
      </c>
      <c r="M186" s="5">
        <f>L186*Parameters!$B$46</f>
        <v>2.0107239632999958</v>
      </c>
      <c r="N186" s="7">
        <f>EXP(-Parameters!$B$47/2*M186^2)</f>
        <v>0.9601821632759413</v>
      </c>
      <c r="O186" s="6">
        <f>MAX((Parameters!$B$63 + Parameters!$B$31*'6states'!A186 - '6states'!L186 + Parameters!$B$48/Parameters!$B$46)/Parameters!B$63,1)</f>
        <v>173.6238678900001</v>
      </c>
      <c r="P186" s="5">
        <f>Parameters!B$62*EXP(-Parameters!B$61*A186)</f>
        <v>3.6715286396939474E-3</v>
      </c>
      <c r="Q186" s="5">
        <f>(1-Parameters!B$62)*O186^-Parameters!B$64</f>
        <v>0.29854449101726405</v>
      </c>
      <c r="R186" s="5">
        <f>Parameters!B$62*EXP(-Parameters!B$61*A186)+(1-Parameters!B$62)*O186^-Parameters!B$64</f>
        <v>0.30221601965695799</v>
      </c>
      <c r="S186" s="5">
        <f>1-R186/Parameters!$B$12</f>
        <v>0.84889199017152106</v>
      </c>
      <c r="T186" s="5">
        <f t="shared" si="74"/>
        <v>6.617782876864629</v>
      </c>
      <c r="U186" s="5">
        <f>(Parameters!$B$19*(E186+Parameters!$B$20)^S186+Parameters!$B$18*F186^S186)^(1/S186)</f>
        <v>0.34552895356937824</v>
      </c>
      <c r="V186" s="5">
        <f>(Parameters!$B$10*G186^Parameters!$B$9+Parameters!$B$11*U186^Parameters!$B$9)^(Parameters!$B$7/Parameters!$B$9)*N186</f>
        <v>1.3389434384247951</v>
      </c>
      <c r="W186" s="5">
        <f>V186 - C186 - D186 - LN(1+EXP(Parameters!$B$21*B186))/Parameters!$B$21 - IF(B186&gt;0, 0,Parameters!$B$6*B186^2/E186)</f>
        <v>1.0202860528801023</v>
      </c>
      <c r="X186" s="5">
        <f>EXP(-Parameters!$B$56*A186)</f>
        <v>6.4043034982180613E-2</v>
      </c>
      <c r="Y186" s="5">
        <f>IF(W186&gt;0,W186^(1-Parameters!$B$53)/(1-Parameters!$B$53)*X186*Parameters!$B$71,-10+W186*1000)</f>
        <v>-0.18169843136995079</v>
      </c>
      <c r="AA186" s="15">
        <f t="shared" si="77"/>
        <v>0</v>
      </c>
      <c r="AB186" s="15">
        <f t="shared" si="78"/>
        <v>4.8472924100984027E-7</v>
      </c>
      <c r="AC186" s="15">
        <f t="shared" si="79"/>
        <v>-6.600778644921812E-7</v>
      </c>
      <c r="AD186" s="15">
        <f t="shared" si="90"/>
        <v>4.2951436420058344E-14</v>
      </c>
      <c r="AE186" s="15">
        <f t="shared" si="92"/>
        <v>0</v>
      </c>
      <c r="AF186" s="15">
        <f t="shared" si="93"/>
        <v>-3.0029903119732637E-8</v>
      </c>
      <c r="AG186" s="15">
        <f t="shared" si="94"/>
        <v>4.0915585849954361E-8</v>
      </c>
      <c r="AH186" s="15">
        <f t="shared" si="91"/>
        <v>1.6496718875735439E-16</v>
      </c>
      <c r="AI186" s="15"/>
      <c r="AM186" s="16">
        <f t="shared" si="70"/>
        <v>33.802912474185106</v>
      </c>
      <c r="AN186" s="16">
        <f t="shared" si="71"/>
        <v>0.45981492772431426</v>
      </c>
      <c r="AO186" s="16">
        <f t="shared" si="89"/>
        <v>1588.7937081216157</v>
      </c>
      <c r="AP186" s="6">
        <f t="shared" si="73"/>
        <v>6156.6618036624195</v>
      </c>
      <c r="AQ186" s="15">
        <f>-X186*V186*W186^(-Parameters!B$53)*Parameters!B$47*Parameters!B$46*M186</f>
        <v>-2.0237611999645537E-6</v>
      </c>
      <c r="AR186" s="5">
        <f>1000*EXP(-(Parameters!$B$55)*'6states'!A186)*AP186*Parameters!B$47*Parameters!B$46*M186</f>
        <v>0.25100654736609956</v>
      </c>
      <c r="AS186" s="5">
        <f>SUM(AR186:AR$204)*EXP(Parameters!$B$55*A186)</f>
        <v>5828.8150486633867</v>
      </c>
      <c r="AT186" s="25">
        <f t="shared" si="83"/>
        <v>0.23669603395564462</v>
      </c>
      <c r="AU186">
        <f>(1/$S186-1/Parameters!$B$13) * LN(Parameters!$B$18) / LN(O186)</f>
        <v>0.18988648022314666</v>
      </c>
      <c r="AV186">
        <f>(Parameters!$B$18*'6states'!S186^+Parameters!$B$19*Parameters!$B$25^'6states'!S186)^((1-'6states'!S186)/'6states'!S186)*Parameters!$B$18*Parameters!$B$26^('6states'!S186-1)</f>
        <v>0.30883056760684591</v>
      </c>
      <c r="AW186">
        <f t="shared" si="84"/>
        <v>0.16818479906090325</v>
      </c>
      <c r="AX186">
        <f t="shared" si="85"/>
        <v>0.12332529944839954</v>
      </c>
      <c r="AY186">
        <f t="shared" si="86"/>
        <v>0.19270412095425005</v>
      </c>
      <c r="AZ186">
        <f>(1/$S186-1/Parameters!$B$13) * LN(Parameters!$B$18) / A186</f>
        <v>5.3803512866517095E-3</v>
      </c>
    </row>
    <row r="187" spans="1:52" x14ac:dyDescent="0.35">
      <c r="A187">
        <f>A186+Parameters!$B$71</f>
        <v>183</v>
      </c>
      <c r="B187" s="7">
        <f t="shared" si="97"/>
        <v>-2.9568713141259393E-6</v>
      </c>
      <c r="C187" s="7">
        <f t="shared" si="95"/>
        <v>9.0949993792235756E-2</v>
      </c>
      <c r="D187" s="7">
        <f t="shared" si="96"/>
        <v>0.22597556464516125</v>
      </c>
      <c r="E187" s="5">
        <f>MAX((1-Parameters!$B$4)^Parameters!B$71*E186 + B186*Parameters!B$71 - IF(B186&gt;0,Parameters!$B$5,0)*B186^2/E186*Parameters!B$71, 0.0001)</f>
        <v>1E-4</v>
      </c>
      <c r="F187" s="5">
        <f>(1-Parameters!$B$4)^Parameters!B$71*F186+C186*Parameters!B$71-Parameters!$B$5*C186^2/F186*Parameters!B$71</f>
        <v>1.348564922974302</v>
      </c>
      <c r="G187" s="5">
        <f>(1-Parameters!$B$4)^Parameters!B$71*G186+D186*Parameters!B$71-Parameters!$B$5*D186^2/G186*Parameters!B$71</f>
        <v>3.349798308065445</v>
      </c>
      <c r="H187" s="7">
        <f>MAX(H186 * (1-Parameters!$B$4) ^ Parameters!B$71 + (LN(1+EXP(Parameters!$B$21*(-B186+0.004)))/Parameters!$B$21 -0.004) * Parameters!B$71,0)</f>
        <v>7.3512250792246384E-3</v>
      </c>
      <c r="I187" s="16">
        <f>I186*(1+Parameters!$B$52)^Parameters!B$71</f>
        <v>13.862344544026774</v>
      </c>
      <c r="J187" s="16">
        <f>J186*(1+Parameters!$B$54)^Parameters!B$71</f>
        <v>339.31587643137181</v>
      </c>
      <c r="K187" s="16">
        <f>I187*J187*EXP(-Parameters!$B$43*'6states'!A187)*(Parameters!$B$38/Parameters!$B$39*('6states'!E187+'6states'!H187)/Parameters!$E$25*(EXP(-Parameters!$B$39*Parameters!$E$25*'6states'!H187/('6states'!E187+'6states'!H187))-EXP(-Parameters!$B$39*Parameters!$E$25))  +  Parameters!$B$40*'6states'!E187)</f>
        <v>5.7872499371447658E-2</v>
      </c>
      <c r="L187" s="6">
        <f>L186+K187*Parameters!B$71</f>
        <v>3351.2644779993652</v>
      </c>
      <c r="M187" s="5">
        <f>L187*Parameters!$B$46</f>
        <v>2.010758686799619</v>
      </c>
      <c r="N187" s="7">
        <f>EXP(-Parameters!$B$47/2*M187^2)</f>
        <v>0.96018081577499226</v>
      </c>
      <c r="O187" s="6">
        <f>MAX((Parameters!$B$63 + Parameters!$B$31*'6states'!A187 - '6states'!L187 + Parameters!$B$48/Parameters!$B$46)/Parameters!B$63,1)</f>
        <v>174.68671044001269</v>
      </c>
      <c r="P187" s="5">
        <f>Parameters!B$62*EXP(-Parameters!B$61*A187)</f>
        <v>3.5737236750246599E-3</v>
      </c>
      <c r="Q187" s="5">
        <f>(1-Parameters!B$62)*O187^-Parameters!B$64</f>
        <v>0.29836234899321823</v>
      </c>
      <c r="R187" s="5">
        <f>Parameters!B$62*EXP(-Parameters!B$61*A187)+(1-Parameters!B$62)*O187^-Parameters!B$64</f>
        <v>0.30193607266824291</v>
      </c>
      <c r="S187" s="5">
        <f>1-R187/Parameters!$B$12</f>
        <v>0.84903196366587852</v>
      </c>
      <c r="T187" s="5">
        <f t="shared" si="74"/>
        <v>6.6239187067837753</v>
      </c>
      <c r="U187" s="5">
        <f>(Parameters!$B$19*(E187+Parameters!$B$20)^S187+Parameters!$B$18*F187^S187)^(1/S187)</f>
        <v>0.34559460056074043</v>
      </c>
      <c r="V187" s="5">
        <f>(Parameters!$B$10*G187^Parameters!$B$9+Parameters!$B$11*U187^Parameters!$B$9)^(Parameters!$B$7/Parameters!$B$9)*N187</f>
        <v>1.3389692946932987</v>
      </c>
      <c r="W187" s="5">
        <f>V187 - C187 - D187 - LN(1+EXP(Parameters!$B$21*B187))/Parameters!$B$21 - IF(B187&gt;0, 0,Parameters!$B$6*B187^2/E187)</f>
        <v>1.0203119091486059</v>
      </c>
      <c r="X187" s="5">
        <f>EXP(-Parameters!$B$56*A187)</f>
        <v>6.3083249768959085E-2</v>
      </c>
      <c r="Y187" s="5">
        <f>IF(W187&gt;0,W187^(1-Parameters!$B$53)/(1-Parameters!$B$53)*X187*Parameters!$B$71,-10+W187*1000)</f>
        <v>-0.17897380827328369</v>
      </c>
      <c r="AA187" s="15">
        <f t="shared" si="77"/>
        <v>0</v>
      </c>
      <c r="AB187" s="15">
        <f t="shared" si="78"/>
        <v>4.564508536003542E-7</v>
      </c>
      <c r="AC187" s="15">
        <f t="shared" si="79"/>
        <v>-6.2155111080208769E-7</v>
      </c>
      <c r="AD187" s="15">
        <f t="shared" si="90"/>
        <v>3.7513915804383534E-14</v>
      </c>
      <c r="AE187" s="15">
        <f t="shared" si="92"/>
        <v>0</v>
      </c>
      <c r="AF187" s="15">
        <f t="shared" si="93"/>
        <v>-2.8278387409486072E-8</v>
      </c>
      <c r="AG187" s="15">
        <f t="shared" si="94"/>
        <v>3.8526753690093507E-8</v>
      </c>
      <c r="AH187" s="15">
        <f t="shared" si="91"/>
        <v>1.4408075113199832E-16</v>
      </c>
      <c r="AI187" s="15"/>
      <c r="AM187" s="16">
        <f t="shared" si="70"/>
        <v>34.5780572961689</v>
      </c>
      <c r="AN187" s="16">
        <f t="shared" si="71"/>
        <v>0.47037135883500902</v>
      </c>
      <c r="AO187" s="16">
        <f t="shared" si="89"/>
        <v>1625.5780187179764</v>
      </c>
      <c r="AP187" s="6">
        <f t="shared" si="73"/>
        <v>6298.1280658324058</v>
      </c>
      <c r="AQ187" s="15">
        <f>-X187*V187*W187^(-Parameters!B$53)*Parameters!B$47*Parameters!B$46*M187</f>
        <v>-1.9934366888021711E-6</v>
      </c>
      <c r="AR187" s="5">
        <f>1000*EXP(-(Parameters!$B$55)*'6states'!A187)*AP187*Parameters!B$47*Parameters!B$46*M187</f>
        <v>0.24792196368555483</v>
      </c>
      <c r="AS187" s="5">
        <f>SUM(AR187:AR$204)*EXP(Parameters!$B$55*A187)</f>
        <v>5882.4111832059662</v>
      </c>
      <c r="AT187" s="25">
        <f t="shared" si="83"/>
        <v>0.23669146321886078</v>
      </c>
      <c r="AU187">
        <f>(1/$S187-1/Parameters!$B$13) * LN(Parameters!$B$18) / LN(O187)</f>
        <v>0.18970683754922907</v>
      </c>
      <c r="AV187">
        <f>(Parameters!$B$18*'6states'!S187^+Parameters!$B$19*Parameters!$B$25^'6states'!S187)^((1-'6states'!S187)/'6states'!S187)*Parameters!$B$18*Parameters!$B$26^('6states'!S187-1)</f>
        <v>0.30884402262429506</v>
      </c>
      <c r="AW187">
        <f t="shared" si="84"/>
        <v>0.16799443624949689</v>
      </c>
      <c r="AX187">
        <f t="shared" si="85"/>
        <v>0.12321613015868316</v>
      </c>
      <c r="AY187">
        <f t="shared" si="86"/>
        <v>0.19271165000867907</v>
      </c>
      <c r="AZ187">
        <f>(1/$S187-1/Parameters!$B$13) * LN(Parameters!$B$18) / A187</f>
        <v>5.3522147062729491E-3</v>
      </c>
    </row>
    <row r="188" spans="1:52" x14ac:dyDescent="0.35">
      <c r="A188">
        <f>A187+Parameters!$B$71</f>
        <v>184</v>
      </c>
      <c r="B188" s="7">
        <f t="shared" si="97"/>
        <v>-2.9568713141259393E-6</v>
      </c>
      <c r="C188" s="7">
        <f t="shared" si="95"/>
        <v>9.0949993792235756E-2</v>
      </c>
      <c r="D188" s="7">
        <f t="shared" si="96"/>
        <v>0.22597556464516125</v>
      </c>
      <c r="E188" s="5">
        <f>MAX((1-Parameters!$B$4)^Parameters!B$71*E187 + B187*Parameters!B$71 - IF(B187&gt;0,Parameters!$B$5,0)*B187^2/E187*Parameters!B$71, 0.0001)</f>
        <v>1E-4</v>
      </c>
      <c r="F188" s="5">
        <f>(1-Parameters!$B$4)^Parameters!B$71*F187+C187*Parameters!B$71-Parameters!$B$5*C187^2/F187*Parameters!B$71</f>
        <v>1.3485563283523048</v>
      </c>
      <c r="G188" s="5">
        <f>(1-Parameters!$B$4)^Parameters!B$71*G187+D187*Parameters!B$71-Parameters!$B$5*D187^2/G187*Parameters!B$71</f>
        <v>3.3498273709403028</v>
      </c>
      <c r="H188" s="7">
        <f>MAX(H187 * (1-Parameters!$B$4) ^ Parameters!B$71 + (LN(1+EXP(Parameters!$B$21*(-B187+0.004)))/Parameters!$B$21 -0.004) * Parameters!B$71,0)</f>
        <v>7.3510452895875324E-3</v>
      </c>
      <c r="I188" s="16">
        <f>I187*(1+Parameters!$B$52)^Parameters!B$71</f>
        <v>13.90254534320445</v>
      </c>
      <c r="J188" s="16">
        <f>J187*(1+Parameters!$B$54)^Parameters!B$71</f>
        <v>346.10219395999923</v>
      </c>
      <c r="K188" s="16">
        <f>I188*J188*EXP(-Parameters!$B$43*'6states'!A188)*(Parameters!$B$38/Parameters!$B$39*('6states'!E188+'6states'!H188)/Parameters!$E$25*(EXP(-Parameters!$B$39*Parameters!$E$25*'6states'!H188/('6states'!E188+'6states'!H188))-EXP(-Parameters!$B$39*Parameters!$E$25))  +  Parameters!$B$40*'6states'!E188)</f>
        <v>5.8612075064469624E-2</v>
      </c>
      <c r="L188" s="6">
        <f>L187+K188*Parameters!B$71</f>
        <v>3351.3230900744297</v>
      </c>
      <c r="M188" s="5">
        <f>L188*Parameters!$B$46</f>
        <v>2.0107938540446577</v>
      </c>
      <c r="N188" s="7">
        <f>EXP(-Parameters!$B$47/2*M188^2)</f>
        <v>0.96017945103200208</v>
      </c>
      <c r="O188" s="6">
        <f>MAX((Parameters!$B$63 + Parameters!$B$31*'6states'!A188 - '6states'!L188 + Parameters!$B$48/Parameters!$B$46)/Parameters!B$63,1)</f>
        <v>175.74953819851143</v>
      </c>
      <c r="P188" s="5">
        <f>Parameters!B$62*EXP(-Parameters!B$61*A188)</f>
        <v>3.4785241131869179E-3</v>
      </c>
      <c r="Q188" s="5">
        <f>(1-Parameters!B$62)*O188^-Parameters!B$64</f>
        <v>0.29818142444315204</v>
      </c>
      <c r="R188" s="5">
        <f>Parameters!B$62*EXP(-Parameters!B$61*A188)+(1-Parameters!B$62)*O188^-Parameters!B$64</f>
        <v>0.30165994855633899</v>
      </c>
      <c r="S188" s="5">
        <f>1-R188/Parameters!$B$12</f>
        <v>0.84917002572183053</v>
      </c>
      <c r="T188" s="5">
        <f t="shared" si="74"/>
        <v>6.6299819037013261</v>
      </c>
      <c r="U188" s="5">
        <f>(Parameters!$B$19*(E188+Parameters!$B$20)^S188+Parameters!$B$18*F188^S188)^(1/S188)</f>
        <v>0.34565944846352409</v>
      </c>
      <c r="V188" s="5">
        <f>(Parameters!$B$10*G188^Parameters!$B$9+Parameters!$B$11*U188^Parameters!$B$9)^(Parameters!$B$7/Parameters!$B$9)*N188</f>
        <v>1.338994659280943</v>
      </c>
      <c r="W188" s="5">
        <f>V188 - C188 - D188 - LN(1+EXP(Parameters!$B$21*B188))/Parameters!$B$21 - IF(B188&gt;0, 0,Parameters!$B$6*B188^2/E188)</f>
        <v>1.0203372737362502</v>
      </c>
      <c r="X188" s="5">
        <f>EXP(-Parameters!$B$56*A188)</f>
        <v>6.2137848440820063E-2</v>
      </c>
      <c r="Y188" s="5">
        <f>IF(W188&gt;0,W188^(1-Parameters!$B$53)/(1-Parameters!$B$53)*X188*Parameters!$B$71,-10+W188*1000)</f>
        <v>-0.17629007149885628</v>
      </c>
      <c r="AA188" s="15">
        <f t="shared" si="77"/>
        <v>0</v>
      </c>
      <c r="AB188" s="15">
        <f t="shared" si="78"/>
        <v>4.2982186453099924E-7</v>
      </c>
      <c r="AC188" s="15">
        <f t="shared" si="79"/>
        <v>-5.8527364263372128E-7</v>
      </c>
      <c r="AD188" s="15">
        <f t="shared" si="90"/>
        <v>3.2764794853400966E-14</v>
      </c>
      <c r="AE188" s="15">
        <f t="shared" si="92"/>
        <v>0</v>
      </c>
      <c r="AF188" s="15">
        <f t="shared" si="93"/>
        <v>-2.6628989069354958E-8</v>
      </c>
      <c r="AG188" s="15">
        <f t="shared" si="94"/>
        <v>3.6277468168366411E-8</v>
      </c>
      <c r="AH188" s="15">
        <f t="shared" si="91"/>
        <v>1.2583894568390415E-16</v>
      </c>
      <c r="AI188" s="15"/>
      <c r="AM188" s="16">
        <f t="shared" si="70"/>
        <v>35.371035241517696</v>
      </c>
      <c r="AN188" s="16">
        <f t="shared" si="71"/>
        <v>0.48117014449114304</v>
      </c>
      <c r="AO188" s="16">
        <f t="shared" si="89"/>
        <v>1663.2100676192269</v>
      </c>
      <c r="AP188" s="6">
        <f t="shared" si="73"/>
        <v>6442.8425367908012</v>
      </c>
      <c r="AQ188" s="15">
        <f>-X188*V188*W188^(-Parameters!B$53)*Parameters!B$47*Parameters!B$46*M188</f>
        <v>-1.9635675572675846E-6</v>
      </c>
      <c r="AR188" s="5">
        <f>1000*EXP(-(Parameters!$B$55)*'6states'!A188)*AP188*Parameters!B$47*Parameters!B$46*M188</f>
        <v>0.2448752499707719</v>
      </c>
      <c r="AS188" s="5">
        <f>SUM(AR188:AR$204)*EXP(Parameters!$B$55*A188)</f>
        <v>5934.366206031802</v>
      </c>
      <c r="AT188" s="25">
        <f t="shared" si="83"/>
        <v>0.23668697957038479</v>
      </c>
      <c r="AU188">
        <f>(1/$S188-1/Parameters!$B$13) * LN(Parameters!$B$18) / LN(O188)</f>
        <v>0.18952835382652125</v>
      </c>
      <c r="AV188">
        <f>(Parameters!$B$18*'6states'!S188^+Parameters!$B$19*Parameters!$B$25^'6states'!S188)^((1-'6states'!S188)/'6states'!S188)*Parameters!$B$18*Parameters!$B$26^('6states'!S188-1)</f>
        <v>0.30885725469054415</v>
      </c>
      <c r="AW188">
        <f t="shared" si="84"/>
        <v>0.1678055874161434</v>
      </c>
      <c r="AX188">
        <f t="shared" si="85"/>
        <v>0.12310765170323457</v>
      </c>
      <c r="AY188">
        <f t="shared" si="86"/>
        <v>0.19271905423732039</v>
      </c>
      <c r="AZ188">
        <f>(1/$S188-1/Parameters!$B$13) * LN(Parameters!$B$18) / A188</f>
        <v>5.3243663818585175E-3</v>
      </c>
    </row>
    <row r="189" spans="1:52" x14ac:dyDescent="0.35">
      <c r="A189">
        <f>A188+Parameters!$B$71</f>
        <v>185</v>
      </c>
      <c r="B189" s="7">
        <f t="shared" si="97"/>
        <v>-2.9568713141259393E-6</v>
      </c>
      <c r="C189" s="7">
        <f t="shared" si="95"/>
        <v>9.0949993792235756E-2</v>
      </c>
      <c r="D189" s="7">
        <f t="shared" si="96"/>
        <v>0.22597556464516125</v>
      </c>
      <c r="E189" s="5">
        <f>MAX((1-Parameters!$B$4)^Parameters!B$71*E188 + B188*Parameters!B$71 - IF(B188&gt;0,Parameters!$B$5,0)*B188^2/E188*Parameters!B$71, 0.0001)</f>
        <v>1E-4</v>
      </c>
      <c r="F189" s="5">
        <f>(1-Parameters!$B$4)^Parameters!B$71*F188+C188*Parameters!B$71-Parameters!$B$5*C188^2/F188*Parameters!B$71</f>
        <v>1.3485482352397353</v>
      </c>
      <c r="G189" s="5">
        <f>(1-Parameters!$B$4)^Parameters!B$71*G188+D188*Parameters!B$71-Parameters!$B$5*D188^2/G188*Parameters!B$71</f>
        <v>3.349854738017874</v>
      </c>
      <c r="H189" s="7">
        <f>MAX(H188 * (1-Parameters!$B$4) ^ Parameters!B$71 + (LN(1+EXP(Parameters!$B$21*(-B188+0.004)))/Parameters!$B$21 -0.004) * Parameters!B$71,0)</f>
        <v>7.3508768087186009E-3</v>
      </c>
      <c r="I189" s="16">
        <f>I188*(1+Parameters!$B$52)^Parameters!B$71</f>
        <v>13.942862724699742</v>
      </c>
      <c r="J189" s="16">
        <f>J188*(1+Parameters!$B$54)^Parameters!B$71</f>
        <v>353.0242378391992</v>
      </c>
      <c r="K189" s="16">
        <f>I189*J189*EXP(-Parameters!$B$43*'6states'!A189)*(Parameters!$B$38/Parameters!$B$39*('6states'!E189+'6states'!H189)/Parameters!$E$25*(EXP(-Parameters!$B$39*Parameters!$E$25*'6states'!H189/('6states'!E189+'6states'!H189))-EXP(-Parameters!$B$39*Parameters!$E$25))  +  Parameters!$B$40*'6states'!E189)</f>
        <v>5.9361102089499893E-2</v>
      </c>
      <c r="L189" s="6">
        <f>L188+K189*Parameters!B$71</f>
        <v>3351.3824511765192</v>
      </c>
      <c r="M189" s="5">
        <f>L189*Parameters!$B$46</f>
        <v>2.0108294707059113</v>
      </c>
      <c r="N189" s="7">
        <f>EXP(-Parameters!$B$47/2*M189^2)</f>
        <v>0.96017806882606749</v>
      </c>
      <c r="O189" s="6">
        <f>MAX((Parameters!$B$63 + Parameters!$B$31*'6states'!A189 - '6states'!L189 + Parameters!$B$48/Parameters!$B$46)/Parameters!B$63,1)</f>
        <v>176.81235097646962</v>
      </c>
      <c r="P189" s="5">
        <f>Parameters!B$62*EXP(-Parameters!B$61*A189)</f>
        <v>3.3858605494839606E-3</v>
      </c>
      <c r="Q189" s="5">
        <f>(1-Parameters!B$62)*O189^-Parameters!B$64</f>
        <v>0.29800170197047593</v>
      </c>
      <c r="R189" s="5">
        <f>Parameters!B$62*EXP(-Parameters!B$61*A189)+(1-Parameters!B$62)*O189^-Parameters!B$64</f>
        <v>0.30138756251995991</v>
      </c>
      <c r="S189" s="5">
        <f>1-R189/Parameters!$B$12</f>
        <v>0.84930621874001999</v>
      </c>
      <c r="T189" s="5">
        <f t="shared" si="74"/>
        <v>6.6359739044226345</v>
      </c>
      <c r="U189" s="5">
        <f>(Parameters!$B$19*(E189+Parameters!$B$20)^S189+Parameters!$B$18*F189^S189)^(1/S189)</f>
        <v>0.34572351036315019</v>
      </c>
      <c r="V189" s="5">
        <f>(Parameters!$B$10*G189^Parameters!$B$9+Parameters!$B$11*U189^Parameters!$B$9)^(Parameters!$B$7/Parameters!$B$9)*N189</f>
        <v>1.3390195458398362</v>
      </c>
      <c r="W189" s="5">
        <f>V189 - C189 - D189 - LN(1+EXP(Parameters!$B$21*B189))/Parameters!$B$21 - IF(B189&gt;0, 0,Parameters!$B$6*B189^2/E189)</f>
        <v>1.0203621602951434</v>
      </c>
      <c r="X189" s="5">
        <f>EXP(-Parameters!$B$56*A189)</f>
        <v>6.1206615432710852E-2</v>
      </c>
      <c r="Y189" s="5">
        <f>IF(W189&gt;0,W189^(1-Parameters!$B$53)/(1-Parameters!$B$53)*X189*Parameters!$B$71,-10+W189*1000)</f>
        <v>-0.17364660623563344</v>
      </c>
      <c r="AA189" s="15">
        <f t="shared" si="77"/>
        <v>0</v>
      </c>
      <c r="AB189" s="15">
        <f t="shared" si="78"/>
        <v>4.0474610539520395E-7</v>
      </c>
      <c r="AC189" s="15">
        <f t="shared" si="79"/>
        <v>-5.5111407384900168E-7</v>
      </c>
      <c r="AD189" s="15">
        <f t="shared" si="90"/>
        <v>2.8616916312271109E-14</v>
      </c>
      <c r="AE189" s="15">
        <f t="shared" si="92"/>
        <v>0</v>
      </c>
      <c r="AF189" s="15">
        <f t="shared" si="93"/>
        <v>-2.5075759135795295E-8</v>
      </c>
      <c r="AG189" s="15">
        <f t="shared" si="94"/>
        <v>3.4159568784719596E-8</v>
      </c>
      <c r="AH189" s="15">
        <f t="shared" si="91"/>
        <v>1.0990687308358754E-16</v>
      </c>
      <c r="AI189" s="15"/>
      <c r="AM189" s="16">
        <f t="shared" si="70"/>
        <v>36.18225417736879</v>
      </c>
      <c r="AN189" s="16">
        <f t="shared" si="71"/>
        <v>0.49221684866837073</v>
      </c>
      <c r="AO189" s="16">
        <f t="shared" si="89"/>
        <v>1701.7093678151657</v>
      </c>
      <c r="AP189" s="6">
        <f t="shared" si="73"/>
        <v>6590.8798115863701</v>
      </c>
      <c r="AQ189" s="15">
        <f>-X189*V189*W189^(-Parameters!B$53)*Parameters!B$47*Parameters!B$46*M189</f>
        <v>-1.9341469423396366E-6</v>
      </c>
      <c r="AR189" s="5">
        <f>1000*EXP(-(Parameters!$B$55)*'6states'!A189)*AP189*Parameters!B$47*Parameters!B$46*M189</f>
        <v>0.24186594487933427</v>
      </c>
      <c r="AS189" s="5">
        <f>SUM(AR189:AR$204)*EXP(Parameters!$B$55*A189)</f>
        <v>5984.539749309145</v>
      </c>
      <c r="AT189" s="25">
        <f t="shared" si="83"/>
        <v>0.2366825805872074</v>
      </c>
      <c r="AU189">
        <f>(1/$S189-1/Parameters!$B$13) * LN(Parameters!$B$18) / LN(O189)</f>
        <v>0.18935101892479866</v>
      </c>
      <c r="AV189">
        <f>(Parameters!$B$18*'6states'!S189^+Parameters!$B$19*Parameters!$B$25^'6states'!S189)^((1-'6states'!S189)/'6states'!S189)*Parameters!$B$18*Parameters!$B$26^('6states'!S189-1)</f>
        <v>0.30887026948602525</v>
      </c>
      <c r="AW189">
        <f t="shared" si="84"/>
        <v>0.16761823227385361</v>
      </c>
      <c r="AX189">
        <f t="shared" si="85"/>
        <v>0.12299985818375914</v>
      </c>
      <c r="AY189">
        <f t="shared" si="86"/>
        <v>0.19272633682214713</v>
      </c>
      <c r="AZ189">
        <f>(1/$S189-1/Parameters!$B$13) * LN(Parameters!$B$18) / A189</f>
        <v>5.296802034355395E-3</v>
      </c>
    </row>
    <row r="190" spans="1:52" x14ac:dyDescent="0.35">
      <c r="A190">
        <f>A189+Parameters!$B$71</f>
        <v>186</v>
      </c>
      <c r="B190" s="7">
        <f t="shared" si="97"/>
        <v>-2.9568713141259393E-6</v>
      </c>
      <c r="C190" s="7">
        <f t="shared" si="95"/>
        <v>9.0949993792235756E-2</v>
      </c>
      <c r="D190" s="7">
        <f t="shared" si="96"/>
        <v>0.22597556464516125</v>
      </c>
      <c r="E190" s="5">
        <f>MAX((1-Parameters!$B$4)^Parameters!B$71*E189 + B189*Parameters!B$71 - IF(B189&gt;0,Parameters!$B$5,0)*B189^2/E189*Parameters!B$71, 0.0001)</f>
        <v>1E-4</v>
      </c>
      <c r="F190" s="5">
        <f>(1-Parameters!$B$4)^Parameters!B$71*F189+C189*Parameters!B$71-Parameters!$B$5*C189^2/F189*Parameters!B$71</f>
        <v>1.3485406143722909</v>
      </c>
      <c r="G190" s="5">
        <f>(1-Parameters!$B$4)^Parameters!B$71*G189+D189*Parameters!B$71-Parameters!$B$5*D189^2/G189*Parameters!B$71</f>
        <v>3.3498805082445799</v>
      </c>
      <c r="H190" s="7">
        <f>MAX(H189 * (1-Parameters!$B$4) ^ Parameters!B$71 + (LN(1+EXP(Parameters!$B$21*(-B189+0.004)))/Parameters!$B$21 -0.004) * Parameters!B$71,0)</f>
        <v>7.3507189252963248E-3</v>
      </c>
      <c r="I190" s="16">
        <f>I189*(1+Parameters!$B$52)^Parameters!B$71</f>
        <v>13.98329702660137</v>
      </c>
      <c r="J190" s="16">
        <f>J189*(1+Parameters!$B$54)^Parameters!B$71</f>
        <v>360.08472259598318</v>
      </c>
      <c r="K190" s="16">
        <f>I190*J190*EXP(-Parameters!$B$43*'6states'!A190)*(Parameters!$B$38/Parameters!$B$39*('6states'!E190+'6states'!H190)/Parameters!$E$25*(EXP(-Parameters!$B$39*Parameters!$E$25*'6states'!H190/('6states'!E190+'6states'!H190))-EXP(-Parameters!$B$39*Parameters!$E$25))  +  Parameters!$B$40*'6states'!E190)</f>
        <v>6.0119701228870219E-2</v>
      </c>
      <c r="L190" s="6">
        <f>L189+K190*Parameters!B$71</f>
        <v>3351.442570877748</v>
      </c>
      <c r="M190" s="5">
        <f>L190*Parameters!$B$46</f>
        <v>2.0108655425266488</v>
      </c>
      <c r="N190" s="7">
        <f>EXP(-Parameters!$B$47/2*M190^2)</f>
        <v>0.96017666893344766</v>
      </c>
      <c r="O190" s="6">
        <f>MAX((Parameters!$B$63 + Parameters!$B$31*'6states'!A190 - '6states'!L190 + Parameters!$B$48/Parameters!$B$46)/Parameters!B$63,1)</f>
        <v>177.87514858244504</v>
      </c>
      <c r="P190" s="5">
        <f>Parameters!B$62*EXP(-Parameters!B$61*A190)</f>
        <v>3.2956654280739805E-3</v>
      </c>
      <c r="Q190" s="5">
        <f>(1-Parameters!B$62)*O190^-Parameters!B$64</f>
        <v>0.29782316646504953</v>
      </c>
      <c r="R190" s="5">
        <f>Parameters!B$62*EXP(-Parameters!B$61*A190)+(1-Parameters!B$62)*O190^-Parameters!B$64</f>
        <v>0.3011188318931235</v>
      </c>
      <c r="S190" s="5">
        <f>1-R190/Parameters!$B$12</f>
        <v>0.84944058405343825</v>
      </c>
      <c r="T190" s="5">
        <f t="shared" si="74"/>
        <v>6.6418961159820871</v>
      </c>
      <c r="U190" s="5">
        <f>(Parameters!$B$19*(E190+Parameters!$B$20)^S190+Parameters!$B$18*F190^S190)^(1/S190)</f>
        <v>0.34578679926236472</v>
      </c>
      <c r="V190" s="5">
        <f>(Parameters!$B$10*G190^Parameters!$B$9+Parameters!$B$11*U190^Parameters!$B$9)^(Parameters!$B$7/Parameters!$B$9)*N190</f>
        <v>1.3390439674836605</v>
      </c>
      <c r="W190" s="5">
        <f>V190 - C190 - D190 - LN(1+EXP(Parameters!$B$21*B190))/Parameters!$B$21 - IF(B190&gt;0, 0,Parameters!$B$6*B190^2/E190)</f>
        <v>1.0203865819389677</v>
      </c>
      <c r="X190" s="5">
        <f>EXP(-Parameters!$B$56*A190)</f>
        <v>6.0289338410158787E-2</v>
      </c>
      <c r="Y190" s="5">
        <f>IF(W190&gt;0,W190^(1-Parameters!$B$53)/(1-Parameters!$B$53)*X190*Parameters!$B$71,-10+W190*1000)</f>
        <v>-0.17104280698034108</v>
      </c>
      <c r="AA190" s="15">
        <f t="shared" si="77"/>
        <v>0</v>
      </c>
      <c r="AB190" s="15">
        <f t="shared" si="78"/>
        <v>3.8113301081832418E-7</v>
      </c>
      <c r="AC190" s="15">
        <f t="shared" si="79"/>
        <v>-5.1894870041480079E-7</v>
      </c>
      <c r="AD190" s="15">
        <f t="shared" si="90"/>
        <v>2.4994158596898841E-14</v>
      </c>
      <c r="AE190" s="15">
        <f t="shared" si="92"/>
        <v>0</v>
      </c>
      <c r="AF190" s="15">
        <f t="shared" si="93"/>
        <v>-2.3613094576879767E-8</v>
      </c>
      <c r="AG190" s="15">
        <f t="shared" si="94"/>
        <v>3.2165373434200895E-8</v>
      </c>
      <c r="AH190" s="15">
        <f t="shared" si="91"/>
        <v>9.5992050593369127E-17</v>
      </c>
      <c r="AI190" s="15"/>
      <c r="AM190" s="16">
        <f t="shared" si="70"/>
        <v>37.012131398644001</v>
      </c>
      <c r="AN190" s="16">
        <f t="shared" si="71"/>
        <v>0.50351716308009908</v>
      </c>
      <c r="AO190" s="16">
        <f t="shared" si="89"/>
        <v>1741.0958819513357</v>
      </c>
      <c r="AP190" s="6">
        <f t="shared" si="73"/>
        <v>6742.3161974689319</v>
      </c>
      <c r="AQ190" s="15">
        <f>-X190*V190*W190^(-Parameters!B$53)*Parameters!B$47*Parameters!B$46*M190</f>
        <v>-1.9051680856066964E-6</v>
      </c>
      <c r="AR190" s="5">
        <f>1000*EXP(-(Parameters!$B$55)*'6states'!A190)*AP190*Parameters!B$47*Parameters!B$46*M190</f>
        <v>0.23889359251792891</v>
      </c>
      <c r="AS190" s="5">
        <f>SUM(AR190:AR$204)*EXP(Parameters!$B$55*A190)</f>
        <v>6032.7845500563008</v>
      </c>
      <c r="AT190" s="25">
        <f t="shared" si="83"/>
        <v>0.23667826394203151</v>
      </c>
      <c r="AU190">
        <f>(1/$S190-1/Parameters!$B$13) * LN(Parameters!$B$18) / LN(O190)</f>
        <v>0.18917482279910061</v>
      </c>
      <c r="AV190">
        <f>(Parameters!$B$18*'6states'!S190^+Parameters!$B$19*Parameters!$B$25^'6states'!S190)^((1-'6states'!S190)/'6states'!S190)*Parameters!$B$18*Parameters!$B$26^('6states'!S190-1)</f>
        <v>0.30888307251929853</v>
      </c>
      <c r="AW190">
        <f t="shared" si="84"/>
        <v>0.1674323509105268</v>
      </c>
      <c r="AX190">
        <f t="shared" si="85"/>
        <v>0.12289274374915782</v>
      </c>
      <c r="AY190">
        <f t="shared" si="86"/>
        <v>0.19273350084878926</v>
      </c>
      <c r="AZ190">
        <f>(1/$S190-1/Parameters!$B$13) * LN(Parameters!$B$18) / A190</f>
        <v>5.269517466534852E-3</v>
      </c>
    </row>
    <row r="191" spans="1:52" x14ac:dyDescent="0.35">
      <c r="A191">
        <f>A190+Parameters!$B$71</f>
        <v>187</v>
      </c>
      <c r="B191" s="7">
        <f t="shared" si="97"/>
        <v>-2.9568713141259393E-6</v>
      </c>
      <c r="C191" s="7">
        <f t="shared" si="95"/>
        <v>9.0949993792235756E-2</v>
      </c>
      <c r="D191" s="7">
        <f t="shared" si="96"/>
        <v>0.22597556464516125</v>
      </c>
      <c r="E191" s="5">
        <f>MAX((1-Parameters!$B$4)^Parameters!B$71*E190 + B190*Parameters!B$71 - IF(B190&gt;0,Parameters!$B$5,0)*B190^2/E190*Parameters!B$71, 0.0001)</f>
        <v>1E-4</v>
      </c>
      <c r="F191" s="5">
        <f>(1-Parameters!$B$4)^Parameters!B$71*F190+C190*Parameters!B$71-Parameters!$B$5*C190^2/F190*Parameters!B$71</f>
        <v>1.3485334381933638</v>
      </c>
      <c r="G191" s="5">
        <f>(1-Parameters!$B$4)^Parameters!B$71*G190+D190*Parameters!B$71-Parameters!$B$5*D190^2/G190*Parameters!B$71</f>
        <v>3.3499047747937514</v>
      </c>
      <c r="H191" s="7">
        <f>MAX(H190 * (1-Parameters!$B$4) ^ Parameters!B$71 + (LN(1+EXP(Parameters!$B$21*(-B190+0.004)))/Parameters!$B$21 -0.004) * Parameters!B$71,0)</f>
        <v>7.3505709727413101E-3</v>
      </c>
      <c r="I191" s="16">
        <f>I190*(1+Parameters!$B$52)^Parameters!B$71</f>
        <v>14.023848587978513</v>
      </c>
      <c r="J191" s="16">
        <f>J190*(1+Parameters!$B$54)^Parameters!B$71</f>
        <v>367.28641704790283</v>
      </c>
      <c r="K191" s="16">
        <f>I191*J191*EXP(-Parameters!$B$43*'6states'!A191)*(Parameters!$B$38/Parameters!$B$39*('6states'!E191+'6states'!H191)/Parameters!$E$25*(EXP(-Parameters!$B$39*Parameters!$E$25*'6states'!H191/('6states'!E191+'6states'!H191))-EXP(-Parameters!$B$39*Parameters!$E$25))  +  Parameters!$B$40*'6states'!E191)</f>
        <v>6.0887994808437845E-2</v>
      </c>
      <c r="L191" s="6">
        <f>L190+K191*Parameters!B$71</f>
        <v>3351.5034588725566</v>
      </c>
      <c r="M191" s="5">
        <f>L191*Parameters!$B$46</f>
        <v>2.0109020753235338</v>
      </c>
      <c r="N191" s="7">
        <f>EXP(-Parameters!$B$47/2*M191^2)</f>
        <v>0.96017525112752788</v>
      </c>
      <c r="O191" s="6">
        <f>MAX((Parameters!$B$63 + Parameters!$B$31*'6states'!A191 - '6states'!L191 + Parameters!$B$48/Parameters!$B$46)/Parameters!B$63,1)</f>
        <v>178.93793082254888</v>
      </c>
      <c r="P191" s="5">
        <f>Parameters!B$62*EXP(-Parameters!B$61*A191)</f>
        <v>3.2078729927189241E-3</v>
      </c>
      <c r="Q191" s="5">
        <f>(1-Parameters!B$62)*O191^-Parameters!B$64</f>
        <v>0.29764580309618704</v>
      </c>
      <c r="R191" s="5">
        <f>Parameters!B$62*EXP(-Parameters!B$61*A191)+(1-Parameters!B$62)*O191^-Parameters!B$64</f>
        <v>0.30085367608890595</v>
      </c>
      <c r="S191" s="5">
        <f>1-R191/Parameters!$B$12</f>
        <v>0.849573161955547</v>
      </c>
      <c r="T191" s="5">
        <f t="shared" si="74"/>
        <v>6.647749916171791</v>
      </c>
      <c r="U191" s="5">
        <f>(Parameters!$B$19*(E191+Parameters!$B$20)^S191+Parameters!$B$18*F191^S191)^(1/S191)</f>
        <v>0.34584932806964847</v>
      </c>
      <c r="V191" s="5">
        <f>(Parameters!$B$10*G191^Parameters!$B$9+Parameters!$B$11*U191^Parameters!$B$9)^(Parameters!$B$7/Parameters!$B$9)*N191</f>
        <v>1.339067936811587</v>
      </c>
      <c r="W191" s="5">
        <f>V191 - C191 - D191 - LN(1+EXP(Parameters!$B$21*B191))/Parameters!$B$21 - IF(B191&gt;0, 0,Parameters!$B$6*B191^2/E191)</f>
        <v>1.0204105512668942</v>
      </c>
      <c r="X191" s="5">
        <f>EXP(-Parameters!$B$56*A191)</f>
        <v>5.9385808220855908E-2</v>
      </c>
      <c r="Y191" s="5">
        <f>IF(W191&gt;0,W191^(1-Parameters!$B$53)/(1-Parameters!$B$53)*X191*Parameters!$B$71,-10+W191*1000)</f>
        <v>-0.1684780773930985</v>
      </c>
      <c r="AA191" s="15">
        <f t="shared" si="77"/>
        <v>0</v>
      </c>
      <c r="AB191" s="15">
        <f t="shared" si="78"/>
        <v>3.5889729242677415E-7</v>
      </c>
      <c r="AC191" s="15">
        <f t="shared" si="79"/>
        <v>-4.8866105059608422E-7</v>
      </c>
      <c r="AD191" s="15">
        <f t="shared" si="90"/>
        <v>2.1830038345666678E-14</v>
      </c>
      <c r="AE191" s="15">
        <f t="shared" si="92"/>
        <v>0</v>
      </c>
      <c r="AF191" s="15">
        <f t="shared" si="93"/>
        <v>-2.223571839155003E-8</v>
      </c>
      <c r="AG191" s="15">
        <f t="shared" si="94"/>
        <v>3.0287649818716567E-8</v>
      </c>
      <c r="AH191" s="15">
        <f t="shared" si="91"/>
        <v>8.3839037380926301E-17</v>
      </c>
      <c r="AI191" s="15"/>
      <c r="AM191" s="16">
        <f t="shared" si="70"/>
        <v>37.861093841845268</v>
      </c>
      <c r="AN191" s="16">
        <f t="shared" si="71"/>
        <v>0.51507691011009193</v>
      </c>
      <c r="AO191" s="16">
        <f t="shared" si="89"/>
        <v>1781.3900326576604</v>
      </c>
      <c r="AP191" s="6">
        <f t="shared" si="73"/>
        <v>6897.2297532040802</v>
      </c>
      <c r="AQ191" s="15">
        <f>-X191*V191*W191^(-Parameters!B$53)*Parameters!B$47*Parameters!B$46*M191</f>
        <v>-1.8766243316075964E-6</v>
      </c>
      <c r="AR191" s="5">
        <f>1000*EXP(-(Parameters!$B$55)*'6states'!A191)*AP191*Parameters!B$47*Parameters!B$46*M191</f>
        <v>0.2359577423871545</v>
      </c>
      <c r="AS191" s="5">
        <f>SUM(AR191:AR$204)*EXP(Parameters!$B$55*A191)</f>
        <v>6078.9461605269107</v>
      </c>
      <c r="AT191" s="25">
        <f t="shared" si="83"/>
        <v>0.23667402739901117</v>
      </c>
      <c r="AU191">
        <f>(1/$S191-1/Parameters!$B$13) * LN(Parameters!$B$18) / LN(O191)</f>
        <v>0.18899975548930173</v>
      </c>
      <c r="AV191">
        <f>(Parameters!$B$18*'6states'!S191^+Parameters!$B$19*Parameters!$B$25^'6states'!S191)^((1-'6states'!S191)/'6states'!S191)*Parameters!$B$18*Parameters!$B$26^('6states'!S191-1)</f>
        <v>0.30889566913286137</v>
      </c>
      <c r="AW191">
        <f t="shared" si="84"/>
        <v>0.16724792378015141</v>
      </c>
      <c r="AX191">
        <f t="shared" si="85"/>
        <v>0.1227863025953454</v>
      </c>
      <c r="AY191">
        <f t="shared" si="86"/>
        <v>0.19274054930979478</v>
      </c>
      <c r="AZ191">
        <f>(1/$S191-1/Parameters!$B$13) * LN(Parameters!$B$18) / A191</f>
        <v>5.2425085610849484E-3</v>
      </c>
    </row>
    <row r="192" spans="1:52" x14ac:dyDescent="0.35">
      <c r="A192">
        <f>A191+Parameters!$B$71</f>
        <v>188</v>
      </c>
      <c r="B192" s="7">
        <f t="shared" si="97"/>
        <v>-2.9568713141259393E-6</v>
      </c>
      <c r="C192" s="7">
        <f t="shared" si="95"/>
        <v>9.0949993792235756E-2</v>
      </c>
      <c r="D192" s="7">
        <f t="shared" si="96"/>
        <v>0.22597556464516125</v>
      </c>
      <c r="E192" s="5">
        <f>MAX((1-Parameters!$B$4)^Parameters!B$71*E191 + B191*Parameters!B$71 - IF(B191&gt;0,Parameters!$B$5,0)*B191^2/E191*Parameters!B$71, 0.0001)</f>
        <v>1E-4</v>
      </c>
      <c r="F192" s="5">
        <f>(1-Parameters!$B$4)^Parameters!B$71*F191+C191*Parameters!B$71-Parameters!$B$5*C191^2/F191*Parameters!B$71</f>
        <v>1.3485266807543848</v>
      </c>
      <c r="G192" s="5">
        <f>(1-Parameters!$B$4)^Parameters!B$71*G191+D191*Parameters!B$71-Parameters!$B$5*D191^2/G191*Parameters!B$71</f>
        <v>3.3499276254024375</v>
      </c>
      <c r="H192" s="7">
        <f>MAX(H191 * (1-Parameters!$B$4) ^ Parameters!B$71 + (LN(1+EXP(Parameters!$B$21*(-B191+0.004)))/Parameters!$B$21 -0.004) * Parameters!B$71,0)</f>
        <v>7.3504323264020057E-3</v>
      </c>
      <c r="I192" s="16">
        <f>I191*(1+Parameters!$B$52)^Parameters!B$71</f>
        <v>14.064517748883649</v>
      </c>
      <c r="J192" s="16">
        <f>J191*(1+Parameters!$B$54)^Parameters!B$71</f>
        <v>374.63214538886092</v>
      </c>
      <c r="K192" s="16">
        <f>I192*J192*EXP(-Parameters!$B$43*'6states'!A192)*(Parameters!$B$38/Parameters!$B$39*('6states'!E192+'6states'!H192)/Parameters!$E$25*(EXP(-Parameters!$B$39*Parameters!$E$25*'6states'!H192/('6states'!E192+'6states'!H192))-EXP(-Parameters!$B$39*Parameters!$E$25))  +  Parameters!$B$40*'6states'!E192)</f>
        <v>6.1666106717310855E-2</v>
      </c>
      <c r="L192" s="6">
        <f>L191+K192*Parameters!B$71</f>
        <v>3351.5651249792741</v>
      </c>
      <c r="M192" s="5">
        <f>L192*Parameters!$B$46</f>
        <v>2.0109390749875642</v>
      </c>
      <c r="N192" s="7">
        <f>EXP(-Parameters!$B$47/2*M192^2)</f>
        <v>0.9601738151787822</v>
      </c>
      <c r="O192" s="6">
        <f>MAX((Parameters!$B$63 + Parameters!$B$31*'6states'!A192 - '6states'!L192 + Parameters!$B$48/Parameters!$B$46)/Parameters!B$63,1)</f>
        <v>180.00069750041453</v>
      </c>
      <c r="P192" s="5">
        <f>Parameters!B$62*EXP(-Parameters!B$61*A192)</f>
        <v>3.1224192388452842E-3</v>
      </c>
      <c r="Q192" s="5">
        <f>(1-Parameters!B$62)*O192^-Parameters!B$64</f>
        <v>0.29746959730587325</v>
      </c>
      <c r="R192" s="5">
        <f>Parameters!B$62*EXP(-Parameters!B$61*A192)+(1-Parameters!B$62)*O192^-Parameters!B$64</f>
        <v>0.30059201654471851</v>
      </c>
      <c r="S192" s="5">
        <f>1-R192/Parameters!$B$12</f>
        <v>0.84970399172764077</v>
      </c>
      <c r="T192" s="5">
        <f t="shared" si="74"/>
        <v>6.6535366540663405</v>
      </c>
      <c r="U192" s="5">
        <f>(Parameters!$B$19*(E192+Parameters!$B$20)^S192+Parameters!$B$18*F192^S192)^(1/S192)</f>
        <v>0.34591110958871762</v>
      </c>
      <c r="V192" s="5">
        <f>(Parameters!$B$10*G192^Parameters!$B$9+Parameters!$B$11*U192^Parameters!$B$9)^(Parameters!$B$7/Parameters!$B$9)*N192</f>
        <v>1.3390914659309989</v>
      </c>
      <c r="W192" s="5">
        <f>V192 - C192 - D192 - LN(1+EXP(Parameters!$B$21*B192))/Parameters!$B$21 - IF(B192&gt;0, 0,Parameters!$B$6*B192^2/E192)</f>
        <v>1.0204340803863061</v>
      </c>
      <c r="X192" s="5">
        <f>EXP(-Parameters!$B$56*A192)</f>
        <v>5.8495818846969333E-2</v>
      </c>
      <c r="Y192" s="5">
        <f>IF(W192&gt;0,W192^(1-Parameters!$B$53)/(1-Parameters!$B$53)*X192*Parameters!$B$71,-10+W192*1000)</f>
        <v>-0.16595183015549528</v>
      </c>
      <c r="AA192" s="15">
        <f t="shared" si="77"/>
        <v>0</v>
      </c>
      <c r="AB192" s="15">
        <f t="shared" si="78"/>
        <v>3.3795863182972674E-7</v>
      </c>
      <c r="AC192" s="15">
        <f t="shared" si="79"/>
        <v>-4.6014146115602728E-7</v>
      </c>
      <c r="AD192" s="15">
        <f t="shared" si="90"/>
        <v>1.9066489933580359E-14</v>
      </c>
      <c r="AE192" s="15">
        <f t="shared" si="92"/>
        <v>0</v>
      </c>
      <c r="AF192" s="15">
        <f t="shared" si="93"/>
        <v>-2.0938660597047409E-8</v>
      </c>
      <c r="AG192" s="15">
        <f t="shared" si="94"/>
        <v>2.8519589440056947E-8</v>
      </c>
      <c r="AH192" s="15">
        <f t="shared" si="91"/>
        <v>7.3224743687200342E-17</v>
      </c>
      <c r="AI192" s="15"/>
      <c r="AM192" s="16">
        <f t="shared" si="70"/>
        <v>38.729578303868109</v>
      </c>
      <c r="AN192" s="16">
        <f t="shared" si="71"/>
        <v>0.52690204581239941</v>
      </c>
      <c r="AO192" s="16">
        <f t="shared" si="89"/>
        <v>1822.6127131153239</v>
      </c>
      <c r="AP192" s="6">
        <f t="shared" si="73"/>
        <v>7055.7003292896834</v>
      </c>
      <c r="AQ192" s="15">
        <f>-X192*V192*W192^(-Parameters!B$53)*Parameters!B$47*Parameters!B$46*M192</f>
        <v>-1.8485091262026914E-6</v>
      </c>
      <c r="AR192" s="5">
        <f>1000*EXP(-(Parameters!$B$55)*'6states'!A192)*AP192*Parameters!B$47*Parameters!B$46*M192</f>
        <v>0.23305794932633975</v>
      </c>
      <c r="AS192" s="5">
        <f>SUM(AR192:AR$204)*EXP(Parameters!$B$55*A192)</f>
        <v>6122.8626472504466</v>
      </c>
      <c r="AT192" s="25">
        <f t="shared" si="83"/>
        <v>0.23666986880970337</v>
      </c>
      <c r="AU192">
        <f>(1/$S192-1/Parameters!$B$13) * LN(Parameters!$B$18) / LN(O192)</f>
        <v>0.18882580711968991</v>
      </c>
      <c r="AV192">
        <f>(Parameters!$B$18*'6states'!S192^+Parameters!$B$19*Parameters!$B$25^'6states'!S192)^((1-'6states'!S192)/'6states'!S192)*Parameters!$B$18*Parameters!$B$26^('6states'!S192-1)</f>
        <v>0.30890806450873987</v>
      </c>
      <c r="AW192">
        <f t="shared" si="84"/>
        <v>0.16706493169425787</v>
      </c>
      <c r="AX192">
        <f t="shared" si="85"/>
        <v>0.12268052896507009</v>
      </c>
      <c r="AY192">
        <f t="shared" si="86"/>
        <v>0.1927474851077654</v>
      </c>
      <c r="AZ192">
        <f>(1/$S192-1/Parameters!$B$13) * LN(Parameters!$B$18) / A192</f>
        <v>5.2157712787557816E-3</v>
      </c>
    </row>
    <row r="193" spans="1:52" x14ac:dyDescent="0.35">
      <c r="A193">
        <f>A192+Parameters!$B$71</f>
        <v>189</v>
      </c>
      <c r="B193" s="7">
        <f t="shared" si="97"/>
        <v>-2.9568713141259393E-6</v>
      </c>
      <c r="C193" s="7">
        <f t="shared" si="95"/>
        <v>9.0949993792235756E-2</v>
      </c>
      <c r="D193" s="7">
        <f t="shared" si="96"/>
        <v>0.22597556464516125</v>
      </c>
      <c r="E193" s="5">
        <f>MAX((1-Parameters!$B$4)^Parameters!B$71*E192 + B192*Parameters!B$71 - IF(B192&gt;0,Parameters!$B$5,0)*B192^2/E192*Parameters!B$71, 0.0001)</f>
        <v>1E-4</v>
      </c>
      <c r="F193" s="5">
        <f>(1-Parameters!$B$4)^Parameters!B$71*F192+C192*Parameters!B$71-Parameters!$B$5*C192^2/F192*Parameters!B$71</f>
        <v>1.3485203176209819</v>
      </c>
      <c r="G193" s="5">
        <f>(1-Parameters!$B$4)^Parameters!B$71*G192+D192*Parameters!B$71-Parameters!$B$5*D192^2/G192*Parameters!B$71</f>
        <v>3.3499491426885633</v>
      </c>
      <c r="H193" s="7">
        <f>MAX(H192 * (1-Parameters!$B$4) ^ Parameters!B$71 + (LN(1+EXP(Parameters!$B$21*(-B192+0.004)))/Parameters!$B$21 -0.004) * Parameters!B$71,0)</f>
        <v>7.3503024009174437E-3</v>
      </c>
      <c r="I193" s="16">
        <f>I192*(1+Parameters!$B$52)^Parameters!B$71</f>
        <v>14.105304850355409</v>
      </c>
      <c r="J193" s="16">
        <f>J192*(1+Parameters!$B$54)^Parameters!B$71</f>
        <v>382.12478829663814</v>
      </c>
      <c r="K193" s="16">
        <f>I193*J193*EXP(-Parameters!$B$43*'6states'!A193)*(Parameters!$B$38/Parameters!$B$39*('6states'!E193+'6states'!H193)/Parameters!$E$25*(EXP(-Parameters!$B$39*Parameters!$E$25*'6states'!H193/('6states'!E193+'6states'!H193))-EXP(-Parameters!$B$39*Parameters!$E$25))  +  Parameters!$B$40*'6states'!E193)</f>
        <v>6.2454162427825449E-2</v>
      </c>
      <c r="L193" s="6">
        <f>L192+K193*Parameters!B$71</f>
        <v>3351.627579141702</v>
      </c>
      <c r="M193" s="5">
        <f>L193*Parameters!$B$46</f>
        <v>2.0109765474850212</v>
      </c>
      <c r="N193" s="7">
        <f>EXP(-Parameters!$B$47/2*M193^2)</f>
        <v>0.9601723608547359</v>
      </c>
      <c r="O193" s="6">
        <f>MAX((Parameters!$B$63 + Parameters!$B$31*'6states'!A193 - '6states'!L193 + Parameters!$B$48/Parameters!$B$46)/Parameters!B$63,1)</f>
        <v>181.063448417166</v>
      </c>
      <c r="P193" s="5">
        <f>Parameters!B$62*EXP(-Parameters!B$61*A193)</f>
        <v>3.0392418668819202E-3</v>
      </c>
      <c r="Q193" s="5">
        <f>(1-Parameters!B$62)*O193^-Parameters!B$64</f>
        <v>0.29729453480218399</v>
      </c>
      <c r="R193" s="5">
        <f>Parameters!B$62*EXP(-Parameters!B$61*A193)+(1-Parameters!B$62)*O193^-Parameters!B$64</f>
        <v>0.30033377666906591</v>
      </c>
      <c r="S193" s="5">
        <f>1-R193/Parameters!$B$12</f>
        <v>0.84983311166546704</v>
      </c>
      <c r="T193" s="5">
        <f t="shared" si="74"/>
        <v>6.6592576505431671</v>
      </c>
      <c r="U193" s="5">
        <f>(Parameters!$B$19*(E193+Parameters!$B$20)^S193+Parameters!$B$18*F193^S193)^(1/S193)</f>
        <v>0.34597215650903701</v>
      </c>
      <c r="V193" s="5">
        <f>(Parameters!$B$10*G193^Parameters!$B$9+Parameters!$B$11*U193^Parameters!$B$9)^(Parameters!$B$7/Parameters!$B$9)*N193</f>
        <v>1.3391145664790876</v>
      </c>
      <c r="W193" s="5">
        <f>V193 - C193 - D193 - LN(1+EXP(Parameters!$B$21*B193))/Parameters!$B$21 - IF(B193&gt;0, 0,Parameters!$B$6*B193^2/E193)</f>
        <v>1.0204571809343947</v>
      </c>
      <c r="X193" s="5">
        <f>EXP(-Parameters!$B$56*A193)</f>
        <v>5.7619167358166093E-2</v>
      </c>
      <c r="Y193" s="5">
        <f>IF(W193&gt;0,W193^(1-Parameters!$B$53)/(1-Parameters!$B$53)*X193*Parameters!$B$71,-10+W193*1000)</f>
        <v>-0.16346348683105699</v>
      </c>
      <c r="AA193" s="15">
        <f t="shared" si="77"/>
        <v>0</v>
      </c>
      <c r="AB193" s="15">
        <f t="shared" si="78"/>
        <v>3.182413912811155E-7</v>
      </c>
      <c r="AC193" s="15">
        <f t="shared" si="79"/>
        <v>-4.3328667878594906E-7</v>
      </c>
      <c r="AD193" s="15">
        <f t="shared" si="90"/>
        <v>1.6652799571005075E-14</v>
      </c>
      <c r="AE193" s="15">
        <f t="shared" si="92"/>
        <v>0</v>
      </c>
      <c r="AF193" s="15">
        <f t="shared" si="93"/>
        <v>-1.9717240548611237E-8</v>
      </c>
      <c r="AG193" s="15">
        <f t="shared" si="94"/>
        <v>2.6854782370078212E-8</v>
      </c>
      <c r="AH193" s="15">
        <f t="shared" si="91"/>
        <v>6.3954332061696338E-17</v>
      </c>
      <c r="AI193" s="15"/>
      <c r="AM193" s="16">
        <f t="shared" si="70"/>
        <v>39.618031665943647</v>
      </c>
      <c r="AN193" s="16">
        <f t="shared" si="71"/>
        <v>0.53899866298016041</v>
      </c>
      <c r="AO193" s="16">
        <f t="shared" si="89"/>
        <v>1864.7852978673375</v>
      </c>
      <c r="AP193" s="6">
        <f t="shared" si="73"/>
        <v>7217.8096090948529</v>
      </c>
      <c r="AQ193" s="15">
        <f>-X193*V193*W193^(-Parameters!B$53)*Parameters!B$47*Parameters!B$46*M193</f>
        <v>-1.8208160149742459E-6</v>
      </c>
      <c r="AR193" s="5">
        <f>1000*EXP(-(Parameters!$B$55)*'6states'!A193)*AP193*Parameters!B$47*Parameters!B$46*M193</f>
        <v>0.23019377345841285</v>
      </c>
      <c r="AS193" s="5">
        <f>SUM(AR193:AR$204)*EXP(Parameters!$B$55*A193)</f>
        <v>6164.3642782995848</v>
      </c>
      <c r="AT193" s="25">
        <f t="shared" si="83"/>
        <v>0.2366657861092217</v>
      </c>
      <c r="AU193">
        <f>(1/$S193-1/Parameters!$B$13) * LN(Parameters!$B$18) / LN(O193)</f>
        <v>0.18865296789854669</v>
      </c>
      <c r="AV193">
        <f>(Parameters!$B$18*'6states'!S193^+Parameters!$B$19*Parameters!$B$25^'6states'!S193)^((1-'6states'!S193)/'6states'!S193)*Parameters!$B$18*Parameters!$B$26^('6states'!S193-1)</f>
        <v>0.3089202636738726</v>
      </c>
      <c r="AW193">
        <f t="shared" si="84"/>
        <v>0.1668833558136153</v>
      </c>
      <c r="AX193">
        <f t="shared" si="85"/>
        <v>0.12257541714773468</v>
      </c>
      <c r="AY193">
        <f t="shared" si="86"/>
        <v>0.19275431105837759</v>
      </c>
      <c r="AZ193">
        <f>(1/$S193-1/Parameters!$B$13) * LN(Parameters!$B$18) / A193</f>
        <v>5.1893016565557155E-3</v>
      </c>
    </row>
    <row r="194" spans="1:52" x14ac:dyDescent="0.35">
      <c r="A194">
        <f>A193+Parameters!$B$71</f>
        <v>190</v>
      </c>
      <c r="B194" s="7">
        <f t="shared" si="97"/>
        <v>-2.9568713141259393E-6</v>
      </c>
      <c r="C194" s="7">
        <f t="shared" si="95"/>
        <v>9.0949993792235756E-2</v>
      </c>
      <c r="D194" s="7">
        <f t="shared" si="96"/>
        <v>0.22597556464516125</v>
      </c>
      <c r="E194" s="5">
        <f>MAX((1-Parameters!$B$4)^Parameters!B$71*E193 + B193*Parameters!B$71 - IF(B193&gt;0,Parameters!$B$5,0)*B193^2/E193*Parameters!B$71, 0.0001)</f>
        <v>1E-4</v>
      </c>
      <c r="F194" s="5">
        <f>(1-Parameters!$B$4)^Parameters!B$71*F193+C193*Parameters!B$71-Parameters!$B$5*C193^2/F193*Parameters!B$71</f>
        <v>1.3485143257846175</v>
      </c>
      <c r="G194" s="5">
        <f>(1-Parameters!$B$4)^Parameters!B$71*G193+D193*Parameters!B$71-Parameters!$B$5*D193^2/G193*Parameters!B$71</f>
        <v>3.3499694044495936</v>
      </c>
      <c r="H194" s="7">
        <f>MAX(H193 * (1-Parameters!$B$4) ^ Parameters!B$71 + (LN(1+EXP(Parameters!$B$21*(-B193+0.004)))/Parameters!$B$21 -0.004) * Parameters!B$71,0)</f>
        <v>7.3501806477458608E-3</v>
      </c>
      <c r="I194" s="16">
        <f>I193*(1+Parameters!$B$52)^Parameters!B$71</f>
        <v>14.146210234421439</v>
      </c>
      <c r="J194" s="16">
        <f>J193*(1+Parameters!$B$54)^Parameters!B$71</f>
        <v>389.76728406257092</v>
      </c>
      <c r="K194" s="16">
        <f>I194*J194*EXP(-Parameters!$B$43*'6states'!A194)*(Parameters!$B$38/Parameters!$B$39*('6states'!E194+'6states'!H194)/Parameters!$E$25*(EXP(-Parameters!$B$39*Parameters!$E$25*'6states'!H194/('6states'!E194+'6states'!H194))-EXP(-Parameters!$B$39*Parameters!$E$25))  +  Parameters!$B$40*'6states'!E194)</f>
        <v>6.3252289015778798E-2</v>
      </c>
      <c r="L194" s="6">
        <f>L193+K194*Parameters!B$71</f>
        <v>3351.6908314307179</v>
      </c>
      <c r="M194" s="5">
        <f>L194*Parameters!$B$46</f>
        <v>2.0110144988584304</v>
      </c>
      <c r="N194" s="7">
        <f>EXP(-Parameters!$B$47/2*M194^2)</f>
        <v>0.96017088791992755</v>
      </c>
      <c r="O194" s="6">
        <f>MAX((Parameters!$B$63 + Parameters!$B$31*'6states'!A194 - '6states'!L194 + Parameters!$B$48/Parameters!$B$46)/Parameters!B$63,1)</f>
        <v>182.12618337138562</v>
      </c>
      <c r="P194" s="5">
        <f>Parameters!B$62*EXP(-Parameters!B$61*A194)</f>
        <v>2.9582802368409286E-3</v>
      </c>
      <c r="Q194" s="5">
        <f>(1-Parameters!B$62)*O194^-Parameters!B$64</f>
        <v>0.29712060155290276</v>
      </c>
      <c r="R194" s="5">
        <f>Parameters!B$62*EXP(-Parameters!B$61*A194)+(1-Parameters!B$62)*O194^-Parameters!B$64</f>
        <v>0.30007888178974368</v>
      </c>
      <c r="S194" s="5">
        <f>1-R194/Parameters!$B$12</f>
        <v>0.84996055910512813</v>
      </c>
      <c r="T194" s="5">
        <f t="shared" si="74"/>
        <v>6.6649141987983676</v>
      </c>
      <c r="U194" s="5">
        <f>(Parameters!$B$19*(E194+Parameters!$B$20)^S194+Parameters!$B$18*F194^S194)^(1/S194)</f>
        <v>0.34603248139727899</v>
      </c>
      <c r="V194" s="5">
        <f>(Parameters!$B$10*G194^Parameters!$B$9+Parameters!$B$11*U194^Parameters!$B$9)^(Parameters!$B$7/Parameters!$B$9)*N194</f>
        <v>1.3391372496433749</v>
      </c>
      <c r="W194" s="5">
        <f>V194 - C194 - D194 - LN(1+EXP(Parameters!$B$21*B194))/Parameters!$B$21 - IF(B194&gt;0, 0,Parameters!$B$6*B194^2/E194)</f>
        <v>1.0204798640986821</v>
      </c>
      <c r="X194" s="5">
        <f>EXP(-Parameters!$B$56*A194)</f>
        <v>5.6755653865342197E-2</v>
      </c>
      <c r="Y194" s="5">
        <f>IF(W194&gt;0,W194^(1-Parameters!$B$53)/(1-Parameters!$B$53)*X194*Parameters!$B$71,-10+W194*1000)</f>
        <v>-0.16101247772805</v>
      </c>
      <c r="AA194" s="15">
        <f t="shared" si="77"/>
        <v>0</v>
      </c>
      <c r="AB194" s="15">
        <f t="shared" si="78"/>
        <v>2.9967434134192672E-7</v>
      </c>
      <c r="AC194" s="15">
        <f t="shared" si="79"/>
        <v>-4.0799948483605242E-7</v>
      </c>
      <c r="AD194" s="15">
        <f t="shared" si="90"/>
        <v>1.4544674391441078E-14</v>
      </c>
      <c r="AE194" s="15">
        <f t="shared" si="92"/>
        <v>0</v>
      </c>
      <c r="AF194" s="15">
        <f t="shared" si="93"/>
        <v>-1.8567049939188784E-8</v>
      </c>
      <c r="AG194" s="15">
        <f t="shared" si="94"/>
        <v>2.5287193949896647E-8</v>
      </c>
      <c r="AH194" s="15">
        <f t="shared" si="91"/>
        <v>5.5857638741181389E-17</v>
      </c>
      <c r="AI194" s="15"/>
      <c r="AM194" s="16">
        <f t="shared" si="70"/>
        <v>40.52691112282259</v>
      </c>
      <c r="AN194" s="16">
        <f t="shared" si="71"/>
        <v>0.55137299428485886</v>
      </c>
      <c r="AO194" s="16">
        <f t="shared" si="89"/>
        <v>1907.9296538783744</v>
      </c>
      <c r="AP194" s="6">
        <f t="shared" si="73"/>
        <v>7383.6411509425816</v>
      </c>
      <c r="AQ194" s="15">
        <f>-X194*V194*W194^(-Parameters!B$53)*Parameters!B$47*Parameters!B$46*M194</f>
        <v>-1.7935386416554296E-6</v>
      </c>
      <c r="AR194" s="5">
        <f>1000*EXP(-(Parameters!$B$55)*'6states'!A194)*AP194*Parameters!B$47*Parameters!B$46*M194</f>
        <v>0.227364780134856</v>
      </c>
      <c r="AS194" s="5">
        <f>SUM(AR194:AR$204)*EXP(Parameters!$B$55*A194)</f>
        <v>6203.2731983402964</v>
      </c>
      <c r="AT194" s="25">
        <f t="shared" si="83"/>
        <v>0.23666177731258123</v>
      </c>
      <c r="AU194">
        <f>(1/$S194-1/Parameters!$B$13) * LN(Parameters!$B$18) / LN(O194)</f>
        <v>0.18848122811773105</v>
      </c>
      <c r="AV194">
        <f>(Parameters!$B$18*'6states'!S194^+Parameters!$B$19*Parameters!$B$25^'6states'!S194)^((1-'6states'!S194)/'6states'!S194)*Parameters!$B$18*Parameters!$B$26^('6states'!S194-1)</f>
        <v>0.30893227150529406</v>
      </c>
      <c r="AW194">
        <f t="shared" si="84"/>
        <v>0.16670317764016312</v>
      </c>
      <c r="AX194">
        <f t="shared" si="85"/>
        <v>0.12247096147921921</v>
      </c>
      <c r="AY194">
        <f t="shared" si="86"/>
        <v>0.19276102989329025</v>
      </c>
      <c r="AZ194">
        <f>(1/$S194-1/Parameters!$B$13) * LN(Parameters!$B$18) / A194</f>
        <v>5.1630958059970221E-3</v>
      </c>
    </row>
    <row r="195" spans="1:52" x14ac:dyDescent="0.35">
      <c r="A195">
        <f>A194+Parameters!$B$71</f>
        <v>191</v>
      </c>
      <c r="B195" s="7">
        <f t="shared" si="97"/>
        <v>-2.9568713141259393E-6</v>
      </c>
      <c r="C195" s="7">
        <f t="shared" si="95"/>
        <v>9.0949993792235756E-2</v>
      </c>
      <c r="D195" s="7">
        <f t="shared" si="96"/>
        <v>0.22597556464516125</v>
      </c>
      <c r="E195" s="5">
        <f>MAX((1-Parameters!$B$4)^Parameters!B$71*E194 + B194*Parameters!B$71 - IF(B194&gt;0,Parameters!$B$5,0)*B194^2/E194*Parameters!B$71, 0.0001)</f>
        <v>1E-4</v>
      </c>
      <c r="F195" s="5">
        <f>(1-Parameters!$B$4)^Parameters!B$71*F194+C194*Parameters!B$71-Parameters!$B$5*C194^2/F194*Parameters!B$71</f>
        <v>1.3485086835793809</v>
      </c>
      <c r="G195" s="5">
        <f>(1-Parameters!$B$4)^Parameters!B$71*G194+D194*Parameters!B$71-Parameters!$B$5*D194^2/G194*Parameters!B$71</f>
        <v>3.3499884839437692</v>
      </c>
      <c r="H195" s="7">
        <f>MAX(H194 * (1-Parameters!$B$4) ^ Parameters!B$71 + (LN(1+EXP(Parameters!$B$21*(-B194+0.004)))/Parameters!$B$21 -0.004) * Parameters!B$71,0)</f>
        <v>7.35006655284877E-3</v>
      </c>
      <c r="I195" s="16">
        <f>I194*(1+Parameters!$B$52)^Parameters!B$71</f>
        <v>14.18723424410126</v>
      </c>
      <c r="J195" s="16">
        <f>J194*(1+Parameters!$B$54)^Parameters!B$71</f>
        <v>397.56262974382236</v>
      </c>
      <c r="K195" s="16">
        <f>I195*J195*EXP(-Parameters!$B$43*'6states'!A195)*(Parameters!$B$38/Parameters!$B$39*('6states'!E195+'6states'!H195)/Parameters!$E$25*(EXP(-Parameters!$B$39*Parameters!$E$25*'6states'!H195/('6states'!E195+'6states'!H195))-EXP(-Parameters!$B$39*Parameters!$E$25))  +  Parameters!$B$40*'6states'!E195)</f>
        <v>6.4060615180920211E-2</v>
      </c>
      <c r="L195" s="6">
        <f>L194+K195*Parameters!B$71</f>
        <v>3351.7548920458989</v>
      </c>
      <c r="M195" s="5">
        <f>L195*Parameters!$B$46</f>
        <v>2.0110529352275393</v>
      </c>
      <c r="N195" s="7">
        <f>EXP(-Parameters!$B$47/2*M195^2)</f>
        <v>0.96016939613587016</v>
      </c>
      <c r="O195" s="6">
        <f>MAX((Parameters!$B$63 + Parameters!$B$31*'6states'!A195 - '6states'!L195 + Parameters!$B$48/Parameters!$B$46)/Parameters!B$63,1)</f>
        <v>183.18890215908203</v>
      </c>
      <c r="P195" s="5">
        <f>Parameters!B$62*EXP(-Parameters!B$61*A195)</f>
        <v>2.8794753241083949E-3</v>
      </c>
      <c r="Q195" s="5">
        <f>(1-Parameters!B$62)*O195^-Parameters!B$64</f>
        <v>0.29694778377932685</v>
      </c>
      <c r="R195" s="5">
        <f>Parameters!B$62*EXP(-Parameters!B$61*A195)+(1-Parameters!B$62)*O195^-Parameters!B$64</f>
        <v>0.29982725910343522</v>
      </c>
      <c r="S195" s="5">
        <f>1-R195/Parameters!$B$12</f>
        <v>0.85008637044828239</v>
      </c>
      <c r="T195" s="5">
        <f t="shared" si="74"/>
        <v>6.6705075648576519</v>
      </c>
      <c r="U195" s="5">
        <f>(Parameters!$B$19*(E195+Parameters!$B$20)^S195+Parameters!$B$18*F195^S195)^(1/S195)</f>
        <v>0.34609209668966345</v>
      </c>
      <c r="V195" s="5">
        <f>(Parameters!$B$10*G195^Parameters!$B$9+Parameters!$B$11*U195^Parameters!$B$9)^(Parameters!$B$7/Parameters!$B$9)*N195</f>
        <v>1.3391595261812261</v>
      </c>
      <c r="W195" s="5">
        <f>V195 - C195 - D195 - LN(1+EXP(Parameters!$B$21*B195))/Parameters!$B$21 - IF(B195&gt;0, 0,Parameters!$B$6*B195^2/E195)</f>
        <v>1.0205021406365333</v>
      </c>
      <c r="X195" s="5">
        <f>EXP(-Parameters!$B$56*A195)</f>
        <v>5.5905081475045089E-2</v>
      </c>
      <c r="Y195" s="5">
        <f>IF(W195&gt;0,W195^(1-Parameters!$B$53)/(1-Parameters!$B$53)*X195*Parameters!$B$71,-10+W195*1000)</f>
        <v>-0.15859824176457335</v>
      </c>
      <c r="AA195" s="15">
        <f t="shared" si="77"/>
        <v>0</v>
      </c>
      <c r="AB195" s="15">
        <f t="shared" si="78"/>
        <v>2.8219040416888053E-7</v>
      </c>
      <c r="AC195" s="15">
        <f t="shared" si="79"/>
        <v>-3.8418834201470187E-7</v>
      </c>
      <c r="AD195" s="15">
        <f t="shared" si="90"/>
        <v>1.2703429418963427E-14</v>
      </c>
      <c r="AE195" s="15">
        <f t="shared" si="92"/>
        <v>0</v>
      </c>
      <c r="AF195" s="15">
        <f t="shared" si="93"/>
        <v>-1.7483937173046193E-8</v>
      </c>
      <c r="AG195" s="15">
        <f t="shared" si="94"/>
        <v>2.381114282135055E-8</v>
      </c>
      <c r="AH195" s="15">
        <f t="shared" si="91"/>
        <v>4.8786049100319646E-17</v>
      </c>
      <c r="AI195" s="15"/>
      <c r="AM195" s="16">
        <f t="shared" si="70"/>
        <v>41.456684417317284</v>
      </c>
      <c r="AN195" s="16">
        <f t="shared" si="71"/>
        <v>0.56403141548765079</v>
      </c>
      <c r="AO195" s="16">
        <f t="shared" si="89"/>
        <v>1952.0681518495976</v>
      </c>
      <c r="AP195" s="6">
        <f t="shared" si="73"/>
        <v>7553.2804311576856</v>
      </c>
      <c r="AQ195" s="15">
        <f>-X195*V195*W195^(-Parameters!B$53)*Parameters!B$47*Parameters!B$46*M195</f>
        <v>-1.7666707465871947E-6</v>
      </c>
      <c r="AR195" s="5">
        <f>1000*EXP(-(Parameters!$B$55)*'6states'!A195)*AP195*Parameters!B$47*Parameters!B$46*M195</f>
        <v>0.2245705398807839</v>
      </c>
      <c r="AS195" s="5">
        <f>SUM(AR195:AR$204)*EXP(Parameters!$B$55*A195)</f>
        <v>6239.4030910040237</v>
      </c>
      <c r="AT195" s="25">
        <f t="shared" si="83"/>
        <v>0.23665784051122396</v>
      </c>
      <c r="AU195">
        <f>(1/$S195-1/Parameters!$B$13) * LN(Parameters!$B$18) / LN(O195)</f>
        <v>0.18831057815226493</v>
      </c>
      <c r="AV195">
        <f>(Parameters!$B$18*'6states'!S195^+Parameters!$B$19*Parameters!$B$25^'6states'!S195)^((1-'6states'!S195)/'6states'!S195)*Parameters!$B$18*Parameters!$B$26^('6states'!S195-1)</f>
        <v>0.30894409273512702</v>
      </c>
      <c r="AW195">
        <f t="shared" si="84"/>
        <v>0.16652437900917025</v>
      </c>
      <c r="AX195">
        <f t="shared" si="85"/>
        <v>0.12236715634170114</v>
      </c>
      <c r="AY195">
        <f t="shared" si="86"/>
        <v>0.1927676442629459</v>
      </c>
      <c r="AZ195">
        <f>(1/$S195-1/Parameters!$B$13) * LN(Parameters!$B$18) / A195</f>
        <v>5.1371499113893118E-3</v>
      </c>
    </row>
    <row r="196" spans="1:52" x14ac:dyDescent="0.35">
      <c r="A196">
        <f>A195+Parameters!$B$71</f>
        <v>192</v>
      </c>
      <c r="B196" s="7">
        <f t="shared" si="97"/>
        <v>-2.9568713141259393E-6</v>
      </c>
      <c r="C196" s="7">
        <f t="shared" si="95"/>
        <v>9.0949993792235756E-2</v>
      </c>
      <c r="D196" s="7">
        <f t="shared" si="96"/>
        <v>0.22597556464516125</v>
      </c>
      <c r="E196" s="5">
        <f>MAX((1-Parameters!$B$4)^Parameters!B$71*E195 + B195*Parameters!B$71 - IF(B195&gt;0,Parameters!$B$5,0)*B195^2/E195*Parameters!B$71, 0.0001)</f>
        <v>1E-4</v>
      </c>
      <c r="F196" s="5">
        <f>(1-Parameters!$B$4)^Parameters!B$71*F195+C195*Parameters!B$71-Parameters!$B$5*C195^2/F195*Parameters!B$71</f>
        <v>1.3485033706036382</v>
      </c>
      <c r="G196" s="5">
        <f>(1-Parameters!$B$4)^Parameters!B$71*G195+D195*Parameters!B$71-Parameters!$B$5*D195^2/G195*Parameters!B$71</f>
        <v>3.3500064501549387</v>
      </c>
      <c r="H196" s="7">
        <f>MAX(H195 * (1-Parameters!$B$4) ^ Parameters!B$71 + (LN(1+EXP(Parameters!$B$21*(-B195+0.004)))/Parameters!$B$21 -0.004) * Parameters!B$71,0)</f>
        <v>7.3499596345207065E-3</v>
      </c>
      <c r="I196" s="16">
        <f>I195*(1+Parameters!$B$52)^Parameters!B$71</f>
        <v>14.228377223409153</v>
      </c>
      <c r="J196" s="16">
        <f>J195*(1+Parameters!$B$54)^Parameters!B$71</f>
        <v>405.51388233869881</v>
      </c>
      <c r="K196" s="16">
        <f>I196*J196*EXP(-Parameters!$B$43*'6states'!A196)*(Parameters!$B$38/Parameters!$B$39*('6states'!E196+'6states'!H196)/Parameters!$E$25*(EXP(-Parameters!$B$39*Parameters!$E$25*'6states'!H196/('6states'!E196+'6states'!H196))-EXP(-Parameters!$B$39*Parameters!$E$25))  +  Parameters!$B$40*'6states'!E196)</f>
        <v>6.4879271267704292E-2</v>
      </c>
      <c r="L196" s="6">
        <f>L195+K196*Parameters!B$71</f>
        <v>3351.8197713171667</v>
      </c>
      <c r="M196" s="5">
        <f>L196*Parameters!$B$46</f>
        <v>2.0110918627902996</v>
      </c>
      <c r="N196" s="7">
        <f>EXP(-Parameters!$B$47/2*M196^2)</f>
        <v>0.96016788526101227</v>
      </c>
      <c r="O196" s="6">
        <f>MAX((Parameters!$B$63 + Parameters!$B$31*'6states'!A196 - '6states'!L196 + Parameters!$B$48/Parameters!$B$46)/Parameters!B$63,1)</f>
        <v>184.25160457365669</v>
      </c>
      <c r="P196" s="5">
        <f>Parameters!B$62*EXP(-Parameters!B$61*A196)</f>
        <v>2.802769676412839E-3</v>
      </c>
      <c r="Q196" s="5">
        <f>(1-Parameters!B$62)*O196^-Parameters!B$64</f>
        <v>0.29677606795025652</v>
      </c>
      <c r="R196" s="5">
        <f>Parameters!B$62*EXP(-Parameters!B$61*A196)+(1-Parameters!B$62)*O196^-Parameters!B$64</f>
        <v>0.29957883762666937</v>
      </c>
      <c r="S196" s="5">
        <f>1-R196/Parameters!$B$12</f>
        <v>0.85021058118666537</v>
      </c>
      <c r="T196" s="5">
        <f t="shared" si="74"/>
        <v>6.6760389880822313</v>
      </c>
      <c r="U196" s="5">
        <f>(Parameters!$B$19*(E196+Parameters!$B$20)^S196+Parameters!$B$18*F196^S196)^(1/S196)</f>
        <v>0.34615101468511655</v>
      </c>
      <c r="V196" s="5">
        <f>(Parameters!$B$10*G196^Parameters!$B$9+Parameters!$B$11*U196^Parameters!$B$9)^(Parameters!$B$7/Parameters!$B$9)*N196</f>
        <v>1.3391814064383998</v>
      </c>
      <c r="W196" s="5">
        <f>V196 - C196 - D196 - LN(1+EXP(Parameters!$B$21*B196))/Parameters!$B$21 - IF(B196&gt;0, 0,Parameters!$B$6*B196^2/E196)</f>
        <v>1.020524020893707</v>
      </c>
      <c r="X196" s="5">
        <f>EXP(-Parameters!$B$56*A196)</f>
        <v>5.5067256244579005E-2</v>
      </c>
      <c r="Y196" s="5">
        <f>IF(W196&gt;0,W196^(1-Parameters!$B$53)/(1-Parameters!$B$53)*X196*Parameters!$B$71,-10+W196*1000)</f>
        <v>-0.15622022633588989</v>
      </c>
      <c r="AA196" s="15">
        <f t="shared" si="77"/>
        <v>0</v>
      </c>
      <c r="AB196" s="15">
        <f t="shared" si="78"/>
        <v>2.6572641179112289E-7</v>
      </c>
      <c r="AC196" s="15">
        <f t="shared" si="79"/>
        <v>-3.6176706198765007E-7</v>
      </c>
      <c r="AD196" s="15">
        <f t="shared" si="90"/>
        <v>1.1095277505634177E-14</v>
      </c>
      <c r="AE196" s="15">
        <f t="shared" si="92"/>
        <v>0</v>
      </c>
      <c r="AF196" s="15">
        <f t="shared" si="93"/>
        <v>-1.6463992377757641E-8</v>
      </c>
      <c r="AG196" s="15">
        <f t="shared" si="94"/>
        <v>2.2421280027051793E-8</v>
      </c>
      <c r="AH196" s="15">
        <f t="shared" si="91"/>
        <v>4.2609767693255178E-17</v>
      </c>
      <c r="AI196" s="15"/>
      <c r="AM196" s="16">
        <f t="shared" ref="AM196:AM204" si="98">H196*I196*J196</f>
        <v>42.407830080321027</v>
      </c>
      <c r="AN196" s="16">
        <f t="shared" ref="AN196:AN204" si="99">E196*I196*J196</f>
        <v>0.57698044872441612</v>
      </c>
      <c r="AO196" s="16">
        <f t="shared" si="89"/>
        <v>1997.2236777943051</v>
      </c>
      <c r="AP196" s="6">
        <f t="shared" ref="AP196:AP204" si="100">V196*J196*I196</f>
        <v>7726.8148881022262</v>
      </c>
      <c r="AQ196" s="15">
        <f>-X196*V196*W196^(-Parameters!B$53)*Parameters!B$47*Parameters!B$46*M196</f>
        <v>-1.7402061652023495E-6</v>
      </c>
      <c r="AR196" s="5">
        <f>1000*EXP(-(Parameters!$B$55)*'6states'!A196)*AP196*Parameters!B$47*Parameters!B$46*M196</f>
        <v>0.22181062834017434</v>
      </c>
      <c r="AS196" s="5">
        <f>SUM(AR196:AR$204)*EXP(Parameters!$B$55*A196)</f>
        <v>6272.5588281043283</v>
      </c>
      <c r="AT196" s="25">
        <f t="shared" si="83"/>
        <v>0.23665397386971621</v>
      </c>
      <c r="AU196">
        <f>(1/$S196-1/Parameters!$B$13) * LN(Parameters!$B$18) / LN(O196)</f>
        <v>0.18814100845992002</v>
      </c>
      <c r="AV196">
        <f>(Parameters!$B$18*'6states'!S196^+Parameters!$B$19*Parameters!$B$25^'6states'!S196)^((1-'6states'!S196)/'6states'!S196)*Parameters!$B$18*Parameters!$B$26^('6states'!S196-1)</f>
        <v>0.30895573195539056</v>
      </c>
      <c r="AW196">
        <f t="shared" si="84"/>
        <v>0.16634694208161416</v>
      </c>
      <c r="AX196">
        <f t="shared" si="85"/>
        <v>0.12226399616347827</v>
      </c>
      <c r="AY196">
        <f t="shared" si="86"/>
        <v>0.19277415673926679</v>
      </c>
      <c r="AZ196">
        <f>(1/$S196-1/Parameters!$B$13) * LN(Parameters!$B$18) / A196</f>
        <v>5.1114602281792671E-3</v>
      </c>
    </row>
    <row r="197" spans="1:52" x14ac:dyDescent="0.35">
      <c r="A197">
        <f>A196+Parameters!$B$71</f>
        <v>193</v>
      </c>
      <c r="B197" s="7">
        <f t="shared" si="97"/>
        <v>-2.9568713141259393E-6</v>
      </c>
      <c r="C197" s="7">
        <f t="shared" si="95"/>
        <v>9.0949993792235756E-2</v>
      </c>
      <c r="D197" s="7">
        <f t="shared" si="96"/>
        <v>0.22597556464516125</v>
      </c>
      <c r="E197" s="5">
        <f>MAX((1-Parameters!$B$4)^Parameters!B$71*E196 + B196*Parameters!B$71 - IF(B196&gt;0,Parameters!$B$5,0)*B196^2/E196*Parameters!B$71, 0.0001)</f>
        <v>1E-4</v>
      </c>
      <c r="F197" s="5">
        <f>(1-Parameters!$B$4)^Parameters!B$71*F196+C196*Parameters!B$71-Parameters!$B$5*C196^2/F196*Parameters!B$71</f>
        <v>1.3484983676462543</v>
      </c>
      <c r="G197" s="5">
        <f>(1-Parameters!$B$4)^Parameters!B$71*G196+D196*Parameters!B$71-Parameters!$B$5*D196^2/G196*Parameters!B$71</f>
        <v>3.350023368041942</v>
      </c>
      <c r="H197" s="7">
        <f>MAX(H196 * (1-Parameters!$B$4) ^ Parameters!B$71 + (LN(1+EXP(Parameters!$B$21*(-B196+0.004)))/Parameters!$B$21 -0.004) * Parameters!B$71,0)</f>
        <v>7.3498594413554785E-3</v>
      </c>
      <c r="I197" s="16">
        <f>I196*(1+Parameters!$B$52)^Parameters!B$71</f>
        <v>14.269639517357037</v>
      </c>
      <c r="J197" s="16">
        <f>J196*(1+Parameters!$B$54)^Parameters!B$71</f>
        <v>413.62415998547277</v>
      </c>
      <c r="K197" s="16">
        <f>I197*J197*EXP(-Parameters!$B$43*'6states'!A197)*(Parameters!$B$38/Parameters!$B$39*('6states'!E197+'6states'!H197)/Parameters!$E$25*(EXP(-Parameters!$B$39*Parameters!$E$25*'6states'!H197/('6states'!E197+'6states'!H197))-EXP(-Parameters!$B$39*Parameters!$E$25))  +  Parameters!$B$40*'6states'!E197)</f>
        <v>6.570838928630926E-2</v>
      </c>
      <c r="L197" s="6">
        <f>L196+K197*Parameters!B$71</f>
        <v>3351.8854797064528</v>
      </c>
      <c r="M197" s="5">
        <f>L197*Parameters!$B$46</f>
        <v>2.0111312878238716</v>
      </c>
      <c r="N197" s="7">
        <f>EXP(-Parameters!$B$47/2*M197^2)</f>
        <v>0.96016635505069836</v>
      </c>
      <c r="O197" s="6">
        <f>MAX((Parameters!$B$63 + Parameters!$B$31*'6states'!A197 - '6states'!L197 + Parameters!$B$48/Parameters!$B$46)/Parameters!B$63,1)</f>
        <v>185.31429040587096</v>
      </c>
      <c r="P197" s="5">
        <f>Parameters!B$62*EXP(-Parameters!B$61*A197)</f>
        <v>2.7281073719399641E-3</v>
      </c>
      <c r="Q197" s="5">
        <f>(1-Parameters!B$62)*O197^-Parameters!B$64</f>
        <v>0.29660544077616069</v>
      </c>
      <c r="R197" s="5">
        <f>Parameters!B$62*EXP(-Parameters!B$61*A197)+(1-Parameters!B$62)*O197^-Parameters!B$64</f>
        <v>0.29933354814810065</v>
      </c>
      <c r="S197" s="5">
        <f>1-R197/Parameters!$B$12</f>
        <v>0.85033322592594973</v>
      </c>
      <c r="T197" s="5">
        <f t="shared" ref="T197:T204" si="101">1/(1-S197)</f>
        <v>6.6815096816694428</v>
      </c>
      <c r="U197" s="5">
        <f>(Parameters!$B$19*(E197+Parameters!$B$20)^S197+Parameters!$B$18*F197^S197)^(1/S197)</f>
        <v>0.34620924753919369</v>
      </c>
      <c r="V197" s="5">
        <f>(Parameters!$B$10*G197^Parameters!$B$9+Parameters!$B$11*U197^Parameters!$B$9)^(Parameters!$B$7/Parameters!$B$9)*N197</f>
        <v>1.339202900366689</v>
      </c>
      <c r="W197" s="5">
        <f>V197 - C197 - D197 - LN(1+EXP(Parameters!$B$21*B197))/Parameters!$B$21 - IF(B197&gt;0, 0,Parameters!$B$6*B197^2/E197)</f>
        <v>1.0205455148219962</v>
      </c>
      <c r="X197" s="5">
        <f>EXP(-Parameters!$B$56*A197)</f>
        <v>5.4241987137783339E-2</v>
      </c>
      <c r="Y197" s="5">
        <f>IF(W197&gt;0,W197^(1-Parameters!$B$53)/(1-Parameters!$B$53)*X197*Parameters!$B$71,-10+W197*1000)</f>
        <v>-0.15387788718394985</v>
      </c>
      <c r="AA197" s="15">
        <f t="shared" si="77"/>
        <v>0</v>
      </c>
      <c r="AB197" s="15">
        <f t="shared" si="78"/>
        <v>2.5022287852838332E-7</v>
      </c>
      <c r="AC197" s="15">
        <f t="shared" si="79"/>
        <v>-3.4065449229514488E-7</v>
      </c>
      <c r="AD197" s="15">
        <f t="shared" ref="AD197:AD204" si="102">X197*(AA197^2+AB197^2+AC197^2)</f>
        <v>9.6907091805480321E-15</v>
      </c>
      <c r="AE197" s="15">
        <f t="shared" si="92"/>
        <v>0</v>
      </c>
      <c r="AF197" s="15">
        <f t="shared" si="93"/>
        <v>-1.5503533262739566E-8</v>
      </c>
      <c r="AG197" s="15">
        <f t="shared" si="94"/>
        <v>2.111256969250519E-8</v>
      </c>
      <c r="AH197" s="15">
        <f t="shared" ref="AH197:AH204" si="103">X197*(AE197^2+AF197^2+AG197^2)</f>
        <v>3.7215435112839637E-17</v>
      </c>
      <c r="AI197" s="15"/>
      <c r="AM197" s="16">
        <f t="shared" si="98"/>
        <v>43.380837676426289</v>
      </c>
      <c r="AN197" s="16">
        <f t="shared" si="99"/>
        <v>0.59022676586623113</v>
      </c>
      <c r="AO197" s="16">
        <f t="shared" si="89"/>
        <v>2043.4196448803973</v>
      </c>
      <c r="AP197" s="6">
        <f t="shared" si="100"/>
        <v>7904.3339672210732</v>
      </c>
      <c r="AQ197" s="15">
        <f>-X197*V197*W197^(-Parameters!B$53)*Parameters!B$47*Parameters!B$46*M197</f>
        <v>-1.7141388265361812E-6</v>
      </c>
      <c r="AR197" s="5">
        <f>1000*EXP(-(Parameters!$B$55)*'6states'!A197)*AP197*Parameters!B$47*Parameters!B$46*M197</f>
        <v>0.21908462622128203</v>
      </c>
      <c r="AS197" s="5">
        <f>SUM(AR197:AR$204)*EXP(Parameters!$B$55*A197)</f>
        <v>6302.5361052027711</v>
      </c>
      <c r="AT197" s="25">
        <f t="shared" si="83"/>
        <v>0.23665017562260793</v>
      </c>
      <c r="AU197">
        <f>(1/$S197-1/Parameters!$B$13) * LN(Parameters!$B$18) / LN(O197)</f>
        <v>0.18797250958080505</v>
      </c>
      <c r="AV197">
        <f>(Parameters!$B$18*'6states'!S197^+Parameters!$B$19*Parameters!$B$25^'6states'!S197)^((1-'6states'!S197)/'6states'!S197)*Parameters!$B$18*Parameters!$B$26^('6states'!S197-1)</f>
        <v>0.30896719362263203</v>
      </c>
      <c r="AW197">
        <f t="shared" si="84"/>
        <v>0.16617084933677206</v>
      </c>
      <c r="AX197">
        <f t="shared" si="85"/>
        <v>0.1221614754187883</v>
      </c>
      <c r="AY197">
        <f t="shared" si="86"/>
        <v>0.1927805698182542</v>
      </c>
      <c r="AZ197">
        <f>(1/$S197-1/Parameters!$B$13) * LN(Parameters!$B$18) / A197</f>
        <v>5.0860230813352071E-3</v>
      </c>
    </row>
    <row r="198" spans="1:52" x14ac:dyDescent="0.35">
      <c r="A198">
        <f>A197+Parameters!$B$71</f>
        <v>194</v>
      </c>
      <c r="B198" s="7">
        <f t="shared" si="97"/>
        <v>-2.9568713141259393E-6</v>
      </c>
      <c r="C198" s="7">
        <f t="shared" si="95"/>
        <v>9.0949993792235756E-2</v>
      </c>
      <c r="D198" s="7">
        <f t="shared" si="96"/>
        <v>0.22597556464516125</v>
      </c>
      <c r="E198" s="5">
        <f>MAX((1-Parameters!$B$4)^Parameters!B$71*E197 + B197*Parameters!B$71 - IF(B197&gt;0,Parameters!$B$5,0)*B197^2/E197*Parameters!B$71, 0.0001)</f>
        <v>1E-4</v>
      </c>
      <c r="F198" s="5">
        <f>(1-Parameters!$B$4)^Parameters!B$71*F197+C197*Parameters!B$71-Parameters!$B$5*C197^2/F197*Parameters!B$71</f>
        <v>1.3484936566171206</v>
      </c>
      <c r="G198" s="5">
        <f>(1-Parameters!$B$4)^Parameters!B$71*G197+D197*Parameters!B$71-Parameters!$B$5*D197^2/G197*Parameters!B$71</f>
        <v>3.350039298773444</v>
      </c>
      <c r="H198" s="7">
        <f>MAX(H197 * (1-Parameters!$B$4) ^ Parameters!B$71 + (LN(1+EXP(Parameters!$B$21*(-B197+0.004)))/Parameters!$B$21 -0.004) * Parameters!B$71,0)</f>
        <v>7.349765550340343E-3</v>
      </c>
      <c r="I198" s="16">
        <f>I197*(1+Parameters!$B$52)^Parameters!B$71</f>
        <v>14.311021471957371</v>
      </c>
      <c r="J198" s="16">
        <f>J197*(1+Parameters!$B$54)^Parameters!B$71</f>
        <v>421.89664318518226</v>
      </c>
      <c r="K198" s="16">
        <f>I198*J198*EXP(-Parameters!$B$43*'6states'!A198)*(Parameters!$B$38/Parameters!$B$39*('6states'!E198+'6states'!H198)/Parameters!$E$25*(EXP(-Parameters!$B$39*Parameters!$E$25*'6states'!H198/('6states'!E198+'6states'!H198))-EXP(-Parameters!$B$39*Parameters!$E$25))  +  Parameters!$B$40*'6states'!E198)</f>
        <v>6.6548102933924005E-2</v>
      </c>
      <c r="L198" s="6">
        <f>L197+K198*Parameters!B$71</f>
        <v>3351.9520278093869</v>
      </c>
      <c r="M198" s="5">
        <f>L198*Parameters!$B$46</f>
        <v>2.0111712166856321</v>
      </c>
      <c r="N198" s="7">
        <f>EXP(-Parameters!$B$47/2*M198^2)</f>
        <v>0.96016480525712866</v>
      </c>
      <c r="O198" s="6">
        <f>MAX((Parameters!$B$63 + Parameters!$B$31*'6states'!A198 - '6states'!L198 + Parameters!$B$48/Parameters!$B$46)/Parameters!B$63,1)</f>
        <v>186.3769594438123</v>
      </c>
      <c r="P198" s="5">
        <f>Parameters!B$62*EXP(-Parameters!B$61*A198)</f>
        <v>2.655433978563181E-3</v>
      </c>
      <c r="Q198" s="5">
        <f>(1-Parameters!B$62)*O198^-Parameters!B$64</f>
        <v>0.29643588920351233</v>
      </c>
      <c r="R198" s="5">
        <f>Parameters!B$62*EXP(-Parameters!B$61*A198)+(1-Parameters!B$62)*O198^-Parameters!B$64</f>
        <v>0.29909132318207549</v>
      </c>
      <c r="S198" s="5">
        <f>1-R198/Parameters!$B$12</f>
        <v>0.85045433840896223</v>
      </c>
      <c r="T198" s="5">
        <f t="shared" si="101"/>
        <v>6.6869208331479255</v>
      </c>
      <c r="U198" s="5">
        <f>(Parameters!$B$19*(E198+Parameters!$B$20)^S198+Parameters!$B$18*F198^S198)^(1/S198)</f>
        <v>0.34626680725871023</v>
      </c>
      <c r="V198" s="5">
        <f>(Parameters!$B$10*G198^Parameters!$B$9+Parameters!$B$11*U198^Parameters!$B$9)^(Parameters!$B$7/Parameters!$B$9)*N198</f>
        <v>1.3392240175407006</v>
      </c>
      <c r="W198" s="5">
        <f>V198 - C198 - D198 - LN(1+EXP(Parameters!$B$21*B198))/Parameters!$B$21 - IF(B198&gt;0, 0,Parameters!$B$6*B198^2/E198)</f>
        <v>1.0205666319960078</v>
      </c>
      <c r="X198" s="5">
        <f>EXP(-Parameters!$B$56*A198)</f>
        <v>5.3429085981473647E-2</v>
      </c>
      <c r="Y198" s="5">
        <f>IF(W198&gt;0,W198^(1-Parameters!$B$53)/(1-Parameters!$B$53)*X198*Parameters!$B$71,-10+W198*1000)</f>
        <v>-0.15157068826906175</v>
      </c>
      <c r="AA198" s="15">
        <f t="shared" ref="AA198:AA204" si="104">B198/E198-B197/E197</f>
        <v>0</v>
      </c>
      <c r="AB198" s="15">
        <f t="shared" ref="AB198:AB204" si="105">C198/F198-C197/F197</f>
        <v>2.3562378648200877E-7</v>
      </c>
      <c r="AC198" s="15">
        <f t="shared" ref="AC198:AC204" si="106">D198/G198-D197/G197</f>
        <v>-3.2077422185139426E-7</v>
      </c>
      <c r="AD198" s="15">
        <f t="shared" si="102"/>
        <v>8.4639510327314337E-15</v>
      </c>
      <c r="AE198" s="15">
        <f t="shared" ref="AE198:AE204" si="107">B198/E198-2*B197/E197+B196/E196</f>
        <v>0</v>
      </c>
      <c r="AF198" s="15">
        <f t="shared" ref="AF198:AF204" si="108">C198/F198-2*C197/F197+C196/F196</f>
        <v>-1.4599092046374551E-8</v>
      </c>
      <c r="AG198" s="15">
        <f t="shared" ref="AG198:AG204" si="109">D198/G198-2*D197/G197+D196/G196</f>
        <v>1.9880270443750625E-8</v>
      </c>
      <c r="AH198" s="15">
        <f t="shared" si="103"/>
        <v>3.2504046164018546E-17</v>
      </c>
      <c r="AI198" s="15"/>
      <c r="AM198" s="16">
        <f t="shared" si="98"/>
        <v>44.376208055266993</v>
      </c>
      <c r="AN198" s="16">
        <f t="shared" si="99"/>
        <v>0.60377719195698809</v>
      </c>
      <c r="AO198" s="16">
        <f t="shared" si="89"/>
        <v>2090.680005545757</v>
      </c>
      <c r="AP198" s="6">
        <f t="shared" si="100"/>
        <v>8085.9291671208039</v>
      </c>
      <c r="AQ198" s="15">
        <f>-X198*V198*W198^(-Parameters!B$53)*Parameters!B$47*Parameters!B$46*M198</f>
        <v>-1.6884627517629887E-6</v>
      </c>
      <c r="AR198" s="5">
        <f>1000*EXP(-(Parameters!$B$55)*'6states'!A198)*AP198*Parameters!B$47*Parameters!B$46*M198</f>
        <v>0.2163921192422619</v>
      </c>
      <c r="AS198" s="5">
        <f>SUM(AR198:AR$204)*EXP(Parameters!$B$55*A198)</f>
        <v>6329.1210630104943</v>
      </c>
      <c r="AT198" s="25">
        <f t="shared" ref="AT198:AT204" si="110">(B198+C198+D198)/V198</f>
        <v>0.23664644407144619</v>
      </c>
      <c r="AU198">
        <f>(1/$S198-1/Parameters!$B$13) * LN(Parameters!$B$18) / LN(O198)</f>
        <v>0.18780507213695277</v>
      </c>
      <c r="AV198">
        <f>(Parameters!$B$18*'6states'!S198^+Parameters!$B$19*Parameters!$B$25^'6states'!S198)^((1-'6states'!S198)/'6states'!S198)*Parameters!$B$18*Parameters!$B$26^('6states'!S198-1)</f>
        <v>0.30897848206239015</v>
      </c>
      <c r="AW198">
        <f t="shared" ref="AW198:AW204" si="111">(LN(AV198)-LN(AV$4))/ LN(O198)</f>
        <v>0.16599608356501788</v>
      </c>
      <c r="AX198">
        <f t="shared" ref="AX198:AX204" si="112">1-2^-AU198</f>
        <v>0.12205958862762878</v>
      </c>
      <c r="AY198">
        <f t="shared" ref="AY198:AY204" si="113">1-2^-AV198</f>
        <v>0.19278688592249071</v>
      </c>
      <c r="AZ198">
        <f>(1/$S198-1/Parameters!$B$13) * LN(Parameters!$B$18) / A198</f>
        <v>5.0608348637750716E-3</v>
      </c>
    </row>
    <row r="199" spans="1:52" x14ac:dyDescent="0.35">
      <c r="A199">
        <f>A198+Parameters!$B$71</f>
        <v>195</v>
      </c>
      <c r="B199" s="7">
        <f t="shared" si="97"/>
        <v>-2.9568713141259393E-6</v>
      </c>
      <c r="C199" s="7">
        <f t="shared" si="95"/>
        <v>9.0949993792235756E-2</v>
      </c>
      <c r="D199" s="7">
        <f t="shared" si="96"/>
        <v>0.22597556464516125</v>
      </c>
      <c r="E199" s="5">
        <f>MAX((1-Parameters!$B$4)^Parameters!B$71*E198 + B198*Parameters!B$71 - IF(B198&gt;0,Parameters!$B$5,0)*B198^2/E198*Parameters!B$71, 0.0001)</f>
        <v>1E-4</v>
      </c>
      <c r="F199" s="5">
        <f>(1-Parameters!$B$4)^Parameters!B$71*F198+C198*Parameters!B$71-Parameters!$B$5*C198^2/F198*Parameters!B$71</f>
        <v>1.3484892204817374</v>
      </c>
      <c r="G199" s="5">
        <f>(1-Parameters!$B$4)^Parameters!B$71*G198+D198*Parameters!B$71-Parameters!$B$5*D198^2/G198*Parameters!B$71</f>
        <v>3.3500542999490701</v>
      </c>
      <c r="H199" s="7">
        <f>MAX(H198 * (1-Parameters!$B$4) ^ Parameters!B$71 + (LN(1+EXP(Parameters!$B$21*(-B198+0.004)))/Parameters!$B$21 -0.004) * Parameters!B$71,0)</f>
        <v>7.34967756507006E-3</v>
      </c>
      <c r="I199" s="16">
        <f>I198*(1+Parameters!$B$52)^Parameters!B$71</f>
        <v>14.352523434226047</v>
      </c>
      <c r="J199" s="16">
        <f>J198*(1+Parameters!$B$54)^Parameters!B$71</f>
        <v>430.33457604888594</v>
      </c>
      <c r="K199" s="16">
        <f>I199*J199*EXP(-Parameters!$B$43*'6states'!A199)*(Parameters!$B$38/Parameters!$B$39*('6states'!E199+'6states'!H199)/Parameters!$E$25*(EXP(-Parameters!$B$39*Parameters!$E$25*'6states'!H199/('6states'!E199+'6states'!H199))-EXP(-Parameters!$B$39*Parameters!$E$25))  +  Parameters!$B$40*'6states'!E199)</f>
        <v>6.7398547616306898E-2</v>
      </c>
      <c r="L199" s="6">
        <f>L198+K199*Parameters!B$71</f>
        <v>3352.0194263570033</v>
      </c>
      <c r="M199" s="5">
        <f>L199*Parameters!$B$46</f>
        <v>2.0112116558142019</v>
      </c>
      <c r="N199" s="7">
        <f>EXP(-Parameters!$B$47/2*M199^2)</f>
        <v>0.96016323562931849</v>
      </c>
      <c r="O199" s="6">
        <f>MAX((Parameters!$B$63 + Parameters!$B$31*'6states'!A199 - '6states'!L199 + Parameters!$B$48/Parameters!$B$46)/Parameters!B$63,1)</f>
        <v>187.43961147285995</v>
      </c>
      <c r="P199" s="5">
        <f>Parameters!B$62*EXP(-Parameters!B$61*A199)</f>
        <v>2.5846965141601667E-3</v>
      </c>
      <c r="Q199" s="5">
        <f>(1-Parameters!B$62)*O199^-Parameters!B$64</f>
        <v>0.29626740040928901</v>
      </c>
      <c r="R199" s="5">
        <f>Parameters!B$62*EXP(-Parameters!B$61*A199)+(1-Parameters!B$62)*O199^-Parameters!B$64</f>
        <v>0.29885209692344916</v>
      </c>
      <c r="S199" s="5">
        <f>1-R199/Parameters!$B$12</f>
        <v>0.85057395153827542</v>
      </c>
      <c r="T199" s="5">
        <f t="shared" si="101"/>
        <v>6.6922736048671565</v>
      </c>
      <c r="U199" s="5">
        <f>(Parameters!$B$19*(E199+Parameters!$B$20)^S199+Parameters!$B$18*F199^S199)^(1/S199)</f>
        <v>0.34632370569703308</v>
      </c>
      <c r="V199" s="5">
        <f>(Parameters!$B$10*G199^Parameters!$B$9+Parameters!$B$11*U199^Parameters!$B$9)^(Parameters!$B$7/Parameters!$B$9)*N199</f>
        <v>1.3392447671738166</v>
      </c>
      <c r="W199" s="5">
        <f>V199 - C199 - D199 - LN(1+EXP(Parameters!$B$21*B199))/Parameters!$B$21 - IF(B199&gt;0, 0,Parameters!$B$6*B199^2/E199)</f>
        <v>1.0205873816291238</v>
      </c>
      <c r="X199" s="5">
        <f>EXP(-Parameters!$B$56*A199)</f>
        <v>5.2628367422535426E-2</v>
      </c>
      <c r="Y199" s="5">
        <f>IF(W199&gt;0,W199^(1-Parameters!$B$53)/(1-Parameters!$B$53)*X199*Parameters!$B$71,-10+W199*1000)</f>
        <v>-0.14929810164366661</v>
      </c>
      <c r="AA199" s="15">
        <f t="shared" si="104"/>
        <v>0</v>
      </c>
      <c r="AB199" s="15">
        <f t="shared" si="105"/>
        <v>2.2187638346049532E-7</v>
      </c>
      <c r="AC199" s="15">
        <f t="shared" si="106"/>
        <v>-3.0205430348595463E-7</v>
      </c>
      <c r="AD199" s="15">
        <f t="shared" si="102"/>
        <v>7.3924926686925954E-15</v>
      </c>
      <c r="AE199" s="15">
        <f t="shared" si="107"/>
        <v>0</v>
      </c>
      <c r="AF199" s="15">
        <f t="shared" si="108"/>
        <v>-1.3747403021513449E-8</v>
      </c>
      <c r="AG199" s="15">
        <f t="shared" si="109"/>
        <v>1.8719918365439625E-8</v>
      </c>
      <c r="AH199" s="15">
        <f t="shared" si="103"/>
        <v>2.8389132536752413E-17</v>
      </c>
      <c r="AI199" s="15"/>
      <c r="AM199" s="16">
        <f t="shared" si="98"/>
        <v>45.394453608712567</v>
      </c>
      <c r="AN199" s="16">
        <f t="shared" si="99"/>
        <v>0.61763870872993665</v>
      </c>
      <c r="AO199" s="16">
        <f t="shared" si="89"/>
        <v>2139.0292638928213</v>
      </c>
      <c r="AP199" s="6">
        <f t="shared" si="100"/>
        <v>8271.6940867056073</v>
      </c>
      <c r="AQ199" s="15">
        <f>-X199*V199*W199^(-Parameters!B$53)*Parameters!B$47*Parameters!B$46*M199</f>
        <v>-1.6631720527579237E-6</v>
      </c>
      <c r="AR199" s="5">
        <f>1000*EXP(-(Parameters!$B$55)*'6states'!A199)*AP199*Parameters!B$47*Parameters!B$46*M199</f>
        <v>0.21373269807702572</v>
      </c>
      <c r="AS199" s="5">
        <f>SUM(AR199:AR$204)*EXP(Parameters!$B$55*A199)</f>
        <v>6352.0898940930001</v>
      </c>
      <c r="AT199" s="25">
        <f t="shared" si="110"/>
        <v>0.2366427775819343</v>
      </c>
      <c r="AU199">
        <f>(1/$S199-1/Parameters!$B$13) * LN(Parameters!$B$18) / LN(O199)</f>
        <v>0.18763868683190671</v>
      </c>
      <c r="AV199">
        <f>(Parameters!$B$18*'6states'!S199^+Parameters!$B$19*Parameters!$B$25^'6states'!S199)^((1-'6states'!S199)/'6states'!S199)*Parameters!$B$18*Parameters!$B$26^('6states'!S199-1)</f>
        <v>0.30898960147349536</v>
      </c>
      <c r="AW199">
        <f t="shared" si="111"/>
        <v>0.16582262786081806</v>
      </c>
      <c r="AX199">
        <f t="shared" si="112"/>
        <v>0.12195833035557524</v>
      </c>
      <c r="AY199">
        <f t="shared" si="113"/>
        <v>0.19279310740355271</v>
      </c>
      <c r="AZ199">
        <f>(1/$S199-1/Parameters!$B$13) * LN(Parameters!$B$18) / A199</f>
        <v>5.0358920348364767E-3</v>
      </c>
    </row>
    <row r="200" spans="1:52" x14ac:dyDescent="0.35">
      <c r="A200">
        <f>A199+Parameters!$B$71</f>
        <v>196</v>
      </c>
      <c r="B200" s="7">
        <f t="shared" si="97"/>
        <v>-2.9568713141259393E-6</v>
      </c>
      <c r="C200" s="7">
        <f t="shared" si="95"/>
        <v>9.0949993792235756E-2</v>
      </c>
      <c r="D200" s="7">
        <f t="shared" si="96"/>
        <v>0.22597556464516125</v>
      </c>
      <c r="E200" s="5">
        <f>MAX((1-Parameters!$B$4)^Parameters!B$71*E199 + B199*Parameters!B$71 - IF(B199&gt;0,Parameters!$B$5,0)*B199^2/E199*Parameters!B$71, 0.0001)</f>
        <v>1E-4</v>
      </c>
      <c r="F200" s="5">
        <f>(1-Parameters!$B$4)^Parameters!B$71*F199+C199*Parameters!B$71-Parameters!$B$5*C199^2/F199*Parameters!B$71</f>
        <v>1.348485043199614</v>
      </c>
      <c r="G200" s="5">
        <f>(1-Parameters!$B$4)^Parameters!B$71*G199+D199*Parameters!B$71-Parameters!$B$5*D199^2/G199*Parameters!B$71</f>
        <v>3.350068425807641</v>
      </c>
      <c r="H200" s="7">
        <f>MAX(H199 * (1-Parameters!$B$4) ^ Parameters!B$71 + (LN(1+EXP(Parameters!$B$21*(-B199+0.004)))/Parameters!$B$21 -0.004) * Parameters!B$71,0)</f>
        <v>7.3495951140732773E-3</v>
      </c>
      <c r="I200" s="16">
        <f>I199*(1+Parameters!$B$52)^Parameters!B$71</f>
        <v>14.394145752185301</v>
      </c>
      <c r="J200" s="16">
        <f>J199*(1+Parameters!$B$54)^Parameters!B$71</f>
        <v>438.94126756986367</v>
      </c>
      <c r="K200" s="16">
        <f>I200*J200*EXP(-Parameters!$B$43*'6states'!A200)*(Parameters!$B$38/Parameters!$B$39*('6states'!E200+'6states'!H200)/Parameters!$E$25*(EXP(-Parameters!$B$39*Parameters!$E$25*'6states'!H200/('6states'!E200+'6states'!H200))-EXP(-Parameters!$B$39*Parameters!$E$25))  +  Parameters!$B$40*'6states'!E200)</f>
        <v>6.8259860469620362E-2</v>
      </c>
      <c r="L200" s="6">
        <f>L199+K200*Parameters!B$71</f>
        <v>3352.0876862174728</v>
      </c>
      <c r="M200" s="5">
        <f>L200*Parameters!$B$46</f>
        <v>2.0112526117304834</v>
      </c>
      <c r="N200" s="7">
        <f>EXP(-Parameters!$B$47/2*M200^2)</f>
        <v>0.96016164591305753</v>
      </c>
      <c r="O200" s="6">
        <f>MAX((Parameters!$B$63 + Parameters!$B$31*'6states'!A200 - '6states'!L200 + Parameters!$B$48/Parameters!$B$46)/Parameters!B$63,1)</f>
        <v>188.50224627565055</v>
      </c>
      <c r="P200" s="5">
        <f>Parameters!B$62*EXP(-Parameters!B$61*A200)</f>
        <v>2.5158434079865654E-3</v>
      </c>
      <c r="Q200" s="5">
        <f>(1-Parameters!B$62)*O200^-Parameters!B$64</f>
        <v>0.29609996179563181</v>
      </c>
      <c r="R200" s="5">
        <f>Parameters!B$62*EXP(-Parameters!B$61*A200)+(1-Parameters!B$62)*O200^-Parameters!B$64</f>
        <v>0.29861580520361836</v>
      </c>
      <c r="S200" s="5">
        <f>1-R200/Parameters!$B$12</f>
        <v>0.85069209739819085</v>
      </c>
      <c r="T200" s="5">
        <f t="shared" si="101"/>
        <v>6.697569134481185</v>
      </c>
      <c r="U200" s="5">
        <f>(Parameters!$B$19*(E200+Parameters!$B$20)^S200+Parameters!$B$18*F200^S200)^(1/S200)</f>
        <v>0.34637995454998227</v>
      </c>
      <c r="V200" s="5">
        <f>(Parameters!$B$10*G200^Parameters!$B$9+Parameters!$B$11*U200^Parameters!$B$9)^(Parameters!$B$7/Parameters!$B$9)*N200</f>
        <v>1.3392651581333812</v>
      </c>
      <c r="W200" s="5">
        <f>V200 - C200 - D200 - LN(1+EXP(Parameters!$B$21*B200))/Parameters!$B$21 - IF(B200&gt;0, 0,Parameters!$B$6*B200^2/E200)</f>
        <v>1.0206077725886884</v>
      </c>
      <c r="X200" s="5">
        <f>EXP(-Parameters!$B$56*A200)</f>
        <v>5.1839648885661067E-2</v>
      </c>
      <c r="Y200" s="5">
        <f>IF(W200&gt;0,W200^(1-Parameters!$B$53)/(1-Parameters!$B$53)*X200*Parameters!$B$71,-10+W200*1000)</f>
        <v>-0.14705960732817319</v>
      </c>
      <c r="AA200" s="15">
        <f t="shared" si="104"/>
        <v>0</v>
      </c>
      <c r="AB200" s="15">
        <f t="shared" si="105"/>
        <v>2.0893099292318418E-7</v>
      </c>
      <c r="AC200" s="15">
        <f t="shared" si="106"/>
        <v>-2.8442699298580898E-7</v>
      </c>
      <c r="AD200" s="15">
        <f t="shared" si="102"/>
        <v>6.456673583965798E-15</v>
      </c>
      <c r="AE200" s="15">
        <f t="shared" si="107"/>
        <v>0</v>
      </c>
      <c r="AF200" s="15">
        <f t="shared" si="108"/>
        <v>-1.2945390537311141E-8</v>
      </c>
      <c r="AG200" s="15">
        <f t="shared" si="109"/>
        <v>1.7627310500145654E-8</v>
      </c>
      <c r="AH200" s="15">
        <f t="shared" si="103"/>
        <v>2.4795174231187283E-17</v>
      </c>
      <c r="AI200" s="15"/>
      <c r="AM200" s="16">
        <f t="shared" si="98"/>
        <v>46.436098534044739</v>
      </c>
      <c r="AN200" s="16">
        <f t="shared" si="99"/>
        <v>0.63181845820495852</v>
      </c>
      <c r="AO200" s="16">
        <f t="shared" si="89"/>
        <v>2188.492488368734</v>
      </c>
      <c r="AP200" s="6">
        <f t="shared" si="100"/>
        <v>8461.7244733945281</v>
      </c>
      <c r="AQ200" s="15">
        <f>-X200*V200*W200^(-Parameters!B$53)*Parameters!B$47*Parameters!B$46*M200</f>
        <v>-1.6382609306835609E-6</v>
      </c>
      <c r="AR200" s="5">
        <f>1000*EXP(-(Parameters!$B$55)*'6states'!A200)*AP200*Parameters!B$47*Parameters!B$46*M200</f>
        <v>0.21110595830135767</v>
      </c>
      <c r="AS200" s="5">
        <f>SUM(AR200:AR$204)*EXP(Parameters!$B$55*A200)</f>
        <v>6371.2084343260412</v>
      </c>
      <c r="AT200" s="25">
        <f t="shared" si="110"/>
        <v>0.23663917458122932</v>
      </c>
      <c r="AU200">
        <f>(1/$S200-1/Parameters!$B$13) * LN(Parameters!$B$18) / LN(O200)</f>
        <v>0.18747334445030639</v>
      </c>
      <c r="AV200">
        <f>(Parameters!$B$18*'6states'!S200^+Parameters!$B$19*Parameters!$B$25^'6states'!S200)^((1-'6states'!S200)/'6states'!S200)*Parameters!$B$18*Parameters!$B$26^('6states'!S200-1)</f>
        <v>0.30900055593221459</v>
      </c>
      <c r="AW200">
        <f t="shared" si="111"/>
        <v>0.1656504656159192</v>
      </c>
      <c r="AX200">
        <f t="shared" si="112"/>
        <v>0.1218576952135968</v>
      </c>
      <c r="AY200">
        <f t="shared" si="113"/>
        <v>0.1927992365443354</v>
      </c>
      <c r="AZ200">
        <f>(1/$S200-1/Parameters!$B$13) * LN(Parameters!$B$18) / A200</f>
        <v>5.011191118787524E-3</v>
      </c>
    </row>
    <row r="201" spans="1:52" x14ac:dyDescent="0.35">
      <c r="A201">
        <f>A200+Parameters!$B$71</f>
        <v>197</v>
      </c>
      <c r="B201" s="7">
        <f t="shared" si="97"/>
        <v>-2.9568713141259393E-6</v>
      </c>
      <c r="C201" s="7">
        <f t="shared" si="95"/>
        <v>9.0949993792235756E-2</v>
      </c>
      <c r="D201" s="7">
        <f>D200</f>
        <v>0.22597556464516125</v>
      </c>
      <c r="E201" s="5">
        <f>MAX((1-Parameters!$B$4)^Parameters!B$71*E200 + B200*Parameters!B$71 - IF(B200&gt;0,Parameters!$B$5,0)*B200^2/E200*Parameters!B$71, 0.0001)</f>
        <v>1E-4</v>
      </c>
      <c r="F201" s="5">
        <f>(1-Parameters!$B$4)^Parameters!B$71*F200+C200*Parameters!B$71-Parameters!$B$5*C200^2/F200*Parameters!B$71</f>
        <v>1.3484811096662639</v>
      </c>
      <c r="G201" s="5">
        <f>(1-Parameters!$B$4)^Parameters!B$71*G200+D200*Parameters!B$71-Parameters!$B$5*D200^2/G200*Parameters!B$71</f>
        <v>3.3500817274232584</v>
      </c>
      <c r="H201" s="7">
        <f>MAX(H200 * (1-Parameters!$B$4) ^ Parameters!B$71 + (LN(1+EXP(Parameters!$B$21*(-B200+0.004)))/Parameters!$B$21 -0.004) * Parameters!B$71,0)</f>
        <v>7.3495178492441922E-3</v>
      </c>
      <c r="I201" s="16">
        <f>I200*(1+Parameters!$B$52)^Parameters!B$71</f>
        <v>14.435888774866637</v>
      </c>
      <c r="J201" s="16">
        <f>J200*(1+Parameters!$B$54)^Parameters!B$71</f>
        <v>447.72009292126097</v>
      </c>
      <c r="K201" s="16">
        <f>I201*J201*EXP(-Parameters!$B$43*'6states'!A201)*(Parameters!$B$38/Parameters!$B$39*('6states'!E201+'6states'!H201)/Parameters!$E$25*(EXP(-Parameters!$B$39*Parameters!$E$25*'6states'!H201/('6states'!E201+'6states'!H201))-EXP(-Parameters!$B$39*Parameters!$E$25))  +  Parameters!$B$40*'6states'!E201)</f>
        <v>6.9132180382544484E-2</v>
      </c>
      <c r="L201" s="6">
        <f>L200+K201*Parameters!B$71</f>
        <v>3352.1568183978552</v>
      </c>
      <c r="M201" s="5">
        <f>L201*Parameters!$B$46</f>
        <v>2.0112940910387129</v>
      </c>
      <c r="N201" s="7">
        <f>EXP(-Parameters!$B$47/2*M201^2)</f>
        <v>0.96016003585086718</v>
      </c>
      <c r="O201" s="6">
        <f>MAX((Parameters!$B$63 + Parameters!$B$31*'6states'!A201 - '6states'!L201 + Parameters!$B$48/Parameters!$B$46)/Parameters!B$63,1)</f>
        <v>189.56486363204291</v>
      </c>
      <c r="P201" s="5">
        <f>Parameters!B$62*EXP(-Parameters!B$61*A201)</f>
        <v>2.4488244630786211E-3</v>
      </c>
      <c r="Q201" s="5">
        <f>(1-Parameters!B$62)*O201^-Parameters!B$64</f>
        <v>0.29593356098465701</v>
      </c>
      <c r="R201" s="5">
        <f>Parameters!B$62*EXP(-Parameters!B$61*A201)+(1-Parameters!B$62)*O201^-Parameters!B$64</f>
        <v>0.29838238544773565</v>
      </c>
      <c r="S201" s="5">
        <f>1-R201/Parameters!$B$12</f>
        <v>0.85080880727613217</v>
      </c>
      <c r="T201" s="5">
        <f t="shared" si="101"/>
        <v>6.7028085354264917</v>
      </c>
      <c r="U201" s="5">
        <f>(Parameters!$B$19*(E201+Parameters!$B$20)^S201+Parameters!$B$18*F201^S201)^(1/S201)</f>
        <v>0.34643556535230191</v>
      </c>
      <c r="V201" s="5">
        <f>(Parameters!$B$10*G201^Parameters!$B$9+Parameters!$B$11*U201^Parameters!$B$9)^(Parameters!$B$7/Parameters!$B$9)*N201</f>
        <v>1.339285198955152</v>
      </c>
      <c r="W201" s="5">
        <f>V201 - C201 - D201 - LN(1+EXP(Parameters!$B$21*B201))/Parameters!$B$21 - IF(B201&gt;0, 0,Parameters!$B$6*B201^2/E201)</f>
        <v>1.0206278134104592</v>
      </c>
      <c r="X201" s="5">
        <f>EXP(-Parameters!$B$56*A201)</f>
        <v>5.1062750531719887E-2</v>
      </c>
      <c r="Y201" s="5">
        <f>IF(W201&gt;0,W201^(1-Parameters!$B$53)/(1-Parameters!$B$53)*X201*Parameters!$B$71,-10+W201*1000)</f>
        <v>-0.14485469318881272</v>
      </c>
      <c r="AA201" s="15">
        <f t="shared" si="104"/>
        <v>0</v>
      </c>
      <c r="AB201" s="15">
        <f t="shared" si="105"/>
        <v>1.9674083470699877E-7</v>
      </c>
      <c r="AC201" s="15">
        <f t="shared" si="106"/>
        <v>-2.6782850319484464E-7</v>
      </c>
      <c r="AD201" s="15">
        <f t="shared" si="102"/>
        <v>5.6393223313409104E-15</v>
      </c>
      <c r="AE201" s="15">
        <f t="shared" si="107"/>
        <v>0</v>
      </c>
      <c r="AF201" s="15">
        <f t="shared" si="108"/>
        <v>-1.2190158216185409E-8</v>
      </c>
      <c r="AG201" s="15">
        <f t="shared" si="109"/>
        <v>1.6598489790964344E-8</v>
      </c>
      <c r="AH201" s="15">
        <f t="shared" si="103"/>
        <v>2.1656213971250457E-17</v>
      </c>
      <c r="AI201" s="15"/>
      <c r="AM201" s="16">
        <f t="shared" si="98"/>
        <v>47.501679103251369</v>
      </c>
      <c r="AN201" s="16">
        <f t="shared" si="99"/>
        <v>0.64632374636842793</v>
      </c>
      <c r="AO201" s="16">
        <f t="shared" si="89"/>
        <v>2239.095324737641</v>
      </c>
      <c r="AP201" s="6">
        <f t="shared" si="100"/>
        <v>8656.1182724447917</v>
      </c>
      <c r="AQ201" s="15">
        <f>-X201*V201*W201^(-Parameters!B$53)*Parameters!B$47*Parameters!B$46*M201</f>
        <v>-1.6137236746006243E-6</v>
      </c>
      <c r="AR201" s="5">
        <f>1000*EXP(-(Parameters!$B$55)*'6states'!A201)*AP201*Parameters!B$47*Parameters!B$46*M201</f>
        <v>0.20851150033930549</v>
      </c>
      <c r="AS201" s="5">
        <f>SUM(AR201:AR$204)*EXP(Parameters!$B$55*A201)</f>
        <v>6386.2317385301421</v>
      </c>
      <c r="AT201" s="25">
        <f t="shared" si="110"/>
        <v>0.23663563355537054</v>
      </c>
      <c r="AU201">
        <f>(1/$S201-1/Parameters!$B$13) * LN(Parameters!$B$18) / LN(O201)</f>
        <v>0.18730903585747122</v>
      </c>
      <c r="AV201">
        <f>(Parameters!$B$18*'6states'!S201^+Parameters!$B$19*Parameters!$B$25^'6states'!S201)^((1-'6states'!S201)/'6states'!S201)*Parameters!$B$18*Parameters!$B$26^('6states'!S201-1)</f>
        <v>0.30901134939624586</v>
      </c>
      <c r="AW201">
        <f t="shared" si="111"/>
        <v>0.16547958051272127</v>
      </c>
      <c r="AX201">
        <f t="shared" si="112"/>
        <v>0.12175767785787128</v>
      </c>
      <c r="AY201">
        <f t="shared" si="113"/>
        <v>0.19280527556129223</v>
      </c>
      <c r="AZ201">
        <f>(1/$S201-1/Parameters!$B$13) * LN(Parameters!$B$18) / A201</f>
        <v>4.9867287033771102E-3</v>
      </c>
    </row>
    <row r="202" spans="1:52" x14ac:dyDescent="0.35">
      <c r="A202">
        <f>A201+Parameters!$B$71</f>
        <v>198</v>
      </c>
      <c r="B202" s="7">
        <f t="shared" si="97"/>
        <v>-2.9568713141259393E-6</v>
      </c>
      <c r="C202" s="7">
        <f t="shared" si="95"/>
        <v>9.0949993792235756E-2</v>
      </c>
      <c r="D202" s="7">
        <f t="shared" si="96"/>
        <v>0.22597556464516125</v>
      </c>
      <c r="E202" s="5">
        <f>MAX((1-Parameters!$B$4)^Parameters!B$71*E201 + B201*Parameters!B$71 - IF(B201&gt;0,Parameters!$B$5,0)*B201^2/E201*Parameters!B$71, 0.0001)</f>
        <v>1E-4</v>
      </c>
      <c r="F202" s="5">
        <f>(1-Parameters!$B$4)^Parameters!B$71*F201+C201*Parameters!B$71-Parameters!$B$5*C201^2/F201*Parameters!B$71</f>
        <v>1.3484774056585835</v>
      </c>
      <c r="G202" s="5">
        <f>(1-Parameters!$B$4)^Parameters!B$71*G201+D201*Parameters!B$71-Parameters!$B$5*D201^2/G201*Parameters!B$71</f>
        <v>3.3500942528899507</v>
      </c>
      <c r="H202" s="7">
        <f>MAX(H201 * (1-Parameters!$B$4) ^ Parameters!B$71 + (LN(1+EXP(Parameters!$B$21*(-B201+0.004)))/Parameters!$B$21 -0.004) * Parameters!B$71,0)</f>
        <v>7.3494454443728567E-3</v>
      </c>
      <c r="I202" s="16">
        <f>I201*(1+Parameters!$B$52)^Parameters!B$71</f>
        <v>14.477752852313749</v>
      </c>
      <c r="J202" s="16">
        <f>J201*(1+Parameters!$B$54)^Parameters!B$71</f>
        <v>456.6744947796862</v>
      </c>
      <c r="K202" s="16">
        <f>I202*J202*EXP(-Parameters!$B$43*'6states'!A202)*(Parameters!$B$38/Parameters!$B$39*('6states'!E202+'6states'!H202)/Parameters!$E$25*(EXP(-Parameters!$B$39*Parameters!$E$25*'6states'!H202/('6states'!E202+'6states'!H202))-EXP(-Parameters!$B$39*Parameters!$E$25))  +  Parameters!$B$40*'6states'!E202)</f>
        <v>7.0015648018672993E-2</v>
      </c>
      <c r="L202" s="6">
        <f>L201+K202*Parameters!B$71</f>
        <v>3352.2268340458741</v>
      </c>
      <c r="M202" s="5">
        <f>L202*Parameters!$B$46</f>
        <v>2.0113361004275241</v>
      </c>
      <c r="N202" s="7">
        <f>EXP(-Parameters!$B$47/2*M202^2)</f>
        <v>0.96015840518195938</v>
      </c>
      <c r="O202" s="6">
        <f>MAX((Parameters!$B$63 + Parameters!$B$31*'6states'!A202 - '6states'!L202 + Parameters!$B$48/Parameters!$B$46)/Parameters!B$63,1)</f>
        <v>190.62746331908252</v>
      </c>
      <c r="P202" s="5">
        <f>Parameters!B$62*EXP(-Parameters!B$61*A202)</f>
        <v>2.3835908196573738E-3</v>
      </c>
      <c r="Q202" s="5">
        <f>(1-Parameters!B$62)*O202^-Parameters!B$64</f>
        <v>0.2957681858134168</v>
      </c>
      <c r="R202" s="5">
        <f>Parameters!B$62*EXP(-Parameters!B$61*A202)+(1-Parameters!B$62)*O202^-Parameters!B$64</f>
        <v>0.29815177663307418</v>
      </c>
      <c r="S202" s="5">
        <f>1-R202/Parameters!$B$12</f>
        <v>0.85092411168346294</v>
      </c>
      <c r="T202" s="5">
        <f t="shared" si="101"/>
        <v>6.7079928973937868</v>
      </c>
      <c r="U202" s="5">
        <f>(Parameters!$B$19*(E202+Parameters!$B$20)^S202+Parameters!$B$18*F202^S202)^(1/S202)</f>
        <v>0.34649054947465713</v>
      </c>
      <c r="V202" s="5">
        <f>(Parameters!$B$10*G202^Parameters!$B$9+Parameters!$B$11*U202^Parameters!$B$9)^(Parameters!$B$7/Parameters!$B$9)*N202</f>
        <v>1.3393048978570576</v>
      </c>
      <c r="W202" s="5">
        <f>V202 - C202 - D202 - LN(1+EXP(Parameters!$B$21*B202))/Parameters!$B$21 - IF(B202&gt;0, 0,Parameters!$B$6*B202^2/E202)</f>
        <v>1.0206475123123648</v>
      </c>
      <c r="X202" s="5">
        <f>EXP(-Parameters!$B$56*A202)</f>
        <v>5.0297495216752343E-2</v>
      </c>
      <c r="Y202" s="5">
        <f>IF(W202&gt;0,W202^(1-Parameters!$B$53)/(1-Parameters!$B$53)*X202*Parameters!$B$71,-10+W202*1000)</f>
        <v>-0.14268285481747434</v>
      </c>
      <c r="AA202" s="15">
        <f t="shared" si="104"/>
        <v>0</v>
      </c>
      <c r="AB202" s="15">
        <f t="shared" si="105"/>
        <v>1.8526185628642278E-7</v>
      </c>
      <c r="AC202" s="15">
        <f t="shared" si="106"/>
        <v>-2.5219877268500834E-7</v>
      </c>
      <c r="AD202" s="15">
        <f t="shared" si="102"/>
        <v>4.9254413859813394E-15</v>
      </c>
      <c r="AE202" s="15">
        <f t="shared" si="107"/>
        <v>0</v>
      </c>
      <c r="AF202" s="15">
        <f t="shared" si="108"/>
        <v>-1.1478978420575991E-8</v>
      </c>
      <c r="AG202" s="15">
        <f t="shared" si="109"/>
        <v>1.5629730509836293E-8</v>
      </c>
      <c r="AH202" s="15">
        <f t="shared" si="103"/>
        <v>1.8914645758605194E-17</v>
      </c>
      <c r="AI202" s="15"/>
      <c r="AM202" s="16">
        <f t="shared" si="98"/>
        <v>48.59174393857441</v>
      </c>
      <c r="AN202" s="16">
        <f t="shared" si="99"/>
        <v>0.66116204693755432</v>
      </c>
      <c r="AO202" s="16">
        <f t="shared" si="89"/>
        <v>2290.864009351822</v>
      </c>
      <c r="AP202" s="6">
        <f t="shared" si="100"/>
        <v>8854.9756774066427</v>
      </c>
      <c r="AQ202" s="15">
        <f>-X202*V202*W202^(-Parameters!B$53)*Parameters!B$47*Parameters!B$46*M202</f>
        <v>-1.5895546601023399E-6</v>
      </c>
      <c r="AR202" s="5">
        <f>1000*EXP(-(Parameters!$B$55)*'6states'!A202)*AP202*Parameters!B$47*Parameters!B$46*M202</f>
        <v>0.20594892940987125</v>
      </c>
      <c r="AS202" s="5">
        <f>SUM(AR202:AR$204)*EXP(Parameters!$B$55*A202)</f>
        <v>6396.9036396901574</v>
      </c>
      <c r="AT202" s="25">
        <f t="shared" si="110"/>
        <v>0.23663215304683194</v>
      </c>
      <c r="AU202">
        <f>(1/$S202-1/Parameters!$B$13) * LN(Parameters!$B$18) / LN(O202)</f>
        <v>0.18714575199898259</v>
      </c>
      <c r="AV202">
        <f>(Parameters!$B$18*'6states'!S202^+Parameters!$B$19*Parameters!$B$25^'6states'!S202)^((1-'6states'!S202)/'6states'!S202)*Parameters!$B$18*Parameters!$B$26^('6states'!S202-1)</f>
        <v>0.30902198570857015</v>
      </c>
      <c r="AW202">
        <f t="shared" si="111"/>
        <v>0.16530995651783223</v>
      </c>
      <c r="AX202">
        <f t="shared" si="112"/>
        <v>0.12165827298959686</v>
      </c>
      <c r="AY202">
        <f t="shared" si="113"/>
        <v>0.19281122660659533</v>
      </c>
      <c r="AZ202">
        <f>(1/$S202-1/Parameters!$B$13) * LN(Parameters!$B$18) / A202</f>
        <v>4.9625014384235035E-3</v>
      </c>
    </row>
    <row r="203" spans="1:52" x14ac:dyDescent="0.35">
      <c r="A203">
        <f>A202+Parameters!$B$71</f>
        <v>199</v>
      </c>
      <c r="B203" s="7">
        <f t="shared" si="97"/>
        <v>-2.9568713141259393E-6</v>
      </c>
      <c r="C203" s="7">
        <f t="shared" si="95"/>
        <v>9.0949993792235756E-2</v>
      </c>
      <c r="D203" s="7">
        <f t="shared" si="96"/>
        <v>0.22597556464516125</v>
      </c>
      <c r="E203" s="5">
        <f>MAX((1-Parameters!$B$4)^Parameters!B$71*E202 + B202*Parameters!B$71 - IF(B202&gt;0,Parameters!$B$5,0)*B202^2/E202*Parameters!B$71, 0.0001)</f>
        <v>1E-4</v>
      </c>
      <c r="F203" s="5">
        <f>(1-Parameters!$B$4)^Parameters!B$71*F202+C202*Parameters!B$71-Parameters!$B$5*C202^2/F202*Parameters!B$71</f>
        <v>1.3484739177834217</v>
      </c>
      <c r="G203" s="5">
        <f>(1-Parameters!$B$4)^Parameters!B$71*G202+D202*Parameters!B$71-Parameters!$B$5*D202^2/G202*Parameters!B$71</f>
        <v>3.3501060474955477</v>
      </c>
      <c r="H203" s="7">
        <f>MAX(H202 * (1-Parameters!$B$4) ^ Parameters!B$71 + (LN(1+EXP(Parameters!$B$21*(-B202+0.004)))/Parameters!$B$21 -0.004) * Parameters!B$71,0)</f>
        <v>7.3493775937679279E-3</v>
      </c>
      <c r="I203" s="16">
        <f>I202*(1+Parameters!$B$52)^Parameters!B$71</f>
        <v>14.519738335585458</v>
      </c>
      <c r="J203" s="16">
        <f>J202*(1+Parameters!$B$54)^Parameters!B$71</f>
        <v>465.80798467527995</v>
      </c>
      <c r="K203" s="16">
        <f>I203*J203*EXP(-Parameters!$B$43*'6states'!A203)*(Parameters!$B$38/Parameters!$B$39*('6states'!E203+'6states'!H203)/Parameters!$E$25*(EXP(-Parameters!$B$39*Parameters!$E$25*'6states'!H203/('6states'!E203+'6states'!H203))-EXP(-Parameters!$B$39*Parameters!$E$25))  +  Parameters!$B$40*'6states'!E203)</f>
        <v>7.0910405839195598E-2</v>
      </c>
      <c r="L203" s="6">
        <f>L202+K203*Parameters!B$71</f>
        <v>3352.2977444517132</v>
      </c>
      <c r="M203" s="5">
        <f>L203*Parameters!$B$46</f>
        <v>2.0113786466710279</v>
      </c>
      <c r="N203" s="7">
        <f>EXP(-Parameters!$B$47/2*M203^2)</f>
        <v>0.96015675364219288</v>
      </c>
      <c r="O203" s="6">
        <f>MAX((Parameters!$B$63 + Parameters!$B$31*'6states'!A203 - '6states'!L203 + Parameters!$B$48/Parameters!$B$46)/Parameters!B$63,1)</f>
        <v>191.69004511096577</v>
      </c>
      <c r="P203" s="5">
        <f>Parameters!B$62*EXP(-Parameters!B$61*A203)</f>
        <v>2.3200949195077126E-3</v>
      </c>
      <c r="Q203" s="5">
        <f>(1-Parameters!B$62)*O203^-Parameters!B$64</f>
        <v>0.29560382432900201</v>
      </c>
      <c r="R203" s="5">
        <f>Parameters!B$62*EXP(-Parameters!B$61*A203)+(1-Parameters!B$62)*O203^-Parameters!B$64</f>
        <v>0.29792391924850969</v>
      </c>
      <c r="S203" s="5">
        <f>1-R203/Parameters!$B$12</f>
        <v>0.85103804037574515</v>
      </c>
      <c r="T203" s="5">
        <f t="shared" si="101"/>
        <v>6.7131232867936452</v>
      </c>
      <c r="U203" s="5">
        <f>(Parameters!$B$19*(E203+Parameters!$B$20)^S203+Parameters!$B$18*F203^S203)^(1/S203)</f>
        <v>0.34654491812111876</v>
      </c>
      <c r="V203" s="5">
        <f>(Parameters!$B$10*G203^Parameters!$B$9+Parameters!$B$11*U203^Parameters!$B$9)^(Parameters!$B$7/Parameters!$B$9)*N203</f>
        <v>1.3393242627522912</v>
      </c>
      <c r="W203" s="5">
        <f>V203 - C203 - D203 - LN(1+EXP(Parameters!$B$21*B203))/Parameters!$B$21 - IF(B203&gt;0, 0,Parameters!$B$6*B203^2/E203)</f>
        <v>1.0206668772075984</v>
      </c>
      <c r="X203" s="5">
        <f>EXP(-Parameters!$B$56*A203)</f>
        <v>4.9543708451578718E-2</v>
      </c>
      <c r="Y203" s="5">
        <f>IF(W203&gt;0,W203^(1-Parameters!$B$53)/(1-Parameters!$B$53)*X203*Parameters!$B$71,-10+W203*1000)</f>
        <v>-0.14054359541348208</v>
      </c>
      <c r="AA203" s="15">
        <f t="shared" si="104"/>
        <v>0</v>
      </c>
      <c r="AB203" s="15">
        <f t="shared" si="105"/>
        <v>1.7445257378956303E-7</v>
      </c>
      <c r="AC203" s="15">
        <f t="shared" si="106"/>
        <v>-2.3748124801381554E-7</v>
      </c>
      <c r="AD203" s="15">
        <f t="shared" si="102"/>
        <v>4.3019319116374565E-15</v>
      </c>
      <c r="AE203" s="15">
        <f t="shared" si="107"/>
        <v>0</v>
      </c>
      <c r="AF203" s="15">
        <f t="shared" si="108"/>
        <v>-1.0809282496859751E-8</v>
      </c>
      <c r="AG203" s="15">
        <f t="shared" si="109"/>
        <v>1.4717524671192805E-8</v>
      </c>
      <c r="AH203" s="15">
        <f t="shared" si="103"/>
        <v>1.6520157380546242E-17</v>
      </c>
      <c r="AI203" s="15"/>
      <c r="AM203" s="16">
        <f t="shared" si="98"/>
        <v>49.706854294452782</v>
      </c>
      <c r="AN203" s="16">
        <f t="shared" si="99"/>
        <v>0.6763410052111466</v>
      </c>
      <c r="AO203" s="16">
        <f t="shared" si="89"/>
        <v>2343.8253827285193</v>
      </c>
      <c r="AP203" s="6">
        <f t="shared" si="100"/>
        <v>9058.3991817356255</v>
      </c>
      <c r="AQ203" s="15">
        <f>-X203*V203*W203^(-Parameters!B$53)*Parameters!B$47*Parameters!B$46*M203</f>
        <v>-1.5657483479718954E-6</v>
      </c>
      <c r="AR203" s="5">
        <f>1000*EXP(-(Parameters!$B$55)*'6states'!A203)*AP203*Parameters!B$47*Parameters!B$46*M203</f>
        <v>0.20341785547401359</v>
      </c>
      <c r="AS203" s="5">
        <f>SUM(AR203:AR$204)*EXP(Parameters!$B$55*A203)</f>
        <v>6402.9562911445209</v>
      </c>
      <c r="AT203" s="25">
        <f t="shared" si="110"/>
        <v>0.23662873165219281</v>
      </c>
      <c r="AU203">
        <f>(1/$S203-1/Parameters!$B$13) * LN(Parameters!$B$18) / LN(O203)</f>
        <v>0.18698348390026373</v>
      </c>
      <c r="AV203">
        <f>(Parameters!$B$18*'6states'!S203^+Parameters!$B$19*Parameters!$B$25^'6states'!S203)^((1-'6states'!S203)/'6states'!S203)*Parameters!$B$18*Parameters!$B$26^('6states'!S203-1)</f>
        <v>0.30903246860116451</v>
      </c>
      <c r="AW203">
        <f t="shared" si="111"/>
        <v>0.16514157787579495</v>
      </c>
      <c r="AX203">
        <f t="shared" si="112"/>
        <v>0.12155947535480272</v>
      </c>
      <c r="AY203">
        <f t="shared" si="113"/>
        <v>0.19281709177021844</v>
      </c>
      <c r="AZ203">
        <f>(1/$S203-1/Parameters!$B$13) * LN(Parameters!$B$18) / A203</f>
        <v>4.9385060344400416E-3</v>
      </c>
    </row>
    <row r="204" spans="1:52" x14ac:dyDescent="0.35">
      <c r="A204">
        <f>A203+Parameters!$B$71</f>
        <v>200</v>
      </c>
      <c r="B204" s="7">
        <f t="shared" si="97"/>
        <v>-2.9568713141259393E-6</v>
      </c>
      <c r="C204" s="7">
        <f t="shared" si="95"/>
        <v>9.0949993792235756E-2</v>
      </c>
      <c r="D204" s="7">
        <f t="shared" si="96"/>
        <v>0.22597556464516125</v>
      </c>
      <c r="E204" s="5">
        <f>MAX((1-Parameters!$B$4)^Parameters!B$71*E203 + B203*Parameters!B$71 - IF(B203&gt;0,Parameters!$B$5,0)*B203^2/E203*Parameters!B$71, 0.0001)</f>
        <v>1E-4</v>
      </c>
      <c r="F204" s="5">
        <f>(1-Parameters!$B$4)^Parameters!B$71*F203+C203*Parameters!B$71-Parameters!$B$5*C203^2/F203*Parameters!B$71</f>
        <v>1.348470633429147</v>
      </c>
      <c r="G204" s="5">
        <f>(1-Parameters!$B$4)^Parameters!B$71*G203+D203*Parameters!B$71-Parameters!$B$5*D203^2/G203*Parameters!B$71</f>
        <v>3.350117153885412</v>
      </c>
      <c r="H204" s="7">
        <f>MAX(H203 * (1-Parameters!$B$4) ^ Parameters!B$71 + (LN(1+EXP(Parameters!$B$21*(-B203+0.004)))/Parameters!$B$21 -0.004) * Parameters!B$71,0)</f>
        <v>7.3493140109660493E-3</v>
      </c>
      <c r="I204" s="16">
        <f>I203*(1+Parameters!$B$52)^Parameters!B$71</f>
        <v>14.561845576758655</v>
      </c>
      <c r="J204" s="16">
        <f>J203*(1+Parameters!$B$54)^Parameters!B$71</f>
        <v>475.12414436878555</v>
      </c>
      <c r="K204" s="16">
        <f>I204*J204*EXP(-Parameters!$B$43*'6states'!A204)*(Parameters!$B$38/Parameters!$B$39*('6states'!E204+'6states'!H204)/Parameters!$E$25*(EXP(-Parameters!$B$39*Parameters!$E$25*'6states'!H204/('6states'!E204+'6states'!H204))-EXP(-Parameters!$B$39*Parameters!$E$25))  +  Parameters!$B$40*'6states'!E204)</f>
        <v>7.1816598125870296E-2</v>
      </c>
      <c r="L204" s="6">
        <f>L203+K204*Parameters!B$71</f>
        <v>3352.3695610498389</v>
      </c>
      <c r="M204" s="5">
        <f>L204*Parameters!$B$46</f>
        <v>2.0114217366299032</v>
      </c>
      <c r="N204" s="7">
        <f>EXP(-Parameters!$B$47/2*M204^2)</f>
        <v>0.96015508096403079</v>
      </c>
      <c r="O204" s="6">
        <f>MAX((Parameters!$B$63 + Parameters!$B$31*'6states'!A204 - '6states'!L204 + Parameters!$B$48/Parameters!$B$46)/Parameters!B$63,1)</f>
        <v>192.7526087790032</v>
      </c>
      <c r="P204" s="5">
        <f>Parameters!B$62*EXP(-Parameters!B$61*A204)</f>
        <v>2.258290471306333E-3</v>
      </c>
      <c r="Q204" s="5">
        <f>(1-Parameters!B$62)*O204^-Parameters!B$64</f>
        <v>0.29544046478378388</v>
      </c>
      <c r="R204" s="5">
        <f>Parameters!B$62*EXP(-Parameters!B$61*A204)+(1-Parameters!B$62)*O204^-Parameters!B$64</f>
        <v>0.29769875525509021</v>
      </c>
      <c r="S204" s="5">
        <f>1-R204/Parameters!$B$12</f>
        <v>0.85115062237245487</v>
      </c>
      <c r="T204" s="5">
        <f t="shared" si="101"/>
        <v>6.7182007472159313</v>
      </c>
      <c r="U204" s="5">
        <f>(Parameters!$B$19*(E204+Parameters!$B$20)^S204+Parameters!$B$18*F204^S204)^(1/S204)</f>
        <v>0.34659868232709889</v>
      </c>
      <c r="V204" s="5">
        <f>(Parameters!$B$10*G204^Parameters!$B$9+Parameters!$B$11*U204^Parameters!$B$9)^(Parameters!$B$7/Parameters!$B$9)*N204</f>
        <v>1.3393433012617795</v>
      </c>
      <c r="W204" s="5">
        <f>V204 - C204 - D204 - LN(1+EXP(Parameters!$B$21*B204))/Parameters!$B$21 - IF(B204&gt;0, 0,Parameters!$B$6*B204^2/E204)</f>
        <v>1.0206859157170867</v>
      </c>
      <c r="X204" s="5">
        <f>EXP(-Parameters!$B$56*A204)</f>
        <v>4.8801218362012941E-2</v>
      </c>
      <c r="Y204" s="5">
        <f>IF(W204&gt;0,W204^(1-Parameters!$B$53)/(1-Parameters!$B$53)*X204*Parameters!$B$71/Parameters!$B$56,-10+W204*1000)</f>
        <v>-9.1679752097533225</v>
      </c>
      <c r="AA204" s="15">
        <f t="shared" si="104"/>
        <v>0</v>
      </c>
      <c r="AB204" s="15">
        <f t="shared" si="105"/>
        <v>1.6427392249274142E-7</v>
      </c>
      <c r="AC204" s="15">
        <f t="shared" si="106"/>
        <v>-2.2362267852737983E-7</v>
      </c>
      <c r="AD204" s="15">
        <f t="shared" si="102"/>
        <v>3.7573533747657182E-15</v>
      </c>
      <c r="AE204" s="15">
        <f t="shared" si="107"/>
        <v>0</v>
      </c>
      <c r="AF204" s="15">
        <f t="shared" si="108"/>
        <v>-1.0178651296821606E-8</v>
      </c>
      <c r="AG204" s="15">
        <f t="shared" si="109"/>
        <v>1.3858569486435712E-8</v>
      </c>
      <c r="AH204" s="15">
        <f t="shared" si="103"/>
        <v>1.4428806879984637E-17</v>
      </c>
      <c r="AI204" s="15"/>
      <c r="AM204" s="16">
        <f t="shared" si="98"/>
        <v>50.847584346004076</v>
      </c>
      <c r="AN204" s="16">
        <f t="shared" si="99"/>
        <v>0.69186844200878406</v>
      </c>
      <c r="AO204" s="16">
        <f t="shared" si="89"/>
        <v>2398.0069034394737</v>
      </c>
      <c r="AP204" s="6">
        <f t="shared" si="100"/>
        <v>9266.4936315888881</v>
      </c>
      <c r="AQ204" s="15">
        <f>-X204*V204*W204^(-Parameters!B$53)*Parameters!B$47*Parameters!B$46*M204</f>
        <v>-1.5422992828624856E-6</v>
      </c>
      <c r="AR204" s="5">
        <f>EXP(-(Parameters!B$56+Parameters!B$54)*'6states'!A204)*AP204*Parameters!B$47*Parameters!B$46*1000*M204/Parameters!$B$55</f>
        <v>5.724156500911187</v>
      </c>
      <c r="AS204" s="5">
        <f>SUM(AR204:AR$204)*EXP(Parameters!$B$55*A204)</f>
        <v>6404.1096911060022</v>
      </c>
      <c r="AT204" s="25">
        <f t="shared" si="110"/>
        <v>0.23662536801991979</v>
      </c>
      <c r="AU204">
        <f>(1/$S204-1/Parameters!$B$13) * LN(Parameters!$B$18) / LN(O204)</f>
        <v>0.18682222266615675</v>
      </c>
      <c r="AV204">
        <f>(Parameters!$B$18*'6states'!S204^+Parameters!$B$19*Parameters!$B$25^'6states'!S204)^((1-'6states'!S204)/'6states'!S204)*Parameters!$B$18*Parameters!$B$26^('6states'!S204-1)</f>
        <v>0.30904280169858295</v>
      </c>
      <c r="AW204">
        <f t="shared" si="111"/>
        <v>0.16497442910298418</v>
      </c>
      <c r="AX204">
        <f t="shared" si="112"/>
        <v>0.12146127974415455</v>
      </c>
      <c r="AY204">
        <f t="shared" si="113"/>
        <v>0.19282287308194357</v>
      </c>
      <c r="AZ204">
        <f>(1/$S204-1/Parameters!$B$13) * LN(Parameters!$B$18) / A204</f>
        <v>4.9147392612967737E-3</v>
      </c>
    </row>
    <row r="205" spans="1:52" x14ac:dyDescent="0.35">
      <c r="B205" s="7"/>
      <c r="C205" s="7"/>
      <c r="D205" s="7"/>
      <c r="E205" s="5"/>
      <c r="F205" s="5"/>
      <c r="G205" s="5"/>
      <c r="H205" s="7"/>
      <c r="I205" s="16"/>
      <c r="J205" s="16"/>
      <c r="K205" s="16"/>
      <c r="L205" s="6"/>
      <c r="M205" s="5"/>
      <c r="N205" s="7"/>
      <c r="O205" s="6"/>
      <c r="P205" s="6"/>
      <c r="Q205" s="6"/>
      <c r="R205" s="5"/>
      <c r="S205" s="5"/>
      <c r="T205" s="5"/>
      <c r="U205" s="5"/>
      <c r="V205" s="5"/>
      <c r="X205" s="5"/>
      <c r="Y205" s="5"/>
      <c r="AM205" s="16"/>
      <c r="AN205" s="16"/>
      <c r="AO205" s="7"/>
      <c r="AP205" s="6"/>
      <c r="AQ205" s="15"/>
      <c r="AR205" s="5"/>
    </row>
    <row r="206" spans="1:52" x14ac:dyDescent="0.35">
      <c r="B206" s="7"/>
      <c r="C206" s="7"/>
      <c r="D206" s="7"/>
      <c r="E206" s="5"/>
      <c r="F206" s="5"/>
      <c r="G206" s="5"/>
      <c r="H206" s="7"/>
      <c r="I206" s="16"/>
      <c r="J206" s="16"/>
      <c r="K206" s="16"/>
      <c r="L206" s="6"/>
      <c r="M206" s="5"/>
      <c r="N206" s="7"/>
      <c r="O206" s="6"/>
      <c r="P206" s="6"/>
      <c r="Q206" s="6"/>
      <c r="R206" s="5"/>
      <c r="S206" s="5"/>
      <c r="T206" s="5"/>
      <c r="U206" s="5"/>
      <c r="V206" s="5"/>
      <c r="X206" s="5"/>
      <c r="Y206" s="5"/>
      <c r="AM206" s="16"/>
      <c r="AN206" s="16"/>
      <c r="AO206" s="7"/>
      <c r="AP206" s="6"/>
      <c r="AQ206" s="15"/>
      <c r="AR206" s="5"/>
    </row>
    <row r="207" spans="1:52" x14ac:dyDescent="0.35">
      <c r="B207" s="7"/>
      <c r="C207" s="7"/>
      <c r="D207" s="7"/>
      <c r="E207" s="5"/>
      <c r="F207" s="5"/>
      <c r="G207" s="5"/>
      <c r="H207" s="7"/>
      <c r="I207" s="16"/>
      <c r="J207" s="16"/>
      <c r="K207" s="16"/>
      <c r="L207" s="6"/>
      <c r="M207" s="5"/>
      <c r="N207" s="7"/>
      <c r="O207" s="6"/>
      <c r="P207" s="6"/>
      <c r="Q207" s="6"/>
      <c r="R207" s="5"/>
      <c r="S207" s="5"/>
      <c r="T207" s="5"/>
      <c r="U207" s="5"/>
      <c r="V207" s="5"/>
      <c r="X207" s="5"/>
      <c r="Y207" s="5"/>
      <c r="AM207" s="16"/>
      <c r="AN207" s="16"/>
      <c r="AO207" s="7"/>
      <c r="AP207" s="6"/>
      <c r="AQ207" s="15"/>
      <c r="AR207" s="5"/>
    </row>
    <row r="208" spans="1:52" x14ac:dyDescent="0.35">
      <c r="B208" s="7"/>
      <c r="C208" s="7"/>
      <c r="D208" s="7"/>
      <c r="E208" s="5"/>
      <c r="F208" s="5"/>
      <c r="G208" s="5"/>
      <c r="H208" s="7"/>
      <c r="I208" s="16"/>
      <c r="J208" s="16"/>
      <c r="K208" s="16"/>
      <c r="L208" s="6"/>
      <c r="M208" s="5"/>
      <c r="N208" s="7"/>
      <c r="O208" s="6"/>
      <c r="P208" s="6"/>
      <c r="Q208" s="6"/>
      <c r="R208" s="5"/>
      <c r="S208" s="5"/>
      <c r="T208" s="5"/>
      <c r="U208" s="5"/>
      <c r="V208" s="5"/>
      <c r="X208" s="5"/>
      <c r="Y208" s="5"/>
      <c r="AM208" s="16"/>
      <c r="AN208" s="16"/>
      <c r="AO208" s="7"/>
      <c r="AP208" s="6"/>
      <c r="AQ208" s="15"/>
      <c r="AR208" s="5"/>
    </row>
    <row r="209" spans="2:44" x14ac:dyDescent="0.35">
      <c r="B209" s="7"/>
      <c r="C209" s="7"/>
      <c r="D209" s="7"/>
      <c r="E209" s="5"/>
      <c r="F209" s="5"/>
      <c r="G209" s="5"/>
      <c r="H209" s="7"/>
      <c r="I209" s="16"/>
      <c r="J209" s="16"/>
      <c r="K209" s="16"/>
      <c r="L209" s="6"/>
      <c r="M209" s="5"/>
      <c r="N209" s="7"/>
      <c r="O209" s="6"/>
      <c r="P209" s="6"/>
      <c r="Q209" s="6"/>
      <c r="R209" s="5"/>
      <c r="S209" s="5"/>
      <c r="T209" s="5"/>
      <c r="U209" s="5"/>
      <c r="V209" s="5"/>
      <c r="X209" s="5"/>
      <c r="Y209" s="5"/>
      <c r="AM209" s="16"/>
      <c r="AN209" s="16"/>
      <c r="AO209" s="7"/>
      <c r="AP209" s="6"/>
      <c r="AQ209" s="15"/>
      <c r="AR209" s="5"/>
    </row>
    <row r="210" spans="2:44" x14ac:dyDescent="0.35">
      <c r="B210" s="7"/>
      <c r="C210" s="7"/>
      <c r="D210" s="7"/>
      <c r="E210" s="5"/>
      <c r="F210" s="5"/>
      <c r="G210" s="5"/>
      <c r="H210" s="7"/>
      <c r="I210" s="16"/>
      <c r="J210" s="16"/>
      <c r="K210" s="16"/>
      <c r="L210" s="6"/>
      <c r="M210" s="5"/>
      <c r="N210" s="7"/>
      <c r="O210" s="6"/>
      <c r="P210" s="6"/>
      <c r="Q210" s="6"/>
      <c r="R210" s="5"/>
      <c r="S210" s="5"/>
      <c r="T210" s="5"/>
      <c r="U210" s="5"/>
      <c r="V210" s="5"/>
      <c r="X210" s="5"/>
      <c r="Y210" s="5"/>
      <c r="AM210" s="16"/>
      <c r="AN210" s="16"/>
      <c r="AO210" s="7"/>
      <c r="AP210" s="6"/>
      <c r="AQ210" s="15"/>
      <c r="AR210" s="5"/>
    </row>
    <row r="211" spans="2:44" x14ac:dyDescent="0.35">
      <c r="B211" s="7"/>
      <c r="C211" s="7"/>
      <c r="D211" s="7"/>
      <c r="E211" s="5"/>
      <c r="F211" s="5"/>
      <c r="G211" s="5"/>
      <c r="H211" s="7"/>
      <c r="I211" s="16"/>
      <c r="J211" s="16"/>
      <c r="K211" s="16"/>
      <c r="L211" s="6"/>
      <c r="M211" s="5"/>
      <c r="N211" s="7"/>
      <c r="O211" s="6"/>
      <c r="P211" s="6"/>
      <c r="Q211" s="6"/>
      <c r="R211" s="5"/>
      <c r="S211" s="5"/>
      <c r="T211" s="5"/>
      <c r="U211" s="5"/>
      <c r="V211" s="5"/>
      <c r="X211" s="5"/>
      <c r="Y211" s="5"/>
      <c r="AM211" s="16"/>
      <c r="AN211" s="16"/>
      <c r="AO211" s="7"/>
      <c r="AP211" s="6"/>
      <c r="AQ211" s="15"/>
      <c r="AR211" s="5"/>
    </row>
    <row r="212" spans="2:44" x14ac:dyDescent="0.35">
      <c r="B212" s="7"/>
      <c r="C212" s="7"/>
      <c r="D212" s="7"/>
      <c r="E212" s="5"/>
      <c r="F212" s="5"/>
      <c r="G212" s="5"/>
      <c r="H212" s="7"/>
      <c r="I212" s="16"/>
      <c r="J212" s="16"/>
      <c r="K212" s="16"/>
      <c r="L212" s="6"/>
      <c r="M212" s="5"/>
      <c r="N212" s="7"/>
      <c r="O212" s="6"/>
      <c r="P212" s="6"/>
      <c r="Q212" s="6"/>
      <c r="R212" s="5"/>
      <c r="S212" s="5"/>
      <c r="T212" s="5"/>
      <c r="U212" s="5"/>
      <c r="V212" s="5"/>
      <c r="X212" s="5"/>
      <c r="Y212" s="5"/>
      <c r="AM212" s="16"/>
      <c r="AN212" s="16"/>
      <c r="AO212" s="7"/>
      <c r="AP212" s="6"/>
      <c r="AQ212" s="15"/>
      <c r="AR212" s="5"/>
    </row>
    <row r="213" spans="2:44" x14ac:dyDescent="0.35">
      <c r="B213" s="7"/>
      <c r="C213" s="7"/>
      <c r="D213" s="7"/>
      <c r="E213" s="5"/>
      <c r="F213" s="5"/>
      <c r="G213" s="5"/>
      <c r="H213" s="7"/>
      <c r="I213" s="16"/>
      <c r="J213" s="16"/>
      <c r="K213" s="16"/>
      <c r="L213" s="6"/>
      <c r="M213" s="5"/>
      <c r="N213" s="7"/>
      <c r="O213" s="6"/>
      <c r="P213" s="6"/>
      <c r="Q213" s="6"/>
      <c r="R213" s="5"/>
      <c r="S213" s="5"/>
      <c r="T213" s="5"/>
      <c r="U213" s="5"/>
      <c r="V213" s="5"/>
      <c r="X213" s="5"/>
      <c r="Y213" s="5"/>
      <c r="AM213" s="16"/>
      <c r="AN213" s="16"/>
      <c r="AO213" s="7"/>
      <c r="AP213" s="6"/>
      <c r="AQ213" s="15"/>
      <c r="AR213" s="5"/>
    </row>
    <row r="214" spans="2:44" x14ac:dyDescent="0.35">
      <c r="B214" s="7"/>
      <c r="C214" s="7"/>
      <c r="D214" s="7"/>
      <c r="E214" s="5"/>
      <c r="F214" s="5"/>
      <c r="G214" s="5"/>
      <c r="H214" s="7"/>
      <c r="I214" s="16"/>
      <c r="J214" s="16"/>
      <c r="K214" s="16"/>
      <c r="L214" s="6"/>
      <c r="M214" s="5"/>
      <c r="N214" s="7"/>
      <c r="O214" s="6"/>
      <c r="P214" s="6"/>
      <c r="Q214" s="6"/>
      <c r="R214" s="5"/>
      <c r="S214" s="5"/>
      <c r="T214" s="5"/>
      <c r="U214" s="5"/>
      <c r="V214" s="5"/>
      <c r="X214" s="5"/>
      <c r="Y214" s="5"/>
      <c r="AM214" s="16"/>
      <c r="AN214" s="16"/>
      <c r="AO214" s="7"/>
      <c r="AP214" s="6"/>
      <c r="AQ214" s="15"/>
      <c r="AR214" s="5"/>
    </row>
    <row r="215" spans="2:44" x14ac:dyDescent="0.35">
      <c r="B215" s="7"/>
      <c r="C215" s="7"/>
      <c r="D215" s="7"/>
      <c r="E215" s="5"/>
      <c r="F215" s="5"/>
      <c r="G215" s="5"/>
      <c r="H215" s="7"/>
      <c r="I215" s="16"/>
      <c r="J215" s="16"/>
      <c r="K215" s="16"/>
      <c r="L215" s="6"/>
      <c r="M215" s="5"/>
      <c r="N215" s="7"/>
      <c r="O215" s="6"/>
      <c r="P215" s="6"/>
      <c r="Q215" s="6"/>
      <c r="R215" s="5"/>
      <c r="S215" s="5"/>
      <c r="T215" s="5"/>
      <c r="U215" s="5"/>
      <c r="V215" s="5"/>
      <c r="X215" s="5"/>
      <c r="Y215" s="5"/>
      <c r="AM215" s="16"/>
      <c r="AN215" s="16"/>
      <c r="AO215" s="7"/>
      <c r="AP215" s="6"/>
      <c r="AQ215" s="15"/>
      <c r="AR215" s="5"/>
    </row>
    <row r="216" spans="2:44" x14ac:dyDescent="0.35">
      <c r="B216" s="7"/>
      <c r="C216" s="7"/>
      <c r="D216" s="7"/>
      <c r="E216" s="5"/>
      <c r="F216" s="5"/>
      <c r="G216" s="5"/>
      <c r="H216" s="7"/>
      <c r="I216" s="16"/>
      <c r="J216" s="16"/>
      <c r="K216" s="16"/>
      <c r="L216" s="6"/>
      <c r="M216" s="5"/>
      <c r="N216" s="7"/>
      <c r="O216" s="6"/>
      <c r="P216" s="6"/>
      <c r="Q216" s="6"/>
      <c r="R216" s="5"/>
      <c r="S216" s="5"/>
      <c r="T216" s="5"/>
      <c r="U216" s="5"/>
      <c r="V216" s="5"/>
      <c r="X216" s="5"/>
      <c r="Y216" s="5"/>
      <c r="AM216" s="16"/>
      <c r="AN216" s="16"/>
      <c r="AO216" s="7"/>
      <c r="AP216" s="6"/>
      <c r="AQ216" s="15"/>
      <c r="AR216" s="5"/>
    </row>
    <row r="217" spans="2:44" x14ac:dyDescent="0.35">
      <c r="B217" s="7"/>
      <c r="C217" s="7"/>
      <c r="D217" s="7"/>
      <c r="E217" s="5"/>
      <c r="F217" s="5"/>
      <c r="G217" s="5"/>
      <c r="H217" s="7"/>
      <c r="I217" s="16"/>
      <c r="J217" s="16"/>
      <c r="K217" s="16"/>
      <c r="L217" s="6"/>
      <c r="M217" s="5"/>
      <c r="N217" s="7"/>
      <c r="O217" s="6"/>
      <c r="P217" s="6"/>
      <c r="Q217" s="6"/>
      <c r="R217" s="5"/>
      <c r="S217" s="5"/>
      <c r="T217" s="5"/>
      <c r="U217" s="5"/>
      <c r="V217" s="5"/>
      <c r="X217" s="5"/>
      <c r="Y217" s="5"/>
      <c r="AM217" s="16"/>
      <c r="AN217" s="16"/>
      <c r="AO217" s="7"/>
      <c r="AP217" s="6"/>
      <c r="AQ217" s="15"/>
      <c r="AR217" s="5"/>
    </row>
    <row r="218" spans="2:44" x14ac:dyDescent="0.35">
      <c r="B218" s="7"/>
      <c r="C218" s="7"/>
      <c r="D218" s="7"/>
      <c r="E218" s="5"/>
      <c r="F218" s="5"/>
      <c r="G218" s="5"/>
      <c r="H218" s="7"/>
      <c r="I218" s="16"/>
      <c r="J218" s="16"/>
      <c r="K218" s="16"/>
      <c r="L218" s="6"/>
      <c r="M218" s="5"/>
      <c r="N218" s="7"/>
      <c r="O218" s="6"/>
      <c r="P218" s="6"/>
      <c r="Q218" s="6"/>
      <c r="R218" s="5"/>
      <c r="S218" s="5"/>
      <c r="T218" s="5"/>
      <c r="U218" s="5"/>
      <c r="V218" s="5"/>
      <c r="X218" s="5"/>
      <c r="Y218" s="5"/>
      <c r="AM218" s="16"/>
      <c r="AN218" s="16"/>
      <c r="AO218" s="7"/>
      <c r="AP218" s="6"/>
      <c r="AQ218" s="15"/>
      <c r="AR218" s="5"/>
    </row>
    <row r="219" spans="2:44" x14ac:dyDescent="0.35">
      <c r="B219" s="7"/>
      <c r="C219" s="7"/>
      <c r="D219" s="7"/>
      <c r="E219" s="5"/>
      <c r="F219" s="5"/>
      <c r="G219" s="5"/>
      <c r="H219" s="7"/>
      <c r="I219" s="16"/>
      <c r="J219" s="16"/>
      <c r="K219" s="16"/>
      <c r="L219" s="6"/>
      <c r="M219" s="5"/>
      <c r="N219" s="7"/>
      <c r="O219" s="6"/>
      <c r="P219" s="6"/>
      <c r="Q219" s="6"/>
      <c r="R219" s="5"/>
      <c r="S219" s="5"/>
      <c r="T219" s="5"/>
      <c r="U219" s="5"/>
      <c r="V219" s="5"/>
      <c r="X219" s="5"/>
      <c r="Y219" s="5"/>
      <c r="AM219" s="16"/>
      <c r="AN219" s="16"/>
      <c r="AO219" s="7"/>
      <c r="AP219" s="6"/>
      <c r="AQ219" s="15"/>
      <c r="AR219" s="5"/>
    </row>
    <row r="220" spans="2:44" x14ac:dyDescent="0.35">
      <c r="B220" s="7"/>
      <c r="C220" s="7"/>
      <c r="D220" s="7"/>
      <c r="E220" s="5"/>
      <c r="F220" s="5"/>
      <c r="G220" s="5"/>
      <c r="H220" s="7"/>
      <c r="I220" s="16"/>
      <c r="J220" s="16"/>
      <c r="K220" s="16"/>
      <c r="L220" s="6"/>
      <c r="M220" s="5"/>
      <c r="N220" s="7"/>
      <c r="O220" s="6"/>
      <c r="P220" s="6"/>
      <c r="Q220" s="6"/>
      <c r="R220" s="5"/>
      <c r="S220" s="5"/>
      <c r="T220" s="5"/>
      <c r="U220" s="5"/>
      <c r="V220" s="5"/>
      <c r="X220" s="5"/>
      <c r="Y220" s="5"/>
      <c r="AM220" s="16"/>
      <c r="AN220" s="16"/>
      <c r="AO220" s="7"/>
      <c r="AP220" s="6"/>
      <c r="AQ220" s="15"/>
      <c r="AR220" s="5"/>
    </row>
    <row r="221" spans="2:44" x14ac:dyDescent="0.35">
      <c r="B221" s="7"/>
      <c r="C221" s="7"/>
      <c r="D221" s="7"/>
      <c r="E221" s="5"/>
      <c r="F221" s="5"/>
      <c r="G221" s="5"/>
      <c r="H221" s="7"/>
      <c r="I221" s="16"/>
      <c r="J221" s="16"/>
      <c r="K221" s="16"/>
      <c r="L221" s="6"/>
      <c r="M221" s="5"/>
      <c r="N221" s="7"/>
      <c r="O221" s="6"/>
      <c r="P221" s="6"/>
      <c r="Q221" s="6"/>
      <c r="R221" s="5"/>
      <c r="S221" s="5"/>
      <c r="T221" s="5"/>
      <c r="U221" s="5"/>
      <c r="V221" s="5"/>
      <c r="X221" s="5"/>
      <c r="Y221" s="5"/>
      <c r="AM221" s="16"/>
      <c r="AN221" s="16"/>
      <c r="AO221" s="7"/>
      <c r="AP221" s="6"/>
      <c r="AQ221" s="15"/>
      <c r="AR221" s="5"/>
    </row>
    <row r="222" spans="2:44" x14ac:dyDescent="0.35">
      <c r="B222" s="7"/>
      <c r="C222" s="7"/>
      <c r="D222" s="7"/>
      <c r="E222" s="5"/>
      <c r="F222" s="5"/>
      <c r="G222" s="5"/>
      <c r="H222" s="7"/>
      <c r="I222" s="16"/>
      <c r="J222" s="16"/>
      <c r="K222" s="16"/>
      <c r="L222" s="6"/>
      <c r="M222" s="5"/>
      <c r="N222" s="7"/>
      <c r="O222" s="6"/>
      <c r="P222" s="6"/>
      <c r="Q222" s="6"/>
      <c r="R222" s="5"/>
      <c r="S222" s="5"/>
      <c r="T222" s="5"/>
      <c r="U222" s="5"/>
      <c r="V222" s="5"/>
      <c r="X222" s="5"/>
      <c r="Y222" s="5"/>
      <c r="AM222" s="16"/>
      <c r="AN222" s="16"/>
      <c r="AO222" s="7"/>
      <c r="AP222" s="6"/>
      <c r="AQ222" s="15"/>
      <c r="AR222" s="5"/>
    </row>
    <row r="223" spans="2:44" x14ac:dyDescent="0.35">
      <c r="B223" s="7"/>
      <c r="C223" s="7"/>
      <c r="D223" s="7"/>
      <c r="E223" s="5"/>
      <c r="F223" s="5"/>
      <c r="G223" s="5"/>
      <c r="H223" s="7"/>
      <c r="I223" s="16"/>
      <c r="J223" s="16"/>
      <c r="K223" s="16"/>
      <c r="L223" s="6"/>
      <c r="M223" s="5"/>
      <c r="N223" s="7"/>
      <c r="O223" s="6"/>
      <c r="P223" s="6"/>
      <c r="Q223" s="6"/>
      <c r="R223" s="5"/>
      <c r="S223" s="5"/>
      <c r="T223" s="5"/>
      <c r="U223" s="5"/>
      <c r="V223" s="5"/>
      <c r="X223" s="5"/>
      <c r="Y223" s="5"/>
      <c r="AM223" s="16"/>
      <c r="AN223" s="16"/>
      <c r="AO223" s="7"/>
      <c r="AP223" s="6"/>
      <c r="AQ223" s="15"/>
      <c r="AR223" s="5"/>
    </row>
    <row r="224" spans="2:44" x14ac:dyDescent="0.35">
      <c r="B224" s="7"/>
      <c r="C224" s="7"/>
      <c r="D224" s="7"/>
      <c r="E224" s="5"/>
      <c r="F224" s="5"/>
      <c r="G224" s="5"/>
      <c r="H224" s="7"/>
      <c r="I224" s="16"/>
      <c r="J224" s="16"/>
      <c r="K224" s="16"/>
      <c r="L224" s="6"/>
      <c r="M224" s="5"/>
      <c r="N224" s="7"/>
      <c r="O224" s="6"/>
      <c r="P224" s="6"/>
      <c r="Q224" s="6"/>
      <c r="R224" s="5"/>
      <c r="S224" s="5"/>
      <c r="T224" s="5"/>
      <c r="U224" s="5"/>
      <c r="V224" s="5"/>
      <c r="X224" s="5"/>
      <c r="Y224" s="5"/>
      <c r="AM224" s="16"/>
      <c r="AN224" s="16"/>
      <c r="AO224" s="7"/>
      <c r="AP224" s="6"/>
      <c r="AQ224" s="15"/>
      <c r="AR224" s="5"/>
    </row>
    <row r="225" spans="2:44" x14ac:dyDescent="0.35">
      <c r="B225" s="7"/>
      <c r="C225" s="7"/>
      <c r="D225" s="7"/>
      <c r="E225" s="5"/>
      <c r="F225" s="5"/>
      <c r="G225" s="5"/>
      <c r="H225" s="7"/>
      <c r="I225" s="16"/>
      <c r="J225" s="16"/>
      <c r="K225" s="16"/>
      <c r="L225" s="6"/>
      <c r="M225" s="5"/>
      <c r="N225" s="7"/>
      <c r="O225" s="6"/>
      <c r="P225" s="6"/>
      <c r="Q225" s="6"/>
      <c r="R225" s="5"/>
      <c r="S225" s="5"/>
      <c r="T225" s="5"/>
      <c r="U225" s="5"/>
      <c r="V225" s="5"/>
      <c r="X225" s="5"/>
      <c r="Y225" s="5"/>
      <c r="AM225" s="16"/>
      <c r="AN225" s="16"/>
      <c r="AO225" s="7"/>
      <c r="AP225" s="6"/>
      <c r="AQ225" s="15"/>
      <c r="AR225" s="5"/>
    </row>
    <row r="226" spans="2:44" x14ac:dyDescent="0.35">
      <c r="B226" s="7"/>
      <c r="C226" s="7"/>
      <c r="D226" s="7"/>
      <c r="E226" s="5"/>
      <c r="F226" s="5"/>
      <c r="G226" s="5"/>
      <c r="H226" s="7"/>
      <c r="I226" s="16"/>
      <c r="J226" s="16"/>
      <c r="K226" s="16"/>
      <c r="L226" s="6"/>
      <c r="M226" s="5"/>
      <c r="N226" s="7"/>
      <c r="O226" s="6"/>
      <c r="P226" s="6"/>
      <c r="Q226" s="6"/>
      <c r="R226" s="5"/>
      <c r="S226" s="5"/>
      <c r="T226" s="5"/>
      <c r="U226" s="5"/>
      <c r="V226" s="5"/>
      <c r="X226" s="5"/>
      <c r="Y226" s="5"/>
      <c r="AM226" s="16"/>
      <c r="AN226" s="16"/>
      <c r="AO226" s="7"/>
      <c r="AP226" s="6"/>
      <c r="AQ226" s="15"/>
      <c r="AR226" s="5"/>
    </row>
    <row r="227" spans="2:44" x14ac:dyDescent="0.35">
      <c r="B227" s="7"/>
      <c r="C227" s="7"/>
      <c r="D227" s="7"/>
      <c r="E227" s="5"/>
      <c r="F227" s="5"/>
      <c r="G227" s="5"/>
      <c r="H227" s="7"/>
      <c r="I227" s="16"/>
      <c r="J227" s="16"/>
      <c r="K227" s="16"/>
      <c r="L227" s="6"/>
      <c r="M227" s="5"/>
      <c r="N227" s="7"/>
      <c r="O227" s="6"/>
      <c r="P227" s="6"/>
      <c r="Q227" s="6"/>
      <c r="R227" s="5"/>
      <c r="S227" s="5"/>
      <c r="T227" s="5"/>
      <c r="U227" s="5"/>
      <c r="V227" s="5"/>
      <c r="X227" s="5"/>
      <c r="Y227" s="5"/>
      <c r="AM227" s="16"/>
      <c r="AN227" s="16"/>
      <c r="AO227" s="7"/>
      <c r="AP227" s="6"/>
      <c r="AQ227" s="15"/>
      <c r="AR227" s="5"/>
    </row>
    <row r="228" spans="2:44" x14ac:dyDescent="0.35">
      <c r="B228" s="7"/>
      <c r="C228" s="7"/>
      <c r="D228" s="7"/>
      <c r="E228" s="5"/>
      <c r="F228" s="5"/>
      <c r="G228" s="5"/>
      <c r="H228" s="7"/>
      <c r="I228" s="16"/>
      <c r="J228" s="16"/>
      <c r="K228" s="16"/>
      <c r="L228" s="6"/>
      <c r="M228" s="5"/>
      <c r="N228" s="7"/>
      <c r="O228" s="6"/>
      <c r="P228" s="6"/>
      <c r="Q228" s="6"/>
      <c r="R228" s="5"/>
      <c r="S228" s="5"/>
      <c r="T228" s="5"/>
      <c r="U228" s="5"/>
      <c r="V228" s="5"/>
      <c r="X228" s="5"/>
      <c r="Y228" s="5"/>
      <c r="AM228" s="16"/>
      <c r="AN228" s="16"/>
      <c r="AO228" s="7"/>
      <c r="AP228" s="6"/>
      <c r="AQ228" s="15"/>
      <c r="AR228" s="5"/>
    </row>
    <row r="229" spans="2:44" x14ac:dyDescent="0.35">
      <c r="B229" s="7"/>
      <c r="C229" s="7"/>
      <c r="D229" s="7"/>
      <c r="E229" s="5"/>
      <c r="F229" s="5"/>
      <c r="G229" s="5"/>
      <c r="H229" s="7"/>
      <c r="I229" s="16"/>
      <c r="J229" s="16"/>
      <c r="K229" s="16"/>
      <c r="L229" s="6"/>
      <c r="M229" s="5"/>
      <c r="N229" s="7"/>
      <c r="O229" s="6"/>
      <c r="P229" s="6"/>
      <c r="Q229" s="6"/>
      <c r="R229" s="5"/>
      <c r="S229" s="5"/>
      <c r="T229" s="5"/>
      <c r="U229" s="5"/>
      <c r="V229" s="5"/>
      <c r="X229" s="5"/>
      <c r="Y229" s="5"/>
      <c r="AM229" s="16"/>
      <c r="AN229" s="16"/>
      <c r="AO229" s="7"/>
      <c r="AP229" s="6"/>
      <c r="AQ229" s="15"/>
      <c r="AR229" s="5"/>
    </row>
    <row r="230" spans="2:44" x14ac:dyDescent="0.35">
      <c r="B230" s="7"/>
      <c r="C230" s="7"/>
      <c r="D230" s="7"/>
      <c r="E230" s="5"/>
      <c r="F230" s="5"/>
      <c r="G230" s="5"/>
      <c r="H230" s="7"/>
      <c r="I230" s="16"/>
      <c r="J230" s="16"/>
      <c r="K230" s="16"/>
      <c r="L230" s="6"/>
      <c r="M230" s="5"/>
      <c r="N230" s="7"/>
      <c r="O230" s="6"/>
      <c r="P230" s="6"/>
      <c r="Q230" s="6"/>
      <c r="R230" s="5"/>
      <c r="S230" s="5"/>
      <c r="T230" s="5"/>
      <c r="U230" s="5"/>
      <c r="V230" s="5"/>
      <c r="X230" s="5"/>
      <c r="Y230" s="5"/>
      <c r="AM230" s="16"/>
      <c r="AN230" s="16"/>
      <c r="AO230" s="7"/>
      <c r="AP230" s="6"/>
      <c r="AQ230" s="15"/>
      <c r="AR230" s="5"/>
    </row>
    <row r="231" spans="2:44" x14ac:dyDescent="0.35">
      <c r="B231" s="7"/>
      <c r="C231" s="7"/>
      <c r="D231" s="7"/>
      <c r="E231" s="5"/>
      <c r="F231" s="5"/>
      <c r="G231" s="5"/>
      <c r="H231" s="7"/>
      <c r="I231" s="16"/>
      <c r="J231" s="16"/>
      <c r="K231" s="16"/>
      <c r="L231" s="6"/>
      <c r="M231" s="5"/>
      <c r="N231" s="7"/>
      <c r="O231" s="6"/>
      <c r="P231" s="6"/>
      <c r="Q231" s="6"/>
      <c r="R231" s="5"/>
      <c r="S231" s="5"/>
      <c r="T231" s="5"/>
      <c r="U231" s="5"/>
      <c r="V231" s="5"/>
      <c r="X231" s="5"/>
      <c r="Y231" s="5"/>
      <c r="AM231" s="16"/>
      <c r="AN231" s="16"/>
      <c r="AO231" s="7"/>
      <c r="AP231" s="6"/>
      <c r="AQ231" s="15"/>
      <c r="AR231" s="5"/>
    </row>
    <row r="232" spans="2:44" x14ac:dyDescent="0.35">
      <c r="B232" s="7"/>
      <c r="C232" s="7"/>
      <c r="D232" s="7"/>
      <c r="E232" s="5"/>
      <c r="F232" s="5"/>
      <c r="G232" s="5"/>
      <c r="H232" s="7"/>
      <c r="I232" s="16"/>
      <c r="J232" s="16"/>
      <c r="K232" s="16"/>
      <c r="L232" s="6"/>
      <c r="M232" s="5"/>
      <c r="N232" s="7"/>
      <c r="O232" s="6"/>
      <c r="P232" s="6"/>
      <c r="Q232" s="6"/>
      <c r="R232" s="5"/>
      <c r="S232" s="5"/>
      <c r="T232" s="5"/>
      <c r="U232" s="5"/>
      <c r="V232" s="5"/>
      <c r="X232" s="5"/>
      <c r="Y232" s="5"/>
      <c r="AM232" s="16"/>
      <c r="AN232" s="16"/>
      <c r="AO232" s="7"/>
      <c r="AP232" s="6"/>
      <c r="AQ232" s="15"/>
      <c r="AR232" s="5"/>
    </row>
    <row r="233" spans="2:44" x14ac:dyDescent="0.35">
      <c r="B233" s="7"/>
      <c r="C233" s="7"/>
      <c r="D233" s="7"/>
      <c r="E233" s="5"/>
      <c r="F233" s="5"/>
      <c r="G233" s="5"/>
      <c r="H233" s="7"/>
      <c r="I233" s="16"/>
      <c r="J233" s="16"/>
      <c r="K233" s="16"/>
      <c r="L233" s="6"/>
      <c r="M233" s="5"/>
      <c r="N233" s="7"/>
      <c r="O233" s="6"/>
      <c r="P233" s="6"/>
      <c r="Q233" s="6"/>
      <c r="R233" s="5"/>
      <c r="S233" s="5"/>
      <c r="T233" s="5"/>
      <c r="U233" s="5"/>
      <c r="V233" s="5"/>
      <c r="X233" s="5"/>
      <c r="Y233" s="5"/>
      <c r="AM233" s="16"/>
      <c r="AN233" s="16"/>
      <c r="AO233" s="7"/>
      <c r="AP233" s="6"/>
      <c r="AQ233" s="15"/>
      <c r="AR233" s="5"/>
    </row>
    <row r="234" spans="2:44" x14ac:dyDescent="0.35">
      <c r="B234" s="7"/>
      <c r="C234" s="7"/>
      <c r="D234" s="7"/>
      <c r="E234" s="5"/>
      <c r="F234" s="5"/>
      <c r="G234" s="5"/>
      <c r="H234" s="7"/>
      <c r="I234" s="16"/>
      <c r="J234" s="16"/>
      <c r="K234" s="16"/>
      <c r="L234" s="6"/>
      <c r="M234" s="5"/>
      <c r="N234" s="7"/>
      <c r="O234" s="6"/>
      <c r="P234" s="6"/>
      <c r="Q234" s="6"/>
      <c r="R234" s="5"/>
      <c r="S234" s="5"/>
      <c r="T234" s="5"/>
      <c r="U234" s="5"/>
      <c r="V234" s="5"/>
      <c r="X234" s="5"/>
      <c r="Y234" s="5"/>
      <c r="AM234" s="16"/>
      <c r="AN234" s="16"/>
      <c r="AO234" s="7"/>
      <c r="AP234" s="6"/>
      <c r="AQ234" s="15"/>
      <c r="AR234" s="5"/>
    </row>
    <row r="235" spans="2:44" x14ac:dyDescent="0.35">
      <c r="B235" s="7"/>
      <c r="C235" s="7"/>
      <c r="D235" s="7"/>
      <c r="E235" s="5"/>
      <c r="F235" s="5"/>
      <c r="G235" s="5"/>
      <c r="H235" s="7"/>
      <c r="I235" s="16"/>
      <c r="J235" s="16"/>
      <c r="K235" s="16"/>
      <c r="L235" s="6"/>
      <c r="M235" s="5"/>
      <c r="N235" s="7"/>
      <c r="O235" s="6"/>
      <c r="P235" s="6"/>
      <c r="Q235" s="6"/>
      <c r="R235" s="5"/>
      <c r="S235" s="5"/>
      <c r="T235" s="5"/>
      <c r="U235" s="5"/>
      <c r="V235" s="5"/>
      <c r="X235" s="5"/>
      <c r="Y235" s="5"/>
      <c r="AM235" s="16"/>
      <c r="AN235" s="16"/>
      <c r="AO235" s="7"/>
      <c r="AP235" s="6"/>
      <c r="AQ235" s="15"/>
      <c r="AR235" s="5"/>
    </row>
    <row r="236" spans="2:44" x14ac:dyDescent="0.35">
      <c r="B236" s="7"/>
      <c r="C236" s="7"/>
      <c r="D236" s="7"/>
      <c r="E236" s="5"/>
      <c r="F236" s="5"/>
      <c r="G236" s="5"/>
      <c r="H236" s="7"/>
      <c r="I236" s="16"/>
      <c r="J236" s="16"/>
      <c r="K236" s="16"/>
      <c r="L236" s="6"/>
      <c r="M236" s="5"/>
      <c r="N236" s="7"/>
      <c r="O236" s="6"/>
      <c r="P236" s="6"/>
      <c r="Q236" s="6"/>
      <c r="R236" s="5"/>
      <c r="S236" s="5"/>
      <c r="T236" s="5"/>
      <c r="U236" s="5"/>
      <c r="V236" s="5"/>
      <c r="X236" s="5"/>
      <c r="Y236" s="5"/>
      <c r="AM236" s="16"/>
      <c r="AN236" s="16"/>
      <c r="AO236" s="7"/>
      <c r="AP236" s="6"/>
      <c r="AQ236" s="15"/>
      <c r="AR236" s="5"/>
    </row>
    <row r="237" spans="2:44" x14ac:dyDescent="0.35">
      <c r="B237" s="7"/>
      <c r="C237" s="7"/>
      <c r="D237" s="7"/>
      <c r="E237" s="5"/>
      <c r="F237" s="5"/>
      <c r="G237" s="5"/>
      <c r="H237" s="7"/>
      <c r="I237" s="16"/>
      <c r="J237" s="16"/>
      <c r="K237" s="16"/>
      <c r="L237" s="6"/>
      <c r="M237" s="5"/>
      <c r="N237" s="7"/>
      <c r="O237" s="6"/>
      <c r="P237" s="6"/>
      <c r="Q237" s="6"/>
      <c r="R237" s="5"/>
      <c r="S237" s="5"/>
      <c r="T237" s="5"/>
      <c r="U237" s="5"/>
      <c r="V237" s="5"/>
      <c r="X237" s="5"/>
      <c r="Y237" s="5"/>
      <c r="AM237" s="16"/>
      <c r="AN237" s="16"/>
      <c r="AO237" s="7"/>
      <c r="AP237" s="6"/>
      <c r="AQ237" s="15"/>
      <c r="AR237" s="5"/>
    </row>
    <row r="238" spans="2:44" x14ac:dyDescent="0.35">
      <c r="B238" s="7"/>
      <c r="C238" s="7"/>
      <c r="D238" s="7"/>
      <c r="E238" s="5"/>
      <c r="F238" s="5"/>
      <c r="G238" s="5"/>
      <c r="H238" s="7"/>
      <c r="I238" s="16"/>
      <c r="J238" s="16"/>
      <c r="K238" s="16"/>
      <c r="L238" s="6"/>
      <c r="M238" s="5"/>
      <c r="N238" s="7"/>
      <c r="O238" s="6"/>
      <c r="P238" s="6"/>
      <c r="Q238" s="6"/>
      <c r="R238" s="5"/>
      <c r="S238" s="5"/>
      <c r="T238" s="5"/>
      <c r="U238" s="5"/>
      <c r="V238" s="5"/>
      <c r="X238" s="5"/>
      <c r="Y238" s="5"/>
      <c r="AM238" s="16"/>
      <c r="AN238" s="16"/>
      <c r="AO238" s="7"/>
      <c r="AP238" s="6"/>
      <c r="AQ238" s="15"/>
      <c r="AR238" s="5"/>
    </row>
    <row r="239" spans="2:44" x14ac:dyDescent="0.35">
      <c r="B239" s="7"/>
      <c r="C239" s="7"/>
      <c r="D239" s="7"/>
      <c r="E239" s="5"/>
      <c r="F239" s="5"/>
      <c r="G239" s="5"/>
      <c r="H239" s="7"/>
      <c r="I239" s="16"/>
      <c r="J239" s="16"/>
      <c r="K239" s="16"/>
      <c r="L239" s="6"/>
      <c r="M239" s="5"/>
      <c r="N239" s="7"/>
      <c r="O239" s="6"/>
      <c r="P239" s="6"/>
      <c r="Q239" s="6"/>
      <c r="R239" s="5"/>
      <c r="S239" s="5"/>
      <c r="T239" s="5"/>
      <c r="U239" s="5"/>
      <c r="V239" s="5"/>
      <c r="X239" s="5"/>
      <c r="Y239" s="5"/>
      <c r="AM239" s="16"/>
      <c r="AN239" s="16"/>
      <c r="AO239" s="7"/>
      <c r="AP239" s="6"/>
      <c r="AQ239" s="15"/>
      <c r="AR239" s="5"/>
    </row>
    <row r="240" spans="2:44" x14ac:dyDescent="0.35">
      <c r="B240" s="7"/>
      <c r="C240" s="7"/>
      <c r="D240" s="7"/>
      <c r="E240" s="5"/>
      <c r="F240" s="5"/>
      <c r="G240" s="5"/>
      <c r="H240" s="7"/>
      <c r="I240" s="16"/>
      <c r="J240" s="16"/>
      <c r="K240" s="16"/>
      <c r="L240" s="6"/>
      <c r="M240" s="5"/>
      <c r="N240" s="7"/>
      <c r="O240" s="6"/>
      <c r="P240" s="6"/>
      <c r="Q240" s="6"/>
      <c r="R240" s="5"/>
      <c r="S240" s="5"/>
      <c r="T240" s="5"/>
      <c r="U240" s="5"/>
      <c r="V240" s="5"/>
      <c r="X240" s="5"/>
      <c r="Y240" s="5"/>
      <c r="AM240" s="16"/>
      <c r="AN240" s="16"/>
      <c r="AO240" s="7"/>
      <c r="AP240" s="6"/>
      <c r="AQ240" s="15"/>
      <c r="AR240" s="5"/>
    </row>
    <row r="241" spans="2:44" x14ac:dyDescent="0.35">
      <c r="B241" s="7"/>
      <c r="C241" s="7"/>
      <c r="D241" s="7"/>
      <c r="E241" s="5"/>
      <c r="F241" s="5"/>
      <c r="G241" s="5"/>
      <c r="H241" s="7"/>
      <c r="I241" s="16"/>
      <c r="J241" s="16"/>
      <c r="K241" s="16"/>
      <c r="L241" s="6"/>
      <c r="M241" s="5"/>
      <c r="N241" s="7"/>
      <c r="O241" s="6"/>
      <c r="P241" s="6"/>
      <c r="Q241" s="6"/>
      <c r="R241" s="5"/>
      <c r="S241" s="5"/>
      <c r="T241" s="5"/>
      <c r="U241" s="5"/>
      <c r="V241" s="5"/>
      <c r="X241" s="5"/>
      <c r="Y241" s="5"/>
      <c r="AM241" s="16"/>
      <c r="AN241" s="16"/>
      <c r="AO241" s="7"/>
      <c r="AP241" s="6"/>
      <c r="AQ241" s="15"/>
      <c r="AR241" s="5"/>
    </row>
    <row r="242" spans="2:44" x14ac:dyDescent="0.35">
      <c r="B242" s="7"/>
      <c r="C242" s="7"/>
      <c r="D242" s="7"/>
      <c r="E242" s="5"/>
      <c r="F242" s="5"/>
      <c r="G242" s="5"/>
      <c r="H242" s="7"/>
      <c r="I242" s="16"/>
      <c r="J242" s="16"/>
      <c r="K242" s="16"/>
      <c r="L242" s="6"/>
      <c r="M242" s="5"/>
      <c r="N242" s="7"/>
      <c r="O242" s="6"/>
      <c r="P242" s="6"/>
      <c r="Q242" s="6"/>
      <c r="R242" s="5"/>
      <c r="S242" s="5"/>
      <c r="T242" s="5"/>
      <c r="U242" s="5"/>
      <c r="V242" s="5"/>
      <c r="X242" s="5"/>
      <c r="Y242" s="5"/>
      <c r="AM242" s="16"/>
      <c r="AN242" s="16"/>
      <c r="AO242" s="7"/>
      <c r="AP242" s="6"/>
      <c r="AQ242" s="15"/>
      <c r="AR242" s="5"/>
    </row>
    <row r="243" spans="2:44" x14ac:dyDescent="0.35">
      <c r="B243" s="7"/>
      <c r="C243" s="7"/>
      <c r="D243" s="7"/>
      <c r="E243" s="5"/>
      <c r="F243" s="5"/>
      <c r="G243" s="5"/>
      <c r="H243" s="7"/>
      <c r="I243" s="16"/>
      <c r="J243" s="16"/>
      <c r="K243" s="16"/>
      <c r="L243" s="6"/>
      <c r="M243" s="5"/>
      <c r="N243" s="7"/>
      <c r="O243" s="6"/>
      <c r="P243" s="6"/>
      <c r="Q243" s="6"/>
      <c r="R243" s="5"/>
      <c r="S243" s="5"/>
      <c r="T243" s="5"/>
      <c r="U243" s="5"/>
      <c r="V243" s="5"/>
      <c r="X243" s="5"/>
      <c r="Y243" s="5"/>
      <c r="AM243" s="16"/>
      <c r="AN243" s="16"/>
      <c r="AO243" s="7"/>
      <c r="AP243" s="6"/>
      <c r="AQ243" s="15"/>
      <c r="AR243" s="5"/>
    </row>
    <row r="244" spans="2:44" x14ac:dyDescent="0.35">
      <c r="B244" s="7"/>
      <c r="C244" s="7"/>
      <c r="D244" s="7"/>
      <c r="E244" s="5"/>
      <c r="F244" s="5"/>
      <c r="G244" s="5"/>
      <c r="H244" s="7"/>
      <c r="I244" s="16"/>
      <c r="J244" s="16"/>
      <c r="K244" s="16"/>
      <c r="L244" s="6"/>
      <c r="M244" s="5"/>
      <c r="N244" s="7"/>
      <c r="O244" s="6"/>
      <c r="P244" s="6"/>
      <c r="Q244" s="6"/>
      <c r="R244" s="5"/>
      <c r="S244" s="5"/>
      <c r="T244" s="5"/>
      <c r="U244" s="5"/>
      <c r="V244" s="5"/>
      <c r="X244" s="5"/>
      <c r="Y244" s="5"/>
      <c r="AM244" s="16"/>
      <c r="AN244" s="16"/>
      <c r="AO244" s="7"/>
      <c r="AP244" s="6"/>
      <c r="AQ244" s="15"/>
      <c r="AR244" s="5"/>
    </row>
    <row r="245" spans="2:44" x14ac:dyDescent="0.35">
      <c r="B245" s="7"/>
      <c r="C245" s="7"/>
      <c r="D245" s="7"/>
      <c r="E245" s="5"/>
      <c r="F245" s="5"/>
      <c r="G245" s="5"/>
      <c r="H245" s="7"/>
      <c r="I245" s="16"/>
      <c r="J245" s="16"/>
      <c r="K245" s="16"/>
      <c r="L245" s="6"/>
      <c r="M245" s="5"/>
      <c r="N245" s="7"/>
      <c r="O245" s="6"/>
      <c r="P245" s="6"/>
      <c r="Q245" s="6"/>
      <c r="R245" s="5"/>
      <c r="S245" s="5"/>
      <c r="T245" s="5"/>
      <c r="U245" s="5"/>
      <c r="V245" s="5"/>
      <c r="X245" s="5"/>
      <c r="Y245" s="5"/>
      <c r="AM245" s="16"/>
      <c r="AN245" s="16"/>
      <c r="AO245" s="7"/>
      <c r="AP245" s="6"/>
      <c r="AQ245" s="15"/>
      <c r="AR245" s="5"/>
    </row>
    <row r="246" spans="2:44" x14ac:dyDescent="0.35">
      <c r="B246" s="7"/>
      <c r="C246" s="7"/>
      <c r="D246" s="7"/>
      <c r="E246" s="5"/>
      <c r="F246" s="5"/>
      <c r="G246" s="5"/>
      <c r="H246" s="7"/>
      <c r="I246" s="16"/>
      <c r="J246" s="16"/>
      <c r="K246" s="16"/>
      <c r="L246" s="6"/>
      <c r="M246" s="5"/>
      <c r="N246" s="7"/>
      <c r="O246" s="6"/>
      <c r="P246" s="6"/>
      <c r="Q246" s="6"/>
      <c r="R246" s="5"/>
      <c r="S246" s="5"/>
      <c r="T246" s="5"/>
      <c r="U246" s="5"/>
      <c r="V246" s="5"/>
      <c r="X246" s="5"/>
      <c r="Y246" s="5"/>
      <c r="AM246" s="16"/>
      <c r="AN246" s="16"/>
      <c r="AO246" s="7"/>
      <c r="AP246" s="6"/>
      <c r="AQ246" s="15"/>
      <c r="AR246" s="5"/>
    </row>
    <row r="247" spans="2:44" x14ac:dyDescent="0.35">
      <c r="B247" s="7"/>
      <c r="C247" s="7"/>
      <c r="D247" s="7"/>
      <c r="E247" s="5"/>
      <c r="F247" s="5"/>
      <c r="G247" s="5"/>
      <c r="H247" s="7"/>
      <c r="I247" s="16"/>
      <c r="J247" s="16"/>
      <c r="K247" s="16"/>
      <c r="L247" s="6"/>
      <c r="M247" s="5"/>
      <c r="N247" s="7"/>
      <c r="O247" s="6"/>
      <c r="P247" s="6"/>
      <c r="Q247" s="6"/>
      <c r="R247" s="5"/>
      <c r="S247" s="5"/>
      <c r="T247" s="5"/>
      <c r="U247" s="5"/>
      <c r="V247" s="5"/>
      <c r="X247" s="5"/>
      <c r="Y247" s="5"/>
      <c r="AM247" s="16"/>
      <c r="AN247" s="16"/>
      <c r="AO247" s="7"/>
      <c r="AP247" s="6"/>
      <c r="AQ247" s="15"/>
      <c r="AR247" s="5"/>
    </row>
    <row r="248" spans="2:44" x14ac:dyDescent="0.35">
      <c r="B248" s="7"/>
      <c r="C248" s="7"/>
      <c r="D248" s="7"/>
      <c r="E248" s="5"/>
      <c r="F248" s="5"/>
      <c r="G248" s="5"/>
      <c r="H248" s="7"/>
      <c r="I248" s="16"/>
      <c r="J248" s="16"/>
      <c r="K248" s="16"/>
      <c r="L248" s="6"/>
      <c r="M248" s="5"/>
      <c r="N248" s="7"/>
      <c r="O248" s="6"/>
      <c r="P248" s="6"/>
      <c r="Q248" s="6"/>
      <c r="R248" s="5"/>
      <c r="S248" s="5"/>
      <c r="T248" s="5"/>
      <c r="U248" s="5"/>
      <c r="V248" s="5"/>
      <c r="X248" s="5"/>
      <c r="Y248" s="5"/>
      <c r="AM248" s="16"/>
      <c r="AN248" s="16"/>
      <c r="AO248" s="7"/>
      <c r="AP248" s="6"/>
      <c r="AQ248" s="15"/>
      <c r="AR248" s="5"/>
    </row>
    <row r="249" spans="2:44" x14ac:dyDescent="0.35">
      <c r="B249" s="7"/>
      <c r="C249" s="7"/>
      <c r="D249" s="7"/>
      <c r="E249" s="5"/>
      <c r="F249" s="5"/>
      <c r="G249" s="5"/>
      <c r="H249" s="7"/>
      <c r="I249" s="16"/>
      <c r="J249" s="16"/>
      <c r="K249" s="16"/>
      <c r="L249" s="6"/>
      <c r="M249" s="5"/>
      <c r="N249" s="7"/>
      <c r="O249" s="6"/>
      <c r="P249" s="6"/>
      <c r="Q249" s="6"/>
      <c r="R249" s="5"/>
      <c r="S249" s="5"/>
      <c r="T249" s="5"/>
      <c r="U249" s="5"/>
      <c r="V249" s="5"/>
      <c r="X249" s="5"/>
      <c r="Y249" s="5"/>
      <c r="AM249" s="16"/>
      <c r="AN249" s="16"/>
      <c r="AO249" s="7"/>
      <c r="AP249" s="6"/>
      <c r="AQ249" s="15"/>
      <c r="AR249" s="5"/>
    </row>
    <row r="250" spans="2:44" x14ac:dyDescent="0.35">
      <c r="B250" s="7"/>
      <c r="C250" s="7"/>
      <c r="D250" s="7"/>
      <c r="E250" s="5"/>
      <c r="F250" s="5"/>
      <c r="G250" s="5"/>
      <c r="H250" s="7"/>
      <c r="I250" s="16"/>
      <c r="J250" s="16"/>
      <c r="K250" s="16"/>
      <c r="L250" s="6"/>
      <c r="M250" s="5"/>
      <c r="N250" s="7"/>
      <c r="O250" s="6"/>
      <c r="P250" s="6"/>
      <c r="Q250" s="6"/>
      <c r="R250" s="5"/>
      <c r="S250" s="5"/>
      <c r="T250" s="5"/>
      <c r="U250" s="5"/>
      <c r="V250" s="5"/>
      <c r="X250" s="5"/>
      <c r="Y250" s="5"/>
      <c r="AM250" s="16"/>
      <c r="AN250" s="16"/>
      <c r="AO250" s="7"/>
      <c r="AP250" s="6"/>
      <c r="AQ250" s="15"/>
      <c r="AR250" s="5"/>
    </row>
    <row r="251" spans="2:44" x14ac:dyDescent="0.35">
      <c r="B251" s="7"/>
      <c r="C251" s="7"/>
      <c r="D251" s="7"/>
      <c r="E251" s="5"/>
      <c r="F251" s="5"/>
      <c r="G251" s="5"/>
      <c r="H251" s="7"/>
      <c r="I251" s="16"/>
      <c r="J251" s="16"/>
      <c r="K251" s="16"/>
      <c r="L251" s="6"/>
      <c r="M251" s="5"/>
      <c r="N251" s="7"/>
      <c r="O251" s="6"/>
      <c r="P251" s="6"/>
      <c r="Q251" s="6"/>
      <c r="R251" s="5"/>
      <c r="S251" s="5"/>
      <c r="T251" s="5"/>
      <c r="U251" s="5"/>
      <c r="V251" s="5"/>
      <c r="X251" s="5"/>
      <c r="Y251" s="5"/>
      <c r="AM251" s="16"/>
      <c r="AN251" s="16"/>
      <c r="AO251" s="7"/>
      <c r="AP251" s="6"/>
      <c r="AQ251" s="15"/>
      <c r="AR251" s="5"/>
    </row>
    <row r="252" spans="2:44" x14ac:dyDescent="0.35">
      <c r="B252" s="7"/>
      <c r="C252" s="7"/>
      <c r="D252" s="7"/>
      <c r="E252" s="5"/>
      <c r="F252" s="5"/>
      <c r="G252" s="5"/>
      <c r="H252" s="7"/>
      <c r="I252" s="16"/>
      <c r="J252" s="16"/>
      <c r="K252" s="16"/>
      <c r="L252" s="6"/>
      <c r="M252" s="5"/>
      <c r="N252" s="7"/>
      <c r="O252" s="6"/>
      <c r="P252" s="6"/>
      <c r="Q252" s="6"/>
      <c r="R252" s="5"/>
      <c r="S252" s="5"/>
      <c r="T252" s="5"/>
      <c r="U252" s="5"/>
      <c r="V252" s="5"/>
      <c r="X252" s="5"/>
      <c r="Y252" s="5"/>
      <c r="AM252" s="16"/>
      <c r="AN252" s="16"/>
      <c r="AO252" s="7"/>
      <c r="AP252" s="6"/>
      <c r="AQ252" s="15"/>
      <c r="AR252" s="5"/>
    </row>
    <row r="253" spans="2:44" x14ac:dyDescent="0.35">
      <c r="B253" s="7"/>
      <c r="C253" s="7"/>
      <c r="D253" s="7"/>
      <c r="E253" s="5"/>
      <c r="F253" s="5"/>
      <c r="G253" s="5"/>
      <c r="H253" s="7"/>
      <c r="I253" s="16"/>
      <c r="J253" s="16"/>
      <c r="K253" s="16"/>
      <c r="L253" s="6"/>
      <c r="M253" s="5"/>
      <c r="N253" s="7"/>
      <c r="O253" s="6"/>
      <c r="P253" s="6"/>
      <c r="Q253" s="6"/>
      <c r="R253" s="5"/>
      <c r="S253" s="5"/>
      <c r="T253" s="5"/>
      <c r="U253" s="5"/>
      <c r="V253" s="5"/>
      <c r="X253" s="5"/>
      <c r="Y253" s="5"/>
      <c r="AM253" s="16"/>
      <c r="AN253" s="16"/>
      <c r="AO253" s="7"/>
      <c r="AP253" s="6"/>
      <c r="AQ253" s="15"/>
      <c r="AR253" s="5"/>
    </row>
    <row r="254" spans="2:44" x14ac:dyDescent="0.35">
      <c r="B254" s="7"/>
      <c r="C254" s="7"/>
      <c r="D254" s="7"/>
      <c r="E254" s="5"/>
      <c r="F254" s="5"/>
      <c r="G254" s="5"/>
      <c r="H254" s="7"/>
      <c r="I254" s="16"/>
      <c r="J254" s="16"/>
      <c r="K254" s="16"/>
      <c r="L254" s="6"/>
      <c r="M254" s="5"/>
      <c r="N254" s="7"/>
      <c r="O254" s="6"/>
      <c r="P254" s="6"/>
      <c r="Q254" s="6"/>
      <c r="R254" s="5"/>
      <c r="S254" s="5"/>
      <c r="T254" s="5"/>
      <c r="U254" s="5"/>
      <c r="V254" s="5"/>
      <c r="X254" s="5"/>
      <c r="Y254" s="5"/>
      <c r="AM254" s="16"/>
      <c r="AN254" s="16"/>
      <c r="AO254" s="7"/>
      <c r="AP254" s="6"/>
      <c r="AQ254" s="15"/>
      <c r="AR254" s="5"/>
    </row>
    <row r="255" spans="2:44" x14ac:dyDescent="0.35">
      <c r="B255" s="7"/>
      <c r="C255" s="7"/>
      <c r="D255" s="7"/>
      <c r="E255" s="5"/>
      <c r="F255" s="5"/>
      <c r="G255" s="5"/>
      <c r="H255" s="7"/>
      <c r="I255" s="16"/>
      <c r="J255" s="16"/>
      <c r="K255" s="16"/>
      <c r="L255" s="6"/>
      <c r="M255" s="5"/>
      <c r="N255" s="7"/>
      <c r="O255" s="6"/>
      <c r="P255" s="6"/>
      <c r="Q255" s="6"/>
      <c r="R255" s="5"/>
      <c r="S255" s="5"/>
      <c r="T255" s="5"/>
      <c r="U255" s="5"/>
      <c r="V255" s="5"/>
      <c r="X255" s="5"/>
      <c r="Y255" s="5"/>
      <c r="AM255" s="16"/>
      <c r="AN255" s="16"/>
      <c r="AO255" s="7"/>
      <c r="AP255" s="6"/>
      <c r="AQ255" s="15"/>
      <c r="AR255" s="5"/>
    </row>
    <row r="256" spans="2:44" x14ac:dyDescent="0.35">
      <c r="B256" s="7"/>
      <c r="C256" s="7"/>
      <c r="D256" s="7"/>
      <c r="E256" s="5"/>
      <c r="F256" s="5"/>
      <c r="G256" s="5"/>
      <c r="H256" s="7"/>
      <c r="I256" s="16"/>
      <c r="J256" s="16"/>
      <c r="K256" s="16"/>
      <c r="L256" s="6"/>
      <c r="M256" s="5"/>
      <c r="N256" s="7"/>
      <c r="O256" s="6"/>
      <c r="P256" s="6"/>
      <c r="Q256" s="6"/>
      <c r="R256" s="5"/>
      <c r="S256" s="5"/>
      <c r="T256" s="5"/>
      <c r="U256" s="5"/>
      <c r="V256" s="5"/>
      <c r="X256" s="5"/>
      <c r="Y256" s="5"/>
      <c r="AM256" s="16"/>
      <c r="AN256" s="16"/>
      <c r="AO256" s="7"/>
      <c r="AP256" s="6"/>
      <c r="AQ256" s="15"/>
      <c r="AR256" s="5"/>
    </row>
    <row r="257" spans="2:44" x14ac:dyDescent="0.35">
      <c r="B257" s="7"/>
      <c r="C257" s="7"/>
      <c r="D257" s="7"/>
      <c r="E257" s="5"/>
      <c r="F257" s="5"/>
      <c r="G257" s="5"/>
      <c r="H257" s="7"/>
      <c r="I257" s="16"/>
      <c r="J257" s="16"/>
      <c r="K257" s="16"/>
      <c r="L257" s="6"/>
      <c r="M257" s="5"/>
      <c r="N257" s="7"/>
      <c r="O257" s="6"/>
      <c r="P257" s="6"/>
      <c r="Q257" s="6"/>
      <c r="R257" s="5"/>
      <c r="S257" s="5"/>
      <c r="T257" s="5"/>
      <c r="U257" s="5"/>
      <c r="V257" s="5"/>
      <c r="X257" s="5"/>
      <c r="Y257" s="5"/>
      <c r="AM257" s="16"/>
      <c r="AN257" s="16"/>
      <c r="AO257" s="7"/>
      <c r="AP257" s="6"/>
      <c r="AQ257" s="15"/>
      <c r="AR257" s="5"/>
    </row>
    <row r="258" spans="2:44" x14ac:dyDescent="0.35">
      <c r="B258" s="7"/>
      <c r="C258" s="7"/>
      <c r="D258" s="7"/>
      <c r="E258" s="5"/>
      <c r="F258" s="5"/>
      <c r="G258" s="5"/>
      <c r="H258" s="7"/>
      <c r="I258" s="16"/>
      <c r="J258" s="16"/>
      <c r="K258" s="16"/>
      <c r="L258" s="6"/>
      <c r="M258" s="5"/>
      <c r="N258" s="7"/>
      <c r="O258" s="6"/>
      <c r="P258" s="6"/>
      <c r="Q258" s="6"/>
      <c r="R258" s="5"/>
      <c r="S258" s="5"/>
      <c r="T258" s="5"/>
      <c r="U258" s="5"/>
      <c r="V258" s="5"/>
      <c r="X258" s="5"/>
      <c r="Y258" s="5"/>
      <c r="AM258" s="16"/>
      <c r="AN258" s="16"/>
      <c r="AO258" s="7"/>
      <c r="AP258" s="6"/>
      <c r="AQ258" s="15"/>
      <c r="AR258" s="5"/>
    </row>
    <row r="259" spans="2:44" x14ac:dyDescent="0.35">
      <c r="B259" s="7"/>
      <c r="C259" s="7"/>
      <c r="D259" s="7"/>
      <c r="E259" s="5"/>
      <c r="F259" s="5"/>
      <c r="G259" s="5"/>
      <c r="H259" s="7"/>
      <c r="I259" s="16"/>
      <c r="J259" s="16"/>
      <c r="K259" s="16"/>
      <c r="L259" s="6"/>
      <c r="M259" s="5"/>
      <c r="N259" s="7"/>
      <c r="O259" s="6"/>
      <c r="P259" s="6"/>
      <c r="Q259" s="6"/>
      <c r="R259" s="5"/>
      <c r="S259" s="5"/>
      <c r="T259" s="5"/>
      <c r="U259" s="5"/>
      <c r="V259" s="5"/>
      <c r="X259" s="5"/>
      <c r="Y259" s="5"/>
      <c r="AM259" s="16"/>
      <c r="AN259" s="16"/>
      <c r="AO259" s="7"/>
      <c r="AP259" s="6"/>
      <c r="AQ259" s="15"/>
      <c r="AR259" s="5"/>
    </row>
    <row r="260" spans="2:44" x14ac:dyDescent="0.35">
      <c r="B260" s="7"/>
      <c r="C260" s="7"/>
      <c r="D260" s="7"/>
      <c r="E260" s="5"/>
      <c r="F260" s="5"/>
      <c r="G260" s="5"/>
      <c r="H260" s="7"/>
      <c r="I260" s="16"/>
      <c r="J260" s="16"/>
      <c r="K260" s="16"/>
      <c r="L260" s="6"/>
      <c r="M260" s="5"/>
      <c r="N260" s="7"/>
      <c r="O260" s="6"/>
      <c r="P260" s="6"/>
      <c r="Q260" s="6"/>
      <c r="R260" s="5"/>
      <c r="S260" s="5"/>
      <c r="T260" s="5"/>
      <c r="U260" s="5"/>
      <c r="V260" s="5"/>
      <c r="X260" s="5"/>
      <c r="Y260" s="5"/>
      <c r="AM260" s="16"/>
      <c r="AN260" s="16"/>
      <c r="AO260" s="7"/>
      <c r="AP260" s="6"/>
      <c r="AQ260" s="15"/>
      <c r="AR260" s="5"/>
    </row>
    <row r="261" spans="2:44" x14ac:dyDescent="0.35">
      <c r="B261" s="7"/>
      <c r="C261" s="7"/>
      <c r="D261" s="7"/>
      <c r="E261" s="5"/>
      <c r="F261" s="5"/>
      <c r="G261" s="5"/>
      <c r="H261" s="7"/>
      <c r="I261" s="16"/>
      <c r="J261" s="16"/>
      <c r="K261" s="16"/>
      <c r="L261" s="6"/>
      <c r="M261" s="5"/>
      <c r="N261" s="7"/>
      <c r="O261" s="6"/>
      <c r="P261" s="6"/>
      <c r="Q261" s="6"/>
      <c r="R261" s="5"/>
      <c r="S261" s="5"/>
      <c r="T261" s="5"/>
      <c r="U261" s="5"/>
      <c r="V261" s="5"/>
      <c r="X261" s="5"/>
      <c r="Y261" s="5"/>
      <c r="AM261" s="16"/>
      <c r="AN261" s="16"/>
      <c r="AO261" s="7"/>
      <c r="AP261" s="6"/>
      <c r="AQ261" s="15"/>
      <c r="AR261" s="5"/>
    </row>
    <row r="262" spans="2:44" x14ac:dyDescent="0.35">
      <c r="B262" s="7"/>
      <c r="C262" s="7"/>
      <c r="D262" s="7"/>
      <c r="E262" s="5"/>
      <c r="F262" s="5"/>
      <c r="G262" s="5"/>
      <c r="H262" s="7"/>
      <c r="I262" s="16"/>
      <c r="J262" s="16"/>
      <c r="K262" s="16"/>
      <c r="L262" s="6"/>
      <c r="M262" s="5"/>
      <c r="N262" s="7"/>
      <c r="O262" s="6"/>
      <c r="P262" s="6"/>
      <c r="Q262" s="6"/>
      <c r="R262" s="5"/>
      <c r="S262" s="5"/>
      <c r="T262" s="5"/>
      <c r="U262" s="5"/>
      <c r="V262" s="5"/>
      <c r="X262" s="5"/>
      <c r="Y262" s="5"/>
      <c r="AM262" s="16"/>
      <c r="AN262" s="16"/>
      <c r="AO262" s="7"/>
      <c r="AP262" s="6"/>
      <c r="AQ262" s="15"/>
      <c r="AR262" s="5"/>
    </row>
    <row r="263" spans="2:44" x14ac:dyDescent="0.35">
      <c r="B263" s="7"/>
      <c r="C263" s="7"/>
      <c r="D263" s="7"/>
      <c r="E263" s="5"/>
      <c r="F263" s="5"/>
      <c r="G263" s="5"/>
      <c r="H263" s="7"/>
      <c r="I263" s="16"/>
      <c r="J263" s="16"/>
      <c r="K263" s="16"/>
      <c r="L263" s="6"/>
      <c r="M263" s="5"/>
      <c r="N263" s="7"/>
      <c r="O263" s="6"/>
      <c r="P263" s="6"/>
      <c r="Q263" s="6"/>
      <c r="R263" s="5"/>
      <c r="S263" s="5"/>
      <c r="T263" s="5"/>
      <c r="U263" s="5"/>
      <c r="V263" s="5"/>
      <c r="X263" s="5"/>
      <c r="Y263" s="5"/>
      <c r="AM263" s="16"/>
      <c r="AN263" s="16"/>
      <c r="AO263" s="7"/>
      <c r="AP263" s="6"/>
      <c r="AQ263" s="15"/>
      <c r="AR263" s="5"/>
    </row>
    <row r="264" spans="2:44" x14ac:dyDescent="0.35">
      <c r="B264" s="7"/>
      <c r="C264" s="7"/>
      <c r="D264" s="7"/>
      <c r="E264" s="5"/>
      <c r="F264" s="5"/>
      <c r="G264" s="5"/>
      <c r="H264" s="7"/>
      <c r="I264" s="16"/>
      <c r="J264" s="16"/>
      <c r="K264" s="16"/>
      <c r="L264" s="6"/>
      <c r="M264" s="5"/>
      <c r="N264" s="7"/>
      <c r="O264" s="6"/>
      <c r="P264" s="6"/>
      <c r="Q264" s="6"/>
      <c r="R264" s="5"/>
      <c r="S264" s="5"/>
      <c r="T264" s="5"/>
      <c r="U264" s="5"/>
      <c r="V264" s="5"/>
      <c r="X264" s="5"/>
      <c r="Y264" s="5"/>
      <c r="AM264" s="16"/>
      <c r="AN264" s="16"/>
      <c r="AO264" s="7"/>
      <c r="AP264" s="6"/>
      <c r="AQ264" s="15"/>
      <c r="AR264" s="5"/>
    </row>
    <row r="265" spans="2:44" x14ac:dyDescent="0.35">
      <c r="B265" s="7"/>
      <c r="C265" s="7"/>
      <c r="D265" s="7"/>
      <c r="E265" s="5"/>
      <c r="F265" s="5"/>
      <c r="G265" s="5"/>
      <c r="H265" s="7"/>
      <c r="I265" s="16"/>
      <c r="J265" s="16"/>
      <c r="K265" s="16"/>
      <c r="L265" s="6"/>
      <c r="M265" s="5"/>
      <c r="N265" s="7"/>
      <c r="O265" s="6"/>
      <c r="P265" s="6"/>
      <c r="Q265" s="6"/>
      <c r="R265" s="5"/>
      <c r="S265" s="5"/>
      <c r="T265" s="5"/>
      <c r="U265" s="5"/>
      <c r="V265" s="5"/>
      <c r="X265" s="5"/>
      <c r="Y265" s="5"/>
      <c r="AM265" s="16"/>
      <c r="AN265" s="16"/>
      <c r="AO265" s="7"/>
      <c r="AP265" s="6"/>
      <c r="AQ265" s="15"/>
      <c r="AR265" s="5"/>
    </row>
    <row r="266" spans="2:44" x14ac:dyDescent="0.35">
      <c r="B266" s="7"/>
      <c r="C266" s="7"/>
      <c r="D266" s="7"/>
      <c r="E266" s="5"/>
      <c r="F266" s="5"/>
      <c r="G266" s="5"/>
      <c r="H266" s="7"/>
      <c r="I266" s="16"/>
      <c r="J266" s="16"/>
      <c r="K266" s="16"/>
      <c r="L266" s="6"/>
      <c r="M266" s="5"/>
      <c r="N266" s="7"/>
      <c r="O266" s="6"/>
      <c r="P266" s="6"/>
      <c r="Q266" s="6"/>
      <c r="R266" s="5"/>
      <c r="S266" s="5"/>
      <c r="T266" s="5"/>
      <c r="U266" s="5"/>
      <c r="V266" s="5"/>
      <c r="X266" s="5"/>
      <c r="Y266" s="5"/>
      <c r="AM266" s="16"/>
      <c r="AN266" s="16"/>
      <c r="AO266" s="7"/>
      <c r="AP266" s="6"/>
      <c r="AQ266" s="15"/>
      <c r="AR266" s="5"/>
    </row>
    <row r="267" spans="2:44" x14ac:dyDescent="0.35">
      <c r="B267" s="7"/>
      <c r="C267" s="7"/>
      <c r="D267" s="7"/>
      <c r="E267" s="5"/>
      <c r="F267" s="5"/>
      <c r="G267" s="5"/>
      <c r="H267" s="7"/>
      <c r="I267" s="16"/>
      <c r="J267" s="16"/>
      <c r="K267" s="16"/>
      <c r="L267" s="6"/>
      <c r="M267" s="5"/>
      <c r="N267" s="7"/>
      <c r="O267" s="6"/>
      <c r="P267" s="6"/>
      <c r="Q267" s="6"/>
      <c r="R267" s="5"/>
      <c r="S267" s="5"/>
      <c r="T267" s="5"/>
      <c r="U267" s="5"/>
      <c r="V267" s="5"/>
      <c r="X267" s="5"/>
      <c r="Y267" s="5"/>
      <c r="AM267" s="16"/>
      <c r="AN267" s="16"/>
      <c r="AO267" s="7"/>
      <c r="AP267" s="6"/>
      <c r="AQ267" s="15"/>
      <c r="AR267" s="5"/>
    </row>
    <row r="268" spans="2:44" x14ac:dyDescent="0.35">
      <c r="B268" s="7"/>
      <c r="C268" s="7"/>
      <c r="D268" s="7"/>
      <c r="E268" s="5"/>
      <c r="F268" s="5"/>
      <c r="G268" s="5"/>
      <c r="H268" s="7"/>
      <c r="I268" s="16"/>
      <c r="J268" s="16"/>
      <c r="K268" s="16"/>
      <c r="L268" s="6"/>
      <c r="M268" s="5"/>
      <c r="N268" s="7"/>
      <c r="O268" s="6"/>
      <c r="P268" s="6"/>
      <c r="Q268" s="6"/>
      <c r="R268" s="5"/>
      <c r="S268" s="5"/>
      <c r="T268" s="5"/>
      <c r="U268" s="5"/>
      <c r="V268" s="5"/>
      <c r="X268" s="5"/>
      <c r="Y268" s="5"/>
      <c r="AM268" s="16"/>
      <c r="AN268" s="16"/>
      <c r="AO268" s="7"/>
      <c r="AP268" s="6"/>
      <c r="AQ268" s="15"/>
      <c r="AR268" s="5"/>
    </row>
    <row r="269" spans="2:44" x14ac:dyDescent="0.35">
      <c r="B269" s="7"/>
      <c r="C269" s="7"/>
      <c r="D269" s="7"/>
      <c r="E269" s="5"/>
      <c r="F269" s="5"/>
      <c r="G269" s="5"/>
      <c r="H269" s="7"/>
      <c r="I269" s="16"/>
      <c r="J269" s="16"/>
      <c r="K269" s="16"/>
      <c r="L269" s="6"/>
      <c r="M269" s="5"/>
      <c r="N269" s="7"/>
      <c r="O269" s="6"/>
      <c r="P269" s="6"/>
      <c r="Q269" s="6"/>
      <c r="R269" s="5"/>
      <c r="S269" s="5"/>
      <c r="T269" s="5"/>
      <c r="U269" s="5"/>
      <c r="V269" s="5"/>
      <c r="X269" s="5"/>
      <c r="Y269" s="5"/>
      <c r="AM269" s="16"/>
      <c r="AN269" s="16"/>
      <c r="AO269" s="7"/>
      <c r="AP269" s="6"/>
      <c r="AQ269" s="15"/>
      <c r="AR269" s="5"/>
    </row>
    <row r="270" spans="2:44" x14ac:dyDescent="0.35">
      <c r="B270" s="7"/>
      <c r="C270" s="7"/>
      <c r="D270" s="7"/>
      <c r="E270" s="5"/>
      <c r="F270" s="5"/>
      <c r="G270" s="5"/>
      <c r="H270" s="7"/>
      <c r="I270" s="16"/>
      <c r="J270" s="16"/>
      <c r="K270" s="16"/>
      <c r="L270" s="6"/>
      <c r="M270" s="5"/>
      <c r="N270" s="7"/>
      <c r="O270" s="6"/>
      <c r="P270" s="6"/>
      <c r="Q270" s="6"/>
      <c r="R270" s="5"/>
      <c r="S270" s="5"/>
      <c r="T270" s="5"/>
      <c r="U270" s="5"/>
      <c r="V270" s="5"/>
      <c r="X270" s="5"/>
      <c r="Y270" s="5"/>
      <c r="AM270" s="16"/>
      <c r="AN270" s="16"/>
      <c r="AO270" s="7"/>
      <c r="AP270" s="6"/>
      <c r="AQ270" s="15"/>
      <c r="AR270" s="5"/>
    </row>
    <row r="271" spans="2:44" x14ac:dyDescent="0.35">
      <c r="B271" s="7"/>
      <c r="C271" s="7"/>
      <c r="D271" s="7"/>
      <c r="E271" s="5"/>
      <c r="F271" s="5"/>
      <c r="G271" s="5"/>
      <c r="H271" s="7"/>
      <c r="I271" s="16"/>
      <c r="J271" s="16"/>
      <c r="K271" s="16"/>
      <c r="L271" s="6"/>
      <c r="M271" s="5"/>
      <c r="N271" s="7"/>
      <c r="O271" s="6"/>
      <c r="P271" s="6"/>
      <c r="Q271" s="6"/>
      <c r="R271" s="5"/>
      <c r="S271" s="5"/>
      <c r="T271" s="5"/>
      <c r="U271" s="5"/>
      <c r="V271" s="5"/>
      <c r="X271" s="5"/>
      <c r="Y271" s="5"/>
      <c r="AM271" s="16"/>
      <c r="AN271" s="16"/>
      <c r="AO271" s="7"/>
      <c r="AP271" s="6"/>
      <c r="AQ271" s="15"/>
      <c r="AR271" s="5"/>
    </row>
    <row r="272" spans="2:44" x14ac:dyDescent="0.35">
      <c r="B272" s="7"/>
      <c r="C272" s="7"/>
      <c r="D272" s="7"/>
      <c r="E272" s="5"/>
      <c r="F272" s="5"/>
      <c r="G272" s="5"/>
      <c r="H272" s="7"/>
      <c r="I272" s="16"/>
      <c r="J272" s="16"/>
      <c r="K272" s="16"/>
      <c r="L272" s="6"/>
      <c r="M272" s="5"/>
      <c r="N272" s="7"/>
      <c r="O272" s="6"/>
      <c r="P272" s="6"/>
      <c r="Q272" s="6"/>
      <c r="R272" s="5"/>
      <c r="S272" s="5"/>
      <c r="T272" s="5"/>
      <c r="U272" s="5"/>
      <c r="V272" s="5"/>
      <c r="X272" s="5"/>
      <c r="Y272" s="5"/>
      <c r="AM272" s="16"/>
      <c r="AN272" s="16"/>
      <c r="AO272" s="7"/>
      <c r="AP272" s="6"/>
      <c r="AQ272" s="15"/>
      <c r="AR272" s="5"/>
    </row>
    <row r="273" spans="2:44" x14ac:dyDescent="0.35">
      <c r="B273" s="7"/>
      <c r="C273" s="7"/>
      <c r="D273" s="7"/>
      <c r="E273" s="5"/>
      <c r="F273" s="5"/>
      <c r="G273" s="5"/>
      <c r="H273" s="7"/>
      <c r="I273" s="16"/>
      <c r="J273" s="16"/>
      <c r="K273" s="16"/>
      <c r="L273" s="6"/>
      <c r="M273" s="5"/>
      <c r="N273" s="7"/>
      <c r="O273" s="6"/>
      <c r="P273" s="6"/>
      <c r="Q273" s="6"/>
      <c r="R273" s="5"/>
      <c r="S273" s="5"/>
      <c r="T273" s="5"/>
      <c r="U273" s="5"/>
      <c r="V273" s="5"/>
      <c r="X273" s="5"/>
      <c r="Y273" s="5"/>
      <c r="AM273" s="16"/>
      <c r="AN273" s="16"/>
      <c r="AO273" s="7"/>
      <c r="AP273" s="6"/>
      <c r="AQ273" s="15"/>
      <c r="AR273" s="5"/>
    </row>
    <row r="274" spans="2:44" x14ac:dyDescent="0.35">
      <c r="B274" s="7"/>
      <c r="C274" s="7"/>
      <c r="D274" s="7"/>
      <c r="E274" s="5"/>
      <c r="F274" s="5"/>
      <c r="G274" s="5"/>
      <c r="H274" s="7"/>
      <c r="I274" s="16"/>
      <c r="J274" s="16"/>
      <c r="K274" s="16"/>
      <c r="L274" s="6"/>
      <c r="M274" s="5"/>
      <c r="N274" s="7"/>
      <c r="O274" s="6"/>
      <c r="P274" s="6"/>
      <c r="Q274" s="6"/>
      <c r="R274" s="5"/>
      <c r="S274" s="5"/>
      <c r="T274" s="5"/>
      <c r="U274" s="5"/>
      <c r="V274" s="5"/>
      <c r="X274" s="5"/>
      <c r="Y274" s="5"/>
      <c r="AM274" s="16"/>
      <c r="AN274" s="16"/>
      <c r="AO274" s="7"/>
      <c r="AP274" s="6"/>
      <c r="AQ274" s="15"/>
      <c r="AR274" s="5"/>
    </row>
    <row r="275" spans="2:44" x14ac:dyDescent="0.35">
      <c r="B275" s="7"/>
      <c r="C275" s="7"/>
      <c r="D275" s="7"/>
      <c r="E275" s="5"/>
      <c r="F275" s="5"/>
      <c r="G275" s="5"/>
      <c r="H275" s="7"/>
      <c r="I275" s="16"/>
      <c r="J275" s="16"/>
      <c r="K275" s="16"/>
      <c r="L275" s="6"/>
      <c r="M275" s="5"/>
      <c r="N275" s="7"/>
      <c r="O275" s="6"/>
      <c r="P275" s="6"/>
      <c r="Q275" s="6"/>
      <c r="R275" s="5"/>
      <c r="S275" s="5"/>
      <c r="T275" s="5"/>
      <c r="U275" s="5"/>
      <c r="V275" s="5"/>
      <c r="X275" s="5"/>
      <c r="Y275" s="5"/>
      <c r="AM275" s="16"/>
      <c r="AN275" s="16"/>
      <c r="AO275" s="7"/>
      <c r="AP275" s="6"/>
      <c r="AQ275" s="15"/>
      <c r="AR275" s="5"/>
    </row>
    <row r="276" spans="2:44" x14ac:dyDescent="0.35">
      <c r="B276" s="7"/>
      <c r="C276" s="7"/>
      <c r="D276" s="7"/>
      <c r="E276" s="5"/>
      <c r="F276" s="5"/>
      <c r="G276" s="5"/>
      <c r="H276" s="7"/>
      <c r="I276" s="16"/>
      <c r="J276" s="16"/>
      <c r="K276" s="16"/>
      <c r="L276" s="6"/>
      <c r="M276" s="5"/>
      <c r="N276" s="7"/>
      <c r="O276" s="6"/>
      <c r="P276" s="6"/>
      <c r="Q276" s="6"/>
      <c r="R276" s="5"/>
      <c r="S276" s="5"/>
      <c r="T276" s="5"/>
      <c r="U276" s="5"/>
      <c r="V276" s="5"/>
      <c r="X276" s="5"/>
      <c r="Y276" s="5"/>
      <c r="AM276" s="16"/>
      <c r="AN276" s="16"/>
      <c r="AO276" s="7"/>
      <c r="AP276" s="6"/>
      <c r="AQ276" s="15"/>
      <c r="AR276" s="5"/>
    </row>
    <row r="277" spans="2:44" x14ac:dyDescent="0.35">
      <c r="B277" s="7"/>
      <c r="C277" s="7"/>
      <c r="D277" s="7"/>
      <c r="E277" s="5"/>
      <c r="F277" s="5"/>
      <c r="G277" s="5"/>
      <c r="H277" s="7"/>
      <c r="I277" s="16"/>
      <c r="J277" s="16"/>
      <c r="K277" s="16"/>
      <c r="L277" s="6"/>
      <c r="M277" s="5"/>
      <c r="N277" s="7"/>
      <c r="O277" s="6"/>
      <c r="P277" s="6"/>
      <c r="Q277" s="6"/>
      <c r="R277" s="5"/>
      <c r="S277" s="5"/>
      <c r="T277" s="5"/>
      <c r="U277" s="5"/>
      <c r="V277" s="5"/>
      <c r="X277" s="5"/>
      <c r="Y277" s="5"/>
      <c r="AM277" s="16"/>
      <c r="AN277" s="16"/>
      <c r="AO277" s="7"/>
      <c r="AP277" s="6"/>
      <c r="AQ277" s="15"/>
      <c r="AR277" s="5"/>
    </row>
    <row r="278" spans="2:44" x14ac:dyDescent="0.35">
      <c r="B278" s="7"/>
      <c r="C278" s="7"/>
      <c r="D278" s="7"/>
      <c r="E278" s="5"/>
      <c r="F278" s="5"/>
      <c r="G278" s="5"/>
      <c r="H278" s="7"/>
      <c r="I278" s="16"/>
      <c r="J278" s="16"/>
      <c r="K278" s="16"/>
      <c r="L278" s="6"/>
      <c r="M278" s="5"/>
      <c r="N278" s="7"/>
      <c r="O278" s="6"/>
      <c r="P278" s="6"/>
      <c r="Q278" s="6"/>
      <c r="R278" s="5"/>
      <c r="S278" s="5"/>
      <c r="T278" s="5"/>
      <c r="U278" s="5"/>
      <c r="V278" s="5"/>
      <c r="X278" s="5"/>
      <c r="Y278" s="5"/>
      <c r="AM278" s="16"/>
      <c r="AN278" s="16"/>
      <c r="AO278" s="7"/>
      <c r="AP278" s="6"/>
      <c r="AQ278" s="15"/>
      <c r="AR278" s="5"/>
    </row>
    <row r="279" spans="2:44" x14ac:dyDescent="0.35">
      <c r="B279" s="7"/>
      <c r="C279" s="7"/>
      <c r="D279" s="7"/>
      <c r="E279" s="5"/>
      <c r="F279" s="5"/>
      <c r="G279" s="5"/>
      <c r="H279" s="7"/>
      <c r="I279" s="16"/>
      <c r="J279" s="16"/>
      <c r="K279" s="16"/>
      <c r="L279" s="6"/>
      <c r="M279" s="5"/>
      <c r="N279" s="7"/>
      <c r="O279" s="6"/>
      <c r="P279" s="6"/>
      <c r="Q279" s="6"/>
      <c r="R279" s="5"/>
      <c r="S279" s="5"/>
      <c r="T279" s="5"/>
      <c r="U279" s="5"/>
      <c r="V279" s="5"/>
      <c r="X279" s="5"/>
      <c r="Y279" s="5"/>
      <c r="AM279" s="16"/>
      <c r="AN279" s="16"/>
      <c r="AO279" s="7"/>
      <c r="AP279" s="6"/>
      <c r="AQ279" s="15"/>
      <c r="AR279" s="5"/>
    </row>
    <row r="280" spans="2:44" x14ac:dyDescent="0.35">
      <c r="B280" s="7"/>
      <c r="C280" s="7"/>
      <c r="D280" s="7"/>
      <c r="E280" s="5"/>
      <c r="F280" s="5"/>
      <c r="G280" s="5"/>
      <c r="H280" s="7"/>
      <c r="I280" s="16"/>
      <c r="J280" s="16"/>
      <c r="K280" s="16"/>
      <c r="L280" s="6"/>
      <c r="M280" s="5"/>
      <c r="N280" s="7"/>
      <c r="O280" s="6"/>
      <c r="P280" s="6"/>
      <c r="Q280" s="6"/>
      <c r="R280" s="5"/>
      <c r="S280" s="5"/>
      <c r="T280" s="5"/>
      <c r="U280" s="5"/>
      <c r="V280" s="5"/>
      <c r="X280" s="5"/>
      <c r="Y280" s="5"/>
      <c r="AM280" s="16"/>
      <c r="AN280" s="16"/>
      <c r="AO280" s="7"/>
      <c r="AP280" s="6"/>
      <c r="AQ280" s="15"/>
      <c r="AR280" s="5"/>
    </row>
    <row r="281" spans="2:44" x14ac:dyDescent="0.35">
      <c r="B281" s="7"/>
      <c r="C281" s="7"/>
      <c r="D281" s="7"/>
      <c r="E281" s="5"/>
      <c r="F281" s="5"/>
      <c r="G281" s="5"/>
      <c r="H281" s="7"/>
      <c r="I281" s="16"/>
      <c r="J281" s="16"/>
      <c r="K281" s="16"/>
      <c r="L281" s="6"/>
      <c r="M281" s="5"/>
      <c r="N281" s="7"/>
      <c r="O281" s="6"/>
      <c r="P281" s="6"/>
      <c r="Q281" s="6"/>
      <c r="R281" s="5"/>
      <c r="S281" s="5"/>
      <c r="T281" s="5"/>
      <c r="U281" s="5"/>
      <c r="V281" s="5"/>
      <c r="X281" s="5"/>
      <c r="Y281" s="5"/>
      <c r="AM281" s="16"/>
      <c r="AN281" s="16"/>
      <c r="AO281" s="7"/>
      <c r="AP281" s="6"/>
      <c r="AQ281" s="15"/>
      <c r="AR281" s="5"/>
    </row>
    <row r="282" spans="2:44" x14ac:dyDescent="0.35">
      <c r="B282" s="7"/>
      <c r="C282" s="7"/>
      <c r="D282" s="7"/>
      <c r="E282" s="5"/>
      <c r="F282" s="5"/>
      <c r="G282" s="5"/>
      <c r="H282" s="7"/>
      <c r="I282" s="16"/>
      <c r="J282" s="16"/>
      <c r="K282" s="16"/>
      <c r="L282" s="6"/>
      <c r="M282" s="5"/>
      <c r="N282" s="7"/>
      <c r="O282" s="6"/>
      <c r="P282" s="6"/>
      <c r="Q282" s="6"/>
      <c r="R282" s="5"/>
      <c r="S282" s="5"/>
      <c r="T282" s="5"/>
      <c r="U282" s="5"/>
      <c r="V282" s="5"/>
      <c r="X282" s="5"/>
      <c r="Y282" s="5"/>
      <c r="AM282" s="16"/>
      <c r="AN282" s="16"/>
      <c r="AO282" s="7"/>
      <c r="AP282" s="6"/>
      <c r="AQ282" s="15"/>
      <c r="AR282" s="5"/>
    </row>
    <row r="283" spans="2:44" x14ac:dyDescent="0.35">
      <c r="B283" s="7"/>
      <c r="C283" s="7"/>
      <c r="D283" s="7"/>
      <c r="E283" s="5"/>
      <c r="F283" s="5"/>
      <c r="G283" s="5"/>
      <c r="H283" s="7"/>
      <c r="I283" s="16"/>
      <c r="J283" s="16"/>
      <c r="K283" s="16"/>
      <c r="L283" s="6"/>
      <c r="M283" s="5"/>
      <c r="N283" s="7"/>
      <c r="O283" s="6"/>
      <c r="P283" s="6"/>
      <c r="Q283" s="6"/>
      <c r="R283" s="5"/>
      <c r="S283" s="5"/>
      <c r="T283" s="5"/>
      <c r="U283" s="5"/>
      <c r="V283" s="5"/>
      <c r="X283" s="5"/>
      <c r="Y283" s="5"/>
      <c r="AM283" s="16"/>
      <c r="AN283" s="16"/>
      <c r="AO283" s="7"/>
      <c r="AP283" s="6"/>
      <c r="AQ283" s="15"/>
      <c r="AR283" s="5"/>
    </row>
    <row r="284" spans="2:44" x14ac:dyDescent="0.35">
      <c r="B284" s="7"/>
      <c r="C284" s="7"/>
      <c r="D284" s="7"/>
      <c r="E284" s="5"/>
      <c r="F284" s="5"/>
      <c r="G284" s="5"/>
      <c r="H284" s="7"/>
      <c r="I284" s="16"/>
      <c r="J284" s="16"/>
      <c r="K284" s="16"/>
      <c r="L284" s="6"/>
      <c r="M284" s="5"/>
      <c r="N284" s="7"/>
      <c r="O284" s="6"/>
      <c r="P284" s="6"/>
      <c r="Q284" s="6"/>
      <c r="R284" s="5"/>
      <c r="S284" s="5"/>
      <c r="T284" s="5"/>
      <c r="U284" s="5"/>
      <c r="V284" s="5"/>
      <c r="X284" s="5"/>
      <c r="Y284" s="5"/>
      <c r="AM284" s="16"/>
      <c r="AN284" s="16"/>
      <c r="AO284" s="7"/>
      <c r="AP284" s="6"/>
      <c r="AQ284" s="15"/>
      <c r="AR284" s="5"/>
    </row>
    <row r="285" spans="2:44" x14ac:dyDescent="0.35">
      <c r="B285" s="7"/>
      <c r="C285" s="7"/>
      <c r="D285" s="7"/>
      <c r="E285" s="5"/>
      <c r="F285" s="5"/>
      <c r="G285" s="5"/>
      <c r="H285" s="7"/>
      <c r="I285" s="16"/>
      <c r="J285" s="16"/>
      <c r="K285" s="16"/>
      <c r="L285" s="6"/>
      <c r="M285" s="5"/>
      <c r="N285" s="7"/>
      <c r="O285" s="6"/>
      <c r="P285" s="6"/>
      <c r="Q285" s="6"/>
      <c r="R285" s="5"/>
      <c r="S285" s="5"/>
      <c r="T285" s="5"/>
      <c r="U285" s="5"/>
      <c r="V285" s="5"/>
      <c r="X285" s="5"/>
      <c r="Y285" s="5"/>
      <c r="AM285" s="16"/>
      <c r="AN285" s="16"/>
      <c r="AO285" s="7"/>
      <c r="AP285" s="6"/>
      <c r="AQ285" s="15"/>
      <c r="AR285" s="5"/>
    </row>
    <row r="286" spans="2:44" x14ac:dyDescent="0.35">
      <c r="B286" s="7"/>
      <c r="C286" s="7"/>
      <c r="D286" s="7"/>
      <c r="E286" s="5"/>
      <c r="F286" s="5"/>
      <c r="G286" s="5"/>
      <c r="H286" s="7"/>
      <c r="I286" s="16"/>
      <c r="J286" s="16"/>
      <c r="K286" s="16"/>
      <c r="L286" s="6"/>
      <c r="M286" s="5"/>
      <c r="N286" s="7"/>
      <c r="O286" s="6"/>
      <c r="P286" s="6"/>
      <c r="Q286" s="6"/>
      <c r="R286" s="5"/>
      <c r="S286" s="5"/>
      <c r="T286" s="5"/>
      <c r="U286" s="5"/>
      <c r="V286" s="5"/>
      <c r="X286" s="5"/>
      <c r="Y286" s="5"/>
      <c r="AM286" s="16"/>
      <c r="AN286" s="16"/>
      <c r="AO286" s="7"/>
      <c r="AP286" s="6"/>
      <c r="AQ286" s="15"/>
      <c r="AR286" s="5"/>
    </row>
    <row r="287" spans="2:44" x14ac:dyDescent="0.35">
      <c r="B287" s="7"/>
      <c r="C287" s="7"/>
      <c r="D287" s="7"/>
      <c r="E287" s="5"/>
      <c r="F287" s="5"/>
      <c r="G287" s="5"/>
      <c r="H287" s="7"/>
      <c r="I287" s="16"/>
      <c r="J287" s="16"/>
      <c r="K287" s="16"/>
      <c r="L287" s="6"/>
      <c r="M287" s="5"/>
      <c r="N287" s="7"/>
      <c r="O287" s="6"/>
      <c r="P287" s="6"/>
      <c r="Q287" s="6"/>
      <c r="R287" s="5"/>
      <c r="S287" s="5"/>
      <c r="T287" s="5"/>
      <c r="U287" s="5"/>
      <c r="V287" s="5"/>
      <c r="X287" s="5"/>
      <c r="Y287" s="5"/>
      <c r="AM287" s="16"/>
      <c r="AN287" s="16"/>
      <c r="AO287" s="7"/>
      <c r="AP287" s="6"/>
      <c r="AQ287" s="15"/>
      <c r="AR287" s="5"/>
    </row>
    <row r="288" spans="2:44" x14ac:dyDescent="0.35">
      <c r="B288" s="7"/>
      <c r="C288" s="7"/>
      <c r="D288" s="7"/>
      <c r="E288" s="5"/>
      <c r="F288" s="5"/>
      <c r="G288" s="5"/>
      <c r="H288" s="7"/>
      <c r="I288" s="16"/>
      <c r="J288" s="16"/>
      <c r="K288" s="16"/>
      <c r="L288" s="6"/>
      <c r="M288" s="5"/>
      <c r="N288" s="7"/>
      <c r="O288" s="6"/>
      <c r="P288" s="6"/>
      <c r="Q288" s="6"/>
      <c r="R288" s="5"/>
      <c r="S288" s="5"/>
      <c r="T288" s="5"/>
      <c r="U288" s="5"/>
      <c r="V288" s="5"/>
      <c r="X288" s="5"/>
      <c r="Y288" s="5"/>
      <c r="AM288" s="16"/>
      <c r="AN288" s="16"/>
      <c r="AO288" s="7"/>
      <c r="AP288" s="6"/>
      <c r="AQ288" s="15"/>
      <c r="AR288" s="5"/>
    </row>
    <row r="289" spans="2:44" x14ac:dyDescent="0.35">
      <c r="B289" s="7"/>
      <c r="C289" s="7"/>
      <c r="D289" s="7"/>
      <c r="E289" s="5"/>
      <c r="F289" s="5"/>
      <c r="G289" s="5"/>
      <c r="H289" s="7"/>
      <c r="I289" s="16"/>
      <c r="J289" s="16"/>
      <c r="K289" s="16"/>
      <c r="L289" s="6"/>
      <c r="M289" s="5"/>
      <c r="N289" s="7"/>
      <c r="O289" s="6"/>
      <c r="P289" s="6"/>
      <c r="Q289" s="6"/>
      <c r="R289" s="5"/>
      <c r="S289" s="5"/>
      <c r="T289" s="5"/>
      <c r="U289" s="5"/>
      <c r="V289" s="5"/>
      <c r="X289" s="5"/>
      <c r="Y289" s="5"/>
      <c r="AM289" s="16"/>
      <c r="AN289" s="16"/>
      <c r="AO289" s="7"/>
      <c r="AP289" s="6"/>
      <c r="AQ289" s="15"/>
      <c r="AR289" s="5"/>
    </row>
    <row r="290" spans="2:44" x14ac:dyDescent="0.35">
      <c r="B290" s="7"/>
      <c r="C290" s="7"/>
      <c r="D290" s="7"/>
      <c r="E290" s="5"/>
      <c r="F290" s="5"/>
      <c r="G290" s="5"/>
      <c r="H290" s="7"/>
      <c r="I290" s="16"/>
      <c r="J290" s="16"/>
      <c r="K290" s="16"/>
      <c r="L290" s="6"/>
      <c r="M290" s="5"/>
      <c r="N290" s="7"/>
      <c r="O290" s="6"/>
      <c r="P290" s="6"/>
      <c r="Q290" s="6"/>
      <c r="R290" s="5"/>
      <c r="S290" s="5"/>
      <c r="T290" s="5"/>
      <c r="U290" s="5"/>
      <c r="V290" s="5"/>
      <c r="X290" s="5"/>
      <c r="Y290" s="5"/>
      <c r="AM290" s="16"/>
      <c r="AN290" s="16"/>
      <c r="AO290" s="7"/>
      <c r="AP290" s="6"/>
      <c r="AQ290" s="15"/>
      <c r="AR290" s="5"/>
    </row>
    <row r="291" spans="2:44" x14ac:dyDescent="0.35">
      <c r="B291" s="7"/>
      <c r="C291" s="7"/>
      <c r="D291" s="7"/>
      <c r="E291" s="5"/>
      <c r="F291" s="5"/>
      <c r="G291" s="5"/>
      <c r="H291" s="7"/>
      <c r="I291" s="16"/>
      <c r="J291" s="16"/>
      <c r="K291" s="16"/>
      <c r="L291" s="6"/>
      <c r="M291" s="5"/>
      <c r="N291" s="7"/>
      <c r="O291" s="6"/>
      <c r="P291" s="6"/>
      <c r="Q291" s="6"/>
      <c r="R291" s="5"/>
      <c r="S291" s="5"/>
      <c r="T291" s="5"/>
      <c r="U291" s="5"/>
      <c r="V291" s="5"/>
      <c r="X291" s="5"/>
      <c r="Y291" s="5"/>
      <c r="AM291" s="16"/>
      <c r="AN291" s="16"/>
      <c r="AO291" s="7"/>
      <c r="AP291" s="6"/>
      <c r="AQ291" s="15"/>
      <c r="AR291" s="5"/>
    </row>
    <row r="292" spans="2:44" x14ac:dyDescent="0.35">
      <c r="B292" s="7"/>
      <c r="C292" s="7"/>
      <c r="D292" s="7"/>
      <c r="E292" s="5"/>
      <c r="F292" s="5"/>
      <c r="G292" s="5"/>
      <c r="H292" s="7"/>
      <c r="I292" s="16"/>
      <c r="J292" s="16"/>
      <c r="K292" s="16"/>
      <c r="L292" s="6"/>
      <c r="M292" s="5"/>
      <c r="N292" s="7"/>
      <c r="O292" s="6"/>
      <c r="P292" s="6"/>
      <c r="Q292" s="6"/>
      <c r="R292" s="5"/>
      <c r="S292" s="5"/>
      <c r="T292" s="5"/>
      <c r="U292" s="5"/>
      <c r="V292" s="5"/>
      <c r="X292" s="5"/>
      <c r="Y292" s="5"/>
      <c r="AM292" s="16"/>
      <c r="AN292" s="16"/>
      <c r="AO292" s="7"/>
      <c r="AP292" s="6"/>
      <c r="AQ292" s="15"/>
      <c r="AR292" s="5"/>
    </row>
    <row r="293" spans="2:44" x14ac:dyDescent="0.35">
      <c r="B293" s="7"/>
      <c r="C293" s="7"/>
      <c r="D293" s="7"/>
      <c r="E293" s="5"/>
      <c r="F293" s="5"/>
      <c r="G293" s="5"/>
      <c r="H293" s="7"/>
      <c r="I293" s="16"/>
      <c r="J293" s="16"/>
      <c r="K293" s="16"/>
      <c r="L293" s="6"/>
      <c r="M293" s="5"/>
      <c r="N293" s="7"/>
      <c r="O293" s="6"/>
      <c r="P293" s="6"/>
      <c r="Q293" s="6"/>
      <c r="R293" s="5"/>
      <c r="S293" s="5"/>
      <c r="T293" s="5"/>
      <c r="U293" s="5"/>
      <c r="V293" s="5"/>
      <c r="X293" s="5"/>
      <c r="Y293" s="5"/>
      <c r="AM293" s="16"/>
      <c r="AN293" s="16"/>
      <c r="AO293" s="7"/>
      <c r="AP293" s="6"/>
      <c r="AQ293" s="15"/>
      <c r="AR293" s="5"/>
    </row>
    <row r="294" spans="2:44" x14ac:dyDescent="0.35">
      <c r="B294" s="7"/>
      <c r="C294" s="7"/>
      <c r="D294" s="7"/>
      <c r="E294" s="5"/>
      <c r="F294" s="5"/>
      <c r="G294" s="5"/>
      <c r="H294" s="7"/>
      <c r="I294" s="16"/>
      <c r="J294" s="16"/>
      <c r="K294" s="16"/>
      <c r="L294" s="6"/>
      <c r="M294" s="5"/>
      <c r="N294" s="7"/>
      <c r="O294" s="6"/>
      <c r="P294" s="6"/>
      <c r="Q294" s="6"/>
      <c r="R294" s="5"/>
      <c r="S294" s="5"/>
      <c r="T294" s="5"/>
      <c r="U294" s="5"/>
      <c r="V294" s="5"/>
      <c r="X294" s="5"/>
      <c r="Y294" s="5"/>
      <c r="AM294" s="16"/>
      <c r="AN294" s="16"/>
      <c r="AO294" s="7"/>
      <c r="AP294" s="6"/>
      <c r="AQ294" s="15"/>
      <c r="AR294" s="5"/>
    </row>
    <row r="295" spans="2:44" x14ac:dyDescent="0.35">
      <c r="B295" s="7"/>
      <c r="C295" s="7"/>
      <c r="D295" s="7"/>
      <c r="E295" s="5"/>
      <c r="F295" s="5"/>
      <c r="G295" s="5"/>
      <c r="H295" s="7"/>
      <c r="I295" s="16"/>
      <c r="J295" s="16"/>
      <c r="K295" s="16"/>
      <c r="L295" s="6"/>
      <c r="M295" s="5"/>
      <c r="N295" s="7"/>
      <c r="O295" s="6"/>
      <c r="P295" s="6"/>
      <c r="Q295" s="6"/>
      <c r="R295" s="5"/>
      <c r="S295" s="5"/>
      <c r="T295" s="5"/>
      <c r="U295" s="5"/>
      <c r="V295" s="5"/>
      <c r="X295" s="5"/>
      <c r="Y295" s="5"/>
      <c r="AM295" s="16"/>
      <c r="AN295" s="16"/>
      <c r="AO295" s="7"/>
      <c r="AP295" s="6"/>
      <c r="AQ295" s="15"/>
      <c r="AR295" s="5"/>
    </row>
    <row r="296" spans="2:44" x14ac:dyDescent="0.35">
      <c r="B296" s="7"/>
      <c r="C296" s="7"/>
      <c r="D296" s="7"/>
      <c r="E296" s="5"/>
      <c r="F296" s="5"/>
      <c r="G296" s="5"/>
      <c r="H296" s="7"/>
      <c r="I296" s="16"/>
      <c r="J296" s="16"/>
      <c r="K296" s="16"/>
      <c r="L296" s="6"/>
      <c r="M296" s="5"/>
      <c r="N296" s="7"/>
      <c r="O296" s="6"/>
      <c r="P296" s="6"/>
      <c r="Q296" s="6"/>
      <c r="R296" s="5"/>
      <c r="S296" s="5"/>
      <c r="T296" s="5"/>
      <c r="U296" s="5"/>
      <c r="V296" s="5"/>
      <c r="X296" s="5"/>
      <c r="Y296" s="5"/>
      <c r="AM296" s="16"/>
      <c r="AN296" s="16"/>
      <c r="AO296" s="7"/>
      <c r="AP296" s="6"/>
      <c r="AQ296" s="15"/>
      <c r="AR296" s="5"/>
    </row>
    <row r="297" spans="2:44" x14ac:dyDescent="0.35">
      <c r="B297" s="7"/>
      <c r="C297" s="7"/>
      <c r="D297" s="7"/>
      <c r="E297" s="5"/>
      <c r="F297" s="5"/>
      <c r="G297" s="5"/>
      <c r="H297" s="7"/>
      <c r="I297" s="16"/>
      <c r="J297" s="16"/>
      <c r="K297" s="16"/>
      <c r="L297" s="6"/>
      <c r="M297" s="5"/>
      <c r="N297" s="7"/>
      <c r="O297" s="6"/>
      <c r="P297" s="6"/>
      <c r="Q297" s="6"/>
      <c r="R297" s="5"/>
      <c r="S297" s="5"/>
      <c r="T297" s="5"/>
      <c r="U297" s="5"/>
      <c r="V297" s="5"/>
      <c r="X297" s="5"/>
      <c r="Y297" s="5"/>
      <c r="AM297" s="16"/>
      <c r="AN297" s="16"/>
      <c r="AO297" s="7"/>
      <c r="AP297" s="6"/>
      <c r="AQ297" s="15"/>
      <c r="AR297" s="5"/>
    </row>
    <row r="298" spans="2:44" x14ac:dyDescent="0.35">
      <c r="B298" s="7"/>
      <c r="C298" s="7"/>
      <c r="D298" s="7"/>
      <c r="E298" s="5"/>
      <c r="F298" s="5"/>
      <c r="G298" s="5"/>
      <c r="H298" s="7"/>
      <c r="I298" s="16"/>
      <c r="J298" s="16"/>
      <c r="K298" s="16"/>
      <c r="L298" s="6"/>
      <c r="M298" s="5"/>
      <c r="N298" s="7"/>
      <c r="O298" s="6"/>
      <c r="P298" s="6"/>
      <c r="Q298" s="6"/>
      <c r="R298" s="5"/>
      <c r="S298" s="5"/>
      <c r="T298" s="5"/>
      <c r="U298" s="5"/>
      <c r="V298" s="5"/>
      <c r="X298" s="5"/>
      <c r="Y298" s="5"/>
      <c r="AM298" s="16"/>
      <c r="AN298" s="16"/>
      <c r="AO298" s="7"/>
      <c r="AP298" s="6"/>
      <c r="AQ298" s="15"/>
      <c r="AR298" s="5"/>
    </row>
    <row r="299" spans="2:44" x14ac:dyDescent="0.35">
      <c r="B299" s="7"/>
      <c r="C299" s="7"/>
      <c r="D299" s="7"/>
      <c r="E299" s="5"/>
      <c r="F299" s="5"/>
      <c r="G299" s="5"/>
      <c r="H299" s="7"/>
      <c r="I299" s="16"/>
      <c r="J299" s="16"/>
      <c r="K299" s="16"/>
      <c r="L299" s="6"/>
      <c r="M299" s="5"/>
      <c r="N299" s="7"/>
      <c r="O299" s="6"/>
      <c r="P299" s="6"/>
      <c r="Q299" s="6"/>
      <c r="R299" s="5"/>
      <c r="S299" s="5"/>
      <c r="T299" s="5"/>
      <c r="U299" s="5"/>
      <c r="V299" s="5"/>
      <c r="X299" s="5"/>
      <c r="Y299" s="5"/>
      <c r="AM299" s="16"/>
      <c r="AN299" s="16"/>
      <c r="AO299" s="7"/>
      <c r="AP299" s="6"/>
      <c r="AQ299" s="15"/>
      <c r="AR299" s="5"/>
    </row>
    <row r="300" spans="2:44" x14ac:dyDescent="0.35">
      <c r="B300" s="7"/>
      <c r="C300" s="7"/>
      <c r="D300" s="7"/>
      <c r="E300" s="5"/>
      <c r="F300" s="5"/>
      <c r="G300" s="5"/>
      <c r="H300" s="7"/>
      <c r="I300" s="16"/>
      <c r="J300" s="16"/>
      <c r="K300" s="16"/>
      <c r="L300" s="6"/>
      <c r="M300" s="5"/>
      <c r="N300" s="7"/>
      <c r="O300" s="6"/>
      <c r="P300" s="6"/>
      <c r="Q300" s="6"/>
      <c r="R300" s="5"/>
      <c r="S300" s="5"/>
      <c r="T300" s="5"/>
      <c r="U300" s="5"/>
      <c r="V300" s="5"/>
      <c r="X300" s="5"/>
      <c r="Y300" s="5"/>
      <c r="AM300" s="16"/>
      <c r="AN300" s="16"/>
      <c r="AO300" s="7"/>
      <c r="AP300" s="6"/>
      <c r="AQ300" s="15"/>
      <c r="AR300" s="5"/>
    </row>
    <row r="301" spans="2:44" x14ac:dyDescent="0.35">
      <c r="B301" s="7"/>
      <c r="C301" s="7"/>
      <c r="D301" s="7"/>
      <c r="E301" s="5"/>
      <c r="F301" s="5"/>
      <c r="G301" s="5"/>
      <c r="H301" s="7"/>
      <c r="I301" s="16"/>
      <c r="J301" s="16"/>
      <c r="K301" s="16"/>
      <c r="L301" s="6"/>
      <c r="M301" s="5"/>
      <c r="N301" s="7"/>
      <c r="O301" s="6"/>
      <c r="P301" s="6"/>
      <c r="Q301" s="6"/>
      <c r="R301" s="5"/>
      <c r="S301" s="5"/>
      <c r="T301" s="5"/>
      <c r="U301" s="5"/>
      <c r="V301" s="5"/>
      <c r="X301" s="5"/>
      <c r="Y301" s="5"/>
      <c r="AM301" s="16"/>
      <c r="AN301" s="16"/>
      <c r="AO301" s="7"/>
      <c r="AP301" s="6"/>
      <c r="AQ301" s="15"/>
      <c r="AR301" s="5"/>
    </row>
    <row r="302" spans="2:44" x14ac:dyDescent="0.35">
      <c r="B302" s="7"/>
      <c r="C302" s="7"/>
      <c r="D302" s="7"/>
      <c r="E302" s="5"/>
      <c r="F302" s="5"/>
      <c r="G302" s="5"/>
      <c r="H302" s="7"/>
      <c r="I302" s="16"/>
      <c r="J302" s="16"/>
      <c r="K302" s="16"/>
      <c r="L302" s="6"/>
      <c r="M302" s="5"/>
      <c r="N302" s="7"/>
      <c r="O302" s="6"/>
      <c r="P302" s="6"/>
      <c r="Q302" s="6"/>
      <c r="R302" s="5"/>
      <c r="S302" s="5"/>
      <c r="T302" s="5"/>
      <c r="U302" s="5"/>
      <c r="V302" s="5"/>
      <c r="X302" s="5"/>
      <c r="Y302" s="5"/>
      <c r="AM302" s="16"/>
      <c r="AN302" s="16"/>
      <c r="AO302" s="7"/>
      <c r="AP302" s="6"/>
      <c r="AQ302" s="15"/>
      <c r="AR302" s="5"/>
    </row>
    <row r="303" spans="2:44" x14ac:dyDescent="0.35">
      <c r="B303" s="7"/>
      <c r="C303" s="7"/>
      <c r="D303" s="7"/>
      <c r="E303" s="5"/>
      <c r="F303" s="5"/>
      <c r="G303" s="5"/>
      <c r="H303" s="7"/>
      <c r="I303" s="16"/>
      <c r="J303" s="16"/>
      <c r="K303" s="16"/>
      <c r="L303" s="6"/>
      <c r="M303" s="5"/>
      <c r="N303" s="7"/>
      <c r="O303" s="6"/>
      <c r="P303" s="6"/>
      <c r="Q303" s="6"/>
      <c r="R303" s="5"/>
      <c r="S303" s="5"/>
      <c r="T303" s="5"/>
      <c r="U303" s="5"/>
      <c r="V303" s="5"/>
      <c r="X303" s="5"/>
      <c r="Y303" s="5"/>
      <c r="AM303" s="16"/>
      <c r="AN303" s="16"/>
      <c r="AO303" s="7"/>
      <c r="AP303" s="6"/>
      <c r="AQ303" s="15"/>
      <c r="AR303" s="5"/>
    </row>
    <row r="304" spans="2:44" x14ac:dyDescent="0.35">
      <c r="B304" s="7"/>
      <c r="C304" s="7"/>
      <c r="D304" s="7"/>
      <c r="E304" s="5"/>
      <c r="F304" s="5"/>
      <c r="G304" s="5"/>
      <c r="H304" s="7"/>
      <c r="I304" s="16"/>
      <c r="J304" s="16"/>
      <c r="K304" s="16"/>
      <c r="L304" s="6"/>
      <c r="M304" s="5"/>
      <c r="N304" s="7"/>
      <c r="O304" s="6"/>
      <c r="P304" s="6"/>
      <c r="Q304" s="6"/>
      <c r="R304" s="5"/>
      <c r="S304" s="5"/>
      <c r="T304" s="5"/>
      <c r="U304" s="5"/>
      <c r="V304" s="5"/>
      <c r="X304" s="5"/>
      <c r="Y304" s="5"/>
      <c r="AM304" s="16"/>
      <c r="AN304" s="16"/>
      <c r="AO304" s="7"/>
      <c r="AP304" s="6"/>
      <c r="AQ304" s="15"/>
      <c r="AR304" s="5"/>
    </row>
    <row r="305" spans="5:5" x14ac:dyDescent="0.35">
      <c r="E30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6B2D-5FAB-4DAF-AADF-0651BFC8C3D4}">
  <dimension ref="A1:T353"/>
  <sheetViews>
    <sheetView topLeftCell="C1" workbookViewId="0">
      <selection activeCell="G4" sqref="G4"/>
    </sheetView>
  </sheetViews>
  <sheetFormatPr defaultRowHeight="14.5" x14ac:dyDescent="0.35"/>
  <cols>
    <col min="2" max="2" width="11.1796875" bestFit="1" customWidth="1"/>
    <col min="3" max="7" width="9.26953125" bestFit="1" customWidth="1"/>
    <col min="8" max="8" width="9.26953125" style="5" bestFit="1" customWidth="1"/>
    <col min="9" max="9" width="10.26953125" bestFit="1" customWidth="1"/>
    <col min="10" max="10" width="12.26953125" bestFit="1" customWidth="1"/>
    <col min="11" max="11" width="9.26953125" bestFit="1" customWidth="1"/>
    <col min="12" max="12" width="9.26953125" customWidth="1"/>
    <col min="13" max="13" width="9.26953125" style="16" customWidth="1"/>
    <col min="14" max="15" width="9.26953125" bestFit="1" customWidth="1"/>
    <col min="16" max="16" width="10.1796875" bestFit="1" customWidth="1"/>
    <col min="17" max="17" width="9.26953125" bestFit="1" customWidth="1"/>
    <col min="18" max="18" width="10" bestFit="1" customWidth="1"/>
    <col min="19" max="19" width="13.26953125" customWidth="1"/>
  </cols>
  <sheetData>
    <row r="1" spans="1:20" x14ac:dyDescent="0.35">
      <c r="A1" s="1" t="s">
        <v>178</v>
      </c>
      <c r="M1"/>
    </row>
    <row r="2" spans="1:20" x14ac:dyDescent="0.35">
      <c r="B2" s="3"/>
      <c r="C2" s="3"/>
      <c r="D2" s="3"/>
      <c r="E2" s="7"/>
      <c r="F2" s="7"/>
      <c r="G2" s="7"/>
      <c r="M2"/>
    </row>
    <row r="3" spans="1:20" x14ac:dyDescent="0.35">
      <c r="A3" t="s">
        <v>5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s="39" t="s">
        <v>70</v>
      </c>
      <c r="L3" s="39" t="s">
        <v>74</v>
      </c>
      <c r="M3" s="39" t="s">
        <v>75</v>
      </c>
      <c r="N3" t="s">
        <v>76</v>
      </c>
      <c r="O3" t="s">
        <v>77</v>
      </c>
      <c r="P3" t="s">
        <v>78</v>
      </c>
      <c r="Q3" s="39" t="s">
        <v>79</v>
      </c>
      <c r="R3" t="s">
        <v>80</v>
      </c>
      <c r="S3" t="s">
        <v>81</v>
      </c>
      <c r="T3" t="s">
        <v>91</v>
      </c>
    </row>
    <row r="4" spans="1:20" x14ac:dyDescent="0.35">
      <c r="A4">
        <v>0</v>
      </c>
      <c r="B4" s="13">
        <v>5.3292678898811577E-2</v>
      </c>
      <c r="C4" s="13">
        <v>1.0280404056943334E-2</v>
      </c>
      <c r="D4" s="12">
        <v>0.29314864116775186</v>
      </c>
      <c r="E4" s="5">
        <f>Parameters!B25</f>
        <v>0.79083499999999995</v>
      </c>
      <c r="F4" s="7">
        <f>Parameters!B26</f>
        <v>0.15254000000000001</v>
      </c>
      <c r="G4" s="19">
        <f>Parameters!B27</f>
        <v>4.3499999999999996</v>
      </c>
      <c r="H4" s="5">
        <v>0</v>
      </c>
      <c r="I4" s="5">
        <f>Parameters!B28</f>
        <v>8.16</v>
      </c>
      <c r="J4" s="5">
        <f>Parameters!B29</f>
        <v>9.0525878509486422</v>
      </c>
      <c r="K4" s="5">
        <f>'6states'!$N$4</f>
        <v>0.98104277196026479</v>
      </c>
      <c r="L4" s="7">
        <f>1-1/Parameters!$B$12</f>
        <v>0.5</v>
      </c>
      <c r="M4" s="16">
        <f>1/(1-L4)</f>
        <v>2</v>
      </c>
      <c r="N4" s="5">
        <f>(Parameters!$B$19*(E4+Parameters!$B$20)^L4+Parameters!$B$18*F4^L4)^(1/L4)</f>
        <v>0.55006250755068387</v>
      </c>
      <c r="O4" s="5">
        <f>(Parameters!$B$10*G4^Parameters!$B$9 + Parameters!$B$11*N4^Parameters!$B$9) ^ (Parameters!$B$7/Parameters!$B$9) * K4</f>
        <v>1.5023869881199998</v>
      </c>
      <c r="P4" s="5">
        <f t="shared" ref="P4:P67" si="0">O4-B4-C4-D4</f>
        <v>1.1456652639964933</v>
      </c>
      <c r="Q4" s="5">
        <f>EXP(-Parameters!$B$56*A4)</f>
        <v>1</v>
      </c>
      <c r="R4" s="5">
        <f>IF(P4&gt;0,P4^(1-Parameters!$B$53)/(1-Parameters!$B$53)*Q4,-10+P4*1000)</f>
        <v>-2.7243427457237752</v>
      </c>
      <c r="S4" s="18">
        <f>SUM(R4:R353)*Parameters!$B$71</f>
        <v>-181.78832672161133</v>
      </c>
      <c r="T4" s="10">
        <f t="shared" ref="T4:T35" si="1">(B4+C4+D4)/O4</f>
        <v>0.23743664378369497</v>
      </c>
    </row>
    <row r="5" spans="1:20" x14ac:dyDescent="0.35">
      <c r="A5">
        <f>A4+Parameters!$B$71</f>
        <v>1</v>
      </c>
      <c r="B5" s="13">
        <v>5.3292418436296639E-2</v>
      </c>
      <c r="C5" s="13">
        <v>1.0280425751479784E-2</v>
      </c>
      <c r="D5" s="12">
        <v>0.29315075407898017</v>
      </c>
      <c r="E5" s="5">
        <f>MAX((1-Parameters!$B$4)^Parameters!B$71*E4+B4*Parameters!B$71-Parameters!$B$5*B4^2/E4*Parameters!B$71,0.0001)</f>
        <v>0.79079287777131435</v>
      </c>
      <c r="F5" s="7">
        <f>MAX((1-Parameters!$B$4)^Parameters!B$71*F4+C4*Parameters!B$71-Parameters!$B$5*C4^2/F4*Parameters!B$71,0.0001)</f>
        <v>0.15253279219635585</v>
      </c>
      <c r="G5" s="5">
        <f>MAX((1-Parameters!$B$4)^Parameters!B$71*G4+D4*Parameters!B$71-Parameters!$B$5*D4^2/G4*Parameters!B$71,0.0001)</f>
        <v>4.349778209945109</v>
      </c>
      <c r="H5" s="5">
        <f>H4 *(1-Parameters!$B$4)-B4*(B4&lt;0)*Parameters!B$71</f>
        <v>0</v>
      </c>
      <c r="I5" s="5">
        <f>I4*(1+Parameters!$B$52)^Parameters!B$71</f>
        <v>8.1836639999999985</v>
      </c>
      <c r="J5" s="5">
        <f>J4*(1+Parameters!$B$54)^Parameters!B$71</f>
        <v>9.233639607967616</v>
      </c>
      <c r="K5" s="5">
        <f>'6states'!$N$4</f>
        <v>0.98104277196026479</v>
      </c>
      <c r="L5" s="7">
        <f>L4</f>
        <v>0.5</v>
      </c>
      <c r="M5" s="16">
        <f t="shared" ref="M5:M65" si="2">1/(1-L5)</f>
        <v>2</v>
      </c>
      <c r="N5" s="5">
        <f>(Parameters!$B$19*(E5+Parameters!$B$20)^L5+Parameters!$B$18*F5^L5)^(1/L5)</f>
        <v>0.55003404592563132</v>
      </c>
      <c r="O5" s="5">
        <f>(Parameters!$B$10*G5^Parameters!$B$9 + Parameters!$B$11*N5^Parameters!$B$9) ^ (Parameters!$B$7/Parameters!$B$9) * K5</f>
        <v>1.5023639461184783</v>
      </c>
      <c r="P5" s="5">
        <f t="shared" si="0"/>
        <v>1.1456403478517219</v>
      </c>
      <c r="Q5" s="5">
        <f>EXP(-Parameters!$B$56*A5)</f>
        <v>0.98501343333449787</v>
      </c>
      <c r="R5" s="5">
        <f>IF(P5&gt;0,P5^(1-Parameters!$B$53)/(1-Parameters!$B$53)*Q5,-10+P5*1000)</f>
        <v>-2.683534628396155</v>
      </c>
      <c r="S5" s="5"/>
      <c r="T5" s="10">
        <f t="shared" si="1"/>
        <v>0.23744153285120495</v>
      </c>
    </row>
    <row r="6" spans="1:20" x14ac:dyDescent="0.35">
      <c r="A6">
        <f>A5+Parameters!$B$71</f>
        <v>2</v>
      </c>
      <c r="B6" s="13">
        <v>5.3292062710799552E-2</v>
      </c>
      <c r="C6" s="13">
        <v>1.0280338788287501E-2</v>
      </c>
      <c r="D6" s="12">
        <v>0.29315192128872036</v>
      </c>
      <c r="E6" s="5">
        <f>MAX((1-Parameters!$B$4)^Parameters!B$71*E5+B5*Parameters!B$71-Parameters!$B$5*B5^2/E5*Parameters!B$71,0.0001)</f>
        <v>0.79075298838166219</v>
      </c>
      <c r="F6" s="7">
        <f>MAX((1-Parameters!$B$4)^Parameters!B$71*F5+C5*Parameters!B$71-Parameters!$B$5*C5^2/F5*Parameters!B$71,0.0001)</f>
        <v>0.15252602379393285</v>
      </c>
      <c r="G6" s="5">
        <f>MAX((1-Parameters!$B$4)^Parameters!B$71*G5+D5*Parameters!B$71-Parameters!$B$5*D5^2/G5*Parameters!B$71,0.0001)</f>
        <v>4.3495711912939843</v>
      </c>
      <c r="H6" s="5">
        <f>H5 *(1-Parameters!$B$4)-B5*(B5&lt;0)*Parameters!B$71</f>
        <v>0</v>
      </c>
      <c r="I6" s="5">
        <f>I5*(1+Parameters!$B$52)^Parameters!B$71</f>
        <v>8.2073966255999977</v>
      </c>
      <c r="J6" s="5">
        <f>J5*(1+Parameters!$B$54)^Parameters!B$71</f>
        <v>9.4183124001269682</v>
      </c>
      <c r="K6" s="5">
        <f>'6states'!$N$4</f>
        <v>0.98104277196026479</v>
      </c>
      <c r="L6" s="7">
        <f t="shared" ref="L6:L69" si="3">L5</f>
        <v>0.5</v>
      </c>
      <c r="M6" s="16">
        <f t="shared" si="2"/>
        <v>2</v>
      </c>
      <c r="N6" s="5">
        <f>(Parameters!$B$19*(E6+Parameters!$B$20)^L6+Parameters!$B$18*F6^L6)^(1/L6)</f>
        <v>0.5500071260843814</v>
      </c>
      <c r="O6" s="5">
        <f>(Parameters!$B$10*G6^Parameters!$B$9 + Parameters!$B$11*N6^Parameters!$B$9) ^ (Parameters!$B$7/Parameters!$B$9) * K6</f>
        <v>1.5023423858729663</v>
      </c>
      <c r="P6" s="5">
        <f t="shared" si="0"/>
        <v>1.1456180630851589</v>
      </c>
      <c r="Q6" s="5">
        <f>EXP(-Parameters!$B$56*A6)</f>
        <v>0.9702514638494153</v>
      </c>
      <c r="R6" s="5">
        <f>IF(P6&gt;0,P6^(1-Parameters!$B$53)/(1-Parameters!$B$53)*Q6,-10+P6*1000)</f>
        <v>-2.6433356540747619</v>
      </c>
      <c r="S6" s="5"/>
      <c r="T6" s="10">
        <f t="shared" si="1"/>
        <v>0.23744542265611815</v>
      </c>
    </row>
    <row r="7" spans="1:20" x14ac:dyDescent="0.35">
      <c r="A7">
        <f>A6+Parameters!$B$71</f>
        <v>3</v>
      </c>
      <c r="B7" s="13">
        <v>5.3291704782402381E-2</v>
      </c>
      <c r="C7" s="13">
        <v>1.0280066465217976E-2</v>
      </c>
      <c r="D7" s="12">
        <v>0.29315211616670434</v>
      </c>
      <c r="E7" s="5">
        <f>MAX((1-Parameters!$B$4)^Parameters!B$71*E6+B6*Parameters!B$71-Parameters!$B$5*B6^2/E6*Parameters!B$71,0.0001)</f>
        <v>0.79071511908753878</v>
      </c>
      <c r="F7" s="7">
        <f>MAX((1-Parameters!$B$4)^Parameters!B$71*F6+C6*Parameters!B$71-Parameters!$B$5*C6^2/F6*Parameters!B$71,0.0001)</f>
        <v>0.15251957513672382</v>
      </c>
      <c r="G7" s="5">
        <f>MAX((1-Parameters!$B$4)^Parameters!B$71*G6+D6*Parameters!B$71-Parameters!$B$5*D6^2/G6*Parameters!B$71,0.0001)</f>
        <v>4.3493772636661943</v>
      </c>
      <c r="H7" s="5">
        <f>H6 *(1-Parameters!$B$4)-B6*(B6&lt;0)*Parameters!B$71</f>
        <v>0</v>
      </c>
      <c r="I7" s="5">
        <f>I6*(1+Parameters!$B$52)^Parameters!B$71</f>
        <v>8.2311980758142376</v>
      </c>
      <c r="J7" s="5">
        <f>J6*(1+Parameters!$B$54)^Parameters!B$71</f>
        <v>9.6066786481295079</v>
      </c>
      <c r="K7" s="5">
        <f>'6states'!$N$4</f>
        <v>0.98104277196026479</v>
      </c>
      <c r="L7" s="7">
        <f t="shared" si="3"/>
        <v>0.5</v>
      </c>
      <c r="M7" s="16">
        <f t="shared" si="2"/>
        <v>2</v>
      </c>
      <c r="N7" s="5">
        <f>(Parameters!$B$19*(E7+Parameters!$B$20)^L7+Parameters!$B$18*F7^L7)^(1/L7)</f>
        <v>0.5499815562448247</v>
      </c>
      <c r="O7" s="5">
        <f>(Parameters!$B$10*G7^Parameters!$B$9 + Parameters!$B$11*N7^Parameters!$B$9) ^ (Parameters!$B$7/Parameters!$B$9) * K7</f>
        <v>1.5023221364549877</v>
      </c>
      <c r="P7" s="5">
        <f t="shared" si="0"/>
        <v>1.1455982490406629</v>
      </c>
      <c r="Q7" s="5">
        <f>EXP(-Parameters!$B$56*A7)</f>
        <v>0.95571072560413495</v>
      </c>
      <c r="R7" s="5">
        <f>IF(P7&gt;0,P7^(1-Parameters!$B$53)/(1-Parameters!$B$53)*Q7,-10+P7*1000)</f>
        <v>-2.6037368896960462</v>
      </c>
      <c r="S7" s="5"/>
      <c r="T7" s="10">
        <f t="shared" si="1"/>
        <v>0.2374483333222274</v>
      </c>
    </row>
    <row r="8" spans="1:20" x14ac:dyDescent="0.35">
      <c r="A8">
        <f>A7+Parameters!$B$71</f>
        <v>4</v>
      </c>
      <c r="B8" s="13">
        <v>5.3291484116683815E-2</v>
      </c>
      <c r="C8" s="13">
        <v>1.0279643484928963E-2</v>
      </c>
      <c r="D8" s="12">
        <v>0.29315135814935656</v>
      </c>
      <c r="E8" s="5">
        <f>MAX((1-Parameters!$B$4)^Parameters!B$71*E7+B7*Parameters!B$71-Parameters!$B$5*B7^2/E7*Parameters!B$71,0.0001)</f>
        <v>0.79067915008118539</v>
      </c>
      <c r="F8" s="7">
        <f>MAX((1-Parameters!$B$4)^Parameters!B$71*F7+C7*Parameters!B$71-Parameters!$B$5*C7^2/F7*Parameters!B$71,0.0001)</f>
        <v>0.15251326719107827</v>
      </c>
      <c r="G8" s="5">
        <f>MAX((1-Parameters!$B$4)^Parameters!B$71*G7+D7*Parameters!B$71-Parameters!$B$5*D7^2/G7*Parameters!B$71,0.0001)</f>
        <v>4.3491948217434713</v>
      </c>
      <c r="H8" s="5">
        <f>H7 *(1-Parameters!$B$4)-B7*(B7&lt;0)*Parameters!B$71</f>
        <v>0</v>
      </c>
      <c r="I8" s="5">
        <f>I7*(1+Parameters!$B$52)^Parameters!B$71</f>
        <v>8.2550685502340979</v>
      </c>
      <c r="J8" s="5">
        <f>J7*(1+Parameters!$B$54)^Parameters!B$71</f>
        <v>9.7988122210920974</v>
      </c>
      <c r="K8" s="5">
        <f>'6states'!$N$4</f>
        <v>0.98104277196026479</v>
      </c>
      <c r="L8" s="7">
        <f t="shared" si="3"/>
        <v>0.5</v>
      </c>
      <c r="M8" s="16">
        <f t="shared" si="2"/>
        <v>2</v>
      </c>
      <c r="N8" s="5">
        <f>(Parameters!$B$19*(E8+Parameters!$B$20)^L8+Parameters!$B$18*F8^L8)^(1/L8)</f>
        <v>0.54995716398738681</v>
      </c>
      <c r="O8" s="5">
        <f>(Parameters!$B$10*G8^Parameters!$B$9 + Parameters!$B$11*N8^Parameters!$B$9) ^ (Parameters!$B$7/Parameters!$B$9) * K8</f>
        <v>1.5023030361382055</v>
      </c>
      <c r="P8" s="5">
        <f t="shared" si="0"/>
        <v>1.1455805503872361</v>
      </c>
      <c r="Q8" s="5">
        <f>EXP(-Parameters!$B$56*A8)</f>
        <v>0.94138790310193321</v>
      </c>
      <c r="R8" s="5">
        <f>IF(P8&gt;0,P8^(1-Parameters!$B$53)/(1-Parameters!$B$53)*Q8,-10+P8*1000)</f>
        <v>-2.5647296814067513</v>
      </c>
      <c r="S8" s="5"/>
      <c r="T8" s="10">
        <f t="shared" si="1"/>
        <v>0.23745041923629073</v>
      </c>
    </row>
    <row r="9" spans="1:20" x14ac:dyDescent="0.35">
      <c r="A9">
        <f>A8+Parameters!$B$71</f>
        <v>5</v>
      </c>
      <c r="B9" s="13">
        <v>5.3291487463747136E-2</v>
      </c>
      <c r="C9" s="13">
        <v>1.0279048430501703E-2</v>
      </c>
      <c r="D9" s="12">
        <v>0.29314980467489105</v>
      </c>
      <c r="E9" s="5">
        <f>MAX((1-Parameters!$B$4)^Parameters!B$71*E8+B8*Parameters!B$71-Parameters!$B$5*B8^2/E8*Parameters!B$71,0.0001)</f>
        <v>0.79064508921454968</v>
      </c>
      <c r="F9" s="7">
        <f>MAX((1-Parameters!$B$4)^Parameters!B$71*F8+C8*Parameters!B$71-Parameters!$B$5*C8^2/F8*Parameters!B$71,0.0001)</f>
        <v>0.15250696139717751</v>
      </c>
      <c r="G9" s="5">
        <f>MAX((1-Parameters!$B$4)^Parameters!B$71*G8+D8*Parameters!B$71-Parameters!$B$5*D8^2/G8*Parameters!B$71,0.0001)</f>
        <v>4.3490223707389033</v>
      </c>
      <c r="H9" s="5">
        <f>H8 *(1-Parameters!$B$4)-B8*(B8&lt;0)*Parameters!B$71</f>
        <v>0</v>
      </c>
      <c r="I9" s="5">
        <f>I8*(1+Parameters!$B$52)^Parameters!B$71</f>
        <v>8.2790082490297756</v>
      </c>
      <c r="J9" s="5">
        <f>J8*(1+Parameters!$B$54)^Parameters!B$71</f>
        <v>9.9947884655139401</v>
      </c>
      <c r="K9" s="5">
        <f>'6states'!$N$4</f>
        <v>0.98104277196026479</v>
      </c>
      <c r="L9" s="7">
        <f t="shared" si="3"/>
        <v>0.5</v>
      </c>
      <c r="M9" s="16">
        <f t="shared" si="2"/>
        <v>2</v>
      </c>
      <c r="N9" s="5">
        <f>(Parameters!$B$19*(E9+Parameters!$B$20)^L9+Parameters!$B$18*F9^L9)^(1/L9)</f>
        <v>0.5499338738996925</v>
      </c>
      <c r="O9" s="5">
        <f>(Parameters!$B$10*G9^Parameters!$B$9 + Parameters!$B$11*N9^Parameters!$B$9) ^ (Parameters!$B$7/Parameters!$B$9) * K9</f>
        <v>1.5022849468572823</v>
      </c>
      <c r="P9" s="5">
        <f t="shared" si="0"/>
        <v>1.1455646062881424</v>
      </c>
      <c r="Q9" s="5">
        <f>EXP(-Parameters!$B$56*A9)</f>
        <v>0.92727973053399881</v>
      </c>
      <c r="R9" s="5">
        <f>IF(P9&gt;0,P9^(1-Parameters!$B$53)/(1-Parameters!$B$53)*Q9,-10+P9*1000)</f>
        <v>-2.5263054954347406</v>
      </c>
      <c r="S9" s="5"/>
      <c r="T9" s="10">
        <f t="shared" si="1"/>
        <v>0.237451850473097</v>
      </c>
    </row>
    <row r="10" spans="1:20" x14ac:dyDescent="0.35">
      <c r="A10">
        <f>A9+Parameters!$B$71</f>
        <v>6</v>
      </c>
      <c r="B10" s="13">
        <v>5.3291915994646145E-2</v>
      </c>
      <c r="C10" s="13">
        <v>1.027840281802072E-2</v>
      </c>
      <c r="D10" s="12">
        <v>0.29314750801840223</v>
      </c>
      <c r="E10" s="5">
        <f>MAX((1-Parameters!$B$4)^Parameters!B$71*E9+B9*Parameters!B$71-Parameters!$B$5*B9^2/E9*Parameters!B$71,0.0001)</f>
        <v>0.79061301893696678</v>
      </c>
      <c r="F10" s="7">
        <f>MAX((1-Parameters!$B$4)^Parameters!B$71*F9+C9*Parameters!B$71-Parameters!$B$5*C9^2/F9*Parameters!B$71,0.0001)</f>
        <v>0.1525005087512806</v>
      </c>
      <c r="G10" s="5">
        <f>MAX((1-Parameters!$B$4)^Parameters!B$71*G9+D9*Parameters!B$71-Parameters!$B$5*D9^2/G9*Parameters!B$71,0.0001)</f>
        <v>4.3488586393372062</v>
      </c>
      <c r="H10" s="5">
        <f>H9 *(1-Parameters!$B$4)-B9*(B9&lt;0)*Parameters!B$71</f>
        <v>0</v>
      </c>
      <c r="I10" s="5">
        <f>I9*(1+Parameters!$B$52)^Parameters!B$71</f>
        <v>8.3030173729519614</v>
      </c>
      <c r="J10" s="5">
        <f>J9*(1+Parameters!$B$54)^Parameters!B$71</f>
        <v>10.194684234824219</v>
      </c>
      <c r="K10" s="5">
        <f>'6states'!$N$4</f>
        <v>0.98104277196026479</v>
      </c>
      <c r="L10" s="7">
        <f t="shared" si="3"/>
        <v>0.5</v>
      </c>
      <c r="M10" s="16">
        <f t="shared" si="2"/>
        <v>2</v>
      </c>
      <c r="N10" s="5">
        <f>(Parameters!$B$19*(E10+Parameters!$B$20)^L10+Parameters!$B$18*F10^L10)^(1/L10)</f>
        <v>0.54991164758334921</v>
      </c>
      <c r="O10" s="5">
        <f>(Parameters!$B$10*G10^Parameters!$B$9 + Parameters!$B$11*N10^Parameters!$B$9) ^ (Parameters!$B$7/Parameters!$B$9) * K10</f>
        <v>1.5022677549755861</v>
      </c>
      <c r="P10" s="5">
        <f t="shared" si="0"/>
        <v>1.1455499281445169</v>
      </c>
      <c r="Q10" s="5">
        <f>EXP(-Parameters!$B$56*A10)</f>
        <v>0.91338299103478215</v>
      </c>
      <c r="R10" s="5">
        <f>IF(P10&gt;0,P10^(1-Parameters!$B$53)/(1-Parameters!$B$53)*Q10,-10+P10*1000)</f>
        <v>-2.4884560093803452</v>
      </c>
      <c r="S10" s="5"/>
      <c r="T10" s="10">
        <f t="shared" si="1"/>
        <v>0.23745289456530089</v>
      </c>
    </row>
    <row r="11" spans="1:20" x14ac:dyDescent="0.35">
      <c r="A11">
        <f>A10+Parameters!$B$71</f>
        <v>7</v>
      </c>
      <c r="B11" s="13">
        <v>5.3292937839525809E-2</v>
      </c>
      <c r="C11" s="13">
        <v>1.027781302139592E-2</v>
      </c>
      <c r="D11" s="12">
        <v>0.29314462825938936</v>
      </c>
      <c r="E11" s="5">
        <f>MAX((1-Parameters!$B$4)^Parameters!B$71*E10+B10*Parameters!B$71-Parameters!$B$5*B10^2/E10*Parameters!B$71,0.0001)</f>
        <v>0.79058319093555873</v>
      </c>
      <c r="F11" s="7">
        <f>MAX((1-Parameters!$B$4)^Parameters!B$71*F10+C10*Parameters!B$71-Parameters!$B$5*C10^2/F10*Parameters!B$71,0.0001)</f>
        <v>0.15249387407999823</v>
      </c>
      <c r="G11" s="5">
        <f>MAX((1-Parameters!$B$4)^Parameters!B$71*G10+D10*Parameters!B$71-Parameters!$B$5*D10^2/G10*Parameters!B$71,0.0001)</f>
        <v>4.3487024756601791</v>
      </c>
      <c r="H11" s="5">
        <f>H10 *(1-Parameters!$B$4)-B10*(B10&lt;0)*Parameters!B$71</f>
        <v>0</v>
      </c>
      <c r="I11" s="5">
        <f>I10*(1+Parameters!$B$52)^Parameters!B$71</f>
        <v>8.3270961233335221</v>
      </c>
      <c r="J11" s="5">
        <f>J10*(1+Parameters!$B$54)^Parameters!B$71</f>
        <v>10.398577919520704</v>
      </c>
      <c r="K11" s="5">
        <f>'6states'!$N$4</f>
        <v>0.98104277196026479</v>
      </c>
      <c r="L11" s="7">
        <f t="shared" si="3"/>
        <v>0.5</v>
      </c>
      <c r="M11" s="16">
        <f t="shared" si="2"/>
        <v>2</v>
      </c>
      <c r="N11" s="5">
        <f>(Parameters!$B$19*(E11+Parameters!$B$20)^L11+Parameters!$B$18*F11^L11)^(1/L11)</f>
        <v>0.54989060995824857</v>
      </c>
      <c r="O11" s="5">
        <f>(Parameters!$B$10*G11^Parameters!$B$9 + Parameters!$B$11*N11^Parameters!$B$9) ^ (Parameters!$B$7/Parameters!$B$9) * K11</f>
        <v>1.5022513810568594</v>
      </c>
      <c r="P11" s="5">
        <f t="shared" si="0"/>
        <v>1.1455360019365486</v>
      </c>
      <c r="Q11" s="5">
        <f>EXP(-Parameters!$B$56*A11)</f>
        <v>0.89969451594850369</v>
      </c>
      <c r="R11" s="5">
        <f>IF(P11&gt;0,P11^(1-Parameters!$B$53)/(1-Parameters!$B$53)*Q11,-10+P11*1000)</f>
        <v>-2.4511730269798591</v>
      </c>
      <c r="S11" s="5"/>
      <c r="T11" s="10">
        <f t="shared" si="1"/>
        <v>0.23745385334201241</v>
      </c>
    </row>
    <row r="12" spans="1:20" x14ac:dyDescent="0.35">
      <c r="A12">
        <f>A11+Parameters!$B$71</f>
        <v>8</v>
      </c>
      <c r="B12" s="13">
        <v>5.3294690637680137E-2</v>
      </c>
      <c r="C12" s="13">
        <v>1.0277431031682176E-2</v>
      </c>
      <c r="D12" s="12">
        <v>0.29314130229090657</v>
      </c>
      <c r="E12" s="5">
        <f>MAX((1-Parameters!$B$4)^Parameters!B$71*E11+B11*Parameters!B$71-Parameters!$B$5*B11^2/E11*Parameters!B$71,0.0001)</f>
        <v>0.79055598766727153</v>
      </c>
      <c r="F12" s="7">
        <f>MAX((1-Parameters!$B$4)^Parameters!B$71*F11+C11*Parameters!B$71-Parameters!$B$5*C11^2/F11*Parameters!B$71,0.0001)</f>
        <v>0.15248711629740108</v>
      </c>
      <c r="G12" s="5">
        <f>MAX((1-Parameters!$B$4)^Parameters!B$71*G11+D11*Parameters!B$71-Parameters!$B$5*D11^2/G11*Parameters!B$71,0.0001)</f>
        <v>4.3485529335622957</v>
      </c>
      <c r="H12" s="5">
        <f>H11 *(1-Parameters!$B$4)-B11*(B11&lt;0)*Parameters!B$71</f>
        <v>0</v>
      </c>
      <c r="I12" s="5">
        <f>I11*(1+Parameters!$B$52)^Parameters!B$71</f>
        <v>8.3512447020911882</v>
      </c>
      <c r="J12" s="5">
        <f>J11*(1+Parameters!$B$54)^Parameters!B$71</f>
        <v>10.606549477911118</v>
      </c>
      <c r="K12" s="5">
        <f>'6states'!$N$4</f>
        <v>0.98104277196026479</v>
      </c>
      <c r="L12" s="7">
        <f t="shared" si="3"/>
        <v>0.5</v>
      </c>
      <c r="M12" s="16">
        <f t="shared" si="2"/>
        <v>2</v>
      </c>
      <c r="N12" s="5">
        <f>(Parameters!$B$19*(E12+Parameters!$B$20)^L12+Parameters!$B$18*F12^L12)^(1/L12)</f>
        <v>0.54987101567656282</v>
      </c>
      <c r="O12" s="5">
        <f>(Parameters!$B$10*G12^Parameters!$B$9 + Parameters!$B$11*N12^Parameters!$B$9) ^ (Parameters!$B$7/Parameters!$B$9) * K12</f>
        <v>1.5022357822585033</v>
      </c>
      <c r="P12" s="5">
        <f t="shared" si="0"/>
        <v>1.1455223582982343</v>
      </c>
      <c r="Q12" s="5">
        <f>EXP(-Parameters!$B$56*A12)</f>
        <v>0.88621118410665478</v>
      </c>
      <c r="R12" s="5">
        <f>IF(P12&gt;0,P12^(1-Parameters!$B$53)/(1-Parameters!$B$53)*Q12,-10+P12*1000)</f>
        <v>-2.414448423894211</v>
      </c>
      <c r="S12" s="5"/>
      <c r="T12" s="10">
        <f t="shared" si="1"/>
        <v>0.23745501749663822</v>
      </c>
    </row>
    <row r="13" spans="1:20" x14ac:dyDescent="0.35">
      <c r="A13">
        <f>A12+Parameters!$B$71</f>
        <v>9</v>
      </c>
      <c r="B13" s="13">
        <v>5.3297322664794429E-2</v>
      </c>
      <c r="C13" s="13">
        <v>1.0277374286675803E-2</v>
      </c>
      <c r="D13" s="12">
        <v>0.29313802320646104</v>
      </c>
      <c r="E13" s="5">
        <f>MAX((1-Parameters!$B$4)^Parameters!B$71*E12+B12*Parameters!B$71-Parameters!$B$5*B12^2/E12*Parameters!B$71,0.0001)</f>
        <v>0.7905318883420992</v>
      </c>
      <c r="F13" s="7">
        <f>MAX((1-Parameters!$B$4)^Parameters!B$71*F12+C12*Parameters!B$71-Parameters!$B$5*C12^2/F12*Parameters!B$71,0.0001)</f>
        <v>0.15248042238307324</v>
      </c>
      <c r="G13" s="5">
        <f>MAX((1-Parameters!$B$4)^Parameters!B$71*G12+D12*Parameters!B$71-Parameters!$B$5*D12^2/G12*Parameters!B$71,0.0001)</f>
        <v>4.3484092405593735</v>
      </c>
      <c r="H13" s="5">
        <f>H12 *(1-Parameters!$B$4)-B12*(B12&lt;0)*Parameters!B$71</f>
        <v>0</v>
      </c>
      <c r="I13" s="5">
        <f>I12*(1+Parameters!$B$52)^Parameters!B$71</f>
        <v>8.3754633117272519</v>
      </c>
      <c r="J13" s="5">
        <f>J12*(1+Parameters!$B$54)^Parameters!B$71</f>
        <v>10.81868046746934</v>
      </c>
      <c r="K13" s="5">
        <f>'6states'!$N$4</f>
        <v>0.98104277196026479</v>
      </c>
      <c r="L13" s="7">
        <f t="shared" si="3"/>
        <v>0.5</v>
      </c>
      <c r="M13" s="16">
        <f t="shared" si="2"/>
        <v>2</v>
      </c>
      <c r="N13" s="5">
        <f>(Parameters!$B$19*(E13+Parameters!$B$20)^L13+Parameters!$B$18*F13^L13)^(1/L13)</f>
        <v>0.54985324910091959</v>
      </c>
      <c r="O13" s="5">
        <f>(Parameters!$B$10*G13^Parameters!$B$9 + Parameters!$B$11*N13^Parameters!$B$9) ^ (Parameters!$B$7/Parameters!$B$9) * K13</f>
        <v>1.5022209496060543</v>
      </c>
      <c r="P13" s="5">
        <f t="shared" si="0"/>
        <v>1.1455082294481231</v>
      </c>
      <c r="Q13" s="5">
        <f>EXP(-Parameters!$B$56*A13)</f>
        <v>0.87292992111632683</v>
      </c>
      <c r="R13" s="5">
        <f>IF(P13&gt;0,P13^(1-Parameters!$B$53)/(1-Parameters!$B$53)*Q13,-10+P13*1000)</f>
        <v>-2.3782743984265462</v>
      </c>
      <c r="S13" s="5"/>
      <c r="T13" s="10">
        <f t="shared" si="1"/>
        <v>0.2374568935757928</v>
      </c>
    </row>
    <row r="14" spans="1:20" x14ac:dyDescent="0.35">
      <c r="A14">
        <f>A13+Parameters!$B$71</f>
        <v>10</v>
      </c>
      <c r="B14" s="13">
        <v>5.3300804455203042E-2</v>
      </c>
      <c r="C14" s="13">
        <v>1.0277754766059972E-2</v>
      </c>
      <c r="D14" s="12">
        <v>0.29313537758577407</v>
      </c>
      <c r="E14" s="5">
        <f>MAX((1-Parameters!$B$4)^Parameters!B$71*E13+B13*Parameters!B$71-Parameters!$B$5*B13^2/E13*Parameters!B$71,0.0001)</f>
        <v>0.79051147247317954</v>
      </c>
      <c r="F14" s="7">
        <f>MAX((1-Parameters!$B$4)^Parameters!B$71*F13+C13*Parameters!B$71-Parameters!$B$5*C13^2/F13*Parameters!B$71,0.0001)</f>
        <v>0.15247407001134841</v>
      </c>
      <c r="G14" s="5">
        <f>MAX((1-Parameters!$B$4)^Parameters!B$71*G13+D13*Parameters!B$71-Parameters!$B$5*D13^2/G13*Parameters!B$71,0.0001)</f>
        <v>4.3482710958663118</v>
      </c>
      <c r="H14" s="5">
        <f>H13 *(1-Parameters!$B$4)-B13*(B13&lt;0)*Parameters!B$71</f>
        <v>0</v>
      </c>
      <c r="I14" s="5">
        <f>I13*(1+Parameters!$B$52)^Parameters!B$71</f>
        <v>8.3997521553312602</v>
      </c>
      <c r="J14" s="5">
        <f>J13*(1+Parameters!$B$54)^Parameters!B$71</f>
        <v>11.035054076818728</v>
      </c>
      <c r="K14" s="5">
        <f>'6states'!$N$4</f>
        <v>0.98104277196026479</v>
      </c>
      <c r="L14" s="7">
        <f t="shared" si="3"/>
        <v>0.5</v>
      </c>
      <c r="M14" s="16">
        <f t="shared" si="2"/>
        <v>2</v>
      </c>
      <c r="N14" s="5">
        <f>(Parameters!$B$19*(E14+Parameters!$B$20)^L14+Parameters!$B$18*F14^L14)^(1/L14)</f>
        <v>0.5498378047930178</v>
      </c>
      <c r="O14" s="5">
        <f>(Parameters!$B$10*G14^Parameters!$B$9 + Parameters!$B$11*N14^Parameters!$B$9) ^ (Parameters!$B$7/Parameters!$B$9) * K14</f>
        <v>1.502206930454137</v>
      </c>
      <c r="P14" s="5">
        <f t="shared" si="0"/>
        <v>1.1454929936470999</v>
      </c>
      <c r="Q14" s="5">
        <f>EXP(-Parameters!$B$56*A14)</f>
        <v>0.85984769865920552</v>
      </c>
      <c r="R14" s="5">
        <f>IF(P14&gt;0,P14^(1-Parameters!$B$53)/(1-Parameters!$B$53)*Q14,-10+P14*1000)</f>
        <v>-2.3426431360442517</v>
      </c>
      <c r="S14" s="5"/>
      <c r="T14" s="10">
        <f t="shared" si="1"/>
        <v>0.23745991951934198</v>
      </c>
    </row>
    <row r="15" spans="1:20" x14ac:dyDescent="0.35">
      <c r="A15">
        <f>A14+Parameters!$B$71</f>
        <v>11</v>
      </c>
      <c r="B15" s="13">
        <v>5.3304867534569478E-2</v>
      </c>
      <c r="C15" s="13">
        <v>1.0278551897871404E-2</v>
      </c>
      <c r="D15" s="12">
        <v>0.29313456501919016</v>
      </c>
      <c r="E15" s="5">
        <f>MAX((1-Parameters!$B$4)^Parameters!B$71*E14+B14*Parameters!B$71-Parameters!$B$5*B14^2/E14*Parameters!B$71,0.0001)</f>
        <v>0.79049526024305083</v>
      </c>
      <c r="F15" s="7">
        <f>MAX((1-Parameters!$B$4)^Parameters!B$71*F14+C14*Parameters!B$71-Parameters!$B$5*C14^2/F14*Parameters!B$71,0.0001)</f>
        <v>0.1524684175309238</v>
      </c>
      <c r="G15" s="5">
        <f>MAX((1-Parameters!$B$4)^Parameters!B$71*G14+D14*Parameters!B$71-Parameters!$B$5*D14^2/G14*Parameters!B$71,0.0001)</f>
        <v>4.348138723745647</v>
      </c>
      <c r="H15" s="5">
        <f>H14 *(1-Parameters!$B$4)-B14*(B14&lt;0)*Parameters!B$71</f>
        <v>0</v>
      </c>
      <c r="I15" s="5">
        <f>I14*(1+Parameters!$B$52)^Parameters!B$71</f>
        <v>8.42411143658172</v>
      </c>
      <c r="J15" s="5">
        <f>J14*(1+Parameters!$B$54)^Parameters!B$71</f>
        <v>11.255755158355102</v>
      </c>
      <c r="K15" s="5">
        <f>'6states'!$N$4</f>
        <v>0.98104277196026479</v>
      </c>
      <c r="L15" s="7">
        <f t="shared" si="3"/>
        <v>0.5</v>
      </c>
      <c r="M15" s="16">
        <f t="shared" si="2"/>
        <v>2</v>
      </c>
      <c r="N15" s="5">
        <f>(Parameters!$B$19*(E15+Parameters!$B$20)^L15+Parameters!$B$18*F15^L15)^(1/L15)</f>
        <v>0.54982518963190385</v>
      </c>
      <c r="O15" s="5">
        <f>(Parameters!$B$10*G15^Parameters!$B$9 + Parameters!$B$11*N15^Parameters!$B$9) ^ (Parameters!$B$7/Parameters!$B$9) * K15</f>
        <v>1.5021938185969232</v>
      </c>
      <c r="P15" s="5">
        <f t="shared" si="0"/>
        <v>1.1454758341452922</v>
      </c>
      <c r="Q15" s="5">
        <f>EXP(-Parameters!$B$56*A15)</f>
        <v>0.84696153380107075</v>
      </c>
      <c r="R15" s="5">
        <f>IF(P15&gt;0,P15^(1-Parameters!$B$53)/(1-Parameters!$B$53)*Q15,-10+P15*1000)</f>
        <v>-2.3075470570523846</v>
      </c>
      <c r="S15" s="5"/>
      <c r="T15" s="10">
        <f t="shared" si="1"/>
        <v>0.23746468667060036</v>
      </c>
    </row>
    <row r="16" spans="1:20" x14ac:dyDescent="0.35">
      <c r="A16">
        <f>A15+Parameters!$B$71</f>
        <v>12</v>
      </c>
      <c r="B16" s="13">
        <v>5.33089782630842E-2</v>
      </c>
      <c r="C16" s="13">
        <v>1.027967035111936E-2</v>
      </c>
      <c r="D16" s="12">
        <v>0.29313738300250991</v>
      </c>
      <c r="E16" s="5">
        <f>MAX((1-Parameters!$B$4)^Parameters!B$71*E15+B15*Parameters!B$71-Parameters!$B$5*B15^2/E15*Parameters!B$71,0.0001)</f>
        <v>0.79048350919134758</v>
      </c>
      <c r="F16" s="7">
        <f>MAX((1-Parameters!$B$4)^Parameters!B$71*F15+C15*Parameters!B$71-Parameters!$B$5*C15^2/F15*Parameters!B$71,0.0001)</f>
        <v>0.1524637845675042</v>
      </c>
      <c r="G16" s="5">
        <f>MAX((1-Parameters!$B$4)^Parameters!B$71*G15+D15*Parameters!B$71-Parameters!$B$5*D15^2/G15*Parameters!B$71,0.0001)</f>
        <v>4.3480133732179285</v>
      </c>
      <c r="H16" s="5">
        <f>H15 *(1-Parameters!$B$4)-B15*(B15&lt;0)*Parameters!B$71</f>
        <v>0</v>
      </c>
      <c r="I16" s="5">
        <f>I15*(1+Parameters!$B$52)^Parameters!B$71</f>
        <v>8.4485413597478054</v>
      </c>
      <c r="J16" s="5">
        <f>J15*(1+Parameters!$B$54)^Parameters!B$71</f>
        <v>11.480870261522204</v>
      </c>
      <c r="K16" s="5">
        <f>'6states'!$N$4</f>
        <v>0.98104277196026479</v>
      </c>
      <c r="L16" s="7">
        <f t="shared" si="3"/>
        <v>0.5</v>
      </c>
      <c r="M16" s="16">
        <f t="shared" si="2"/>
        <v>2</v>
      </c>
      <c r="N16" s="5">
        <f>(Parameters!$B$19*(E16+Parameters!$B$20)^L16+Parameters!$B$18*F16^L16)^(1/L16)</f>
        <v>0.54981573662367977</v>
      </c>
      <c r="O16" s="5">
        <f>(Parameters!$B$10*G16^Parameters!$B$9 + Parameters!$B$11*N16^Parameters!$B$9) ^ (Parameters!$B$7/Parameters!$B$9) * K16</f>
        <v>1.5021817693118129</v>
      </c>
      <c r="P16" s="5">
        <f t="shared" si="0"/>
        <v>1.1454557376950993</v>
      </c>
      <c r="Q16" s="5">
        <f>EXP(-Parameters!$B$56*A16)</f>
        <v>0.83426848831164502</v>
      </c>
      <c r="R16" s="5">
        <f>IF(P16&gt;0,P16^(1-Parameters!$B$53)/(1-Parameters!$B$53)*Q16,-10+P16*1000)</f>
        <v>-2.2729788064810226</v>
      </c>
      <c r="S16" s="5"/>
      <c r="T16" s="10">
        <f t="shared" si="1"/>
        <v>0.2374719484048449</v>
      </c>
    </row>
    <row r="17" spans="1:20" x14ac:dyDescent="0.35">
      <c r="A17">
        <f>A16+Parameters!$B$71</f>
        <v>13</v>
      </c>
      <c r="B17" s="13">
        <v>5.3311914769265688E-2</v>
      </c>
      <c r="C17" s="13">
        <v>1.0280831890921435E-2</v>
      </c>
      <c r="D17" s="12">
        <v>0.29314679679780586</v>
      </c>
      <c r="E17" s="5">
        <f>MAX((1-Parameters!$B$4)^Parameters!B$71*E16+B16*Parameters!B$71-Parameters!$B$5*B16^2/E16*Parameters!B$71,0.0001)</f>
        <v>0.79047600015432795</v>
      </c>
      <c r="F17" s="7">
        <f>MAX((1-Parameters!$B$4)^Parameters!B$71*F16+C16*Parameters!B$71-Parameters!$B$5*C16^2/F16*Parameters!B$71,0.0001)</f>
        <v>0.15246038960244165</v>
      </c>
      <c r="G17" s="5">
        <f>MAX((1-Parameters!$B$4)^Parameters!B$71*G16+D16*Parameters!B$71-Parameters!$B$5*D16^2/G16*Parameters!B$71,0.0001)</f>
        <v>4.3478977755281347</v>
      </c>
      <c r="H17" s="5">
        <f>H16 *(1-Parameters!$B$4)-B16*(B16&lt;0)*Parameters!B$71</f>
        <v>0</v>
      </c>
      <c r="I17" s="5">
        <f>I16*(1+Parameters!$B$52)^Parameters!B$71</f>
        <v>8.4730421296910734</v>
      </c>
      <c r="J17" s="5">
        <f>J16*(1+Parameters!$B$54)^Parameters!B$71</f>
        <v>11.710487666752648</v>
      </c>
      <c r="K17" s="5">
        <f>'6states'!$N$4</f>
        <v>0.98104277196026479</v>
      </c>
      <c r="L17" s="7">
        <f t="shared" si="3"/>
        <v>0.5</v>
      </c>
      <c r="M17" s="16">
        <f t="shared" si="2"/>
        <v>2</v>
      </c>
      <c r="N17" s="5">
        <f>(Parameters!$B$19*(E17+Parameters!$B$20)^L17+Parameters!$B$18*F17^L17)^(1/L17)</f>
        <v>0.54980944538126786</v>
      </c>
      <c r="O17" s="5">
        <f>(Parameters!$B$10*G17^Parameters!$B$9 + Parameters!$B$11*N17^Parameters!$B$9) ^ (Parameters!$B$7/Parameters!$B$9) * K17</f>
        <v>1.5021710147556675</v>
      </c>
      <c r="P17" s="5">
        <f t="shared" si="0"/>
        <v>1.1454314712976745</v>
      </c>
      <c r="Q17" s="5">
        <f>EXP(-Parameters!$B$56*A17)</f>
        <v>0.82176566799463491</v>
      </c>
      <c r="R17" s="5">
        <f>IF(P17&gt;0,P17^(1-Parameters!$B$53)/(1-Parameters!$B$53)*Q17,-10+P17*1000)</f>
        <v>-2.2389312592419208</v>
      </c>
      <c r="S17" s="5"/>
      <c r="T17" s="10">
        <f t="shared" si="1"/>
        <v>0.23748264342327075</v>
      </c>
    </row>
    <row r="18" spans="1:20" x14ac:dyDescent="0.35">
      <c r="A18">
        <f>A17+Parameters!$B$71</f>
        <v>14</v>
      </c>
      <c r="B18" s="13">
        <v>5.3288644327926571E-2</v>
      </c>
      <c r="C18" s="13">
        <v>1.0279232999564996E-2</v>
      </c>
      <c r="D18" s="12">
        <v>0.29316136612742766</v>
      </c>
      <c r="E18" s="5">
        <f>MAX((1-Parameters!$B$4)^Parameters!B$71*E17+B17*Parameters!B$71-Parameters!$B$5*B17^2/E17*Parameters!B$71,0.0001)</f>
        <v>0.79047146970942617</v>
      </c>
      <c r="F18" s="7">
        <f>MAX((1-Parameters!$B$4)^Parameters!B$71*F17+C17*Parameters!B$71-Parameters!$B$5*C17^2/F17*Parameters!B$71,0.0001)</f>
        <v>0.15245819764385962</v>
      </c>
      <c r="G18" s="5">
        <f>MAX((1-Parameters!$B$4)^Parameters!B$71*G17+D17*Parameters!B$71-Parameters!$B$5*D17^2/G17*Parameters!B$71,0.0001)</f>
        <v>4.3477970679047555</v>
      </c>
      <c r="H18" s="5">
        <f>H17 *(1-Parameters!$B$4)-B17*(B17&lt;0)*Parameters!B$71</f>
        <v>0</v>
      </c>
      <c r="I18" s="5">
        <f>I17*(1+Parameters!$B$52)^Parameters!B$71</f>
        <v>8.4976139518671765</v>
      </c>
      <c r="J18" s="5">
        <f>J17*(1+Parameters!$B$54)^Parameters!B$71</f>
        <v>11.944697420087701</v>
      </c>
      <c r="K18" s="5">
        <f>'6states'!$N$4</f>
        <v>0.98104277196026479</v>
      </c>
      <c r="L18" s="7">
        <f t="shared" si="3"/>
        <v>0.5</v>
      </c>
      <c r="M18" s="16">
        <f t="shared" si="2"/>
        <v>2</v>
      </c>
      <c r="N18" s="5">
        <f>(Parameters!$B$19*(E18+Parameters!$B$20)^L18+Parameters!$B$18*F18^L18)^(1/L18)</f>
        <v>0.54980556677518888</v>
      </c>
      <c r="O18" s="5">
        <f>(Parameters!$B$10*G18^Parameters!$B$9 + Parameters!$B$11*N18^Parameters!$B$9) ^ (Parameters!$B$7/Parameters!$B$9) * K18</f>
        <v>1.5021618813380824</v>
      </c>
      <c r="P18" s="5">
        <f t="shared" si="0"/>
        <v>1.1454326378831632</v>
      </c>
      <c r="Q18" s="5">
        <f>EXP(-Parameters!$B$56*A18)</f>
        <v>0.80945022202781236</v>
      </c>
      <c r="R18" s="5">
        <f>IF(P18&gt;0,P18^(1-Parameters!$B$53)/(1-Parameters!$B$53)*Q18,-10+P18*1000)</f>
        <v>-2.2053765805290317</v>
      </c>
      <c r="S18" s="5"/>
      <c r="T18" s="10">
        <f t="shared" si="1"/>
        <v>0.23747723057461367</v>
      </c>
    </row>
    <row r="19" spans="1:20" x14ac:dyDescent="0.35">
      <c r="A19">
        <f>A18+Parameters!$B$71</f>
        <v>15</v>
      </c>
      <c r="B19" s="26">
        <f>B18</f>
        <v>5.3288644327926571E-2</v>
      </c>
      <c r="C19" s="26">
        <f>C18</f>
        <v>1.0279232999564996E-2</v>
      </c>
      <c r="D19" s="26">
        <f>D18</f>
        <v>0.29316136612742766</v>
      </c>
      <c r="E19" s="5">
        <f>MAX((1-Parameters!$B$4)^Parameters!B$71*E18+B18*Parameters!B$71-Parameters!$B$5*B18^2/E18*Parameters!B$71,0.0001)</f>
        <v>0.79044707136156123</v>
      </c>
      <c r="F19" s="7">
        <f>MAX((1-Parameters!$B$4)^Parameters!B$71*F18+C18*Parameters!B$71-Parameters!$B$5*C18^2/F18*Parameters!B$71,0.0001)</f>
        <v>0.15245475032252881</v>
      </c>
      <c r="G19" s="5">
        <f>MAX((1-Parameters!$B$4)^Parameters!B$71*G18+D18*Parameters!B$71-Parameters!$B$5*D18^2/G18*Parameters!B$71,0.0001)</f>
        <v>4.347714841611789</v>
      </c>
      <c r="H19" s="5">
        <f>H18 *(1-Parameters!$B$4)-B18*(B18&lt;0)*Parameters!B$71</f>
        <v>0</v>
      </c>
      <c r="I19" s="5">
        <f>I18*(1+Parameters!$B$52)^Parameters!B$71</f>
        <v>8.522257032327591</v>
      </c>
      <c r="J19" s="5">
        <f>J18*(1+Parameters!$B$54)^Parameters!B$71</f>
        <v>12.183591368489456</v>
      </c>
      <c r="K19" s="5">
        <f>'6states'!$N$4</f>
        <v>0.98104277196026479</v>
      </c>
      <c r="L19" s="7">
        <f t="shared" si="3"/>
        <v>0.5</v>
      </c>
      <c r="M19" s="16">
        <f t="shared" si="2"/>
        <v>2</v>
      </c>
      <c r="N19" s="5">
        <f>(Parameters!$B$19*(E19+Parameters!$B$20)^L19+Parameters!$B$18*F19^L19)^(1/L19)</f>
        <v>0.54978950086525791</v>
      </c>
      <c r="O19" s="5">
        <f>(Parameters!$B$10*G19^Parameters!$B$9 + Parameters!$B$11*N19^Parameters!$B$9) ^ (Parameters!$B$7/Parameters!$B$9) * K19</f>
        <v>1.5021525234714181</v>
      </c>
      <c r="P19" s="5">
        <f t="shared" si="0"/>
        <v>1.145423280016499</v>
      </c>
      <c r="Q19" s="5">
        <f>EXP(-Parameters!$B$56*A19)</f>
        <v>0.79731934231298707</v>
      </c>
      <c r="R19" s="5">
        <f>IF(P19&gt;0,P19^(1-Parameters!$B$53)/(1-Parameters!$B$53)*Q19,-10+P19*1000)</f>
        <v>-2.1723317689705084</v>
      </c>
      <c r="S19" s="5"/>
      <c r="T19" s="10">
        <f t="shared" si="1"/>
        <v>0.23747870997182852</v>
      </c>
    </row>
    <row r="20" spans="1:20" x14ac:dyDescent="0.35">
      <c r="A20">
        <f>A19+Parameters!$B$71</f>
        <v>16</v>
      </c>
      <c r="B20" s="13">
        <v>5.3294600024890233E-2</v>
      </c>
      <c r="C20" s="13">
        <v>1.0282855016249797E-2</v>
      </c>
      <c r="D20" s="12">
        <v>0.29315435056285727</v>
      </c>
      <c r="E20" s="5">
        <f>MAX((1-Parameters!$B$4)^Parameters!B$71*E19+B19*Parameters!B$71-Parameters!$B$5*B19^2/E19*Parameters!B$71,0.0001)</f>
        <v>0.79042409678529579</v>
      </c>
      <c r="F20" s="7">
        <f>MAX((1-Parameters!$B$4)^Parameters!B$71*F19+C19*Parameters!B$71-Parameters!$B$5*C19^2/F19*Parameters!B$71,0.0001)</f>
        <v>0.15245150416617803</v>
      </c>
      <c r="G20" s="5">
        <f>MAX((1-Parameters!$B$4)^Parameters!B$71*G19+D19*Parameters!B$71-Parameters!$B$5*D19^2/G19*Parameters!B$71,0.0001)</f>
        <v>4.3476374135056783</v>
      </c>
      <c r="H20" s="5">
        <f>H19 *(1-Parameters!$B$4)-B19*(B19&lt;0)*Parameters!B$71</f>
        <v>0</v>
      </c>
      <c r="I20" s="5">
        <f>I19*(1+Parameters!$B$52)^Parameters!B$71</f>
        <v>8.5469715777213402</v>
      </c>
      <c r="J20" s="5">
        <f>J19*(1+Parameters!$B$54)^Parameters!B$71</f>
        <v>12.427263195859245</v>
      </c>
      <c r="K20" s="5">
        <f>'6states'!$N$4</f>
        <v>0.98104277196026479</v>
      </c>
      <c r="L20" s="7">
        <f t="shared" si="3"/>
        <v>0.5</v>
      </c>
      <c r="M20" s="16">
        <f t="shared" si="2"/>
        <v>2</v>
      </c>
      <c r="N20" s="5">
        <f>(Parameters!$B$19*(E20+Parameters!$B$20)^L20+Parameters!$B$18*F20^L20)^(1/L20)</f>
        <v>0.54977437248088268</v>
      </c>
      <c r="O20" s="5">
        <f>(Parameters!$B$10*G20^Parameters!$B$9 + Parameters!$B$11*N20^Parameters!$B$9) ^ (Parameters!$B$7/Parameters!$B$9) * K20</f>
        <v>1.5021437115154195</v>
      </c>
      <c r="P20" s="5">
        <f t="shared" si="0"/>
        <v>1.1454119059114223</v>
      </c>
      <c r="Q20" s="5">
        <f>EXP(-Parameters!$B$56*A20)</f>
        <v>0.7853702628357192</v>
      </c>
      <c r="R20" s="5">
        <f>IF(P20&gt;0,P20^(1-Parameters!$B$53)/(1-Parameters!$B$53)*Q20,-10+P20*1000)</f>
        <v>-2.1397834109704279</v>
      </c>
      <c r="S20" s="5"/>
      <c r="T20" s="10">
        <f t="shared" si="1"/>
        <v>0.23748180874392688</v>
      </c>
    </row>
    <row r="21" spans="1:20" x14ac:dyDescent="0.35">
      <c r="A21">
        <f>A20+Parameters!$B$71</f>
        <v>17</v>
      </c>
      <c r="B21" s="26">
        <f>B20</f>
        <v>5.3294600024890233E-2</v>
      </c>
      <c r="C21" s="26">
        <f>C20</f>
        <v>1.0282855016249797E-2</v>
      </c>
      <c r="D21" s="26">
        <f>D20</f>
        <v>0.29315435056285727</v>
      </c>
      <c r="E21" s="5">
        <f>MAX((1-Parameters!$B$4)^Parameters!B$71*E20+B20*Parameters!B$71-Parameters!$B$5*B20^2/E20*Parameters!B$71,0.0001)</f>
        <v>0.79040761550208571</v>
      </c>
      <c r="F21" s="7">
        <f>MAX((1-Parameters!$B$4)^Parameters!B$71*F20+C20*Parameters!B$71-Parameters!$B$5*C20^2/F20*Parameters!B$71,0.0001)</f>
        <v>0.15245158092801592</v>
      </c>
      <c r="G21" s="5">
        <f>MAX((1-Parameters!$B$4)^Parameters!B$71*G20+D20*Parameters!B$71-Parameters!$B$5*D20^2/G20*Parameters!B$71,0.0001)</f>
        <v>4.347558434126511</v>
      </c>
      <c r="H21" s="5">
        <f>H20 *(1-Parameters!$B$4)-B20*(B20&lt;0)*Parameters!B$71</f>
        <v>0</v>
      </c>
      <c r="I21" s="5">
        <f>I20*(1+Parameters!$B$52)^Parameters!B$71</f>
        <v>8.5717577952967314</v>
      </c>
      <c r="J21" s="5">
        <f>J20*(1+Parameters!$B$54)^Parameters!B$71</f>
        <v>12.67580845977643</v>
      </c>
      <c r="K21" s="5">
        <f>'6states'!$N$4</f>
        <v>0.98104277196026479</v>
      </c>
      <c r="L21" s="7">
        <f t="shared" si="3"/>
        <v>0.5</v>
      </c>
      <c r="M21" s="16">
        <f t="shared" si="2"/>
        <v>2</v>
      </c>
      <c r="N21" s="5">
        <f>(Parameters!$B$19*(E21+Parameters!$B$20)^L21+Parameters!$B$18*F21^L21)^(1/L21)</f>
        <v>0.549764907716074</v>
      </c>
      <c r="O21" s="5">
        <f>(Parameters!$B$10*G21^Parameters!$B$9 + Parameters!$B$11*N21^Parameters!$B$9) ^ (Parameters!$B$7/Parameters!$B$9) * K21</f>
        <v>1.5021356020423891</v>
      </c>
      <c r="P21" s="5">
        <f t="shared" si="0"/>
        <v>1.1454037964383919</v>
      </c>
      <c r="Q21" s="5">
        <f>EXP(-Parameters!$B$56*A21)</f>
        <v>0.7736002590346287</v>
      </c>
      <c r="R21" s="5">
        <f>IF(P21&gt;0,P21^(1-Parameters!$B$53)/(1-Parameters!$B$53)*Q21,-10+P21*1000)</f>
        <v>-2.1077206271480518</v>
      </c>
      <c r="S21" s="5"/>
      <c r="T21" s="10">
        <f t="shared" si="1"/>
        <v>0.2374830908201393</v>
      </c>
    </row>
    <row r="22" spans="1:20" x14ac:dyDescent="0.35">
      <c r="A22">
        <f>A21+Parameters!$B$71</f>
        <v>18</v>
      </c>
      <c r="B22" s="13">
        <v>5.3294644397128214E-2</v>
      </c>
      <c r="C22" s="13">
        <v>1.0279141257720363E-2</v>
      </c>
      <c r="D22" s="12">
        <v>0.29315209719298513</v>
      </c>
      <c r="E22" s="5">
        <f>MAX((1-Parameters!$B$4)^Parameters!B$71*E21+B21*Parameters!B$71-Parameters!$B$5*B21^2/E21*Parameters!B$71,0.0001)</f>
        <v>0.790392095963243</v>
      </c>
      <c r="F22" s="7">
        <f>MAX((1-Parameters!$B$4)^Parameters!B$71*F21+C21*Parameters!B$71-Parameters!$B$5*C21^2/F21*Parameters!B$71,0.0001)</f>
        <v>0.15245165321076226</v>
      </c>
      <c r="G22" s="5">
        <f>MAX((1-Parameters!$B$4)^Parameters!B$71*G21+D21*Parameters!B$71-Parameters!$B$5*D21^2/G21*Parameters!B$71,0.0001)</f>
        <v>4.3474840634566991</v>
      </c>
      <c r="H22" s="5">
        <f>H21 *(1-Parameters!$B$4)-B21*(B21&lt;0)*Parameters!B$71</f>
        <v>0</v>
      </c>
      <c r="I22" s="5">
        <f>I21*(1+Parameters!$B$52)^Parameters!B$71</f>
        <v>8.5966158929030918</v>
      </c>
      <c r="J22" s="5">
        <f>J21*(1+Parameters!$B$54)^Parameters!B$71</f>
        <v>12.929324628971958</v>
      </c>
      <c r="K22" s="5">
        <f>'6states'!$N$4</f>
        <v>0.98104277196026479</v>
      </c>
      <c r="L22" s="7">
        <f t="shared" si="3"/>
        <v>0.5</v>
      </c>
      <c r="M22" s="16">
        <f t="shared" si="2"/>
        <v>2</v>
      </c>
      <c r="N22" s="5">
        <f>(Parameters!$B$19*(E22+Parameters!$B$20)^L22+Parameters!$B$18*F22^L22)^(1/L22)</f>
        <v>0.54975599524071961</v>
      </c>
      <c r="O22" s="5">
        <f>(Parameters!$B$10*G22^Parameters!$B$9 + Parameters!$B$11*N22^Parameters!$B$9) ^ (Parameters!$B$7/Parameters!$B$9) * K22</f>
        <v>1.5021279656887832</v>
      </c>
      <c r="P22" s="5">
        <f t="shared" si="0"/>
        <v>1.1454020828409495</v>
      </c>
      <c r="Q22" s="5">
        <f>EXP(-Parameters!$B$56*A22)</f>
        <v>0.76200664718015654</v>
      </c>
      <c r="R22" s="5">
        <f>IF(P22&gt;0,P22^(1-Parameters!$B$53)/(1-Parameters!$B$53)*Q22,-10+P22*1000)</f>
        <v>-2.0761342185679905</v>
      </c>
      <c r="S22" s="5"/>
      <c r="T22" s="10">
        <f t="shared" si="1"/>
        <v>0.23748035520013849</v>
      </c>
    </row>
    <row r="23" spans="1:20" x14ac:dyDescent="0.35">
      <c r="A23">
        <f>A22+Parameters!$B$71</f>
        <v>19</v>
      </c>
      <c r="B23" s="26">
        <f>B22</f>
        <v>5.3294644397128214E-2</v>
      </c>
      <c r="C23" s="26">
        <f>C22</f>
        <v>1.0279141257720363E-2</v>
      </c>
      <c r="D23" s="26">
        <f>D22</f>
        <v>0.29315209719298513</v>
      </c>
      <c r="E23" s="5">
        <f>MAX((1-Parameters!$B$4)^Parameters!B$71*E22+B22*Parameters!B$71-Parameters!$B$5*B22^2/E22*Parameters!B$71,0.0001)</f>
        <v>0.7903775204329071</v>
      </c>
      <c r="F23" s="7">
        <f>MAX((1-Parameters!$B$4)^Parameters!B$71*F22+C22*Parameters!B$71-Parameters!$B$5*C22^2/F22*Parameters!B$71,0.0001)</f>
        <v>0.15244850841236399</v>
      </c>
      <c r="G23" s="5">
        <f>MAX((1-Parameters!$B$4)^Parameters!B$71*G22+D22*Parameters!B$71-Parameters!$B$5*D22^2/G22*Parameters!B$71,0.0001)</f>
        <v>4.3474120830728511</v>
      </c>
      <c r="H23" s="5">
        <f>H22 *(1-Parameters!$B$4)-B22*(B22&lt;0)*Parameters!B$71</f>
        <v>0</v>
      </c>
      <c r="I23" s="5">
        <f>I22*(1+Parameters!$B$52)^Parameters!B$71</f>
        <v>8.6215460789925107</v>
      </c>
      <c r="J23" s="5">
        <f>J22*(1+Parameters!$B$54)^Parameters!B$71</f>
        <v>13.187911121551398</v>
      </c>
      <c r="K23" s="5">
        <f>'6states'!$N$4</f>
        <v>0.98104277196026479</v>
      </c>
      <c r="L23" s="7">
        <f t="shared" si="3"/>
        <v>0.5</v>
      </c>
      <c r="M23" s="16">
        <f t="shared" si="2"/>
        <v>2</v>
      </c>
      <c r="N23" s="5">
        <f>(Parameters!$B$19*(E23+Parameters!$B$20)^L23+Parameters!$B$18*F23^L23)^(1/L23)</f>
        <v>0.54974577125667767</v>
      </c>
      <c r="O23" s="5">
        <f>(Parameters!$B$10*G23^Parameters!$B$9 + Parameters!$B$11*N23^Parameters!$B$9) ^ (Parameters!$B$7/Parameters!$B$9) * K23</f>
        <v>1.5021203392258375</v>
      </c>
      <c r="P23" s="5">
        <f t="shared" si="0"/>
        <v>1.1453944563780039</v>
      </c>
      <c r="Q23" s="5">
        <f>EXP(-Parameters!$B$56*A23)</f>
        <v>0.75058678376263543</v>
      </c>
      <c r="R23" s="5">
        <f>IF(P23&gt;0,P23^(1-Parameters!$B$53)/(1-Parameters!$B$53)*Q23,-10+P23*1000)</f>
        <v>-2.0450248604615218</v>
      </c>
      <c r="S23" s="5"/>
      <c r="T23" s="10">
        <f t="shared" si="1"/>
        <v>0.23748156091920239</v>
      </c>
    </row>
    <row r="24" spans="1:20" x14ac:dyDescent="0.35">
      <c r="A24">
        <f>A23+Parameters!$B$71</f>
        <v>20</v>
      </c>
      <c r="B24" s="13">
        <v>5.3297233192626137E-2</v>
      </c>
      <c r="C24" s="13">
        <v>1.027931301327621E-2</v>
      </c>
      <c r="D24" s="12">
        <v>0.29315942241782295</v>
      </c>
      <c r="E24" s="5">
        <f>MAX((1-Parameters!$B$4)^Parameters!B$71*E23+B23*Parameters!B$71-Parameters!$B$5*B23^2/E23*Parameters!B$71,0.0001)</f>
        <v>0.79036379543383151</v>
      </c>
      <c r="F24" s="7">
        <f>MAX((1-Parameters!$B$4)^Parameters!B$71*F23+C23*Parameters!B$71-Parameters!$B$5*C23^2/F23*Parameters!B$71,0.0001)</f>
        <v>0.15244554712457944</v>
      </c>
      <c r="G24" s="5">
        <f>MAX((1-Parameters!$B$4)^Parameters!B$71*G23+D23*Parameters!B$71-Parameters!$B$5*D23^2/G23*Parameters!B$71,0.0001)</f>
        <v>4.3473443029661825</v>
      </c>
      <c r="H24" s="5">
        <f>H23 *(1-Parameters!$B$4)-B23*(B23&lt;0)*Parameters!B$71</f>
        <v>0</v>
      </c>
      <c r="I24" s="5">
        <f>I23*(1+Parameters!$B$52)^Parameters!B$71</f>
        <v>8.6465485626215877</v>
      </c>
      <c r="J24" s="5">
        <f>J23*(1+Parameters!$B$54)^Parameters!B$71</f>
        <v>13.451669343982426</v>
      </c>
      <c r="K24" s="5">
        <f>'6states'!$N$4</f>
        <v>0.98104277196026479</v>
      </c>
      <c r="L24" s="7">
        <f t="shared" si="3"/>
        <v>0.5</v>
      </c>
      <c r="M24" s="16">
        <f t="shared" si="2"/>
        <v>2</v>
      </c>
      <c r="N24" s="5">
        <f>(Parameters!$B$19*(E24+Parameters!$B$20)^L24+Parameters!$B$18*F24^L24)^(1/L24)</f>
        <v>0.54973614387692427</v>
      </c>
      <c r="O24" s="5">
        <f>(Parameters!$B$10*G24^Parameters!$B$9 + Parameters!$B$11*N24^Parameters!$B$9) ^ (Parameters!$B$7/Parameters!$B$9) * K24</f>
        <v>1.5021131577071327</v>
      </c>
      <c r="P24" s="5">
        <f t="shared" si="0"/>
        <v>1.1453771890834075</v>
      </c>
      <c r="Q24" s="5">
        <f>EXP(-Parameters!$B$56*A24)</f>
        <v>0.7393380648895318</v>
      </c>
      <c r="R24" s="5">
        <f>IF(P24&gt;0,P24^(1-Parameters!$B$53)/(1-Parameters!$B$53)*Q24,-10+P24*1000)</f>
        <v>-2.0143875878134447</v>
      </c>
      <c r="S24" s="5"/>
      <c r="T24" s="10">
        <f t="shared" si="1"/>
        <v>0.23748941069676602</v>
      </c>
    </row>
    <row r="25" spans="1:20" x14ac:dyDescent="0.35">
      <c r="A25">
        <f>A24+Parameters!$B$71</f>
        <v>21</v>
      </c>
      <c r="B25" s="26">
        <f>B24</f>
        <v>5.3297233192626137E-2</v>
      </c>
      <c r="C25" s="26">
        <f t="shared" ref="C25:D28" si="4">C24</f>
        <v>1.027931301327621E-2</v>
      </c>
      <c r="D25" s="26">
        <f t="shared" si="4"/>
        <v>0.29315942241782295</v>
      </c>
      <c r="E25" s="5">
        <f>MAX((1-Parameters!$B$4)^Parameters!B$71*E24+B24*Parameters!B$71-Parameters!$B$5*B24^2/E24*Parameters!B$71,0.0001)</f>
        <v>0.7903531109917673</v>
      </c>
      <c r="F25" s="7">
        <f>MAX((1-Parameters!$B$4)^Parameters!B$71*F24+C24*Parameters!B$71-Parameters!$B$5*C24^2/F24*Parameters!B$71,0.0001)</f>
        <v>0.15244290723134499</v>
      </c>
      <c r="G25" s="5">
        <f>MAX((1-Parameters!$B$4)^Parameters!B$71*G24+D24*Parameters!B$71-Parameters!$B$5*D24^2/G24*Parameters!B$71,0.0001)</f>
        <v>4.3472868153243827</v>
      </c>
      <c r="I25" s="5">
        <f>I24*(1+Parameters!$B$52)^Parameters!B$71</f>
        <v>8.6716235534531894</v>
      </c>
      <c r="J25" s="5">
        <f>J24*(1+Parameters!$B$54)^Parameters!B$71</f>
        <v>13.720702730862074</v>
      </c>
      <c r="K25" s="5">
        <f>'6states'!$N$4</f>
        <v>0.98104277196026479</v>
      </c>
      <c r="L25" s="7">
        <f t="shared" si="3"/>
        <v>0.5</v>
      </c>
      <c r="M25" s="16">
        <f t="shared" si="2"/>
        <v>2</v>
      </c>
      <c r="N25" s="5">
        <f>(Parameters!$B$19*(E25+Parameters!$B$20)^L25+Parameters!$B$18*F25^L25)^(1/L25)</f>
        <v>0.54972845621795441</v>
      </c>
      <c r="O25" s="5">
        <f>(Parameters!$B$10*G25^Parameters!$B$9 + Parameters!$B$11*N25^Parameters!$B$9) ^ (Parameters!$B$7/Parameters!$B$9) * K25</f>
        <v>1.5021071370493659</v>
      </c>
      <c r="P25" s="5">
        <f t="shared" si="0"/>
        <v>1.1453711684256409</v>
      </c>
      <c r="Q25" s="5">
        <f>EXP(-Parameters!$B$56*A25)</f>
        <v>0.72825792569172154</v>
      </c>
      <c r="R25" s="5">
        <f>IF(P25&gt;0,P25^(1-Parameters!$B$53)/(1-Parameters!$B$53)*Q25,-10+P25*1000)</f>
        <v>-1.9842024844203139</v>
      </c>
      <c r="S25" s="5"/>
      <c r="T25" s="10">
        <f t="shared" si="1"/>
        <v>0.23749036258789932</v>
      </c>
    </row>
    <row r="26" spans="1:20" x14ac:dyDescent="0.35">
      <c r="A26">
        <f>A25+Parameters!$B$71</f>
        <v>22</v>
      </c>
      <c r="B26" s="26">
        <f>B25</f>
        <v>5.3297233192626137E-2</v>
      </c>
      <c r="C26" s="26">
        <f t="shared" si="4"/>
        <v>1.027931301327621E-2</v>
      </c>
      <c r="D26" s="26">
        <f t="shared" si="4"/>
        <v>0.29315942241782295</v>
      </c>
      <c r="E26" s="5">
        <f>MAX((1-Parameters!$B$4)^Parameters!B$71*E25+B25*Parameters!B$71-Parameters!$B$5*B25^2/E25*Parameters!B$71,0.0001)</f>
        <v>0.79034305001490479</v>
      </c>
      <c r="F26" s="7">
        <f>MAX((1-Parameters!$B$4)^Parameters!B$71*F25+C25*Parameters!B$71-Parameters!$B$5*C25^2/F25*Parameters!B$71,0.0001)</f>
        <v>0.15244042138431835</v>
      </c>
      <c r="G26" s="5">
        <f>MAX((1-Parameters!$B$4)^Parameters!B$71*G25+D25*Parameters!B$71-Parameters!$B$5*D25^2/G25*Parameters!B$71,0.0001)</f>
        <v>4.3472326822346092</v>
      </c>
      <c r="I26" s="5">
        <f>I25*(1+Parameters!$B$52)^Parameters!B$71</f>
        <v>8.6967712617582027</v>
      </c>
      <c r="J26" s="5">
        <f>J25*(1+Parameters!$B$54)^Parameters!B$71</f>
        <v>13.995116785479317</v>
      </c>
      <c r="K26" s="5">
        <f>'6states'!$N$4</f>
        <v>0.98104277196026479</v>
      </c>
      <c r="L26" s="7">
        <f t="shared" si="3"/>
        <v>0.5</v>
      </c>
      <c r="M26" s="16">
        <f t="shared" si="2"/>
        <v>2</v>
      </c>
      <c r="N26" s="5">
        <f>(Parameters!$B$19*(E26+Parameters!$B$20)^L26+Parameters!$B$18*F26^L26)^(1/L26)</f>
        <v>0.54972121715438094</v>
      </c>
      <c r="O26" s="5">
        <f>(Parameters!$B$10*G26^Parameters!$B$9 + Parameters!$B$11*N26^Parameters!$B$9) ^ (Parameters!$B$7/Parameters!$B$9) * K26</f>
        <v>1.5021014676609443</v>
      </c>
      <c r="P26" s="5">
        <f t="shared" si="0"/>
        <v>1.1453654990372191</v>
      </c>
      <c r="Q26" s="5">
        <f>EXP(-Parameters!$B$56*A26)</f>
        <v>0.71734383973866223</v>
      </c>
      <c r="R26" s="5">
        <f>IF(P26&gt;0,P26^(1-Parameters!$B$53)/(1-Parameters!$B$53)*Q26,-10+P26*1000)</f>
        <v>-1.9544694876147595</v>
      </c>
      <c r="S26" s="5"/>
      <c r="T26" s="10">
        <f t="shared" si="1"/>
        <v>0.23749125894885822</v>
      </c>
    </row>
    <row r="27" spans="1:20" x14ac:dyDescent="0.35">
      <c r="A27">
        <f>A26+Parameters!$B$71</f>
        <v>23</v>
      </c>
      <c r="B27" s="26">
        <f>B26</f>
        <v>5.3297233192626137E-2</v>
      </c>
      <c r="C27" s="26">
        <f t="shared" si="4"/>
        <v>1.027931301327621E-2</v>
      </c>
      <c r="D27" s="26">
        <f t="shared" si="4"/>
        <v>0.29315942241782295</v>
      </c>
      <c r="E27" s="5">
        <f>MAX((1-Parameters!$B$4)^Parameters!B$71*E26+B26*Parameters!B$71-Parameters!$B$5*B26^2/E26*Parameters!B$71,0.0001)</f>
        <v>0.79033357612121402</v>
      </c>
      <c r="F27" s="7">
        <f>MAX((1-Parameters!$B$4)^Parameters!B$71*F26+C26*Parameters!B$71-Parameters!$B$5*C26^2/F26*Parameters!B$71,0.0001)</f>
        <v>0.15243808059403088</v>
      </c>
      <c r="G27" s="5">
        <f>MAX((1-Parameters!$B$4)^Parameters!B$71*G26+D26*Parameters!B$71-Parameters!$B$5*D26^2/G26*Parameters!B$71,0.0001)</f>
        <v>4.347181707943788</v>
      </c>
      <c r="I27" s="5">
        <f>I26*(1+Parameters!$B$52)^Parameters!B$71</f>
        <v>8.7219918984173006</v>
      </c>
      <c r="J27" s="5">
        <f>J26*(1+Parameters!$B$54)^Parameters!B$71</f>
        <v>14.275019121188903</v>
      </c>
      <c r="K27" s="5">
        <f>'6states'!$N$4</f>
        <v>0.98104277196026479</v>
      </c>
      <c r="L27" s="7">
        <f t="shared" si="3"/>
        <v>0.5</v>
      </c>
      <c r="M27" s="16">
        <f t="shared" si="2"/>
        <v>2</v>
      </c>
      <c r="N27" s="5">
        <f>(Parameters!$B$19*(E27+Parameters!$B$20)^L27+Parameters!$B$18*F27^L27)^(1/L27)</f>
        <v>0.54971440050858411</v>
      </c>
      <c r="O27" s="5">
        <f>(Parameters!$B$10*G27^Parameters!$B$9 + Parameters!$B$11*N27^Parameters!$B$9) ^ (Parameters!$B$7/Parameters!$B$9) * K27</f>
        <v>1.5020961290495729</v>
      </c>
      <c r="P27" s="5">
        <f t="shared" si="0"/>
        <v>1.1453601604258479</v>
      </c>
      <c r="Q27" s="5">
        <f>EXP(-Parameters!$B$56*A27)</f>
        <v>0.70659331846233153</v>
      </c>
      <c r="R27" s="5">
        <f>IF(P27&gt;0,P27^(1-Parameters!$B$53)/(1-Parameters!$B$53)*Q27,-10+P27*1000)</f>
        <v>-1.9251818410300183</v>
      </c>
      <c r="S27" s="5"/>
      <c r="T27" s="10">
        <f t="shared" si="1"/>
        <v>0.2374921030183629</v>
      </c>
    </row>
    <row r="28" spans="1:20" x14ac:dyDescent="0.35">
      <c r="A28">
        <f>A27+Parameters!$B$71</f>
        <v>24</v>
      </c>
      <c r="B28" s="26">
        <f>B27</f>
        <v>5.3297233192626137E-2</v>
      </c>
      <c r="C28" s="26">
        <f t="shared" si="4"/>
        <v>1.027931301327621E-2</v>
      </c>
      <c r="D28" s="26">
        <f t="shared" si="4"/>
        <v>0.29315942241782295</v>
      </c>
      <c r="E28" s="5">
        <f>MAX((1-Parameters!$B$4)^Parameters!B$71*E27+B27*Parameters!B$71-Parameters!$B$5*B27^2/E27*Parameters!B$71,0.0001)</f>
        <v>0.79032465505185845</v>
      </c>
      <c r="F28" s="7">
        <f>MAX((1-Parameters!$B$4)^Parameters!B$71*F27+C27*Parameters!B$71-Parameters!$B$5*C27^2/F27*Parameters!B$71,0.0001)</f>
        <v>0.15243587639564343</v>
      </c>
      <c r="G28" s="5">
        <f>MAX((1-Parameters!$B$4)^Parameters!B$71*G27+D27*Parameters!B$71-Parameters!$B$5*D27^2/G27*Parameters!B$71,0.0001)</f>
        <v>4.3471337081226249</v>
      </c>
      <c r="I28" s="5">
        <f>I27*(1+Parameters!$B$52)^Parameters!B$71</f>
        <v>8.7472856749227095</v>
      </c>
      <c r="J28" s="5">
        <f>J27*(1+Parameters!$B$54)^Parameters!B$71</f>
        <v>14.560519503612682</v>
      </c>
      <c r="K28" s="5">
        <f>'6states'!$N$4</f>
        <v>0.98104277196026479</v>
      </c>
      <c r="L28" s="7">
        <f t="shared" si="3"/>
        <v>0.5</v>
      </c>
      <c r="M28" s="16">
        <f t="shared" si="2"/>
        <v>2</v>
      </c>
      <c r="N28" s="5">
        <f>(Parameters!$B$19*(E28+Parameters!$B$20)^L28+Parameters!$B$18*F28^L28)^(1/L28)</f>
        <v>0.5497079816306284</v>
      </c>
      <c r="O28" s="5">
        <f>(Parameters!$B$10*G28^Parameters!$B$9 + Parameters!$B$11*N28^Parameters!$B$9) ^ (Parameters!$B$7/Parameters!$B$9) * K28</f>
        <v>1.5020911019181891</v>
      </c>
      <c r="P28" s="5">
        <f t="shared" si="0"/>
        <v>1.1453551332944638</v>
      </c>
      <c r="Q28" s="5">
        <f>EXP(-Parameters!$B$56*A28)</f>
        <v>0.69600391058979738</v>
      </c>
      <c r="R28" s="5">
        <f>IF(P28&gt;0,P28^(1-Parameters!$B$53)/(1-Parameters!$B$53)*Q28,-10+P28*1000)</f>
        <v>-1.8963328881665253</v>
      </c>
      <c r="S28" s="5"/>
      <c r="T28" s="10">
        <f t="shared" si="1"/>
        <v>0.23749289784632172</v>
      </c>
    </row>
    <row r="29" spans="1:20" x14ac:dyDescent="0.35">
      <c r="A29">
        <f>A28+Parameters!$B$71</f>
        <v>25</v>
      </c>
      <c r="B29" s="13">
        <v>5.3299096436442921E-2</v>
      </c>
      <c r="C29" s="13">
        <v>1.0279302663187008E-2</v>
      </c>
      <c r="D29" s="12">
        <v>0.29315915794637643</v>
      </c>
      <c r="E29" s="5">
        <f>MAX((1-Parameters!$B$4)^Parameters!B$71*E28+B28*Parameters!B$71-Parameters!$B$5*B28^2/E28*Parameters!B$71,0.0001)</f>
        <v>0.79031625454727272</v>
      </c>
      <c r="F29" s="7">
        <f>MAX((1-Parameters!$B$4)^Parameters!B$71*F28+C28*Parameters!B$71-Parameters!$B$5*C28^2/F28*Parameters!B$71,0.0001)</f>
        <v>0.15243380081832372</v>
      </c>
      <c r="G29" s="5">
        <f>MAX((1-Parameters!$B$4)^Parameters!B$71*G28+D28*Parameters!B$71-Parameters!$B$5*D28^2/G28*Parameters!B$71,0.0001)</f>
        <v>4.3470885091988549</v>
      </c>
      <c r="I29" s="5">
        <f>I28*(1+Parameters!$B$52)^Parameters!B$71</f>
        <v>8.7726528033799838</v>
      </c>
      <c r="J29" s="5">
        <f>J28*(1+Parameters!$B$54)^Parameters!B$71</f>
        <v>14.851729893684935</v>
      </c>
      <c r="K29" s="5">
        <f>'6states'!$N$4</f>
        <v>0.98104277196026479</v>
      </c>
      <c r="L29" s="7">
        <f t="shared" si="3"/>
        <v>0.5</v>
      </c>
      <c r="M29" s="16">
        <f t="shared" si="2"/>
        <v>2</v>
      </c>
      <c r="N29" s="5">
        <f>(Parameters!$B$19*(E29+Parameters!$B$20)^L29+Parameters!$B$18*F29^L29)^(1/L29)</f>
        <v>0.54970193730910011</v>
      </c>
      <c r="O29" s="5">
        <f>(Parameters!$B$10*G29^Parameters!$B$9 + Parameters!$B$11*N29^Parameters!$B$9) ^ (Parameters!$B$7/Parameters!$B$9) * K29</f>
        <v>1.5020863680952741</v>
      </c>
      <c r="P29" s="5">
        <f t="shared" si="0"/>
        <v>1.1453488110492678</v>
      </c>
      <c r="Q29" s="5">
        <f>EXP(-Parameters!$B$56*A29)</f>
        <v>0.68557320158429325</v>
      </c>
      <c r="R29" s="5">
        <f>IF(P29&gt;0,P29^(1-Parameters!$B$53)/(1-Parameters!$B$53)*Q29,-10+P29*1000)</f>
        <v>-1.8679169776743867</v>
      </c>
      <c r="S29" s="5"/>
      <c r="T29" s="10">
        <f t="shared" si="1"/>
        <v>0.23749470378215912</v>
      </c>
    </row>
    <row r="30" spans="1:20" x14ac:dyDescent="0.35">
      <c r="A30">
        <f>A29+Parameters!$B$71</f>
        <v>26</v>
      </c>
      <c r="B30" s="26">
        <f>B29</f>
        <v>5.3299096436442921E-2</v>
      </c>
      <c r="C30" s="26">
        <f t="shared" ref="C30:D33" si="5">C29</f>
        <v>1.0279302663187008E-2</v>
      </c>
      <c r="D30" s="26">
        <f t="shared" si="5"/>
        <v>0.29315915794637643</v>
      </c>
      <c r="E30" s="5">
        <f>MAX((1-Parameters!$B$4)^Parameters!B$71*E29+B29*Parameters!B$71-Parameters!$B$5*B29^2/E29*Parameters!B$71,0.0001)</f>
        <v>0.7903099561635667</v>
      </c>
      <c r="F30" s="7">
        <f>MAX((1-Parameters!$B$4)^Parameters!B$71*F29+C29*Parameters!B$71-Parameters!$B$5*C29^2/F29*Parameters!B$71,0.0001)</f>
        <v>0.15243183740223046</v>
      </c>
      <c r="G30" s="5">
        <f>MAX((1-Parameters!$B$4)^Parameters!B$71*G29+D29*Parameters!B$71-Parameters!$B$5*D29^2/G29*Parameters!B$71,0.0001)</f>
        <v>4.3470457189288618</v>
      </c>
      <c r="I30" s="5">
        <f>I29*(1+Parameters!$B$52)^Parameters!B$71</f>
        <v>8.7980934965097841</v>
      </c>
      <c r="J30" s="5">
        <f>J29*(1+Parameters!$B$54)^Parameters!B$71</f>
        <v>15.148764491558634</v>
      </c>
      <c r="K30" s="5">
        <f>'6states'!$N$4</f>
        <v>0.98104277196026479</v>
      </c>
      <c r="L30" s="7">
        <f t="shared" si="3"/>
        <v>0.5</v>
      </c>
      <c r="M30" s="16">
        <f t="shared" si="2"/>
        <v>2</v>
      </c>
      <c r="N30" s="5">
        <f>(Parameters!$B$19*(E30+Parameters!$B$20)^L30+Parameters!$B$18*F30^L30)^(1/L30)</f>
        <v>0.54969717054333511</v>
      </c>
      <c r="O30" s="5">
        <f>(Parameters!$B$10*G30^Parameters!$B$9 + Parameters!$B$11*N30^Parameters!$B$9) ^ (Parameters!$B$7/Parameters!$B$9) * K30</f>
        <v>1.502082027302666</v>
      </c>
      <c r="P30" s="5">
        <f t="shared" si="0"/>
        <v>1.1453444702566598</v>
      </c>
      <c r="Q30" s="5">
        <f>EXP(-Parameters!$B$56*A30)</f>
        <v>0.67529881309466844</v>
      </c>
      <c r="R30" s="5">
        <f>IF(P30&gt;0,P30^(1-Parameters!$B$53)/(1-Parameters!$B$53)*Q30,-10+P30*1000)</f>
        <v>-1.8399257559827327</v>
      </c>
      <c r="S30" s="5"/>
      <c r="T30" s="10">
        <f t="shared" si="1"/>
        <v>0.23749539010636506</v>
      </c>
    </row>
    <row r="31" spans="1:20" x14ac:dyDescent="0.35">
      <c r="A31">
        <f>A30+Parameters!$B$71</f>
        <v>27</v>
      </c>
      <c r="B31" s="26">
        <f>B30</f>
        <v>5.3299096436442921E-2</v>
      </c>
      <c r="C31" s="26">
        <f t="shared" si="5"/>
        <v>1.0279302663187008E-2</v>
      </c>
      <c r="D31" s="26">
        <f t="shared" si="5"/>
        <v>0.29315915794637643</v>
      </c>
      <c r="E31" s="5">
        <f>MAX((1-Parameters!$B$4)^Parameters!B$71*E30+B30*Parameters!B$71-Parameters!$B$5*B30^2/E30*Parameters!B$71,0.0001)</f>
        <v>0.79030402530177013</v>
      </c>
      <c r="F31" s="7">
        <f>MAX((1-Parameters!$B$4)^Parameters!B$71*F30+C30*Parameters!B$71-Parameters!$B$5*C30^2/F30*Parameters!B$71,0.0001)</f>
        <v>0.1524299885564234</v>
      </c>
      <c r="G31" s="5">
        <f>MAX((1-Parameters!$B$4)^Parameters!B$71*G30+D30*Parameters!B$71-Parameters!$B$5*D30^2/G30*Parameters!B$71,0.0001)</f>
        <v>4.3470054255594892</v>
      </c>
      <c r="I31" s="5">
        <f>I30*(1+Parameters!$B$52)^Parameters!B$71</f>
        <v>8.8236079676496608</v>
      </c>
      <c r="J31" s="5">
        <f>J30*(1+Parameters!$B$54)^Parameters!B$71</f>
        <v>15.451739781389806</v>
      </c>
      <c r="K31" s="5">
        <f>'6states'!$N$4</f>
        <v>0.98104277196026479</v>
      </c>
      <c r="L31" s="7">
        <f t="shared" si="3"/>
        <v>0.5</v>
      </c>
      <c r="M31" s="16">
        <f t="shared" si="2"/>
        <v>2</v>
      </c>
      <c r="N31" s="5">
        <f>(Parameters!$B$19*(E31+Parameters!$B$20)^L31+Parameters!$B$18*F31^L31)^(1/L31)</f>
        <v>0.5496926819268384</v>
      </c>
      <c r="O31" s="5">
        <f>(Parameters!$B$10*G31^Parameters!$B$9 + Parameters!$B$11*N31^Parameters!$B$9) ^ (Parameters!$B$7/Parameters!$B$9) * K31</f>
        <v>1.5020779397768957</v>
      </c>
      <c r="P31" s="5">
        <f t="shared" si="0"/>
        <v>1.1453403827308895</v>
      </c>
      <c r="Q31" s="5">
        <f>EXP(-Parameters!$B$56*A31)</f>
        <v>0.66517840241309079</v>
      </c>
      <c r="R31" s="5">
        <f>IF(P31&gt;0,P31^(1-Parameters!$B$53)/(1-Parameters!$B$53)*Q31,-10+P31*1000)</f>
        <v>-1.8123538497700071</v>
      </c>
      <c r="S31" s="5"/>
      <c r="T31" s="10">
        <f t="shared" si="1"/>
        <v>0.23749603639009087</v>
      </c>
    </row>
    <row r="32" spans="1:20" x14ac:dyDescent="0.35">
      <c r="A32">
        <f>A31+Parameters!$B$71</f>
        <v>28</v>
      </c>
      <c r="B32" s="26">
        <f>B31</f>
        <v>5.3299096436442921E-2</v>
      </c>
      <c r="C32" s="26">
        <f t="shared" si="5"/>
        <v>1.0279302663187008E-2</v>
      </c>
      <c r="D32" s="26">
        <f t="shared" si="5"/>
        <v>0.29315915794637643</v>
      </c>
      <c r="E32" s="5">
        <f>MAX((1-Parameters!$B$4)^Parameters!B$71*E31+B31*Parameters!B$71-Parameters!$B$5*B31^2/E31*Parameters!B$71,0.0001)</f>
        <v>0.79029844051590747</v>
      </c>
      <c r="F32" s="7">
        <f>MAX((1-Parameters!$B$4)^Parameters!B$71*F31+C31*Parameters!B$71-Parameters!$B$5*C31^2/F31*Parameters!B$71,0.0001)</f>
        <v>0.15242824759522677</v>
      </c>
      <c r="G32" s="5">
        <f>MAX((1-Parameters!$B$4)^Parameters!B$71*G31+D31*Parameters!B$71-Parameters!$B$5*D31^2/G31*Parameters!B$71,0.0001)</f>
        <v>4.3469674833879255</v>
      </c>
      <c r="I32" s="5">
        <f>I31*(1+Parameters!$B$52)^Parameters!B$71</f>
        <v>8.8491964307558444</v>
      </c>
      <c r="J32" s="5">
        <f>J31*(1+Parameters!$B$54)^Parameters!B$71</f>
        <v>15.760774577017603</v>
      </c>
      <c r="K32" s="5">
        <f>'6states'!$N$4</f>
        <v>0.98104277196026479</v>
      </c>
      <c r="L32" s="7">
        <f t="shared" si="3"/>
        <v>0.5</v>
      </c>
      <c r="M32" s="16">
        <f t="shared" si="2"/>
        <v>2</v>
      </c>
      <c r="N32" s="5">
        <f>(Parameters!$B$19*(E32+Parameters!$B$20)^L32+Parameters!$B$18*F32^L32)^(1/L32)</f>
        <v>0.54968845522878962</v>
      </c>
      <c r="O32" s="5">
        <f>(Parameters!$B$10*G32^Parameters!$B$9 + Parameters!$B$11*N32^Parameters!$B$9) ^ (Parameters!$B$7/Parameters!$B$9) * K32</f>
        <v>1.5020740907420653</v>
      </c>
      <c r="P32" s="5">
        <f t="shared" si="0"/>
        <v>1.145336533696059</v>
      </c>
      <c r="Q32" s="5">
        <f>EXP(-Parameters!$B$56*A32)</f>
        <v>0.65520966194087471</v>
      </c>
      <c r="R32" s="5">
        <f>IF(P32&gt;0,P32^(1-Parameters!$B$53)/(1-Parameters!$B$53)*Q32,-10+P32*1000)</f>
        <v>-1.785194987747589</v>
      </c>
      <c r="S32" s="5"/>
      <c r="T32" s="10">
        <f t="shared" si="1"/>
        <v>0.23749664496893647</v>
      </c>
    </row>
    <row r="33" spans="1:20" x14ac:dyDescent="0.35">
      <c r="A33">
        <f>A32+Parameters!$B$71</f>
        <v>29</v>
      </c>
      <c r="B33" s="26">
        <f>B32</f>
        <v>5.3299096436442921E-2</v>
      </c>
      <c r="C33" s="26">
        <f t="shared" si="5"/>
        <v>1.0279302663187008E-2</v>
      </c>
      <c r="D33" s="26">
        <f t="shared" si="5"/>
        <v>0.29315915794637643</v>
      </c>
      <c r="E33" s="5">
        <f>MAX((1-Parameters!$B$4)^Parameters!B$71*E32+B32*Parameters!B$71-Parameters!$B$5*B32^2/E32*Parameters!B$71,0.0001)</f>
        <v>0.79029318161148576</v>
      </c>
      <c r="F33" s="7">
        <f>MAX((1-Parameters!$B$4)^Parameters!B$71*F32+C32*Parameters!B$71-Parameters!$B$5*C32^2/F32*Parameters!B$71,0.0001)</f>
        <v>0.15242660822312698</v>
      </c>
      <c r="G33" s="5">
        <f>MAX((1-Parameters!$B$4)^Parameters!B$71*G32+D32*Parameters!B$71-Parameters!$B$5*D32^2/G32*Parameters!B$71,0.0001)</f>
        <v>4.3469317552140234</v>
      </c>
      <c r="I33" s="5">
        <f>I32*(1+Parameters!$B$52)^Parameters!B$71</f>
        <v>8.8748591004050361</v>
      </c>
      <c r="J33" s="5">
        <f>J32*(1+Parameters!$B$54)^Parameters!B$71</f>
        <v>16.075990068557957</v>
      </c>
      <c r="K33" s="5">
        <f>'6states'!$N$4</f>
        <v>0.98104277196026479</v>
      </c>
      <c r="L33" s="7">
        <f t="shared" si="3"/>
        <v>0.5</v>
      </c>
      <c r="M33" s="16">
        <f t="shared" si="2"/>
        <v>2</v>
      </c>
      <c r="N33" s="5">
        <f>(Parameters!$B$19*(E33+Parameters!$B$20)^L33+Parameters!$B$18*F33^L33)^(1/L33)</f>
        <v>0.54968447516551922</v>
      </c>
      <c r="O33" s="5">
        <f>(Parameters!$B$10*G33^Parameters!$B$9 + Parameters!$B$11*N33^Parameters!$B$9) ^ (Parameters!$B$7/Parameters!$B$9) * K33</f>
        <v>1.5020704662841928</v>
      </c>
      <c r="P33" s="5">
        <f t="shared" si="0"/>
        <v>1.1453329092381865</v>
      </c>
      <c r="Q33" s="5">
        <f>EXP(-Parameters!$B$56*A33)</f>
        <v>0.64539031866231678</v>
      </c>
      <c r="R33" s="5">
        <f>IF(P33&gt;0,P33^(1-Parameters!$B$53)/(1-Parameters!$B$53)*Q33,-10+P33*1000)</f>
        <v>-1.7584429916840045</v>
      </c>
      <c r="S33" s="5"/>
      <c r="T33" s="10">
        <f t="shared" si="1"/>
        <v>0.23749721804230678</v>
      </c>
    </row>
    <row r="34" spans="1:20" x14ac:dyDescent="0.35">
      <c r="A34">
        <f>A33+Parameters!$B$71</f>
        <v>30</v>
      </c>
      <c r="B34" s="13">
        <v>5.3297369223283056E-2</v>
      </c>
      <c r="C34" s="13">
        <v>1.0280537235406693E-2</v>
      </c>
      <c r="D34" s="12">
        <v>0.29315741232042497</v>
      </c>
      <c r="E34" s="5">
        <f>MAX((1-Parameters!$B$4)^Parameters!B$71*E33+B33*Parameters!B$71-Parameters!$B$5*B33^2/E33*Parameters!B$71,0.0001)</f>
        <v>0.79028822957245859</v>
      </c>
      <c r="F34" s="7">
        <f>MAX((1-Parameters!$B$4)^Parameters!B$71*F33+C33*Parameters!B$71-Parameters!$B$5*C33^2/F33*Parameters!B$71,0.0001)</f>
        <v>0.15242506451200089</v>
      </c>
      <c r="G34" s="5">
        <f>MAX((1-Parameters!$B$4)^Parameters!B$71*G33+D33*Parameters!B$71-Parameters!$B$5*D33^2/G33*Parameters!B$71,0.0001)</f>
        <v>4.3468981118440659</v>
      </c>
      <c r="I34" s="5">
        <f>I33*(1+Parameters!$B$52)^Parameters!B$71</f>
        <v>8.9005961917962093</v>
      </c>
      <c r="J34" s="5">
        <f>J33*(1+Parameters!$B$54)^Parameters!B$71</f>
        <v>16.397509869929117</v>
      </c>
      <c r="K34" s="5">
        <f>'6states'!$N$4</f>
        <v>0.98104277196026479</v>
      </c>
      <c r="L34" s="7">
        <f t="shared" si="3"/>
        <v>0.5</v>
      </c>
      <c r="M34" s="16">
        <f t="shared" si="2"/>
        <v>2</v>
      </c>
      <c r="N34" s="5">
        <f>(Parameters!$B$19*(E34+Parameters!$B$20)^L34+Parameters!$B$18*F34^L34)^(1/L34)</f>
        <v>0.54968072734523499</v>
      </c>
      <c r="O34" s="5">
        <f>(Parameters!$B$10*G34^Parameters!$B$9 + Parameters!$B$11*N34^Parameters!$B$9) ^ (Parameters!$B$7/Parameters!$B$9) * K34</f>
        <v>1.5020670533009448</v>
      </c>
      <c r="P34" s="5">
        <f t="shared" si="0"/>
        <v>1.1453317345218301</v>
      </c>
      <c r="Q34" s="5">
        <f>EXP(-Parameters!$B$56*A34)</f>
        <v>0.63571813362641427</v>
      </c>
      <c r="R34" s="5">
        <f>IF(P34&gt;0,P34^(1-Parameters!$B$53)/(1-Parameters!$B$53)*Q34,-10+P34*1000)</f>
        <v>-1.7320905903463992</v>
      </c>
      <c r="S34" s="5"/>
      <c r="T34" s="10">
        <f t="shared" si="1"/>
        <v>0.23749626755686612</v>
      </c>
    </row>
    <row r="35" spans="1:20" x14ac:dyDescent="0.35">
      <c r="A35">
        <f>A34+Parameters!$B$71</f>
        <v>31</v>
      </c>
      <c r="B35" s="26">
        <f>B34</f>
        <v>5.3297369223283056E-2</v>
      </c>
      <c r="C35" s="26">
        <f t="shared" ref="C35:D43" si="6">C34</f>
        <v>1.0280537235406693E-2</v>
      </c>
      <c r="D35" s="26">
        <f t="shared" si="6"/>
        <v>0.29315741232042497</v>
      </c>
      <c r="E35" s="5">
        <f>MAX((1-Parameters!$B$4)^Parameters!B$71*E34+B34*Parameters!B$71-Parameters!$B$5*B34^2/E34*Parameters!B$71,0.0001)</f>
        <v>0.79028207225102653</v>
      </c>
      <c r="F35" s="7">
        <f>MAX((1-Parameters!$B$4)^Parameters!B$71*F34+C34*Parameters!B$71-Parameters!$B$5*C34^2/F34*Parameters!B$71,0.0001)</f>
        <v>0.15242467892674003</v>
      </c>
      <c r="G35" s="5">
        <f>MAX((1-Parameters!$B$4)^Parameters!B$71*G34+D34*Parameters!B$71-Parameters!$B$5*D34^2/G34*Parameters!B$71,0.0001)</f>
        <v>4.3468649214503783</v>
      </c>
      <c r="I35" s="5">
        <f>I34*(1+Parameters!$B$52)^Parameters!B$71</f>
        <v>8.9264079207524176</v>
      </c>
      <c r="J35" s="5">
        <f>J34*(1+Parameters!$B$54)^Parameters!B$71</f>
        <v>16.725460067327699</v>
      </c>
      <c r="K35" s="5">
        <f>'6states'!$N$4</f>
        <v>0.98104277196026479</v>
      </c>
      <c r="L35" s="7">
        <f t="shared" si="3"/>
        <v>0.5</v>
      </c>
      <c r="M35" s="16">
        <f t="shared" si="2"/>
        <v>2</v>
      </c>
      <c r="N35" s="5">
        <f>(Parameters!$B$19*(E35+Parameters!$B$20)^L35+Parameters!$B$18*F35^L35)^(1/L35)</f>
        <v>0.54967695234037361</v>
      </c>
      <c r="O35" s="5">
        <f>(Parameters!$B$10*G35^Parameters!$B$9 + Parameters!$B$11*N35^Parameters!$B$9) ^ (Parameters!$B$7/Parameters!$B$9) * K35</f>
        <v>1.5020636748103133</v>
      </c>
      <c r="P35" s="5">
        <f t="shared" si="0"/>
        <v>1.1453283560311986</v>
      </c>
      <c r="Q35" s="5">
        <f>EXP(-Parameters!$B$56*A35)</f>
        <v>0.62619090143635336</v>
      </c>
      <c r="R35" s="5">
        <f>IF(P35&gt;0,P35^(1-Parameters!$B$53)/(1-Parameters!$B$53)*Q35,-10+P35*1000)</f>
        <v>-1.7061342607047172</v>
      </c>
      <c r="S35" s="5"/>
      <c r="T35" s="10">
        <f t="shared" si="1"/>
        <v>0.2374968017412209</v>
      </c>
    </row>
    <row r="36" spans="1:20" x14ac:dyDescent="0.35">
      <c r="A36">
        <f>A35+Parameters!$B$71</f>
        <v>32</v>
      </c>
      <c r="B36" s="26">
        <f t="shared" ref="B36:B43" si="7">B35</f>
        <v>5.3297369223283056E-2</v>
      </c>
      <c r="C36" s="26">
        <f t="shared" si="6"/>
        <v>1.0280537235406693E-2</v>
      </c>
      <c r="D36" s="26">
        <f t="shared" si="6"/>
        <v>0.29315741232042497</v>
      </c>
      <c r="E36" s="5">
        <f>MAX((1-Parameters!$B$4)^Parameters!B$71*E35+B35*Parameters!B$71-Parameters!$B$5*B35^2/E35*Parameters!B$71,0.0001)</f>
        <v>0.79027627422010294</v>
      </c>
      <c r="F36" s="7">
        <f>MAX((1-Parameters!$B$4)^Parameters!B$71*F35+C35*Parameters!B$71-Parameters!$B$5*C35^2/F35*Parameters!B$71,0.0001)</f>
        <v>0.15242431584074853</v>
      </c>
      <c r="G36" s="5">
        <f>MAX((1-Parameters!$B$4)^Parameters!B$71*G35+D35*Parameters!B$71-Parameters!$B$5*D35^2/G35*Parameters!B$71,0.0001)</f>
        <v>4.3468336677736108</v>
      </c>
      <c r="I36" s="5">
        <f>I35*(1+Parameters!$B$52)^Parameters!B$71</f>
        <v>8.9522945037225981</v>
      </c>
      <c r="J36" s="5">
        <f>J35*(1+Parameters!$B$54)^Parameters!B$71</f>
        <v>17.059969268674255</v>
      </c>
      <c r="K36" s="5">
        <f>'6states'!$N$4</f>
        <v>0.98104277196026479</v>
      </c>
      <c r="L36" s="7">
        <f t="shared" si="3"/>
        <v>0.5</v>
      </c>
      <c r="M36" s="16">
        <f t="shared" si="2"/>
        <v>2</v>
      </c>
      <c r="N36" s="5">
        <f>(Parameters!$B$19*(E36+Parameters!$B$20)^L36+Parameters!$B$18*F36^L36)^(1/L36)</f>
        <v>0.54967339761259126</v>
      </c>
      <c r="O36" s="5">
        <f>(Parameters!$B$10*G36^Parameters!$B$9 + Parameters!$B$11*N36^Parameters!$B$9) ^ (Parameters!$B$7/Parameters!$B$9) * K36</f>
        <v>1.5020604934439239</v>
      </c>
      <c r="P36" s="5">
        <f t="shared" si="0"/>
        <v>1.1453251746648092</v>
      </c>
      <c r="Q36" s="5">
        <f>EXP(-Parameters!$B$56*A36)</f>
        <v>0.61680644974664667</v>
      </c>
      <c r="R36" s="5">
        <f>IF(P36&gt;0,P36^(1-Parameters!$B$53)/(1-Parameters!$B$53)*Q36,-10+P36*1000)</f>
        <v>-1.6805667997002258</v>
      </c>
      <c r="S36" s="5"/>
      <c r="T36" s="10">
        <f t="shared" ref="T36:T64" si="8">(B36+C36+D36)/O36</f>
        <v>0.23749730475980502</v>
      </c>
    </row>
    <row r="37" spans="1:20" x14ac:dyDescent="0.35">
      <c r="A37">
        <f>A36+Parameters!$B$71</f>
        <v>33</v>
      </c>
      <c r="B37" s="26">
        <f t="shared" si="7"/>
        <v>5.3297369223283056E-2</v>
      </c>
      <c r="C37" s="26">
        <f t="shared" si="6"/>
        <v>1.0280537235406693E-2</v>
      </c>
      <c r="D37" s="26">
        <f t="shared" si="6"/>
        <v>0.29315741232042497</v>
      </c>
      <c r="E37" s="5">
        <f>MAX((1-Parameters!$B$4)^Parameters!B$71*E36+B36*Parameters!B$71-Parameters!$B$5*B36^2/E36*Parameters!B$71,0.0001)</f>
        <v>0.79027081451405723</v>
      </c>
      <c r="F37" s="7">
        <f>MAX((1-Parameters!$B$4)^Parameters!B$71*F36+C36*Parameters!B$71-Parameters!$B$5*C36^2/F36*Parameters!B$71,0.0001)</f>
        <v>0.15242397394116439</v>
      </c>
      <c r="G37" s="5">
        <f>MAX((1-Parameters!$B$4)^Parameters!B$71*G36+D36*Parameters!B$71-Parameters!$B$5*D36^2/G36*Parameters!B$71,0.0001)</f>
        <v>4.3468042378008711</v>
      </c>
      <c r="I37" s="5">
        <f>I36*(1+Parameters!$B$52)^Parameters!B$71</f>
        <v>8.9782561577833935</v>
      </c>
      <c r="J37" s="5">
        <f>J36*(1+Parameters!$B$54)^Parameters!B$71</f>
        <v>17.401168654047741</v>
      </c>
      <c r="K37" s="5">
        <f>'6states'!$N$4</f>
        <v>0.98104277196026479</v>
      </c>
      <c r="L37" s="7">
        <f t="shared" si="3"/>
        <v>0.5</v>
      </c>
      <c r="M37" s="16">
        <f t="shared" si="2"/>
        <v>2</v>
      </c>
      <c r="N37" s="5">
        <f>(Parameters!$B$19*(E37+Parameters!$B$20)^L37+Parameters!$B$18*F37^L37)^(1/L37)</f>
        <v>0.5496700503082117</v>
      </c>
      <c r="O37" s="5">
        <f>(Parameters!$B$10*G37^Parameters!$B$9 + Parameters!$B$11*N37^Parameters!$B$9) ^ (Parameters!$B$7/Parameters!$B$9) * K37</f>
        <v>1.5020574977008943</v>
      </c>
      <c r="P37" s="5">
        <f t="shared" si="0"/>
        <v>1.1453221789217796</v>
      </c>
      <c r="Q37" s="5">
        <f>EXP(-Parameters!$B$56*A37)</f>
        <v>0.60756263876780681</v>
      </c>
      <c r="R37" s="5">
        <f>IF(P37&gt;0,P37^(1-Parameters!$B$53)/(1-Parameters!$B$53)*Q37,-10+P37*1000)</f>
        <v>-1.6553823887737691</v>
      </c>
      <c r="S37" s="5"/>
      <c r="T37" s="10">
        <f t="shared" si="8"/>
        <v>0.23749777843068404</v>
      </c>
    </row>
    <row r="38" spans="1:20" x14ac:dyDescent="0.35">
      <c r="A38">
        <f>A37+Parameters!$B$71</f>
        <v>34</v>
      </c>
      <c r="B38" s="26">
        <f t="shared" si="7"/>
        <v>5.3297369223283056E-2</v>
      </c>
      <c r="C38" s="26">
        <f t="shared" si="6"/>
        <v>1.0280537235406693E-2</v>
      </c>
      <c r="D38" s="26">
        <f t="shared" si="6"/>
        <v>0.29315741232042497</v>
      </c>
      <c r="E38" s="5">
        <f>MAX((1-Parameters!$B$4)^Parameters!B$71*E37+B37*Parameters!B$71-Parameters!$B$5*B37^2/E37*Parameters!B$71,0.0001)</f>
        <v>0.79026567339070886</v>
      </c>
      <c r="F38" s="7">
        <f>MAX((1-Parameters!$B$4)^Parameters!B$71*F37+C37*Parameters!B$71-Parameters!$B$5*C37^2/F37*Parameters!B$71,0.0001)</f>
        <v>0.15242365199173369</v>
      </c>
      <c r="G38" s="5">
        <f>MAX((1-Parameters!$B$4)^Parameters!B$71*G37+D37*Parameters!B$71-Parameters!$B$5*D37^2/G37*Parameters!B$71,0.0001)</f>
        <v>4.3467765251141275</v>
      </c>
      <c r="I38" s="5">
        <f>I37*(1+Parameters!$B$52)^Parameters!B$71</f>
        <v>9.0042931006409646</v>
      </c>
      <c r="J38" s="5">
        <f>J37*(1+Parameters!$B$54)^Parameters!B$71</f>
        <v>17.749192027128696</v>
      </c>
      <c r="K38" s="5">
        <f>'6states'!$N$4</f>
        <v>0.98104277196026479</v>
      </c>
      <c r="L38" s="7">
        <f t="shared" si="3"/>
        <v>0.5</v>
      </c>
      <c r="M38" s="16">
        <f t="shared" si="2"/>
        <v>2</v>
      </c>
      <c r="N38" s="5">
        <f>(Parameters!$B$19*(E38+Parameters!$B$20)^L38+Parameters!$B$18*F38^L38)^(1/L38)</f>
        <v>0.5496668983236207</v>
      </c>
      <c r="O38" s="5">
        <f>(Parameters!$B$10*G38^Parameters!$B$9 + Parameters!$B$11*N38^Parameters!$B$9) ^ (Parameters!$B$7/Parameters!$B$9) * K38</f>
        <v>1.5020546767512637</v>
      </c>
      <c r="P38" s="5">
        <f t="shared" si="0"/>
        <v>1.145319357972149</v>
      </c>
      <c r="Q38" s="5">
        <f>EXP(-Parameters!$B$56*A38)</f>
        <v>0.59845736077844469</v>
      </c>
      <c r="R38" s="5">
        <f>IF(P38&gt;0,P38^(1-Parameters!$B$53)/(1-Parameters!$B$53)*Q38,-10+P38*1000)</f>
        <v>-1.6305752958965876</v>
      </c>
      <c r="S38" s="5"/>
      <c r="T38" s="10">
        <f t="shared" si="8"/>
        <v>0.23749822446589214</v>
      </c>
    </row>
    <row r="39" spans="1:20" x14ac:dyDescent="0.35">
      <c r="A39">
        <f>A38+Parameters!$B$71</f>
        <v>35</v>
      </c>
      <c r="B39" s="26">
        <f t="shared" si="7"/>
        <v>5.3297369223283056E-2</v>
      </c>
      <c r="C39" s="26">
        <f t="shared" si="6"/>
        <v>1.0280537235406693E-2</v>
      </c>
      <c r="D39" s="26">
        <f t="shared" si="6"/>
        <v>0.29315741232042497</v>
      </c>
      <c r="E39" s="5">
        <f>MAX((1-Parameters!$B$4)^Parameters!B$71*E38+B38*Parameters!B$71-Parameters!$B$5*B38^2/E38*Parameters!B$71,0.0001)</f>
        <v>0.79026083225992716</v>
      </c>
      <c r="F39" s="7">
        <f>MAX((1-Parameters!$B$4)^Parameters!B$71*F38+C38*Parameters!B$71-Parameters!$B$5*C38^2/F38*Parameters!B$71,0.0001)</f>
        <v>0.15242334882834035</v>
      </c>
      <c r="G39" s="5">
        <f>MAX((1-Parameters!$B$4)^Parameters!B$71*G38+D38*Parameters!B$71-Parameters!$B$5*D38^2/G38*Parameters!B$71,0.0001)</f>
        <v>4.3467504295053372</v>
      </c>
      <c r="I39" s="5">
        <f>I38*(1+Parameters!$B$52)^Parameters!B$71</f>
        <v>9.0304055506328229</v>
      </c>
      <c r="J39" s="5">
        <f>J38*(1+Parameters!$B$54)^Parameters!B$71</f>
        <v>18.10417586767127</v>
      </c>
      <c r="K39" s="5">
        <f>'6states'!$N$4</f>
        <v>0.98104277196026479</v>
      </c>
      <c r="L39" s="7">
        <f t="shared" si="3"/>
        <v>0.5</v>
      </c>
      <c r="M39" s="16">
        <f t="shared" si="2"/>
        <v>2</v>
      </c>
      <c r="N39" s="5">
        <f>(Parameters!$B$19*(E39+Parameters!$B$20)^L39+Parameters!$B$18*F39^L39)^(1/L39)</f>
        <v>0.54966393026149574</v>
      </c>
      <c r="O39" s="5">
        <f>(Parameters!$B$10*G39^Parameters!$B$9 + Parameters!$B$11*N39^Parameters!$B$9) ^ (Parameters!$B$7/Parameters!$B$9) * K39</f>
        <v>1.5020520203968608</v>
      </c>
      <c r="P39" s="5">
        <f t="shared" si="0"/>
        <v>1.1453167016177461</v>
      </c>
      <c r="Q39" s="5">
        <f>EXP(-Parameters!$B$56*A39)</f>
        <v>0.58948853964467807</v>
      </c>
      <c r="R39" s="5">
        <f>IF(P39&gt;0,P39^(1-Parameters!$B$53)/(1-Parameters!$B$53)*Q39,-10+P39*1000)</f>
        <v>-1.6061398743220372</v>
      </c>
      <c r="S39" s="5"/>
      <c r="T39" s="10">
        <f t="shared" si="8"/>
        <v>0.23749864447761321</v>
      </c>
    </row>
    <row r="40" spans="1:20" x14ac:dyDescent="0.35">
      <c r="A40">
        <f>A39+Parameters!$B$71</f>
        <v>36</v>
      </c>
      <c r="B40" s="26">
        <f t="shared" si="7"/>
        <v>5.3297369223283056E-2</v>
      </c>
      <c r="C40" s="26">
        <f t="shared" si="6"/>
        <v>1.0280537235406693E-2</v>
      </c>
      <c r="D40" s="26">
        <f t="shared" si="6"/>
        <v>0.29315741232042497</v>
      </c>
      <c r="E40" s="5">
        <f>MAX((1-Parameters!$B$4)^Parameters!B$71*E39+B39*Parameters!B$71-Parameters!$B$5*B39^2/E39*Parameters!B$71,0.0001)</f>
        <v>0.79025627361639994</v>
      </c>
      <c r="F40" s="7">
        <f>MAX((1-Parameters!$B$4)^Parameters!B$71*F39+C39*Parameters!B$71-Parameters!$B$5*C39^2/F39*Parameters!B$71,0.0001)</f>
        <v>0.15242306335479663</v>
      </c>
      <c r="G40" s="5">
        <f>MAX((1-Parameters!$B$4)^Parameters!B$71*G39+D39*Parameters!B$71-Parameters!$B$5*D39^2/G39*Parameters!B$71,0.0001)</f>
        <v>4.3467258566140421</v>
      </c>
      <c r="I40" s="5">
        <f>I39*(1+Parameters!$B$52)^Parameters!B$71</f>
        <v>9.0565937267296572</v>
      </c>
      <c r="J40" s="5">
        <f>J39*(1+Parameters!$B$54)^Parameters!B$71</f>
        <v>18.466259385024696</v>
      </c>
      <c r="K40" s="5">
        <f>'6states'!$N$4</f>
        <v>0.98104277196026479</v>
      </c>
      <c r="L40" s="7">
        <f t="shared" si="3"/>
        <v>0.5</v>
      </c>
      <c r="M40" s="16">
        <f t="shared" si="2"/>
        <v>2</v>
      </c>
      <c r="N40" s="5">
        <f>(Parameters!$B$19*(E40+Parameters!$B$20)^L40+Parameters!$B$18*F40^L40)^(1/L40)</f>
        <v>0.54966113538958883</v>
      </c>
      <c r="O40" s="5">
        <f>(Parameters!$B$10*G40^Parameters!$B$9 + Parameters!$B$11*N40^Parameters!$B$9) ^ (Parameters!$B$7/Parameters!$B$9) * K40</f>
        <v>1.502049519034458</v>
      </c>
      <c r="P40" s="5">
        <f t="shared" si="0"/>
        <v>1.1453142002553434</v>
      </c>
      <c r="Q40" s="5">
        <f>EXP(-Parameters!$B$56*A40)</f>
        <v>0.58065413034674362</v>
      </c>
      <c r="R40" s="5">
        <f>IF(P40&gt;0,P40^(1-Parameters!$B$53)/(1-Parameters!$B$53)*Q40,-10+P40*1000)</f>
        <v>-1.5820705613525008</v>
      </c>
      <c r="S40" s="5"/>
      <c r="T40" s="10">
        <f t="shared" si="8"/>
        <v>0.23749903998400132</v>
      </c>
    </row>
    <row r="41" spans="1:20" x14ac:dyDescent="0.35">
      <c r="A41">
        <f>A40+Parameters!$B$71</f>
        <v>37</v>
      </c>
      <c r="B41" s="26">
        <f t="shared" si="7"/>
        <v>5.3297369223283056E-2</v>
      </c>
      <c r="C41" s="26">
        <f t="shared" si="6"/>
        <v>1.0280537235406693E-2</v>
      </c>
      <c r="D41" s="26">
        <f t="shared" si="6"/>
        <v>0.29315741232042497</v>
      </c>
      <c r="E41" s="5">
        <f>MAX((1-Parameters!$B$4)^Parameters!B$71*E40+B40*Parameters!B$71-Parameters!$B$5*B40^2/E40*Parameters!B$71,0.0001)</f>
        <v>0.79025198097632487</v>
      </c>
      <c r="F41" s="7">
        <f>MAX((1-Parameters!$B$4)^Parameters!B$71*F40+C40*Parameters!B$71-Parameters!$B$5*C40^2/F40*Parameters!B$71,0.0001)</f>
        <v>0.1524227945388793</v>
      </c>
      <c r="G41" s="5">
        <f>MAX((1-Parameters!$B$4)^Parameters!B$71*G40+D40*Parameters!B$71-Parameters!$B$5*D40^2/G40*Parameters!B$71,0.0001)</f>
        <v>4.3467027175861137</v>
      </c>
      <c r="I41" s="5">
        <f>I40*(1+Parameters!$B$52)^Parameters!B$71</f>
        <v>9.0828578485371718</v>
      </c>
      <c r="J41" s="5">
        <f>J40*(1+Parameters!$B$54)^Parameters!B$71</f>
        <v>18.835584572725189</v>
      </c>
      <c r="K41" s="5">
        <f>'6states'!$N$4</f>
        <v>0.98104277196026479</v>
      </c>
      <c r="L41" s="7">
        <f t="shared" si="3"/>
        <v>0.5</v>
      </c>
      <c r="M41" s="16">
        <f t="shared" si="2"/>
        <v>2</v>
      </c>
      <c r="N41" s="5">
        <f>(Parameters!$B$19*(E41+Parameters!$B$20)^L41+Parameters!$B$18*F41^L41)^(1/L41)</f>
        <v>0.54965850360191482</v>
      </c>
      <c r="O41" s="5">
        <f>(Parameters!$B$10*G41^Parameters!$B$9 + Parameters!$B$11*N41^Parameters!$B$9) ^ (Parameters!$B$7/Parameters!$B$9) * K41</f>
        <v>1.5020471636210673</v>
      </c>
      <c r="P41" s="5">
        <f t="shared" si="0"/>
        <v>1.1453118448419526</v>
      </c>
      <c r="Q41" s="5">
        <f>EXP(-Parameters!$B$56*A41)</f>
        <v>0.571952118512703</v>
      </c>
      <c r="R41" s="5">
        <f>IF(P41&gt;0,P41^(1-Parameters!$B$53)/(1-Parameters!$B$53)*Q41,-10+P41*1000)</f>
        <v>-1.5583618771215253</v>
      </c>
      <c r="S41" s="5"/>
      <c r="T41" s="10">
        <f t="shared" si="8"/>
        <v>0.23749941241466302</v>
      </c>
    </row>
    <row r="42" spans="1:20" x14ac:dyDescent="0.35">
      <c r="A42">
        <f>A41+Parameters!$B$71</f>
        <v>38</v>
      </c>
      <c r="B42" s="26">
        <f t="shared" si="7"/>
        <v>5.3297369223283056E-2</v>
      </c>
      <c r="C42" s="26">
        <f t="shared" si="6"/>
        <v>1.0280537235406693E-2</v>
      </c>
      <c r="D42" s="26">
        <f t="shared" si="6"/>
        <v>0.29315741232042497</v>
      </c>
      <c r="E42" s="5">
        <f>MAX((1-Parameters!$B$4)^Parameters!B$71*E41+B41*Parameters!B$71-Parameters!$B$5*B41^2/E41*Parameters!B$71,0.0001)</f>
        <v>0.79024793881779642</v>
      </c>
      <c r="F42" s="7">
        <f>MAX((1-Parameters!$B$4)^Parameters!B$71*F41+C41*Parameters!B$71-Parameters!$B$5*C41^2/F41*Parameters!B$71,0.0001)</f>
        <v>0.1524225414085971</v>
      </c>
      <c r="G42" s="5">
        <f>MAX((1-Parameters!$B$4)^Parameters!B$71*G41+D41*Parameters!B$71-Parameters!$B$5*D41^2/G41*Parameters!B$71,0.0001)</f>
        <v>4.3466809287524182</v>
      </c>
      <c r="I42" s="5">
        <f>I41*(1+Parameters!$B$52)^Parameters!B$71</f>
        <v>9.1091981362979286</v>
      </c>
      <c r="J42" s="5">
        <f>J41*(1+Parameters!$B$54)^Parameters!B$71</f>
        <v>19.212296264179692</v>
      </c>
      <c r="K42" s="5">
        <f>'6states'!$N$4</f>
        <v>0.98104277196026479</v>
      </c>
      <c r="L42" s="7">
        <f t="shared" si="3"/>
        <v>0.5</v>
      </c>
      <c r="M42" s="16">
        <f t="shared" si="2"/>
        <v>2</v>
      </c>
      <c r="N42" s="5">
        <f>(Parameters!$B$19*(E42+Parameters!$B$20)^L42+Parameters!$B$18*F42^L42)^(1/L42)</f>
        <v>0.54965602538220526</v>
      </c>
      <c r="O42" s="5">
        <f>(Parameters!$B$10*G42^Parameters!$B$9 + Parameters!$B$11*N42^Parameters!$B$9) ^ (Parameters!$B$7/Parameters!$B$9) * K42</f>
        <v>1.5020449456412637</v>
      </c>
      <c r="P42" s="5">
        <f t="shared" si="0"/>
        <v>1.145309626862149</v>
      </c>
      <c r="Q42" s="5">
        <f>EXP(-Parameters!$B$56*A42)</f>
        <v>0.56338051995913718</v>
      </c>
      <c r="R42" s="5">
        <f>IF(P42&gt;0,P42^(1-Parameters!$B$53)/(1-Parameters!$B$53)*Q42,-10+P42*1000)</f>
        <v>-1.5350084233911849</v>
      </c>
      <c r="S42" s="5"/>
      <c r="T42" s="10">
        <f t="shared" si="8"/>
        <v>0.23749976311581988</v>
      </c>
    </row>
    <row r="43" spans="1:20" x14ac:dyDescent="0.35">
      <c r="A43">
        <f>A42+Parameters!$B$71</f>
        <v>39</v>
      </c>
      <c r="B43" s="26">
        <f t="shared" si="7"/>
        <v>5.3297369223283056E-2</v>
      </c>
      <c r="C43" s="26">
        <f t="shared" si="6"/>
        <v>1.0280537235406693E-2</v>
      </c>
      <c r="D43" s="26">
        <f t="shared" si="6"/>
        <v>0.29315741232042497</v>
      </c>
      <c r="E43" s="5">
        <f>MAX((1-Parameters!$B$4)^Parameters!B$71*E42+B42*Parameters!B$71-Parameters!$B$5*B42^2/E42*Parameters!B$71,0.0001)</f>
        <v>0.79024413252467252</v>
      </c>
      <c r="F43" s="7">
        <f>MAX((1-Parameters!$B$4)^Parameters!B$71*F42+C42*Parameters!B$71-Parameters!$B$5*C42^2/F42*Parameters!B$71,0.0001)</f>
        <v>0.15242230304867607</v>
      </c>
      <c r="G43" s="5">
        <f>MAX((1-Parameters!$B$4)^Parameters!B$71*G42+D42*Parameters!B$71-Parameters!$B$5*D42^2/G42*Parameters!B$71,0.0001)</f>
        <v>4.3466604113262326</v>
      </c>
      <c r="I43" s="5">
        <f>I42*(1+Parameters!$B$52)^Parameters!B$71</f>
        <v>9.1356148108931912</v>
      </c>
      <c r="J43" s="5">
        <f>J42*(1+Parameters!$B$54)^Parameters!B$71</f>
        <v>19.596542189463285</v>
      </c>
      <c r="K43" s="5">
        <f>'6states'!$N$4</f>
        <v>0.98104277196026479</v>
      </c>
      <c r="L43" s="7">
        <f t="shared" si="3"/>
        <v>0.5</v>
      </c>
      <c r="M43" s="16">
        <f t="shared" si="2"/>
        <v>2</v>
      </c>
      <c r="N43" s="5">
        <f>(Parameters!$B$19*(E43+Parameters!$B$20)^L43+Parameters!$B$18*F43^L43)^(1/L43)</f>
        <v>0.54965369176949508</v>
      </c>
      <c r="O43" s="5">
        <f>(Parameters!$B$10*G43^Parameters!$B$9 + Parameters!$B$11*N43^Parameters!$B$9) ^ (Parameters!$B$7/Parameters!$B$9) * K43</f>
        <v>1.5020428570764142</v>
      </c>
      <c r="P43" s="5">
        <f t="shared" si="0"/>
        <v>1.1453075382972995</v>
      </c>
      <c r="Q43" s="5">
        <f>EXP(-Parameters!$B$56*A43)</f>
        <v>0.5549373802387243</v>
      </c>
      <c r="R43" s="5">
        <f>IF(P43&gt;0,P43^(1-Parameters!$B$53)/(1-Parameters!$B$53)*Q43,-10+P43*1000)</f>
        <v>-1.5120048823646672</v>
      </c>
      <c r="S43" s="5"/>
      <c r="T43" s="10">
        <f t="shared" si="8"/>
        <v>0.23750009335517003</v>
      </c>
    </row>
    <row r="44" spans="1:20" x14ac:dyDescent="0.35">
      <c r="A44">
        <f>A43+Parameters!$B$71</f>
        <v>40</v>
      </c>
      <c r="B44" s="13">
        <v>5.3293081942562902E-2</v>
      </c>
      <c r="C44" s="13">
        <v>1.028166556086463E-2</v>
      </c>
      <c r="D44" s="12">
        <v>0.29316225355214731</v>
      </c>
      <c r="E44" s="5">
        <f>MAX((1-Parameters!$B$4)^Parameters!B$71*E43+B43*Parameters!B$71-Parameters!$B$5*B43^2/E43*Parameters!B$71,0.0001)</f>
        <v>0.7902405483337166</v>
      </c>
      <c r="F44" s="7">
        <f>MAX((1-Parameters!$B$4)^Parameters!B$71*F43+C43*Parameters!B$71-Parameters!$B$5*C43^2/F43*Parameters!B$71,0.0001)</f>
        <v>0.15242207859724996</v>
      </c>
      <c r="G44" s="5">
        <f>MAX((1-Parameters!$B$4)^Parameters!B$71*G43+D43*Parameters!B$71-Parameters!$B$5*D43^2/G43*Parameters!B$71,0.0001)</f>
        <v>4.3466410911183244</v>
      </c>
      <c r="I44" s="5">
        <f>I43*(1+Parameters!$B$52)^Parameters!B$71</f>
        <v>9.1621080938447808</v>
      </c>
      <c r="J44" s="5">
        <f>J43*(1+Parameters!$B$54)^Parameters!B$71</f>
        <v>19.98847303325255</v>
      </c>
      <c r="K44" s="5">
        <f>'6states'!$N$4</f>
        <v>0.98104277196026479</v>
      </c>
      <c r="L44" s="7">
        <f t="shared" si="3"/>
        <v>0.5</v>
      </c>
      <c r="M44" s="16">
        <f t="shared" si="2"/>
        <v>2</v>
      </c>
      <c r="N44" s="5">
        <f>(Parameters!$B$19*(E44+Parameters!$B$20)^L44+Parameters!$B$18*F44^L44)^(1/L44)</f>
        <v>0.54965149432571814</v>
      </c>
      <c r="O44" s="5">
        <f>(Parameters!$B$10*G44^Parameters!$B$9 + Parameters!$B$11*N44^Parameters!$B$9) ^ (Parameters!$B$7/Parameters!$B$9) * K44</f>
        <v>1.5020408903756981</v>
      </c>
      <c r="P44" s="5">
        <f t="shared" si="0"/>
        <v>1.1453038893201231</v>
      </c>
      <c r="Q44" s="5">
        <f>EXP(-Parameters!$B$56*A44)</f>
        <v>0.54662077419459754</v>
      </c>
      <c r="R44" s="5">
        <f>IF(P44&gt;0,P44^(1-Parameters!$B$53)/(1-Parameters!$B$53)*Q44,-10+P44*1000)</f>
        <v>-1.4893467811813121</v>
      </c>
      <c r="S44" s="5"/>
      <c r="T44" s="10">
        <f t="shared" si="8"/>
        <v>0.23750152432025065</v>
      </c>
    </row>
    <row r="45" spans="1:20" x14ac:dyDescent="0.35">
      <c r="A45">
        <f>A44+Parameters!$B$71</f>
        <v>41</v>
      </c>
      <c r="B45" s="26">
        <f>B44</f>
        <v>5.3293081942562902E-2</v>
      </c>
      <c r="C45" s="26">
        <f t="shared" ref="C45:D53" si="9">C44</f>
        <v>1.028166556086463E-2</v>
      </c>
      <c r="D45" s="26">
        <f t="shared" si="9"/>
        <v>0.29316225355214731</v>
      </c>
      <c r="E45" s="5">
        <f>MAX((1-Parameters!$B$4)^Parameters!B$71*E44+B44*Parameters!B$71-Parameters!$B$5*B44^2/E44*Parameters!B$71,0.0001)</f>
        <v>0.79023346428775165</v>
      </c>
      <c r="F45" s="7">
        <f>MAX((1-Parameters!$B$4)^Parameters!B$71*F44+C44*Parameters!B$71-Parameters!$B$5*C44^2/F44*Parameters!B$71,0.0001)</f>
        <v>0.15242284335365958</v>
      </c>
      <c r="G45" s="5">
        <f>MAX((1-Parameters!$B$4)^Parameters!B$71*G44+D44*Parameters!B$71-Parameters!$B$5*D44^2/G44*Parameters!B$71,0.0001)</f>
        <v>4.3466270864652419</v>
      </c>
      <c r="I45" s="5">
        <f>I44*(1+Parameters!$B$52)^Parameters!B$71</f>
        <v>9.1886782073169293</v>
      </c>
      <c r="J45" s="5">
        <f>J44*(1+Parameters!$B$54)^Parameters!B$71</f>
        <v>20.388242493917602</v>
      </c>
      <c r="K45" s="5">
        <f>'6states'!$N$4</f>
        <v>0.98104277196026479</v>
      </c>
      <c r="L45" s="7">
        <f t="shared" si="3"/>
        <v>0.5</v>
      </c>
      <c r="M45" s="16">
        <f t="shared" si="2"/>
        <v>2</v>
      </c>
      <c r="N45" s="5">
        <f>(Parameters!$B$19*(E45+Parameters!$B$20)^L45+Parameters!$B$18*F45^L45)^(1/L45)</f>
        <v>0.54964784833897673</v>
      </c>
      <c r="O45" s="5">
        <f>(Parameters!$B$10*G45^Parameters!$B$9 + Parameters!$B$11*N45^Parameters!$B$9) ^ (Parameters!$B$7/Parameters!$B$9) * K45</f>
        <v>1.5020391622088689</v>
      </c>
      <c r="P45" s="5">
        <f t="shared" si="0"/>
        <v>1.1453021611532939</v>
      </c>
      <c r="Q45" s="5">
        <f>EXP(-Parameters!$B$56*A45)</f>
        <v>0.53842880552138184</v>
      </c>
      <c r="R45" s="5">
        <f>IF(P45&gt;0,P45^(1-Parameters!$B$53)/(1-Parameters!$B$53)*Q45,-10+P45*1000)</f>
        <v>-1.4670273611245983</v>
      </c>
      <c r="S45" s="5"/>
      <c r="T45" s="10">
        <f t="shared" si="8"/>
        <v>0.23750179757694498</v>
      </c>
    </row>
    <row r="46" spans="1:20" x14ac:dyDescent="0.35">
      <c r="A46">
        <f>A45+Parameters!$B$71</f>
        <v>42</v>
      </c>
      <c r="B46" s="26">
        <f t="shared" ref="B46:B53" si="10">B45</f>
        <v>5.3293081942562902E-2</v>
      </c>
      <c r="C46" s="26">
        <f t="shared" si="9"/>
        <v>1.028166556086463E-2</v>
      </c>
      <c r="D46" s="26">
        <f t="shared" si="9"/>
        <v>0.29316225355214731</v>
      </c>
      <c r="E46" s="5">
        <f>MAX((1-Parameters!$B$4)^Parameters!B$71*E45+B45*Parameters!B$71-Parameters!$B$5*B45^2/E45*Parameters!B$71,0.0001)</f>
        <v>0.7902267936095555</v>
      </c>
      <c r="F46" s="7">
        <f>MAX((1-Parameters!$B$4)^Parameters!B$71*F45+C45*Parameters!B$71-Parameters!$B$5*C45^2/F45*Parameters!B$71,0.0001)</f>
        <v>0.1524235634866738</v>
      </c>
      <c r="G46" s="5">
        <f>MAX((1-Parameters!$B$4)^Parameters!B$71*G45+D45*Parameters!B$71-Parameters!$B$5*D45^2/G45*Parameters!B$71,0.0001)</f>
        <v>4.3466138989985508</v>
      </c>
      <c r="I46" s="5">
        <f>I45*(1+Parameters!$B$52)^Parameters!B$71</f>
        <v>9.215325374118148</v>
      </c>
      <c r="J46" s="5">
        <f>J45*(1+Parameters!$B$54)^Parameters!B$71</f>
        <v>20.796007343795953</v>
      </c>
      <c r="K46" s="5">
        <f>'6states'!$N$4</f>
        <v>0.98104277196026479</v>
      </c>
      <c r="L46" s="7">
        <f t="shared" si="3"/>
        <v>0.5</v>
      </c>
      <c r="M46" s="16">
        <f t="shared" si="2"/>
        <v>2</v>
      </c>
      <c r="N46" s="5">
        <f>(Parameters!$B$19*(E46+Parameters!$B$20)^L46+Parameters!$B$18*F46^L46)^(1/L46)</f>
        <v>0.54964441509704409</v>
      </c>
      <c r="O46" s="5">
        <f>(Parameters!$B$10*G46^Parameters!$B$9 + Parameters!$B$11*N46^Parameters!$B$9) ^ (Parameters!$B$7/Parameters!$B$9) * K46</f>
        <v>1.5020375348742829</v>
      </c>
      <c r="P46" s="5">
        <f t="shared" si="0"/>
        <v>1.1453005338187081</v>
      </c>
      <c r="Q46" s="5">
        <f>EXP(-Parameters!$B$56*A46)</f>
        <v>0.53035960633280899</v>
      </c>
      <c r="R46" s="5">
        <f>IF(P46&gt;0,P46^(1-Parameters!$B$53)/(1-Parameters!$B$53)*Q46,-10+P46*1000)</f>
        <v>-1.4450423764074174</v>
      </c>
      <c r="S46" s="5"/>
      <c r="T46" s="10">
        <f t="shared" si="8"/>
        <v>0.2375020548906808</v>
      </c>
    </row>
    <row r="47" spans="1:20" x14ac:dyDescent="0.35">
      <c r="A47">
        <f>A46+Parameters!$B$71</f>
        <v>43</v>
      </c>
      <c r="B47" s="26">
        <f t="shared" si="10"/>
        <v>5.3293081942562902E-2</v>
      </c>
      <c r="C47" s="26">
        <f t="shared" si="9"/>
        <v>1.028166556086463E-2</v>
      </c>
      <c r="D47" s="26">
        <f t="shared" si="9"/>
        <v>0.29316225355214731</v>
      </c>
      <c r="E47" s="5">
        <f>MAX((1-Parameters!$B$4)^Parameters!B$71*E46+B46*Parameters!B$71-Parameters!$B$5*B46^2/E46*Parameters!B$71,0.0001)</f>
        <v>0.79022051217779199</v>
      </c>
      <c r="F47" s="7">
        <f>MAX((1-Parameters!$B$4)^Parameters!B$71*F46+C46*Parameters!B$71-Parameters!$B$5*C46^2/F46*Parameters!B$71,0.0001)</f>
        <v>0.15242424160002757</v>
      </c>
      <c r="G47" s="5">
        <f>MAX((1-Parameters!$B$4)^Parameters!B$71*G46+D46*Parameters!B$71-Parameters!$B$5*D46^2/G46*Parameters!B$71,0.0001)</f>
        <v>4.346601481034182</v>
      </c>
      <c r="I47" s="5">
        <f>I46*(1+Parameters!$B$52)^Parameters!B$71</f>
        <v>9.242049817703089</v>
      </c>
      <c r="J47" s="5">
        <f>J46*(1+Parameters!$B$54)^Parameters!B$71</f>
        <v>21.211927490671872</v>
      </c>
      <c r="K47" s="5">
        <f>'6states'!$N$4</f>
        <v>0.98104277196026479</v>
      </c>
      <c r="L47" s="7">
        <f t="shared" si="3"/>
        <v>0.5</v>
      </c>
      <c r="M47" s="16">
        <f t="shared" si="2"/>
        <v>2</v>
      </c>
      <c r="N47" s="5">
        <f>(Parameters!$B$19*(E47+Parameters!$B$20)^L47+Parameters!$B$18*F47^L47)^(1/L47)</f>
        <v>0.54964118218620794</v>
      </c>
      <c r="O47" s="5">
        <f>(Parameters!$B$10*G47^Parameters!$B$9 + Parameters!$B$11*N47^Parameters!$B$9) ^ (Parameters!$B$7/Parameters!$B$9) * K47</f>
        <v>1.5020360024891461</v>
      </c>
      <c r="P47" s="5">
        <f t="shared" si="0"/>
        <v>1.1452990014335711</v>
      </c>
      <c r="Q47" s="5">
        <f>EXP(-Parameters!$B$56*A47)</f>
        <v>0.52241133673581286</v>
      </c>
      <c r="R47" s="5">
        <f>IF(P47&gt;0,P47^(1-Parameters!$B$53)/(1-Parameters!$B$53)*Q47,-10+P47*1000)</f>
        <v>-1.4233868190595145</v>
      </c>
      <c r="S47" s="5"/>
      <c r="T47" s="10">
        <f t="shared" si="8"/>
        <v>0.23750229719154328</v>
      </c>
    </row>
    <row r="48" spans="1:20" x14ac:dyDescent="0.35">
      <c r="A48">
        <f>A47+Parameters!$B$71</f>
        <v>44</v>
      </c>
      <c r="B48" s="26">
        <f t="shared" si="10"/>
        <v>5.3293081942562902E-2</v>
      </c>
      <c r="C48" s="26">
        <f t="shared" si="9"/>
        <v>1.028166556086463E-2</v>
      </c>
      <c r="D48" s="26">
        <f t="shared" si="9"/>
        <v>0.29316225355214731</v>
      </c>
      <c r="E48" s="5">
        <f>MAX((1-Parameters!$B$4)^Parameters!B$71*E47+B47*Parameters!B$71-Parameters!$B$5*B47^2/E47*Parameters!B$71,0.0001)</f>
        <v>0.79021459727874233</v>
      </c>
      <c r="F48" s="7">
        <f>MAX((1-Parameters!$B$4)^Parameters!B$71*F47+C47*Parameters!B$71-Parameters!$B$5*C47^2/F47*Parameters!B$71,0.0001)</f>
        <v>0.15242488014553393</v>
      </c>
      <c r="G48" s="5">
        <f>MAX((1-Parameters!$B$4)^Parameters!B$71*G47+D47*Parameters!B$71-Parameters!$B$5*D47^2/G47*Parameters!B$71,0.0001)</f>
        <v>4.3465897876705464</v>
      </c>
      <c r="I48" s="5">
        <f>I47*(1+Parameters!$B$52)^Parameters!B$71</f>
        <v>9.2688517621744264</v>
      </c>
      <c r="J48" s="5">
        <f>J47*(1+Parameters!$B$54)^Parameters!B$71</f>
        <v>21.63616604048531</v>
      </c>
      <c r="K48" s="5">
        <f>'6states'!$N$4</f>
        <v>0.98104277196026479</v>
      </c>
      <c r="L48" s="7">
        <f t="shared" si="3"/>
        <v>0.5</v>
      </c>
      <c r="M48" s="16">
        <f t="shared" si="2"/>
        <v>2</v>
      </c>
      <c r="N48" s="5">
        <f>(Parameters!$B$19*(E48+Parameters!$B$20)^L48+Parameters!$B$18*F48^L48)^(1/L48)</f>
        <v>0.54963813791709548</v>
      </c>
      <c r="O48" s="5">
        <f>(Parameters!$B$10*G48^Parameters!$B$9 + Parameters!$B$11*N48^Parameters!$B$9) ^ (Parameters!$B$7/Parameters!$B$9) * K48</f>
        <v>1.5020345595138356</v>
      </c>
      <c r="P48" s="5">
        <f t="shared" si="0"/>
        <v>1.1452975584582608</v>
      </c>
      <c r="Q48" s="5">
        <f>EXP(-Parameters!$B$56*A48)</f>
        <v>0.51458218441100756</v>
      </c>
      <c r="R48" s="5">
        <f>IF(P48&gt;0,P48^(1-Parameters!$B$53)/(1-Parameters!$B$53)*Q48,-10+P48*1000)</f>
        <v>-1.402055755868264</v>
      </c>
      <c r="S48" s="5"/>
      <c r="T48" s="10">
        <f t="shared" si="8"/>
        <v>0.23750252535536873</v>
      </c>
    </row>
    <row r="49" spans="1:20" x14ac:dyDescent="0.35">
      <c r="A49">
        <f>A48+Parameters!$B$71</f>
        <v>45</v>
      </c>
      <c r="B49" s="26">
        <f t="shared" si="10"/>
        <v>5.3293081942562902E-2</v>
      </c>
      <c r="C49" s="26">
        <f t="shared" si="9"/>
        <v>1.028166556086463E-2</v>
      </c>
      <c r="D49" s="26">
        <f t="shared" si="9"/>
        <v>0.29316225355214731</v>
      </c>
      <c r="E49" s="5">
        <f>MAX((1-Parameters!$B$4)^Parameters!B$71*E48+B48*Parameters!B$71-Parameters!$B$5*B48^2/E48*Parameters!B$71,0.0001)</f>
        <v>0.79020902752415567</v>
      </c>
      <c r="F49" s="7">
        <f>MAX((1-Parameters!$B$4)^Parameters!B$71*F48+C48*Parameters!B$71-Parameters!$B$5*C48^2/F48*Parameters!B$71,0.0001)</f>
        <v>0.15242548143194776</v>
      </c>
      <c r="G49" s="5">
        <f>MAX((1-Parameters!$B$4)^Parameters!B$71*G48+D48*Parameters!B$71-Parameters!$B$5*D48^2/G48*Parameters!B$71,0.0001)</f>
        <v>4.3465787766261652</v>
      </c>
      <c r="I49" s="5">
        <f>I48*(1+Parameters!$B$52)^Parameters!B$71</f>
        <v>9.2957314322847306</v>
      </c>
      <c r="J49" s="5">
        <f>J48*(1+Parameters!$B$54)^Parameters!B$71</f>
        <v>22.068889361295017</v>
      </c>
      <c r="K49" s="5">
        <f>'6states'!$N$4</f>
        <v>0.98104277196026479</v>
      </c>
      <c r="L49" s="7">
        <f t="shared" si="3"/>
        <v>0.5</v>
      </c>
      <c r="M49" s="16">
        <f t="shared" si="2"/>
        <v>2</v>
      </c>
      <c r="N49" s="5">
        <f>(Parameters!$B$19*(E49+Parameters!$B$20)^L49+Parameters!$B$18*F49^L49)^(1/L49)</f>
        <v>0.54963527128240808</v>
      </c>
      <c r="O49" s="5">
        <f>(Parameters!$B$10*G49^Parameters!$B$9 + Parameters!$B$11*N49^Parameters!$B$9) ^ (Parameters!$B$7/Parameters!$B$9) * K49</f>
        <v>1.5020332007318844</v>
      </c>
      <c r="P49" s="5">
        <f t="shared" si="0"/>
        <v>1.1452961996763094</v>
      </c>
      <c r="Q49" s="5">
        <f>EXP(-Parameters!$B$56*A49)</f>
        <v>0.50687036419945219</v>
      </c>
      <c r="R49" s="5">
        <f>IF(P49&gt;0,P49^(1-Parameters!$B$53)/(1-Parameters!$B$53)*Q49,-10+P49*1000)</f>
        <v>-1.3810443272796522</v>
      </c>
      <c r="S49" s="5"/>
      <c r="T49" s="10">
        <f t="shared" si="8"/>
        <v>0.23750274020690773</v>
      </c>
    </row>
    <row r="50" spans="1:20" x14ac:dyDescent="0.35">
      <c r="A50">
        <f>A49+Parameters!$B$71</f>
        <v>46</v>
      </c>
      <c r="B50" s="26">
        <f t="shared" si="10"/>
        <v>5.3293081942562902E-2</v>
      </c>
      <c r="C50" s="26">
        <f t="shared" si="9"/>
        <v>1.028166556086463E-2</v>
      </c>
      <c r="D50" s="26">
        <f t="shared" si="9"/>
        <v>0.29316225355214731</v>
      </c>
      <c r="E50" s="5">
        <f>MAX((1-Parameters!$B$4)^Parameters!B$71*E49+B49*Parameters!B$71-Parameters!$B$5*B49^2/E49*Parameters!B$71,0.0001)</f>
        <v>0.79020378277389491</v>
      </c>
      <c r="F50" s="7">
        <f>MAX((1-Parameters!$B$4)^Parameters!B$71*F49+C49*Parameters!B$71-Parameters!$B$5*C49^2/F49*Parameters!B$71,0.0001)</f>
        <v>0.15242604763331263</v>
      </c>
      <c r="G50" s="5">
        <f>MAX((1-Parameters!$B$4)^Parameters!B$71*G49+D49*Parameters!B$71-Parameters!$B$5*D49^2/G49*Parameters!B$71,0.0001)</f>
        <v>4.346568408086779</v>
      </c>
      <c r="I50" s="5">
        <f>I49*(1+Parameters!$B$52)^Parameters!B$71</f>
        <v>9.3226890534383546</v>
      </c>
      <c r="J50" s="5">
        <f>J49*(1+Parameters!$B$54)^Parameters!B$71</f>
        <v>22.510267148520917</v>
      </c>
      <c r="K50" s="5">
        <f>'6states'!$N$4</f>
        <v>0.98104277196026479</v>
      </c>
      <c r="L50" s="7">
        <f t="shared" si="3"/>
        <v>0.5</v>
      </c>
      <c r="M50" s="16">
        <f t="shared" si="2"/>
        <v>2</v>
      </c>
      <c r="N50" s="5">
        <f>(Parameters!$B$19*(E50+Parameters!$B$20)^L50+Parameters!$B$18*F50^L50)^(1/L50)</f>
        <v>0.54963257191712378</v>
      </c>
      <c r="O50" s="5">
        <f>(Parameters!$B$10*G50^Parameters!$B$9 + Parameters!$B$11*N50^Parameters!$B$9) ^ (Parameters!$B$7/Parameters!$B$9) * K50</f>
        <v>1.5020319212311382</v>
      </c>
      <c r="P50" s="5">
        <f t="shared" si="0"/>
        <v>1.1452949201755631</v>
      </c>
      <c r="Q50" s="5">
        <f>EXP(-Parameters!$B$56*A50)</f>
        <v>0.49927411769560981</v>
      </c>
      <c r="R50" s="5">
        <f>IF(P50&gt;0,P50^(1-Parameters!$B$53)/(1-Parameters!$B$53)*Q50,-10+P50*1000)</f>
        <v>-1.360347746314184</v>
      </c>
      <c r="S50" s="5"/>
      <c r="T50" s="10">
        <f t="shared" si="8"/>
        <v>0.2375029425228033</v>
      </c>
    </row>
    <row r="51" spans="1:20" x14ac:dyDescent="0.35">
      <c r="A51">
        <f>A50+Parameters!$B$71</f>
        <v>47</v>
      </c>
      <c r="B51" s="26">
        <f t="shared" si="10"/>
        <v>5.3293081942562902E-2</v>
      </c>
      <c r="C51" s="26">
        <f t="shared" si="9"/>
        <v>1.028166556086463E-2</v>
      </c>
      <c r="D51" s="26">
        <f t="shared" si="9"/>
        <v>0.29316225355214731</v>
      </c>
      <c r="E51" s="5">
        <f>MAX((1-Parameters!$B$4)^Parameters!B$71*E50+B50*Parameters!B$71-Parameters!$B$5*B50^2/E50*Parameters!B$71,0.0001)</f>
        <v>0.79019884406309737</v>
      </c>
      <c r="F51" s="7">
        <f>MAX((1-Parameters!$B$4)^Parameters!B$71*F50+C50*Parameters!B$71-Parameters!$B$5*C50^2/F50*Parameters!B$71,0.0001)</f>
        <v>0.15242658079682067</v>
      </c>
      <c r="G51" s="5">
        <f>MAX((1-Parameters!$B$4)^Parameters!B$71*G50+D50*Parameters!B$71-Parameters!$B$5*D50^2/G50*Parameters!B$71,0.0001)</f>
        <v>4.3465586445613722</v>
      </c>
      <c r="I51" s="5">
        <f>I50*(1+Parameters!$B$52)^Parameters!B$71</f>
        <v>9.3497248516933258</v>
      </c>
      <c r="J51" s="5">
        <f>J50*(1+Parameters!$B$54)^Parameters!B$71</f>
        <v>22.960472491491338</v>
      </c>
      <c r="K51" s="5">
        <f>'6states'!$N$4</f>
        <v>0.98104277196026479</v>
      </c>
      <c r="L51" s="7">
        <f t="shared" si="3"/>
        <v>0.5</v>
      </c>
      <c r="M51" s="16">
        <f t="shared" si="2"/>
        <v>2</v>
      </c>
      <c r="N51" s="5">
        <f>(Parameters!$B$19*(E51+Parameters!$B$20)^L51+Parameters!$B$18*F51^L51)^(1/L51)</f>
        <v>0.54963003006101951</v>
      </c>
      <c r="O51" s="5">
        <f>(Parameters!$B$10*G51^Parameters!$B$9 + Parameters!$B$11*N51^Parameters!$B$9) ^ (Parameters!$B$7/Parameters!$B$9) * K51</f>
        <v>1.5020307163860025</v>
      </c>
      <c r="P51" s="5">
        <f t="shared" si="0"/>
        <v>1.1452937153304275</v>
      </c>
      <c r="Q51" s="5">
        <f>EXP(-Parameters!$B$56*A51)</f>
        <v>0.49179171284640477</v>
      </c>
      <c r="R51" s="5">
        <f>IF(P51&gt;0,P51^(1-Parameters!$B$53)/(1-Parameters!$B$53)*Q51,-10+P51*1000)</f>
        <v>-1.3399612974976025</v>
      </c>
      <c r="S51" s="5"/>
      <c r="T51" s="10">
        <f t="shared" si="8"/>
        <v>0.23750313303439663</v>
      </c>
    </row>
    <row r="52" spans="1:20" x14ac:dyDescent="0.35">
      <c r="A52">
        <f>A51+Parameters!$B$71</f>
        <v>48</v>
      </c>
      <c r="B52" s="26">
        <f t="shared" si="10"/>
        <v>5.3293081942562902E-2</v>
      </c>
      <c r="C52" s="26">
        <f t="shared" si="9"/>
        <v>1.028166556086463E-2</v>
      </c>
      <c r="D52" s="26">
        <f t="shared" si="9"/>
        <v>0.29316225355214731</v>
      </c>
      <c r="E52" s="5">
        <f>MAX((1-Parameters!$B$4)^Parameters!B$71*E51+B51*Parameters!B$71-Parameters!$B$5*B51^2/E51*Parameters!B$71,0.0001)</f>
        <v>0.79019419353358744</v>
      </c>
      <c r="F52" s="7">
        <f>MAX((1-Parameters!$B$4)^Parameters!B$71*F51+C51*Parameters!B$71-Parameters!$B$5*C51^2/F51*Parameters!B$71,0.0001)</f>
        <v>0.15242708285021375</v>
      </c>
      <c r="G52" s="5">
        <f>MAX((1-Parameters!$B$4)^Parameters!B$71*G51+D51*Parameters!B$71-Parameters!$B$5*D51^2/G51*Parameters!B$71,0.0001)</f>
        <v>4.3465494507466085</v>
      </c>
      <c r="I52" s="5">
        <f>I51*(1+Parameters!$B$52)^Parameters!B$71</f>
        <v>9.376839053763236</v>
      </c>
      <c r="J52" s="5">
        <f>J51*(1+Parameters!$B$54)^Parameters!B$71</f>
        <v>23.419681941321166</v>
      </c>
      <c r="K52" s="5">
        <f>'6states'!$N$4</f>
        <v>0.98104277196026479</v>
      </c>
      <c r="L52" s="7">
        <f t="shared" si="3"/>
        <v>0.5</v>
      </c>
      <c r="M52" s="16">
        <f t="shared" si="2"/>
        <v>2</v>
      </c>
      <c r="N52" s="5">
        <f>(Parameters!$B$19*(E52+Parameters!$B$20)^L52+Parameters!$B$18*F52^L52)^(1/L52)</f>
        <v>0.54962763652338198</v>
      </c>
      <c r="O52" s="5">
        <f>(Parameters!$B$10*G52^Parameters!$B$9 + Parameters!$B$11*N52^Parameters!$B$9) ^ (Parameters!$B$7/Parameters!$B$9) * K52</f>
        <v>1.5020295818407321</v>
      </c>
      <c r="P52" s="5">
        <f t="shared" si="0"/>
        <v>1.1452925807851573</v>
      </c>
      <c r="Q52" s="5">
        <f>EXP(-Parameters!$B$56*A52)</f>
        <v>0.48442144355629069</v>
      </c>
      <c r="R52" s="5">
        <f>IF(P52&gt;0,P52^(1-Parameters!$B$53)/(1-Parameters!$B$53)*Q52,-10+P52*1000)</f>
        <v>-1.3198803358063049</v>
      </c>
      <c r="S52" s="5"/>
      <c r="T52" s="10">
        <f t="shared" si="8"/>
        <v>0.23750331243036829</v>
      </c>
    </row>
    <row r="53" spans="1:20" x14ac:dyDescent="0.35">
      <c r="A53">
        <f>A52+Parameters!$B$71</f>
        <v>49</v>
      </c>
      <c r="B53" s="26">
        <f t="shared" si="10"/>
        <v>5.3293081942562902E-2</v>
      </c>
      <c r="C53" s="26">
        <f t="shared" si="9"/>
        <v>1.028166556086463E-2</v>
      </c>
      <c r="D53" s="26">
        <f t="shared" si="9"/>
        <v>0.29316225355214731</v>
      </c>
      <c r="E53" s="5">
        <f>MAX((1-Parameters!$B$4)^Parameters!B$71*E52+B52*Parameters!B$71-Parameters!$B$5*B52^2/E52*Parameters!B$71,0.0001)</f>
        <v>0.79018981436929203</v>
      </c>
      <c r="F53" s="7">
        <f>MAX((1-Parameters!$B$4)^Parameters!B$71*F52+C52*Parameters!B$71-Parameters!$B$5*C52^2/F52*Parameters!B$71,0.0001)</f>
        <v>0.15242755560875296</v>
      </c>
      <c r="G53" s="5">
        <f>MAX((1-Parameters!$B$4)^Parameters!B$71*G52+D52*Parameters!B$71-Parameters!$B$5*D52^2/G52*Parameters!B$71,0.0001)</f>
        <v>4.3465407933991669</v>
      </c>
      <c r="I53" s="5">
        <f>I52*(1+Parameters!$B$52)^Parameters!B$71</f>
        <v>9.4040318870191477</v>
      </c>
      <c r="J53" s="5">
        <f>J52*(1+Parameters!$B$54)^Parameters!B$71</f>
        <v>23.888075580147589</v>
      </c>
      <c r="K53" s="5">
        <f>'6states'!$N$4</f>
        <v>0.98104277196026479</v>
      </c>
      <c r="L53" s="7">
        <f t="shared" si="3"/>
        <v>0.5</v>
      </c>
      <c r="M53" s="16">
        <f t="shared" si="2"/>
        <v>2</v>
      </c>
      <c r="N53" s="5">
        <f>(Parameters!$B$19*(E53+Parameters!$B$20)^L53+Parameters!$B$18*F53^L53)^(1/L53)</f>
        <v>0.54962538264977778</v>
      </c>
      <c r="O53" s="5">
        <f>(Parameters!$B$10*G53^Parameters!$B$9 + Parameters!$B$11*N53^Parameters!$B$9) ^ (Parameters!$B$7/Parameters!$B$9) * K53</f>
        <v>1.5020285134936908</v>
      </c>
      <c r="P53" s="5">
        <f t="shared" si="0"/>
        <v>1.1452915124381158</v>
      </c>
      <c r="Q53" s="5">
        <f>EXP(-Parameters!$B$56*A53)</f>
        <v>0.47716162929823552</v>
      </c>
      <c r="R53" s="5">
        <f>IF(P53&gt;0,P53^(1-Parameters!$B$53)/(1-Parameters!$B$53)*Q53,-10+P53*1000)</f>
        <v>-1.3001002856273285</v>
      </c>
      <c r="S53" s="5"/>
      <c r="T53" s="10">
        <f t="shared" si="8"/>
        <v>0.23750348135922605</v>
      </c>
    </row>
    <row r="54" spans="1:20" x14ac:dyDescent="0.35">
      <c r="A54">
        <f>A53+Parameters!$B$71</f>
        <v>50</v>
      </c>
      <c r="B54" s="13">
        <v>5.3301042908910808E-2</v>
      </c>
      <c r="C54" s="13">
        <v>1.0278931310334936E-2</v>
      </c>
      <c r="D54" s="12">
        <v>0.29315466794424383</v>
      </c>
      <c r="E54" s="5">
        <f>MAX((1-Parameters!$B$4)^Parameters!B$71*E53+B53*Parameters!B$71-Parameters!$B$5*B53^2/E53*Parameters!B$71,0.0001)</f>
        <v>0.79018569073542533</v>
      </c>
      <c r="F54" s="7">
        <f>MAX((1-Parameters!$B$4)^Parameters!B$71*F53+C53*Parameters!B$71-Parameters!$B$5*C53^2/F53*Parameters!B$71,0.0001)</f>
        <v>0.15242800078178151</v>
      </c>
      <c r="G54" s="5">
        <f>MAX((1-Parameters!$B$4)^Parameters!B$71*G53+D53*Parameters!B$71-Parameters!$B$5*D53^2/G53*Parameters!B$71,0.0001)</f>
        <v>4.3465326412155374</v>
      </c>
      <c r="I54" s="5">
        <f>I53*(1+Parameters!$B$52)^Parameters!B$71</f>
        <v>9.4313035794915017</v>
      </c>
      <c r="J54" s="5">
        <f>J53*(1+Parameters!$B$54)^Parameters!B$71</f>
        <v>24.365837091750542</v>
      </c>
      <c r="K54" s="5">
        <f>'6states'!$N$4</f>
        <v>0.98104277196026479</v>
      </c>
      <c r="L54" s="7">
        <f t="shared" si="3"/>
        <v>0.5</v>
      </c>
      <c r="M54" s="16">
        <f t="shared" si="2"/>
        <v>2</v>
      </c>
      <c r="N54" s="5">
        <f>(Parameters!$B$19*(E54+Parameters!$B$20)^L54+Parameters!$B$18*F54^L54)^(1/L54)</f>
        <v>0.5496232602907597</v>
      </c>
      <c r="O54" s="5">
        <f>(Parameters!$B$10*G54^Parameters!$B$9 + Parameters!$B$11*N54^Parameters!$B$9) ^ (Parameters!$B$7/Parameters!$B$9) * K54</f>
        <v>1.5020275074825298</v>
      </c>
      <c r="P54" s="5">
        <f t="shared" si="0"/>
        <v>1.1452928653190402</v>
      </c>
      <c r="Q54" s="5">
        <f>EXP(-Parameters!$B$56*A54)</f>
        <v>0.4700106147305379</v>
      </c>
      <c r="R54" s="5">
        <f>IF(P54&gt;0,P54^(1-Parameters!$B$53)/(1-Parameters!$B$53)*Q54,-10+P54*1000)</f>
        <v>-1.280615716568495</v>
      </c>
      <c r="S54" s="5"/>
      <c r="T54" s="10">
        <f t="shared" si="8"/>
        <v>0.23750206995968667</v>
      </c>
    </row>
    <row r="55" spans="1:20" x14ac:dyDescent="0.35">
      <c r="A55">
        <f>A54+Parameters!$B$71</f>
        <v>51</v>
      </c>
      <c r="B55" s="26">
        <f>B54</f>
        <v>5.3301042908910808E-2</v>
      </c>
      <c r="C55" s="26">
        <f t="shared" ref="C55:D63" si="11">C54</f>
        <v>1.0278931310334936E-2</v>
      </c>
      <c r="D55" s="26">
        <f t="shared" si="11"/>
        <v>0.29315466794424383</v>
      </c>
      <c r="E55" s="5">
        <f>MAX((1-Parameters!$B$4)^Parameters!B$71*E54+B54*Parameters!B$71-Parameters!$B$5*B54^2/E54*Parameters!B$71,0.0001)</f>
        <v>0.79018869477260356</v>
      </c>
      <c r="F55" s="7">
        <f>MAX((1-Parameters!$B$4)^Parameters!B$71*F54+C54*Parameters!B$71-Parameters!$B$5*C54^2/F54*Parameters!B$71,0.0001)</f>
        <v>0.15242605454396393</v>
      </c>
      <c r="G55" s="5">
        <f>MAX((1-Parameters!$B$4)^Parameters!B$71*G54+D54*Parameters!B$71-Parameters!$B$5*D54^2/G54*Parameters!B$71,0.0001)</f>
        <v>4.3465184023564936</v>
      </c>
      <c r="I55" s="5">
        <f>I54*(1+Parameters!$B$52)^Parameters!B$71</f>
        <v>9.4586543598720265</v>
      </c>
      <c r="J55" s="5">
        <f>J54*(1+Parameters!$B$54)^Parameters!B$71</f>
        <v>24.853153833585555</v>
      </c>
      <c r="K55" s="5">
        <f>'6states'!$N$4</f>
        <v>0.98104277196026479</v>
      </c>
      <c r="L55" s="7">
        <f t="shared" si="3"/>
        <v>0.5</v>
      </c>
      <c r="M55" s="16">
        <f t="shared" si="2"/>
        <v>2</v>
      </c>
      <c r="N55" s="5">
        <f>(Parameters!$B$19*(E55+Parameters!$B$20)^L55+Parameters!$B$18*F55^L55)^(1/L55)</f>
        <v>0.54962387064402241</v>
      </c>
      <c r="O55" s="5">
        <f>(Parameters!$B$10*G55^Parameters!$B$9 + Parameters!$B$11*N55^Parameters!$B$9) ^ (Parameters!$B$7/Parameters!$B$9) * K55</f>
        <v>1.5020263866467876</v>
      </c>
      <c r="P55" s="5">
        <f t="shared" si="0"/>
        <v>1.145291744483298</v>
      </c>
      <c r="Q55" s="5">
        <f>EXP(-Parameters!$B$56*A55)</f>
        <v>0.46296676931938507</v>
      </c>
      <c r="R55" s="5">
        <f>IF(P55&gt;0,P55^(1-Parameters!$B$53)/(1-Parameters!$B$53)*Q55,-10+P55*1000)</f>
        <v>-1.261424115829864</v>
      </c>
      <c r="S55" s="5"/>
      <c r="T55" s="10">
        <f t="shared" si="8"/>
        <v>0.23750224718747126</v>
      </c>
    </row>
    <row r="56" spans="1:20" x14ac:dyDescent="0.35">
      <c r="A56">
        <f>A55+Parameters!$B$71</f>
        <v>52</v>
      </c>
      <c r="B56" s="26">
        <f t="shared" ref="B56:B63" si="12">B55</f>
        <v>5.3301042908910808E-2</v>
      </c>
      <c r="C56" s="26">
        <f t="shared" si="11"/>
        <v>1.0278931310334936E-2</v>
      </c>
      <c r="D56" s="26">
        <f t="shared" si="11"/>
        <v>0.29315466794424383</v>
      </c>
      <c r="E56" s="5">
        <f>MAX((1-Parameters!$B$4)^Parameters!B$71*E55+B55*Parameters!B$71-Parameters!$B$5*B55^2/E55*Parameters!B$71,0.0001)</f>
        <v>0.79019152352421385</v>
      </c>
      <c r="F56" s="7">
        <f>MAX((1-Parameters!$B$4)^Parameters!B$71*F55+C55*Parameters!B$71-Parameters!$B$5*C55^2/F55*Parameters!B$71,0.0001)</f>
        <v>0.15242422187400373</v>
      </c>
      <c r="G56" s="5">
        <f>MAX((1-Parameters!$B$4)^Parameters!B$71*G55+D55*Parameters!B$71-Parameters!$B$5*D55^2/G55*Parameters!B$71,0.0001)</f>
        <v>4.3465049943501244</v>
      </c>
      <c r="I56" s="5">
        <f>I55*(1+Parameters!$B$52)^Parameters!B$71</f>
        <v>9.4860844575156538</v>
      </c>
      <c r="J56" s="5">
        <f>J55*(1+Parameters!$B$54)^Parameters!B$71</f>
        <v>25.350216910257267</v>
      </c>
      <c r="K56" s="5">
        <f>'6states'!$N$4</f>
        <v>0.98104277196026479</v>
      </c>
      <c r="L56" s="7">
        <f t="shared" si="3"/>
        <v>0.5</v>
      </c>
      <c r="M56" s="16">
        <f t="shared" si="2"/>
        <v>2</v>
      </c>
      <c r="N56" s="5">
        <f>(Parameters!$B$19*(E56+Parameters!$B$20)^L56+Parameters!$B$18*F56^L56)^(1/L56)</f>
        <v>0.54962444537677113</v>
      </c>
      <c r="O56" s="5">
        <f>(Parameters!$B$10*G56^Parameters!$B$9 + Parameters!$B$11*N56^Parameters!$B$9) ^ (Parameters!$B$7/Parameters!$B$9) * K56</f>
        <v>1.5020253312045371</v>
      </c>
      <c r="P56" s="5">
        <f t="shared" si="0"/>
        <v>1.1452906890410475</v>
      </c>
      <c r="Q56" s="5">
        <f>EXP(-Parameters!$B$56*A56)</f>
        <v>0.45602848696706794</v>
      </c>
      <c r="R56" s="5">
        <f>IF(P56&gt;0,P56^(1-Parameters!$B$53)/(1-Parameters!$B$53)*Q56,-10+P56*1000)</f>
        <v>-1.242520099989652</v>
      </c>
      <c r="S56" s="5"/>
      <c r="T56" s="10">
        <f t="shared" si="8"/>
        <v>0.23750241407540654</v>
      </c>
    </row>
    <row r="57" spans="1:20" x14ac:dyDescent="0.35">
      <c r="A57">
        <f>A56+Parameters!$B$71</f>
        <v>53</v>
      </c>
      <c r="B57" s="26">
        <f t="shared" si="12"/>
        <v>5.3301042908910808E-2</v>
      </c>
      <c r="C57" s="26">
        <f t="shared" si="11"/>
        <v>1.0278931310334936E-2</v>
      </c>
      <c r="D57" s="26">
        <f t="shared" si="11"/>
        <v>0.29315466794424383</v>
      </c>
      <c r="E57" s="5">
        <f>MAX((1-Parameters!$B$4)^Parameters!B$71*E56+B56*Parameters!B$71-Parameters!$B$5*B56^2/E56*Parameters!B$71,0.0001)</f>
        <v>0.790194187218074</v>
      </c>
      <c r="F57" s="7">
        <f>MAX((1-Parameters!$B$4)^Parameters!B$71*F56+C56*Parameters!B$71-Parameters!$B$5*C56^2/F56*Parameters!B$71,0.0001)</f>
        <v>0.152422496144725</v>
      </c>
      <c r="G57" s="5">
        <f>MAX((1-Parameters!$B$4)^Parameters!B$71*G56+D56*Parameters!B$71-Parameters!$B$5*D56^2/G56*Parameters!B$71,0.0001)</f>
        <v>4.3464923687148973</v>
      </c>
      <c r="I57" s="5">
        <f>I56*(1+Parameters!$B$52)^Parameters!B$71</f>
        <v>9.5135941024424486</v>
      </c>
      <c r="J57" s="5">
        <f>J56*(1+Parameters!$B$54)^Parameters!B$71</f>
        <v>25.857221248462412</v>
      </c>
      <c r="K57" s="5">
        <f>'6states'!$N$4</f>
        <v>0.98104277196026479</v>
      </c>
      <c r="L57" s="7">
        <f t="shared" si="3"/>
        <v>0.5</v>
      </c>
      <c r="M57" s="16">
        <f t="shared" si="2"/>
        <v>2</v>
      </c>
      <c r="N57" s="5">
        <f>(Parameters!$B$19*(E57+Parameters!$B$20)^L57+Parameters!$B$18*F57^L57)^(1/L57)</f>
        <v>0.54962498656816861</v>
      </c>
      <c r="O57" s="5">
        <f>(Parameters!$B$10*G57^Parameters!$B$9 + Parameters!$B$11*N57^Parameters!$B$9) ^ (Parameters!$B$7/Parameters!$B$9) * K57</f>
        <v>1.502024337340927</v>
      </c>
      <c r="P57" s="5">
        <f t="shared" si="0"/>
        <v>1.1452896951774374</v>
      </c>
      <c r="Q57" s="5">
        <f>EXP(-Parameters!$B$56*A57)</f>
        <v>0.44919418564576791</v>
      </c>
      <c r="R57" s="5">
        <f>IF(P57&gt;0,P57^(1-Parameters!$B$53)/(1-Parameters!$B$53)*Q57,-10+P57*1000)</f>
        <v>-1.2238993614056386</v>
      </c>
      <c r="S57" s="5"/>
      <c r="T57" s="10">
        <f t="shared" si="8"/>
        <v>0.23750257122665952</v>
      </c>
    </row>
    <row r="58" spans="1:20" x14ac:dyDescent="0.35">
      <c r="A58">
        <f>A57+Parameters!$B$71</f>
        <v>54</v>
      </c>
      <c r="B58" s="26">
        <f t="shared" si="12"/>
        <v>5.3301042908910808E-2</v>
      </c>
      <c r="C58" s="26">
        <f t="shared" si="11"/>
        <v>1.0278931310334936E-2</v>
      </c>
      <c r="D58" s="26">
        <f t="shared" si="11"/>
        <v>0.29315466794424383</v>
      </c>
      <c r="E58" s="5">
        <f>MAX((1-Parameters!$B$4)^Parameters!B$71*E57+B57*Parameters!B$71-Parameters!$B$5*B57^2/E57*Parameters!B$71,0.0001)</f>
        <v>0.79019669548522486</v>
      </c>
      <c r="F58" s="7">
        <f>MAX((1-Parameters!$B$4)^Parameters!B$71*F57+C57*Parameters!B$71-Parameters!$B$5*C57^2/F57*Parameters!B$71,0.0001)</f>
        <v>0.15242087111569966</v>
      </c>
      <c r="G58" s="5">
        <f>MAX((1-Parameters!$B$4)^Parameters!B$71*G57+D57*Parameters!B$71-Parameters!$B$5*D57^2/G57*Parameters!B$71,0.0001)</f>
        <v>4.3464804797982985</v>
      </c>
      <c r="I58" s="5">
        <f>I57*(1+Parameters!$B$52)^Parameters!B$71</f>
        <v>9.5411835253395303</v>
      </c>
      <c r="J58" s="5">
        <f>J57*(1+Parameters!$B$54)^Parameters!B$71</f>
        <v>26.374365673431662</v>
      </c>
      <c r="K58" s="5">
        <f>'6states'!$N$4</f>
        <v>0.98104277196026479</v>
      </c>
      <c r="L58" s="7">
        <f t="shared" si="3"/>
        <v>0.5</v>
      </c>
      <c r="M58" s="16">
        <f t="shared" si="2"/>
        <v>2</v>
      </c>
      <c r="N58" s="5">
        <f>(Parameters!$B$19*(E58+Parameters!$B$20)^L58+Parameters!$B$18*F58^L58)^(1/L58)</f>
        <v>0.54962549617598022</v>
      </c>
      <c r="O58" s="5">
        <f>(Parameters!$B$10*G58^Parameters!$B$9 + Parameters!$B$11*N58^Parameters!$B$9) ^ (Parameters!$B$7/Parameters!$B$9) * K58</f>
        <v>1.5020234014636045</v>
      </c>
      <c r="P58" s="5">
        <f t="shared" si="0"/>
        <v>1.1452887593001149</v>
      </c>
      <c r="Q58" s="5">
        <f>EXP(-Parameters!$B$56*A58)</f>
        <v>0.4424623070368317</v>
      </c>
      <c r="R58" s="5">
        <f>IF(P58&gt;0,P58^(1-Parameters!$B$53)/(1-Parameters!$B$53)*Q58,-10+P58*1000)</f>
        <v>-1.205557656828081</v>
      </c>
      <c r="S58" s="5"/>
      <c r="T58" s="10">
        <f t="shared" si="8"/>
        <v>0.23750271920922109</v>
      </c>
    </row>
    <row r="59" spans="1:20" x14ac:dyDescent="0.35">
      <c r="A59">
        <f>A58+Parameters!$B$71</f>
        <v>55</v>
      </c>
      <c r="B59" s="26">
        <f t="shared" si="12"/>
        <v>5.3301042908910808E-2</v>
      </c>
      <c r="C59" s="26">
        <f t="shared" si="11"/>
        <v>1.0278931310334936E-2</v>
      </c>
      <c r="D59" s="26">
        <f t="shared" si="11"/>
        <v>0.29315466794424383</v>
      </c>
      <c r="E59" s="5">
        <f>MAX((1-Parameters!$B$4)^Parameters!B$71*E58+B58*Parameters!B$71-Parameters!$B$5*B58^2/E58*Parameters!B$71,0.0001)</f>
        <v>0.79019905739475038</v>
      </c>
      <c r="F59" s="7">
        <f>MAX((1-Parameters!$B$4)^Parameters!B$71*F58+C58*Parameters!B$71-Parameters!$B$5*C58^2/F58*Parameters!B$71,0.0001)</f>
        <v>0.15241934091067494</v>
      </c>
      <c r="G59" s="5">
        <f>MAX((1-Parameters!$B$4)^Parameters!B$71*G58+D58*Parameters!B$71-Parameters!$B$5*D58^2/G58*Parameters!B$71,0.0001)</f>
        <v>4.3464692846117439</v>
      </c>
      <c r="I59" s="5">
        <f>I58*(1+Parameters!$B$52)^Parameters!B$71</f>
        <v>9.5688529575630135</v>
      </c>
      <c r="J59" s="5">
        <f>J58*(1+Parameters!$B$54)^Parameters!B$71</f>
        <v>26.901852986900295</v>
      </c>
      <c r="K59" s="5">
        <f>'6states'!$N$4</f>
        <v>0.98104277196026479</v>
      </c>
      <c r="L59" s="7">
        <f t="shared" si="3"/>
        <v>0.5</v>
      </c>
      <c r="M59" s="16">
        <f t="shared" si="2"/>
        <v>2</v>
      </c>
      <c r="N59" s="5">
        <f>(Parameters!$B$19*(E59+Parameters!$B$20)^L59+Parameters!$B$18*F59^L59)^(1/L59)</f>
        <v>0.5496259760436647</v>
      </c>
      <c r="O59" s="5">
        <f>(Parameters!$B$10*G59^Parameters!$B$9 + Parameters!$B$11*N59^Parameters!$B$9) ^ (Parameters!$B$7/Parameters!$B$9) * K59</f>
        <v>1.5020225201897417</v>
      </c>
      <c r="P59" s="5">
        <f t="shared" si="0"/>
        <v>1.1452878780262521</v>
      </c>
      <c r="Q59" s="5">
        <f>EXP(-Parameters!$B$56*A59)</f>
        <v>0.43583131617545234</v>
      </c>
      <c r="R59" s="5">
        <f>IF(P59&gt;0,P59^(1-Parameters!$B$53)/(1-Parameters!$B$53)*Q59,-10+P59*1000)</f>
        <v>-1.1874908064465852</v>
      </c>
      <c r="S59" s="5"/>
      <c r="T59" s="10">
        <f t="shared" si="8"/>
        <v>0.23750285855795653</v>
      </c>
    </row>
    <row r="60" spans="1:20" x14ac:dyDescent="0.35">
      <c r="A60">
        <f>A59+Parameters!$B$71</f>
        <v>56</v>
      </c>
      <c r="B60" s="26">
        <f t="shared" si="12"/>
        <v>5.3301042908910808E-2</v>
      </c>
      <c r="C60" s="26">
        <f t="shared" si="11"/>
        <v>1.0278931310334936E-2</v>
      </c>
      <c r="D60" s="26">
        <f t="shared" si="11"/>
        <v>0.29315466794424383</v>
      </c>
      <c r="E60" s="5">
        <f>MAX((1-Parameters!$B$4)^Parameters!B$71*E59+B59*Parameters!B$71-Parameters!$B$5*B59^2/E59*Parameters!B$71,0.0001)</f>
        <v>0.79020128148656554</v>
      </c>
      <c r="F60" s="7">
        <f>MAX((1-Parameters!$B$4)^Parameters!B$71*F59+C59*Parameters!B$71-Parameters!$B$5*C59^2/F59*Parameters!B$71,0.0001)</f>
        <v>0.1524178999963188</v>
      </c>
      <c r="G60" s="5">
        <f>MAX((1-Parameters!$B$4)^Parameters!B$71*G59+D59*Parameters!B$71-Parameters!$B$5*D59^2/G59*Parameters!B$71,0.0001)</f>
        <v>4.3464587426751278</v>
      </c>
      <c r="I60" s="5">
        <f>I59*(1+Parameters!$B$52)^Parameters!B$71</f>
        <v>9.5966026311399446</v>
      </c>
      <c r="J60" s="5">
        <f>J59*(1+Parameters!$B$54)^Parameters!B$71</f>
        <v>27.4398900466383</v>
      </c>
      <c r="K60" s="5">
        <f>'6states'!$N$4</f>
        <v>0.98104277196026479</v>
      </c>
      <c r="L60" s="7">
        <f t="shared" si="3"/>
        <v>0.5</v>
      </c>
      <c r="M60" s="16">
        <f t="shared" si="2"/>
        <v>2</v>
      </c>
      <c r="N60" s="5">
        <f>(Parameters!$B$19*(E60+Parameters!$B$20)^L60+Parameters!$B$18*F60^L60)^(1/L60)</f>
        <v>0.54962642790705385</v>
      </c>
      <c r="O60" s="5">
        <f>(Parameters!$B$10*G60^Parameters!$B$9 + Parameters!$B$11*N60^Parameters!$B$9) ^ (Parameters!$B$7/Parameters!$B$9) * K60</f>
        <v>1.5020216903338202</v>
      </c>
      <c r="P60" s="5">
        <f t="shared" si="0"/>
        <v>1.1452870481703306</v>
      </c>
      <c r="Q60" s="5">
        <f>EXP(-Parameters!$B$56*A60)</f>
        <v>0.42929970110067539</v>
      </c>
      <c r="R60" s="5">
        <f>IF(P60&gt;0,P60^(1-Parameters!$B$53)/(1-Parameters!$B$53)*Q60,-10+P60*1000)</f>
        <v>-1.1696946929504106</v>
      </c>
      <c r="S60" s="5"/>
      <c r="T60" s="10">
        <f t="shared" si="8"/>
        <v>0.23750298977653667</v>
      </c>
    </row>
    <row r="61" spans="1:20" x14ac:dyDescent="0.35">
      <c r="A61">
        <f>A60+Parameters!$B$71</f>
        <v>57</v>
      </c>
      <c r="B61" s="26">
        <f t="shared" si="12"/>
        <v>5.3301042908910808E-2</v>
      </c>
      <c r="C61" s="26">
        <f t="shared" si="11"/>
        <v>1.0278931310334936E-2</v>
      </c>
      <c r="D61" s="26">
        <f t="shared" si="11"/>
        <v>0.29315466794424383</v>
      </c>
      <c r="E61" s="5">
        <f>MAX((1-Parameters!$B$4)^Parameters!B$71*E60+B60*Parameters!B$71-Parameters!$B$5*B60^2/E60*Parameters!B$71,0.0001)</f>
        <v>0.79020337580229194</v>
      </c>
      <c r="F61" s="7">
        <f>MAX((1-Parameters!$B$4)^Parameters!B$71*F60+C60*Parameters!B$71-Parameters!$B$5*C60^2/F60*Parameters!B$71,0.0001)</f>
        <v>0.15241654316220593</v>
      </c>
      <c r="G61" s="5">
        <f>MAX((1-Parameters!$B$4)^Parameters!B$71*G60+D60*Parameters!B$71-Parameters!$B$5*D60^2/G60*Parameters!B$71,0.0001)</f>
        <v>4.3464488158704473</v>
      </c>
      <c r="I61" s="5">
        <f>I60*(1+Parameters!$B$52)^Parameters!B$71</f>
        <v>9.6244327787702488</v>
      </c>
      <c r="J61" s="5">
        <f>J60*(1+Parameters!$B$54)^Parameters!B$71</f>
        <v>27.988687847571068</v>
      </c>
      <c r="K61" s="5">
        <f>'6states'!$N$4</f>
        <v>0.98104277196026479</v>
      </c>
      <c r="L61" s="7">
        <f t="shared" si="3"/>
        <v>0.5</v>
      </c>
      <c r="M61" s="16">
        <f t="shared" si="2"/>
        <v>2</v>
      </c>
      <c r="N61" s="5">
        <f>(Parameters!$B$19*(E61+Parameters!$B$20)^L61+Parameters!$B$18*F61^L61)^(1/L61)</f>
        <v>0.54962685340063777</v>
      </c>
      <c r="O61" s="5">
        <f>(Parameters!$B$10*G61^Parameters!$B$9 + Parameters!$B$11*N61^Parameters!$B$9) ^ (Parameters!$B$7/Parameters!$B$9) * K61</f>
        <v>1.5020209088961289</v>
      </c>
      <c r="P61" s="5">
        <f t="shared" si="0"/>
        <v>1.1452862667326393</v>
      </c>
      <c r="Q61" s="5">
        <f>EXP(-Parameters!$B$56*A61)</f>
        <v>0.42286597251064995</v>
      </c>
      <c r="R61" s="5">
        <f>IF(P61&gt;0,P61^(1-Parameters!$B$53)/(1-Parameters!$B$53)*Q61,-10+P61*1000)</f>
        <v>-1.1521652606020474</v>
      </c>
      <c r="S61" s="5"/>
      <c r="T61" s="10">
        <f t="shared" si="8"/>
        <v>0.237503113339256</v>
      </c>
    </row>
    <row r="62" spans="1:20" x14ac:dyDescent="0.35">
      <c r="A62">
        <f>A61+Parameters!$B$71</f>
        <v>58</v>
      </c>
      <c r="B62" s="26">
        <f t="shared" si="12"/>
        <v>5.3301042908910808E-2</v>
      </c>
      <c r="C62" s="26">
        <f t="shared" si="11"/>
        <v>1.0278931310334936E-2</v>
      </c>
      <c r="D62" s="26">
        <f t="shared" si="11"/>
        <v>0.29315466794424383</v>
      </c>
      <c r="E62" s="5">
        <f>MAX((1-Parameters!$B$4)^Parameters!B$71*E61+B61*Parameters!B$71-Parameters!$B$5*B61^2/E61*Parameters!B$71,0.0001)</f>
        <v>0.79020534791433161</v>
      </c>
      <c r="F62" s="7">
        <f>MAX((1-Parameters!$B$4)^Parameters!B$71*F61+C61*Parameters!B$71-Parameters!$B$5*C61^2/F61*Parameters!B$71,0.0001)</f>
        <v>0.15241526550197221</v>
      </c>
      <c r="G62" s="5">
        <f>MAX((1-Parameters!$B$4)^Parameters!B$71*G61+D61*Parameters!B$71-Parameters!$B$5*D61^2/G61*Parameters!B$71,0.0001)</f>
        <v>4.3464394683039593</v>
      </c>
      <c r="I62" s="5">
        <f>I61*(1+Parameters!$B$52)^Parameters!B$71</f>
        <v>9.6523436338286821</v>
      </c>
      <c r="J62" s="5">
        <f>J61*(1+Parameters!$B$54)^Parameters!B$71</f>
        <v>28.54846160452249</v>
      </c>
      <c r="K62" s="5">
        <f>'6states'!$N$4</f>
        <v>0.98104277196026479</v>
      </c>
      <c r="L62" s="7">
        <f t="shared" si="3"/>
        <v>0.5</v>
      </c>
      <c r="M62" s="16">
        <f t="shared" si="2"/>
        <v>2</v>
      </c>
      <c r="N62" s="5">
        <f>(Parameters!$B$19*(E62+Parameters!$B$20)^L62+Parameters!$B$18*F62^L62)^(1/L62)</f>
        <v>0.54962725406348567</v>
      </c>
      <c r="O62" s="5">
        <f>(Parameters!$B$10*G62^Parameters!$B$9 + Parameters!$B$11*N62^Parameters!$B$9) ^ (Parameters!$B$7/Parameters!$B$9) * K62</f>
        <v>1.5020201730519276</v>
      </c>
      <c r="P62" s="5">
        <f t="shared" si="0"/>
        <v>1.145285530888438</v>
      </c>
      <c r="Q62" s="5">
        <f>EXP(-Parameters!$B$56*A62)</f>
        <v>0.41652866342304673</v>
      </c>
      <c r="R62" s="5">
        <f>IF(P62&gt;0,P62^(1-Parameters!$B$53)/(1-Parameters!$B$53)*Q62,-10+P62*1000)</f>
        <v>-1.1348985143239441</v>
      </c>
      <c r="S62" s="5"/>
      <c r="T62" s="10">
        <f t="shared" si="8"/>
        <v>0.2375032296927457</v>
      </c>
    </row>
    <row r="63" spans="1:20" x14ac:dyDescent="0.35">
      <c r="A63">
        <f>A62+Parameters!$B$71</f>
        <v>59</v>
      </c>
      <c r="B63" s="26">
        <f t="shared" si="12"/>
        <v>5.3301042908910808E-2</v>
      </c>
      <c r="C63" s="26">
        <f t="shared" si="11"/>
        <v>1.0278931310334936E-2</v>
      </c>
      <c r="D63" s="26">
        <f t="shared" si="11"/>
        <v>0.29315466794424383</v>
      </c>
      <c r="E63" s="5">
        <f>MAX((1-Parameters!$B$4)^Parameters!B$71*E62+B62*Parameters!B$71-Parameters!$B$5*B62^2/E62*Parameters!B$71,0.0001)</f>
        <v>0.79020720495324481</v>
      </c>
      <c r="F63" s="7">
        <f>MAX((1-Parameters!$B$4)^Parameters!B$71*F62+C62*Parameters!B$71-Parameters!$B$5*C62^2/F62*Parameters!B$71,0.0001)</f>
        <v>0.15241406239556912</v>
      </c>
      <c r="G63" s="5">
        <f>MAX((1-Parameters!$B$4)^Parameters!B$71*G62+D62*Parameters!B$71-Parameters!$B$5*D62^2/G62*Parameters!B$71,0.0001)</f>
        <v>4.3464306661763965</v>
      </c>
      <c r="I63" s="5">
        <f>I62*(1+Parameters!$B$52)^Parameters!B$71</f>
        <v>9.6803354303667835</v>
      </c>
      <c r="J63" s="5">
        <f>J62*(1+Parameters!$B$54)^Parameters!B$71</f>
        <v>29.119430836612942</v>
      </c>
      <c r="K63" s="5">
        <f>'6states'!$N$4</f>
        <v>0.98104277196026479</v>
      </c>
      <c r="L63" s="7">
        <f t="shared" si="3"/>
        <v>0.5</v>
      </c>
      <c r="M63" s="16">
        <f t="shared" si="2"/>
        <v>2</v>
      </c>
      <c r="N63" s="5">
        <f>(Parameters!$B$19*(E63+Parameters!$B$20)^L63+Parameters!$B$18*F63^L63)^(1/L63)</f>
        <v>0.54962763134481862</v>
      </c>
      <c r="O63" s="5">
        <f>(Parameters!$B$10*G63^Parameters!$B$9 + Parameters!$B$11*N63^Parameters!$B$9) ^ (Parameters!$B$7/Parameters!$B$9) * K63</f>
        <v>1.5020194801412459</v>
      </c>
      <c r="P63" s="5">
        <f t="shared" si="0"/>
        <v>1.1452848379777563</v>
      </c>
      <c r="Q63" s="5">
        <f>EXP(-Parameters!$B$56*A63)</f>
        <v>0.41028632884056476</v>
      </c>
      <c r="R63" s="5">
        <f>IF(P63&gt;0,P63^(1-Parameters!$B$53)/(1-Parameters!$B$53)*Q63,-10+P63*1000)</f>
        <v>-1.1178905187982322</v>
      </c>
      <c r="S63" s="5"/>
      <c r="T63" s="10">
        <f t="shared" si="8"/>
        <v>0.23750333925758621</v>
      </c>
    </row>
    <row r="64" spans="1:20" s="2" customFormat="1" x14ac:dyDescent="0.35">
      <c r="A64" s="2">
        <f>A63+Parameters!$B$71</f>
        <v>60</v>
      </c>
      <c r="B64" s="27">
        <v>5.3297629418381329E-2</v>
      </c>
      <c r="C64" s="27">
        <v>1.027967453506123E-2</v>
      </c>
      <c r="D64" s="28">
        <v>0.29315460384065878</v>
      </c>
      <c r="E64" s="5">
        <f>MAX((1-Parameters!$B$4)^Parameters!B$71*E63+B63*Parameters!B$71-Parameters!$B$5*B63^2/E63*Parameters!B$71,0.0001)</f>
        <v>0.79020895363353016</v>
      </c>
      <c r="F64" s="7">
        <f>MAX((1-Parameters!$B$4)^Parameters!B$71*F63+C63*Parameters!B$71-Parameters!$B$5*C63^2/F63*Parameters!B$71,0.0001)</f>
        <v>0.15241292949255411</v>
      </c>
      <c r="G64" s="5">
        <f>MAX((1-Parameters!$B$4)^Parameters!B$71*G63+D63*Parameters!B$71-Parameters!$B$5*D63^2/G63*Parameters!B$71,0.0001)</f>
        <v>4.346422377660736</v>
      </c>
      <c r="H64" s="11"/>
      <c r="I64" s="11">
        <f>I63*(1+Parameters!$B$52)^Parameters!B$71</f>
        <v>9.7084084031148468</v>
      </c>
      <c r="J64" s="11">
        <f>J63*(1+Parameters!$B$54)^Parameters!B$71</f>
        <v>29.701819453345202</v>
      </c>
      <c r="K64" s="5">
        <f>'6states'!$N$4</f>
        <v>0.98104277196026479</v>
      </c>
      <c r="L64" s="7">
        <f t="shared" si="3"/>
        <v>0.5</v>
      </c>
      <c r="M64" s="17">
        <f t="shared" si="2"/>
        <v>2</v>
      </c>
      <c r="N64" s="11">
        <f>(Parameters!$B$19*(E64+Parameters!$B$20)^L64+Parameters!$B$18*F64^L64)^(1/L64)</f>
        <v>0.5496279866092566</v>
      </c>
      <c r="O64" s="11">
        <f>(Parameters!$B$10*G64^Parameters!$B$9 + Parameters!$B$11*N64^Parameters!$B$9) ^ (Parameters!$B$7/Parameters!$B$9) * K64</f>
        <v>1.502018827659275</v>
      </c>
      <c r="P64" s="11">
        <f t="shared" si="0"/>
        <v>1.1452869198651736</v>
      </c>
      <c r="Q64" s="11">
        <f>EXP(-Parameters!$B$56*A64)</f>
        <v>0.40413754542145147</v>
      </c>
      <c r="R64" s="11">
        <f>IF(P64&gt;0,P64^(1-Parameters!$B$53)/(1-Parameters!$B$53)*Q64,-10+P64*1000)</f>
        <v>-1.1011364774417054</v>
      </c>
      <c r="S64" s="11"/>
      <c r="T64" s="20">
        <f t="shared" si="8"/>
        <v>0.23750162196703442</v>
      </c>
    </row>
    <row r="65" spans="1:19" x14ac:dyDescent="0.35">
      <c r="A65">
        <f>A64+Parameters!$B$71</f>
        <v>61</v>
      </c>
      <c r="B65" s="26">
        <f>B64</f>
        <v>5.3297629418381329E-2</v>
      </c>
      <c r="C65" s="26">
        <f t="shared" ref="C65:D73" si="13">C64</f>
        <v>1.027967453506123E-2</v>
      </c>
      <c r="D65" s="26">
        <f t="shared" si="13"/>
        <v>0.29315460384065878</v>
      </c>
      <c r="E65" s="5">
        <f>MAX((1-Parameters!$B$4)^Parameters!B$71*E64+B64*Parameters!B$71-Parameters!$B$5*B64^2/E64*Parameters!B$71,0.0001)</f>
        <v>0.79020764726501713</v>
      </c>
      <c r="F65" s="7">
        <f>MAX((1-Parameters!$B$4)^Parameters!B$71*F64+C64*Parameters!B$71-Parameters!$B$5*C64^2/F64*Parameters!B$71,0.0001)</f>
        <v>0.15241250566932402</v>
      </c>
      <c r="G65" s="5">
        <f>MAX((1-Parameters!$B$4)^Parameters!B$71*G64+D64*Parameters!B$71-Parameters!$B$5*D64^2/G64*Parameters!B$71,0.0001)</f>
        <v>4.3464145173307713</v>
      </c>
      <c r="I65" s="5">
        <f>I64*(1+Parameters!$B$52)^Parameters!B$71</f>
        <v>9.7365627874838783</v>
      </c>
      <c r="J65" s="5">
        <f>J64*(1+Parameters!$B$54)^Parameters!B$71</f>
        <v>30.295855842412106</v>
      </c>
      <c r="K65" s="5">
        <f>'6states'!$N$4</f>
        <v>0.98104277196026479</v>
      </c>
      <c r="L65" s="7">
        <f t="shared" si="3"/>
        <v>0.5</v>
      </c>
      <c r="M65" s="16">
        <f t="shared" si="2"/>
        <v>2</v>
      </c>
      <c r="N65" s="5">
        <f>(Parameters!$B$19*(E65+Parameters!$B$20)^L65+Parameters!$B$18*F65^L65)^(1/L65)</f>
        <v>0.54962698834969714</v>
      </c>
      <c r="O65" s="5">
        <f>(Parameters!$B$10*G65^Parameters!$B$9 + Parameters!$B$11*N65^Parameters!$B$9) ^ (Parameters!$B$7/Parameters!$B$9) * K65</f>
        <v>1.5020180121259354</v>
      </c>
      <c r="P65" s="5">
        <f t="shared" si="0"/>
        <v>1.1452861043318341</v>
      </c>
      <c r="Q65" s="5">
        <f>EXP(-Parameters!$B$56*A65)</f>
        <v>0.39808091115496053</v>
      </c>
      <c r="R65" s="5">
        <f>IF(P65&gt;0,P65^(1-Parameters!$B$53)/(1-Parameters!$B$53)*Q65,-10+P65*1000)</f>
        <v>-1.0846344925352052</v>
      </c>
      <c r="S65" s="5"/>
    </row>
    <row r="66" spans="1:19" x14ac:dyDescent="0.35">
      <c r="A66">
        <f>A65+Parameters!$B$71</f>
        <v>62</v>
      </c>
      <c r="B66" s="26">
        <f t="shared" ref="B66:B73" si="14">B65</f>
        <v>5.3297629418381329E-2</v>
      </c>
      <c r="C66" s="26">
        <f t="shared" si="13"/>
        <v>1.027967453506123E-2</v>
      </c>
      <c r="D66" s="26">
        <f t="shared" si="13"/>
        <v>0.29315460384065878</v>
      </c>
      <c r="E66" s="5">
        <f>MAX((1-Parameters!$B$4)^Parameters!B$71*E65+B65*Parameters!B$71-Parameters!$B$5*B65^2/E65*Parameters!B$71,0.0001)</f>
        <v>0.79020641712418505</v>
      </c>
      <c r="F66" s="7">
        <f>MAX((1-Parameters!$B$4)^Parameters!B$71*F65+C65*Parameters!B$71-Parameters!$B$5*C65^2/F65*Parameters!B$71,0.0001)</f>
        <v>0.15241210657660154</v>
      </c>
      <c r="G66" s="5">
        <f>MAX((1-Parameters!$B$4)^Parameters!B$71*G65+D65*Parameters!B$71-Parameters!$B$5*D65^2/G65*Parameters!B$71,0.0001)</f>
        <v>4.3464071156577324</v>
      </c>
      <c r="I66" s="5">
        <f>I65*(1+Parameters!$B$52)^Parameters!B$71</f>
        <v>9.7647988195675808</v>
      </c>
      <c r="J66" s="5">
        <f>J65*(1+Parameters!$B$54)^Parameters!B$71</f>
        <v>30.901772959260349</v>
      </c>
      <c r="K66" s="5">
        <f>'6states'!$N$4</f>
        <v>0.98104277196026479</v>
      </c>
      <c r="L66" s="7">
        <f t="shared" si="3"/>
        <v>0.5</v>
      </c>
      <c r="N66" s="5">
        <f>(Parameters!$B$19*(E66+Parameters!$B$20)^L66+Parameters!$B$18*F66^L66)^(1/L66)</f>
        <v>0.54962604833940454</v>
      </c>
      <c r="O66" s="5">
        <f>(Parameters!$B$10*G66^Parameters!$B$9 + Parameters!$B$11*N66^Parameters!$B$9) ^ (Parameters!$B$7/Parameters!$B$9) * K66</f>
        <v>1.5020172441787103</v>
      </c>
      <c r="P66" s="5">
        <f t="shared" si="0"/>
        <v>1.1452853363846089</v>
      </c>
      <c r="Q66" s="5">
        <f>EXP(-Parameters!$B$56*A66)</f>
        <v>0.39211504504167288</v>
      </c>
      <c r="R66" s="5">
        <f>IF(P66&gt;0,P66^(1-Parameters!$B$53)/(1-Parameters!$B$53)*Q66,-10+P66*1000)</f>
        <v>-1.0683797961379458</v>
      </c>
      <c r="S66" s="5"/>
    </row>
    <row r="67" spans="1:19" x14ac:dyDescent="0.35">
      <c r="A67">
        <f>A66+Parameters!$B$71</f>
        <v>63</v>
      </c>
      <c r="B67" s="26">
        <f t="shared" si="14"/>
        <v>5.3297629418381329E-2</v>
      </c>
      <c r="C67" s="26">
        <f t="shared" si="13"/>
        <v>1.027967453506123E-2</v>
      </c>
      <c r="D67" s="26">
        <f t="shared" si="13"/>
        <v>0.29315460384065878</v>
      </c>
      <c r="E67" s="5">
        <f>MAX((1-Parameters!$B$4)^Parameters!B$71*E66+B66*Parameters!B$71-Parameters!$B$5*B66^2/E66*Parameters!B$71,0.0001)</f>
        <v>0.7902052587630678</v>
      </c>
      <c r="F67" s="7">
        <f>MAX((1-Parameters!$B$4)^Parameters!B$71*F66+C66*Parameters!B$71-Parameters!$B$5*C66^2/F66*Parameters!B$71,0.0001)</f>
        <v>0.15241173077132711</v>
      </c>
      <c r="G67" s="5">
        <f>MAX((1-Parameters!$B$4)^Parameters!B$71*G66+D66*Parameters!B$71-Parameters!$B$5*D66^2/G66*Parameters!B$71,0.0001)</f>
        <v>4.34640014587848</v>
      </c>
      <c r="I67" s="5">
        <f>I66*(1+Parameters!$B$52)^Parameters!B$71</f>
        <v>9.7931167361443254</v>
      </c>
      <c r="J67" s="5">
        <f>J66*(1+Parameters!$B$54)^Parameters!B$71</f>
        <v>31.519808418445557</v>
      </c>
      <c r="K67" s="5">
        <f>'6states'!$N$4</f>
        <v>0.98104277196026479</v>
      </c>
      <c r="L67" s="7">
        <f t="shared" si="3"/>
        <v>0.5</v>
      </c>
      <c r="N67" s="5">
        <f>(Parameters!$B$19*(E67+Parameters!$B$20)^L67+Parameters!$B$18*F67^L67)^(1/L67)</f>
        <v>0.54962516317947196</v>
      </c>
      <c r="O67" s="5">
        <f>(Parameters!$B$10*G67^Parameters!$B$9 + Parameters!$B$11*N67^Parameters!$B$9) ^ (Parameters!$B$7/Parameters!$B$9) * K67</f>
        <v>1.5020165210410039</v>
      </c>
      <c r="P67" s="5">
        <f t="shared" si="0"/>
        <v>1.1452846132469026</v>
      </c>
      <c r="Q67" s="5">
        <f>EXP(-Parameters!$B$56*A67)</f>
        <v>0.38623858677860945</v>
      </c>
      <c r="R67" s="5">
        <f>IF(P67&gt;0,P67^(1-Parameters!$B$53)/(1-Parameters!$B$53)*Q67,-10+P67*1000)</f>
        <v>-1.0523686836635135</v>
      </c>
      <c r="S67" s="5"/>
    </row>
    <row r="68" spans="1:19" x14ac:dyDescent="0.35">
      <c r="A68">
        <f>A67+Parameters!$B$71</f>
        <v>64</v>
      </c>
      <c r="B68" s="26">
        <f t="shared" si="14"/>
        <v>5.3297629418381329E-2</v>
      </c>
      <c r="C68" s="26">
        <f t="shared" si="13"/>
        <v>1.027967453506123E-2</v>
      </c>
      <c r="D68" s="26">
        <f t="shared" si="13"/>
        <v>0.29315460384065878</v>
      </c>
      <c r="E68" s="5">
        <f>MAX((1-Parameters!$B$4)^Parameters!B$71*E67+B67*Parameters!B$71-Parameters!$B$5*B67^2/E67*Parameters!B$71,0.0001)</f>
        <v>0.79020416799324489</v>
      </c>
      <c r="F68" s="7">
        <f>MAX((1-Parameters!$B$4)^Parameters!B$71*F67+C67*Parameters!B$71-Parameters!$B$5*C67^2/F67*Parameters!B$71,0.0001)</f>
        <v>0.15241137689464684</v>
      </c>
      <c r="G68" s="5">
        <f>MAX((1-Parameters!$B$4)^Parameters!B$71*G67+D67*Parameters!B$71-Parameters!$B$5*D67^2/G67*Parameters!B$71,0.0001)</f>
        <v>4.3463935827915474</v>
      </c>
      <c r="I68" s="5">
        <f>I67*(1+Parameters!$B$52)^Parameters!B$71</f>
        <v>9.821516774679143</v>
      </c>
      <c r="J68" s="5">
        <f>J67*(1+Parameters!$B$54)^Parameters!B$71</f>
        <v>32.150204586814468</v>
      </c>
      <c r="K68" s="5">
        <f>'6states'!$N$4</f>
        <v>0.98104277196026479</v>
      </c>
      <c r="L68" s="7">
        <f t="shared" si="3"/>
        <v>0.5</v>
      </c>
      <c r="N68" s="5">
        <f>(Parameters!$B$19*(E68+Parameters!$B$20)^L68+Parameters!$B$18*F68^L68)^(1/L68)</f>
        <v>0.54962432966932462</v>
      </c>
      <c r="O68" s="5">
        <f>(Parameters!$B$10*G68^Parameters!$B$9 + Parameters!$B$11*N68^Parameters!$B$9) ^ (Parameters!$B$7/Parameters!$B$9) * K68</f>
        <v>1.5020158400982286</v>
      </c>
      <c r="P68" s="5">
        <f t="shared" ref="P68:P131" si="15">O68-B68-C68-D68</f>
        <v>1.1452839323041273</v>
      </c>
      <c r="Q68" s="5">
        <f>EXP(-Parameters!$B$56*A68)</f>
        <v>0.38045019644906247</v>
      </c>
      <c r="R68" s="5">
        <f>IF(P68&gt;0,P68^(1-Parameters!$B$53)/(1-Parameters!$B$53)*Q68,-10+P68*1000)</f>
        <v>-1.0365975059416861</v>
      </c>
      <c r="S68" s="5"/>
    </row>
    <row r="69" spans="1:19" x14ac:dyDescent="0.35">
      <c r="A69">
        <f>A68+Parameters!$B$71</f>
        <v>65</v>
      </c>
      <c r="B69" s="26">
        <f t="shared" si="14"/>
        <v>5.3297629418381329E-2</v>
      </c>
      <c r="C69" s="26">
        <f t="shared" si="13"/>
        <v>1.027967453506123E-2</v>
      </c>
      <c r="D69" s="26">
        <f t="shared" si="13"/>
        <v>0.29315460384065878</v>
      </c>
      <c r="E69" s="5">
        <f>MAX((1-Parameters!$B$4)^Parameters!B$71*E68+B68*Parameters!B$71-Parameters!$B$5*B68^2/E68*Parameters!B$71,0.0001)</f>
        <v>0.79020314087069643</v>
      </c>
      <c r="F69" s="7">
        <f>MAX((1-Parameters!$B$4)^Parameters!B$71*F68+C68*Parameters!B$71-Parameters!$B$5*C68^2/F68*Parameters!B$71,0.0001)</f>
        <v>0.15241104366699876</v>
      </c>
      <c r="G69" s="5">
        <f>MAX((1-Parameters!$B$4)^Parameters!B$71*G68+D68*Parameters!B$71-Parameters!$B$5*D68^2/G68*Parameters!B$71,0.0001)</f>
        <v>4.3463874026660116</v>
      </c>
      <c r="I69" s="5">
        <f>I68*(1+Parameters!$B$52)^Parameters!B$71</f>
        <v>9.8499991733257115</v>
      </c>
      <c r="J69" s="5">
        <f>J68*(1+Parameters!$B$54)^Parameters!B$71</f>
        <v>32.793208678550755</v>
      </c>
      <c r="K69" s="5">
        <f>'6states'!$N$4</f>
        <v>0.98104277196026479</v>
      </c>
      <c r="L69" s="7">
        <f t="shared" si="3"/>
        <v>0.5</v>
      </c>
      <c r="N69" s="5">
        <f>(Parameters!$B$19*(E69+Parameters!$B$20)^L69+Parameters!$B$18*F69^L69)^(1/L69)</f>
        <v>0.54962354479514608</v>
      </c>
      <c r="O69" s="5">
        <f>(Parameters!$B$10*G69^Parameters!$B$9 + Parameters!$B$11*N69^Parameters!$B$9) ^ (Parameters!$B$7/Parameters!$B$9) * K69</f>
        <v>1.5020151988883506</v>
      </c>
      <c r="P69" s="5">
        <f t="shared" si="15"/>
        <v>1.1452832910942492</v>
      </c>
      <c r="Q69" s="5">
        <f>EXP(-Parameters!$B$56*A69)</f>
        <v>0.37474855421707526</v>
      </c>
      <c r="R69" s="5">
        <f>IF(P69&gt;0,P69^(1-Parameters!$B$53)/(1-Parameters!$B$53)*Q69,-10+P69*1000)</f>
        <v>-1.021062668395385</v>
      </c>
      <c r="S69" s="5"/>
    </row>
    <row r="70" spans="1:19" x14ac:dyDescent="0.35">
      <c r="A70">
        <f>A69+Parameters!$B$71</f>
        <v>66</v>
      </c>
      <c r="B70" s="26">
        <f t="shared" si="14"/>
        <v>5.3297629418381329E-2</v>
      </c>
      <c r="C70" s="26">
        <f t="shared" si="13"/>
        <v>1.027967453506123E-2</v>
      </c>
      <c r="D70" s="26">
        <f t="shared" si="13"/>
        <v>0.29315460384065878</v>
      </c>
      <c r="E70" s="5">
        <f>MAX((1-Parameters!$B$4)^Parameters!B$71*E69+B69*Parameters!B$71-Parameters!$B$5*B69^2/E69*Parameters!B$71,0.0001)</f>
        <v>0.79020217368154155</v>
      </c>
      <c r="F70" s="7">
        <f>MAX((1-Parameters!$B$4)^Parameters!B$71*F69+C69*Parameters!B$71-Parameters!$B$5*C69^2/F69*Parameters!B$71,0.0001)</f>
        <v>0.15241072988348589</v>
      </c>
      <c r="G70" s="5">
        <f>MAX((1-Parameters!$B$4)^Parameters!B$71*G69+D69*Parameters!B$71-Parameters!$B$5*D69^2/G69*Parameters!B$71,0.0001)</f>
        <v>4.3463815831556856</v>
      </c>
      <c r="I70" s="5">
        <f>I69*(1+Parameters!$B$52)^Parameters!B$71</f>
        <v>9.8785641709283549</v>
      </c>
      <c r="J70" s="5">
        <f>J69*(1+Parameters!$B$54)^Parameters!B$71</f>
        <v>33.449072852121773</v>
      </c>
      <c r="K70" s="5">
        <f>'6states'!$N$4</f>
        <v>0.98104277196026479</v>
      </c>
      <c r="L70" s="7">
        <f t="shared" ref="L70:L133" si="16">L69</f>
        <v>0.5</v>
      </c>
      <c r="N70" s="5">
        <f>(Parameters!$B$19*(E70+Parameters!$B$20)^L70+Parameters!$B$18*F70^L70)^(1/L70)</f>
        <v>0.54962280571898026</v>
      </c>
      <c r="O70" s="5">
        <f>(Parameters!$B$10*G70^Parameters!$B$9 + Parameters!$B$11*N70^Parameters!$B$9) ^ (Parameters!$B$7/Parameters!$B$9) * K70</f>
        <v>1.5020145950929891</v>
      </c>
      <c r="P70" s="5">
        <f t="shared" si="15"/>
        <v>1.1452826872988877</v>
      </c>
      <c r="Q70" s="5">
        <f>EXP(-Parameters!$B$56*A70)</f>
        <v>0.36913236002650052</v>
      </c>
      <c r="R70" s="5">
        <f>IF(P70&gt;0,P70^(1-Parameters!$B$53)/(1-Parameters!$B$53)*Q70,-10+P70*1000)</f>
        <v>-1.0057606302294231</v>
      </c>
      <c r="S70" s="5"/>
    </row>
    <row r="71" spans="1:19" x14ac:dyDescent="0.35">
      <c r="A71">
        <f>A70+Parameters!$B$71</f>
        <v>67</v>
      </c>
      <c r="B71" s="26">
        <f t="shared" si="14"/>
        <v>5.3297629418381329E-2</v>
      </c>
      <c r="C71" s="26">
        <f t="shared" si="13"/>
        <v>1.027967453506123E-2</v>
      </c>
      <c r="D71" s="26">
        <f t="shared" si="13"/>
        <v>0.29315460384065878</v>
      </c>
      <c r="E71" s="5">
        <f>MAX((1-Parameters!$B$4)^Parameters!B$71*E70+B70*Parameters!B$71-Parameters!$B$5*B70^2/E70*Parameters!B$71,0.0001)</f>
        <v>0.79020126292860915</v>
      </c>
      <c r="F71" s="7">
        <f>MAX((1-Parameters!$B$4)^Parameters!B$71*F70+C70*Parameters!B$71-Parameters!$B$5*C70^2/F70*Parameters!B$71,0.0001)</f>
        <v>0.15241043440951921</v>
      </c>
      <c r="G71" s="5">
        <f>MAX((1-Parameters!$B$4)^Parameters!B$71*G70+D70*Parameters!B$71-Parameters!$B$5*D70^2/G70*Parameters!B$71,0.0001)</f>
        <v>4.3463761032183132</v>
      </c>
      <c r="I71" s="5">
        <f>I70*(1+Parameters!$B$52)^Parameters!B$71</f>
        <v>9.9072120070240466</v>
      </c>
      <c r="J71" s="5">
        <f>J70*(1+Parameters!$B$54)^Parameters!B$71</f>
        <v>34.118054309164208</v>
      </c>
      <c r="K71" s="5">
        <f>'6states'!$N$4</f>
        <v>0.98104277196026479</v>
      </c>
      <c r="L71" s="7">
        <f t="shared" si="16"/>
        <v>0.5</v>
      </c>
      <c r="N71" s="5">
        <f>(Parameters!$B$19*(E71+Parameters!$B$20)^L71+Parameters!$B$18*F71^L71)^(1/L71)</f>
        <v>0.5496221097684687</v>
      </c>
      <c r="O71" s="5">
        <f>(Parameters!$B$10*G71^Parameters!$B$9 + Parameters!$B$11*N71^Parameters!$B$9) ^ (Parameters!$B$7/Parameters!$B$9) * K71</f>
        <v>1.5020140265290367</v>
      </c>
      <c r="P71" s="5">
        <f t="shared" si="15"/>
        <v>1.1452821187349354</v>
      </c>
      <c r="Q71" s="5">
        <f>EXP(-Parameters!$B$56*A71)</f>
        <v>0.3636003333045692</v>
      </c>
      <c r="R71" s="5">
        <f>IF(P71&gt;0,P71^(1-Parameters!$B$53)/(1-Parameters!$B$53)*Q71,-10+P71*1000)</f>
        <v>-0.99068790363091019</v>
      </c>
      <c r="S71" s="5"/>
    </row>
    <row r="72" spans="1:19" x14ac:dyDescent="0.35">
      <c r="A72">
        <f>A71+Parameters!$B$71</f>
        <v>68</v>
      </c>
      <c r="B72" s="26">
        <f t="shared" si="14"/>
        <v>5.3297629418381329E-2</v>
      </c>
      <c r="C72" s="26">
        <f t="shared" si="13"/>
        <v>1.027967453506123E-2</v>
      </c>
      <c r="D72" s="26">
        <f t="shared" si="13"/>
        <v>0.29315460384065878</v>
      </c>
      <c r="E72" s="5">
        <f>MAX((1-Parameters!$B$4)^Parameters!B$71*E71+B71*Parameters!B$71-Parameters!$B$5*B71^2/E71*Parameters!B$71,0.0001)</f>
        <v>0.79020040531879299</v>
      </c>
      <c r="F72" s="7">
        <f>MAX((1-Parameters!$B$4)^Parameters!B$71*F71+C71*Parameters!B$71-Parameters!$B$5*C71^2/F71*Parameters!B$71,0.0001)</f>
        <v>0.15241015617671513</v>
      </c>
      <c r="G72" s="5">
        <f>MAX((1-Parameters!$B$4)^Parameters!B$71*G71+D71*Parameters!B$71-Parameters!$B$5*D71^2/G71*Parameters!B$71,0.0001)</f>
        <v>4.3463709430394832</v>
      </c>
      <c r="I72" s="5">
        <f>I71*(1+Parameters!$B$52)^Parameters!B$71</f>
        <v>9.9359429218444149</v>
      </c>
      <c r="J72" s="5">
        <f>J71*(1+Parameters!$B$54)^Parameters!B$71</f>
        <v>34.800415395347493</v>
      </c>
      <c r="K72" s="5">
        <f>'6states'!$N$4</f>
        <v>0.98104277196026479</v>
      </c>
      <c r="L72" s="7">
        <f t="shared" si="16"/>
        <v>0.5</v>
      </c>
      <c r="N72" s="5">
        <f>(Parameters!$B$19*(E72+Parameters!$B$20)^L72+Parameters!$B$18*F72^L72)^(1/L72)</f>
        <v>0.54962145442719001</v>
      </c>
      <c r="O72" s="5">
        <f>(Parameters!$B$10*G72^Parameters!$B$9 + Parameters!$B$11*N72^Parameters!$B$9) ^ (Parameters!$B$7/Parameters!$B$9) * K72</f>
        <v>1.5020134911407657</v>
      </c>
      <c r="P72" s="5">
        <f t="shared" si="15"/>
        <v>1.1452815833466643</v>
      </c>
      <c r="Q72" s="5">
        <f>EXP(-Parameters!$B$56*A72)</f>
        <v>0.35815121266990152</v>
      </c>
      <c r="R72" s="5">
        <f>IF(P72&gt;0,P72^(1-Parameters!$B$53)/(1-Parameters!$B$53)*Q72,-10+P72*1000)</f>
        <v>-0.97584105298117529</v>
      </c>
      <c r="S72" s="5"/>
    </row>
    <row r="73" spans="1:19" x14ac:dyDescent="0.35">
      <c r="A73">
        <f>A72+Parameters!$B$71</f>
        <v>69</v>
      </c>
      <c r="B73" s="26">
        <f t="shared" si="14"/>
        <v>5.3297629418381329E-2</v>
      </c>
      <c r="C73" s="26">
        <f t="shared" si="13"/>
        <v>1.027967453506123E-2</v>
      </c>
      <c r="D73" s="26">
        <f t="shared" si="13"/>
        <v>0.29315460384065878</v>
      </c>
      <c r="E73" s="5">
        <f>MAX((1-Parameters!$B$4)^Parameters!B$71*E72+B72*Parameters!B$71-Parameters!$B$5*B72^2/E72*Parameters!B$71,0.0001)</f>
        <v>0.79019959775114379</v>
      </c>
      <c r="F73" s="7">
        <f>MAX((1-Parameters!$B$4)^Parameters!B$71*F72+C72*Parameters!B$71-Parameters!$B$5*C72^2/F72*Parameters!B$71,0.0001)</f>
        <v>0.15240989417903208</v>
      </c>
      <c r="G73" s="5">
        <f>MAX((1-Parameters!$B$4)^Parameters!B$71*G72+D72*Parameters!B$71-Parameters!$B$5*D72^2/G72*Parameters!B$71,0.0001)</f>
        <v>4.3463660839609837</v>
      </c>
      <c r="I73" s="5">
        <f>I72*(1+Parameters!$B$52)^Parameters!B$71</f>
        <v>9.9647571563177628</v>
      </c>
      <c r="J73" s="5">
        <f>J72*(1+Parameters!$B$54)^Parameters!B$71</f>
        <v>35.496423703254443</v>
      </c>
      <c r="K73" s="5">
        <f>'6states'!$N$4</f>
        <v>0.98104277196026479</v>
      </c>
      <c r="L73" s="7">
        <f t="shared" si="16"/>
        <v>0.5</v>
      </c>
      <c r="N73" s="5">
        <f>(Parameters!$B$19*(E73+Parameters!$B$20)^L73+Parameters!$B$18*F73^L73)^(1/L73)</f>
        <v>0.54962083732555822</v>
      </c>
      <c r="O73" s="5">
        <f>(Parameters!$B$10*G73^Parameters!$B$9 + Parameters!$B$11*N73^Parameters!$B$9) ^ (Parameters!$B$7/Parameters!$B$9) * K73</f>
        <v>1.5020129869923955</v>
      </c>
      <c r="P73" s="5">
        <f t="shared" si="15"/>
        <v>1.1452810791982941</v>
      </c>
      <c r="Q73" s="5">
        <f>EXP(-Parameters!$B$56*A73)</f>
        <v>0.35278375564489362</v>
      </c>
      <c r="R73" s="5">
        <f>IF(P73&gt;0,P73^(1-Parameters!$B$53)/(1-Parameters!$B$53)*Q73,-10+P73*1000)</f>
        <v>-0.96121669407907029</v>
      </c>
      <c r="S73" s="5"/>
    </row>
    <row r="74" spans="1:19" x14ac:dyDescent="0.35">
      <c r="A74">
        <f>A73+Parameters!$B$71</f>
        <v>70</v>
      </c>
      <c r="B74" s="13">
        <v>5.3294849690297248E-2</v>
      </c>
      <c r="C74" s="13">
        <v>1.0281127887166935E-2</v>
      </c>
      <c r="D74" s="12">
        <v>0.29316520846455352</v>
      </c>
      <c r="E74" s="5">
        <f>MAX((1-Parameters!$B$4)^Parameters!B$71*E73+B73*Parameters!B$71-Parameters!$B$5*B73^2/E73*Parameters!B$71,0.0001)</f>
        <v>0.79019883730565621</v>
      </c>
      <c r="F74" s="7">
        <f>MAX((1-Parameters!$B$4)^Parameters!B$71*F73+C73*Parameters!B$71-Parameters!$B$5*C73^2/F73*Parameters!B$71,0.0001)</f>
        <v>0.15240964746913266</v>
      </c>
      <c r="G74" s="5">
        <f>MAX((1-Parameters!$B$4)^Parameters!B$71*G73+D73*Parameters!B$71-Parameters!$B$5*D73^2/G73*Parameters!B$71,0.0001)</f>
        <v>4.3463615084133309</v>
      </c>
      <c r="I74" s="5">
        <f>I73*(1+Parameters!$B$52)^Parameters!B$71</f>
        <v>9.9936549520710827</v>
      </c>
      <c r="J74" s="5">
        <f>J73*(1+Parameters!$B$54)^Parameters!B$71</f>
        <v>36.20635217731953</v>
      </c>
      <c r="K74" s="5">
        <f>'6states'!$N$4</f>
        <v>0.98104277196026479</v>
      </c>
      <c r="L74" s="7">
        <f t="shared" si="16"/>
        <v>0.5</v>
      </c>
      <c r="N74" s="5">
        <f>(Parameters!$B$19*(E74+Parameters!$B$20)^L74+Parameters!$B$18*F74^L74)^(1/L74)</f>
        <v>0.54962025623225585</v>
      </c>
      <c r="O74" s="5">
        <f>(Parameters!$B$10*G74^Parameters!$B$9 + Parameters!$B$11*N74^Parameters!$B$9) ^ (Parameters!$B$7/Parameters!$B$9) * K74</f>
        <v>1.5020125122610954</v>
      </c>
      <c r="P74" s="5">
        <f t="shared" si="15"/>
        <v>1.1452713262190779</v>
      </c>
      <c r="Q74" s="5">
        <f>EXP(-Parameters!$B$56*A74)</f>
        <v>0.34749673837241518</v>
      </c>
      <c r="R74" s="5">
        <f>IF(P74&gt;0,P74^(1-Parameters!$B$53)/(1-Parameters!$B$53)*Q74,-10+P74*1000)</f>
        <v>-0.94681417802757106</v>
      </c>
      <c r="S74" s="5"/>
    </row>
    <row r="75" spans="1:19" x14ac:dyDescent="0.35">
      <c r="A75">
        <f>A74+Parameters!$B$71</f>
        <v>71</v>
      </c>
      <c r="B75" s="26">
        <f>B74</f>
        <v>5.3294849690297248E-2</v>
      </c>
      <c r="C75" s="26">
        <f t="shared" ref="C75:D83" si="17">C74</f>
        <v>1.0281127887166935E-2</v>
      </c>
      <c r="D75" s="26">
        <f t="shared" si="17"/>
        <v>0.29316520846455352</v>
      </c>
      <c r="E75" s="5">
        <f>MAX((1-Parameters!$B$4)^Parameters!B$71*E74+B74*Parameters!B$71-Parameters!$B$5*B74^2/E74*Parameters!B$71,0.0001)</f>
        <v>0.79019571647114639</v>
      </c>
      <c r="F75" s="7">
        <f>MAX((1-Parameters!$B$4)^Parameters!B$71*F74+C74*Parameters!B$71-Parameters!$B$5*C74^2/F74*Parameters!B$71,0.0001)</f>
        <v>0.15241067244279899</v>
      </c>
      <c r="G75" s="5">
        <f>MAX((1-Parameters!$B$4)^Parameters!B$71*G74+D74*Parameters!B$71-Parameters!$B$5*D74^2/G74*Parameters!B$71,0.0001)</f>
        <v>4.3463663739230016</v>
      </c>
      <c r="I75" s="5">
        <f>I74*(1+Parameters!$B$52)^Parameters!B$71</f>
        <v>10.022636551432088</v>
      </c>
      <c r="J75" s="5">
        <f>J74*(1+Parameters!$B$54)^Parameters!B$71</f>
        <v>36.930479220865919</v>
      </c>
      <c r="K75" s="5">
        <f>'6states'!$N$4</f>
        <v>0.98104277196026479</v>
      </c>
      <c r="L75" s="7">
        <f t="shared" si="16"/>
        <v>0.5</v>
      </c>
      <c r="N75" s="5">
        <f>(Parameters!$B$19*(E75+Parameters!$B$20)^L75+Parameters!$B$18*F75^L75)^(1/L75)</f>
        <v>0.5496190470187482</v>
      </c>
      <c r="O75" s="5">
        <f>(Parameters!$B$10*G75^Parameters!$B$9 + Parameters!$B$11*N75^Parameters!$B$9) ^ (Parameters!$B$7/Parameters!$B$9) * K75</f>
        <v>1.5020127478183334</v>
      </c>
      <c r="P75" s="5">
        <f t="shared" si="15"/>
        <v>1.1452715617763158</v>
      </c>
      <c r="Q75" s="5">
        <f>EXP(-Parameters!$B$56*A75)</f>
        <v>0.34228895533675241</v>
      </c>
      <c r="R75" s="5">
        <f>IF(P75&gt;0,P75^(1-Parameters!$B$53)/(1-Parameters!$B$53)*Q75,-10+P75*1000)</f>
        <v>-0.93262461709155975</v>
      </c>
      <c r="S75" s="5"/>
    </row>
    <row r="76" spans="1:19" x14ac:dyDescent="0.35">
      <c r="A76">
        <f>A75+Parameters!$B$71</f>
        <v>72</v>
      </c>
      <c r="B76" s="26">
        <f t="shared" ref="B76:B83" si="18">B75</f>
        <v>5.3294849690297248E-2</v>
      </c>
      <c r="C76" s="26">
        <f t="shared" si="17"/>
        <v>1.0281127887166935E-2</v>
      </c>
      <c r="D76" s="26">
        <f t="shared" si="17"/>
        <v>0.29316520846455352</v>
      </c>
      <c r="E76" s="5">
        <f>MAX((1-Parameters!$B$4)^Parameters!B$71*E75+B75*Parameters!B$71-Parameters!$B$5*B75^2/E75*Parameters!B$71,0.0001)</f>
        <v>0.79019277774099084</v>
      </c>
      <c r="F76" s="7">
        <f>MAX((1-Parameters!$B$4)^Parameters!B$71*F75+C75*Parameters!B$71-Parameters!$B$5*C75^2/F75*Parameters!B$71,0.0001)</f>
        <v>0.15241163760970602</v>
      </c>
      <c r="G76" s="5">
        <f>MAX((1-Parameters!$B$4)^Parameters!B$71*G75+D75*Parameters!B$71-Parameters!$B$5*D75^2/G75*Parameters!B$71,0.0001)</f>
        <v>4.3463709555282097</v>
      </c>
      <c r="I76" s="5">
        <f>I75*(1+Parameters!$B$52)^Parameters!B$71</f>
        <v>10.05170219743124</v>
      </c>
      <c r="J76" s="5">
        <f>J75*(1+Parameters!$B$54)^Parameters!B$71</f>
        <v>37.669088805283238</v>
      </c>
      <c r="K76" s="5">
        <f>'6states'!$N$4</f>
        <v>0.98104277196026479</v>
      </c>
      <c r="L76" s="7">
        <f t="shared" si="16"/>
        <v>0.5</v>
      </c>
      <c r="N76" s="5">
        <f>(Parameters!$B$19*(E76+Parameters!$B$20)^L76+Parameters!$B$18*F76^L76)^(1/L76)</f>
        <v>0.54961790836141111</v>
      </c>
      <c r="O76" s="5">
        <f>(Parameters!$B$10*G76^Parameters!$B$9 + Parameters!$B$11*N76^Parameters!$B$9) ^ (Parameters!$B$7/Parameters!$B$9) * K76</f>
        <v>1.5020129696270015</v>
      </c>
      <c r="P76" s="5">
        <f t="shared" si="15"/>
        <v>1.1452717835849839</v>
      </c>
      <c r="Q76" s="5">
        <f>EXP(-Parameters!$B$56*A76)</f>
        <v>0.33715921908873309</v>
      </c>
      <c r="R76" s="5">
        <f>IF(P76&gt;0,P76^(1-Parameters!$B$53)/(1-Parameters!$B$53)*Q76,-10+P76*1000)</f>
        <v>-0.91864771382245491</v>
      </c>
      <c r="S76" s="5"/>
    </row>
    <row r="77" spans="1:19" x14ac:dyDescent="0.35">
      <c r="A77">
        <f>A76+Parameters!$B$71</f>
        <v>73</v>
      </c>
      <c r="B77" s="26">
        <f t="shared" si="18"/>
        <v>5.3294849690297248E-2</v>
      </c>
      <c r="C77" s="26">
        <f t="shared" si="17"/>
        <v>1.0281127887166935E-2</v>
      </c>
      <c r="D77" s="26">
        <f t="shared" si="17"/>
        <v>0.29316520846455352</v>
      </c>
      <c r="E77" s="5">
        <f>MAX((1-Parameters!$B$4)^Parameters!B$71*E76+B76*Parameters!B$71-Parameters!$B$5*B76^2/E76*Parameters!B$71,0.0001)</f>
        <v>0.79019001048908422</v>
      </c>
      <c r="F77" s="7">
        <f>MAX((1-Parameters!$B$4)^Parameters!B$71*F76+C76*Parameters!B$71-Parameters!$B$5*C76^2/F76*Parameters!B$71,0.0001)</f>
        <v>0.15241254645949431</v>
      </c>
      <c r="G77" s="5">
        <f>MAX((1-Parameters!$B$4)^Parameters!B$71*G76+D76*Parameters!B$71-Parameters!$B$5*D76^2/G76*Parameters!B$71,0.0001)</f>
        <v>4.3463752697948506</v>
      </c>
      <c r="I77" s="5">
        <f>I76*(1+Parameters!$B$52)^Parameters!B$71</f>
        <v>10.08085213380379</v>
      </c>
      <c r="J77" s="5">
        <f>J76*(1+Parameters!$B$54)^Parameters!B$71</f>
        <v>38.4224705813889</v>
      </c>
      <c r="K77" s="5">
        <f>'6states'!$N$4</f>
        <v>0.98104277196026479</v>
      </c>
      <c r="L77" s="7">
        <f t="shared" si="16"/>
        <v>0.5</v>
      </c>
      <c r="N77" s="5">
        <f>(Parameters!$B$19*(E77+Parameters!$B$20)^L77+Parameters!$B$18*F77^L77)^(1/L77)</f>
        <v>0.54961683614349288</v>
      </c>
      <c r="O77" s="5">
        <f>(Parameters!$B$10*G77^Parameters!$B$9 + Parameters!$B$11*N77^Parameters!$B$9) ^ (Parameters!$B$7/Parameters!$B$9) * K77</f>
        <v>1.502013178489753</v>
      </c>
      <c r="P77" s="5">
        <f t="shared" si="15"/>
        <v>1.1452719924477355</v>
      </c>
      <c r="Q77" s="5">
        <f>EXP(-Parameters!$B$56*A77)</f>
        <v>0.33210635997497118</v>
      </c>
      <c r="R77" s="5">
        <f>IF(P77&gt;0,P77^(1-Parameters!$B$53)/(1-Parameters!$B$53)*Q77,-10+P77*1000)</f>
        <v>-0.90488028085921934</v>
      </c>
      <c r="S77" s="5"/>
    </row>
    <row r="78" spans="1:19" x14ac:dyDescent="0.35">
      <c r="A78">
        <f>A77+Parameters!$B$71</f>
        <v>74</v>
      </c>
      <c r="B78" s="26">
        <f t="shared" si="18"/>
        <v>5.3294849690297248E-2</v>
      </c>
      <c r="C78" s="26">
        <f t="shared" si="17"/>
        <v>1.0281127887166935E-2</v>
      </c>
      <c r="D78" s="26">
        <f t="shared" si="17"/>
        <v>0.29316520846455352</v>
      </c>
      <c r="E78" s="5">
        <f>MAX((1-Parameters!$B$4)^Parameters!B$71*E77+B77*Parameters!B$71-Parameters!$B$5*B77^2/E77*Parameters!B$71,0.0001)</f>
        <v>0.79018740470938476</v>
      </c>
      <c r="F78" s="7">
        <f>MAX((1-Parameters!$B$4)^Parameters!B$71*F77+C77*Parameters!B$71-Parameters!$B$5*C77^2/F77*Parameters!B$71,0.0001)</f>
        <v>0.1524134022781953</v>
      </c>
      <c r="G78" s="5">
        <f>MAX((1-Parameters!$B$4)^Parameters!B$71*G77+D77*Parameters!B$71-Parameters!$B$5*D77^2/G77*Parameters!B$71,0.0001)</f>
        <v>4.3463793323221998</v>
      </c>
      <c r="I78" s="5">
        <f>I77*(1+Parameters!$B$52)^Parameters!B$71</f>
        <v>10.110086604991819</v>
      </c>
      <c r="J78" s="5">
        <f>J77*(1+Parameters!$B$54)^Parameters!B$71</f>
        <v>39.190919993016678</v>
      </c>
      <c r="K78" s="5">
        <f>'6states'!$N$4</f>
        <v>0.98104277196026479</v>
      </c>
      <c r="L78" s="7">
        <f t="shared" si="16"/>
        <v>0.5</v>
      </c>
      <c r="N78" s="5">
        <f>(Parameters!$B$19*(E78+Parameters!$B$20)^L78+Parameters!$B$18*F78^L78)^(1/L78)</f>
        <v>0.54961582648842966</v>
      </c>
      <c r="O78" s="5">
        <f>(Parameters!$B$10*G78^Parameters!$B$9 + Parameters!$B$11*N78^Parameters!$B$9) ^ (Parameters!$B$7/Parameters!$B$9) * K78</f>
        <v>1.5020133751623574</v>
      </c>
      <c r="P78" s="5">
        <f t="shared" si="15"/>
        <v>1.1452721891203399</v>
      </c>
      <c r="Q78" s="5">
        <f>EXP(-Parameters!$B$56*A78)</f>
        <v>0.32712922587116899</v>
      </c>
      <c r="R78" s="5">
        <f>IF(P78&gt;0,P78^(1-Parameters!$B$53)/(1-Parameters!$B$53)*Q78,-10+P78*1000)</f>
        <v>-0.8913191786339919</v>
      </c>
      <c r="S78" s="5"/>
    </row>
    <row r="79" spans="1:19" x14ac:dyDescent="0.35">
      <c r="A79">
        <f>A78+Parameters!$B$71</f>
        <v>75</v>
      </c>
      <c r="B79" s="26">
        <f t="shared" si="18"/>
        <v>5.3294849690297248E-2</v>
      </c>
      <c r="C79" s="26">
        <f t="shared" si="17"/>
        <v>1.0281127887166935E-2</v>
      </c>
      <c r="D79" s="26">
        <f t="shared" si="17"/>
        <v>0.29316520846455352</v>
      </c>
      <c r="E79" s="5">
        <f>MAX((1-Parameters!$B$4)^Parameters!B$71*E78+B78*Parameters!B$71-Parameters!$B$5*B78^2/E78*Parameters!B$71,0.0001)</f>
        <v>0.79018495097973007</v>
      </c>
      <c r="F79" s="7">
        <f>MAX((1-Parameters!$B$4)^Parameters!B$71*F78+C78*Parameters!B$71-Parameters!$B$5*C78^2/F78*Parameters!B$71,0.0001)</f>
        <v>0.15241420816011045</v>
      </c>
      <c r="G79" s="5">
        <f>MAX((1-Parameters!$B$4)^Parameters!B$71*G78+D78*Parameters!B$71-Parameters!$B$5*D78^2/G78*Parameters!B$71,0.0001)</f>
        <v>4.3463831577993171</v>
      </c>
      <c r="I79" s="5">
        <f>I78*(1+Parameters!$B$52)^Parameters!B$71</f>
        <v>10.139405856146295</v>
      </c>
      <c r="J79" s="5">
        <f>J78*(1+Parameters!$B$54)^Parameters!B$71</f>
        <v>39.974738392877015</v>
      </c>
      <c r="K79" s="5">
        <f>'6states'!$N$4</f>
        <v>0.98104277196026479</v>
      </c>
      <c r="L79" s="7">
        <f t="shared" si="16"/>
        <v>0.5</v>
      </c>
      <c r="N79" s="5">
        <f>(Parameters!$B$19*(E79+Parameters!$B$20)^L79+Parameters!$B$18*F79^L79)^(1/L79)</f>
        <v>0.5496148757458329</v>
      </c>
      <c r="O79" s="5">
        <f>(Parameters!$B$10*G79^Parameters!$B$9 + Parameters!$B$11*N79^Parameters!$B$9) ^ (Parameters!$B$7/Parameters!$B$9) * K79</f>
        <v>1.5020135603564442</v>
      </c>
      <c r="P79" s="5">
        <f t="shared" si="15"/>
        <v>1.1452723743144266</v>
      </c>
      <c r="Q79" s="5">
        <f>EXP(-Parameters!$B$56*A79)</f>
        <v>0.32222668191941661</v>
      </c>
      <c r="R79" s="5">
        <f>IF(P79&gt;0,P79^(1-Parameters!$B$53)/(1-Parameters!$B$53)*Q79,-10+P79*1000)</f>
        <v>-0.87796131465397631</v>
      </c>
      <c r="S79" s="5"/>
    </row>
    <row r="80" spans="1:19" x14ac:dyDescent="0.35">
      <c r="A80">
        <f>A79+Parameters!$B$71</f>
        <v>76</v>
      </c>
      <c r="B80" s="26">
        <f t="shared" si="18"/>
        <v>5.3294849690297248E-2</v>
      </c>
      <c r="C80" s="26">
        <f t="shared" si="17"/>
        <v>1.0281127887166935E-2</v>
      </c>
      <c r="D80" s="26">
        <f t="shared" si="17"/>
        <v>0.29316520846455352</v>
      </c>
      <c r="E80" s="5">
        <f>MAX((1-Parameters!$B$4)^Parameters!B$71*E79+B79*Parameters!B$71-Parameters!$B$5*B79^2/E79*Parameters!B$71,0.0001)</f>
        <v>0.79018264042776531</v>
      </c>
      <c r="F80" s="7">
        <f>MAX((1-Parameters!$B$4)^Parameters!B$71*F79+C79*Parameters!B$71-Parameters!$B$5*C79^2/F79*Parameters!B$71,0.0001)</f>
        <v>0.15241496701899748</v>
      </c>
      <c r="G80" s="5">
        <f>MAX((1-Parameters!$B$4)^Parameters!B$71*G79+D79*Parameters!B$71-Parameters!$B$5*D79^2/G79*Parameters!B$71,0.0001)</f>
        <v>4.3463867600581532</v>
      </c>
      <c r="I80" s="5">
        <f>I79*(1+Parameters!$B$52)^Parameters!B$71</f>
        <v>10.168810133129119</v>
      </c>
      <c r="J80" s="5">
        <f>J79*(1+Parameters!$B$54)^Parameters!B$71</f>
        <v>40.774233160734553</v>
      </c>
      <c r="K80" s="5">
        <f>'6states'!$N$4</f>
        <v>0.98104277196026479</v>
      </c>
      <c r="L80" s="7">
        <f t="shared" si="16"/>
        <v>0.5</v>
      </c>
      <c r="N80" s="5">
        <f>(Parameters!$B$19*(E80+Parameters!$B$20)^L80+Parameters!$B$18*F80^L80)^(1/L80)</f>
        <v>0.54961398047829491</v>
      </c>
      <c r="O80" s="5">
        <f>(Parameters!$B$10*G80^Parameters!$B$9 + Parameters!$B$11*N80^Parameters!$B$9) ^ (Parameters!$B$7/Parameters!$B$9) * K80</f>
        <v>1.502013734742081</v>
      </c>
      <c r="P80" s="5">
        <f t="shared" si="15"/>
        <v>1.1452725487000635</v>
      </c>
      <c r="Q80" s="5">
        <f>EXP(-Parameters!$B$56*A80)</f>
        <v>0.31739761026942775</v>
      </c>
      <c r="R80" s="5">
        <f>IF(P80&gt;0,P80^(1-Parameters!$B$53)/(1-Parameters!$B$53)*Q80,-10+P80*1000)</f>
        <v>-0.86480364279422517</v>
      </c>
      <c r="S80" s="5"/>
    </row>
    <row r="81" spans="1:19" x14ac:dyDescent="0.35">
      <c r="A81">
        <f>A80+Parameters!$B$71</f>
        <v>77</v>
      </c>
      <c r="B81" s="26">
        <f t="shared" si="18"/>
        <v>5.3294849690297248E-2</v>
      </c>
      <c r="C81" s="26">
        <f t="shared" si="17"/>
        <v>1.0281127887166935E-2</v>
      </c>
      <c r="D81" s="26">
        <f t="shared" si="17"/>
        <v>0.29316520846455352</v>
      </c>
      <c r="E81" s="5">
        <f>MAX((1-Parameters!$B$4)^Parameters!B$71*E80+B80*Parameters!B$71-Parameters!$B$5*B80^2/E80*Parameters!B$71,0.0001)</f>
        <v>0.79018046469885916</v>
      </c>
      <c r="F81" s="7">
        <f>MAX((1-Parameters!$B$4)^Parameters!B$71*F80+C80*Parameters!B$71-Parameters!$B$5*C80^2/F80*Parameters!B$71,0.0001)</f>
        <v>0.15241568159860408</v>
      </c>
      <c r="G81" s="5">
        <f>MAX((1-Parameters!$B$4)^Parameters!B$71*G80+D80*Parameters!B$71-Parameters!$B$5*D80^2/G80*Parameters!B$71,0.0001)</f>
        <v>4.3463901521235675</v>
      </c>
      <c r="I81" s="5">
        <f>I80*(1+Parameters!$B$52)^Parameters!B$71</f>
        <v>10.198299682515193</v>
      </c>
      <c r="J81" s="5">
        <f>J80*(1+Parameters!$B$54)^Parameters!B$71</f>
        <v>41.589717823949243</v>
      </c>
      <c r="K81" s="5">
        <f>'6states'!$N$4</f>
        <v>0.98104277196026479</v>
      </c>
      <c r="L81" s="7">
        <f t="shared" si="16"/>
        <v>0.5</v>
      </c>
      <c r="N81" s="5">
        <f>(Parameters!$B$19*(E81+Parameters!$B$20)^L81+Parameters!$B$18*F81^L81)^(1/L81)</f>
        <v>0.54961313744896312</v>
      </c>
      <c r="O81" s="5">
        <f>(Parameters!$B$10*G81^Parameters!$B$9 + Parameters!$B$11*N81^Parameters!$B$9) ^ (Parameters!$B$7/Parameters!$B$9) * K81</f>
        <v>1.5020138989502041</v>
      </c>
      <c r="P81" s="5">
        <f t="shared" si="15"/>
        <v>1.1452727129081866</v>
      </c>
      <c r="Q81" s="5">
        <f>EXP(-Parameters!$B$56*A81)</f>
        <v>0.31264090982365395</v>
      </c>
      <c r="R81" s="5">
        <f>IF(P81&gt;0,P81^(1-Parameters!$B$53)/(1-Parameters!$B$53)*Q81,-10+P81*1000)</f>
        <v>-0.85184316260115178</v>
      </c>
      <c r="S81" s="5"/>
    </row>
    <row r="82" spans="1:19" x14ac:dyDescent="0.35">
      <c r="A82">
        <f>A81+Parameters!$B$71</f>
        <v>78</v>
      </c>
      <c r="B82" s="26">
        <f t="shared" si="18"/>
        <v>5.3294849690297248E-2</v>
      </c>
      <c r="C82" s="26">
        <f t="shared" si="17"/>
        <v>1.0281127887166935E-2</v>
      </c>
      <c r="D82" s="26">
        <f t="shared" si="17"/>
        <v>0.29316520846455352</v>
      </c>
      <c r="E82" s="5">
        <f>MAX((1-Parameters!$B$4)^Parameters!B$71*E81+B81*Parameters!B$71-Parameters!$B$5*B81^2/E81*Parameters!B$71,0.0001)</f>
        <v>0.79017841592589277</v>
      </c>
      <c r="F82" s="7">
        <f>MAX((1-Parameters!$B$4)^Parameters!B$71*F81+C81*Parameters!B$71-Parameters!$B$5*C81^2/F81*Parameters!B$71,0.0001)</f>
        <v>0.15241635448258686</v>
      </c>
      <c r="G82" s="5">
        <f>MAX((1-Parameters!$B$4)^Parameters!B$71*G81+D81*Parameters!B$71-Parameters!$B$5*D81^2/G81*Parameters!B$71,0.0001)</f>
        <v>4.346393346260415</v>
      </c>
      <c r="I82" s="5">
        <f>I81*(1+Parameters!$B$52)^Parameters!B$71</f>
        <v>10.227874751594486</v>
      </c>
      <c r="J82" s="5">
        <f>J81*(1+Parameters!$B$54)^Parameters!B$71</f>
        <v>42.42151218042823</v>
      </c>
      <c r="K82" s="5">
        <f>'6states'!$N$4</f>
        <v>0.98104277196026479</v>
      </c>
      <c r="L82" s="7">
        <f t="shared" si="16"/>
        <v>0.5</v>
      </c>
      <c r="N82" s="5">
        <f>(Parameters!$B$19*(E82+Parameters!$B$20)^L82+Parameters!$B$18*F82^L82)^(1/L82)</f>
        <v>0.54961234360984079</v>
      </c>
      <c r="O82" s="5">
        <f>(Parameters!$B$10*G82^Parameters!$B$9 + Parameters!$B$11*N82^Parameters!$B$9) ^ (Parameters!$B$7/Parameters!$B$9) * K82</f>
        <v>1.5020140535749054</v>
      </c>
      <c r="P82" s="5">
        <f t="shared" si="15"/>
        <v>1.1452728675328878</v>
      </c>
      <c r="Q82" s="5">
        <f>EXP(-Parameters!$B$56*A82)</f>
        <v>0.30795549598621846</v>
      </c>
      <c r="R82" s="5">
        <f>IF(P82&gt;0,P82^(1-Parameters!$B$53)/(1-Parameters!$B$53)*Q82,-10+P82*1000)</f>
        <v>-0.83907691860659062</v>
      </c>
      <c r="S82" s="5"/>
    </row>
    <row r="83" spans="1:19" x14ac:dyDescent="0.35">
      <c r="A83">
        <f>A82+Parameters!$B$71</f>
        <v>79</v>
      </c>
      <c r="B83" s="26">
        <f t="shared" si="18"/>
        <v>5.3294849690297248E-2</v>
      </c>
      <c r="C83" s="26">
        <f t="shared" si="17"/>
        <v>1.0281127887166935E-2</v>
      </c>
      <c r="D83" s="26">
        <f t="shared" si="17"/>
        <v>0.29316520846455352</v>
      </c>
      <c r="E83" s="5">
        <f>MAX((1-Parameters!$B$4)^Parameters!B$71*E82+B82*Parameters!B$71-Parameters!$B$5*B82^2/E82*Parameters!B$71,0.0001)</f>
        <v>0.79017648670081131</v>
      </c>
      <c r="F83" s="7">
        <f>MAX((1-Parameters!$B$4)^Parameters!B$71*F82+C82*Parameters!B$71-Parameters!$B$5*C82^2/F82*Parameters!B$71,0.0001)</f>
        <v>0.15241698810385204</v>
      </c>
      <c r="G83" s="5">
        <f>MAX((1-Parameters!$B$4)^Parameters!B$71*G82+D82*Parameters!B$71-Parameters!$B$5*D82^2/G82*Parameters!B$71,0.0001)</f>
        <v>4.3463963540178954</v>
      </c>
      <c r="I83" s="5">
        <f>I82*(1+Parameters!$B$52)^Parameters!B$71</f>
        <v>10.257535588374109</v>
      </c>
      <c r="J83" s="5">
        <f>J82*(1+Parameters!$B$54)^Parameters!B$71</f>
        <v>43.269942424036799</v>
      </c>
      <c r="K83" s="5">
        <f>'6states'!$N$4</f>
        <v>0.98104277196026479</v>
      </c>
      <c r="L83" s="7">
        <f t="shared" si="16"/>
        <v>0.5</v>
      </c>
      <c r="N83" s="5">
        <f>(Parameters!$B$19*(E83+Parameters!$B$20)^L83+Parameters!$B$18*F83^L83)^(1/L83)</f>
        <v>0.54961159609076871</v>
      </c>
      <c r="O83" s="5">
        <f>(Parameters!$B$10*G83^Parameters!$B$9 + Parameters!$B$11*N83^Parameters!$B$9) ^ (Parameters!$B$7/Parameters!$B$9) * K83</f>
        <v>1.5020141991755849</v>
      </c>
      <c r="P83" s="5">
        <f t="shared" si="15"/>
        <v>1.1452730131335673</v>
      </c>
      <c r="Q83" s="5">
        <f>EXP(-Parameters!$B$56*A83)</f>
        <v>0.30334030041561322</v>
      </c>
      <c r="R83" s="5">
        <f>IF(P83&gt;0,P83^(1-Parameters!$B$53)/(1-Parameters!$B$53)*Q83,-10+P83*1000)</f>
        <v>-0.82650199965225013</v>
      </c>
      <c r="S83" s="5"/>
    </row>
    <row r="84" spans="1:19" x14ac:dyDescent="0.35">
      <c r="A84">
        <f>A83+Parameters!$B$71</f>
        <v>80</v>
      </c>
      <c r="B84" s="13">
        <v>5.3295696152013863E-2</v>
      </c>
      <c r="C84" s="13">
        <v>1.028143709194357E-2</v>
      </c>
      <c r="D84" s="12">
        <v>0.29315558476046039</v>
      </c>
      <c r="E84" s="5">
        <f>MAX((1-Parameters!$B$4)^Parameters!B$71*E83+B83*Parameters!B$71-Parameters!$B$5*B83^2/E83*Parameters!B$71,0.0001)</f>
        <v>0.79017467004783581</v>
      </c>
      <c r="F84" s="7">
        <f>MAX((1-Parameters!$B$4)^Parameters!B$71*F83+C83*Parameters!B$71-Parameters!$B$5*C83^2/F83*Parameters!B$71,0.0001)</f>
        <v>0.15241758475335077</v>
      </c>
      <c r="G84" s="5">
        <f>MAX((1-Parameters!$B$4)^Parameters!B$71*G83+D83*Parameters!B$71-Parameters!$B$5*D83^2/G83*Parameters!B$71,0.0001)</f>
        <v>4.3463991862713121</v>
      </c>
      <c r="I84" s="5">
        <f>I83*(1+Parameters!$B$52)^Parameters!B$71</f>
        <v>10.287282441580393</v>
      </c>
      <c r="J84" s="5">
        <f>J83*(1+Parameters!$B$54)^Parameters!B$71</f>
        <v>44.135341272517536</v>
      </c>
      <c r="K84" s="5">
        <f>'6states'!$N$4</f>
        <v>0.98104277196026479</v>
      </c>
      <c r="L84" s="7">
        <f t="shared" si="16"/>
        <v>0.5</v>
      </c>
      <c r="N84" s="5">
        <f>(Parameters!$B$19*(E84+Parameters!$B$20)^L84+Parameters!$B$18*F84^L84)^(1/L84)</f>
        <v>0.54961089218904913</v>
      </c>
      <c r="O84" s="5">
        <f>(Parameters!$B$10*G84^Parameters!$B$9 + Parameters!$B$11*N84^Parameters!$B$9) ^ (Parameters!$B$7/Parameters!$B$9) * K84</f>
        <v>1.5020143362789786</v>
      </c>
      <c r="P84" s="5">
        <f t="shared" si="15"/>
        <v>1.1452816182745609</v>
      </c>
      <c r="Q84" s="5">
        <f>EXP(-Parameters!$B$56*A84)</f>
        <v>0.29879427078110121</v>
      </c>
      <c r="R84" s="5">
        <f>IF(P84&gt;0,P84^(1-Parameters!$B$53)/(1-Parameters!$B$53)*Q84,-10+P84*1000)</f>
        <v>-0.81411343141318238</v>
      </c>
      <c r="S84" s="5"/>
    </row>
    <row r="85" spans="1:19" x14ac:dyDescent="0.35">
      <c r="A85">
        <f>A84+Parameters!$B$71</f>
        <v>81</v>
      </c>
      <c r="B85" s="26">
        <f>B84</f>
        <v>5.3295696152013863E-2</v>
      </c>
      <c r="C85" s="26">
        <f t="shared" ref="C85:D93" si="19">C84</f>
        <v>1.028143709194357E-2</v>
      </c>
      <c r="D85" s="26">
        <f t="shared" si="19"/>
        <v>0.29315558476046039</v>
      </c>
      <c r="E85" s="5">
        <f>MAX((1-Parameters!$B$4)^Parameters!B$71*E84+B84*Parameters!B$71-Parameters!$B$5*B84^2/E84*Parameters!B$71,0.0001)</f>
        <v>0.79017369167657281</v>
      </c>
      <c r="F85" s="7">
        <f>MAX((1-Parameters!$B$4)^Parameters!B$71*F84+C84*Parameters!B$71-Parameters!$B$5*C84^2/F84*Parameters!B$71,0.0001)</f>
        <v>0.15241841407850734</v>
      </c>
      <c r="G85" s="5">
        <f>MAX((1-Parameters!$B$4)^Parameters!B$71*G84+D84*Parameters!B$71-Parameters!$B$5*D84^2/G84*Parameters!B$71,0.0001)</f>
        <v>4.3463935277762564</v>
      </c>
      <c r="I85" s="5">
        <f>I84*(1+Parameters!$B$52)^Parameters!B$71</f>
        <v>10.317115560660975</v>
      </c>
      <c r="J85" s="5">
        <f>J84*(1+Parameters!$B$54)^Parameters!B$71</f>
        <v>45.018048097967885</v>
      </c>
      <c r="K85" s="5">
        <f>'6states'!$N$4</f>
        <v>0.98104277196026479</v>
      </c>
      <c r="L85" s="7">
        <f t="shared" si="16"/>
        <v>0.5</v>
      </c>
      <c r="N85" s="5">
        <f>(Parameters!$B$19*(E85+Parameters!$B$20)^L85+Parameters!$B$18*F85^L85)^(1/L85)</f>
        <v>0.5496108061886481</v>
      </c>
      <c r="O85" s="5">
        <f>(Parameters!$B$10*G85^Parameters!$B$9 + Parameters!$B$11*N85^Parameters!$B$9) ^ (Parameters!$B$7/Parameters!$B$9) * K85</f>
        <v>1.502013842425816</v>
      </c>
      <c r="P85" s="5">
        <f t="shared" si="15"/>
        <v>1.1452811244213983</v>
      </c>
      <c r="Q85" s="5">
        <f>EXP(-Parameters!$B$56*A85)</f>
        <v>0.29431637052277015</v>
      </c>
      <c r="R85" s="5">
        <f>IF(P85&gt;0,P85^(1-Parameters!$B$53)/(1-Parameters!$B$53)*Q85,-10+P85*1000)</f>
        <v>-0.80191278722661685</v>
      </c>
      <c r="S85" s="5"/>
    </row>
    <row r="86" spans="1:19" x14ac:dyDescent="0.35">
      <c r="A86">
        <f>A85+Parameters!$B$71</f>
        <v>82</v>
      </c>
      <c r="B86" s="26">
        <f t="shared" ref="B86:B93" si="20">B85</f>
        <v>5.3295696152013863E-2</v>
      </c>
      <c r="C86" s="26">
        <f t="shared" si="19"/>
        <v>1.028143709194357E-2</v>
      </c>
      <c r="D86" s="26">
        <f t="shared" si="19"/>
        <v>0.29315558476046039</v>
      </c>
      <c r="E86" s="5">
        <f>MAX((1-Parameters!$B$4)^Parameters!B$71*E85+B85*Parameters!B$71-Parameters!$B$5*B85^2/E85*Parameters!B$71,0.0001)</f>
        <v>0.79017277039401901</v>
      </c>
      <c r="F86" s="7">
        <f>MAX((1-Parameters!$B$4)^Parameters!B$71*F85+C85*Parameters!B$71-Parameters!$B$5*C85^2/F85*Parameters!B$71,0.0001)</f>
        <v>0.15241919501274726</v>
      </c>
      <c r="G86" s="5">
        <f>MAX((1-Parameters!$B$4)^Parameters!B$71*G85+D85*Parameters!B$71-Parameters!$B$5*D85^2/G85*Parameters!B$71,0.0001)</f>
        <v>4.3463881994587563</v>
      </c>
      <c r="I86" s="5">
        <f>I85*(1+Parameters!$B$52)^Parameters!B$71</f>
        <v>10.347035195786891</v>
      </c>
      <c r="J86" s="5">
        <f>J85*(1+Parameters!$B$54)^Parameters!B$71</f>
        <v>45.918409059927242</v>
      </c>
      <c r="K86" s="5">
        <f>'6states'!$N$4</f>
        <v>0.98104277196026479</v>
      </c>
      <c r="L86" s="7">
        <f t="shared" si="16"/>
        <v>0.5</v>
      </c>
      <c r="N86" s="5">
        <f>(Parameters!$B$19*(E86+Parameters!$B$20)^L86+Parameters!$B$18*F86^L86)^(1/L86)</f>
        <v>0.54961072520542009</v>
      </c>
      <c r="O86" s="5">
        <f>(Parameters!$B$10*G86^Parameters!$B$9 + Parameters!$B$11*N86^Parameters!$B$9) ^ (Parameters!$B$7/Parameters!$B$9) * K86</f>
        <v>1.5020133773884725</v>
      </c>
      <c r="P86" s="5">
        <f t="shared" si="15"/>
        <v>1.1452806593840548</v>
      </c>
      <c r="Q86" s="5">
        <f>EXP(-Parameters!$B$56*A86)</f>
        <v>0.28990557861518201</v>
      </c>
      <c r="R86" s="5">
        <f>IF(P86&gt;0,P86^(1-Parameters!$B$53)/(1-Parameters!$B$53)*Q86,-10+P86*1000)</f>
        <v>-0.78989498003786174</v>
      </c>
      <c r="S86" s="5"/>
    </row>
    <row r="87" spans="1:19" x14ac:dyDescent="0.35">
      <c r="A87">
        <f>A86+Parameters!$B$71</f>
        <v>83</v>
      </c>
      <c r="B87" s="26">
        <f t="shared" si="20"/>
        <v>5.3295696152013863E-2</v>
      </c>
      <c r="C87" s="26">
        <f t="shared" si="19"/>
        <v>1.028143709194357E-2</v>
      </c>
      <c r="D87" s="26">
        <f t="shared" si="19"/>
        <v>0.29315558476046039</v>
      </c>
      <c r="E87" s="5">
        <f>MAX((1-Parameters!$B$4)^Parameters!B$71*E86+B86*Parameters!B$71-Parameters!$B$5*B86^2/E86*Parameters!B$71,0.0001)</f>
        <v>0.79017190286899464</v>
      </c>
      <c r="F87" s="7">
        <f>MAX((1-Parameters!$B$4)^Parameters!B$71*F86+C86*Parameters!B$71-Parameters!$B$5*C86^2/F86*Parameters!B$71,0.0001)</f>
        <v>0.15241993037963092</v>
      </c>
      <c r="G87" s="5">
        <f>MAX((1-Parameters!$B$4)^Parameters!B$71*G86+D86*Parameters!B$71-Parameters!$B$5*D86^2/G86*Parameters!B$71,0.0001)</f>
        <v>4.3463831820526355</v>
      </c>
      <c r="I87" s="5">
        <f>I86*(1+Parameters!$B$52)^Parameters!B$71</f>
        <v>10.377041597854671</v>
      </c>
      <c r="J87" s="5">
        <f>J86*(1+Parameters!$B$54)^Parameters!B$71</f>
        <v>46.836777241125787</v>
      </c>
      <c r="K87" s="5">
        <f>'6states'!$N$4</f>
        <v>0.98104277196026479</v>
      </c>
      <c r="L87" s="7">
        <f t="shared" si="16"/>
        <v>0.5</v>
      </c>
      <c r="N87" s="5">
        <f>(Parameters!$B$19*(E87+Parameters!$B$20)^L87+Parameters!$B$18*F87^L87)^(1/L87)</f>
        <v>0.54961064894672418</v>
      </c>
      <c r="O87" s="5">
        <f>(Parameters!$B$10*G87^Parameters!$B$9 + Parameters!$B$11*N87^Parameters!$B$9) ^ (Parameters!$B$7/Parameters!$B$9) * K87</f>
        <v>1.5020129394856183</v>
      </c>
      <c r="P87" s="5">
        <f t="shared" si="15"/>
        <v>1.1452802214812006</v>
      </c>
      <c r="Q87" s="5">
        <f>EXP(-Parameters!$B$56*A87)</f>
        <v>0.28556088933456458</v>
      </c>
      <c r="R87" s="5">
        <f>IF(P87&gt;0,P87^(1-Parameters!$B$53)/(1-Parameters!$B$53)*Q87,-10+P87*1000)</f>
        <v>-0.7780572703835007</v>
      </c>
      <c r="S87" s="5"/>
    </row>
    <row r="88" spans="1:19" x14ac:dyDescent="0.35">
      <c r="A88">
        <f>A87+Parameters!$B$71</f>
        <v>84</v>
      </c>
      <c r="B88" s="26">
        <f t="shared" si="20"/>
        <v>5.3295696152013863E-2</v>
      </c>
      <c r="C88" s="26">
        <f t="shared" si="19"/>
        <v>1.028143709194357E-2</v>
      </c>
      <c r="D88" s="26">
        <f t="shared" si="19"/>
        <v>0.29315558476046039</v>
      </c>
      <c r="E88" s="5">
        <f>MAX((1-Parameters!$B$4)^Parameters!B$71*E87+B87*Parameters!B$71-Parameters!$B$5*B87^2/E87*Parameters!B$71,0.0001)</f>
        <v>0.79017108596469854</v>
      </c>
      <c r="F88" s="7">
        <f>MAX((1-Parameters!$B$4)^Parameters!B$71*F87+C87*Parameters!B$71-Parameters!$B$5*C87^2/F87*Parameters!B$71,0.0001)</f>
        <v>0.15242062283797114</v>
      </c>
      <c r="G88" s="5">
        <f>MAX((1-Parameters!$B$4)^Parameters!B$71*G87+D87*Parameters!B$71-Parameters!$B$5*D87^2/G87*Parameters!B$71,0.0001)</f>
        <v>4.3463784574159243</v>
      </c>
      <c r="I88" s="5">
        <f>I87*(1+Parameters!$B$52)^Parameters!B$71</f>
        <v>10.407135018488448</v>
      </c>
      <c r="J88" s="5">
        <f>J87*(1+Parameters!$B$54)^Parameters!B$71</f>
        <v>47.773512785948306</v>
      </c>
      <c r="K88" s="5">
        <f>'6states'!$N$4</f>
        <v>0.98104277196026479</v>
      </c>
      <c r="L88" s="7">
        <f t="shared" si="16"/>
        <v>0.5</v>
      </c>
      <c r="N88" s="5">
        <f>(Parameters!$B$19*(E88+Parameters!$B$20)^L88+Parameters!$B$18*F88^L88)^(1/L88)</f>
        <v>0.54961057713698114</v>
      </c>
      <c r="O88" s="5">
        <f>(Parameters!$B$10*G88^Parameters!$B$9 + Parameters!$B$11*N88^Parameters!$B$9) ^ (Parameters!$B$7/Parameters!$B$9) * K88</f>
        <v>1.5020125271340208</v>
      </c>
      <c r="P88" s="5">
        <f t="shared" si="15"/>
        <v>1.145279809129603</v>
      </c>
      <c r="Q88" s="5">
        <f>EXP(-Parameters!$B$56*A88)</f>
        <v>0.28128131202949208</v>
      </c>
      <c r="R88" s="5">
        <f>IF(P88&gt;0,P88^(1-Parameters!$B$53)/(1-Parameters!$B$53)*Q88,-10+P88*1000)</f>
        <v>-0.76639695980922673</v>
      </c>
      <c r="S88" s="5"/>
    </row>
    <row r="89" spans="1:19" x14ac:dyDescent="0.35">
      <c r="A89">
        <f>A88+Parameters!$B$71</f>
        <v>85</v>
      </c>
      <c r="B89" s="26">
        <f t="shared" si="20"/>
        <v>5.3295696152013863E-2</v>
      </c>
      <c r="C89" s="26">
        <f t="shared" si="19"/>
        <v>1.028143709194357E-2</v>
      </c>
      <c r="D89" s="26">
        <f t="shared" si="19"/>
        <v>0.29315558476046039</v>
      </c>
      <c r="E89" s="5">
        <f>MAX((1-Parameters!$B$4)^Parameters!B$71*E88+B88*Parameters!B$71-Parameters!$B$5*B88^2/E88*Parameters!B$71,0.0001)</f>
        <v>0.79017031672736571</v>
      </c>
      <c r="F89" s="7">
        <f>MAX((1-Parameters!$B$4)^Parameters!B$71*F88+C88*Parameters!B$71-Parameters!$B$5*C88^2/F88*Parameters!B$71,0.0001)</f>
        <v>0.15242127489144525</v>
      </c>
      <c r="G89" s="5">
        <f>MAX((1-Parameters!$B$4)^Parameters!B$71*G88+D88*Parameters!B$71-Parameters!$B$5*D88^2/G88*Parameters!B$71,0.0001)</f>
        <v>4.3463740084652596</v>
      </c>
      <c r="I89" s="5">
        <f>I88*(1+Parameters!$B$52)^Parameters!B$71</f>
        <v>10.437315710042064</v>
      </c>
      <c r="J89" s="5">
        <f>J88*(1+Parameters!$B$54)^Parameters!B$71</f>
        <v>48.72898304166727</v>
      </c>
      <c r="K89" s="5">
        <f>'6states'!$N$4</f>
        <v>0.98104277196026479</v>
      </c>
      <c r="L89" s="7">
        <f t="shared" si="16"/>
        <v>0.5</v>
      </c>
      <c r="N89" s="5">
        <f>(Parameters!$B$19*(E89+Parameters!$B$20)^L89+Parameters!$B$18*F89^L89)^(1/L89)</f>
        <v>0.54961050951668089</v>
      </c>
      <c r="O89" s="5">
        <f>(Parameters!$B$10*G89^Parameters!$B$9 + Parameters!$B$11*N89^Parameters!$B$9) ^ (Parameters!$B$7/Parameters!$B$9) * K89</f>
        <v>1.50201213884282</v>
      </c>
      <c r="P89" s="5">
        <f t="shared" si="15"/>
        <v>1.1452794208384023</v>
      </c>
      <c r="Q89" s="5">
        <f>EXP(-Parameters!$B$56*A89)</f>
        <v>0.27706587089500223</v>
      </c>
      <c r="R89" s="5">
        <f>IF(P89&gt;0,P89^(1-Parameters!$B$53)/(1-Parameters!$B$53)*Q89,-10+P89*1000)</f>
        <v>-0.75491139025859266</v>
      </c>
      <c r="S89" s="5"/>
    </row>
    <row r="90" spans="1:19" x14ac:dyDescent="0.35">
      <c r="A90">
        <f>A89+Parameters!$B$71</f>
        <v>86</v>
      </c>
      <c r="B90" s="26">
        <f t="shared" si="20"/>
        <v>5.3295696152013863E-2</v>
      </c>
      <c r="C90" s="26">
        <f t="shared" si="19"/>
        <v>1.028143709194357E-2</v>
      </c>
      <c r="D90" s="26">
        <f t="shared" si="19"/>
        <v>0.29315558476046039</v>
      </c>
      <c r="E90" s="5">
        <f>MAX((1-Parameters!$B$4)^Parameters!B$71*E89+B89*Parameters!B$71-Parameters!$B$5*B89^2/E89*Parameters!B$71,0.0001)</f>
        <v>0.79016959237558693</v>
      </c>
      <c r="F90" s="7">
        <f>MAX((1-Parameters!$B$4)^Parameters!B$71*F89+C89*Parameters!B$71-Parameters!$B$5*C89^2/F89*Parameters!B$71,0.0001)</f>
        <v>0.15242188889764649</v>
      </c>
      <c r="G90" s="5">
        <f>MAX((1-Parameters!$B$4)^Parameters!B$71*G89+D89*Parameters!B$71-Parameters!$B$5*D89^2/G89*Parameters!B$71,0.0001)</f>
        <v>4.3463698191141145</v>
      </c>
      <c r="I90" s="5">
        <f>I89*(1+Parameters!$B$52)^Parameters!B$71</f>
        <v>10.467583925601184</v>
      </c>
      <c r="J90" s="5">
        <f>J89*(1+Parameters!$B$54)^Parameters!B$71</f>
        <v>49.703562702500619</v>
      </c>
      <c r="K90" s="5">
        <f>'6states'!$N$4</f>
        <v>0.98104277196026479</v>
      </c>
      <c r="L90" s="7">
        <f t="shared" si="16"/>
        <v>0.5</v>
      </c>
      <c r="N90" s="5">
        <f>(Parameters!$B$19*(E90+Parameters!$B$20)^L90+Parameters!$B$18*F90^L90)^(1/L90)</f>
        <v>0.54961044584144647</v>
      </c>
      <c r="O90" s="5">
        <f>(Parameters!$B$10*G90^Parameters!$B$9 + Parameters!$B$11*N90^Parameters!$B$9) ^ (Parameters!$B$7/Parameters!$B$9) * K90</f>
        <v>1.5020117732081415</v>
      </c>
      <c r="P90" s="5">
        <f t="shared" si="15"/>
        <v>1.1452790552037238</v>
      </c>
      <c r="Q90" s="5">
        <f>EXP(-Parameters!$B$56*A90)</f>
        <v>0.27291360475009885</v>
      </c>
      <c r="R90" s="5">
        <f>IF(P90&gt;0,P90^(1-Parameters!$B$53)/(1-Parameters!$B$53)*Q90,-10+P90*1000)</f>
        <v>-0.74359794347067865</v>
      </c>
      <c r="S90" s="5"/>
    </row>
    <row r="91" spans="1:19" x14ac:dyDescent="0.35">
      <c r="A91">
        <f>A90+Parameters!$B$71</f>
        <v>87</v>
      </c>
      <c r="B91" s="26">
        <f t="shared" si="20"/>
        <v>5.3295696152013863E-2</v>
      </c>
      <c r="C91" s="26">
        <f t="shared" si="19"/>
        <v>1.028143709194357E-2</v>
      </c>
      <c r="D91" s="26">
        <f t="shared" si="19"/>
        <v>0.29315558476046039</v>
      </c>
      <c r="E91" s="5">
        <f>MAX((1-Parameters!$B$4)^Parameters!B$71*E90+B90*Parameters!B$71-Parameters!$B$5*B90^2/E90*Parameters!B$71,0.0001)</f>
        <v>0.7901689102902516</v>
      </c>
      <c r="F91" s="7">
        <f>MAX((1-Parameters!$B$4)^Parameters!B$71*F90+C90*Parameters!B$71-Parameters!$B$5*C90^2/F90*Parameters!B$71,0.0001)</f>
        <v>0.15242246707660723</v>
      </c>
      <c r="G91" s="5">
        <f>MAX((1-Parameters!$B$4)^Parameters!B$71*G90+D90*Parameters!B$71-Parameters!$B$5*D90^2/G90*Parameters!B$71,0.0001)</f>
        <v>4.3463658742146292</v>
      </c>
      <c r="I91" s="5">
        <f>I90*(1+Parameters!$B$52)^Parameters!B$71</f>
        <v>10.497939918985427</v>
      </c>
      <c r="J91" s="5">
        <f>J90*(1+Parameters!$B$54)^Parameters!B$71</f>
        <v>50.697633956550632</v>
      </c>
      <c r="K91" s="5">
        <f>'6states'!$N$4</f>
        <v>0.98104277196026479</v>
      </c>
      <c r="L91" s="7">
        <f t="shared" si="16"/>
        <v>0.5</v>
      </c>
      <c r="N91" s="5">
        <f>(Parameters!$B$19*(E91+Parameters!$B$20)^L91+Parameters!$B$18*F91^L91)^(1/L91)</f>
        <v>0.54961038588115096</v>
      </c>
      <c r="O91" s="5">
        <f>(Parameters!$B$10*G91^Parameters!$B$9 + Parameters!$B$11*N91^Parameters!$B$9) ^ (Parameters!$B$7/Parameters!$B$9) * K91</f>
        <v>1.5020114289080198</v>
      </c>
      <c r="P91" s="5">
        <f t="shared" si="15"/>
        <v>1.145278710903602</v>
      </c>
      <c r="Q91" s="5">
        <f>EXP(-Parameters!$B$56*A91)</f>
        <v>0.26882356681858899</v>
      </c>
      <c r="R91" s="5">
        <f>IF(P91&gt;0,P91^(1-Parameters!$B$53)/(1-Parameters!$B$53)*Q91,-10+P91*1000)</f>
        <v>-0.73245404038656681</v>
      </c>
      <c r="S91" s="5"/>
    </row>
    <row r="92" spans="1:19" x14ac:dyDescent="0.35">
      <c r="A92">
        <f>A91+Parameters!$B$71</f>
        <v>88</v>
      </c>
      <c r="B92" s="26">
        <f t="shared" si="20"/>
        <v>5.3295696152013863E-2</v>
      </c>
      <c r="C92" s="26">
        <f t="shared" si="19"/>
        <v>1.028143709194357E-2</v>
      </c>
      <c r="D92" s="26">
        <f t="shared" si="19"/>
        <v>0.29315558476046039</v>
      </c>
      <c r="E92" s="5">
        <f>MAX((1-Parameters!$B$4)^Parameters!B$71*E91+B91*Parameters!B$71-Parameters!$B$5*B91^2/E91*Parameters!B$71,0.0001)</f>
        <v>0.790168268005077</v>
      </c>
      <c r="F92" s="7">
        <f>MAX((1-Parameters!$B$4)^Parameters!B$71*F91+C91*Parameters!B$71-Parameters!$B$5*C91^2/F91*Parameters!B$71,0.0001)</f>
        <v>0.15242301151882512</v>
      </c>
      <c r="G92" s="5">
        <f>MAX((1-Parameters!$B$4)^Parameters!B$71*G91+D91*Parameters!B$71-Parameters!$B$5*D91^2/G91*Parameters!B$71,0.0001)</f>
        <v>4.3463621595028386</v>
      </c>
      <c r="I92" s="5">
        <f>I91*(1+Parameters!$B$52)^Parameters!B$71</f>
        <v>10.528383944750484</v>
      </c>
      <c r="J92" s="5">
        <f>J91*(1+Parameters!$B$54)^Parameters!B$71</f>
        <v>51.711586635681648</v>
      </c>
      <c r="K92" s="5">
        <f>'6states'!$N$4</f>
        <v>0.98104277196026479</v>
      </c>
      <c r="L92" s="7">
        <f t="shared" si="16"/>
        <v>0.5</v>
      </c>
      <c r="N92" s="5">
        <f>(Parameters!$B$19*(E92+Parameters!$B$20)^L92+Parameters!$B$18*F92^L92)^(1/L92)</f>
        <v>0.54961032941908705</v>
      </c>
      <c r="O92" s="5">
        <f>(Parameters!$B$10*G92^Parameters!$B$9 + Parameters!$B$11*N92^Parameters!$B$9) ^ (Parameters!$B$7/Parameters!$B$9) * K92</f>
        <v>1.5020111046976206</v>
      </c>
      <c r="P92" s="5">
        <f t="shared" si="15"/>
        <v>1.1452783866932028</v>
      </c>
      <c r="Q92" s="5">
        <f>EXP(-Parameters!$B$56*A92)</f>
        <v>0.26479482451320413</v>
      </c>
      <c r="R92" s="5">
        <f>IF(P92&gt;0,P92^(1-Parameters!$B$53)/(1-Parameters!$B$53)*Q92,-10+P92*1000)</f>
        <v>-0.72147714056449663</v>
      </c>
      <c r="S92" s="5"/>
    </row>
    <row r="93" spans="1:19" x14ac:dyDescent="0.35">
      <c r="A93">
        <f>A92+Parameters!$B$71</f>
        <v>89</v>
      </c>
      <c r="B93" s="26">
        <f t="shared" si="20"/>
        <v>5.3295696152013863E-2</v>
      </c>
      <c r="C93" s="26">
        <f t="shared" si="19"/>
        <v>1.028143709194357E-2</v>
      </c>
      <c r="D93" s="26">
        <f t="shared" si="19"/>
        <v>0.29315558476046039</v>
      </c>
      <c r="E93" s="5">
        <f>MAX((1-Parameters!$B$4)^Parameters!B$71*E92+B92*Parameters!B$71-Parameters!$B$5*B92^2/E92*Parameters!B$71,0.0001)</f>
        <v>0.79016766319769072</v>
      </c>
      <c r="F93" s="7">
        <f>MAX((1-Parameters!$B$4)^Parameters!B$71*F92+C92*Parameters!B$71-Parameters!$B$5*C92^2/F92*Parameters!B$71,0.0001)</f>
        <v>0.15242352419282093</v>
      </c>
      <c r="G93" s="5">
        <f>MAX((1-Parameters!$B$4)^Parameters!B$71*G92+D92*Parameters!B$71-Parameters!$B$5*D92^2/G92*Parameters!B$71,0.0001)</f>
        <v>4.3463586615470984</v>
      </c>
      <c r="I93" s="5">
        <f>I92*(1+Parameters!$B$52)^Parameters!B$71</f>
        <v>10.558916258190258</v>
      </c>
      <c r="J93" s="5">
        <f>J92*(1+Parameters!$B$54)^Parameters!B$71</f>
        <v>52.745818368395284</v>
      </c>
      <c r="K93" s="5">
        <f>'6states'!$N$4</f>
        <v>0.98104277196026479</v>
      </c>
      <c r="L93" s="7">
        <f t="shared" si="16"/>
        <v>0.5</v>
      </c>
      <c r="N93" s="5">
        <f>(Parameters!$B$19*(E93+Parameters!$B$20)^L93+Parameters!$B$18*F93^L93)^(1/L93)</f>
        <v>0.54961027625118675</v>
      </c>
      <c r="O93" s="5">
        <f>(Parameters!$B$10*G93^Parameters!$B$9 + Parameters!$B$11*N93^Parameters!$B$9) ^ (Parameters!$B$7/Parameters!$B$9) * K93</f>
        <v>1.5020107994047411</v>
      </c>
      <c r="P93" s="5">
        <f t="shared" si="15"/>
        <v>1.1452780814003234</v>
      </c>
      <c r="Q93" s="5">
        <f>EXP(-Parameters!$B$56*A93)</f>
        <v>0.26082645922295711</v>
      </c>
      <c r="R93" s="5">
        <f>IF(P93&gt;0,P93^(1-Parameters!$B$53)/(1-Parameters!$B$53)*Q93,-10+P93*1000)</f>
        <v>-0.71066474160359749</v>
      </c>
      <c r="S93" s="5"/>
    </row>
    <row r="94" spans="1:19" x14ac:dyDescent="0.35">
      <c r="A94">
        <f>A93+Parameters!$B$71</f>
        <v>90</v>
      </c>
      <c r="B94" s="13">
        <v>5.3289702319887791E-2</v>
      </c>
      <c r="C94" s="13">
        <v>1.0277954020588648E-2</v>
      </c>
      <c r="D94" s="12">
        <v>0.29312306079490108</v>
      </c>
      <c r="E94" s="5">
        <f>MAX((1-Parameters!$B$4)^Parameters!B$71*E93+B93*Parameters!B$71-Parameters!$B$5*B93^2/E93*Parameters!B$71,0.0001)</f>
        <v>0.79016709368123339</v>
      </c>
      <c r="F94" s="7">
        <f>MAX((1-Parameters!$B$4)^Parameters!B$71*F93+C93*Parameters!B$71-Parameters!$B$5*C93^2/F93*Parameters!B$71,0.0001)</f>
        <v>0.1524240069522553</v>
      </c>
      <c r="G94" s="5">
        <f>MAX((1-Parameters!$B$4)^Parameters!B$71*G93+D93*Parameters!B$71-Parameters!$B$5*D93^2/G93*Parameters!B$71,0.0001)</f>
        <v>4.3463553676995135</v>
      </c>
      <c r="I94" s="5">
        <f>I93*(1+Parameters!$B$52)^Parameters!B$71</f>
        <v>10.589537115339009</v>
      </c>
      <c r="J94" s="5">
        <f>J93*(1+Parameters!$B$54)^Parameters!B$71</f>
        <v>53.800734735763193</v>
      </c>
      <c r="K94" s="5">
        <f>'6states'!$N$4</f>
        <v>0.98104277196026479</v>
      </c>
      <c r="L94" s="7">
        <f t="shared" si="16"/>
        <v>0.5</v>
      </c>
      <c r="N94" s="5">
        <f>(Parameters!$B$19*(E94+Parameters!$B$20)^L94+Parameters!$B$18*F94^L94)^(1/L94)</f>
        <v>0.54961022618528188</v>
      </c>
      <c r="O94" s="5">
        <f>(Parameters!$B$10*G94^Parameters!$B$9 + Parameters!$B$11*N94^Parameters!$B$9) ^ (Parameters!$B$7/Parameters!$B$9) * K94</f>
        <v>1.5020105119255718</v>
      </c>
      <c r="P94" s="5">
        <f t="shared" si="15"/>
        <v>1.1453197947901943</v>
      </c>
      <c r="Q94" s="5">
        <f>EXP(-Parameters!$B$56*A94)</f>
        <v>0.25691756610368538</v>
      </c>
      <c r="R94" s="5">
        <f>IF(P94&gt;0,P94^(1-Parameters!$B$53)/(1-Parameters!$B$53)*Q94,-10+P94*1000)</f>
        <v>-0.70000539370828774</v>
      </c>
      <c r="S94" s="5"/>
    </row>
    <row r="95" spans="1:19" x14ac:dyDescent="0.35">
      <c r="A95">
        <f>A94+Parameters!$B$71</f>
        <v>91</v>
      </c>
      <c r="B95" s="26">
        <f>B94</f>
        <v>5.3289702319887791E-2</v>
      </c>
      <c r="C95" s="26">
        <f t="shared" ref="C95:D104" si="21">C94</f>
        <v>1.0277954020588648E-2</v>
      </c>
      <c r="D95" s="26">
        <f t="shared" si="21"/>
        <v>0.29312306079490108</v>
      </c>
      <c r="E95" s="5">
        <f>MAX((1-Parameters!$B$4)^Parameters!B$71*E94+B94*Parameters!B$71-Parameters!$B$5*B94^2/E94*Parameters!B$71,0.0001)</f>
        <v>0.79016137207051385</v>
      </c>
      <c r="F95" s="7">
        <f>MAX((1-Parameters!$B$4)^Parameters!B$71*F94+C94*Parameters!B$71-Parameters!$B$5*C94^2/F94*Parameters!B$71,0.0001)</f>
        <v>0.1524214482780186</v>
      </c>
      <c r="G95" s="5">
        <f>MAX((1-Parameters!$B$4)^Parameters!B$71*G94+D94*Parameters!B$71-Parameters!$B$5*D94^2/G94*Parameters!B$71,0.0001)</f>
        <v>4.3463241292331585</v>
      </c>
      <c r="I95" s="5">
        <f>I94*(1+Parameters!$B$52)^Parameters!B$71</f>
        <v>10.620246772973491</v>
      </c>
      <c r="J95" s="5">
        <f>J94*(1+Parameters!$B$54)^Parameters!B$71</f>
        <v>54.876749430478455</v>
      </c>
      <c r="K95" s="5">
        <f>'6states'!$N$4</f>
        <v>0.98104277196026479</v>
      </c>
      <c r="L95" s="7">
        <f t="shared" si="16"/>
        <v>0.5</v>
      </c>
      <c r="N95" s="5">
        <f>(Parameters!$B$19*(E95+Parameters!$B$20)^L95+Parameters!$B$18*F95^L95)^(1/L95)</f>
        <v>0.54960544878819662</v>
      </c>
      <c r="O95" s="5">
        <f>(Parameters!$B$10*G95^Parameters!$B$9 + Parameters!$B$11*N95^Parameters!$B$9) ^ (Parameters!$B$7/Parameters!$B$9) * K95</f>
        <v>1.5020071513968289</v>
      </c>
      <c r="P95" s="5">
        <f t="shared" si="15"/>
        <v>1.1453164342614515</v>
      </c>
      <c r="Q95" s="5">
        <f>EXP(-Parameters!$B$56*A95)</f>
        <v>0.2530672538717339</v>
      </c>
      <c r="R95" s="5">
        <f>IF(P95&gt;0,P95^(1-Parameters!$B$53)/(1-Parameters!$B$53)*Q95,-10+P95*1000)</f>
        <v>-0.68951542430714319</v>
      </c>
      <c r="S95" s="5"/>
    </row>
    <row r="96" spans="1:19" x14ac:dyDescent="0.35">
      <c r="A96">
        <f>A95+Parameters!$B$71</f>
        <v>92</v>
      </c>
      <c r="B96" s="26">
        <f t="shared" ref="B96:D111" si="22">B95</f>
        <v>5.3289702319887791E-2</v>
      </c>
      <c r="C96" s="26">
        <f t="shared" si="21"/>
        <v>1.0277954020588648E-2</v>
      </c>
      <c r="D96" s="26">
        <f t="shared" si="21"/>
        <v>0.29312306079490108</v>
      </c>
      <c r="E96" s="5">
        <f>MAX((1-Parameters!$B$4)^Parameters!B$71*E95+B95*Parameters!B$71-Parameters!$B$5*B95^2/E95*Parameters!B$71,0.0001)</f>
        <v>0.79015598432534162</v>
      </c>
      <c r="F96" s="7">
        <f>MAX((1-Parameters!$B$4)^Parameters!B$71*F95+C95*Parameters!B$71-Parameters!$B$5*C95^2/F95*Parameters!B$71,0.0001)</f>
        <v>0.15241903891039621</v>
      </c>
      <c r="G96" s="5">
        <f>MAX((1-Parameters!$B$4)^Parameters!B$71*G95+D95*Parameters!B$71-Parameters!$B$5*D95^2/G95*Parameters!B$71,0.0001)</f>
        <v>4.3462947135832657</v>
      </c>
      <c r="I96" s="5">
        <f>I95*(1+Parameters!$B$52)^Parameters!B$71</f>
        <v>10.651045488615113</v>
      </c>
      <c r="J96" s="5">
        <f>J95*(1+Parameters!$B$54)^Parameters!B$71</f>
        <v>55.974284419088022</v>
      </c>
      <c r="K96" s="5">
        <f>'6states'!$N$4</f>
        <v>0.98104277196026479</v>
      </c>
      <c r="L96" s="7">
        <f t="shared" si="16"/>
        <v>0.5</v>
      </c>
      <c r="N96" s="5">
        <f>(Parameters!$B$19*(E96+Parameters!$B$20)^L96+Parameters!$B$18*F96^L96)^(1/L96)</f>
        <v>0.54960095015921262</v>
      </c>
      <c r="O96" s="5">
        <f>(Parameters!$B$10*G96^Parameters!$B$9 + Parameters!$B$11*N96^Parameters!$B$9) ^ (Parameters!$B$7/Parameters!$B$9) * K96</f>
        <v>1.502003986943659</v>
      </c>
      <c r="P96" s="5">
        <f t="shared" si="15"/>
        <v>1.1453132698082815</v>
      </c>
      <c r="Q96" s="5">
        <f>EXP(-Parameters!$B$56*A96)</f>
        <v>0.24927464460072962</v>
      </c>
      <c r="R96" s="5">
        <f>IF(P96&gt;0,P96^(1-Parameters!$B$53)/(1-Parameters!$B$53)*Q96,-10+P96*1000)</f>
        <v>-0.67918261222635568</v>
      </c>
      <c r="S96" s="5"/>
    </row>
    <row r="97" spans="1:19" x14ac:dyDescent="0.35">
      <c r="A97">
        <f>A96+Parameters!$B$71</f>
        <v>93</v>
      </c>
      <c r="B97" s="26">
        <f t="shared" si="22"/>
        <v>5.3289702319887791E-2</v>
      </c>
      <c r="C97" s="26">
        <f t="shared" si="21"/>
        <v>1.0277954020588648E-2</v>
      </c>
      <c r="D97" s="26">
        <f t="shared" si="21"/>
        <v>0.29312306079490108</v>
      </c>
      <c r="E97" s="5">
        <f>MAX((1-Parameters!$B$4)^Parameters!B$71*E96+B96*Parameters!B$71-Parameters!$B$5*B96^2/E96*Parameters!B$71,0.0001)</f>
        <v>0.79015091096375956</v>
      </c>
      <c r="F97" s="7">
        <f>MAX((1-Parameters!$B$4)^Parameters!B$71*F96+C96*Parameters!B$71-Parameters!$B$5*C96^2/F96*Parameters!B$71,0.0001)</f>
        <v>0.15241677013652488</v>
      </c>
      <c r="G97" s="5">
        <f>MAX((1-Parameters!$B$4)^Parameters!B$71*G96+D96*Parameters!B$71-Parameters!$B$5*D96^2/G96*Parameters!B$71,0.0001)</f>
        <v>4.3462670143835966</v>
      </c>
      <c r="I97" s="5">
        <f>I96*(1+Parameters!$B$52)^Parameters!B$71</f>
        <v>10.681933520532095</v>
      </c>
      <c r="J97" s="5">
        <f>J96*(1+Parameters!$B$54)^Parameters!B$71</f>
        <v>57.09377010746978</v>
      </c>
      <c r="K97" s="5">
        <f>'6states'!$N$4</f>
        <v>0.98104277196026479</v>
      </c>
      <c r="L97" s="7">
        <f t="shared" si="16"/>
        <v>0.5</v>
      </c>
      <c r="N97" s="5">
        <f>(Parameters!$B$19*(E97+Parameters!$B$20)^L97+Parameters!$B$18*F97^L97)^(1/L97)</f>
        <v>0.54959671403157129</v>
      </c>
      <c r="O97" s="5">
        <f>(Parameters!$B$10*G97^Parameters!$B$9 + Parameters!$B$11*N97^Parameters!$B$9) ^ (Parameters!$B$7/Parameters!$B$9) * K97</f>
        <v>1.502001007126436</v>
      </c>
      <c r="P97" s="5">
        <f t="shared" si="15"/>
        <v>1.1453102899910585</v>
      </c>
      <c r="Q97" s="5">
        <f>EXP(-Parameters!$B$56*A97)</f>
        <v>0.24553887352140147</v>
      </c>
      <c r="R97" s="5">
        <f>IF(P97&gt;0,P97^(1-Parameters!$B$53)/(1-Parameters!$B$53)*Q97,-10+P97*1000)</f>
        <v>-0.66900460593432498</v>
      </c>
      <c r="S97" s="5"/>
    </row>
    <row r="98" spans="1:19" x14ac:dyDescent="0.35">
      <c r="A98">
        <f>A97+Parameters!$B$71</f>
        <v>94</v>
      </c>
      <c r="B98" s="26">
        <f t="shared" si="22"/>
        <v>5.3289702319887791E-2</v>
      </c>
      <c r="C98" s="26">
        <f t="shared" si="21"/>
        <v>1.0277954020588648E-2</v>
      </c>
      <c r="D98" s="26">
        <f t="shared" si="21"/>
        <v>0.29312306079490108</v>
      </c>
      <c r="E98" s="5">
        <f>MAX((1-Parameters!$B$4)^Parameters!B$71*E97+B97*Parameters!B$71-Parameters!$B$5*B97^2/E97*Parameters!B$71,0.0001)</f>
        <v>0.79014613364067432</v>
      </c>
      <c r="F98" s="7">
        <f>MAX((1-Parameters!$B$4)^Parameters!B$71*F97+C97*Parameters!B$71-Parameters!$B$5*C97^2/F97*Parameters!B$71,0.0001)</f>
        <v>0.15241463375202538</v>
      </c>
      <c r="G98" s="5">
        <f>MAX((1-Parameters!$B$4)^Parameters!B$71*G97+D97*Parameters!B$71-Parameters!$B$5*D97^2/G97*Parameters!B$71,0.0001)</f>
        <v>4.3462409314748802</v>
      </c>
      <c r="I98" s="5">
        <f>I97*(1+Parameters!$B$52)^Parameters!B$71</f>
        <v>10.712911127741636</v>
      </c>
      <c r="J98" s="5">
        <f>J97*(1+Parameters!$B$54)^Parameters!B$71</f>
        <v>58.235645509619175</v>
      </c>
      <c r="K98" s="5">
        <f>'6states'!$N$4</f>
        <v>0.98104277196026479</v>
      </c>
      <c r="L98" s="7">
        <f t="shared" si="16"/>
        <v>0.5</v>
      </c>
      <c r="N98" s="5">
        <f>(Parameters!$B$19*(E98+Parameters!$B$20)^L98+Parameters!$B$18*F98^L98)^(1/L98)</f>
        <v>0.54959272508774282</v>
      </c>
      <c r="O98" s="5">
        <f>(Parameters!$B$10*G98^Parameters!$B$9 + Parameters!$B$11*N98^Parameters!$B$9) ^ (Parameters!$B$7/Parameters!$B$9) * K98</f>
        <v>1.5019982011728741</v>
      </c>
      <c r="P98" s="5">
        <f t="shared" si="15"/>
        <v>1.1453074840374966</v>
      </c>
      <c r="Q98" s="5">
        <f>EXP(-Parameters!$B$56*A98)</f>
        <v>0.24185908882440066</v>
      </c>
      <c r="R98" s="5">
        <f>IF(P98&gt;0,P98^(1-Parameters!$B$53)/(1-Parameters!$B$53)*Q98,-10+P98*1000)</f>
        <v>-0.65897908887157297</v>
      </c>
      <c r="S98" s="5"/>
    </row>
    <row r="99" spans="1:19" x14ac:dyDescent="0.35">
      <c r="A99">
        <f>A98+Parameters!$B$71</f>
        <v>95</v>
      </c>
      <c r="B99" s="26">
        <f t="shared" si="22"/>
        <v>5.3289702319887791E-2</v>
      </c>
      <c r="C99" s="26">
        <f t="shared" si="21"/>
        <v>1.0277954020588648E-2</v>
      </c>
      <c r="D99" s="26">
        <f t="shared" si="21"/>
        <v>0.29312306079490108</v>
      </c>
      <c r="E99" s="5">
        <f>MAX((1-Parameters!$B$4)^Parameters!B$71*E98+B98*Parameters!B$71-Parameters!$B$5*B98^2/E98*Parameters!B$71,0.0001)</f>
        <v>0.79014163508151092</v>
      </c>
      <c r="F99" s="7">
        <f>MAX((1-Parameters!$B$4)^Parameters!B$71*F98+C98*Parameters!B$71-Parameters!$B$5*C98^2/F98*Parameters!B$71,0.0001)</f>
        <v>0.15241262203132266</v>
      </c>
      <c r="G99" s="5">
        <f>MAX((1-Parameters!$B$4)^Parameters!B$71*G98+D98*Parameters!B$71-Parameters!$B$5*D98^2/G98*Parameters!B$71,0.0001)</f>
        <v>4.3462163705425816</v>
      </c>
      <c r="I99" s="5">
        <f>I98*(1+Parameters!$B$52)^Parameters!B$71</f>
        <v>10.743978570012086</v>
      </c>
      <c r="J99" s="5">
        <f>J98*(1+Parameters!$B$54)^Parameters!B$71</f>
        <v>59.40035841981156</v>
      </c>
      <c r="K99" s="5">
        <f>'6states'!$N$4</f>
        <v>0.98104277196026479</v>
      </c>
      <c r="L99" s="7">
        <f t="shared" si="16"/>
        <v>0.5</v>
      </c>
      <c r="N99" s="5">
        <f>(Parameters!$B$19*(E99+Parameters!$B$20)^L99+Parameters!$B$18*F99^L99)^(1/L99)</f>
        <v>0.54958896890403253</v>
      </c>
      <c r="O99" s="5">
        <f>(Parameters!$B$10*G99^Parameters!$B$9 + Parameters!$B$11*N99^Parameters!$B$9) ^ (Parameters!$B$7/Parameters!$B$9) * K99</f>
        <v>1.5019955589391045</v>
      </c>
      <c r="P99" s="5">
        <f t="shared" si="15"/>
        <v>1.145304841803727</v>
      </c>
      <c r="Q99" s="5">
        <f>EXP(-Parameters!$B$56*A99)</f>
        <v>0.23823445146607616</v>
      </c>
      <c r="R99" s="5">
        <f>IF(P99&gt;0,P99^(1-Parameters!$B$53)/(1-Parameters!$B$53)*Q99,-10+P99*1000)</f>
        <v>-0.64910377894613192</v>
      </c>
      <c r="S99" s="5"/>
    </row>
    <row r="100" spans="1:19" x14ac:dyDescent="0.35">
      <c r="A100">
        <f>A99+Parameters!$B$71</f>
        <v>96</v>
      </c>
      <c r="B100" s="26">
        <f t="shared" si="22"/>
        <v>5.3289702319887791E-2</v>
      </c>
      <c r="C100" s="26">
        <f t="shared" si="21"/>
        <v>1.0277954020588648E-2</v>
      </c>
      <c r="D100" s="26">
        <f t="shared" si="21"/>
        <v>0.29312306079490108</v>
      </c>
      <c r="E100" s="5">
        <f>MAX((1-Parameters!$B$4)^Parameters!B$71*E99+B99*Parameters!B$71-Parameters!$B$5*B99^2/E99*Parameters!B$71,0.0001)</f>
        <v>0.79013739901973867</v>
      </c>
      <c r="F100" s="7">
        <f>MAX((1-Parameters!$B$4)^Parameters!B$71*F99+C99*Parameters!B$71-Parameters!$B$5*C99^2/F99*Parameters!B$71,0.0001)</f>
        <v>0.15241072769969904</v>
      </c>
      <c r="G100" s="5">
        <f>MAX((1-Parameters!$B$4)^Parameters!B$71*G99+D99*Parameters!B$71-Parameters!$B$5*D99^2/G99*Parameters!B$71,0.0001)</f>
        <v>4.3461932427758176</v>
      </c>
      <c r="I100" s="5">
        <f>I99*(1+Parameters!$B$52)^Parameters!B$71</f>
        <v>10.775136107865119</v>
      </c>
      <c r="J100" s="5">
        <f>J99*(1+Parameters!$B$54)^Parameters!B$71</f>
        <v>60.588365588207793</v>
      </c>
      <c r="K100" s="5">
        <f>'6states'!$N$4</f>
        <v>0.98104277196026479</v>
      </c>
      <c r="L100" s="7">
        <f t="shared" si="16"/>
        <v>0.5</v>
      </c>
      <c r="N100" s="5">
        <f>(Parameters!$B$19*(E100+Parameters!$B$20)^L100+Parameters!$B$18*F100^L100)^(1/L100)</f>
        <v>0.54958543189841935</v>
      </c>
      <c r="O100" s="5">
        <f>(Parameters!$B$10*G100^Parameters!$B$9 + Parameters!$B$11*N100^Parameters!$B$9) ^ (Parameters!$B$7/Parameters!$B$9) * K100</f>
        <v>1.5019930708730276</v>
      </c>
      <c r="P100" s="5">
        <f t="shared" si="15"/>
        <v>1.1453023537376501</v>
      </c>
      <c r="Q100" s="5">
        <f>EXP(-Parameters!$B$56*A100)</f>
        <v>0.23466413497716049</v>
      </c>
      <c r="R100" s="5">
        <f>IF(P100&gt;0,P100^(1-Parameters!$B$53)/(1-Parameters!$B$53)*Q100,-10+P100*1000)</f>
        <v>-0.63937642803508354</v>
      </c>
      <c r="S100" s="5"/>
    </row>
    <row r="101" spans="1:19" x14ac:dyDescent="0.35">
      <c r="A101">
        <f>A100+Parameters!$B$71</f>
        <v>97</v>
      </c>
      <c r="B101" s="26">
        <f t="shared" si="22"/>
        <v>5.3289702319887791E-2</v>
      </c>
      <c r="C101" s="26">
        <f t="shared" si="21"/>
        <v>1.0277954020588648E-2</v>
      </c>
      <c r="D101" s="26">
        <f t="shared" si="21"/>
        <v>0.29312306079490108</v>
      </c>
      <c r="E101" s="5">
        <f>MAX((1-Parameters!$B$4)^Parameters!B$71*E100+B100*Parameters!B$71-Parameters!$B$5*B100^2/E100*Parameters!B$71,0.0001)</f>
        <v>0.79013341013804472</v>
      </c>
      <c r="F101" s="7">
        <f>MAX((1-Parameters!$B$4)^Parameters!B$71*F100+C100*Parameters!B$71-Parameters!$B$5*C100^2/F100*Parameters!B$71,0.0001)</f>
        <v>0.15240894390697893</v>
      </c>
      <c r="G101" s="5">
        <f>MAX((1-Parameters!$B$4)^Parameters!B$71*G100+D100*Parameters!B$71-Parameters!$B$5*D100^2/G100*Parameters!B$71,0.0001)</f>
        <v>4.3461714645461749</v>
      </c>
      <c r="I101" s="5">
        <f>I100*(1+Parameters!$B$52)^Parameters!B$71</f>
        <v>10.806384002577927</v>
      </c>
      <c r="J101" s="5">
        <f>J100*(1+Parameters!$B$54)^Parameters!B$71</f>
        <v>61.800132899971949</v>
      </c>
      <c r="K101" s="5">
        <f>'6states'!$N$4</f>
        <v>0.98104277196026479</v>
      </c>
      <c r="L101" s="7">
        <f t="shared" si="16"/>
        <v>0.5</v>
      </c>
      <c r="N101" s="5">
        <f>(Parameters!$B$19*(E101+Parameters!$B$20)^L101+Parameters!$B$18*F101^L101)^(1/L101)</f>
        <v>0.54958210128143881</v>
      </c>
      <c r="O101" s="5">
        <f>(Parameters!$B$10*G101^Parameters!$B$9 + Parameters!$B$11*N101^Parameters!$B$9) ^ (Parameters!$B$7/Parameters!$B$9) * K101</f>
        <v>1.5019907279797948</v>
      </c>
      <c r="P101" s="5">
        <f t="shared" si="15"/>
        <v>1.1453000108444173</v>
      </c>
      <c r="Q101" s="5">
        <f>EXP(-Parameters!$B$56*A101)</f>
        <v>0.23114732527432291</v>
      </c>
      <c r="R101" s="5">
        <f>IF(P101&gt;0,P101^(1-Parameters!$B$53)/(1-Parameters!$B$53)*Q101,-10+P101*1000)</f>
        <v>-0.62979482149226029</v>
      </c>
      <c r="S101" s="5"/>
    </row>
    <row r="102" spans="1:19" x14ac:dyDescent="0.35">
      <c r="A102">
        <f>A101+Parameters!$B$71</f>
        <v>98</v>
      </c>
      <c r="B102" s="26">
        <f t="shared" si="22"/>
        <v>5.3289702319887791E-2</v>
      </c>
      <c r="C102" s="26">
        <f t="shared" si="21"/>
        <v>1.0277954020588648E-2</v>
      </c>
      <c r="D102" s="26">
        <f t="shared" si="21"/>
        <v>0.29312306079490108</v>
      </c>
      <c r="E102" s="5">
        <f>MAX((1-Parameters!$B$4)^Parameters!B$71*E101+B101*Parameters!B$71-Parameters!$B$5*B101^2/E101*Parameters!B$71,0.0001)</f>
        <v>0.79012965401293989</v>
      </c>
      <c r="F102" s="7">
        <f>MAX((1-Parameters!$B$4)^Parameters!B$71*F101+C101*Parameters!B$71-Parameters!$B$5*C101^2/F101*Parameters!B$71,0.0001)</f>
        <v>0.15240726420275</v>
      </c>
      <c r="G102" s="5">
        <f>MAX((1-Parameters!$B$4)^Parameters!B$71*G101+D101*Parameters!B$71-Parameters!$B$5*D101^2/G101*Parameters!B$71,0.0001)</f>
        <v>4.3461509571052757</v>
      </c>
      <c r="I102" s="5">
        <f>I101*(1+Parameters!$B$52)^Parameters!B$71</f>
        <v>10.837722516185401</v>
      </c>
      <c r="J102" s="5">
        <f>J101*(1+Parameters!$B$54)^Parameters!B$71</f>
        <v>63.036135557971392</v>
      </c>
      <c r="K102" s="5">
        <f>'6states'!$N$4</f>
        <v>0.98104277196026479</v>
      </c>
      <c r="L102" s="7">
        <f t="shared" si="16"/>
        <v>0.5</v>
      </c>
      <c r="N102" s="5">
        <f>(Parameters!$B$19*(E102+Parameters!$B$20)^L102+Parameters!$B$18*F102^L102)^(1/L102)</f>
        <v>0.54957896500993231</v>
      </c>
      <c r="O102" s="5">
        <f>(Parameters!$B$10*G102^Parameters!$B$9 + Parameters!$B$11*N102^Parameters!$B$9) ^ (Parameters!$B$7/Parameters!$B$9) * K102</f>
        <v>1.5019885217893079</v>
      </c>
      <c r="P102" s="5">
        <f t="shared" si="15"/>
        <v>1.1452978046539304</v>
      </c>
      <c r="Q102" s="5">
        <f>EXP(-Parameters!$B$56*A102)</f>
        <v>0.22768322047454675</v>
      </c>
      <c r="R102" s="5">
        <f>IF(P102&gt;0,P102^(1-Parameters!$B$53)/(1-Parameters!$B$53)*Q102,-10+P102*1000)</f>
        <v>-0.62035677766210651</v>
      </c>
      <c r="S102" s="5"/>
    </row>
    <row r="103" spans="1:19" x14ac:dyDescent="0.35">
      <c r="A103">
        <f>A102+Parameters!$B$71</f>
        <v>99</v>
      </c>
      <c r="B103" s="26">
        <f t="shared" si="22"/>
        <v>5.3289702319887791E-2</v>
      </c>
      <c r="C103" s="26">
        <f t="shared" si="21"/>
        <v>1.0277954020588648E-2</v>
      </c>
      <c r="D103" s="26">
        <f t="shared" si="21"/>
        <v>0.29312306079490108</v>
      </c>
      <c r="E103" s="5">
        <f>MAX((1-Parameters!$B$4)^Parameters!B$71*E102+B102*Parameters!B$71-Parameters!$B$5*B102^2/E102*Parameters!B$71,0.0001)</f>
        <v>0.79012611706259794</v>
      </c>
      <c r="F103" s="7">
        <f>MAX((1-Parameters!$B$4)^Parameters!B$71*F102+C102*Parameters!B$71-Parameters!$B$5*C102^2/F102*Parameters!B$71,0.0001)</f>
        <v>0.15240568251303097</v>
      </c>
      <c r="G103" s="5">
        <f>MAX((1-Parameters!$B$4)^Parameters!B$71*G102+D102*Parameters!B$71-Parameters!$B$5*D102^2/G102*Parameters!B$71,0.0001)</f>
        <v>4.3461316462999946</v>
      </c>
      <c r="I103" s="5">
        <f>I102*(1+Parameters!$B$52)^Parameters!B$71</f>
        <v>10.869151911482337</v>
      </c>
      <c r="J103" s="5">
        <f>J102*(1+Parameters!$B$54)^Parameters!B$71</f>
        <v>64.296858269130823</v>
      </c>
      <c r="K103" s="5">
        <f>'6states'!$N$4</f>
        <v>0.98104277196026479</v>
      </c>
      <c r="L103" s="7">
        <f t="shared" si="16"/>
        <v>0.5</v>
      </c>
      <c r="N103" s="5">
        <f>(Parameters!$B$19*(E103+Parameters!$B$20)^L103+Parameters!$B$18*F103^L103)^(1/L103)</f>
        <v>0.54957601174349657</v>
      </c>
      <c r="O103" s="5">
        <f>(Parameters!$B$10*G103^Parameters!$B$9 + Parameters!$B$11*N103^Parameters!$B$9) ^ (Parameters!$B$7/Parameters!$B$9) * K103</f>
        <v>1.5019864443256099</v>
      </c>
      <c r="P103" s="5">
        <f t="shared" si="15"/>
        <v>1.1452957271902324</v>
      </c>
      <c r="Q103" s="5">
        <f>EXP(-Parameters!$B$56*A103)</f>
        <v>0.22427103071228871</v>
      </c>
      <c r="R103" s="5">
        <f>IF(P103&gt;0,P103^(1-Parameters!$B$53)/(1-Parameters!$B$53)*Q103,-10+P103*1000)</f>
        <v>-0.61106014739970194</v>
      </c>
      <c r="S103" s="5"/>
    </row>
    <row r="104" spans="1:19" x14ac:dyDescent="0.35">
      <c r="A104">
        <f>A103+Parameters!$B$71</f>
        <v>100</v>
      </c>
      <c r="B104" s="7">
        <f t="shared" si="22"/>
        <v>5.3289702319887791E-2</v>
      </c>
      <c r="C104" s="7">
        <f t="shared" si="21"/>
        <v>1.0277954020588648E-2</v>
      </c>
      <c r="D104" s="5">
        <f t="shared" si="21"/>
        <v>0.29312306079490108</v>
      </c>
      <c r="E104" s="5">
        <f>MAX((1-Parameters!$B$4)^Parameters!B$71*E103+B103*Parameters!B$71-Parameters!$B$5*B103^2/E103*Parameters!B$71,0.0001)</f>
        <v>0.79012278649773926</v>
      </c>
      <c r="F104" s="7">
        <f>MAX((1-Parameters!$B$4)^Parameters!B$71*F103+C103*Parameters!B$71-Parameters!$B$5*C103^2/F103*Parameters!B$71,0.0001)</f>
        <v>0.15240419311830136</v>
      </c>
      <c r="G104" s="5">
        <f>MAX((1-Parameters!$B$4)^Parameters!B$71*G103+D103*Parameters!B$71-Parameters!$B$5*D103^2/G103*Parameters!B$71,0.0001)</f>
        <v>4.3461134623042952</v>
      </c>
      <c r="I104" s="5">
        <f>I103*(1+Parameters!$B$52)^Parameters!B$71</f>
        <v>10.900672452025635</v>
      </c>
      <c r="J104" s="5">
        <f>J103*(1+Parameters!$B$54)^Parameters!B$71</f>
        <v>65.582795434513443</v>
      </c>
      <c r="K104" s="5">
        <f>'6states'!$N$4</f>
        <v>0.98104277196026479</v>
      </c>
      <c r="L104" s="7">
        <f t="shared" si="16"/>
        <v>0.5</v>
      </c>
      <c r="N104" s="5">
        <f>(Parameters!$B$19*(E104+Parameters!$B$20)^L104+Parameters!$B$18*F104^L104)^(1/L104)</f>
        <v>0.54957323080347387</v>
      </c>
      <c r="O104" s="5">
        <f>(Parameters!$B$10*G104^Parameters!$B$9 + Parameters!$B$11*N104^Parameters!$B$9) ^ (Parameters!$B$7/Parameters!$B$9) * K104</f>
        <v>1.5019844880780644</v>
      </c>
      <c r="P104" s="5">
        <f t="shared" si="15"/>
        <v>1.1452937709426869</v>
      </c>
      <c r="Q104" s="5">
        <f>EXP(-Parameters!$B$56*A104)</f>
        <v>0.22090997795937814</v>
      </c>
      <c r="R104" s="5">
        <f>IF(P104&gt;0,P104^(1-Parameters!$B$53)/(1-Parameters!$B$53)*Q104,-10+P104*1000)</f>
        <v>-0.60190281359693132</v>
      </c>
      <c r="S104" s="5"/>
    </row>
    <row r="105" spans="1:19" x14ac:dyDescent="0.35">
      <c r="A105">
        <f>A104+Parameters!$B$71</f>
        <v>101</v>
      </c>
      <c r="B105" s="7">
        <f t="shared" si="22"/>
        <v>5.3289702319887791E-2</v>
      </c>
      <c r="C105" s="7">
        <f>C104</f>
        <v>1.0277954020588648E-2</v>
      </c>
      <c r="D105" s="5">
        <f>D104</f>
        <v>0.29312306079490108</v>
      </c>
      <c r="E105" s="5">
        <f>MAX((1-Parameters!$B$4)^Parameters!B$71*E104+B104*Parameters!B$71-Parameters!$B$5*B104^2/E104*Parameters!B$71,0.0001)</f>
        <v>0.79011965027538056</v>
      </c>
      <c r="F105" s="7">
        <f>MAX((1-Parameters!$B$4)^Parameters!B$71*F104+C104*Parameters!B$71-Parameters!$B$5*C104^2/F104*Parameters!B$71,0.0001)</f>
        <v>0.15240279063281395</v>
      </c>
      <c r="G105" s="5">
        <f>MAX((1-Parameters!$B$4)^Parameters!B$71*G104+D104*Parameters!B$71-Parameters!$B$5*D104^2/G104*Parameters!B$71,0.0001)</f>
        <v>4.3460963393667189</v>
      </c>
      <c r="I105" s="5">
        <f>I104*(1+Parameters!$B$52)^Parameters!B$71</f>
        <v>10.932284402136508</v>
      </c>
      <c r="J105" s="5">
        <f>J104*(1+Parameters!$B$54)^Parameters!B$71</f>
        <v>66.894451343203713</v>
      </c>
      <c r="K105" s="5">
        <f>'6states'!$N$4</f>
        <v>0.98104277196026479</v>
      </c>
      <c r="L105" s="7">
        <f t="shared" si="16"/>
        <v>0.5</v>
      </c>
      <c r="N105" s="5">
        <f>(Parameters!$B$19*(E105+Parameters!$B$20)^L105+Parameters!$B$18*F105^L105)^(1/L105)</f>
        <v>0.54957061213433556</v>
      </c>
      <c r="O105" s="5">
        <f>(Parameters!$B$10*G105^Parameters!$B$9 + Parameters!$B$11*N105^Parameters!$B$9) ^ (Parameters!$B$7/Parameters!$B$9) * K105</f>
        <v>1.5019826459742109</v>
      </c>
      <c r="P105" s="5">
        <f t="shared" si="15"/>
        <v>1.1452919288388335</v>
      </c>
      <c r="Q105" s="5">
        <f>EXP(-Parameters!$B$56*A105)</f>
        <v>0.21759929584761534</v>
      </c>
      <c r="R105" s="5">
        <f>IF(P105&gt;0,P105^(1-Parameters!$B$53)/(1-Parameters!$B$53)*Q105,-10+P105*1000)</f>
        <v>-0.59288269071478328</v>
      </c>
      <c r="S105" s="5"/>
    </row>
    <row r="106" spans="1:19" x14ac:dyDescent="0.35">
      <c r="A106">
        <f>A105+Parameters!$B$71</f>
        <v>102</v>
      </c>
      <c r="B106" s="7">
        <f t="shared" si="22"/>
        <v>5.3289702319887791E-2</v>
      </c>
      <c r="C106" s="7">
        <f t="shared" si="22"/>
        <v>1.0277954020588648E-2</v>
      </c>
      <c r="D106" s="5">
        <f t="shared" si="22"/>
        <v>0.29312306079490108</v>
      </c>
      <c r="E106" s="5">
        <f>MAX((1-Parameters!$B$4)^Parameters!B$71*E105+B105*Parameters!B$71-Parameters!$B$5*B105^2/E105*Parameters!B$71,0.0001)</f>
        <v>0.79011669705528453</v>
      </c>
      <c r="F106" s="7">
        <f>MAX((1-Parameters!$B$4)^Parameters!B$71*F105+C105*Parameters!B$71-Parameters!$B$5*C105^2/F105*Parameters!B$71,0.0001)</f>
        <v>0.15240146998511495</v>
      </c>
      <c r="G106" s="5">
        <f>MAX((1-Parameters!$B$4)^Parameters!B$71*G105+D105*Parameters!B$71-Parameters!$B$5*D105^2/G105*Parameters!B$71,0.0001)</f>
        <v>4.3460802155726102</v>
      </c>
      <c r="I106" s="5">
        <f>I105*(1+Parameters!$B$52)^Parameters!B$71</f>
        <v>10.963988026902703</v>
      </c>
      <c r="J106" s="5">
        <f>J105*(1+Parameters!$B$54)^Parameters!B$71</f>
        <v>68.232340370067789</v>
      </c>
      <c r="K106" s="5">
        <f>'6states'!$N$4</f>
        <v>0.98104277196026479</v>
      </c>
      <c r="L106" s="7">
        <f t="shared" si="16"/>
        <v>0.5</v>
      </c>
      <c r="N106" s="5">
        <f>(Parameters!$B$19*(E106+Parameters!$B$20)^L106+Parameters!$B$18*F106^L106)^(1/L106)</f>
        <v>0.54956814626731953</v>
      </c>
      <c r="O106" s="5">
        <f>(Parameters!$B$10*G106^Parameters!$B$9 + Parameters!$B$11*N106^Parameters!$B$9) ^ (Parameters!$B$7/Parameters!$B$9) * K106</f>
        <v>1.5019809113542066</v>
      </c>
      <c r="P106" s="5">
        <f t="shared" si="15"/>
        <v>1.1452901942188292</v>
      </c>
      <c r="Q106" s="5">
        <f>EXP(-Parameters!$B$56*A106)</f>
        <v>0.2143382294940287</v>
      </c>
      <c r="R106" s="5">
        <f>IF(P106&gt;0,P106^(1-Parameters!$B$53)/(1-Parameters!$B$53)*Q106,-10+P106*1000)</f>
        <v>-0.58399772432176256</v>
      </c>
      <c r="S106" s="5"/>
    </row>
    <row r="107" spans="1:19" x14ac:dyDescent="0.35">
      <c r="A107">
        <f>A106+Parameters!$B$71</f>
        <v>103</v>
      </c>
      <c r="B107" s="7">
        <f t="shared" si="22"/>
        <v>5.3289702319887791E-2</v>
      </c>
      <c r="C107" s="7">
        <f t="shared" si="22"/>
        <v>1.0277954020588648E-2</v>
      </c>
      <c r="D107" s="5">
        <f t="shared" si="22"/>
        <v>0.29312306079490108</v>
      </c>
      <c r="E107" s="5">
        <f>MAX((1-Parameters!$B$4)^Parameters!B$71*E106+B106*Parameters!B$71-Parameters!$B$5*B106^2/E106*Parameters!B$71,0.0001)</f>
        <v>0.79011391615895044</v>
      </c>
      <c r="F107" s="7">
        <f>MAX((1-Parameters!$B$4)^Parameters!B$71*F106+C106*Parameters!B$71-Parameters!$B$5*C106^2/F106*Parameters!B$71,0.0001)</f>
        <v>0.15240022639970094</v>
      </c>
      <c r="G107" s="5">
        <f>MAX((1-Parameters!$B$4)^Parameters!B$71*G106+D106*Parameters!B$71-Parameters!$B$5*D106^2/G106*Parameters!B$71,0.0001)</f>
        <v>4.3460650326202153</v>
      </c>
      <c r="I107" s="5">
        <f>I106*(1+Parameters!$B$52)^Parameters!B$71</f>
        <v>10.99578359218072</v>
      </c>
      <c r="J107" s="5">
        <f>J106*(1+Parameters!$B$54)^Parameters!B$71</f>
        <v>69.596987177469146</v>
      </c>
      <c r="K107" s="5">
        <f>'6states'!$N$4</f>
        <v>0.98104277196026479</v>
      </c>
      <c r="L107" s="7">
        <f t="shared" si="16"/>
        <v>0.5</v>
      </c>
      <c r="N107" s="5">
        <f>(Parameters!$B$19*(E107+Parameters!$B$20)^L107+Parameters!$B$18*F107^L107)^(1/L107)</f>
        <v>0.54956582428619027</v>
      </c>
      <c r="O107" s="5">
        <f>(Parameters!$B$10*G107^Parameters!$B$9 + Parameters!$B$11*N107^Parameters!$B$9) ^ (Parameters!$B$7/Parameters!$B$9) * K107</f>
        <v>1.5019792779467573</v>
      </c>
      <c r="P107" s="5">
        <f t="shared" si="15"/>
        <v>1.1452885608113799</v>
      </c>
      <c r="Q107" s="5">
        <f>EXP(-Parameters!$B$56*A107)</f>
        <v>0.21112603532875074</v>
      </c>
      <c r="R107" s="5">
        <f>IF(P107&gt;0,P107^(1-Parameters!$B$53)/(1-Parameters!$B$53)*Q107,-10+P107*1000)</f>
        <v>-0.57524589063838349</v>
      </c>
      <c r="S107" s="5"/>
    </row>
    <row r="108" spans="1:19" x14ac:dyDescent="0.35">
      <c r="A108">
        <f>A107+Parameters!$B$71</f>
        <v>104</v>
      </c>
      <c r="B108" s="7">
        <f t="shared" si="22"/>
        <v>5.3289702319887791E-2</v>
      </c>
      <c r="C108" s="7">
        <f t="shared" si="22"/>
        <v>1.0277954020588648E-2</v>
      </c>
      <c r="D108" s="5">
        <f t="shared" si="22"/>
        <v>0.29312306079490108</v>
      </c>
      <c r="E108" s="5">
        <f>MAX((1-Parameters!$B$4)^Parameters!B$71*E107+B107*Parameters!B$71-Parameters!$B$5*B107^2/E107*Parameters!B$71,0.0001)</f>
        <v>0.79011129753099829</v>
      </c>
      <c r="F108" s="7">
        <f>MAX((1-Parameters!$B$4)^Parameters!B$71*F107+C107*Parameters!B$71-Parameters!$B$5*C107^2/F107*Parameters!B$71,0.0001)</f>
        <v>0.15239905537974707</v>
      </c>
      <c r="G108" s="5">
        <f>MAX((1-Parameters!$B$4)^Parameters!B$71*G107+D107*Parameters!B$71-Parameters!$B$5*D107^2/G107*Parameters!B$71,0.0001)</f>
        <v>4.346050735609853</v>
      </c>
      <c r="I108" s="5">
        <f>I107*(1+Parameters!$B$52)^Parameters!B$71</f>
        <v>11.027671364598042</v>
      </c>
      <c r="J108" s="5">
        <f>J107*(1+Parameters!$B$54)^Parameters!B$71</f>
        <v>70.988926921018532</v>
      </c>
      <c r="K108" s="5">
        <f>'6states'!$N$4</f>
        <v>0.98104277196026479</v>
      </c>
      <c r="L108" s="7">
        <f t="shared" si="16"/>
        <v>0.5</v>
      </c>
      <c r="N108" s="5">
        <f>(Parameters!$B$19*(E108+Parameters!$B$20)^L108+Parameters!$B$18*F108^L108)^(1/L108)</f>
        <v>0.54956363779499517</v>
      </c>
      <c r="O108" s="5">
        <f>(Parameters!$B$10*G108^Parameters!$B$9 + Parameters!$B$11*N108^Parameters!$B$9) ^ (Parameters!$B$7/Parameters!$B$9) * K108</f>
        <v>1.5019777398464504</v>
      </c>
      <c r="P108" s="5">
        <f t="shared" si="15"/>
        <v>1.145287022711073</v>
      </c>
      <c r="Q108" s="5">
        <f>EXP(-Parameters!$B$56*A108)</f>
        <v>0.20796198092547327</v>
      </c>
      <c r="R108" s="5">
        <f>IF(P108&gt;0,P108^(1-Parameters!$B$53)/(1-Parameters!$B$53)*Q108,-10+P108*1000)</f>
        <v>-0.56662519608771544</v>
      </c>
      <c r="S108" s="5"/>
    </row>
    <row r="109" spans="1:19" x14ac:dyDescent="0.35">
      <c r="A109">
        <f>A108+Parameters!$B$71</f>
        <v>105</v>
      </c>
      <c r="B109" s="7">
        <f t="shared" si="22"/>
        <v>5.3289702319887791E-2</v>
      </c>
      <c r="C109" s="7">
        <f t="shared" si="22"/>
        <v>1.0277954020588648E-2</v>
      </c>
      <c r="D109" s="5">
        <f t="shared" si="22"/>
        <v>0.29312306079490108</v>
      </c>
      <c r="E109" s="5">
        <f>MAX((1-Parameters!$B$4)^Parameters!B$71*E108+B108*Parameters!B$71-Parameters!$B$5*B108^2/E108*Parameters!B$71,0.0001)</f>
        <v>0.79010883170280688</v>
      </c>
      <c r="F109" s="7">
        <f>MAX((1-Parameters!$B$4)^Parameters!B$71*F108+C108*Parameters!B$71-Parameters!$B$5*C108^2/F108*Parameters!B$71,0.0001)</f>
        <v>0.152397952690843</v>
      </c>
      <c r="G109" s="5">
        <f>MAX((1-Parameters!$B$4)^Parameters!B$71*G108+D108*Parameters!B$71-Parameters!$B$5*D108^2/G108*Parameters!B$71,0.0001)</f>
        <v>4.3460372728453862</v>
      </c>
      <c r="I109" s="5">
        <f>I108*(1+Parameters!$B$52)^Parameters!B$71</f>
        <v>11.059651611555376</v>
      </c>
      <c r="J109" s="5">
        <f>J108*(1+Parameters!$B$54)^Parameters!B$71</f>
        <v>72.408705459438906</v>
      </c>
      <c r="K109" s="5">
        <f>'6states'!$N$4</f>
        <v>0.98104277196026479</v>
      </c>
      <c r="L109" s="7">
        <f t="shared" si="16"/>
        <v>0.5</v>
      </c>
      <c r="N109" s="5">
        <f>(Parameters!$B$19*(E109+Parameters!$B$20)^L109+Parameters!$B$18*F109^L109)^(1/L109)</f>
        <v>0.54956157888770607</v>
      </c>
      <c r="O109" s="5">
        <f>(Parameters!$B$10*G109^Parameters!$B$9 + Parameters!$B$11*N109^Parameters!$B$9) ^ (Parameters!$B$7/Parameters!$B$9) * K109</f>
        <v>1.5019762914924131</v>
      </c>
      <c r="P109" s="5">
        <f t="shared" si="15"/>
        <v>1.1452855743570356</v>
      </c>
      <c r="Q109" s="5">
        <f>EXP(-Parameters!$B$56*A109)</f>
        <v>0.2048453448344438</v>
      </c>
      <c r="R109" s="5">
        <f>IF(P109&gt;0,P109^(1-Parameters!$B$53)/(1-Parameters!$B$53)*Q109,-10+P109*1000)</f>
        <v>-0.55813367685194726</v>
      </c>
      <c r="S109" s="5"/>
    </row>
    <row r="110" spans="1:19" x14ac:dyDescent="0.35">
      <c r="A110">
        <f>A109+Parameters!$B$71</f>
        <v>106</v>
      </c>
      <c r="B110" s="7">
        <f t="shared" si="22"/>
        <v>5.3289702319887791E-2</v>
      </c>
      <c r="C110" s="7">
        <f t="shared" si="22"/>
        <v>1.0277954020588648E-2</v>
      </c>
      <c r="D110" s="5">
        <f t="shared" si="22"/>
        <v>0.29312306079490108</v>
      </c>
      <c r="E110" s="5">
        <f>MAX((1-Parameters!$B$4)^Parameters!B$71*E109+B109*Parameters!B$71-Parameters!$B$5*B109^2/E109*Parameters!B$71,0.0001)</f>
        <v>0.79010650975827346</v>
      </c>
      <c r="F110" s="7">
        <f>MAX((1-Parameters!$B$4)^Parameters!B$71*F109+C109*Parameters!B$71-Parameters!$B$5*C109^2/F109*Parameters!B$71,0.0001)</f>
        <v>0.15239691434567837</v>
      </c>
      <c r="G110" s="5">
        <f>MAX((1-Parameters!$B$4)^Parameters!B$71*G109+D109*Parameters!B$71-Parameters!$B$5*D109^2/G109*Parameters!B$71,0.0001)</f>
        <v>4.3460245956472816</v>
      </c>
      <c r="I110" s="5">
        <f>I109*(1+Parameters!$B$52)^Parameters!B$71</f>
        <v>11.091724601228885</v>
      </c>
      <c r="J110" s="5">
        <f>J109*(1+Parameters!$B$54)^Parameters!B$71</f>
        <v>73.85687956862769</v>
      </c>
      <c r="K110" s="5">
        <f>'6states'!$N$4</f>
        <v>0.98104277196026479</v>
      </c>
      <c r="L110" s="7">
        <f t="shared" si="16"/>
        <v>0.5</v>
      </c>
      <c r="N110" s="5">
        <f>(Parameters!$B$19*(E110+Parameters!$B$20)^L110+Parameters!$B$18*F110^L110)^(1/L110)</f>
        <v>0.54955964011962766</v>
      </c>
      <c r="O110" s="5">
        <f>(Parameters!$B$10*G110^Parameters!$B$9 + Parameters!$B$11*N110^Parameters!$B$9) ^ (Parameters!$B$7/Parameters!$B$9) * K110</f>
        <v>1.5019749276482128</v>
      </c>
      <c r="P110" s="5">
        <f t="shared" si="15"/>
        <v>1.1452842105128354</v>
      </c>
      <c r="Q110" s="5">
        <f>EXP(-Parameters!$B$56*A110)</f>
        <v>0.20177541641796462</v>
      </c>
      <c r="R110" s="5">
        <f>IF(P110&gt;0,P110^(1-Parameters!$B$53)/(1-Parameters!$B$53)*Q110,-10+P110*1000)</f>
        <v>-0.54976939843492989</v>
      </c>
      <c r="S110" s="5"/>
    </row>
    <row r="111" spans="1:19" x14ac:dyDescent="0.35">
      <c r="A111">
        <f>A110+Parameters!$B$71</f>
        <v>107</v>
      </c>
      <c r="B111" s="7">
        <f t="shared" si="22"/>
        <v>5.3289702319887791E-2</v>
      </c>
      <c r="C111" s="7">
        <f t="shared" si="22"/>
        <v>1.0277954020588648E-2</v>
      </c>
      <c r="D111" s="5">
        <f t="shared" si="22"/>
        <v>0.29312306079490108</v>
      </c>
      <c r="E111" s="5">
        <f>MAX((1-Parameters!$B$4)^Parameters!B$71*E110+B110*Parameters!B$71-Parameters!$B$5*B110^2/E110*Parameters!B$71,0.0001)</f>
        <v>0.79010432330157188</v>
      </c>
      <c r="F111" s="7">
        <f>MAX((1-Parameters!$B$4)^Parameters!B$71*F110+C110*Parameters!B$71-Parameters!$B$5*C110^2/F110*Parameters!B$71,0.0001)</f>
        <v>0.15239593658962214</v>
      </c>
      <c r="G111" s="5">
        <f>MAX((1-Parameters!$B$4)^Parameters!B$71*G110+D110*Parameters!B$71-Parameters!$B$5*D110^2/G110*Parameters!B$71,0.0001)</f>
        <v>4.3460126581765754</v>
      </c>
      <c r="I111" s="5">
        <f>I110*(1+Parameters!$B$52)^Parameters!B$71</f>
        <v>11.123890602572446</v>
      </c>
      <c r="J111" s="5">
        <f>J110*(1+Parameters!$B$54)^Parameters!B$71</f>
        <v>75.334017160000244</v>
      </c>
      <c r="K111" s="5">
        <f>'6states'!$N$4</f>
        <v>0.98104277196026479</v>
      </c>
      <c r="L111" s="7">
        <f t="shared" si="16"/>
        <v>0.5</v>
      </c>
      <c r="N111" s="5">
        <f>(Parameters!$B$19*(E111+Parameters!$B$20)^L111+Parameters!$B$18*F111^L111)^(1/L111)</f>
        <v>0.54955781448047902</v>
      </c>
      <c r="O111" s="5">
        <f>(Parameters!$B$10*G111^Parameters!$B$9 + Parameters!$B$11*N111^Parameters!$B$9) ^ (Parameters!$B$7/Parameters!$B$9) * K111</f>
        <v>1.5019736433829296</v>
      </c>
      <c r="P111" s="5">
        <f t="shared" si="15"/>
        <v>1.1452829262475521</v>
      </c>
      <c r="Q111" s="5">
        <f>EXP(-Parameters!$B$56*A111)</f>
        <v>0.19875149568835732</v>
      </c>
      <c r="R111" s="5">
        <f>IF(P111&gt;0,P111^(1-Parameters!$B$53)/(1-Parameters!$B$53)*Q111,-10+P111*1000)</f>
        <v>-0.54153045523065879</v>
      </c>
      <c r="S111" s="5"/>
    </row>
    <row r="112" spans="1:19" x14ac:dyDescent="0.35">
      <c r="A112">
        <f>A111+Parameters!$B$71</f>
        <v>108</v>
      </c>
      <c r="B112" s="7">
        <f t="shared" ref="B112:D127" si="23">B111</f>
        <v>5.3289702319887791E-2</v>
      </c>
      <c r="C112" s="7">
        <f t="shared" si="23"/>
        <v>1.0277954020588648E-2</v>
      </c>
      <c r="D112" s="5">
        <f t="shared" si="23"/>
        <v>0.29312306079490108</v>
      </c>
      <c r="E112" s="5">
        <f>MAX((1-Parameters!$B$4)^Parameters!B$71*E111+B111*Parameters!B$71-Parameters!$B$5*B111^2/E111*Parameters!B$71,0.0001)</f>
        <v>0.79010226442679199</v>
      </c>
      <c r="F112" s="7">
        <f>MAX((1-Parameters!$B$4)^Parameters!B$71*F111+C111*Parameters!B$71-Parameters!$B$5*C111^2/F111*Parameters!B$71,0.0001)</f>
        <v>0.15239501588714369</v>
      </c>
      <c r="G112" s="5">
        <f>MAX((1-Parameters!$B$4)^Parameters!B$71*G111+D111*Parameters!B$71-Parameters!$B$5*D111^2/G111*Parameters!B$71,0.0001)</f>
        <v>4.3460014172691128</v>
      </c>
      <c r="I112" s="5">
        <f>I111*(1+Parameters!$B$52)^Parameters!B$71</f>
        <v>11.156149885319905</v>
      </c>
      <c r="J112" s="5">
        <f>J111*(1+Parameters!$B$54)^Parameters!B$71</f>
        <v>76.840697503200246</v>
      </c>
      <c r="K112" s="5">
        <f>'6states'!$N$4</f>
        <v>0.98104277196026479</v>
      </c>
      <c r="L112" s="7">
        <f t="shared" si="16"/>
        <v>0.5</v>
      </c>
      <c r="N112" s="5">
        <f>(Parameters!$B$19*(E112+Parameters!$B$20)^L112+Parameters!$B$18*F112^L112)^(1/L112)</f>
        <v>0.54955609536904271</v>
      </c>
      <c r="O112" s="5">
        <f>(Parameters!$B$10*G112^Parameters!$B$9 + Parameters!$B$11*N112^Parameters!$B$9) ^ (Parameters!$B$7/Parameters!$B$9) * K112</f>
        <v>1.5019724340533349</v>
      </c>
      <c r="P112" s="5">
        <f t="shared" si="15"/>
        <v>1.1452817169179574</v>
      </c>
      <c r="Q112" s="5">
        <f>EXP(-Parameters!$B$56*A112)</f>
        <v>0.19577289314835553</v>
      </c>
      <c r="R112" s="5">
        <f>IF(P112&gt;0,P112^(1-Parameters!$B$53)/(1-Parameters!$B$53)*Q112,-10+P112*1000)</f>
        <v>-0.53341497009764882</v>
      </c>
      <c r="S112" s="5"/>
    </row>
    <row r="113" spans="1:19" x14ac:dyDescent="0.35">
      <c r="A113">
        <f>A112+Parameters!$B$71</f>
        <v>109</v>
      </c>
      <c r="B113" s="7">
        <f t="shared" si="23"/>
        <v>5.3289702319887791E-2</v>
      </c>
      <c r="C113" s="7">
        <f t="shared" si="23"/>
        <v>1.0277954020588648E-2</v>
      </c>
      <c r="D113" s="5">
        <f t="shared" si="23"/>
        <v>0.29312306079490108</v>
      </c>
      <c r="E113" s="5">
        <f>MAX((1-Parameters!$B$4)^Parameters!B$71*E112+B112*Parameters!B$71-Parameters!$B$5*B112^2/E112*Parameters!B$71,0.0001)</f>
        <v>0.79010032568935173</v>
      </c>
      <c r="F113" s="7">
        <f>MAX((1-Parameters!$B$4)^Parameters!B$71*F112+C112*Parameters!B$71-Parameters!$B$5*C112^2/F112*Parameters!B$71,0.0001)</f>
        <v>0.15239414890902636</v>
      </c>
      <c r="G113" s="5">
        <f>MAX((1-Parameters!$B$4)^Parameters!B$71*G112+D112*Parameters!B$71-Parameters!$B$5*D112^2/G112*Parameters!B$71,0.0001)</f>
        <v>4.3459908322794663</v>
      </c>
      <c r="I113" s="5">
        <f>I112*(1+Parameters!$B$52)^Parameters!B$71</f>
        <v>11.188502719987332</v>
      </c>
      <c r="J113" s="5">
        <f>J112*(1+Parameters!$B$54)^Parameters!B$71</f>
        <v>78.377511453264248</v>
      </c>
      <c r="K113" s="5">
        <f>'6states'!$N$4</f>
        <v>0.98104277196026479</v>
      </c>
      <c r="L113" s="7">
        <f t="shared" si="16"/>
        <v>0.5</v>
      </c>
      <c r="N113" s="5">
        <f>(Parameters!$B$19*(E113+Parameters!$B$20)^L113+Parameters!$B$18*F113^L113)^(1/L113)</f>
        <v>0.54955447656929568</v>
      </c>
      <c r="O113" s="5">
        <f>(Parameters!$B$10*G113^Parameters!$B$9 + Parameters!$B$11*N113^Parameters!$B$9) ^ (Parameters!$B$7/Parameters!$B$9) * K113</f>
        <v>1.5019712952871063</v>
      </c>
      <c r="P113" s="5">
        <f t="shared" si="15"/>
        <v>1.1452805781517288</v>
      </c>
      <c r="Q113" s="5">
        <f>EXP(-Parameters!$B$56*A113)</f>
        <v>0.19283892963388949</v>
      </c>
      <c r="R113" s="5">
        <f>IF(P113&gt;0,P113^(1-Parameters!$B$53)/(1-Parameters!$B$53)*Q113,-10+P113*1000)</f>
        <v>-0.52542109393915648</v>
      </c>
      <c r="S113" s="5"/>
    </row>
    <row r="114" spans="1:19" x14ac:dyDescent="0.35">
      <c r="A114">
        <f>A113+Parameters!$B$71</f>
        <v>110</v>
      </c>
      <c r="B114" s="7">
        <f t="shared" si="23"/>
        <v>5.3289702319887791E-2</v>
      </c>
      <c r="C114" s="7">
        <f t="shared" si="23"/>
        <v>1.0277954020588648E-2</v>
      </c>
      <c r="D114" s="5">
        <f t="shared" si="23"/>
        <v>0.29312306079490108</v>
      </c>
      <c r="E114" s="5">
        <f>MAX((1-Parameters!$B$4)^Parameters!B$71*E113+B113*Parameters!B$71-Parameters!$B$5*B113^2/E113*Parameters!B$71,0.0001)</f>
        <v>0.79009850007907623</v>
      </c>
      <c r="F114" s="7">
        <f>MAX((1-Parameters!$B$4)^Parameters!B$71*F113+C113*Parameters!B$71-Parameters!$B$5*C113^2/F113*Parameters!B$71,0.0001)</f>
        <v>0.15239333252032738</v>
      </c>
      <c r="G114" s="5">
        <f>MAX((1-Parameters!$B$4)^Parameters!B$71*G113+D113*Parameters!B$71-Parameters!$B$5*D113^2/G113*Parameters!B$71,0.0001)</f>
        <v>4.3459808649339555</v>
      </c>
      <c r="I114" s="5">
        <f>I113*(1+Parameters!$B$52)^Parameters!B$71</f>
        <v>11.220949377875295</v>
      </c>
      <c r="J114" s="5">
        <f>J113*(1+Parameters!$B$54)^Parameters!B$71</f>
        <v>79.945061682329538</v>
      </c>
      <c r="K114" s="5">
        <f>'6states'!$N$4</f>
        <v>0.98104277196026479</v>
      </c>
      <c r="L114" s="7">
        <f t="shared" si="16"/>
        <v>0.5</v>
      </c>
      <c r="N114" s="5">
        <f>(Parameters!$B$19*(E114+Parameters!$B$20)^L114+Parameters!$B$18*F114^L114)^(1/L114)</f>
        <v>0.54955295222793121</v>
      </c>
      <c r="O114" s="5">
        <f>(Parameters!$B$10*G114^Parameters!$B$9 + Parameters!$B$11*N114^Parameters!$B$9) ^ (Parameters!$B$7/Parameters!$B$9) * K114</f>
        <v>1.5019702229670249</v>
      </c>
      <c r="P114" s="5">
        <f t="shared" si="15"/>
        <v>1.1452795058316474</v>
      </c>
      <c r="Q114" s="5">
        <f>EXP(-Parameters!$B$56*A114)</f>
        <v>0.18994893615922709</v>
      </c>
      <c r="R114" s="5">
        <f>IF(P114&gt;0,P114^(1-Parameters!$B$53)/(1-Parameters!$B$53)*Q114,-10+P114*1000)</f>
        <v>-0.5175470052892005</v>
      </c>
      <c r="S114" s="5"/>
    </row>
    <row r="115" spans="1:19" x14ac:dyDescent="0.35">
      <c r="A115">
        <f>A114+Parameters!$B$71</f>
        <v>111</v>
      </c>
      <c r="B115" s="7">
        <f t="shared" si="23"/>
        <v>5.3289702319887791E-2</v>
      </c>
      <c r="C115" s="7">
        <f t="shared" si="23"/>
        <v>1.0277954020588648E-2</v>
      </c>
      <c r="D115" s="5">
        <f t="shared" si="23"/>
        <v>0.29312306079490108</v>
      </c>
      <c r="E115" s="5">
        <f>MAX((1-Parameters!$B$4)^Parameters!B$71*E114+B114*Parameters!B$71-Parameters!$B$5*B114^2/E114*Parameters!B$71,0.0001)</f>
        <v>0.7900967809948487</v>
      </c>
      <c r="F115" s="7">
        <f>MAX((1-Parameters!$B$4)^Parameters!B$71*F114+C114*Parameters!B$71-Parameters!$B$5*C114^2/F114*Parameters!B$71,0.0001)</f>
        <v>0.15239256376904053</v>
      </c>
      <c r="G115" s="5">
        <f>MAX((1-Parameters!$B$4)^Parameters!B$71*G114+D114*Parameters!B$71-Parameters!$B$5*D114^2/G114*Parameters!B$71,0.0001)</f>
        <v>4.3459714791922481</v>
      </c>
      <c r="I115" s="5">
        <f>I114*(1+Parameters!$B$52)^Parameters!B$71</f>
        <v>11.253490131071132</v>
      </c>
      <c r="J115" s="5">
        <f>J114*(1+Parameters!$B$54)^Parameters!B$71</f>
        <v>81.543962915976124</v>
      </c>
      <c r="K115" s="5">
        <f>'6states'!$N$4</f>
        <v>0.98104277196026479</v>
      </c>
      <c r="L115" s="7">
        <f t="shared" si="16"/>
        <v>0.5</v>
      </c>
      <c r="N115" s="5">
        <f>(Parameters!$B$19*(E115+Parameters!$B$20)^L115+Parameters!$B$18*F115^L115)^(1/L115)</f>
        <v>0.54955151683319292</v>
      </c>
      <c r="O115" s="5">
        <f>(Parameters!$B$10*G115^Parameters!$B$9 + Parameters!$B$11*N115^Parameters!$B$9) ^ (Parameters!$B$7/Parameters!$B$9) * K115</f>
        <v>1.5019692132160916</v>
      </c>
      <c r="P115" s="5">
        <f t="shared" si="15"/>
        <v>1.1452784960807141</v>
      </c>
      <c r="Q115" s="5">
        <f>EXP(-Parameters!$B$56*A115)</f>
        <v>0.18710225376443562</v>
      </c>
      <c r="R115" s="5">
        <f>IF(P115&gt;0,P115^(1-Parameters!$B$53)/(1-Parameters!$B$53)*Q115,-10+P115*1000)</f>
        <v>-0.5097909099043294</v>
      </c>
      <c r="S115" s="5"/>
    </row>
    <row r="116" spans="1:19" x14ac:dyDescent="0.35">
      <c r="A116">
        <f>A115+Parameters!$B$71</f>
        <v>112</v>
      </c>
      <c r="B116" s="7">
        <f t="shared" si="23"/>
        <v>5.3289702319887791E-2</v>
      </c>
      <c r="C116" s="7">
        <f t="shared" si="23"/>
        <v>1.0277954020588648E-2</v>
      </c>
      <c r="D116" s="5">
        <f t="shared" si="23"/>
        <v>0.29312306079490108</v>
      </c>
      <c r="E116" s="5">
        <f>MAX((1-Parameters!$B$4)^Parameters!B$71*E115+B115*Parameters!B$71-Parameters!$B$5*B115^2/E115*Parameters!B$71,0.0001)</f>
        <v>0.79009516222074072</v>
      </c>
      <c r="F116" s="7">
        <f>MAX((1-Parameters!$B$4)^Parameters!B$71*F115+C115*Parameters!B$71-Parameters!$B$5*C115^2/F115*Parameters!B$71,0.0001)</f>
        <v>0.1523918398754204</v>
      </c>
      <c r="G116" s="5">
        <f>MAX((1-Parameters!$B$4)^Parameters!B$71*G115+D115*Parameters!B$71-Parameters!$B$5*D115^2/G115*Parameters!B$71,0.0001)</f>
        <v>4.345962641117036</v>
      </c>
      <c r="I116" s="5">
        <f>I115*(1+Parameters!$B$52)^Parameters!B$71</f>
        <v>11.286125252451237</v>
      </c>
      <c r="J116" s="5">
        <f>J115*(1+Parameters!$B$54)^Parameters!B$71</f>
        <v>83.174842174295648</v>
      </c>
      <c r="K116" s="5">
        <f>'6states'!$N$4</f>
        <v>0.98104277196026479</v>
      </c>
      <c r="L116" s="7">
        <f t="shared" si="16"/>
        <v>0.5</v>
      </c>
      <c r="N116" s="5">
        <f>(Parameters!$B$19*(E116+Parameters!$B$20)^L116+Parameters!$B$18*F116^L116)^(1/L116)</f>
        <v>0.54955016519494537</v>
      </c>
      <c r="O116" s="5">
        <f>(Parameters!$B$10*G116^Parameters!$B$9 + Parameters!$B$11*N116^Parameters!$B$9) ^ (Parameters!$B$7/Parameters!$B$9) * K116</f>
        <v>1.5019682623835133</v>
      </c>
      <c r="P116" s="5">
        <f t="shared" si="15"/>
        <v>1.1452775452481359</v>
      </c>
      <c r="Q116" s="5">
        <f>EXP(-Parameters!$B$56*A116)</f>
        <v>0.18429823336512921</v>
      </c>
      <c r="R116" s="5">
        <f>IF(P116&gt;0,P116^(1-Parameters!$B$53)/(1-Parameters!$B$53)*Q116,-10+P116*1000)</f>
        <v>-0.50215104036108138</v>
      </c>
      <c r="S116" s="5"/>
    </row>
    <row r="117" spans="1:19" x14ac:dyDescent="0.35">
      <c r="A117">
        <f>A116+Parameters!$B$71</f>
        <v>113</v>
      </c>
      <c r="B117" s="7">
        <f t="shared" si="23"/>
        <v>5.3289702319887791E-2</v>
      </c>
      <c r="C117" s="7">
        <f t="shared" si="23"/>
        <v>1.0277954020588648E-2</v>
      </c>
      <c r="D117" s="5">
        <f t="shared" si="23"/>
        <v>0.29312306079490108</v>
      </c>
      <c r="E117" s="5">
        <f>MAX((1-Parameters!$B$4)^Parameters!B$71*E116+B116*Parameters!B$71-Parameters!$B$5*B116^2/E116*Parameters!B$71,0.0001)</f>
        <v>0.79009363790353493</v>
      </c>
      <c r="F117" s="7">
        <f>MAX((1-Parameters!$B$4)^Parameters!B$71*F116+C116*Parameters!B$71-Parameters!$B$5*C116^2/F116*Parameters!B$71,0.0001)</f>
        <v>0.15239115822192981</v>
      </c>
      <c r="G117" s="5">
        <f>MAX((1-Parameters!$B$4)^Parameters!B$71*G116+D116*Parameters!B$71-Parameters!$B$5*D116^2/G116*Parameters!B$71,0.0001)</f>
        <v>4.345954318751315</v>
      </c>
      <c r="I117" s="5">
        <f>I116*(1+Parameters!$B$52)^Parameters!B$71</f>
        <v>11.318855015683344</v>
      </c>
      <c r="J117" s="5">
        <f>J116*(1+Parameters!$B$54)^Parameters!B$71</f>
        <v>84.838339017781564</v>
      </c>
      <c r="K117" s="5">
        <f>'6states'!$N$4</f>
        <v>0.98104277196026479</v>
      </c>
      <c r="L117" s="7">
        <f t="shared" si="16"/>
        <v>0.5</v>
      </c>
      <c r="N117" s="5">
        <f>(Parameters!$B$19*(E117+Parameters!$B$20)^L117+Parameters!$B$18*F117^L117)^(1/L117)</f>
        <v>0.54954889242590577</v>
      </c>
      <c r="O117" s="5">
        <f>(Parameters!$B$10*G117^Parameters!$B$9 + Parameters!$B$11*N117^Parameters!$B$9) ^ (Parameters!$B$7/Parameters!$B$9) * K117</f>
        <v>1.5019673670315046</v>
      </c>
      <c r="P117" s="5">
        <f t="shared" si="15"/>
        <v>1.1452766498961271</v>
      </c>
      <c r="Q117" s="5">
        <f>EXP(-Parameters!$B$56*A117)</f>
        <v>0.18153623560446847</v>
      </c>
      <c r="R117" s="5">
        <f>IF(P117&gt;0,P117^(1-Parameters!$B$53)/(1-Parameters!$B$53)*Q117,-10+P117*1000)</f>
        <v>-0.4946256556590849</v>
      </c>
      <c r="S117" s="5"/>
    </row>
    <row r="118" spans="1:19" x14ac:dyDescent="0.35">
      <c r="A118">
        <f>A117+Parameters!$B$71</f>
        <v>114</v>
      </c>
      <c r="B118" s="7">
        <f t="shared" si="23"/>
        <v>5.3289702319887791E-2</v>
      </c>
      <c r="C118" s="7">
        <f t="shared" si="23"/>
        <v>1.0277954020588648E-2</v>
      </c>
      <c r="D118" s="5">
        <f t="shared" si="23"/>
        <v>0.29312306079490108</v>
      </c>
      <c r="E118" s="5">
        <f>MAX((1-Parameters!$B$4)^Parameters!B$71*E117+B117*Parameters!B$71-Parameters!$B$5*B117^2/E117*Parameters!B$71,0.0001)</f>
        <v>0.79009220253155987</v>
      </c>
      <c r="F118" s="7">
        <f>MAX((1-Parameters!$B$4)^Parameters!B$71*F117+C117*Parameters!B$71-Parameters!$B$5*C117^2/F117*Parameters!B$71,0.0001)</f>
        <v>0.15239051634377396</v>
      </c>
      <c r="G118" s="5">
        <f>MAX((1-Parameters!$B$4)^Parameters!B$71*G117+D117*Parameters!B$71-Parameters!$B$5*D117^2/G117*Parameters!B$71,0.0001)</f>
        <v>4.3459464820028328</v>
      </c>
      <c r="I118" s="5">
        <f>I117*(1+Parameters!$B$52)^Parameters!B$71</f>
        <v>11.351679695228825</v>
      </c>
      <c r="J118" s="5">
        <f>J117*(1+Parameters!$B$54)^Parameters!B$71</f>
        <v>86.535105798137195</v>
      </c>
      <c r="K118" s="5">
        <f>'6states'!$N$4</f>
        <v>0.98104277196026479</v>
      </c>
      <c r="L118" s="7">
        <f t="shared" si="16"/>
        <v>0.5</v>
      </c>
      <c r="N118" s="5">
        <f>(Parameters!$B$19*(E118+Parameters!$B$20)^L118+Parameters!$B$18*F118^L118)^(1/L118)</f>
        <v>0.54954769392397229</v>
      </c>
      <c r="O118" s="5">
        <f>(Parameters!$B$10*G118^Parameters!$B$9 + Parameters!$B$11*N118^Parameters!$B$9) ^ (Parameters!$B$7/Parameters!$B$9) * K118</f>
        <v>1.501966523922863</v>
      </c>
      <c r="P118" s="5">
        <f t="shared" si="15"/>
        <v>1.1452758067874855</v>
      </c>
      <c r="Q118" s="5">
        <f>EXP(-Parameters!$B$56*A118)</f>
        <v>0.17881563070737777</v>
      </c>
      <c r="R118" s="5">
        <f>IF(P118&gt;0,P118^(1-Parameters!$B$53)/(1-Parameters!$B$53)*Q118,-10+P118*1000)</f>
        <v>-0.48721304082974098</v>
      </c>
      <c r="S118" s="5"/>
    </row>
    <row r="119" spans="1:19" x14ac:dyDescent="0.35">
      <c r="A119">
        <f>A118+Parameters!$B$71</f>
        <v>115</v>
      </c>
      <c r="B119" s="7">
        <f t="shared" si="23"/>
        <v>5.3289702319887791E-2</v>
      </c>
      <c r="C119" s="7">
        <f t="shared" si="23"/>
        <v>1.0277954020588648E-2</v>
      </c>
      <c r="D119" s="5">
        <f t="shared" si="23"/>
        <v>0.29312306079490108</v>
      </c>
      <c r="E119" s="5">
        <f>MAX((1-Parameters!$B$4)^Parameters!B$71*E118+B118*Parameters!B$71-Parameters!$B$5*B118^2/E118*Parameters!B$71,0.0001)</f>
        <v>0.79009085091475972</v>
      </c>
      <c r="F119" s="7">
        <f>MAX((1-Parameters!$B$4)^Parameters!B$71*F118+C118*Parameters!B$71-Parameters!$B$5*C118^2/F118*Parameters!B$71,0.0001)</f>
        <v>0.15238991191998691</v>
      </c>
      <c r="G119" s="5">
        <f>MAX((1-Parameters!$B$4)^Parameters!B$71*G118+D118*Parameters!B$71-Parameters!$B$5*D118^2/G118*Parameters!B$71,0.0001)</f>
        <v>4.3459391025352705</v>
      </c>
      <c r="I119" s="5">
        <f>I118*(1+Parameters!$B$52)^Parameters!B$71</f>
        <v>11.384599566344987</v>
      </c>
      <c r="J119" s="5">
        <f>J118*(1+Parameters!$B$54)^Parameters!B$71</f>
        <v>88.265807914099938</v>
      </c>
      <c r="K119" s="5">
        <f>'6states'!$N$4</f>
        <v>0.98104277196026479</v>
      </c>
      <c r="L119" s="7">
        <f t="shared" si="16"/>
        <v>0.5</v>
      </c>
      <c r="N119" s="5">
        <f>(Parameters!$B$19*(E119+Parameters!$B$20)^L119+Parameters!$B$18*F119^L119)^(1/L119)</f>
        <v>0.54954656535558222</v>
      </c>
      <c r="O119" s="5">
        <f>(Parameters!$B$10*G119^Parameters!$B$9 + Parameters!$B$11*N119^Parameters!$B$9) ^ (Parameters!$B$7/Parameters!$B$9) * K119</f>
        <v>1.5019657300092637</v>
      </c>
      <c r="P119" s="5">
        <f t="shared" si="15"/>
        <v>1.1452750128738862</v>
      </c>
      <c r="Q119" s="5">
        <f>EXP(-Parameters!$B$56*A119)</f>
        <v>0.17613579833694784</v>
      </c>
      <c r="R119" s="5">
        <f>IF(P119&gt;0,P119^(1-Parameters!$B$53)/(1-Parameters!$B$53)*Q119,-10+P119*1000)</f>
        <v>-0.47991150655043341</v>
      </c>
      <c r="S119" s="5"/>
    </row>
    <row r="120" spans="1:19" x14ac:dyDescent="0.35">
      <c r="A120">
        <f>A119+Parameters!$B$71</f>
        <v>116</v>
      </c>
      <c r="B120" s="7">
        <f t="shared" si="23"/>
        <v>5.3289702319887791E-2</v>
      </c>
      <c r="C120" s="7">
        <f t="shared" si="23"/>
        <v>1.0277954020588648E-2</v>
      </c>
      <c r="D120" s="5">
        <f t="shared" si="23"/>
        <v>0.29312306079490108</v>
      </c>
      <c r="E120" s="5">
        <f>MAX((1-Parameters!$B$4)^Parameters!B$71*E119+B119*Parameters!B$71-Parameters!$B$5*B119^2/E119*Parameters!B$71,0.0001)</f>
        <v>0.79008957816592729</v>
      </c>
      <c r="F120" s="7">
        <f>MAX((1-Parameters!$B$4)^Parameters!B$71*F119+C119*Parameters!B$71-Parameters!$B$5*C119^2/F119*Parameters!B$71,0.0001)</f>
        <v>0.15238934276503832</v>
      </c>
      <c r="G120" s="5">
        <f>MAX((1-Parameters!$B$4)^Parameters!B$71*G119+D119*Parameters!B$71-Parameters!$B$5*D119^2/G119*Parameters!B$71,0.0001)</f>
        <v>4.3459321536657818</v>
      </c>
      <c r="I120" s="5">
        <f>I119*(1+Parameters!$B$52)^Parameters!B$71</f>
        <v>11.417614905087387</v>
      </c>
      <c r="J120" s="5">
        <f>J119*(1+Parameters!$B$54)^Parameters!B$71</f>
        <v>90.031124072381942</v>
      </c>
      <c r="K120" s="5">
        <f>'6states'!$N$4</f>
        <v>0.98104277196026479</v>
      </c>
      <c r="L120" s="7">
        <f t="shared" si="16"/>
        <v>0.5</v>
      </c>
      <c r="N120" s="5">
        <f>(Parameters!$B$19*(E120+Parameters!$B$20)^L120+Parameters!$B$18*F120^L120)^(1/L120)</f>
        <v>0.54954550264004309</v>
      </c>
      <c r="O120" s="5">
        <f>(Parameters!$B$10*G120^Parameters!$B$9 + Parameters!$B$11*N120^Parameters!$B$9) ^ (Parameters!$B$7/Parameters!$B$9) * K120</f>
        <v>1.5019649824202421</v>
      </c>
      <c r="P120" s="5">
        <f t="shared" si="15"/>
        <v>1.1452742652848646</v>
      </c>
      <c r="Q120" s="5">
        <f>EXP(-Parameters!$B$56*A120)</f>
        <v>0.17349612745298973</v>
      </c>
      <c r="R120" s="5">
        <f>IF(P120&gt;0,P120^(1-Parameters!$B$53)/(1-Parameters!$B$53)*Q120,-10+P120*1000)</f>
        <v>-0.47271938876420405</v>
      </c>
      <c r="S120" s="5"/>
    </row>
    <row r="121" spans="1:19" x14ac:dyDescent="0.35">
      <c r="A121">
        <f>A120+Parameters!$B$71</f>
        <v>117</v>
      </c>
      <c r="B121" s="7">
        <f t="shared" si="23"/>
        <v>5.3289702319887791E-2</v>
      </c>
      <c r="C121" s="7">
        <f t="shared" si="23"/>
        <v>1.0277954020588648E-2</v>
      </c>
      <c r="D121" s="5">
        <f t="shared" si="23"/>
        <v>0.29312306079490108</v>
      </c>
      <c r="E121" s="5">
        <f>MAX((1-Parameters!$B$4)^Parameters!B$71*E120+B120*Parameters!B$71-Parameters!$B$5*B120^2/E120*Parameters!B$71,0.0001)</f>
        <v>0.79008837968303158</v>
      </c>
      <c r="F121" s="7">
        <f>MAX((1-Parameters!$B$4)^Parameters!B$71*F120+C120*Parameters!B$71-Parameters!$B$5*C120^2/F120*Parameters!B$71,0.0001)</f>
        <v>0.15238880682093012</v>
      </c>
      <c r="G121" s="5">
        <f>MAX((1-Parameters!$B$4)^Parameters!B$71*G120+D120*Parameters!B$71-Parameters!$B$5*D120^2/G120*Parameters!B$71,0.0001)</f>
        <v>4.3459256102685053</v>
      </c>
      <c r="I121" s="5">
        <f>I120*(1+Parameters!$B$52)^Parameters!B$71</f>
        <v>11.450725988312138</v>
      </c>
      <c r="J121" s="5">
        <f>J120*(1+Parameters!$B$54)^Parameters!B$71</f>
        <v>91.831746553829589</v>
      </c>
      <c r="K121" s="5">
        <f>'6states'!$N$4</f>
        <v>0.98104277196026479</v>
      </c>
      <c r="L121" s="7">
        <f t="shared" si="16"/>
        <v>0.5</v>
      </c>
      <c r="N121" s="5">
        <f>(Parameters!$B$19*(E121+Parameters!$B$20)^L121+Parameters!$B$18*F121^L121)^(1/L121)</f>
        <v>0.54954450193477655</v>
      </c>
      <c r="O121" s="5">
        <f>(Parameters!$B$10*G121^Parameters!$B$9 + Parameters!$B$11*N121^Parameters!$B$9) ^ (Parameters!$B$7/Parameters!$B$9) * K121</f>
        <v>1.5019642784528162</v>
      </c>
      <c r="P121" s="5">
        <f t="shared" si="15"/>
        <v>1.1452735613174387</v>
      </c>
      <c r="Q121" s="5">
        <f>EXP(-Parameters!$B$56*A121)</f>
        <v>0.17089601617270908</v>
      </c>
      <c r="R121" s="5">
        <f>IF(P121&gt;0,P121^(1-Parameters!$B$53)/(1-Parameters!$B$53)*Q121,-10+P121*1000)</f>
        <v>-0.46563504830483826</v>
      </c>
      <c r="S121" s="5"/>
    </row>
    <row r="122" spans="1:19" x14ac:dyDescent="0.35">
      <c r="A122">
        <f>A121+Parameters!$B$71</f>
        <v>118</v>
      </c>
      <c r="B122" s="7">
        <f t="shared" si="23"/>
        <v>5.3289702319887791E-2</v>
      </c>
      <c r="C122" s="7">
        <f t="shared" si="23"/>
        <v>1.0277954020588648E-2</v>
      </c>
      <c r="D122" s="5">
        <f t="shared" si="23"/>
        <v>0.29312306079490108</v>
      </c>
      <c r="E122" s="5">
        <f>MAX((1-Parameters!$B$4)^Parameters!B$71*E121+B121*Parameters!B$71-Parameters!$B$5*B121^2/E121*Parameters!B$71,0.0001)</f>
        <v>0.79008725113257716</v>
      </c>
      <c r="F122" s="7">
        <f>MAX((1-Parameters!$B$4)^Parameters!B$71*F121+C121*Parameters!B$71-Parameters!$B$5*C121^2/F121*Parameters!B$71,0.0001)</f>
        <v>0.15238830214975413</v>
      </c>
      <c r="G122" s="5">
        <f>MAX((1-Parameters!$B$4)^Parameters!B$71*G121+D121*Parameters!B$71-Parameters!$B$5*D121^2/G121*Parameters!B$71,0.0001)</f>
        <v>4.3459194486837145</v>
      </c>
      <c r="I122" s="5">
        <f>I121*(1+Parameters!$B$52)^Parameters!B$71</f>
        <v>11.483933093678242</v>
      </c>
      <c r="J122" s="5">
        <f>J121*(1+Parameters!$B$54)^Parameters!B$71</f>
        <v>93.668381484906178</v>
      </c>
      <c r="K122" s="5">
        <f>'6states'!$N$4</f>
        <v>0.98104277196026479</v>
      </c>
      <c r="L122" s="7">
        <f t="shared" si="16"/>
        <v>0.5</v>
      </c>
      <c r="N122" s="5">
        <f>(Parameters!$B$19*(E122+Parameters!$B$20)^L122+Parameters!$B$18*F122^L122)^(1/L122)</f>
        <v>0.54954355962142321</v>
      </c>
      <c r="O122" s="5">
        <f>(Parameters!$B$10*G122^Parameters!$B$9 + Parameters!$B$11*N122^Parameters!$B$9) ^ (Parameters!$B$7/Parameters!$B$9) * K122</f>
        <v>1.5019636155617144</v>
      </c>
      <c r="P122" s="5">
        <f t="shared" si="15"/>
        <v>1.1452728984263369</v>
      </c>
      <c r="Q122" s="5">
        <f>EXP(-Parameters!$B$56*A122)</f>
        <v>0.16833487163346803</v>
      </c>
      <c r="R122" s="5">
        <f>IF(P122&gt;0,P122^(1-Parameters!$B$53)/(1-Parameters!$B$53)*Q122,-10+P122*1000)</f>
        <v>-0.45865687052729787</v>
      </c>
      <c r="S122" s="5"/>
    </row>
    <row r="123" spans="1:19" x14ac:dyDescent="0.35">
      <c r="A123">
        <f>A122+Parameters!$B$71</f>
        <v>119</v>
      </c>
      <c r="B123" s="7">
        <f t="shared" si="23"/>
        <v>5.3289702319887791E-2</v>
      </c>
      <c r="C123" s="7">
        <f t="shared" si="23"/>
        <v>1.0277954020588648E-2</v>
      </c>
      <c r="D123" s="5">
        <f t="shared" si="23"/>
        <v>0.29312306079490108</v>
      </c>
      <c r="E123" s="5">
        <f>MAX((1-Parameters!$B$4)^Parameters!B$71*E122+B122*Parameters!B$71-Parameters!$B$5*B122^2/E122*Parameters!B$71,0.0001)</f>
        <v>0.79008618843393486</v>
      </c>
      <c r="F123" s="7">
        <f>MAX((1-Parameters!$B$4)^Parameters!B$71*F122+C122*Parameters!B$71-Parameters!$B$5*C122^2/F122*Parameters!B$71,0.0001)</f>
        <v>0.15238782692668451</v>
      </c>
      <c r="G123" s="5">
        <f>MAX((1-Parameters!$B$4)^Parameters!B$71*G122+D122*Parameters!B$71-Parameters!$B$5*D122^2/G122*Parameters!B$71,0.0001)</f>
        <v>4.3459136466322619</v>
      </c>
      <c r="I123" s="5">
        <f>I122*(1+Parameters!$B$52)^Parameters!B$71</f>
        <v>11.517236499649908</v>
      </c>
      <c r="J123" s="5">
        <f>J122*(1+Parameters!$B$54)^Parameters!B$71</f>
        <v>95.541749114604301</v>
      </c>
      <c r="K123" s="5">
        <f>'6states'!$N$4</f>
        <v>0.98104277196026479</v>
      </c>
      <c r="L123" s="7">
        <f t="shared" si="16"/>
        <v>0.5</v>
      </c>
      <c r="N123" s="5">
        <f>(Parameters!$B$19*(E123+Parameters!$B$20)^L123+Parameters!$B$18*F123^L123)^(1/L123)</f>
        <v>0.54954267229276088</v>
      </c>
      <c r="O123" s="5">
        <f>(Parameters!$B$10*G123^Parameters!$B$9 + Parameters!$B$11*N123^Parameters!$B$9) ^ (Parameters!$B$7/Parameters!$B$9) * K123</f>
        <v>1.5019629913501755</v>
      </c>
      <c r="P123" s="5">
        <f t="shared" si="15"/>
        <v>1.145272274214798</v>
      </c>
      <c r="Q123" s="5">
        <f>EXP(-Parameters!$B$56*A123)</f>
        <v>0.16581210985760431</v>
      </c>
      <c r="R123" s="5">
        <f>IF(P123&gt;0,P123^(1-Parameters!$B$53)/(1-Parameters!$B$53)*Q123,-10+P123*1000)</f>
        <v>-0.45178326494344323</v>
      </c>
      <c r="S123" s="5"/>
    </row>
    <row r="124" spans="1:19" x14ac:dyDescent="0.35">
      <c r="A124">
        <f>A123+Parameters!$B$71</f>
        <v>120</v>
      </c>
      <c r="B124" s="7">
        <f t="shared" si="23"/>
        <v>5.3289702319887791E-2</v>
      </c>
      <c r="C124" s="7">
        <f t="shared" si="23"/>
        <v>1.0277954020588648E-2</v>
      </c>
      <c r="D124" s="5">
        <f t="shared" si="23"/>
        <v>0.29312306079490108</v>
      </c>
      <c r="E124" s="5">
        <f>MAX((1-Parameters!$B$4)^Parameters!B$71*E123+B123*Parameters!B$71-Parameters!$B$5*B123^2/E123*Parameters!B$71,0.0001)</f>
        <v>0.79008518774458569</v>
      </c>
      <c r="F124" s="7">
        <f>MAX((1-Parameters!$B$4)^Parameters!B$71*F123+C123*Parameters!B$71-Parameters!$B$5*C123^2/F123*Parameters!B$71,0.0001)</f>
        <v>0.15238737943337863</v>
      </c>
      <c r="G124" s="5">
        <f>MAX((1-Parameters!$B$4)^Parameters!B$71*G123+D123*Parameters!B$71-Parameters!$B$5*D123^2/G123*Parameters!B$71,0.0001)</f>
        <v>4.3459081831350206</v>
      </c>
      <c r="I124" s="5">
        <f>I123*(1+Parameters!$B$52)^Parameters!B$71</f>
        <v>11.550636485498892</v>
      </c>
      <c r="J124" s="5">
        <f>J123*(1+Parameters!$B$54)^Parameters!B$71</f>
        <v>97.452584096896388</v>
      </c>
      <c r="K124" s="5">
        <f>'6states'!$N$4</f>
        <v>0.98104277196026479</v>
      </c>
      <c r="L124" s="7">
        <f t="shared" si="16"/>
        <v>0.5</v>
      </c>
      <c r="N124" s="5">
        <f>(Parameters!$B$19*(E124+Parameters!$B$20)^L124+Parameters!$B$18*F124^L124)^(1/L124)</f>
        <v>0.54954183674038248</v>
      </c>
      <c r="O124" s="5">
        <f>(Parameters!$B$10*G124^Parameters!$B$9 + Parameters!$B$11*N124^Parameters!$B$9) ^ (Parameters!$B$7/Parameters!$B$9) * K124</f>
        <v>1.5019624035612833</v>
      </c>
      <c r="P124" s="5">
        <f t="shared" si="15"/>
        <v>1.1452716864259058</v>
      </c>
      <c r="Q124" s="5">
        <f>EXP(-Parameters!$B$56*A124)</f>
        <v>0.16332715561927577</v>
      </c>
      <c r="R124" s="5">
        <f>IF(P124&gt;0,P124^(1-Parameters!$B$53)/(1-Parameters!$B$53)*Q124,-10+P124*1000)</f>
        <v>-0.44501266486298019</v>
      </c>
      <c r="S124" s="5"/>
    </row>
    <row r="125" spans="1:19" x14ac:dyDescent="0.35">
      <c r="A125">
        <f>A124+Parameters!$B$71</f>
        <v>121</v>
      </c>
      <c r="B125" s="7">
        <f t="shared" si="23"/>
        <v>5.3289702319887791E-2</v>
      </c>
      <c r="C125" s="7">
        <f t="shared" si="23"/>
        <v>1.0277954020588648E-2</v>
      </c>
      <c r="D125" s="5">
        <f t="shared" si="23"/>
        <v>0.29312306079490108</v>
      </c>
      <c r="E125" s="5">
        <f>MAX((1-Parameters!$B$4)^Parameters!B$71*E124+B124*Parameters!B$71-Parameters!$B$5*B124^2/E124*Parameters!B$71,0.0001)</f>
        <v>0.79008424544622746</v>
      </c>
      <c r="F125" s="7">
        <f>MAX((1-Parameters!$B$4)^Parameters!B$71*F124+C124*Parameters!B$71-Parameters!$B$5*C124^2/F124*Parameters!B$71,0.0001)</f>
        <v>0.15238695805176342</v>
      </c>
      <c r="G125" s="5">
        <f>MAX((1-Parameters!$B$4)^Parameters!B$71*G124+D124*Parameters!B$71-Parameters!$B$5*D124^2/G124*Parameters!B$71,0.0001)</f>
        <v>4.345903038437025</v>
      </c>
      <c r="I125" s="5">
        <f>I124*(1+Parameters!$B$52)^Parameters!B$71</f>
        <v>11.584133331306838</v>
      </c>
      <c r="J125" s="5">
        <f>J124*(1+Parameters!$B$54)^Parameters!B$71</f>
        <v>99.401635778834319</v>
      </c>
      <c r="K125" s="5">
        <f>'6states'!$N$4</f>
        <v>0.98104277196026479</v>
      </c>
      <c r="L125" s="7">
        <f t="shared" si="16"/>
        <v>0.5</v>
      </c>
      <c r="N125" s="5">
        <f>(Parameters!$B$19*(E125+Parameters!$B$20)^L125+Parameters!$B$18*F125^L125)^(1/L125)</f>
        <v>0.54954104994309527</v>
      </c>
      <c r="O125" s="5">
        <f>(Parameters!$B$10*G125^Parameters!$B$9 + Parameters!$B$11*N125^Parameters!$B$9) ^ (Parameters!$B$7/Parameters!$B$9) * K125</f>
        <v>1.5019618500698066</v>
      </c>
      <c r="P125" s="5">
        <f t="shared" si="15"/>
        <v>1.1452711329344292</v>
      </c>
      <c r="Q125" s="5">
        <f>EXP(-Parameters!$B$56*A125)</f>
        <v>0.16087944231330067</v>
      </c>
      <c r="R125" s="5">
        <f>IF(P125&gt;0,P125^(1-Parameters!$B$53)/(1-Parameters!$B$53)*Q125,-10+P125*1000)</f>
        <v>-0.43834352703957391</v>
      </c>
      <c r="S125" s="5"/>
    </row>
    <row r="126" spans="1:19" x14ac:dyDescent="0.35">
      <c r="A126">
        <f>A125+Parameters!$B$71</f>
        <v>122</v>
      </c>
      <c r="B126" s="7">
        <f t="shared" si="23"/>
        <v>5.3289702319887791E-2</v>
      </c>
      <c r="C126" s="7">
        <f t="shared" si="23"/>
        <v>1.0277954020588648E-2</v>
      </c>
      <c r="D126" s="5">
        <f t="shared" si="23"/>
        <v>0.29312306079490108</v>
      </c>
      <c r="E126" s="5">
        <f>MAX((1-Parameters!$B$4)^Parameters!B$71*E125+B125*Parameters!B$71-Parameters!$B$5*B125^2/E125*Parameters!B$71,0.0001)</f>
        <v>0.79008335813169051</v>
      </c>
      <c r="F126" s="7">
        <f>MAX((1-Parameters!$B$4)^Parameters!B$71*F125+C125*Parameters!B$71-Parameters!$B$5*C125^2/F125*Parameters!B$71,0.0001)</f>
        <v>0.15238656125818417</v>
      </c>
      <c r="G126" s="5">
        <f>MAX((1-Parameters!$B$4)^Parameters!B$71*G125+D125*Parameters!B$71-Parameters!$B$5*D125^2/G125*Parameters!B$71,0.0001)</f>
        <v>4.3458981939360379</v>
      </c>
      <c r="I126" s="5">
        <f>I125*(1+Parameters!$B$52)^Parameters!B$71</f>
        <v>11.617727317967626</v>
      </c>
      <c r="J126" s="5">
        <f>J125*(1+Parameters!$B$54)^Parameters!B$71</f>
        <v>101.38966849441101</v>
      </c>
      <c r="K126" s="5">
        <f>'6states'!$N$4</f>
        <v>0.98104277196026479</v>
      </c>
      <c r="L126" s="7">
        <f t="shared" si="16"/>
        <v>0.5</v>
      </c>
      <c r="N126" s="5">
        <f>(Parameters!$B$19*(E126+Parameters!$B$20)^L126+Parameters!$B$18*F126^L126)^(1/L126)</f>
        <v>0.54954030905599693</v>
      </c>
      <c r="O126" s="5">
        <f>(Parameters!$B$10*G126^Parameters!$B$9 + Parameters!$B$11*N126^Parameters!$B$9) ^ (Parameters!$B$7/Parameters!$B$9) * K126</f>
        <v>1.5019613288745171</v>
      </c>
      <c r="P126" s="5">
        <f t="shared" si="15"/>
        <v>1.1452706117391396</v>
      </c>
      <c r="Q126" s="5">
        <f>EXP(-Parameters!$B$56*A126)</f>
        <v>0.15846841182596355</v>
      </c>
      <c r="R126" s="5">
        <f>IF(P126&gt;0,P126^(1-Parameters!$B$53)/(1-Parameters!$B$53)*Q126,-10+P126*1000)</f>
        <v>-0.43177433132206566</v>
      </c>
      <c r="S126" s="5"/>
    </row>
    <row r="127" spans="1:19" x14ac:dyDescent="0.35">
      <c r="A127">
        <f>A126+Parameters!$B$71</f>
        <v>123</v>
      </c>
      <c r="B127" s="7">
        <f t="shared" si="23"/>
        <v>5.3289702319887791E-2</v>
      </c>
      <c r="C127" s="7">
        <f t="shared" si="23"/>
        <v>1.0277954020588648E-2</v>
      </c>
      <c r="D127" s="5">
        <f t="shared" si="23"/>
        <v>0.29312306079490108</v>
      </c>
      <c r="E127" s="5">
        <f>MAX((1-Parameters!$B$4)^Parameters!B$71*E126+B126*Parameters!B$71-Parameters!$B$5*B126^2/E126*Parameters!B$71,0.0001)</f>
        <v>0.79008252259261791</v>
      </c>
      <c r="F127" s="7">
        <f>MAX((1-Parameters!$B$4)^Parameters!B$71*F126+C126*Parameters!B$71-Parameters!$B$5*C126^2/F126*Parameters!B$71,0.0001)</f>
        <v>0.15238618761789488</v>
      </c>
      <c r="G127" s="5">
        <f>MAX((1-Parameters!$B$4)^Parameters!B$71*G126+D126*Parameters!B$71-Parameters!$B$5*D126^2/G126*Parameters!B$71,0.0001)</f>
        <v>4.3458936321152875</v>
      </c>
      <c r="I127" s="5">
        <f>I126*(1+Parameters!$B$52)^Parameters!B$71</f>
        <v>11.65141872718973</v>
      </c>
      <c r="J127" s="5">
        <f>J126*(1+Parameters!$B$54)^Parameters!B$71</f>
        <v>103.41746186429923</v>
      </c>
      <c r="K127" s="5">
        <f>'6states'!$N$4</f>
        <v>0.98104277196026479</v>
      </c>
      <c r="L127" s="7">
        <f t="shared" si="16"/>
        <v>0.5</v>
      </c>
      <c r="N127" s="5">
        <f>(Parameters!$B$19*(E127+Parameters!$B$20)^L127+Parameters!$B$18*F127^L127)^(1/L127)</f>
        <v>0.54953961140018903</v>
      </c>
      <c r="O127" s="5">
        <f>(Parameters!$B$10*G127^Parameters!$B$9 + Parameters!$B$11*N127^Parameters!$B$9) ^ (Parameters!$B$7/Parameters!$B$9) * K127</f>
        <v>1.501960838090955</v>
      </c>
      <c r="P127" s="5">
        <f t="shared" si="15"/>
        <v>1.1452701209555776</v>
      </c>
      <c r="Q127" s="5">
        <f>EXP(-Parameters!$B$56*A127)</f>
        <v>0.15609351440775748</v>
      </c>
      <c r="R127" s="5">
        <f>IF(P127&gt;0,P127^(1-Parameters!$B$53)/(1-Parameters!$B$53)*Q127,-10+P127*1000)</f>
        <v>-0.42530358031073101</v>
      </c>
      <c r="S127" s="5"/>
    </row>
    <row r="128" spans="1:19" x14ac:dyDescent="0.35">
      <c r="A128">
        <f>A127+Parameters!$B$71</f>
        <v>124</v>
      </c>
      <c r="B128" s="7">
        <f t="shared" ref="B128:D143" si="24">B127</f>
        <v>5.3289702319887791E-2</v>
      </c>
      <c r="C128" s="7">
        <f t="shared" si="24"/>
        <v>1.0277954020588648E-2</v>
      </c>
      <c r="D128" s="5">
        <f t="shared" si="24"/>
        <v>0.29312306079490108</v>
      </c>
      <c r="E128" s="5">
        <f>MAX((1-Parameters!$B$4)^Parameters!B$71*E127+B127*Parameters!B$71-Parameters!$B$5*B127^2/E127*Parameters!B$71,0.0001)</f>
        <v>0.79008173580786445</v>
      </c>
      <c r="F128" s="7">
        <f>MAX((1-Parameters!$B$4)^Parameters!B$71*F127+C127*Parameters!B$71-Parameters!$B$5*C127^2/F127*Parameters!B$71,0.0001)</f>
        <v>0.15238583577987003</v>
      </c>
      <c r="G128" s="5">
        <f>MAX((1-Parameters!$B$4)^Parameters!B$71*G127+D127*Parameters!B$71-Parameters!$B$5*D127^2/G127*Parameters!B$71,0.0001)</f>
        <v>4.3458893364801261</v>
      </c>
      <c r="I128" s="5">
        <f>I127*(1+Parameters!$B$52)^Parameters!B$71</f>
        <v>11.685207841498579</v>
      </c>
      <c r="J128" s="5">
        <f>J127*(1+Parameters!$B$54)^Parameters!B$71</f>
        <v>105.48581110158521</v>
      </c>
      <c r="K128" s="5">
        <f>'6states'!$N$4</f>
        <v>0.98104277196026479</v>
      </c>
      <c r="L128" s="7">
        <f t="shared" si="16"/>
        <v>0.5</v>
      </c>
      <c r="N128" s="5">
        <f>(Parameters!$B$19*(E128+Parameters!$B$20)^L128+Parameters!$B$18*F128^L128)^(1/L128)</f>
        <v>0.54953895445308898</v>
      </c>
      <c r="O128" s="5">
        <f>(Parameters!$B$10*G128^Parameters!$B$9 + Parameters!$B$11*N128^Parameters!$B$9) ^ (Parameters!$B$7/Parameters!$B$9) * K128</f>
        <v>1.5019603759446145</v>
      </c>
      <c r="P128" s="5">
        <f t="shared" si="15"/>
        <v>1.145269658809237</v>
      </c>
      <c r="Q128" s="5">
        <f>EXP(-Parameters!$B$56*A128)</f>
        <v>0.15375420854803312</v>
      </c>
      <c r="R128" s="5">
        <f>IF(P128&gt;0,P128^(1-Parameters!$B$53)/(1-Parameters!$B$53)*Q128,-10+P128*1000)</f>
        <v>-0.41892979901851735</v>
      </c>
      <c r="S128" s="5"/>
    </row>
    <row r="129" spans="1:19" x14ac:dyDescent="0.35">
      <c r="A129">
        <f>A128+Parameters!$B$71</f>
        <v>125</v>
      </c>
      <c r="B129" s="7">
        <f t="shared" si="24"/>
        <v>5.3289702319887791E-2</v>
      </c>
      <c r="C129" s="7">
        <f t="shared" si="24"/>
        <v>1.0277954020588648E-2</v>
      </c>
      <c r="D129" s="5">
        <f t="shared" si="24"/>
        <v>0.29312306079490108</v>
      </c>
      <c r="E129" s="5">
        <f>MAX((1-Parameters!$B$4)^Parameters!B$71*E128+B128*Parameters!B$71-Parameters!$B$5*B128^2/E128*Parameters!B$71,0.0001)</f>
        <v>0.79008099493257233</v>
      </c>
      <c r="F129" s="7">
        <f>MAX((1-Parameters!$B$4)^Parameters!B$71*F128+C128*Parameters!B$71-Parameters!$B$5*C128^2/F128*Parameters!B$71,0.0001)</f>
        <v>0.15238550447191923</v>
      </c>
      <c r="G129" s="5">
        <f>MAX((1-Parameters!$B$4)^Parameters!B$71*G128+D128*Parameters!B$71-Parameters!$B$5*D128^2/G128*Parameters!B$71,0.0001)</f>
        <v>4.3458852914983899</v>
      </c>
      <c r="I129" s="5">
        <f>I128*(1+Parameters!$B$52)^Parameters!B$71</f>
        <v>11.719094944238924</v>
      </c>
      <c r="J129" s="5">
        <f>J128*(1+Parameters!$B$54)^Parameters!B$71</f>
        <v>107.59552732361692</v>
      </c>
      <c r="K129" s="5">
        <f>'6states'!$N$4</f>
        <v>0.98104277196026479</v>
      </c>
      <c r="L129" s="7">
        <f t="shared" si="16"/>
        <v>0.5</v>
      </c>
      <c r="N129" s="5">
        <f>(Parameters!$B$19*(E129+Parameters!$B$20)^L129+Parameters!$B$18*F129^L129)^(1/L129)</f>
        <v>0.54953833583930989</v>
      </c>
      <c r="O129" s="5">
        <f>(Parameters!$B$10*G129^Parameters!$B$9 + Parameters!$B$11*N129^Parameters!$B$9) ^ (Parameters!$B$7/Parameters!$B$9) * K129</f>
        <v>1.5019599407645283</v>
      </c>
      <c r="P129" s="5">
        <f t="shared" si="15"/>
        <v>1.1452692236291508</v>
      </c>
      <c r="Q129" s="5">
        <f>EXP(-Parameters!$B$56*A129)</f>
        <v>0.15144996085152654</v>
      </c>
      <c r="R129" s="5">
        <f>IF(P129&gt;0,P129^(1-Parameters!$B$53)/(1-Parameters!$B$53)*Q129,-10+P129*1000)</f>
        <v>-0.41265153453719905</v>
      </c>
      <c r="S129" s="5"/>
    </row>
    <row r="130" spans="1:19" x14ac:dyDescent="0.35">
      <c r="A130">
        <f>A129+Parameters!$B$71</f>
        <v>126</v>
      </c>
      <c r="B130" s="7">
        <f t="shared" si="24"/>
        <v>5.3289702319887791E-2</v>
      </c>
      <c r="C130" s="7">
        <f t="shared" si="24"/>
        <v>1.0277954020588648E-2</v>
      </c>
      <c r="D130" s="5">
        <f t="shared" si="24"/>
        <v>0.29312306079490108</v>
      </c>
      <c r="E130" s="5">
        <f>MAX((1-Parameters!$B$4)^Parameters!B$71*E129+B129*Parameters!B$71-Parameters!$B$5*B129^2/E129*Parameters!B$71,0.0001)</f>
        <v>0.79008029728788476</v>
      </c>
      <c r="F130" s="7">
        <f>MAX((1-Parameters!$B$4)^Parameters!B$71*F129+C129*Parameters!B$71-Parameters!$B$5*C129^2/F129*Parameters!B$71,0.0001)</f>
        <v>0.15238519249608695</v>
      </c>
      <c r="G130" s="5">
        <f>MAX((1-Parameters!$B$4)^Parameters!B$71*G129+D129*Parameters!B$71-Parameters!$B$5*D129^2/G129*Parameters!B$71,0.0001)</f>
        <v>4.3458814825442342</v>
      </c>
      <c r="I130" s="5">
        <f>I129*(1+Parameters!$B$52)^Parameters!B$71</f>
        <v>11.753080319577215</v>
      </c>
      <c r="J130" s="5">
        <f>J129*(1+Parameters!$B$54)^Parameters!B$71</f>
        <v>109.74743787008926</v>
      </c>
      <c r="K130" s="5">
        <f>'6states'!$N$4</f>
        <v>0.98104277196026479</v>
      </c>
      <c r="L130" s="7">
        <f t="shared" si="16"/>
        <v>0.5</v>
      </c>
      <c r="N130" s="5">
        <f>(Parameters!$B$19*(E130+Parameters!$B$20)^L130+Parameters!$B$18*F130^L130)^(1/L130)</f>
        <v>0.54953775332207166</v>
      </c>
      <c r="O130" s="5">
        <f>(Parameters!$B$10*G130^Parameters!$B$9 + Parameters!$B$11*N130^Parameters!$B$9) ^ (Parameters!$B$7/Parameters!$B$9) * K130</f>
        <v>1.5019595309772289</v>
      </c>
      <c r="P130" s="5">
        <f t="shared" si="15"/>
        <v>1.1452688138418514</v>
      </c>
      <c r="Q130" s="5">
        <f>EXP(-Parameters!$B$56*A130)</f>
        <v>0.14918024591673743</v>
      </c>
      <c r="R130" s="5">
        <f>IF(P130&gt;0,P130^(1-Parameters!$B$53)/(1-Parameters!$B$53)*Q130,-10+P130*1000)</f>
        <v>-0.40646735570838699</v>
      </c>
      <c r="S130" s="5"/>
    </row>
    <row r="131" spans="1:19" x14ac:dyDescent="0.35">
      <c r="A131">
        <f>A130+Parameters!$B$71</f>
        <v>127</v>
      </c>
      <c r="B131" s="7">
        <f t="shared" si="24"/>
        <v>5.3289702319887791E-2</v>
      </c>
      <c r="C131" s="7">
        <f t="shared" si="24"/>
        <v>1.0277954020588648E-2</v>
      </c>
      <c r="D131" s="5">
        <f t="shared" si="24"/>
        <v>0.29312306079490108</v>
      </c>
      <c r="E131" s="5">
        <f>MAX((1-Parameters!$B$4)^Parameters!B$71*E130+B130*Parameters!B$71-Parameters!$B$5*B130^2/E130*Parameters!B$71,0.0001)</f>
        <v>0.79007964035125922</v>
      </c>
      <c r="F131" s="7">
        <f>MAX((1-Parameters!$B$4)^Parameters!B$71*F130+C130*Parameters!B$71-Parameters!$B$5*C130^2/F130*Parameters!B$71,0.0001)</f>
        <v>0.15238489872432057</v>
      </c>
      <c r="G131" s="5">
        <f>MAX((1-Parameters!$B$4)^Parameters!B$71*G130+D130*Parameters!B$71-Parameters!$B$5*D130^2/G130*Parameters!B$71,0.0001)</f>
        <v>4.3458778958452493</v>
      </c>
      <c r="I131" s="5">
        <f>I130*(1+Parameters!$B$52)^Parameters!B$71</f>
        <v>11.787164252503988</v>
      </c>
      <c r="J131" s="5">
        <f>J130*(1+Parameters!$B$54)^Parameters!B$71</f>
        <v>111.94238662749105</v>
      </c>
      <c r="K131" s="5">
        <f>'6states'!$N$4</f>
        <v>0.98104277196026479</v>
      </c>
      <c r="L131" s="7">
        <f t="shared" si="16"/>
        <v>0.5</v>
      </c>
      <c r="N131" s="5">
        <f>(Parameters!$B$19*(E131+Parameters!$B$20)^L131+Parameters!$B$18*F131^L131)^(1/L131)</f>
        <v>0.54953720479511226</v>
      </c>
      <c r="O131" s="5">
        <f>(Parameters!$B$10*G131^Parameters!$B$9 + Parameters!$B$11*N131^Parameters!$B$9) ^ (Parameters!$B$7/Parameters!$B$9) * K131</f>
        <v>1.5019591451010581</v>
      </c>
      <c r="P131" s="5">
        <f t="shared" si="15"/>
        <v>1.1452684279656806</v>
      </c>
      <c r="Q131" s="5">
        <f>EXP(-Parameters!$B$56*A131)</f>
        <v>0.14694454621613023</v>
      </c>
      <c r="R131" s="5">
        <f>IF(P131&gt;0,P131^(1-Parameters!$B$53)/(1-Parameters!$B$53)*Q131,-10+P131*1000)</f>
        <v>-0.40037585279933235</v>
      </c>
      <c r="S131" s="5"/>
    </row>
    <row r="132" spans="1:19" x14ac:dyDescent="0.35">
      <c r="A132">
        <f>A131+Parameters!$B$71</f>
        <v>128</v>
      </c>
      <c r="B132" s="7">
        <f t="shared" si="24"/>
        <v>5.3289702319887791E-2</v>
      </c>
      <c r="C132" s="7">
        <f t="shared" si="24"/>
        <v>1.0277954020588648E-2</v>
      </c>
      <c r="D132" s="5">
        <f t="shared" si="24"/>
        <v>0.29312306079490108</v>
      </c>
      <c r="E132" s="5">
        <f>MAX((1-Parameters!$B$4)^Parameters!B$71*E131+B131*Parameters!B$71-Parameters!$B$5*B131^2/E131*Parameters!B$71,0.0001)</f>
        <v>0.79007902174734634</v>
      </c>
      <c r="F132" s="7">
        <f>MAX((1-Parameters!$B$4)^Parameters!B$71*F131+C131*Parameters!B$71-Parameters!$B$5*C131^2/F131*Parameters!B$71,0.0001)</f>
        <v>0.15238462209439141</v>
      </c>
      <c r="G132" s="5">
        <f>MAX((1-Parameters!$B$4)^Parameters!B$71*G131+D131*Parameters!B$71-Parameters!$B$5*D131^2/G131*Parameters!B$71,0.0001)</f>
        <v>4.3458745184326606</v>
      </c>
      <c r="I132" s="5">
        <f>I131*(1+Parameters!$B$52)^Parameters!B$71</f>
        <v>11.821347028836248</v>
      </c>
      <c r="J132" s="5">
        <f>J131*(1+Parameters!$B$54)^Parameters!B$71</f>
        <v>114.18123436004088</v>
      </c>
      <c r="K132" s="5">
        <f>'6states'!$N$4</f>
        <v>0.98104277196026479</v>
      </c>
      <c r="L132" s="7">
        <f t="shared" si="16"/>
        <v>0.5</v>
      </c>
      <c r="N132" s="5">
        <f>(Parameters!$B$19*(E132+Parameters!$B$20)^L132+Parameters!$B$18*F132^L132)^(1/L132)</f>
        <v>0.54953668827507218</v>
      </c>
      <c r="O132" s="5">
        <f>(Parameters!$B$10*G132^Parameters!$B$9 + Parameters!$B$11*N132^Parameters!$B$9) ^ (Parameters!$B$7/Parameters!$B$9) * K132</f>
        <v>1.5019587817408093</v>
      </c>
      <c r="P132" s="5">
        <f t="shared" ref="P132:P195" si="25">O132-B132-C132-D132</f>
        <v>1.1452680646054318</v>
      </c>
      <c r="Q132" s="5">
        <f>EXP(-Parameters!$B$56*A132)</f>
        <v>0.14474235197813023</v>
      </c>
      <c r="R132" s="5">
        <f>IF(P132&gt;0,P132^(1-Parameters!$B$53)/(1-Parameters!$B$53)*Q132,-10+P132*1000)</f>
        <v>-0.39437563718346047</v>
      </c>
      <c r="S132" s="5"/>
    </row>
    <row r="133" spans="1:19" x14ac:dyDescent="0.35">
      <c r="A133">
        <f>A132+Parameters!$B$71</f>
        <v>129</v>
      </c>
      <c r="B133" s="7">
        <f t="shared" si="24"/>
        <v>5.3289702319887791E-2</v>
      </c>
      <c r="C133" s="7">
        <f t="shared" si="24"/>
        <v>1.0277954020588648E-2</v>
      </c>
      <c r="D133" s="5">
        <f t="shared" si="24"/>
        <v>0.29312306079490108</v>
      </c>
      <c r="E133" s="5">
        <f>MAX((1-Parameters!$B$4)^Parameters!B$71*E132+B132*Parameters!B$71-Parameters!$B$5*B132^2/E132*Parameters!B$71,0.0001)</f>
        <v>0.7900784392394008</v>
      </c>
      <c r="F133" s="7">
        <f>MAX((1-Parameters!$B$4)^Parameters!B$71*F132+C132*Parameters!B$71-Parameters!$B$5*C132^2/F132*Parameters!B$71,0.0001)</f>
        <v>0.15238436160605373</v>
      </c>
      <c r="G133" s="5">
        <f>MAX((1-Parameters!$B$4)^Parameters!B$71*G132+D132*Parameters!B$71-Parameters!$B$5*D132^2/G132*Parameters!B$71,0.0001)</f>
        <v>4.3458713380944358</v>
      </c>
      <c r="I133" s="5">
        <f>I132*(1+Parameters!$B$52)^Parameters!B$71</f>
        <v>11.855628935219872</v>
      </c>
      <c r="J133" s="5">
        <f>J132*(1+Parameters!$B$54)^Parameters!B$71</f>
        <v>116.46485904724169</v>
      </c>
      <c r="K133" s="5">
        <f>'6states'!$N$4</f>
        <v>0.98104277196026479</v>
      </c>
      <c r="L133" s="7">
        <f t="shared" si="16"/>
        <v>0.5</v>
      </c>
      <c r="N133" s="5">
        <f>(Parameters!$B$19*(E133+Parameters!$B$20)^L133+Parameters!$B$18*F133^L133)^(1/L133)</f>
        <v>0.54953620189432295</v>
      </c>
      <c r="O133" s="5">
        <f>(Parameters!$B$10*G133^Parameters!$B$9 + Parameters!$B$11*N133^Parameters!$B$9) ^ (Parameters!$B$7/Parameters!$B$9) * K133</f>
        <v>1.5019584395826857</v>
      </c>
      <c r="P133" s="5">
        <f t="shared" si="25"/>
        <v>1.1452677224473082</v>
      </c>
      <c r="Q133" s="5">
        <f>EXP(-Parameters!$B$56*A133)</f>
        <v>0.14257316107088844</v>
      </c>
      <c r="R133" s="5">
        <f>IF(P133&gt;0,P133^(1-Parameters!$B$53)/(1-Parameters!$B$53)*Q133,-10+P133*1000)</f>
        <v>-0.38846534102557467</v>
      </c>
      <c r="S133" s="5"/>
    </row>
    <row r="134" spans="1:19" x14ac:dyDescent="0.35">
      <c r="A134">
        <f>A133+Parameters!$B$71</f>
        <v>130</v>
      </c>
      <c r="B134" s="7">
        <f t="shared" si="24"/>
        <v>5.3289702319887791E-2</v>
      </c>
      <c r="C134" s="7">
        <f t="shared" si="24"/>
        <v>1.0277954020588648E-2</v>
      </c>
      <c r="D134" s="5">
        <f t="shared" si="24"/>
        <v>0.29312306079490108</v>
      </c>
      <c r="E134" s="5">
        <f>MAX((1-Parameters!$B$4)^Parameters!B$71*E133+B133*Parameters!B$71-Parameters!$B$5*B133^2/E133*Parameters!B$71,0.0001)</f>
        <v>0.79007789072119383</v>
      </c>
      <c r="F134" s="7">
        <f>MAX((1-Parameters!$B$4)^Parameters!B$71*F133+C133*Parameters!B$71-Parameters!$B$5*C133^2/F133*Parameters!B$71,0.0001)</f>
        <v>0.15238411631742776</v>
      </c>
      <c r="G134" s="5">
        <f>MAX((1-Parameters!$B$4)^Parameters!B$71*G133+D133*Parameters!B$71-Parameters!$B$5*D133^2/G133*Parameters!B$71,0.0001)</f>
        <v>4.3458683433311274</v>
      </c>
      <c r="I134" s="5">
        <f>I133*(1+Parameters!$B$52)^Parameters!B$71</f>
        <v>11.890010259132008</v>
      </c>
      <c r="J134" s="5">
        <f>J133*(1+Parameters!$B$54)^Parameters!B$71</f>
        <v>118.79415622818652</v>
      </c>
      <c r="K134" s="5">
        <f>'6states'!$N$4</f>
        <v>0.98104277196026479</v>
      </c>
      <c r="L134" s="7">
        <f t="shared" ref="L134:L197" si="26">L133</f>
        <v>0.5</v>
      </c>
      <c r="N134" s="5">
        <f>(Parameters!$B$19*(E134+Parameters!$B$20)^L134+Parameters!$B$18*F134^L134)^(1/L134)</f>
        <v>0.549535743894214</v>
      </c>
      <c r="O134" s="5">
        <f>(Parameters!$B$10*G134^Parameters!$B$9 + Parameters!$B$11*N134^Parameters!$B$9) ^ (Parameters!$B$7/Parameters!$B$9) * K134</f>
        <v>1.501958117389548</v>
      </c>
      <c r="P134" s="5">
        <f t="shared" si="25"/>
        <v>1.1452674002541705</v>
      </c>
      <c r="Q134" s="5">
        <f>EXP(-Parameters!$B$56*A134)</f>
        <v>0.14043647888778818</v>
      </c>
      <c r="R134" s="5">
        <f>IF(P134&gt;0,P134^(1-Parameters!$B$53)/(1-Parameters!$B$53)*Q134,-10+P134*1000)</f>
        <v>-0.38264361697166815</v>
      </c>
      <c r="S134" s="5"/>
    </row>
    <row r="135" spans="1:19" x14ac:dyDescent="0.35">
      <c r="A135">
        <f>A134+Parameters!$B$71</f>
        <v>131</v>
      </c>
      <c r="B135" s="7">
        <f t="shared" si="24"/>
        <v>5.3289702319887791E-2</v>
      </c>
      <c r="C135" s="7">
        <f t="shared" si="24"/>
        <v>1.0277954020588648E-2</v>
      </c>
      <c r="D135" s="5">
        <f t="shared" si="24"/>
        <v>0.29312306079490108</v>
      </c>
      <c r="E135" s="5">
        <f>MAX((1-Parameters!$B$4)^Parameters!B$71*E134+B134*Parameters!B$71-Parameters!$B$5*B134^2/E134*Parameters!B$71,0.0001)</f>
        <v>0.79007737420939728</v>
      </c>
      <c r="F135" s="7">
        <f>MAX((1-Parameters!$B$4)^Parameters!B$71*F134+C134*Parameters!B$71-Parameters!$B$5*C134^2/F134*Parameters!B$71,0.0001)</f>
        <v>0.15238388534159394</v>
      </c>
      <c r="G135" s="5">
        <f>MAX((1-Parameters!$B$4)^Parameters!B$71*G134+D134*Parameters!B$71-Parameters!$B$5*D134^2/G134*Parameters!B$71,0.0001)</f>
        <v>4.3458655233142931</v>
      </c>
      <c r="I135" s="5">
        <f>I134*(1+Parameters!$B$52)^Parameters!B$71</f>
        <v>11.924491288883489</v>
      </c>
      <c r="J135" s="5">
        <f>J134*(1+Parameters!$B$54)^Parameters!B$71</f>
        <v>121.17003935275025</v>
      </c>
      <c r="K135" s="5">
        <f>'6states'!$N$4</f>
        <v>0.98104277196026479</v>
      </c>
      <c r="L135" s="7">
        <f t="shared" si="26"/>
        <v>0.5</v>
      </c>
      <c r="N135" s="5">
        <f>(Parameters!$B$19*(E135+Parameters!$B$20)^L135+Parameters!$B$18*F135^L135)^(1/L135)</f>
        <v>0.5495353126187138</v>
      </c>
      <c r="O135" s="5">
        <f>(Parameters!$B$10*G135^Parameters!$B$9 + Parameters!$B$11*N135^Parameters!$B$9) ^ (Parameters!$B$7/Parameters!$B$9) * K135</f>
        <v>1.501957813996444</v>
      </c>
      <c r="P135" s="5">
        <f t="shared" si="25"/>
        <v>1.1452670968610665</v>
      </c>
      <c r="Q135" s="5">
        <f>EXP(-Parameters!$B$56*A135)</f>
        <v>0.13833181823466795</v>
      </c>
      <c r="R135" s="5">
        <f>IF(P135&gt;0,P135^(1-Parameters!$B$53)/(1-Parameters!$B$53)*Q135,-10+P135*1000)</f>
        <v>-0.37690913784328278</v>
      </c>
      <c r="S135" s="5"/>
    </row>
    <row r="136" spans="1:19" x14ac:dyDescent="0.35">
      <c r="A136">
        <f>A135+Parameters!$B$71</f>
        <v>132</v>
      </c>
      <c r="B136" s="7">
        <f t="shared" si="24"/>
        <v>5.3289702319887791E-2</v>
      </c>
      <c r="C136" s="7">
        <f t="shared" si="24"/>
        <v>1.0277954020588648E-2</v>
      </c>
      <c r="D136" s="5">
        <f t="shared" si="24"/>
        <v>0.29312306079490108</v>
      </c>
      <c r="E136" s="5">
        <f>MAX((1-Parameters!$B$4)^Parameters!B$71*E135+B135*Parameters!B$71-Parameters!$B$5*B135^2/E135*Parameters!B$71,0.0001)</f>
        <v>0.79007688783641228</v>
      </c>
      <c r="F136" s="7">
        <f>MAX((1-Parameters!$B$4)^Parameters!B$71*F135+C135*Parameters!B$71-Parameters!$B$5*C135^2/F135*Parameters!B$71,0.0001)</f>
        <v>0.15238366784338586</v>
      </c>
      <c r="G136" s="5">
        <f>MAX((1-Parameters!$B$4)^Parameters!B$71*G135+D135*Parameters!B$71-Parameters!$B$5*D135^2/G135*Parameters!B$71,0.0001)</f>
        <v>4.3458628678473401</v>
      </c>
      <c r="I136" s="5">
        <f>I135*(1+Parameters!$B$52)^Parameters!B$71</f>
        <v>11.959072313621251</v>
      </c>
      <c r="J136" s="5">
        <f>J135*(1+Parameters!$B$54)^Parameters!B$71</f>
        <v>123.59344013980525</v>
      </c>
      <c r="K136" s="5">
        <f>'6states'!$N$4</f>
        <v>0.98104277196026479</v>
      </c>
      <c r="L136" s="7">
        <f t="shared" si="26"/>
        <v>0.5</v>
      </c>
      <c r="N136" s="5">
        <f>(Parameters!$B$19*(E136+Parameters!$B$20)^L136+Parameters!$B$18*F136^L136)^(1/L136)</f>
        <v>0.54953490650842163</v>
      </c>
      <c r="O136" s="5">
        <f>(Parameters!$B$10*G136^Parameters!$B$9 + Parameters!$B$11*N136^Parameters!$B$9) ^ (Parameters!$B$7/Parameters!$B$9) * K136</f>
        <v>1.5019575283063942</v>
      </c>
      <c r="P136" s="5">
        <f t="shared" si="25"/>
        <v>1.1452668111710167</v>
      </c>
      <c r="Q136" s="5">
        <f>EXP(-Parameters!$B$56*A136)</f>
        <v>0.13625869921873399</v>
      </c>
      <c r="R136" s="5">
        <f>IF(P136&gt;0,P136^(1-Parameters!$B$53)/(1-Parameters!$B$53)*Q136,-10+P136*1000)</f>
        <v>-0.37126059633635461</v>
      </c>
      <c r="S136" s="5"/>
    </row>
    <row r="137" spans="1:19" x14ac:dyDescent="0.35">
      <c r="A137">
        <f>A136+Parameters!$B$71</f>
        <v>133</v>
      </c>
      <c r="B137" s="7">
        <f t="shared" si="24"/>
        <v>5.3289702319887791E-2</v>
      </c>
      <c r="C137" s="7">
        <f t="shared" si="24"/>
        <v>1.0277954020588648E-2</v>
      </c>
      <c r="D137" s="5">
        <f t="shared" si="24"/>
        <v>0.29312306079490108</v>
      </c>
      <c r="E137" s="5">
        <f>MAX((1-Parameters!$B$4)^Parameters!B$71*E136+B136*Parameters!B$71-Parameters!$B$5*B136^2/E136*Parameters!B$71,0.0001)</f>
        <v>0.79007642984361603</v>
      </c>
      <c r="F137" s="7">
        <f>MAX((1-Parameters!$B$4)^Parameters!B$71*F136+C136*Parameters!B$71-Parameters!$B$5*C136^2/F136*Parameters!B$71,0.0001)</f>
        <v>0.15238346303637029</v>
      </c>
      <c r="G137" s="5">
        <f>MAX((1-Parameters!$B$4)^Parameters!B$71*G136+D136*Parameters!B$71-Parameters!$B$5*D136^2/G136*Parameters!B$71,0.0001)</f>
        <v>4.3458603673286555</v>
      </c>
      <c r="I137" s="5">
        <f>I136*(1+Parameters!$B$52)^Parameters!B$71</f>
        <v>11.99375362333075</v>
      </c>
      <c r="J137" s="5">
        <f>J136*(1+Parameters!$B$54)^Parameters!B$71</f>
        <v>126.06530894260136</v>
      </c>
      <c r="K137" s="5">
        <f>'6states'!$N$4</f>
        <v>0.98104277196026479</v>
      </c>
      <c r="L137" s="7">
        <f t="shared" si="26"/>
        <v>0.5</v>
      </c>
      <c r="N137" s="5">
        <f>(Parameters!$B$19*(E137+Parameters!$B$20)^L137+Parameters!$B$18*F137^L137)^(1/L137)</f>
        <v>0.54953452409492898</v>
      </c>
      <c r="O137" s="5">
        <f>(Parameters!$B$10*G137^Parameters!$B$9 + Parameters!$B$11*N137^Parameters!$B$9) ^ (Parameters!$B$7/Parameters!$B$9) * K137</f>
        <v>1.5019572592864279</v>
      </c>
      <c r="P137" s="5">
        <f t="shared" si="25"/>
        <v>1.1452665421510504</v>
      </c>
      <c r="Q137" s="5">
        <f>EXP(-Parameters!$B$56*A137)</f>
        <v>0.13421664913913783</v>
      </c>
      <c r="R137" s="5">
        <f>IF(P137&gt;0,P137^(1-Parameters!$B$53)/(1-Parameters!$B$53)*Q137,-10+P137*1000)</f>
        <v>-0.36569670472448412</v>
      </c>
      <c r="S137" s="5"/>
    </row>
    <row r="138" spans="1:19" x14ac:dyDescent="0.35">
      <c r="A138">
        <f>A137+Parameters!$B$71</f>
        <v>134</v>
      </c>
      <c r="B138" s="7">
        <f t="shared" si="24"/>
        <v>5.3289702319887791E-2</v>
      </c>
      <c r="C138" s="7">
        <f t="shared" si="24"/>
        <v>1.0277954020588648E-2</v>
      </c>
      <c r="D138" s="5">
        <f t="shared" si="24"/>
        <v>0.29312306079490108</v>
      </c>
      <c r="E138" s="5">
        <f>MAX((1-Parameters!$B$4)^Parameters!B$71*E137+B137*Parameters!B$71-Parameters!$B$5*B137^2/E137*Parameters!B$71,0.0001)</f>
        <v>0.79007599857500299</v>
      </c>
      <c r="F138" s="7">
        <f>MAX((1-Parameters!$B$4)^Parameters!B$71*F137+C137*Parameters!B$71-Parameters!$B$5*C137^2/F137*Parameters!B$71,0.0001)</f>
        <v>0.15238327018000353</v>
      </c>
      <c r="G138" s="5">
        <f>MAX((1-Parameters!$B$4)^Parameters!B$71*G137+D137*Parameters!B$71-Parameters!$B$5*D137^2/G137*Parameters!B$71,0.0001)</f>
        <v>4.3458580127168931</v>
      </c>
      <c r="I138" s="5">
        <f>I137*(1+Parameters!$B$52)^Parameters!B$71</f>
        <v>12.028535508838408</v>
      </c>
      <c r="J138" s="5">
        <f>J137*(1+Parameters!$B$54)^Parameters!B$71</f>
        <v>128.58661512145341</v>
      </c>
      <c r="K138" s="5">
        <f>'6states'!$N$4</f>
        <v>0.98104277196026479</v>
      </c>
      <c r="L138" s="7">
        <f t="shared" si="26"/>
        <v>0.5</v>
      </c>
      <c r="N138" s="5">
        <f>(Parameters!$B$19*(E138+Parameters!$B$20)^L138+Parameters!$B$18*F138^L138)^(1/L138)</f>
        <v>0.54953416399551092</v>
      </c>
      <c r="O138" s="5">
        <f>(Parameters!$B$10*G138^Parameters!$B$9 + Parameters!$B$11*N138^Parameters!$B$9) ^ (Parameters!$B$7/Parameters!$B$9) * K138</f>
        <v>1.5019570059638463</v>
      </c>
      <c r="P138" s="5">
        <f t="shared" si="25"/>
        <v>1.1452662888284688</v>
      </c>
      <c r="Q138" s="5">
        <f>EXP(-Parameters!$B$56*A138)</f>
        <v>0.13220520237919381</v>
      </c>
      <c r="R138" s="5">
        <f>IF(P138&gt;0,P138^(1-Parameters!$B$53)/(1-Parameters!$B$53)*Q138,-10+P138*1000)</f>
        <v>-0.36021619456657356</v>
      </c>
      <c r="S138" s="5"/>
    </row>
    <row r="139" spans="1:19" x14ac:dyDescent="0.35">
      <c r="A139">
        <f>A138+Parameters!$B$71</f>
        <v>135</v>
      </c>
      <c r="B139" s="7">
        <f t="shared" si="24"/>
        <v>5.3289702319887791E-2</v>
      </c>
      <c r="C139" s="7">
        <f t="shared" si="24"/>
        <v>1.0277954020588648E-2</v>
      </c>
      <c r="D139" s="5">
        <f t="shared" si="24"/>
        <v>0.29312306079490108</v>
      </c>
      <c r="E139" s="5">
        <f>MAX((1-Parameters!$B$4)^Parameters!B$71*E138+B138*Parameters!B$71-Parameters!$B$5*B138^2/E138*Parameters!B$71,0.0001)</f>
        <v>0.79007559247119707</v>
      </c>
      <c r="F139" s="7">
        <f>MAX((1-Parameters!$B$4)^Parameters!B$71*F138+C138*Parameters!B$71-Parameters!$B$5*C138^2/F138*Parameters!B$71,0.0001)</f>
        <v>0.15238308857695362</v>
      </c>
      <c r="G139" s="5">
        <f>MAX((1-Parameters!$B$4)^Parameters!B$71*G138+D138*Parameters!B$71-Parameters!$B$5*D138^2/G138*Parameters!B$71,0.0001)</f>
        <v>4.3458557954982737</v>
      </c>
      <c r="I139" s="5">
        <f>I138*(1+Parameters!$B$52)^Parameters!B$71</f>
        <v>12.063418261814038</v>
      </c>
      <c r="J139" s="5">
        <f>J138*(1+Parameters!$B$54)^Parameters!B$71</f>
        <v>131.15834742388247</v>
      </c>
      <c r="K139" s="5">
        <f>'6states'!$N$4</f>
        <v>0.98104277196026479</v>
      </c>
      <c r="L139" s="7">
        <f t="shared" si="26"/>
        <v>0.5</v>
      </c>
      <c r="N139" s="5">
        <f>(Parameters!$B$19*(E139+Parameters!$B$20)^L139+Parameters!$B$18*F139^L139)^(1/L139)</f>
        <v>0.54953382490812475</v>
      </c>
      <c r="O139" s="5">
        <f>(Parameters!$B$10*G139^Parameters!$B$9 + Parameters!$B$11*N139^Parameters!$B$9) ^ (Parameters!$B$7/Parameters!$B$9) * K139</f>
        <v>1.5019567674227079</v>
      </c>
      <c r="P139" s="5">
        <f t="shared" si="25"/>
        <v>1.1452660502873304</v>
      </c>
      <c r="Q139" s="5">
        <f>EXP(-Parameters!$B$56*A139)</f>
        <v>0.13022390030021183</v>
      </c>
      <c r="R139" s="5">
        <f>IF(P139&gt;0,P139^(1-Parameters!$B$53)/(1-Parameters!$B$53)*Q139,-10+P139*1000)</f>
        <v>-0.35481781641876947</v>
      </c>
      <c r="S139" s="5"/>
    </row>
    <row r="140" spans="1:19" x14ac:dyDescent="0.35">
      <c r="A140">
        <f>A139+Parameters!$B$71</f>
        <v>136</v>
      </c>
      <c r="B140" s="7">
        <f t="shared" si="24"/>
        <v>5.3289702319887791E-2</v>
      </c>
      <c r="C140" s="7">
        <f t="shared" si="24"/>
        <v>1.0277954020588648E-2</v>
      </c>
      <c r="D140" s="5">
        <f t="shared" si="24"/>
        <v>0.29312306079490108</v>
      </c>
      <c r="E140" s="5">
        <f>MAX((1-Parameters!$B$4)^Parameters!B$71*E139+B139*Parameters!B$71-Parameters!$B$5*B139^2/E139*Parameters!B$71,0.0001)</f>
        <v>0.79007521006381343</v>
      </c>
      <c r="F140" s="7">
        <f>MAX((1-Parameters!$B$4)^Parameters!B$71*F139+C139*Parameters!B$71-Parameters!$B$5*C139^2/F139*Parameters!B$71,0.0001)</f>
        <v>0.1523829175705789</v>
      </c>
      <c r="G140" s="5">
        <f>MAX((1-Parameters!$B$4)^Parameters!B$71*G139+D139*Parameters!B$71-Parameters!$B$5*D139^2/G139*Parameters!B$71,0.0001)</f>
        <v>4.3458537076558077</v>
      </c>
      <c r="I140" s="5">
        <f>I139*(1+Parameters!$B$52)^Parameters!B$71</f>
        <v>12.098402174773296</v>
      </c>
      <c r="J140" s="5">
        <f>J139*(1+Parameters!$B$54)^Parameters!B$71</f>
        <v>133.78151437236014</v>
      </c>
      <c r="K140" s="5">
        <f>'6states'!$N$4</f>
        <v>0.98104277196026479</v>
      </c>
      <c r="L140" s="7">
        <f t="shared" si="26"/>
        <v>0.5</v>
      </c>
      <c r="N140" s="5">
        <f>(Parameters!$B$19*(E140+Parameters!$B$20)^L140+Parameters!$B$18*F140^L140)^(1/L140)</f>
        <v>0.549533505606704</v>
      </c>
      <c r="O140" s="5">
        <f>(Parameters!$B$10*G140^Parameters!$B$9 + Parameters!$B$11*N140^Parameters!$B$9) ^ (Parameters!$B$7/Parameters!$B$9) * K140</f>
        <v>1.5019565428005159</v>
      </c>
      <c r="P140" s="5">
        <f t="shared" si="25"/>
        <v>1.1452658256651385</v>
      </c>
      <c r="Q140" s="5">
        <f>EXP(-Parameters!$B$56*A140)</f>
        <v>0.12827229113692101</v>
      </c>
      <c r="R140" s="5">
        <f>IF(P140&gt;0,P140^(1-Parameters!$B$53)/(1-Parameters!$B$53)*Q140,-10+P140*1000)</f>
        <v>-0.34950033955065279</v>
      </c>
      <c r="S140" s="5"/>
    </row>
    <row r="141" spans="1:19" x14ac:dyDescent="0.35">
      <c r="A141">
        <f>A140+Parameters!$B$71</f>
        <v>137</v>
      </c>
      <c r="B141" s="7">
        <f t="shared" si="24"/>
        <v>5.3289702319887791E-2</v>
      </c>
      <c r="C141" s="7">
        <f t="shared" si="24"/>
        <v>1.0277954020588648E-2</v>
      </c>
      <c r="D141" s="5">
        <f t="shared" si="24"/>
        <v>0.29312306079490108</v>
      </c>
      <c r="E141" s="5">
        <f>MAX((1-Parameters!$B$4)^Parameters!B$71*E140+B140*Parameters!B$71-Parameters!$B$5*B140^2/E140*Parameters!B$71,0.0001)</f>
        <v>0.79007484997014865</v>
      </c>
      <c r="F141" s="7">
        <f>MAX((1-Parameters!$B$4)^Parameters!B$71*F140+C140*Parameters!B$71-Parameters!$B$5*C140^2/F140*Parameters!B$71,0.0001)</f>
        <v>0.15238275654255351</v>
      </c>
      <c r="G141" s="5">
        <f>MAX((1-Parameters!$B$4)^Parameters!B$71*G140+D140*Parameters!B$71-Parameters!$B$5*D140^2/G140*Parameters!B$71,0.0001)</f>
        <v>4.3458517416403017</v>
      </c>
      <c r="I141" s="5">
        <f>I140*(1+Parameters!$B$52)^Parameters!B$71</f>
        <v>12.133487541080138</v>
      </c>
      <c r="J141" s="5">
        <f>J140*(1+Parameters!$B$54)^Parameters!B$71</f>
        <v>136.45714465980734</v>
      </c>
      <c r="K141" s="5">
        <f>'6states'!$N$4</f>
        <v>0.98104277196026479</v>
      </c>
      <c r="L141" s="7">
        <f t="shared" si="26"/>
        <v>0.5</v>
      </c>
      <c r="N141" s="5">
        <f>(Parameters!$B$19*(E141+Parameters!$B$20)^L141+Parameters!$B$18*F141^L141)^(1/L141)</f>
        <v>0.54953320493672386</v>
      </c>
      <c r="O141" s="5">
        <f>(Parameters!$B$10*G141^Parameters!$B$9 + Parameters!$B$11*N141^Parameters!$B$9) ^ (Parameters!$B$7/Parameters!$B$9) * K141</f>
        <v>1.501956331285099</v>
      </c>
      <c r="P141" s="5">
        <f t="shared" si="25"/>
        <v>1.1452656141497215</v>
      </c>
      <c r="Q141" s="5">
        <f>EXP(-Parameters!$B$56*A141)</f>
        <v>0.12634992989446087</v>
      </c>
      <c r="R141" s="5">
        <f>IF(P141&gt;0,P141^(1-Parameters!$B$53)/(1-Parameters!$B$53)*Q141,-10+P141*1000)</f>
        <v>-0.34426255166561825</v>
      </c>
      <c r="S141" s="5"/>
    </row>
    <row r="142" spans="1:19" x14ac:dyDescent="0.35">
      <c r="A142">
        <f>A141+Parameters!$B$71</f>
        <v>138</v>
      </c>
      <c r="B142" s="7">
        <f t="shared" si="24"/>
        <v>5.3289702319887791E-2</v>
      </c>
      <c r="C142" s="7">
        <f t="shared" si="24"/>
        <v>1.0277954020588648E-2</v>
      </c>
      <c r="D142" s="5">
        <f t="shared" si="24"/>
        <v>0.29312306079490108</v>
      </c>
      <c r="E142" s="5">
        <f>MAX((1-Parameters!$B$4)^Parameters!B$71*E141+B141*Parameters!B$71-Parameters!$B$5*B141^2/E141*Parameters!B$71,0.0001)</f>
        <v>0.79007451088818115</v>
      </c>
      <c r="F142" s="7">
        <f>MAX((1-Parameters!$B$4)^Parameters!B$71*F141+C141*Parameters!B$71-Parameters!$B$5*C141^2/F141*Parameters!B$71,0.0001)</f>
        <v>0.15238260491063177</v>
      </c>
      <c r="G142" s="5">
        <f>MAX((1-Parameters!$B$4)^Parameters!B$71*G141+D141*Parameters!B$71-Parameters!$B$5*D141^2/G141*Parameters!B$71,0.0001)</f>
        <v>4.3458498903430653</v>
      </c>
      <c r="I142" s="5">
        <f>I141*(1+Parameters!$B$52)^Parameters!B$71</f>
        <v>12.168674654949269</v>
      </c>
      <c r="J142" s="5">
        <f>J141*(1+Parameters!$B$54)^Parameters!B$71</f>
        <v>139.1862875530035</v>
      </c>
      <c r="K142" s="5">
        <f>'6states'!$N$4</f>
        <v>0.98104277196026479</v>
      </c>
      <c r="L142" s="7">
        <f t="shared" si="26"/>
        <v>0.5</v>
      </c>
      <c r="N142" s="5">
        <f>(Parameters!$B$19*(E142+Parameters!$B$20)^L142+Parameters!$B$18*F142^L142)^(1/L142)</f>
        <v>0.54953292181102664</v>
      </c>
      <c r="O142" s="5">
        <f>(Parameters!$B$10*G142^Parameters!$B$9 + Parameters!$B$11*N142^Parameters!$B$9) ^ (Parameters!$B$7/Parameters!$B$9) * K142</f>
        <v>1.5019561321116759</v>
      </c>
      <c r="P142" s="5">
        <f t="shared" si="25"/>
        <v>1.1452654149762984</v>
      </c>
      <c r="Q142" s="5">
        <f>EXP(-Parameters!$B$56*A142)</f>
        <v>0.12445637824691602</v>
      </c>
      <c r="R142" s="5">
        <f>IF(P142&gt;0,P142^(1-Parameters!$B$53)/(1-Parameters!$B$53)*Q142,-10+P142*1000)</f>
        <v>-0.33910325862538243</v>
      </c>
      <c r="S142" s="5"/>
    </row>
    <row r="143" spans="1:19" x14ac:dyDescent="0.35">
      <c r="A143">
        <f>A142+Parameters!$B$71</f>
        <v>139</v>
      </c>
      <c r="B143" s="7">
        <f t="shared" si="24"/>
        <v>5.3289702319887791E-2</v>
      </c>
      <c r="C143" s="7">
        <f t="shared" si="24"/>
        <v>1.0277954020588648E-2</v>
      </c>
      <c r="D143" s="5">
        <f t="shared" si="24"/>
        <v>0.29312306079490108</v>
      </c>
      <c r="E143" s="5">
        <f>MAX((1-Parameters!$B$4)^Parameters!B$71*E142+B142*Parameters!B$71-Parameters!$B$5*B142^2/E142*Parameters!B$71,0.0001)</f>
        <v>0.79007419159186343</v>
      </c>
      <c r="F143" s="7">
        <f>MAX((1-Parameters!$B$4)^Parameters!B$71*F142+C142*Parameters!B$71-Parameters!$B$5*C142^2/F142*Parameters!B$71,0.0001)</f>
        <v>0.15238246212654269</v>
      </c>
      <c r="G143" s="5">
        <f>MAX((1-Parameters!$B$4)^Parameters!B$71*G142+D142*Parameters!B$71-Parameters!$B$5*D142^2/G142*Parameters!B$71,0.0001)</f>
        <v>4.3458481470702068</v>
      </c>
      <c r="I143" s="5">
        <f>I142*(1+Parameters!$B$52)^Parameters!B$71</f>
        <v>12.20396381144862</v>
      </c>
      <c r="J143" s="5">
        <f>J142*(1+Parameters!$B$54)^Parameters!B$71</f>
        <v>141.97001330406357</v>
      </c>
      <c r="K143" s="5">
        <f>'6states'!$N$4</f>
        <v>0.98104277196026479</v>
      </c>
      <c r="L143" s="7">
        <f t="shared" si="26"/>
        <v>0.5</v>
      </c>
      <c r="N143" s="5">
        <f>(Parameters!$B$19*(E143+Parameters!$B$20)^L143+Parameters!$B$18*F143^L143)^(1/L143)</f>
        <v>0.54953265520589156</v>
      </c>
      <c r="O143" s="5">
        <f>(Parameters!$B$10*G143^Parameters!$B$9 + Parameters!$B$11*N143^Parameters!$B$9) ^ (Parameters!$B$7/Parameters!$B$9) * K143</f>
        <v>1.5019559445600901</v>
      </c>
      <c r="P143" s="5">
        <f t="shared" si="25"/>
        <v>1.1452652274247126</v>
      </c>
      <c r="Q143" s="5">
        <f>EXP(-Parameters!$B$56*A143)</f>
        <v>0.12259120443737162</v>
      </c>
      <c r="R143" s="5">
        <f>IF(P143&gt;0,P143^(1-Parameters!$B$53)/(1-Parameters!$B$53)*Q143,-10+P143*1000)</f>
        <v>-0.33402128417856725</v>
      </c>
      <c r="S143" s="5"/>
    </row>
    <row r="144" spans="1:19" x14ac:dyDescent="0.35">
      <c r="A144">
        <f>A143+Parameters!$B$71</f>
        <v>140</v>
      </c>
      <c r="B144" s="7">
        <f t="shared" ref="B144:D159" si="27">B143</f>
        <v>5.3289702319887791E-2</v>
      </c>
      <c r="C144" s="7">
        <f t="shared" si="27"/>
        <v>1.0277954020588648E-2</v>
      </c>
      <c r="D144" s="5">
        <f t="shared" si="27"/>
        <v>0.29312306079490108</v>
      </c>
      <c r="E144" s="5">
        <f>MAX((1-Parameters!$B$4)^Parameters!B$71*E143+B143*Parameters!B$71-Parameters!$B$5*B143^2/E143*Parameters!B$71,0.0001)</f>
        <v>0.790073890926689</v>
      </c>
      <c r="F144" s="7">
        <f>MAX((1-Parameters!$B$4)^Parameters!B$71*F143+C143*Parameters!B$71-Parameters!$B$5*C143^2/F143*Parameters!B$71,0.0001)</f>
        <v>0.15238232767400758</v>
      </c>
      <c r="G144" s="5">
        <f>MAX((1-Parameters!$B$4)^Parameters!B$71*G143+D143*Parameters!B$71-Parameters!$B$5*D143^2/G143*Parameters!B$71,0.0001)</f>
        <v>4.3458465055184279</v>
      </c>
      <c r="I144" s="5">
        <f>I143*(1+Parameters!$B$52)^Parameters!B$71</f>
        <v>12.239355306501819</v>
      </c>
      <c r="J144" s="5">
        <f>J143*(1+Parameters!$B$54)^Parameters!B$71</f>
        <v>144.80941357014484</v>
      </c>
      <c r="K144" s="5">
        <f>'6states'!$N$4</f>
        <v>0.98104277196026479</v>
      </c>
      <c r="L144" s="7">
        <f t="shared" si="26"/>
        <v>0.5</v>
      </c>
      <c r="N144" s="5">
        <f>(Parameters!$B$19*(E144+Parameters!$B$20)^L144+Parameters!$B$18*F144^L144)^(1/L144)</f>
        <v>0.54953240415733251</v>
      </c>
      <c r="O144" s="5">
        <f>(Parameters!$B$10*G144^Parameters!$B$9 + Parameters!$B$11*N144^Parameters!$B$9) ^ (Parameters!$B$7/Parameters!$B$9) * K144</f>
        <v>1.5019557679522058</v>
      </c>
      <c r="P144" s="5">
        <f t="shared" si="25"/>
        <v>1.1452650508168283</v>
      </c>
      <c r="Q144" s="5">
        <f>EXP(-Parameters!$B$56*A144)</f>
        <v>0.12075398317946676</v>
      </c>
      <c r="R144" s="5">
        <f>IF(P144&gt;0,P144^(1-Parameters!$B$53)/(1-Parameters!$B$53)*Q144,-10+P144*1000)</f>
        <v>-0.32901546969329726</v>
      </c>
      <c r="S144" s="5"/>
    </row>
    <row r="145" spans="1:19" x14ac:dyDescent="0.35">
      <c r="A145">
        <f>A144+Parameters!$B$71</f>
        <v>141</v>
      </c>
      <c r="B145" s="7">
        <f t="shared" si="27"/>
        <v>5.3289702319887791E-2</v>
      </c>
      <c r="C145" s="7">
        <f t="shared" si="27"/>
        <v>1.0277954020588648E-2</v>
      </c>
      <c r="D145" s="5">
        <f t="shared" si="27"/>
        <v>0.29312306079490108</v>
      </c>
      <c r="E145" s="5">
        <f>MAX((1-Parameters!$B$4)^Parameters!B$71*E144+B144*Parameters!B$71-Parameters!$B$5*B144^2/E144*Parameters!B$71,0.0001)</f>
        <v>0.79007360780551772</v>
      </c>
      <c r="F145" s="7">
        <f>MAX((1-Parameters!$B$4)^Parameters!B$71*F144+C144*Parameters!B$71-Parameters!$B$5*C144^2/F144*Parameters!B$71,0.0001)</f>
        <v>0.1523822010668732</v>
      </c>
      <c r="G145" s="5">
        <f>MAX((1-Parameters!$B$4)^Parameters!B$71*G144+D144*Parameters!B$71-Parameters!$B$5*D144^2/G144*Parameters!B$71,0.0001)</f>
        <v>4.3458449597522337</v>
      </c>
      <c r="I145" s="5">
        <f>I144*(1+Parameters!$B$52)^Parameters!B$71</f>
        <v>12.274849436890673</v>
      </c>
      <c r="J145" s="5">
        <f>J144*(1+Parameters!$B$54)^Parameters!B$71</f>
        <v>147.70560184154775</v>
      </c>
      <c r="K145" s="5">
        <f>'6states'!$N$4</f>
        <v>0.98104277196026479</v>
      </c>
      <c r="L145" s="7">
        <f t="shared" si="26"/>
        <v>0.5</v>
      </c>
      <c r="N145" s="5">
        <f>(Parameters!$B$19*(E145+Parameters!$B$20)^L145+Parameters!$B$18*F145^L145)^(1/L145)</f>
        <v>0.54953216775761315</v>
      </c>
      <c r="O145" s="5">
        <f>(Parameters!$B$10*G145^Parameters!$B$9 + Parameters!$B$11*N145^Parameters!$B$9) ^ (Parameters!$B$7/Parameters!$B$9) * K145</f>
        <v>1.5019556016494569</v>
      </c>
      <c r="P145" s="5">
        <f t="shared" si="25"/>
        <v>1.1452648845140794</v>
      </c>
      <c r="Q145" s="5">
        <f>EXP(-Parameters!$B$56*A145)</f>
        <v>0.11894429556042277</v>
      </c>
      <c r="R145" s="5">
        <f>IF(P145&gt;0,P145^(1-Parameters!$B$53)/(1-Parameters!$B$53)*Q145,-10+P145*1000)</f>
        <v>-0.32408467389375761</v>
      </c>
      <c r="S145" s="5"/>
    </row>
    <row r="146" spans="1:19" x14ac:dyDescent="0.35">
      <c r="A146">
        <f>A145+Parameters!$B$71</f>
        <v>142</v>
      </c>
      <c r="B146" s="7">
        <f t="shared" si="27"/>
        <v>5.3289702319887791E-2</v>
      </c>
      <c r="C146" s="7">
        <f t="shared" si="27"/>
        <v>1.0277954020588648E-2</v>
      </c>
      <c r="D146" s="5">
        <f t="shared" si="27"/>
        <v>0.29312306079490108</v>
      </c>
      <c r="E146" s="5">
        <f>MAX((1-Parameters!$B$4)^Parameters!B$71*E145+B145*Parameters!B$71-Parameters!$B$5*B145^2/E145*Parameters!B$71,0.0001)</f>
        <v>0.79007334120464501</v>
      </c>
      <c r="F146" s="7">
        <f>MAX((1-Parameters!$B$4)^Parameters!B$71*F145+C145*Parameters!B$71-Parameters!$B$5*C145^2/F145*Parameters!B$71,0.0001)</f>
        <v>0.15238208184735383</v>
      </c>
      <c r="G146" s="5">
        <f>MAX((1-Parameters!$B$4)^Parameters!B$71*G145+D145*Parameters!B$71-Parameters!$B$5*D145^2/G145*Parameters!B$71,0.0001)</f>
        <v>4.3458435041824686</v>
      </c>
      <c r="I146" s="5">
        <f>I145*(1+Parameters!$B$52)^Parameters!B$71</f>
        <v>12.310446500257655</v>
      </c>
      <c r="J146" s="5">
        <f>J145*(1+Parameters!$B$54)^Parameters!B$71</f>
        <v>150.65971387837871</v>
      </c>
      <c r="K146" s="5">
        <f>'6states'!$N$4</f>
        <v>0.98104277196026479</v>
      </c>
      <c r="L146" s="7">
        <f t="shared" si="26"/>
        <v>0.5</v>
      </c>
      <c r="N146" s="5">
        <f>(Parameters!$B$19*(E146+Parameters!$B$20)^L146+Parameters!$B$18*F146^L146)^(1/L146)</f>
        <v>0.54953194515196357</v>
      </c>
      <c r="O146" s="5">
        <f>(Parameters!$B$10*G146^Parameters!$B$9 + Parameters!$B$11*N146^Parameters!$B$9) ^ (Parameters!$B$7/Parameters!$B$9) * K146</f>
        <v>1.5019554450505366</v>
      </c>
      <c r="P146" s="5">
        <f t="shared" si="25"/>
        <v>1.1452647279151591</v>
      </c>
      <c r="Q146" s="5">
        <f>EXP(-Parameters!$B$56*A146)</f>
        <v>0.11716172894552528</v>
      </c>
      <c r="R146" s="5">
        <f>IF(P146&gt;0,P146^(1-Parameters!$B$53)/(1-Parameters!$B$53)*Q146,-10+P146*1000)</f>
        <v>-0.31922777260065521</v>
      </c>
      <c r="S146" s="5"/>
    </row>
    <row r="147" spans="1:19" x14ac:dyDescent="0.35">
      <c r="A147">
        <f>A146+Parameters!$B$71</f>
        <v>143</v>
      </c>
      <c r="B147" s="7">
        <f t="shared" si="27"/>
        <v>5.3289702319887791E-2</v>
      </c>
      <c r="C147" s="7">
        <f t="shared" si="27"/>
        <v>1.0277954020588648E-2</v>
      </c>
      <c r="D147" s="5">
        <f t="shared" si="27"/>
        <v>0.29312306079490108</v>
      </c>
      <c r="E147" s="5">
        <f>MAX((1-Parameters!$B$4)^Parameters!B$71*E146+B146*Parameters!B$71-Parameters!$B$5*B146^2/E146*Parameters!B$71,0.0001)</f>
        <v>0.79007309016010008</v>
      </c>
      <c r="F147" s="7">
        <f>MAX((1-Parameters!$B$4)^Parameters!B$71*F146+C146*Parameters!B$71-Parameters!$B$5*C146^2/F146*Parameters!B$71,0.0001)</f>
        <v>0.15238196958437608</v>
      </c>
      <c r="G147" s="5">
        <f>MAX((1-Parameters!$B$4)^Parameters!B$71*G146+D146*Parameters!B$71-Parameters!$B$5*D146^2/G146*Parameters!B$71,0.0001)</f>
        <v>4.3458421335461104</v>
      </c>
      <c r="I147" s="5">
        <f>I146*(1+Parameters!$B$52)^Parameters!B$71</f>
        <v>12.346146795108401</v>
      </c>
      <c r="J147" s="5">
        <f>J146*(1+Parameters!$B$54)^Parameters!B$71</f>
        <v>153.67290815594629</v>
      </c>
      <c r="K147" s="5">
        <f>'6states'!$N$4</f>
        <v>0.98104277196026479</v>
      </c>
      <c r="L147" s="7">
        <f t="shared" si="26"/>
        <v>0.5</v>
      </c>
      <c r="N147" s="5">
        <f>(Parameters!$B$19*(E147+Parameters!$B$20)^L147+Parameters!$B$18*F147^L147)^(1/L147)</f>
        <v>0.54953173553549084</v>
      </c>
      <c r="O147" s="5">
        <f>(Parameters!$B$10*G147^Parameters!$B$9 + Parameters!$B$11*N147^Parameters!$B$9) ^ (Parameters!$B$7/Parameters!$B$9) * K147</f>
        <v>1.5019552975892245</v>
      </c>
      <c r="P147" s="5">
        <f t="shared" si="25"/>
        <v>1.145264580453847</v>
      </c>
      <c r="Q147" s="5">
        <f>EXP(-Parameters!$B$56*A147)</f>
        <v>0.11540587688403768</v>
      </c>
      <c r="R147" s="5">
        <f>IF(P147&gt;0,P147^(1-Parameters!$B$53)/(1-Parameters!$B$53)*Q147,-10+P147*1000)</f>
        <v>-0.31444365847552835</v>
      </c>
      <c r="S147" s="5"/>
    </row>
    <row r="148" spans="1:19" x14ac:dyDescent="0.35">
      <c r="A148">
        <f>A147+Parameters!$B$71</f>
        <v>144</v>
      </c>
      <c r="B148" s="7">
        <f t="shared" si="27"/>
        <v>5.3289702319887791E-2</v>
      </c>
      <c r="C148" s="7">
        <f t="shared" si="27"/>
        <v>1.0277954020588648E-2</v>
      </c>
      <c r="D148" s="5">
        <f t="shared" si="27"/>
        <v>0.29312306079490108</v>
      </c>
      <c r="E148" s="5">
        <f>MAX((1-Parameters!$B$4)^Parameters!B$71*E147+B147*Parameters!B$71-Parameters!$B$5*B147^2/E147*Parameters!B$71,0.0001)</f>
        <v>0.79007285376416081</v>
      </c>
      <c r="F148" s="7">
        <f>MAX((1-Parameters!$B$4)^Parameters!B$71*F147+C147*Parameters!B$71-Parameters!$B$5*C147^2/F147*Parameters!B$71,0.0001)</f>
        <v>0.15238186387202018</v>
      </c>
      <c r="G148" s="5">
        <f>MAX((1-Parameters!$B$4)^Parameters!B$71*G147+D147*Parameters!B$71-Parameters!$B$5*D147^2/G147*Parameters!B$71,0.0001)</f>
        <v>4.3458408428872373</v>
      </c>
      <c r="I148" s="5">
        <f>I147*(1+Parameters!$B$52)^Parameters!B$71</f>
        <v>12.381950620814214</v>
      </c>
      <c r="J148" s="5">
        <f>J147*(1+Parameters!$B$54)^Parameters!B$71</f>
        <v>156.7463663190652</v>
      </c>
      <c r="K148" s="5">
        <f>'6states'!$N$4</f>
        <v>0.98104277196026479</v>
      </c>
      <c r="L148" s="7">
        <f t="shared" si="26"/>
        <v>0.5</v>
      </c>
      <c r="N148" s="5">
        <f>(Parameters!$B$19*(E148+Parameters!$B$20)^L148+Parameters!$B$18*F148^L148)^(1/L148)</f>
        <v>0.54953153815026812</v>
      </c>
      <c r="O148" s="5">
        <f>(Parameters!$B$10*G148^Parameters!$B$9 + Parameters!$B$11*N148^Parameters!$B$9) ^ (Parameters!$B$7/Parameters!$B$9) * K148</f>
        <v>1.5019551587323396</v>
      </c>
      <c r="P148" s="5">
        <f t="shared" si="25"/>
        <v>1.1452644415969622</v>
      </c>
      <c r="Q148" s="5">
        <f>EXP(-Parameters!$B$56*A148)</f>
        <v>0.11367633901652432</v>
      </c>
      <c r="R148" s="5">
        <f>IF(P148&gt;0,P148^(1-Parameters!$B$53)/(1-Parameters!$B$53)*Q148,-10+P148*1000)</f>
        <v>-0.3097312407688505</v>
      </c>
      <c r="S148" s="5"/>
    </row>
    <row r="149" spans="1:19" x14ac:dyDescent="0.35">
      <c r="A149">
        <f>A148+Parameters!$B$71</f>
        <v>145</v>
      </c>
      <c r="B149" s="7">
        <f t="shared" si="27"/>
        <v>5.3289702319887791E-2</v>
      </c>
      <c r="C149" s="7">
        <f t="shared" si="27"/>
        <v>1.0277954020588648E-2</v>
      </c>
      <c r="D149" s="5">
        <f t="shared" si="27"/>
        <v>0.29312306079490108</v>
      </c>
      <c r="E149" s="5">
        <f>MAX((1-Parameters!$B$4)^Parameters!B$71*E148+B148*Parameters!B$71-Parameters!$B$5*B148^2/E148*Parameters!B$71,0.0001)</f>
        <v>0.79007263116207127</v>
      </c>
      <c r="F149" s="7">
        <f>MAX((1-Parameters!$B$4)^Parameters!B$71*F148+C148*Parameters!B$71-Parameters!$B$5*C148^2/F148*Parameters!B$71,0.0001)</f>
        <v>0.15238176432805214</v>
      </c>
      <c r="G149" s="5">
        <f>MAX((1-Parameters!$B$4)^Parameters!B$71*G148+D148*Parameters!B$71-Parameters!$B$5*D148^2/G148*Parameters!B$71,0.0001)</f>
        <v>4.3458396275391102</v>
      </c>
      <c r="I149" s="5">
        <f>I148*(1+Parameters!$B$52)^Parameters!B$71</f>
        <v>12.417858277614574</v>
      </c>
      <c r="J149" s="5">
        <f>J148*(1+Parameters!$B$54)^Parameters!B$71</f>
        <v>159.8812936454465</v>
      </c>
      <c r="K149" s="5">
        <f>'6states'!$N$4</f>
        <v>0.98104277196026479</v>
      </c>
      <c r="L149" s="7">
        <f t="shared" si="26"/>
        <v>0.5</v>
      </c>
      <c r="N149" s="5">
        <f>(Parameters!$B$19*(E149+Parameters!$B$20)^L149+Parameters!$B$18*F149^L149)^(1/L149)</f>
        <v>0.54953135228259387</v>
      </c>
      <c r="O149" s="5">
        <f>(Parameters!$B$10*G149^Parameters!$B$9 + Parameters!$B$11*N149^Parameters!$B$9) ^ (Parameters!$B$7/Parameters!$B$9) * K149</f>
        <v>1.5019550279778113</v>
      </c>
      <c r="P149" s="5">
        <f t="shared" si="25"/>
        <v>1.1452643108424339</v>
      </c>
      <c r="Q149" s="5">
        <f>EXP(-Parameters!$B$56*A149)</f>
        <v>0.11197272098356298</v>
      </c>
      <c r="R149" s="5">
        <f>IF(P149&gt;0,P149^(1-Parameters!$B$53)/(1-Parameters!$B$53)*Q149,-10+P149*1000)</f>
        <v>-0.30508944507187241</v>
      </c>
      <c r="S149" s="5"/>
    </row>
    <row r="150" spans="1:19" x14ac:dyDescent="0.35">
      <c r="A150">
        <f>A149+Parameters!$B$71</f>
        <v>146</v>
      </c>
      <c r="B150" s="7">
        <f t="shared" si="27"/>
        <v>5.3289702319887791E-2</v>
      </c>
      <c r="C150" s="7">
        <f t="shared" si="27"/>
        <v>1.0277954020588648E-2</v>
      </c>
      <c r="D150" s="5">
        <f t="shared" si="27"/>
        <v>0.29312306079490108</v>
      </c>
      <c r="E150" s="5">
        <f>MAX((1-Parameters!$B$4)^Parameters!B$71*E149+B149*Parameters!B$71-Parameters!$B$5*B149^2/E149*Parameters!B$71,0.0001)</f>
        <v>0.79007242154895108</v>
      </c>
      <c r="F150" s="7">
        <f>MAX((1-Parameters!$B$4)^Parameters!B$71*F149+C149*Parameters!B$71-Parameters!$B$5*C149^2/F149*Parameters!B$71,0.0001)</f>
        <v>0.15238167059254173</v>
      </c>
      <c r="G150" s="5">
        <f>MAX((1-Parameters!$B$4)^Parameters!B$71*G149+D149*Parameters!B$71-Parameters!$B$5*D149^2/G149*Parameters!B$71,0.0001)</f>
        <v>4.345838483107296</v>
      </c>
      <c r="I150" s="5">
        <f>I149*(1+Parameters!$B$52)^Parameters!B$71</f>
        <v>12.453870066619654</v>
      </c>
      <c r="J150" s="5">
        <f>J149*(1+Parameters!$B$54)^Parameters!B$71</f>
        <v>163.07891951835543</v>
      </c>
      <c r="K150" s="5">
        <f>'6states'!$N$4</f>
        <v>0.98104277196026479</v>
      </c>
      <c r="L150" s="7">
        <f t="shared" si="26"/>
        <v>0.5</v>
      </c>
      <c r="N150" s="5">
        <f>(Parameters!$B$19*(E150+Parameters!$B$20)^L150+Parameters!$B$18*F150^L150)^(1/L150)</f>
        <v>0.54953117726041167</v>
      </c>
      <c r="O150" s="5">
        <f>(Parameters!$B$10*G150^Parameters!$B$9 + Parameters!$B$11*N150^Parameters!$B$9) ^ (Parameters!$B$7/Parameters!$B$9) * K150</f>
        <v>1.5019549048528644</v>
      </c>
      <c r="P150" s="5">
        <f t="shared" si="25"/>
        <v>1.1452641877174869</v>
      </c>
      <c r="Q150" s="5">
        <f>EXP(-Parameters!$B$56*A150)</f>
        <v>0.11029463433582516</v>
      </c>
      <c r="R150" s="5">
        <f>IF(P150&gt;0,P150^(1-Parameters!$B$53)/(1-Parameters!$B$53)*Q150,-10+P150*1000)</f>
        <v>-0.3005172130721519</v>
      </c>
      <c r="S150" s="5"/>
    </row>
    <row r="151" spans="1:19" x14ac:dyDescent="0.35">
      <c r="A151">
        <f>A150+Parameters!$B$71</f>
        <v>147</v>
      </c>
      <c r="B151" s="7">
        <f t="shared" si="27"/>
        <v>5.3289702319887791E-2</v>
      </c>
      <c r="C151" s="7">
        <f t="shared" si="27"/>
        <v>1.0277954020588648E-2</v>
      </c>
      <c r="D151" s="5">
        <f t="shared" si="27"/>
        <v>0.29312306079490108</v>
      </c>
      <c r="E151" s="5">
        <f>MAX((1-Parameters!$B$4)^Parameters!B$71*E150+B150*Parameters!B$71-Parameters!$B$5*B150^2/E150*Parameters!B$71,0.0001)</f>
        <v>0.79007222416688538</v>
      </c>
      <c r="F151" s="7">
        <f>MAX((1-Parameters!$B$4)^Parameters!B$71*F150+C150*Parameters!B$71-Parameters!$B$5*C150^2/F150*Parameters!B$71,0.0001)</f>
        <v>0.15238158232656099</v>
      </c>
      <c r="G151" s="5">
        <f>MAX((1-Parameters!$B$4)^Parameters!B$71*G150+D150*Parameters!B$71-Parameters!$B$5*D150^2/G150*Parameters!B$71,0.0001)</f>
        <v>4.3458374054537821</v>
      </c>
      <c r="I151" s="5">
        <f>I150*(1+Parameters!$B$52)^Parameters!B$71</f>
        <v>12.489986289812849</v>
      </c>
      <c r="J151" s="5">
        <f>J150*(1+Parameters!$B$54)^Parameters!B$71</f>
        <v>166.34049790872254</v>
      </c>
      <c r="K151" s="5">
        <f>'6states'!$N$4</f>
        <v>0.98104277196026479</v>
      </c>
      <c r="L151" s="7">
        <f t="shared" si="26"/>
        <v>0.5</v>
      </c>
      <c r="N151" s="5">
        <f>(Parameters!$B$19*(E151+Parameters!$B$20)^L151+Parameters!$B$18*F151^L151)^(1/L151)</f>
        <v>0.54953101245087999</v>
      </c>
      <c r="O151" s="5">
        <f>(Parameters!$B$10*G151^Parameters!$B$9 + Parameters!$B$11*N151^Parameters!$B$9) ^ (Parameters!$B$7/Parameters!$B$9) * K151</f>
        <v>1.5019547889123117</v>
      </c>
      <c r="P151" s="5">
        <f t="shared" si="25"/>
        <v>1.1452640717769342</v>
      </c>
      <c r="Q151" s="5">
        <f>EXP(-Parameters!$B$56*A151)</f>
        <v>0.1086416964455041</v>
      </c>
      <c r="R151" s="5">
        <f>IF(P151&gt;0,P151^(1-Parameters!$B$53)/(1-Parameters!$B$53)*Q151,-10+P151*1000)</f>
        <v>-0.29601350231271573</v>
      </c>
      <c r="S151" s="5"/>
    </row>
    <row r="152" spans="1:19" x14ac:dyDescent="0.35">
      <c r="A152">
        <f>A151+Parameters!$B$71</f>
        <v>148</v>
      </c>
      <c r="B152" s="7">
        <f t="shared" si="27"/>
        <v>5.3289702319887791E-2</v>
      </c>
      <c r="C152" s="7">
        <f t="shared" si="27"/>
        <v>1.0277954020588648E-2</v>
      </c>
      <c r="D152" s="5">
        <f t="shared" si="27"/>
        <v>0.29312306079490108</v>
      </c>
      <c r="E152" s="5">
        <f>MAX((1-Parameters!$B$4)^Parameters!B$71*E151+B151*Parameters!B$71-Parameters!$B$5*B151^2/E151*Parameters!B$71,0.0001)</f>
        <v>0.79007203830218431</v>
      </c>
      <c r="F152" s="7">
        <f>MAX((1-Parameters!$B$4)^Parameters!B$71*F151+C151*Parameters!B$71-Parameters!$B$5*C151^2/F151*Parameters!B$71,0.0001)</f>
        <v>0.15238149921095873</v>
      </c>
      <c r="G152" s="5">
        <f>MAX((1-Parameters!$B$4)^Parameters!B$71*G151+D151*Parameters!B$71-Parameters!$B$5*D151^2/G151*Parameters!B$71,0.0001)</f>
        <v>4.3458363906820114</v>
      </c>
      <c r="I152" s="5">
        <f>I151*(1+Parameters!$B$52)^Parameters!B$71</f>
        <v>12.526207250053305</v>
      </c>
      <c r="J152" s="5">
        <f>J151*(1+Parameters!$B$54)^Parameters!B$71</f>
        <v>169.667307866897</v>
      </c>
      <c r="K152" s="5">
        <f>'6states'!$N$4</f>
        <v>0.98104277196026479</v>
      </c>
      <c r="L152" s="7">
        <f t="shared" si="26"/>
        <v>0.5</v>
      </c>
      <c r="N152" s="5">
        <f>(Parameters!$B$19*(E152+Parameters!$B$20)^L152+Parameters!$B$18*F152^L152)^(1/L152)</f>
        <v>0.54953085725808448</v>
      </c>
      <c r="O152" s="5">
        <f>(Parameters!$B$10*G152^Parameters!$B$9 + Parameters!$B$11*N152^Parameters!$B$9) ^ (Parameters!$B$7/Parameters!$B$9) * K152</f>
        <v>1.501954679736941</v>
      </c>
      <c r="P152" s="5">
        <f t="shared" si="25"/>
        <v>1.1452639626015635</v>
      </c>
      <c r="Q152" s="5">
        <f>EXP(-Parameters!$B$56*A152)</f>
        <v>0.10701353041907032</v>
      </c>
      <c r="R152" s="5">
        <f>IF(P152&gt;0,P152^(1-Parameters!$B$53)/(1-Parameters!$B$53)*Q152,-10+P152*1000)</f>
        <v>-0.29157728595480326</v>
      </c>
      <c r="S152" s="5"/>
    </row>
    <row r="153" spans="1:19" x14ac:dyDescent="0.35">
      <c r="A153">
        <f>A152+Parameters!$B$71</f>
        <v>149</v>
      </c>
      <c r="B153" s="7">
        <f t="shared" si="27"/>
        <v>5.3289702319887791E-2</v>
      </c>
      <c r="C153" s="7">
        <f t="shared" si="27"/>
        <v>1.0277954020588648E-2</v>
      </c>
      <c r="D153" s="5">
        <f t="shared" si="27"/>
        <v>0.29312306079490108</v>
      </c>
      <c r="E153" s="5">
        <f>MAX((1-Parameters!$B$4)^Parameters!B$71*E152+B152*Parameters!B$71-Parameters!$B$5*B152^2/E152*Parameters!B$71,0.0001)</f>
        <v>0.7900718632828021</v>
      </c>
      <c r="F153" s="7">
        <f>MAX((1-Parameters!$B$4)^Parameters!B$71*F152+C152*Parameters!B$71-Parameters!$B$5*C152^2/F152*Parameters!B$71,0.0001)</f>
        <v>0.15238142094520651</v>
      </c>
      <c r="G153" s="5">
        <f>MAX((1-Parameters!$B$4)^Parameters!B$71*G152+D152*Parameters!B$71-Parameters!$B$5*D152^2/G152*Parameters!B$71,0.0001)</f>
        <v>4.3458354351227921</v>
      </c>
      <c r="I153" s="5">
        <f>I152*(1+Parameters!$B$52)^Parameters!B$71</f>
        <v>12.56253325107846</v>
      </c>
      <c r="J153" s="5">
        <f>J152*(1+Parameters!$B$54)^Parameters!B$71</f>
        <v>173.06065402423494</v>
      </c>
      <c r="K153" s="5">
        <f>'6states'!$N$4</f>
        <v>0.98104277196026479</v>
      </c>
      <c r="L153" s="7">
        <f t="shared" si="26"/>
        <v>0.5</v>
      </c>
      <c r="N153" s="5">
        <f>(Parameters!$B$19*(E153+Parameters!$B$20)^L153+Parameters!$B$18*F153^L153)^(1/L153)</f>
        <v>0.54953071112088225</v>
      </c>
      <c r="O153" s="5">
        <f>(Parameters!$B$10*G153^Parameters!$B$9 + Parameters!$B$11*N153^Parameters!$B$9) ^ (Parameters!$B$7/Parameters!$B$9) * K153</f>
        <v>1.5019545769320022</v>
      </c>
      <c r="P153" s="5">
        <f t="shared" si="25"/>
        <v>1.1452638597966247</v>
      </c>
      <c r="Q153" s="5">
        <f>EXP(-Parameters!$B$56*A153)</f>
        <v>0.10540976501133419</v>
      </c>
      <c r="R153" s="5">
        <f>IF(P153&gt;0,P153^(1-Parameters!$B$53)/(1-Parameters!$B$53)*Q153,-10+P153*1000)</f>
        <v>-0.28720755254413882</v>
      </c>
      <c r="S153" s="5"/>
    </row>
    <row r="154" spans="1:19" x14ac:dyDescent="0.35">
      <c r="A154">
        <f>A153+Parameters!$B$71</f>
        <v>150</v>
      </c>
      <c r="B154" s="7">
        <f t="shared" si="27"/>
        <v>5.3289702319887791E-2</v>
      </c>
      <c r="C154" s="7">
        <f t="shared" si="27"/>
        <v>1.0277954020588648E-2</v>
      </c>
      <c r="D154" s="5">
        <f t="shared" si="27"/>
        <v>0.29312306079490108</v>
      </c>
      <c r="E154" s="5">
        <f>MAX((1-Parameters!$B$4)^Parameters!B$71*E153+B153*Parameters!B$71-Parameters!$B$5*B153^2/E153*Parameters!B$71,0.0001)</f>
        <v>0.7900716984759073</v>
      </c>
      <c r="F154" s="7">
        <f>MAX((1-Parameters!$B$4)^Parameters!B$71*F153+C153*Parameters!B$71-Parameters!$B$5*C153^2/F153*Parameters!B$71,0.0001)</f>
        <v>0.15238134724631203</v>
      </c>
      <c r="G154" s="5">
        <f>MAX((1-Parameters!$B$4)^Parameters!B$71*G153+D153*Parameters!B$71-Parameters!$B$5*D153^2/G153*Parameters!B$71,0.0001)</f>
        <v>4.3458345353210346</v>
      </c>
      <c r="I154" s="5">
        <f>I153*(1+Parameters!$B$52)^Parameters!B$71</f>
        <v>12.598964597506585</v>
      </c>
      <c r="J154" s="5">
        <f>J153*(1+Parameters!$B$54)^Parameters!B$71</f>
        <v>176.52186710471963</v>
      </c>
      <c r="K154" s="5">
        <f>'6states'!$N$4</f>
        <v>0.98104277196026479</v>
      </c>
      <c r="L154" s="7">
        <f t="shared" si="26"/>
        <v>0.5</v>
      </c>
      <c r="N154" s="5">
        <f>(Parameters!$B$19*(E154+Parameters!$B$20)^L154+Parameters!$B$18*F154^L154)^(1/L154)</f>
        <v>0.54953057351087375</v>
      </c>
      <c r="O154" s="5">
        <f>(Parameters!$B$10*G154^Parameters!$B$9 + Parameters!$B$11*N154^Parameters!$B$9) ^ (Parameters!$B$7/Parameters!$B$9) * K154</f>
        <v>1.501954480125778</v>
      </c>
      <c r="P154" s="5">
        <f t="shared" si="25"/>
        <v>1.1452637629904006</v>
      </c>
      <c r="Q154" s="5">
        <f>EXP(-Parameters!$B$56*A154)</f>
        <v>0.10383003454079688</v>
      </c>
      <c r="R154" s="5">
        <f>IF(P154&gt;0,P154^(1-Parameters!$B$53)/(1-Parameters!$B$53)*Q154,-10+P154*1000)</f>
        <v>-0.28290330578068301</v>
      </c>
      <c r="S154" s="5"/>
    </row>
    <row r="155" spans="1:19" x14ac:dyDescent="0.35">
      <c r="A155">
        <f>A154+Parameters!$B$71</f>
        <v>151</v>
      </c>
      <c r="B155" s="7">
        <f t="shared" si="27"/>
        <v>5.3289702319887791E-2</v>
      </c>
      <c r="C155" s="7">
        <f t="shared" si="27"/>
        <v>1.0277954020588648E-2</v>
      </c>
      <c r="D155" s="5">
        <f t="shared" si="27"/>
        <v>0.29312306079490108</v>
      </c>
      <c r="E155" s="5">
        <f>MAX((1-Parameters!$B$4)^Parameters!B$71*E154+B154*Parameters!B$71-Parameters!$B$5*B154^2/E154*Parameters!B$71,0.0001)</f>
        <v>0.79007154328559481</v>
      </c>
      <c r="F155" s="7">
        <f>MAX((1-Parameters!$B$4)^Parameters!B$71*F154+C154*Parameters!B$71-Parameters!$B$5*C154^2/F154*Parameters!B$71,0.0001)</f>
        <v>0.15238127784779582</v>
      </c>
      <c r="G155" s="5">
        <f>MAX((1-Parameters!$B$4)^Parameters!B$71*G154+D154*Parameters!B$71-Parameters!$B$5*D154^2/G154*Parameters!B$71,0.0001)</f>
        <v>4.3458336880232551</v>
      </c>
      <c r="I155" s="5">
        <f>I154*(1+Parameters!$B$52)^Parameters!B$71</f>
        <v>12.635501594839353</v>
      </c>
      <c r="J155" s="5">
        <f>J154*(1+Parameters!$B$54)^Parameters!B$71</f>
        <v>180.05230444681402</v>
      </c>
      <c r="K155" s="5">
        <f>'6states'!$N$4</f>
        <v>0.98104277196026479</v>
      </c>
      <c r="L155" s="7">
        <f t="shared" si="26"/>
        <v>0.5</v>
      </c>
      <c r="N155" s="5">
        <f>(Parameters!$B$19*(E155+Parameters!$B$20)^L155+Parameters!$B$18*F155^L155)^(1/L155)</f>
        <v>0.549530443930492</v>
      </c>
      <c r="O155" s="5">
        <f>(Parameters!$B$10*G155^Parameters!$B$9 + Parameters!$B$11*N155^Parameters!$B$9) ^ (Parameters!$B$7/Parameters!$B$9) * K155</f>
        <v>1.5019543889682421</v>
      </c>
      <c r="P155" s="5">
        <f t="shared" si="25"/>
        <v>1.1452636718328646</v>
      </c>
      <c r="Q155" s="5">
        <f>EXP(-Parameters!$B$56*A155)</f>
        <v>0.10227397880626984</v>
      </c>
      <c r="R155" s="5">
        <f>IF(P155&gt;0,P155^(1-Parameters!$B$53)/(1-Parameters!$B$53)*Q155,-10+P155*1000)</f>
        <v>-0.27866356429181199</v>
      </c>
      <c r="S155" s="5"/>
    </row>
    <row r="156" spans="1:19" x14ac:dyDescent="0.35">
      <c r="A156">
        <f>A155+Parameters!$B$71</f>
        <v>152</v>
      </c>
      <c r="B156" s="7">
        <f t="shared" si="27"/>
        <v>5.3289702319887791E-2</v>
      </c>
      <c r="C156" s="7">
        <f t="shared" si="27"/>
        <v>1.0277954020588648E-2</v>
      </c>
      <c r="D156" s="5">
        <f t="shared" si="27"/>
        <v>0.29312306079490108</v>
      </c>
      <c r="E156" s="5">
        <f>MAX((1-Parameters!$B$4)^Parameters!B$71*E155+B155*Parameters!B$71-Parameters!$B$5*B155^2/E155*Parameters!B$71,0.0001)</f>
        <v>0.79007139715073094</v>
      </c>
      <c r="F156" s="7">
        <f>MAX((1-Parameters!$B$4)^Parameters!B$71*F155+C155*Parameters!B$71-Parameters!$B$5*C155^2/F155*Parameters!B$71,0.0001)</f>
        <v>0.15238121249872771</v>
      </c>
      <c r="G156" s="5">
        <f>MAX((1-Parameters!$B$4)^Parameters!B$71*G155+D155*Parameters!B$71-Parameters!$B$5*D155^2/G155*Parameters!B$71,0.0001)</f>
        <v>4.3458328901658136</v>
      </c>
      <c r="I156" s="5">
        <f>I155*(1+Parameters!$B$52)^Parameters!B$71</f>
        <v>12.672144549464386</v>
      </c>
      <c r="J156" s="5">
        <f>J155*(1+Parameters!$B$54)^Parameters!B$71</f>
        <v>183.65335053575029</v>
      </c>
      <c r="K156" s="5">
        <f>'6states'!$N$4</f>
        <v>0.98104277196026479</v>
      </c>
      <c r="L156" s="7">
        <f t="shared" si="26"/>
        <v>0.5</v>
      </c>
      <c r="N156" s="5">
        <f>(Parameters!$B$19*(E156+Parameters!$B$20)^L156+Parameters!$B$18*F156^L156)^(1/L156)</f>
        <v>0.5495303219112031</v>
      </c>
      <c r="O156" s="5">
        <f>(Parameters!$B$10*G156^Parameters!$B$9 + Parameters!$B$11*N156^Parameters!$B$9) ^ (Parameters!$B$7/Parameters!$B$9) * K156</f>
        <v>1.5019543031297908</v>
      </c>
      <c r="P156" s="5">
        <f t="shared" si="25"/>
        <v>1.1452635859944134</v>
      </c>
      <c r="Q156" s="5">
        <f>EXP(-Parameters!$B$56*A156)</f>
        <v>0.10074124300474355</v>
      </c>
      <c r="R156" s="5">
        <f>IF(P156&gt;0,P156^(1-Parameters!$B$53)/(1-Parameters!$B$53)*Q156,-10+P156*1000)</f>
        <v>-0.27448736140887503</v>
      </c>
      <c r="S156" s="5"/>
    </row>
    <row r="157" spans="1:19" x14ac:dyDescent="0.35">
      <c r="A157">
        <f>A156+Parameters!$B$71</f>
        <v>153</v>
      </c>
      <c r="B157" s="7">
        <f t="shared" si="27"/>
        <v>5.3289702319887791E-2</v>
      </c>
      <c r="C157" s="7">
        <f t="shared" si="27"/>
        <v>1.0277954020588648E-2</v>
      </c>
      <c r="D157" s="5">
        <f t="shared" si="27"/>
        <v>0.29312306079490108</v>
      </c>
      <c r="E157" s="5">
        <f>MAX((1-Parameters!$B$4)^Parameters!B$71*E156+B156*Parameters!B$71-Parameters!$B$5*B156^2/E156*Parameters!B$71,0.0001)</f>
        <v>0.79007125954292445</v>
      </c>
      <c r="F157" s="7">
        <f>MAX((1-Parameters!$B$4)^Parameters!B$71*F156+C156*Parameters!B$71-Parameters!$B$5*C156^2/F156*Parameters!B$71,0.0001)</f>
        <v>0.15238115096281957</v>
      </c>
      <c r="G157" s="5">
        <f>MAX((1-Parameters!$B$4)^Parameters!B$71*G156+D156*Parameters!B$71-Parameters!$B$5*D156^2/G156*Parameters!B$71,0.0001)</f>
        <v>4.3458321388638348</v>
      </c>
      <c r="I157" s="5">
        <f>I156*(1+Parameters!$B$52)^Parameters!B$71</f>
        <v>12.708893768657832</v>
      </c>
      <c r="J157" s="5">
        <f>J156*(1+Parameters!$B$54)^Parameters!B$71</f>
        <v>187.32641754646531</v>
      </c>
      <c r="K157" s="5">
        <f>'6states'!$N$4</f>
        <v>0.98104277196026479</v>
      </c>
      <c r="L157" s="7">
        <f t="shared" si="26"/>
        <v>0.5</v>
      </c>
      <c r="N157" s="5">
        <f>(Parameters!$B$19*(E157+Parameters!$B$20)^L157+Parameters!$B$18*F157^L157)^(1/L157)</f>
        <v>0.54953020701181243</v>
      </c>
      <c r="O157" s="5">
        <f>(Parameters!$B$10*G157^Parameters!$B$9 + Parameters!$B$11*N157^Parameters!$B$9) ^ (Parameters!$B$7/Parameters!$B$9) * K157</f>
        <v>1.5019542223000537</v>
      </c>
      <c r="P157" s="5">
        <f t="shared" si="25"/>
        <v>1.1452635051646762</v>
      </c>
      <c r="Q157" s="5">
        <f>EXP(-Parameters!$B$56*A157)</f>
        <v>9.9231477650487412E-2</v>
      </c>
      <c r="R157" s="5">
        <f>IF(P157&gt;0,P157^(1-Parameters!$B$53)/(1-Parameters!$B$53)*Q157,-10+P157*1000)</f>
        <v>-0.27037374494708077</v>
      </c>
      <c r="S157" s="5"/>
    </row>
    <row r="158" spans="1:19" x14ac:dyDescent="0.35">
      <c r="A158">
        <f>A157+Parameters!$B$71</f>
        <v>154</v>
      </c>
      <c r="B158" s="7">
        <f t="shared" si="27"/>
        <v>5.3289702319887791E-2</v>
      </c>
      <c r="C158" s="7">
        <f t="shared" si="27"/>
        <v>1.0277954020588648E-2</v>
      </c>
      <c r="D158" s="5">
        <f t="shared" si="27"/>
        <v>0.29312306079490108</v>
      </c>
      <c r="E158" s="5">
        <f>MAX((1-Parameters!$B$4)^Parameters!B$71*E157+B157*Parameters!B$71-Parameters!$B$5*B157^2/E157*Parameters!B$71,0.0001)</f>
        <v>0.79007112996461626</v>
      </c>
      <c r="F158" s="7">
        <f>MAX((1-Parameters!$B$4)^Parameters!B$71*F157+C157*Parameters!B$71-Parameters!$B$5*C157^2/F157*Parameters!B$71,0.0001)</f>
        <v>0.1523810930175708</v>
      </c>
      <c r="G158" s="5">
        <f>MAX((1-Parameters!$B$4)^Parameters!B$71*G157+D157*Parameters!B$71-Parameters!$B$5*D157^2/G157*Parameters!B$71,0.0001)</f>
        <v>4.3458314314007778</v>
      </c>
      <c r="I158" s="5">
        <f>I157*(1+Parameters!$B$52)^Parameters!B$71</f>
        <v>12.745749560586939</v>
      </c>
      <c r="J158" s="5">
        <f>J157*(1+Parameters!$B$54)^Parameters!B$71</f>
        <v>191.07294589739462</v>
      </c>
      <c r="K158" s="5">
        <f>'6states'!$N$4</f>
        <v>0.98104277196026479</v>
      </c>
      <c r="L158" s="7">
        <f t="shared" si="26"/>
        <v>0.5</v>
      </c>
      <c r="N158" s="5">
        <f>(Parameters!$B$19*(E158+Parameters!$B$20)^L158+Parameters!$B$18*F158^L158)^(1/L158)</f>
        <v>0.54953009881687009</v>
      </c>
      <c r="O158" s="5">
        <f>(Parameters!$B$10*G158^Parameters!$B$9 + Parameters!$B$11*N158^Parameters!$B$9) ^ (Parameters!$B$7/Parameters!$B$9) * K158</f>
        <v>1.5019541461867709</v>
      </c>
      <c r="P158" s="5">
        <f t="shared" si="25"/>
        <v>1.1452634290513934</v>
      </c>
      <c r="Q158" s="5">
        <f>EXP(-Parameters!$B$56*A158)</f>
        <v>9.7744338495362112E-2</v>
      </c>
      <c r="R158" s="5">
        <f>IF(P158&gt;0,P158^(1-Parameters!$B$53)/(1-Parameters!$B$53)*Q158,-10+P158*1000)</f>
        <v>-0.26632177698866522</v>
      </c>
      <c r="S158" s="5"/>
    </row>
    <row r="159" spans="1:19" x14ac:dyDescent="0.35">
      <c r="A159">
        <f>A158+Parameters!$B$71</f>
        <v>155</v>
      </c>
      <c r="B159" s="7">
        <f t="shared" si="27"/>
        <v>5.3289702319887791E-2</v>
      </c>
      <c r="C159" s="7">
        <f t="shared" si="27"/>
        <v>1.0277954020588648E-2</v>
      </c>
      <c r="D159" s="5">
        <f t="shared" si="27"/>
        <v>0.29312306079490108</v>
      </c>
      <c r="E159" s="5">
        <f>MAX((1-Parameters!$B$4)^Parameters!B$71*E158+B158*Parameters!B$71-Parameters!$B$5*B158^2/E158*Parameters!B$71,0.0001)</f>
        <v>0.79007100794728002</v>
      </c>
      <c r="F159" s="7">
        <f>MAX((1-Parameters!$B$4)^Parameters!B$71*F158+C158*Parameters!B$71-Parameters!$B$5*C158^2/F158*Parameters!B$71,0.0001)</f>
        <v>0.15238103845346399</v>
      </c>
      <c r="G159" s="5">
        <f>MAX((1-Parameters!$B$4)^Parameters!B$71*G158+D158*Parameters!B$71-Parameters!$B$5*D158^2/G158*Parameters!B$71,0.0001)</f>
        <v>4.345830765218615</v>
      </c>
      <c r="I159" s="5">
        <f>I158*(1+Parameters!$B$52)^Parameters!B$71</f>
        <v>12.782712234312639</v>
      </c>
      <c r="J159" s="5">
        <f>J158*(1+Parameters!$B$54)^Parameters!B$71</f>
        <v>194.89440481534251</v>
      </c>
      <c r="K159" s="5">
        <f>'6states'!$N$4</f>
        <v>0.98104277196026479</v>
      </c>
      <c r="L159" s="7">
        <f t="shared" si="26"/>
        <v>0.5</v>
      </c>
      <c r="N159" s="5">
        <f>(Parameters!$B$19*(E159+Parameters!$B$20)^L159+Parameters!$B$18*F159^L159)^(1/L159)</f>
        <v>0.5495299969351668</v>
      </c>
      <c r="O159" s="5">
        <f>(Parameters!$B$10*G159^Parameters!$B$9 + Parameters!$B$11*N159^Parameters!$B$9) ^ (Parameters!$B$7/Parameters!$B$9) * K159</f>
        <v>1.5019540745147351</v>
      </c>
      <c r="P159" s="5">
        <f t="shared" si="25"/>
        <v>1.1452633573793576</v>
      </c>
      <c r="Q159" s="5">
        <f>EXP(-Parameters!$B$56*A159)</f>
        <v>9.6279486450325927E-2</v>
      </c>
      <c r="R159" s="5">
        <f>IF(P159&gt;0,P159^(1-Parameters!$B$53)/(1-Parameters!$B$53)*Q159,-10+P159*1000)</f>
        <v>-0.2623305336692916</v>
      </c>
      <c r="S159" s="5"/>
    </row>
    <row r="160" spans="1:19" x14ac:dyDescent="0.35">
      <c r="A160">
        <f>A159+Parameters!$B$71</f>
        <v>156</v>
      </c>
      <c r="B160" s="7">
        <f t="shared" ref="B160:D175" si="28">B159</f>
        <v>5.3289702319887791E-2</v>
      </c>
      <c r="C160" s="7">
        <f t="shared" si="28"/>
        <v>1.0277954020588648E-2</v>
      </c>
      <c r="D160" s="5">
        <f t="shared" si="28"/>
        <v>0.29312306079490108</v>
      </c>
      <c r="E160" s="5">
        <f>MAX((1-Parameters!$B$4)^Parameters!B$71*E159+B159*Parameters!B$71-Parameters!$B$5*B159^2/E159*Parameters!B$71,0.0001)</f>
        <v>0.79007089304972844</v>
      </c>
      <c r="F160" s="7">
        <f>MAX((1-Parameters!$B$4)^Parameters!B$71*F159+C159*Parameters!B$71-Parameters!$B$5*C159^2/F159*Parameters!B$71,0.0001)</f>
        <v>0.15238098707320713</v>
      </c>
      <c r="G160" s="5">
        <f>MAX((1-Parameters!$B$4)^Parameters!B$71*G159+D159*Parameters!B$71-Parameters!$B$5*D159^2/G159*Parameters!B$71,0.0001)</f>
        <v>4.34583013790858</v>
      </c>
      <c r="I160" s="5">
        <f>I159*(1+Parameters!$B$52)^Parameters!B$71</f>
        <v>12.819782099792144</v>
      </c>
      <c r="J160" s="5">
        <f>J159*(1+Parameters!$B$54)^Parameters!B$71</f>
        <v>198.79229291164935</v>
      </c>
      <c r="K160" s="5">
        <f>'6states'!$N$4</f>
        <v>0.98104277196026479</v>
      </c>
      <c r="L160" s="7">
        <f t="shared" si="26"/>
        <v>0.5</v>
      </c>
      <c r="N160" s="5">
        <f>(Parameters!$B$19*(E160+Parameters!$B$20)^L160+Parameters!$B$18*F160^L160)^(1/L160)</f>
        <v>0.54952990099832155</v>
      </c>
      <c r="O160" s="5">
        <f>(Parameters!$B$10*G160^Parameters!$B$9 + Parameters!$B$11*N160^Parameters!$B$9) ^ (Parameters!$B$7/Parameters!$B$9) * K160</f>
        <v>1.5019540070247981</v>
      </c>
      <c r="P160" s="5">
        <f t="shared" si="25"/>
        <v>1.1452632898894206</v>
      </c>
      <c r="Q160" s="5">
        <f>EXP(-Parameters!$B$56*A160)</f>
        <v>9.4836587508117826E-2</v>
      </c>
      <c r="R160" s="5">
        <f>IF(P160&gt;0,P160^(1-Parameters!$B$53)/(1-Parameters!$B$53)*Q160,-10+P160*1000)</f>
        <v>-0.25839910496763674</v>
      </c>
      <c r="S160" s="5"/>
    </row>
    <row r="161" spans="1:19" x14ac:dyDescent="0.35">
      <c r="A161">
        <f>A160+Parameters!$B$71</f>
        <v>157</v>
      </c>
      <c r="B161" s="7">
        <f t="shared" si="28"/>
        <v>5.3289702319887791E-2</v>
      </c>
      <c r="C161" s="7">
        <f t="shared" si="28"/>
        <v>1.0277954020588648E-2</v>
      </c>
      <c r="D161" s="5">
        <f t="shared" si="28"/>
        <v>0.29312306079490108</v>
      </c>
      <c r="E161" s="5">
        <f>MAX((1-Parameters!$B$4)^Parameters!B$71*E160+B160*Parameters!B$71-Parameters!$B$5*B160^2/E160*Parameters!B$71,0.0001)</f>
        <v>0.79007078485651749</v>
      </c>
      <c r="F161" s="7">
        <f>MAX((1-Parameters!$B$4)^Parameters!B$71*F160+C160*Parameters!B$71-Parameters!$B$5*C160^2/F160*Parameters!B$71,0.0001)</f>
        <v>0.15238093869102043</v>
      </c>
      <c r="G161" s="5">
        <f>MAX((1-Parameters!$B$4)^Parameters!B$71*G160+D160*Parameters!B$71-Parameters!$B$5*D160^2/G160*Parameters!B$71,0.0001)</f>
        <v>4.3458295472024604</v>
      </c>
      <c r="I161" s="5">
        <f>I160*(1+Parameters!$B$52)^Parameters!B$71</f>
        <v>12.85695946788154</v>
      </c>
      <c r="J161" s="5">
        <f>J160*(1+Parameters!$B$54)^Parameters!B$71</f>
        <v>202.76813876988234</v>
      </c>
      <c r="K161" s="5">
        <f>'6states'!$N$4</f>
        <v>0.98104277196026479</v>
      </c>
      <c r="L161" s="7">
        <f t="shared" si="26"/>
        <v>0.5</v>
      </c>
      <c r="N161" s="5">
        <f>(Parameters!$B$19*(E161+Parameters!$B$20)^L161+Parameters!$B$18*F161^L161)^(1/L161)</f>
        <v>0.54952981065944795</v>
      </c>
      <c r="O161" s="5">
        <f>(Parameters!$B$10*G161^Parameters!$B$9 + Parameters!$B$11*N161^Parameters!$B$9) ^ (Parameters!$B$7/Parameters!$B$9) * K161</f>
        <v>1.5019539434729321</v>
      </c>
      <c r="P161" s="5">
        <f t="shared" si="25"/>
        <v>1.1452632263375546</v>
      </c>
      <c r="Q161" s="5">
        <f>EXP(-Parameters!$B$56*A161)</f>
        <v>9.3415312667098696E-2</v>
      </c>
      <c r="R161" s="5">
        <f>IF(P161&gt;0,P161^(1-Parameters!$B$53)/(1-Parameters!$B$53)*Q161,-10+P161*1000)</f>
        <v>-0.25452659449811532</v>
      </c>
      <c r="S161" s="5"/>
    </row>
    <row r="162" spans="1:19" x14ac:dyDescent="0.35">
      <c r="A162">
        <f>A161+Parameters!$B$71</f>
        <v>158</v>
      </c>
      <c r="B162" s="7">
        <f t="shared" si="28"/>
        <v>5.3289702319887791E-2</v>
      </c>
      <c r="C162" s="7">
        <f t="shared" si="28"/>
        <v>1.0277954020588648E-2</v>
      </c>
      <c r="D162" s="5">
        <f t="shared" si="28"/>
        <v>0.29312306079490108</v>
      </c>
      <c r="E162" s="5">
        <f>MAX((1-Parameters!$B$4)^Parameters!B$71*E161+B161*Parameters!B$71-Parameters!$B$5*B161^2/E161*Parameters!B$71,0.0001)</f>
        <v>0.79007068297644489</v>
      </c>
      <c r="F162" s="7">
        <f>MAX((1-Parameters!$B$4)^Parameters!B$71*F161+C161*Parameters!B$71-Parameters!$B$5*C161^2/F161*Parameters!B$71,0.0001)</f>
        <v>0.15238089313196446</v>
      </c>
      <c r="G162" s="5">
        <f>MAX((1-Parameters!$B$4)^Parameters!B$71*G161+D161*Parameters!B$71-Parameters!$B$5*D161^2/G161*Parameters!B$71,0.0001)</f>
        <v>4.3458289909643941</v>
      </c>
      <c r="I162" s="5">
        <f>I161*(1+Parameters!$B$52)^Parameters!B$71</f>
        <v>12.894244650338395</v>
      </c>
      <c r="J162" s="5">
        <f>J161*(1+Parameters!$B$54)^Parameters!B$71</f>
        <v>206.82350154527998</v>
      </c>
      <c r="K162" s="5">
        <f>'6states'!$N$4</f>
        <v>0.98104277196026479</v>
      </c>
      <c r="L162" s="7">
        <f t="shared" si="26"/>
        <v>0.5</v>
      </c>
      <c r="N162" s="5">
        <f>(Parameters!$B$19*(E162+Parameters!$B$20)^L162+Parameters!$B$18*F162^L162)^(1/L162)</f>
        <v>0.54952972559190116</v>
      </c>
      <c r="O162" s="5">
        <f>(Parameters!$B$10*G162^Parameters!$B$9 + Parameters!$B$11*N162^Parameters!$B$9) ^ (Parameters!$B$7/Parameters!$B$9) * K162</f>
        <v>1.5019538836293491</v>
      </c>
      <c r="P162" s="5">
        <f t="shared" si="25"/>
        <v>1.1452631664939716</v>
      </c>
      <c r="Q162" s="5">
        <f>EXP(-Parameters!$B$56*A162)</f>
        <v>9.2015337856234475E-2</v>
      </c>
      <c r="R162" s="5">
        <f>IF(P162&gt;0,P162^(1-Parameters!$B$53)/(1-Parameters!$B$53)*Q162,-10+P162*1000)</f>
        <v>-0.25071211930669823</v>
      </c>
      <c r="S162" s="5"/>
    </row>
    <row r="163" spans="1:19" x14ac:dyDescent="0.35">
      <c r="A163">
        <f>A162+Parameters!$B$71</f>
        <v>159</v>
      </c>
      <c r="B163" s="7">
        <f t="shared" si="28"/>
        <v>5.3289702319887791E-2</v>
      </c>
      <c r="C163" s="7">
        <f t="shared" si="28"/>
        <v>1.0277954020588648E-2</v>
      </c>
      <c r="D163" s="5">
        <f t="shared" si="28"/>
        <v>0.29312306079490108</v>
      </c>
      <c r="E163" s="5">
        <f>MAX((1-Parameters!$B$4)^Parameters!B$71*E162+B162*Parameters!B$71-Parameters!$B$5*B162^2/E162*Parameters!B$71,0.0001)</f>
        <v>0.79007058704113509</v>
      </c>
      <c r="F163" s="7">
        <f>MAX((1-Parameters!$B$4)^Parameters!B$71*F162+C162*Parameters!B$71-Parameters!$B$5*C162^2/F162*Parameters!B$71,0.0001)</f>
        <v>0.15238085023130768</v>
      </c>
      <c r="G163" s="5">
        <f>MAX((1-Parameters!$B$4)^Parameters!B$71*G162+D162*Parameters!B$71-Parameters!$B$5*D162^2/G162*Parameters!B$71,0.0001)</f>
        <v>4.34582846718315</v>
      </c>
      <c r="I163" s="5">
        <f>I162*(1+Parameters!$B$52)^Parameters!B$71</f>
        <v>12.931637959824375</v>
      </c>
      <c r="J163" s="5">
        <f>J162*(1+Parameters!$B$54)^Parameters!B$71</f>
        <v>210.95997157618558</v>
      </c>
      <c r="K163" s="5">
        <f>'6states'!$N$4</f>
        <v>0.98104277196026479</v>
      </c>
      <c r="L163" s="7">
        <f t="shared" si="26"/>
        <v>0.5</v>
      </c>
      <c r="N163" s="5">
        <f>(Parameters!$B$19*(E163+Parameters!$B$20)^L163+Parameters!$B$18*F163^L163)^(1/L163)</f>
        <v>0.5495296454880958</v>
      </c>
      <c r="O163" s="5">
        <f>(Parameters!$B$10*G163^Parameters!$B$9 + Parameters!$B$11*N163^Parameters!$B$9) ^ (Parameters!$B$7/Parameters!$B$9) * K163</f>
        <v>1.50195382727767</v>
      </c>
      <c r="P163" s="5">
        <f t="shared" si="25"/>
        <v>1.1452631101422925</v>
      </c>
      <c r="Q163" s="5">
        <f>EXP(-Parameters!$B$56*A163)</f>
        <v>9.0636343861203325E-2</v>
      </c>
      <c r="R163" s="5">
        <f>IF(P163&gt;0,P163^(1-Parameters!$B$53)/(1-Parameters!$B$53)*Q163,-10+P163*1000)</f>
        <v>-0.24695480966977806</v>
      </c>
      <c r="S163" s="5"/>
    </row>
    <row r="164" spans="1:19" x14ac:dyDescent="0.35">
      <c r="A164">
        <f>A163+Parameters!$B$71</f>
        <v>160</v>
      </c>
      <c r="B164" s="7">
        <f t="shared" si="28"/>
        <v>5.3289702319887791E-2</v>
      </c>
      <c r="C164" s="7">
        <f t="shared" si="28"/>
        <v>1.0277954020588648E-2</v>
      </c>
      <c r="D164" s="5">
        <f t="shared" si="28"/>
        <v>0.29312306079490108</v>
      </c>
      <c r="E164" s="5">
        <f>MAX((1-Parameters!$B$4)^Parameters!B$71*E163+B163*Parameters!B$71-Parameters!$B$5*B163^2/E163*Parameters!B$71,0.0001)</f>
        <v>0.79007049670370766</v>
      </c>
      <c r="F164" s="7">
        <f>MAX((1-Parameters!$B$4)^Parameters!B$71*F163+C163*Parameters!B$71-Parameters!$B$5*C163^2/F163*Parameters!B$71,0.0001)</f>
        <v>0.15238080983393074</v>
      </c>
      <c r="G164" s="5">
        <f>MAX((1-Parameters!$B$4)^Parameters!B$71*G163+D163*Parameters!B$71-Parameters!$B$5*D163^2/G163*Parameters!B$71,0.0001)</f>
        <v>4.3458279739648518</v>
      </c>
      <c r="I164" s="5">
        <f>I163*(1+Parameters!$B$52)^Parameters!B$71</f>
        <v>12.969139709907864</v>
      </c>
      <c r="J164" s="5">
        <f>J163*(1+Parameters!$B$54)^Parameters!B$71</f>
        <v>215.1791710077093</v>
      </c>
      <c r="K164" s="5">
        <f>'6states'!$N$4</f>
        <v>0.98104277196026479</v>
      </c>
      <c r="L164" s="7">
        <f t="shared" si="26"/>
        <v>0.5</v>
      </c>
      <c r="N164" s="5">
        <f>(Parameters!$B$19*(E164+Parameters!$B$20)^L164+Parameters!$B$18*F164^L164)^(1/L164)</f>
        <v>0.54952957005839498</v>
      </c>
      <c r="O164" s="5">
        <f>(Parameters!$B$10*G164^Parameters!$B$9 + Parameters!$B$11*N164^Parameters!$B$9) ^ (Parameters!$B$7/Parameters!$B$9) * K164</f>
        <v>1.5019537742141393</v>
      </c>
      <c r="P164" s="5">
        <f t="shared" si="25"/>
        <v>1.1452630570787619</v>
      </c>
      <c r="Q164" s="5">
        <f>EXP(-Parameters!$B$56*A164)</f>
        <v>8.9278016251610026E-2</v>
      </c>
      <c r="R164" s="5">
        <f>IF(P164&gt;0,P164^(1-Parameters!$B$53)/(1-Parameters!$B$53)*Q164,-10+P164*1000)</f>
        <v>-0.24325380889603726</v>
      </c>
      <c r="S164" s="5"/>
    </row>
    <row r="165" spans="1:19" x14ac:dyDescent="0.35">
      <c r="A165">
        <f>A164+Parameters!$B$71</f>
        <v>161</v>
      </c>
      <c r="B165" s="7">
        <f t="shared" si="28"/>
        <v>5.3289702319887791E-2</v>
      </c>
      <c r="C165" s="7">
        <f t="shared" si="28"/>
        <v>1.0277954020588648E-2</v>
      </c>
      <c r="D165" s="5">
        <f t="shared" si="28"/>
        <v>0.29312306079490108</v>
      </c>
      <c r="E165" s="5">
        <f>MAX((1-Parameters!$B$4)^Parameters!B$71*E164+B164*Parameters!B$71-Parameters!$B$5*B164^2/E164*Parameters!B$71,0.0001)</f>
        <v>0.79007041163752256</v>
      </c>
      <c r="F165" s="7">
        <f>MAX((1-Parameters!$B$4)^Parameters!B$71*F164+C164*Parameters!B$71-Parameters!$B$5*C164^2/F164*Parameters!B$71,0.0001)</f>
        <v>0.15238077179376558</v>
      </c>
      <c r="G165" s="5">
        <f>MAX((1-Parameters!$B$4)^Parameters!B$71*G164+D164*Parameters!B$71-Parameters!$B$5*D164^2/G164*Parameters!B$71,0.0001)</f>
        <v>4.3458275095261332</v>
      </c>
      <c r="I165" s="5">
        <f>I164*(1+Parameters!$B$52)^Parameters!B$71</f>
        <v>13.006750215066596</v>
      </c>
      <c r="J165" s="5">
        <f>J164*(1+Parameters!$B$54)^Parameters!B$71</f>
        <v>219.48275442786348</v>
      </c>
      <c r="K165" s="5">
        <f>'6states'!$N$4</f>
        <v>0.98104277196026479</v>
      </c>
      <c r="L165" s="7">
        <f t="shared" si="26"/>
        <v>0.5</v>
      </c>
      <c r="N165" s="5">
        <f>(Parameters!$B$19*(E165+Parameters!$B$20)^L165+Parameters!$B$18*F165^L165)^(1/L165)</f>
        <v>0.54952949903006176</v>
      </c>
      <c r="O165" s="5">
        <f>(Parameters!$B$10*G165^Parameters!$B$9 + Parameters!$B$11*N165^Parameters!$B$9) ^ (Parameters!$B$7/Parameters!$B$9) * K165</f>
        <v>1.5019537242468932</v>
      </c>
      <c r="P165" s="5">
        <f t="shared" si="25"/>
        <v>1.1452630071115157</v>
      </c>
      <c r="Q165" s="5">
        <f>EXP(-Parameters!$B$56*A165)</f>
        <v>8.7940045309291504E-2</v>
      </c>
      <c r="R165" s="5">
        <f>IF(P165&gt;0,P165^(1-Parameters!$B$53)/(1-Parameters!$B$53)*Q165,-10+P165*1000)</f>
        <v>-0.23960827313127517</v>
      </c>
      <c r="S165" s="5"/>
    </row>
    <row r="166" spans="1:19" x14ac:dyDescent="0.35">
      <c r="A166">
        <f>A165+Parameters!$B$71</f>
        <v>162</v>
      </c>
      <c r="B166" s="7">
        <f t="shared" si="28"/>
        <v>5.3289702319887791E-2</v>
      </c>
      <c r="C166" s="7">
        <f t="shared" si="28"/>
        <v>1.0277954020588648E-2</v>
      </c>
      <c r="D166" s="5">
        <f t="shared" si="28"/>
        <v>0.29312306079490108</v>
      </c>
      <c r="E166" s="5">
        <f>MAX((1-Parameters!$B$4)^Parameters!B$71*E165+B165*Parameters!B$71-Parameters!$B$5*B165^2/E165*Parameters!B$71,0.0001)</f>
        <v>0.79007033153499961</v>
      </c>
      <c r="F166" s="7">
        <f>MAX((1-Parameters!$B$4)^Parameters!B$71*F165+C165*Parameters!B$71-Parameters!$B$5*C165^2/F165*Parameters!B$71,0.0001)</f>
        <v>0.15238073597326734</v>
      </c>
      <c r="G166" s="5">
        <f>MAX((1-Parameters!$B$4)^Parameters!B$71*G165+D165*Parameters!B$71-Parameters!$B$5*D165^2/G165*Parameters!B$71,0.0001)</f>
        <v>4.3458270721876886</v>
      </c>
      <c r="I166" s="5">
        <f>I165*(1+Parameters!$B$52)^Parameters!B$71</f>
        <v>13.044469790690288</v>
      </c>
      <c r="J166" s="5">
        <f>J165*(1+Parameters!$B$54)^Parameters!B$71</f>
        <v>223.87240951642076</v>
      </c>
      <c r="K166" s="5">
        <f>'6states'!$N$4</f>
        <v>0.98104277196026479</v>
      </c>
      <c r="L166" s="7">
        <f t="shared" si="26"/>
        <v>0.5</v>
      </c>
      <c r="N166" s="5">
        <f>(Parameters!$B$19*(E166+Parameters!$B$20)^L166+Parameters!$B$18*F166^L166)^(1/L166)</f>
        <v>0.54952943214627337</v>
      </c>
      <c r="O166" s="5">
        <f>(Parameters!$B$10*G166^Parameters!$B$9 + Parameters!$B$11*N166^Parameters!$B$9) ^ (Parameters!$B$7/Parameters!$B$9) * K166</f>
        <v>1.5019536771952617</v>
      </c>
      <c r="P166" s="5">
        <f t="shared" si="25"/>
        <v>1.1452629600598843</v>
      </c>
      <c r="Q166" s="5">
        <f>EXP(-Parameters!$B$56*A166)</f>
        <v>8.6622125957696541E-2</v>
      </c>
      <c r="R166" s="5">
        <f>IF(P166&gt;0,P166^(1-Parameters!$B$53)/(1-Parameters!$B$53)*Q166,-10+P166*1000)</f>
        <v>-0.23601737116615021</v>
      </c>
      <c r="S166" s="5"/>
    </row>
    <row r="167" spans="1:19" x14ac:dyDescent="0.35">
      <c r="A167">
        <f>A166+Parameters!$B$71</f>
        <v>163</v>
      </c>
      <c r="B167" s="7">
        <f t="shared" si="28"/>
        <v>5.3289702319887791E-2</v>
      </c>
      <c r="C167" s="7">
        <f t="shared" si="28"/>
        <v>1.0277954020588648E-2</v>
      </c>
      <c r="D167" s="5">
        <f t="shared" si="28"/>
        <v>0.29312306079490108</v>
      </c>
      <c r="E167" s="5">
        <f>MAX((1-Parameters!$B$4)^Parameters!B$71*E166+B166*Parameters!B$71-Parameters!$B$5*B166^2/E166*Parameters!B$71,0.0001)</f>
        <v>0.79007025610650627</v>
      </c>
      <c r="F167" s="7">
        <f>MAX((1-Parameters!$B$4)^Parameters!B$71*F166+C166*Parameters!B$71-Parameters!$B$5*C166^2/F166*Parameters!B$71,0.0001)</f>
        <v>0.15238070224291705</v>
      </c>
      <c r="G167" s="5">
        <f>MAX((1-Parameters!$B$4)^Parameters!B$71*G166+D166*Parameters!B$71-Parameters!$B$5*D166^2/G166*Parameters!B$71,0.0001)</f>
        <v>4.3458266603682008</v>
      </c>
      <c r="I167" s="5">
        <f>I166*(1+Parameters!$B$52)^Parameters!B$71</f>
        <v>13.082298753083288</v>
      </c>
      <c r="J167" s="5">
        <f>J166*(1+Parameters!$B$54)^Parameters!B$71</f>
        <v>228.34985770674919</v>
      </c>
      <c r="K167" s="5">
        <f>'6states'!$N$4</f>
        <v>0.98104277196026479</v>
      </c>
      <c r="L167" s="7">
        <f t="shared" si="26"/>
        <v>0.5</v>
      </c>
      <c r="N167" s="5">
        <f>(Parameters!$B$19*(E167+Parameters!$B$20)^L167+Parameters!$B$18*F167^L167)^(1/L167)</f>
        <v>0.54952936916519313</v>
      </c>
      <c r="O167" s="5">
        <f>(Parameters!$B$10*G167^Parameters!$B$9 + Parameters!$B$11*N167^Parameters!$B$9) ^ (Parameters!$B$7/Parameters!$B$9) * K167</f>
        <v>1.5019536328891174</v>
      </c>
      <c r="P167" s="5">
        <f t="shared" si="25"/>
        <v>1.14526291575374</v>
      </c>
      <c r="Q167" s="5">
        <f>EXP(-Parameters!$B$56*A167)</f>
        <v>8.5323957692323968E-2</v>
      </c>
      <c r="R167" s="5">
        <f>IF(P167&gt;0,P167^(1-Parameters!$B$53)/(1-Parameters!$B$53)*Q167,-10+P167*1000)</f>
        <v>-0.23248028424679401</v>
      </c>
      <c r="S167" s="5"/>
    </row>
    <row r="168" spans="1:19" x14ac:dyDescent="0.35">
      <c r="A168">
        <f>A167+Parameters!$B$71</f>
        <v>164</v>
      </c>
      <c r="B168" s="7">
        <f t="shared" si="28"/>
        <v>5.3289702319887791E-2</v>
      </c>
      <c r="C168" s="7">
        <f t="shared" si="28"/>
        <v>1.0277954020588648E-2</v>
      </c>
      <c r="D168" s="5">
        <f t="shared" si="28"/>
        <v>0.29312306079490108</v>
      </c>
      <c r="E168" s="5">
        <f>MAX((1-Parameters!$B$4)^Parameters!B$71*E167+B167*Parameters!B$71-Parameters!$B$5*B167^2/E167*Parameters!B$71,0.0001)</f>
        <v>0.79007018507930993</v>
      </c>
      <c r="F168" s="7">
        <f>MAX((1-Parameters!$B$4)^Parameters!B$71*F167+C167*Parameters!B$71-Parameters!$B$5*C167^2/F167*Parameters!B$71,0.0001)</f>
        <v>0.15238067048075324</v>
      </c>
      <c r="G168" s="5">
        <f>MAX((1-Parameters!$B$4)^Parameters!B$71*G167+D167*Parameters!B$71-Parameters!$B$5*D167^2/G167*Parameters!B$71,0.0001)</f>
        <v>4.3458262725786225</v>
      </c>
      <c r="I168" s="5">
        <f>I167*(1+Parameters!$B$52)^Parameters!B$71</f>
        <v>13.120237419467228</v>
      </c>
      <c r="J168" s="5">
        <f>J167*(1+Parameters!$B$54)^Parameters!B$71</f>
        <v>232.91685486088417</v>
      </c>
      <c r="K168" s="5">
        <f>'6states'!$N$4</f>
        <v>0.98104277196026479</v>
      </c>
      <c r="L168" s="7">
        <f t="shared" si="26"/>
        <v>0.5</v>
      </c>
      <c r="N168" s="5">
        <f>(Parameters!$B$19*(E168+Parameters!$B$20)^L168+Parameters!$B$18*F168^L168)^(1/L168)</f>
        <v>0.54952930985909609</v>
      </c>
      <c r="O168" s="5">
        <f>(Parameters!$B$10*G168^Parameters!$B$9 + Parameters!$B$11*N168^Parameters!$B$9) ^ (Parameters!$B$7/Parameters!$B$9) * K168</f>
        <v>1.50195359116826</v>
      </c>
      <c r="P168" s="5">
        <f t="shared" si="25"/>
        <v>1.1452628740328825</v>
      </c>
      <c r="Q168" s="5">
        <f>EXP(-Parameters!$B$56*A168)</f>
        <v>8.4045244512203479E-2</v>
      </c>
      <c r="R168" s="5">
        <f>IF(P168&gt;0,P168^(1-Parameters!$B$53)/(1-Parameters!$B$53)*Q168,-10+P168*1000)</f>
        <v>-0.22899620588825581</v>
      </c>
      <c r="S168" s="5"/>
    </row>
    <row r="169" spans="1:19" x14ac:dyDescent="0.35">
      <c r="A169">
        <f>A168+Parameters!$B$71</f>
        <v>165</v>
      </c>
      <c r="B169" s="7">
        <f t="shared" si="28"/>
        <v>5.3289702319887791E-2</v>
      </c>
      <c r="C169" s="7">
        <f t="shared" si="28"/>
        <v>1.0277954020588648E-2</v>
      </c>
      <c r="D169" s="5">
        <f t="shared" si="28"/>
        <v>0.29312306079490108</v>
      </c>
      <c r="E169" s="5">
        <f>MAX((1-Parameters!$B$4)^Parameters!B$71*E168+B168*Parameters!B$71-Parameters!$B$5*B168^2/E168*Parameters!B$71,0.0001)</f>
        <v>0.79007011819659234</v>
      </c>
      <c r="F169" s="7">
        <f>MAX((1-Parameters!$B$4)^Parameters!B$71*F168+C168*Parameters!B$71-Parameters!$B$5*C168^2/F168*Parameters!B$71,0.0001)</f>
        <v>0.15238064057193096</v>
      </c>
      <c r="G169" s="5">
        <f>MAX((1-Parameters!$B$4)^Parameters!B$71*G168+D168*Parameters!B$71-Parameters!$B$5*D168^2/G168*Parameters!B$71,0.0001)</f>
        <v>4.3458259074167946</v>
      </c>
      <c r="I169" s="5">
        <f>I168*(1+Parameters!$B$52)^Parameters!B$71</f>
        <v>13.158286107983683</v>
      </c>
      <c r="J169" s="5">
        <f>J168*(1+Parameters!$B$54)^Parameters!B$71</f>
        <v>237.57519195810187</v>
      </c>
      <c r="K169" s="5">
        <f>'6states'!$N$4</f>
        <v>0.98104277196026479</v>
      </c>
      <c r="L169" s="7">
        <f t="shared" si="26"/>
        <v>0.5</v>
      </c>
      <c r="N169" s="5">
        <f>(Parameters!$B$19*(E169+Parameters!$B$20)^L169+Parameters!$B$18*F169^L169)^(1/L169)</f>
        <v>0.54952925401354469</v>
      </c>
      <c r="O169" s="5">
        <f>(Parameters!$B$10*G169^Parameters!$B$9 + Parameters!$B$11*N169^Parameters!$B$9) ^ (Parameters!$B$7/Parameters!$B$9) * K169</f>
        <v>1.5019535518818361</v>
      </c>
      <c r="P169" s="5">
        <f t="shared" si="25"/>
        <v>1.1452628347464586</v>
      </c>
      <c r="Q169" s="5">
        <f>EXP(-Parameters!$B$56*A169)</f>
        <v>8.2785694852402933E-2</v>
      </c>
      <c r="R169" s="5">
        <f>IF(P169&gt;0,P169^(1-Parameters!$B$53)/(1-Parameters!$B$53)*Q169,-10+P169*1000)</f>
        <v>-0.22556434169073375</v>
      </c>
      <c r="S169" s="5"/>
    </row>
    <row r="170" spans="1:19" x14ac:dyDescent="0.35">
      <c r="A170">
        <f>A169+Parameters!$B$71</f>
        <v>166</v>
      </c>
      <c r="B170" s="7">
        <f t="shared" si="28"/>
        <v>5.3289702319887791E-2</v>
      </c>
      <c r="C170" s="7">
        <f t="shared" si="28"/>
        <v>1.0277954020588648E-2</v>
      </c>
      <c r="D170" s="5">
        <f t="shared" si="28"/>
        <v>0.29312306079490108</v>
      </c>
      <c r="E170" s="5">
        <f>MAX((1-Parameters!$B$4)^Parameters!B$71*E169+B169*Parameters!B$71-Parameters!$B$5*B169^2/E169*Parameters!B$71,0.0001)</f>
        <v>0.79007005521652063</v>
      </c>
      <c r="F170" s="7">
        <f>MAX((1-Parameters!$B$4)^Parameters!B$71*F169+C169*Parameters!B$71-Parameters!$B$5*C169^2/F169*Parameters!B$71,0.0001)</f>
        <v>0.15238061240830655</v>
      </c>
      <c r="G170" s="5">
        <f>MAX((1-Parameters!$B$4)^Parameters!B$71*G169+D169*Parameters!B$71-Parameters!$B$5*D169^2/G169*Parameters!B$71,0.0001)</f>
        <v>4.3458255635623741</v>
      </c>
      <c r="I170" s="5">
        <f>I169*(1+Parameters!$B$52)^Parameters!B$71</f>
        <v>13.196445137696834</v>
      </c>
      <c r="J170" s="5">
        <f>J169*(1+Parameters!$B$54)^Parameters!B$71</f>
        <v>242.32669579726391</v>
      </c>
      <c r="K170" s="5">
        <f>'6states'!$N$4</f>
        <v>0.98104277196026479</v>
      </c>
      <c r="L170" s="7">
        <f t="shared" si="26"/>
        <v>0.5</v>
      </c>
      <c r="N170" s="5">
        <f>(Parameters!$B$19*(E170+Parameters!$B$20)^L170+Parameters!$B$18*F170^L170)^(1/L170)</f>
        <v>0.54952920142661377</v>
      </c>
      <c r="O170" s="5">
        <f>(Parameters!$B$10*G170^Parameters!$B$9 + Parameters!$B$11*N170^Parameters!$B$9) ^ (Parameters!$B$7/Parameters!$B$9) * K170</f>
        <v>1.5019535148877963</v>
      </c>
      <c r="P170" s="5">
        <f t="shared" si="25"/>
        <v>1.1452627977524188</v>
      </c>
      <c r="Q170" s="5">
        <f>EXP(-Parameters!$B$56*A170)</f>
        <v>8.1545021517547445E-2</v>
      </c>
      <c r="R170" s="5">
        <f>IF(P170&gt;0,P170^(1-Parameters!$B$53)/(1-Parameters!$B$53)*Q170,-10+P170*1000)</f>
        <v>-0.22218390915855374</v>
      </c>
      <c r="S170" s="5"/>
    </row>
    <row r="171" spans="1:19" x14ac:dyDescent="0.35">
      <c r="A171">
        <f>A170+Parameters!$B$71</f>
        <v>167</v>
      </c>
      <c r="B171" s="7">
        <f t="shared" si="28"/>
        <v>5.3289702319887791E-2</v>
      </c>
      <c r="C171" s="7">
        <f t="shared" si="28"/>
        <v>1.0277954020588648E-2</v>
      </c>
      <c r="D171" s="5">
        <f t="shared" si="28"/>
        <v>0.29312306079490108</v>
      </c>
      <c r="E171" s="5">
        <f>MAX((1-Parameters!$B$4)^Parameters!B$71*E170+B170*Parameters!B$71-Parameters!$B$5*B170^2/E170*Parameters!B$71,0.0001)</f>
        <v>0.79006999591137317</v>
      </c>
      <c r="F171" s="7">
        <f>MAX((1-Parameters!$B$4)^Parameters!B$71*F170+C170*Parameters!B$71-Parameters!$B$5*C170^2/F170*Parameters!B$71,0.0001)</f>
        <v>0.15238058588804662</v>
      </c>
      <c r="G171" s="5">
        <f>MAX((1-Parameters!$B$4)^Parameters!B$71*G170+D170*Parameters!B$71-Parameters!$B$5*D170^2/G170*Parameters!B$71,0.0001)</f>
        <v>4.3458252397720605</v>
      </c>
      <c r="I171" s="5">
        <f>I170*(1+Parameters!$B$52)^Parameters!B$71</f>
        <v>13.234714828596154</v>
      </c>
      <c r="J171" s="5">
        <f>J170*(1+Parameters!$B$54)^Parameters!B$71</f>
        <v>247.1732297132092</v>
      </c>
      <c r="K171" s="5">
        <f>'6states'!$N$4</f>
        <v>0.98104277196026479</v>
      </c>
      <c r="L171" s="7">
        <f t="shared" si="26"/>
        <v>0.5</v>
      </c>
      <c r="N171" s="5">
        <f>(Parameters!$B$19*(E171+Parameters!$B$20)^L171+Parameters!$B$18*F171^L171)^(1/L171)</f>
        <v>0.54952915190816121</v>
      </c>
      <c r="O171" s="5">
        <f>(Parameters!$B$10*G171^Parameters!$B$9 + Parameters!$B$11*N171^Parameters!$B$9) ^ (Parameters!$B$7/Parameters!$B$9) * K171</f>
        <v>1.5019534800523782</v>
      </c>
      <c r="P171" s="5">
        <f t="shared" si="25"/>
        <v>1.1452627629170007</v>
      </c>
      <c r="Q171" s="5">
        <f>EXP(-Parameters!$B$56*A171)</f>
        <v>8.0322941616334922E-2</v>
      </c>
      <c r="R171" s="5">
        <f>IF(P171&gt;0,P171^(1-Parameters!$B$53)/(1-Parameters!$B$53)*Q171,-10+P171*1000)</f>
        <v>-0.21885413752185473</v>
      </c>
      <c r="S171" s="5"/>
    </row>
    <row r="172" spans="1:19" x14ac:dyDescent="0.35">
      <c r="A172">
        <f>A171+Parameters!$B$71</f>
        <v>168</v>
      </c>
      <c r="B172" s="7">
        <f t="shared" si="28"/>
        <v>5.3289702319887791E-2</v>
      </c>
      <c r="C172" s="7">
        <f t="shared" si="28"/>
        <v>1.0277954020588648E-2</v>
      </c>
      <c r="D172" s="5">
        <f t="shared" si="28"/>
        <v>0.29312306079490108</v>
      </c>
      <c r="E172" s="5">
        <f>MAX((1-Parameters!$B$4)^Parameters!B$71*E171+B171*Parameters!B$71-Parameters!$B$5*B171^2/E171*Parameters!B$71,0.0001)</f>
        <v>0.79006994006671571</v>
      </c>
      <c r="F172" s="7">
        <f>MAX((1-Parameters!$B$4)^Parameters!B$71*F171+C171*Parameters!B$71-Parameters!$B$5*C171^2/F171*Parameters!B$71,0.0001)</f>
        <v>0.15238056091525978</v>
      </c>
      <c r="G172" s="5">
        <f>MAX((1-Parameters!$B$4)^Parameters!B$71*G171+D171*Parameters!B$71-Parameters!$B$5*D171^2/G171*Parameters!B$71,0.0001)</f>
        <v>4.3458249348751021</v>
      </c>
      <c r="I172" s="5">
        <f>I171*(1+Parameters!$B$52)^Parameters!B$71</f>
        <v>13.273095501599082</v>
      </c>
      <c r="J172" s="5">
        <f>J171*(1+Parameters!$B$54)^Parameters!B$71</f>
        <v>252.11669430747338</v>
      </c>
      <c r="K172" s="5">
        <f>'6states'!$N$4</f>
        <v>0.98104277196026479</v>
      </c>
      <c r="L172" s="7">
        <f t="shared" si="26"/>
        <v>0.5</v>
      </c>
      <c r="N172" s="5">
        <f>(Parameters!$B$19*(E172+Parameters!$B$20)^L172+Parameters!$B$18*F172^L172)^(1/L172)</f>
        <v>0.5495291052791389</v>
      </c>
      <c r="O172" s="5">
        <f>(Parameters!$B$10*G172^Parameters!$B$9 + Parameters!$B$11*N172^Parameters!$B$9) ^ (Parameters!$B$7/Parameters!$B$9) * K172</f>
        <v>1.5019534472496254</v>
      </c>
      <c r="P172" s="5">
        <f t="shared" si="25"/>
        <v>1.145262730114248</v>
      </c>
      <c r="Q172" s="5">
        <f>EXP(-Parameters!$B$56*A172)</f>
        <v>7.9119176497032498E-2</v>
      </c>
      <c r="R172" s="5">
        <f>IF(P172&gt;0,P172^(1-Parameters!$B$53)/(1-Parameters!$B$53)*Q172,-10+P172*1000)</f>
        <v>-0.21557426756093889</v>
      </c>
      <c r="S172" s="5"/>
    </row>
    <row r="173" spans="1:19" x14ac:dyDescent="0.35">
      <c r="A173">
        <f>A172+Parameters!$B$71</f>
        <v>169</v>
      </c>
      <c r="B173" s="7">
        <f t="shared" si="28"/>
        <v>5.3289702319887791E-2</v>
      </c>
      <c r="C173" s="7">
        <f t="shared" si="28"/>
        <v>1.0277954020588648E-2</v>
      </c>
      <c r="D173" s="5">
        <f t="shared" si="28"/>
        <v>0.29312306079490108</v>
      </c>
      <c r="E173" s="5">
        <f>MAX((1-Parameters!$B$4)^Parameters!B$71*E172+B172*Parameters!B$71-Parameters!$B$5*B172^2/E172*Parameters!B$71,0.0001)</f>
        <v>0.79006988748062679</v>
      </c>
      <c r="F173" s="7">
        <f>MAX((1-Parameters!$B$4)^Parameters!B$71*F172+C172*Parameters!B$71-Parameters!$B$5*C172^2/F172*Parameters!B$71,0.0001)</f>
        <v>0.15238053739965005</v>
      </c>
      <c r="G173" s="5">
        <f>MAX((1-Parameters!$B$4)^Parameters!B$71*G172+D172*Parameters!B$71-Parameters!$B$5*D172^2/G172*Parameters!B$71,0.0001)</f>
        <v>4.3458246477690601</v>
      </c>
      <c r="I173" s="5">
        <f>I172*(1+Parameters!$B$52)^Parameters!B$71</f>
        <v>13.311587478553719</v>
      </c>
      <c r="J173" s="5">
        <f>J172*(1+Parameters!$B$54)^Parameters!B$71</f>
        <v>257.15902819362287</v>
      </c>
      <c r="K173" s="5">
        <f>'6states'!$N$4</f>
        <v>0.98104277196026479</v>
      </c>
      <c r="L173" s="7">
        <f t="shared" si="26"/>
        <v>0.5</v>
      </c>
      <c r="N173" s="5">
        <f>(Parameters!$B$19*(E173+Parameters!$B$20)^L173+Parameters!$B$18*F173^L173)^(1/L173)</f>
        <v>0.54952906137094759</v>
      </c>
      <c r="O173" s="5">
        <f>(Parameters!$B$10*G173^Parameters!$B$9 + Parameters!$B$11*N173^Parameters!$B$9) ^ (Parameters!$B$7/Parameters!$B$9) * K173</f>
        <v>1.5019534163609309</v>
      </c>
      <c r="P173" s="5">
        <f t="shared" si="25"/>
        <v>1.1452626992255535</v>
      </c>
      <c r="Q173" s="5">
        <f>EXP(-Parameters!$B$56*A173)</f>
        <v>7.79334516839401E-2</v>
      </c>
      <c r="R173" s="5">
        <f>IF(P173&gt;0,P173^(1-Parameters!$B$53)/(1-Parameters!$B$53)*Q173,-10+P173*1000)</f>
        <v>-0.21234355143324929</v>
      </c>
      <c r="S173" s="5"/>
    </row>
    <row r="174" spans="1:19" x14ac:dyDescent="0.35">
      <c r="A174">
        <f>A173+Parameters!$B$71</f>
        <v>170</v>
      </c>
      <c r="B174" s="7">
        <f t="shared" si="28"/>
        <v>5.3289702319887791E-2</v>
      </c>
      <c r="C174" s="7">
        <f t="shared" si="28"/>
        <v>1.0277954020588648E-2</v>
      </c>
      <c r="D174" s="5">
        <f t="shared" si="28"/>
        <v>0.29312306079490108</v>
      </c>
      <c r="E174" s="5">
        <f>MAX((1-Parameters!$B$4)^Parameters!B$71*E173+B173*Parameters!B$71-Parameters!$B$5*B173^2/E173*Parameters!B$71,0.0001)</f>
        <v>0.79006983796296693</v>
      </c>
      <c r="F174" s="7">
        <f>MAX((1-Parameters!$B$4)^Parameters!B$71*F173+C173*Parameters!B$71-Parameters!$B$5*C173^2/F173*Parameters!B$71,0.0001)</f>
        <v>0.1523805152561902</v>
      </c>
      <c r="G174" s="5">
        <f>MAX((1-Parameters!$B$4)^Parameters!B$71*G173+D173*Parameters!B$71-Parameters!$B$5*D173^2/G173*Parameters!B$71,0.0001)</f>
        <v>4.3458243774158225</v>
      </c>
      <c r="I174" s="5">
        <f>I173*(1+Parameters!$B$52)^Parameters!B$71</f>
        <v>13.350191082241523</v>
      </c>
      <c r="J174" s="5">
        <f>J173*(1+Parameters!$B$54)^Parameters!B$71</f>
        <v>262.30220875749535</v>
      </c>
      <c r="K174" s="5">
        <f>'6states'!$N$4</f>
        <v>0.98104277196026479</v>
      </c>
      <c r="L174" s="7">
        <f t="shared" si="26"/>
        <v>0.5</v>
      </c>
      <c r="N174" s="5">
        <f>(Parameters!$B$19*(E174+Parameters!$B$20)^L174+Parameters!$B$18*F174^L174)^(1/L174)</f>
        <v>0.54952902002482462</v>
      </c>
      <c r="O174" s="5">
        <f>(Parameters!$B$10*G174^Parameters!$B$9 + Parameters!$B$11*N174^Parameters!$B$9) ^ (Parameters!$B$7/Parameters!$B$9) * K174</f>
        <v>1.501953387274608</v>
      </c>
      <c r="P174" s="5">
        <f t="shared" si="25"/>
        <v>1.1452626701392306</v>
      </c>
      <c r="Q174" s="5">
        <f>EXP(-Parameters!$B$56*A174)</f>
        <v>7.6765496814806045E-2</v>
      </c>
      <c r="R174" s="5">
        <f>IF(P174&gt;0,P174^(1-Parameters!$B$53)/(1-Parameters!$B$53)*Q174,-10+P174*1000)</f>
        <v>-0.20916125250293488</v>
      </c>
      <c r="S174" s="5"/>
    </row>
    <row r="175" spans="1:19" x14ac:dyDescent="0.35">
      <c r="A175">
        <f>A174+Parameters!$B$71</f>
        <v>171</v>
      </c>
      <c r="B175" s="7">
        <f t="shared" si="28"/>
        <v>5.3289702319887791E-2</v>
      </c>
      <c r="C175" s="7">
        <f t="shared" si="28"/>
        <v>1.0277954020588648E-2</v>
      </c>
      <c r="D175" s="5">
        <f t="shared" si="28"/>
        <v>0.29312306079490108</v>
      </c>
      <c r="E175" s="5">
        <f>MAX((1-Parameters!$B$4)^Parameters!B$71*E174+B174*Parameters!B$71-Parameters!$B$5*B174^2/E174*Parameters!B$71,0.0001)</f>
        <v>0.79006979133469146</v>
      </c>
      <c r="F175" s="7">
        <f>MAX((1-Parameters!$B$4)^Parameters!B$71*F174+C174*Parameters!B$71-Parameters!$B$5*C174^2/F174*Parameters!B$71,0.0001)</f>
        <v>0.15238049440481449</v>
      </c>
      <c r="G175" s="5">
        <f>MAX((1-Parameters!$B$4)^Parameters!B$71*G174+D174*Parameters!B$71-Parameters!$B$5*D174^2/G174*Parameters!B$71,0.0001)</f>
        <v>4.3458241228378558</v>
      </c>
      <c r="I175" s="5">
        <f>I174*(1+Parameters!$B$52)^Parameters!B$71</f>
        <v>13.388906636380021</v>
      </c>
      <c r="J175" s="5">
        <f>J174*(1+Parameters!$B$54)^Parameters!B$71</f>
        <v>267.54825293264525</v>
      </c>
      <c r="K175" s="5">
        <f>'6states'!$N$4</f>
        <v>0.98104277196026479</v>
      </c>
      <c r="L175" s="7">
        <f t="shared" si="26"/>
        <v>0.5</v>
      </c>
      <c r="N175" s="5">
        <f>(Parameters!$B$19*(E175+Parameters!$B$20)^L175+Parameters!$B$18*F175^L175)^(1/L175)</f>
        <v>0.54952898109127224</v>
      </c>
      <c r="O175" s="5">
        <f>(Parameters!$B$10*G175^Parameters!$B$9 + Parameters!$B$11*N175^Parameters!$B$9) ^ (Parameters!$B$7/Parameters!$B$9) * K175</f>
        <v>1.5019533598854884</v>
      </c>
      <c r="P175" s="5">
        <f t="shared" si="25"/>
        <v>1.1452626427501109</v>
      </c>
      <c r="Q175" s="5">
        <f>EXP(-Parameters!$B$56*A175)</f>
        <v>7.5615045579180543E-2</v>
      </c>
      <c r="R175" s="5">
        <f>IF(P175&gt;0,P175^(1-Parameters!$B$53)/(1-Parameters!$B$53)*Q175,-10+P175*1000)</f>
        <v>-0.20602664517296446</v>
      </c>
      <c r="S175" s="5"/>
    </row>
    <row r="176" spans="1:19" x14ac:dyDescent="0.35">
      <c r="A176">
        <f>A175+Parameters!$B$71</f>
        <v>172</v>
      </c>
      <c r="B176" s="7">
        <f t="shared" ref="B176:D191" si="29">B175</f>
        <v>5.3289702319887791E-2</v>
      </c>
      <c r="C176" s="7">
        <f t="shared" si="29"/>
        <v>1.0277954020588648E-2</v>
      </c>
      <c r="D176" s="5">
        <f t="shared" si="29"/>
        <v>0.29312306079490108</v>
      </c>
      <c r="E176" s="5">
        <f>MAX((1-Parameters!$B$4)^Parameters!B$71*E175+B175*Parameters!B$71-Parameters!$B$5*B175^2/E175*Parameters!B$71,0.0001)</f>
        <v>0.79006974742720315</v>
      </c>
      <c r="F176" s="7">
        <f>MAX((1-Parameters!$B$4)^Parameters!B$71*F175+C175*Parameters!B$71-Parameters!$B$5*C175^2/F175*Parameters!B$71,0.0001)</f>
        <v>0.15238047477012898</v>
      </c>
      <c r="G176" s="5">
        <f>MAX((1-Parameters!$B$4)^Parameters!B$71*G175+D175*Parameters!B$71-Parameters!$B$5*D175^2/G175*Parameters!B$71,0.0001)</f>
        <v>4.3458238831146616</v>
      </c>
      <c r="I176" s="5">
        <f>I175*(1+Parameters!$B$52)^Parameters!B$71</f>
        <v>13.427734465625521</v>
      </c>
      <c r="J176" s="5">
        <f>J175*(1+Parameters!$B$54)^Parameters!B$71</f>
        <v>272.89921799129814</v>
      </c>
      <c r="K176" s="5">
        <f>'6states'!$N$4</f>
        <v>0.98104277196026479</v>
      </c>
      <c r="L176" s="7">
        <f t="shared" si="26"/>
        <v>0.5</v>
      </c>
      <c r="N176" s="5">
        <f>(Parameters!$B$19*(E176+Parameters!$B$20)^L176+Parameters!$B$18*F176^L176)^(1/L176)</f>
        <v>0.54952894442951528</v>
      </c>
      <c r="O176" s="5">
        <f>(Parameters!$B$10*G176^Parameters!$B$9 + Parameters!$B$11*N176^Parameters!$B$9) ^ (Parameters!$B$7/Parameters!$B$9) * K176</f>
        <v>1.5019533340945384</v>
      </c>
      <c r="P176" s="5">
        <f t="shared" si="25"/>
        <v>1.1452626169591609</v>
      </c>
      <c r="Q176" s="5">
        <f>EXP(-Parameters!$B$56*A176)</f>
        <v>7.4481835657693174E-2</v>
      </c>
      <c r="R176" s="5">
        <f>IF(P176&gt;0,P176^(1-Parameters!$B$53)/(1-Parameters!$B$53)*Q176,-10+P176*1000)</f>
        <v>-0.20293901471975281</v>
      </c>
      <c r="S176" s="5"/>
    </row>
    <row r="177" spans="1:19" x14ac:dyDescent="0.35">
      <c r="A177">
        <f>A176+Parameters!$B$71</f>
        <v>173</v>
      </c>
      <c r="B177" s="7">
        <f t="shared" si="29"/>
        <v>5.3289702319887791E-2</v>
      </c>
      <c r="C177" s="7">
        <f t="shared" si="29"/>
        <v>1.0277954020588648E-2</v>
      </c>
      <c r="D177" s="5">
        <f t="shared" si="29"/>
        <v>0.29312306079490108</v>
      </c>
      <c r="E177" s="5">
        <f>MAX((1-Parameters!$B$4)^Parameters!B$71*E176+B176*Parameters!B$71-Parameters!$B$5*B176^2/E176*Parameters!B$71,0.0001)</f>
        <v>0.79006970608174243</v>
      </c>
      <c r="F177" s="7">
        <f>MAX((1-Parameters!$B$4)^Parameters!B$71*F176+C176*Parameters!B$71-Parameters!$B$5*C176^2/F176*Parameters!B$71,0.0001)</f>
        <v>0.15238045628113903</v>
      </c>
      <c r="G177" s="5">
        <f>MAX((1-Parameters!$B$4)^Parameters!B$71*G176+D176*Parameters!B$71-Parameters!$B$5*D176^2/G176*Parameters!B$71,0.0001)</f>
        <v>4.3458236573794551</v>
      </c>
      <c r="I177" s="5">
        <f>I176*(1+Parameters!$B$52)^Parameters!B$71</f>
        <v>13.466674895575833</v>
      </c>
      <c r="J177" s="5">
        <f>J176*(1+Parameters!$B$54)^Parameters!B$71</f>
        <v>278.3572023511241</v>
      </c>
      <c r="K177" s="5">
        <f>'6states'!$N$4</f>
        <v>0.98104277196026479</v>
      </c>
      <c r="L177" s="7">
        <f t="shared" si="26"/>
        <v>0.5</v>
      </c>
      <c r="N177" s="5">
        <f>(Parameters!$B$19*(E177+Parameters!$B$20)^L177+Parameters!$B$18*F177^L177)^(1/L177)</f>
        <v>0.54952890990699299</v>
      </c>
      <c r="O177" s="5">
        <f>(Parameters!$B$10*G177^Parameters!$B$9 + Parameters!$B$11*N177^Parameters!$B$9) ^ (Parameters!$B$7/Parameters!$B$9) * K177</f>
        <v>1.5019533098085043</v>
      </c>
      <c r="P177" s="5">
        <f t="shared" si="25"/>
        <v>1.1452625926731268</v>
      </c>
      <c r="Q177" s="5">
        <f>EXP(-Parameters!$B$56*A177)</f>
        <v>7.3365608662240192E-2</v>
      </c>
      <c r="R177" s="5">
        <f>IF(P177&gt;0,P177^(1-Parameters!$B$53)/(1-Parameters!$B$53)*Q177,-10+P177*1000)</f>
        <v>-0.19989765713025959</v>
      </c>
      <c r="S177" s="5"/>
    </row>
    <row r="178" spans="1:19" x14ac:dyDescent="0.35">
      <c r="A178">
        <f>A177+Parameters!$B$71</f>
        <v>174</v>
      </c>
      <c r="B178" s="7">
        <f t="shared" si="29"/>
        <v>5.3289702319887791E-2</v>
      </c>
      <c r="C178" s="7">
        <f t="shared" si="29"/>
        <v>1.0277954020588648E-2</v>
      </c>
      <c r="D178" s="5">
        <f t="shared" si="29"/>
        <v>0.29312306079490108</v>
      </c>
      <c r="E178" s="5">
        <f>MAX((1-Parameters!$B$4)^Parameters!B$71*E177+B177*Parameters!B$71-Parameters!$B$5*B177^2/E177*Parameters!B$71,0.0001)</f>
        <v>0.79006966714881344</v>
      </c>
      <c r="F178" s="7">
        <f>MAX((1-Parameters!$B$4)^Parameters!B$71*F177+C177*Parameters!B$71-Parameters!$B$5*C177^2/F177*Parameters!B$71,0.0001)</f>
        <v>0.15238043887099262</v>
      </c>
      <c r="G178" s="5">
        <f>MAX((1-Parameters!$B$4)^Parameters!B$71*G177+D177*Parameters!B$71-Parameters!$B$5*D177^2/G177*Parameters!B$71,0.0001)</f>
        <v>4.3458234448160296</v>
      </c>
      <c r="I178" s="5">
        <f>I177*(1+Parameters!$B$52)^Parameters!B$71</f>
        <v>13.505728252773002</v>
      </c>
      <c r="J178" s="5">
        <f>J177*(1+Parameters!$B$54)^Parameters!B$71</f>
        <v>283.92434639814661</v>
      </c>
      <c r="K178" s="5">
        <f>'6states'!$N$4</f>
        <v>0.98104277196026479</v>
      </c>
      <c r="L178" s="7">
        <f t="shared" si="26"/>
        <v>0.5</v>
      </c>
      <c r="N178" s="5">
        <f>(Parameters!$B$19*(E178+Parameters!$B$20)^L178+Parameters!$B$18*F178^L178)^(1/L178)</f>
        <v>0.54952887739888012</v>
      </c>
      <c r="O178" s="5">
        <f>(Parameters!$B$10*G178^Parameters!$B$9 + Parameters!$B$11*N178^Parameters!$B$9) ^ (Parameters!$B$7/Parameters!$B$9) * K178</f>
        <v>1.501953286939574</v>
      </c>
      <c r="P178" s="5">
        <f t="shared" si="25"/>
        <v>1.1452625698041965</v>
      </c>
      <c r="Q178" s="5">
        <f>EXP(-Parameters!$B$56*A178)</f>
        <v>7.226611007706836E-2</v>
      </c>
      <c r="R178" s="5">
        <f>IF(P178&gt;0,P178^(1-Parameters!$B$53)/(1-Parameters!$B$53)*Q178,-10+P178*1000)</f>
        <v>-0.19690187894152672</v>
      </c>
      <c r="S178" s="5"/>
    </row>
    <row r="179" spans="1:19" x14ac:dyDescent="0.35">
      <c r="A179">
        <f>A178+Parameters!$B$71</f>
        <v>175</v>
      </c>
      <c r="B179" s="7">
        <f t="shared" si="29"/>
        <v>5.3289702319887791E-2</v>
      </c>
      <c r="C179" s="7">
        <f t="shared" si="29"/>
        <v>1.0277954020588648E-2</v>
      </c>
      <c r="D179" s="5">
        <f t="shared" si="29"/>
        <v>0.29312306079490108</v>
      </c>
      <c r="E179" s="5">
        <f>MAX((1-Parameters!$B$4)^Parameters!B$71*E178+B178*Parameters!B$71-Parameters!$B$5*B178^2/E178*Parameters!B$71,0.0001)</f>
        <v>0.79006963048764345</v>
      </c>
      <c r="F179" s="7">
        <f>MAX((1-Parameters!$B$4)^Parameters!B$71*F178+C178*Parameters!B$71-Parameters!$B$5*C178^2/F178*Parameters!B$71,0.0001)</f>
        <v>0.15238042247673855</v>
      </c>
      <c r="G179" s="5">
        <f>MAX((1-Parameters!$B$4)^Parameters!B$71*G178+D178*Parameters!B$71-Parameters!$B$5*D178^2/G178*Parameters!B$71,0.0001)</f>
        <v>4.3458232446558034</v>
      </c>
      <c r="I179" s="5">
        <f>I178*(1+Parameters!$B$52)^Parameters!B$71</f>
        <v>13.544894864706043</v>
      </c>
      <c r="J179" s="5">
        <f>J178*(1+Parameters!$B$54)^Parameters!B$71</f>
        <v>289.60283332610953</v>
      </c>
      <c r="K179" s="5">
        <f>'6states'!$N$4</f>
        <v>0.98104277196026479</v>
      </c>
      <c r="L179" s="7">
        <f t="shared" si="26"/>
        <v>0.5</v>
      </c>
      <c r="N179" s="5">
        <f>(Parameters!$B$19*(E179+Parameters!$B$20)^L179+Parameters!$B$18*F179^L179)^(1/L179)</f>
        <v>0.54952884678763469</v>
      </c>
      <c r="O179" s="5">
        <f>(Parameters!$B$10*G179^Parameters!$B$9 + Parameters!$B$11*N179^Parameters!$B$9) ^ (Parameters!$B$7/Parameters!$B$9) * K179</f>
        <v>1.5019532654050578</v>
      </c>
      <c r="P179" s="5">
        <f t="shared" si="25"/>
        <v>1.1452625482696803</v>
      </c>
      <c r="Q179" s="5">
        <f>EXP(-Parameters!$B$56*A179)</f>
        <v>7.1183089200741873E-2</v>
      </c>
      <c r="R179" s="5">
        <f>IF(P179&gt;0,P179^(1-Parameters!$B$53)/(1-Parameters!$B$53)*Q179,-10+P179*1000)</f>
        <v>-0.19395099708261668</v>
      </c>
      <c r="S179" s="5"/>
    </row>
    <row r="180" spans="1:19" x14ac:dyDescent="0.35">
      <c r="A180">
        <f>A179+Parameters!$B$71</f>
        <v>176</v>
      </c>
      <c r="B180" s="7">
        <f t="shared" si="29"/>
        <v>5.3289702319887791E-2</v>
      </c>
      <c r="C180" s="7">
        <f t="shared" si="29"/>
        <v>1.0277954020588648E-2</v>
      </c>
      <c r="D180" s="5">
        <f t="shared" si="29"/>
        <v>0.29312306079490108</v>
      </c>
      <c r="E180" s="5">
        <f>MAX((1-Parameters!$B$4)^Parameters!B$71*E179+B179*Parameters!B$71-Parameters!$B$5*B179^2/E179*Parameters!B$71,0.0001)</f>
        <v>0.79006959596567417</v>
      </c>
      <c r="F180" s="7">
        <f>MAX((1-Parameters!$B$4)^Parameters!B$71*F179+C179*Parameters!B$71-Parameters!$B$5*C179^2/F179*Parameters!B$71,0.0001)</f>
        <v>0.15238040703909891</v>
      </c>
      <c r="G180" s="5">
        <f>MAX((1-Parameters!$B$4)^Parameters!B$71*G179+D179*Parameters!B$71-Parameters!$B$5*D179^2/G179*Parameters!B$71,0.0001)</f>
        <v>4.3458230561750435</v>
      </c>
      <c r="I180" s="5">
        <f>I179*(1+Parameters!$B$52)^Parameters!B$71</f>
        <v>13.584175059813688</v>
      </c>
      <c r="J180" s="5">
        <f>J179*(1+Parameters!$B$54)^Parameters!B$71</f>
        <v>295.3948899926317</v>
      </c>
      <c r="K180" s="5">
        <f>'6states'!$N$4</f>
        <v>0.98104277196026479</v>
      </c>
      <c r="L180" s="7">
        <f t="shared" si="26"/>
        <v>0.5</v>
      </c>
      <c r="N180" s="5">
        <f>(Parameters!$B$19*(E180+Parameters!$B$20)^L180+Parameters!$B$18*F180^L180)^(1/L180)</f>
        <v>0.54952881796257302</v>
      </c>
      <c r="O180" s="5">
        <f>(Parameters!$B$10*G180^Parameters!$B$9 + Parameters!$B$11*N180^Parameters!$B$9) ^ (Parameters!$B$7/Parameters!$B$9) * K180</f>
        <v>1.5019532451270929</v>
      </c>
      <c r="P180" s="5">
        <f t="shared" si="25"/>
        <v>1.1452625279917155</v>
      </c>
      <c r="Q180" s="5">
        <f>EXP(-Parameters!$B$56*A180)</f>
        <v>7.0116299088978581E-2</v>
      </c>
      <c r="R180" s="5">
        <f>IF(P180&gt;0,P180^(1-Parameters!$B$53)/(1-Parameters!$B$53)*Q180,-10+P180*1000)</f>
        <v>-0.19104433871891524</v>
      </c>
      <c r="S180" s="5"/>
    </row>
    <row r="181" spans="1:19" x14ac:dyDescent="0.35">
      <c r="A181">
        <f>A180+Parameters!$B$71</f>
        <v>177</v>
      </c>
      <c r="B181" s="7">
        <f t="shared" si="29"/>
        <v>5.3289702319887791E-2</v>
      </c>
      <c r="C181" s="7">
        <f t="shared" si="29"/>
        <v>1.0277954020588648E-2</v>
      </c>
      <c r="D181" s="5">
        <f t="shared" si="29"/>
        <v>0.29312306079490108</v>
      </c>
      <c r="E181" s="5">
        <f>MAX((1-Parameters!$B$4)^Parameters!B$71*E180+B180*Parameters!B$71-Parameters!$B$5*B180^2/E180*Parameters!B$71,0.0001)</f>
        <v>0.79006956345808177</v>
      </c>
      <c r="F181" s="7">
        <f>MAX((1-Parameters!$B$4)^Parameters!B$71*F180+C180*Parameters!B$71-Parameters!$B$5*C180^2/F180*Parameters!B$71,0.0001)</f>
        <v>0.15238039250225469</v>
      </c>
      <c r="G181" s="5">
        <f>MAX((1-Parameters!$B$4)^Parameters!B$71*G180+D180*Parameters!B$71-Parameters!$B$5*D180^2/G180*Parameters!B$71,0.0001)</f>
        <v>4.3458228786922453</v>
      </c>
      <c r="I181" s="5">
        <f>I180*(1+Parameters!$B$52)^Parameters!B$71</f>
        <v>13.623569167487148</v>
      </c>
      <c r="J181" s="5">
        <f>J180*(1+Parameters!$B$54)^Parameters!B$71</f>
        <v>301.30278779248437</v>
      </c>
      <c r="K181" s="5">
        <f>'6states'!$N$4</f>
        <v>0.98104277196026479</v>
      </c>
      <c r="L181" s="7">
        <f t="shared" si="26"/>
        <v>0.5</v>
      </c>
      <c r="N181" s="5">
        <f>(Parameters!$B$19*(E181+Parameters!$B$20)^L181+Parameters!$B$18*F181^L181)^(1/L181)</f>
        <v>0.54952879081947026</v>
      </c>
      <c r="O181" s="5">
        <f>(Parameters!$B$10*G181^Parameters!$B$9 + Parameters!$B$11*N181^Parameters!$B$9) ^ (Parameters!$B$7/Parameters!$B$9) * K181</f>
        <v>1.5019532260323583</v>
      </c>
      <c r="P181" s="5">
        <f t="shared" si="25"/>
        <v>1.1452625088969808</v>
      </c>
      <c r="Q181" s="5">
        <f>EXP(-Parameters!$B$56*A181)</f>
        <v>6.9065496498343315E-2</v>
      </c>
      <c r="R181" s="5">
        <f>IF(P181&gt;0,P181^(1-Parameters!$B$53)/(1-Parameters!$B$53)*Q181,-10+P181*1000)</f>
        <v>-0.18818124109876541</v>
      </c>
      <c r="S181" s="5"/>
    </row>
    <row r="182" spans="1:19" x14ac:dyDescent="0.35">
      <c r="A182">
        <f>A181+Parameters!$B$71</f>
        <v>178</v>
      </c>
      <c r="B182" s="7">
        <f t="shared" si="29"/>
        <v>5.3289702319887791E-2</v>
      </c>
      <c r="C182" s="7">
        <f t="shared" si="29"/>
        <v>1.0277954020588648E-2</v>
      </c>
      <c r="D182" s="5">
        <f t="shared" si="29"/>
        <v>0.29312306079490108</v>
      </c>
      <c r="E182" s="5">
        <f>MAX((1-Parameters!$B$4)^Parameters!B$71*E181+B181*Parameters!B$71-Parameters!$B$5*B181^2/E181*Parameters!B$71,0.0001)</f>
        <v>0.79006953284732639</v>
      </c>
      <c r="F182" s="7">
        <f>MAX((1-Parameters!$B$4)^Parameters!B$71*F181+C181*Parameters!B$71-Parameters!$B$5*C181^2/F181*Parameters!B$71,0.0001)</f>
        <v>0.15238037881364389</v>
      </c>
      <c r="G182" s="5">
        <f>MAX((1-Parameters!$B$4)^Parameters!B$71*G181+D181*Parameters!B$71-Parameters!$B$5*D181^2/G181*Parameters!B$71,0.0001)</f>
        <v>4.3458227115656722</v>
      </c>
      <c r="I182" s="5">
        <f>I181*(1+Parameters!$B$52)^Parameters!B$71</f>
        <v>13.663077518072859</v>
      </c>
      <c r="J182" s="5">
        <f>J181*(1+Parameters!$B$54)^Parameters!B$71</f>
        <v>307.32884354833408</v>
      </c>
      <c r="K182" s="5">
        <f>'6states'!$N$4</f>
        <v>0.98104277196026479</v>
      </c>
      <c r="L182" s="7">
        <f t="shared" si="26"/>
        <v>0.5</v>
      </c>
      <c r="N182" s="5">
        <f>(Parameters!$B$19*(E182+Parameters!$B$20)^L182+Parameters!$B$18*F182^L182)^(1/L182)</f>
        <v>0.54952876526018357</v>
      </c>
      <c r="O182" s="5">
        <f>(Parameters!$B$10*G182^Parameters!$B$9 + Parameters!$B$11*N182^Parameters!$B$9) ^ (Parameters!$B$7/Parameters!$B$9) * K182</f>
        <v>1.5019532080518119</v>
      </c>
      <c r="P182" s="5">
        <f t="shared" si="25"/>
        <v>1.1452624909164344</v>
      </c>
      <c r="Q182" s="5">
        <f>EXP(-Parameters!$B$56*A182)</f>
        <v>6.8030441830784896E-2</v>
      </c>
      <c r="R182" s="5">
        <f>IF(P182&gt;0,P182^(1-Parameters!$B$53)/(1-Parameters!$B$53)*Q182,-10+P182*1000)</f>
        <v>-0.18536105140239656</v>
      </c>
      <c r="S182" s="5"/>
    </row>
    <row r="183" spans="1:19" x14ac:dyDescent="0.35">
      <c r="A183">
        <f>A182+Parameters!$B$71</f>
        <v>179</v>
      </c>
      <c r="B183" s="7">
        <f t="shared" si="29"/>
        <v>5.3289702319887791E-2</v>
      </c>
      <c r="C183" s="7">
        <f t="shared" si="29"/>
        <v>1.0277954020588648E-2</v>
      </c>
      <c r="D183" s="5">
        <f t="shared" si="29"/>
        <v>0.29312306079490108</v>
      </c>
      <c r="E183" s="5">
        <f>MAX((1-Parameters!$B$4)^Parameters!B$71*E182+B182*Parameters!B$71-Parameters!$B$5*B182^2/E182*Parameters!B$71,0.0001)</f>
        <v>0.79006950402272635</v>
      </c>
      <c r="F183" s="7">
        <f>MAX((1-Parameters!$B$4)^Parameters!B$71*F182+C182*Parameters!B$71-Parameters!$B$5*C182^2/F182*Parameters!B$71,0.0001)</f>
        <v>0.15238036592377158</v>
      </c>
      <c r="G183" s="5">
        <f>MAX((1-Parameters!$B$4)^Parameters!B$71*G182+D182*Parameters!B$71-Parameters!$B$5*D182^2/G182*Parameters!B$71,0.0001)</f>
        <v>4.3458225541910318</v>
      </c>
      <c r="I183" s="5">
        <f>I182*(1+Parameters!$B$52)^Parameters!B$71</f>
        <v>13.702700442875269</v>
      </c>
      <c r="J183" s="5">
        <f>J182*(1+Parameters!$B$54)^Parameters!B$71</f>
        <v>313.47542041930075</v>
      </c>
      <c r="K183" s="5">
        <f>'6states'!$N$4</f>
        <v>0.98104277196026479</v>
      </c>
      <c r="L183" s="7">
        <f t="shared" si="26"/>
        <v>0.5</v>
      </c>
      <c r="N183" s="5">
        <f>(Parameters!$B$19*(E183+Parameters!$B$20)^L183+Parameters!$B$18*F183^L183)^(1/L183)</f>
        <v>0.54952874119229578</v>
      </c>
      <c r="O183" s="5">
        <f>(Parameters!$B$10*G183^Parameters!$B$9 + Parameters!$B$11*N183^Parameters!$B$9) ^ (Parameters!$B$7/Parameters!$B$9) * K183</f>
        <v>1.5019531911204405</v>
      </c>
      <c r="P183" s="5">
        <f t="shared" si="25"/>
        <v>1.145262473985063</v>
      </c>
      <c r="Q183" s="5">
        <f>EXP(-Parameters!$B$56*A183)</f>
        <v>6.701089907900426E-2</v>
      </c>
      <c r="R183" s="5">
        <f>IF(P183&gt;0,P183^(1-Parameters!$B$53)/(1-Parameters!$B$53)*Q183,-10+P183*1000)</f>
        <v>-0.18258312659311454</v>
      </c>
      <c r="S183" s="5"/>
    </row>
    <row r="184" spans="1:19" x14ac:dyDescent="0.35">
      <c r="A184">
        <f>A183+Parameters!$B$71</f>
        <v>180</v>
      </c>
      <c r="B184" s="7">
        <f t="shared" si="29"/>
        <v>5.3289702319887791E-2</v>
      </c>
      <c r="C184" s="7">
        <f t="shared" si="29"/>
        <v>1.0277954020588648E-2</v>
      </c>
      <c r="D184" s="5">
        <f t="shared" si="29"/>
        <v>0.29312306079490108</v>
      </c>
      <c r="E184" s="5">
        <f>MAX((1-Parameters!$B$4)^Parameters!B$71*E183+B183*Parameters!B$71-Parameters!$B$5*B183^2/E183*Parameters!B$71,0.0001)</f>
        <v>0.79006947688005846</v>
      </c>
      <c r="F184" s="7">
        <f>MAX((1-Parameters!$B$4)^Parameters!B$71*F183+C183*Parameters!B$71-Parameters!$B$5*C183^2/F183*Parameters!B$71,0.0001)</f>
        <v>0.15238035378603088</v>
      </c>
      <c r="G184" s="5">
        <f>MAX((1-Parameters!$B$4)^Parameters!B$71*G183+D183*Parameters!B$71-Parameters!$B$5*D183^2/G183*Parameters!B$71,0.0001)</f>
        <v>4.3458224059992929</v>
      </c>
      <c r="I184" s="5">
        <f>I183*(1+Parameters!$B$52)^Parameters!B$71</f>
        <v>13.742438274159605</v>
      </c>
      <c r="J184" s="5">
        <f>J183*(1+Parameters!$B$54)^Parameters!B$71</f>
        <v>319.74492882768675</v>
      </c>
      <c r="K184" s="5">
        <f>'6states'!$N$4</f>
        <v>0.98104277196026479</v>
      </c>
      <c r="L184" s="7">
        <f t="shared" si="26"/>
        <v>0.5</v>
      </c>
      <c r="N184" s="5">
        <f>(Parameters!$B$19*(E184+Parameters!$B$20)^L184+Parameters!$B$18*F184^L184)^(1/L184)</f>
        <v>0.5495287185287836</v>
      </c>
      <c r="O184" s="5">
        <f>(Parameters!$B$10*G184^Parameters!$B$9 + Parameters!$B$11*N184^Parameters!$B$9) ^ (Parameters!$B$7/Parameters!$B$9) * K184</f>
        <v>1.5019531751770239</v>
      </c>
      <c r="P184" s="5">
        <f t="shared" si="25"/>
        <v>1.1452624580416464</v>
      </c>
      <c r="Q184" s="5">
        <f>EXP(-Parameters!$B$56*A184)</f>
        <v>6.6006635772641528E-2</v>
      </c>
      <c r="R184" s="5">
        <f>IF(P184&gt;0,P184^(1-Parameters!$B$53)/(1-Parameters!$B$53)*Q184,-10+P184*1000)</f>
        <v>-0.17984683327071968</v>
      </c>
      <c r="S184" s="5"/>
    </row>
    <row r="185" spans="1:19" x14ac:dyDescent="0.35">
      <c r="A185">
        <f>A184+Parameters!$B$71</f>
        <v>181</v>
      </c>
      <c r="B185" s="7">
        <f t="shared" si="29"/>
        <v>5.3289702319887791E-2</v>
      </c>
      <c r="C185" s="7">
        <f t="shared" si="29"/>
        <v>1.0277954020588648E-2</v>
      </c>
      <c r="D185" s="5">
        <f t="shared" si="29"/>
        <v>0.29312306079490108</v>
      </c>
      <c r="E185" s="5">
        <f>MAX((1-Parameters!$B$4)^Parameters!B$71*E184+B184*Parameters!B$71-Parameters!$B$5*B184^2/E184*Parameters!B$71,0.0001)</f>
        <v>0.79006945132118089</v>
      </c>
      <c r="F185" s="7">
        <f>MAX((1-Parameters!$B$4)^Parameters!B$71*F184+C184*Parameters!B$71-Parameters!$B$5*C184^2/F184*Parameters!B$71,0.0001)</f>
        <v>0.15238034235653447</v>
      </c>
      <c r="G185" s="5">
        <f>MAX((1-Parameters!$B$4)^Parameters!B$71*G184+D184*Parameters!B$71-Parameters!$B$5*D184^2/G184*Parameters!B$71,0.0001)</f>
        <v>4.3458222664546273</v>
      </c>
      <c r="I185" s="5">
        <f>I184*(1+Parameters!$B$52)^Parameters!B$71</f>
        <v>13.782291345154666</v>
      </c>
      <c r="J185" s="5">
        <f>J184*(1+Parameters!$B$54)^Parameters!B$71</f>
        <v>326.13982740424046</v>
      </c>
      <c r="K185" s="5">
        <f>'6states'!$N$4</f>
        <v>0.98104277196026479</v>
      </c>
      <c r="L185" s="7">
        <f t="shared" si="26"/>
        <v>0.5</v>
      </c>
      <c r="N185" s="5">
        <f>(Parameters!$B$19*(E185+Parameters!$B$20)^L185+Parameters!$B$18*F185^L185)^(1/L185)</f>
        <v>0.54952869718770014</v>
      </c>
      <c r="O185" s="5">
        <f>(Parameters!$B$10*G185^Parameters!$B$9 + Parameters!$B$11*N185^Parameters!$B$9) ^ (Parameters!$B$7/Parameters!$B$9) * K185</f>
        <v>1.5019531601639142</v>
      </c>
      <c r="P185" s="5">
        <f t="shared" si="25"/>
        <v>1.1452624430285367</v>
      </c>
      <c r="Q185" s="5">
        <f>EXP(-Parameters!$B$56*A185)</f>
        <v>6.5017422925269325E-2</v>
      </c>
      <c r="R185" s="5">
        <f>IF(P185&gt;0,P185^(1-Parameters!$B$53)/(1-Parameters!$B$53)*Q185,-10+P185*1000)</f>
        <v>-0.17715154752711912</v>
      </c>
      <c r="S185" s="5"/>
    </row>
    <row r="186" spans="1:19" x14ac:dyDescent="0.35">
      <c r="A186">
        <f>A185+Parameters!$B$71</f>
        <v>182</v>
      </c>
      <c r="B186" s="7">
        <f t="shared" si="29"/>
        <v>5.3289702319887791E-2</v>
      </c>
      <c r="C186" s="7">
        <f t="shared" si="29"/>
        <v>1.0277954020588648E-2</v>
      </c>
      <c r="D186" s="5">
        <f t="shared" si="29"/>
        <v>0.29312306079490108</v>
      </c>
      <c r="E186" s="5">
        <f>MAX((1-Parameters!$B$4)^Parameters!B$71*E185+B185*Parameters!B$71-Parameters!$B$5*B185^2/E185*Parameters!B$71,0.0001)</f>
        <v>0.79006942725367868</v>
      </c>
      <c r="F186" s="7">
        <f>MAX((1-Parameters!$B$4)^Parameters!B$71*F185+C185*Parameters!B$71-Parameters!$B$5*C185^2/F185*Parameters!B$71,0.0001)</f>
        <v>0.15238033159395589</v>
      </c>
      <c r="G186" s="5">
        <f>MAX((1-Parameters!$B$4)^Parameters!B$71*G185+D185*Parameters!B$71-Parameters!$B$5*D185^2/G185*Parameters!B$71,0.0001)</f>
        <v>4.3458221350524742</v>
      </c>
      <c r="I186" s="5">
        <f>I185*(1+Parameters!$B$52)^Parameters!B$71</f>
        <v>13.822259990055613</v>
      </c>
      <c r="J186" s="5">
        <f>J185*(1+Parameters!$B$54)^Parameters!B$71</f>
        <v>332.6626239523253</v>
      </c>
      <c r="K186" s="5">
        <f>'6states'!$N$4</f>
        <v>0.98104277196026479</v>
      </c>
      <c r="L186" s="7">
        <f t="shared" si="26"/>
        <v>0.5</v>
      </c>
      <c r="N186" s="5">
        <f>(Parameters!$B$19*(E186+Parameters!$B$20)^L186+Parameters!$B$18*F186^L186)^(1/L186)</f>
        <v>0.54952867709188136</v>
      </c>
      <c r="O186" s="5">
        <f>(Parameters!$B$10*G186^Parameters!$B$9 + Parameters!$B$11*N186^Parameters!$B$9) ^ (Parameters!$B$7/Parameters!$B$9) * K186</f>
        <v>1.5019531460268285</v>
      </c>
      <c r="P186" s="5">
        <f t="shared" si="25"/>
        <v>1.145262428891451</v>
      </c>
      <c r="Q186" s="5">
        <f>EXP(-Parameters!$B$56*A186)</f>
        <v>6.4043034982180613E-2</v>
      </c>
      <c r="R186" s="5">
        <f>IF(P186&gt;0,P186^(1-Parameters!$B$53)/(1-Parameters!$B$53)*Q186,-10+P186*1000)</f>
        <v>-0.17449665480410062</v>
      </c>
      <c r="S186" s="5"/>
    </row>
    <row r="187" spans="1:19" x14ac:dyDescent="0.35">
      <c r="A187">
        <f>A186+Parameters!$B$71</f>
        <v>183</v>
      </c>
      <c r="B187" s="7">
        <f t="shared" si="29"/>
        <v>5.3289702319887791E-2</v>
      </c>
      <c r="C187" s="7">
        <f t="shared" si="29"/>
        <v>1.0277954020588648E-2</v>
      </c>
      <c r="D187" s="5">
        <f t="shared" si="29"/>
        <v>0.29312306079490108</v>
      </c>
      <c r="E187" s="5">
        <f>MAX((1-Parameters!$B$4)^Parameters!B$71*E186+B186*Parameters!B$71-Parameters!$B$5*B186^2/E186*Parameters!B$71,0.0001)</f>
        <v>0.79006940459052921</v>
      </c>
      <c r="F187" s="7">
        <f>MAX((1-Parameters!$B$4)^Parameters!B$71*F186+C186*Parameters!B$71-Parameters!$B$5*C186^2/F186*Parameters!B$71,0.0001)</f>
        <v>0.15238032145938007</v>
      </c>
      <c r="G187" s="5">
        <f>MAX((1-Parameters!$B$4)^Parameters!B$71*G186+D186*Parameters!B$71-Parameters!$B$5*D186^2/G186*Parameters!B$71,0.0001)</f>
        <v>4.3458220113177131</v>
      </c>
      <c r="I187" s="5">
        <f>I186*(1+Parameters!$B$52)^Parameters!B$71</f>
        <v>13.862344544026774</v>
      </c>
      <c r="J187" s="5">
        <f>J186*(1+Parameters!$B$54)^Parameters!B$71</f>
        <v>339.31587643137181</v>
      </c>
      <c r="K187" s="5">
        <f>'6states'!$N$4</f>
        <v>0.98104277196026479</v>
      </c>
      <c r="L187" s="7">
        <f t="shared" si="26"/>
        <v>0.5</v>
      </c>
      <c r="N187" s="5">
        <f>(Parameters!$B$19*(E187+Parameters!$B$20)^L187+Parameters!$B$18*F187^L187)^(1/L187)</f>
        <v>0.54952865816866536</v>
      </c>
      <c r="O187" s="5">
        <f>(Parameters!$B$10*G187^Parameters!$B$9 + Parameters!$B$11*N187^Parameters!$B$9) ^ (Parameters!$B$7/Parameters!$B$9) * K187</f>
        <v>1.5019531327146491</v>
      </c>
      <c r="P187" s="5">
        <f t="shared" si="25"/>
        <v>1.1452624155792717</v>
      </c>
      <c r="Q187" s="5">
        <f>EXP(-Parameters!$B$56*A187)</f>
        <v>6.3083249768959085E-2</v>
      </c>
      <c r="R187" s="5">
        <f>IF(P187&gt;0,P187^(1-Parameters!$B$53)/(1-Parameters!$B$53)*Q187,-10+P187*1000)</f>
        <v>-0.17188154975323633</v>
      </c>
      <c r="S187" s="5"/>
    </row>
    <row r="188" spans="1:19" x14ac:dyDescent="0.35">
      <c r="A188">
        <f>A187+Parameters!$B$71</f>
        <v>184</v>
      </c>
      <c r="B188" s="7">
        <f t="shared" si="29"/>
        <v>5.3289702319887791E-2</v>
      </c>
      <c r="C188" s="7">
        <f t="shared" si="29"/>
        <v>1.0277954020588648E-2</v>
      </c>
      <c r="D188" s="5">
        <f t="shared" si="29"/>
        <v>0.29312306079490108</v>
      </c>
      <c r="E188" s="5">
        <f>MAX((1-Parameters!$B$4)^Parameters!B$71*E187+B187*Parameters!B$71-Parameters!$B$5*B187^2/E187*Parameters!B$71,0.0001)</f>
        <v>0.7900693832497877</v>
      </c>
      <c r="F188" s="7">
        <f>MAX((1-Parameters!$B$4)^Parameters!B$71*F187+C187*Parameters!B$71-Parameters!$B$5*C187^2/F187*Parameters!B$71,0.0001)</f>
        <v>0.15238031191616269</v>
      </c>
      <c r="G188" s="5">
        <f>MAX((1-Parameters!$B$4)^Parameters!B$71*G187+D187*Parameters!B$71-Parameters!$B$5*D187^2/G187*Parameters!B$71,0.0001)</f>
        <v>4.3458218948029472</v>
      </c>
      <c r="I188" s="5">
        <f>I187*(1+Parameters!$B$52)^Parameters!B$71</f>
        <v>13.90254534320445</v>
      </c>
      <c r="J188" s="5">
        <f>J187*(1+Parameters!$B$54)^Parameters!B$71</f>
        <v>346.10219395999923</v>
      </c>
      <c r="K188" s="5">
        <f>'6states'!$N$4</f>
        <v>0.98104277196026479</v>
      </c>
      <c r="L188" s="7">
        <f t="shared" si="26"/>
        <v>0.5</v>
      </c>
      <c r="N188" s="5">
        <f>(Parameters!$B$19*(E188+Parameters!$B$20)^L188+Parameters!$B$18*F188^L188)^(1/L188)</f>
        <v>0.54952864034962967</v>
      </c>
      <c r="O188" s="5">
        <f>(Parameters!$B$10*G188^Parameters!$B$9 + Parameters!$B$11*N188^Parameters!$B$9) ^ (Parameters!$B$7/Parameters!$B$9) * K188</f>
        <v>1.5019531201792431</v>
      </c>
      <c r="P188" s="5">
        <f t="shared" si="25"/>
        <v>1.1452624030438656</v>
      </c>
      <c r="Q188" s="5">
        <f>EXP(-Parameters!$B$56*A188)</f>
        <v>6.2137848440820063E-2</v>
      </c>
      <c r="R188" s="5">
        <f>IF(P188&gt;0,P188^(1-Parameters!$B$53)/(1-Parameters!$B$53)*Q188,-10+P188*1000)</f>
        <v>-0.16930563609788352</v>
      </c>
      <c r="S188" s="5"/>
    </row>
    <row r="189" spans="1:19" x14ac:dyDescent="0.35">
      <c r="A189">
        <f>A188+Parameters!$B$71</f>
        <v>185</v>
      </c>
      <c r="B189" s="7">
        <f t="shared" si="29"/>
        <v>5.3289702319887791E-2</v>
      </c>
      <c r="C189" s="7">
        <f t="shared" si="29"/>
        <v>1.0277954020588648E-2</v>
      </c>
      <c r="D189" s="5">
        <f t="shared" si="29"/>
        <v>0.29312306079490108</v>
      </c>
      <c r="E189" s="5">
        <f>MAX((1-Parameters!$B$4)^Parameters!B$71*E188+B188*Parameters!B$71-Parameters!$B$5*B188^2/E188*Parameters!B$71,0.0001)</f>
        <v>0.79006936315429077</v>
      </c>
      <c r="F189" s="7">
        <f>MAX((1-Parameters!$B$4)^Parameters!B$71*F188+C188*Parameters!B$71-Parameters!$B$5*C188^2/F188*Parameters!B$71,0.0001)</f>
        <v>0.15238030292979762</v>
      </c>
      <c r="G189" s="5">
        <f>MAX((1-Parameters!$B$4)^Parameters!B$71*G188+D188*Parameters!B$71-Parameters!$B$5*D188^2/G188*Parameters!B$71,0.0001)</f>
        <v>4.3458217850868843</v>
      </c>
      <c r="I189" s="5">
        <f>I188*(1+Parameters!$B$52)^Parameters!B$71</f>
        <v>13.942862724699742</v>
      </c>
      <c r="J189" s="5">
        <f>J188*(1+Parameters!$B$54)^Parameters!B$71</f>
        <v>353.0242378391992</v>
      </c>
      <c r="K189" s="5">
        <f>'6states'!$N$4</f>
        <v>0.98104277196026479</v>
      </c>
      <c r="L189" s="7">
        <f t="shared" si="26"/>
        <v>0.5</v>
      </c>
      <c r="N189" s="5">
        <f>(Parameters!$B$19*(E189+Parameters!$B$20)^L189+Parameters!$B$18*F189^L189)^(1/L189)</f>
        <v>0.54952862357034549</v>
      </c>
      <c r="O189" s="5">
        <f>(Parameters!$B$10*G189^Parameters!$B$9 + Parameters!$B$11*N189^Parameters!$B$9) ^ (Parameters!$B$7/Parameters!$B$9) * K189</f>
        <v>1.5019531083752848</v>
      </c>
      <c r="P189" s="5">
        <f t="shared" si="25"/>
        <v>1.1452623912399074</v>
      </c>
      <c r="Q189" s="5">
        <f>EXP(-Parameters!$B$56*A189)</f>
        <v>6.1206615432710852E-2</v>
      </c>
      <c r="R189" s="5">
        <f>IF(P189&gt;0,P189^(1-Parameters!$B$53)/(1-Parameters!$B$53)*Q189,-10+P189*1000)</f>
        <v>-0.16676832649725243</v>
      </c>
      <c r="S189" s="5"/>
    </row>
    <row r="190" spans="1:19" x14ac:dyDescent="0.35">
      <c r="A190">
        <f>A189+Parameters!$B$71</f>
        <v>186</v>
      </c>
      <c r="B190" s="7">
        <f t="shared" si="29"/>
        <v>5.3289702319887791E-2</v>
      </c>
      <c r="C190" s="7">
        <f t="shared" si="29"/>
        <v>1.0277954020588648E-2</v>
      </c>
      <c r="D190" s="5">
        <f t="shared" si="29"/>
        <v>0.29312306079490108</v>
      </c>
      <c r="E190" s="5">
        <f>MAX((1-Parameters!$B$4)^Parameters!B$71*E189+B189*Parameters!B$71-Parameters!$B$5*B189^2/E189*Parameters!B$71,0.0001)</f>
        <v>0.79006934423137776</v>
      </c>
      <c r="F190" s="7">
        <f>MAX((1-Parameters!$B$4)^Parameters!B$71*F189+C189*Parameters!B$71-Parameters!$B$5*C189^2/F189*Parameters!B$71,0.0001)</f>
        <v>0.15238029446779219</v>
      </c>
      <c r="G190" s="5">
        <f>MAX((1-Parameters!$B$4)^Parameters!B$71*G189+D189*Parameters!B$71-Parameters!$B$5*D189^2/G189*Parameters!B$71,0.0001)</f>
        <v>4.3458216817728186</v>
      </c>
      <c r="I190" s="5">
        <f>I189*(1+Parameters!$B$52)^Parameters!B$71</f>
        <v>13.98329702660137</v>
      </c>
      <c r="J190" s="5">
        <f>J189*(1+Parameters!$B$54)^Parameters!B$71</f>
        <v>360.08472259598318</v>
      </c>
      <c r="K190" s="5">
        <f>'6states'!$N$4</f>
        <v>0.98104277196026479</v>
      </c>
      <c r="L190" s="7">
        <f t="shared" si="26"/>
        <v>0.5</v>
      </c>
      <c r="N190" s="5">
        <f>(Parameters!$B$19*(E190+Parameters!$B$20)^L190+Parameters!$B$18*F190^L190)^(1/L190)</f>
        <v>0.54952860777014201</v>
      </c>
      <c r="O190" s="5">
        <f>(Parameters!$B$10*G190^Parameters!$B$9 + Parameters!$B$11*N190^Parameters!$B$9) ^ (Parameters!$B$7/Parameters!$B$9) * K190</f>
        <v>1.5019530972600945</v>
      </c>
      <c r="P190" s="5">
        <f t="shared" si="25"/>
        <v>1.145262380124717</v>
      </c>
      <c r="Q190" s="5">
        <f>EXP(-Parameters!$B$56*A190)</f>
        <v>6.0289338410158787E-2</v>
      </c>
      <c r="R190" s="5">
        <f>IF(P190&gt;0,P190^(1-Parameters!$B$53)/(1-Parameters!$B$53)*Q190,-10+P190*1000)</f>
        <v>-0.16426904241250906</v>
      </c>
      <c r="S190" s="5"/>
    </row>
    <row r="191" spans="1:19" x14ac:dyDescent="0.35">
      <c r="A191">
        <f>A190+Parameters!$B$71</f>
        <v>187</v>
      </c>
      <c r="B191" s="7">
        <f t="shared" si="29"/>
        <v>5.3289702319887791E-2</v>
      </c>
      <c r="C191" s="7">
        <f t="shared" si="29"/>
        <v>1.0277954020588648E-2</v>
      </c>
      <c r="D191" s="5">
        <f t="shared" si="29"/>
        <v>0.29312306079490108</v>
      </c>
      <c r="E191" s="5">
        <f>MAX((1-Parameters!$B$4)^Parameters!B$71*E190+B190*Parameters!B$71-Parameters!$B$5*B190^2/E190*Parameters!B$71,0.0001)</f>
        <v>0.79006932641262761</v>
      </c>
      <c r="F191" s="7">
        <f>MAX((1-Parameters!$B$4)^Parameters!B$71*F190+C190*Parameters!B$71-Parameters!$B$5*C190^2/F190*Parameters!B$71,0.0001)</f>
        <v>0.15238028649954974</v>
      </c>
      <c r="G191" s="5">
        <f>MAX((1-Parameters!$B$4)^Parameters!B$71*G190+D190*Parameters!B$71-Parameters!$B$5*D190^2/G190*Parameters!B$71,0.0001)</f>
        <v>4.3458215844871875</v>
      </c>
      <c r="I191" s="5">
        <f>I190*(1+Parameters!$B$52)^Parameters!B$71</f>
        <v>14.023848587978513</v>
      </c>
      <c r="J191" s="5">
        <f>J190*(1+Parameters!$B$54)^Parameters!B$71</f>
        <v>367.28641704790283</v>
      </c>
      <c r="K191" s="5">
        <f>'6states'!$N$4</f>
        <v>0.98104277196026479</v>
      </c>
      <c r="L191" s="7">
        <f t="shared" si="26"/>
        <v>0.5</v>
      </c>
      <c r="N191" s="5">
        <f>(Parameters!$B$19*(E191+Parameters!$B$20)^L191+Parameters!$B$18*F191^L191)^(1/L191)</f>
        <v>0.54952859289188916</v>
      </c>
      <c r="O191" s="5">
        <f>(Parameters!$B$10*G191^Parameters!$B$9 + Parameters!$B$11*N191^Parameters!$B$9) ^ (Parameters!$B$7/Parameters!$B$9) * K191</f>
        <v>1.5019530867934818</v>
      </c>
      <c r="P191" s="5">
        <f t="shared" si="25"/>
        <v>1.1452623696581044</v>
      </c>
      <c r="Q191" s="5">
        <f>EXP(-Parameters!$B$56*A191)</f>
        <v>5.9385808220855908E-2</v>
      </c>
      <c r="R191" s="5">
        <f>IF(P191&gt;0,P191^(1-Parameters!$B$53)/(1-Parameters!$B$53)*Q191,-10+P191*1000)</f>
        <v>-0.16180721397488337</v>
      </c>
      <c r="S191" s="5"/>
    </row>
    <row r="192" spans="1:19" x14ac:dyDescent="0.35">
      <c r="A192">
        <f>A191+Parameters!$B$71</f>
        <v>188</v>
      </c>
      <c r="B192" s="7">
        <f t="shared" ref="B192:D204" si="30">B191</f>
        <v>5.3289702319887791E-2</v>
      </c>
      <c r="C192" s="7">
        <f t="shared" si="30"/>
        <v>1.0277954020588648E-2</v>
      </c>
      <c r="D192" s="5">
        <f t="shared" si="30"/>
        <v>0.29312306079490108</v>
      </c>
      <c r="E192" s="5">
        <f>MAX((1-Parameters!$B$4)^Parameters!B$71*E191+B191*Parameters!B$71-Parameters!$B$5*B191^2/E191*Parameters!B$71,0.0001)</f>
        <v>0.79006930963361177</v>
      </c>
      <c r="F192" s="7">
        <f>MAX((1-Parameters!$B$4)^Parameters!B$71*F191+C191*Parameters!B$71-Parameters!$B$5*C191^2/F191*Parameters!B$71,0.0001)</f>
        <v>0.15238027899625886</v>
      </c>
      <c r="G192" s="5">
        <f>MAX((1-Parameters!$B$4)^Parameters!B$71*G191+D191*Parameters!B$71-Parameters!$B$5*D191^2/G191*Parameters!B$71,0.0001)</f>
        <v>4.3458214928782288</v>
      </c>
      <c r="I192" s="5">
        <f>I191*(1+Parameters!$B$52)^Parameters!B$71</f>
        <v>14.064517748883649</v>
      </c>
      <c r="J192" s="5">
        <f>J191*(1+Parameters!$B$54)^Parameters!B$71</f>
        <v>374.63214538886092</v>
      </c>
      <c r="K192" s="5">
        <f>'6states'!$N$4</f>
        <v>0.98104277196026479</v>
      </c>
      <c r="L192" s="7">
        <f t="shared" si="26"/>
        <v>0.5</v>
      </c>
      <c r="N192" s="5">
        <f>(Parameters!$B$19*(E192+Parameters!$B$20)^L192+Parameters!$B$18*F192^L192)^(1/L192)</f>
        <v>0.54952857888179141</v>
      </c>
      <c r="O192" s="5">
        <f>(Parameters!$B$10*G192^Parameters!$B$9 + Parameters!$B$11*N192^Parameters!$B$9) ^ (Parameters!$B$7/Parameters!$B$9) * K192</f>
        <v>1.5019530769376015</v>
      </c>
      <c r="P192" s="5">
        <f t="shared" si="25"/>
        <v>1.145262359802224</v>
      </c>
      <c r="Q192" s="5">
        <f>EXP(-Parameters!$B$56*A192)</f>
        <v>5.8495818846969333E-2</v>
      </c>
      <c r="R192" s="5">
        <f>IF(P192&gt;0,P192^(1-Parameters!$B$53)/(1-Parameters!$B$53)*Q192,-10+P192*1000)</f>
        <v>-0.1593822798557529</v>
      </c>
      <c r="S192" s="5"/>
    </row>
    <row r="193" spans="1:19" x14ac:dyDescent="0.35">
      <c r="A193">
        <f>A192+Parameters!$B$71</f>
        <v>189</v>
      </c>
      <c r="B193" s="7">
        <f t="shared" si="30"/>
        <v>5.3289702319887791E-2</v>
      </c>
      <c r="C193" s="7">
        <f t="shared" si="30"/>
        <v>1.0277954020588648E-2</v>
      </c>
      <c r="D193" s="5">
        <f t="shared" si="30"/>
        <v>0.29312306079490108</v>
      </c>
      <c r="E193" s="5">
        <f>MAX((1-Parameters!$B$4)^Parameters!B$71*E192+B192*Parameters!B$71-Parameters!$B$5*B192^2/E192*Parameters!B$71,0.0001)</f>
        <v>0.7900692938336612</v>
      </c>
      <c r="F193" s="7">
        <f>MAX((1-Parameters!$B$4)^Parameters!B$71*F192+C192*Parameters!B$71-Parameters!$B$5*C192^2/F192*Parameters!B$71,0.0001)</f>
        <v>0.15238027193078937</v>
      </c>
      <c r="G193" s="5">
        <f>MAX((1-Parameters!$B$4)^Parameters!B$71*G192+D192*Parameters!B$71-Parameters!$B$5*D192^2/G192*Parameters!B$71,0.0001)</f>
        <v>4.3458214066147063</v>
      </c>
      <c r="I193" s="5">
        <f>I192*(1+Parameters!$B$52)^Parameters!B$71</f>
        <v>14.105304850355409</v>
      </c>
      <c r="J193" s="5">
        <f>J192*(1+Parameters!$B$54)^Parameters!B$71</f>
        <v>382.12478829663814</v>
      </c>
      <c r="K193" s="5">
        <f>'6states'!$N$4</f>
        <v>0.98104277196026479</v>
      </c>
      <c r="L193" s="7">
        <f t="shared" si="26"/>
        <v>0.5</v>
      </c>
      <c r="N193" s="5">
        <f>(Parameters!$B$19*(E193+Parameters!$B$20)^L193+Parameters!$B$18*F193^L193)^(1/L193)</f>
        <v>0.54952856568919095</v>
      </c>
      <c r="O193" s="5">
        <f>(Parameters!$B$10*G193^Parameters!$B$9 + Parameters!$B$11*N193^Parameters!$B$9) ^ (Parameters!$B$7/Parameters!$B$9) * K193</f>
        <v>1.5019530676568174</v>
      </c>
      <c r="P193" s="5">
        <f t="shared" si="25"/>
        <v>1.1452623505214399</v>
      </c>
      <c r="Q193" s="5">
        <f>EXP(-Parameters!$B$56*A193)</f>
        <v>5.7619167358166093E-2</v>
      </c>
      <c r="R193" s="5">
        <f>IF(P193&gt;0,P193^(1-Parameters!$B$53)/(1-Parameters!$B$53)*Q193,-10+P193*1000)</f>
        <v>-0.15699368713867162</v>
      </c>
      <c r="S193" s="5"/>
    </row>
    <row r="194" spans="1:19" x14ac:dyDescent="0.35">
      <c r="A194">
        <f>A193+Parameters!$B$71</f>
        <v>190</v>
      </c>
      <c r="B194" s="7">
        <f t="shared" si="30"/>
        <v>5.3289702319887791E-2</v>
      </c>
      <c r="C194" s="7">
        <f t="shared" si="30"/>
        <v>1.0277954020588648E-2</v>
      </c>
      <c r="D194" s="5">
        <f t="shared" si="30"/>
        <v>0.29312306079490108</v>
      </c>
      <c r="E194" s="5">
        <f>MAX((1-Parameters!$B$4)^Parameters!B$71*E193+B193*Parameters!B$71-Parameters!$B$5*B193^2/E193*Parameters!B$71,0.0001)</f>
        <v>0.79006927895564694</v>
      </c>
      <c r="F194" s="7">
        <f>MAX((1-Parameters!$B$4)^Parameters!B$71*F193+C193*Parameters!B$71-Parameters!$B$5*C193^2/F193*Parameters!B$71,0.0001)</f>
        <v>0.15238026527759416</v>
      </c>
      <c r="G194" s="5">
        <f>MAX((1-Parameters!$B$4)^Parameters!B$71*G193+D193*Parameters!B$71-Parameters!$B$5*D193^2/G193*Parameters!B$71,0.0001)</f>
        <v>4.3458213253847102</v>
      </c>
      <c r="I194" s="5">
        <f>I193*(1+Parameters!$B$52)^Parameters!B$71</f>
        <v>14.146210234421439</v>
      </c>
      <c r="J194" s="5">
        <f>J193*(1+Parameters!$B$54)^Parameters!B$71</f>
        <v>389.76728406257092</v>
      </c>
      <c r="K194" s="5">
        <f>'6states'!$N$4</f>
        <v>0.98104277196026479</v>
      </c>
      <c r="L194" s="7">
        <f t="shared" si="26"/>
        <v>0.5</v>
      </c>
      <c r="N194" s="5">
        <f>(Parameters!$B$19*(E194+Parameters!$B$20)^L194+Parameters!$B$18*F194^L194)^(1/L194)</f>
        <v>0.54952855326638606</v>
      </c>
      <c r="O194" s="5">
        <f>(Parameters!$B$10*G194^Parameters!$B$9 + Parameters!$B$11*N194^Parameters!$B$9) ^ (Parameters!$B$7/Parameters!$B$9) * K194</f>
        <v>1.5019530589175727</v>
      </c>
      <c r="P194" s="5">
        <f t="shared" si="25"/>
        <v>1.1452623417821952</v>
      </c>
      <c r="Q194" s="5">
        <f>EXP(-Parameters!$B$56*A194)</f>
        <v>5.6755653865342197E-2</v>
      </c>
      <c r="R194" s="5">
        <f>IF(P194&gt;0,P194^(1-Parameters!$B$53)/(1-Parameters!$B$53)*Q194,-10+P194*1000)</f>
        <v>-0.15464089119331556</v>
      </c>
      <c r="S194" s="5"/>
    </row>
    <row r="195" spans="1:19" x14ac:dyDescent="0.35">
      <c r="A195">
        <f>A194+Parameters!$B$71</f>
        <v>191</v>
      </c>
      <c r="B195" s="7">
        <f t="shared" si="30"/>
        <v>5.3289702319887791E-2</v>
      </c>
      <c r="C195" s="7">
        <f t="shared" si="30"/>
        <v>1.0277954020588648E-2</v>
      </c>
      <c r="D195" s="5">
        <f t="shared" si="30"/>
        <v>0.29312306079490108</v>
      </c>
      <c r="E195" s="5">
        <f>MAX((1-Parameters!$B$4)^Parameters!B$71*E194+B194*Parameters!B$71-Parameters!$B$5*B194^2/E194*Parameters!B$71,0.0001)</f>
        <v>0.79006926494577345</v>
      </c>
      <c r="F195" s="7">
        <f>MAX((1-Parameters!$B$4)^Parameters!B$71*F194+C194*Parameters!B$71-Parameters!$B$5*C194^2/F194*Parameters!B$71,0.0001)</f>
        <v>0.15238025901261673</v>
      </c>
      <c r="G195" s="5">
        <f>MAX((1-Parameters!$B$4)^Parameters!B$71*G194+D194*Parameters!B$71-Parameters!$B$5*D194^2/G194*Parameters!B$71,0.0001)</f>
        <v>4.3458212488945316</v>
      </c>
      <c r="I195" s="5">
        <f>I194*(1+Parameters!$B$52)^Parameters!B$71</f>
        <v>14.18723424410126</v>
      </c>
      <c r="J195" s="5">
        <f>J194*(1+Parameters!$B$54)^Parameters!B$71</f>
        <v>397.56262974382236</v>
      </c>
      <c r="K195" s="5">
        <f>'6states'!$N$4</f>
        <v>0.98104277196026479</v>
      </c>
      <c r="L195" s="7">
        <f t="shared" si="26"/>
        <v>0.5</v>
      </c>
      <c r="N195" s="5">
        <f>(Parameters!$B$19*(E195+Parameters!$B$20)^L195+Parameters!$B$18*F195^L195)^(1/L195)</f>
        <v>0.54952854156845909</v>
      </c>
      <c r="O195" s="5">
        <f>(Parameters!$B$10*G195^Parameters!$B$9 + Parameters!$B$11*N195^Parameters!$B$9) ^ (Parameters!$B$7/Parameters!$B$9) * K195</f>
        <v>1.5019530506882675</v>
      </c>
      <c r="P195" s="5">
        <f t="shared" si="25"/>
        <v>1.14526233355289</v>
      </c>
      <c r="Q195" s="5">
        <f>EXP(-Parameters!$B$56*A195)</f>
        <v>5.5905081475045089E-2</v>
      </c>
      <c r="R195" s="5">
        <f>IF(P195&gt;0,P195^(1-Parameters!$B$53)/(1-Parameters!$B$53)*Q195,-10+P195*1000)</f>
        <v>-0.15232335555131718</v>
      </c>
      <c r="S195" s="5"/>
    </row>
    <row r="196" spans="1:19" x14ac:dyDescent="0.35">
      <c r="A196">
        <f>A195+Parameters!$B$71</f>
        <v>192</v>
      </c>
      <c r="B196" s="7">
        <f t="shared" si="30"/>
        <v>5.3289702319887791E-2</v>
      </c>
      <c r="C196" s="7">
        <f t="shared" si="30"/>
        <v>1.0277954020588648E-2</v>
      </c>
      <c r="D196" s="5">
        <f t="shared" si="30"/>
        <v>0.29312306079490108</v>
      </c>
      <c r="E196" s="5">
        <f>MAX((1-Parameters!$B$4)^Parameters!B$71*E195+B195*Parameters!B$71-Parameters!$B$5*B195^2/E195*Parameters!B$71,0.0001)</f>
        <v>0.79006925175338416</v>
      </c>
      <c r="F196" s="7">
        <f>MAX((1-Parameters!$B$4)^Parameters!B$71*F195+C195*Parameters!B$71-Parameters!$B$5*C195^2/F195*Parameters!B$71,0.0001)</f>
        <v>0.15238025311320438</v>
      </c>
      <c r="G196" s="5">
        <f>MAX((1-Parameters!$B$4)^Parameters!B$71*G195+D195*Parameters!B$71-Parameters!$B$5*D195^2/G195*Parameters!B$71,0.0001)</f>
        <v>4.3458211768675996</v>
      </c>
      <c r="I196" s="5">
        <f>I195*(1+Parameters!$B$52)^Parameters!B$71</f>
        <v>14.228377223409153</v>
      </c>
      <c r="J196" s="5">
        <f>J195*(1+Parameters!$B$54)^Parameters!B$71</f>
        <v>405.51388233869881</v>
      </c>
      <c r="K196" s="5">
        <f>'6states'!$N$4</f>
        <v>0.98104277196026479</v>
      </c>
      <c r="L196" s="7">
        <f t="shared" si="26"/>
        <v>0.5</v>
      </c>
      <c r="N196" s="5">
        <f>(Parameters!$B$19*(E196+Parameters!$B$20)^L196+Parameters!$B$18*F196^L196)^(1/L196)</f>
        <v>0.5495285305531129</v>
      </c>
      <c r="O196" s="5">
        <f>(Parameters!$B$10*G196^Parameters!$B$9 + Parameters!$B$11*N196^Parameters!$B$9) ^ (Parameters!$B$7/Parameters!$B$9) * K196</f>
        <v>1.501953042939147</v>
      </c>
      <c r="P196" s="5">
        <f t="shared" ref="P196:P259" si="31">O196-B196-C196-D196</f>
        <v>1.1452623258037695</v>
      </c>
      <c r="Q196" s="5">
        <f>EXP(-Parameters!$B$56*A196)</f>
        <v>5.5067256244579005E-2</v>
      </c>
      <c r="R196" s="5">
        <f>IF(P196&gt;0,P196^(1-Parameters!$B$53)/(1-Parameters!$B$53)*Q196,-10+P196*1000)</f>
        <v>-0.15004055178395809</v>
      </c>
      <c r="S196" s="5"/>
    </row>
    <row r="197" spans="1:19" x14ac:dyDescent="0.35">
      <c r="A197">
        <f>A196+Parameters!$B$71</f>
        <v>193</v>
      </c>
      <c r="B197" s="7">
        <f t="shared" si="30"/>
        <v>5.3289702319887791E-2</v>
      </c>
      <c r="C197" s="7">
        <f t="shared" si="30"/>
        <v>1.0277954020588648E-2</v>
      </c>
      <c r="D197" s="5">
        <f t="shared" si="30"/>
        <v>0.29312306079490108</v>
      </c>
      <c r="E197" s="5">
        <f>MAX((1-Parameters!$B$4)^Parameters!B$71*E196+B196*Parameters!B$71-Parameters!$B$5*B196^2/E196*Parameters!B$71,0.0001)</f>
        <v>0.79006923933077833</v>
      </c>
      <c r="F197" s="7">
        <f>MAX((1-Parameters!$B$4)^Parameters!B$71*F196+C196*Parameters!B$71-Parameters!$B$5*C196^2/F196*Parameters!B$71,0.0001)</f>
        <v>0.15238024755802618</v>
      </c>
      <c r="G197" s="5">
        <f>MAX((1-Parameters!$B$4)^Parameters!B$71*G196+D196*Parameters!B$71-Parameters!$B$5*D196^2/G196*Parameters!B$71,0.0001)</f>
        <v>4.34582110904348</v>
      </c>
      <c r="I197" s="5">
        <f>I196*(1+Parameters!$B$52)^Parameters!B$71</f>
        <v>14.269639517357037</v>
      </c>
      <c r="J197" s="5">
        <f>J196*(1+Parameters!$B$54)^Parameters!B$71</f>
        <v>413.62415998547277</v>
      </c>
      <c r="K197" s="5">
        <f>'6states'!$N$4</f>
        <v>0.98104277196026479</v>
      </c>
      <c r="L197" s="7">
        <f t="shared" si="26"/>
        <v>0.5</v>
      </c>
      <c r="N197" s="5">
        <f>(Parameters!$B$19*(E197+Parameters!$B$20)^L197+Parameters!$B$18*F197^L197)^(1/L197)</f>
        <v>0.54952852018051879</v>
      </c>
      <c r="O197" s="5">
        <f>(Parameters!$B$10*G197^Parameters!$B$9 + Parameters!$B$11*N197^Parameters!$B$9) ^ (Parameters!$B$7/Parameters!$B$9) * K197</f>
        <v>1.501953035642192</v>
      </c>
      <c r="P197" s="5">
        <f t="shared" si="31"/>
        <v>1.1452623185068145</v>
      </c>
      <c r="Q197" s="5">
        <f>EXP(-Parameters!$B$56*A197)</f>
        <v>5.4241987137783339E-2</v>
      </c>
      <c r="R197" s="5">
        <f>IF(P197&gt;0,P197^(1-Parameters!$B$53)/(1-Parameters!$B$53)*Q197,-10+P197*1000)</f>
        <v>-0.14779195938169504</v>
      </c>
      <c r="S197" s="5"/>
    </row>
    <row r="198" spans="1:19" x14ac:dyDescent="0.35">
      <c r="A198">
        <f>A197+Parameters!$B$71</f>
        <v>194</v>
      </c>
      <c r="B198" s="7">
        <f t="shared" si="30"/>
        <v>5.3289702319887791E-2</v>
      </c>
      <c r="C198" s="7">
        <f t="shared" si="30"/>
        <v>1.0277954020588648E-2</v>
      </c>
      <c r="D198" s="5">
        <f t="shared" si="30"/>
        <v>0.29312306079490108</v>
      </c>
      <c r="E198" s="5">
        <f>MAX((1-Parameters!$B$4)^Parameters!B$71*E197+B197*Parameters!B$71-Parameters!$B$5*B197^2/E197*Parameters!B$71,0.0001)</f>
        <v>0.79006922763303877</v>
      </c>
      <c r="F198" s="7">
        <f>MAX((1-Parameters!$B$4)^Parameters!B$71*F197+C197*Parameters!B$71-Parameters!$B$5*C197^2/F197*Parameters!B$71,0.0001)</f>
        <v>0.15238024232699585</v>
      </c>
      <c r="G198" s="5">
        <f>MAX((1-Parameters!$B$4)^Parameters!B$71*G197+D197*Parameters!B$71-Parameters!$B$5*D197^2/G197*Parameters!B$71,0.0001)</f>
        <v>4.3458210451769368</v>
      </c>
      <c r="I198" s="5">
        <f>I197*(1+Parameters!$B$52)^Parameters!B$71</f>
        <v>14.311021471957371</v>
      </c>
      <c r="J198" s="5">
        <f>J197*(1+Parameters!$B$54)^Parameters!B$71</f>
        <v>421.89664318518226</v>
      </c>
      <c r="K198" s="5">
        <f>'6states'!$N$4</f>
        <v>0.98104277196026479</v>
      </c>
      <c r="L198" s="7">
        <f t="shared" ref="L198:L204" si="32">L197</f>
        <v>0.5</v>
      </c>
      <c r="N198" s="5">
        <f>(Parameters!$B$19*(E198+Parameters!$B$20)^L198+Parameters!$B$18*F198^L198)^(1/L198)</f>
        <v>0.5495285104131713</v>
      </c>
      <c r="O198" s="5">
        <f>(Parameters!$B$10*G198^Parameters!$B$9 + Parameters!$B$11*N198^Parameters!$B$9) ^ (Parameters!$B$7/Parameters!$B$9) * K198</f>
        <v>1.5019530287710181</v>
      </c>
      <c r="P198" s="5">
        <f t="shared" si="31"/>
        <v>1.1452623116356406</v>
      </c>
      <c r="Q198" s="5">
        <f>EXP(-Parameters!$B$56*A198)</f>
        <v>5.3429085981473647E-2</v>
      </c>
      <c r="R198" s="5">
        <f>IF(P198&gt;0,P198^(1-Parameters!$B$53)/(1-Parameters!$B$53)*Q198,-10+P198*1000)</f>
        <v>-0.14557706563549014</v>
      </c>
      <c r="S198" s="5"/>
    </row>
    <row r="199" spans="1:19" x14ac:dyDescent="0.35">
      <c r="A199">
        <f>A198+Parameters!$B$71</f>
        <v>195</v>
      </c>
      <c r="B199" s="7">
        <f t="shared" si="30"/>
        <v>5.3289702319887791E-2</v>
      </c>
      <c r="C199" s="7">
        <f t="shared" si="30"/>
        <v>1.0277954020588648E-2</v>
      </c>
      <c r="D199" s="5">
        <f t="shared" si="30"/>
        <v>0.29312306079490108</v>
      </c>
      <c r="E199" s="5">
        <f>MAX((1-Parameters!$B$4)^Parameters!B$71*E198+B198*Parameters!B$71-Parameters!$B$5*B198^2/E198*Parameters!B$71,0.0001)</f>
        <v>0.79006921661786911</v>
      </c>
      <c r="F199" s="7">
        <f>MAX((1-Parameters!$B$4)^Parameters!B$71*F198+C198*Parameters!B$71-Parameters!$B$5*C198^2/F198*Parameters!B$71,0.0001)</f>
        <v>0.15238023740119916</v>
      </c>
      <c r="G199" s="5">
        <f>MAX((1-Parameters!$B$4)^Parameters!B$71*G198+D198*Parameters!B$71-Parameters!$B$5*D198^2/G198*Parameters!B$71,0.0001)</f>
        <v>4.3458209850370428</v>
      </c>
      <c r="I199" s="5">
        <f>I198*(1+Parameters!$B$52)^Parameters!B$71</f>
        <v>14.352523434226047</v>
      </c>
      <c r="J199" s="5">
        <f>J198*(1+Parameters!$B$54)^Parameters!B$71</f>
        <v>430.33457604888594</v>
      </c>
      <c r="K199" s="5">
        <f>'6states'!$N$4</f>
        <v>0.98104277196026479</v>
      </c>
      <c r="L199" s="7">
        <f t="shared" si="32"/>
        <v>0.5</v>
      </c>
      <c r="N199" s="5">
        <f>(Parameters!$B$19*(E199+Parameters!$B$20)^L199+Parameters!$B$18*F199^L199)^(1/L199)</f>
        <v>0.54952850121575425</v>
      </c>
      <c r="O199" s="5">
        <f>(Parameters!$B$10*G199^Parameters!$B$9 + Parameters!$B$11*N199^Parameters!$B$9) ^ (Parameters!$B$7/Parameters!$B$9) * K199</f>
        <v>1.5019530223007818</v>
      </c>
      <c r="P199" s="5">
        <f t="shared" si="31"/>
        <v>1.1452623051654043</v>
      </c>
      <c r="Q199" s="5">
        <f>EXP(-Parameters!$B$56*A199)</f>
        <v>5.2628367422535426E-2</v>
      </c>
      <c r="R199" s="5">
        <f>IF(P199&gt;0,P199^(1-Parameters!$B$53)/(1-Parameters!$B$53)*Q199,-10+P199*1000)</f>
        <v>-0.14339536551991827</v>
      </c>
      <c r="S199" s="5"/>
    </row>
    <row r="200" spans="1:19" x14ac:dyDescent="0.35">
      <c r="A200">
        <f>A199+Parameters!$B$71</f>
        <v>196</v>
      </c>
      <c r="B200" s="7">
        <f t="shared" si="30"/>
        <v>5.3289702319887791E-2</v>
      </c>
      <c r="C200" s="7">
        <f t="shared" si="30"/>
        <v>1.0277954020588648E-2</v>
      </c>
      <c r="D200" s="5">
        <f t="shared" si="30"/>
        <v>0.29312306079490108</v>
      </c>
      <c r="E200" s="5">
        <f>MAX((1-Parameters!$B$4)^Parameters!B$71*E199+B199*Parameters!B$71-Parameters!$B$5*B199^2/E199*Parameters!B$71,0.0001)</f>
        <v>0.79006920624544097</v>
      </c>
      <c r="F200" s="7">
        <f>MAX((1-Parameters!$B$4)^Parameters!B$71*F199+C199*Parameters!B$71-Parameters!$B$5*C199^2/F199*Parameters!B$71,0.0001)</f>
        <v>0.15238023276282556</v>
      </c>
      <c r="G200" s="5">
        <f>MAX((1-Parameters!$B$4)^Parameters!B$71*G199+D199*Parameters!B$71-Parameters!$B$5*D199^2/G199*Parameters!B$71,0.0001)</f>
        <v>4.3458209284063472</v>
      </c>
      <c r="I200" s="5">
        <f>I199*(1+Parameters!$B$52)^Parameters!B$71</f>
        <v>14.394145752185301</v>
      </c>
      <c r="J200" s="5">
        <f>J199*(1+Parameters!$B$54)^Parameters!B$71</f>
        <v>438.94126756986367</v>
      </c>
      <c r="K200" s="5">
        <f>'6states'!$N$4</f>
        <v>0.98104277196026479</v>
      </c>
      <c r="L200" s="7">
        <f t="shared" si="32"/>
        <v>0.5</v>
      </c>
      <c r="N200" s="5">
        <f>(Parameters!$B$19*(E200+Parameters!$B$20)^L200+Parameters!$B$18*F200^L200)^(1/L200)</f>
        <v>0.54952849255501168</v>
      </c>
      <c r="O200" s="5">
        <f>(Parameters!$B$10*G200^Parameters!$B$9 + Parameters!$B$11*N200^Parameters!$B$9) ^ (Parameters!$B$7/Parameters!$B$9) * K200</f>
        <v>1.501953016208087</v>
      </c>
      <c r="P200" s="5">
        <f t="shared" si="31"/>
        <v>1.1452622990727095</v>
      </c>
      <c r="Q200" s="5">
        <f>EXP(-Parameters!$B$56*A200)</f>
        <v>5.1839648885661067E-2</v>
      </c>
      <c r="R200" s="5">
        <f>IF(P200&gt;0,P200^(1-Parameters!$B$53)/(1-Parameters!$B$53)*Q200,-10+P200*1000)</f>
        <v>-0.14124636157802636</v>
      </c>
      <c r="S200" s="5"/>
    </row>
    <row r="201" spans="1:19" x14ac:dyDescent="0.35">
      <c r="A201">
        <f>A200+Parameters!$B$71</f>
        <v>197</v>
      </c>
      <c r="B201" s="7">
        <f t="shared" si="30"/>
        <v>5.3289702319887791E-2</v>
      </c>
      <c r="C201" s="7">
        <f t="shared" si="30"/>
        <v>1.0277954020588648E-2</v>
      </c>
      <c r="D201" s="5">
        <f t="shared" si="30"/>
        <v>0.29312306079490108</v>
      </c>
      <c r="E201" s="5">
        <f>MAX((1-Parameters!$B$4)^Parameters!B$71*E200+B200*Parameters!B$71-Parameters!$B$5*B200^2/E200*Parameters!B$71,0.0001)</f>
        <v>0.79006919647824991</v>
      </c>
      <c r="F201" s="7">
        <f>MAX((1-Parameters!$B$4)^Parameters!B$71*F200+C200*Parameters!B$71-Parameters!$B$5*C200^2/F200*Parameters!B$71,0.0001)</f>
        <v>0.15238022839510376</v>
      </c>
      <c r="G201" s="5">
        <f>MAX((1-Parameters!$B$4)^Parameters!B$71*G200+D200*Parameters!B$71-Parameters!$B$5*D200^2/G200*Parameters!B$71,0.0001)</f>
        <v>4.3458208750800855</v>
      </c>
      <c r="I201" s="5">
        <f>I200*(1+Parameters!$B$52)^Parameters!B$71</f>
        <v>14.435888774866637</v>
      </c>
      <c r="J201" s="5">
        <f>J200*(1+Parameters!$B$54)^Parameters!B$71</f>
        <v>447.72009292126097</v>
      </c>
      <c r="K201" s="5">
        <f>'6states'!$N$4</f>
        <v>0.98104277196026479</v>
      </c>
      <c r="L201" s="7">
        <f t="shared" si="32"/>
        <v>0.5</v>
      </c>
      <c r="N201" s="5">
        <f>(Parameters!$B$19*(E201+Parameters!$B$20)^L201+Parameters!$B$18*F201^L201)^(1/L201)</f>
        <v>0.54952848439962843</v>
      </c>
      <c r="O201" s="5">
        <f>(Parameters!$B$10*G201^Parameters!$B$9 + Parameters!$B$11*N201^Parameters!$B$9) ^ (Parameters!$B$7/Parameters!$B$9) * K201</f>
        <v>1.5019530104709047</v>
      </c>
      <c r="P201" s="5">
        <f t="shared" si="31"/>
        <v>1.1452622933355272</v>
      </c>
      <c r="Q201" s="5">
        <f>EXP(-Parameters!$B$56*A201)</f>
        <v>5.1062750531719887E-2</v>
      </c>
      <c r="R201" s="5">
        <f>IF(P201&gt;0,P201^(1-Parameters!$B$53)/(1-Parameters!$B$53)*Q201,-10+P201*1000)</f>
        <v>-0.13912956380791661</v>
      </c>
      <c r="S201" s="5"/>
    </row>
    <row r="202" spans="1:19" x14ac:dyDescent="0.35">
      <c r="A202">
        <f>A201+Parameters!$B$71</f>
        <v>198</v>
      </c>
      <c r="B202" s="7">
        <f t="shared" si="30"/>
        <v>5.3289702319887791E-2</v>
      </c>
      <c r="C202" s="7">
        <f t="shared" si="30"/>
        <v>1.0277954020588648E-2</v>
      </c>
      <c r="D202" s="5">
        <f t="shared" si="30"/>
        <v>0.29312306079490108</v>
      </c>
      <c r="E202" s="5">
        <f>MAX((1-Parameters!$B$4)^Parameters!B$71*E201+B201*Parameters!B$71-Parameters!$B$5*B201^2/E201*Parameters!B$71,0.0001)</f>
        <v>0.79006918728098008</v>
      </c>
      <c r="F202" s="7">
        <f>MAX((1-Parameters!$B$4)^Parameters!B$71*F201+C201*Parameters!B$71-Parameters!$B$5*C201^2/F201*Parameters!B$71,0.0001)</f>
        <v>0.15238022428224107</v>
      </c>
      <c r="G202" s="5">
        <f>MAX((1-Parameters!$B$4)^Parameters!B$71*G201+D201*Parameters!B$71-Parameters!$B$5*D201^2/G201*Parameters!B$71,0.0001)</f>
        <v>4.3458208248654415</v>
      </c>
      <c r="I202" s="5">
        <f>I201*(1+Parameters!$B$52)^Parameters!B$71</f>
        <v>14.477752852313749</v>
      </c>
      <c r="J202" s="5">
        <f>J201*(1+Parameters!$B$54)^Parameters!B$71</f>
        <v>456.6744947796862</v>
      </c>
      <c r="K202" s="5">
        <f>'6states'!$N$4</f>
        <v>0.98104277196026479</v>
      </c>
      <c r="L202" s="7">
        <f t="shared" si="32"/>
        <v>0.5</v>
      </c>
      <c r="N202" s="5">
        <f>(Parameters!$B$19*(E202+Parameters!$B$20)^L202+Parameters!$B$18*F202^L202)^(1/L202)</f>
        <v>0.54952847672011662</v>
      </c>
      <c r="O202" s="5">
        <f>(Parameters!$B$10*G202^Parameters!$B$9 + Parameters!$B$11*N202^Parameters!$B$9) ^ (Parameters!$B$7/Parameters!$B$9) * K202</f>
        <v>1.5019530050684902</v>
      </c>
      <c r="P202" s="5">
        <f t="shared" si="31"/>
        <v>1.1452622879331127</v>
      </c>
      <c r="Q202" s="5">
        <f>EXP(-Parameters!$B$56*A202)</f>
        <v>5.0297495216752343E-2</v>
      </c>
      <c r="R202" s="5">
        <f>IF(P202&gt;0,P202^(1-Parameters!$B$53)/(1-Parameters!$B$53)*Q202,-10+P202*1000)</f>
        <v>-0.13704448955102949</v>
      </c>
      <c r="S202" s="5"/>
    </row>
    <row r="203" spans="1:19" x14ac:dyDescent="0.35">
      <c r="A203">
        <f>A202+Parameters!$B$71</f>
        <v>199</v>
      </c>
      <c r="B203" s="7">
        <f t="shared" si="30"/>
        <v>5.3289702319887791E-2</v>
      </c>
      <c r="C203" s="7">
        <f t="shared" si="30"/>
        <v>1.0277954020588648E-2</v>
      </c>
      <c r="D203" s="5">
        <f t="shared" si="30"/>
        <v>0.29312306079490108</v>
      </c>
      <c r="E203" s="5">
        <f>MAX((1-Parameters!$B$4)^Parameters!B$71*E202+B202*Parameters!B$71-Parameters!$B$5*B202^2/E202*Parameters!B$71,0.0001)</f>
        <v>0.79006917862037629</v>
      </c>
      <c r="F203" s="7">
        <f>MAX((1-Parameters!$B$4)^Parameters!B$71*F202+C202*Parameters!B$71-Parameters!$B$5*C202^2/F202*Parameters!B$71,0.0001)</f>
        <v>0.1523802204093663</v>
      </c>
      <c r="G203" s="5">
        <f>MAX((1-Parameters!$B$4)^Parameters!B$71*G202+D202*Parameters!B$71-Parameters!$B$5*D202^2/G202*Parameters!B$71,0.0001)</f>
        <v>4.3458207775808511</v>
      </c>
      <c r="I203" s="5">
        <f>I202*(1+Parameters!$B$52)^Parameters!B$71</f>
        <v>14.519738335585458</v>
      </c>
      <c r="J203" s="5">
        <f>J202*(1+Parameters!$B$54)^Parameters!B$71</f>
        <v>465.80798467527995</v>
      </c>
      <c r="K203" s="5">
        <f>'6states'!$N$4</f>
        <v>0.98104277196026479</v>
      </c>
      <c r="L203" s="7">
        <f t="shared" si="32"/>
        <v>0.5</v>
      </c>
      <c r="N203" s="5">
        <f>(Parameters!$B$19*(E203+Parameters!$B$20)^L203+Parameters!$B$18*F203^L203)^(1/L203)</f>
        <v>0.5495284694887087</v>
      </c>
      <c r="O203" s="5">
        <f>(Parameters!$B$10*G203^Parameters!$B$9 + Parameters!$B$11*N203^Parameters!$B$9) ^ (Parameters!$B$7/Parameters!$B$9) * K203</f>
        <v>1.5019529999813095</v>
      </c>
      <c r="P203" s="5">
        <f t="shared" si="31"/>
        <v>1.145262282845932</v>
      </c>
      <c r="Q203" s="5">
        <f>EXP(-Parameters!$B$56*A203)</f>
        <v>4.9543708451578718E-2</v>
      </c>
      <c r="R203" s="5">
        <f>IF(P203&gt;0,P203^(1-Parameters!$B$53)/(1-Parameters!$B$53)*Q203,-10+P203*1000)</f>
        <v>-0.1349906633821002</v>
      </c>
      <c r="S203" s="5"/>
    </row>
    <row r="204" spans="1:19" x14ac:dyDescent="0.35">
      <c r="A204">
        <f>A203+Parameters!$B$71</f>
        <v>200</v>
      </c>
      <c r="B204" s="7">
        <f t="shared" si="30"/>
        <v>5.3289702319887791E-2</v>
      </c>
      <c r="C204" s="7">
        <f t="shared" si="30"/>
        <v>1.0277954020588648E-2</v>
      </c>
      <c r="D204" s="5">
        <f t="shared" si="30"/>
        <v>0.29312306079490108</v>
      </c>
      <c r="E204" s="5">
        <f>MAX((1-Parameters!$B$4)^Parameters!B$71*E203+B203*Parameters!B$71-Parameters!$B$5*B203^2/E203*Parameters!B$71,0.0001)</f>
        <v>0.7900691704651237</v>
      </c>
      <c r="F204" s="7">
        <f>MAX((1-Parameters!$B$4)^Parameters!B$71*F203+C203*Parameters!B$71-Parameters!$B$5*C203^2/F203*Parameters!B$71,0.0001)</f>
        <v>0.15238021676247601</v>
      </c>
      <c r="G204" s="5">
        <f>MAX((1-Parameters!$B$4)^Parameters!B$71*G203+D203*Parameters!B$71-Parameters!$B$5*D203^2/G203*Parameters!B$71,0.0001)</f>
        <v>4.3458207330553433</v>
      </c>
      <c r="I204" s="5">
        <f>I203*(1+Parameters!$B$52)^Parameters!B$71</f>
        <v>14.561845576758655</v>
      </c>
      <c r="J204" s="5">
        <f>J203*(1+Parameters!$B$54)^Parameters!B$71</f>
        <v>475.12414436878555</v>
      </c>
      <c r="K204" s="5">
        <f>'6states'!$N$4</f>
        <v>0.98104277196026479</v>
      </c>
      <c r="L204" s="7">
        <f t="shared" si="32"/>
        <v>0.5</v>
      </c>
      <c r="N204" s="5">
        <f>(Parameters!$B$19*(E204+Parameters!$B$20)^L204+Parameters!$B$18*F204^L204)^(1/L204)</f>
        <v>0.54952846267925748</v>
      </c>
      <c r="O204" s="5">
        <f>(Parameters!$B$10*G204^Parameters!$B$9 + Parameters!$B$11*N204^Parameters!$B$9) ^ (Parameters!$B$7/Parameters!$B$9) * K204</f>
        <v>1.5019529951909687</v>
      </c>
      <c r="P204" s="5">
        <f t="shared" si="31"/>
        <v>1.1452622780555912</v>
      </c>
      <c r="Q204" s="5">
        <f>EXP(-Parameters!$B$56*A204)</f>
        <v>4.8801218362012941E-2</v>
      </c>
      <c r="R204" s="5">
        <f>IF(P204&gt;0,P204^(1-Parameters!$B$53)/(1-Parameters!$B$53)*Q204,-10+P204*1000)</f>
        <v>-0.13296761700076343</v>
      </c>
      <c r="S204" s="5"/>
    </row>
    <row r="205" spans="1:19" x14ac:dyDescent="0.35">
      <c r="A205">
        <f>A204+Parameters!$B$71</f>
        <v>201</v>
      </c>
      <c r="B205" s="7">
        <f t="shared" ref="B205:B236" si="33">B204</f>
        <v>5.3289702319887791E-2</v>
      </c>
      <c r="C205" s="7">
        <f t="shared" ref="C205:C236" si="34">C204</f>
        <v>1.0277954020588648E-2</v>
      </c>
      <c r="D205" s="5">
        <f t="shared" ref="D205:D236" si="35">D204</f>
        <v>0.29312306079490108</v>
      </c>
      <c r="E205" s="5">
        <f>MAX((1-Parameters!$B$4)^Parameters!B$71*E204+B204*Parameters!B$71-Parameters!$B$5*B204^2/E204*Parameters!B$71,0.0001)</f>
        <v>0.7900691627857348</v>
      </c>
      <c r="F205" s="7">
        <f>MAX((1-Parameters!$B$4)^Parameters!B$71*F204+C204*Parameters!B$71-Parameters!$B$5*C204^2/F204*Parameters!B$71,0.0001)</f>
        <v>0.15238021332838389</v>
      </c>
      <c r="G205" s="5">
        <f>MAX((1-Parameters!$B$4)^Parameters!B$71*G204+D204*Parameters!B$71-Parameters!$B$5*D204^2/G204*Parameters!B$71,0.0001)</f>
        <v>4.3458206911279254</v>
      </c>
      <c r="I205" s="5">
        <f>I204*(1+Parameters!$B$52)^Parameters!B$71</f>
        <v>14.604074928931254</v>
      </c>
      <c r="J205" s="5">
        <f>J204*(1+Parameters!$B$54)^Parameters!B$71</f>
        <v>484.62662725616127</v>
      </c>
      <c r="K205" s="5">
        <f>'6states'!$N$4</f>
        <v>0.98104277196026479</v>
      </c>
      <c r="L205" s="7">
        <f t="shared" ref="L205:L268" si="36">L204</f>
        <v>0.5</v>
      </c>
      <c r="N205" s="5">
        <f>(Parameters!$B$19*(E205+Parameters!$B$20)^L205+Parameters!$B$18*F205^L205)^(1/L205)</f>
        <v>0.54952845626714186</v>
      </c>
      <c r="O205" s="5">
        <f>(Parameters!$B$10*G205^Parameters!$B$9 + Parameters!$B$11*N205^Parameters!$B$9) ^ (Parameters!$B$7/Parameters!$B$9) * K205</f>
        <v>1.5019529906801472</v>
      </c>
      <c r="P205" s="5">
        <f t="shared" si="31"/>
        <v>1.1452622735447697</v>
      </c>
      <c r="Q205" s="5">
        <f>EXP(-Parameters!$B$56*A205)</f>
        <v>4.8069855649672907E-2</v>
      </c>
      <c r="R205" s="5">
        <f>IF(P205&gt;0,P205^(1-Parameters!$B$53)/(1-Parameters!$B$53)*Q205,-10+P205*1000)</f>
        <v>-0.13097488912478236</v>
      </c>
      <c r="S205" s="5"/>
    </row>
    <row r="206" spans="1:19" x14ac:dyDescent="0.35">
      <c r="A206">
        <f>A205+Parameters!$B$71</f>
        <v>202</v>
      </c>
      <c r="B206" s="7">
        <f t="shared" si="33"/>
        <v>5.3289702319887791E-2</v>
      </c>
      <c r="C206" s="7">
        <f t="shared" si="34"/>
        <v>1.0277954020588648E-2</v>
      </c>
      <c r="D206" s="5">
        <f t="shared" si="35"/>
        <v>0.29312306079490108</v>
      </c>
      <c r="E206" s="5">
        <f>MAX((1-Parameters!$B$4)^Parameters!B$71*E205+B205*Parameters!B$71-Parameters!$B$5*B205^2/E205*Parameters!B$71,0.0001)</f>
        <v>0.79006915555444268</v>
      </c>
      <c r="F206" s="7">
        <f>MAX((1-Parameters!$B$4)^Parameters!B$71*F205+C205*Parameters!B$71-Parameters!$B$5*C205^2/F205*Parameters!B$71,0.0001)</f>
        <v>0.15238021009467301</v>
      </c>
      <c r="G206" s="5">
        <f>MAX((1-Parameters!$B$4)^Parameters!B$71*G205+D205*Parameters!B$71-Parameters!$B$5*D205^2/G205*Parameters!B$71,0.0001)</f>
        <v>4.3458206516469957</v>
      </c>
      <c r="I206" s="5">
        <f>I205*(1+Parameters!$B$52)^Parameters!B$71</f>
        <v>14.646426746225153</v>
      </c>
      <c r="J206" s="5">
        <f>J205*(1+Parameters!$B$54)^Parameters!B$71</f>
        <v>494.31915980128451</v>
      </c>
      <c r="K206" s="5">
        <f>'6states'!$N$4</f>
        <v>0.98104277196026479</v>
      </c>
      <c r="L206" s="7">
        <f t="shared" si="36"/>
        <v>0.5</v>
      </c>
      <c r="N206" s="5">
        <f>(Parameters!$B$19*(E206+Parameters!$B$20)^L206+Parameters!$B$18*F206^L206)^(1/L206)</f>
        <v>0.54952845022917662</v>
      </c>
      <c r="O206" s="5">
        <f>(Parameters!$B$10*G206^Parameters!$B$9 + Parameters!$B$11*N206^Parameters!$B$9) ^ (Parameters!$B$7/Parameters!$B$9) * K206</f>
        <v>1.5019529864325343</v>
      </c>
      <c r="P206" s="5">
        <f t="shared" si="31"/>
        <v>1.1452622692971568</v>
      </c>
      <c r="Q206" s="5">
        <f>EXP(-Parameters!$B$56*A206)</f>
        <v>4.7349453553378031E-2</v>
      </c>
      <c r="R206" s="5">
        <f>IF(P206&gt;0,P206^(1-Parameters!$B$53)/(1-Parameters!$B$53)*Q206,-10+P206*1000)</f>
        <v>-0.12901202538487758</v>
      </c>
      <c r="S206" s="5"/>
    </row>
    <row r="207" spans="1:19" x14ac:dyDescent="0.35">
      <c r="A207">
        <f>A206+Parameters!$B$71</f>
        <v>203</v>
      </c>
      <c r="B207" s="7">
        <f t="shared" si="33"/>
        <v>5.3289702319887791E-2</v>
      </c>
      <c r="C207" s="7">
        <f t="shared" si="34"/>
        <v>1.0277954020588648E-2</v>
      </c>
      <c r="D207" s="5">
        <f t="shared" si="35"/>
        <v>0.29312306079490108</v>
      </c>
      <c r="E207" s="5">
        <f>MAX((1-Parameters!$B$4)^Parameters!B$71*E206+B206*Parameters!B$71-Parameters!$B$5*B206^2/E206*Parameters!B$71,0.0001)</f>
        <v>0.7900691487451007</v>
      </c>
      <c r="F207" s="7">
        <f>MAX((1-Parameters!$B$4)^Parameters!B$71*F206+C206*Parameters!B$71-Parameters!$B$5*C206^2/F206*Parameters!B$71,0.0001)</f>
        <v>0.15238020704965102</v>
      </c>
      <c r="G207" s="5">
        <f>MAX((1-Parameters!$B$4)^Parameters!B$71*G206+D206*Parameters!B$71-Parameters!$B$5*D206^2/G206*Parameters!B$71,0.0001)</f>
        <v>4.3458206144698011</v>
      </c>
      <c r="I207" s="5">
        <f>I206*(1+Parameters!$B$52)^Parameters!B$71</f>
        <v>14.688901383789204</v>
      </c>
      <c r="J207" s="5">
        <f>J206*(1+Parameters!$B$54)^Parameters!B$71</f>
        <v>504.2055429973102</v>
      </c>
      <c r="K207" s="5">
        <f>'6states'!$N$4</f>
        <v>0.98104277196026479</v>
      </c>
      <c r="L207" s="7">
        <f t="shared" si="36"/>
        <v>0.5</v>
      </c>
      <c r="N207" s="5">
        <f>(Parameters!$B$19*(E207+Parameters!$B$20)^L207+Parameters!$B$18*F207^L207)^(1/L207)</f>
        <v>0.54952844454353056</v>
      </c>
      <c r="O207" s="5">
        <f>(Parameters!$B$10*G207^Parameters!$B$9 + Parameters!$B$11*N207^Parameters!$B$9) ^ (Parameters!$B$7/Parameters!$B$9) * K207</f>
        <v>1.5019529824327724</v>
      </c>
      <c r="P207" s="5">
        <f t="shared" si="31"/>
        <v>1.1452622652973949</v>
      </c>
      <c r="Q207" s="5">
        <f>EXP(-Parameters!$B$56*A207)</f>
        <v>4.6639847811125214E-2</v>
      </c>
      <c r="R207" s="5">
        <f>IF(P207&gt;0,P207^(1-Parameters!$B$53)/(1-Parameters!$B$53)*Q207,-10+P207*1000)</f>
        <v>-0.12707857822113067</v>
      </c>
      <c r="S207" s="5"/>
    </row>
    <row r="208" spans="1:19" x14ac:dyDescent="0.35">
      <c r="A208">
        <f>A207+Parameters!$B$71</f>
        <v>204</v>
      </c>
      <c r="B208" s="7">
        <f t="shared" si="33"/>
        <v>5.3289702319887791E-2</v>
      </c>
      <c r="C208" s="7">
        <f t="shared" si="34"/>
        <v>1.0277954020588648E-2</v>
      </c>
      <c r="D208" s="5">
        <f t="shared" si="35"/>
        <v>0.29312306079490108</v>
      </c>
      <c r="E208" s="5">
        <f>MAX((1-Parameters!$B$4)^Parameters!B$71*E207+B207*Parameters!B$71-Parameters!$B$5*B207^2/E207*Parameters!B$71,0.0001)</f>
        <v>0.79006914233308767</v>
      </c>
      <c r="F208" s="7">
        <f>MAX((1-Parameters!$B$4)^Parameters!B$71*F207+C207*Parameters!B$71-Parameters!$B$5*C207^2/F207*Parameters!B$71,0.0001)</f>
        <v>0.15238020418230785</v>
      </c>
      <c r="G208" s="5">
        <f>MAX((1-Parameters!$B$4)^Parameters!B$71*G207+D207*Parameters!B$71-Parameters!$B$5*D207^2/G207*Parameters!B$71,0.0001)</f>
        <v>4.3458205794619174</v>
      </c>
      <c r="I208" s="5">
        <f>I207*(1+Parameters!$B$52)^Parameters!B$71</f>
        <v>14.731499197802192</v>
      </c>
      <c r="J208" s="5">
        <f>J207*(1+Parameters!$B$54)^Parameters!B$71</f>
        <v>514.28965385725644</v>
      </c>
      <c r="K208" s="5">
        <f>'6states'!$N$4</f>
        <v>0.98104277196026479</v>
      </c>
      <c r="L208" s="7">
        <f t="shared" si="36"/>
        <v>0.5</v>
      </c>
      <c r="N208" s="5">
        <f>(Parameters!$B$19*(E208+Parameters!$B$20)^L208+Parameters!$B$18*F208^L208)^(1/L208)</f>
        <v>0.549528439189645</v>
      </c>
      <c r="O208" s="5">
        <f>(Parameters!$B$10*G208^Parameters!$B$9 + Parameters!$B$11*N208^Parameters!$B$9) ^ (Parameters!$B$7/Parameters!$B$9) * K208</f>
        <v>1.5019529786663985</v>
      </c>
      <c r="P208" s="5">
        <f t="shared" si="31"/>
        <v>1.1452622615310211</v>
      </c>
      <c r="Q208" s="5">
        <f>EXP(-Parameters!$B$56*A208)</f>
        <v>4.5940876622634921E-2</v>
      </c>
      <c r="R208" s="5">
        <f>IF(P208&gt;0,P208^(1-Parameters!$B$53)/(1-Parameters!$B$53)*Q208,-10+P208*1000)</f>
        <v>-0.12517410678094162</v>
      </c>
      <c r="S208" s="5"/>
    </row>
    <row r="209" spans="1:19" x14ac:dyDescent="0.35">
      <c r="A209">
        <f>A208+Parameters!$B$71</f>
        <v>205</v>
      </c>
      <c r="B209" s="7">
        <f t="shared" si="33"/>
        <v>5.3289702319887791E-2</v>
      </c>
      <c r="C209" s="7">
        <f t="shared" si="34"/>
        <v>1.0277954020588648E-2</v>
      </c>
      <c r="D209" s="5">
        <f t="shared" si="35"/>
        <v>0.29312306079490108</v>
      </c>
      <c r="E209" s="5">
        <f>MAX((1-Parameters!$B$4)^Parameters!B$71*E208+B208*Parameters!B$71-Parameters!$B$5*B208^2/E208*Parameters!B$71,0.0001)</f>
        <v>0.79006913629521935</v>
      </c>
      <c r="F209" s="7">
        <f>MAX((1-Parameters!$B$4)^Parameters!B$71*F208+C208*Parameters!B$71-Parameters!$B$5*C208^2/F208*Parameters!B$71,0.0001)</f>
        <v>0.1523802014822758</v>
      </c>
      <c r="G209" s="5">
        <f>MAX((1-Parameters!$B$4)^Parameters!B$71*G208+D208*Parameters!B$71-Parameters!$B$5*D208^2/G208*Parameters!B$71,0.0001)</f>
        <v>4.3458205464967641</v>
      </c>
      <c r="I209" s="5">
        <f>I208*(1+Parameters!$B$52)^Parameters!B$71</f>
        <v>14.774220545475817</v>
      </c>
      <c r="J209" s="5">
        <f>J208*(1+Parameters!$B$54)^Parameters!B$71</f>
        <v>524.57544693440161</v>
      </c>
      <c r="K209" s="5">
        <f>'6states'!$N$4</f>
        <v>0.98104277196026479</v>
      </c>
      <c r="L209" s="7">
        <f t="shared" si="36"/>
        <v>0.5</v>
      </c>
      <c r="N209" s="5">
        <f>(Parameters!$B$19*(E209+Parameters!$B$20)^L209+Parameters!$B$18*F209^L209)^(1/L209)</f>
        <v>0.54952843414816166</v>
      </c>
      <c r="O209" s="5">
        <f>(Parameters!$B$10*G209^Parameters!$B$9 + Parameters!$B$11*N209^Parameters!$B$9) ^ (Parameters!$B$7/Parameters!$B$9) * K209</f>
        <v>1.5019529751197953</v>
      </c>
      <c r="P209" s="5">
        <f t="shared" si="31"/>
        <v>1.1452622579844178</v>
      </c>
      <c r="Q209" s="5">
        <f>EXP(-Parameters!$B$56*A209)</f>
        <v>4.5252380612458197E-2</v>
      </c>
      <c r="R209" s="5">
        <f>IF(P209&gt;0,P209^(1-Parameters!$B$53)/(1-Parameters!$B$53)*Q209,-10+P209*1000)</f>
        <v>-0.1232981768185131</v>
      </c>
      <c r="S209" s="5"/>
    </row>
    <row r="210" spans="1:19" x14ac:dyDescent="0.35">
      <c r="A210">
        <f>A209+Parameters!$B$71</f>
        <v>206</v>
      </c>
      <c r="B210" s="7">
        <f t="shared" si="33"/>
        <v>5.3289702319887791E-2</v>
      </c>
      <c r="C210" s="7">
        <f t="shared" si="34"/>
        <v>1.0277954020588648E-2</v>
      </c>
      <c r="D210" s="5">
        <f t="shared" si="35"/>
        <v>0.29312306079490108</v>
      </c>
      <c r="E210" s="5">
        <f>MAX((1-Parameters!$B$4)^Parameters!B$71*E209+B209*Parameters!B$71-Parameters!$B$5*B209^2/E209*Parameters!B$71,0.0001)</f>
        <v>0.79006913060966411</v>
      </c>
      <c r="F210" s="7">
        <f>MAX((1-Parameters!$B$4)^Parameters!B$71*F209+C209*Parameters!B$71-Parameters!$B$5*C209^2/F209*Parameters!B$71,0.0001)</f>
        <v>0.15238019893979218</v>
      </c>
      <c r="G210" s="5">
        <f>MAX((1-Parameters!$B$4)^Parameters!B$71*G209+D209*Parameters!B$71-Parameters!$B$5*D209^2/G209*Parameters!B$71,0.0001)</f>
        <v>4.3458205154551459</v>
      </c>
      <c r="I210" s="5">
        <f>I209*(1+Parameters!$B$52)^Parameters!B$71</f>
        <v>14.817065785057695</v>
      </c>
      <c r="J210" s="5">
        <f>J209*(1+Parameters!$B$54)^Parameters!B$71</f>
        <v>535.06695587308968</v>
      </c>
      <c r="K210" s="5">
        <f>'6states'!$N$4</f>
        <v>0.98104277196026479</v>
      </c>
      <c r="L210" s="7">
        <f t="shared" si="36"/>
        <v>0.5</v>
      </c>
      <c r="N210" s="5">
        <f>(Parameters!$B$19*(E210+Parameters!$B$20)^L210+Parameters!$B$18*F210^L210)^(1/L210)</f>
        <v>0.54952842940085178</v>
      </c>
      <c r="O210" s="5">
        <f>(Parameters!$B$10*G210^Parameters!$B$9 + Parameters!$B$11*N210^Parameters!$B$9) ^ (Parameters!$B$7/Parameters!$B$9) * K210</f>
        <v>1.5019529717801379</v>
      </c>
      <c r="P210" s="5">
        <f t="shared" si="31"/>
        <v>1.1452622546447604</v>
      </c>
      <c r="Q210" s="5">
        <f>EXP(-Parameters!$B$56*A210)</f>
        <v>4.45742027936369E-2</v>
      </c>
      <c r="R210" s="5">
        <f>IF(P210&gt;0,P210^(1-Parameters!$B$53)/(1-Parameters!$B$53)*Q210,-10+P210*1000)</f>
        <v>-0.12145036059584247</v>
      </c>
      <c r="S210" s="5"/>
    </row>
    <row r="211" spans="1:19" x14ac:dyDescent="0.35">
      <c r="A211">
        <f>A210+Parameters!$B$71</f>
        <v>207</v>
      </c>
      <c r="B211" s="7">
        <f t="shared" si="33"/>
        <v>5.3289702319887791E-2</v>
      </c>
      <c r="C211" s="7">
        <f t="shared" si="34"/>
        <v>1.0277954020588648E-2</v>
      </c>
      <c r="D211" s="5">
        <f t="shared" si="35"/>
        <v>0.29312306079490108</v>
      </c>
      <c r="E211" s="5">
        <f>MAX((1-Parameters!$B$4)^Parameters!B$71*E210+B210*Parameters!B$71-Parameters!$B$5*B210^2/E210*Parameters!B$71,0.0001)</f>
        <v>0.79006912525586426</v>
      </c>
      <c r="F211" s="7">
        <f>MAX((1-Parameters!$B$4)^Parameters!B$71*F210+C210*Parameters!B$71-Parameters!$B$5*C210^2/F210*Parameters!B$71,0.0001)</f>
        <v>0.15238019654566395</v>
      </c>
      <c r="G211" s="5">
        <f>MAX((1-Parameters!$B$4)^Parameters!B$71*G210+D210*Parameters!B$71-Parameters!$B$5*D210^2/G210*Parameters!B$71,0.0001)</f>
        <v>4.3458204862248246</v>
      </c>
      <c r="I211" s="5">
        <f>I210*(1+Parameters!$B$52)^Parameters!B$71</f>
        <v>14.860035275834361</v>
      </c>
      <c r="J211" s="5">
        <f>J210*(1+Parameters!$B$54)^Parameters!B$71</f>
        <v>545.76829499055145</v>
      </c>
      <c r="K211" s="5">
        <f>'6states'!$N$4</f>
        <v>0.98104277196026479</v>
      </c>
      <c r="L211" s="7">
        <f t="shared" si="36"/>
        <v>0.5</v>
      </c>
      <c r="N211" s="5">
        <f>(Parameters!$B$19*(E211+Parameters!$B$20)^L211+Parameters!$B$18*F211^L211)^(1/L211)</f>
        <v>0.5495284249305501</v>
      </c>
      <c r="O211" s="5">
        <f>(Parameters!$B$10*G211^Parameters!$B$9 + Parameters!$B$11*N211^Parameters!$B$9) ^ (Parameters!$B$7/Parameters!$B$9) * K211</f>
        <v>1.5019529686353517</v>
      </c>
      <c r="P211" s="5">
        <f t="shared" si="31"/>
        <v>1.1452622514999742</v>
      </c>
      <c r="Q211" s="5">
        <f>EXP(-Parameters!$B$56*A211)</f>
        <v>4.3906188531908454E-2</v>
      </c>
      <c r="R211" s="5">
        <f>IF(P211&gt;0,P211^(1-Parameters!$B$53)/(1-Parameters!$B$53)*Q211,-10+P211*1000)</f>
        <v>-0.11963023678519646</v>
      </c>
      <c r="S211" s="5"/>
    </row>
    <row r="212" spans="1:19" x14ac:dyDescent="0.35">
      <c r="A212">
        <f>A211+Parameters!$B$71</f>
        <v>208</v>
      </c>
      <c r="B212" s="7">
        <f t="shared" si="33"/>
        <v>5.3289702319887791E-2</v>
      </c>
      <c r="C212" s="7">
        <f t="shared" si="34"/>
        <v>1.0277954020588648E-2</v>
      </c>
      <c r="D212" s="5">
        <f t="shared" si="35"/>
        <v>0.29312306079490108</v>
      </c>
      <c r="E212" s="5">
        <f>MAX((1-Parameters!$B$4)^Parameters!B$71*E211+B211*Parameters!B$71-Parameters!$B$5*B211^2/E211*Parameters!B$71,0.0001)</f>
        <v>0.79006912021446174</v>
      </c>
      <c r="F212" s="7">
        <f>MAX((1-Parameters!$B$4)^Parameters!B$71*F211+C211*Parameters!B$71-Parameters!$B$5*C211^2/F211*Parameters!B$71,0.0001)</f>
        <v>0.15238019429123448</v>
      </c>
      <c r="G212" s="5">
        <f>MAX((1-Parameters!$B$4)^Parameters!B$71*G211+D211*Parameters!B$71-Parameters!$B$5*D211^2/G211*Parameters!B$71,0.0001)</f>
        <v>4.3458204587001097</v>
      </c>
      <c r="I212" s="5">
        <f>I211*(1+Parameters!$B$52)^Parameters!B$71</f>
        <v>14.903129378134279</v>
      </c>
      <c r="J212" s="5">
        <f>J211*(1+Parameters!$B$54)^Parameters!B$71</f>
        <v>556.68366089036249</v>
      </c>
      <c r="K212" s="5">
        <f>'6states'!$N$4</f>
        <v>0.98104277196026479</v>
      </c>
      <c r="L212" s="7">
        <f t="shared" si="36"/>
        <v>0.5</v>
      </c>
      <c r="N212" s="5">
        <f>(Parameters!$B$19*(E212+Parameters!$B$20)^L212+Parameters!$B$18*F212^L212)^(1/L212)</f>
        <v>0.54952842072109354</v>
      </c>
      <c r="O212" s="5">
        <f>(Parameters!$B$10*G212^Parameters!$B$9 + Parameters!$B$11*N212^Parameters!$B$9) ^ (Parameters!$B$7/Parameters!$B$9) * K212</f>
        <v>1.5019529656740656</v>
      </c>
      <c r="P212" s="5">
        <f t="shared" si="31"/>
        <v>1.1452622485386881</v>
      </c>
      <c r="Q212" s="5">
        <f>EXP(-Parameters!$B$56*A212)</f>
        <v>4.3248185510446908E-2</v>
      </c>
      <c r="R212" s="5">
        <f>IF(P212&gt;0,P212^(1-Parameters!$B$53)/(1-Parameters!$B$53)*Q212,-10+P212*1000)</f>
        <v>-0.1178373903730469</v>
      </c>
      <c r="S212" s="5"/>
    </row>
    <row r="213" spans="1:19" x14ac:dyDescent="0.35">
      <c r="A213">
        <f>A212+Parameters!$B$71</f>
        <v>209</v>
      </c>
      <c r="B213" s="7">
        <f t="shared" si="33"/>
        <v>5.3289702319887791E-2</v>
      </c>
      <c r="C213" s="7">
        <f t="shared" si="34"/>
        <v>1.0277954020588648E-2</v>
      </c>
      <c r="D213" s="5">
        <f t="shared" si="35"/>
        <v>0.29312306079490108</v>
      </c>
      <c r="E213" s="5">
        <f>MAX((1-Parameters!$B$4)^Parameters!B$71*E212+B212*Parameters!B$71-Parameters!$B$5*B212^2/E212*Parameters!B$71,0.0001)</f>
        <v>0.79006911546722791</v>
      </c>
      <c r="F213" s="7">
        <f>MAX((1-Parameters!$B$4)^Parameters!B$71*F212+C212*Parameters!B$71-Parameters!$B$5*C212^2/F212*Parameters!B$71,0.0001)</f>
        <v>0.15238019216835227</v>
      </c>
      <c r="G213" s="5">
        <f>MAX((1-Parameters!$B$4)^Parameters!B$71*G212+D212*Parameters!B$71-Parameters!$B$5*D212^2/G212*Parameters!B$71,0.0001)</f>
        <v>4.345820432781478</v>
      </c>
      <c r="I213" s="5">
        <f>I212*(1+Parameters!$B$52)^Parameters!B$71</f>
        <v>14.946348453330867</v>
      </c>
      <c r="J213" s="5">
        <f>J212*(1+Parameters!$B$54)^Parameters!B$71</f>
        <v>567.8173341081698</v>
      </c>
      <c r="K213" s="5">
        <f>'6states'!$N$4</f>
        <v>0.98104277196026479</v>
      </c>
      <c r="L213" s="7">
        <f t="shared" si="36"/>
        <v>0.5</v>
      </c>
      <c r="N213" s="5">
        <f>(Parameters!$B$19*(E213+Parameters!$B$20)^L213+Parameters!$B$18*F213^L213)^(1/L213)</f>
        <v>0.54952841675726061</v>
      </c>
      <c r="O213" s="5">
        <f>(Parameters!$B$10*G213^Parameters!$B$9 + Parameters!$B$11*N213^Parameters!$B$9) ^ (Parameters!$B$7/Parameters!$B$9) * K213</f>
        <v>1.5019529628855719</v>
      </c>
      <c r="P213" s="5">
        <f t="shared" si="31"/>
        <v>1.1452622457501944</v>
      </c>
      <c r="Q213" s="5">
        <f>EXP(-Parameters!$B$56*A213)</f>
        <v>4.2600043695132594E-2</v>
      </c>
      <c r="R213" s="5">
        <f>IF(P213&gt;0,P213^(1-Parameters!$B$53)/(1-Parameters!$B$53)*Q213,-10+P213*1000)</f>
        <v>-0.11607141256544649</v>
      </c>
      <c r="S213" s="5"/>
    </row>
    <row r="214" spans="1:19" x14ac:dyDescent="0.35">
      <c r="A214">
        <f>A213+Parameters!$B$71</f>
        <v>210</v>
      </c>
      <c r="B214" s="7">
        <f t="shared" si="33"/>
        <v>5.3289702319887791E-2</v>
      </c>
      <c r="C214" s="7">
        <f t="shared" si="34"/>
        <v>1.0277954020588648E-2</v>
      </c>
      <c r="D214" s="5">
        <f t="shared" si="35"/>
        <v>0.29312306079490108</v>
      </c>
      <c r="E214" s="5">
        <f>MAX((1-Parameters!$B$4)^Parameters!B$71*E213+B213*Parameters!B$71-Parameters!$B$5*B213^2/E213*Parameters!B$71,0.0001)</f>
        <v>0.79006911099699795</v>
      </c>
      <c r="F214" s="7">
        <f>MAX((1-Parameters!$B$4)^Parameters!B$71*F213+C213*Parameters!B$71-Parameters!$B$5*C213^2/F213*Parameters!B$71,0.0001)</f>
        <v>0.15238019016934148</v>
      </c>
      <c r="G214" s="5">
        <f>MAX((1-Parameters!$B$4)^Parameters!B$71*G213+D213*Parameters!B$71-Parameters!$B$5*D213^2/G213*Parameters!B$71,0.0001)</f>
        <v>4.3458204083752126</v>
      </c>
      <c r="I214" s="5">
        <f>I213*(1+Parameters!$B$52)^Parameters!B$71</f>
        <v>14.989692863845525</v>
      </c>
      <c r="J214" s="5">
        <f>J213*(1+Parameters!$B$54)^Parameters!B$71</f>
        <v>579.17368079033326</v>
      </c>
      <c r="K214" s="5">
        <f>'6states'!$N$4</f>
        <v>0.98104277196026479</v>
      </c>
      <c r="L214" s="7">
        <f t="shared" si="36"/>
        <v>0.5</v>
      </c>
      <c r="N214" s="5">
        <f>(Parameters!$B$19*(E214+Parameters!$B$20)^L214+Parameters!$B$18*F214^L214)^(1/L214)</f>
        <v>0.54952841302472</v>
      </c>
      <c r="O214" s="5">
        <f>(Parameters!$B$10*G214^Parameters!$B$9 + Parameters!$B$11*N214^Parameters!$B$9) ^ (Parameters!$B$7/Parameters!$B$9) * K214</f>
        <v>1.5019529602597885</v>
      </c>
      <c r="P214" s="5">
        <f t="shared" si="31"/>
        <v>1.1452622431244111</v>
      </c>
      <c r="Q214" s="5">
        <f>EXP(-Parameters!$B$56*A214)</f>
        <v>4.1961615300342196E-2</v>
      </c>
      <c r="R214" s="5">
        <f>IF(P214&gt;0,P214^(1-Parameters!$B$53)/(1-Parameters!$B$53)*Q214,-10+P214*1000)</f>
        <v>-0.11433190069482194</v>
      </c>
      <c r="S214" s="5"/>
    </row>
    <row r="215" spans="1:19" x14ac:dyDescent="0.35">
      <c r="A215">
        <f>A214+Parameters!$B$71</f>
        <v>211</v>
      </c>
      <c r="B215" s="7">
        <f t="shared" si="33"/>
        <v>5.3289702319887791E-2</v>
      </c>
      <c r="C215" s="7">
        <f t="shared" si="34"/>
        <v>1.0277954020588648E-2</v>
      </c>
      <c r="D215" s="5">
        <f t="shared" si="35"/>
        <v>0.29312306079490108</v>
      </c>
      <c r="E215" s="5">
        <f>MAX((1-Parameters!$B$4)^Parameters!B$71*E214+B214*Parameters!B$71-Parameters!$B$5*B214^2/E214*Parameters!B$71,0.0001)</f>
        <v>0.79006910678760855</v>
      </c>
      <c r="F215" s="7">
        <f>MAX((1-Parameters!$B$4)^Parameters!B$71*F214+C214*Parameters!B$71-Parameters!$B$5*C214^2/F214*Parameters!B$71,0.0001)</f>
        <v>0.15238018828697411</v>
      </c>
      <c r="G215" s="5">
        <f>MAX((1-Parameters!$B$4)^Parameters!B$71*G214+D214*Parameters!B$71-Parameters!$B$5*D214^2/G214*Parameters!B$71,0.0001)</f>
        <v>4.3458203853930675</v>
      </c>
      <c r="I215" s="5">
        <f>I214*(1+Parameters!$B$52)^Parameters!B$71</f>
        <v>15.033162973150676</v>
      </c>
      <c r="J215" s="5">
        <f>J214*(1+Parameters!$B$54)^Parameters!B$71</f>
        <v>590.75715440613999</v>
      </c>
      <c r="K215" s="5">
        <f>'6states'!$N$4</f>
        <v>0.98104277196026479</v>
      </c>
      <c r="L215" s="7">
        <f t="shared" si="36"/>
        <v>0.5</v>
      </c>
      <c r="N215" s="5">
        <f>(Parameters!$B$19*(E215+Parameters!$B$20)^L215+Parameters!$B$18*F215^L215)^(1/L215)</f>
        <v>0.54952840950997517</v>
      </c>
      <c r="O215" s="5">
        <f>(Parameters!$B$10*G215^Parameters!$B$9 + Parameters!$B$11*N215^Parameters!$B$9) ^ (Parameters!$B$7/Parameters!$B$9) * K215</f>
        <v>1.5019529577872215</v>
      </c>
      <c r="P215" s="5">
        <f t="shared" si="31"/>
        <v>1.145262240651844</v>
      </c>
      <c r="Q215" s="5">
        <f>EXP(-Parameters!$B$56*A215)</f>
        <v>4.1332754755251451E-2</v>
      </c>
      <c r="R215" s="5">
        <f>IF(P215&gt;0,P215^(1-Parameters!$B$53)/(1-Parameters!$B$53)*Q215,-10+P215*1000)</f>
        <v>-0.11261845812816365</v>
      </c>
      <c r="S215" s="5"/>
    </row>
    <row r="216" spans="1:19" x14ac:dyDescent="0.35">
      <c r="A216">
        <f>A215+Parameters!$B$71</f>
        <v>212</v>
      </c>
      <c r="B216" s="7">
        <f t="shared" si="33"/>
        <v>5.3289702319887791E-2</v>
      </c>
      <c r="C216" s="7">
        <f t="shared" si="34"/>
        <v>1.0277954020588648E-2</v>
      </c>
      <c r="D216" s="5">
        <f t="shared" si="35"/>
        <v>0.29312306079490108</v>
      </c>
      <c r="E216" s="5">
        <f>MAX((1-Parameters!$B$4)^Parameters!B$71*E215+B215*Parameters!B$71-Parameters!$B$5*B215^2/E215*Parameters!B$71,0.0001)</f>
        <v>0.79006910282383935</v>
      </c>
      <c r="F216" s="7">
        <f>MAX((1-Parameters!$B$4)^Parameters!B$71*F215+C215*Parameters!B$71-Parameters!$B$5*C215^2/F215*Parameters!B$71,0.0001)</f>
        <v>0.15238018651444396</v>
      </c>
      <c r="G216" s="5">
        <f>MAX((1-Parameters!$B$4)^Parameters!B$71*G215+D215*Parameters!B$71-Parameters!$B$5*D215^2/G215*Parameters!B$71,0.0001)</f>
        <v>4.3458203637519439</v>
      </c>
      <c r="I216" s="5">
        <f>I215*(1+Parameters!$B$52)^Parameters!B$71</f>
        <v>15.076759145772812</v>
      </c>
      <c r="J216" s="5">
        <f>J215*(1+Parameters!$B$54)^Parameters!B$71</f>
        <v>602.57229749426278</v>
      </c>
      <c r="K216" s="5">
        <f>'6states'!$N$4</f>
        <v>0.98104277196026479</v>
      </c>
      <c r="L216" s="7">
        <f t="shared" si="36"/>
        <v>0.5</v>
      </c>
      <c r="N216" s="5">
        <f>(Parameters!$B$19*(E216+Parameters!$B$20)^L216+Parameters!$B$18*F216^L216)^(1/L216)</f>
        <v>0.54952840620031773</v>
      </c>
      <c r="O216" s="5">
        <f>(Parameters!$B$10*G216^Parameters!$B$9 + Parameters!$B$11*N216^Parameters!$B$9) ^ (Parameters!$B$7/Parameters!$B$9) * K216</f>
        <v>1.5019529554589299</v>
      </c>
      <c r="P216" s="5">
        <f t="shared" si="31"/>
        <v>1.1452622383235525</v>
      </c>
      <c r="Q216" s="5">
        <f>EXP(-Parameters!$B$56*A216)</f>
        <v>4.0713318670643026E-2</v>
      </c>
      <c r="R216" s="5">
        <f>IF(P216&gt;0,P216^(1-Parameters!$B$53)/(1-Parameters!$B$53)*Q216,-10+P216*1000)</f>
        <v>-0.11093069417659171</v>
      </c>
      <c r="S216" s="5"/>
    </row>
    <row r="217" spans="1:19" x14ac:dyDescent="0.35">
      <c r="A217">
        <f>A216+Parameters!$B$71</f>
        <v>213</v>
      </c>
      <c r="B217" s="7">
        <f t="shared" si="33"/>
        <v>5.3289702319887791E-2</v>
      </c>
      <c r="C217" s="7">
        <f t="shared" si="34"/>
        <v>1.0277954020588648E-2</v>
      </c>
      <c r="D217" s="5">
        <f t="shared" si="35"/>
        <v>0.29312306079490108</v>
      </c>
      <c r="E217" s="5">
        <f>MAX((1-Parameters!$B$4)^Parameters!B$71*E216+B216*Parameters!B$71-Parameters!$B$5*B216^2/E216*Parameters!B$71,0.0001)</f>
        <v>0.79006909909135847</v>
      </c>
      <c r="F217" s="7">
        <f>MAX((1-Parameters!$B$4)^Parameters!B$71*F216+C216*Parameters!B$71-Parameters!$B$5*C216^2/F216*Parameters!B$71,0.0001)</f>
        <v>0.15238018484534199</v>
      </c>
      <c r="G217" s="5">
        <f>MAX((1-Parameters!$B$4)^Parameters!B$71*G216+D216*Parameters!B$71-Parameters!$B$5*D216^2/G216*Parameters!B$71,0.0001)</f>
        <v>4.3458203433735916</v>
      </c>
      <c r="I217" s="5">
        <f>I216*(1+Parameters!$B$52)^Parameters!B$71</f>
        <v>15.120481747295552</v>
      </c>
      <c r="J217" s="5">
        <f>J216*(1+Parameters!$B$54)^Parameters!B$71</f>
        <v>614.62374344414809</v>
      </c>
      <c r="K217" s="5">
        <f>'6states'!$N$4</f>
        <v>0.98104277196026479</v>
      </c>
      <c r="L217" s="7">
        <f t="shared" si="36"/>
        <v>0.5</v>
      </c>
      <c r="N217" s="5">
        <f>(Parameters!$B$19*(E217+Parameters!$B$20)^L217+Parameters!$B$18*F217^L217)^(1/L217)</f>
        <v>0.5495284030837807</v>
      </c>
      <c r="O217" s="5">
        <f>(Parameters!$B$10*G217^Parameters!$B$9 + Parameters!$B$11*N217^Parameters!$B$9) ^ (Parameters!$B$7/Parameters!$B$9) * K217</f>
        <v>1.5019529532664952</v>
      </c>
      <c r="P217" s="5">
        <f t="shared" si="31"/>
        <v>1.1452622361311178</v>
      </c>
      <c r="Q217" s="5">
        <f>EXP(-Parameters!$B$56*A217)</f>
        <v>4.0103165806211608E-2</v>
      </c>
      <c r="R217" s="5">
        <f>IF(P217&gt;0,P217^(1-Parameters!$B$53)/(1-Parameters!$B$53)*Q217,-10+P217*1000)</f>
        <v>-0.10926822400627605</v>
      </c>
      <c r="S217" s="5"/>
    </row>
    <row r="218" spans="1:19" x14ac:dyDescent="0.35">
      <c r="A218">
        <f>A217+Parameters!$B$71</f>
        <v>214</v>
      </c>
      <c r="B218" s="7">
        <f t="shared" si="33"/>
        <v>5.3289702319887791E-2</v>
      </c>
      <c r="C218" s="7">
        <f t="shared" si="34"/>
        <v>1.0277954020588648E-2</v>
      </c>
      <c r="D218" s="5">
        <f t="shared" si="35"/>
        <v>0.29312306079490108</v>
      </c>
      <c r="E218" s="5">
        <f>MAX((1-Parameters!$B$4)^Parameters!B$71*E217+B217*Parameters!B$71-Parameters!$B$5*B217^2/E217*Parameters!B$71,0.0001)</f>
        <v>0.79006909557666993</v>
      </c>
      <c r="F218" s="7">
        <f>MAX((1-Parameters!$B$4)^Parameters!B$71*F217+C217*Parameters!B$71-Parameters!$B$5*C217^2/F217*Parameters!B$71,0.0001)</f>
        <v>0.15238018327363306</v>
      </c>
      <c r="G218" s="5">
        <f>MAX((1-Parameters!$B$4)^Parameters!B$71*G217+D217*Parameters!B$71-Parameters!$B$5*D217^2/G217*Parameters!B$71,0.0001)</f>
        <v>4.3458203241843281</v>
      </c>
      <c r="I218" s="5">
        <f>I217*(1+Parameters!$B$52)^Parameters!B$71</f>
        <v>15.164331144362707</v>
      </c>
      <c r="J218" s="5">
        <f>J217*(1+Parameters!$B$54)^Parameters!B$71</f>
        <v>626.9162183130311</v>
      </c>
      <c r="K218" s="5">
        <f>'6states'!$N$4</f>
        <v>0.98104277196026479</v>
      </c>
      <c r="L218" s="7">
        <f t="shared" si="36"/>
        <v>0.5</v>
      </c>
      <c r="N218" s="5">
        <f>(Parameters!$B$19*(E218+Parameters!$B$20)^L218+Parameters!$B$18*F218^L218)^(1/L218)</f>
        <v>0.54952840014909554</v>
      </c>
      <c r="O218" s="5">
        <f>(Parameters!$B$10*G218^Parameters!$B$9 + Parameters!$B$11*N218^Parameters!$B$9) ^ (Parameters!$B$7/Parameters!$B$9) * K218</f>
        <v>1.5019529512019907</v>
      </c>
      <c r="P218" s="5">
        <f t="shared" si="31"/>
        <v>1.1452622340666132</v>
      </c>
      <c r="Q218" s="5">
        <f>EXP(-Parameters!$B$56*A218)</f>
        <v>3.9502157038359118E-2</v>
      </c>
      <c r="R218" s="5">
        <f>IF(P218&gt;0,P218^(1-Parameters!$B$53)/(1-Parameters!$B$53)*Q218,-10+P218*1000)</f>
        <v>-0.10763066855069199</v>
      </c>
      <c r="S218" s="5"/>
    </row>
    <row r="219" spans="1:19" x14ac:dyDescent="0.35">
      <c r="A219">
        <f>A218+Parameters!$B$71</f>
        <v>215</v>
      </c>
      <c r="B219" s="7">
        <f t="shared" si="33"/>
        <v>5.3289702319887791E-2</v>
      </c>
      <c r="C219" s="7">
        <f t="shared" si="34"/>
        <v>1.0277954020588648E-2</v>
      </c>
      <c r="D219" s="5">
        <f t="shared" si="35"/>
        <v>0.29312306079490108</v>
      </c>
      <c r="E219" s="5">
        <f>MAX((1-Parameters!$B$4)^Parameters!B$71*E218+B218*Parameters!B$71-Parameters!$B$5*B218^2/E218*Parameters!B$71,0.0001)</f>
        <v>0.79006909226706545</v>
      </c>
      <c r="F219" s="7">
        <f>MAX((1-Parameters!$B$4)^Parameters!B$71*F218+C218*Parameters!B$71-Parameters!$B$5*C218^2/F218*Parameters!B$71,0.0001)</f>
        <v>0.15238018179363425</v>
      </c>
      <c r="G219" s="5">
        <f>MAX((1-Parameters!$B$4)^Parameters!B$71*G218+D218*Parameters!B$71-Parameters!$B$5*D218^2/G218*Parameters!B$71,0.0001)</f>
        <v>4.3458203061147689</v>
      </c>
      <c r="I219" s="5">
        <f>I218*(1+Parameters!$B$52)^Parameters!B$71</f>
        <v>15.208307704681358</v>
      </c>
      <c r="J219" s="5">
        <f>J218*(1+Parameters!$B$54)^Parameters!B$71</f>
        <v>639.45454267929176</v>
      </c>
      <c r="K219" s="5">
        <f>'6states'!$N$4</f>
        <v>0.98104277196026479</v>
      </c>
      <c r="L219" s="7">
        <f t="shared" si="36"/>
        <v>0.5</v>
      </c>
      <c r="N219" s="5">
        <f>(Parameters!$B$19*(E219+Parameters!$B$20)^L219+Parameters!$B$18*F219^L219)^(1/L219)</f>
        <v>0.54952839738565062</v>
      </c>
      <c r="O219" s="5">
        <f>(Parameters!$B$10*G219^Parameters!$B$9 + Parameters!$B$11*N219^Parameters!$B$9) ^ (Parameters!$B$7/Parameters!$B$9) * K219</f>
        <v>1.5019529492579509</v>
      </c>
      <c r="P219" s="5">
        <f t="shared" si="31"/>
        <v>1.1452622321225734</v>
      </c>
      <c r="Q219" s="5">
        <f>EXP(-Parameters!$B$56*A219)</f>
        <v>3.8910155328472619E-2</v>
      </c>
      <c r="R219" s="5">
        <f>IF(P219&gt;0,P219^(1-Parameters!$B$53)/(1-Parameters!$B$53)*Q219,-10+P219*1000)</f>
        <v>-0.10601765442419084</v>
      </c>
      <c r="S219" s="5"/>
    </row>
    <row r="220" spans="1:19" x14ac:dyDescent="0.35">
      <c r="A220">
        <f>A219+Parameters!$B$71</f>
        <v>216</v>
      </c>
      <c r="B220" s="7">
        <f t="shared" si="33"/>
        <v>5.3289702319887791E-2</v>
      </c>
      <c r="C220" s="7">
        <f t="shared" si="34"/>
        <v>1.0277954020588648E-2</v>
      </c>
      <c r="D220" s="5">
        <f t="shared" si="35"/>
        <v>0.29312306079490108</v>
      </c>
      <c r="E220" s="5">
        <f>MAX((1-Parameters!$B$4)^Parameters!B$71*E219+B219*Parameters!B$71-Parameters!$B$5*B219^2/E219*Parameters!B$71,0.0001)</f>
        <v>0.79006908915057839</v>
      </c>
      <c r="F220" s="7">
        <f>MAX((1-Parameters!$B$4)^Parameters!B$71*F219+C219*Parameters!B$71-Parameters!$B$5*C219^2/F219*Parameters!B$71,0.0001)</f>
        <v>0.15238018039999421</v>
      </c>
      <c r="G220" s="5">
        <f>MAX((1-Parameters!$B$4)^Parameters!B$71*G219+D219*Parameters!B$71-Parameters!$B$5*D219^2/G219*Parameters!B$71,0.0001)</f>
        <v>4.3458202890995796</v>
      </c>
      <c r="I220" s="5">
        <f>I219*(1+Parameters!$B$52)^Parameters!B$71</f>
        <v>15.252411797024932</v>
      </c>
      <c r="J220" s="5">
        <f>J219*(1+Parameters!$B$54)^Parameters!B$71</f>
        <v>652.24363353287765</v>
      </c>
      <c r="K220" s="5">
        <f>'6states'!$N$4</f>
        <v>0.98104277196026479</v>
      </c>
      <c r="L220" s="7">
        <f t="shared" si="36"/>
        <v>0.5</v>
      </c>
      <c r="N220" s="5">
        <f>(Parameters!$B$19*(E220+Parameters!$B$20)^L220+Parameters!$B$18*F220^L220)^(1/L220)</f>
        <v>0.5495283947834545</v>
      </c>
      <c r="O220" s="5">
        <f>(Parameters!$B$10*G220^Parameters!$B$9 + Parameters!$B$11*N220^Parameters!$B$9) ^ (Parameters!$B$7/Parameters!$B$9) * K220</f>
        <v>1.5019529474273472</v>
      </c>
      <c r="P220" s="5">
        <f t="shared" si="31"/>
        <v>1.1452622302919697</v>
      </c>
      <c r="Q220" s="5">
        <f>EXP(-Parameters!$B$56*A220)</f>
        <v>3.8327025691677424E-2</v>
      </c>
      <c r="R220" s="5">
        <f>IF(P220&gt;0,P220^(1-Parameters!$B$53)/(1-Parameters!$B$53)*Q220,-10+P220*1000)</f>
        <v>-0.10442881383686473</v>
      </c>
      <c r="S220" s="5"/>
    </row>
    <row r="221" spans="1:19" x14ac:dyDescent="0.35">
      <c r="A221">
        <f>A220+Parameters!$B$71</f>
        <v>217</v>
      </c>
      <c r="B221" s="7">
        <f t="shared" si="33"/>
        <v>5.3289702319887791E-2</v>
      </c>
      <c r="C221" s="7">
        <f t="shared" si="34"/>
        <v>1.0277954020588648E-2</v>
      </c>
      <c r="D221" s="5">
        <f t="shared" si="35"/>
        <v>0.29312306079490108</v>
      </c>
      <c r="E221" s="5">
        <f>MAX((1-Parameters!$B$4)^Parameters!B$71*E220+B220*Parameters!B$71-Parameters!$B$5*B220^2/E220*Parameters!B$71,0.0001)</f>
        <v>0.79006908621594008</v>
      </c>
      <c r="F221" s="7">
        <f>MAX((1-Parameters!$B$4)^Parameters!B$71*F220+C220*Parameters!B$71-Parameters!$B$5*C220^2/F220*Parameters!B$71,0.0001)</f>
        <v>0.1523801790876739</v>
      </c>
      <c r="G221" s="5">
        <f>MAX((1-Parameters!$B$4)^Parameters!B$71*G220+D220*Parameters!B$71-Parameters!$B$5*D220^2/G220*Parameters!B$71,0.0001)</f>
        <v>4.3458202730772353</v>
      </c>
      <c r="I221" s="5">
        <f>I220*(1+Parameters!$B$52)^Parameters!B$71</f>
        <v>15.296643791236303</v>
      </c>
      <c r="J221" s="5">
        <f>J220*(1+Parameters!$B$54)^Parameters!B$71</f>
        <v>665.28850620353523</v>
      </c>
      <c r="K221" s="5">
        <f>'6states'!$N$4</f>
        <v>0.98104277196026479</v>
      </c>
      <c r="L221" s="7">
        <f t="shared" si="36"/>
        <v>0.5</v>
      </c>
      <c r="N221" s="5">
        <f>(Parameters!$B$19*(E221+Parameters!$B$20)^L221+Parameters!$B$18*F221^L221)^(1/L221)</f>
        <v>0.54952839233309814</v>
      </c>
      <c r="O221" s="5">
        <f>(Parameters!$B$10*G221^Parameters!$B$9 + Parameters!$B$11*N221^Parameters!$B$9) ^ (Parameters!$B$7/Parameters!$B$9) * K221</f>
        <v>1.5019529457035603</v>
      </c>
      <c r="P221" s="5">
        <f t="shared" si="31"/>
        <v>1.1452622285681828</v>
      </c>
      <c r="Q221" s="5">
        <f>EXP(-Parameters!$B$56*A221)</f>
        <v>3.7752635166058694E-2</v>
      </c>
      <c r="R221" s="5">
        <f>IF(P221&gt;0,P221^(1-Parameters!$B$53)/(1-Parameters!$B$53)*Q221,-10+P221*1000)</f>
        <v>-0.10286378451068802</v>
      </c>
      <c r="S221" s="5"/>
    </row>
    <row r="222" spans="1:19" x14ac:dyDescent="0.35">
      <c r="A222">
        <f>A221+Parameters!$B$71</f>
        <v>218</v>
      </c>
      <c r="B222" s="7">
        <f t="shared" si="33"/>
        <v>5.3289702319887791E-2</v>
      </c>
      <c r="C222" s="7">
        <f t="shared" si="34"/>
        <v>1.0277954020588648E-2</v>
      </c>
      <c r="D222" s="5">
        <f t="shared" si="35"/>
        <v>0.29312306079490108</v>
      </c>
      <c r="E222" s="5">
        <f>MAX((1-Parameters!$B$4)^Parameters!B$71*E221+B221*Parameters!B$71-Parameters!$B$5*B221^2/E221*Parameters!B$71,0.0001)</f>
        <v>0.79006908345253957</v>
      </c>
      <c r="F222" s="7">
        <f>MAX((1-Parameters!$B$4)^Parameters!B$71*F221+C221*Parameters!B$71-Parameters!$B$5*C221^2/F221*Parameters!B$71,0.0001)</f>
        <v>0.15238017785192823</v>
      </c>
      <c r="G222" s="5">
        <f>MAX((1-Parameters!$B$4)^Parameters!B$71*G221+D221*Parameters!B$71-Parameters!$B$5*D221^2/G221*Parameters!B$71,0.0001)</f>
        <v>4.3458202579898044</v>
      </c>
      <c r="I222" s="5">
        <f>I221*(1+Parameters!$B$52)^Parameters!B$71</f>
        <v>15.341004058230887</v>
      </c>
      <c r="J222" s="5">
        <f>J221*(1+Parameters!$B$54)^Parameters!B$71</f>
        <v>678.59427632760594</v>
      </c>
      <c r="K222" s="5">
        <f>'6states'!$N$4</f>
        <v>0.98104277196026479</v>
      </c>
      <c r="L222" s="7">
        <f t="shared" si="36"/>
        <v>0.5</v>
      </c>
      <c r="N222" s="5">
        <f>(Parameters!$B$19*(E222+Parameters!$B$20)^L222+Parameters!$B$18*F222^L222)^(1/L222)</f>
        <v>0.54952839002572129</v>
      </c>
      <c r="O222" s="5">
        <f>(Parameters!$B$10*G222^Parameters!$B$9 + Parameters!$B$11*N222^Parameters!$B$9) ^ (Parameters!$B$7/Parameters!$B$9) * K222</f>
        <v>1.5019529440803572</v>
      </c>
      <c r="P222" s="5">
        <f t="shared" si="31"/>
        <v>1.1452622269449797</v>
      </c>
      <c r="Q222" s="5">
        <f>EXP(-Parameters!$B$56*A222)</f>
        <v>3.7186852782344175E-2</v>
      </c>
      <c r="R222" s="5">
        <f>IF(P222&gt;0,P222^(1-Parameters!$B$53)/(1-Parameters!$B$53)*Q222,-10+P222*1000)</f>
        <v>-0.10132220959691486</v>
      </c>
      <c r="S222" s="5"/>
    </row>
    <row r="223" spans="1:19" x14ac:dyDescent="0.35">
      <c r="A223">
        <f>A222+Parameters!$B$71</f>
        <v>219</v>
      </c>
      <c r="B223" s="7">
        <f t="shared" si="33"/>
        <v>5.3289702319887791E-2</v>
      </c>
      <c r="C223" s="7">
        <f t="shared" si="34"/>
        <v>1.0277954020588648E-2</v>
      </c>
      <c r="D223" s="5">
        <f t="shared" si="35"/>
        <v>0.29312306079490108</v>
      </c>
      <c r="E223" s="5">
        <f>MAX((1-Parameters!$B$4)^Parameters!B$71*E222+B222*Parameters!B$71-Parameters!$B$5*B222^2/E222*Parameters!B$71,0.0001)</f>
        <v>0.79006908085038507</v>
      </c>
      <c r="F223" s="7">
        <f>MAX((1-Parameters!$B$4)^Parameters!B$71*F222+C222*Parameters!B$71-Parameters!$B$5*C222^2/F222*Parameters!B$71,0.0001)</f>
        <v>0.15238017668828902</v>
      </c>
      <c r="G223" s="5">
        <f>MAX((1-Parameters!$B$4)^Parameters!B$71*G222+D222*Parameters!B$71-Parameters!$B$5*D222^2/G222*Parameters!B$71,0.0001)</f>
        <v>4.3458202437827342</v>
      </c>
      <c r="I223" s="5">
        <f>I222*(1+Parameters!$B$52)^Parameters!B$71</f>
        <v>15.385492969999754</v>
      </c>
      <c r="J223" s="5">
        <f>J222*(1+Parameters!$B$54)^Parameters!B$71</f>
        <v>692.16616185415808</v>
      </c>
      <c r="K223" s="5">
        <f>'6states'!$N$4</f>
        <v>0.98104277196026479</v>
      </c>
      <c r="L223" s="7">
        <f t="shared" si="36"/>
        <v>0.5</v>
      </c>
      <c r="N223" s="5">
        <f>(Parameters!$B$19*(E223+Parameters!$B$20)^L223+Parameters!$B$18*F223^L223)^(1/L223)</f>
        <v>0.5495283878529813</v>
      </c>
      <c r="O223" s="5">
        <f>(Parameters!$B$10*G223^Parameters!$B$9 + Parameters!$B$11*N223^Parameters!$B$9) ^ (Parameters!$B$7/Parameters!$B$9) * K223</f>
        <v>1.5019529425518687</v>
      </c>
      <c r="P223" s="5">
        <f t="shared" si="31"/>
        <v>1.1452622254164913</v>
      </c>
      <c r="Q223" s="5">
        <f>EXP(-Parameters!$B$56*A223)</f>
        <v>3.662954953404135E-2</v>
      </c>
      <c r="R223" s="5">
        <f>IF(P223&gt;0,P223^(1-Parameters!$B$53)/(1-Parameters!$B$53)*Q223,-10+P223*1000)</f>
        <v>-9.980373759471467E-2</v>
      </c>
      <c r="S223" s="5"/>
    </row>
    <row r="224" spans="1:19" x14ac:dyDescent="0.35">
      <c r="A224">
        <f>A223+Parameters!$B$71</f>
        <v>220</v>
      </c>
      <c r="B224" s="7">
        <f t="shared" si="33"/>
        <v>5.3289702319887791E-2</v>
      </c>
      <c r="C224" s="7">
        <f t="shared" si="34"/>
        <v>1.0277954020588648E-2</v>
      </c>
      <c r="D224" s="5">
        <f t="shared" si="35"/>
        <v>0.29312306079490108</v>
      </c>
      <c r="E224" s="5">
        <f>MAX((1-Parameters!$B$4)^Parameters!B$71*E223+B223*Parameters!B$71-Parameters!$B$5*B223^2/E223*Parameters!B$71,0.0001)</f>
        <v>0.79006907840006779</v>
      </c>
      <c r="F224" s="7">
        <f>MAX((1-Parameters!$B$4)^Parameters!B$71*F223+C223*Parameters!B$71-Parameters!$B$5*C223^2/F223*Parameters!B$71,0.0001)</f>
        <v>0.15238017559254882</v>
      </c>
      <c r="G224" s="5">
        <f>MAX((1-Parameters!$B$4)^Parameters!B$71*G223+D223*Parameters!B$71-Parameters!$B$5*D223^2/G223*Parameters!B$71,0.0001)</f>
        <v>4.3458202304046551</v>
      </c>
      <c r="I224" s="5">
        <f>I223*(1+Parameters!$B$52)^Parameters!B$71</f>
        <v>15.430110899612751</v>
      </c>
      <c r="J224" s="5">
        <f>J223*(1+Parameters!$B$54)^Parameters!B$71</f>
        <v>706.00948509124123</v>
      </c>
      <c r="K224" s="5">
        <f>'6states'!$N$4</f>
        <v>0.98104277196026479</v>
      </c>
      <c r="L224" s="7">
        <f t="shared" si="36"/>
        <v>0.5</v>
      </c>
      <c r="N224" s="5">
        <f>(Parameters!$B$19*(E224+Parameters!$B$20)^L224+Parameters!$B$18*F224^L224)^(1/L224)</f>
        <v>0.54952838580702179</v>
      </c>
      <c r="O224" s="5">
        <f>(Parameters!$B$10*G224^Parameters!$B$9 + Parameters!$B$11*N224^Parameters!$B$9) ^ (Parameters!$B$7/Parameters!$B$9) * K224</f>
        <v>1.5019529411125689</v>
      </c>
      <c r="P224" s="5">
        <f t="shared" si="31"/>
        <v>1.1452622239771915</v>
      </c>
      <c r="Q224" s="5">
        <f>EXP(-Parameters!$B$56*A224)</f>
        <v>3.608059834802213E-2</v>
      </c>
      <c r="R224" s="5">
        <f>IF(P224&gt;0,P224^(1-Parameters!$B$53)/(1-Parameters!$B$53)*Q224,-10+P224*1000)</f>
        <v>-9.830802227102696E-2</v>
      </c>
      <c r="S224" s="5"/>
    </row>
    <row r="225" spans="1:19" x14ac:dyDescent="0.35">
      <c r="A225">
        <f>A224+Parameters!$B$71</f>
        <v>221</v>
      </c>
      <c r="B225" s="7">
        <f t="shared" si="33"/>
        <v>5.3289702319887791E-2</v>
      </c>
      <c r="C225" s="7">
        <f t="shared" si="34"/>
        <v>1.0277954020588648E-2</v>
      </c>
      <c r="D225" s="5">
        <f t="shared" si="35"/>
        <v>0.29312306079490108</v>
      </c>
      <c r="E225" s="5">
        <f>MAX((1-Parameters!$B$4)^Parameters!B$71*E224+B224*Parameters!B$71-Parameters!$B$5*B224^2/E224*Parameters!B$71,0.0001)</f>
        <v>0.79006907609272803</v>
      </c>
      <c r="F225" s="7">
        <f>MAX((1-Parameters!$B$4)^Parameters!B$71*F224+C224*Parameters!B$71-Parameters!$B$5*C224^2/F224*Parameters!B$71,0.0001)</f>
        <v>0.15238017456074571</v>
      </c>
      <c r="G225" s="5">
        <f>MAX((1-Parameters!$B$4)^Parameters!B$71*G224+D224*Parameters!B$71-Parameters!$B$5*D224^2/G224*Parameters!B$71,0.0001)</f>
        <v>4.3458202178071934</v>
      </c>
      <c r="I225" s="5">
        <f>I224*(1+Parameters!$B$52)^Parameters!B$71</f>
        <v>15.474858221221627</v>
      </c>
      <c r="J225" s="5">
        <f>J224*(1+Parameters!$B$54)^Parameters!B$71</f>
        <v>720.1296747930661</v>
      </c>
      <c r="K225" s="5">
        <f>'6states'!$N$4</f>
        <v>0.98104277196026479</v>
      </c>
      <c r="L225" s="7">
        <f t="shared" si="36"/>
        <v>0.5</v>
      </c>
      <c r="N225" s="5">
        <f>(Parameters!$B$19*(E225+Parameters!$B$20)^L225+Parameters!$B$18*F225^L225)^(1/L225)</f>
        <v>0.54952838388044534</v>
      </c>
      <c r="O225" s="5">
        <f>(Parameters!$B$10*G225^Parameters!$B$9 + Parameters!$B$11*N225^Parameters!$B$9) ^ (Parameters!$B$7/Parameters!$B$9) * K225</f>
        <v>1.5019529397572526</v>
      </c>
      <c r="P225" s="5">
        <f t="shared" si="31"/>
        <v>1.1452622226218752</v>
      </c>
      <c r="Q225" s="5">
        <f>EXP(-Parameters!$B$56*A225)</f>
        <v>3.5539874055548294E-2</v>
      </c>
      <c r="R225" s="5">
        <f>IF(P225&gt;0,P225^(1-Parameters!$B$53)/(1-Parameters!$B$53)*Q225,-10+P225*1000)</f>
        <v>-9.6834722581616905E-2</v>
      </c>
      <c r="S225" s="5"/>
    </row>
    <row r="226" spans="1:19" x14ac:dyDescent="0.35">
      <c r="A226">
        <f>A225+Parameters!$B$71</f>
        <v>222</v>
      </c>
      <c r="B226" s="7">
        <f t="shared" si="33"/>
        <v>5.3289702319887791E-2</v>
      </c>
      <c r="C226" s="7">
        <f t="shared" si="34"/>
        <v>1.0277954020588648E-2</v>
      </c>
      <c r="D226" s="5">
        <f t="shared" si="35"/>
        <v>0.29312306079490108</v>
      </c>
      <c r="E226" s="5">
        <f>MAX((1-Parameters!$B$4)^Parameters!B$71*E225+B225*Parameters!B$71-Parameters!$B$5*B225^2/E225*Parameters!B$71,0.0001)</f>
        <v>0.7900690739200229</v>
      </c>
      <c r="F226" s="7">
        <f>MAX((1-Parameters!$B$4)^Parameters!B$71*F225+C225*Parameters!B$71-Parameters!$B$5*C225^2/F225*Parameters!B$71,0.0001)</f>
        <v>0.1523801735891489</v>
      </c>
      <c r="G226" s="5">
        <f>MAX((1-Parameters!$B$4)^Parameters!B$71*G225+D225*Parameters!B$71-Parameters!$B$5*D225^2/G225*Parameters!B$71,0.0001)</f>
        <v>4.3458202059448015</v>
      </c>
      <c r="I226" s="5">
        <f>I225*(1+Parameters!$B$52)^Parameters!B$71</f>
        <v>15.519735310063169</v>
      </c>
      <c r="J226" s="5">
        <f>J225*(1+Parameters!$B$54)^Parameters!B$71</f>
        <v>734.53226828892741</v>
      </c>
      <c r="K226" s="5">
        <f>'6states'!$N$4</f>
        <v>0.98104277196026479</v>
      </c>
      <c r="L226" s="7">
        <f t="shared" si="36"/>
        <v>0.5</v>
      </c>
      <c r="N226" s="5">
        <f>(Parameters!$B$19*(E226+Parameters!$B$20)^L226+Parameters!$B$18*F226^L226)^(1/L226)</f>
        <v>0.54952838206628574</v>
      </c>
      <c r="O226" s="5">
        <f>(Parameters!$B$10*G226^Parameters!$B$9 + Parameters!$B$11*N226^Parameters!$B$9) ^ (Parameters!$B$7/Parameters!$B$9) * K226</f>
        <v>1.50195293848102</v>
      </c>
      <c r="P226" s="5">
        <f t="shared" si="31"/>
        <v>1.1452622213456425</v>
      </c>
      <c r="Q226" s="5">
        <f>EXP(-Parameters!$B$56*A226)</f>
        <v>3.5007253363731262E-2</v>
      </c>
      <c r="R226" s="5">
        <f>IF(P226&gt;0,P226^(1-Parameters!$B$53)/(1-Parameters!$B$53)*Q226,-10+P226*1000)</f>
        <v>-9.5383502593314087E-2</v>
      </c>
      <c r="S226" s="5"/>
    </row>
    <row r="227" spans="1:19" x14ac:dyDescent="0.35">
      <c r="A227">
        <f>A226+Parameters!$B$71</f>
        <v>223</v>
      </c>
      <c r="B227" s="7">
        <f t="shared" si="33"/>
        <v>5.3289702319887791E-2</v>
      </c>
      <c r="C227" s="7">
        <f t="shared" si="34"/>
        <v>1.0277954020588648E-2</v>
      </c>
      <c r="D227" s="5">
        <f t="shared" si="35"/>
        <v>0.29312306079490108</v>
      </c>
      <c r="E227" s="5">
        <f>MAX((1-Parameters!$B$4)^Parameters!B$71*E226+B226*Parameters!B$71-Parameters!$B$5*B226^2/E226*Parameters!B$71,0.0001)</f>
        <v>0.79006907187409625</v>
      </c>
      <c r="F227" s="7">
        <f>MAX((1-Parameters!$B$4)^Parameters!B$71*F226+C226*Parameters!B$71-Parameters!$B$5*C226^2/F226*Parameters!B$71,0.0001)</f>
        <v>0.15238017267424533</v>
      </c>
      <c r="G227" s="5">
        <f>MAX((1-Parameters!$B$4)^Parameters!B$71*G226+D226*Parameters!B$71-Parameters!$B$5*D226^2/G226*Parameters!B$71,0.0001)</f>
        <v>4.3458201947745865</v>
      </c>
      <c r="I227" s="5">
        <f>I226*(1+Parameters!$B$52)^Parameters!B$71</f>
        <v>15.56474254246235</v>
      </c>
      <c r="J227" s="5">
        <f>J226*(1+Parameters!$B$54)^Parameters!B$71</f>
        <v>749.22291365470596</v>
      </c>
      <c r="K227" s="5">
        <f>'6states'!$N$4</f>
        <v>0.98104277196026479</v>
      </c>
      <c r="L227" s="7">
        <f t="shared" si="36"/>
        <v>0.5</v>
      </c>
      <c r="N227" s="5">
        <f>(Parameters!$B$19*(E227+Parameters!$B$20)^L227+Parameters!$B$18*F227^L227)^(1/L227)</f>
        <v>0.54952838035798335</v>
      </c>
      <c r="O227" s="5">
        <f>(Parameters!$B$10*G227^Parameters!$B$9 + Parameters!$B$11*N227^Parameters!$B$9) ^ (Parameters!$B$7/Parameters!$B$9) * K227</f>
        <v>1.5019529372792562</v>
      </c>
      <c r="P227" s="5">
        <f t="shared" si="31"/>
        <v>1.1452622201438787</v>
      </c>
      <c r="Q227" s="5">
        <f>EXP(-Parameters!$B$56*A227)</f>
        <v>3.4482614827419586E-2</v>
      </c>
      <c r="R227" s="5">
        <f>IF(P227&gt;0,P227^(1-Parameters!$B$53)/(1-Parameters!$B$53)*Q227,-10+P227*1000)</f>
        <v>-9.3954031407416524E-2</v>
      </c>
      <c r="S227" s="5"/>
    </row>
    <row r="228" spans="1:19" x14ac:dyDescent="0.35">
      <c r="A228">
        <f>A227+Parameters!$B$71</f>
        <v>224</v>
      </c>
      <c r="B228" s="7">
        <f t="shared" si="33"/>
        <v>5.3289702319887791E-2</v>
      </c>
      <c r="C228" s="7">
        <f t="shared" si="34"/>
        <v>1.0277954020588648E-2</v>
      </c>
      <c r="D228" s="5">
        <f t="shared" si="35"/>
        <v>0.29312306079490108</v>
      </c>
      <c r="E228" s="5">
        <f>MAX((1-Parameters!$B$4)^Parameters!B$71*E227+B227*Parameters!B$71-Parameters!$B$5*B227^2/E227*Parameters!B$71,0.0001)</f>
        <v>0.79006906994755055</v>
      </c>
      <c r="F228" s="7">
        <f>MAX((1-Parameters!$B$4)^Parameters!B$71*F227+C227*Parameters!B$71-Parameters!$B$5*C227^2/F227*Parameters!B$71,0.0001)</f>
        <v>0.15238017181272692</v>
      </c>
      <c r="G228" s="5">
        <f>MAX((1-Parameters!$B$4)^Parameters!B$71*G227+D227*Parameters!B$71-Parameters!$B$5*D227^2/G227*Parameters!B$71,0.0001)</f>
        <v>4.3458201842561603</v>
      </c>
      <c r="I228" s="5">
        <f>I227*(1+Parameters!$B$52)^Parameters!B$71</f>
        <v>15.609880295835488</v>
      </c>
      <c r="J228" s="5">
        <f>J227*(1+Parameters!$B$54)^Parameters!B$71</f>
        <v>764.20737192780007</v>
      </c>
      <c r="K228" s="5">
        <f>'6states'!$N$4</f>
        <v>0.98104277196026479</v>
      </c>
      <c r="L228" s="7">
        <f t="shared" si="36"/>
        <v>0.5</v>
      </c>
      <c r="N228" s="5">
        <f>(Parameters!$B$19*(E228+Parameters!$B$20)^L228+Parameters!$B$18*F228^L228)^(1/L228)</f>
        <v>0.54952837874936145</v>
      </c>
      <c r="O228" s="5">
        <f>(Parameters!$B$10*G228^Parameters!$B$9 + Parameters!$B$11*N228^Parameters!$B$9) ^ (Parameters!$B$7/Parameters!$B$9) * K228</f>
        <v>1.5019529361476163</v>
      </c>
      <c r="P228" s="5">
        <f t="shared" si="31"/>
        <v>1.1452622190122388</v>
      </c>
      <c r="Q228" s="5">
        <f>EXP(-Parameters!$B$56*A228)</f>
        <v>3.3965838821507631E-2</v>
      </c>
      <c r="R228" s="5">
        <f>IF(P228&gt;0,P228^(1-Parameters!$B$53)/(1-Parameters!$B$53)*Q228,-10+P228*1000)</f>
        <v>-9.2545983084242403E-2</v>
      </c>
      <c r="S228" s="5"/>
    </row>
    <row r="229" spans="1:19" x14ac:dyDescent="0.35">
      <c r="A229">
        <f>A228+Parameters!$B$71</f>
        <v>225</v>
      </c>
      <c r="B229" s="7">
        <f t="shared" si="33"/>
        <v>5.3289702319887791E-2</v>
      </c>
      <c r="C229" s="7">
        <f t="shared" si="34"/>
        <v>1.0277954020588648E-2</v>
      </c>
      <c r="D229" s="5">
        <f t="shared" si="35"/>
        <v>0.29312306079490108</v>
      </c>
      <c r="E229" s="5">
        <f>MAX((1-Parameters!$B$4)^Parameters!B$71*E228+B228*Parameters!B$71-Parameters!$B$5*B228^2/E228*Parameters!B$71,0.0001)</f>
        <v>0.79006906813341993</v>
      </c>
      <c r="F229" s="7">
        <f>MAX((1-Parameters!$B$4)^Parameters!B$71*F228+C228*Parameters!B$71-Parameters!$B$5*C228^2/F228*Parameters!B$71,0.0001)</f>
        <v>0.15238017100147858</v>
      </c>
      <c r="G229" s="5">
        <f>MAX((1-Parameters!$B$4)^Parameters!B$71*G228+D228*Parameters!B$71-Parameters!$B$5*D228^2/G228*Parameters!B$71,0.0001)</f>
        <v>4.3458201743514904</v>
      </c>
      <c r="I229" s="5">
        <f>I228*(1+Parameters!$B$52)^Parameters!B$71</f>
        <v>15.655148948693409</v>
      </c>
      <c r="J229" s="5">
        <f>J228*(1+Parameters!$B$54)^Parameters!B$71</f>
        <v>779.4915193663561</v>
      </c>
      <c r="K229" s="5">
        <f>'6states'!$N$4</f>
        <v>0.98104277196026479</v>
      </c>
      <c r="L229" s="7">
        <f t="shared" si="36"/>
        <v>0.5</v>
      </c>
      <c r="N229" s="5">
        <f>(Parameters!$B$19*(E229+Parameters!$B$20)^L229+Parameters!$B$18*F229^L229)^(1/L229)</f>
        <v>0.54952837723460357</v>
      </c>
      <c r="O229" s="5">
        <f>(Parameters!$B$10*G229^Parameters!$B$9 + Parameters!$B$11*N229^Parameters!$B$9) ^ (Parameters!$B$7/Parameters!$B$9) * K229</f>
        <v>1.501952935082008</v>
      </c>
      <c r="P229" s="5">
        <f t="shared" si="31"/>
        <v>1.1452622179466305</v>
      </c>
      <c r="Q229" s="5">
        <f>EXP(-Parameters!$B$56*A229)</f>
        <v>3.3456807513659412E-2</v>
      </c>
      <c r="R229" s="5">
        <f>IF(P229&gt;0,P229^(1-Parameters!$B$53)/(1-Parameters!$B$53)*Q229,-10+P229*1000)</f>
        <v>-9.1159036568812621E-2</v>
      </c>
      <c r="S229" s="5"/>
    </row>
    <row r="230" spans="1:19" x14ac:dyDescent="0.35">
      <c r="A230">
        <f>A229+Parameters!$B$71</f>
        <v>226</v>
      </c>
      <c r="B230" s="7">
        <f t="shared" si="33"/>
        <v>5.3289702319887791E-2</v>
      </c>
      <c r="C230" s="7">
        <f t="shared" si="34"/>
        <v>1.0277954020588648E-2</v>
      </c>
      <c r="D230" s="5">
        <f t="shared" si="35"/>
        <v>0.29312306079490108</v>
      </c>
      <c r="E230" s="5">
        <f>MAX((1-Parameters!$B$4)^Parameters!B$71*E229+B229*Parameters!B$71-Parameters!$B$5*B229^2/E229*Parameters!B$71,0.0001)</f>
        <v>0.79006906642514496</v>
      </c>
      <c r="F230" s="7">
        <f>MAX((1-Parameters!$B$4)^Parameters!B$71*F229+C229*Parameters!B$71-Parameters!$B$5*C229^2/F229*Parameters!B$71,0.0001)</f>
        <v>0.15238017023756706</v>
      </c>
      <c r="G230" s="5">
        <f>MAX((1-Parameters!$B$4)^Parameters!B$71*G229+D229*Parameters!B$71-Parameters!$B$5*D229^2/G229*Parameters!B$71,0.0001)</f>
        <v>4.3458201650247634</v>
      </c>
      <c r="I230" s="5">
        <f>I229*(1+Parameters!$B$52)^Parameters!B$71</f>
        <v>15.700548880644618</v>
      </c>
      <c r="J230" s="5">
        <f>J229*(1+Parameters!$B$54)^Parameters!B$71</f>
        <v>795.08134975368318</v>
      </c>
      <c r="K230" s="5">
        <f>'6states'!$N$4</f>
        <v>0.98104277196026479</v>
      </c>
      <c r="L230" s="7">
        <f t="shared" si="36"/>
        <v>0.5</v>
      </c>
      <c r="N230" s="5">
        <f>(Parameters!$B$19*(E230+Parameters!$B$20)^L230+Parameters!$B$18*F230^L230)^(1/L230)</f>
        <v>0.54952837580823244</v>
      </c>
      <c r="O230" s="5">
        <f>(Parameters!$B$10*G230^Parameters!$B$9 + Parameters!$B$11*N230^Parameters!$B$9) ^ (Parameters!$B$7/Parameters!$B$9) * K230</f>
        <v>1.5019529340785784</v>
      </c>
      <c r="P230" s="5">
        <f t="shared" si="31"/>
        <v>1.145262216943201</v>
      </c>
      <c r="Q230" s="5">
        <f>EXP(-Parameters!$B$56*A230)</f>
        <v>3.2955404837441082E-2</v>
      </c>
      <c r="R230" s="5">
        <f>IF(P230&gt;0,P230^(1-Parameters!$B$53)/(1-Parameters!$B$53)*Q230,-10+P230*1000)</f>
        <v>-8.9792875617646581E-2</v>
      </c>
      <c r="S230" s="5"/>
    </row>
    <row r="231" spans="1:19" x14ac:dyDescent="0.35">
      <c r="A231">
        <f>A230+Parameters!$B$71</f>
        <v>227</v>
      </c>
      <c r="B231" s="7">
        <f t="shared" si="33"/>
        <v>5.3289702319887791E-2</v>
      </c>
      <c r="C231" s="7">
        <f t="shared" si="34"/>
        <v>1.0277954020588648E-2</v>
      </c>
      <c r="D231" s="5">
        <f t="shared" si="35"/>
        <v>0.29312306079490108</v>
      </c>
      <c r="E231" s="5">
        <f>MAX((1-Parameters!$B$4)^Parameters!B$71*E230+B230*Parameters!B$71-Parameters!$B$5*B230^2/E230*Parameters!B$71,0.0001)</f>
        <v>0.79006906481654882</v>
      </c>
      <c r="F231" s="7">
        <f>MAX((1-Parameters!$B$4)^Parameters!B$71*F230+C230*Parameters!B$71-Parameters!$B$5*C230^2/F230*Parameters!B$71,0.0001)</f>
        <v>0.15238016951823022</v>
      </c>
      <c r="G231" s="5">
        <f>MAX((1-Parameters!$B$4)^Parameters!B$71*G230+D230*Parameters!B$71-Parameters!$B$5*D230^2/G230*Parameters!B$71,0.0001)</f>
        <v>4.3458201562422571</v>
      </c>
      <c r="I231" s="5">
        <f>I230*(1+Parameters!$B$52)^Parameters!B$71</f>
        <v>15.746080472398486</v>
      </c>
      <c r="J231" s="5">
        <f>J230*(1+Parameters!$B$54)^Parameters!B$71</f>
        <v>810.98297674875687</v>
      </c>
      <c r="K231" s="5">
        <f>'6states'!$N$4</f>
        <v>0.98104277196026479</v>
      </c>
      <c r="L231" s="7">
        <f t="shared" si="36"/>
        <v>0.5</v>
      </c>
      <c r="N231" s="5">
        <f>(Parameters!$B$19*(E231+Parameters!$B$20)^L231+Parameters!$B$18*F231^L231)^(1/L231)</f>
        <v>0.54952837446509128</v>
      </c>
      <c r="O231" s="5">
        <f>(Parameters!$B$10*G231^Parameters!$B$9 + Parameters!$B$11*N231^Parameters!$B$9) ^ (Parameters!$B$7/Parameters!$B$9) * K231</f>
        <v>1.5019529331337</v>
      </c>
      <c r="P231" s="5">
        <f t="shared" si="31"/>
        <v>1.1452622159983226</v>
      </c>
      <c r="Q231" s="5">
        <f>EXP(-Parameters!$B$56*A231)</f>
        <v>3.2461516465856148E-2</v>
      </c>
      <c r="R231" s="5">
        <f>IF(P231&gt;0,P231^(1-Parameters!$B$53)/(1-Parameters!$B$53)*Q231,-10+P231*1000)</f>
        <v>-8.8447188726655662E-2</v>
      </c>
      <c r="S231" s="5"/>
    </row>
    <row r="232" spans="1:19" x14ac:dyDescent="0.35">
      <c r="A232">
        <f>A231+Parameters!$B$71</f>
        <v>228</v>
      </c>
      <c r="B232" s="7">
        <f t="shared" si="33"/>
        <v>5.3289702319887791E-2</v>
      </c>
      <c r="C232" s="7">
        <f t="shared" si="34"/>
        <v>1.0277954020588648E-2</v>
      </c>
      <c r="D232" s="5">
        <f t="shared" si="35"/>
        <v>0.29312306079490108</v>
      </c>
      <c r="E232" s="5">
        <f>MAX((1-Parameters!$B$4)^Parameters!B$71*E231+B231*Parameters!B$71-Parameters!$B$5*B231^2/E231*Parameters!B$71,0.0001)</f>
        <v>0.79006906330181514</v>
      </c>
      <c r="F232" s="7">
        <f>MAX((1-Parameters!$B$4)^Parameters!B$71*F231+C231*Parameters!B$71-Parameters!$B$5*C231^2/F231*Parameters!B$71,0.0001)</f>
        <v>0.15238016884086711</v>
      </c>
      <c r="G232" s="5">
        <f>MAX((1-Parameters!$B$4)^Parameters!B$71*G231+D231*Parameters!B$71-Parameters!$B$5*D231^2/G231*Parameters!B$71,0.0001)</f>
        <v>4.3458201479722147</v>
      </c>
      <c r="I232" s="5">
        <f>I231*(1+Parameters!$B$52)^Parameters!B$71</f>
        <v>15.791744105768441</v>
      </c>
      <c r="J232" s="5">
        <f>J231*(1+Parameters!$B$54)^Parameters!B$71</f>
        <v>827.20263628373198</v>
      </c>
      <c r="K232" s="5">
        <f>'6states'!$N$4</f>
        <v>0.98104277196026479</v>
      </c>
      <c r="L232" s="7">
        <f t="shared" si="36"/>
        <v>0.5</v>
      </c>
      <c r="N232" s="5">
        <f>(Parameters!$B$19*(E232+Parameters!$B$20)^L232+Parameters!$B$18*F232^L232)^(1/L232)</f>
        <v>0.54952837320032288</v>
      </c>
      <c r="O232" s="5">
        <f>(Parameters!$B$10*G232^Parameters!$B$9 + Parameters!$B$11*N232^Parameters!$B$9) ^ (Parameters!$B$7/Parameters!$B$9) * K232</f>
        <v>1.5019529322439553</v>
      </c>
      <c r="P232" s="5">
        <f t="shared" si="31"/>
        <v>1.1452622151085778</v>
      </c>
      <c r="Q232" s="5">
        <f>EXP(-Parameters!$B$56*A232)</f>
        <v>3.1975029785277304E-2</v>
      </c>
      <c r="R232" s="5">
        <f>IF(P232&gt;0,P232^(1-Parameters!$B$53)/(1-Parameters!$B$53)*Q232,-10+P232*1000)</f>
        <v>-8.7121669060116855E-2</v>
      </c>
      <c r="S232" s="5"/>
    </row>
    <row r="233" spans="1:19" x14ac:dyDescent="0.35">
      <c r="A233">
        <f>A232+Parameters!$B$71</f>
        <v>229</v>
      </c>
      <c r="B233" s="7">
        <f t="shared" si="33"/>
        <v>5.3289702319887791E-2</v>
      </c>
      <c r="C233" s="7">
        <f t="shared" si="34"/>
        <v>1.0277954020588648E-2</v>
      </c>
      <c r="D233" s="5">
        <f t="shared" si="35"/>
        <v>0.29312306079490108</v>
      </c>
      <c r="E233" s="5">
        <f>MAX((1-Parameters!$B$4)^Parameters!B$71*E232+B232*Parameters!B$71-Parameters!$B$5*B232^2/E232*Parameters!B$71,0.0001)</f>
        <v>0.79006906187546699</v>
      </c>
      <c r="F233" s="7">
        <f>MAX((1-Parameters!$B$4)^Parameters!B$71*F232+C232*Parameters!B$71-Parameters!$B$5*C232^2/F232*Parameters!B$71,0.0001)</f>
        <v>0.15238016820302852</v>
      </c>
      <c r="G233" s="5">
        <f>MAX((1-Parameters!$B$4)^Parameters!B$71*G232+D232*Parameters!B$71-Parameters!$B$5*D232^2/G232*Parameters!B$71,0.0001)</f>
        <v>4.3458201401847338</v>
      </c>
      <c r="I233" s="5">
        <f>I232*(1+Parameters!$B$52)^Parameters!B$71</f>
        <v>15.837540163675168</v>
      </c>
      <c r="J233" s="5">
        <f>J232*(1+Parameters!$B$54)^Parameters!B$71</f>
        <v>843.74668900940662</v>
      </c>
      <c r="K233" s="5">
        <f>'6states'!$N$4</f>
        <v>0.98104277196026479</v>
      </c>
      <c r="L233" s="7">
        <f t="shared" si="36"/>
        <v>0.5</v>
      </c>
      <c r="N233" s="5">
        <f>(Parameters!$B$19*(E233+Parameters!$B$20)^L233+Parameters!$B$18*F233^L233)^(1/L233)</f>
        <v>0.54952837200935434</v>
      </c>
      <c r="O233" s="5">
        <f>(Parameters!$B$10*G233^Parameters!$B$9 + Parameters!$B$11*N233^Parameters!$B$9) ^ (Parameters!$B$7/Parameters!$B$9) * K233</f>
        <v>1.5019529314061277</v>
      </c>
      <c r="P233" s="5">
        <f t="shared" si="31"/>
        <v>1.1452622142707503</v>
      </c>
      <c r="Q233" s="5">
        <f>EXP(-Parameters!$B$56*A233)</f>
        <v>3.1495833869768834E-2</v>
      </c>
      <c r="R233" s="5">
        <f>IF(P233&gt;0,P233^(1-Parameters!$B$53)/(1-Parameters!$B$53)*Q233,-10+P233*1000)</f>
        <v>-8.5816014380710431E-2</v>
      </c>
      <c r="S233" s="5"/>
    </row>
    <row r="234" spans="1:19" x14ac:dyDescent="0.35">
      <c r="A234">
        <f>A233+Parameters!$B$71</f>
        <v>230</v>
      </c>
      <c r="B234" s="7">
        <f t="shared" si="33"/>
        <v>5.3289702319887791E-2</v>
      </c>
      <c r="C234" s="7">
        <f t="shared" si="34"/>
        <v>1.0277954020588648E-2</v>
      </c>
      <c r="D234" s="5">
        <f t="shared" si="35"/>
        <v>0.29312306079490108</v>
      </c>
      <c r="E234" s="5">
        <f>MAX((1-Parameters!$B$4)^Parameters!B$71*E233+B233*Parameters!B$71-Parameters!$B$5*B233^2/E233*Parameters!B$71,0.0001)</f>
        <v>0.79006906053234716</v>
      </c>
      <c r="F234" s="7">
        <f>MAX((1-Parameters!$B$4)^Parameters!B$71*F233+C233*Parameters!B$71-Parameters!$B$5*C233^2/F233*Parameters!B$71,0.0001)</f>
        <v>0.15238016760240819</v>
      </c>
      <c r="G234" s="5">
        <f>MAX((1-Parameters!$B$4)^Parameters!B$71*G233+D233*Parameters!B$71-Parameters!$B$5*D233^2/G233*Parameters!B$71,0.0001)</f>
        <v>4.3458201328516566</v>
      </c>
      <c r="I234" s="5">
        <f>I233*(1+Parameters!$B$52)^Parameters!B$71</f>
        <v>15.883469030149826</v>
      </c>
      <c r="J234" s="5">
        <f>J233*(1+Parameters!$B$54)^Parameters!B$71</f>
        <v>860.62162278959477</v>
      </c>
      <c r="K234" s="5">
        <f>'6states'!$N$4</f>
        <v>0.98104277196026479</v>
      </c>
      <c r="L234" s="7">
        <f t="shared" si="36"/>
        <v>0.5</v>
      </c>
      <c r="N234" s="5">
        <f>(Parameters!$B$19*(E234+Parameters!$B$20)^L234+Parameters!$B$18*F234^L234)^(1/L234)</f>
        <v>0.54952837088787976</v>
      </c>
      <c r="O234" s="5">
        <f>(Parameters!$B$10*G234^Parameters!$B$9 + Parameters!$B$11*N234^Parameters!$B$9) ^ (Parameters!$B$7/Parameters!$B$9) * K234</f>
        <v>1.5019529306171882</v>
      </c>
      <c r="P234" s="5">
        <f t="shared" si="31"/>
        <v>1.1452622134818107</v>
      </c>
      <c r="Q234" s="5">
        <f>EXP(-Parameters!$B$56*A234)</f>
        <v>3.1023819455793956E-2</v>
      </c>
      <c r="R234" s="5">
        <f>IF(P234&gt;0,P234^(1-Parameters!$B$53)/(1-Parameters!$B$53)*Q234,-10+P234*1000)</f>
        <v>-8.4529926980606823E-2</v>
      </c>
      <c r="S234" s="5"/>
    </row>
    <row r="235" spans="1:19" x14ac:dyDescent="0.35">
      <c r="A235">
        <f>A234+Parameters!$B$71</f>
        <v>231</v>
      </c>
      <c r="B235" s="7">
        <f t="shared" si="33"/>
        <v>5.3289702319887791E-2</v>
      </c>
      <c r="C235" s="7">
        <f t="shared" si="34"/>
        <v>1.0277954020588648E-2</v>
      </c>
      <c r="D235" s="5">
        <f t="shared" si="35"/>
        <v>0.29312306079490108</v>
      </c>
      <c r="E235" s="5">
        <f>MAX((1-Parameters!$B$4)^Parameters!B$71*E234+B234*Parameters!B$71-Parameters!$B$5*B234^2/E234*Parameters!B$71,0.0001)</f>
        <v>0.79006905926759907</v>
      </c>
      <c r="F235" s="7">
        <f>MAX((1-Parameters!$B$4)^Parameters!B$71*F234+C234*Parameters!B$71-Parameters!$B$5*C234^2/F234*Parameters!B$71,0.0001)</f>
        <v>0.15238016703683438</v>
      </c>
      <c r="G235" s="5">
        <f>MAX((1-Parameters!$B$4)^Parameters!B$71*G234+D234*Parameters!B$71-Parameters!$B$5*D234^2/G234*Parameters!B$71,0.0001)</f>
        <v>4.345820125946469</v>
      </c>
      <c r="I235" s="5">
        <f>I234*(1+Parameters!$B$52)^Parameters!B$71</f>
        <v>15.929531090337258</v>
      </c>
      <c r="J235" s="5">
        <f>J234*(1+Parameters!$B$54)^Parameters!B$71</f>
        <v>877.83405524538671</v>
      </c>
      <c r="K235" s="5">
        <f>'6states'!$N$4</f>
        <v>0.98104277196026479</v>
      </c>
      <c r="L235" s="7">
        <f t="shared" si="36"/>
        <v>0.5</v>
      </c>
      <c r="N235" s="5">
        <f>(Parameters!$B$19*(E235+Parameters!$B$20)^L235+Parameters!$B$18*F235^L235)^(1/L235)</f>
        <v>0.54952836983184394</v>
      </c>
      <c r="O235" s="5">
        <f>(Parameters!$B$10*G235^Parameters!$B$9 + Parameters!$B$11*N235^Parameters!$B$9) ^ (Parameters!$B$7/Parameters!$B$9) * K235</f>
        <v>1.5019529298742835</v>
      </c>
      <c r="P235" s="5">
        <f t="shared" si="31"/>
        <v>1.145262212738906</v>
      </c>
      <c r="Q235" s="5">
        <f>EXP(-Parameters!$B$56*A235)</f>
        <v>3.0558878917301198E-2</v>
      </c>
      <c r="R235" s="5">
        <f>IF(P235&gt;0,P235^(1-Parameters!$B$53)/(1-Parameters!$B$53)*Q235,-10+P235*1000)</f>
        <v>-8.3263113613585724E-2</v>
      </c>
      <c r="S235" s="5"/>
    </row>
    <row r="236" spans="1:19" x14ac:dyDescent="0.35">
      <c r="A236">
        <f>A235+Parameters!$B$71</f>
        <v>232</v>
      </c>
      <c r="B236" s="7">
        <f t="shared" si="33"/>
        <v>5.3289702319887791E-2</v>
      </c>
      <c r="C236" s="7">
        <f t="shared" si="34"/>
        <v>1.0277954020588648E-2</v>
      </c>
      <c r="D236" s="5">
        <f t="shared" si="35"/>
        <v>0.29312306079490108</v>
      </c>
      <c r="E236" s="5">
        <f>MAX((1-Parameters!$B$4)^Parameters!B$71*E235+B235*Parameters!B$71-Parameters!$B$5*B235^2/E235*Parameters!B$71,0.0001)</f>
        <v>0.79006905807664984</v>
      </c>
      <c r="F236" s="7">
        <f>MAX((1-Parameters!$B$4)^Parameters!B$71*F235+C235*Parameters!B$71-Parameters!$B$5*C235^2/F235*Parameters!B$71,0.0001)</f>
        <v>0.15238016650426212</v>
      </c>
      <c r="G236" s="5">
        <f>MAX((1-Parameters!$B$4)^Parameters!B$71*G235+D235*Parameters!B$71-Parameters!$B$5*D235^2/G235*Parameters!B$71,0.0001)</f>
        <v>4.3458201194442028</v>
      </c>
      <c r="I236" s="5">
        <f>I235*(1+Parameters!$B$52)^Parameters!B$71</f>
        <v>15.975726730499234</v>
      </c>
      <c r="J236" s="5">
        <f>J235*(1+Parameters!$B$54)^Parameters!B$71</f>
        <v>895.39073635029445</v>
      </c>
      <c r="K236" s="5">
        <f>'6states'!$N$4</f>
        <v>0.98104277196026479</v>
      </c>
      <c r="L236" s="7">
        <f t="shared" si="36"/>
        <v>0.5</v>
      </c>
      <c r="N236" s="5">
        <f>(Parameters!$B$19*(E236+Parameters!$B$20)^L236+Parameters!$B$18*F236^L236)^(1/L236)</f>
        <v>0.54952836883742817</v>
      </c>
      <c r="O236" s="5">
        <f>(Parameters!$B$10*G236^Parameters!$B$9 + Parameters!$B$11*N236^Parameters!$B$9) ^ (Parameters!$B$7/Parameters!$B$9) * K236</f>
        <v>1.5019529291747276</v>
      </c>
      <c r="P236" s="5">
        <f t="shared" si="31"/>
        <v>1.1452622120393501</v>
      </c>
      <c r="Q236" s="5">
        <f>EXP(-Parameters!$B$56*A236)</f>
        <v>3.0100906241184062E-2</v>
      </c>
      <c r="R236" s="5">
        <f>IF(P236&gt;0,P236^(1-Parameters!$B$53)/(1-Parameters!$B$53)*Q236,-10+P236*1000)</f>
        <v>-8.2015285428172449E-2</v>
      </c>
      <c r="S236" s="5"/>
    </row>
    <row r="237" spans="1:19" x14ac:dyDescent="0.35">
      <c r="A237">
        <f>A236+Parameters!$B$71</f>
        <v>233</v>
      </c>
      <c r="B237" s="7">
        <f t="shared" ref="B237:B268" si="37">B236</f>
        <v>5.3289702319887791E-2</v>
      </c>
      <c r="C237" s="7">
        <f t="shared" ref="C237:C268" si="38">C236</f>
        <v>1.0277954020588648E-2</v>
      </c>
      <c r="D237" s="5">
        <f t="shared" ref="D237:D268" si="39">D236</f>
        <v>0.29312306079490108</v>
      </c>
      <c r="E237" s="5">
        <f>MAX((1-Parameters!$B$4)^Parameters!B$71*E236+B236*Parameters!B$71-Parameters!$B$5*B236^2/E236*Parameters!B$71,0.0001)</f>
        <v>0.79006905695519314</v>
      </c>
      <c r="F237" s="7">
        <f>MAX((1-Parameters!$B$4)^Parameters!B$71*F236+C236*Parameters!B$71-Parameters!$B$5*C236^2/F236*Parameters!B$71,0.0001)</f>
        <v>0.15238016600276577</v>
      </c>
      <c r="G237" s="5">
        <f>MAX((1-Parameters!$B$4)^Parameters!B$71*G236+D236*Parameters!B$71-Parameters!$B$5*D236^2/G236*Parameters!B$71,0.0001)</f>
        <v>4.3458201133213477</v>
      </c>
      <c r="I237" s="5">
        <f>I236*(1+Parameters!$B$52)^Parameters!B$71</f>
        <v>16.022056338017681</v>
      </c>
      <c r="J237" s="5">
        <f>J236*(1+Parameters!$B$54)^Parameters!B$71</f>
        <v>913.29855107730032</v>
      </c>
      <c r="K237" s="5">
        <f>'6states'!$N$4</f>
        <v>0.98104277196026479</v>
      </c>
      <c r="L237" s="7">
        <f t="shared" si="36"/>
        <v>0.5</v>
      </c>
      <c r="N237" s="5">
        <f>(Parameters!$B$19*(E237+Parameters!$B$20)^L237+Parameters!$B$18*F237^L237)^(1/L237)</f>
        <v>0.54952836790103732</v>
      </c>
      <c r="O237" s="5">
        <f>(Parameters!$B$10*G237^Parameters!$B$9 + Parameters!$B$11*N237^Parameters!$B$9) ^ (Parameters!$B$7/Parameters!$B$9) * K237</f>
        <v>1.5019529285159916</v>
      </c>
      <c r="P237" s="5">
        <f t="shared" si="31"/>
        <v>1.1452622113806141</v>
      </c>
      <c r="Q237" s="5">
        <f>EXP(-Parameters!$B$56*A237)</f>
        <v>2.9649797003108529E-2</v>
      </c>
      <c r="R237" s="5">
        <f>IF(P237&gt;0,P237^(1-Parameters!$B$53)/(1-Parameters!$B$53)*Q237,-10+P237*1000)</f>
        <v>-8.0786157901776359E-2</v>
      </c>
      <c r="S237" s="5"/>
    </row>
    <row r="238" spans="1:19" x14ac:dyDescent="0.35">
      <c r="A238">
        <f>A237+Parameters!$B$71</f>
        <v>234</v>
      </c>
      <c r="B238" s="7">
        <f t="shared" si="37"/>
        <v>5.3289702319887791E-2</v>
      </c>
      <c r="C238" s="7">
        <f t="shared" si="38"/>
        <v>1.0277954020588648E-2</v>
      </c>
      <c r="D238" s="5">
        <f t="shared" si="39"/>
        <v>0.29312306079490108</v>
      </c>
      <c r="E238" s="5">
        <f>MAX((1-Parameters!$B$4)^Parameters!B$71*E237+B237*Parameters!B$71-Parameters!$B$5*B237^2/E237*Parameters!B$71,0.0001)</f>
        <v>0.79006905589917409</v>
      </c>
      <c r="F238" s="7">
        <f>MAX((1-Parameters!$B$4)^Parameters!B$71*F237+C237*Parameters!B$71-Parameters!$B$5*C237^2/F237*Parameters!B$71,0.0001)</f>
        <v>0.15238016553053202</v>
      </c>
      <c r="G238" s="5">
        <f>MAX((1-Parameters!$B$4)^Parameters!B$71*G237+D237*Parameters!B$71-Parameters!$B$5*D237^2/G237*Parameters!B$71,0.0001)</f>
        <v>4.345820107555765</v>
      </c>
      <c r="I238" s="5">
        <f>I237*(1+Parameters!$B$52)^Parameters!B$71</f>
        <v>16.068520301397932</v>
      </c>
      <c r="J238" s="5">
        <f>J237*(1+Parameters!$B$54)^Parameters!B$71</f>
        <v>931.5645220988464</v>
      </c>
      <c r="K238" s="5">
        <f>'6states'!$N$4</f>
        <v>0.98104277196026479</v>
      </c>
      <c r="L238" s="7">
        <f t="shared" si="36"/>
        <v>0.5</v>
      </c>
      <c r="N238" s="5">
        <f>(Parameters!$B$19*(E238+Parameters!$B$20)^L238+Parameters!$B$18*F238^L238)^(1/L238)</f>
        <v>0.54952836701928554</v>
      </c>
      <c r="O238" s="5">
        <f>(Parameters!$B$10*G238^Parameters!$B$9 + Parameters!$B$11*N238^Parameters!$B$9) ^ (Parameters!$B$7/Parameters!$B$9) * K238</f>
        <v>1.5019529278956931</v>
      </c>
      <c r="P238" s="5">
        <f t="shared" si="31"/>
        <v>1.1452622107603156</v>
      </c>
      <c r="Q238" s="5">
        <f>EXP(-Parameters!$B$56*A238)</f>
        <v>2.9205448343702842E-2</v>
      </c>
      <c r="R238" s="5">
        <f>IF(P238&gt;0,P238^(1-Parameters!$B$53)/(1-Parameters!$B$53)*Q238,-10+P238*1000)</f>
        <v>-7.9575450775816528E-2</v>
      </c>
      <c r="S238" s="5"/>
    </row>
    <row r="239" spans="1:19" x14ac:dyDescent="0.35">
      <c r="A239">
        <f>A238+Parameters!$B$71</f>
        <v>235</v>
      </c>
      <c r="B239" s="7">
        <f t="shared" si="37"/>
        <v>5.3289702319887791E-2</v>
      </c>
      <c r="C239" s="7">
        <f t="shared" si="38"/>
        <v>1.0277954020588648E-2</v>
      </c>
      <c r="D239" s="5">
        <f t="shared" si="39"/>
        <v>0.29312306079490108</v>
      </c>
      <c r="E239" s="5">
        <f>MAX((1-Parameters!$B$4)^Parameters!B$71*E238+B238*Parameters!B$71-Parameters!$B$5*B238^2/E238*Parameters!B$71,0.0001)</f>
        <v>0.79006905490477441</v>
      </c>
      <c r="F239" s="7">
        <f>MAX((1-Parameters!$B$4)^Parameters!B$71*F238+C238*Parameters!B$71-Parameters!$B$5*C238^2/F238*Parameters!B$71,0.0001)</f>
        <v>0.15238016508585339</v>
      </c>
      <c r="G239" s="5">
        <f>MAX((1-Parameters!$B$4)^Parameters!B$71*G238+D238*Parameters!B$71-Parameters!$B$5*D238^2/G238*Parameters!B$71,0.0001)</f>
        <v>4.3458201021266074</v>
      </c>
      <c r="I239" s="5">
        <f>I238*(1+Parameters!$B$52)^Parameters!B$71</f>
        <v>16.115119010271986</v>
      </c>
      <c r="J239" s="5">
        <f>J238*(1+Parameters!$B$54)^Parameters!B$71</f>
        <v>950.19581254082334</v>
      </c>
      <c r="K239" s="5">
        <f>'6states'!$N$4</f>
        <v>0.98104277196026479</v>
      </c>
      <c r="L239" s="7">
        <f t="shared" si="36"/>
        <v>0.5</v>
      </c>
      <c r="N239" s="5">
        <f>(Parameters!$B$19*(E239+Parameters!$B$20)^L239+Parameters!$B$18*F239^L239)^(1/L239)</f>
        <v>0.54952836618898415</v>
      </c>
      <c r="O239" s="5">
        <f>(Parameters!$B$10*G239^Parameters!$B$9 + Parameters!$B$11*N239^Parameters!$B$9) ^ (Parameters!$B$7/Parameters!$B$9) * K239</f>
        <v>1.5019529273115892</v>
      </c>
      <c r="P239" s="5">
        <f t="shared" si="31"/>
        <v>1.1452622101762118</v>
      </c>
      <c r="Q239" s="5">
        <f>EXP(-Parameters!$B$56*A239)</f>
        <v>2.8767758945104051E-2</v>
      </c>
      <c r="R239" s="5">
        <f>IF(P239&gt;0,P239^(1-Parameters!$B$53)/(1-Parameters!$B$53)*Q239,-10+P239*1000)</f>
        <v>-7.8382887991819181E-2</v>
      </c>
      <c r="S239" s="5"/>
    </row>
    <row r="240" spans="1:19" x14ac:dyDescent="0.35">
      <c r="A240">
        <f>A239+Parameters!$B$71</f>
        <v>236</v>
      </c>
      <c r="B240" s="7">
        <f t="shared" si="37"/>
        <v>5.3289702319887791E-2</v>
      </c>
      <c r="C240" s="7">
        <f t="shared" si="38"/>
        <v>1.0277954020588648E-2</v>
      </c>
      <c r="D240" s="5">
        <f t="shared" si="39"/>
        <v>0.29312306079490108</v>
      </c>
      <c r="E240" s="5">
        <f>MAX((1-Parameters!$B$4)^Parameters!B$71*E239+B239*Parameters!B$71-Parameters!$B$5*B239^2/E239*Parameters!B$71,0.0001)</f>
        <v>0.79006905396839855</v>
      </c>
      <c r="F240" s="7">
        <f>MAX((1-Parameters!$B$4)^Parameters!B$71*F239+C239*Parameters!B$71-Parameters!$B$5*C239^2/F239*Parameters!B$71,0.0001)</f>
        <v>0.15238016466712201</v>
      </c>
      <c r="G240" s="5">
        <f>MAX((1-Parameters!$B$4)^Parameters!B$71*G239+D239*Parameters!B$71-Parameters!$B$5*D239^2/G239*Parameters!B$71,0.0001)</f>
        <v>4.3458200970142444</v>
      </c>
      <c r="I240" s="5">
        <f>I239*(1+Parameters!$B$52)^Parameters!B$71</f>
        <v>16.161852855401772</v>
      </c>
      <c r="J240" s="5">
        <f>J239*(1+Parameters!$B$54)^Parameters!B$71</f>
        <v>969.19972879163981</v>
      </c>
      <c r="K240" s="5">
        <f>'6states'!$N$4</f>
        <v>0.98104277196026479</v>
      </c>
      <c r="L240" s="7">
        <f t="shared" si="36"/>
        <v>0.5</v>
      </c>
      <c r="N240" s="5">
        <f>(Parameters!$B$19*(E240+Parameters!$B$20)^L240+Parameters!$B$18*F240^L240)^(1/L240)</f>
        <v>0.54952836540713157</v>
      </c>
      <c r="O240" s="5">
        <f>(Parameters!$B$10*G240^Parameters!$B$9 + Parameters!$B$11*N240^Parameters!$B$9) ^ (Parameters!$B$7/Parameters!$B$9) * K240</f>
        <v>1.5019529267615681</v>
      </c>
      <c r="P240" s="5">
        <f t="shared" si="31"/>
        <v>1.1452622096261906</v>
      </c>
      <c r="Q240" s="5">
        <f>EXP(-Parameters!$B$56*A240)</f>
        <v>2.8336629007856159E-2</v>
      </c>
      <c r="R240" s="5">
        <f>IF(P240&gt;0,P240^(1-Parameters!$B$53)/(1-Parameters!$B$53)*Q240,-10+P240*1000)</f>
        <v>-7.7208197628473141E-2</v>
      </c>
      <c r="S240" s="5"/>
    </row>
    <row r="241" spans="1:19" x14ac:dyDescent="0.35">
      <c r="A241">
        <f>A240+Parameters!$B$71</f>
        <v>237</v>
      </c>
      <c r="B241" s="7">
        <f t="shared" si="37"/>
        <v>5.3289702319887791E-2</v>
      </c>
      <c r="C241" s="7">
        <f t="shared" si="38"/>
        <v>1.0277954020588648E-2</v>
      </c>
      <c r="D241" s="5">
        <f t="shared" si="39"/>
        <v>0.29312306079490108</v>
      </c>
      <c r="E241" s="5">
        <f>MAX((1-Parameters!$B$4)^Parameters!B$71*E240+B240*Parameters!B$71-Parameters!$B$5*B240^2/E240*Parameters!B$71,0.0001)</f>
        <v>0.79006905308666064</v>
      </c>
      <c r="F241" s="7">
        <f>MAX((1-Parameters!$B$4)^Parameters!B$71*F240+C240*Parameters!B$71-Parameters!$B$5*C240^2/F240*Parameters!B$71,0.0001)</f>
        <v>0.15238016427282383</v>
      </c>
      <c r="G241" s="5">
        <f>MAX((1-Parameters!$B$4)^Parameters!B$71*G240+D240*Parameters!B$71-Parameters!$B$5*D240^2/G240*Parameters!B$71,0.0001)</f>
        <v>4.3458200922001913</v>
      </c>
      <c r="I241" s="5">
        <f>I240*(1+Parameters!$B$52)^Parameters!B$71</f>
        <v>16.208722228682436</v>
      </c>
      <c r="J241" s="5">
        <f>J240*(1+Parameters!$B$54)^Parameters!B$71</f>
        <v>988.58372336747266</v>
      </c>
      <c r="K241" s="5">
        <f>'6states'!$N$4</f>
        <v>0.98104277196026479</v>
      </c>
      <c r="L241" s="7">
        <f t="shared" si="36"/>
        <v>0.5</v>
      </c>
      <c r="N241" s="5">
        <f>(Parameters!$B$19*(E241+Parameters!$B$20)^L241+Parameters!$B$18*F241^L241)^(1/L241)</f>
        <v>0.54952836467090027</v>
      </c>
      <c r="O241" s="5">
        <f>(Parameters!$B$10*G241^Parameters!$B$9 + Parameters!$B$11*N241^Parameters!$B$9) ^ (Parameters!$B$7/Parameters!$B$9) * K241</f>
        <v>1.5019529262436415</v>
      </c>
      <c r="P241" s="5">
        <f t="shared" si="31"/>
        <v>1.145262209108264</v>
      </c>
      <c r="Q241" s="5">
        <f>EXP(-Parameters!$B$56*A241)</f>
        <v>2.7911960228154321E-2</v>
      </c>
      <c r="R241" s="5">
        <f>IF(P241&gt;0,P241^(1-Parameters!$B$53)/(1-Parameters!$B$53)*Q241,-10+P241*1000)</f>
        <v>-7.6051111839628288E-2</v>
      </c>
      <c r="S241" s="5"/>
    </row>
    <row r="242" spans="1:19" x14ac:dyDescent="0.35">
      <c r="A242">
        <f>A241+Parameters!$B$71</f>
        <v>238</v>
      </c>
      <c r="B242" s="7">
        <f t="shared" si="37"/>
        <v>5.3289702319887791E-2</v>
      </c>
      <c r="C242" s="7">
        <f t="shared" si="38"/>
        <v>1.0277954020588648E-2</v>
      </c>
      <c r="D242" s="5">
        <f t="shared" si="39"/>
        <v>0.29312306079490108</v>
      </c>
      <c r="E242" s="5">
        <f>MAX((1-Parameters!$B$4)^Parameters!B$71*E241+B241*Parameters!B$71-Parameters!$B$5*B241^2/E241*Parameters!B$71,0.0001)</f>
        <v>0.79006905225637269</v>
      </c>
      <c r="F242" s="7">
        <f>MAX((1-Parameters!$B$4)^Parameters!B$71*F241+C241*Parameters!B$71-Parameters!$B$5*C241^2/F241*Parameters!B$71,0.0001)</f>
        <v>0.15238016390153319</v>
      </c>
      <c r="G242" s="5">
        <f>MAX((1-Parameters!$B$4)^Parameters!B$71*G241+D241*Parameters!B$71-Parameters!$B$5*D241^2/G241*Parameters!B$71,0.0001)</f>
        <v>4.3458200876670405</v>
      </c>
      <c r="I242" s="5">
        <f>I241*(1+Parameters!$B$52)^Parameters!B$71</f>
        <v>16.255727523145612</v>
      </c>
      <c r="J242" s="5">
        <f>J241*(1+Parameters!$B$54)^Parameters!B$71</f>
        <v>1008.3553978348222</v>
      </c>
      <c r="K242" s="5">
        <f>'6states'!$N$4</f>
        <v>0.98104277196026479</v>
      </c>
      <c r="L242" s="7">
        <f t="shared" si="36"/>
        <v>0.5</v>
      </c>
      <c r="N242" s="5">
        <f>(Parameters!$B$19*(E242+Parameters!$B$20)^L242+Parameters!$B$18*F242^L242)^(1/L242)</f>
        <v>0.54952836397762872</v>
      </c>
      <c r="O242" s="5">
        <f>(Parameters!$B$10*G242^Parameters!$B$9 + Parameters!$B$11*N242^Parameters!$B$9) ^ (Parameters!$B$7/Parameters!$B$9) * K242</f>
        <v>1.5019529257559354</v>
      </c>
      <c r="P242" s="5">
        <f t="shared" si="31"/>
        <v>1.1452622086205579</v>
      </c>
      <c r="Q242" s="5">
        <f>EXP(-Parameters!$B$56*A242)</f>
        <v>2.7493655775430236E-2</v>
      </c>
      <c r="R242" s="5">
        <f>IF(P242&gt;0,P242^(1-Parameters!$B$53)/(1-Parameters!$B$53)*Q242,-10+P242*1000)</f>
        <v>-7.4911366793223369E-2</v>
      </c>
      <c r="S242" s="5"/>
    </row>
    <row r="243" spans="1:19" x14ac:dyDescent="0.35">
      <c r="A243">
        <f>A242+Parameters!$B$71</f>
        <v>239</v>
      </c>
      <c r="B243" s="7">
        <f t="shared" si="37"/>
        <v>5.3289702319887791E-2</v>
      </c>
      <c r="C243" s="7">
        <f t="shared" si="38"/>
        <v>1.0277954020588648E-2</v>
      </c>
      <c r="D243" s="5">
        <f t="shared" si="39"/>
        <v>0.29312306079490108</v>
      </c>
      <c r="E243" s="5">
        <f>MAX((1-Parameters!$B$4)^Parameters!B$71*E242+B242*Parameters!B$71-Parameters!$B$5*B242^2/E242*Parameters!B$71,0.0001)</f>
        <v>0.79006905147453255</v>
      </c>
      <c r="F243" s="7">
        <f>MAX((1-Parameters!$B$4)^Parameters!B$71*F242+C242*Parameters!B$71-Parameters!$B$5*C242^2/F242*Parameters!B$71,0.0001)</f>
        <v>0.15238016355190756</v>
      </c>
      <c r="G243" s="5">
        <f>MAX((1-Parameters!$B$4)^Parameters!B$71*G242+D242*Parameters!B$71-Parameters!$B$5*D242^2/G242*Parameters!B$71,0.0001)</f>
        <v>4.3458200833984009</v>
      </c>
      <c r="I243" s="5">
        <f>I242*(1+Parameters!$B$52)^Parameters!B$71</f>
        <v>16.302869132962734</v>
      </c>
      <c r="J243" s="5">
        <f>J242*(1+Parameters!$B$54)^Parameters!B$71</f>
        <v>1028.5225057915186</v>
      </c>
      <c r="K243" s="5">
        <f>'6states'!$N$4</f>
        <v>0.98104277196026479</v>
      </c>
      <c r="L243" s="7">
        <f t="shared" si="36"/>
        <v>0.5</v>
      </c>
      <c r="N243" s="5">
        <f>(Parameters!$B$19*(E243+Parameters!$B$20)^L243+Parameters!$B$18*F243^L243)^(1/L243)</f>
        <v>0.54952836332480992</v>
      </c>
      <c r="O243" s="5">
        <f>(Parameters!$B$10*G243^Parameters!$B$9 + Parameters!$B$11*N243^Parameters!$B$9) ^ (Parameters!$B$7/Parameters!$B$9) * K243</f>
        <v>1.5019529252966879</v>
      </c>
      <c r="P243" s="5">
        <f t="shared" si="31"/>
        <v>1.1452622081613104</v>
      </c>
      <c r="Q243" s="5">
        <f>EXP(-Parameters!$B$56*A243)</f>
        <v>2.7081620270273384E-2</v>
      </c>
      <c r="R243" s="5">
        <f>IF(P243&gt;0,P243^(1-Parameters!$B$53)/(1-Parameters!$B$53)*Q243,-10+P243*1000)</f>
        <v>-7.3788702611129048E-2</v>
      </c>
      <c r="S243" s="5"/>
    </row>
    <row r="244" spans="1:19" x14ac:dyDescent="0.35">
      <c r="A244">
        <f>A243+Parameters!$B$71</f>
        <v>240</v>
      </c>
      <c r="B244" s="7">
        <f t="shared" si="37"/>
        <v>5.3289702319887791E-2</v>
      </c>
      <c r="C244" s="7">
        <f t="shared" si="38"/>
        <v>1.0277954020588648E-2</v>
      </c>
      <c r="D244" s="5">
        <f t="shared" si="39"/>
        <v>0.29312306079490108</v>
      </c>
      <c r="E244" s="5">
        <f>MAX((1-Parameters!$B$4)^Parameters!B$71*E243+B243*Parameters!B$71-Parameters!$B$5*B243^2/E243*Parameters!B$71,0.0001)</f>
        <v>0.79006905073831324</v>
      </c>
      <c r="F244" s="7">
        <f>MAX((1-Parameters!$B$4)^Parameters!B$71*F243+C243*Parameters!B$71-Parameters!$B$5*C243^2/F243*Parameters!B$71,0.0001)</f>
        <v>0.1523801632226828</v>
      </c>
      <c r="G244" s="5">
        <f>MAX((1-Parameters!$B$4)^Parameters!B$71*G243+D243*Parameters!B$71-Parameters!$B$5*D243^2/G243*Parameters!B$71,0.0001)</f>
        <v>4.3458200793788384</v>
      </c>
      <c r="I244" s="5">
        <f>I243*(1+Parameters!$B$52)^Parameters!B$71</f>
        <v>16.350147453448322</v>
      </c>
      <c r="J244" s="5">
        <f>J243*(1+Parameters!$B$54)^Parameters!B$71</f>
        <v>1049.0929559073491</v>
      </c>
      <c r="K244" s="5">
        <f>'6states'!$N$4</f>
        <v>0.98104277196026479</v>
      </c>
      <c r="L244" s="7">
        <f t="shared" si="36"/>
        <v>0.5</v>
      </c>
      <c r="N244" s="5">
        <f>(Parameters!$B$19*(E244+Parameters!$B$20)^L244+Parameters!$B$18*F244^L244)^(1/L244)</f>
        <v>0.54952836271008343</v>
      </c>
      <c r="O244" s="5">
        <f>(Parameters!$B$10*G244^Parameters!$B$9 + Parameters!$B$11*N244^Parameters!$B$9) ^ (Parameters!$B$7/Parameters!$B$9) * K244</f>
        <v>1.5019529248642374</v>
      </c>
      <c r="P244" s="5">
        <f t="shared" si="31"/>
        <v>1.1452622077288599</v>
      </c>
      <c r="Q244" s="5">
        <f>EXP(-Parameters!$B$56*A244)</f>
        <v>2.6675759762683122E-2</v>
      </c>
      <c r="R244" s="5">
        <f>IF(P244&gt;0,P244^(1-Parameters!$B$53)/(1-Parameters!$B$53)*Q244,-10+P244*1000)</f>
        <v>-7.2682863309892223E-2</v>
      </c>
      <c r="S244" s="5"/>
    </row>
    <row r="245" spans="1:19" x14ac:dyDescent="0.35">
      <c r="A245">
        <f>A244+Parameters!$B$71</f>
        <v>241</v>
      </c>
      <c r="B245" s="7">
        <f t="shared" si="37"/>
        <v>5.3289702319887791E-2</v>
      </c>
      <c r="C245" s="7">
        <f t="shared" si="38"/>
        <v>1.0277954020588648E-2</v>
      </c>
      <c r="D245" s="5">
        <f t="shared" si="39"/>
        <v>0.29312306079490108</v>
      </c>
      <c r="E245" s="5">
        <f>MAX((1-Parameters!$B$4)^Parameters!B$71*E244+B244*Parameters!B$71-Parameters!$B$5*B244^2/E244*Parameters!B$71,0.0001)</f>
        <v>0.79006905004505268</v>
      </c>
      <c r="F245" s="7">
        <f>MAX((1-Parameters!$B$4)^Parameters!B$71*F244+C244*Parameters!B$71-Parameters!$B$5*C244^2/F244*Parameters!B$71,0.0001)</f>
        <v>0.15238016291266851</v>
      </c>
      <c r="G245" s="5">
        <f>MAX((1-Parameters!$B$4)^Parameters!B$71*G244+D244*Parameters!B$71-Parameters!$B$5*D244^2/G244*Parameters!B$71,0.0001)</f>
        <v>4.3458200755938208</v>
      </c>
      <c r="I245" s="5">
        <f>I244*(1+Parameters!$B$52)^Parameters!B$71</f>
        <v>16.397562881063322</v>
      </c>
      <c r="J245" s="5">
        <f>J244*(1+Parameters!$B$54)^Parameters!B$71</f>
        <v>1070.074815025496</v>
      </c>
      <c r="K245" s="5">
        <f>'6states'!$N$4</f>
        <v>0.98104277196026479</v>
      </c>
      <c r="L245" s="7">
        <f t="shared" si="36"/>
        <v>0.5</v>
      </c>
      <c r="N245" s="5">
        <f>(Parameters!$B$19*(E245+Parameters!$B$20)^L245+Parameters!$B$18*F245^L245)^(1/L245)</f>
        <v>0.54952836213122669</v>
      </c>
      <c r="O245" s="5">
        <f>(Parameters!$B$10*G245^Parameters!$B$9 + Parameters!$B$11*N245^Parameters!$B$9) ^ (Parameters!$B$7/Parameters!$B$9) * K245</f>
        <v>1.5019529244570207</v>
      </c>
      <c r="P245" s="5">
        <f t="shared" si="31"/>
        <v>1.1452622073216432</v>
      </c>
      <c r="Q245" s="5">
        <f>EXP(-Parameters!$B$56*A245)</f>
        <v>2.6275981710646754E-2</v>
      </c>
      <c r="R245" s="5">
        <f>IF(P245&gt;0,P245^(1-Parameters!$B$53)/(1-Parameters!$B$53)*Q245,-10+P245*1000)</f>
        <v>-7.1593596742368648E-2</v>
      </c>
      <c r="S245" s="5"/>
    </row>
    <row r="246" spans="1:19" x14ac:dyDescent="0.35">
      <c r="A246">
        <f>A245+Parameters!$B$71</f>
        <v>242</v>
      </c>
      <c r="B246" s="7">
        <f t="shared" si="37"/>
        <v>5.3289702319887791E-2</v>
      </c>
      <c r="C246" s="7">
        <f t="shared" si="38"/>
        <v>1.0277954020588648E-2</v>
      </c>
      <c r="D246" s="5">
        <f t="shared" si="39"/>
        <v>0.29312306079490108</v>
      </c>
      <c r="E246" s="5">
        <f>MAX((1-Parameters!$B$4)^Parameters!B$71*E245+B245*Parameters!B$71-Parameters!$B$5*B245^2/E245*Parameters!B$71,0.0001)</f>
        <v>0.79006904939224432</v>
      </c>
      <c r="F246" s="7">
        <f>MAX((1-Parameters!$B$4)^Parameters!B$71*F245+C245*Parameters!B$71-Parameters!$B$5*C245^2/F245*Parameters!B$71,0.0001)</f>
        <v>0.15238016262074372</v>
      </c>
      <c r="G246" s="5">
        <f>MAX((1-Parameters!$B$4)^Parameters!B$71*G245+D245*Parameters!B$71-Parameters!$B$5*D245^2/G245*Parameters!B$71,0.0001)</f>
        <v>4.3458200720296611</v>
      </c>
      <c r="I246" s="5">
        <f>I245*(1+Parameters!$B$52)^Parameters!B$71</f>
        <v>16.445115813418404</v>
      </c>
      <c r="J246" s="5">
        <f>J245*(1+Parameters!$B$54)^Parameters!B$71</f>
        <v>1091.476311326006</v>
      </c>
      <c r="K246" s="5">
        <f>'6states'!$N$4</f>
        <v>0.98104277196026479</v>
      </c>
      <c r="L246" s="7">
        <f t="shared" si="36"/>
        <v>0.5</v>
      </c>
      <c r="N246" s="5">
        <f>(Parameters!$B$19*(E246+Parameters!$B$20)^L246+Parameters!$B$18*F246^L246)^(1/L246)</f>
        <v>0.54952836158614626</v>
      </c>
      <c r="O246" s="5">
        <f>(Parameters!$B$10*G246^Parameters!$B$9 + Parameters!$B$11*N246^Parameters!$B$9) ^ (Parameters!$B$7/Parameters!$B$9) * K246</f>
        <v>1.5019529240735656</v>
      </c>
      <c r="P246" s="5">
        <f t="shared" si="31"/>
        <v>1.1452622069381881</v>
      </c>
      <c r="Q246" s="5">
        <f>EXP(-Parameters!$B$56*A246)</f>
        <v>2.5882194959038634E-2</v>
      </c>
      <c r="R246" s="5">
        <f>IF(P246&gt;0,P246^(1-Parameters!$B$53)/(1-Parameters!$B$53)*Q246,-10+P246*1000)</f>
        <v>-7.052065454023014E-2</v>
      </c>
      <c r="S246" s="5"/>
    </row>
    <row r="247" spans="1:19" x14ac:dyDescent="0.35">
      <c r="A247">
        <f>A246+Parameters!$B$71</f>
        <v>243</v>
      </c>
      <c r="B247" s="7">
        <f t="shared" si="37"/>
        <v>5.3289702319887791E-2</v>
      </c>
      <c r="C247" s="7">
        <f t="shared" si="38"/>
        <v>1.0277954020588648E-2</v>
      </c>
      <c r="D247" s="5">
        <f t="shared" si="39"/>
        <v>0.29312306079490108</v>
      </c>
      <c r="E247" s="5">
        <f>MAX((1-Parameters!$B$4)^Parameters!B$71*E246+B246*Parameters!B$71-Parameters!$B$5*B246^2/E246*Parameters!B$71,0.0001)</f>
        <v>0.7900690487775277</v>
      </c>
      <c r="F247" s="7">
        <f>MAX((1-Parameters!$B$4)^Parameters!B$71*F246+C246*Parameters!B$71-Parameters!$B$5*C246^2/F246*Parameters!B$71,0.0001)</f>
        <v>0.15238016234585292</v>
      </c>
      <c r="G247" s="5">
        <f>MAX((1-Parameters!$B$4)^Parameters!B$71*G246+D246*Parameters!B$71-Parameters!$B$5*D246^2/G246*Parameters!B$71,0.0001)</f>
        <v>4.345820068673472</v>
      </c>
      <c r="I247" s="5">
        <f>I246*(1+Parameters!$B$52)^Parameters!B$71</f>
        <v>16.492806649277316</v>
      </c>
      <c r="J247" s="5">
        <f>J246*(1+Parameters!$B$54)^Parameters!B$71</f>
        <v>1113.3058375525261</v>
      </c>
      <c r="K247" s="5">
        <f>'6states'!$N$4</f>
        <v>0.98104277196026479</v>
      </c>
      <c r="L247" s="7">
        <f t="shared" si="36"/>
        <v>0.5</v>
      </c>
      <c r="N247" s="5">
        <f>(Parameters!$B$19*(E247+Parameters!$B$20)^L247+Parameters!$B$18*F247^L247)^(1/L247)</f>
        <v>0.54952836107287195</v>
      </c>
      <c r="O247" s="5">
        <f>(Parameters!$B$10*G247^Parameters!$B$9 + Parameters!$B$11*N247^Parameters!$B$9) ^ (Parameters!$B$7/Parameters!$B$9) * K247</f>
        <v>1.5019529237124849</v>
      </c>
      <c r="P247" s="5">
        <f t="shared" si="31"/>
        <v>1.1452622065771074</v>
      </c>
      <c r="Q247" s="5">
        <f>EXP(-Parameters!$B$56*A247)</f>
        <v>2.549430971883547E-2</v>
      </c>
      <c r="R247" s="5">
        <f>IF(P247&gt;0,P247^(1-Parameters!$B$53)/(1-Parameters!$B$53)*Q247,-10+P247*1000)</f>
        <v>-6.9463792057333343E-2</v>
      </c>
      <c r="S247" s="5"/>
    </row>
    <row r="248" spans="1:19" x14ac:dyDescent="0.35">
      <c r="A248">
        <f>A247+Parameters!$B$71</f>
        <v>244</v>
      </c>
      <c r="B248" s="7">
        <f t="shared" si="37"/>
        <v>5.3289702319887791E-2</v>
      </c>
      <c r="C248" s="7">
        <f t="shared" si="38"/>
        <v>1.0277954020588648E-2</v>
      </c>
      <c r="D248" s="5">
        <f t="shared" si="39"/>
        <v>0.29312306079490108</v>
      </c>
      <c r="E248" s="5">
        <f>MAX((1-Parameters!$B$4)^Parameters!B$71*E247+B247*Parameters!B$71-Parameters!$B$5*B247^2/E247*Parameters!B$71,0.0001)</f>
        <v>0.79006904819868018</v>
      </c>
      <c r="F248" s="7">
        <f>MAX((1-Parameters!$B$4)^Parameters!B$71*F247+C247*Parameters!B$71-Parameters!$B$5*C247^2/F247*Parameters!B$71,0.0001)</f>
        <v>0.15238016208700214</v>
      </c>
      <c r="G248" s="5">
        <f>MAX((1-Parameters!$B$4)^Parameters!B$71*G247+D247*Parameters!B$71-Parameters!$B$5*D247^2/G247*Parameters!B$71,0.0001)</f>
        <v>4.3458200655131192</v>
      </c>
      <c r="I248" s="5">
        <f>I247*(1+Parameters!$B$52)^Parameters!B$71</f>
        <v>16.54063578856022</v>
      </c>
      <c r="J248" s="5">
        <f>J247*(1+Parameters!$B$54)^Parameters!B$71</f>
        <v>1135.5719543035766</v>
      </c>
      <c r="K248" s="5">
        <f>'6states'!$N$4</f>
        <v>0.98104277196026479</v>
      </c>
      <c r="L248" s="7">
        <f t="shared" si="36"/>
        <v>0.5</v>
      </c>
      <c r="N248" s="5">
        <f>(Parameters!$B$19*(E248+Parameters!$B$20)^L248+Parameters!$B$18*F248^L248)^(1/L248)</f>
        <v>0.54952836058954735</v>
      </c>
      <c r="O248" s="5">
        <f>(Parameters!$B$10*G248^Parameters!$B$9 + Parameters!$B$11*N248^Parameters!$B$9) ^ (Parameters!$B$7/Parameters!$B$9) * K248</f>
        <v>1.501952923372474</v>
      </c>
      <c r="P248" s="5">
        <f t="shared" si="31"/>
        <v>1.1452622062370965</v>
      </c>
      <c r="Q248" s="5">
        <f>EXP(-Parameters!$B$56*A248)</f>
        <v>2.5112237546643188E-2</v>
      </c>
      <c r="R248" s="5">
        <f>IF(P248&gt;0,P248^(1-Parameters!$B$53)/(1-Parameters!$B$53)*Q248,-10+P248*1000)</f>
        <v>-6.8422768313937343E-2</v>
      </c>
      <c r="S248" s="5"/>
    </row>
    <row r="249" spans="1:19" x14ac:dyDescent="0.35">
      <c r="A249">
        <f>A248+Parameters!$B$71</f>
        <v>245</v>
      </c>
      <c r="B249" s="7">
        <f t="shared" si="37"/>
        <v>5.3289702319887791E-2</v>
      </c>
      <c r="C249" s="7">
        <f t="shared" si="38"/>
        <v>1.0277954020588648E-2</v>
      </c>
      <c r="D249" s="5">
        <f t="shared" si="39"/>
        <v>0.29312306079490108</v>
      </c>
      <c r="E249" s="5">
        <f>MAX((1-Parameters!$B$4)^Parameters!B$71*E248+B248*Parameters!B$71-Parameters!$B$5*B248^2/E248*Parameters!B$71,0.0001)</f>
        <v>0.79006904765360864</v>
      </c>
      <c r="F249" s="7">
        <f>MAX((1-Parameters!$B$4)^Parameters!B$71*F248+C248*Parameters!B$71-Parameters!$B$5*C248^2/F248*Parameters!B$71,0.0001)</f>
        <v>0.15238016184325545</v>
      </c>
      <c r="G249" s="5">
        <f>MAX((1-Parameters!$B$4)^Parameters!B$71*G248+D248*Parameters!B$71-Parameters!$B$5*D248^2/G248*Parameters!B$71,0.0001)</f>
        <v>4.3458200625371743</v>
      </c>
      <c r="I249" s="5">
        <f>I248*(1+Parameters!$B$52)^Parameters!B$71</f>
        <v>16.588603632347041</v>
      </c>
      <c r="J249" s="5">
        <f>J248*(1+Parameters!$B$54)^Parameters!B$71</f>
        <v>1158.2833933896482</v>
      </c>
      <c r="K249" s="5">
        <f>'6states'!$N$4</f>
        <v>0.98104277196026479</v>
      </c>
      <c r="L249" s="7">
        <f t="shared" si="36"/>
        <v>0.5</v>
      </c>
      <c r="N249" s="5">
        <f>(Parameters!$B$19*(E249+Parameters!$B$20)^L249+Parameters!$B$18*F249^L249)^(1/L249)</f>
        <v>0.54952836013442496</v>
      </c>
      <c r="O249" s="5">
        <f>(Parameters!$B$10*G249^Parameters!$B$9 + Parameters!$B$11*N249^Parameters!$B$9) ^ (Parameters!$B$7/Parameters!$B$9) * K249</f>
        <v>1.5019529230523025</v>
      </c>
      <c r="P249" s="5">
        <f t="shared" si="31"/>
        <v>1.1452622059169251</v>
      </c>
      <c r="Q249" s="5">
        <f>EXP(-Parameters!$B$56*A249)</f>
        <v>2.4735891324530496E-2</v>
      </c>
      <c r="R249" s="5">
        <f>IF(P249&gt;0,P249^(1-Parameters!$B$53)/(1-Parameters!$B$53)*Q249,-10+P249*1000)</f>
        <v>-6.739734594175692E-2</v>
      </c>
      <c r="S249" s="5"/>
    </row>
    <row r="250" spans="1:19" x14ac:dyDescent="0.35">
      <c r="A250">
        <f>A249+Parameters!$B$71</f>
        <v>246</v>
      </c>
      <c r="B250" s="7">
        <f t="shared" si="37"/>
        <v>5.3289702319887791E-2</v>
      </c>
      <c r="C250" s="7">
        <f t="shared" si="38"/>
        <v>1.0277954020588648E-2</v>
      </c>
      <c r="D250" s="5">
        <f t="shared" si="39"/>
        <v>0.29312306079490108</v>
      </c>
      <c r="E250" s="5">
        <f>MAX((1-Parameters!$B$4)^Parameters!B$71*E249+B249*Parameters!B$71-Parameters!$B$5*B249^2/E249*Parameters!B$71,0.0001)</f>
        <v>0.79006904714034243</v>
      </c>
      <c r="F250" s="7">
        <f>MAX((1-Parameters!$B$4)^Parameters!B$71*F249+C249*Parameters!B$71-Parameters!$B$5*C249^2/F249*Parameters!B$71,0.0001)</f>
        <v>0.15238016161373152</v>
      </c>
      <c r="G250" s="5">
        <f>MAX((1-Parameters!$B$4)^Parameters!B$71*G249+D249*Parameters!B$71-Parameters!$B$5*D249^2/G249*Parameters!B$71,0.0001)</f>
        <v>4.3458200597348773</v>
      </c>
      <c r="I250" s="5">
        <f>I249*(1+Parameters!$B$52)^Parameters!B$71</f>
        <v>16.636710582880845</v>
      </c>
      <c r="J250" s="5">
        <f>J249*(1+Parameters!$B$54)^Parameters!B$71</f>
        <v>1181.4490612574411</v>
      </c>
      <c r="K250" s="5">
        <f>'6states'!$N$4</f>
        <v>0.98104277196026479</v>
      </c>
      <c r="L250" s="7">
        <f t="shared" si="36"/>
        <v>0.5</v>
      </c>
      <c r="N250" s="5">
        <f>(Parameters!$B$19*(E250+Parameters!$B$20)^L250+Parameters!$B$18*F250^L250)^(1/L250)</f>
        <v>0.54952835970585934</v>
      </c>
      <c r="O250" s="5">
        <f>(Parameters!$B$10*G250^Parameters!$B$9 + Parameters!$B$11*N250^Parameters!$B$9) ^ (Parameters!$B$7/Parameters!$B$9) * K250</f>
        <v>1.5019529227508133</v>
      </c>
      <c r="P250" s="5">
        <f t="shared" si="31"/>
        <v>1.1452622056154358</v>
      </c>
      <c r="Q250" s="5">
        <f>EXP(-Parameters!$B$56*A250)</f>
        <v>2.4365185240164795E-2</v>
      </c>
      <c r="R250" s="5">
        <f>IF(P250&gt;0,P250^(1-Parameters!$B$53)/(1-Parameters!$B$53)*Q250,-10+P250*1000)</f>
        <v>-6.6387291129839585E-2</v>
      </c>
      <c r="S250" s="5"/>
    </row>
    <row r="251" spans="1:19" x14ac:dyDescent="0.35">
      <c r="A251">
        <f>A250+Parameters!$B$71</f>
        <v>247</v>
      </c>
      <c r="B251" s="7">
        <f t="shared" si="37"/>
        <v>5.3289702319887791E-2</v>
      </c>
      <c r="C251" s="7">
        <f t="shared" si="38"/>
        <v>1.0277954020588648E-2</v>
      </c>
      <c r="D251" s="5">
        <f t="shared" si="39"/>
        <v>0.29312306079490108</v>
      </c>
      <c r="E251" s="5">
        <f>MAX((1-Parameters!$B$4)^Parameters!B$71*E250+B250*Parameters!B$71-Parameters!$B$5*B250^2/E250*Parameters!B$71,0.0001)</f>
        <v>0.7900690466570256</v>
      </c>
      <c r="F251" s="7">
        <f>MAX((1-Parameters!$B$4)^Parameters!B$71*F250+C250*Parameters!B$71-Parameters!$B$5*C250^2/F250*Parameters!B$71,0.0001)</f>
        <v>0.15238016139760044</v>
      </c>
      <c r="G251" s="5">
        <f>MAX((1-Parameters!$B$4)^Parameters!B$71*G250+D250*Parameters!B$71-Parameters!$B$5*D250^2/G250*Parameters!B$71,0.0001)</f>
        <v>4.3458200570960956</v>
      </c>
      <c r="I251" s="5">
        <f>I250*(1+Parameters!$B$52)^Parameters!B$71</f>
        <v>16.684957043571199</v>
      </c>
      <c r="J251" s="5">
        <f>J250*(1+Parameters!$B$54)^Parameters!B$71</f>
        <v>1205.07804248259</v>
      </c>
      <c r="K251" s="5">
        <f>'6states'!$N$4</f>
        <v>0.98104277196026479</v>
      </c>
      <c r="L251" s="7">
        <f t="shared" si="36"/>
        <v>0.5</v>
      </c>
      <c r="N251" s="5">
        <f>(Parameters!$B$19*(E251+Parameters!$B$20)^L251+Parameters!$B$18*F251^L251)^(1/L251)</f>
        <v>0.5495283593023006</v>
      </c>
      <c r="O251" s="5">
        <f>(Parameters!$B$10*G251^Parameters!$B$9 + Parameters!$B$11*N251^Parameters!$B$9) ^ (Parameters!$B$7/Parameters!$B$9) * K251</f>
        <v>1.5019529224669161</v>
      </c>
      <c r="P251" s="5">
        <f t="shared" si="31"/>
        <v>1.1452622053315387</v>
      </c>
      <c r="Q251" s="5">
        <f>EXP(-Parameters!$B$56*A251)</f>
        <v>2.400003476724576E-2</v>
      </c>
      <c r="R251" s="5">
        <f>IF(P251&gt;0,P251^(1-Parameters!$B$53)/(1-Parameters!$B$53)*Q251,-10+P251*1000)</f>
        <v>-6.5392373571253659E-2</v>
      </c>
      <c r="S251" s="5"/>
    </row>
    <row r="252" spans="1:19" x14ac:dyDescent="0.35">
      <c r="A252">
        <f>A251+Parameters!$B$71</f>
        <v>248</v>
      </c>
      <c r="B252" s="7">
        <f t="shared" si="37"/>
        <v>5.3289702319887791E-2</v>
      </c>
      <c r="C252" s="7">
        <f t="shared" si="38"/>
        <v>1.0277954020588648E-2</v>
      </c>
      <c r="D252" s="5">
        <f t="shared" si="39"/>
        <v>0.29312306079490108</v>
      </c>
      <c r="E252" s="5">
        <f>MAX((1-Parameters!$B$4)^Parameters!B$71*E251+B251*Parameters!B$71-Parameters!$B$5*B251^2/E251*Parameters!B$71,0.0001)</f>
        <v>0.79006904620191054</v>
      </c>
      <c r="F252" s="7">
        <f>MAX((1-Parameters!$B$4)^Parameters!B$71*F251+C251*Parameters!B$71-Parameters!$B$5*C251^2/F251*Parameters!B$71,0.0001)</f>
        <v>0.15238016119408074</v>
      </c>
      <c r="G252" s="5">
        <f>MAX((1-Parameters!$B$4)^Parameters!B$71*G251+D251*Parameters!B$71-Parameters!$B$5*D251^2/G251*Parameters!B$71,0.0001)</f>
        <v>4.3458200546112886</v>
      </c>
      <c r="I252" s="5">
        <f>I251*(1+Parameters!$B$52)^Parameters!B$71</f>
        <v>16.733343418997553</v>
      </c>
      <c r="J252" s="5">
        <f>J251*(1+Parameters!$B$54)^Parameters!B$71</f>
        <v>1229.1796033322419</v>
      </c>
      <c r="K252" s="5">
        <f>'6states'!$N$4</f>
        <v>0.98104277196026479</v>
      </c>
      <c r="L252" s="7">
        <f t="shared" si="36"/>
        <v>0.5</v>
      </c>
      <c r="N252" s="5">
        <f>(Parameters!$B$19*(E252+Parameters!$B$20)^L252+Parameters!$B$18*F252^L252)^(1/L252)</f>
        <v>0.54952835892228991</v>
      </c>
      <c r="O252" s="5">
        <f>(Parameters!$B$10*G252^Parameters!$B$9 + Parameters!$B$11*N252^Parameters!$B$9) ^ (Parameters!$B$7/Parameters!$B$9) * K252</f>
        <v>1.5019529221995849</v>
      </c>
      <c r="P252" s="5">
        <f t="shared" si="31"/>
        <v>1.1452622050642074</v>
      </c>
      <c r="Q252" s="5">
        <f>EXP(-Parameters!$B$56*A252)</f>
        <v>2.3640356646232066E-2</v>
      </c>
      <c r="R252" s="5">
        <f>IF(P252&gt;0,P252^(1-Parameters!$B$53)/(1-Parameters!$B$53)*Q252,-10+P252*1000)</f>
        <v>-6.4412366410575031E-2</v>
      </c>
      <c r="S252" s="5"/>
    </row>
    <row r="253" spans="1:19" x14ac:dyDescent="0.35">
      <c r="A253">
        <f>A252+Parameters!$B$71</f>
        <v>249</v>
      </c>
      <c r="B253" s="7">
        <f t="shared" si="37"/>
        <v>5.3289702319887791E-2</v>
      </c>
      <c r="C253" s="7">
        <f t="shared" si="38"/>
        <v>1.0277954020588648E-2</v>
      </c>
      <c r="D253" s="5">
        <f t="shared" si="39"/>
        <v>0.29312306079490108</v>
      </c>
      <c r="E253" s="5">
        <f>MAX((1-Parameters!$B$4)^Parameters!B$71*E252+B252*Parameters!B$71-Parameters!$B$5*B252^2/E252*Parameters!B$71,0.0001)</f>
        <v>0.79006904577335169</v>
      </c>
      <c r="F253" s="7">
        <f>MAX((1-Parameters!$B$4)^Parameters!B$71*F252+C252*Parameters!B$71-Parameters!$B$5*C252^2/F252*Parameters!B$71,0.0001)</f>
        <v>0.15238016100243654</v>
      </c>
      <c r="G253" s="5">
        <f>MAX((1-Parameters!$B$4)^Parameters!B$71*G252+D252*Parameters!B$71-Parameters!$B$5*D252^2/G252*Parameters!B$71,0.0001)</f>
        <v>4.3458200522714714</v>
      </c>
      <c r="I253" s="5">
        <f>I252*(1+Parameters!$B$52)^Parameters!B$71</f>
        <v>16.781870114912643</v>
      </c>
      <c r="J253" s="5">
        <f>J252*(1+Parameters!$B$54)^Parameters!B$71</f>
        <v>1253.7631953988866</v>
      </c>
      <c r="K253" s="5">
        <f>'6states'!$N$4</f>
        <v>0.98104277196026479</v>
      </c>
      <c r="L253" s="7">
        <f t="shared" si="36"/>
        <v>0.5</v>
      </c>
      <c r="N253" s="5">
        <f>(Parameters!$B$19*(E253+Parameters!$B$20)^L253+Parameters!$B$18*F253^L253)^(1/L253)</f>
        <v>0.54952835856445292</v>
      </c>
      <c r="O253" s="5">
        <f>(Parameters!$B$10*G253^Parameters!$B$9 + Parameters!$B$11*N253^Parameters!$B$9) ^ (Parameters!$B$7/Parameters!$B$9) * K253</f>
        <v>1.501952921947852</v>
      </c>
      <c r="P253" s="5">
        <f t="shared" si="31"/>
        <v>1.1452622048124745</v>
      </c>
      <c r="Q253" s="5">
        <f>EXP(-Parameters!$B$56*A253)</f>
        <v>2.3286068865357064E-2</v>
      </c>
      <c r="R253" s="5">
        <f>IF(P253&gt;0,P253^(1-Parameters!$B$53)/(1-Parameters!$B$53)*Q253,-10+P253*1000)</f>
        <v>-6.3447046192161266E-2</v>
      </c>
      <c r="S253" s="5"/>
    </row>
    <row r="254" spans="1:19" x14ac:dyDescent="0.35">
      <c r="A254">
        <f>A253+Parameters!$B$71</f>
        <v>250</v>
      </c>
      <c r="B254" s="7">
        <f t="shared" si="37"/>
        <v>5.3289702319887791E-2</v>
      </c>
      <c r="C254" s="7">
        <f t="shared" si="38"/>
        <v>1.0277954020588648E-2</v>
      </c>
      <c r="D254" s="5">
        <f t="shared" si="39"/>
        <v>0.29312306079490108</v>
      </c>
      <c r="E254" s="5">
        <f>MAX((1-Parameters!$B$4)^Parameters!B$71*E253+B253*Parameters!B$71-Parameters!$B$5*B253^2/E253*Parameters!B$71,0.0001)</f>
        <v>0.79006904536979949</v>
      </c>
      <c r="F254" s="7">
        <f>MAX((1-Parameters!$B$4)^Parameters!B$71*F253+C253*Parameters!B$71-Parameters!$B$5*C253^2/F253*Parameters!B$71,0.0001)</f>
        <v>0.15238016082197486</v>
      </c>
      <c r="G254" s="5">
        <f>MAX((1-Parameters!$B$4)^Parameters!B$71*G253+D253*Parameters!B$71-Parameters!$B$5*D253^2/G253*Parameters!B$71,0.0001)</f>
        <v>4.3458200500681841</v>
      </c>
      <c r="I254" s="5">
        <f>I253*(1+Parameters!$B$52)^Parameters!B$71</f>
        <v>16.830537538245888</v>
      </c>
      <c r="J254" s="5">
        <f>J253*(1+Parameters!$B$54)^Parameters!B$71</f>
        <v>1278.8384593068645</v>
      </c>
      <c r="K254" s="5">
        <f>'6states'!$N$4</f>
        <v>0.98104277196026479</v>
      </c>
      <c r="L254" s="7">
        <f t="shared" si="36"/>
        <v>0.5</v>
      </c>
      <c r="N254" s="5">
        <f>(Parameters!$B$19*(E254+Parameters!$B$20)^L254+Parameters!$B$18*F254^L254)^(1/L254)</f>
        <v>0.54952835822749613</v>
      </c>
      <c r="O254" s="5">
        <f>(Parameters!$B$10*G254^Parameters!$B$9 + Parameters!$B$11*N254^Parameters!$B$9) ^ (Parameters!$B$7/Parameters!$B$9) * K254</f>
        <v>1.5019529217108081</v>
      </c>
      <c r="P254" s="5">
        <f t="shared" si="31"/>
        <v>1.1452622045754306</v>
      </c>
      <c r="Q254" s="5">
        <f>EXP(-Parameters!$B$56*A254)</f>
        <v>2.293709064192892E-2</v>
      </c>
      <c r="R254" s="5">
        <f>IF(P254&gt;0,P254^(1-Parameters!$B$53)/(1-Parameters!$B$53)*Q254,-10+P254*1000)</f>
        <v>-6.2496192809200622E-2</v>
      </c>
      <c r="S254" s="5"/>
    </row>
    <row r="255" spans="1:19" x14ac:dyDescent="0.35">
      <c r="A255">
        <f>A254+Parameters!$B$71</f>
        <v>251</v>
      </c>
      <c r="B255" s="7">
        <f t="shared" si="37"/>
        <v>5.3289702319887791E-2</v>
      </c>
      <c r="C255" s="7">
        <f t="shared" si="38"/>
        <v>1.0277954020588648E-2</v>
      </c>
      <c r="D255" s="5">
        <f t="shared" si="39"/>
        <v>0.29312306079490108</v>
      </c>
      <c r="E255" s="5">
        <f>MAX((1-Parameters!$B$4)^Parameters!B$71*E254+B254*Parameters!B$71-Parameters!$B$5*B254^2/E254*Parameters!B$71,0.0001)</f>
        <v>0.79006904498979491</v>
      </c>
      <c r="F255" s="7">
        <f>MAX((1-Parameters!$B$4)^Parameters!B$71*F254+C254*Parameters!B$71-Parameters!$B$5*C254^2/F254*Parameters!B$71,0.0001)</f>
        <v>0.15238016065204324</v>
      </c>
      <c r="G255" s="5">
        <f>MAX((1-Parameters!$B$4)^Parameters!B$71*G254+D254*Parameters!B$71-Parameters!$B$5*D254^2/G254*Parameters!B$71,0.0001)</f>
        <v>4.3458200479934606</v>
      </c>
      <c r="I255" s="5">
        <f>I254*(1+Parameters!$B$52)^Parameters!B$71</f>
        <v>16.879346097106801</v>
      </c>
      <c r="J255" s="5">
        <f>J254*(1+Parameters!$B$54)^Parameters!B$71</f>
        <v>1304.4152284930019</v>
      </c>
      <c r="K255" s="5">
        <f>'6states'!$N$4</f>
        <v>0.98104277196026479</v>
      </c>
      <c r="L255" s="7">
        <f t="shared" si="36"/>
        <v>0.5</v>
      </c>
      <c r="N255" s="5">
        <f>(Parameters!$B$19*(E255+Parameters!$B$20)^L255+Parameters!$B$18*F255^L255)^(1/L255)</f>
        <v>0.54952835791020094</v>
      </c>
      <c r="O255" s="5">
        <f>(Parameters!$B$10*G255^Parameters!$B$9 + Parameters!$B$11*N255^Parameters!$B$9) ^ (Parameters!$B$7/Parameters!$B$9) * K255</f>
        <v>1.501952921487596</v>
      </c>
      <c r="P255" s="5">
        <f t="shared" si="31"/>
        <v>1.1452622043522185</v>
      </c>
      <c r="Q255" s="5">
        <f>EXP(-Parameters!$B$56*A255)</f>
        <v>2.259334240391098E-2</v>
      </c>
      <c r="R255" s="5">
        <f>IF(P255&gt;0,P255^(1-Parameters!$B$53)/(1-Parameters!$B$53)*Q255,-10+P255*1000)</f>
        <v>-6.1559589453524743E-2</v>
      </c>
      <c r="S255" s="5"/>
    </row>
    <row r="256" spans="1:19" x14ac:dyDescent="0.35">
      <c r="A256">
        <f>A255+Parameters!$B$71</f>
        <v>252</v>
      </c>
      <c r="B256" s="7">
        <f t="shared" si="37"/>
        <v>5.3289702319887791E-2</v>
      </c>
      <c r="C256" s="7">
        <f t="shared" si="38"/>
        <v>1.0277954020588648E-2</v>
      </c>
      <c r="D256" s="5">
        <f t="shared" si="39"/>
        <v>0.29312306079490108</v>
      </c>
      <c r="E256" s="5">
        <f>MAX((1-Parameters!$B$4)^Parameters!B$71*E255+B255*Parameters!B$71-Parameters!$B$5*B255^2/E255*Parameters!B$71,0.0001)</f>
        <v>0.7900690446319637</v>
      </c>
      <c r="F256" s="7">
        <f>MAX((1-Parameters!$B$4)^Parameters!B$71*F255+C255*Parameters!B$71-Parameters!$B$5*C255^2/F255*Parameters!B$71,0.0001)</f>
        <v>0.15238016049202721</v>
      </c>
      <c r="G256" s="5">
        <f>MAX((1-Parameters!$B$4)^Parameters!B$71*G255+D255*Parameters!B$71-Parameters!$B$5*D255^2/G255*Parameters!B$71,0.0001)</f>
        <v>4.3458200460397975</v>
      </c>
      <c r="I256" s="5">
        <f>I255*(1+Parameters!$B$52)^Parameters!B$71</f>
        <v>16.928296200788409</v>
      </c>
      <c r="J256" s="5">
        <f>J255*(1+Parameters!$B$54)^Parameters!B$71</f>
        <v>1330.5035330628621</v>
      </c>
      <c r="K256" s="5">
        <f>'6states'!$N$4</f>
        <v>0.98104277196026479</v>
      </c>
      <c r="L256" s="7">
        <f t="shared" si="36"/>
        <v>0.5</v>
      </c>
      <c r="N256" s="5">
        <f>(Parameters!$B$19*(E256+Parameters!$B$20)^L256+Parameters!$B$18*F256^L256)^(1/L256)</f>
        <v>0.54952835761141983</v>
      </c>
      <c r="O256" s="5">
        <f>(Parameters!$B$10*G256^Parameters!$B$9 + Parameters!$B$11*N256^Parameters!$B$9) ^ (Parameters!$B$7/Parameters!$B$9) * K256</f>
        <v>1.5019529212774083</v>
      </c>
      <c r="P256" s="5">
        <f t="shared" si="31"/>
        <v>1.1452622041420308</v>
      </c>
      <c r="Q256" s="5">
        <f>EXP(-Parameters!$B$56*A256)</f>
        <v>2.2254745771778255E-2</v>
      </c>
      <c r="R256" s="5">
        <f>IF(P256&gt;0,P256^(1-Parameters!$B$53)/(1-Parameters!$B$53)*Q256,-10+P256*1000)</f>
        <v>-6.0637022566173558E-2</v>
      </c>
      <c r="S256" s="5"/>
    </row>
    <row r="257" spans="1:19" x14ac:dyDescent="0.35">
      <c r="A257">
        <f>A256+Parameters!$B$71</f>
        <v>253</v>
      </c>
      <c r="B257" s="7">
        <f t="shared" si="37"/>
        <v>5.3289702319887791E-2</v>
      </c>
      <c r="C257" s="7">
        <f t="shared" si="38"/>
        <v>1.0277954020588648E-2</v>
      </c>
      <c r="D257" s="5">
        <f t="shared" si="39"/>
        <v>0.29312306079490108</v>
      </c>
      <c r="E257" s="5">
        <f>MAX((1-Parameters!$B$4)^Parameters!B$71*E256+B256*Parameters!B$71-Parameters!$B$5*B256^2/E256*Parameters!B$71,0.0001)</f>
        <v>0.79006904429501223</v>
      </c>
      <c r="F257" s="7">
        <f>MAX((1-Parameters!$B$4)^Parameters!B$71*F256+C256*Parameters!B$71-Parameters!$B$5*C256^2/F256*Parameters!B$71,0.0001)</f>
        <v>0.15238016034134821</v>
      </c>
      <c r="G257" s="5">
        <f>MAX((1-Parameters!$B$4)^Parameters!B$71*G256+D256*Parameters!B$71-Parameters!$B$5*D256^2/G256*Parameters!B$71,0.0001)</f>
        <v>4.3458200442001313</v>
      </c>
      <c r="I257" s="5">
        <f>I256*(1+Parameters!$B$52)^Parameters!B$71</f>
        <v>16.977388259770695</v>
      </c>
      <c r="J257" s="5">
        <f>J256*(1+Parameters!$B$54)^Parameters!B$71</f>
        <v>1357.1136037241192</v>
      </c>
      <c r="K257" s="5">
        <f>'6states'!$N$4</f>
        <v>0.98104277196026479</v>
      </c>
      <c r="L257" s="7">
        <f t="shared" si="36"/>
        <v>0.5</v>
      </c>
      <c r="N257" s="5">
        <f>(Parameters!$B$19*(E257+Parameters!$B$20)^L257+Parameters!$B$18*F257^L257)^(1/L257)</f>
        <v>0.54952835733007299</v>
      </c>
      <c r="O257" s="5">
        <f>(Parameters!$B$10*G257^Parameters!$B$9 + Parameters!$B$11*N257^Parameters!$B$9) ^ (Parameters!$B$7/Parameters!$B$9) * K257</f>
        <v>1.5019529210794853</v>
      </c>
      <c r="P257" s="5">
        <f t="shared" si="31"/>
        <v>1.1452622039441078</v>
      </c>
      <c r="Q257" s="5">
        <f>EXP(-Parameters!$B$56*A257)</f>
        <v>2.1921223540645702E-2</v>
      </c>
      <c r="R257" s="5">
        <f>IF(P257&gt;0,P257^(1-Parameters!$B$53)/(1-Parameters!$B$53)*Q257,-10+P257*1000)</f>
        <v>-5.9728281788700828E-2</v>
      </c>
      <c r="S257" s="5"/>
    </row>
    <row r="258" spans="1:19" x14ac:dyDescent="0.35">
      <c r="A258">
        <f>A257+Parameters!$B$71</f>
        <v>254</v>
      </c>
      <c r="B258" s="7">
        <f t="shared" si="37"/>
        <v>5.3289702319887791E-2</v>
      </c>
      <c r="C258" s="7">
        <f t="shared" si="38"/>
        <v>1.0277954020588648E-2</v>
      </c>
      <c r="D258" s="5">
        <f t="shared" si="39"/>
        <v>0.29312306079490108</v>
      </c>
      <c r="E258" s="5">
        <f>MAX((1-Parameters!$B$4)^Parameters!B$71*E257+B257*Parameters!B$71-Parameters!$B$5*B257^2/E257*Parameters!B$71,0.0001)</f>
        <v>0.79006904397772204</v>
      </c>
      <c r="F258" s="7">
        <f>MAX((1-Parameters!$B$4)^Parameters!B$71*F257+C257*Parameters!B$71-Parameters!$B$5*C257^2/F257*Parameters!B$71,0.0001)</f>
        <v>0.15238016019946143</v>
      </c>
      <c r="G258" s="5">
        <f>MAX((1-Parameters!$B$4)^Parameters!B$71*G257+D257*Parameters!B$71-Parameters!$B$5*D257^2/G257*Parameters!B$71,0.0001)</f>
        <v>4.3458200424678113</v>
      </c>
      <c r="I258" s="5">
        <f>I257*(1+Parameters!$B$52)^Parameters!B$71</f>
        <v>17.026622685724028</v>
      </c>
      <c r="J258" s="5">
        <f>J257*(1+Parameters!$B$54)^Parameters!B$71</f>
        <v>1384.2558757986017</v>
      </c>
      <c r="K258" s="5">
        <f>'6states'!$N$4</f>
        <v>0.98104277196026479</v>
      </c>
      <c r="L258" s="7">
        <f t="shared" si="36"/>
        <v>0.5</v>
      </c>
      <c r="N258" s="5">
        <f>(Parameters!$B$19*(E258+Parameters!$B$20)^L258+Parameters!$B$18*F258^L258)^(1/L258)</f>
        <v>0.5495283570651428</v>
      </c>
      <c r="O258" s="5">
        <f>(Parameters!$B$10*G258^Parameters!$B$9 + Parameters!$B$11*N258^Parameters!$B$9) ^ (Parameters!$B$7/Parameters!$B$9) * K258</f>
        <v>1.5019529208931111</v>
      </c>
      <c r="P258" s="5">
        <f t="shared" si="31"/>
        <v>1.1452622037577336</v>
      </c>
      <c r="Q258" s="5">
        <f>EXP(-Parameters!$B$56*A258)</f>
        <v>2.159269966266443E-2</v>
      </c>
      <c r="R258" s="5">
        <f>IF(P258&gt;0,P258^(1-Parameters!$B$53)/(1-Parameters!$B$53)*Q258,-10+P258*1000)</f>
        <v>-5.8833159915209501E-2</v>
      </c>
      <c r="S258" s="5"/>
    </row>
    <row r="259" spans="1:19" x14ac:dyDescent="0.35">
      <c r="A259">
        <f>A258+Parameters!$B$71</f>
        <v>255</v>
      </c>
      <c r="B259" s="7">
        <f t="shared" si="37"/>
        <v>5.3289702319887791E-2</v>
      </c>
      <c r="C259" s="7">
        <f t="shared" si="38"/>
        <v>1.0277954020588648E-2</v>
      </c>
      <c r="D259" s="5">
        <f t="shared" si="39"/>
        <v>0.29312306079490108</v>
      </c>
      <c r="E259" s="5">
        <f>MAX((1-Parameters!$B$4)^Parameters!B$71*E258+B258*Parameters!B$71-Parameters!$B$5*B258^2/E258*Parameters!B$71,0.0001)</f>
        <v>0.79006904367894593</v>
      </c>
      <c r="F259" s="7">
        <f>MAX((1-Parameters!$B$4)^Parameters!B$71*F258+C258*Parameters!B$71-Parameters!$B$5*C258^2/F258*Parameters!B$71,0.0001)</f>
        <v>0.15238016006585384</v>
      </c>
      <c r="G259" s="5">
        <f>MAX((1-Parameters!$B$4)^Parameters!B$71*G258+D258*Parameters!B$71-Parameters!$B$5*D258^2/G258*Parameters!B$71,0.0001)</f>
        <v>4.345820040836573</v>
      </c>
      <c r="I259" s="5">
        <f>I258*(1+Parameters!$B$52)^Parameters!B$71</f>
        <v>17.075999891512627</v>
      </c>
      <c r="J259" s="5">
        <f>J258*(1+Parameters!$B$54)^Parameters!B$71</f>
        <v>1411.9409933145737</v>
      </c>
      <c r="K259" s="5">
        <f>'6states'!$N$4</f>
        <v>0.98104277196026479</v>
      </c>
      <c r="L259" s="7">
        <f t="shared" si="36"/>
        <v>0.5</v>
      </c>
      <c r="N259" s="5">
        <f>(Parameters!$B$19*(E259+Parameters!$B$20)^L259+Parameters!$B$18*F259^L259)^(1/L259)</f>
        <v>0.54952835681567169</v>
      </c>
      <c r="O259" s="5">
        <f>(Parameters!$B$10*G259^Parameters!$B$9 + Parameters!$B$11*N259^Parameters!$B$9) ^ (Parameters!$B$7/Parameters!$B$9) * K259</f>
        <v>1.5019529207176119</v>
      </c>
      <c r="P259" s="5">
        <f t="shared" si="31"/>
        <v>1.1452622035822344</v>
      </c>
      <c r="Q259" s="5">
        <f>EXP(-Parameters!$B$56*A259)</f>
        <v>2.1269099229681749E-2</v>
      </c>
      <c r="R259" s="5">
        <f>IF(P259&gt;0,P259^(1-Parameters!$B$53)/(1-Parameters!$B$53)*Q259,-10+P259*1000)</f>
        <v>-5.7951452845106229E-2</v>
      </c>
      <c r="S259" s="5"/>
    </row>
    <row r="260" spans="1:19" x14ac:dyDescent="0.35">
      <c r="A260">
        <f>A259+Parameters!$B$71</f>
        <v>256</v>
      </c>
      <c r="B260" s="7">
        <f t="shared" si="37"/>
        <v>5.3289702319887791E-2</v>
      </c>
      <c r="C260" s="7">
        <f t="shared" si="38"/>
        <v>1.0277954020588648E-2</v>
      </c>
      <c r="D260" s="5">
        <f t="shared" si="39"/>
        <v>0.29312306079490108</v>
      </c>
      <c r="E260" s="5">
        <f>MAX((1-Parameters!$B$4)^Parameters!B$71*E259+B259*Parameters!B$71-Parameters!$B$5*B259^2/E259*Parameters!B$71,0.0001)</f>
        <v>0.79006904339760353</v>
      </c>
      <c r="F260" s="7">
        <f>MAX((1-Parameters!$B$4)^Parameters!B$71*F259+C259*Parameters!B$71-Parameters!$B$5*C259^2/F259*Parameters!B$71,0.0001)</f>
        <v>0.15238015994004231</v>
      </c>
      <c r="G260" s="5">
        <f>MAX((1-Parameters!$B$4)^Parameters!B$71*G259+D259*Parameters!B$71-Parameters!$B$5*D259^2/G259*Parameters!B$71,0.0001)</f>
        <v>4.3458200393005182</v>
      </c>
      <c r="I260" s="5">
        <f>I259*(1+Parameters!$B$52)^Parameters!B$71</f>
        <v>17.125520291198011</v>
      </c>
      <c r="J260" s="5">
        <f>J259*(1+Parameters!$B$54)^Parameters!B$71</f>
        <v>1440.1798131808653</v>
      </c>
      <c r="K260" s="5">
        <f>'6states'!$N$4</f>
        <v>0.98104277196026479</v>
      </c>
      <c r="L260" s="7">
        <f t="shared" si="36"/>
        <v>0.5</v>
      </c>
      <c r="N260" s="5">
        <f>(Parameters!$B$19*(E260+Parameters!$B$20)^L260+Parameters!$B$18*F260^L260)^(1/L260)</f>
        <v>0.54952835658075705</v>
      </c>
      <c r="O260" s="5">
        <f>(Parameters!$B$10*G260^Parameters!$B$9 + Parameters!$B$11*N260^Parameters!$B$9) ^ (Parameters!$B$7/Parameters!$B$9) * K260</f>
        <v>1.5019529205523532</v>
      </c>
      <c r="P260" s="5">
        <f t="shared" ref="P260:P304" si="40">O260-B260-C260-D260</f>
        <v>1.1452622034169757</v>
      </c>
      <c r="Q260" s="5">
        <f>EXP(-Parameters!$B$56*A260)</f>
        <v>2.0950348456160946E-2</v>
      </c>
      <c r="R260" s="5">
        <f>IF(P260&gt;0,P260^(1-Parameters!$B$53)/(1-Parameters!$B$53)*Q260,-10+P260*1000)</f>
        <v>-5.7082959536563289E-2</v>
      </c>
      <c r="S260" s="5"/>
    </row>
    <row r="261" spans="1:19" x14ac:dyDescent="0.35">
      <c r="A261">
        <f>A260+Parameters!$B$71</f>
        <v>257</v>
      </c>
      <c r="B261" s="7">
        <f t="shared" si="37"/>
        <v>5.3289702319887791E-2</v>
      </c>
      <c r="C261" s="7">
        <f t="shared" si="38"/>
        <v>1.0277954020588648E-2</v>
      </c>
      <c r="D261" s="5">
        <f t="shared" si="39"/>
        <v>0.29312306079490108</v>
      </c>
      <c r="E261" s="5">
        <f>MAX((1-Parameters!$B$4)^Parameters!B$71*E260+B260*Parameters!B$71-Parameters!$B$5*B260^2/E260*Parameters!B$71,0.0001)</f>
        <v>0.79006904313267767</v>
      </c>
      <c r="F261" s="7">
        <f>MAX((1-Parameters!$B$4)^Parameters!B$71*F260+C260*Parameters!B$71-Parameters!$B$5*C260^2/F260*Parameters!B$71,0.0001)</f>
        <v>0.15238015982157196</v>
      </c>
      <c r="G261" s="5">
        <f>MAX((1-Parameters!$B$4)^Parameters!B$71*G260+D260*Parameters!B$71-Parameters!$B$5*D260^2/G260*Parameters!B$71,0.0001)</f>
        <v>4.345820037854093</v>
      </c>
      <c r="I261" s="5">
        <f>I260*(1+Parameters!$B$52)^Parameters!B$71</f>
        <v>17.175184300042485</v>
      </c>
      <c r="J261" s="5">
        <f>J260*(1+Parameters!$B$54)^Parameters!B$71</f>
        <v>1468.9834094444825</v>
      </c>
      <c r="K261" s="5">
        <f>'6states'!$N$4</f>
        <v>0.98104277196026479</v>
      </c>
      <c r="L261" s="7">
        <f t="shared" si="36"/>
        <v>0.5</v>
      </c>
      <c r="N261" s="5">
        <f>(Parameters!$B$19*(E261+Parameters!$B$20)^L261+Parameters!$B$18*F261^L261)^(1/L261)</f>
        <v>0.54952835635955</v>
      </c>
      <c r="O261" s="5">
        <f>(Parameters!$B$10*G261^Parameters!$B$9 + Parameters!$B$11*N261^Parameters!$B$9) ^ (Parameters!$B$7/Parameters!$B$9) * K261</f>
        <v>1.5019529203967372</v>
      </c>
      <c r="P261" s="5">
        <f t="shared" si="40"/>
        <v>1.1452622032613597</v>
      </c>
      <c r="Q261" s="5">
        <f>EXP(-Parameters!$B$56*A261)</f>
        <v>2.0636374662357192E-2</v>
      </c>
      <c r="R261" s="5">
        <f>IF(P261&gt;0,P261^(1-Parameters!$B$53)/(1-Parameters!$B$53)*Q261,-10+P261*1000)</f>
        <v>-5.6227481960678442E-2</v>
      </c>
      <c r="S261" s="5"/>
    </row>
    <row r="262" spans="1:19" x14ac:dyDescent="0.35">
      <c r="A262">
        <f>A261+Parameters!$B$71</f>
        <v>258</v>
      </c>
      <c r="B262" s="7">
        <f t="shared" si="37"/>
        <v>5.3289702319887791E-2</v>
      </c>
      <c r="C262" s="7">
        <f t="shared" si="38"/>
        <v>1.0277954020588648E-2</v>
      </c>
      <c r="D262" s="5">
        <f t="shared" si="39"/>
        <v>0.29312306079490108</v>
      </c>
      <c r="E262" s="5">
        <f>MAX((1-Parameters!$B$4)^Parameters!B$71*E261+B261*Parameters!B$71-Parameters!$B$5*B261^2/E261*Parameters!B$71,0.0001)</f>
        <v>0.79006904288321034</v>
      </c>
      <c r="F262" s="7">
        <f>MAX((1-Parameters!$B$4)^Parameters!B$71*F261+C261*Parameters!B$71-Parameters!$B$5*C261^2/F261*Parameters!B$71,0.0001)</f>
        <v>0.15238015971001445</v>
      </c>
      <c r="G262" s="5">
        <f>MAX((1-Parameters!$B$4)^Parameters!B$71*G261+D261*Parameters!B$71-Parameters!$B$5*D261^2/G261*Parameters!B$71,0.0001)</f>
        <v>4.3458200364920687</v>
      </c>
      <c r="I262" s="5">
        <f>I261*(1+Parameters!$B$52)^Parameters!B$71</f>
        <v>17.224992334512606</v>
      </c>
      <c r="J262" s="5">
        <f>J261*(1+Parameters!$B$54)^Parameters!B$71</f>
        <v>1498.3630776333721</v>
      </c>
      <c r="K262" s="5">
        <f>'6states'!$N$4</f>
        <v>0.98104277196026479</v>
      </c>
      <c r="L262" s="7">
        <f t="shared" si="36"/>
        <v>0.5</v>
      </c>
      <c r="N262" s="5">
        <f>(Parameters!$B$19*(E262+Parameters!$B$20)^L262+Parameters!$B$18*F262^L262)^(1/L262)</f>
        <v>0.54952835615125051</v>
      </c>
      <c r="O262" s="5">
        <f>(Parameters!$B$10*G262^Parameters!$B$9 + Parameters!$B$11*N262^Parameters!$B$9) ^ (Parameters!$B$7/Parameters!$B$9) * K262</f>
        <v>1.5019529202502022</v>
      </c>
      <c r="P262" s="5">
        <f t="shared" si="40"/>
        <v>1.1452622031148247</v>
      </c>
      <c r="Q262" s="5">
        <f>EXP(-Parameters!$B$56*A262)</f>
        <v>2.03271062577455E-2</v>
      </c>
      <c r="R262" s="5">
        <f>IF(P262&gt;0,P262^(1-Parameters!$B$53)/(1-Parameters!$B$53)*Q262,-10+P262*1000)</f>
        <v>-5.5384825056321675E-2</v>
      </c>
      <c r="S262" s="5"/>
    </row>
    <row r="263" spans="1:19" x14ac:dyDescent="0.35">
      <c r="A263">
        <f>A262+Parameters!$B$71</f>
        <v>259</v>
      </c>
      <c r="B263" s="7">
        <f t="shared" si="37"/>
        <v>5.3289702319887791E-2</v>
      </c>
      <c r="C263" s="7">
        <f t="shared" si="38"/>
        <v>1.0277954020588648E-2</v>
      </c>
      <c r="D263" s="5">
        <f t="shared" si="39"/>
        <v>0.29312306079490108</v>
      </c>
      <c r="E263" s="5">
        <f>MAX((1-Parameters!$B$4)^Parameters!B$71*E262+B262*Parameters!B$71-Parameters!$B$5*B262^2/E262*Parameters!B$71,0.0001)</f>
        <v>0.79006904264829958</v>
      </c>
      <c r="F263" s="7">
        <f>MAX((1-Parameters!$B$4)^Parameters!B$71*F262+C262*Parameters!B$71-Parameters!$B$5*C262^2/F262*Parameters!B$71,0.0001)</f>
        <v>0.15238015960496637</v>
      </c>
      <c r="G263" s="5">
        <f>MAX((1-Parameters!$B$4)^Parameters!B$71*G262+D262*Parameters!B$71-Parameters!$B$5*D262^2/G262*Parameters!B$71,0.0001)</f>
        <v>4.3458200352095187</v>
      </c>
      <c r="I263" s="5">
        <f>I262*(1+Parameters!$B$52)^Parameters!B$71</f>
        <v>17.274944812282691</v>
      </c>
      <c r="J263" s="5">
        <f>J262*(1+Parameters!$B$54)^Parameters!B$71</f>
        <v>1528.3303391860395</v>
      </c>
      <c r="K263" s="5">
        <f>'6states'!$N$4</f>
        <v>0.98104277196026479</v>
      </c>
      <c r="L263" s="7">
        <f t="shared" si="36"/>
        <v>0.5</v>
      </c>
      <c r="N263" s="5">
        <f>(Parameters!$B$19*(E263+Parameters!$B$20)^L263+Parameters!$B$18*F263^L263)^(1/L263)</f>
        <v>0.54952835595510519</v>
      </c>
      <c r="O263" s="5">
        <f>(Parameters!$B$10*G263^Parameters!$B$9 + Parameters!$B$11*N263^Parameters!$B$9) ^ (Parameters!$B$7/Parameters!$B$9) * K263</f>
        <v>1.5019529201122173</v>
      </c>
      <c r="P263" s="5">
        <f t="shared" si="40"/>
        <v>1.1452622029768398</v>
      </c>
      <c r="Q263" s="5">
        <f>EXP(-Parameters!$B$56*A263)</f>
        <v>2.0022472724697045E-2</v>
      </c>
      <c r="R263" s="5">
        <f>IF(P263&gt;0,P263^(1-Parameters!$B$53)/(1-Parameters!$B$53)*Q263,-10+P263*1000)</f>
        <v>-5.4554796685658463E-2</v>
      </c>
      <c r="S263" s="5"/>
    </row>
    <row r="264" spans="1:19" x14ac:dyDescent="0.35">
      <c r="A264">
        <f>A263+Parameters!$B$71</f>
        <v>260</v>
      </c>
      <c r="B264" s="7">
        <f t="shared" si="37"/>
        <v>5.3289702319887791E-2</v>
      </c>
      <c r="C264" s="7">
        <f t="shared" si="38"/>
        <v>1.0277954020588648E-2</v>
      </c>
      <c r="D264" s="5">
        <f t="shared" si="39"/>
        <v>0.29312306079490108</v>
      </c>
      <c r="E264" s="5">
        <f>MAX((1-Parameters!$B$4)^Parameters!B$71*E263+B263*Parameters!B$71-Parameters!$B$5*B263^2/E263*Parameters!B$71,0.0001)</f>
        <v>0.79006904242709597</v>
      </c>
      <c r="F264" s="7">
        <f>MAX((1-Parameters!$B$4)^Parameters!B$71*F263+C263*Parameters!B$71-Parameters!$B$5*C263^2/F263*Parameters!B$71,0.0001)</f>
        <v>0.15238015950604791</v>
      </c>
      <c r="G264" s="5">
        <f>MAX((1-Parameters!$B$4)^Parameters!B$71*G263+D263*Parameters!B$71-Parameters!$B$5*D263^2/G263*Parameters!B$71,0.0001)</f>
        <v>4.3458200340018065</v>
      </c>
      <c r="I264" s="5">
        <f>I263*(1+Parameters!$B$52)^Parameters!B$71</f>
        <v>17.325042152238307</v>
      </c>
      <c r="J264" s="5">
        <f>J263*(1+Parameters!$B$54)^Parameters!B$71</f>
        <v>1558.8969459697603</v>
      </c>
      <c r="K264" s="5">
        <f>'6states'!$N$4</f>
        <v>0.98104277196026479</v>
      </c>
      <c r="L264" s="7">
        <f t="shared" si="36"/>
        <v>0.5</v>
      </c>
      <c r="N264" s="5">
        <f>(Parameters!$B$19*(E264+Parameters!$B$20)^L264+Parameters!$B$18*F264^L264)^(1/L264)</f>
        <v>0.54952835577040537</v>
      </c>
      <c r="O264" s="5">
        <f>(Parameters!$B$10*G264^Parameters!$B$9 + Parameters!$B$11*N264^Parameters!$B$9) ^ (Parameters!$B$7/Parameters!$B$9) * K264</f>
        <v>1.5019529199822839</v>
      </c>
      <c r="P264" s="5">
        <f t="shared" si="40"/>
        <v>1.1452622028469064</v>
      </c>
      <c r="Q264" s="5">
        <f>EXP(-Parameters!$B$56*A264)</f>
        <v>1.9722404602400177E-2</v>
      </c>
      <c r="R264" s="5">
        <f>IF(P264&gt;0,P264^(1-Parameters!$B$53)/(1-Parameters!$B$53)*Q264,-10+P264*1000)</f>
        <v>-5.3737207590339744E-2</v>
      </c>
      <c r="S264" s="5"/>
    </row>
    <row r="265" spans="1:19" x14ac:dyDescent="0.35">
      <c r="A265">
        <f>A264+Parameters!$B$71</f>
        <v>261</v>
      </c>
      <c r="B265" s="7">
        <f t="shared" si="37"/>
        <v>5.3289702319887791E-2</v>
      </c>
      <c r="C265" s="7">
        <f t="shared" si="38"/>
        <v>1.0277954020588648E-2</v>
      </c>
      <c r="D265" s="5">
        <f t="shared" si="39"/>
        <v>0.29312306079490108</v>
      </c>
      <c r="E265" s="5">
        <f>MAX((1-Parameters!$B$4)^Parameters!B$71*E264+B264*Parameters!B$71-Parameters!$B$5*B264^2/E264*Parameters!B$71,0.0001)</f>
        <v>0.79006904221879981</v>
      </c>
      <c r="F265" s="7">
        <f>MAX((1-Parameters!$B$4)^Parameters!B$71*F264+C264*Parameters!B$71-Parameters!$B$5*C264^2/F264*Parameters!B$71,0.0001)</f>
        <v>0.15238015941290139</v>
      </c>
      <c r="G265" s="5">
        <f>MAX((1-Parameters!$B$4)^Parameters!B$71*G264+D264*Parameters!B$71-Parameters!$B$5*D264^2/G264*Parameters!B$71,0.0001)</f>
        <v>4.3458200328645642</v>
      </c>
      <c r="I265" s="5">
        <f>I264*(1+Parameters!$B$52)^Parameters!B$71</f>
        <v>17.375284774479798</v>
      </c>
      <c r="J265" s="5">
        <f>J264*(1+Parameters!$B$54)^Parameters!B$71</f>
        <v>1590.0748848891556</v>
      </c>
      <c r="K265" s="5">
        <f>'6states'!$N$4</f>
        <v>0.98104277196026479</v>
      </c>
      <c r="L265" s="7">
        <f t="shared" si="36"/>
        <v>0.5</v>
      </c>
      <c r="N265" s="5">
        <f>(Parameters!$B$19*(E265+Parameters!$B$20)^L265+Parameters!$B$18*F265^L265)^(1/L265)</f>
        <v>0.54952835559648272</v>
      </c>
      <c r="O265" s="5">
        <f>(Parameters!$B$10*G265^Parameters!$B$9 + Parameters!$B$11*N265^Parameters!$B$9) ^ (Parameters!$B$7/Parameters!$B$9) * K265</f>
        <v>1.5019529198599315</v>
      </c>
      <c r="P265" s="5">
        <f t="shared" si="40"/>
        <v>1.145262202724554</v>
      </c>
      <c r="Q265" s="5">
        <f>EXP(-Parameters!$B$56*A265)</f>
        <v>1.9426833471022302E-2</v>
      </c>
      <c r="R265" s="5">
        <f>IF(P265&gt;0,P265^(1-Parameters!$B$53)/(1-Parameters!$B$53)*Q265,-10+P265*1000)</f>
        <v>-5.2931871348348418E-2</v>
      </c>
      <c r="S265" s="5"/>
    </row>
    <row r="266" spans="1:19" x14ac:dyDescent="0.35">
      <c r="A266">
        <f>A265+Parameters!$B$71</f>
        <v>262</v>
      </c>
      <c r="B266" s="7">
        <f t="shared" si="37"/>
        <v>5.3289702319887791E-2</v>
      </c>
      <c r="C266" s="7">
        <f t="shared" si="38"/>
        <v>1.0277954020588648E-2</v>
      </c>
      <c r="D266" s="5">
        <f t="shared" si="39"/>
        <v>0.29312306079490108</v>
      </c>
      <c r="E266" s="5">
        <f>MAX((1-Parameters!$B$4)^Parameters!B$71*E265+B265*Parameters!B$71-Parameters!$B$5*B265^2/E265*Parameters!B$71,0.0001)</f>
        <v>0.79006904202265782</v>
      </c>
      <c r="F266" s="7">
        <f>MAX((1-Parameters!$B$4)^Parameters!B$71*F265+C265*Parameters!B$71-Parameters!$B$5*C265^2/F265*Parameters!B$71,0.0001)</f>
        <v>0.15238015932519003</v>
      </c>
      <c r="G266" s="5">
        <f>MAX((1-Parameters!$B$4)^Parameters!B$71*G265+D265*Parameters!B$71-Parameters!$B$5*D265^2/G265*Parameters!B$71,0.0001)</f>
        <v>4.3458200317936813</v>
      </c>
      <c r="I266" s="5">
        <f>I265*(1+Parameters!$B$52)^Parameters!B$71</f>
        <v>17.425673100325788</v>
      </c>
      <c r="J266" s="5">
        <f>J265*(1+Parameters!$B$54)^Parameters!B$71</f>
        <v>1621.8763825869387</v>
      </c>
      <c r="K266" s="5">
        <f>'6states'!$N$4</f>
        <v>0.98104277196026479</v>
      </c>
      <c r="L266" s="7">
        <f t="shared" si="36"/>
        <v>0.5</v>
      </c>
      <c r="N266" s="5">
        <f>(Parameters!$B$19*(E266+Parameters!$B$20)^L266+Parameters!$B$18*F266^L266)^(1/L266)</f>
        <v>0.5495283554327085</v>
      </c>
      <c r="O266" s="5">
        <f>(Parameters!$B$10*G266^Parameters!$B$9 + Parameters!$B$11*N266^Parameters!$B$9) ^ (Parameters!$B$7/Parameters!$B$9) * K266</f>
        <v>1.5019529197447192</v>
      </c>
      <c r="P266" s="5">
        <f t="shared" si="40"/>
        <v>1.1452622026093418</v>
      </c>
      <c r="Q266" s="5">
        <f>EXP(-Parameters!$B$56*A266)</f>
        <v>1.9135691936109211E-2</v>
      </c>
      <c r="R266" s="5">
        <f>IF(P266&gt;0,P266^(1-Parameters!$B$53)/(1-Parameters!$B$53)*Q266,-10+P266*1000)</f>
        <v>-5.2138604331492373E-2</v>
      </c>
      <c r="S266" s="5"/>
    </row>
    <row r="267" spans="1:19" x14ac:dyDescent="0.35">
      <c r="A267">
        <f>A266+Parameters!$B$71</f>
        <v>263</v>
      </c>
      <c r="B267" s="7">
        <f t="shared" si="37"/>
        <v>5.3289702319887791E-2</v>
      </c>
      <c r="C267" s="7">
        <f t="shared" si="38"/>
        <v>1.0277954020588648E-2</v>
      </c>
      <c r="D267" s="5">
        <f t="shared" si="39"/>
        <v>0.29312306079490108</v>
      </c>
      <c r="E267" s="5">
        <f>MAX((1-Parameters!$B$4)^Parameters!B$71*E266+B266*Parameters!B$71-Parameters!$B$5*B266^2/E266*Parameters!B$71,0.0001)</f>
        <v>0.79006904183796078</v>
      </c>
      <c r="F267" s="7">
        <f>MAX((1-Parameters!$B$4)^Parameters!B$71*F266+C266*Parameters!B$71-Parameters!$B$5*C266^2/F266*Parameters!B$71,0.0001)</f>
        <v>0.15238015924259668</v>
      </c>
      <c r="G267" s="5">
        <f>MAX((1-Parameters!$B$4)^Parameters!B$71*G266+D266*Parameters!B$71-Parameters!$B$5*D266^2/G266*Parameters!B$71,0.0001)</f>
        <v>4.3458200307852852</v>
      </c>
      <c r="I267" s="5">
        <f>I266*(1+Parameters!$B$52)^Parameters!B$71</f>
        <v>17.47620755231673</v>
      </c>
      <c r="J267" s="5">
        <f>J266*(1+Parameters!$B$54)^Parameters!B$71</f>
        <v>1654.3139102386774</v>
      </c>
      <c r="K267" s="5">
        <f>'6states'!$N$4</f>
        <v>0.98104277196026479</v>
      </c>
      <c r="L267" s="7">
        <f t="shared" si="36"/>
        <v>0.5</v>
      </c>
      <c r="N267" s="5">
        <f>(Parameters!$B$19*(E267+Parameters!$B$20)^L267+Parameters!$B$18*F267^L267)^(1/L267)</f>
        <v>0.54952835527849075</v>
      </c>
      <c r="O267" s="5">
        <f>(Parameters!$B$10*G267^Parameters!$B$9 + Parameters!$B$11*N267^Parameters!$B$9) ^ (Parameters!$B$7/Parameters!$B$9) * K267</f>
        <v>1.5019529196362296</v>
      </c>
      <c r="P267" s="5">
        <f t="shared" si="40"/>
        <v>1.1452622025008521</v>
      </c>
      <c r="Q267" s="5">
        <f>EXP(-Parameters!$B$56*A267)</f>
        <v>1.88489136132182E-2</v>
      </c>
      <c r="R267" s="5">
        <f>IF(P267&gt;0,P267^(1-Parameters!$B$53)/(1-Parameters!$B$53)*Q267,-10+P267*1000)</f>
        <v>-5.1357225663534983E-2</v>
      </c>
      <c r="S267" s="5"/>
    </row>
    <row r="268" spans="1:19" x14ac:dyDescent="0.35">
      <c r="A268">
        <f>A267+Parameters!$B$71</f>
        <v>264</v>
      </c>
      <c r="B268" s="7">
        <f t="shared" si="37"/>
        <v>5.3289702319887791E-2</v>
      </c>
      <c r="C268" s="7">
        <f t="shared" si="38"/>
        <v>1.0277954020588648E-2</v>
      </c>
      <c r="D268" s="5">
        <f t="shared" si="39"/>
        <v>0.29312306079490108</v>
      </c>
      <c r="E268" s="5">
        <f>MAX((1-Parameters!$B$4)^Parameters!B$71*E267+B267*Parameters!B$71-Parameters!$B$5*B267^2/E267*Parameters!B$71,0.0001)</f>
        <v>0.79006904166404091</v>
      </c>
      <c r="F268" s="7">
        <f>MAX((1-Parameters!$B$4)^Parameters!B$71*F267+C267*Parameters!B$71-Parameters!$B$5*C267^2/F267*Parameters!B$71,0.0001)</f>
        <v>0.1523801591648227</v>
      </c>
      <c r="G268" s="5">
        <f>MAX((1-Parameters!$B$4)^Parameters!B$71*G267+D267*Parameters!B$71-Parameters!$B$5*D267^2/G267*Parameters!B$71,0.0001)</f>
        <v>4.3458200298357292</v>
      </c>
      <c r="I268" s="5">
        <f>I267*(1+Parameters!$B$52)^Parameters!B$71</f>
        <v>17.526888554218445</v>
      </c>
      <c r="J268" s="5">
        <f>J267*(1+Parameters!$B$54)^Parameters!B$71</f>
        <v>1687.400188443451</v>
      </c>
      <c r="K268" s="5">
        <f>'6states'!$N$4</f>
        <v>0.98104277196026479</v>
      </c>
      <c r="L268" s="7">
        <f t="shared" si="36"/>
        <v>0.5</v>
      </c>
      <c r="N268" s="5">
        <f>(Parameters!$B$19*(E268+Parameters!$B$20)^L268+Parameters!$B$18*F268^L268)^(1/L268)</f>
        <v>0.54952835513327158</v>
      </c>
      <c r="O268" s="5">
        <f>(Parameters!$B$10*G268^Parameters!$B$9 + Parameters!$B$11*N268^Parameters!$B$9) ^ (Parameters!$B$7/Parameters!$B$9) * K268</f>
        <v>1.5019529195340704</v>
      </c>
      <c r="P268" s="5">
        <f t="shared" si="40"/>
        <v>1.1452622023986929</v>
      </c>
      <c r="Q268" s="5">
        <f>EXP(-Parameters!$B$56*A268)</f>
        <v>1.8566433112781416E-2</v>
      </c>
      <c r="R268" s="5">
        <f>IF(P268&gt;0,P268^(1-Parameters!$B$53)/(1-Parameters!$B$53)*Q268,-10+P268*1000)</f>
        <v>-5.0587557178952559E-2</v>
      </c>
      <c r="S268" s="5"/>
    </row>
    <row r="269" spans="1:19" x14ac:dyDescent="0.35">
      <c r="A269">
        <f>A268+Parameters!$B$71</f>
        <v>265</v>
      </c>
      <c r="B269" s="7">
        <f t="shared" ref="B269:B304" si="41">B268</f>
        <v>5.3289702319887791E-2</v>
      </c>
      <c r="C269" s="7">
        <f t="shared" ref="C269:C304" si="42">C268</f>
        <v>1.0277954020588648E-2</v>
      </c>
      <c r="D269" s="5">
        <f t="shared" ref="D269:D304" si="43">D268</f>
        <v>0.29312306079490108</v>
      </c>
      <c r="E269" s="5">
        <f>MAX((1-Parameters!$B$4)^Parameters!B$71*E268+B268*Parameters!B$71-Parameters!$B$5*B268^2/E268*Parameters!B$71,0.0001)</f>
        <v>0.79006904150026946</v>
      </c>
      <c r="F269" s="7">
        <f>MAX((1-Parameters!$B$4)^Parameters!B$71*F268+C268*Parameters!B$71-Parameters!$B$5*C268^2/F268*Parameters!B$71,0.0001)</f>
        <v>0.15238015909158686</v>
      </c>
      <c r="G269" s="5">
        <f>MAX((1-Parameters!$B$4)^Parameters!B$71*G268+D268*Parameters!B$71-Parameters!$B$5*D268^2/G268*Parameters!B$71,0.0001)</f>
        <v>4.3458200289415805</v>
      </c>
      <c r="I269" s="5">
        <f>I268*(1+Parameters!$B$52)^Parameters!B$71</f>
        <v>17.577716531025676</v>
      </c>
      <c r="J269" s="5">
        <f>J268*(1+Parameters!$B$54)^Parameters!B$71</f>
        <v>1721.1481922123201</v>
      </c>
      <c r="K269" s="5">
        <f>'6states'!$N$4</f>
        <v>0.98104277196026479</v>
      </c>
      <c r="L269" s="7">
        <f t="shared" ref="L269:L304" si="44">L268</f>
        <v>0.5</v>
      </c>
      <c r="N269" s="5">
        <f>(Parameters!$B$19*(E269+Parameters!$B$20)^L269+Parameters!$B$18*F269^L269)^(1/L269)</f>
        <v>0.54952835499652608</v>
      </c>
      <c r="O269" s="5">
        <f>(Parameters!$B$10*G269^Parameters!$B$9 + Parameters!$B$11*N269^Parameters!$B$9) ^ (Parameters!$B$7/Parameters!$B$9) * K269</f>
        <v>1.5019529194378718</v>
      </c>
      <c r="P269" s="5">
        <f t="shared" si="40"/>
        <v>1.1452622023024943</v>
      </c>
      <c r="Q269" s="5">
        <f>EXP(-Parameters!$B$56*A269)</f>
        <v>1.8288186025196128E-2</v>
      </c>
      <c r="R269" s="5">
        <f>IF(P269&gt;0,P269^(1-Parameters!$B$53)/(1-Parameters!$B$53)*Q269,-10+P269*1000)</f>
        <v>-4.9829423382310209E-2</v>
      </c>
      <c r="S269" s="5"/>
    </row>
    <row r="270" spans="1:19" x14ac:dyDescent="0.35">
      <c r="A270">
        <f>A269+Parameters!$B$71</f>
        <v>266</v>
      </c>
      <c r="B270" s="7">
        <f t="shared" si="41"/>
        <v>5.3289702319887791E-2</v>
      </c>
      <c r="C270" s="7">
        <f t="shared" si="42"/>
        <v>1.0277954020588648E-2</v>
      </c>
      <c r="D270" s="5">
        <f t="shared" si="43"/>
        <v>0.29312306079490108</v>
      </c>
      <c r="E270" s="5">
        <f>MAX((1-Parameters!$B$4)^Parameters!B$71*E269+B269*Parameters!B$71-Parameters!$B$5*B269^2/E269*Parameters!B$71,0.0001)</f>
        <v>0.79006904134605416</v>
      </c>
      <c r="F270" s="7">
        <f>MAX((1-Parameters!$B$4)^Parameters!B$71*F269+C269*Parameters!B$71-Parameters!$B$5*C269^2/F269*Parameters!B$71,0.0001)</f>
        <v>0.15238015902262439</v>
      </c>
      <c r="G270" s="5">
        <f>MAX((1-Parameters!$B$4)^Parameters!B$71*G269+D269*Parameters!B$71-Parameters!$B$5*D269^2/G269*Parameters!B$71,0.0001)</f>
        <v>4.345820028099606</v>
      </c>
      <c r="I270" s="5">
        <f>I269*(1+Parameters!$B$52)^Parameters!B$71</f>
        <v>17.628691908965649</v>
      </c>
      <c r="J270" s="5">
        <f>J269*(1+Parameters!$B$54)^Parameters!B$71</f>
        <v>1755.5711560565665</v>
      </c>
      <c r="K270" s="5">
        <f>'6states'!$N$4</f>
        <v>0.98104277196026479</v>
      </c>
      <c r="L270" s="7">
        <f t="shared" si="44"/>
        <v>0.5</v>
      </c>
      <c r="N270" s="5">
        <f>(Parameters!$B$19*(E270+Parameters!$B$20)^L270+Parameters!$B$18*F270^L270)^(1/L270)</f>
        <v>0.54952835486775986</v>
      </c>
      <c r="O270" s="5">
        <f>(Parameters!$B$10*G270^Parameters!$B$9 + Parameters!$B$11*N270^Parameters!$B$9) ^ (Parameters!$B$7/Parameters!$B$9) * K270</f>
        <v>1.5019529193472867</v>
      </c>
      <c r="P270" s="5">
        <f t="shared" si="40"/>
        <v>1.1452622022119092</v>
      </c>
      <c r="Q270" s="5">
        <f>EXP(-Parameters!$B$56*A270)</f>
        <v>1.8014108906138429E-2</v>
      </c>
      <c r="R270" s="5">
        <f>IF(P270&gt;0,P270^(1-Parameters!$B$53)/(1-Parameters!$B$53)*Q270,-10+P270*1000)</f>
        <v>-4.9082651408246483E-2</v>
      </c>
      <c r="S270" s="5"/>
    </row>
    <row r="271" spans="1:19" x14ac:dyDescent="0.35">
      <c r="A271">
        <f>A270+Parameters!$B$71</f>
        <v>267</v>
      </c>
      <c r="B271" s="7">
        <f t="shared" si="41"/>
        <v>5.3289702319887791E-2</v>
      </c>
      <c r="C271" s="7">
        <f t="shared" si="42"/>
        <v>1.0277954020588648E-2</v>
      </c>
      <c r="D271" s="5">
        <f t="shared" si="43"/>
        <v>0.29312306079490108</v>
      </c>
      <c r="E271" s="5">
        <f>MAX((1-Parameters!$B$4)^Parameters!B$71*E270+B270*Parameters!B$71-Parameters!$B$5*B270^2/E270*Parameters!B$71,0.0001)</f>
        <v>0.79006904120083732</v>
      </c>
      <c r="F271" s="7">
        <f>MAX((1-Parameters!$B$4)^Parameters!B$71*F270+C270*Parameters!B$71-Parameters!$B$5*C270^2/F270*Parameters!B$71,0.0001)</f>
        <v>0.15238015895768592</v>
      </c>
      <c r="G271" s="5">
        <f>MAX((1-Parameters!$B$4)^Parameters!B$71*G270+D270*Parameters!B$71-Parameters!$B$5*D270^2/G270*Parameters!B$71,0.0001)</f>
        <v>4.3458200273067611</v>
      </c>
      <c r="I271" s="5">
        <f>I270*(1+Parameters!$B$52)^Parameters!B$71</f>
        <v>17.679815115501647</v>
      </c>
      <c r="J271" s="5">
        <f>J270*(1+Parameters!$B$54)^Parameters!B$71</f>
        <v>1790.6825791776978</v>
      </c>
      <c r="K271" s="5">
        <f>'6states'!$N$4</f>
        <v>0.98104277196026479</v>
      </c>
      <c r="L271" s="7">
        <f t="shared" si="44"/>
        <v>0.5</v>
      </c>
      <c r="N271" s="5">
        <f>(Parameters!$B$19*(E271+Parameters!$B$20)^L271+Parameters!$B$18*F271^L271)^(1/L271)</f>
        <v>0.54952835474650696</v>
      </c>
      <c r="O271" s="5">
        <f>(Parameters!$B$10*G271^Parameters!$B$9 + Parameters!$B$11*N271^Parameters!$B$9) ^ (Parameters!$B$7/Parameters!$B$9) * K271</f>
        <v>1.5019529192619876</v>
      </c>
      <c r="P271" s="5">
        <f t="shared" si="40"/>
        <v>1.1452622021266101</v>
      </c>
      <c r="Q271" s="5">
        <f>EXP(-Parameters!$B$56*A271)</f>
        <v>1.7744139262096965E-2</v>
      </c>
      <c r="R271" s="5">
        <f>IF(P271&gt;0,P271^(1-Parameters!$B$53)/(1-Parameters!$B$53)*Q271,-10+P271*1000)</f>
        <v>-4.834707098205749E-2</v>
      </c>
      <c r="S271" s="5"/>
    </row>
    <row r="272" spans="1:19" x14ac:dyDescent="0.35">
      <c r="A272">
        <f>A271+Parameters!$B$71</f>
        <v>268</v>
      </c>
      <c r="B272" s="7">
        <f t="shared" si="41"/>
        <v>5.3289702319887791E-2</v>
      </c>
      <c r="C272" s="7">
        <f t="shared" si="42"/>
        <v>1.0277954020588648E-2</v>
      </c>
      <c r="D272" s="5">
        <f t="shared" si="43"/>
        <v>0.29312306079490108</v>
      </c>
      <c r="E272" s="5">
        <f>MAX((1-Parameters!$B$4)^Parameters!B$71*E271+B271*Parameters!B$71-Parameters!$B$5*B271^2/E271*Parameters!B$71,0.0001)</f>
        <v>0.79006904106409404</v>
      </c>
      <c r="F272" s="7">
        <f>MAX((1-Parameters!$B$4)^Parameters!B$71*F271+C271*Parameters!B$71-Parameters!$B$5*C271^2/F271*Parameters!B$71,0.0001)</f>
        <v>0.15238015889653664</v>
      </c>
      <c r="G272" s="5">
        <f>MAX((1-Parameters!$B$4)^Parameters!B$71*G271+D271*Parameters!B$71-Parameters!$B$5*D271^2/G271*Parameters!B$71,0.0001)</f>
        <v>4.3458200265601787</v>
      </c>
      <c r="I272" s="5">
        <f>I271*(1+Parameters!$B$52)^Parameters!B$71</f>
        <v>17.731086579336601</v>
      </c>
      <c r="J272" s="5">
        <f>J271*(1+Parameters!$B$54)^Parameters!B$71</f>
        <v>1826.4962307612518</v>
      </c>
      <c r="K272" s="5">
        <f>'6states'!$N$4</f>
        <v>0.98104277196026479</v>
      </c>
      <c r="L272" s="7">
        <f t="shared" si="44"/>
        <v>0.5</v>
      </c>
      <c r="N272" s="5">
        <f>(Parameters!$B$19*(E272+Parameters!$B$20)^L272+Parameters!$B$18*F272^L272)^(1/L272)</f>
        <v>0.54952835463232952</v>
      </c>
      <c r="O272" s="5">
        <f>(Parameters!$B$10*G272^Parameters!$B$9 + Parameters!$B$11*N272^Parameters!$B$9) ^ (Parameters!$B$7/Parameters!$B$9) * K272</f>
        <v>1.5019529191816652</v>
      </c>
      <c r="P272" s="5">
        <f t="shared" si="40"/>
        <v>1.1452622020462877</v>
      </c>
      <c r="Q272" s="5">
        <f>EXP(-Parameters!$B$56*A272)</f>
        <v>1.7478215536123588E-2</v>
      </c>
      <c r="R272" s="5">
        <f>IF(P272&gt;0,P272^(1-Parameters!$B$53)/(1-Parameters!$B$53)*Q272,-10+P272*1000)</f>
        <v>-4.7622514380872095E-2</v>
      </c>
      <c r="S272" s="5"/>
    </row>
    <row r="273" spans="1:19" x14ac:dyDescent="0.35">
      <c r="A273">
        <f>A272+Parameters!$B$71</f>
        <v>269</v>
      </c>
      <c r="B273" s="7">
        <f t="shared" si="41"/>
        <v>5.3289702319887791E-2</v>
      </c>
      <c r="C273" s="7">
        <f t="shared" si="42"/>
        <v>1.0277954020588648E-2</v>
      </c>
      <c r="D273" s="5">
        <f t="shared" si="43"/>
        <v>0.29312306079490108</v>
      </c>
      <c r="E273" s="5">
        <f>MAX((1-Parameters!$B$4)^Parameters!B$71*E272+B272*Parameters!B$71-Parameters!$B$5*B272^2/E272*Parameters!B$71,0.0001)</f>
        <v>0.7900690409353297</v>
      </c>
      <c r="F273" s="7">
        <f>MAX((1-Parameters!$B$4)^Parameters!B$71*F272+C272*Parameters!B$71-Parameters!$B$5*C272^2/F272*Parameters!B$71,0.0001)</f>
        <v>0.15238015883895545</v>
      </c>
      <c r="G273" s="5">
        <f>MAX((1-Parameters!$B$4)^Parameters!B$71*G272+D272*Parameters!B$71-Parameters!$B$5*D272^2/G272*Parameters!B$71,0.0001)</f>
        <v>4.3458200258571598</v>
      </c>
      <c r="I273" s="5">
        <f>I272*(1+Parameters!$B$52)^Parameters!B$71</f>
        <v>17.782506730416674</v>
      </c>
      <c r="J273" s="5">
        <f>J272*(1+Parameters!$B$54)^Parameters!B$71</f>
        <v>1863.0261553764769</v>
      </c>
      <c r="K273" s="5">
        <f>'6states'!$N$4</f>
        <v>0.98104277196026479</v>
      </c>
      <c r="L273" s="7">
        <f t="shared" si="44"/>
        <v>0.5</v>
      </c>
      <c r="N273" s="5">
        <f>(Parameters!$B$19*(E273+Parameters!$B$20)^L273+Parameters!$B$18*F273^L273)^(1/L273)</f>
        <v>0.5495283545248143</v>
      </c>
      <c r="O273" s="5">
        <f>(Parameters!$B$10*G273^Parameters!$B$9 + Parameters!$B$11*N273^Parameters!$B$9) ^ (Parameters!$B$7/Parameters!$B$9) * K273</f>
        <v>1.5019529191060299</v>
      </c>
      <c r="P273" s="5">
        <f t="shared" si="40"/>
        <v>1.1452622019706524</v>
      </c>
      <c r="Q273" s="5">
        <f>EXP(-Parameters!$B$56*A273)</f>
        <v>1.7216277093797468E-2</v>
      </c>
      <c r="R273" s="5">
        <f>IF(P273&gt;0,P273^(1-Parameters!$B$53)/(1-Parameters!$B$53)*Q273,-10+P273*1000)</f>
        <v>-4.6908816395408635E-2</v>
      </c>
      <c r="S273" s="5"/>
    </row>
    <row r="274" spans="1:19" x14ac:dyDescent="0.35">
      <c r="A274">
        <f>A273+Parameters!$B$71</f>
        <v>270</v>
      </c>
      <c r="B274" s="7">
        <f t="shared" si="41"/>
        <v>5.3289702319887791E-2</v>
      </c>
      <c r="C274" s="7">
        <f t="shared" si="42"/>
        <v>1.0277954020588648E-2</v>
      </c>
      <c r="D274" s="5">
        <f t="shared" si="43"/>
        <v>0.29312306079490108</v>
      </c>
      <c r="E274" s="5">
        <f>MAX((1-Parameters!$B$4)^Parameters!B$71*E273+B273*Parameters!B$71-Parameters!$B$5*B273^2/E273*Parameters!B$71,0.0001)</f>
        <v>0.79006904081407892</v>
      </c>
      <c r="F274" s="7">
        <f>MAX((1-Parameters!$B$4)^Parameters!B$71*F273+C273*Parameters!B$71-Parameters!$B$5*C273^2/F273*Parameters!B$71,0.0001)</f>
        <v>0.15238015878473415</v>
      </c>
      <c r="G274" s="5">
        <f>MAX((1-Parameters!$B$4)^Parameters!B$71*G273+D273*Parameters!B$71-Parameters!$B$5*D273^2/G273*Parameters!B$71,0.0001)</f>
        <v>4.3458200251951631</v>
      </c>
      <c r="I274" s="5">
        <f>I273*(1+Parameters!$B$52)^Parameters!B$71</f>
        <v>17.834075999934882</v>
      </c>
      <c r="J274" s="5">
        <f>J273*(1+Parameters!$B$54)^Parameters!B$71</f>
        <v>1900.2866784840064</v>
      </c>
      <c r="K274" s="5">
        <f>'6states'!$N$4</f>
        <v>0.98104277196026479</v>
      </c>
      <c r="L274" s="7">
        <f t="shared" si="44"/>
        <v>0.5</v>
      </c>
      <c r="N274" s="5">
        <f>(Parameters!$B$19*(E274+Parameters!$B$20)^L274+Parameters!$B$18*F274^L274)^(1/L274)</f>
        <v>0.54952835442357251</v>
      </c>
      <c r="O274" s="5">
        <f>(Parameters!$B$10*G274^Parameters!$B$9 + Parameters!$B$11*N274^Parameters!$B$9) ^ (Parameters!$B$7/Parameters!$B$9) * K274</f>
        <v>1.501952919034808</v>
      </c>
      <c r="P274" s="5">
        <f t="shared" si="40"/>
        <v>1.1452622018994305</v>
      </c>
      <c r="Q274" s="5">
        <f>EXP(-Parameters!$B$56*A274)</f>
        <v>1.6958264209399509E-2</v>
      </c>
      <c r="R274" s="5">
        <f>IF(P274&gt;0,P274^(1-Parameters!$B$53)/(1-Parameters!$B$53)*Q274,-10+P274*1000)</f>
        <v>-4.6205814292304741E-2</v>
      </c>
      <c r="S274" s="5"/>
    </row>
    <row r="275" spans="1:19" x14ac:dyDescent="0.35">
      <c r="A275">
        <f>A274+Parameters!$B$71</f>
        <v>271</v>
      </c>
      <c r="B275" s="7">
        <f t="shared" si="41"/>
        <v>5.3289702319887791E-2</v>
      </c>
      <c r="C275" s="7">
        <f t="shared" si="42"/>
        <v>1.0277954020588648E-2</v>
      </c>
      <c r="D275" s="5">
        <f t="shared" si="43"/>
        <v>0.29312306079490108</v>
      </c>
      <c r="E275" s="5">
        <f>MAX((1-Parameters!$B$4)^Parameters!B$71*E274+B274*Parameters!B$71-Parameters!$B$5*B274^2/E274*Parameters!B$71,0.0001)</f>
        <v>0.79006904069990314</v>
      </c>
      <c r="F275" s="7">
        <f>MAX((1-Parameters!$B$4)^Parameters!B$71*F274+C274*Parameters!B$71-Parameters!$B$5*C274^2/F274*Parameters!B$71,0.0001)</f>
        <v>0.15238015873367669</v>
      </c>
      <c r="G275" s="5">
        <f>MAX((1-Parameters!$B$4)^Parameters!B$71*G274+D274*Parameters!B$71-Parameters!$B$5*D274^2/G274*Parameters!B$71,0.0001)</f>
        <v>4.3458200245717942</v>
      </c>
      <c r="I275" s="5">
        <f>I274*(1+Parameters!$B$52)^Parameters!B$71</f>
        <v>17.885794820334691</v>
      </c>
      <c r="J275" s="5">
        <f>J274*(1+Parameters!$B$54)^Parameters!B$71</f>
        <v>1938.2924120536866</v>
      </c>
      <c r="K275" s="5">
        <f>'6states'!$N$4</f>
        <v>0.98104277196026479</v>
      </c>
      <c r="L275" s="7">
        <f t="shared" si="44"/>
        <v>0.5</v>
      </c>
      <c r="N275" s="5">
        <f>(Parameters!$B$19*(E275+Parameters!$B$20)^L275+Parameters!$B$18*F275^L275)^(1/L275)</f>
        <v>0.54952835432823843</v>
      </c>
      <c r="O275" s="5">
        <f>(Parameters!$B$10*G275^Parameters!$B$9 + Parameters!$B$11*N275^Parameters!$B$9) ^ (Parameters!$B$7/Parameters!$B$9) * K275</f>
        <v>1.5019529189677421</v>
      </c>
      <c r="P275" s="5">
        <f t="shared" si="40"/>
        <v>1.1452622018323646</v>
      </c>
      <c r="Q275" s="5">
        <f>EXP(-Parameters!$B$56*A275)</f>
        <v>1.6704118052294156E-2</v>
      </c>
      <c r="R275" s="5">
        <f>IF(P275&gt;0,P275^(1-Parameters!$B$53)/(1-Parameters!$B$53)*Q275,-10+P275*1000)</f>
        <v>-4.5513347777012166E-2</v>
      </c>
      <c r="S275" s="5"/>
    </row>
    <row r="276" spans="1:19" x14ac:dyDescent="0.35">
      <c r="A276">
        <f>A275+Parameters!$B$71</f>
        <v>272</v>
      </c>
      <c r="B276" s="7">
        <f t="shared" si="41"/>
        <v>5.3289702319887791E-2</v>
      </c>
      <c r="C276" s="7">
        <f t="shared" si="42"/>
        <v>1.0277954020588648E-2</v>
      </c>
      <c r="D276" s="5">
        <f t="shared" si="43"/>
        <v>0.29312306079490108</v>
      </c>
      <c r="E276" s="5">
        <f>MAX((1-Parameters!$B$4)^Parameters!B$71*E275+B275*Parameters!B$71-Parameters!$B$5*B275^2/E275*Parameters!B$71,0.0001)</f>
        <v>0.79006904059238969</v>
      </c>
      <c r="F276" s="7">
        <f>MAX((1-Parameters!$B$4)^Parameters!B$71*F275+C275*Parameters!B$71-Parameters!$B$5*C275^2/F275*Parameters!B$71,0.0001)</f>
        <v>0.15238015868559845</v>
      </c>
      <c r="G276" s="5">
        <f>MAX((1-Parameters!$B$4)^Parameters!B$71*G275+D275*Parameters!B$71-Parameters!$B$5*D275^2/G275*Parameters!B$71,0.0001)</f>
        <v>4.3458200239847988</v>
      </c>
      <c r="I276" s="5">
        <f>I275*(1+Parameters!$B$52)^Parameters!B$71</f>
        <v>17.937663625313661</v>
      </c>
      <c r="J276" s="5">
        <f>J275*(1+Parameters!$B$54)^Parameters!B$71</f>
        <v>1977.0582602947604</v>
      </c>
      <c r="K276" s="5">
        <f>'6states'!$N$4</f>
        <v>0.98104277196026479</v>
      </c>
      <c r="L276" s="7">
        <f t="shared" si="44"/>
        <v>0.5</v>
      </c>
      <c r="N276" s="5">
        <f>(Parameters!$B$19*(E276+Parameters!$B$20)^L276+Parameters!$B$18*F276^L276)^(1/L276)</f>
        <v>0.54952835423846713</v>
      </c>
      <c r="O276" s="5">
        <f>(Parameters!$B$10*G276^Parameters!$B$9 + Parameters!$B$11*N276^Parameters!$B$9) ^ (Parameters!$B$7/Parameters!$B$9) * K276</f>
        <v>1.5019529189045893</v>
      </c>
      <c r="P276" s="5">
        <f t="shared" si="40"/>
        <v>1.1452622017692118</v>
      </c>
      <c r="Q276" s="5">
        <f>EXP(-Parameters!$B$56*A276)</f>
        <v>1.6453780673515026E-2</v>
      </c>
      <c r="R276" s="5">
        <f>IF(P276&gt;0,P276^(1-Parameters!$B$53)/(1-Parameters!$B$53)*Q276,-10+P276*1000)</f>
        <v>-4.483125895724701E-2</v>
      </c>
      <c r="S276" s="5"/>
    </row>
    <row r="277" spans="1:19" x14ac:dyDescent="0.35">
      <c r="A277">
        <f>A276+Parameters!$B$71</f>
        <v>273</v>
      </c>
      <c r="B277" s="7">
        <f t="shared" si="41"/>
        <v>5.3289702319887791E-2</v>
      </c>
      <c r="C277" s="7">
        <f t="shared" si="42"/>
        <v>1.0277954020588648E-2</v>
      </c>
      <c r="D277" s="5">
        <f t="shared" si="43"/>
        <v>0.29312306079490108</v>
      </c>
      <c r="E277" s="5">
        <f>MAX((1-Parameters!$B$4)^Parameters!B$71*E276+B276*Parameters!B$71-Parameters!$B$5*B276^2/E276*Parameters!B$71,0.0001)</f>
        <v>0.79006904049114968</v>
      </c>
      <c r="F277" s="7">
        <f>MAX((1-Parameters!$B$4)^Parameters!B$71*F276+C276*Parameters!B$71-Parameters!$B$5*C276^2/F276*Parameters!B$71,0.0001)</f>
        <v>0.15238015864032564</v>
      </c>
      <c r="G277" s="5">
        <f>MAX((1-Parameters!$B$4)^Parameters!B$71*G276+D276*Parameters!B$71-Parameters!$B$5*D276^2/G276*Parameters!B$71,0.0001)</f>
        <v>4.3458200234320552</v>
      </c>
      <c r="I277" s="5">
        <f>I276*(1+Parameters!$B$52)^Parameters!B$71</f>
        <v>17.989682849827069</v>
      </c>
      <c r="J277" s="5">
        <f>J276*(1+Parameters!$B$54)^Parameters!B$71</f>
        <v>2016.5994255006556</v>
      </c>
      <c r="K277" s="5">
        <f>'6states'!$N$4</f>
        <v>0.98104277196026479</v>
      </c>
      <c r="L277" s="7">
        <f t="shared" si="44"/>
        <v>0.5</v>
      </c>
      <c r="N277" s="5">
        <f>(Parameters!$B$19*(E277+Parameters!$B$20)^L277+Parameters!$B$18*F277^L277)^(1/L277)</f>
        <v>0.54952835415393386</v>
      </c>
      <c r="O277" s="5">
        <f>(Parameters!$B$10*G277^Parameters!$B$9 + Parameters!$B$11*N277^Parameters!$B$9) ^ (Parameters!$B$7/Parameters!$B$9) * K277</f>
        <v>1.5019529188451215</v>
      </c>
      <c r="P277" s="5">
        <f t="shared" si="40"/>
        <v>1.145262201709744</v>
      </c>
      <c r="Q277" s="5">
        <f>EXP(-Parameters!$B$56*A277)</f>
        <v>1.6207194992551837E-2</v>
      </c>
      <c r="R277" s="5">
        <f>IF(P277&gt;0,P277^(1-Parameters!$B$53)/(1-Parameters!$B$53)*Q277,-10+P277*1000)</f>
        <v>-4.4159392306988378E-2</v>
      </c>
      <c r="S277" s="5"/>
    </row>
    <row r="278" spans="1:19" x14ac:dyDescent="0.35">
      <c r="A278">
        <f>A277+Parameters!$B$71</f>
        <v>274</v>
      </c>
      <c r="B278" s="7">
        <f t="shared" si="41"/>
        <v>5.3289702319887791E-2</v>
      </c>
      <c r="C278" s="7">
        <f t="shared" si="42"/>
        <v>1.0277954020588648E-2</v>
      </c>
      <c r="D278" s="5">
        <f t="shared" si="43"/>
        <v>0.29312306079490108</v>
      </c>
      <c r="E278" s="5">
        <f>MAX((1-Parameters!$B$4)^Parameters!B$71*E277+B277*Parameters!B$71-Parameters!$B$5*B277^2/E277*Parameters!B$71,0.0001)</f>
        <v>0.79006904039581705</v>
      </c>
      <c r="F278" s="7">
        <f>MAX((1-Parameters!$B$4)^Parameters!B$71*F277+C277*Parameters!B$71-Parameters!$B$5*C277^2/F277*Parameters!B$71,0.0001)</f>
        <v>0.15238015859769452</v>
      </c>
      <c r="G278" s="5">
        <f>MAX((1-Parameters!$B$4)^Parameters!B$71*G277+D277*Parameters!B$71-Parameters!$B$5*D277^2/G277*Parameters!B$71,0.0001)</f>
        <v>4.345820022911564</v>
      </c>
      <c r="I278" s="5">
        <f>I277*(1+Parameters!$B$52)^Parameters!B$71</f>
        <v>18.041852930091565</v>
      </c>
      <c r="J278" s="5">
        <f>J277*(1+Parameters!$B$54)^Parameters!B$71</f>
        <v>2056.9314140106685</v>
      </c>
      <c r="K278" s="5">
        <f>'6states'!$N$4</f>
        <v>0.98104277196026479</v>
      </c>
      <c r="L278" s="7">
        <f t="shared" si="44"/>
        <v>0.5</v>
      </c>
      <c r="N278" s="5">
        <f>(Parameters!$B$19*(E278+Parameters!$B$20)^L278+Parameters!$B$18*F278^L278)^(1/L278)</f>
        <v>0.54952835407433342</v>
      </c>
      <c r="O278" s="5">
        <f>(Parameters!$B$10*G278^Parameters!$B$9 + Parameters!$B$11*N278^Parameters!$B$9) ^ (Parameters!$B$7/Parameters!$B$9) * K278</f>
        <v>1.5019529187891238</v>
      </c>
      <c r="P278" s="5">
        <f t="shared" si="40"/>
        <v>1.1452622016537464</v>
      </c>
      <c r="Q278" s="5">
        <f>EXP(-Parameters!$B$56*A278)</f>
        <v>1.5964304784335175E-2</v>
      </c>
      <c r="R278" s="5">
        <f>IF(P278&gt;0,P278^(1-Parameters!$B$53)/(1-Parameters!$B$53)*Q278,-10+P278*1000)</f>
        <v>-4.3497594631016039E-2</v>
      </c>
      <c r="S278" s="5"/>
    </row>
    <row r="279" spans="1:19" x14ac:dyDescent="0.35">
      <c r="A279">
        <f>A278+Parameters!$B$71</f>
        <v>275</v>
      </c>
      <c r="B279" s="7">
        <f t="shared" si="41"/>
        <v>5.3289702319887791E-2</v>
      </c>
      <c r="C279" s="7">
        <f t="shared" si="42"/>
        <v>1.0277954020588648E-2</v>
      </c>
      <c r="D279" s="5">
        <f t="shared" si="43"/>
        <v>0.29312306079490108</v>
      </c>
      <c r="E279" s="5">
        <f>MAX((1-Parameters!$B$4)^Parameters!B$71*E278+B278*Parameters!B$71-Parameters!$B$5*B278^2/E278*Parameters!B$71,0.0001)</f>
        <v>0.79006904030604719</v>
      </c>
      <c r="F279" s="7">
        <f>MAX((1-Parameters!$B$4)^Parameters!B$71*F278+C278*Parameters!B$71-Parameters!$B$5*C278^2/F278*Parameters!B$71,0.0001)</f>
        <v>0.15238015855755094</v>
      </c>
      <c r="G279" s="5">
        <f>MAX((1-Parameters!$B$4)^Parameters!B$71*G278+D278*Parameters!B$71-Parameters!$B$5*D278^2/G278*Parameters!B$71,0.0001)</f>
        <v>4.3458200224214441</v>
      </c>
      <c r="I279" s="5">
        <f>I278*(1+Parameters!$B$52)^Parameters!B$71</f>
        <v>18.094174303588829</v>
      </c>
      <c r="J279" s="5">
        <f>J278*(1+Parameters!$B$54)^Parameters!B$71</f>
        <v>2098.0700422908817</v>
      </c>
      <c r="K279" s="5">
        <f>'6states'!$N$4</f>
        <v>0.98104277196026479</v>
      </c>
      <c r="L279" s="7">
        <f t="shared" si="44"/>
        <v>0.5</v>
      </c>
      <c r="N279" s="5">
        <f>(Parameters!$B$19*(E279+Parameters!$B$20)^L279+Parameters!$B$18*F279^L279)^(1/L279)</f>
        <v>0.54952835399937761</v>
      </c>
      <c r="O279" s="5">
        <f>(Parameters!$B$10*G279^Parameters!$B$9 + Parameters!$B$11*N279^Parameters!$B$9) ^ (Parameters!$B$7/Parameters!$B$9) * K279</f>
        <v>1.5019529187363936</v>
      </c>
      <c r="P279" s="5">
        <f t="shared" si="40"/>
        <v>1.1452622016010161</v>
      </c>
      <c r="Q279" s="5">
        <f>EXP(-Parameters!$B$56*A279)</f>
        <v>1.5725054666416334E-2</v>
      </c>
      <c r="R279" s="5">
        <f>IF(P279&gt;0,P279^(1-Parameters!$B$53)/(1-Parameters!$B$53)*Q279,-10+P279*1000)</f>
        <v>-4.2845715029979761E-2</v>
      </c>
      <c r="S279" s="5"/>
    </row>
    <row r="280" spans="1:19" x14ac:dyDescent="0.35">
      <c r="A280">
        <f>A279+Parameters!$B$71</f>
        <v>276</v>
      </c>
      <c r="B280" s="7">
        <f t="shared" si="41"/>
        <v>5.3289702319887791E-2</v>
      </c>
      <c r="C280" s="7">
        <f t="shared" si="42"/>
        <v>1.0277954020588648E-2</v>
      </c>
      <c r="D280" s="5">
        <f t="shared" si="43"/>
        <v>0.29312306079490108</v>
      </c>
      <c r="E280" s="5">
        <f>MAX((1-Parameters!$B$4)^Parameters!B$71*E279+B279*Parameters!B$71-Parameters!$B$5*B279^2/E279*Parameters!B$71,0.0001)</f>
        <v>0.79006904022151536</v>
      </c>
      <c r="F280" s="7">
        <f>MAX((1-Parameters!$B$4)^Parameters!B$71*F279+C279*Parameters!B$71-Parameters!$B$5*C279^2/F279*Parameters!B$71,0.0001)</f>
        <v>0.15238015851974976</v>
      </c>
      <c r="G280" s="5">
        <f>MAX((1-Parameters!$B$4)^Parameters!B$71*G279+D279*Parameters!B$71-Parameters!$B$5*D279^2/G279*Parameters!B$71,0.0001)</f>
        <v>4.3458200219599235</v>
      </c>
      <c r="I280" s="5">
        <f>I279*(1+Parameters!$B$52)^Parameters!B$71</f>
        <v>18.146647409069235</v>
      </c>
      <c r="J280" s="5">
        <f>J279*(1+Parameters!$B$54)^Parameters!B$71</f>
        <v>2140.0314431366992</v>
      </c>
      <c r="K280" s="5">
        <f>'6states'!$N$4</f>
        <v>0.98104277196026479</v>
      </c>
      <c r="L280" s="7">
        <f t="shared" si="44"/>
        <v>0.5</v>
      </c>
      <c r="N280" s="5">
        <f>(Parameters!$B$19*(E280+Parameters!$B$20)^L280+Parameters!$B$18*F280^L280)^(1/L280)</f>
        <v>0.54952835392879551</v>
      </c>
      <c r="O280" s="5">
        <f>(Parameters!$B$10*G280^Parameters!$B$9 + Parameters!$B$11*N280^Parameters!$B$9) ^ (Parameters!$B$7/Parameters!$B$9) * K280</f>
        <v>1.5019529186867402</v>
      </c>
      <c r="P280" s="5">
        <f t="shared" si="40"/>
        <v>1.1452622015513627</v>
      </c>
      <c r="Q280" s="5">
        <f>EXP(-Parameters!$B$56*A280)</f>
        <v>1.5489390086339431E-2</v>
      </c>
      <c r="R280" s="5">
        <f>IF(P280&gt;0,P280^(1-Parameters!$B$53)/(1-Parameters!$B$53)*Q280,-10+P280*1000)</f>
        <v>-4.2203604865992297E-2</v>
      </c>
      <c r="S280" s="5"/>
    </row>
    <row r="281" spans="1:19" x14ac:dyDescent="0.35">
      <c r="A281">
        <f>A280+Parameters!$B$71</f>
        <v>277</v>
      </c>
      <c r="B281" s="7">
        <f t="shared" si="41"/>
        <v>5.3289702319887791E-2</v>
      </c>
      <c r="C281" s="7">
        <f t="shared" si="42"/>
        <v>1.0277954020588648E-2</v>
      </c>
      <c r="D281" s="5">
        <f t="shared" si="43"/>
        <v>0.29312306079490108</v>
      </c>
      <c r="E281" s="5">
        <f>MAX((1-Parameters!$B$4)^Parameters!B$71*E280+B280*Parameters!B$71-Parameters!$B$5*B280^2/E280*Parameters!B$71,0.0001)</f>
        <v>0.79006904014191603</v>
      </c>
      <c r="F281" s="7">
        <f>MAX((1-Parameters!$B$4)^Parameters!B$71*F280+C280*Parameters!B$71-Parameters!$B$5*C280^2/F280*Parameters!B$71,0.0001)</f>
        <v>0.15238015848415432</v>
      </c>
      <c r="G281" s="5">
        <f>MAX((1-Parameters!$B$4)^Parameters!B$71*G280+D280*Parameters!B$71-Parameters!$B$5*D280^2/G280*Parameters!B$71,0.0001)</f>
        <v>4.3458200215253324</v>
      </c>
      <c r="I281" s="5">
        <f>I280*(1+Parameters!$B$52)^Parameters!B$71</f>
        <v>18.199272686555535</v>
      </c>
      <c r="J281" s="5">
        <f>J280*(1+Parameters!$B$54)^Parameters!B$71</f>
        <v>2182.8320719994331</v>
      </c>
      <c r="K281" s="5">
        <f>'6states'!$N$4</f>
        <v>0.98104277196026479</v>
      </c>
      <c r="L281" s="7">
        <f t="shared" si="44"/>
        <v>0.5</v>
      </c>
      <c r="N281" s="5">
        <f>(Parameters!$B$19*(E281+Parameters!$B$20)^L281+Parameters!$B$18*F281^L281)^(1/L281)</f>
        <v>0.54952835386233179</v>
      </c>
      <c r="O281" s="5">
        <f>(Parameters!$B$10*G281^Parameters!$B$9 + Parameters!$B$11*N281^Parameters!$B$9) ^ (Parameters!$B$7/Parameters!$B$9) * K281</f>
        <v>1.501952918639984</v>
      </c>
      <c r="P281" s="5">
        <f t="shared" si="40"/>
        <v>1.1452622015046066</v>
      </c>
      <c r="Q281" s="5">
        <f>EXP(-Parameters!$B$56*A281)</f>
        <v>1.5257257309202531E-2</v>
      </c>
      <c r="R281" s="5">
        <f>IF(P281&gt;0,P281^(1-Parameters!$B$53)/(1-Parameters!$B$53)*Q281,-10+P281*1000)</f>
        <v>-4.1571117728737589E-2</v>
      </c>
      <c r="S281" s="5"/>
    </row>
    <row r="282" spans="1:19" x14ac:dyDescent="0.35">
      <c r="A282">
        <f>A281+Parameters!$B$71</f>
        <v>278</v>
      </c>
      <c r="B282" s="7">
        <f t="shared" si="41"/>
        <v>5.3289702319887791E-2</v>
      </c>
      <c r="C282" s="7">
        <f t="shared" si="42"/>
        <v>1.0277954020588648E-2</v>
      </c>
      <c r="D282" s="5">
        <f t="shared" si="43"/>
        <v>0.29312306079490108</v>
      </c>
      <c r="E282" s="5">
        <f>MAX((1-Parameters!$B$4)^Parameters!B$71*E281+B281*Parameters!B$71-Parameters!$B$5*B281^2/E281*Parameters!B$71,0.0001)</f>
        <v>0.79006904006696144</v>
      </c>
      <c r="F282" s="7">
        <f>MAX((1-Parameters!$B$4)^Parameters!B$71*F281+C281*Parameters!B$71-Parameters!$B$5*C281^2/F281*Parameters!B$71,0.0001)</f>
        <v>0.15238015845063588</v>
      </c>
      <c r="G282" s="5">
        <f>MAX((1-Parameters!$B$4)^Parameters!B$71*G281+D281*Parameters!B$71-Parameters!$B$5*D281^2/G281*Parameters!B$71,0.0001)</f>
        <v>4.3458200211160998</v>
      </c>
      <c r="I282" s="5">
        <f>I281*(1+Parameters!$B$52)^Parameters!B$71</f>
        <v>18.252050577346544</v>
      </c>
      <c r="J282" s="5">
        <f>J281*(1+Parameters!$B$54)^Parameters!B$71</f>
        <v>2226.4887134394216</v>
      </c>
      <c r="K282" s="5">
        <f>'6states'!$N$4</f>
        <v>0.98104277196026479</v>
      </c>
      <c r="L282" s="7">
        <f t="shared" si="44"/>
        <v>0.5</v>
      </c>
      <c r="N282" s="5">
        <f>(Parameters!$B$19*(E282+Parameters!$B$20)^L282+Parameters!$B$18*F282^L282)^(1/L282)</f>
        <v>0.54952835379974629</v>
      </c>
      <c r="O282" s="5">
        <f>(Parameters!$B$10*G282^Parameters!$B$9 + Parameters!$B$11*N282^Parameters!$B$9) ^ (Parameters!$B$7/Parameters!$B$9) * K282</f>
        <v>1.5019529185959561</v>
      </c>
      <c r="P282" s="5">
        <f t="shared" si="40"/>
        <v>1.1452622014605787</v>
      </c>
      <c r="Q282" s="5">
        <f>EXP(-Parameters!$B$56*A282)</f>
        <v>1.5028603405405443E-2</v>
      </c>
      <c r="R282" s="5">
        <f>IF(P282&gt;0,P282^(1-Parameters!$B$53)/(1-Parameters!$B$53)*Q282,-10+P282*1000)</f>
        <v>-4.0948109402087381E-2</v>
      </c>
      <c r="S282" s="5"/>
    </row>
    <row r="283" spans="1:19" x14ac:dyDescent="0.35">
      <c r="A283">
        <f>A282+Parameters!$B$71</f>
        <v>279</v>
      </c>
      <c r="B283" s="7">
        <f t="shared" si="41"/>
        <v>5.3289702319887791E-2</v>
      </c>
      <c r="C283" s="7">
        <f t="shared" si="42"/>
        <v>1.0277954020588648E-2</v>
      </c>
      <c r="D283" s="5">
        <f t="shared" si="43"/>
        <v>0.29312306079490108</v>
      </c>
      <c r="E283" s="5">
        <f>MAX((1-Parameters!$B$4)^Parameters!B$71*E282+B282*Parameters!B$71-Parameters!$B$5*B282^2/E282*Parameters!B$71,0.0001)</f>
        <v>0.79006903999638045</v>
      </c>
      <c r="F283" s="7">
        <f>MAX((1-Parameters!$B$4)^Parameters!B$71*F282+C282*Parameters!B$71-Parameters!$B$5*C282^2/F282*Parameters!B$71,0.0001)</f>
        <v>0.15238015841907326</v>
      </c>
      <c r="G283" s="5">
        <f>MAX((1-Parameters!$B$4)^Parameters!B$71*G282+D282*Parameters!B$71-Parameters!$B$5*D282^2/G282*Parameters!B$71,0.0001)</f>
        <v>4.3458200207307458</v>
      </c>
      <c r="I283" s="5">
        <f>I282*(1+Parameters!$B$52)^Parameters!B$71</f>
        <v>18.304981524020846</v>
      </c>
      <c r="J283" s="5">
        <f>J282*(1+Parameters!$B$54)^Parameters!B$71</f>
        <v>2271.0184877082102</v>
      </c>
      <c r="K283" s="5">
        <f>'6states'!$N$4</f>
        <v>0.98104277196026479</v>
      </c>
      <c r="L283" s="7">
        <f t="shared" si="44"/>
        <v>0.5</v>
      </c>
      <c r="N283" s="5">
        <f>(Parameters!$B$19*(E283+Parameters!$B$20)^L283+Parameters!$B$18*F283^L283)^(1/L283)</f>
        <v>0.54952835374081277</v>
      </c>
      <c r="O283" s="5">
        <f>(Parameters!$B$10*G283^Parameters!$B$9 + Parameters!$B$11*N283^Parameters!$B$9) ^ (Parameters!$B$7/Parameters!$B$9) * K283</f>
        <v>1.5019529185544971</v>
      </c>
      <c r="P283" s="5">
        <f t="shared" si="40"/>
        <v>1.1452622014191196</v>
      </c>
      <c r="Q283" s="5">
        <f>EXP(-Parameters!$B$56*A283)</f>
        <v>1.480337623858095E-2</v>
      </c>
      <c r="R283" s="5">
        <f>IF(P283&gt;0,P283^(1-Parameters!$B$53)/(1-Parameters!$B$53)*Q283,-10+P283*1000)</f>
        <v>-4.0334437831217783E-2</v>
      </c>
      <c r="S283" s="5"/>
    </row>
    <row r="284" spans="1:19" x14ac:dyDescent="0.35">
      <c r="A284">
        <f>A283+Parameters!$B$71</f>
        <v>280</v>
      </c>
      <c r="B284" s="7">
        <f t="shared" si="41"/>
        <v>5.3289702319887791E-2</v>
      </c>
      <c r="C284" s="7">
        <f t="shared" si="42"/>
        <v>1.0277954020588648E-2</v>
      </c>
      <c r="D284" s="5">
        <f t="shared" si="43"/>
        <v>0.29312306079490108</v>
      </c>
      <c r="E284" s="5">
        <f>MAX((1-Parameters!$B$4)^Parameters!B$71*E283+B283*Parameters!B$71-Parameters!$B$5*B283^2/E283*Parameters!B$71,0.0001)</f>
        <v>0.79006903992991795</v>
      </c>
      <c r="F284" s="7">
        <f>MAX((1-Parameters!$B$4)^Parameters!B$71*F283+C283*Parameters!B$71-Parameters!$B$5*C283^2/F283*Parameters!B$71,0.0001)</f>
        <v>0.15238015838935234</v>
      </c>
      <c r="G284" s="5">
        <f>MAX((1-Parameters!$B$4)^Parameters!B$71*G283+D283*Parameters!B$71-Parameters!$B$5*D283^2/G283*Parameters!B$71,0.0001)</f>
        <v>4.3458200203678778</v>
      </c>
      <c r="I284" s="5">
        <f>I283*(1+Parameters!$B$52)^Parameters!B$71</f>
        <v>18.358065970440503</v>
      </c>
      <c r="J284" s="5">
        <f>J283*(1+Parameters!$B$54)^Parameters!B$71</f>
        <v>2316.4388574623745</v>
      </c>
      <c r="K284" s="5">
        <f>'6states'!$N$4</f>
        <v>0.98104277196026479</v>
      </c>
      <c r="L284" s="7">
        <f t="shared" si="44"/>
        <v>0.5</v>
      </c>
      <c r="N284" s="5">
        <f>(Parameters!$B$19*(E284+Parameters!$B$20)^L284+Parameters!$B$18*F284^L284)^(1/L284)</f>
        <v>0.54952835368531827</v>
      </c>
      <c r="O284" s="5">
        <f>(Parameters!$B$10*G284^Parameters!$B$9 + Parameters!$B$11*N284^Parameters!$B$9) ^ (Parameters!$B$7/Parameters!$B$9) * K284</f>
        <v>1.5019529185154576</v>
      </c>
      <c r="P284" s="5">
        <f t="shared" si="40"/>
        <v>1.1452622013800802</v>
      </c>
      <c r="Q284" s="5">
        <f>EXP(-Parameters!$B$56*A284)</f>
        <v>1.4581524453706942E-2</v>
      </c>
      <c r="R284" s="5">
        <f>IF(P284&gt;0,P284^(1-Parameters!$B$53)/(1-Parameters!$B$53)*Q284,-10+P284*1000)</f>
        <v>-3.9729963090218687E-2</v>
      </c>
      <c r="S284" s="5"/>
    </row>
    <row r="285" spans="1:19" x14ac:dyDescent="0.35">
      <c r="A285">
        <f>A284+Parameters!$B$71</f>
        <v>281</v>
      </c>
      <c r="B285" s="7">
        <f t="shared" si="41"/>
        <v>5.3289702319887791E-2</v>
      </c>
      <c r="C285" s="7">
        <f t="shared" si="42"/>
        <v>1.0277954020588648E-2</v>
      </c>
      <c r="D285" s="5">
        <f t="shared" si="43"/>
        <v>0.29312306079490108</v>
      </c>
      <c r="E285" s="5">
        <f>MAX((1-Parameters!$B$4)^Parameters!B$71*E284+B284*Parameters!B$71-Parameters!$B$5*B284^2/E284*Parameters!B$71,0.0001)</f>
        <v>0.79006903986733346</v>
      </c>
      <c r="F285" s="7">
        <f>MAX((1-Parameters!$B$4)^Parameters!B$71*F284+C284*Parameters!B$71-Parameters!$B$5*C284^2/F284*Parameters!B$71,0.0001)</f>
        <v>0.15238015836136565</v>
      </c>
      <c r="G285" s="5">
        <f>MAX((1-Parameters!$B$4)^Parameters!B$71*G284+D284*Parameters!B$71-Parameters!$B$5*D284^2/G284*Parameters!B$71,0.0001)</f>
        <v>4.3458200200261841</v>
      </c>
      <c r="I285" s="5">
        <f>I284*(1+Parameters!$B$52)^Parameters!B$71</f>
        <v>18.41130436175478</v>
      </c>
      <c r="J285" s="5">
        <f>J284*(1+Parameters!$B$54)^Parameters!B$71</f>
        <v>2362.7676346116218</v>
      </c>
      <c r="K285" s="5">
        <f>'6states'!$N$4</f>
        <v>0.98104277196026479</v>
      </c>
      <c r="L285" s="7">
        <f t="shared" si="44"/>
        <v>0.5</v>
      </c>
      <c r="N285" s="5">
        <f>(Parameters!$B$19*(E285+Parameters!$B$20)^L285+Parameters!$B$18*F285^L285)^(1/L285)</f>
        <v>0.54952835363306152</v>
      </c>
      <c r="O285" s="5">
        <f>(Parameters!$B$10*G285^Parameters!$B$9 + Parameters!$B$11*N285^Parameters!$B$9) ^ (Parameters!$B$7/Parameters!$B$9) * K285</f>
        <v>1.5019529184786962</v>
      </c>
      <c r="P285" s="5">
        <f t="shared" si="40"/>
        <v>1.1452622013433187</v>
      </c>
      <c r="Q285" s="5">
        <f>EXP(-Parameters!$B$56*A285)</f>
        <v>1.4362997465396809E-2</v>
      </c>
      <c r="R285" s="5">
        <f>IF(P285&gt;0,P285^(1-Parameters!$B$53)/(1-Parameters!$B$53)*Q285,-10+P285*1000)</f>
        <v>-3.9134547350188835E-2</v>
      </c>
      <c r="S285" s="5"/>
    </row>
    <row r="286" spans="1:19" x14ac:dyDescent="0.35">
      <c r="A286">
        <f>A285+Parameters!$B$71</f>
        <v>282</v>
      </c>
      <c r="B286" s="7">
        <f t="shared" si="41"/>
        <v>5.3289702319887791E-2</v>
      </c>
      <c r="C286" s="7">
        <f t="shared" si="42"/>
        <v>1.0277954020588648E-2</v>
      </c>
      <c r="D286" s="5">
        <f t="shared" si="43"/>
        <v>0.29312306079490108</v>
      </c>
      <c r="E286" s="5">
        <f>MAX((1-Parameters!$B$4)^Parameters!B$71*E285+B285*Parameters!B$71-Parameters!$B$5*B285^2/E285*Parameters!B$71,0.0001)</f>
        <v>0.79006903980840082</v>
      </c>
      <c r="F286" s="7">
        <f>MAX((1-Parameters!$B$4)^Parameters!B$71*F285+C285*Parameters!B$71-Parameters!$B$5*C285^2/F285*Parameters!B$71,0.0001)</f>
        <v>0.15238015833501201</v>
      </c>
      <c r="G286" s="5">
        <f>MAX((1-Parameters!$B$4)^Parameters!B$71*G285+D285*Parameters!B$71-Parameters!$B$5*D285^2/G285*Parameters!B$71,0.0001)</f>
        <v>4.3458200197044281</v>
      </c>
      <c r="I286" s="5">
        <f>I285*(1+Parameters!$B$52)^Parameters!B$71</f>
        <v>18.464697144403868</v>
      </c>
      <c r="J286" s="5">
        <f>J285*(1+Parameters!$B$54)^Parameters!B$71</f>
        <v>2410.0229873038543</v>
      </c>
      <c r="K286" s="5">
        <f>'6states'!$N$4</f>
        <v>0.98104277196026479</v>
      </c>
      <c r="L286" s="7">
        <f t="shared" si="44"/>
        <v>0.5</v>
      </c>
      <c r="N286" s="5">
        <f>(Parameters!$B$19*(E286+Parameters!$B$20)^L286+Parameters!$B$18*F286^L286)^(1/L286)</f>
        <v>0.54952835358385421</v>
      </c>
      <c r="O286" s="5">
        <f>(Parameters!$B$10*G286^Parameters!$B$9 + Parameters!$B$11*N286^Parameters!$B$9) ^ (Parameters!$B$7/Parameters!$B$9) * K286</f>
        <v>1.5019529184440794</v>
      </c>
      <c r="P286" s="5">
        <f t="shared" si="40"/>
        <v>1.1452622013087019</v>
      </c>
      <c r="Q286" s="5">
        <f>EXP(-Parameters!$B$56*A286)</f>
        <v>1.4147745446365208E-2</v>
      </c>
      <c r="R286" s="5">
        <f>IF(P286&gt;0,P286^(1-Parameters!$B$53)/(1-Parameters!$B$53)*Q286,-10+P286*1000)</f>
        <v>-3.8548054847808801E-2</v>
      </c>
      <c r="S286" s="5"/>
    </row>
    <row r="287" spans="1:19" x14ac:dyDescent="0.35">
      <c r="A287">
        <f>A286+Parameters!$B$71</f>
        <v>283</v>
      </c>
      <c r="B287" s="7">
        <f t="shared" si="41"/>
        <v>5.3289702319887791E-2</v>
      </c>
      <c r="C287" s="7">
        <f t="shared" si="42"/>
        <v>1.0277954020588648E-2</v>
      </c>
      <c r="D287" s="5">
        <f t="shared" si="43"/>
        <v>0.29312306079490108</v>
      </c>
      <c r="E287" s="5">
        <f>MAX((1-Parameters!$B$4)^Parameters!B$71*E286+B286*Parameters!B$71-Parameters!$B$5*B286^2/E286*Parameters!B$71,0.0001)</f>
        <v>0.79006903975290699</v>
      </c>
      <c r="F287" s="7">
        <f>MAX((1-Parameters!$B$4)^Parameters!B$71*F286+C286*Parameters!B$71-Parameters!$B$5*C286^2/F286*Parameters!B$71,0.0001)</f>
        <v>0.15238015831019611</v>
      </c>
      <c r="G287" s="5">
        <f>MAX((1-Parameters!$B$4)^Parameters!B$71*G286+D286*Parameters!B$71-Parameters!$B$5*D286^2/G286*Parameters!B$71,0.0001)</f>
        <v>4.3458200194014465</v>
      </c>
      <c r="I287" s="5">
        <f>I286*(1+Parameters!$B$52)^Parameters!B$71</f>
        <v>18.518244766122638</v>
      </c>
      <c r="J287" s="5">
        <f>J286*(1+Parameters!$B$54)^Parameters!B$71</f>
        <v>2458.2234470499316</v>
      </c>
      <c r="K287" s="5">
        <f>'6states'!$N$4</f>
        <v>0.98104277196026479</v>
      </c>
      <c r="L287" s="7">
        <f t="shared" si="44"/>
        <v>0.5</v>
      </c>
      <c r="N287" s="5">
        <f>(Parameters!$B$19*(E287+Parameters!$B$20)^L287+Parameters!$B$18*F287^L287)^(1/L287)</f>
        <v>0.54952835353751806</v>
      </c>
      <c r="O287" s="5">
        <f>(Parameters!$B$10*G287^Parameters!$B$9 + Parameters!$B$11*N287^Parameters!$B$9) ^ (Parameters!$B$7/Parameters!$B$9) * K287</f>
        <v>1.5019529184114826</v>
      </c>
      <c r="P287" s="5">
        <f t="shared" si="40"/>
        <v>1.1452622012761051</v>
      </c>
      <c r="Q287" s="5">
        <f>EXP(-Parameters!$B$56*A287)</f>
        <v>1.3935719316066698E-2</v>
      </c>
      <c r="R287" s="5">
        <f>IF(P287&gt;0,P287^(1-Parameters!$B$53)/(1-Parameters!$B$53)*Q287,-10+P287*1000)</f>
        <v>-3.7970351854384923E-2</v>
      </c>
      <c r="S287" s="5"/>
    </row>
    <row r="288" spans="1:19" x14ac:dyDescent="0.35">
      <c r="A288">
        <f>A287+Parameters!$B$71</f>
        <v>284</v>
      </c>
      <c r="B288" s="7">
        <f t="shared" si="41"/>
        <v>5.3289702319887791E-2</v>
      </c>
      <c r="C288" s="7">
        <f t="shared" si="42"/>
        <v>1.0277954020588648E-2</v>
      </c>
      <c r="D288" s="5">
        <f t="shared" si="43"/>
        <v>0.29312306079490108</v>
      </c>
      <c r="E288" s="5">
        <f>MAX((1-Parameters!$B$4)^Parameters!B$71*E287+B287*Parameters!B$71-Parameters!$B$5*B287^2/E287*Parameters!B$71,0.0001)</f>
        <v>0.79006903970065123</v>
      </c>
      <c r="F288" s="7">
        <f>MAX((1-Parameters!$B$4)^Parameters!B$71*F287+C287*Parameters!B$71-Parameters!$B$5*C287^2/F287*Parameters!B$71,0.0001)</f>
        <v>0.15238015828682824</v>
      </c>
      <c r="G288" s="5">
        <f>MAX((1-Parameters!$B$4)^Parameters!B$71*G287+D287*Parameters!B$71-Parameters!$B$5*D287^2/G287*Parameters!B$71,0.0001)</f>
        <v>4.3458200191161431</v>
      </c>
      <c r="I288" s="5">
        <f>I287*(1+Parameters!$B$52)^Parameters!B$71</f>
        <v>18.571947675944394</v>
      </c>
      <c r="J288" s="5">
        <f>J287*(1+Parameters!$B$54)^Parameters!B$71</f>
        <v>2507.3879159909302</v>
      </c>
      <c r="K288" s="5">
        <f>'6states'!$N$4</f>
        <v>0.98104277196026479</v>
      </c>
      <c r="L288" s="7">
        <f t="shared" si="44"/>
        <v>0.5</v>
      </c>
      <c r="N288" s="5">
        <f>(Parameters!$B$19*(E288+Parameters!$B$20)^L288+Parameters!$B$18*F288^L288)^(1/L288)</f>
        <v>0.54952835349388574</v>
      </c>
      <c r="O288" s="5">
        <f>(Parameters!$B$10*G288^Parameters!$B$9 + Parameters!$B$11*N288^Parameters!$B$9) ^ (Parameters!$B$7/Parameters!$B$9) * K288</f>
        <v>1.5019529183807878</v>
      </c>
      <c r="P288" s="5">
        <f t="shared" si="40"/>
        <v>1.1452622012454103</v>
      </c>
      <c r="Q288" s="5">
        <f>EXP(-Parameters!$B$56*A288)</f>
        <v>1.3726870729504735E-2</v>
      </c>
      <c r="R288" s="5">
        <f>IF(P288&gt;0,P288^(1-Parameters!$B$53)/(1-Parameters!$B$53)*Q288,-10+P288*1000)</f>
        <v>-3.7401306645357443E-2</v>
      </c>
      <c r="S288" s="5"/>
    </row>
    <row r="289" spans="1:19" x14ac:dyDescent="0.35">
      <c r="A289">
        <f>A288+Parameters!$B$71</f>
        <v>285</v>
      </c>
      <c r="B289" s="7">
        <f t="shared" si="41"/>
        <v>5.3289702319887791E-2</v>
      </c>
      <c r="C289" s="7">
        <f t="shared" si="42"/>
        <v>1.0277954020588648E-2</v>
      </c>
      <c r="D289" s="5">
        <f t="shared" si="43"/>
        <v>0.29312306079490108</v>
      </c>
      <c r="E289" s="5">
        <f>MAX((1-Parameters!$B$4)^Parameters!B$71*E288+B288*Parameters!B$71-Parameters!$B$5*B288^2/E288*Parameters!B$71,0.0001)</f>
        <v>0.7900690396514447</v>
      </c>
      <c r="F289" s="7">
        <f>MAX((1-Parameters!$B$4)^Parameters!B$71*F288+C288*Parameters!B$71-Parameters!$B$5*C288^2/F288*Parameters!B$71,0.0001)</f>
        <v>0.15238015826482387</v>
      </c>
      <c r="G289" s="5">
        <f>MAX((1-Parameters!$B$4)^Parameters!B$71*G288+D288*Parameters!B$71-Parameters!$B$5*D288^2/G288*Parameters!B$71,0.0001)</f>
        <v>4.3458200188474878</v>
      </c>
      <c r="I289" s="5">
        <f>I288*(1+Parameters!$B$52)^Parameters!B$71</f>
        <v>18.625806324204632</v>
      </c>
      <c r="J289" s="5">
        <f>J288*(1+Parameters!$B$54)^Parameters!B$71</f>
        <v>2557.5356743107486</v>
      </c>
      <c r="K289" s="5">
        <f>'6states'!$N$4</f>
        <v>0.98104277196026479</v>
      </c>
      <c r="L289" s="7">
        <f t="shared" si="44"/>
        <v>0.5</v>
      </c>
      <c r="N289" s="5">
        <f>(Parameters!$B$19*(E289+Parameters!$B$20)^L289+Parameters!$B$18*F289^L289)^(1/L289)</f>
        <v>0.54952835345279938</v>
      </c>
      <c r="O289" s="5">
        <f>(Parameters!$B$10*G289^Parameters!$B$9 + Parameters!$B$11*N289^Parameters!$B$9) ^ (Parameters!$B$7/Parameters!$B$9) * K289</f>
        <v>1.5019529183518843</v>
      </c>
      <c r="P289" s="5">
        <f t="shared" si="40"/>
        <v>1.1452622012165068</v>
      </c>
      <c r="Q289" s="5">
        <f>EXP(-Parameters!$B$56*A289)</f>
        <v>1.3521152066208289E-2</v>
      </c>
      <c r="R289" s="5">
        <f>IF(P289&gt;0,P289^(1-Parameters!$B$53)/(1-Parameters!$B$53)*Q289,-10+P289*1000)</f>
        <v>-3.6840789470265339E-2</v>
      </c>
      <c r="S289" s="5"/>
    </row>
    <row r="290" spans="1:19" x14ac:dyDescent="0.35">
      <c r="A290">
        <f>A289+Parameters!$B$71</f>
        <v>286</v>
      </c>
      <c r="B290" s="7">
        <f t="shared" si="41"/>
        <v>5.3289702319887791E-2</v>
      </c>
      <c r="C290" s="7">
        <f t="shared" si="42"/>
        <v>1.0277954020588648E-2</v>
      </c>
      <c r="D290" s="5">
        <f t="shared" si="43"/>
        <v>0.29312306079490108</v>
      </c>
      <c r="E290" s="5">
        <f>MAX((1-Parameters!$B$4)^Parameters!B$71*E289+B289*Parameters!B$71-Parameters!$B$5*B289^2/E289*Parameters!B$71,0.0001)</f>
        <v>0.79006903960510932</v>
      </c>
      <c r="F290" s="7">
        <f>MAX((1-Parameters!$B$4)^Parameters!B$71*F289+C289*Parameters!B$71-Parameters!$B$5*C289^2/F289*Parameters!B$71,0.0001)</f>
        <v>0.1523801582441035</v>
      </c>
      <c r="G290" s="5">
        <f>MAX((1-Parameters!$B$4)^Parameters!B$71*G289+D289*Parameters!B$71-Parameters!$B$5*D289^2/G289*Parameters!B$71,0.0001)</f>
        <v>4.3458200185945088</v>
      </c>
      <c r="I290" s="5">
        <f>I289*(1+Parameters!$B$52)^Parameters!B$71</f>
        <v>18.679821162544822</v>
      </c>
      <c r="J290" s="5">
        <f>J289*(1+Parameters!$B$54)^Parameters!B$71</f>
        <v>2608.6863877969636</v>
      </c>
      <c r="K290" s="5">
        <f>'6states'!$N$4</f>
        <v>0.98104277196026479</v>
      </c>
      <c r="L290" s="7">
        <f t="shared" si="44"/>
        <v>0.5</v>
      </c>
      <c r="N290" s="5">
        <f>(Parameters!$B$19*(E290+Parameters!$B$20)^L290+Parameters!$B$18*F290^L290)^(1/L290)</f>
        <v>0.54952835341411033</v>
      </c>
      <c r="O290" s="5">
        <f>(Parameters!$B$10*G290^Parameters!$B$9 + Parameters!$B$11*N290^Parameters!$B$9) ^ (Parameters!$B$7/Parameters!$B$9) * K290</f>
        <v>1.5019529183246672</v>
      </c>
      <c r="P290" s="5">
        <f t="shared" si="40"/>
        <v>1.1452622011892897</v>
      </c>
      <c r="Q290" s="5">
        <f>EXP(-Parameters!$B$56*A290)</f>
        <v>1.3318516419373662E-2</v>
      </c>
      <c r="R290" s="5">
        <f>IF(P290&gt;0,P290^(1-Parameters!$B$53)/(1-Parameters!$B$53)*Q290,-10+P290*1000)</f>
        <v>-3.6288672523161307E-2</v>
      </c>
      <c r="S290" s="5"/>
    </row>
    <row r="291" spans="1:19" x14ac:dyDescent="0.35">
      <c r="A291">
        <f>A290+Parameters!$B$71</f>
        <v>287</v>
      </c>
      <c r="B291" s="7">
        <f t="shared" si="41"/>
        <v>5.3289702319887791E-2</v>
      </c>
      <c r="C291" s="7">
        <f t="shared" si="42"/>
        <v>1.0277954020588648E-2</v>
      </c>
      <c r="D291" s="5">
        <f t="shared" si="43"/>
        <v>0.29312306079490108</v>
      </c>
      <c r="E291" s="5">
        <f>MAX((1-Parameters!$B$4)^Parameters!B$71*E290+B290*Parameters!B$71-Parameters!$B$5*B290^2/E290*Parameters!B$71,0.0001)</f>
        <v>0.79006903956147767</v>
      </c>
      <c r="F291" s="7">
        <f>MAX((1-Parameters!$B$4)^Parameters!B$71*F290+C290*Parameters!B$71-Parameters!$B$5*C290^2/F290*Parameters!B$71,0.0001)</f>
        <v>0.15238015822459217</v>
      </c>
      <c r="G291" s="5">
        <f>MAX((1-Parameters!$B$4)^Parameters!B$71*G290+D290*Parameters!B$71-Parameters!$B$5*D290^2/G290*Parameters!B$71,0.0001)</f>
        <v>4.3458200183562914</v>
      </c>
      <c r="I291" s="5">
        <f>I290*(1+Parameters!$B$52)^Parameters!B$71</f>
        <v>18.733992643916199</v>
      </c>
      <c r="J291" s="5">
        <f>J290*(1+Parameters!$B$54)^Parameters!B$71</f>
        <v>2660.8601155529027</v>
      </c>
      <c r="K291" s="5">
        <f>'6states'!$N$4</f>
        <v>0.98104277196026479</v>
      </c>
      <c r="L291" s="7">
        <f t="shared" si="44"/>
        <v>0.5</v>
      </c>
      <c r="N291" s="5">
        <f>(Parameters!$B$19*(E291+Parameters!$B$20)^L291+Parameters!$B$18*F291^L291)^(1/L291)</f>
        <v>0.54952835337767891</v>
      </c>
      <c r="O291" s="5">
        <f>(Parameters!$B$10*G291^Parameters!$B$9 + Parameters!$B$11*N291^Parameters!$B$9) ^ (Parameters!$B$7/Parameters!$B$9) * K291</f>
        <v>1.5019529182990383</v>
      </c>
      <c r="P291" s="5">
        <f t="shared" si="40"/>
        <v>1.1452622011636608</v>
      </c>
      <c r="Q291" s="5">
        <f>EXP(-Parameters!$B$56*A291)</f>
        <v>1.3118917585169141E-2</v>
      </c>
      <c r="R291" s="5">
        <f>IF(P291&gt;0,P291^(1-Parameters!$B$53)/(1-Parameters!$B$53)*Q291,-10+P291*1000)</f>
        <v>-3.5744829913470375E-2</v>
      </c>
      <c r="S291" s="5"/>
    </row>
    <row r="292" spans="1:19" x14ac:dyDescent="0.35">
      <c r="A292">
        <f>A291+Parameters!$B$71</f>
        <v>288</v>
      </c>
      <c r="B292" s="7">
        <f t="shared" si="41"/>
        <v>5.3289702319887791E-2</v>
      </c>
      <c r="C292" s="7">
        <f t="shared" si="42"/>
        <v>1.0277954020588648E-2</v>
      </c>
      <c r="D292" s="5">
        <f t="shared" si="43"/>
        <v>0.29312306079490108</v>
      </c>
      <c r="E292" s="5">
        <f>MAX((1-Parameters!$B$4)^Parameters!B$71*E291+B291*Parameters!B$71-Parameters!$B$5*B291^2/E291*Parameters!B$71,0.0001)</f>
        <v>0.79006903952039198</v>
      </c>
      <c r="F292" s="7">
        <f>MAX((1-Parameters!$B$4)^Parameters!B$71*F291+C291*Parameters!B$71-Parameters!$B$5*C291^2/F291*Parameters!B$71,0.0001)</f>
        <v>0.15238015820621931</v>
      </c>
      <c r="G292" s="5">
        <f>MAX((1-Parameters!$B$4)^Parameters!B$71*G291+D291*Parameters!B$71-Parameters!$B$5*D291^2/G291*Parameters!B$71,0.0001)</f>
        <v>4.3458200181319739</v>
      </c>
      <c r="I292" s="5">
        <f>I291*(1+Parameters!$B$52)^Parameters!B$71</f>
        <v>18.788321222583555</v>
      </c>
      <c r="J292" s="5">
        <f>J291*(1+Parameters!$B$54)^Parameters!B$71</f>
        <v>2714.0773178639606</v>
      </c>
      <c r="K292" s="5">
        <f>'6states'!$N$4</f>
        <v>0.98104277196026479</v>
      </c>
      <c r="L292" s="7">
        <f t="shared" si="44"/>
        <v>0.5</v>
      </c>
      <c r="N292" s="5">
        <f>(Parameters!$B$19*(E292+Parameters!$B$20)^L292+Parameters!$B$18*F292^L292)^(1/L292)</f>
        <v>0.54952835334337324</v>
      </c>
      <c r="O292" s="5">
        <f>(Parameters!$B$10*G292^Parameters!$B$9 + Parameters!$B$11*N292^Parameters!$B$9) ^ (Parameters!$B$7/Parameters!$B$9) * K292</f>
        <v>1.5019529182749047</v>
      </c>
      <c r="P292" s="5">
        <f t="shared" si="40"/>
        <v>1.1452622011395273</v>
      </c>
      <c r="Q292" s="5">
        <f>EXP(-Parameters!$B$56*A292)</f>
        <v>1.2922310052199772E-2</v>
      </c>
      <c r="R292" s="5">
        <f>IF(P292&gt;0,P292^(1-Parameters!$B$53)/(1-Parameters!$B$53)*Q292,-10+P292*1000)</f>
        <v>-3.5209137637284775E-2</v>
      </c>
      <c r="S292" s="5"/>
    </row>
    <row r="293" spans="1:19" x14ac:dyDescent="0.35">
      <c r="A293">
        <f>A292+Parameters!$B$71</f>
        <v>289</v>
      </c>
      <c r="B293" s="7">
        <f t="shared" si="41"/>
        <v>5.3289702319887791E-2</v>
      </c>
      <c r="C293" s="7">
        <f t="shared" si="42"/>
        <v>1.0277954020588648E-2</v>
      </c>
      <c r="D293" s="5">
        <f t="shared" si="43"/>
        <v>0.29312306079490108</v>
      </c>
      <c r="E293" s="5">
        <f>MAX((1-Parameters!$B$4)^Parameters!B$71*E292+B292*Parameters!B$71-Parameters!$B$5*B292^2/E292*Parameters!B$71,0.0001)</f>
        <v>0.79006903948170359</v>
      </c>
      <c r="F293" s="7">
        <f>MAX((1-Parameters!$B$4)^Parameters!B$71*F292+C292*Parameters!B$71-Parameters!$B$5*C292^2/F292*Parameters!B$71,0.0001)</f>
        <v>0.15238015818891854</v>
      </c>
      <c r="G293" s="5">
        <f>MAX((1-Parameters!$B$4)^Parameters!B$71*G292+D292*Parameters!B$71-Parameters!$B$5*D292^2/G292*Parameters!B$71,0.0001)</f>
        <v>4.3458200179207456</v>
      </c>
      <c r="I293" s="5">
        <f>I292*(1+Parameters!$B$52)^Parameters!B$71</f>
        <v>18.842807354129047</v>
      </c>
      <c r="J293" s="5">
        <f>J292*(1+Parameters!$B$54)^Parameters!B$71</f>
        <v>2768.3588642212399</v>
      </c>
      <c r="K293" s="5">
        <f>'6states'!$N$4</f>
        <v>0.98104277196026479</v>
      </c>
      <c r="L293" s="7">
        <f t="shared" si="44"/>
        <v>0.5</v>
      </c>
      <c r="N293" s="5">
        <f>(Parameters!$B$19*(E293+Parameters!$B$20)^L293+Parameters!$B$18*F293^L293)^(1/L293)</f>
        <v>0.54952835331106942</v>
      </c>
      <c r="O293" s="5">
        <f>(Parameters!$B$10*G293^Parameters!$B$9 + Parameters!$B$11*N293^Parameters!$B$9) ^ (Parameters!$B$7/Parameters!$B$9) * K293</f>
        <v>1.5019529182521794</v>
      </c>
      <c r="P293" s="5">
        <f t="shared" si="40"/>
        <v>1.1452622011168019</v>
      </c>
      <c r="Q293" s="5">
        <f>EXP(-Parameters!$B$56*A293)</f>
        <v>1.2728648991130187E-2</v>
      </c>
      <c r="R293" s="5">
        <f>IF(P293&gt;0,P293^(1-Parameters!$B$53)/(1-Parameters!$B$53)*Q293,-10+P293*1000)</f>
        <v>-3.4681473549089625E-2</v>
      </c>
      <c r="S293" s="5"/>
    </row>
    <row r="294" spans="1:19" x14ac:dyDescent="0.35">
      <c r="A294">
        <f>A293+Parameters!$B$71</f>
        <v>290</v>
      </c>
      <c r="B294" s="7">
        <f t="shared" si="41"/>
        <v>5.3289702319887791E-2</v>
      </c>
      <c r="C294" s="7">
        <f t="shared" si="42"/>
        <v>1.0277954020588648E-2</v>
      </c>
      <c r="D294" s="5">
        <f t="shared" si="43"/>
        <v>0.29312306079490108</v>
      </c>
      <c r="E294" s="5">
        <f>MAX((1-Parameters!$B$4)^Parameters!B$71*E293+B293*Parameters!B$71-Parameters!$B$5*B293^2/E293*Parameters!B$71,0.0001)</f>
        <v>0.79006903944527274</v>
      </c>
      <c r="F294" s="7">
        <f>MAX((1-Parameters!$B$4)^Parameters!B$71*F293+C293*Parameters!B$71-Parameters!$B$5*C293^2/F293*Parameters!B$71,0.0001)</f>
        <v>0.15238015817262726</v>
      </c>
      <c r="G294" s="5">
        <f>MAX((1-Parameters!$B$4)^Parameters!B$71*G293+D293*Parameters!B$71-Parameters!$B$5*D293^2/G293*Parameters!B$71,0.0001)</f>
        <v>4.3458200177218425</v>
      </c>
      <c r="I294" s="5">
        <f>I293*(1+Parameters!$B$52)^Parameters!B$71</f>
        <v>18.897451495456018</v>
      </c>
      <c r="J294" s="5">
        <f>J293*(1+Parameters!$B$54)^Parameters!B$71</f>
        <v>2823.7260415056649</v>
      </c>
      <c r="K294" s="5">
        <f>'6states'!$N$4</f>
        <v>0.98104277196026479</v>
      </c>
      <c r="L294" s="7">
        <f t="shared" si="44"/>
        <v>0.5</v>
      </c>
      <c r="N294" s="5">
        <f>(Parameters!$B$19*(E294+Parameters!$B$20)^L294+Parameters!$B$18*F294^L294)^(1/L294)</f>
        <v>0.54952835328065042</v>
      </c>
      <c r="O294" s="5">
        <f>(Parameters!$B$10*G294^Parameters!$B$9 + Parameters!$B$11*N294^Parameters!$B$9) ^ (Parameters!$B$7/Parameters!$B$9) * K294</f>
        <v>1.50195291823078</v>
      </c>
      <c r="P294" s="5">
        <f t="shared" si="40"/>
        <v>1.1452622010954026</v>
      </c>
      <c r="Q294" s="5">
        <f>EXP(-Parameters!$B$56*A294)</f>
        <v>1.2537890244462845E-2</v>
      </c>
      <c r="R294" s="5">
        <f>IF(P294&gt;0,P294^(1-Parameters!$B$53)/(1-Parameters!$B$53)*Q294,-10+P294*1000)</f>
        <v>-3.4161717333911774E-2</v>
      </c>
      <c r="S294" s="5"/>
    </row>
    <row r="295" spans="1:19" x14ac:dyDescent="0.35">
      <c r="A295">
        <f>A294+Parameters!$B$71</f>
        <v>291</v>
      </c>
      <c r="B295" s="7">
        <f t="shared" si="41"/>
        <v>5.3289702319887791E-2</v>
      </c>
      <c r="C295" s="7">
        <f t="shared" si="42"/>
        <v>1.0277954020588648E-2</v>
      </c>
      <c r="D295" s="5">
        <f t="shared" si="43"/>
        <v>0.29312306079490108</v>
      </c>
      <c r="E295" s="5">
        <f>MAX((1-Parameters!$B$4)^Parameters!B$71*E294+B294*Parameters!B$71-Parameters!$B$5*B294^2/E294*Parameters!B$71,0.0001)</f>
        <v>0.79006903941096762</v>
      </c>
      <c r="F295" s="7">
        <f>MAX((1-Parameters!$B$4)^Parameters!B$71*F294+C294*Parameters!B$71-Parameters!$B$5*C294^2/F294*Parameters!B$71,0.0001)</f>
        <v>0.15238015815728662</v>
      </c>
      <c r="G295" s="5">
        <f>MAX((1-Parameters!$B$4)^Parameters!B$71*G294+D294*Parameters!B$71-Parameters!$B$5*D294^2/G294*Parameters!B$71,0.0001)</f>
        <v>4.3458200175345461</v>
      </c>
      <c r="I295" s="5">
        <f>I294*(1+Parameters!$B$52)^Parameters!B$71</f>
        <v>18.952254104792839</v>
      </c>
      <c r="J295" s="5">
        <f>J294*(1+Parameters!$B$54)^Parameters!B$71</f>
        <v>2880.2005623357782</v>
      </c>
      <c r="K295" s="5">
        <f>'6states'!$N$4</f>
        <v>0.98104277196026479</v>
      </c>
      <c r="L295" s="7">
        <f t="shared" si="44"/>
        <v>0.5</v>
      </c>
      <c r="N295" s="5">
        <f>(Parameters!$B$19*(E295+Parameters!$B$20)^L295+Parameters!$B$18*F295^L295)^(1/L295)</f>
        <v>0.54952835325200655</v>
      </c>
      <c r="O295" s="5">
        <f>(Parameters!$B$10*G295^Parameters!$B$9 + Parameters!$B$11*N295^Parameters!$B$9) ^ (Parameters!$B$7/Parameters!$B$9) * K295</f>
        <v>1.5019529182106295</v>
      </c>
      <c r="P295" s="5">
        <f t="shared" si="40"/>
        <v>1.145262201075252</v>
      </c>
      <c r="Q295" s="5">
        <f>EXP(-Parameters!$B$56*A295)</f>
        <v>1.234999031646945E-2</v>
      </c>
      <c r="R295" s="5">
        <f>IF(P295&gt;0,P295^(1-Parameters!$B$53)/(1-Parameters!$B$53)*Q295,-10+P295*1000)</f>
        <v>-3.3649750479886269E-2</v>
      </c>
      <c r="S295" s="5"/>
    </row>
    <row r="296" spans="1:19" x14ac:dyDescent="0.35">
      <c r="A296">
        <f>A295+Parameters!$B$71</f>
        <v>292</v>
      </c>
      <c r="B296" s="7">
        <f t="shared" si="41"/>
        <v>5.3289702319887791E-2</v>
      </c>
      <c r="C296" s="7">
        <f t="shared" si="42"/>
        <v>1.0277954020588648E-2</v>
      </c>
      <c r="D296" s="5">
        <f t="shared" si="43"/>
        <v>0.29312306079490108</v>
      </c>
      <c r="E296" s="5">
        <f>MAX((1-Parameters!$B$4)^Parameters!B$71*E295+B295*Parameters!B$71-Parameters!$B$5*B295^2/E295*Parameters!B$71,0.0001)</f>
        <v>0.79006903937866424</v>
      </c>
      <c r="F296" s="7">
        <f>MAX((1-Parameters!$B$4)^Parameters!B$71*F295+C295*Parameters!B$71-Parameters!$B$5*C295^2/F295*Parameters!B$71,0.0001)</f>
        <v>0.15238015814284109</v>
      </c>
      <c r="G296" s="5">
        <f>MAX((1-Parameters!$B$4)^Parameters!B$71*G295+D295*Parameters!B$71-Parameters!$B$5*D295^2/G295*Parameters!B$71,0.0001)</f>
        <v>4.3458200173581787</v>
      </c>
      <c r="I296" s="5">
        <f>I295*(1+Parameters!$B$52)^Parameters!B$71</f>
        <v>19.007215641696735</v>
      </c>
      <c r="J296" s="5">
        <f>J295*(1+Parameters!$B$54)^Parameters!B$71</f>
        <v>2937.804573582494</v>
      </c>
      <c r="K296" s="5">
        <f>'6states'!$N$4</f>
        <v>0.98104277196026479</v>
      </c>
      <c r="L296" s="7">
        <f t="shared" si="44"/>
        <v>0.5</v>
      </c>
      <c r="N296" s="5">
        <f>(Parameters!$B$19*(E296+Parameters!$B$20)^L296+Parameters!$B$18*F296^L296)^(1/L296)</f>
        <v>0.54952835322503368</v>
      </c>
      <c r="O296" s="5">
        <f>(Parameters!$B$10*G296^Parameters!$B$9 + Parameters!$B$11*N296^Parameters!$B$9) ^ (Parameters!$B$7/Parameters!$B$9) * K296</f>
        <v>1.5019529181916549</v>
      </c>
      <c r="P296" s="5">
        <f t="shared" si="40"/>
        <v>1.1452622010562774</v>
      </c>
      <c r="Q296" s="5">
        <f>EXP(-Parameters!$B$56*A296)</f>
        <v>1.2164906363273381E-2</v>
      </c>
      <c r="R296" s="5">
        <f>IF(P296&gt;0,P296^(1-Parameters!$B$53)/(1-Parameters!$B$53)*Q296,-10+P296*1000)</f>
        <v>-3.3145456251234162E-2</v>
      </c>
      <c r="S296" s="5"/>
    </row>
    <row r="297" spans="1:19" x14ac:dyDescent="0.35">
      <c r="A297">
        <f>A296+Parameters!$B$71</f>
        <v>293</v>
      </c>
      <c r="B297" s="7">
        <f t="shared" si="41"/>
        <v>5.3289702319887791E-2</v>
      </c>
      <c r="C297" s="7">
        <f t="shared" si="42"/>
        <v>1.0277954020588648E-2</v>
      </c>
      <c r="D297" s="5">
        <f t="shared" si="43"/>
        <v>0.29312306079490108</v>
      </c>
      <c r="E297" s="5">
        <f>MAX((1-Parameters!$B$4)^Parameters!B$71*E296+B296*Parameters!B$71-Parameters!$B$5*B296^2/E296*Parameters!B$71,0.0001)</f>
        <v>0.79006903934824568</v>
      </c>
      <c r="F297" s="7">
        <f>MAX((1-Parameters!$B$4)^Parameters!B$71*F296+C296*Parameters!B$71-Parameters!$B$5*C296^2/F296*Parameters!B$71,0.0001)</f>
        <v>0.15238015812923847</v>
      </c>
      <c r="G297" s="5">
        <f>MAX((1-Parameters!$B$4)^Parameters!B$71*G296+D296*Parameters!B$71-Parameters!$B$5*D296^2/G296*Parameters!B$71,0.0001)</f>
        <v>4.3458200171921018</v>
      </c>
      <c r="I297" s="5">
        <f>I296*(1+Parameters!$B$52)^Parameters!B$71</f>
        <v>19.062336567057653</v>
      </c>
      <c r="J297" s="5">
        <f>J296*(1+Parameters!$B$54)^Parameters!B$71</f>
        <v>2996.560665054144</v>
      </c>
      <c r="K297" s="5">
        <f>'6states'!$N$4</f>
        <v>0.98104277196026479</v>
      </c>
      <c r="L297" s="7">
        <f t="shared" si="44"/>
        <v>0.5</v>
      </c>
      <c r="N297" s="5">
        <f>(Parameters!$B$19*(E297+Parameters!$B$20)^L297+Parameters!$B$18*F297^L297)^(1/L297)</f>
        <v>0.549528353199635</v>
      </c>
      <c r="O297" s="5">
        <f>(Parameters!$B$10*G297^Parameters!$B$9 + Parameters!$B$11*N297^Parameters!$B$9) ^ (Parameters!$B$7/Parameters!$B$9) * K297</f>
        <v>1.5019529181737872</v>
      </c>
      <c r="P297" s="5">
        <f t="shared" si="40"/>
        <v>1.1452622010384097</v>
      </c>
      <c r="Q297" s="5">
        <f>EXP(-Parameters!$B$56*A297)</f>
        <v>1.198259618308059E-2</v>
      </c>
      <c r="R297" s="5">
        <f>IF(P297&gt;0,P297^(1-Parameters!$B$53)/(1-Parameters!$B$53)*Q297,-10+P297*1000)</f>
        <v>-3.2648719661644829E-2</v>
      </c>
      <c r="S297" s="5"/>
    </row>
    <row r="298" spans="1:19" x14ac:dyDescent="0.35">
      <c r="A298">
        <f>A297+Parameters!$B$71</f>
        <v>294</v>
      </c>
      <c r="B298" s="7">
        <f t="shared" si="41"/>
        <v>5.3289702319887791E-2</v>
      </c>
      <c r="C298" s="7">
        <f t="shared" si="42"/>
        <v>1.0277954020588648E-2</v>
      </c>
      <c r="D298" s="5">
        <f t="shared" si="43"/>
        <v>0.29312306079490108</v>
      </c>
      <c r="E298" s="5">
        <f>MAX((1-Parameters!$B$4)^Parameters!B$71*E297+B297*Parameters!B$71-Parameters!$B$5*B297^2/E297*Parameters!B$71,0.0001)</f>
        <v>0.79006903931960215</v>
      </c>
      <c r="F298" s="7">
        <f>MAX((1-Parameters!$B$4)^Parameters!B$71*F297+C297*Parameters!B$71-Parameters!$B$5*C297^2/F297*Parameters!B$71,0.0001)</f>
        <v>0.15238015811642958</v>
      </c>
      <c r="G298" s="5">
        <f>MAX((1-Parameters!$B$4)^Parameters!B$71*G297+D297*Parameters!B$71-Parameters!$B$5*D297^2/G297*Parameters!B$71,0.0001)</f>
        <v>4.3458200170357157</v>
      </c>
      <c r="I298" s="5">
        <f>I297*(1+Parameters!$B$52)^Parameters!B$71</f>
        <v>19.117617343102118</v>
      </c>
      <c r="J298" s="5">
        <f>J297*(1+Parameters!$B$54)^Parameters!B$71</f>
        <v>3056.4918783552271</v>
      </c>
      <c r="K298" s="5">
        <f>'6states'!$N$4</f>
        <v>0.98104277196026479</v>
      </c>
      <c r="L298" s="7">
        <f t="shared" si="44"/>
        <v>0.5</v>
      </c>
      <c r="N298" s="5">
        <f>(Parameters!$B$19*(E298+Parameters!$B$20)^L298+Parameters!$B$18*F298^L298)^(1/L298)</f>
        <v>0.54952835317571824</v>
      </c>
      <c r="O298" s="5">
        <f>(Parameters!$B$10*G298^Parameters!$B$9 + Parameters!$B$11*N298^Parameters!$B$9) ^ (Parameters!$B$7/Parameters!$B$9) * K298</f>
        <v>1.5019529181569622</v>
      </c>
      <c r="P298" s="5">
        <f t="shared" si="40"/>
        <v>1.1452622010215847</v>
      </c>
      <c r="Q298" s="5">
        <f>EXP(-Parameters!$B$56*A298)</f>
        <v>1.1803018206557056E-2</v>
      </c>
      <c r="R298" s="5">
        <f>IF(P298&gt;0,P298^(1-Parameters!$B$53)/(1-Parameters!$B$53)*Q298,-10+P298*1000)</f>
        <v>-3.2159427448057637E-2</v>
      </c>
      <c r="S298" s="5"/>
    </row>
    <row r="299" spans="1:19" x14ac:dyDescent="0.35">
      <c r="A299">
        <f>A298+Parameters!$B$71</f>
        <v>295</v>
      </c>
      <c r="B299" s="7">
        <f t="shared" si="41"/>
        <v>5.3289702319887791E-2</v>
      </c>
      <c r="C299" s="7">
        <f t="shared" si="42"/>
        <v>1.0277954020588648E-2</v>
      </c>
      <c r="D299" s="5">
        <f t="shared" si="43"/>
        <v>0.29312306079490108</v>
      </c>
      <c r="E299" s="5">
        <f>MAX((1-Parameters!$B$4)^Parameters!B$71*E298+B298*Parameters!B$71-Parameters!$B$5*B298^2/E298*Parameters!B$71,0.0001)</f>
        <v>0.79006903929262995</v>
      </c>
      <c r="F299" s="7">
        <f>MAX((1-Parameters!$B$4)^Parameters!B$71*F298+C298*Parameters!B$71-Parameters!$B$5*C298^2/F298*Parameters!B$71,0.0001)</f>
        <v>0.15238015810436809</v>
      </c>
      <c r="G299" s="5">
        <f>MAX((1-Parameters!$B$4)^Parameters!B$71*G298+D298*Parameters!B$71-Parameters!$B$5*D298^2/G298*Parameters!B$71,0.0001)</f>
        <v>4.3458200168884549</v>
      </c>
      <c r="I299" s="5">
        <f>I298*(1+Parameters!$B$52)^Parameters!B$71</f>
        <v>19.173058433397113</v>
      </c>
      <c r="J299" s="5">
        <f>J298*(1+Parameters!$B$54)^Parameters!B$71</f>
        <v>3117.6217159223315</v>
      </c>
      <c r="K299" s="5">
        <f>'6states'!$N$4</f>
        <v>0.98104277196026479</v>
      </c>
      <c r="L299" s="7">
        <f t="shared" si="44"/>
        <v>0.5</v>
      </c>
      <c r="N299" s="5">
        <f>(Parameters!$B$19*(E299+Parameters!$B$20)^L299+Parameters!$B$18*F299^L299)^(1/L299)</f>
        <v>0.54952835315319715</v>
      </c>
      <c r="O299" s="5">
        <f>(Parameters!$B$10*G299^Parameters!$B$9 + Parameters!$B$11*N299^Parameters!$B$9) ^ (Parameters!$B$7/Parameters!$B$9) * K299</f>
        <v>1.5019529181411189</v>
      </c>
      <c r="P299" s="5">
        <f t="shared" si="40"/>
        <v>1.1452622010057414</v>
      </c>
      <c r="Q299" s="5">
        <f>EXP(-Parameters!$B$56*A299)</f>
        <v>1.1626131487350361E-2</v>
      </c>
      <c r="R299" s="5">
        <f>IF(P299&gt;0,P299^(1-Parameters!$B$53)/(1-Parameters!$B$53)*Q299,-10+P299*1000)</f>
        <v>-3.1677468044836343E-2</v>
      </c>
      <c r="S299" s="5"/>
    </row>
    <row r="300" spans="1:19" x14ac:dyDescent="0.35">
      <c r="A300">
        <f>A299+Parameters!$B$71</f>
        <v>296</v>
      </c>
      <c r="B300" s="7">
        <f t="shared" si="41"/>
        <v>5.3289702319887791E-2</v>
      </c>
      <c r="C300" s="7">
        <f t="shared" si="42"/>
        <v>1.0277954020588648E-2</v>
      </c>
      <c r="D300" s="5">
        <f t="shared" si="43"/>
        <v>0.29312306079490108</v>
      </c>
      <c r="E300" s="5">
        <f>MAX((1-Parameters!$B$4)^Parameters!B$71*E299+B299*Parameters!B$71-Parameters!$B$5*B299^2/E299*Parameters!B$71,0.0001)</f>
        <v>0.7900690392672316</v>
      </c>
      <c r="F300" s="7">
        <f>MAX((1-Parameters!$B$4)^Parameters!B$71*F299+C299*Parameters!B$71-Parameters!$B$5*C299^2/F299*Parameters!B$71,0.0001)</f>
        <v>0.15238015809301039</v>
      </c>
      <c r="G300" s="5">
        <f>MAX((1-Parameters!$B$4)^Parameters!B$71*G299+D299*Parameters!B$71-Parameters!$B$5*D299^2/G299*Parameters!B$71,0.0001)</f>
        <v>4.3458200167497862</v>
      </c>
      <c r="I300" s="5">
        <f>I299*(1+Parameters!$B$52)^Parameters!B$71</f>
        <v>19.228660302853964</v>
      </c>
      <c r="J300" s="5">
        <f>J299*(1+Parameters!$B$54)^Parameters!B$71</f>
        <v>3179.9741502407783</v>
      </c>
      <c r="K300" s="5">
        <f>'6states'!$N$4</f>
        <v>0.98104277196026479</v>
      </c>
      <c r="L300" s="7">
        <f t="shared" si="44"/>
        <v>0.5</v>
      </c>
      <c r="N300" s="5">
        <f>(Parameters!$B$19*(E300+Parameters!$B$20)^L300+Parameters!$B$18*F300^L300)^(1/L300)</f>
        <v>0.54952835313199022</v>
      </c>
      <c r="O300" s="5">
        <f>(Parameters!$B$10*G300^Parameters!$B$9 + Parameters!$B$11*N300^Parameters!$B$9) ^ (Parameters!$B$7/Parameters!$B$9) * K300</f>
        <v>1.5019529181262001</v>
      </c>
      <c r="P300" s="5">
        <f t="shared" si="40"/>
        <v>1.1452622009908227</v>
      </c>
      <c r="Q300" s="5">
        <f>EXP(-Parameters!$B$56*A300)</f>
        <v>1.1451895692753287E-2</v>
      </c>
      <c r="R300" s="5">
        <f>IF(P300&gt;0,P300^(1-Parameters!$B$53)/(1-Parameters!$B$53)*Q300,-10+P300*1000)</f>
        <v>-3.1202731558330341E-2</v>
      </c>
      <c r="S300" s="5"/>
    </row>
    <row r="301" spans="1:19" x14ac:dyDescent="0.35">
      <c r="A301">
        <f>A300+Parameters!$B$71</f>
        <v>297</v>
      </c>
      <c r="B301" s="7">
        <f t="shared" si="41"/>
        <v>5.3289702319887791E-2</v>
      </c>
      <c r="C301" s="7">
        <f t="shared" si="42"/>
        <v>1.0277954020588648E-2</v>
      </c>
      <c r="D301" s="5">
        <f t="shared" si="43"/>
        <v>0.29312306079490108</v>
      </c>
      <c r="E301" s="5">
        <f>MAX((1-Parameters!$B$4)^Parameters!B$71*E300+B300*Parameters!B$71-Parameters!$B$5*B300^2/E300*Parameters!B$71,0.0001)</f>
        <v>0.79006903924331529</v>
      </c>
      <c r="F301" s="7">
        <f>MAX((1-Parameters!$B$4)^Parameters!B$71*F300+C300*Parameters!B$71-Parameters!$B$5*C300^2/F300*Parameters!B$71,0.0001)</f>
        <v>0.15238015808231545</v>
      </c>
      <c r="G301" s="5">
        <f>MAX((1-Parameters!$B$4)^Parameters!B$71*G300+D300*Parameters!B$71-Parameters!$B$5*D300^2/G300*Parameters!B$71,0.0001)</f>
        <v>4.3458200166192098</v>
      </c>
      <c r="I301" s="5">
        <f>I300*(1+Parameters!$B$52)^Parameters!B$71</f>
        <v>19.284423417732238</v>
      </c>
      <c r="J301" s="5">
        <f>J300*(1+Parameters!$B$54)^Parameters!B$71</f>
        <v>3243.573633245594</v>
      </c>
      <c r="K301" s="5">
        <f>'6states'!$N$4</f>
        <v>0.98104277196026479</v>
      </c>
      <c r="L301" s="7">
        <f t="shared" si="44"/>
        <v>0.5</v>
      </c>
      <c r="N301" s="5">
        <f>(Parameters!$B$19*(E301+Parameters!$B$20)^L301+Parameters!$B$18*F301^L301)^(1/L301)</f>
        <v>0.54952835311202075</v>
      </c>
      <c r="O301" s="5">
        <f>(Parameters!$B$10*G301^Parameters!$B$9 + Parameters!$B$11*N301^Parameters!$B$9) ^ (Parameters!$B$7/Parameters!$B$9) * K301</f>
        <v>1.5019529181121518</v>
      </c>
      <c r="P301" s="5">
        <f t="shared" si="40"/>
        <v>1.1452622009767743</v>
      </c>
      <c r="Q301" s="5">
        <f>EXP(-Parameters!$B$56*A301)</f>
        <v>1.1280271094507461E-2</v>
      </c>
      <c r="R301" s="5">
        <f>IF(P301&gt;0,P301^(1-Parameters!$B$53)/(1-Parameters!$B$53)*Q301,-10+P301*1000)</f>
        <v>-3.0735109741817597E-2</v>
      </c>
      <c r="S301" s="5"/>
    </row>
    <row r="302" spans="1:19" x14ac:dyDescent="0.35">
      <c r="A302">
        <f>A301+Parameters!$B$71</f>
        <v>298</v>
      </c>
      <c r="B302" s="7">
        <f t="shared" si="41"/>
        <v>5.3289702319887791E-2</v>
      </c>
      <c r="C302" s="7">
        <f t="shared" si="42"/>
        <v>1.0277954020588648E-2</v>
      </c>
      <c r="D302" s="5">
        <f t="shared" si="43"/>
        <v>0.29312306079490108</v>
      </c>
      <c r="E302" s="5">
        <f>MAX((1-Parameters!$B$4)^Parameters!B$71*E301+B301*Parameters!B$71-Parameters!$B$5*B301^2/E301*Parameters!B$71,0.0001)</f>
        <v>0.79006903922079452</v>
      </c>
      <c r="F302" s="7">
        <f>MAX((1-Parameters!$B$4)^Parameters!B$71*F301+C301*Parameters!B$71-Parameters!$B$5*C301^2/F301*Parameters!B$71,0.0001)</f>
        <v>0.15238015807224456</v>
      </c>
      <c r="G302" s="5">
        <f>MAX((1-Parameters!$B$4)^Parameters!B$71*G301+D301*Parameters!B$71-Parameters!$B$5*D301^2/G301*Parameters!B$71,0.0001)</f>
        <v>4.3458200164962522</v>
      </c>
      <c r="I302" s="5">
        <f>I301*(1+Parameters!$B$52)^Parameters!B$71</f>
        <v>19.340348245643661</v>
      </c>
      <c r="J302" s="5">
        <f>J301*(1+Parameters!$B$54)^Parameters!B$71</f>
        <v>3308.4451059105058</v>
      </c>
      <c r="K302" s="5">
        <f>'6states'!$N$4</f>
        <v>0.98104277196026479</v>
      </c>
      <c r="L302" s="7">
        <f t="shared" si="44"/>
        <v>0.5</v>
      </c>
      <c r="N302" s="5">
        <f>(Parameters!$B$19*(E302+Parameters!$B$20)^L302+Parameters!$B$18*F302^L302)^(1/L302)</f>
        <v>0.54952835309321624</v>
      </c>
      <c r="O302" s="5">
        <f>(Parameters!$B$10*G302^Parameters!$B$9 + Parameters!$B$11*N302^Parameters!$B$9) ^ (Parameters!$B$7/Parameters!$B$9) * K302</f>
        <v>1.5019529180989231</v>
      </c>
      <c r="P302" s="5">
        <f t="shared" si="40"/>
        <v>1.1452622009635456</v>
      </c>
      <c r="Q302" s="5">
        <f>EXP(-Parameters!$B$56*A302)</f>
        <v>1.1111218559744694E-2</v>
      </c>
      <c r="R302" s="5">
        <f>IF(P302&gt;0,P302^(1-Parameters!$B$53)/(1-Parameters!$B$53)*Q302,-10+P302*1000)</f>
        <v>-3.0274495970822744E-2</v>
      </c>
      <c r="S302" s="5"/>
    </row>
    <row r="303" spans="1:19" x14ac:dyDescent="0.35">
      <c r="A303">
        <f>A302+Parameters!$B$71</f>
        <v>299</v>
      </c>
      <c r="B303" s="7">
        <f t="shared" si="41"/>
        <v>5.3289702319887791E-2</v>
      </c>
      <c r="C303" s="7">
        <f t="shared" si="42"/>
        <v>1.0277954020588648E-2</v>
      </c>
      <c r="D303" s="5">
        <f t="shared" si="43"/>
        <v>0.29312306079490108</v>
      </c>
      <c r="E303" s="5">
        <f>MAX((1-Parameters!$B$4)^Parameters!B$71*E302+B302*Parameters!B$71-Parameters!$B$5*B302^2/E302*Parameters!B$71,0.0001)</f>
        <v>0.79006903919958782</v>
      </c>
      <c r="F303" s="7">
        <f>MAX((1-Parameters!$B$4)^Parameters!B$71*F302+C302*Parameters!B$71-Parameters!$B$5*C302^2/F302*Parameters!B$71,0.0001)</f>
        <v>0.15238015806276128</v>
      </c>
      <c r="G303" s="5">
        <f>MAX((1-Parameters!$B$4)^Parameters!B$71*G302+D302*Parameters!B$71-Parameters!$B$5*D302^2/G302*Parameters!B$71,0.0001)</f>
        <v>4.3458200163804701</v>
      </c>
      <c r="I303" s="5">
        <f>I302*(1+Parameters!$B$52)^Parameters!B$71</f>
        <v>19.396435255556025</v>
      </c>
      <c r="J303" s="5">
        <f>J302*(1+Parameters!$B$54)^Parameters!B$71</f>
        <v>3374.6140080287159</v>
      </c>
      <c r="K303" s="5">
        <f>'6states'!$N$4</f>
        <v>0.98104277196026479</v>
      </c>
      <c r="L303" s="7">
        <f t="shared" si="44"/>
        <v>0.5</v>
      </c>
      <c r="N303" s="5">
        <f>(Parameters!$B$19*(E303+Parameters!$B$20)^L303+Parameters!$B$18*F303^L303)^(1/L303)</f>
        <v>0.54952835307550907</v>
      </c>
      <c r="O303" s="5">
        <f>(Parameters!$B$10*G303^Parameters!$B$9 + Parameters!$B$11*N303^Parameters!$B$9) ^ (Parameters!$B$7/Parameters!$B$9) * K303</f>
        <v>1.5019529180864664</v>
      </c>
      <c r="P303" s="5">
        <f t="shared" si="40"/>
        <v>1.1452622009510889</v>
      </c>
      <c r="Q303" s="5">
        <f>EXP(-Parameters!$B$56*A303)</f>
        <v>1.0944699542064111E-2</v>
      </c>
      <c r="R303" s="5">
        <f>IF(P303&gt;0,P303^(1-Parameters!$B$53)/(1-Parameters!$B$53)*Q303,-10+P303*1000)</f>
        <v>-2.9820785218805039E-2</v>
      </c>
      <c r="S303" s="5"/>
    </row>
    <row r="304" spans="1:19" x14ac:dyDescent="0.35">
      <c r="A304">
        <f>A303+Parameters!$B$71</f>
        <v>300</v>
      </c>
      <c r="B304" s="7">
        <f t="shared" si="41"/>
        <v>5.3289702319887791E-2</v>
      </c>
      <c r="C304" s="7">
        <f t="shared" si="42"/>
        <v>1.0277954020588648E-2</v>
      </c>
      <c r="D304" s="5">
        <f t="shared" si="43"/>
        <v>0.29312306079490108</v>
      </c>
      <c r="E304" s="5">
        <f>MAX((1-Parameters!$B$4)^Parameters!B$71*E303+B303*Parameters!B$71-Parameters!$B$5*B303^2/E303*Parameters!B$71,0.0001)</f>
        <v>0.79006903917961857</v>
      </c>
      <c r="F304" s="7">
        <f>MAX((1-Parameters!$B$4)^Parameters!B$71*F303+C303*Parameters!B$71-Parameters!$B$5*C303^2/F303*Parameters!B$71,0.0001)</f>
        <v>0.15238015805383134</v>
      </c>
      <c r="G304" s="5">
        <f>MAX((1-Parameters!$B$4)^Parameters!B$71*G303+D303*Parameters!B$71-Parameters!$B$5*D303^2/G303*Parameters!B$71,0.0001)</f>
        <v>4.3458200162714427</v>
      </c>
      <c r="I304" s="5">
        <f>I303*(1+Parameters!$B$52)^Parameters!B$71</f>
        <v>19.452684917797136</v>
      </c>
      <c r="J304" s="5">
        <f>J303*(1+Parameters!$B$54)^Parameters!B$71</f>
        <v>3442.1062881892904</v>
      </c>
      <c r="K304" s="5">
        <f>'6states'!$N$4</f>
        <v>0.98104277196026479</v>
      </c>
      <c r="L304" s="7">
        <f t="shared" si="44"/>
        <v>0.5</v>
      </c>
      <c r="N304" s="5">
        <f>(Parameters!$B$19*(E304+Parameters!$B$20)^L304+Parameters!$B$18*F304^L304)^(1/L304)</f>
        <v>0.54952835305883518</v>
      </c>
      <c r="O304" s="5">
        <f>(Parameters!$B$10*G304^Parameters!$B$9 + Parameters!$B$11*N304^Parameters!$B$9) ^ (Parameters!$B$7/Parameters!$B$9) * K304</f>
        <v>1.5019529180747366</v>
      </c>
      <c r="P304" s="5">
        <f t="shared" si="40"/>
        <v>1.1452622009393592</v>
      </c>
      <c r="Q304" s="5">
        <f>EXP(-Parameters!$B$56*A304)</f>
        <v>1.0780676072743073E-2</v>
      </c>
      <c r="R304" s="5">
        <f>IF(P304&gt;0,P304^(1-Parameters!$B$53)/(1-Parameters!$B$53)*Q304/Parameters!$B$56,-10+P304*1000)</f>
        <v>-1.9452896710735814</v>
      </c>
      <c r="S304" s="5"/>
    </row>
    <row r="305" spans="2:19" x14ac:dyDescent="0.35">
      <c r="B305" s="7"/>
      <c r="C305" s="7"/>
      <c r="D305" s="5"/>
      <c r="E305" s="5"/>
      <c r="F305" s="7"/>
      <c r="G305" s="5"/>
      <c r="I305" s="5"/>
      <c r="J305" s="5"/>
      <c r="K305" s="5"/>
      <c r="L305" s="7"/>
      <c r="N305" s="5"/>
      <c r="O305" s="5"/>
      <c r="P305" s="5"/>
      <c r="Q305" s="5"/>
      <c r="R305" s="5"/>
      <c r="S305" s="5"/>
    </row>
    <row r="306" spans="2:19" x14ac:dyDescent="0.35">
      <c r="B306" s="7"/>
      <c r="C306" s="7"/>
      <c r="D306" s="5"/>
      <c r="E306" s="5"/>
      <c r="F306" s="7"/>
      <c r="G306" s="5"/>
      <c r="I306" s="5"/>
      <c r="J306" s="5"/>
      <c r="K306" s="5"/>
      <c r="L306" s="7"/>
      <c r="N306" s="5"/>
      <c r="O306" s="5"/>
      <c r="P306" s="5"/>
      <c r="Q306" s="5"/>
      <c r="R306" s="5"/>
      <c r="S306" s="5"/>
    </row>
    <row r="307" spans="2:19" x14ac:dyDescent="0.35">
      <c r="B307" s="7"/>
      <c r="C307" s="7"/>
      <c r="D307" s="5"/>
      <c r="E307" s="5"/>
      <c r="F307" s="7"/>
      <c r="G307" s="5"/>
      <c r="I307" s="5"/>
      <c r="J307" s="5"/>
      <c r="K307" s="5"/>
      <c r="L307" s="7"/>
      <c r="N307" s="5"/>
      <c r="O307" s="5"/>
      <c r="P307" s="5"/>
      <c r="Q307" s="5"/>
      <c r="R307" s="5"/>
      <c r="S307" s="5"/>
    </row>
    <row r="308" spans="2:19" x14ac:dyDescent="0.35">
      <c r="B308" s="7"/>
      <c r="C308" s="7"/>
      <c r="D308" s="5"/>
      <c r="E308" s="5"/>
      <c r="F308" s="7"/>
      <c r="G308" s="5"/>
      <c r="I308" s="5"/>
      <c r="J308" s="5"/>
      <c r="K308" s="5"/>
      <c r="L308" s="7"/>
      <c r="N308" s="5"/>
      <c r="O308" s="5"/>
      <c r="P308" s="5"/>
      <c r="Q308" s="5"/>
      <c r="R308" s="5"/>
      <c r="S308" s="5"/>
    </row>
    <row r="309" spans="2:19" x14ac:dyDescent="0.35">
      <c r="B309" s="7"/>
      <c r="C309" s="7"/>
      <c r="D309" s="5"/>
      <c r="E309" s="5"/>
      <c r="F309" s="7"/>
      <c r="G309" s="5"/>
      <c r="I309" s="5"/>
      <c r="J309" s="5"/>
      <c r="K309" s="5"/>
      <c r="L309" s="7"/>
      <c r="N309" s="5"/>
      <c r="O309" s="5"/>
      <c r="P309" s="5"/>
      <c r="Q309" s="5"/>
      <c r="R309" s="5"/>
      <c r="S309" s="5"/>
    </row>
    <row r="310" spans="2:19" x14ac:dyDescent="0.35">
      <c r="B310" s="7"/>
      <c r="C310" s="7"/>
      <c r="D310" s="5"/>
      <c r="E310" s="5"/>
      <c r="F310" s="7"/>
      <c r="G310" s="5"/>
      <c r="I310" s="5"/>
      <c r="J310" s="5"/>
      <c r="K310" s="5"/>
      <c r="L310" s="7"/>
      <c r="N310" s="5"/>
      <c r="O310" s="5"/>
      <c r="P310" s="5"/>
      <c r="Q310" s="5"/>
      <c r="R310" s="5"/>
      <c r="S310" s="5"/>
    </row>
    <row r="311" spans="2:19" x14ac:dyDescent="0.35">
      <c r="B311" s="7"/>
      <c r="C311" s="7"/>
      <c r="D311" s="5"/>
      <c r="E311" s="5"/>
      <c r="F311" s="7"/>
      <c r="G311" s="5"/>
      <c r="I311" s="5"/>
      <c r="J311" s="5"/>
      <c r="K311" s="5"/>
      <c r="L311" s="7"/>
      <c r="N311" s="5"/>
      <c r="O311" s="5"/>
      <c r="P311" s="5"/>
      <c r="Q311" s="5"/>
      <c r="R311" s="5"/>
      <c r="S311" s="5"/>
    </row>
    <row r="312" spans="2:19" x14ac:dyDescent="0.35">
      <c r="B312" s="7"/>
      <c r="C312" s="7"/>
      <c r="D312" s="5"/>
      <c r="E312" s="5"/>
      <c r="F312" s="7"/>
      <c r="G312" s="5"/>
      <c r="I312" s="5"/>
      <c r="J312" s="5"/>
      <c r="K312" s="5"/>
      <c r="L312" s="7"/>
      <c r="N312" s="5"/>
      <c r="O312" s="5"/>
      <c r="P312" s="5"/>
      <c r="Q312" s="5"/>
      <c r="R312" s="5"/>
      <c r="S312" s="5"/>
    </row>
    <row r="313" spans="2:19" x14ac:dyDescent="0.35">
      <c r="B313" s="7"/>
      <c r="C313" s="7"/>
      <c r="D313" s="5"/>
      <c r="E313" s="5"/>
      <c r="F313" s="7"/>
      <c r="G313" s="5"/>
      <c r="I313" s="5"/>
      <c r="J313" s="5"/>
      <c r="K313" s="5"/>
      <c r="L313" s="7"/>
      <c r="N313" s="5"/>
      <c r="O313" s="5"/>
      <c r="P313" s="5"/>
      <c r="Q313" s="5"/>
      <c r="R313" s="5"/>
      <c r="S313" s="5"/>
    </row>
    <row r="314" spans="2:19" x14ac:dyDescent="0.35">
      <c r="B314" s="7"/>
      <c r="C314" s="7"/>
      <c r="D314" s="5"/>
      <c r="E314" s="5"/>
      <c r="F314" s="7"/>
      <c r="G314" s="5"/>
      <c r="I314" s="5"/>
      <c r="J314" s="5"/>
      <c r="K314" s="5"/>
      <c r="L314" s="7"/>
      <c r="N314" s="5"/>
      <c r="O314" s="5"/>
      <c r="P314" s="5"/>
      <c r="Q314" s="5"/>
      <c r="R314" s="5"/>
      <c r="S314" s="5"/>
    </row>
    <row r="315" spans="2:19" x14ac:dyDescent="0.35">
      <c r="B315" s="7"/>
      <c r="C315" s="7"/>
      <c r="D315" s="5"/>
      <c r="E315" s="5"/>
      <c r="F315" s="7"/>
      <c r="G315" s="5"/>
      <c r="I315" s="5"/>
      <c r="J315" s="5"/>
      <c r="K315" s="5"/>
      <c r="L315" s="7"/>
      <c r="N315" s="5"/>
      <c r="O315" s="5"/>
      <c r="P315" s="5"/>
      <c r="Q315" s="5"/>
      <c r="R315" s="5"/>
      <c r="S315" s="5"/>
    </row>
    <row r="316" spans="2:19" x14ac:dyDescent="0.35">
      <c r="B316" s="7"/>
      <c r="C316" s="7"/>
      <c r="D316" s="5"/>
      <c r="E316" s="5"/>
      <c r="F316" s="7"/>
      <c r="G316" s="5"/>
      <c r="I316" s="5"/>
      <c r="J316" s="5"/>
      <c r="K316" s="5"/>
      <c r="L316" s="7"/>
      <c r="N316" s="5"/>
      <c r="O316" s="5"/>
      <c r="P316" s="5"/>
      <c r="Q316" s="5"/>
      <c r="R316" s="5"/>
      <c r="S316" s="5"/>
    </row>
    <row r="317" spans="2:19" x14ac:dyDescent="0.35">
      <c r="B317" s="7"/>
      <c r="C317" s="7"/>
      <c r="D317" s="5"/>
      <c r="E317" s="5"/>
      <c r="F317" s="7"/>
      <c r="G317" s="5"/>
      <c r="I317" s="5"/>
      <c r="J317" s="5"/>
      <c r="K317" s="5"/>
      <c r="L317" s="7"/>
      <c r="N317" s="5"/>
      <c r="O317" s="5"/>
      <c r="P317" s="5"/>
      <c r="Q317" s="5"/>
      <c r="R317" s="5"/>
      <c r="S317" s="5"/>
    </row>
    <row r="318" spans="2:19" x14ac:dyDescent="0.35">
      <c r="B318" s="7"/>
      <c r="C318" s="7"/>
      <c r="D318" s="5"/>
      <c r="E318" s="5"/>
      <c r="F318" s="7"/>
      <c r="G318" s="5"/>
      <c r="I318" s="5"/>
      <c r="J318" s="5"/>
      <c r="K318" s="5"/>
      <c r="L318" s="7"/>
      <c r="N318" s="5"/>
      <c r="O318" s="5"/>
      <c r="P318" s="5"/>
      <c r="Q318" s="5"/>
      <c r="R318" s="5"/>
      <c r="S318" s="5"/>
    </row>
    <row r="319" spans="2:19" x14ac:dyDescent="0.35">
      <c r="B319" s="7"/>
      <c r="C319" s="7"/>
      <c r="D319" s="5"/>
      <c r="E319" s="5"/>
      <c r="F319" s="7"/>
      <c r="G319" s="5"/>
      <c r="I319" s="5"/>
      <c r="J319" s="5"/>
      <c r="K319" s="5"/>
      <c r="L319" s="7"/>
      <c r="N319" s="5"/>
      <c r="O319" s="5"/>
      <c r="P319" s="5"/>
      <c r="Q319" s="5"/>
      <c r="R319" s="5"/>
      <c r="S319" s="5"/>
    </row>
    <row r="320" spans="2:19" x14ac:dyDescent="0.35">
      <c r="B320" s="7"/>
      <c r="C320" s="7"/>
      <c r="D320" s="5"/>
      <c r="E320" s="5"/>
      <c r="F320" s="7"/>
      <c r="G320" s="5"/>
      <c r="I320" s="5"/>
      <c r="J320" s="5"/>
      <c r="K320" s="5"/>
      <c r="L320" s="7"/>
      <c r="N320" s="5"/>
      <c r="O320" s="5"/>
      <c r="P320" s="5"/>
      <c r="Q320" s="5"/>
      <c r="R320" s="5"/>
      <c r="S320" s="5"/>
    </row>
    <row r="321" spans="2:19" x14ac:dyDescent="0.35">
      <c r="B321" s="7"/>
      <c r="C321" s="7"/>
      <c r="D321" s="5"/>
      <c r="E321" s="5"/>
      <c r="F321" s="7"/>
      <c r="G321" s="5"/>
      <c r="I321" s="5"/>
      <c r="J321" s="5"/>
      <c r="K321" s="5"/>
      <c r="L321" s="7"/>
      <c r="N321" s="5"/>
      <c r="O321" s="5"/>
      <c r="P321" s="5"/>
      <c r="Q321" s="5"/>
      <c r="R321" s="5"/>
      <c r="S321" s="5"/>
    </row>
    <row r="322" spans="2:19" x14ac:dyDescent="0.35">
      <c r="B322" s="7"/>
      <c r="C322" s="7"/>
      <c r="D322" s="5"/>
      <c r="E322" s="5"/>
      <c r="F322" s="7"/>
      <c r="G322" s="5"/>
      <c r="I322" s="5"/>
      <c r="J322" s="5"/>
      <c r="K322" s="5"/>
      <c r="L322" s="7"/>
      <c r="N322" s="5"/>
      <c r="O322" s="5"/>
      <c r="P322" s="5"/>
      <c r="Q322" s="5"/>
      <c r="R322" s="5"/>
      <c r="S322" s="5"/>
    </row>
    <row r="323" spans="2:19" x14ac:dyDescent="0.35">
      <c r="B323" s="7"/>
      <c r="C323" s="7"/>
      <c r="D323" s="5"/>
      <c r="E323" s="5"/>
      <c r="F323" s="7"/>
      <c r="G323" s="5"/>
      <c r="I323" s="5"/>
      <c r="J323" s="5"/>
      <c r="K323" s="5"/>
      <c r="L323" s="7"/>
      <c r="N323" s="5"/>
      <c r="O323" s="5"/>
      <c r="P323" s="5"/>
      <c r="Q323" s="5"/>
      <c r="R323" s="5"/>
      <c r="S323" s="5"/>
    </row>
    <row r="324" spans="2:19" x14ac:dyDescent="0.35">
      <c r="B324" s="7"/>
      <c r="C324" s="7"/>
      <c r="D324" s="5"/>
      <c r="E324" s="5"/>
      <c r="F324" s="7"/>
      <c r="G324" s="5"/>
      <c r="I324" s="5"/>
      <c r="J324" s="5"/>
      <c r="K324" s="5"/>
      <c r="L324" s="7"/>
      <c r="N324" s="5"/>
      <c r="O324" s="5"/>
      <c r="P324" s="5"/>
      <c r="Q324" s="5"/>
      <c r="R324" s="5"/>
      <c r="S324" s="5"/>
    </row>
    <row r="325" spans="2:19" x14ac:dyDescent="0.35">
      <c r="B325" s="7"/>
      <c r="C325" s="7"/>
      <c r="D325" s="5"/>
      <c r="E325" s="5"/>
      <c r="F325" s="7"/>
      <c r="G325" s="5"/>
      <c r="I325" s="5"/>
      <c r="J325" s="5"/>
      <c r="K325" s="5"/>
      <c r="L325" s="7"/>
      <c r="N325" s="5"/>
      <c r="O325" s="5"/>
      <c r="P325" s="5"/>
      <c r="Q325" s="5"/>
      <c r="R325" s="5"/>
      <c r="S325" s="5"/>
    </row>
    <row r="326" spans="2:19" x14ac:dyDescent="0.35">
      <c r="B326" s="7"/>
      <c r="C326" s="7"/>
      <c r="D326" s="5"/>
      <c r="E326" s="5"/>
      <c r="F326" s="7"/>
      <c r="G326" s="5"/>
      <c r="I326" s="5"/>
      <c r="J326" s="5"/>
      <c r="K326" s="5"/>
      <c r="L326" s="7"/>
      <c r="N326" s="5"/>
      <c r="O326" s="5"/>
      <c r="P326" s="5"/>
      <c r="Q326" s="5"/>
      <c r="R326" s="5"/>
      <c r="S326" s="5"/>
    </row>
    <row r="327" spans="2:19" x14ac:dyDescent="0.35">
      <c r="B327" s="7"/>
      <c r="C327" s="7"/>
      <c r="D327" s="5"/>
      <c r="E327" s="5"/>
      <c r="F327" s="7"/>
      <c r="G327" s="5"/>
      <c r="I327" s="5"/>
      <c r="J327" s="5"/>
      <c r="K327" s="5"/>
      <c r="L327" s="7"/>
      <c r="N327" s="5"/>
      <c r="O327" s="5"/>
      <c r="P327" s="5"/>
      <c r="Q327" s="5"/>
      <c r="R327" s="5"/>
      <c r="S327" s="5"/>
    </row>
    <row r="328" spans="2:19" x14ac:dyDescent="0.35">
      <c r="B328" s="7"/>
      <c r="C328" s="7"/>
      <c r="D328" s="5"/>
      <c r="E328" s="5"/>
      <c r="F328" s="7"/>
      <c r="G328" s="5"/>
      <c r="I328" s="5"/>
      <c r="J328" s="5"/>
      <c r="K328" s="5"/>
      <c r="L328" s="7"/>
      <c r="N328" s="5"/>
      <c r="O328" s="5"/>
      <c r="P328" s="5"/>
      <c r="Q328" s="5"/>
      <c r="R328" s="5"/>
      <c r="S328" s="5"/>
    </row>
    <row r="329" spans="2:19" x14ac:dyDescent="0.35">
      <c r="B329" s="7"/>
      <c r="C329" s="7"/>
      <c r="D329" s="5"/>
      <c r="E329" s="5"/>
      <c r="F329" s="7"/>
      <c r="G329" s="5"/>
      <c r="I329" s="5"/>
      <c r="J329" s="5"/>
      <c r="K329" s="5"/>
      <c r="L329" s="7"/>
      <c r="N329" s="5"/>
      <c r="O329" s="5"/>
      <c r="P329" s="5"/>
      <c r="Q329" s="5"/>
      <c r="R329" s="5"/>
      <c r="S329" s="5"/>
    </row>
    <row r="330" spans="2:19" x14ac:dyDescent="0.35">
      <c r="B330" s="7"/>
      <c r="C330" s="7"/>
      <c r="D330" s="5"/>
      <c r="E330" s="5"/>
      <c r="F330" s="7"/>
      <c r="G330" s="5"/>
      <c r="I330" s="5"/>
      <c r="J330" s="5"/>
      <c r="K330" s="5"/>
      <c r="L330" s="7"/>
      <c r="N330" s="5"/>
      <c r="O330" s="5"/>
      <c r="P330" s="5"/>
      <c r="Q330" s="5"/>
      <c r="R330" s="5"/>
      <c r="S330" s="5"/>
    </row>
    <row r="331" spans="2:19" x14ac:dyDescent="0.35">
      <c r="B331" s="7"/>
      <c r="C331" s="7"/>
      <c r="D331" s="5"/>
      <c r="E331" s="5"/>
      <c r="F331" s="7"/>
      <c r="G331" s="5"/>
      <c r="I331" s="5"/>
      <c r="J331" s="5"/>
      <c r="K331" s="5"/>
      <c r="L331" s="7"/>
      <c r="N331" s="5"/>
      <c r="O331" s="5"/>
      <c r="P331" s="5"/>
      <c r="Q331" s="5"/>
      <c r="R331" s="5"/>
      <c r="S331" s="5"/>
    </row>
    <row r="332" spans="2:19" x14ac:dyDescent="0.35">
      <c r="B332" s="7"/>
      <c r="C332" s="7"/>
      <c r="D332" s="5"/>
      <c r="E332" s="5"/>
      <c r="F332" s="7"/>
      <c r="G332" s="5"/>
      <c r="I332" s="5"/>
      <c r="J332" s="5"/>
      <c r="K332" s="5"/>
      <c r="L332" s="7"/>
      <c r="N332" s="5"/>
      <c r="O332" s="5"/>
      <c r="P332" s="5"/>
      <c r="Q332" s="5"/>
      <c r="R332" s="5"/>
      <c r="S332" s="5"/>
    </row>
    <row r="333" spans="2:19" x14ac:dyDescent="0.35">
      <c r="B333" s="7"/>
      <c r="C333" s="7"/>
      <c r="D333" s="5"/>
      <c r="E333" s="5"/>
      <c r="F333" s="7"/>
      <c r="G333" s="5"/>
      <c r="I333" s="5"/>
      <c r="J333" s="5"/>
      <c r="K333" s="5"/>
      <c r="L333" s="7"/>
      <c r="N333" s="5"/>
      <c r="O333" s="5"/>
      <c r="P333" s="5"/>
      <c r="Q333" s="5"/>
      <c r="R333" s="5"/>
      <c r="S333" s="5"/>
    </row>
    <row r="334" spans="2:19" x14ac:dyDescent="0.35">
      <c r="B334" s="7"/>
      <c r="C334" s="7"/>
      <c r="D334" s="5"/>
      <c r="E334" s="5"/>
      <c r="F334" s="7"/>
      <c r="G334" s="5"/>
      <c r="I334" s="5"/>
      <c r="J334" s="5"/>
      <c r="K334" s="5"/>
      <c r="L334" s="7"/>
      <c r="N334" s="5"/>
      <c r="O334" s="5"/>
      <c r="P334" s="5"/>
      <c r="Q334" s="5"/>
      <c r="R334" s="5"/>
      <c r="S334" s="5"/>
    </row>
    <row r="335" spans="2:19" x14ac:dyDescent="0.35">
      <c r="B335" s="7"/>
      <c r="C335" s="7"/>
      <c r="D335" s="5"/>
      <c r="E335" s="5"/>
      <c r="F335" s="7"/>
      <c r="G335" s="5"/>
      <c r="I335" s="5"/>
      <c r="J335" s="5"/>
      <c r="K335" s="5"/>
      <c r="L335" s="7"/>
      <c r="N335" s="5"/>
      <c r="O335" s="5"/>
      <c r="P335" s="5"/>
      <c r="Q335" s="5"/>
      <c r="R335" s="5"/>
      <c r="S335" s="5"/>
    </row>
    <row r="336" spans="2:19" x14ac:dyDescent="0.35">
      <c r="B336" s="7"/>
      <c r="C336" s="7"/>
      <c r="D336" s="5"/>
      <c r="E336" s="5"/>
      <c r="F336" s="7"/>
      <c r="G336" s="5"/>
      <c r="I336" s="5"/>
      <c r="J336" s="5"/>
      <c r="K336" s="5"/>
      <c r="L336" s="7"/>
      <c r="N336" s="5"/>
      <c r="O336" s="5"/>
      <c r="P336" s="5"/>
      <c r="Q336" s="5"/>
      <c r="R336" s="5"/>
      <c r="S336" s="5"/>
    </row>
    <row r="337" spans="2:19" x14ac:dyDescent="0.35">
      <c r="B337" s="7"/>
      <c r="C337" s="7"/>
      <c r="D337" s="5"/>
      <c r="E337" s="5"/>
      <c r="F337" s="7"/>
      <c r="G337" s="5"/>
      <c r="I337" s="5"/>
      <c r="J337" s="5"/>
      <c r="K337" s="5"/>
      <c r="L337" s="7"/>
      <c r="N337" s="5"/>
      <c r="O337" s="5"/>
      <c r="P337" s="5"/>
      <c r="Q337" s="5"/>
      <c r="R337" s="5"/>
      <c r="S337" s="5"/>
    </row>
    <row r="338" spans="2:19" x14ac:dyDescent="0.35">
      <c r="B338" s="7"/>
      <c r="C338" s="7"/>
      <c r="D338" s="5"/>
      <c r="E338" s="5"/>
      <c r="F338" s="7"/>
      <c r="G338" s="5"/>
      <c r="I338" s="5"/>
      <c r="J338" s="5"/>
      <c r="K338" s="5"/>
      <c r="L338" s="7"/>
      <c r="N338" s="5"/>
      <c r="O338" s="5"/>
      <c r="P338" s="5"/>
      <c r="Q338" s="5"/>
      <c r="R338" s="5"/>
      <c r="S338" s="5"/>
    </row>
    <row r="339" spans="2:19" x14ac:dyDescent="0.35">
      <c r="B339" s="7"/>
      <c r="C339" s="7"/>
      <c r="D339" s="5"/>
      <c r="E339" s="5"/>
      <c r="F339" s="7"/>
      <c r="G339" s="5"/>
      <c r="I339" s="5"/>
      <c r="J339" s="5"/>
      <c r="K339" s="5"/>
      <c r="L339" s="7"/>
      <c r="N339" s="5"/>
      <c r="O339" s="5"/>
      <c r="P339" s="5"/>
      <c r="Q339" s="5"/>
      <c r="R339" s="5"/>
      <c r="S339" s="5"/>
    </row>
    <row r="340" spans="2:19" x14ac:dyDescent="0.35">
      <c r="B340" s="7"/>
      <c r="C340" s="7"/>
      <c r="D340" s="5"/>
      <c r="E340" s="5"/>
      <c r="F340" s="7"/>
      <c r="G340" s="5"/>
      <c r="I340" s="5"/>
      <c r="J340" s="5"/>
      <c r="K340" s="5"/>
      <c r="L340" s="7"/>
      <c r="N340" s="5"/>
      <c r="O340" s="5"/>
      <c r="P340" s="5"/>
      <c r="Q340" s="5"/>
      <c r="R340" s="5"/>
      <c r="S340" s="5"/>
    </row>
    <row r="341" spans="2:19" x14ac:dyDescent="0.35">
      <c r="B341" s="7"/>
      <c r="C341" s="7"/>
      <c r="D341" s="5"/>
      <c r="E341" s="5"/>
      <c r="F341" s="7"/>
      <c r="G341" s="5"/>
      <c r="I341" s="5"/>
      <c r="J341" s="5"/>
      <c r="K341" s="5"/>
      <c r="L341" s="7"/>
      <c r="N341" s="5"/>
      <c r="O341" s="5"/>
      <c r="P341" s="5"/>
      <c r="Q341" s="5"/>
      <c r="R341" s="5"/>
      <c r="S341" s="5"/>
    </row>
    <row r="342" spans="2:19" x14ac:dyDescent="0.35">
      <c r="B342" s="7"/>
      <c r="C342" s="7"/>
      <c r="D342" s="5"/>
      <c r="E342" s="5"/>
      <c r="F342" s="7"/>
      <c r="G342" s="5"/>
      <c r="I342" s="5"/>
      <c r="J342" s="5"/>
      <c r="K342" s="5"/>
      <c r="L342" s="7"/>
      <c r="N342" s="5"/>
      <c r="O342" s="5"/>
      <c r="P342" s="5"/>
      <c r="Q342" s="5"/>
      <c r="R342" s="5"/>
      <c r="S342" s="5"/>
    </row>
    <row r="343" spans="2:19" x14ac:dyDescent="0.35">
      <c r="B343" s="7"/>
      <c r="C343" s="7"/>
      <c r="D343" s="5"/>
      <c r="E343" s="5"/>
      <c r="F343" s="7"/>
      <c r="G343" s="5"/>
      <c r="I343" s="5"/>
      <c r="J343" s="5"/>
      <c r="K343" s="5"/>
      <c r="L343" s="7"/>
      <c r="N343" s="5"/>
      <c r="O343" s="5"/>
      <c r="P343" s="5"/>
      <c r="Q343" s="5"/>
      <c r="R343" s="5"/>
      <c r="S343" s="5"/>
    </row>
    <row r="344" spans="2:19" x14ac:dyDescent="0.35">
      <c r="B344" s="7"/>
      <c r="C344" s="7"/>
      <c r="D344" s="5"/>
      <c r="E344" s="5"/>
      <c r="F344" s="7"/>
      <c r="G344" s="5"/>
      <c r="I344" s="5"/>
      <c r="J344" s="5"/>
      <c r="K344" s="5"/>
      <c r="L344" s="7"/>
      <c r="N344" s="5"/>
      <c r="O344" s="5"/>
      <c r="P344" s="5"/>
      <c r="Q344" s="5"/>
      <c r="R344" s="5"/>
      <c r="S344" s="5"/>
    </row>
    <row r="345" spans="2:19" x14ac:dyDescent="0.35">
      <c r="B345" s="7"/>
      <c r="C345" s="7"/>
      <c r="D345" s="5"/>
      <c r="E345" s="5"/>
      <c r="F345" s="7"/>
      <c r="G345" s="5"/>
      <c r="I345" s="5"/>
      <c r="J345" s="5"/>
      <c r="K345" s="5"/>
      <c r="L345" s="7"/>
      <c r="N345" s="5"/>
      <c r="O345" s="5"/>
      <c r="P345" s="5"/>
      <c r="Q345" s="5"/>
      <c r="R345" s="5"/>
      <c r="S345" s="5"/>
    </row>
    <row r="346" spans="2:19" x14ac:dyDescent="0.35">
      <c r="B346" s="7"/>
      <c r="C346" s="7"/>
      <c r="D346" s="5"/>
      <c r="E346" s="5"/>
      <c r="F346" s="7"/>
      <c r="G346" s="5"/>
      <c r="I346" s="5"/>
      <c r="J346" s="5"/>
      <c r="K346" s="5"/>
      <c r="L346" s="7"/>
      <c r="N346" s="5"/>
      <c r="O346" s="5"/>
      <c r="P346" s="5"/>
      <c r="Q346" s="5"/>
      <c r="R346" s="5"/>
      <c r="S346" s="5"/>
    </row>
    <row r="347" spans="2:19" x14ac:dyDescent="0.35">
      <c r="B347" s="7"/>
      <c r="C347" s="7"/>
      <c r="D347" s="5"/>
      <c r="E347" s="5"/>
      <c r="F347" s="7"/>
      <c r="G347" s="5"/>
      <c r="I347" s="5"/>
      <c r="J347" s="5"/>
      <c r="K347" s="5"/>
      <c r="L347" s="7"/>
      <c r="N347" s="5"/>
      <c r="O347" s="5"/>
      <c r="P347" s="5"/>
      <c r="Q347" s="5"/>
      <c r="R347" s="5"/>
      <c r="S347" s="5"/>
    </row>
    <row r="348" spans="2:19" x14ac:dyDescent="0.35">
      <c r="B348" s="7"/>
      <c r="C348" s="7"/>
      <c r="D348" s="5"/>
      <c r="E348" s="5"/>
      <c r="F348" s="7"/>
      <c r="G348" s="5"/>
      <c r="I348" s="5"/>
      <c r="J348" s="5"/>
      <c r="K348" s="5"/>
      <c r="L348" s="7"/>
      <c r="N348" s="5"/>
      <c r="O348" s="5"/>
      <c r="P348" s="5"/>
      <c r="Q348" s="5"/>
      <c r="R348" s="5"/>
      <c r="S348" s="5"/>
    </row>
    <row r="349" spans="2:19" x14ac:dyDescent="0.35">
      <c r="B349" s="7"/>
      <c r="C349" s="7"/>
      <c r="D349" s="5"/>
      <c r="E349" s="5"/>
      <c r="F349" s="7"/>
      <c r="G349" s="5"/>
      <c r="I349" s="5"/>
      <c r="J349" s="5"/>
      <c r="K349" s="5"/>
      <c r="L349" s="7"/>
      <c r="N349" s="5"/>
      <c r="O349" s="5"/>
      <c r="P349" s="5"/>
      <c r="Q349" s="5"/>
      <c r="R349" s="5"/>
      <c r="S349" s="5"/>
    </row>
    <row r="350" spans="2:19" x14ac:dyDescent="0.35">
      <c r="B350" s="7"/>
      <c r="C350" s="7"/>
      <c r="D350" s="5"/>
      <c r="E350" s="5"/>
      <c r="F350" s="7"/>
      <c r="G350" s="5"/>
      <c r="I350" s="5"/>
      <c r="J350" s="5"/>
      <c r="K350" s="5"/>
      <c r="L350" s="7"/>
      <c r="N350" s="5"/>
      <c r="O350" s="5"/>
      <c r="P350" s="5"/>
      <c r="Q350" s="5"/>
      <c r="R350" s="5"/>
      <c r="S350" s="5"/>
    </row>
    <row r="351" spans="2:19" x14ac:dyDescent="0.35">
      <c r="B351" s="7"/>
      <c r="C351" s="7"/>
      <c r="D351" s="5"/>
      <c r="E351" s="5"/>
      <c r="F351" s="7"/>
      <c r="G351" s="5"/>
      <c r="I351" s="5"/>
      <c r="J351" s="5"/>
      <c r="K351" s="5"/>
      <c r="L351" s="7"/>
      <c r="N351" s="5"/>
      <c r="O351" s="5"/>
      <c r="P351" s="5"/>
      <c r="Q351" s="5"/>
      <c r="R351" s="5"/>
      <c r="S351" s="5"/>
    </row>
    <row r="352" spans="2:19" x14ac:dyDescent="0.35">
      <c r="B352" s="7"/>
      <c r="C352" s="7"/>
      <c r="D352" s="5"/>
      <c r="E352" s="5"/>
      <c r="F352" s="7"/>
      <c r="G352" s="5"/>
      <c r="I352" s="5"/>
      <c r="J352" s="5"/>
      <c r="K352" s="5"/>
      <c r="L352" s="7"/>
      <c r="N352" s="5"/>
      <c r="O352" s="5"/>
      <c r="P352" s="5"/>
      <c r="Q352" s="5"/>
      <c r="R352" s="5"/>
      <c r="S352" s="5"/>
    </row>
    <row r="353" spans="2:19" x14ac:dyDescent="0.35">
      <c r="B353" s="7"/>
      <c r="C353" s="7"/>
      <c r="D353" s="5"/>
      <c r="E353" s="5"/>
      <c r="F353" s="7"/>
      <c r="G353" s="5"/>
      <c r="I353" s="5"/>
      <c r="J353" s="5"/>
      <c r="K353" s="5"/>
      <c r="L353" s="7"/>
      <c r="N353" s="5"/>
      <c r="O353" s="5"/>
      <c r="P353" s="5"/>
      <c r="Q353" s="5"/>
      <c r="R353" s="5"/>
      <c r="S35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B045-B873-497E-86A9-1EF7C184BA6E}">
  <dimension ref="AD2:AE32"/>
  <sheetViews>
    <sheetView zoomScaleNormal="100" workbookViewId="0">
      <selection activeCell="Z18" sqref="Z18"/>
    </sheetView>
  </sheetViews>
  <sheetFormatPr defaultRowHeight="14.5" x14ac:dyDescent="0.35"/>
  <sheetData>
    <row r="2" spans="30:31" x14ac:dyDescent="0.35">
      <c r="AD2" s="5"/>
      <c r="AE2" s="5"/>
    </row>
    <row r="3" spans="30:31" x14ac:dyDescent="0.35">
      <c r="AD3" s="5"/>
      <c r="AE3" s="5"/>
    </row>
    <row r="4" spans="30:31" x14ac:dyDescent="0.35">
      <c r="AD4" s="5"/>
      <c r="AE4" s="5"/>
    </row>
    <row r="5" spans="30:31" x14ac:dyDescent="0.35">
      <c r="AD5" s="5"/>
      <c r="AE5" s="5"/>
    </row>
    <row r="6" spans="30:31" x14ac:dyDescent="0.35">
      <c r="AD6" s="5"/>
      <c r="AE6" s="5"/>
    </row>
    <row r="7" spans="30:31" x14ac:dyDescent="0.35">
      <c r="AD7" s="5"/>
      <c r="AE7" s="5"/>
    </row>
    <row r="8" spans="30:31" x14ac:dyDescent="0.35">
      <c r="AD8" s="5"/>
      <c r="AE8" s="5"/>
    </row>
    <row r="9" spans="30:31" x14ac:dyDescent="0.35">
      <c r="AD9" s="5"/>
      <c r="AE9" s="5"/>
    </row>
    <row r="10" spans="30:31" x14ac:dyDescent="0.35">
      <c r="AD10" s="5"/>
      <c r="AE10" s="5"/>
    </row>
    <row r="11" spans="30:31" x14ac:dyDescent="0.35">
      <c r="AD11" s="5"/>
      <c r="AE11" s="5"/>
    </row>
    <row r="12" spans="30:31" x14ac:dyDescent="0.35">
      <c r="AD12" s="5"/>
      <c r="AE12" s="5"/>
    </row>
    <row r="13" spans="30:31" x14ac:dyDescent="0.35">
      <c r="AD13" s="5"/>
      <c r="AE13" s="5"/>
    </row>
    <row r="14" spans="30:31" x14ac:dyDescent="0.35">
      <c r="AD14" s="5"/>
      <c r="AE14" s="5"/>
    </row>
    <row r="15" spans="30:31" x14ac:dyDescent="0.35">
      <c r="AD15" s="5"/>
      <c r="AE15" s="5"/>
    </row>
    <row r="16" spans="30:31" x14ac:dyDescent="0.35">
      <c r="AD16" s="5"/>
      <c r="AE16" s="5"/>
    </row>
    <row r="17" spans="30:31" x14ac:dyDescent="0.35">
      <c r="AD17" s="5"/>
      <c r="AE17" s="5"/>
    </row>
    <row r="18" spans="30:31" x14ac:dyDescent="0.35">
      <c r="AD18" s="5"/>
      <c r="AE18" s="5"/>
    </row>
    <row r="19" spans="30:31" x14ac:dyDescent="0.35">
      <c r="AD19" s="5"/>
      <c r="AE19" s="5"/>
    </row>
    <row r="20" spans="30:31" x14ac:dyDescent="0.35">
      <c r="AD20" s="5"/>
      <c r="AE20" s="5"/>
    </row>
    <row r="21" spans="30:31" x14ac:dyDescent="0.35">
      <c r="AD21" s="5"/>
      <c r="AE21" s="5"/>
    </row>
    <row r="22" spans="30:31" x14ac:dyDescent="0.35">
      <c r="AD22" s="5"/>
      <c r="AE22" s="5"/>
    </row>
    <row r="23" spans="30:31" x14ac:dyDescent="0.35">
      <c r="AD23" s="5"/>
      <c r="AE23" s="5"/>
    </row>
    <row r="24" spans="30:31" x14ac:dyDescent="0.35">
      <c r="AD24" s="5"/>
      <c r="AE24" s="5"/>
    </row>
    <row r="25" spans="30:31" x14ac:dyDescent="0.35">
      <c r="AD25" s="5"/>
      <c r="AE25" s="5"/>
    </row>
    <row r="26" spans="30:31" x14ac:dyDescent="0.35">
      <c r="AD26" s="5"/>
      <c r="AE26" s="5"/>
    </row>
    <row r="27" spans="30:31" x14ac:dyDescent="0.35">
      <c r="AD27" s="5"/>
      <c r="AE27" s="5"/>
    </row>
    <row r="28" spans="30:31" x14ac:dyDescent="0.35">
      <c r="AD28" s="5"/>
      <c r="AE28" s="5"/>
    </row>
    <row r="29" spans="30:31" x14ac:dyDescent="0.35">
      <c r="AD29" s="5"/>
      <c r="AE29" s="5"/>
    </row>
    <row r="30" spans="30:31" x14ac:dyDescent="0.35">
      <c r="AD30" s="5"/>
      <c r="AE30" s="5"/>
    </row>
    <row r="31" spans="30:31" x14ac:dyDescent="0.35">
      <c r="AD31" s="5"/>
      <c r="AE31" s="5"/>
    </row>
    <row r="32" spans="30:31" x14ac:dyDescent="0.35">
      <c r="AD32" s="5"/>
      <c r="AE32" s="5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Parameters</vt:lpstr>
      <vt:lpstr>6states</vt:lpstr>
      <vt:lpstr>6states,constantT&amp;epsilon</vt:lpstr>
      <vt:lpstr>Graphs</vt:lpstr>
      <vt:lpstr>ControlVars</vt:lpstr>
      <vt:lpstr>ControlVars1to20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Venmans1,F</dc:creator>
  <cp:lastModifiedBy>Frank Venmans</cp:lastModifiedBy>
  <dcterms:created xsi:type="dcterms:W3CDTF">2025-01-09T17:56:26Z</dcterms:created>
  <dcterms:modified xsi:type="dcterms:W3CDTF">2026-04-25T09:47:06Z</dcterms:modified>
</cp:coreProperties>
</file>