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secloud-my.sharepoint.com/personal/s_dietz_lse_ac_uk/Documents/Documents/GitHub/As_If_The_Transition_Matters/"/>
    </mc:Choice>
  </mc:AlternateContent>
  <xr:revisionPtr revIDLastSave="160" documentId="13_ncr:1_{64E66C6A-56FC-4E73-A3DE-BC1F1BA27736}" xr6:coauthVersionLast="47" xr6:coauthVersionMax="47" xr10:uidLastSave="{63ACB276-6644-40B4-AA1F-53D0D9904E1B}"/>
  <bookViews>
    <workbookView xWindow="28680" yWindow="-120" windowWidth="29040" windowHeight="15720" xr2:uid="{1FFC97B4-DE66-4F5D-8FE1-18DDD5502FA4}"/>
  </bookViews>
  <sheets>
    <sheet name="Parameters" sheetId="1" r:id="rId1"/>
    <sheet name="6states" sheetId="6" r:id="rId2"/>
    <sheet name="6states,ExoDamages" sheetId="10" r:id="rId3"/>
    <sheet name="6states,constantT&amp;epsilon" sheetId="11" r:id="rId4"/>
    <sheet name="Emissions" sheetId="12" r:id="rId5"/>
    <sheet name="Temperature" sheetId="13" r:id="rId6"/>
    <sheet name="SCC" sheetId="14" r:id="rId7"/>
    <sheet name="Energy capital" sheetId="15" r:id="rId8"/>
    <sheet name="Energy capital per AL" sheetId="16" r:id="rId9"/>
    <sheet name="Final energy" sheetId="17" r:id="rId10"/>
    <sheet name="Growth (levels)" sheetId="18" r:id="rId11"/>
    <sheet name="Growth (rates)" sheetId="19" r:id="rId12"/>
  </sheets>
  <externalReferences>
    <externalReference r:id="rId13"/>
  </externalReferences>
  <definedNames>
    <definedName name="solver_adj" localSheetId="1" hidden="1">'6states'!$C$4:$E$24,'6states'!$C$26:$E$26,'6states'!$C$28:$E$28,'6states'!$C$30:$E$30,'6states'!$C$32:$E$32,'6states'!$C$34:$E$34,'6states'!$C$36:$E$36,'6states'!$C$38:$E$38,'6states'!$C$40:$E$40,'6states'!$C$42:$E$42,'6states'!$C$45:$E$45,'6states'!$C$48:$E$48,'6states'!$C$51:$E$51,'6states'!$C$54:$E$54,'6states'!$C$59:$E$59,'6states'!$C$64:$E$64,'6states'!$C$69:$E$69,'6states'!$C$74:$E$74,'6states'!$C$84:$E$84,'6states'!$C$94:$E$94,'6states'!$C$119:$E$119</definedName>
    <definedName name="solver_adj" localSheetId="3" hidden="1">'6states,constantT&amp;epsilon'!$B$4:$D$18,'6states,constantT&amp;epsilon'!$B$20:$D$20,'6states,constantT&amp;epsilon'!$B$22:$D$22,'6states,constantT&amp;epsilon'!$B$24:$D$24,'6states,constantT&amp;epsilon'!$B$29:$D$29,'6states,constantT&amp;epsilon'!$B$34:$D$34,'6states,constantT&amp;epsilon'!$B$44:$D$44,'6states,constantT&amp;epsilon'!$B$54:$D$54,'6states,constantT&amp;epsilon'!$B$64:$D$64,'6states,constantT&amp;epsilon'!$B$74:$D$74,'6states,constantT&amp;epsilon'!$B$84:$D$84,'6states,constantT&amp;epsilon'!$B$94:$D$94</definedName>
    <definedName name="solver_adj" localSheetId="2" hidden="1">'6states,ExoDamages'!$B$4:$D$18,'6states,ExoDamages'!$B$20:$D$20,'6states,ExoDamages'!$B$22:$D$22,'6states,ExoDamages'!$B$24:$D$24,'6states,ExoDamages'!$B$29:$D$29,'6states,ExoDamages'!$B$34:$D$34,'6states,ExoDamages'!$B$44:$D$44,'6states,ExoDamages'!$B$54:$D$54,'6states,ExoDamages'!$B$64:$D$64,'6states,ExoDamages'!$B$74:$D$74,'6states,ExoDamages'!$B$84:$D$84,'6states,ExoDamages'!$B$94:$D$94</definedName>
    <definedName name="solver_adj" localSheetId="0" hidden="1">Parameters!$B$12,Parameters!$B$60,Parameters!$B$63,Parameters!$B$62</definedName>
    <definedName name="solver_cvg" localSheetId="1" hidden="1">0.000001</definedName>
    <definedName name="solver_cvg" localSheetId="3" hidden="1">0.0001</definedName>
    <definedName name="solver_cvg" localSheetId="2" hidden="1">0.0001</definedName>
    <definedName name="solver_cvg" localSheetId="0" hidden="1">0.0001</definedName>
    <definedName name="solver_drv" localSheetId="1" hidden="1">1</definedName>
    <definedName name="solver_drv" localSheetId="3" hidden="1">2</definedName>
    <definedName name="solver_drv" localSheetId="2" hidden="1">1</definedName>
    <definedName name="solver_drv" localSheetId="0" hidden="1">1</definedName>
    <definedName name="solver_eng" localSheetId="1" hidden="1">1</definedName>
    <definedName name="solver_eng" localSheetId="3" hidden="1">1</definedName>
    <definedName name="solver_eng" localSheetId="2" hidden="1">1</definedName>
    <definedName name="solver_eng" localSheetId="0" hidden="1">1</definedName>
    <definedName name="solver_est" localSheetId="1" hidden="1">1</definedName>
    <definedName name="solver_est" localSheetId="3" hidden="1">1</definedName>
    <definedName name="solver_est" localSheetId="2" hidden="1">1</definedName>
    <definedName name="solver_est" localSheetId="0" hidden="1">1</definedName>
    <definedName name="solver_itr" localSheetId="1" hidden="1">100</definedName>
    <definedName name="solver_itr" localSheetId="3" hidden="1">2147483647</definedName>
    <definedName name="solver_itr" localSheetId="2" hidden="1">2147483647</definedName>
    <definedName name="solver_itr" localSheetId="0" hidden="1">2147483647</definedName>
    <definedName name="solver_lhs1" localSheetId="1" hidden="1">'6states'!$C$4:$C$24</definedName>
    <definedName name="solver_lhs1" localSheetId="2" hidden="1">'6states,ExoDamages'!$C$94</definedName>
    <definedName name="solver_lhs1" localSheetId="0" hidden="1">Parameters!$B$12</definedName>
    <definedName name="solver_lhs10" localSheetId="1" hidden="1">'6states'!$C$59</definedName>
    <definedName name="solver_lhs11" localSheetId="1" hidden="1">'6states'!$C$59</definedName>
    <definedName name="solver_lhs12" localSheetId="1" hidden="1">'6states'!$C$59</definedName>
    <definedName name="solver_lhs13" localSheetId="1" hidden="1">'6states'!$C$59</definedName>
    <definedName name="solver_lhs14" localSheetId="1" hidden="1">'6states'!$C$59</definedName>
    <definedName name="solver_lhs15" localSheetId="1" hidden="1">'6states'!$C$59</definedName>
    <definedName name="solver_lhs16" localSheetId="1" hidden="1">'6states'!$C$59</definedName>
    <definedName name="solver_lhs17" localSheetId="1" hidden="1">'6states'!$C$59</definedName>
    <definedName name="solver_lhs18" localSheetId="1" hidden="1">'6states'!$C$59</definedName>
    <definedName name="solver_lhs19" localSheetId="1" hidden="1">'6states'!$C$59</definedName>
    <definedName name="solver_lhs2" localSheetId="1" hidden="1">'6states'!$C$4:$C$74</definedName>
    <definedName name="solver_lhs2" localSheetId="0" hidden="1">Parameters!$B$12</definedName>
    <definedName name="solver_lhs20" localSheetId="1" hidden="1">'6states'!$C$59</definedName>
    <definedName name="solver_lhs21" localSheetId="1" hidden="1">'6states'!$C$59</definedName>
    <definedName name="solver_lhs22" localSheetId="1" hidden="1">'6states'!$C$94</definedName>
    <definedName name="solver_lhs23" localSheetId="1" hidden="1">'6states'!$C$94</definedName>
    <definedName name="solver_lhs24" localSheetId="1" hidden="1">'6states'!$C$94</definedName>
    <definedName name="solver_lhs3" localSheetId="1" hidden="1">'6states'!$C$94</definedName>
    <definedName name="solver_lhs3" localSheetId="0" hidden="1">Parameters!$B$60</definedName>
    <definedName name="solver_lhs4" localSheetId="1" hidden="1">'6states'!$C$94</definedName>
    <definedName name="solver_lhs4" localSheetId="0" hidden="1">Parameters!$B$60</definedName>
    <definedName name="solver_lhs5" localSheetId="1" hidden="1">'6states'!$C$94</definedName>
    <definedName name="solver_lhs5" localSheetId="0" hidden="1">Parameters!$B$62</definedName>
    <definedName name="solver_lhs6" localSheetId="1" hidden="1">'6states'!$C$59</definedName>
    <definedName name="solver_lhs6" localSheetId="0" hidden="1">Parameters!$B$62</definedName>
    <definedName name="solver_lhs7" localSheetId="1" hidden="1">'6states'!$C$59</definedName>
    <definedName name="solver_lhs7" localSheetId="0" hidden="1">Parameters!$B$63</definedName>
    <definedName name="solver_lhs8" localSheetId="1" hidden="1">'6states'!$C$59</definedName>
    <definedName name="solver_lhs8" localSheetId="0" hidden="1">Parameters!$B$63</definedName>
    <definedName name="solver_lhs9" localSheetId="1" hidden="1">'6states'!$C$59</definedName>
    <definedName name="solver_mip" localSheetId="1" hidden="1">2147483647</definedName>
    <definedName name="solver_mip" localSheetId="3" hidden="1">2147483647</definedName>
    <definedName name="solver_mip" localSheetId="2" hidden="1">2147483647</definedName>
    <definedName name="solver_mip" localSheetId="0" hidden="1">2147483647</definedName>
    <definedName name="solver_mni" localSheetId="1" hidden="1">30</definedName>
    <definedName name="solver_mni" localSheetId="3" hidden="1">30</definedName>
    <definedName name="solver_mni" localSheetId="2" hidden="1">30</definedName>
    <definedName name="solver_mni" localSheetId="0" hidden="1">30</definedName>
    <definedName name="solver_mrt" localSheetId="1" hidden="1">0.075</definedName>
    <definedName name="solver_mrt" localSheetId="3" hidden="1">0.075</definedName>
    <definedName name="solver_mrt" localSheetId="2" hidden="1">0.075</definedName>
    <definedName name="solver_mrt" localSheetId="0" hidden="1">0.075</definedName>
    <definedName name="solver_msl" localSheetId="1" hidden="1">2</definedName>
    <definedName name="solver_msl" localSheetId="3" hidden="1">2</definedName>
    <definedName name="solver_msl" localSheetId="2" hidden="1">2</definedName>
    <definedName name="solver_msl" localSheetId="0" hidden="1">2</definedName>
    <definedName name="solver_neg" localSheetId="1" hidden="1">2</definedName>
    <definedName name="solver_neg" localSheetId="3" hidden="1">1</definedName>
    <definedName name="solver_neg" localSheetId="2" hidden="1">1</definedName>
    <definedName name="solver_neg" localSheetId="0" hidden="1">2</definedName>
    <definedName name="solver_nod" localSheetId="1" hidden="1">2147483647</definedName>
    <definedName name="solver_nod" localSheetId="3" hidden="1">2147483647</definedName>
    <definedName name="solver_nod" localSheetId="2" hidden="1">2147483647</definedName>
    <definedName name="solver_nod" localSheetId="0" hidden="1">2147483647</definedName>
    <definedName name="solver_num" localSheetId="1" hidden="1">0</definedName>
    <definedName name="solver_num" localSheetId="3" hidden="1">0</definedName>
    <definedName name="solver_num" localSheetId="2" hidden="1">1</definedName>
    <definedName name="solver_num" localSheetId="0" hidden="1">8</definedName>
    <definedName name="solver_nwt" localSheetId="1" hidden="1">1</definedName>
    <definedName name="solver_nwt" localSheetId="3" hidden="1">1</definedName>
    <definedName name="solver_nwt" localSheetId="2" hidden="1">1</definedName>
    <definedName name="solver_nwt" localSheetId="0" hidden="1">1</definedName>
    <definedName name="solver_opt" localSheetId="1" hidden="1">'6states'!#REF!</definedName>
    <definedName name="solver_opt" localSheetId="3" hidden="1">'6states,constantT&amp;epsilon'!$S$4</definedName>
    <definedName name="solver_opt" localSheetId="2" hidden="1">'6states,ExoDamages'!$X$4</definedName>
    <definedName name="solver_opt" localSheetId="0" hidden="1">Parameters!$M$20</definedName>
    <definedName name="solver_pre" localSheetId="1" hidden="1">0.000001</definedName>
    <definedName name="solver_pre" localSheetId="3" hidden="1">0.000001</definedName>
    <definedName name="solver_pre" localSheetId="2" hidden="1">0.000001</definedName>
    <definedName name="solver_pre" localSheetId="0" hidden="1">0.000001</definedName>
    <definedName name="solver_rbv" localSheetId="1" hidden="1">2</definedName>
    <definedName name="solver_rbv" localSheetId="3" hidden="1">2</definedName>
    <definedName name="solver_rbv" localSheetId="2" hidden="1">2</definedName>
    <definedName name="solver_rbv" localSheetId="0" hidden="1">1</definedName>
    <definedName name="solver_rel1" localSheetId="1" hidden="1">3</definedName>
    <definedName name="solver_rel1" localSheetId="2" hidden="1">1</definedName>
    <definedName name="solver_rel1" localSheetId="0" hidden="1">3</definedName>
    <definedName name="solver_rel10" localSheetId="1" hidden="1">1</definedName>
    <definedName name="solver_rel11" localSheetId="1" hidden="1">1</definedName>
    <definedName name="solver_rel12" localSheetId="1" hidden="1">1</definedName>
    <definedName name="solver_rel13" localSheetId="1" hidden="1">1</definedName>
    <definedName name="solver_rel14" localSheetId="1" hidden="1">1</definedName>
    <definedName name="solver_rel15" localSheetId="1" hidden="1">1</definedName>
    <definedName name="solver_rel16" localSheetId="1" hidden="1">1</definedName>
    <definedName name="solver_rel17" localSheetId="1" hidden="1">1</definedName>
    <definedName name="solver_rel18" localSheetId="1" hidden="1">1</definedName>
    <definedName name="solver_rel19" localSheetId="1" hidden="1">1</definedName>
    <definedName name="solver_rel2" localSheetId="1" hidden="1">1</definedName>
    <definedName name="solver_rel2" localSheetId="0" hidden="1">1</definedName>
    <definedName name="solver_rel20" localSheetId="1" hidden="1">1</definedName>
    <definedName name="solver_rel21" localSheetId="1" hidden="1">1</definedName>
    <definedName name="solver_rel22" localSheetId="1" hidden="1">1</definedName>
    <definedName name="solver_rel23" localSheetId="1" hidden="1">1</definedName>
    <definedName name="solver_rel24" localSheetId="1" hidden="1">1</definedName>
    <definedName name="solver_rel3" localSheetId="1" hidden="1">1</definedName>
    <definedName name="solver_rel3" localSheetId="0" hidden="1">1</definedName>
    <definedName name="solver_rel4" localSheetId="1" hidden="1">1</definedName>
    <definedName name="solver_rel4" localSheetId="0" hidden="1">3</definedName>
    <definedName name="solver_rel5" localSheetId="1" hidden="1">1</definedName>
    <definedName name="solver_rel5" localSheetId="0" hidden="1">1</definedName>
    <definedName name="solver_rel6" localSheetId="1" hidden="1">1</definedName>
    <definedName name="solver_rel6" localSheetId="0" hidden="1">3</definedName>
    <definedName name="solver_rel7" localSheetId="1" hidden="1">1</definedName>
    <definedName name="solver_rel7" localSheetId="0" hidden="1">1</definedName>
    <definedName name="solver_rel8" localSheetId="1" hidden="1">1</definedName>
    <definedName name="solver_rel8" localSheetId="0" hidden="1">3</definedName>
    <definedName name="solver_rel9" localSheetId="1" hidden="1">1</definedName>
    <definedName name="solver_rhs1" localSheetId="1" hidden="1">-0.3</definedName>
    <definedName name="solver_rhs1" localSheetId="2" hidden="1">0.03</definedName>
    <definedName name="solver_rhs1" localSheetId="0" hidden="1">2/1.25</definedName>
    <definedName name="solver_rhs10" localSheetId="1" hidden="1">0.003</definedName>
    <definedName name="solver_rhs11" localSheetId="1" hidden="1">0.003</definedName>
    <definedName name="solver_rhs12" localSheetId="1" hidden="1">0.003</definedName>
    <definedName name="solver_rhs13" localSheetId="1" hidden="1">0.003</definedName>
    <definedName name="solver_rhs14" localSheetId="1" hidden="1">0.003</definedName>
    <definedName name="solver_rhs15" localSheetId="1" hidden="1">0.003</definedName>
    <definedName name="solver_rhs16" localSheetId="1" hidden="1">0.003</definedName>
    <definedName name="solver_rhs17" localSheetId="1" hidden="1">0.003</definedName>
    <definedName name="solver_rhs18" localSheetId="1" hidden="1">0.003</definedName>
    <definedName name="solver_rhs19" localSheetId="1" hidden="1">0.003</definedName>
    <definedName name="solver_rhs2" localSheetId="1" hidden="1">0.005</definedName>
    <definedName name="solver_rhs2" localSheetId="0" hidden="1">2*1.25</definedName>
    <definedName name="solver_rhs20" localSheetId="1" hidden="1">0.003</definedName>
    <definedName name="solver_rhs21" localSheetId="1" hidden="1">0.003</definedName>
    <definedName name="solver_rhs22" localSheetId="1" hidden="1">0.003</definedName>
    <definedName name="solver_rhs23" localSheetId="1" hidden="1">0.003</definedName>
    <definedName name="solver_rhs24" localSheetId="1" hidden="1">0.003</definedName>
    <definedName name="solver_rhs3" localSheetId="1" hidden="1">0.003</definedName>
    <definedName name="solver_rhs3" localSheetId="0" hidden="1">0.027*1.25</definedName>
    <definedName name="solver_rhs4" localSheetId="1" hidden="1">0.003</definedName>
    <definedName name="solver_rhs4" localSheetId="0" hidden="1">0.027/1.25</definedName>
    <definedName name="solver_rhs5" localSheetId="1" hidden="1">0.003</definedName>
    <definedName name="solver_rhs5" localSheetId="0" hidden="1">36.6*1.25</definedName>
    <definedName name="solver_rhs6" localSheetId="1" hidden="1">0.003</definedName>
    <definedName name="solver_rhs6" localSheetId="0" hidden="1">36.6/1.25</definedName>
    <definedName name="solver_rhs7" localSheetId="1" hidden="1">0.003</definedName>
    <definedName name="solver_rhs7" localSheetId="0" hidden="1">0.211*1.25</definedName>
    <definedName name="solver_rhs8" localSheetId="1" hidden="1">0.003</definedName>
    <definedName name="solver_rhs8" localSheetId="0" hidden="1">0.211/1.25</definedName>
    <definedName name="solver_rhs9" localSheetId="1" hidden="1">0.003</definedName>
    <definedName name="solver_rlx" localSheetId="1" hidden="1">2</definedName>
    <definedName name="solver_rlx" localSheetId="3" hidden="1">2</definedName>
    <definedName name="solver_rlx" localSheetId="2" hidden="1">2</definedName>
    <definedName name="solver_rlx" localSheetId="0" hidden="1">2</definedName>
    <definedName name="solver_rsd" localSheetId="1" hidden="1">0</definedName>
    <definedName name="solver_rsd" localSheetId="3" hidden="1">0</definedName>
    <definedName name="solver_rsd" localSheetId="2" hidden="1">0</definedName>
    <definedName name="solver_rsd" localSheetId="0" hidden="1">0</definedName>
    <definedName name="solver_scl" localSheetId="1" hidden="1">1</definedName>
    <definedName name="solver_scl" localSheetId="3" hidden="1">2</definedName>
    <definedName name="solver_scl" localSheetId="2" hidden="1">2</definedName>
    <definedName name="solver_scl" localSheetId="0" hidden="1">1</definedName>
    <definedName name="solver_sho" localSheetId="1" hidden="1">2</definedName>
    <definedName name="solver_sho" localSheetId="3" hidden="1">2</definedName>
    <definedName name="solver_sho" localSheetId="2" hidden="1">2</definedName>
    <definedName name="solver_sho" localSheetId="0" hidden="1">2</definedName>
    <definedName name="solver_ssz" localSheetId="1" hidden="1">0</definedName>
    <definedName name="solver_ssz" localSheetId="3" hidden="1">100</definedName>
    <definedName name="solver_ssz" localSheetId="2" hidden="1">0</definedName>
    <definedName name="solver_ssz" localSheetId="0" hidden="1">100</definedName>
    <definedName name="solver_tim" localSheetId="1" hidden="1">2147483647</definedName>
    <definedName name="solver_tim" localSheetId="3" hidden="1">2147483647</definedName>
    <definedName name="solver_tim" localSheetId="2" hidden="1">2147483647</definedName>
    <definedName name="solver_tim" localSheetId="0" hidden="1">2147483647</definedName>
    <definedName name="solver_tol" localSheetId="1" hidden="1">0.01</definedName>
    <definedName name="solver_tol" localSheetId="3" hidden="1">0.01</definedName>
    <definedName name="solver_tol" localSheetId="2" hidden="1">0.01</definedName>
    <definedName name="solver_tol" localSheetId="0" hidden="1">0.01</definedName>
    <definedName name="solver_typ" localSheetId="1" hidden="1">1</definedName>
    <definedName name="solver_typ" localSheetId="3" hidden="1">1</definedName>
    <definedName name="solver_typ" localSheetId="2" hidden="1">1</definedName>
    <definedName name="solver_typ" localSheetId="0" hidden="1">2</definedName>
    <definedName name="solver_val" localSheetId="1" hidden="1">0</definedName>
    <definedName name="solver_val" localSheetId="3" hidden="1">0</definedName>
    <definedName name="solver_val" localSheetId="2" hidden="1">0</definedName>
    <definedName name="solver_val" localSheetId="0" hidden="1">0</definedName>
    <definedName name="solver_ver" localSheetId="1" hidden="1">3</definedName>
    <definedName name="solver_ver" localSheetId="3" hidden="1">3</definedName>
    <definedName name="solver_ver" localSheetId="2" hidden="1">3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6" i="1" l="1"/>
  <c r="B39" i="1"/>
  <c r="B37" i="1" s="1"/>
  <c r="I5" i="6"/>
  <c r="I6" i="6" l="1"/>
  <c r="I7" i="6" s="1"/>
  <c r="I8" i="6" s="1"/>
  <c r="I9" i="6" s="1"/>
  <c r="I10" i="6" s="1"/>
  <c r="I11" i="6" s="1"/>
  <c r="I12" i="6" s="1"/>
  <c r="I13" i="6" s="1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I57" i="6" s="1"/>
  <c r="I58" i="6" s="1"/>
  <c r="I59" i="6" s="1"/>
  <c r="I60" i="6" s="1"/>
  <c r="I61" i="6" s="1"/>
  <c r="I62" i="6" s="1"/>
  <c r="I63" i="6" s="1"/>
  <c r="I64" i="6" s="1"/>
  <c r="I65" i="6" s="1"/>
  <c r="I66" i="6" s="1"/>
  <c r="I67" i="6" s="1"/>
  <c r="I68" i="6" s="1"/>
  <c r="I69" i="6" s="1"/>
  <c r="I70" i="6" s="1"/>
  <c r="I71" i="6" s="1"/>
  <c r="I72" i="6" s="1"/>
  <c r="I73" i="6" s="1"/>
  <c r="I74" i="6" s="1"/>
  <c r="I75" i="6" s="1"/>
  <c r="I76" i="6" s="1"/>
  <c r="I77" i="6" s="1"/>
  <c r="I78" i="6" s="1"/>
  <c r="I79" i="6" s="1"/>
  <c r="I80" i="6" s="1"/>
  <c r="I81" i="6" s="1"/>
  <c r="I82" i="6" s="1"/>
  <c r="I83" i="6" s="1"/>
  <c r="I84" i="6" s="1"/>
  <c r="I85" i="6" s="1"/>
  <c r="I86" i="6" s="1"/>
  <c r="I87" i="6" s="1"/>
  <c r="I88" i="6" s="1"/>
  <c r="I89" i="6" s="1"/>
  <c r="I90" i="6" s="1"/>
  <c r="I91" i="6" s="1"/>
  <c r="I92" i="6" s="1"/>
  <c r="I93" i="6" s="1"/>
  <c r="I94" i="6" s="1"/>
  <c r="I95" i="6" s="1"/>
  <c r="I96" i="6" s="1"/>
  <c r="I97" i="6" s="1"/>
  <c r="I98" i="6" s="1"/>
  <c r="I99" i="6" s="1"/>
  <c r="I100" i="6" s="1"/>
  <c r="I101" i="6" s="1"/>
  <c r="I102" i="6" s="1"/>
  <c r="I103" i="6" s="1"/>
  <c r="I104" i="6" s="1"/>
  <c r="I105" i="6" s="1"/>
  <c r="I106" i="6" s="1"/>
  <c r="I107" i="6" s="1"/>
  <c r="I108" i="6" s="1"/>
  <c r="I109" i="6" s="1"/>
  <c r="I110" i="6" s="1"/>
  <c r="I111" i="6" s="1"/>
  <c r="I112" i="6" s="1"/>
  <c r="I113" i="6" s="1"/>
  <c r="I114" i="6" s="1"/>
  <c r="I115" i="6" s="1"/>
  <c r="I116" i="6" s="1"/>
  <c r="I117" i="6" s="1"/>
  <c r="I118" i="6" s="1"/>
  <c r="I119" i="6" s="1"/>
  <c r="I120" i="6" s="1"/>
  <c r="I121" i="6" s="1"/>
  <c r="I122" i="6" s="1"/>
  <c r="I123" i="6" s="1"/>
  <c r="I124" i="6" s="1"/>
  <c r="I125" i="6" s="1"/>
  <c r="I126" i="6" s="1"/>
  <c r="I127" i="6" s="1"/>
  <c r="I128" i="6" s="1"/>
  <c r="I129" i="6" s="1"/>
  <c r="I130" i="6" s="1"/>
  <c r="I131" i="6" s="1"/>
  <c r="I132" i="6" s="1"/>
  <c r="I133" i="6" s="1"/>
  <c r="I134" i="6" s="1"/>
  <c r="I135" i="6" s="1"/>
  <c r="I136" i="6" s="1"/>
  <c r="I137" i="6" s="1"/>
  <c r="I138" i="6" s="1"/>
  <c r="I139" i="6" s="1"/>
  <c r="I140" i="6" s="1"/>
  <c r="I141" i="6" s="1"/>
  <c r="I142" i="6" s="1"/>
  <c r="I143" i="6" s="1"/>
  <c r="I144" i="6" s="1"/>
  <c r="I145" i="6" s="1"/>
  <c r="I146" i="6" s="1"/>
  <c r="I147" i="6" s="1"/>
  <c r="I148" i="6" s="1"/>
  <c r="I149" i="6" s="1"/>
  <c r="I150" i="6" s="1"/>
  <c r="I151" i="6" s="1"/>
  <c r="I152" i="6" s="1"/>
  <c r="I153" i="6" s="1"/>
  <c r="I154" i="6" s="1"/>
  <c r="I155" i="6" s="1"/>
  <c r="I156" i="6" s="1"/>
  <c r="I157" i="6" s="1"/>
  <c r="I158" i="6" s="1"/>
  <c r="I159" i="6" s="1"/>
  <c r="I160" i="6" s="1"/>
  <c r="I161" i="6" s="1"/>
  <c r="I162" i="6" s="1"/>
  <c r="I163" i="6" s="1"/>
  <c r="I164" i="6" s="1"/>
  <c r="I165" i="6" s="1"/>
  <c r="I166" i="6" s="1"/>
  <c r="I167" i="6" s="1"/>
  <c r="I168" i="6" s="1"/>
  <c r="I169" i="6" s="1"/>
  <c r="I170" i="6" s="1"/>
  <c r="I171" i="6" s="1"/>
  <c r="I172" i="6" s="1"/>
  <c r="I173" i="6" s="1"/>
  <c r="I174" i="6" s="1"/>
  <c r="I175" i="6" s="1"/>
  <c r="I176" i="6" s="1"/>
  <c r="I177" i="6" s="1"/>
  <c r="I178" i="6" s="1"/>
  <c r="I179" i="6" s="1"/>
  <c r="I180" i="6" s="1"/>
  <c r="I181" i="6" s="1"/>
  <c r="I182" i="6" s="1"/>
  <c r="I183" i="6" s="1"/>
  <c r="I184" i="6" s="1"/>
  <c r="I185" i="6" s="1"/>
  <c r="I186" i="6" s="1"/>
  <c r="I187" i="6" s="1"/>
  <c r="I188" i="6" s="1"/>
  <c r="I189" i="6" s="1"/>
  <c r="I190" i="6" s="1"/>
  <c r="I191" i="6" s="1"/>
  <c r="I192" i="6" s="1"/>
  <c r="I193" i="6" s="1"/>
  <c r="I194" i="6" s="1"/>
  <c r="I195" i="6" s="1"/>
  <c r="I196" i="6" s="1"/>
  <c r="I197" i="6" s="1"/>
  <c r="I198" i="6" s="1"/>
  <c r="I199" i="6" s="1"/>
  <c r="I200" i="6" s="1"/>
  <c r="I201" i="6" s="1"/>
  <c r="I202" i="6" s="1"/>
  <c r="I203" i="6" s="1"/>
  <c r="I204" i="6" s="1"/>
  <c r="H4" i="6" l="1"/>
  <c r="J4" i="6"/>
  <c r="N4" i="6"/>
  <c r="M4" i="6" s="1"/>
  <c r="Q4" i="6"/>
  <c r="J5" i="6" l="1"/>
  <c r="O4" i="6"/>
  <c r="K300" i="11" s="1"/>
  <c r="P4" i="6"/>
  <c r="B16" i="1"/>
  <c r="B26" i="1" s="1"/>
  <c r="G4" i="6" s="1"/>
  <c r="G4" i="11"/>
  <c r="G4" i="10"/>
  <c r="B25" i="1"/>
  <c r="L4" i="11"/>
  <c r="D95" i="11"/>
  <c r="D96" i="11" s="1"/>
  <c r="D97" i="11" s="1"/>
  <c r="D98" i="11" s="1"/>
  <c r="D99" i="11" s="1"/>
  <c r="D100" i="11" s="1"/>
  <c r="D101" i="11" s="1"/>
  <c r="D102" i="11" s="1"/>
  <c r="D103" i="11" s="1"/>
  <c r="D104" i="11" s="1"/>
  <c r="D105" i="11" s="1"/>
  <c r="D106" i="11" s="1"/>
  <c r="D107" i="11" s="1"/>
  <c r="D108" i="11" s="1"/>
  <c r="D109" i="11" s="1"/>
  <c r="D110" i="11" s="1"/>
  <c r="D111" i="11" s="1"/>
  <c r="D112" i="11" s="1"/>
  <c r="D113" i="11" s="1"/>
  <c r="D114" i="11" s="1"/>
  <c r="D115" i="11" s="1"/>
  <c r="D116" i="11" s="1"/>
  <c r="D117" i="11" s="1"/>
  <c r="D118" i="11" s="1"/>
  <c r="D119" i="11" s="1"/>
  <c r="D120" i="11" s="1"/>
  <c r="D121" i="11" s="1"/>
  <c r="D122" i="11" s="1"/>
  <c r="D123" i="11" s="1"/>
  <c r="D124" i="11" s="1"/>
  <c r="D125" i="11" s="1"/>
  <c r="D126" i="11" s="1"/>
  <c r="D127" i="11" s="1"/>
  <c r="D128" i="11" s="1"/>
  <c r="D129" i="11" s="1"/>
  <c r="D130" i="11" s="1"/>
  <c r="D131" i="11" s="1"/>
  <c r="D132" i="11" s="1"/>
  <c r="D133" i="11" s="1"/>
  <c r="D134" i="11" s="1"/>
  <c r="D135" i="11" s="1"/>
  <c r="D136" i="11" s="1"/>
  <c r="D137" i="11" s="1"/>
  <c r="D138" i="11" s="1"/>
  <c r="D139" i="11" s="1"/>
  <c r="D140" i="11" s="1"/>
  <c r="D141" i="11" s="1"/>
  <c r="D142" i="11" s="1"/>
  <c r="D143" i="11" s="1"/>
  <c r="D144" i="11" s="1"/>
  <c r="D145" i="11" s="1"/>
  <c r="D146" i="11" s="1"/>
  <c r="D147" i="11" s="1"/>
  <c r="D148" i="11" s="1"/>
  <c r="D149" i="11" s="1"/>
  <c r="D150" i="11" s="1"/>
  <c r="D151" i="11" s="1"/>
  <c r="D152" i="11" s="1"/>
  <c r="D153" i="11" s="1"/>
  <c r="D154" i="11" s="1"/>
  <c r="D155" i="11" s="1"/>
  <c r="D156" i="11" s="1"/>
  <c r="D157" i="11" s="1"/>
  <c r="D158" i="11" s="1"/>
  <c r="D159" i="11" s="1"/>
  <c r="D160" i="11" s="1"/>
  <c r="D161" i="11" s="1"/>
  <c r="D162" i="11" s="1"/>
  <c r="D163" i="11" s="1"/>
  <c r="D164" i="11" s="1"/>
  <c r="D165" i="11" s="1"/>
  <c r="D166" i="11" s="1"/>
  <c r="D167" i="11" s="1"/>
  <c r="D168" i="11" s="1"/>
  <c r="D169" i="11" s="1"/>
  <c r="D170" i="11" s="1"/>
  <c r="D171" i="11" s="1"/>
  <c r="D172" i="11" s="1"/>
  <c r="D173" i="11" s="1"/>
  <c r="D174" i="11" s="1"/>
  <c r="D175" i="11" s="1"/>
  <c r="D176" i="11" s="1"/>
  <c r="D177" i="11" s="1"/>
  <c r="D178" i="11" s="1"/>
  <c r="D179" i="11" s="1"/>
  <c r="D180" i="11" s="1"/>
  <c r="D181" i="11" s="1"/>
  <c r="D182" i="11" s="1"/>
  <c r="D183" i="11" s="1"/>
  <c r="D184" i="11" s="1"/>
  <c r="D185" i="11" s="1"/>
  <c r="D186" i="11" s="1"/>
  <c r="D187" i="11" s="1"/>
  <c r="D188" i="11" s="1"/>
  <c r="D189" i="11" s="1"/>
  <c r="D190" i="11" s="1"/>
  <c r="D191" i="11" s="1"/>
  <c r="D192" i="11" s="1"/>
  <c r="D193" i="11" s="1"/>
  <c r="D194" i="11" s="1"/>
  <c r="D195" i="11" s="1"/>
  <c r="D196" i="11" s="1"/>
  <c r="D197" i="11" s="1"/>
  <c r="D198" i="11" s="1"/>
  <c r="D199" i="11" s="1"/>
  <c r="D200" i="11" s="1"/>
  <c r="D201" i="11" s="1"/>
  <c r="D202" i="11" s="1"/>
  <c r="D203" i="11" s="1"/>
  <c r="D204" i="11" s="1"/>
  <c r="D205" i="11" s="1"/>
  <c r="D206" i="11" s="1"/>
  <c r="D207" i="11" s="1"/>
  <c r="D208" i="11" s="1"/>
  <c r="D209" i="11" s="1"/>
  <c r="D210" i="11" s="1"/>
  <c r="D211" i="11" s="1"/>
  <c r="D212" i="11" s="1"/>
  <c r="D213" i="11" s="1"/>
  <c r="D214" i="11" s="1"/>
  <c r="D215" i="11" s="1"/>
  <c r="D216" i="11" s="1"/>
  <c r="D217" i="11" s="1"/>
  <c r="D218" i="11" s="1"/>
  <c r="D219" i="11" s="1"/>
  <c r="D220" i="11" s="1"/>
  <c r="D221" i="11" s="1"/>
  <c r="D222" i="11" s="1"/>
  <c r="D223" i="11" s="1"/>
  <c r="D224" i="11" s="1"/>
  <c r="D225" i="11" s="1"/>
  <c r="D226" i="11" s="1"/>
  <c r="D227" i="11" s="1"/>
  <c r="D228" i="11" s="1"/>
  <c r="D229" i="11" s="1"/>
  <c r="D230" i="11" s="1"/>
  <c r="D231" i="11" s="1"/>
  <c r="D232" i="11" s="1"/>
  <c r="D233" i="11" s="1"/>
  <c r="D234" i="11" s="1"/>
  <c r="D235" i="11" s="1"/>
  <c r="D236" i="11" s="1"/>
  <c r="D237" i="11" s="1"/>
  <c r="D238" i="11" s="1"/>
  <c r="D239" i="11" s="1"/>
  <c r="D240" i="11" s="1"/>
  <c r="D241" i="11" s="1"/>
  <c r="D242" i="11" s="1"/>
  <c r="D243" i="11" s="1"/>
  <c r="D244" i="11" s="1"/>
  <c r="D245" i="11" s="1"/>
  <c r="D246" i="11" s="1"/>
  <c r="D247" i="11" s="1"/>
  <c r="D248" i="11" s="1"/>
  <c r="D249" i="11" s="1"/>
  <c r="D250" i="11" s="1"/>
  <c r="D251" i="11" s="1"/>
  <c r="D252" i="11" s="1"/>
  <c r="D253" i="11" s="1"/>
  <c r="D254" i="11" s="1"/>
  <c r="D255" i="11" s="1"/>
  <c r="D256" i="11" s="1"/>
  <c r="D257" i="11" s="1"/>
  <c r="D258" i="11" s="1"/>
  <c r="D259" i="11" s="1"/>
  <c r="D260" i="11" s="1"/>
  <c r="D261" i="11" s="1"/>
  <c r="D262" i="11" s="1"/>
  <c r="D263" i="11" s="1"/>
  <c r="D264" i="11" s="1"/>
  <c r="D265" i="11" s="1"/>
  <c r="D266" i="11" s="1"/>
  <c r="D267" i="11" s="1"/>
  <c r="D268" i="11" s="1"/>
  <c r="D269" i="11" s="1"/>
  <c r="D270" i="11" s="1"/>
  <c r="D271" i="11" s="1"/>
  <c r="D272" i="11" s="1"/>
  <c r="D273" i="11" s="1"/>
  <c r="D274" i="11" s="1"/>
  <c r="D275" i="11" s="1"/>
  <c r="D276" i="11" s="1"/>
  <c r="D277" i="11" s="1"/>
  <c r="D278" i="11" s="1"/>
  <c r="D279" i="11" s="1"/>
  <c r="D280" i="11" s="1"/>
  <c r="D281" i="11" s="1"/>
  <c r="D282" i="11" s="1"/>
  <c r="D283" i="11" s="1"/>
  <c r="D284" i="11" s="1"/>
  <c r="D285" i="11" s="1"/>
  <c r="D286" i="11" s="1"/>
  <c r="D287" i="11" s="1"/>
  <c r="D288" i="11" s="1"/>
  <c r="D289" i="11" s="1"/>
  <c r="D290" i="11" s="1"/>
  <c r="D291" i="11" s="1"/>
  <c r="D292" i="11" s="1"/>
  <c r="D293" i="11" s="1"/>
  <c r="D294" i="11" s="1"/>
  <c r="D295" i="11" s="1"/>
  <c r="D296" i="11" s="1"/>
  <c r="D297" i="11" s="1"/>
  <c r="D298" i="11" s="1"/>
  <c r="D299" i="11" s="1"/>
  <c r="D300" i="11" s="1"/>
  <c r="D301" i="11" s="1"/>
  <c r="D302" i="11" s="1"/>
  <c r="D303" i="11" s="1"/>
  <c r="D304" i="11" s="1"/>
  <c r="C95" i="11"/>
  <c r="C96" i="11" s="1"/>
  <c r="C97" i="11" s="1"/>
  <c r="C98" i="11" s="1"/>
  <c r="C99" i="11" s="1"/>
  <c r="C100" i="11" s="1"/>
  <c r="C101" i="11" s="1"/>
  <c r="C102" i="11" s="1"/>
  <c r="C103" i="11" s="1"/>
  <c r="C104" i="11" s="1"/>
  <c r="C105" i="11" s="1"/>
  <c r="C106" i="11" s="1"/>
  <c r="C107" i="11" s="1"/>
  <c r="C108" i="11" s="1"/>
  <c r="C109" i="11" s="1"/>
  <c r="C110" i="11" s="1"/>
  <c r="C111" i="11" s="1"/>
  <c r="C112" i="11" s="1"/>
  <c r="C113" i="11" s="1"/>
  <c r="C114" i="11" s="1"/>
  <c r="C115" i="11" s="1"/>
  <c r="C116" i="11" s="1"/>
  <c r="C117" i="11" s="1"/>
  <c r="C118" i="11" s="1"/>
  <c r="C119" i="11" s="1"/>
  <c r="C120" i="11" s="1"/>
  <c r="C121" i="11" s="1"/>
  <c r="C122" i="11" s="1"/>
  <c r="C123" i="11" s="1"/>
  <c r="C124" i="11" s="1"/>
  <c r="C125" i="11" s="1"/>
  <c r="C126" i="11" s="1"/>
  <c r="C127" i="11" s="1"/>
  <c r="C128" i="11" s="1"/>
  <c r="C129" i="11" s="1"/>
  <c r="C130" i="11" s="1"/>
  <c r="C131" i="11" s="1"/>
  <c r="C132" i="11" s="1"/>
  <c r="C133" i="11" s="1"/>
  <c r="C134" i="11" s="1"/>
  <c r="C135" i="11" s="1"/>
  <c r="C136" i="11" s="1"/>
  <c r="C137" i="11" s="1"/>
  <c r="C138" i="11" s="1"/>
  <c r="C139" i="11" s="1"/>
  <c r="C140" i="11" s="1"/>
  <c r="C141" i="11" s="1"/>
  <c r="C142" i="11" s="1"/>
  <c r="C143" i="11" s="1"/>
  <c r="C144" i="11" s="1"/>
  <c r="C145" i="11" s="1"/>
  <c r="C146" i="11" s="1"/>
  <c r="C147" i="11" s="1"/>
  <c r="C148" i="11" s="1"/>
  <c r="C149" i="11" s="1"/>
  <c r="C150" i="11" s="1"/>
  <c r="C151" i="11" s="1"/>
  <c r="C152" i="11" s="1"/>
  <c r="C153" i="11" s="1"/>
  <c r="C154" i="11" s="1"/>
  <c r="C155" i="11" s="1"/>
  <c r="C156" i="11" s="1"/>
  <c r="C157" i="11" s="1"/>
  <c r="C158" i="11" s="1"/>
  <c r="C159" i="11" s="1"/>
  <c r="C160" i="11" s="1"/>
  <c r="C161" i="11" s="1"/>
  <c r="C162" i="11" s="1"/>
  <c r="C163" i="11" s="1"/>
  <c r="C164" i="11" s="1"/>
  <c r="C165" i="11" s="1"/>
  <c r="C166" i="11" s="1"/>
  <c r="C167" i="11" s="1"/>
  <c r="C168" i="11" s="1"/>
  <c r="C169" i="11" s="1"/>
  <c r="C170" i="11" s="1"/>
  <c r="C171" i="11" s="1"/>
  <c r="C172" i="11" s="1"/>
  <c r="C173" i="11" s="1"/>
  <c r="C174" i="11" s="1"/>
  <c r="C175" i="11" s="1"/>
  <c r="C176" i="11" s="1"/>
  <c r="C177" i="11" s="1"/>
  <c r="C178" i="11" s="1"/>
  <c r="C179" i="11" s="1"/>
  <c r="C180" i="11" s="1"/>
  <c r="C181" i="11" s="1"/>
  <c r="C182" i="11" s="1"/>
  <c r="C183" i="11" s="1"/>
  <c r="C184" i="11" s="1"/>
  <c r="C185" i="11" s="1"/>
  <c r="C186" i="11" s="1"/>
  <c r="C187" i="11" s="1"/>
  <c r="C188" i="11" s="1"/>
  <c r="C189" i="11" s="1"/>
  <c r="C190" i="11" s="1"/>
  <c r="C191" i="11" s="1"/>
  <c r="C192" i="11" s="1"/>
  <c r="C193" i="11" s="1"/>
  <c r="C194" i="11" s="1"/>
  <c r="C195" i="11" s="1"/>
  <c r="C196" i="11" s="1"/>
  <c r="C197" i="11" s="1"/>
  <c r="C198" i="11" s="1"/>
  <c r="C199" i="11" s="1"/>
  <c r="C200" i="11" s="1"/>
  <c r="C201" i="11" s="1"/>
  <c r="C202" i="11" s="1"/>
  <c r="C203" i="11" s="1"/>
  <c r="C204" i="11" s="1"/>
  <c r="C205" i="11" s="1"/>
  <c r="C206" i="11" s="1"/>
  <c r="C207" i="11" s="1"/>
  <c r="C208" i="11" s="1"/>
  <c r="C209" i="11" s="1"/>
  <c r="C210" i="11" s="1"/>
  <c r="C211" i="11" s="1"/>
  <c r="C212" i="11" s="1"/>
  <c r="C213" i="11" s="1"/>
  <c r="C214" i="11" s="1"/>
  <c r="C215" i="11" s="1"/>
  <c r="C216" i="11" s="1"/>
  <c r="C217" i="11" s="1"/>
  <c r="C218" i="11" s="1"/>
  <c r="C219" i="11" s="1"/>
  <c r="C220" i="11" s="1"/>
  <c r="C221" i="11" s="1"/>
  <c r="C222" i="11" s="1"/>
  <c r="C223" i="11" s="1"/>
  <c r="C224" i="11" s="1"/>
  <c r="C225" i="11" s="1"/>
  <c r="C226" i="11" s="1"/>
  <c r="C227" i="11" s="1"/>
  <c r="C228" i="11" s="1"/>
  <c r="C229" i="11" s="1"/>
  <c r="C230" i="11" s="1"/>
  <c r="C231" i="11" s="1"/>
  <c r="C232" i="11" s="1"/>
  <c r="C233" i="11" s="1"/>
  <c r="C234" i="11" s="1"/>
  <c r="C235" i="11" s="1"/>
  <c r="C236" i="11" s="1"/>
  <c r="C237" i="11" s="1"/>
  <c r="C238" i="11" s="1"/>
  <c r="C239" i="11" s="1"/>
  <c r="C240" i="11" s="1"/>
  <c r="C241" i="11" s="1"/>
  <c r="C242" i="11" s="1"/>
  <c r="C243" i="11" s="1"/>
  <c r="C244" i="11" s="1"/>
  <c r="C245" i="11" s="1"/>
  <c r="C246" i="11" s="1"/>
  <c r="C247" i="11" s="1"/>
  <c r="C248" i="11" s="1"/>
  <c r="C249" i="11" s="1"/>
  <c r="C250" i="11" s="1"/>
  <c r="C251" i="11" s="1"/>
  <c r="C252" i="11" s="1"/>
  <c r="C253" i="11" s="1"/>
  <c r="C254" i="11" s="1"/>
  <c r="C255" i="11" s="1"/>
  <c r="C256" i="11" s="1"/>
  <c r="C257" i="11" s="1"/>
  <c r="C258" i="11" s="1"/>
  <c r="C259" i="11" s="1"/>
  <c r="C260" i="11" s="1"/>
  <c r="C261" i="11" s="1"/>
  <c r="C262" i="11" s="1"/>
  <c r="C263" i="11" s="1"/>
  <c r="C264" i="11" s="1"/>
  <c r="C265" i="11" s="1"/>
  <c r="C266" i="11" s="1"/>
  <c r="C267" i="11" s="1"/>
  <c r="C268" i="11" s="1"/>
  <c r="C269" i="11" s="1"/>
  <c r="C270" i="11" s="1"/>
  <c r="C271" i="11" s="1"/>
  <c r="C272" i="11" s="1"/>
  <c r="C273" i="11" s="1"/>
  <c r="C274" i="11" s="1"/>
  <c r="C275" i="11" s="1"/>
  <c r="C276" i="11" s="1"/>
  <c r="C277" i="11" s="1"/>
  <c r="C278" i="11" s="1"/>
  <c r="C279" i="11" s="1"/>
  <c r="C280" i="11" s="1"/>
  <c r="C281" i="11" s="1"/>
  <c r="C282" i="11" s="1"/>
  <c r="C283" i="11" s="1"/>
  <c r="C284" i="11" s="1"/>
  <c r="C285" i="11" s="1"/>
  <c r="C286" i="11" s="1"/>
  <c r="C287" i="11" s="1"/>
  <c r="C288" i="11" s="1"/>
  <c r="C289" i="11" s="1"/>
  <c r="C290" i="11" s="1"/>
  <c r="C291" i="11" s="1"/>
  <c r="C292" i="11" s="1"/>
  <c r="C293" i="11" s="1"/>
  <c r="C294" i="11" s="1"/>
  <c r="C295" i="11" s="1"/>
  <c r="C296" i="11" s="1"/>
  <c r="C297" i="11" s="1"/>
  <c r="C298" i="11" s="1"/>
  <c r="C299" i="11" s="1"/>
  <c r="C300" i="11" s="1"/>
  <c r="C301" i="11" s="1"/>
  <c r="C302" i="11" s="1"/>
  <c r="C303" i="11" s="1"/>
  <c r="C304" i="11" s="1"/>
  <c r="B95" i="11"/>
  <c r="B96" i="11" s="1"/>
  <c r="B97" i="11" s="1"/>
  <c r="B98" i="11" s="1"/>
  <c r="B99" i="11" s="1"/>
  <c r="B100" i="11" s="1"/>
  <c r="B101" i="11" s="1"/>
  <c r="B102" i="11" s="1"/>
  <c r="B103" i="11" s="1"/>
  <c r="B104" i="11" s="1"/>
  <c r="B105" i="11" s="1"/>
  <c r="B106" i="11" s="1"/>
  <c r="B107" i="11" s="1"/>
  <c r="B108" i="11" s="1"/>
  <c r="B109" i="11" s="1"/>
  <c r="B110" i="11" s="1"/>
  <c r="B111" i="11" s="1"/>
  <c r="B112" i="11" s="1"/>
  <c r="B113" i="11" s="1"/>
  <c r="B114" i="11" s="1"/>
  <c r="B115" i="11" s="1"/>
  <c r="B116" i="11" s="1"/>
  <c r="B117" i="11" s="1"/>
  <c r="B118" i="11" s="1"/>
  <c r="B119" i="11" s="1"/>
  <c r="B120" i="11" s="1"/>
  <c r="B121" i="11" s="1"/>
  <c r="B122" i="11" s="1"/>
  <c r="B123" i="11" s="1"/>
  <c r="B124" i="11" s="1"/>
  <c r="B125" i="11" s="1"/>
  <c r="B126" i="11" s="1"/>
  <c r="B127" i="11" s="1"/>
  <c r="B128" i="11" s="1"/>
  <c r="B129" i="11" s="1"/>
  <c r="B130" i="11" s="1"/>
  <c r="B131" i="11" s="1"/>
  <c r="B132" i="11" s="1"/>
  <c r="B133" i="11" s="1"/>
  <c r="B134" i="11" s="1"/>
  <c r="B135" i="11" s="1"/>
  <c r="B136" i="11" s="1"/>
  <c r="B137" i="11" s="1"/>
  <c r="B138" i="11" s="1"/>
  <c r="B139" i="11" s="1"/>
  <c r="B140" i="11" s="1"/>
  <c r="B141" i="11" s="1"/>
  <c r="B142" i="11" s="1"/>
  <c r="B143" i="11" s="1"/>
  <c r="B144" i="11" s="1"/>
  <c r="B145" i="11" s="1"/>
  <c r="B146" i="11" s="1"/>
  <c r="B147" i="11" s="1"/>
  <c r="B148" i="11" s="1"/>
  <c r="B149" i="11" s="1"/>
  <c r="B150" i="11" s="1"/>
  <c r="B151" i="11" s="1"/>
  <c r="B152" i="11" s="1"/>
  <c r="B153" i="11" s="1"/>
  <c r="B154" i="11" s="1"/>
  <c r="B155" i="11" s="1"/>
  <c r="B156" i="11" s="1"/>
  <c r="B157" i="11" s="1"/>
  <c r="B158" i="11" s="1"/>
  <c r="B159" i="11" s="1"/>
  <c r="B160" i="11" s="1"/>
  <c r="B161" i="11" s="1"/>
  <c r="B162" i="11" s="1"/>
  <c r="B163" i="11" s="1"/>
  <c r="B164" i="11" s="1"/>
  <c r="B165" i="11" s="1"/>
  <c r="B166" i="11" s="1"/>
  <c r="B167" i="11" s="1"/>
  <c r="B168" i="11" s="1"/>
  <c r="B169" i="11" s="1"/>
  <c r="B170" i="11" s="1"/>
  <c r="B171" i="11" s="1"/>
  <c r="B172" i="11" s="1"/>
  <c r="B173" i="11" s="1"/>
  <c r="B174" i="11" s="1"/>
  <c r="B175" i="11" s="1"/>
  <c r="B176" i="11" s="1"/>
  <c r="B177" i="11" s="1"/>
  <c r="B178" i="11" s="1"/>
  <c r="B179" i="11" s="1"/>
  <c r="B180" i="11" s="1"/>
  <c r="B181" i="11" s="1"/>
  <c r="B182" i="11" s="1"/>
  <c r="B183" i="11" s="1"/>
  <c r="B184" i="11" s="1"/>
  <c r="B185" i="11" s="1"/>
  <c r="B186" i="11" s="1"/>
  <c r="B187" i="11" s="1"/>
  <c r="B188" i="11" s="1"/>
  <c r="B189" i="11" s="1"/>
  <c r="B190" i="11" s="1"/>
  <c r="B191" i="11" s="1"/>
  <c r="B192" i="11" s="1"/>
  <c r="B193" i="11" s="1"/>
  <c r="B194" i="11" s="1"/>
  <c r="B195" i="11" s="1"/>
  <c r="B196" i="11" s="1"/>
  <c r="B197" i="11" s="1"/>
  <c r="B198" i="11" s="1"/>
  <c r="B199" i="11" s="1"/>
  <c r="B200" i="11" s="1"/>
  <c r="B201" i="11" s="1"/>
  <c r="B202" i="11" s="1"/>
  <c r="B203" i="11" s="1"/>
  <c r="B204" i="11" s="1"/>
  <c r="B205" i="11" s="1"/>
  <c r="B206" i="11" s="1"/>
  <c r="B207" i="11" s="1"/>
  <c r="B208" i="11" s="1"/>
  <c r="B209" i="11" s="1"/>
  <c r="B210" i="11" s="1"/>
  <c r="B211" i="11" s="1"/>
  <c r="B212" i="11" s="1"/>
  <c r="B213" i="11" s="1"/>
  <c r="B214" i="11" s="1"/>
  <c r="B215" i="11" s="1"/>
  <c r="B216" i="11" s="1"/>
  <c r="B217" i="11" s="1"/>
  <c r="B218" i="11" s="1"/>
  <c r="B219" i="11" s="1"/>
  <c r="B220" i="11" s="1"/>
  <c r="B221" i="11" s="1"/>
  <c r="B222" i="11" s="1"/>
  <c r="B223" i="11" s="1"/>
  <c r="B224" i="11" s="1"/>
  <c r="B225" i="11" s="1"/>
  <c r="B226" i="11" s="1"/>
  <c r="B227" i="11" s="1"/>
  <c r="B228" i="11" s="1"/>
  <c r="B229" i="11" s="1"/>
  <c r="B230" i="11" s="1"/>
  <c r="B231" i="11" s="1"/>
  <c r="B232" i="11" s="1"/>
  <c r="B233" i="11" s="1"/>
  <c r="B234" i="11" s="1"/>
  <c r="B235" i="11" s="1"/>
  <c r="B236" i="11" s="1"/>
  <c r="B237" i="11" s="1"/>
  <c r="B238" i="11" s="1"/>
  <c r="B239" i="11" s="1"/>
  <c r="B240" i="11" s="1"/>
  <c r="B241" i="11" s="1"/>
  <c r="B242" i="11" s="1"/>
  <c r="B243" i="11" s="1"/>
  <c r="B244" i="11" s="1"/>
  <c r="B245" i="11" s="1"/>
  <c r="B246" i="11" s="1"/>
  <c r="B247" i="11" s="1"/>
  <c r="B248" i="11" s="1"/>
  <c r="B249" i="11" s="1"/>
  <c r="B250" i="11" s="1"/>
  <c r="B251" i="11" s="1"/>
  <c r="B252" i="11" s="1"/>
  <c r="B253" i="11" s="1"/>
  <c r="B254" i="11" s="1"/>
  <c r="B255" i="11" s="1"/>
  <c r="B256" i="11" s="1"/>
  <c r="B257" i="11" s="1"/>
  <c r="B258" i="11" s="1"/>
  <c r="B259" i="11" s="1"/>
  <c r="B260" i="11" s="1"/>
  <c r="B261" i="11" s="1"/>
  <c r="B262" i="11" s="1"/>
  <c r="B263" i="11" s="1"/>
  <c r="B264" i="11" s="1"/>
  <c r="B265" i="11" s="1"/>
  <c r="B266" i="11" s="1"/>
  <c r="B267" i="11" s="1"/>
  <c r="B268" i="11" s="1"/>
  <c r="B269" i="11" s="1"/>
  <c r="B270" i="11" s="1"/>
  <c r="B271" i="11" s="1"/>
  <c r="B272" i="11" s="1"/>
  <c r="B273" i="11" s="1"/>
  <c r="B274" i="11" s="1"/>
  <c r="B275" i="11" s="1"/>
  <c r="B276" i="11" s="1"/>
  <c r="B277" i="11" s="1"/>
  <c r="B278" i="11" s="1"/>
  <c r="B279" i="11" s="1"/>
  <c r="B280" i="11" s="1"/>
  <c r="B281" i="11" s="1"/>
  <c r="B282" i="11" s="1"/>
  <c r="B283" i="11" s="1"/>
  <c r="B284" i="11" s="1"/>
  <c r="B285" i="11" s="1"/>
  <c r="B286" i="11" s="1"/>
  <c r="B287" i="11" s="1"/>
  <c r="B288" i="11" s="1"/>
  <c r="B289" i="11" s="1"/>
  <c r="B290" i="11" s="1"/>
  <c r="B291" i="11" s="1"/>
  <c r="B292" i="11" s="1"/>
  <c r="B293" i="11" s="1"/>
  <c r="B294" i="11" s="1"/>
  <c r="B295" i="11" s="1"/>
  <c r="B296" i="11" s="1"/>
  <c r="B297" i="11" s="1"/>
  <c r="B298" i="11" s="1"/>
  <c r="B299" i="11" s="1"/>
  <c r="B300" i="11" s="1"/>
  <c r="B301" i="11" s="1"/>
  <c r="B302" i="11" s="1"/>
  <c r="B303" i="11" s="1"/>
  <c r="B304" i="11" s="1"/>
  <c r="D85" i="11"/>
  <c r="D86" i="11" s="1"/>
  <c r="D87" i="11" s="1"/>
  <c r="D88" i="11" s="1"/>
  <c r="D89" i="11" s="1"/>
  <c r="D90" i="11" s="1"/>
  <c r="D91" i="11" s="1"/>
  <c r="D92" i="11" s="1"/>
  <c r="D93" i="11" s="1"/>
  <c r="C85" i="11"/>
  <c r="C86" i="11" s="1"/>
  <c r="C87" i="11" s="1"/>
  <c r="C88" i="11" s="1"/>
  <c r="C89" i="11" s="1"/>
  <c r="C90" i="11" s="1"/>
  <c r="C91" i="11" s="1"/>
  <c r="C92" i="11" s="1"/>
  <c r="C93" i="11" s="1"/>
  <c r="B85" i="11"/>
  <c r="B86" i="11" s="1"/>
  <c r="B87" i="11" s="1"/>
  <c r="B88" i="11" s="1"/>
  <c r="B89" i="11" s="1"/>
  <c r="B90" i="11" s="1"/>
  <c r="B91" i="11" s="1"/>
  <c r="B92" i="11" s="1"/>
  <c r="B93" i="11" s="1"/>
  <c r="D75" i="11"/>
  <c r="D76" i="11" s="1"/>
  <c r="D77" i="11" s="1"/>
  <c r="D78" i="11" s="1"/>
  <c r="D79" i="11" s="1"/>
  <c r="D80" i="11" s="1"/>
  <c r="D81" i="11" s="1"/>
  <c r="D82" i="11" s="1"/>
  <c r="D83" i="11" s="1"/>
  <c r="C75" i="11"/>
  <c r="C76" i="11" s="1"/>
  <c r="C77" i="11" s="1"/>
  <c r="C78" i="11" s="1"/>
  <c r="C79" i="11" s="1"/>
  <c r="C80" i="11" s="1"/>
  <c r="C81" i="11" s="1"/>
  <c r="C82" i="11" s="1"/>
  <c r="C83" i="11" s="1"/>
  <c r="B75" i="11"/>
  <c r="B76" i="11" s="1"/>
  <c r="B77" i="11" s="1"/>
  <c r="B78" i="11" s="1"/>
  <c r="B79" i="11" s="1"/>
  <c r="B80" i="11" s="1"/>
  <c r="B81" i="11" s="1"/>
  <c r="B82" i="11" s="1"/>
  <c r="B83" i="11" s="1"/>
  <c r="D65" i="11"/>
  <c r="D66" i="11" s="1"/>
  <c r="D67" i="11" s="1"/>
  <c r="D68" i="11" s="1"/>
  <c r="D69" i="11" s="1"/>
  <c r="D70" i="11" s="1"/>
  <c r="D71" i="11" s="1"/>
  <c r="D72" i="11" s="1"/>
  <c r="D73" i="11" s="1"/>
  <c r="C65" i="11"/>
  <c r="C66" i="11" s="1"/>
  <c r="C67" i="11" s="1"/>
  <c r="C68" i="11" s="1"/>
  <c r="C69" i="11" s="1"/>
  <c r="C70" i="11" s="1"/>
  <c r="C71" i="11" s="1"/>
  <c r="C72" i="11" s="1"/>
  <c r="C73" i="11" s="1"/>
  <c r="B65" i="11"/>
  <c r="B66" i="11" s="1"/>
  <c r="B67" i="11" s="1"/>
  <c r="B68" i="11" s="1"/>
  <c r="B69" i="11" s="1"/>
  <c r="B70" i="11" s="1"/>
  <c r="B71" i="11" s="1"/>
  <c r="B72" i="11" s="1"/>
  <c r="B73" i="11" s="1"/>
  <c r="D55" i="11"/>
  <c r="C55" i="11"/>
  <c r="B55" i="11"/>
  <c r="B56" i="11" s="1"/>
  <c r="D45" i="11"/>
  <c r="D46" i="11" s="1"/>
  <c r="C45" i="11"/>
  <c r="B45" i="11"/>
  <c r="B46" i="11" s="1"/>
  <c r="B47" i="11" s="1"/>
  <c r="D35" i="11"/>
  <c r="D36" i="11" s="1"/>
  <c r="D37" i="11" s="1"/>
  <c r="C35" i="11"/>
  <c r="C36" i="11" s="1"/>
  <c r="B35" i="11"/>
  <c r="B36" i="11" s="1"/>
  <c r="D30" i="11"/>
  <c r="C30" i="11"/>
  <c r="B30" i="11"/>
  <c r="B31" i="11" s="1"/>
  <c r="D25" i="11"/>
  <c r="D26" i="11" s="1"/>
  <c r="D27" i="11" s="1"/>
  <c r="C25" i="11"/>
  <c r="B25" i="11"/>
  <c r="B26" i="11" s="1"/>
  <c r="B27" i="11" s="1"/>
  <c r="D23" i="11"/>
  <c r="C23" i="11"/>
  <c r="B23" i="11"/>
  <c r="D21" i="11"/>
  <c r="C21" i="11"/>
  <c r="B21" i="11"/>
  <c r="D19" i="11"/>
  <c r="V18" i="11" s="1"/>
  <c r="C19" i="11"/>
  <c r="U18" i="11" s="1"/>
  <c r="B19" i="11"/>
  <c r="V17" i="11"/>
  <c r="U17" i="11"/>
  <c r="T17" i="11"/>
  <c r="V16" i="11"/>
  <c r="U16" i="11"/>
  <c r="T16" i="11"/>
  <c r="V15" i="11"/>
  <c r="U15" i="11"/>
  <c r="T15" i="11"/>
  <c r="V14" i="11"/>
  <c r="U14" i="11"/>
  <c r="T14" i="11"/>
  <c r="V13" i="11"/>
  <c r="U13" i="11"/>
  <c r="T13" i="11"/>
  <c r="V12" i="11"/>
  <c r="U12" i="11"/>
  <c r="T12" i="11"/>
  <c r="V11" i="11"/>
  <c r="U11" i="11"/>
  <c r="T11" i="11"/>
  <c r="V10" i="11"/>
  <c r="U10" i="11"/>
  <c r="T10" i="11"/>
  <c r="V9" i="11"/>
  <c r="U9" i="11"/>
  <c r="T9" i="11"/>
  <c r="V8" i="11"/>
  <c r="U8" i="11"/>
  <c r="T8" i="11"/>
  <c r="V7" i="11"/>
  <c r="U7" i="11"/>
  <c r="T7" i="11"/>
  <c r="V6" i="11"/>
  <c r="U6" i="11"/>
  <c r="T6" i="11"/>
  <c r="V5" i="11"/>
  <c r="U5" i="11"/>
  <c r="T5" i="11"/>
  <c r="A5" i="11"/>
  <c r="A6" i="11" s="1"/>
  <c r="I4" i="11"/>
  <c r="I5" i="11" s="1"/>
  <c r="I6" i="11" s="1"/>
  <c r="I7" i="11" s="1"/>
  <c r="I8" i="11" s="1"/>
  <c r="I9" i="11" s="1"/>
  <c r="I10" i="11" s="1"/>
  <c r="I11" i="11" s="1"/>
  <c r="I12" i="11" s="1"/>
  <c r="I13" i="11" s="1"/>
  <c r="I14" i="11" s="1"/>
  <c r="I15" i="11" s="1"/>
  <c r="I16" i="11" s="1"/>
  <c r="I17" i="11" s="1"/>
  <c r="I18" i="11" s="1"/>
  <c r="I19" i="11" s="1"/>
  <c r="I20" i="11" s="1"/>
  <c r="I21" i="11" s="1"/>
  <c r="I22" i="11" s="1"/>
  <c r="I23" i="11" s="1"/>
  <c r="I24" i="11" s="1"/>
  <c r="I25" i="11" s="1"/>
  <c r="I26" i="11" s="1"/>
  <c r="I27" i="11" s="1"/>
  <c r="I28" i="11" s="1"/>
  <c r="I29" i="11" s="1"/>
  <c r="I30" i="11" s="1"/>
  <c r="I31" i="11" s="1"/>
  <c r="I32" i="11" s="1"/>
  <c r="I33" i="11" s="1"/>
  <c r="I34" i="11" s="1"/>
  <c r="I35" i="11" s="1"/>
  <c r="I36" i="11" s="1"/>
  <c r="I37" i="11" s="1"/>
  <c r="I38" i="11" s="1"/>
  <c r="I39" i="11" s="1"/>
  <c r="I40" i="11" s="1"/>
  <c r="I41" i="11" s="1"/>
  <c r="I42" i="11" s="1"/>
  <c r="I43" i="11" s="1"/>
  <c r="I44" i="11" s="1"/>
  <c r="I45" i="11" s="1"/>
  <c r="I46" i="11" s="1"/>
  <c r="I47" i="11" s="1"/>
  <c r="I48" i="11" s="1"/>
  <c r="I49" i="11" s="1"/>
  <c r="I50" i="11" s="1"/>
  <c r="I51" i="11" s="1"/>
  <c r="I52" i="11" s="1"/>
  <c r="I53" i="11" s="1"/>
  <c r="I54" i="11" s="1"/>
  <c r="I55" i="11" s="1"/>
  <c r="I56" i="11" s="1"/>
  <c r="I57" i="11" s="1"/>
  <c r="I58" i="11" s="1"/>
  <c r="I59" i="11" s="1"/>
  <c r="I60" i="11" s="1"/>
  <c r="I61" i="11" s="1"/>
  <c r="I62" i="11" s="1"/>
  <c r="I63" i="11" s="1"/>
  <c r="I64" i="11" s="1"/>
  <c r="I65" i="11" s="1"/>
  <c r="I66" i="11" s="1"/>
  <c r="I67" i="11" s="1"/>
  <c r="I68" i="11" s="1"/>
  <c r="I69" i="11" s="1"/>
  <c r="I70" i="11" s="1"/>
  <c r="I71" i="11" s="1"/>
  <c r="I72" i="11" s="1"/>
  <c r="I73" i="11" s="1"/>
  <c r="I74" i="11" s="1"/>
  <c r="I75" i="11" s="1"/>
  <c r="I76" i="11" s="1"/>
  <c r="I77" i="11" s="1"/>
  <c r="I78" i="11" s="1"/>
  <c r="I79" i="11" s="1"/>
  <c r="I80" i="11" s="1"/>
  <c r="I81" i="11" s="1"/>
  <c r="I82" i="11" s="1"/>
  <c r="I83" i="11" s="1"/>
  <c r="I84" i="11" s="1"/>
  <c r="I85" i="11" s="1"/>
  <c r="I86" i="11" s="1"/>
  <c r="I87" i="11" s="1"/>
  <c r="I88" i="11" s="1"/>
  <c r="I89" i="11" s="1"/>
  <c r="I90" i="11" s="1"/>
  <c r="I91" i="11" s="1"/>
  <c r="I92" i="11" s="1"/>
  <c r="I93" i="11" s="1"/>
  <c r="I94" i="11" s="1"/>
  <c r="I95" i="11" s="1"/>
  <c r="I96" i="11" s="1"/>
  <c r="I97" i="11" s="1"/>
  <c r="I98" i="11" s="1"/>
  <c r="I99" i="11" s="1"/>
  <c r="I100" i="11" s="1"/>
  <c r="I101" i="11" s="1"/>
  <c r="I102" i="11" s="1"/>
  <c r="I103" i="11" s="1"/>
  <c r="I104" i="11" s="1"/>
  <c r="I105" i="11" s="1"/>
  <c r="I106" i="11" s="1"/>
  <c r="I107" i="11" s="1"/>
  <c r="I108" i="11" s="1"/>
  <c r="I109" i="11" s="1"/>
  <c r="I110" i="11" s="1"/>
  <c r="I111" i="11" s="1"/>
  <c r="I112" i="11" s="1"/>
  <c r="I113" i="11" s="1"/>
  <c r="I114" i="11" s="1"/>
  <c r="I115" i="11" s="1"/>
  <c r="I116" i="11" s="1"/>
  <c r="I117" i="11" s="1"/>
  <c r="I118" i="11" s="1"/>
  <c r="I119" i="11" s="1"/>
  <c r="I120" i="11" s="1"/>
  <c r="I121" i="11" s="1"/>
  <c r="I122" i="11" s="1"/>
  <c r="I123" i="11" s="1"/>
  <c r="I124" i="11" s="1"/>
  <c r="I125" i="11" s="1"/>
  <c r="I126" i="11" s="1"/>
  <c r="I127" i="11" s="1"/>
  <c r="I128" i="11" s="1"/>
  <c r="I129" i="11" s="1"/>
  <c r="I130" i="11" s="1"/>
  <c r="I131" i="11" s="1"/>
  <c r="I132" i="11" s="1"/>
  <c r="I133" i="11" s="1"/>
  <c r="I134" i="11" s="1"/>
  <c r="I135" i="11" s="1"/>
  <c r="I136" i="11" s="1"/>
  <c r="I137" i="11" s="1"/>
  <c r="I138" i="11" s="1"/>
  <c r="I139" i="11" s="1"/>
  <c r="I140" i="11" s="1"/>
  <c r="I141" i="11" s="1"/>
  <c r="I142" i="11" s="1"/>
  <c r="I143" i="11" s="1"/>
  <c r="I144" i="11" s="1"/>
  <c r="I145" i="11" s="1"/>
  <c r="I146" i="11" s="1"/>
  <c r="I147" i="11" s="1"/>
  <c r="I148" i="11" s="1"/>
  <c r="I149" i="11" s="1"/>
  <c r="I150" i="11" s="1"/>
  <c r="I151" i="11" s="1"/>
  <c r="I152" i="11" s="1"/>
  <c r="I153" i="11" s="1"/>
  <c r="I154" i="11" s="1"/>
  <c r="I155" i="11" s="1"/>
  <c r="I156" i="11" s="1"/>
  <c r="I157" i="11" s="1"/>
  <c r="I158" i="11" s="1"/>
  <c r="I159" i="11" s="1"/>
  <c r="I160" i="11" s="1"/>
  <c r="I161" i="11" s="1"/>
  <c r="I162" i="11" s="1"/>
  <c r="I163" i="11" s="1"/>
  <c r="I164" i="11" s="1"/>
  <c r="I165" i="11" s="1"/>
  <c r="I166" i="11" s="1"/>
  <c r="I167" i="11" s="1"/>
  <c r="I168" i="11" s="1"/>
  <c r="I169" i="11" s="1"/>
  <c r="I170" i="11" s="1"/>
  <c r="I171" i="11" s="1"/>
  <c r="I172" i="11" s="1"/>
  <c r="I173" i="11" s="1"/>
  <c r="I174" i="11" s="1"/>
  <c r="I175" i="11" s="1"/>
  <c r="I176" i="11" s="1"/>
  <c r="I177" i="11" s="1"/>
  <c r="I178" i="11" s="1"/>
  <c r="I179" i="11" s="1"/>
  <c r="I180" i="11" s="1"/>
  <c r="I181" i="11" s="1"/>
  <c r="I182" i="11" s="1"/>
  <c r="I183" i="11" s="1"/>
  <c r="I184" i="11" s="1"/>
  <c r="I185" i="11" s="1"/>
  <c r="I186" i="11" s="1"/>
  <c r="I187" i="11" s="1"/>
  <c r="I188" i="11" s="1"/>
  <c r="I189" i="11" s="1"/>
  <c r="I190" i="11" s="1"/>
  <c r="I191" i="11" s="1"/>
  <c r="I192" i="11" s="1"/>
  <c r="I193" i="11" s="1"/>
  <c r="I194" i="11" s="1"/>
  <c r="I195" i="11" s="1"/>
  <c r="I196" i="11" s="1"/>
  <c r="I197" i="11" s="1"/>
  <c r="I198" i="11" s="1"/>
  <c r="I199" i="11" s="1"/>
  <c r="I200" i="11" s="1"/>
  <c r="I201" i="11" s="1"/>
  <c r="I202" i="11" s="1"/>
  <c r="I203" i="11" s="1"/>
  <c r="I204" i="11" s="1"/>
  <c r="I205" i="11" s="1"/>
  <c r="I206" i="11" s="1"/>
  <c r="I207" i="11" s="1"/>
  <c r="I208" i="11" s="1"/>
  <c r="I209" i="11" s="1"/>
  <c r="I210" i="11" s="1"/>
  <c r="I211" i="11" s="1"/>
  <c r="I212" i="11" s="1"/>
  <c r="I213" i="11" s="1"/>
  <c r="I214" i="11" s="1"/>
  <c r="I215" i="11" s="1"/>
  <c r="I216" i="11" s="1"/>
  <c r="I217" i="11" s="1"/>
  <c r="I218" i="11" s="1"/>
  <c r="I219" i="11" s="1"/>
  <c r="I220" i="11" s="1"/>
  <c r="I221" i="11" s="1"/>
  <c r="I222" i="11" s="1"/>
  <c r="I223" i="11" s="1"/>
  <c r="I224" i="11" s="1"/>
  <c r="I225" i="11" s="1"/>
  <c r="I226" i="11" s="1"/>
  <c r="I227" i="11" s="1"/>
  <c r="I228" i="11" s="1"/>
  <c r="I229" i="11" s="1"/>
  <c r="I230" i="11" s="1"/>
  <c r="I231" i="11" s="1"/>
  <c r="I232" i="11" s="1"/>
  <c r="I233" i="11" s="1"/>
  <c r="I234" i="11" s="1"/>
  <c r="I235" i="11" s="1"/>
  <c r="I236" i="11" s="1"/>
  <c r="I237" i="11" s="1"/>
  <c r="I238" i="11" s="1"/>
  <c r="I239" i="11" s="1"/>
  <c r="I240" i="11" s="1"/>
  <c r="I241" i="11" s="1"/>
  <c r="I242" i="11" s="1"/>
  <c r="I243" i="11" s="1"/>
  <c r="I244" i="11" s="1"/>
  <c r="I245" i="11" s="1"/>
  <c r="I246" i="11" s="1"/>
  <c r="I247" i="11" s="1"/>
  <c r="I248" i="11" s="1"/>
  <c r="I249" i="11" s="1"/>
  <c r="I250" i="11" s="1"/>
  <c r="I251" i="11" s="1"/>
  <c r="I252" i="11" s="1"/>
  <c r="I253" i="11" s="1"/>
  <c r="I254" i="11" s="1"/>
  <c r="I255" i="11" s="1"/>
  <c r="I256" i="11" s="1"/>
  <c r="I257" i="11" s="1"/>
  <c r="I258" i="11" s="1"/>
  <c r="I259" i="11" s="1"/>
  <c r="I260" i="11" s="1"/>
  <c r="I261" i="11" s="1"/>
  <c r="I262" i="11" s="1"/>
  <c r="I263" i="11" s="1"/>
  <c r="I264" i="11" s="1"/>
  <c r="I265" i="11" s="1"/>
  <c r="I266" i="11" s="1"/>
  <c r="I267" i="11" s="1"/>
  <c r="I268" i="11" s="1"/>
  <c r="I269" i="11" s="1"/>
  <c r="I270" i="11" s="1"/>
  <c r="I271" i="11" s="1"/>
  <c r="I272" i="11" s="1"/>
  <c r="I273" i="11" s="1"/>
  <c r="I274" i="11" s="1"/>
  <c r="I275" i="11" s="1"/>
  <c r="I276" i="11" s="1"/>
  <c r="I277" i="11" s="1"/>
  <c r="I278" i="11" s="1"/>
  <c r="I279" i="11" s="1"/>
  <c r="I280" i="11" s="1"/>
  <c r="I281" i="11" s="1"/>
  <c r="I282" i="11" s="1"/>
  <c r="I283" i="11" s="1"/>
  <c r="I284" i="11" s="1"/>
  <c r="I285" i="11" s="1"/>
  <c r="I286" i="11" s="1"/>
  <c r="I287" i="11" s="1"/>
  <c r="I288" i="11" s="1"/>
  <c r="I289" i="11" s="1"/>
  <c r="I290" i="11" s="1"/>
  <c r="I291" i="11" s="1"/>
  <c r="I292" i="11" s="1"/>
  <c r="I293" i="11" s="1"/>
  <c r="I294" i="11" s="1"/>
  <c r="I295" i="11" s="1"/>
  <c r="I296" i="11" s="1"/>
  <c r="I297" i="11" s="1"/>
  <c r="I298" i="11" s="1"/>
  <c r="I299" i="11" s="1"/>
  <c r="I300" i="11" s="1"/>
  <c r="I301" i="11" s="1"/>
  <c r="I302" i="11" s="1"/>
  <c r="I303" i="11" s="1"/>
  <c r="I304" i="11" s="1"/>
  <c r="D19" i="10"/>
  <c r="C19" i="10"/>
  <c r="B19" i="10"/>
  <c r="D21" i="10"/>
  <c r="C21" i="10"/>
  <c r="B21" i="10"/>
  <c r="D23" i="10"/>
  <c r="C23" i="10"/>
  <c r="B23" i="10"/>
  <c r="D25" i="10"/>
  <c r="D26" i="10" s="1"/>
  <c r="D27" i="10" s="1"/>
  <c r="D28" i="10" s="1"/>
  <c r="C25" i="10"/>
  <c r="C26" i="10" s="1"/>
  <c r="C27" i="10" s="1"/>
  <c r="C28" i="10" s="1"/>
  <c r="B25" i="10"/>
  <c r="B26" i="10" s="1"/>
  <c r="B27" i="10" s="1"/>
  <c r="B28" i="10" s="1"/>
  <c r="D30" i="10"/>
  <c r="D31" i="10" s="1"/>
  <c r="D32" i="10" s="1"/>
  <c r="D33" i="10" s="1"/>
  <c r="C30" i="10"/>
  <c r="C31" i="10" s="1"/>
  <c r="C32" i="10" s="1"/>
  <c r="C33" i="10" s="1"/>
  <c r="B30" i="10"/>
  <c r="B31" i="10" s="1"/>
  <c r="B32" i="10" s="1"/>
  <c r="B33" i="10" s="1"/>
  <c r="D95" i="10"/>
  <c r="D96" i="10" s="1"/>
  <c r="D97" i="10" s="1"/>
  <c r="D98" i="10" s="1"/>
  <c r="D99" i="10" s="1"/>
  <c r="D100" i="10" s="1"/>
  <c r="D101" i="10" s="1"/>
  <c r="D102" i="10" s="1"/>
  <c r="D103" i="10" s="1"/>
  <c r="C95" i="10"/>
  <c r="C96" i="10" s="1"/>
  <c r="C97" i="10" s="1"/>
  <c r="C98" i="10" s="1"/>
  <c r="C99" i="10" s="1"/>
  <c r="C100" i="10" s="1"/>
  <c r="C101" i="10" s="1"/>
  <c r="C102" i="10" s="1"/>
  <c r="C103" i="10" s="1"/>
  <c r="B95" i="10"/>
  <c r="B96" i="10" s="1"/>
  <c r="B97" i="10" s="1"/>
  <c r="B98" i="10" s="1"/>
  <c r="B99" i="10" s="1"/>
  <c r="B100" i="10" s="1"/>
  <c r="B101" i="10" s="1"/>
  <c r="B102" i="10" s="1"/>
  <c r="B103" i="10" s="1"/>
  <c r="D85" i="10"/>
  <c r="D86" i="10" s="1"/>
  <c r="D87" i="10" s="1"/>
  <c r="D88" i="10" s="1"/>
  <c r="D89" i="10" s="1"/>
  <c r="D90" i="10" s="1"/>
  <c r="D91" i="10" s="1"/>
  <c r="D92" i="10" s="1"/>
  <c r="D93" i="10" s="1"/>
  <c r="C85" i="10"/>
  <c r="C86" i="10" s="1"/>
  <c r="C87" i="10" s="1"/>
  <c r="C88" i="10" s="1"/>
  <c r="C89" i="10" s="1"/>
  <c r="C90" i="10" s="1"/>
  <c r="C91" i="10" s="1"/>
  <c r="C92" i="10" s="1"/>
  <c r="C93" i="10" s="1"/>
  <c r="B85" i="10"/>
  <c r="B86" i="10" s="1"/>
  <c r="B87" i="10" s="1"/>
  <c r="B88" i="10" s="1"/>
  <c r="B89" i="10" s="1"/>
  <c r="B90" i="10" s="1"/>
  <c r="B91" i="10" s="1"/>
  <c r="B92" i="10" s="1"/>
  <c r="B93" i="10" s="1"/>
  <c r="D75" i="10"/>
  <c r="D76" i="10" s="1"/>
  <c r="D77" i="10" s="1"/>
  <c r="D78" i="10" s="1"/>
  <c r="D79" i="10" s="1"/>
  <c r="D80" i="10" s="1"/>
  <c r="D81" i="10" s="1"/>
  <c r="D82" i="10" s="1"/>
  <c r="D83" i="10" s="1"/>
  <c r="C75" i="10"/>
  <c r="C76" i="10" s="1"/>
  <c r="C77" i="10" s="1"/>
  <c r="C78" i="10" s="1"/>
  <c r="C79" i="10" s="1"/>
  <c r="C80" i="10" s="1"/>
  <c r="C81" i="10" s="1"/>
  <c r="C82" i="10" s="1"/>
  <c r="C83" i="10" s="1"/>
  <c r="B75" i="10"/>
  <c r="B76" i="10" s="1"/>
  <c r="B77" i="10" s="1"/>
  <c r="B78" i="10" s="1"/>
  <c r="B79" i="10" s="1"/>
  <c r="B80" i="10" s="1"/>
  <c r="B81" i="10" s="1"/>
  <c r="B82" i="10" s="1"/>
  <c r="B83" i="10" s="1"/>
  <c r="D65" i="10"/>
  <c r="D66" i="10" s="1"/>
  <c r="D67" i="10" s="1"/>
  <c r="D68" i="10" s="1"/>
  <c r="D69" i="10" s="1"/>
  <c r="D70" i="10" s="1"/>
  <c r="D71" i="10" s="1"/>
  <c r="D72" i="10" s="1"/>
  <c r="D73" i="10" s="1"/>
  <c r="C65" i="10"/>
  <c r="C66" i="10" s="1"/>
  <c r="C67" i="10" s="1"/>
  <c r="C68" i="10" s="1"/>
  <c r="C69" i="10" s="1"/>
  <c r="C70" i="10" s="1"/>
  <c r="C71" i="10" s="1"/>
  <c r="C72" i="10" s="1"/>
  <c r="C73" i="10" s="1"/>
  <c r="B65" i="10"/>
  <c r="B66" i="10" s="1"/>
  <c r="B67" i="10" s="1"/>
  <c r="B68" i="10" s="1"/>
  <c r="B69" i="10" s="1"/>
  <c r="B70" i="10" s="1"/>
  <c r="B71" i="10" s="1"/>
  <c r="B72" i="10" s="1"/>
  <c r="B73" i="10" s="1"/>
  <c r="D55" i="10"/>
  <c r="D56" i="10" s="1"/>
  <c r="D57" i="10" s="1"/>
  <c r="D58" i="10" s="1"/>
  <c r="D59" i="10" s="1"/>
  <c r="D60" i="10" s="1"/>
  <c r="D61" i="10" s="1"/>
  <c r="D62" i="10" s="1"/>
  <c r="D63" i="10" s="1"/>
  <c r="C55" i="10"/>
  <c r="C56" i="10" s="1"/>
  <c r="C57" i="10" s="1"/>
  <c r="C58" i="10" s="1"/>
  <c r="C59" i="10" s="1"/>
  <c r="C60" i="10" s="1"/>
  <c r="C61" i="10" s="1"/>
  <c r="C62" i="10" s="1"/>
  <c r="C63" i="10" s="1"/>
  <c r="B55" i="10"/>
  <c r="B56" i="10" s="1"/>
  <c r="B57" i="10" s="1"/>
  <c r="B58" i="10" s="1"/>
  <c r="B59" i="10" s="1"/>
  <c r="B60" i="10" s="1"/>
  <c r="B61" i="10" s="1"/>
  <c r="B62" i="10" s="1"/>
  <c r="B63" i="10" s="1"/>
  <c r="D45" i="10"/>
  <c r="D46" i="10" s="1"/>
  <c r="D47" i="10" s="1"/>
  <c r="D48" i="10" s="1"/>
  <c r="D49" i="10" s="1"/>
  <c r="D50" i="10" s="1"/>
  <c r="D51" i="10" s="1"/>
  <c r="D52" i="10" s="1"/>
  <c r="D53" i="10" s="1"/>
  <c r="C45" i="10"/>
  <c r="C46" i="10" s="1"/>
  <c r="C47" i="10" s="1"/>
  <c r="C48" i="10" s="1"/>
  <c r="C49" i="10" s="1"/>
  <c r="C50" i="10" s="1"/>
  <c r="C51" i="10" s="1"/>
  <c r="C52" i="10" s="1"/>
  <c r="C53" i="10" s="1"/>
  <c r="B45" i="10"/>
  <c r="B46" i="10" s="1"/>
  <c r="B47" i="10" s="1"/>
  <c r="B48" i="10" s="1"/>
  <c r="B49" i="10" s="1"/>
  <c r="B50" i="10" s="1"/>
  <c r="B51" i="10" s="1"/>
  <c r="B52" i="10" s="1"/>
  <c r="B53" i="10" s="1"/>
  <c r="C35" i="10"/>
  <c r="C36" i="10" s="1"/>
  <c r="C37" i="10" s="1"/>
  <c r="C38" i="10" s="1"/>
  <c r="C39" i="10" s="1"/>
  <c r="C40" i="10" s="1"/>
  <c r="C41" i="10" s="1"/>
  <c r="C42" i="10" s="1"/>
  <c r="C43" i="10" s="1"/>
  <c r="D35" i="10"/>
  <c r="D36" i="10" s="1"/>
  <c r="D37" i="10" s="1"/>
  <c r="D38" i="10" s="1"/>
  <c r="D39" i="10" s="1"/>
  <c r="D40" i="10" s="1"/>
  <c r="D41" i="10" s="1"/>
  <c r="D42" i="10" s="1"/>
  <c r="D43" i="10" s="1"/>
  <c r="B35" i="10"/>
  <c r="B36" i="10" s="1"/>
  <c r="B37" i="10" s="1"/>
  <c r="B38" i="10" s="1"/>
  <c r="B39" i="10" s="1"/>
  <c r="B40" i="10" s="1"/>
  <c r="B41" i="10" s="1"/>
  <c r="B42" i="10" s="1"/>
  <c r="B43" i="10" s="1"/>
  <c r="B13" i="1"/>
  <c r="M4" i="10"/>
  <c r="B9" i="1"/>
  <c r="J6" i="6" l="1"/>
  <c r="E4" i="11"/>
  <c r="E2" i="11" s="1"/>
  <c r="F4" i="6"/>
  <c r="J7" i="6"/>
  <c r="S4" i="6"/>
  <c r="T4" i="6" s="1"/>
  <c r="R4" i="6"/>
  <c r="B17" i="1"/>
  <c r="B19" i="1" s="1"/>
  <c r="B18" i="1" s="1"/>
  <c r="E4" i="10"/>
  <c r="F4" i="10"/>
  <c r="F4" i="11"/>
  <c r="F2" i="11" s="1"/>
  <c r="K299" i="11"/>
  <c r="K204" i="11"/>
  <c r="K148" i="11"/>
  <c r="K84" i="11"/>
  <c r="K270" i="11"/>
  <c r="K203" i="11"/>
  <c r="K195" i="11"/>
  <c r="K187" i="11"/>
  <c r="K179" i="11"/>
  <c r="K171" i="11"/>
  <c r="K163" i="11"/>
  <c r="K155" i="11"/>
  <c r="K147" i="11"/>
  <c r="K139" i="11"/>
  <c r="K131" i="11"/>
  <c r="K123" i="11"/>
  <c r="K115" i="11"/>
  <c r="K107" i="11"/>
  <c r="K99" i="11"/>
  <c r="K91" i="11"/>
  <c r="K83" i="11"/>
  <c r="K75" i="11"/>
  <c r="K67" i="11"/>
  <c r="K59" i="11"/>
  <c r="K51" i="11"/>
  <c r="K43" i="11"/>
  <c r="K35" i="11"/>
  <c r="K27" i="11"/>
  <c r="K19" i="11"/>
  <c r="K11" i="11"/>
  <c r="K269" i="11"/>
  <c r="K261" i="11"/>
  <c r="K253" i="11"/>
  <c r="K245" i="11"/>
  <c r="K237" i="11"/>
  <c r="K229" i="11"/>
  <c r="K221" i="11"/>
  <c r="K213" i="11"/>
  <c r="K205" i="11"/>
  <c r="K288" i="11"/>
  <c r="K280" i="11"/>
  <c r="K272" i="11"/>
  <c r="K298" i="11"/>
  <c r="K297" i="11"/>
  <c r="K196" i="11"/>
  <c r="K164" i="11"/>
  <c r="K132" i="11"/>
  <c r="K116" i="11"/>
  <c r="K92" i="11"/>
  <c r="K76" i="11"/>
  <c r="K44" i="11"/>
  <c r="K36" i="11"/>
  <c r="K12" i="11"/>
  <c r="K262" i="11"/>
  <c r="K254" i="11"/>
  <c r="K246" i="11"/>
  <c r="K230" i="11"/>
  <c r="K214" i="11"/>
  <c r="K206" i="11"/>
  <c r="K273" i="11"/>
  <c r="K193" i="11"/>
  <c r="K169" i="11"/>
  <c r="K153" i="11"/>
  <c r="K137" i="11"/>
  <c r="K97" i="11"/>
  <c r="K81" i="11"/>
  <c r="K65" i="11"/>
  <c r="K49" i="11"/>
  <c r="K41" i="11"/>
  <c r="K25" i="11"/>
  <c r="K17" i="11"/>
  <c r="K267" i="11"/>
  <c r="K259" i="11"/>
  <c r="K251" i="11"/>
  <c r="K243" i="11"/>
  <c r="K235" i="11"/>
  <c r="K227" i="11"/>
  <c r="K211" i="11"/>
  <c r="K294" i="11"/>
  <c r="K286" i="11"/>
  <c r="K278" i="11"/>
  <c r="K304" i="11"/>
  <c r="K296" i="11"/>
  <c r="K180" i="11"/>
  <c r="K156" i="11"/>
  <c r="K108" i="11"/>
  <c r="K52" i="11"/>
  <c r="K222" i="11"/>
  <c r="K194" i="11"/>
  <c r="K178" i="11"/>
  <c r="K162" i="11"/>
  <c r="K146" i="11"/>
  <c r="K130" i="11"/>
  <c r="K114" i="11"/>
  <c r="K106" i="11"/>
  <c r="K90" i="11"/>
  <c r="K74" i="11"/>
  <c r="K58" i="11"/>
  <c r="K42" i="11"/>
  <c r="K26" i="11"/>
  <c r="K10" i="11"/>
  <c r="K260" i="11"/>
  <c r="K244" i="11"/>
  <c r="K220" i="11"/>
  <c r="K295" i="11"/>
  <c r="K271" i="11"/>
  <c r="K113" i="11"/>
  <c r="K200" i="11"/>
  <c r="K192" i="11"/>
  <c r="K184" i="11"/>
  <c r="K176" i="11"/>
  <c r="K168" i="11"/>
  <c r="K160" i="11"/>
  <c r="K152" i="11"/>
  <c r="K144" i="11"/>
  <c r="K136" i="11"/>
  <c r="K128" i="11"/>
  <c r="K120" i="11"/>
  <c r="K112" i="11"/>
  <c r="K104" i="11"/>
  <c r="K96" i="11"/>
  <c r="K88" i="11"/>
  <c r="K80" i="11"/>
  <c r="K72" i="11"/>
  <c r="K64" i="11"/>
  <c r="K56" i="11"/>
  <c r="K48" i="11"/>
  <c r="K40" i="11"/>
  <c r="K32" i="11"/>
  <c r="K24" i="11"/>
  <c r="K16" i="11"/>
  <c r="K8" i="11"/>
  <c r="K266" i="11"/>
  <c r="K258" i="11"/>
  <c r="K250" i="11"/>
  <c r="K242" i="11"/>
  <c r="K234" i="11"/>
  <c r="K226" i="11"/>
  <c r="K218" i="11"/>
  <c r="K210" i="11"/>
  <c r="K293" i="11"/>
  <c r="K285" i="11"/>
  <c r="K277" i="11"/>
  <c r="K303" i="11"/>
  <c r="K188" i="11"/>
  <c r="K140" i="11"/>
  <c r="K100" i="11"/>
  <c r="K68" i="11"/>
  <c r="K28" i="11"/>
  <c r="K238" i="11"/>
  <c r="K281" i="11"/>
  <c r="K202" i="11"/>
  <c r="K186" i="11"/>
  <c r="K170" i="11"/>
  <c r="K154" i="11"/>
  <c r="K138" i="11"/>
  <c r="K122" i="11"/>
  <c r="K98" i="11"/>
  <c r="K82" i="11"/>
  <c r="K66" i="11"/>
  <c r="K50" i="11"/>
  <c r="K34" i="11"/>
  <c r="K18" i="11"/>
  <c r="K268" i="11"/>
  <c r="K252" i="11"/>
  <c r="K236" i="11"/>
  <c r="K228" i="11"/>
  <c r="K212" i="11"/>
  <c r="K287" i="11"/>
  <c r="K279" i="11"/>
  <c r="K129" i="11"/>
  <c r="K191" i="11"/>
  <c r="K175" i="11"/>
  <c r="K151" i="11"/>
  <c r="K135" i="11"/>
  <c r="K119" i="11"/>
  <c r="K103" i="11"/>
  <c r="K95" i="11"/>
  <c r="K87" i="11"/>
  <c r="K79" i="11"/>
  <c r="K71" i="11"/>
  <c r="K63" i="11"/>
  <c r="K55" i="11"/>
  <c r="K39" i="11"/>
  <c r="K31" i="11"/>
  <c r="K23" i="11"/>
  <c r="K15" i="11"/>
  <c r="K7" i="11"/>
  <c r="K265" i="11"/>
  <c r="K257" i="11"/>
  <c r="K249" i="11"/>
  <c r="K241" i="11"/>
  <c r="K233" i="11"/>
  <c r="K225" i="11"/>
  <c r="K217" i="11"/>
  <c r="K209" i="11"/>
  <c r="K292" i="11"/>
  <c r="K284" i="11"/>
  <c r="K276" i="11"/>
  <c r="K302" i="11"/>
  <c r="K172" i="11"/>
  <c r="K124" i="11"/>
  <c r="K60" i="11"/>
  <c r="K20" i="11"/>
  <c r="K289" i="11"/>
  <c r="K201" i="11"/>
  <c r="K185" i="11"/>
  <c r="K177" i="11"/>
  <c r="K161" i="11"/>
  <c r="K145" i="11"/>
  <c r="K121" i="11"/>
  <c r="K105" i="11"/>
  <c r="K89" i="11"/>
  <c r="K73" i="11"/>
  <c r="K57" i="11"/>
  <c r="K33" i="11"/>
  <c r="K9" i="11"/>
  <c r="K219" i="11"/>
  <c r="K199" i="11"/>
  <c r="K183" i="11"/>
  <c r="K167" i="11"/>
  <c r="K159" i="11"/>
  <c r="K143" i="11"/>
  <c r="K127" i="11"/>
  <c r="K111" i="11"/>
  <c r="K47" i="11"/>
  <c r="K198" i="11"/>
  <c r="K190" i="11"/>
  <c r="K182" i="11"/>
  <c r="K174" i="11"/>
  <c r="K166" i="11"/>
  <c r="K158" i="11"/>
  <c r="K150" i="11"/>
  <c r="K142" i="11"/>
  <c r="K134" i="11"/>
  <c r="K126" i="11"/>
  <c r="K118" i="11"/>
  <c r="K110" i="11"/>
  <c r="K102" i="11"/>
  <c r="K94" i="11"/>
  <c r="K86" i="11"/>
  <c r="K78" i="11"/>
  <c r="K70" i="11"/>
  <c r="K62" i="11"/>
  <c r="K54" i="11"/>
  <c r="K46" i="11"/>
  <c r="K38" i="11"/>
  <c r="K30" i="11"/>
  <c r="K22" i="11"/>
  <c r="K14" i="11"/>
  <c r="K6" i="11"/>
  <c r="K264" i="11"/>
  <c r="K256" i="11"/>
  <c r="K248" i="11"/>
  <c r="K240" i="11"/>
  <c r="K232" i="11"/>
  <c r="K224" i="11"/>
  <c r="K216" i="11"/>
  <c r="K208" i="11"/>
  <c r="K291" i="11"/>
  <c r="K283" i="11"/>
  <c r="K275" i="11"/>
  <c r="K301" i="11"/>
  <c r="K4" i="11"/>
  <c r="K197" i="11"/>
  <c r="K189" i="11"/>
  <c r="K181" i="11"/>
  <c r="K173" i="11"/>
  <c r="K165" i="11"/>
  <c r="K157" i="11"/>
  <c r="K149" i="11"/>
  <c r="K141" i="11"/>
  <c r="K133" i="11"/>
  <c r="K125" i="11"/>
  <c r="K117" i="11"/>
  <c r="K109" i="11"/>
  <c r="K101" i="11"/>
  <c r="K93" i="11"/>
  <c r="K85" i="11"/>
  <c r="K77" i="11"/>
  <c r="K69" i="11"/>
  <c r="K61" i="11"/>
  <c r="K53" i="11"/>
  <c r="K45" i="11"/>
  <c r="K37" i="11"/>
  <c r="K29" i="11"/>
  <c r="K21" i="11"/>
  <c r="K13" i="11"/>
  <c r="K5" i="11"/>
  <c r="K263" i="11"/>
  <c r="K255" i="11"/>
  <c r="K247" i="11"/>
  <c r="K239" i="11"/>
  <c r="K231" i="11"/>
  <c r="K223" i="11"/>
  <c r="K215" i="11"/>
  <c r="K207" i="11"/>
  <c r="K290" i="11"/>
  <c r="K282" i="11"/>
  <c r="K274" i="11"/>
  <c r="T18" i="11"/>
  <c r="C31" i="11"/>
  <c r="D28" i="11"/>
  <c r="B32" i="11"/>
  <c r="C37" i="11"/>
  <c r="B48" i="11"/>
  <c r="B57" i="11"/>
  <c r="C26" i="11"/>
  <c r="D31" i="11"/>
  <c r="A7" i="11"/>
  <c r="G2" i="11"/>
  <c r="D47" i="11"/>
  <c r="C56" i="11"/>
  <c r="B28" i="11"/>
  <c r="B37" i="11"/>
  <c r="D38" i="11"/>
  <c r="D56" i="11"/>
  <c r="C46" i="11"/>
  <c r="N4" i="10"/>
  <c r="B104" i="10"/>
  <c r="B105" i="10" s="1"/>
  <c r="B106" i="10" s="1"/>
  <c r="B107" i="10" s="1"/>
  <c r="B108" i="10" s="1"/>
  <c r="B109" i="10" s="1"/>
  <c r="B110" i="10" s="1"/>
  <c r="B111" i="10" s="1"/>
  <c r="B112" i="10" s="1"/>
  <c r="B113" i="10" s="1"/>
  <c r="B114" i="10" s="1"/>
  <c r="B115" i="10" s="1"/>
  <c r="B116" i="10" s="1"/>
  <c r="B117" i="10" s="1"/>
  <c r="B118" i="10" s="1"/>
  <c r="B119" i="10" s="1"/>
  <c r="B120" i="10" s="1"/>
  <c r="B121" i="10" s="1"/>
  <c r="B122" i="10" s="1"/>
  <c r="B123" i="10" s="1"/>
  <c r="B124" i="10" s="1"/>
  <c r="B125" i="10" s="1"/>
  <c r="B126" i="10" s="1"/>
  <c r="B127" i="10" s="1"/>
  <c r="B128" i="10" s="1"/>
  <c r="B129" i="10" s="1"/>
  <c r="B130" i="10" s="1"/>
  <c r="B131" i="10" s="1"/>
  <c r="B132" i="10" s="1"/>
  <c r="B133" i="10" s="1"/>
  <c r="B134" i="10" s="1"/>
  <c r="B135" i="10" s="1"/>
  <c r="B136" i="10" s="1"/>
  <c r="B137" i="10" s="1"/>
  <c r="B138" i="10" s="1"/>
  <c r="B139" i="10" s="1"/>
  <c r="B140" i="10" s="1"/>
  <c r="B141" i="10" s="1"/>
  <c r="B142" i="10" s="1"/>
  <c r="B143" i="10" s="1"/>
  <c r="B144" i="10" s="1"/>
  <c r="B145" i="10" s="1"/>
  <c r="B146" i="10" s="1"/>
  <c r="B147" i="10" s="1"/>
  <c r="B148" i="10" s="1"/>
  <c r="B149" i="10" s="1"/>
  <c r="B150" i="10" s="1"/>
  <c r="B151" i="10" s="1"/>
  <c r="B152" i="10" s="1"/>
  <c r="B153" i="10" s="1"/>
  <c r="B154" i="10" s="1"/>
  <c r="B155" i="10" s="1"/>
  <c r="B156" i="10" s="1"/>
  <c r="B157" i="10" s="1"/>
  <c r="B158" i="10" s="1"/>
  <c r="B159" i="10" s="1"/>
  <c r="B160" i="10" s="1"/>
  <c r="B161" i="10" s="1"/>
  <c r="B162" i="10" s="1"/>
  <c r="B163" i="10" s="1"/>
  <c r="B164" i="10" s="1"/>
  <c r="B165" i="10" s="1"/>
  <c r="B166" i="10" s="1"/>
  <c r="B167" i="10" s="1"/>
  <c r="B168" i="10" s="1"/>
  <c r="B169" i="10" s="1"/>
  <c r="B170" i="10" s="1"/>
  <c r="B171" i="10" s="1"/>
  <c r="B172" i="10" s="1"/>
  <c r="B173" i="10" s="1"/>
  <c r="B174" i="10" s="1"/>
  <c r="B175" i="10" s="1"/>
  <c r="B176" i="10" s="1"/>
  <c r="B177" i="10" s="1"/>
  <c r="B178" i="10" s="1"/>
  <c r="B179" i="10" s="1"/>
  <c r="B180" i="10" s="1"/>
  <c r="B181" i="10" s="1"/>
  <c r="B182" i="10" s="1"/>
  <c r="B183" i="10" s="1"/>
  <c r="B184" i="10" s="1"/>
  <c r="B185" i="10" s="1"/>
  <c r="B186" i="10" s="1"/>
  <c r="B187" i="10" s="1"/>
  <c r="B188" i="10" s="1"/>
  <c r="B189" i="10" s="1"/>
  <c r="B190" i="10" s="1"/>
  <c r="B191" i="10" s="1"/>
  <c r="B192" i="10" s="1"/>
  <c r="B193" i="10" s="1"/>
  <c r="B194" i="10" s="1"/>
  <c r="B195" i="10" s="1"/>
  <c r="B196" i="10" s="1"/>
  <c r="B197" i="10" s="1"/>
  <c r="B198" i="10" s="1"/>
  <c r="B199" i="10" s="1"/>
  <c r="B200" i="10" s="1"/>
  <c r="B201" i="10" s="1"/>
  <c r="B202" i="10" s="1"/>
  <c r="B203" i="10" s="1"/>
  <c r="B204" i="10" s="1"/>
  <c r="C104" i="10"/>
  <c r="C105" i="10" s="1"/>
  <c r="C106" i="10" s="1"/>
  <c r="C107" i="10" s="1"/>
  <c r="C108" i="10" s="1"/>
  <c r="C109" i="10" s="1"/>
  <c r="C110" i="10" s="1"/>
  <c r="C111" i="10" s="1"/>
  <c r="C112" i="10" s="1"/>
  <c r="C113" i="10" s="1"/>
  <c r="C114" i="10" s="1"/>
  <c r="C115" i="10" s="1"/>
  <c r="C116" i="10" s="1"/>
  <c r="C117" i="10" s="1"/>
  <c r="C118" i="10" s="1"/>
  <c r="C119" i="10" s="1"/>
  <c r="C120" i="10" s="1"/>
  <c r="C121" i="10" s="1"/>
  <c r="C122" i="10" s="1"/>
  <c r="C123" i="10" s="1"/>
  <c r="C124" i="10" s="1"/>
  <c r="C125" i="10" s="1"/>
  <c r="C126" i="10" s="1"/>
  <c r="C127" i="10" s="1"/>
  <c r="C128" i="10" s="1"/>
  <c r="C129" i="10" s="1"/>
  <c r="C130" i="10" s="1"/>
  <c r="C131" i="10" s="1"/>
  <c r="C132" i="10" s="1"/>
  <c r="C133" i="10" s="1"/>
  <c r="C134" i="10" s="1"/>
  <c r="C135" i="10" s="1"/>
  <c r="C136" i="10" s="1"/>
  <c r="C137" i="10" s="1"/>
  <c r="C138" i="10" s="1"/>
  <c r="C139" i="10" s="1"/>
  <c r="C140" i="10" s="1"/>
  <c r="C141" i="10" s="1"/>
  <c r="C142" i="10" s="1"/>
  <c r="C143" i="10" s="1"/>
  <c r="C144" i="10" s="1"/>
  <c r="C145" i="10" s="1"/>
  <c r="C146" i="10" s="1"/>
  <c r="C147" i="10" s="1"/>
  <c r="C148" i="10" s="1"/>
  <c r="C149" i="10" s="1"/>
  <c r="C150" i="10" s="1"/>
  <c r="C151" i="10" s="1"/>
  <c r="C152" i="10" s="1"/>
  <c r="C153" i="10" s="1"/>
  <c r="C154" i="10" s="1"/>
  <c r="C155" i="10" s="1"/>
  <c r="C156" i="10" s="1"/>
  <c r="C157" i="10" s="1"/>
  <c r="C158" i="10" s="1"/>
  <c r="C159" i="10" s="1"/>
  <c r="C160" i="10" s="1"/>
  <c r="C161" i="10" s="1"/>
  <c r="C162" i="10" s="1"/>
  <c r="C163" i="10" s="1"/>
  <c r="C164" i="10" s="1"/>
  <c r="C165" i="10" s="1"/>
  <c r="C166" i="10" s="1"/>
  <c r="C167" i="10" s="1"/>
  <c r="C168" i="10" s="1"/>
  <c r="C169" i="10" s="1"/>
  <c r="C170" i="10" s="1"/>
  <c r="C171" i="10" s="1"/>
  <c r="C172" i="10" s="1"/>
  <c r="C173" i="10" s="1"/>
  <c r="C174" i="10" s="1"/>
  <c r="C175" i="10" s="1"/>
  <c r="C176" i="10" s="1"/>
  <c r="C177" i="10" s="1"/>
  <c r="C178" i="10" s="1"/>
  <c r="C179" i="10" s="1"/>
  <c r="C180" i="10" s="1"/>
  <c r="C181" i="10" s="1"/>
  <c r="C182" i="10" s="1"/>
  <c r="C183" i="10" s="1"/>
  <c r="C184" i="10" s="1"/>
  <c r="C185" i="10" s="1"/>
  <c r="C186" i="10" s="1"/>
  <c r="C187" i="10" s="1"/>
  <c r="C188" i="10" s="1"/>
  <c r="C189" i="10" s="1"/>
  <c r="C190" i="10" s="1"/>
  <c r="C191" i="10" s="1"/>
  <c r="C192" i="10" s="1"/>
  <c r="C193" i="10" s="1"/>
  <c r="C194" i="10" s="1"/>
  <c r="C195" i="10" s="1"/>
  <c r="C196" i="10" s="1"/>
  <c r="C197" i="10" s="1"/>
  <c r="C198" i="10" s="1"/>
  <c r="C199" i="10" s="1"/>
  <c r="C200" i="10" s="1"/>
  <c r="C201" i="10" s="1"/>
  <c r="C202" i="10" s="1"/>
  <c r="C203" i="10" s="1"/>
  <c r="C204" i="10" s="1"/>
  <c r="D104" i="10"/>
  <c r="D105" i="10" s="1"/>
  <c r="D106" i="10" s="1"/>
  <c r="D107" i="10" s="1"/>
  <c r="D108" i="10" s="1"/>
  <c r="D109" i="10" s="1"/>
  <c r="D110" i="10" s="1"/>
  <c r="D111" i="10" s="1"/>
  <c r="D112" i="10" s="1"/>
  <c r="D113" i="10" s="1"/>
  <c r="D114" i="10" s="1"/>
  <c r="D115" i="10" s="1"/>
  <c r="D116" i="10" s="1"/>
  <c r="D117" i="10" s="1"/>
  <c r="D118" i="10" s="1"/>
  <c r="D119" i="10" s="1"/>
  <c r="D120" i="10" s="1"/>
  <c r="D121" i="10" s="1"/>
  <c r="D122" i="10" s="1"/>
  <c r="D123" i="10" s="1"/>
  <c r="D124" i="10" s="1"/>
  <c r="D125" i="10" s="1"/>
  <c r="D126" i="10" s="1"/>
  <c r="D127" i="10" s="1"/>
  <c r="D128" i="10" s="1"/>
  <c r="D129" i="10" s="1"/>
  <c r="D130" i="10" s="1"/>
  <c r="D131" i="10" s="1"/>
  <c r="D132" i="10" s="1"/>
  <c r="D133" i="10" s="1"/>
  <c r="D134" i="10" s="1"/>
  <c r="D135" i="10" s="1"/>
  <c r="D136" i="10" s="1"/>
  <c r="D137" i="10" s="1"/>
  <c r="D138" i="10" s="1"/>
  <c r="D139" i="10" s="1"/>
  <c r="D140" i="10" s="1"/>
  <c r="D141" i="10" s="1"/>
  <c r="D142" i="10" s="1"/>
  <c r="D143" i="10" s="1"/>
  <c r="D144" i="10" s="1"/>
  <c r="D145" i="10" s="1"/>
  <c r="D146" i="10" s="1"/>
  <c r="D147" i="10" s="1"/>
  <c r="D148" i="10" s="1"/>
  <c r="D149" i="10" s="1"/>
  <c r="D150" i="10" s="1"/>
  <c r="D151" i="10" s="1"/>
  <c r="D152" i="10" s="1"/>
  <c r="D153" i="10" s="1"/>
  <c r="D154" i="10" s="1"/>
  <c r="D155" i="10" s="1"/>
  <c r="D156" i="10" s="1"/>
  <c r="D157" i="10" s="1"/>
  <c r="D158" i="10" s="1"/>
  <c r="D159" i="10" s="1"/>
  <c r="D160" i="10" s="1"/>
  <c r="D161" i="10" s="1"/>
  <c r="D162" i="10" s="1"/>
  <c r="D163" i="10" s="1"/>
  <c r="D164" i="10" s="1"/>
  <c r="D165" i="10" s="1"/>
  <c r="D166" i="10" s="1"/>
  <c r="D167" i="10" s="1"/>
  <c r="D168" i="10" s="1"/>
  <c r="D169" i="10" s="1"/>
  <c r="D170" i="10" s="1"/>
  <c r="D171" i="10" s="1"/>
  <c r="D172" i="10" s="1"/>
  <c r="D173" i="10" s="1"/>
  <c r="D174" i="10" s="1"/>
  <c r="D175" i="10" s="1"/>
  <c r="D176" i="10" s="1"/>
  <c r="D177" i="10" s="1"/>
  <c r="D178" i="10" s="1"/>
  <c r="D179" i="10" s="1"/>
  <c r="D180" i="10" s="1"/>
  <c r="D181" i="10" s="1"/>
  <c r="D182" i="10" s="1"/>
  <c r="D183" i="10" s="1"/>
  <c r="D184" i="10" s="1"/>
  <c r="D185" i="10" s="1"/>
  <c r="D186" i="10" s="1"/>
  <c r="D187" i="10" s="1"/>
  <c r="D188" i="10" s="1"/>
  <c r="D189" i="10" s="1"/>
  <c r="D190" i="10" s="1"/>
  <c r="D191" i="10" s="1"/>
  <c r="D192" i="10" s="1"/>
  <c r="D193" i="10" s="1"/>
  <c r="D194" i="10" s="1"/>
  <c r="D195" i="10" s="1"/>
  <c r="D196" i="10" s="1"/>
  <c r="D197" i="10" s="1"/>
  <c r="D198" i="10" s="1"/>
  <c r="D199" i="10" s="1"/>
  <c r="D200" i="10" s="1"/>
  <c r="D201" i="10" s="1"/>
  <c r="D202" i="10" s="1"/>
  <c r="D203" i="10" s="1"/>
  <c r="D204" i="10" s="1"/>
  <c r="AA63" i="10"/>
  <c r="Z63" i="10"/>
  <c r="Y63" i="10"/>
  <c r="AA62" i="10"/>
  <c r="Z62" i="10"/>
  <c r="Y62" i="10"/>
  <c r="AA61" i="10"/>
  <c r="Z61" i="10"/>
  <c r="Y61" i="10"/>
  <c r="AA60" i="10"/>
  <c r="Z60" i="10"/>
  <c r="Y60" i="10"/>
  <c r="AA59" i="10"/>
  <c r="Z59" i="10"/>
  <c r="Y59" i="10"/>
  <c r="AA58" i="10"/>
  <c r="Z58" i="10"/>
  <c r="Y58" i="10"/>
  <c r="AA57" i="10"/>
  <c r="Z57" i="10"/>
  <c r="Y57" i="10"/>
  <c r="AA56" i="10"/>
  <c r="Z56" i="10"/>
  <c r="Y56" i="10"/>
  <c r="AA55" i="10"/>
  <c r="Z55" i="10"/>
  <c r="Y55" i="10"/>
  <c r="AA54" i="10"/>
  <c r="Z54" i="10"/>
  <c r="Y54" i="10"/>
  <c r="AA53" i="10"/>
  <c r="Z53" i="10"/>
  <c r="Y53" i="10"/>
  <c r="AA52" i="10"/>
  <c r="Z52" i="10"/>
  <c r="Y52" i="10"/>
  <c r="AA51" i="10"/>
  <c r="Z51" i="10"/>
  <c r="Y51" i="10"/>
  <c r="AA50" i="10"/>
  <c r="Z50" i="10"/>
  <c r="Y50" i="10"/>
  <c r="AA49" i="10"/>
  <c r="Z49" i="10"/>
  <c r="Y49" i="10"/>
  <c r="AA48" i="10"/>
  <c r="Z48" i="10"/>
  <c r="Y48" i="10"/>
  <c r="AA47" i="10"/>
  <c r="Z47" i="10"/>
  <c r="Y47" i="10"/>
  <c r="AA46" i="10"/>
  <c r="Z46" i="10"/>
  <c r="Y46" i="10"/>
  <c r="AA45" i="10"/>
  <c r="Z45" i="10"/>
  <c r="Y45" i="10"/>
  <c r="AA44" i="10"/>
  <c r="Z44" i="10"/>
  <c r="Y44" i="10"/>
  <c r="AA43" i="10"/>
  <c r="Z43" i="10"/>
  <c r="Y43" i="10"/>
  <c r="AA42" i="10"/>
  <c r="Z42" i="10"/>
  <c r="Y42" i="10"/>
  <c r="AA41" i="10"/>
  <c r="Z41" i="10"/>
  <c r="Y41" i="10"/>
  <c r="AA40" i="10"/>
  <c r="Z40" i="10"/>
  <c r="Y40" i="10"/>
  <c r="AA39" i="10"/>
  <c r="Z39" i="10"/>
  <c r="Y39" i="10"/>
  <c r="AA38" i="10"/>
  <c r="Z38" i="10"/>
  <c r="Y38" i="10"/>
  <c r="AA37" i="10"/>
  <c r="Z37" i="10"/>
  <c r="Y37" i="10"/>
  <c r="AA36" i="10"/>
  <c r="Z36" i="10"/>
  <c r="Y36" i="10"/>
  <c r="AA35" i="10"/>
  <c r="Z35" i="10"/>
  <c r="Y35" i="10"/>
  <c r="AA34" i="10"/>
  <c r="Z34" i="10"/>
  <c r="Y34" i="10"/>
  <c r="AA33" i="10"/>
  <c r="Z33" i="10"/>
  <c r="Y33" i="10"/>
  <c r="AA32" i="10"/>
  <c r="Z32" i="10"/>
  <c r="Y32" i="10"/>
  <c r="AA31" i="10"/>
  <c r="Z31" i="10"/>
  <c r="Y31" i="10"/>
  <c r="AA30" i="10"/>
  <c r="Z30" i="10"/>
  <c r="Y30" i="10"/>
  <c r="AA29" i="10"/>
  <c r="Z29" i="10"/>
  <c r="Y29" i="10"/>
  <c r="AA28" i="10"/>
  <c r="Z28" i="10"/>
  <c r="Y28" i="10"/>
  <c r="AA27" i="10"/>
  <c r="Z27" i="10"/>
  <c r="Y27" i="10"/>
  <c r="AA26" i="10"/>
  <c r="Z26" i="10"/>
  <c r="Y26" i="10"/>
  <c r="AA25" i="10"/>
  <c r="Z25" i="10"/>
  <c r="Y25" i="10"/>
  <c r="AA24" i="10"/>
  <c r="Z24" i="10"/>
  <c r="Y24" i="10"/>
  <c r="AA23" i="10"/>
  <c r="Z23" i="10"/>
  <c r="Y23" i="10"/>
  <c r="AA22" i="10"/>
  <c r="Z22" i="10"/>
  <c r="Y22" i="10"/>
  <c r="AA21" i="10"/>
  <c r="Z21" i="10"/>
  <c r="Y21" i="10"/>
  <c r="AA20" i="10"/>
  <c r="Z20" i="10"/>
  <c r="Y20" i="10"/>
  <c r="AA19" i="10"/>
  <c r="Z19" i="10"/>
  <c r="Y19" i="10"/>
  <c r="AA18" i="10"/>
  <c r="Z18" i="10"/>
  <c r="Y18" i="10"/>
  <c r="AA17" i="10"/>
  <c r="Z17" i="10"/>
  <c r="Y17" i="10"/>
  <c r="AA16" i="10"/>
  <c r="Z16" i="10"/>
  <c r="Y16" i="10"/>
  <c r="AA15" i="10"/>
  <c r="Z15" i="10"/>
  <c r="Y15" i="10"/>
  <c r="AA14" i="10"/>
  <c r="Z14" i="10"/>
  <c r="Y14" i="10"/>
  <c r="AA13" i="10"/>
  <c r="Z13" i="10"/>
  <c r="Y13" i="10"/>
  <c r="AA12" i="10"/>
  <c r="Z12" i="10"/>
  <c r="Y12" i="10"/>
  <c r="AA11" i="10"/>
  <c r="Z11" i="10"/>
  <c r="Y11" i="10"/>
  <c r="AA10" i="10"/>
  <c r="Z10" i="10"/>
  <c r="Y10" i="10"/>
  <c r="AA9" i="10"/>
  <c r="Z9" i="10"/>
  <c r="Y9" i="10"/>
  <c r="AA8" i="10"/>
  <c r="Z8" i="10"/>
  <c r="Y8" i="10"/>
  <c r="AA7" i="10"/>
  <c r="Z7" i="10"/>
  <c r="Y7" i="10"/>
  <c r="AA6" i="10"/>
  <c r="Z6" i="10"/>
  <c r="Y6" i="10"/>
  <c r="AA5" i="10"/>
  <c r="Z5" i="10"/>
  <c r="Y5" i="10"/>
  <c r="A5" i="10"/>
  <c r="L4" i="10"/>
  <c r="I4" i="10"/>
  <c r="I5" i="10" s="1"/>
  <c r="I6" i="10" s="1"/>
  <c r="I7" i="10" s="1"/>
  <c r="I8" i="10" s="1"/>
  <c r="I9" i="10" s="1"/>
  <c r="I10" i="10" s="1"/>
  <c r="I11" i="10" s="1"/>
  <c r="I12" i="10" s="1"/>
  <c r="I13" i="10" s="1"/>
  <c r="I14" i="10" s="1"/>
  <c r="I15" i="10" s="1"/>
  <c r="I16" i="10" s="1"/>
  <c r="I17" i="10" s="1"/>
  <c r="I18" i="10" s="1"/>
  <c r="I19" i="10" s="1"/>
  <c r="I20" i="10" s="1"/>
  <c r="I21" i="10" s="1"/>
  <c r="I22" i="10" s="1"/>
  <c r="I23" i="10" s="1"/>
  <c r="I24" i="10" s="1"/>
  <c r="I25" i="10" s="1"/>
  <c r="I26" i="10" s="1"/>
  <c r="I27" i="10" s="1"/>
  <c r="I28" i="10" s="1"/>
  <c r="I29" i="10" s="1"/>
  <c r="I30" i="10" s="1"/>
  <c r="I31" i="10" s="1"/>
  <c r="I32" i="10" s="1"/>
  <c r="I33" i="10" s="1"/>
  <c r="I34" i="10" s="1"/>
  <c r="I35" i="10" s="1"/>
  <c r="I36" i="10" s="1"/>
  <c r="I37" i="10" s="1"/>
  <c r="I38" i="10" s="1"/>
  <c r="I39" i="10" s="1"/>
  <c r="I40" i="10" s="1"/>
  <c r="I41" i="10" s="1"/>
  <c r="I42" i="10" s="1"/>
  <c r="I43" i="10" s="1"/>
  <c r="I44" i="10" s="1"/>
  <c r="I45" i="10" s="1"/>
  <c r="I46" i="10" s="1"/>
  <c r="I47" i="10" s="1"/>
  <c r="I48" i="10" s="1"/>
  <c r="I49" i="10" s="1"/>
  <c r="I50" i="10" s="1"/>
  <c r="I51" i="10" s="1"/>
  <c r="I52" i="10" s="1"/>
  <c r="I53" i="10" s="1"/>
  <c r="I54" i="10" s="1"/>
  <c r="I55" i="10" s="1"/>
  <c r="I56" i="10" s="1"/>
  <c r="I57" i="10" s="1"/>
  <c r="I58" i="10" s="1"/>
  <c r="I59" i="10" s="1"/>
  <c r="I60" i="10" s="1"/>
  <c r="I61" i="10" s="1"/>
  <c r="I62" i="10" s="1"/>
  <c r="I63" i="10" s="1"/>
  <c r="I64" i="10" s="1"/>
  <c r="I65" i="10" s="1"/>
  <c r="I66" i="10" s="1"/>
  <c r="I67" i="10" s="1"/>
  <c r="I68" i="10" s="1"/>
  <c r="I69" i="10" s="1"/>
  <c r="I70" i="10" s="1"/>
  <c r="I71" i="10" s="1"/>
  <c r="I72" i="10" s="1"/>
  <c r="I73" i="10" s="1"/>
  <c r="I74" i="10" s="1"/>
  <c r="I75" i="10" s="1"/>
  <c r="I76" i="10" s="1"/>
  <c r="I77" i="10" s="1"/>
  <c r="I78" i="10" s="1"/>
  <c r="I79" i="10" s="1"/>
  <c r="I80" i="10" s="1"/>
  <c r="I81" i="10" s="1"/>
  <c r="I82" i="10" s="1"/>
  <c r="I83" i="10" s="1"/>
  <c r="I84" i="10" s="1"/>
  <c r="I85" i="10" s="1"/>
  <c r="I86" i="10" s="1"/>
  <c r="I87" i="10" s="1"/>
  <c r="I88" i="10" s="1"/>
  <c r="I89" i="10" s="1"/>
  <c r="I90" i="10" s="1"/>
  <c r="I91" i="10" s="1"/>
  <c r="I92" i="10" s="1"/>
  <c r="I93" i="10" s="1"/>
  <c r="I94" i="10" s="1"/>
  <c r="I95" i="10" s="1"/>
  <c r="I96" i="10" s="1"/>
  <c r="I97" i="10" s="1"/>
  <c r="I98" i="10" s="1"/>
  <c r="I99" i="10" s="1"/>
  <c r="I100" i="10" s="1"/>
  <c r="I101" i="10" s="1"/>
  <c r="I102" i="10" s="1"/>
  <c r="I103" i="10" s="1"/>
  <c r="I104" i="10" s="1"/>
  <c r="I105" i="10" s="1"/>
  <c r="I106" i="10" s="1"/>
  <c r="I107" i="10" s="1"/>
  <c r="I108" i="10" s="1"/>
  <c r="I109" i="10" s="1"/>
  <c r="I110" i="10" s="1"/>
  <c r="I111" i="10" s="1"/>
  <c r="I112" i="10" s="1"/>
  <c r="I113" i="10" s="1"/>
  <c r="I114" i="10" s="1"/>
  <c r="I115" i="10" s="1"/>
  <c r="I116" i="10" s="1"/>
  <c r="I117" i="10" s="1"/>
  <c r="I118" i="10" s="1"/>
  <c r="I119" i="10" s="1"/>
  <c r="I120" i="10" s="1"/>
  <c r="I121" i="10" s="1"/>
  <c r="I122" i="10" s="1"/>
  <c r="I123" i="10" s="1"/>
  <c r="I124" i="10" s="1"/>
  <c r="I125" i="10" s="1"/>
  <c r="I126" i="10" s="1"/>
  <c r="I127" i="10" s="1"/>
  <c r="I128" i="10" s="1"/>
  <c r="I129" i="10" s="1"/>
  <c r="I130" i="10" s="1"/>
  <c r="I131" i="10" s="1"/>
  <c r="I132" i="10" s="1"/>
  <c r="I133" i="10" s="1"/>
  <c r="I134" i="10" s="1"/>
  <c r="I135" i="10" s="1"/>
  <c r="I136" i="10" s="1"/>
  <c r="I137" i="10" s="1"/>
  <c r="I138" i="10" s="1"/>
  <c r="I139" i="10" s="1"/>
  <c r="I140" i="10" s="1"/>
  <c r="I141" i="10" s="1"/>
  <c r="I142" i="10" s="1"/>
  <c r="I143" i="10" s="1"/>
  <c r="I144" i="10" s="1"/>
  <c r="I145" i="10" s="1"/>
  <c r="I146" i="10" s="1"/>
  <c r="I147" i="10" s="1"/>
  <c r="I148" i="10" s="1"/>
  <c r="I149" i="10" s="1"/>
  <c r="I150" i="10" s="1"/>
  <c r="I151" i="10" s="1"/>
  <c r="I152" i="10" s="1"/>
  <c r="I153" i="10" s="1"/>
  <c r="I154" i="10" s="1"/>
  <c r="I155" i="10" s="1"/>
  <c r="I156" i="10" s="1"/>
  <c r="I157" i="10" s="1"/>
  <c r="I158" i="10" s="1"/>
  <c r="I159" i="10" s="1"/>
  <c r="I160" i="10" s="1"/>
  <c r="I161" i="10" s="1"/>
  <c r="I162" i="10" s="1"/>
  <c r="I163" i="10" s="1"/>
  <c r="I164" i="10" s="1"/>
  <c r="I165" i="10" s="1"/>
  <c r="I166" i="10" s="1"/>
  <c r="I167" i="10" s="1"/>
  <c r="I168" i="10" s="1"/>
  <c r="I169" i="10" s="1"/>
  <c r="I170" i="10" s="1"/>
  <c r="I171" i="10" s="1"/>
  <c r="I172" i="10" s="1"/>
  <c r="I173" i="10" s="1"/>
  <c r="I174" i="10" s="1"/>
  <c r="I175" i="10" s="1"/>
  <c r="I176" i="10" s="1"/>
  <c r="I177" i="10" s="1"/>
  <c r="I178" i="10" s="1"/>
  <c r="I179" i="10" s="1"/>
  <c r="I180" i="10" s="1"/>
  <c r="I181" i="10" s="1"/>
  <c r="I182" i="10" s="1"/>
  <c r="I183" i="10" s="1"/>
  <c r="I184" i="10" s="1"/>
  <c r="I185" i="10" s="1"/>
  <c r="I186" i="10" s="1"/>
  <c r="I187" i="10" s="1"/>
  <c r="I188" i="10" s="1"/>
  <c r="I189" i="10" s="1"/>
  <c r="I190" i="10" s="1"/>
  <c r="I191" i="10" s="1"/>
  <c r="I192" i="10" s="1"/>
  <c r="I193" i="10" s="1"/>
  <c r="I194" i="10" s="1"/>
  <c r="I195" i="10" s="1"/>
  <c r="I196" i="10" s="1"/>
  <c r="I197" i="10" s="1"/>
  <c r="I198" i="10" s="1"/>
  <c r="I199" i="10" s="1"/>
  <c r="I200" i="10" s="1"/>
  <c r="I201" i="10" s="1"/>
  <c r="I202" i="10" s="1"/>
  <c r="I203" i="10" s="1"/>
  <c r="I204" i="10" s="1"/>
  <c r="A5" i="6"/>
  <c r="Q5" i="6" l="1"/>
  <c r="J8" i="6"/>
  <c r="U4" i="6"/>
  <c r="V4" i="6"/>
  <c r="D19" i="1"/>
  <c r="D18" i="1"/>
  <c r="C32" i="11"/>
  <c r="C47" i="11"/>
  <c r="B58" i="11"/>
  <c r="A8" i="11"/>
  <c r="B49" i="11"/>
  <c r="D48" i="11"/>
  <c r="D32" i="11"/>
  <c r="C38" i="11"/>
  <c r="D39" i="11"/>
  <c r="B33" i="11"/>
  <c r="B38" i="11"/>
  <c r="C27" i="11"/>
  <c r="D57" i="11"/>
  <c r="C57" i="11"/>
  <c r="A6" i="10"/>
  <c r="A6" i="6"/>
  <c r="B4" i="1"/>
  <c r="B50" i="1"/>
  <c r="H5" i="6" l="1"/>
  <c r="H6" i="6" s="1"/>
  <c r="H7" i="6" s="1"/>
  <c r="H8" i="6" s="1"/>
  <c r="G5" i="6"/>
  <c r="F5" i="6"/>
  <c r="Q6" i="6"/>
  <c r="J9" i="6"/>
  <c r="G5" i="11"/>
  <c r="G6" i="11" s="1"/>
  <c r="G7" i="11" s="1"/>
  <c r="G8" i="11" s="1"/>
  <c r="G9" i="11" s="1"/>
  <c r="G10" i="11" s="1"/>
  <c r="G11" i="11" s="1"/>
  <c r="G12" i="11" s="1"/>
  <c r="G13" i="11" s="1"/>
  <c r="G14" i="11" s="1"/>
  <c r="G15" i="11" s="1"/>
  <c r="G16" i="11" s="1"/>
  <c r="G17" i="11" s="1"/>
  <c r="G18" i="11" s="1"/>
  <c r="G19" i="11" s="1"/>
  <c r="G20" i="11" s="1"/>
  <c r="G21" i="11" s="1"/>
  <c r="G22" i="11" s="1"/>
  <c r="G23" i="11" s="1"/>
  <c r="G24" i="11" s="1"/>
  <c r="G25" i="11" s="1"/>
  <c r="G26" i="11" s="1"/>
  <c r="G27" i="11" s="1"/>
  <c r="G28" i="11" s="1"/>
  <c r="G29" i="11" s="1"/>
  <c r="G30" i="11" s="1"/>
  <c r="G31" i="11" s="1"/>
  <c r="G32" i="11" s="1"/>
  <c r="G33" i="11" s="1"/>
  <c r="H5" i="11"/>
  <c r="H6" i="11" s="1"/>
  <c r="H7" i="11" s="1"/>
  <c r="H8" i="11" s="1"/>
  <c r="H9" i="11" s="1"/>
  <c r="H10" i="11" s="1"/>
  <c r="H11" i="11" s="1"/>
  <c r="H12" i="11" s="1"/>
  <c r="H13" i="11" s="1"/>
  <c r="H14" i="11" s="1"/>
  <c r="H15" i="11" s="1"/>
  <c r="H16" i="11" s="1"/>
  <c r="H17" i="11" s="1"/>
  <c r="H18" i="11" s="1"/>
  <c r="H19" i="11" s="1"/>
  <c r="H20" i="11" s="1"/>
  <c r="H21" i="11" s="1"/>
  <c r="H22" i="11" s="1"/>
  <c r="H23" i="11" s="1"/>
  <c r="H24" i="11" s="1"/>
  <c r="E5" i="11"/>
  <c r="E6" i="11" s="1"/>
  <c r="E7" i="11" s="1"/>
  <c r="E8" i="11" s="1"/>
  <c r="E9" i="11" s="1"/>
  <c r="E10" i="11" s="1"/>
  <c r="E11" i="11" s="1"/>
  <c r="E12" i="11" s="1"/>
  <c r="E13" i="11" s="1"/>
  <c r="E14" i="11" s="1"/>
  <c r="E15" i="11" s="1"/>
  <c r="E16" i="11" s="1"/>
  <c r="E17" i="11" s="1"/>
  <c r="E18" i="11" s="1"/>
  <c r="E19" i="11" s="1"/>
  <c r="E20" i="11" s="1"/>
  <c r="E21" i="11" s="1"/>
  <c r="E22" i="11" s="1"/>
  <c r="E23" i="11" s="1"/>
  <c r="E24" i="11" s="1"/>
  <c r="E25" i="11" s="1"/>
  <c r="E26" i="11" s="1"/>
  <c r="E27" i="11" s="1"/>
  <c r="E28" i="11" s="1"/>
  <c r="E29" i="11" s="1"/>
  <c r="E30" i="11" s="1"/>
  <c r="E31" i="11" s="1"/>
  <c r="E32" i="11" s="1"/>
  <c r="E33" i="11" s="1"/>
  <c r="E34" i="11" s="1"/>
  <c r="E35" i="11" s="1"/>
  <c r="E36" i="11" s="1"/>
  <c r="E37" i="11" s="1"/>
  <c r="E38" i="11" s="1"/>
  <c r="E39" i="11" s="1"/>
  <c r="F5" i="11"/>
  <c r="F6" i="11" s="1"/>
  <c r="F7" i="11" s="1"/>
  <c r="F8" i="11" s="1"/>
  <c r="F9" i="11" s="1"/>
  <c r="F10" i="11" s="1"/>
  <c r="F11" i="11" s="1"/>
  <c r="F12" i="11" s="1"/>
  <c r="F13" i="11" s="1"/>
  <c r="F14" i="11" s="1"/>
  <c r="F15" i="11" s="1"/>
  <c r="F16" i="11" s="1"/>
  <c r="F17" i="11" s="1"/>
  <c r="F18" i="11" s="1"/>
  <c r="F19" i="11" s="1"/>
  <c r="F20" i="11" s="1"/>
  <c r="F21" i="11" s="1"/>
  <c r="F22" i="11" s="1"/>
  <c r="F23" i="11" s="1"/>
  <c r="F24" i="11" s="1"/>
  <c r="F25" i="11" s="1"/>
  <c r="F26" i="11" s="1"/>
  <c r="F27" i="11" s="1"/>
  <c r="F28" i="11" s="1"/>
  <c r="L5" i="11"/>
  <c r="L6" i="11" s="1"/>
  <c r="L7" i="11" s="1"/>
  <c r="L8" i="11" s="1"/>
  <c r="L9" i="11" s="1"/>
  <c r="L10" i="11" s="1"/>
  <c r="L11" i="11" s="1"/>
  <c r="L12" i="11" s="1"/>
  <c r="L13" i="11" s="1"/>
  <c r="L14" i="11" s="1"/>
  <c r="L15" i="11" s="1"/>
  <c r="L16" i="11" s="1"/>
  <c r="L17" i="11" s="1"/>
  <c r="L18" i="11" s="1"/>
  <c r="L19" i="11" s="1"/>
  <c r="L20" i="11" s="1"/>
  <c r="L21" i="11" s="1"/>
  <c r="L22" i="11" s="1"/>
  <c r="L23" i="11" s="1"/>
  <c r="L24" i="11" s="1"/>
  <c r="L25" i="11" s="1"/>
  <c r="L26" i="11" s="1"/>
  <c r="L27" i="11" s="1"/>
  <c r="L28" i="11" s="1"/>
  <c r="L29" i="11" s="1"/>
  <c r="L30" i="11" s="1"/>
  <c r="L31" i="11" s="1"/>
  <c r="L32" i="11" s="1"/>
  <c r="L33" i="11" s="1"/>
  <c r="L34" i="11" s="1"/>
  <c r="L35" i="11" s="1"/>
  <c r="L36" i="11" s="1"/>
  <c r="L37" i="11" s="1"/>
  <c r="L38" i="11" s="1"/>
  <c r="L39" i="11" s="1"/>
  <c r="L40" i="11" s="1"/>
  <c r="L41" i="11" s="1"/>
  <c r="L42" i="11" s="1"/>
  <c r="L43" i="11" s="1"/>
  <c r="L44" i="11" s="1"/>
  <c r="L45" i="11" s="1"/>
  <c r="L46" i="11" s="1"/>
  <c r="L47" i="11" s="1"/>
  <c r="L48" i="11" s="1"/>
  <c r="L49" i="11" s="1"/>
  <c r="L50" i="11" s="1"/>
  <c r="L51" i="11" s="1"/>
  <c r="L52" i="11" s="1"/>
  <c r="L53" i="11" s="1"/>
  <c r="L54" i="11" s="1"/>
  <c r="L55" i="11" s="1"/>
  <c r="L56" i="11" s="1"/>
  <c r="L57" i="11" s="1"/>
  <c r="L58" i="11" s="1"/>
  <c r="L59" i="11" s="1"/>
  <c r="L60" i="11" s="1"/>
  <c r="L61" i="11" s="1"/>
  <c r="L62" i="11" s="1"/>
  <c r="L63" i="11" s="1"/>
  <c r="L64" i="11" s="1"/>
  <c r="L65" i="11" s="1"/>
  <c r="L66" i="11" s="1"/>
  <c r="L67" i="11" s="1"/>
  <c r="L68" i="11" s="1"/>
  <c r="L69" i="11" s="1"/>
  <c r="L70" i="11" s="1"/>
  <c r="L71" i="11" s="1"/>
  <c r="L72" i="11" s="1"/>
  <c r="L73" i="11" s="1"/>
  <c r="L74" i="11" s="1"/>
  <c r="L75" i="11" s="1"/>
  <c r="L76" i="11" s="1"/>
  <c r="L77" i="11" s="1"/>
  <c r="L78" i="11" s="1"/>
  <c r="L79" i="11" s="1"/>
  <c r="L80" i="11" s="1"/>
  <c r="L81" i="11" s="1"/>
  <c r="L82" i="11" s="1"/>
  <c r="L83" i="11" s="1"/>
  <c r="L84" i="11" s="1"/>
  <c r="L85" i="11" s="1"/>
  <c r="L86" i="11" s="1"/>
  <c r="L87" i="11" s="1"/>
  <c r="L88" i="11" s="1"/>
  <c r="L89" i="11" s="1"/>
  <c r="L90" i="11" s="1"/>
  <c r="L91" i="11" s="1"/>
  <c r="L92" i="11" s="1"/>
  <c r="L93" i="11" s="1"/>
  <c r="L94" i="11" s="1"/>
  <c r="L95" i="11" s="1"/>
  <c r="L96" i="11" s="1"/>
  <c r="L97" i="11" s="1"/>
  <c r="L98" i="11" s="1"/>
  <c r="L99" i="11" s="1"/>
  <c r="L100" i="11" s="1"/>
  <c r="L101" i="11" s="1"/>
  <c r="L102" i="11" s="1"/>
  <c r="L103" i="11" s="1"/>
  <c r="L104" i="11" s="1"/>
  <c r="L105" i="11" s="1"/>
  <c r="L106" i="11" s="1"/>
  <c r="L107" i="11" s="1"/>
  <c r="L108" i="11" s="1"/>
  <c r="L109" i="11" s="1"/>
  <c r="L110" i="11" s="1"/>
  <c r="L111" i="11" s="1"/>
  <c r="L112" i="11" s="1"/>
  <c r="L113" i="11" s="1"/>
  <c r="L114" i="11" s="1"/>
  <c r="L115" i="11" s="1"/>
  <c r="L116" i="11" s="1"/>
  <c r="L117" i="11" s="1"/>
  <c r="L118" i="11" s="1"/>
  <c r="L119" i="11" s="1"/>
  <c r="L120" i="11" s="1"/>
  <c r="L121" i="11" s="1"/>
  <c r="L122" i="11" s="1"/>
  <c r="L123" i="11" s="1"/>
  <c r="L124" i="11" s="1"/>
  <c r="L125" i="11" s="1"/>
  <c r="L126" i="11" s="1"/>
  <c r="L127" i="11" s="1"/>
  <c r="L128" i="11" s="1"/>
  <c r="L129" i="11" s="1"/>
  <c r="L130" i="11" s="1"/>
  <c r="L131" i="11" s="1"/>
  <c r="L132" i="11" s="1"/>
  <c r="L133" i="11" s="1"/>
  <c r="L134" i="11" s="1"/>
  <c r="L135" i="11" s="1"/>
  <c r="L136" i="11" s="1"/>
  <c r="L137" i="11" s="1"/>
  <c r="L138" i="11" s="1"/>
  <c r="L139" i="11" s="1"/>
  <c r="L140" i="11" s="1"/>
  <c r="L141" i="11" s="1"/>
  <c r="L142" i="11" s="1"/>
  <c r="L143" i="11" s="1"/>
  <c r="L144" i="11" s="1"/>
  <c r="L145" i="11" s="1"/>
  <c r="L146" i="11" s="1"/>
  <c r="L147" i="11" s="1"/>
  <c r="L148" i="11" s="1"/>
  <c r="L149" i="11" s="1"/>
  <c r="L150" i="11" s="1"/>
  <c r="L151" i="11" s="1"/>
  <c r="L152" i="11" s="1"/>
  <c r="L153" i="11" s="1"/>
  <c r="L154" i="11" s="1"/>
  <c r="L155" i="11" s="1"/>
  <c r="L156" i="11" s="1"/>
  <c r="L157" i="11" s="1"/>
  <c r="L158" i="11" s="1"/>
  <c r="L159" i="11" s="1"/>
  <c r="L160" i="11" s="1"/>
  <c r="L161" i="11" s="1"/>
  <c r="L162" i="11" s="1"/>
  <c r="L163" i="11" s="1"/>
  <c r="L164" i="11" s="1"/>
  <c r="L165" i="11" s="1"/>
  <c r="L166" i="11" s="1"/>
  <c r="L167" i="11" s="1"/>
  <c r="L168" i="11" s="1"/>
  <c r="L169" i="11" s="1"/>
  <c r="L170" i="11" s="1"/>
  <c r="L171" i="11" s="1"/>
  <c r="L172" i="11" s="1"/>
  <c r="L173" i="11" s="1"/>
  <c r="L174" i="11" s="1"/>
  <c r="L175" i="11" s="1"/>
  <c r="L176" i="11" s="1"/>
  <c r="L177" i="11" s="1"/>
  <c r="L178" i="11" s="1"/>
  <c r="L179" i="11" s="1"/>
  <c r="L180" i="11" s="1"/>
  <c r="L181" i="11" s="1"/>
  <c r="L182" i="11" s="1"/>
  <c r="L183" i="11" s="1"/>
  <c r="L184" i="11" s="1"/>
  <c r="L185" i="11" s="1"/>
  <c r="L186" i="11" s="1"/>
  <c r="L187" i="11" s="1"/>
  <c r="L188" i="11" s="1"/>
  <c r="L189" i="11" s="1"/>
  <c r="L190" i="11" s="1"/>
  <c r="L191" i="11" s="1"/>
  <c r="L192" i="11" s="1"/>
  <c r="L193" i="11" s="1"/>
  <c r="L194" i="11" s="1"/>
  <c r="L195" i="11" s="1"/>
  <c r="L196" i="11" s="1"/>
  <c r="L197" i="11" s="1"/>
  <c r="L198" i="11" s="1"/>
  <c r="L199" i="11" s="1"/>
  <c r="L200" i="11" s="1"/>
  <c r="L201" i="11" s="1"/>
  <c r="L202" i="11" s="1"/>
  <c r="L203" i="11" s="1"/>
  <c r="L204" i="11" s="1"/>
  <c r="L205" i="11" s="1"/>
  <c r="L206" i="11" s="1"/>
  <c r="L207" i="11" s="1"/>
  <c r="L208" i="11" s="1"/>
  <c r="L209" i="11" s="1"/>
  <c r="L210" i="11" s="1"/>
  <c r="L211" i="11" s="1"/>
  <c r="L212" i="11" s="1"/>
  <c r="L213" i="11" s="1"/>
  <c r="L214" i="11" s="1"/>
  <c r="L215" i="11" s="1"/>
  <c r="L216" i="11" s="1"/>
  <c r="L217" i="11" s="1"/>
  <c r="L218" i="11" s="1"/>
  <c r="L219" i="11" s="1"/>
  <c r="L220" i="11" s="1"/>
  <c r="L221" i="11" s="1"/>
  <c r="L222" i="11" s="1"/>
  <c r="L223" i="11" s="1"/>
  <c r="L224" i="11" s="1"/>
  <c r="L225" i="11" s="1"/>
  <c r="L226" i="11" s="1"/>
  <c r="L227" i="11" s="1"/>
  <c r="L228" i="11" s="1"/>
  <c r="L229" i="11" s="1"/>
  <c r="L230" i="11" s="1"/>
  <c r="L231" i="11" s="1"/>
  <c r="L232" i="11" s="1"/>
  <c r="L233" i="11" s="1"/>
  <c r="L234" i="11" s="1"/>
  <c r="L235" i="11" s="1"/>
  <c r="L236" i="11" s="1"/>
  <c r="L237" i="11" s="1"/>
  <c r="L238" i="11" s="1"/>
  <c r="L239" i="11" s="1"/>
  <c r="L240" i="11" s="1"/>
  <c r="L241" i="11" s="1"/>
  <c r="L242" i="11" s="1"/>
  <c r="L243" i="11" s="1"/>
  <c r="L244" i="11" s="1"/>
  <c r="L245" i="11" s="1"/>
  <c r="L246" i="11" s="1"/>
  <c r="L247" i="11" s="1"/>
  <c r="L248" i="11" s="1"/>
  <c r="L249" i="11" s="1"/>
  <c r="L250" i="11" s="1"/>
  <c r="L251" i="11" s="1"/>
  <c r="L252" i="11" s="1"/>
  <c r="L253" i="11" s="1"/>
  <c r="L254" i="11" s="1"/>
  <c r="L255" i="11" s="1"/>
  <c r="L256" i="11" s="1"/>
  <c r="L257" i="11" s="1"/>
  <c r="L258" i="11" s="1"/>
  <c r="L259" i="11" s="1"/>
  <c r="L260" i="11" s="1"/>
  <c r="L261" i="11" s="1"/>
  <c r="L262" i="11" s="1"/>
  <c r="L263" i="11" s="1"/>
  <c r="L264" i="11" s="1"/>
  <c r="L265" i="11" s="1"/>
  <c r="L266" i="11" s="1"/>
  <c r="L267" i="11" s="1"/>
  <c r="L268" i="11" s="1"/>
  <c r="L269" i="11" s="1"/>
  <c r="L270" i="11" s="1"/>
  <c r="L271" i="11" s="1"/>
  <c r="L272" i="11" s="1"/>
  <c r="L273" i="11" s="1"/>
  <c r="L274" i="11" s="1"/>
  <c r="L275" i="11" s="1"/>
  <c r="L276" i="11" s="1"/>
  <c r="L277" i="11" s="1"/>
  <c r="L278" i="11" s="1"/>
  <c r="L279" i="11" s="1"/>
  <c r="L280" i="11" s="1"/>
  <c r="L281" i="11" s="1"/>
  <c r="L282" i="11" s="1"/>
  <c r="L283" i="11" s="1"/>
  <c r="L284" i="11" s="1"/>
  <c r="L285" i="11" s="1"/>
  <c r="L286" i="11" s="1"/>
  <c r="L287" i="11" s="1"/>
  <c r="L288" i="11" s="1"/>
  <c r="L289" i="11" s="1"/>
  <c r="L290" i="11" s="1"/>
  <c r="L291" i="11" s="1"/>
  <c r="L292" i="11" s="1"/>
  <c r="L293" i="11" s="1"/>
  <c r="L294" i="11" s="1"/>
  <c r="L295" i="11" s="1"/>
  <c r="L296" i="11" s="1"/>
  <c r="L297" i="11" s="1"/>
  <c r="L298" i="11" s="1"/>
  <c r="L299" i="11" s="1"/>
  <c r="L300" i="11" s="1"/>
  <c r="L301" i="11" s="1"/>
  <c r="L302" i="11" s="1"/>
  <c r="L303" i="11" s="1"/>
  <c r="L304" i="11" s="1"/>
  <c r="M4" i="11"/>
  <c r="C33" i="11"/>
  <c r="B39" i="11"/>
  <c r="C39" i="11"/>
  <c r="D33" i="11"/>
  <c r="C28" i="11"/>
  <c r="D49" i="11"/>
  <c r="B59" i="11"/>
  <c r="C58" i="11"/>
  <c r="C48" i="11"/>
  <c r="D58" i="11"/>
  <c r="D40" i="11"/>
  <c r="B50" i="11"/>
  <c r="A9" i="11"/>
  <c r="A7" i="10"/>
  <c r="A8" i="10" s="1"/>
  <c r="E29" i="1"/>
  <c r="B54" i="1"/>
  <c r="H5" i="10"/>
  <c r="H6" i="10" s="1"/>
  <c r="H7" i="10" s="1"/>
  <c r="H8" i="10" s="1"/>
  <c r="H9" i="10" s="1"/>
  <c r="H10" i="10" s="1"/>
  <c r="H11" i="10" s="1"/>
  <c r="H12" i="10" s="1"/>
  <c r="H13" i="10" s="1"/>
  <c r="H14" i="10" s="1"/>
  <c r="H15" i="10" s="1"/>
  <c r="H16" i="10" s="1"/>
  <c r="H17" i="10" s="1"/>
  <c r="H18" i="10" s="1"/>
  <c r="H19" i="10" s="1"/>
  <c r="H20" i="10" s="1"/>
  <c r="H21" i="10" s="1"/>
  <c r="H22" i="10" s="1"/>
  <c r="H23" i="10" s="1"/>
  <c r="H24" i="10" s="1"/>
  <c r="H25" i="10" s="1"/>
  <c r="H26" i="10" s="1"/>
  <c r="H27" i="10" s="1"/>
  <c r="H28" i="10" s="1"/>
  <c r="H29" i="10" s="1"/>
  <c r="H30" i="10" s="1"/>
  <c r="H31" i="10" s="1"/>
  <c r="H32" i="10" s="1"/>
  <c r="H33" i="10" s="1"/>
  <c r="H34" i="10" s="1"/>
  <c r="H35" i="10" s="1"/>
  <c r="H36" i="10" s="1"/>
  <c r="H37" i="10" s="1"/>
  <c r="H38" i="10" s="1"/>
  <c r="H39" i="10" s="1"/>
  <c r="H40" i="10" s="1"/>
  <c r="H41" i="10" s="1"/>
  <c r="H42" i="10" s="1"/>
  <c r="H43" i="10" s="1"/>
  <c r="H44" i="10" s="1"/>
  <c r="H45" i="10" s="1"/>
  <c r="H46" i="10" s="1"/>
  <c r="H47" i="10" s="1"/>
  <c r="H48" i="10" s="1"/>
  <c r="H49" i="10" s="1"/>
  <c r="H50" i="10" s="1"/>
  <c r="H51" i="10" s="1"/>
  <c r="H52" i="10" s="1"/>
  <c r="H53" i="10" s="1"/>
  <c r="H54" i="10" s="1"/>
  <c r="H55" i="10" s="1"/>
  <c r="H56" i="10" s="1"/>
  <c r="H57" i="10" s="1"/>
  <c r="H58" i="10" s="1"/>
  <c r="H59" i="10" s="1"/>
  <c r="H60" i="10" s="1"/>
  <c r="H61" i="10" s="1"/>
  <c r="H62" i="10" s="1"/>
  <c r="H63" i="10" s="1"/>
  <c r="H64" i="10" s="1"/>
  <c r="H65" i="10" s="1"/>
  <c r="H66" i="10" s="1"/>
  <c r="H67" i="10" s="1"/>
  <c r="H68" i="10" s="1"/>
  <c r="H69" i="10" s="1"/>
  <c r="H70" i="10" s="1"/>
  <c r="H71" i="10" s="1"/>
  <c r="H72" i="10" s="1"/>
  <c r="H73" i="10" s="1"/>
  <c r="H74" i="10" s="1"/>
  <c r="H75" i="10" s="1"/>
  <c r="H76" i="10" s="1"/>
  <c r="H77" i="10" s="1"/>
  <c r="H78" i="10" s="1"/>
  <c r="H79" i="10" s="1"/>
  <c r="H80" i="10" s="1"/>
  <c r="H81" i="10" s="1"/>
  <c r="H82" i="10" s="1"/>
  <c r="H83" i="10" s="1"/>
  <c r="H84" i="10" s="1"/>
  <c r="H85" i="10" s="1"/>
  <c r="H86" i="10" s="1"/>
  <c r="H87" i="10" s="1"/>
  <c r="H88" i="10" s="1"/>
  <c r="H89" i="10" s="1"/>
  <c r="H90" i="10" s="1"/>
  <c r="H91" i="10" s="1"/>
  <c r="H92" i="10" s="1"/>
  <c r="H93" i="10" s="1"/>
  <c r="H94" i="10" s="1"/>
  <c r="H95" i="10" s="1"/>
  <c r="H96" i="10" s="1"/>
  <c r="H97" i="10" s="1"/>
  <c r="H98" i="10" s="1"/>
  <c r="H99" i="10" s="1"/>
  <c r="H100" i="10" s="1"/>
  <c r="H101" i="10" s="1"/>
  <c r="H102" i="10" s="1"/>
  <c r="H103" i="10" s="1"/>
  <c r="H104" i="10" s="1"/>
  <c r="H105" i="10" s="1"/>
  <c r="H106" i="10" s="1"/>
  <c r="H107" i="10" s="1"/>
  <c r="H108" i="10" s="1"/>
  <c r="H109" i="10" s="1"/>
  <c r="H110" i="10" s="1"/>
  <c r="H111" i="10" s="1"/>
  <c r="H112" i="10" s="1"/>
  <c r="H113" i="10" s="1"/>
  <c r="H114" i="10" s="1"/>
  <c r="H115" i="10" s="1"/>
  <c r="H116" i="10" s="1"/>
  <c r="H117" i="10" s="1"/>
  <c r="H118" i="10" s="1"/>
  <c r="H119" i="10" s="1"/>
  <c r="H120" i="10" s="1"/>
  <c r="H121" i="10" s="1"/>
  <c r="H122" i="10" s="1"/>
  <c r="H123" i="10" s="1"/>
  <c r="H124" i="10" s="1"/>
  <c r="H125" i="10" s="1"/>
  <c r="H126" i="10" s="1"/>
  <c r="H127" i="10" s="1"/>
  <c r="H128" i="10" s="1"/>
  <c r="H129" i="10" s="1"/>
  <c r="H130" i="10" s="1"/>
  <c r="H131" i="10" s="1"/>
  <c r="H132" i="10" s="1"/>
  <c r="H133" i="10" s="1"/>
  <c r="H134" i="10" s="1"/>
  <c r="H135" i="10" s="1"/>
  <c r="H136" i="10" s="1"/>
  <c r="H137" i="10" s="1"/>
  <c r="H138" i="10" s="1"/>
  <c r="H139" i="10" s="1"/>
  <c r="H140" i="10" s="1"/>
  <c r="H141" i="10" s="1"/>
  <c r="H142" i="10" s="1"/>
  <c r="H143" i="10" s="1"/>
  <c r="H144" i="10" s="1"/>
  <c r="H145" i="10" s="1"/>
  <c r="H146" i="10" s="1"/>
  <c r="H147" i="10" s="1"/>
  <c r="H148" i="10" s="1"/>
  <c r="H149" i="10" s="1"/>
  <c r="H150" i="10" s="1"/>
  <c r="H151" i="10" s="1"/>
  <c r="H152" i="10" s="1"/>
  <c r="H153" i="10" s="1"/>
  <c r="H154" i="10" s="1"/>
  <c r="H155" i="10" s="1"/>
  <c r="H156" i="10" s="1"/>
  <c r="H157" i="10" s="1"/>
  <c r="H158" i="10" s="1"/>
  <c r="H159" i="10" s="1"/>
  <c r="H160" i="10" s="1"/>
  <c r="H161" i="10" s="1"/>
  <c r="H162" i="10" s="1"/>
  <c r="H163" i="10" s="1"/>
  <c r="H164" i="10" s="1"/>
  <c r="H165" i="10" s="1"/>
  <c r="H166" i="10" s="1"/>
  <c r="H167" i="10" s="1"/>
  <c r="H168" i="10" s="1"/>
  <c r="H169" i="10" s="1"/>
  <c r="H170" i="10" s="1"/>
  <c r="H171" i="10" s="1"/>
  <c r="H172" i="10" s="1"/>
  <c r="H173" i="10" s="1"/>
  <c r="H174" i="10" s="1"/>
  <c r="H175" i="10" s="1"/>
  <c r="H176" i="10" s="1"/>
  <c r="H177" i="10" s="1"/>
  <c r="H178" i="10" s="1"/>
  <c r="H179" i="10" s="1"/>
  <c r="H180" i="10" s="1"/>
  <c r="H181" i="10" s="1"/>
  <c r="H182" i="10" s="1"/>
  <c r="H183" i="10" s="1"/>
  <c r="H184" i="10" s="1"/>
  <c r="H185" i="10" s="1"/>
  <c r="H186" i="10" s="1"/>
  <c r="H187" i="10" s="1"/>
  <c r="H188" i="10" s="1"/>
  <c r="H189" i="10" s="1"/>
  <c r="H190" i="10" s="1"/>
  <c r="H191" i="10" s="1"/>
  <c r="H192" i="10" s="1"/>
  <c r="H193" i="10" s="1"/>
  <c r="H194" i="10" s="1"/>
  <c r="H195" i="10" s="1"/>
  <c r="H196" i="10" s="1"/>
  <c r="H197" i="10" s="1"/>
  <c r="H198" i="10" s="1"/>
  <c r="H199" i="10" s="1"/>
  <c r="H200" i="10" s="1"/>
  <c r="H201" i="10" s="1"/>
  <c r="H202" i="10" s="1"/>
  <c r="H203" i="10" s="1"/>
  <c r="H204" i="10" s="1"/>
  <c r="A7" i="6"/>
  <c r="B55" i="1"/>
  <c r="F6" i="6" l="1"/>
  <c r="F7" i="6" s="1"/>
  <c r="G6" i="6"/>
  <c r="H9" i="6"/>
  <c r="Q8" i="11"/>
  <c r="Y4" i="6"/>
  <c r="Y5" i="6"/>
  <c r="Y6" i="6"/>
  <c r="Y7" i="6"/>
  <c r="Q7" i="6"/>
  <c r="J10" i="6"/>
  <c r="Q4" i="11"/>
  <c r="Q6" i="11"/>
  <c r="Q5" i="11"/>
  <c r="Q7" i="11"/>
  <c r="G34" i="11"/>
  <c r="G35" i="11" s="1"/>
  <c r="G36" i="11" s="1"/>
  <c r="G37" i="11" s="1"/>
  <c r="G38" i="11" s="1"/>
  <c r="G39" i="11" s="1"/>
  <c r="G40" i="11" s="1"/>
  <c r="G41" i="11" s="1"/>
  <c r="F29" i="11"/>
  <c r="F30" i="11" s="1"/>
  <c r="F31" i="11" s="1"/>
  <c r="F32" i="11" s="1"/>
  <c r="F33" i="11" s="1"/>
  <c r="F34" i="11" s="1"/>
  <c r="F35" i="11" s="1"/>
  <c r="F36" i="11" s="1"/>
  <c r="F37" i="11" s="1"/>
  <c r="F38" i="11" s="1"/>
  <c r="F39" i="11" s="1"/>
  <c r="F40" i="11" s="1"/>
  <c r="E40" i="11"/>
  <c r="Q9" i="11"/>
  <c r="A10" i="11"/>
  <c r="D41" i="11"/>
  <c r="C49" i="11"/>
  <c r="B40" i="11"/>
  <c r="D50" i="11"/>
  <c r="B51" i="11"/>
  <c r="D59" i="11"/>
  <c r="C59" i="11"/>
  <c r="B60" i="11"/>
  <c r="C40" i="11"/>
  <c r="B56" i="1"/>
  <c r="B57" i="1"/>
  <c r="V4" i="10"/>
  <c r="V5" i="10"/>
  <c r="V6" i="10"/>
  <c r="V7" i="10"/>
  <c r="A8" i="6"/>
  <c r="V8" i="10"/>
  <c r="A9" i="10"/>
  <c r="G7" i="6" l="1"/>
  <c r="H10" i="6"/>
  <c r="H11" i="6" s="1"/>
  <c r="F8" i="6"/>
  <c r="Y8" i="6"/>
  <c r="Q8" i="6"/>
  <c r="J11" i="6"/>
  <c r="G42" i="11"/>
  <c r="E41" i="11"/>
  <c r="F41" i="11"/>
  <c r="Q10" i="11"/>
  <c r="A11" i="11"/>
  <c r="B41" i="11"/>
  <c r="C60" i="11"/>
  <c r="D60" i="11"/>
  <c r="C50" i="11"/>
  <c r="B52" i="11"/>
  <c r="D42" i="11"/>
  <c r="C41" i="11"/>
  <c r="D51" i="11"/>
  <c r="M5" i="11"/>
  <c r="B61" i="11"/>
  <c r="A9" i="6"/>
  <c r="A10" i="10"/>
  <c r="V9" i="10"/>
  <c r="G8" i="6" l="1"/>
  <c r="F9" i="6"/>
  <c r="Y9" i="6"/>
  <c r="Q9" i="6"/>
  <c r="H12" i="6"/>
  <c r="J12" i="6"/>
  <c r="G43" i="11"/>
  <c r="F42" i="11"/>
  <c r="E42" i="11"/>
  <c r="D43" i="11"/>
  <c r="B62" i="11"/>
  <c r="B42" i="11"/>
  <c r="M6" i="11"/>
  <c r="D52" i="11"/>
  <c r="C42" i="11"/>
  <c r="B53" i="11"/>
  <c r="D61" i="11"/>
  <c r="C61" i="11"/>
  <c r="C51" i="11"/>
  <c r="Q11" i="11"/>
  <c r="A12" i="11"/>
  <c r="A10" i="6"/>
  <c r="A11" i="10"/>
  <c r="V10" i="10"/>
  <c r="G9" i="6" l="1"/>
  <c r="F10" i="6"/>
  <c r="J13" i="6"/>
  <c r="H13" i="6"/>
  <c r="Y10" i="6"/>
  <c r="Q10" i="6"/>
  <c r="E43" i="11"/>
  <c r="F43" i="11"/>
  <c r="G44" i="11"/>
  <c r="G45" i="11" s="1"/>
  <c r="G46" i="11" s="1"/>
  <c r="G47" i="11" s="1"/>
  <c r="G48" i="11" s="1"/>
  <c r="G49" i="11" s="1"/>
  <c r="G50" i="11" s="1"/>
  <c r="G51" i="11" s="1"/>
  <c r="G52" i="11" s="1"/>
  <c r="G53" i="11" s="1"/>
  <c r="Q12" i="11"/>
  <c r="A13" i="11"/>
  <c r="C43" i="11"/>
  <c r="M7" i="11"/>
  <c r="B63" i="11"/>
  <c r="D62" i="11"/>
  <c r="D53" i="11"/>
  <c r="C62" i="11"/>
  <c r="C52" i="11"/>
  <c r="B43" i="11"/>
  <c r="E30" i="1"/>
  <c r="A11" i="6"/>
  <c r="A12" i="10"/>
  <c r="V11" i="10"/>
  <c r="G10" i="6" l="1"/>
  <c r="F11" i="6"/>
  <c r="H14" i="6"/>
  <c r="Y11" i="6"/>
  <c r="Q11" i="6"/>
  <c r="J14" i="6"/>
  <c r="N7" i="11"/>
  <c r="N4" i="11"/>
  <c r="N5" i="11"/>
  <c r="N6" i="11"/>
  <c r="G54" i="11"/>
  <c r="G55" i="11" s="1"/>
  <c r="G56" i="11" s="1"/>
  <c r="G57" i="11" s="1"/>
  <c r="G58" i="11" s="1"/>
  <c r="G59" i="11" s="1"/>
  <c r="G60" i="11" s="1"/>
  <c r="G61" i="11" s="1"/>
  <c r="G62" i="11" s="1"/>
  <c r="G63" i="11" s="1"/>
  <c r="F44" i="11"/>
  <c r="F45" i="11" s="1"/>
  <c r="F46" i="11" s="1"/>
  <c r="F47" i="11" s="1"/>
  <c r="F48" i="11" s="1"/>
  <c r="F49" i="11" s="1"/>
  <c r="F50" i="11" s="1"/>
  <c r="F51" i="11" s="1"/>
  <c r="F52" i="11" s="1"/>
  <c r="F53" i="11" s="1"/>
  <c r="E44" i="11"/>
  <c r="E45" i="11" s="1"/>
  <c r="E46" i="11" s="1"/>
  <c r="E47" i="11" s="1"/>
  <c r="E48" i="11" s="1"/>
  <c r="E49" i="11" s="1"/>
  <c r="E50" i="11" s="1"/>
  <c r="E51" i="11" s="1"/>
  <c r="E52" i="11" s="1"/>
  <c r="E53" i="11" s="1"/>
  <c r="E54" i="11" s="1"/>
  <c r="E55" i="11" s="1"/>
  <c r="E56" i="11" s="1"/>
  <c r="E57" i="11" s="1"/>
  <c r="E58" i="11" s="1"/>
  <c r="E59" i="11" s="1"/>
  <c r="E60" i="11" s="1"/>
  <c r="E61" i="11" s="1"/>
  <c r="E62" i="11" s="1"/>
  <c r="E63" i="11" s="1"/>
  <c r="E64" i="11" s="1"/>
  <c r="E65" i="11" s="1"/>
  <c r="E66" i="11" s="1"/>
  <c r="E67" i="11" s="1"/>
  <c r="E68" i="11" s="1"/>
  <c r="E69" i="11" s="1"/>
  <c r="E70" i="11" s="1"/>
  <c r="E71" i="11" s="1"/>
  <c r="E72" i="11" s="1"/>
  <c r="E73" i="11" s="1"/>
  <c r="E74" i="11" s="1"/>
  <c r="E75" i="11" s="1"/>
  <c r="E76" i="11" s="1"/>
  <c r="E77" i="11" s="1"/>
  <c r="E78" i="11" s="1"/>
  <c r="E79" i="11" s="1"/>
  <c r="E80" i="11" s="1"/>
  <c r="E81" i="11" s="1"/>
  <c r="E82" i="11" s="1"/>
  <c r="E83" i="11" s="1"/>
  <c r="E84" i="11" s="1"/>
  <c r="E85" i="11" s="1"/>
  <c r="E86" i="11" s="1"/>
  <c r="E87" i="11" s="1"/>
  <c r="E88" i="11" s="1"/>
  <c r="E89" i="11" s="1"/>
  <c r="E90" i="11" s="1"/>
  <c r="E91" i="11" s="1"/>
  <c r="E92" i="11" s="1"/>
  <c r="E93" i="11" s="1"/>
  <c r="E94" i="11" s="1"/>
  <c r="E95" i="11" s="1"/>
  <c r="E96" i="11" s="1"/>
  <c r="E97" i="11" s="1"/>
  <c r="E98" i="11" s="1"/>
  <c r="E99" i="11" s="1"/>
  <c r="E100" i="11" s="1"/>
  <c r="E101" i="11" s="1"/>
  <c r="E102" i="11" s="1"/>
  <c r="E103" i="11" s="1"/>
  <c r="E104" i="11" s="1"/>
  <c r="E105" i="11" s="1"/>
  <c r="E106" i="11" s="1"/>
  <c r="E107" i="11" s="1"/>
  <c r="E108" i="11" s="1"/>
  <c r="E109" i="11" s="1"/>
  <c r="E110" i="11" s="1"/>
  <c r="E111" i="11" s="1"/>
  <c r="E112" i="11" s="1"/>
  <c r="E113" i="11" s="1"/>
  <c r="E114" i="11" s="1"/>
  <c r="E115" i="11" s="1"/>
  <c r="E116" i="11" s="1"/>
  <c r="E117" i="11" s="1"/>
  <c r="E118" i="11" s="1"/>
  <c r="E119" i="11" s="1"/>
  <c r="E120" i="11" s="1"/>
  <c r="E121" i="11" s="1"/>
  <c r="E122" i="11" s="1"/>
  <c r="E123" i="11" s="1"/>
  <c r="E124" i="11" s="1"/>
  <c r="E125" i="11" s="1"/>
  <c r="E126" i="11" s="1"/>
  <c r="E127" i="11" s="1"/>
  <c r="E128" i="11" s="1"/>
  <c r="E129" i="11" s="1"/>
  <c r="E130" i="11" s="1"/>
  <c r="E131" i="11" s="1"/>
  <c r="E132" i="11" s="1"/>
  <c r="E133" i="11" s="1"/>
  <c r="E134" i="11" s="1"/>
  <c r="E135" i="11" s="1"/>
  <c r="E136" i="11" s="1"/>
  <c r="E137" i="11" s="1"/>
  <c r="E138" i="11" s="1"/>
  <c r="E139" i="11" s="1"/>
  <c r="E140" i="11" s="1"/>
  <c r="E141" i="11" s="1"/>
  <c r="E142" i="11" s="1"/>
  <c r="E143" i="11" s="1"/>
  <c r="E144" i="11" s="1"/>
  <c r="E145" i="11" s="1"/>
  <c r="E146" i="11" s="1"/>
  <c r="E147" i="11" s="1"/>
  <c r="E148" i="11" s="1"/>
  <c r="E149" i="11" s="1"/>
  <c r="E150" i="11" s="1"/>
  <c r="E151" i="11" s="1"/>
  <c r="E152" i="11" s="1"/>
  <c r="E153" i="11" s="1"/>
  <c r="E154" i="11" s="1"/>
  <c r="E155" i="11" s="1"/>
  <c r="E156" i="11" s="1"/>
  <c r="E157" i="11" s="1"/>
  <c r="E158" i="11" s="1"/>
  <c r="E159" i="11" s="1"/>
  <c r="E160" i="11" s="1"/>
  <c r="E161" i="11" s="1"/>
  <c r="E162" i="11" s="1"/>
  <c r="E163" i="11" s="1"/>
  <c r="E164" i="11" s="1"/>
  <c r="E165" i="11" s="1"/>
  <c r="E166" i="11" s="1"/>
  <c r="E167" i="11" s="1"/>
  <c r="E168" i="11" s="1"/>
  <c r="E169" i="11" s="1"/>
  <c r="E170" i="11" s="1"/>
  <c r="E171" i="11" s="1"/>
  <c r="E172" i="11" s="1"/>
  <c r="E173" i="11" s="1"/>
  <c r="E174" i="11" s="1"/>
  <c r="E175" i="11" s="1"/>
  <c r="E176" i="11" s="1"/>
  <c r="E177" i="11" s="1"/>
  <c r="E178" i="11" s="1"/>
  <c r="E179" i="11" s="1"/>
  <c r="E180" i="11" s="1"/>
  <c r="E181" i="11" s="1"/>
  <c r="E182" i="11" s="1"/>
  <c r="E183" i="11" s="1"/>
  <c r="E184" i="11" s="1"/>
  <c r="E185" i="11" s="1"/>
  <c r="E186" i="11" s="1"/>
  <c r="E187" i="11" s="1"/>
  <c r="E188" i="11" s="1"/>
  <c r="E189" i="11" s="1"/>
  <c r="E190" i="11" s="1"/>
  <c r="E191" i="11" s="1"/>
  <c r="E192" i="11" s="1"/>
  <c r="E193" i="11" s="1"/>
  <c r="E194" i="11" s="1"/>
  <c r="E195" i="11" s="1"/>
  <c r="E196" i="11" s="1"/>
  <c r="E197" i="11" s="1"/>
  <c r="E198" i="11" s="1"/>
  <c r="E199" i="11" s="1"/>
  <c r="E200" i="11" s="1"/>
  <c r="E201" i="11" s="1"/>
  <c r="E202" i="11" s="1"/>
  <c r="E203" i="11" s="1"/>
  <c r="E204" i="11" s="1"/>
  <c r="E205" i="11" s="1"/>
  <c r="E206" i="11" s="1"/>
  <c r="E207" i="11" s="1"/>
  <c r="E208" i="11" s="1"/>
  <c r="E209" i="11" s="1"/>
  <c r="E210" i="11" s="1"/>
  <c r="E211" i="11" s="1"/>
  <c r="E212" i="11" s="1"/>
  <c r="E213" i="11" s="1"/>
  <c r="E214" i="11" s="1"/>
  <c r="E215" i="11" s="1"/>
  <c r="E216" i="11" s="1"/>
  <c r="E217" i="11" s="1"/>
  <c r="E218" i="11" s="1"/>
  <c r="E219" i="11" s="1"/>
  <c r="E220" i="11" s="1"/>
  <c r="E221" i="11" s="1"/>
  <c r="E222" i="11" s="1"/>
  <c r="E223" i="11" s="1"/>
  <c r="E224" i="11" s="1"/>
  <c r="E225" i="11" s="1"/>
  <c r="E226" i="11" s="1"/>
  <c r="E227" i="11" s="1"/>
  <c r="E228" i="11" s="1"/>
  <c r="E229" i="11" s="1"/>
  <c r="E230" i="11" s="1"/>
  <c r="E231" i="11" s="1"/>
  <c r="E232" i="11" s="1"/>
  <c r="E233" i="11" s="1"/>
  <c r="E234" i="11" s="1"/>
  <c r="E235" i="11" s="1"/>
  <c r="E236" i="11" s="1"/>
  <c r="E237" i="11" s="1"/>
  <c r="E238" i="11" s="1"/>
  <c r="E239" i="11" s="1"/>
  <c r="E240" i="11" s="1"/>
  <c r="E241" i="11" s="1"/>
  <c r="E242" i="11" s="1"/>
  <c r="E243" i="11" s="1"/>
  <c r="E244" i="11" s="1"/>
  <c r="E245" i="11" s="1"/>
  <c r="E246" i="11" s="1"/>
  <c r="E247" i="11" s="1"/>
  <c r="E248" i="11" s="1"/>
  <c r="E249" i="11" s="1"/>
  <c r="E250" i="11" s="1"/>
  <c r="E251" i="11" s="1"/>
  <c r="E252" i="11" s="1"/>
  <c r="E253" i="11" s="1"/>
  <c r="E254" i="11" s="1"/>
  <c r="E255" i="11" s="1"/>
  <c r="E256" i="11" s="1"/>
  <c r="E257" i="11" s="1"/>
  <c r="E258" i="11" s="1"/>
  <c r="E259" i="11" s="1"/>
  <c r="E260" i="11" s="1"/>
  <c r="E261" i="11" s="1"/>
  <c r="E262" i="11" s="1"/>
  <c r="E263" i="11" s="1"/>
  <c r="E264" i="11" s="1"/>
  <c r="E265" i="11" s="1"/>
  <c r="E266" i="11" s="1"/>
  <c r="E267" i="11" s="1"/>
  <c r="E268" i="11" s="1"/>
  <c r="E269" i="11" s="1"/>
  <c r="E270" i="11" s="1"/>
  <c r="E271" i="11" s="1"/>
  <c r="E272" i="11" s="1"/>
  <c r="E273" i="11" s="1"/>
  <c r="E274" i="11" s="1"/>
  <c r="E275" i="11" s="1"/>
  <c r="E276" i="11" s="1"/>
  <c r="E277" i="11" s="1"/>
  <c r="E278" i="11" s="1"/>
  <c r="E279" i="11" s="1"/>
  <c r="E280" i="11" s="1"/>
  <c r="E281" i="11" s="1"/>
  <c r="E282" i="11" s="1"/>
  <c r="E283" i="11" s="1"/>
  <c r="E284" i="11" s="1"/>
  <c r="E285" i="11" s="1"/>
  <c r="E286" i="11" s="1"/>
  <c r="E287" i="11" s="1"/>
  <c r="E288" i="11" s="1"/>
  <c r="E289" i="11" s="1"/>
  <c r="E290" i="11" s="1"/>
  <c r="E291" i="11" s="1"/>
  <c r="E292" i="11" s="1"/>
  <c r="E293" i="11" s="1"/>
  <c r="E294" i="11" s="1"/>
  <c r="E295" i="11" s="1"/>
  <c r="E296" i="11" s="1"/>
  <c r="E297" i="11" s="1"/>
  <c r="E298" i="11" s="1"/>
  <c r="E299" i="11" s="1"/>
  <c r="E300" i="11" s="1"/>
  <c r="E301" i="11" s="1"/>
  <c r="E302" i="11" s="1"/>
  <c r="E303" i="11" s="1"/>
  <c r="E304" i="11" s="1"/>
  <c r="D63" i="11"/>
  <c r="Q13" i="11"/>
  <c r="A14" i="11"/>
  <c r="C63" i="11"/>
  <c r="C53" i="11"/>
  <c r="M8" i="11"/>
  <c r="N8" i="11"/>
  <c r="B11" i="1"/>
  <c r="A12" i="6"/>
  <c r="A13" i="10"/>
  <c r="V12" i="10"/>
  <c r="G11" i="6" l="1"/>
  <c r="F12" i="6"/>
  <c r="J15" i="6"/>
  <c r="Y12" i="6"/>
  <c r="Q12" i="6"/>
  <c r="H15" i="6"/>
  <c r="B10" i="1"/>
  <c r="F54" i="11"/>
  <c r="F55" i="11" s="1"/>
  <c r="F56" i="11" s="1"/>
  <c r="F57" i="11" s="1"/>
  <c r="F58" i="11" s="1"/>
  <c r="F59" i="11" s="1"/>
  <c r="F60" i="11" s="1"/>
  <c r="F61" i="11" s="1"/>
  <c r="F62" i="11" s="1"/>
  <c r="F63" i="11" s="1"/>
  <c r="F64" i="11" s="1"/>
  <c r="F65" i="11" s="1"/>
  <c r="F66" i="11" s="1"/>
  <c r="F67" i="11" s="1"/>
  <c r="F68" i="11" s="1"/>
  <c r="F69" i="11" s="1"/>
  <c r="F70" i="11" s="1"/>
  <c r="F71" i="11" s="1"/>
  <c r="F72" i="11" s="1"/>
  <c r="F73" i="11" s="1"/>
  <c r="F74" i="11" s="1"/>
  <c r="F75" i="11" s="1"/>
  <c r="F76" i="11" s="1"/>
  <c r="F77" i="11" s="1"/>
  <c r="F78" i="11" s="1"/>
  <c r="F79" i="11" s="1"/>
  <c r="F80" i="11" s="1"/>
  <c r="F81" i="11" s="1"/>
  <c r="F82" i="11" s="1"/>
  <c r="F83" i="11" s="1"/>
  <c r="F84" i="11" s="1"/>
  <c r="F85" i="11" s="1"/>
  <c r="F86" i="11" s="1"/>
  <c r="F87" i="11" s="1"/>
  <c r="F88" i="11" s="1"/>
  <c r="F89" i="11" s="1"/>
  <c r="F90" i="11" s="1"/>
  <c r="F91" i="11" s="1"/>
  <c r="F92" i="11" s="1"/>
  <c r="F93" i="11" s="1"/>
  <c r="F94" i="11" s="1"/>
  <c r="F95" i="11" s="1"/>
  <c r="F96" i="11" s="1"/>
  <c r="F97" i="11" s="1"/>
  <c r="F98" i="11" s="1"/>
  <c r="F99" i="11" s="1"/>
  <c r="F100" i="11" s="1"/>
  <c r="F101" i="11" s="1"/>
  <c r="F102" i="11" s="1"/>
  <c r="F103" i="11" s="1"/>
  <c r="F104" i="11" s="1"/>
  <c r="F105" i="11" s="1"/>
  <c r="F106" i="11" s="1"/>
  <c r="F107" i="11" s="1"/>
  <c r="F108" i="11" s="1"/>
  <c r="F109" i="11" s="1"/>
  <c r="F110" i="11" s="1"/>
  <c r="F111" i="11" s="1"/>
  <c r="F112" i="11" s="1"/>
  <c r="F113" i="11" s="1"/>
  <c r="F114" i="11" s="1"/>
  <c r="F115" i="11" s="1"/>
  <c r="F116" i="11" s="1"/>
  <c r="F117" i="11" s="1"/>
  <c r="F118" i="11" s="1"/>
  <c r="F119" i="11" s="1"/>
  <c r="F120" i="11" s="1"/>
  <c r="F121" i="11" s="1"/>
  <c r="F122" i="11" s="1"/>
  <c r="F123" i="11" s="1"/>
  <c r="F124" i="11" s="1"/>
  <c r="F125" i="11" s="1"/>
  <c r="F126" i="11" s="1"/>
  <c r="F127" i="11" s="1"/>
  <c r="F128" i="11" s="1"/>
  <c r="F129" i="11" s="1"/>
  <c r="F130" i="11" s="1"/>
  <c r="F131" i="11" s="1"/>
  <c r="F132" i="11" s="1"/>
  <c r="F133" i="11" s="1"/>
  <c r="F134" i="11" s="1"/>
  <c r="F135" i="11" s="1"/>
  <c r="F136" i="11" s="1"/>
  <c r="F137" i="11" s="1"/>
  <c r="F138" i="11" s="1"/>
  <c r="F139" i="11" s="1"/>
  <c r="F140" i="11" s="1"/>
  <c r="F141" i="11" s="1"/>
  <c r="F142" i="11" s="1"/>
  <c r="F143" i="11" s="1"/>
  <c r="F144" i="11" s="1"/>
  <c r="F145" i="11" s="1"/>
  <c r="F146" i="11" s="1"/>
  <c r="F147" i="11" s="1"/>
  <c r="F148" i="11" s="1"/>
  <c r="F149" i="11" s="1"/>
  <c r="F150" i="11" s="1"/>
  <c r="F151" i="11" s="1"/>
  <c r="F152" i="11" s="1"/>
  <c r="F153" i="11" s="1"/>
  <c r="F154" i="11" s="1"/>
  <c r="F155" i="11" s="1"/>
  <c r="F156" i="11" s="1"/>
  <c r="F157" i="11" s="1"/>
  <c r="F158" i="11" s="1"/>
  <c r="F159" i="11" s="1"/>
  <c r="F160" i="11" s="1"/>
  <c r="F161" i="11" s="1"/>
  <c r="F162" i="11" s="1"/>
  <c r="F163" i="11" s="1"/>
  <c r="F164" i="11" s="1"/>
  <c r="F165" i="11" s="1"/>
  <c r="F166" i="11" s="1"/>
  <c r="F167" i="11" s="1"/>
  <c r="F168" i="11" s="1"/>
  <c r="F169" i="11" s="1"/>
  <c r="F170" i="11" s="1"/>
  <c r="F171" i="11" s="1"/>
  <c r="F172" i="11" s="1"/>
  <c r="F173" i="11" s="1"/>
  <c r="F174" i="11" s="1"/>
  <c r="F175" i="11" s="1"/>
  <c r="F176" i="11" s="1"/>
  <c r="F177" i="11" s="1"/>
  <c r="F178" i="11" s="1"/>
  <c r="F179" i="11" s="1"/>
  <c r="F180" i="11" s="1"/>
  <c r="F181" i="11" s="1"/>
  <c r="F182" i="11" s="1"/>
  <c r="F183" i="11" s="1"/>
  <c r="F184" i="11" s="1"/>
  <c r="F185" i="11" s="1"/>
  <c r="F186" i="11" s="1"/>
  <c r="F187" i="11" s="1"/>
  <c r="F188" i="11" s="1"/>
  <c r="F189" i="11" s="1"/>
  <c r="F190" i="11" s="1"/>
  <c r="F191" i="11" s="1"/>
  <c r="F192" i="11" s="1"/>
  <c r="F193" i="11" s="1"/>
  <c r="F194" i="11" s="1"/>
  <c r="F195" i="11" s="1"/>
  <c r="F196" i="11" s="1"/>
  <c r="F197" i="11" s="1"/>
  <c r="F198" i="11" s="1"/>
  <c r="F199" i="11" s="1"/>
  <c r="F200" i="11" s="1"/>
  <c r="F201" i="11" s="1"/>
  <c r="F202" i="11" s="1"/>
  <c r="F203" i="11" s="1"/>
  <c r="F204" i="11" s="1"/>
  <c r="F205" i="11" s="1"/>
  <c r="F206" i="11" s="1"/>
  <c r="F207" i="11" s="1"/>
  <c r="F208" i="11" s="1"/>
  <c r="F209" i="11" s="1"/>
  <c r="F210" i="11" s="1"/>
  <c r="F211" i="11" s="1"/>
  <c r="F212" i="11" s="1"/>
  <c r="F213" i="11" s="1"/>
  <c r="F214" i="11" s="1"/>
  <c r="F215" i="11" s="1"/>
  <c r="F216" i="11" s="1"/>
  <c r="F217" i="11" s="1"/>
  <c r="F218" i="11" s="1"/>
  <c r="F219" i="11" s="1"/>
  <c r="F220" i="11" s="1"/>
  <c r="F221" i="11" s="1"/>
  <c r="F222" i="11" s="1"/>
  <c r="F223" i="11" s="1"/>
  <c r="F224" i="11" s="1"/>
  <c r="F225" i="11" s="1"/>
  <c r="F226" i="11" s="1"/>
  <c r="F227" i="11" s="1"/>
  <c r="F228" i="11" s="1"/>
  <c r="F229" i="11" s="1"/>
  <c r="F230" i="11" s="1"/>
  <c r="F231" i="11" s="1"/>
  <c r="F232" i="11" s="1"/>
  <c r="F233" i="11" s="1"/>
  <c r="F234" i="11" s="1"/>
  <c r="F235" i="11" s="1"/>
  <c r="F236" i="11" s="1"/>
  <c r="F237" i="11" s="1"/>
  <c r="F238" i="11" s="1"/>
  <c r="F239" i="11" s="1"/>
  <c r="F240" i="11" s="1"/>
  <c r="F241" i="11" s="1"/>
  <c r="F242" i="11" s="1"/>
  <c r="F243" i="11" s="1"/>
  <c r="F244" i="11" s="1"/>
  <c r="F245" i="11" s="1"/>
  <c r="F246" i="11" s="1"/>
  <c r="F247" i="11" s="1"/>
  <c r="F248" i="11" s="1"/>
  <c r="F249" i="11" s="1"/>
  <c r="F250" i="11" s="1"/>
  <c r="F251" i="11" s="1"/>
  <c r="F252" i="11" s="1"/>
  <c r="F253" i="11" s="1"/>
  <c r="F254" i="11" s="1"/>
  <c r="F255" i="11" s="1"/>
  <c r="F256" i="11" s="1"/>
  <c r="F257" i="11" s="1"/>
  <c r="F258" i="11" s="1"/>
  <c r="F259" i="11" s="1"/>
  <c r="F260" i="11" s="1"/>
  <c r="F261" i="11" s="1"/>
  <c r="F262" i="11" s="1"/>
  <c r="F263" i="11" s="1"/>
  <c r="F264" i="11" s="1"/>
  <c r="F265" i="11" s="1"/>
  <c r="F266" i="11" s="1"/>
  <c r="F267" i="11" s="1"/>
  <c r="F268" i="11" s="1"/>
  <c r="F269" i="11" s="1"/>
  <c r="F270" i="11" s="1"/>
  <c r="F271" i="11" s="1"/>
  <c r="F272" i="11" s="1"/>
  <c r="F273" i="11" s="1"/>
  <c r="F274" i="11" s="1"/>
  <c r="F275" i="11" s="1"/>
  <c r="F276" i="11" s="1"/>
  <c r="F277" i="11" s="1"/>
  <c r="F278" i="11" s="1"/>
  <c r="F279" i="11" s="1"/>
  <c r="F280" i="11" s="1"/>
  <c r="F281" i="11" s="1"/>
  <c r="F282" i="11" s="1"/>
  <c r="F283" i="11" s="1"/>
  <c r="F284" i="11" s="1"/>
  <c r="F285" i="11" s="1"/>
  <c r="F286" i="11" s="1"/>
  <c r="F287" i="11" s="1"/>
  <c r="F288" i="11" s="1"/>
  <c r="F289" i="11" s="1"/>
  <c r="F290" i="11" s="1"/>
  <c r="F291" i="11" s="1"/>
  <c r="F292" i="11" s="1"/>
  <c r="F293" i="11" s="1"/>
  <c r="F294" i="11" s="1"/>
  <c r="F295" i="11" s="1"/>
  <c r="F296" i="11" s="1"/>
  <c r="F297" i="11" s="1"/>
  <c r="F298" i="11" s="1"/>
  <c r="F299" i="11" s="1"/>
  <c r="F300" i="11" s="1"/>
  <c r="F301" i="11" s="1"/>
  <c r="F302" i="11" s="1"/>
  <c r="F303" i="11" s="1"/>
  <c r="F304" i="11" s="1"/>
  <c r="G64" i="11"/>
  <c r="G65" i="11" s="1"/>
  <c r="G66" i="11" s="1"/>
  <c r="G67" i="11" s="1"/>
  <c r="G68" i="11" s="1"/>
  <c r="G69" i="11" s="1"/>
  <c r="G70" i="11" s="1"/>
  <c r="G71" i="11" s="1"/>
  <c r="G72" i="11" s="1"/>
  <c r="G73" i="11" s="1"/>
  <c r="G74" i="11" s="1"/>
  <c r="G75" i="11" s="1"/>
  <c r="G76" i="11" s="1"/>
  <c r="G77" i="11" s="1"/>
  <c r="G78" i="11" s="1"/>
  <c r="G79" i="11" s="1"/>
  <c r="G80" i="11" s="1"/>
  <c r="G81" i="11" s="1"/>
  <c r="G82" i="11" s="1"/>
  <c r="G83" i="11" s="1"/>
  <c r="G84" i="11" s="1"/>
  <c r="G85" i="11" s="1"/>
  <c r="G86" i="11" s="1"/>
  <c r="G87" i="11" s="1"/>
  <c r="G88" i="11" s="1"/>
  <c r="G89" i="11" s="1"/>
  <c r="G90" i="11" s="1"/>
  <c r="G91" i="11" s="1"/>
  <c r="G92" i="11" s="1"/>
  <c r="G93" i="11" s="1"/>
  <c r="G94" i="11" s="1"/>
  <c r="G95" i="11" s="1"/>
  <c r="G96" i="11" s="1"/>
  <c r="G97" i="11" s="1"/>
  <c r="G98" i="11" s="1"/>
  <c r="G99" i="11" s="1"/>
  <c r="G100" i="11" s="1"/>
  <c r="G101" i="11" s="1"/>
  <c r="G102" i="11" s="1"/>
  <c r="G103" i="11" s="1"/>
  <c r="G104" i="11" s="1"/>
  <c r="G105" i="11" s="1"/>
  <c r="G106" i="11" s="1"/>
  <c r="G107" i="11" s="1"/>
  <c r="G108" i="11" s="1"/>
  <c r="G109" i="11" s="1"/>
  <c r="G110" i="11" s="1"/>
  <c r="G111" i="11" s="1"/>
  <c r="G112" i="11" s="1"/>
  <c r="G113" i="11" s="1"/>
  <c r="G114" i="11" s="1"/>
  <c r="G115" i="11" s="1"/>
  <c r="G116" i="11" s="1"/>
  <c r="G117" i="11" s="1"/>
  <c r="G118" i="11" s="1"/>
  <c r="G119" i="11" s="1"/>
  <c r="G120" i="11" s="1"/>
  <c r="G121" i="11" s="1"/>
  <c r="G122" i="11" s="1"/>
  <c r="G123" i="11" s="1"/>
  <c r="G124" i="11" s="1"/>
  <c r="G125" i="11" s="1"/>
  <c r="G126" i="11" s="1"/>
  <c r="G127" i="11" s="1"/>
  <c r="G128" i="11" s="1"/>
  <c r="G129" i="11" s="1"/>
  <c r="G130" i="11" s="1"/>
  <c r="G131" i="11" s="1"/>
  <c r="G132" i="11" s="1"/>
  <c r="G133" i="11" s="1"/>
  <c r="G134" i="11" s="1"/>
  <c r="G135" i="11" s="1"/>
  <c r="G136" i="11" s="1"/>
  <c r="G137" i="11" s="1"/>
  <c r="G138" i="11" s="1"/>
  <c r="G139" i="11" s="1"/>
  <c r="G140" i="11" s="1"/>
  <c r="G141" i="11" s="1"/>
  <c r="G142" i="11" s="1"/>
  <c r="G143" i="11" s="1"/>
  <c r="G144" i="11" s="1"/>
  <c r="G145" i="11" s="1"/>
  <c r="G146" i="11" s="1"/>
  <c r="G147" i="11" s="1"/>
  <c r="G148" i="11" s="1"/>
  <c r="G149" i="11" s="1"/>
  <c r="G150" i="11" s="1"/>
  <c r="G151" i="11" s="1"/>
  <c r="G152" i="11" s="1"/>
  <c r="G153" i="11" s="1"/>
  <c r="G154" i="11" s="1"/>
  <c r="G155" i="11" s="1"/>
  <c r="G156" i="11" s="1"/>
  <c r="G157" i="11" s="1"/>
  <c r="G158" i="11" s="1"/>
  <c r="G159" i="11" s="1"/>
  <c r="G160" i="11" s="1"/>
  <c r="G161" i="11" s="1"/>
  <c r="G162" i="11" s="1"/>
  <c r="G163" i="11" s="1"/>
  <c r="G164" i="11" s="1"/>
  <c r="G165" i="11" s="1"/>
  <c r="G166" i="11" s="1"/>
  <c r="G167" i="11" s="1"/>
  <c r="G168" i="11" s="1"/>
  <c r="G169" i="11" s="1"/>
  <c r="G170" i="11" s="1"/>
  <c r="G171" i="11" s="1"/>
  <c r="G172" i="11" s="1"/>
  <c r="G173" i="11" s="1"/>
  <c r="G174" i="11" s="1"/>
  <c r="G175" i="11" s="1"/>
  <c r="G176" i="11" s="1"/>
  <c r="G177" i="11" s="1"/>
  <c r="G178" i="11" s="1"/>
  <c r="G179" i="11" s="1"/>
  <c r="G180" i="11" s="1"/>
  <c r="G181" i="11" s="1"/>
  <c r="G182" i="11" s="1"/>
  <c r="G183" i="11" s="1"/>
  <c r="G184" i="11" s="1"/>
  <c r="G185" i="11" s="1"/>
  <c r="G186" i="11" s="1"/>
  <c r="G187" i="11" s="1"/>
  <c r="G188" i="11" s="1"/>
  <c r="G189" i="11" s="1"/>
  <c r="G190" i="11" s="1"/>
  <c r="G191" i="11" s="1"/>
  <c r="G192" i="11" s="1"/>
  <c r="G193" i="11" s="1"/>
  <c r="G194" i="11" s="1"/>
  <c r="G195" i="11" s="1"/>
  <c r="G196" i="11" s="1"/>
  <c r="G197" i="11" s="1"/>
  <c r="G198" i="11" s="1"/>
  <c r="G199" i="11" s="1"/>
  <c r="G200" i="11" s="1"/>
  <c r="G201" i="11" s="1"/>
  <c r="G202" i="11" s="1"/>
  <c r="G203" i="11" s="1"/>
  <c r="G204" i="11" s="1"/>
  <c r="G205" i="11" s="1"/>
  <c r="G206" i="11" s="1"/>
  <c r="G207" i="11" s="1"/>
  <c r="G208" i="11" s="1"/>
  <c r="G209" i="11" s="1"/>
  <c r="G210" i="11" s="1"/>
  <c r="G211" i="11" s="1"/>
  <c r="G212" i="11" s="1"/>
  <c r="G213" i="11" s="1"/>
  <c r="G214" i="11" s="1"/>
  <c r="G215" i="11" s="1"/>
  <c r="G216" i="11" s="1"/>
  <c r="G217" i="11" s="1"/>
  <c r="G218" i="11" s="1"/>
  <c r="G219" i="11" s="1"/>
  <c r="G220" i="11" s="1"/>
  <c r="G221" i="11" s="1"/>
  <c r="G222" i="11" s="1"/>
  <c r="G223" i="11" s="1"/>
  <c r="G224" i="11" s="1"/>
  <c r="G225" i="11" s="1"/>
  <c r="G226" i="11" s="1"/>
  <c r="G227" i="11" s="1"/>
  <c r="G228" i="11" s="1"/>
  <c r="G229" i="11" s="1"/>
  <c r="G230" i="11" s="1"/>
  <c r="G231" i="11" s="1"/>
  <c r="G232" i="11" s="1"/>
  <c r="G233" i="11" s="1"/>
  <c r="G234" i="11" s="1"/>
  <c r="G235" i="11" s="1"/>
  <c r="G236" i="11" s="1"/>
  <c r="G237" i="11" s="1"/>
  <c r="G238" i="11" s="1"/>
  <c r="G239" i="11" s="1"/>
  <c r="G240" i="11" s="1"/>
  <c r="G241" i="11" s="1"/>
  <c r="G242" i="11" s="1"/>
  <c r="G243" i="11" s="1"/>
  <c r="G244" i="11" s="1"/>
  <c r="G245" i="11" s="1"/>
  <c r="G246" i="11" s="1"/>
  <c r="G247" i="11" s="1"/>
  <c r="G248" i="11" s="1"/>
  <c r="G249" i="11" s="1"/>
  <c r="G250" i="11" s="1"/>
  <c r="G251" i="11" s="1"/>
  <c r="G252" i="11" s="1"/>
  <c r="G253" i="11" s="1"/>
  <c r="G254" i="11" s="1"/>
  <c r="G255" i="11" s="1"/>
  <c r="G256" i="11" s="1"/>
  <c r="G257" i="11" s="1"/>
  <c r="G258" i="11" s="1"/>
  <c r="G259" i="11" s="1"/>
  <c r="G260" i="11" s="1"/>
  <c r="G261" i="11" s="1"/>
  <c r="G262" i="11" s="1"/>
  <c r="G263" i="11" s="1"/>
  <c r="G264" i="11" s="1"/>
  <c r="G265" i="11" s="1"/>
  <c r="G266" i="11" s="1"/>
  <c r="G267" i="11" s="1"/>
  <c r="G268" i="11" s="1"/>
  <c r="G269" i="11" s="1"/>
  <c r="G270" i="11" s="1"/>
  <c r="G271" i="11" s="1"/>
  <c r="G272" i="11" s="1"/>
  <c r="G273" i="11" s="1"/>
  <c r="G274" i="11" s="1"/>
  <c r="G275" i="11" s="1"/>
  <c r="G276" i="11" s="1"/>
  <c r="G277" i="11" s="1"/>
  <c r="G278" i="11" s="1"/>
  <c r="G279" i="11" s="1"/>
  <c r="G280" i="11" s="1"/>
  <c r="G281" i="11" s="1"/>
  <c r="G282" i="11" s="1"/>
  <c r="G283" i="11" s="1"/>
  <c r="G284" i="11" s="1"/>
  <c r="G285" i="11" s="1"/>
  <c r="G286" i="11" s="1"/>
  <c r="G287" i="11" s="1"/>
  <c r="G288" i="11" s="1"/>
  <c r="G289" i="11" s="1"/>
  <c r="G290" i="11" s="1"/>
  <c r="G291" i="11" s="1"/>
  <c r="G292" i="11" s="1"/>
  <c r="G293" i="11" s="1"/>
  <c r="G294" i="11" s="1"/>
  <c r="G295" i="11" s="1"/>
  <c r="G296" i="11" s="1"/>
  <c r="G297" i="11" s="1"/>
  <c r="G298" i="11" s="1"/>
  <c r="G299" i="11" s="1"/>
  <c r="G300" i="11" s="1"/>
  <c r="G301" i="11" s="1"/>
  <c r="G302" i="11" s="1"/>
  <c r="G303" i="11" s="1"/>
  <c r="G304" i="11" s="1"/>
  <c r="Q14" i="11"/>
  <c r="A15" i="11"/>
  <c r="M9" i="11"/>
  <c r="N9" i="11"/>
  <c r="G5" i="10"/>
  <c r="A13" i="6"/>
  <c r="V13" i="10"/>
  <c r="A14" i="10"/>
  <c r="G12" i="6" l="1"/>
  <c r="E33" i="1"/>
  <c r="W4" i="6"/>
  <c r="F13" i="6"/>
  <c r="Q13" i="6"/>
  <c r="Y13" i="6"/>
  <c r="J16" i="6"/>
  <c r="H16" i="6"/>
  <c r="O7" i="11"/>
  <c r="W7" i="11" s="1"/>
  <c r="E32" i="1"/>
  <c r="O6" i="11"/>
  <c r="P6" i="11" s="1"/>
  <c r="R6" i="11" s="1"/>
  <c r="O9" i="11"/>
  <c r="W9" i="11" s="1"/>
  <c r="O5" i="11"/>
  <c r="W5" i="11" s="1"/>
  <c r="O4" i="11"/>
  <c r="P4" i="11" s="1"/>
  <c r="R4" i="11" s="1"/>
  <c r="B29" i="1"/>
  <c r="K4" i="6" s="1"/>
  <c r="G27" i="1"/>
  <c r="G25" i="1" s="1"/>
  <c r="O8" i="11"/>
  <c r="P8" i="11" s="1"/>
  <c r="R8" i="11" s="1"/>
  <c r="Q15" i="11"/>
  <c r="A16" i="11"/>
  <c r="M10" i="11"/>
  <c r="N10" i="11"/>
  <c r="O10" i="11" s="1"/>
  <c r="BD4" i="6"/>
  <c r="G6" i="10"/>
  <c r="E31" i="1"/>
  <c r="E5" i="10"/>
  <c r="A14" i="6"/>
  <c r="A15" i="10"/>
  <c r="V14" i="10"/>
  <c r="AH4" i="6" l="1"/>
  <c r="AI4" i="6" s="1"/>
  <c r="AC4" i="6"/>
  <c r="AD4" i="6"/>
  <c r="X4" i="6"/>
  <c r="AJ4" i="6"/>
  <c r="G13" i="6"/>
  <c r="AE4" i="6"/>
  <c r="AG4" i="6"/>
  <c r="AF4" i="6"/>
  <c r="K5" i="6"/>
  <c r="F14" i="6"/>
  <c r="Y14" i="6"/>
  <c r="Q14" i="6"/>
  <c r="H17" i="6"/>
  <c r="J17" i="6"/>
  <c r="P7" i="11"/>
  <c r="R7" i="11" s="1"/>
  <c r="E27" i="1"/>
  <c r="E25" i="1"/>
  <c r="W4" i="11"/>
  <c r="W6" i="11"/>
  <c r="P9" i="11"/>
  <c r="R9" i="11" s="1"/>
  <c r="P5" i="11"/>
  <c r="R5" i="11" s="1"/>
  <c r="G26" i="1"/>
  <c r="W8" i="11"/>
  <c r="Q16" i="11"/>
  <c r="A17" i="11"/>
  <c r="M11" i="11"/>
  <c r="N11" i="11"/>
  <c r="O11" i="11" s="1"/>
  <c r="P10" i="11"/>
  <c r="R10" i="11" s="1"/>
  <c r="W10" i="11"/>
  <c r="BM4" i="6"/>
  <c r="BC4" i="6"/>
  <c r="BE4" i="6" s="1"/>
  <c r="E6" i="10"/>
  <c r="G7" i="10"/>
  <c r="F5" i="10"/>
  <c r="A15" i="6"/>
  <c r="A16" i="10"/>
  <c r="V15" i="10"/>
  <c r="AC5" i="6" l="1"/>
  <c r="AD5" i="6"/>
  <c r="Z4" i="6"/>
  <c r="AK4" i="6"/>
  <c r="AE5" i="6"/>
  <c r="AF5" i="6"/>
  <c r="AG5" i="6"/>
  <c r="G14" i="6"/>
  <c r="K6" i="6"/>
  <c r="F15" i="6"/>
  <c r="H18" i="6"/>
  <c r="Q15" i="6"/>
  <c r="Y15" i="6"/>
  <c r="J18" i="6"/>
  <c r="Q17" i="11"/>
  <c r="A18" i="11"/>
  <c r="M12" i="11"/>
  <c r="N12" i="11"/>
  <c r="O12" i="11" s="1"/>
  <c r="P11" i="11"/>
  <c r="R11" i="11" s="1"/>
  <c r="W11" i="11"/>
  <c r="BM5" i="6"/>
  <c r="BD5" i="6"/>
  <c r="AT5" i="6"/>
  <c r="F6" i="10"/>
  <c r="E7" i="10"/>
  <c r="G8" i="10"/>
  <c r="BC5" i="6"/>
  <c r="A16" i="6"/>
  <c r="V16" i="10"/>
  <c r="A17" i="10"/>
  <c r="AC6" i="6" l="1"/>
  <c r="AD6" i="6"/>
  <c r="G15" i="6"/>
  <c r="AE6" i="6"/>
  <c r="AG6" i="6"/>
  <c r="AF6" i="6"/>
  <c r="F16" i="6"/>
  <c r="K7" i="6"/>
  <c r="H19" i="6"/>
  <c r="J19" i="6"/>
  <c r="Q16" i="6"/>
  <c r="Y16" i="6"/>
  <c r="BD6" i="6"/>
  <c r="P12" i="11"/>
  <c r="R12" i="11" s="1"/>
  <c r="W12" i="11"/>
  <c r="M13" i="11"/>
  <c r="N13" i="11"/>
  <c r="O13" i="11" s="1"/>
  <c r="Q18" i="11"/>
  <c r="A19" i="11"/>
  <c r="BM6" i="6"/>
  <c r="BC6" i="6"/>
  <c r="BE5" i="6"/>
  <c r="AS5" i="6"/>
  <c r="AT6" i="6"/>
  <c r="F7" i="10"/>
  <c r="E8" i="10"/>
  <c r="G9" i="10"/>
  <c r="A17" i="6"/>
  <c r="A18" i="10"/>
  <c r="V17" i="10"/>
  <c r="AC7" i="6" l="1"/>
  <c r="AD7" i="6"/>
  <c r="AF7" i="6"/>
  <c r="AE7" i="6"/>
  <c r="AG7" i="6"/>
  <c r="G16" i="6"/>
  <c r="F17" i="6"/>
  <c r="K8" i="6"/>
  <c r="H20" i="6"/>
  <c r="Y17" i="6"/>
  <c r="Q17" i="6"/>
  <c r="J20" i="6"/>
  <c r="BE6" i="6"/>
  <c r="A20" i="11"/>
  <c r="Q19" i="11"/>
  <c r="M14" i="11"/>
  <c r="N14" i="11"/>
  <c r="O14" i="11" s="1"/>
  <c r="P13" i="11"/>
  <c r="R13" i="11" s="1"/>
  <c r="W13" i="11"/>
  <c r="BM7" i="6"/>
  <c r="AS6" i="6"/>
  <c r="AT7" i="6"/>
  <c r="F8" i="10"/>
  <c r="F9" i="10" s="1"/>
  <c r="E9" i="10"/>
  <c r="G10" i="10"/>
  <c r="A18" i="6"/>
  <c r="A19" i="10"/>
  <c r="V18" i="10"/>
  <c r="AD8" i="6" l="1"/>
  <c r="AC8" i="6"/>
  <c r="AF8" i="6"/>
  <c r="AE8" i="6"/>
  <c r="AG8" i="6"/>
  <c r="G17" i="6"/>
  <c r="K9" i="6"/>
  <c r="F18" i="6"/>
  <c r="H21" i="6"/>
  <c r="J21" i="6"/>
  <c r="Q18" i="6"/>
  <c r="Y18" i="6"/>
  <c r="A21" i="11"/>
  <c r="Q20" i="11"/>
  <c r="M15" i="11"/>
  <c r="N15" i="11"/>
  <c r="O15" i="11" s="1"/>
  <c r="P14" i="11"/>
  <c r="R14" i="11" s="1"/>
  <c r="W14" i="11"/>
  <c r="BM8" i="6"/>
  <c r="AS7" i="6"/>
  <c r="AT8" i="6"/>
  <c r="G11" i="10"/>
  <c r="E10" i="10"/>
  <c r="F10" i="10"/>
  <c r="A19" i="6"/>
  <c r="V19" i="10"/>
  <c r="A20" i="10"/>
  <c r="AD9" i="6" l="1"/>
  <c r="AC9" i="6"/>
  <c r="AF9" i="6"/>
  <c r="AE9" i="6"/>
  <c r="AG9" i="6"/>
  <c r="G18" i="6"/>
  <c r="F19" i="6"/>
  <c r="K10" i="6"/>
  <c r="Q19" i="6"/>
  <c r="Y19" i="6"/>
  <c r="J22" i="6"/>
  <c r="H22" i="6"/>
  <c r="M16" i="11"/>
  <c r="N16" i="11"/>
  <c r="O16" i="11" s="1"/>
  <c r="P15" i="11"/>
  <c r="R15" i="11" s="1"/>
  <c r="W15" i="11"/>
  <c r="Q21" i="11"/>
  <c r="A22" i="11"/>
  <c r="BM9" i="6"/>
  <c r="AT9" i="6"/>
  <c r="AS8" i="6"/>
  <c r="E11" i="10"/>
  <c r="G12" i="10"/>
  <c r="F11" i="10"/>
  <c r="A20" i="6"/>
  <c r="A21" i="10"/>
  <c r="V20" i="10"/>
  <c r="AC10" i="6" l="1"/>
  <c r="AD10" i="6"/>
  <c r="AF10" i="6"/>
  <c r="AE10" i="6"/>
  <c r="AG10" i="6"/>
  <c r="G19" i="6"/>
  <c r="F20" i="6"/>
  <c r="K11" i="6"/>
  <c r="H23" i="6"/>
  <c r="J23" i="6"/>
  <c r="Q20" i="6"/>
  <c r="Y20" i="6"/>
  <c r="Q22" i="11"/>
  <c r="A23" i="11"/>
  <c r="P16" i="11"/>
  <c r="R16" i="11" s="1"/>
  <c r="W16" i="11"/>
  <c r="M17" i="11"/>
  <c r="N17" i="11"/>
  <c r="O17" i="11" s="1"/>
  <c r="BM10" i="6"/>
  <c r="AS9" i="6"/>
  <c r="AT10" i="6"/>
  <c r="G13" i="10"/>
  <c r="E12" i="10"/>
  <c r="F12" i="10"/>
  <c r="A21" i="6"/>
  <c r="A22" i="10"/>
  <c r="V21" i="10"/>
  <c r="AC11" i="6" l="1"/>
  <c r="AD11" i="6"/>
  <c r="AF11" i="6"/>
  <c r="AE11" i="6"/>
  <c r="AG11" i="6"/>
  <c r="G20" i="6"/>
  <c r="K12" i="6"/>
  <c r="F21" i="6"/>
  <c r="J24" i="6"/>
  <c r="Q21" i="6"/>
  <c r="Y21" i="6"/>
  <c r="H24" i="6"/>
  <c r="A24" i="11"/>
  <c r="Q23" i="11"/>
  <c r="M18" i="11"/>
  <c r="N18" i="11"/>
  <c r="O18" i="11" s="1"/>
  <c r="P17" i="11"/>
  <c r="R17" i="11" s="1"/>
  <c r="W17" i="11"/>
  <c r="BM11" i="6"/>
  <c r="AT11" i="6"/>
  <c r="AS10" i="6"/>
  <c r="E13" i="10"/>
  <c r="G14" i="10"/>
  <c r="F13" i="10"/>
  <c r="A22" i="6"/>
  <c r="V22" i="10"/>
  <c r="A23" i="10"/>
  <c r="AD12" i="6" l="1"/>
  <c r="AC12" i="6"/>
  <c r="AF12" i="6"/>
  <c r="AE12" i="6"/>
  <c r="AG12" i="6"/>
  <c r="G21" i="6"/>
  <c r="F22" i="6"/>
  <c r="K13" i="6"/>
  <c r="H25" i="6"/>
  <c r="J25" i="6"/>
  <c r="Y22" i="6"/>
  <c r="Q22" i="6"/>
  <c r="P18" i="11"/>
  <c r="R18" i="11" s="1"/>
  <c r="W18" i="11"/>
  <c r="A25" i="11"/>
  <c r="Q24" i="11"/>
  <c r="M19" i="11"/>
  <c r="N19" i="11"/>
  <c r="O19" i="11" s="1"/>
  <c r="BM12" i="6"/>
  <c r="AT12" i="6"/>
  <c r="AS11" i="6"/>
  <c r="G15" i="10"/>
  <c r="E14" i="10"/>
  <c r="F14" i="10"/>
  <c r="A23" i="6"/>
  <c r="A24" i="10"/>
  <c r="V23" i="10"/>
  <c r="AC13" i="6" l="1"/>
  <c r="AD13" i="6"/>
  <c r="AF13" i="6"/>
  <c r="AE13" i="6"/>
  <c r="AG13" i="6"/>
  <c r="G22" i="6"/>
  <c r="K14" i="6"/>
  <c r="F23" i="6"/>
  <c r="J26" i="6"/>
  <c r="H26" i="6"/>
  <c r="Q23" i="6"/>
  <c r="Y23" i="6"/>
  <c r="M20" i="11"/>
  <c r="N20" i="11"/>
  <c r="O20" i="11" s="1"/>
  <c r="P19" i="11"/>
  <c r="R19" i="11" s="1"/>
  <c r="W19" i="11"/>
  <c r="Q25" i="11"/>
  <c r="A26" i="11"/>
  <c r="BM13" i="6"/>
  <c r="AT13" i="6"/>
  <c r="AS12" i="6"/>
  <c r="E15" i="10"/>
  <c r="G16" i="10"/>
  <c r="F15" i="10"/>
  <c r="A24" i="6"/>
  <c r="V24" i="10"/>
  <c r="A25" i="10"/>
  <c r="AC14" i="6" l="1"/>
  <c r="AD14" i="6"/>
  <c r="AF14" i="6"/>
  <c r="AE14" i="6"/>
  <c r="AG14" i="6"/>
  <c r="G23" i="6"/>
  <c r="F24" i="6"/>
  <c r="K15" i="6"/>
  <c r="H27" i="6"/>
  <c r="Q24" i="6"/>
  <c r="Y24" i="6"/>
  <c r="J27" i="6"/>
  <c r="Q26" i="11"/>
  <c r="A27" i="11"/>
  <c r="M21" i="11"/>
  <c r="N21" i="11"/>
  <c r="O21" i="11" s="1"/>
  <c r="W20" i="11"/>
  <c r="P20" i="11"/>
  <c r="R20" i="11" s="1"/>
  <c r="BM14" i="6"/>
  <c r="AT14" i="6"/>
  <c r="AS13" i="6"/>
  <c r="G17" i="10"/>
  <c r="E16" i="10"/>
  <c r="F16" i="10"/>
  <c r="A25" i="6"/>
  <c r="V25" i="10"/>
  <c r="A26" i="10"/>
  <c r="AD15" i="6" l="1"/>
  <c r="AC15" i="6"/>
  <c r="AF15" i="6"/>
  <c r="AE15" i="6"/>
  <c r="AG15" i="6"/>
  <c r="G24" i="6"/>
  <c r="K16" i="6"/>
  <c r="F25" i="6"/>
  <c r="Q25" i="6"/>
  <c r="Y25" i="6"/>
  <c r="H28" i="6"/>
  <c r="J28" i="6"/>
  <c r="M22" i="11"/>
  <c r="N22" i="11"/>
  <c r="O22" i="11" s="1"/>
  <c r="P21" i="11"/>
  <c r="R21" i="11" s="1"/>
  <c r="W21" i="11"/>
  <c r="Q27" i="11"/>
  <c r="A28" i="11"/>
  <c r="BM15" i="6"/>
  <c r="AT15" i="6"/>
  <c r="AS14" i="6"/>
  <c r="E17" i="10"/>
  <c r="G18" i="10"/>
  <c r="F17" i="10"/>
  <c r="A26" i="6"/>
  <c r="A27" i="10"/>
  <c r="V26" i="10"/>
  <c r="AD16" i="6" l="1"/>
  <c r="AC16" i="6"/>
  <c r="AF16" i="6"/>
  <c r="AE16" i="6"/>
  <c r="AG16" i="6"/>
  <c r="G25" i="6"/>
  <c r="F26" i="6"/>
  <c r="K17" i="6"/>
  <c r="Q26" i="6"/>
  <c r="Y26" i="6"/>
  <c r="H29" i="6"/>
  <c r="J29" i="6"/>
  <c r="W22" i="11"/>
  <c r="P22" i="11"/>
  <c r="R22" i="11" s="1"/>
  <c r="M23" i="11"/>
  <c r="N23" i="11"/>
  <c r="O23" i="11" s="1"/>
  <c r="A29" i="11"/>
  <c r="Q28" i="11"/>
  <c r="BM16" i="6"/>
  <c r="AT16" i="6"/>
  <c r="AS15" i="6"/>
  <c r="G19" i="10"/>
  <c r="E18" i="10"/>
  <c r="F18" i="10"/>
  <c r="A27" i="6"/>
  <c r="A28" i="10"/>
  <c r="V27" i="10"/>
  <c r="AC17" i="6" l="1"/>
  <c r="AD17" i="6"/>
  <c r="AF17" i="6"/>
  <c r="AE17" i="6"/>
  <c r="AG17" i="6"/>
  <c r="G26" i="6"/>
  <c r="K18" i="6"/>
  <c r="F27" i="6"/>
  <c r="H30" i="6"/>
  <c r="Q27" i="6"/>
  <c r="Y27" i="6"/>
  <c r="J30" i="6"/>
  <c r="M24" i="11"/>
  <c r="N24" i="11"/>
  <c r="O24" i="11" s="1"/>
  <c r="Q29" i="11"/>
  <c r="A30" i="11"/>
  <c r="P23" i="11"/>
  <c r="R23" i="11" s="1"/>
  <c r="W23" i="11"/>
  <c r="BM17" i="6"/>
  <c r="AS16" i="6"/>
  <c r="AT17" i="6"/>
  <c r="E19" i="10"/>
  <c r="G20" i="10"/>
  <c r="F19" i="10"/>
  <c r="A28" i="6"/>
  <c r="A29" i="10"/>
  <c r="V28" i="10"/>
  <c r="AC18" i="6" l="1"/>
  <c r="AD18" i="6"/>
  <c r="AF18" i="6"/>
  <c r="AE18" i="6"/>
  <c r="AG18" i="6"/>
  <c r="G27" i="6"/>
  <c r="F28" i="6"/>
  <c r="K19" i="6"/>
  <c r="H31" i="6"/>
  <c r="Y28" i="6"/>
  <c r="Q28" i="6"/>
  <c r="J31" i="6"/>
  <c r="M25" i="11"/>
  <c r="N25" i="11"/>
  <c r="O25" i="11" s="1"/>
  <c r="P24" i="11"/>
  <c r="R24" i="11" s="1"/>
  <c r="W24" i="11"/>
  <c r="A31" i="11"/>
  <c r="Q30" i="11"/>
  <c r="BM18" i="6"/>
  <c r="AS17" i="6"/>
  <c r="AT18" i="6"/>
  <c r="G21" i="10"/>
  <c r="E20" i="10"/>
  <c r="F20" i="10"/>
  <c r="A29" i="6"/>
  <c r="A30" i="10"/>
  <c r="V29" i="10"/>
  <c r="AC19" i="6" l="1"/>
  <c r="AD19" i="6"/>
  <c r="AF19" i="6"/>
  <c r="AE19" i="6"/>
  <c r="AG19" i="6"/>
  <c r="G28" i="6"/>
  <c r="K20" i="6"/>
  <c r="F29" i="6"/>
  <c r="H32" i="6"/>
  <c r="Q29" i="6"/>
  <c r="Y29" i="6"/>
  <c r="J32" i="6"/>
  <c r="P25" i="11"/>
  <c r="R25" i="11" s="1"/>
  <c r="W25" i="11"/>
  <c r="Q31" i="11"/>
  <c r="A32" i="11"/>
  <c r="M26" i="11"/>
  <c r="N26" i="11"/>
  <c r="O26" i="11" s="1"/>
  <c r="BM19" i="6"/>
  <c r="AT19" i="6"/>
  <c r="AS18" i="6"/>
  <c r="G22" i="10"/>
  <c r="E21" i="10"/>
  <c r="F21" i="10"/>
  <c r="A30" i="6"/>
  <c r="V30" i="10"/>
  <c r="A31" i="10"/>
  <c r="AC20" i="6" l="1"/>
  <c r="AD20" i="6"/>
  <c r="AF20" i="6"/>
  <c r="AE20" i="6"/>
  <c r="AG20" i="6"/>
  <c r="G29" i="6"/>
  <c r="F30" i="6"/>
  <c r="K21" i="6"/>
  <c r="J33" i="6"/>
  <c r="H33" i="6"/>
  <c r="Q30" i="6"/>
  <c r="Y30" i="6"/>
  <c r="P26" i="11"/>
  <c r="R26" i="11" s="1"/>
  <c r="W26" i="11"/>
  <c r="M27" i="11"/>
  <c r="N27" i="11"/>
  <c r="O27" i="11" s="1"/>
  <c r="A33" i="11"/>
  <c r="Q32" i="11"/>
  <c r="BM20" i="6"/>
  <c r="AT20" i="6"/>
  <c r="AS19" i="6"/>
  <c r="E22" i="10"/>
  <c r="G23" i="10"/>
  <c r="F22" i="10"/>
  <c r="A31" i="6"/>
  <c r="A32" i="10"/>
  <c r="V31" i="10"/>
  <c r="AC21" i="6" l="1"/>
  <c r="AD21" i="6"/>
  <c r="AF21" i="6"/>
  <c r="AE21" i="6"/>
  <c r="AG21" i="6"/>
  <c r="G30" i="6"/>
  <c r="K22" i="6"/>
  <c r="F31" i="6"/>
  <c r="H34" i="6"/>
  <c r="Y31" i="6"/>
  <c r="Q31" i="6"/>
  <c r="J34" i="6"/>
  <c r="Q33" i="11"/>
  <c r="A34" i="11"/>
  <c r="M28" i="11"/>
  <c r="N28" i="11"/>
  <c r="O28" i="11" s="1"/>
  <c r="P27" i="11"/>
  <c r="R27" i="11" s="1"/>
  <c r="W27" i="11"/>
  <c r="BM21" i="6"/>
  <c r="AT21" i="6"/>
  <c r="AS20" i="6"/>
  <c r="G24" i="10"/>
  <c r="E23" i="10"/>
  <c r="F23" i="10"/>
  <c r="A32" i="6"/>
  <c r="A33" i="10"/>
  <c r="V32" i="10"/>
  <c r="AD22" i="6" l="1"/>
  <c r="AC22" i="6"/>
  <c r="AF22" i="6"/>
  <c r="AE22" i="6"/>
  <c r="AG22" i="6"/>
  <c r="G31" i="6"/>
  <c r="F32" i="6"/>
  <c r="K23" i="6"/>
  <c r="H35" i="6"/>
  <c r="J35" i="6"/>
  <c r="Y32" i="6"/>
  <c r="Q32" i="6"/>
  <c r="A35" i="11"/>
  <c r="Q34" i="11"/>
  <c r="P28" i="11"/>
  <c r="R28" i="11" s="1"/>
  <c r="W28" i="11"/>
  <c r="M29" i="11"/>
  <c r="N29" i="11"/>
  <c r="O29" i="11" s="1"/>
  <c r="BM22" i="6"/>
  <c r="AS21" i="6"/>
  <c r="AT22" i="6"/>
  <c r="E24" i="10"/>
  <c r="G25" i="10"/>
  <c r="F24" i="10"/>
  <c r="A33" i="6"/>
  <c r="A34" i="10"/>
  <c r="V33" i="10"/>
  <c r="AD23" i="6" l="1"/>
  <c r="AC23" i="6"/>
  <c r="AF23" i="6"/>
  <c r="AE23" i="6"/>
  <c r="AG23" i="6"/>
  <c r="G32" i="6"/>
  <c r="K24" i="6"/>
  <c r="F33" i="6"/>
  <c r="H36" i="6"/>
  <c r="Y33" i="6"/>
  <c r="Q33" i="6"/>
  <c r="J36" i="6"/>
  <c r="P29" i="11"/>
  <c r="R29" i="11" s="1"/>
  <c r="W29" i="11"/>
  <c r="A36" i="11"/>
  <c r="Q35" i="11"/>
  <c r="M30" i="11"/>
  <c r="N30" i="11"/>
  <c r="O30" i="11" s="1"/>
  <c r="BM23" i="6"/>
  <c r="AT23" i="6"/>
  <c r="AS22" i="6"/>
  <c r="G26" i="10"/>
  <c r="E25" i="10"/>
  <c r="F25" i="10"/>
  <c r="A34" i="6"/>
  <c r="V34" i="10"/>
  <c r="A35" i="10"/>
  <c r="AC24" i="6" l="1"/>
  <c r="AD24" i="6"/>
  <c r="AF24" i="6"/>
  <c r="AE24" i="6"/>
  <c r="AG24" i="6"/>
  <c r="G33" i="6"/>
  <c r="F34" i="6"/>
  <c r="K25" i="6"/>
  <c r="Q34" i="6"/>
  <c r="Y34" i="6"/>
  <c r="J37" i="6"/>
  <c r="H37" i="6"/>
  <c r="M31" i="11"/>
  <c r="N31" i="11"/>
  <c r="O31" i="11" s="1"/>
  <c r="P30" i="11"/>
  <c r="R30" i="11" s="1"/>
  <c r="W30" i="11"/>
  <c r="Q36" i="11"/>
  <c r="A37" i="11"/>
  <c r="BM24" i="6"/>
  <c r="AT24" i="6"/>
  <c r="AS23" i="6"/>
  <c r="E26" i="10"/>
  <c r="G27" i="10"/>
  <c r="F26" i="10"/>
  <c r="A35" i="6"/>
  <c r="A36" i="10"/>
  <c r="V35" i="10"/>
  <c r="AC25" i="6" l="1"/>
  <c r="AD25" i="6"/>
  <c r="AF25" i="6"/>
  <c r="AE25" i="6"/>
  <c r="AG25" i="6"/>
  <c r="G34" i="6"/>
  <c r="K26" i="6"/>
  <c r="F35" i="6"/>
  <c r="Q35" i="6"/>
  <c r="Y35" i="6"/>
  <c r="H38" i="6"/>
  <c r="J38" i="6"/>
  <c r="M32" i="11"/>
  <c r="N32" i="11"/>
  <c r="O32" i="11" s="1"/>
  <c r="Q37" i="11"/>
  <c r="A38" i="11"/>
  <c r="P31" i="11"/>
  <c r="R31" i="11" s="1"/>
  <c r="W31" i="11"/>
  <c r="BM25" i="6"/>
  <c r="AT25" i="6"/>
  <c r="AS24" i="6"/>
  <c r="G28" i="10"/>
  <c r="E27" i="10"/>
  <c r="F27" i="10"/>
  <c r="A36" i="6"/>
  <c r="A37" i="10"/>
  <c r="V36" i="10"/>
  <c r="AC26" i="6" l="1"/>
  <c r="AD26" i="6"/>
  <c r="AF26" i="6"/>
  <c r="AE26" i="6"/>
  <c r="AG26" i="6"/>
  <c r="G35" i="6"/>
  <c r="F36" i="6"/>
  <c r="K27" i="6"/>
  <c r="Q36" i="6"/>
  <c r="Y36" i="6"/>
  <c r="H39" i="6"/>
  <c r="J39" i="6"/>
  <c r="A39" i="11"/>
  <c r="Q38" i="11"/>
  <c r="P32" i="11"/>
  <c r="R32" i="11" s="1"/>
  <c r="W32" i="11"/>
  <c r="M33" i="11"/>
  <c r="N33" i="11"/>
  <c r="O33" i="11" s="1"/>
  <c r="BM26" i="6"/>
  <c r="AS25" i="6"/>
  <c r="AT26" i="6"/>
  <c r="E28" i="10"/>
  <c r="G29" i="10"/>
  <c r="F28" i="10"/>
  <c r="A37" i="6"/>
  <c r="A38" i="10"/>
  <c r="V37" i="10"/>
  <c r="AD27" i="6" l="1"/>
  <c r="AC27" i="6"/>
  <c r="AF27" i="6"/>
  <c r="AE27" i="6"/>
  <c r="AG27" i="6"/>
  <c r="G36" i="6"/>
  <c r="K28" i="6"/>
  <c r="F37" i="6"/>
  <c r="Q37" i="6"/>
  <c r="Y37" i="6"/>
  <c r="J40" i="6"/>
  <c r="H40" i="6"/>
  <c r="P33" i="11"/>
  <c r="R33" i="11" s="1"/>
  <c r="W33" i="11"/>
  <c r="A40" i="11"/>
  <c r="Q39" i="11"/>
  <c r="M34" i="11"/>
  <c r="N34" i="11"/>
  <c r="O34" i="11" s="1"/>
  <c r="BM27" i="6"/>
  <c r="AT27" i="6"/>
  <c r="AS26" i="6"/>
  <c r="G30" i="10"/>
  <c r="E29" i="10"/>
  <c r="F29" i="10"/>
  <c r="A38" i="6"/>
  <c r="V38" i="10"/>
  <c r="A39" i="10"/>
  <c r="AC28" i="6" l="1"/>
  <c r="AD28" i="6"/>
  <c r="AF28" i="6"/>
  <c r="AE28" i="6"/>
  <c r="AG28" i="6"/>
  <c r="G37" i="6"/>
  <c r="K29" i="6"/>
  <c r="F38" i="6"/>
  <c r="H41" i="6"/>
  <c r="J41" i="6"/>
  <c r="Y38" i="6"/>
  <c r="Q38" i="6"/>
  <c r="Q40" i="11"/>
  <c r="A41" i="11"/>
  <c r="M35" i="11"/>
  <c r="N35" i="11"/>
  <c r="O35" i="11" s="1"/>
  <c r="W34" i="11"/>
  <c r="P34" i="11"/>
  <c r="R34" i="11" s="1"/>
  <c r="BM28" i="6"/>
  <c r="AT28" i="6"/>
  <c r="AS27" i="6"/>
  <c r="E30" i="10"/>
  <c r="G31" i="10"/>
  <c r="F30" i="10"/>
  <c r="A39" i="6"/>
  <c r="V39" i="10"/>
  <c r="A40" i="10"/>
  <c r="AD29" i="6" l="1"/>
  <c r="AC29" i="6"/>
  <c r="AF29" i="6"/>
  <c r="AE29" i="6"/>
  <c r="AG29" i="6"/>
  <c r="G38" i="6"/>
  <c r="F39" i="6"/>
  <c r="K30" i="6"/>
  <c r="J42" i="6"/>
  <c r="H42" i="6"/>
  <c r="Q39" i="6"/>
  <c r="Y39" i="6"/>
  <c r="Q41" i="11"/>
  <c r="A42" i="11"/>
  <c r="M36" i="11"/>
  <c r="N36" i="11"/>
  <c r="O36" i="11" s="1"/>
  <c r="P35" i="11"/>
  <c r="R35" i="11" s="1"/>
  <c r="W35" i="11"/>
  <c r="BM29" i="6"/>
  <c r="AT29" i="6"/>
  <c r="AS28" i="6"/>
  <c r="G32" i="10"/>
  <c r="E31" i="10"/>
  <c r="F31" i="10"/>
  <c r="A40" i="6"/>
  <c r="A41" i="10"/>
  <c r="V40" i="10"/>
  <c r="AD30" i="6" l="1"/>
  <c r="AC30" i="6"/>
  <c r="AF30" i="6"/>
  <c r="AE30" i="6"/>
  <c r="AG30" i="6"/>
  <c r="G39" i="6"/>
  <c r="K31" i="6"/>
  <c r="F40" i="6"/>
  <c r="Q40" i="6"/>
  <c r="Y40" i="6"/>
  <c r="H43" i="6"/>
  <c r="J43" i="6"/>
  <c r="P36" i="11"/>
  <c r="R36" i="11" s="1"/>
  <c r="W36" i="11"/>
  <c r="A43" i="11"/>
  <c r="Q42" i="11"/>
  <c r="M37" i="11"/>
  <c r="N37" i="11"/>
  <c r="O37" i="11" s="1"/>
  <c r="BM30" i="6"/>
  <c r="AS29" i="6"/>
  <c r="AT30" i="6"/>
  <c r="E32" i="10"/>
  <c r="G33" i="10"/>
  <c r="F32" i="10"/>
  <c r="A41" i="6"/>
  <c r="A42" i="10"/>
  <c r="V41" i="10"/>
  <c r="AC31" i="6" l="1"/>
  <c r="AD31" i="6"/>
  <c r="AF31" i="6"/>
  <c r="AE31" i="6"/>
  <c r="AG31" i="6"/>
  <c r="G40" i="6"/>
  <c r="K32" i="6"/>
  <c r="F41" i="6"/>
  <c r="Y41" i="6"/>
  <c r="Q41" i="6"/>
  <c r="J44" i="6"/>
  <c r="H44" i="6"/>
  <c r="P37" i="11"/>
  <c r="R37" i="11" s="1"/>
  <c r="W37" i="11"/>
  <c r="A44" i="11"/>
  <c r="Q43" i="11"/>
  <c r="M38" i="11"/>
  <c r="N38" i="11"/>
  <c r="O38" i="11" s="1"/>
  <c r="BM31" i="6"/>
  <c r="AT31" i="6"/>
  <c r="AS30" i="6"/>
  <c r="E33" i="10"/>
  <c r="G34" i="10"/>
  <c r="F33" i="10"/>
  <c r="A42" i="6"/>
  <c r="V42" i="10"/>
  <c r="A43" i="10"/>
  <c r="AC32" i="6" l="1"/>
  <c r="AD32" i="6"/>
  <c r="AF32" i="6"/>
  <c r="AE32" i="6"/>
  <c r="AG32" i="6"/>
  <c r="G41" i="6"/>
  <c r="K33" i="6"/>
  <c r="F42" i="6"/>
  <c r="H45" i="6"/>
  <c r="J45" i="6"/>
  <c r="Y42" i="6"/>
  <c r="Q42" i="6"/>
  <c r="Q44" i="11"/>
  <c r="A45" i="11"/>
  <c r="P38" i="11"/>
  <c r="R38" i="11" s="1"/>
  <c r="W38" i="11"/>
  <c r="M39" i="11"/>
  <c r="N39" i="11"/>
  <c r="O39" i="11" s="1"/>
  <c r="BM32" i="6"/>
  <c r="AT32" i="6"/>
  <c r="AS31" i="6"/>
  <c r="G35" i="10"/>
  <c r="E34" i="10"/>
  <c r="F34" i="10"/>
  <c r="A43" i="6"/>
  <c r="A44" i="10"/>
  <c r="V43" i="10"/>
  <c r="AC33" i="6" l="1"/>
  <c r="AD33" i="6"/>
  <c r="AF33" i="6"/>
  <c r="AE33" i="6"/>
  <c r="AG33" i="6"/>
  <c r="G42" i="6"/>
  <c r="K34" i="6"/>
  <c r="F43" i="6"/>
  <c r="Q43" i="6"/>
  <c r="Y43" i="6"/>
  <c r="H46" i="6"/>
  <c r="J46" i="6"/>
  <c r="M40" i="11"/>
  <c r="N40" i="11"/>
  <c r="O40" i="11" s="1"/>
  <c r="A46" i="11"/>
  <c r="Q45" i="11"/>
  <c r="P39" i="11"/>
  <c r="R39" i="11" s="1"/>
  <c r="W39" i="11"/>
  <c r="BM33" i="6"/>
  <c r="AT33" i="6"/>
  <c r="AS32" i="6"/>
  <c r="E35" i="10"/>
  <c r="G36" i="10"/>
  <c r="F35" i="10"/>
  <c r="A44" i="6"/>
  <c r="A45" i="10"/>
  <c r="V44" i="10"/>
  <c r="AD34" i="6" l="1"/>
  <c r="AC34" i="6"/>
  <c r="G43" i="6"/>
  <c r="AF34" i="6"/>
  <c r="AE34" i="6"/>
  <c r="AG34" i="6"/>
  <c r="K35" i="6"/>
  <c r="F44" i="6"/>
  <c r="Y44" i="6"/>
  <c r="Q44" i="6"/>
  <c r="H47" i="6"/>
  <c r="J47" i="6"/>
  <c r="M41" i="11"/>
  <c r="N41" i="11"/>
  <c r="O41" i="11" s="1"/>
  <c r="P40" i="11"/>
  <c r="R40" i="11" s="1"/>
  <c r="W40" i="11"/>
  <c r="Q46" i="11"/>
  <c r="A47" i="11"/>
  <c r="BM34" i="6"/>
  <c r="AS33" i="6"/>
  <c r="AT34" i="6"/>
  <c r="G37" i="10"/>
  <c r="E36" i="10"/>
  <c r="F36" i="10"/>
  <c r="A45" i="6"/>
  <c r="V45" i="10"/>
  <c r="A46" i="10"/>
  <c r="AD35" i="6" l="1"/>
  <c r="AC35" i="6"/>
  <c r="AF35" i="6"/>
  <c r="AE35" i="6"/>
  <c r="AG35" i="6"/>
  <c r="G44" i="6"/>
  <c r="K36" i="6"/>
  <c r="F45" i="6"/>
  <c r="H48" i="6"/>
  <c r="Q45" i="6"/>
  <c r="Y45" i="6"/>
  <c r="J48" i="6"/>
  <c r="M42" i="11"/>
  <c r="N42" i="11"/>
  <c r="O42" i="11" s="1"/>
  <c r="P41" i="11"/>
  <c r="R41" i="11" s="1"/>
  <c r="W41" i="11"/>
  <c r="A48" i="11"/>
  <c r="Q47" i="11"/>
  <c r="BM35" i="6"/>
  <c r="AS34" i="6"/>
  <c r="AT35" i="6"/>
  <c r="E37" i="10"/>
  <c r="G38" i="10"/>
  <c r="F37" i="10"/>
  <c r="A46" i="6"/>
  <c r="V46" i="10"/>
  <c r="A47" i="10"/>
  <c r="AD36" i="6" l="1"/>
  <c r="AC36" i="6"/>
  <c r="AF36" i="6"/>
  <c r="AE36" i="6"/>
  <c r="AG36" i="6"/>
  <c r="G45" i="6"/>
  <c r="F46" i="6"/>
  <c r="K37" i="6"/>
  <c r="H49" i="6"/>
  <c r="Q46" i="6"/>
  <c r="Y46" i="6"/>
  <c r="J49" i="6"/>
  <c r="A49" i="11"/>
  <c r="Q48" i="11"/>
  <c r="M43" i="11"/>
  <c r="N43" i="11"/>
  <c r="O43" i="11" s="1"/>
  <c r="P42" i="11"/>
  <c r="R42" i="11" s="1"/>
  <c r="W42" i="11"/>
  <c r="BM36" i="6"/>
  <c r="AT36" i="6"/>
  <c r="AS35" i="6"/>
  <c r="G39" i="10"/>
  <c r="E38" i="10"/>
  <c r="F38" i="10"/>
  <c r="A47" i="6"/>
  <c r="A48" i="10"/>
  <c r="V47" i="10"/>
  <c r="AD37" i="6" l="1"/>
  <c r="AC37" i="6"/>
  <c r="AF37" i="6"/>
  <c r="AE37" i="6"/>
  <c r="AG37" i="6"/>
  <c r="G46" i="6"/>
  <c r="K38" i="6"/>
  <c r="F47" i="6"/>
  <c r="H50" i="6"/>
  <c r="Q47" i="6"/>
  <c r="Y47" i="6"/>
  <c r="J50" i="6"/>
  <c r="P43" i="11"/>
  <c r="R43" i="11" s="1"/>
  <c r="W43" i="11"/>
  <c r="A50" i="11"/>
  <c r="Q49" i="11"/>
  <c r="M44" i="11"/>
  <c r="N44" i="11"/>
  <c r="O44" i="11" s="1"/>
  <c r="BM37" i="6"/>
  <c r="AT37" i="6"/>
  <c r="AS36" i="6"/>
  <c r="G40" i="10"/>
  <c r="E39" i="10"/>
  <c r="F39" i="10"/>
  <c r="A48" i="6"/>
  <c r="A49" i="10"/>
  <c r="V48" i="10"/>
  <c r="AC38" i="6" l="1"/>
  <c r="AD38" i="6"/>
  <c r="AF38" i="6"/>
  <c r="AE38" i="6"/>
  <c r="AG38" i="6"/>
  <c r="G47" i="6"/>
  <c r="F48" i="6"/>
  <c r="K39" i="6"/>
  <c r="H51" i="6"/>
  <c r="J51" i="6"/>
  <c r="Y48" i="6"/>
  <c r="Q48" i="6"/>
  <c r="M45" i="11"/>
  <c r="N45" i="11"/>
  <c r="O45" i="11" s="1"/>
  <c r="Q50" i="11"/>
  <c r="A51" i="11"/>
  <c r="W44" i="11"/>
  <c r="P44" i="11"/>
  <c r="R44" i="11" s="1"/>
  <c r="BM38" i="6"/>
  <c r="AT38" i="6"/>
  <c r="AS37" i="6"/>
  <c r="E40" i="10"/>
  <c r="G41" i="10"/>
  <c r="F40" i="10"/>
  <c r="A49" i="6"/>
  <c r="A50" i="10"/>
  <c r="V49" i="10"/>
  <c r="AC39" i="6" l="1"/>
  <c r="AD39" i="6"/>
  <c r="AF39" i="6"/>
  <c r="AE39" i="6"/>
  <c r="AG39" i="6"/>
  <c r="G48" i="6"/>
  <c r="K40" i="6"/>
  <c r="F49" i="6"/>
  <c r="J52" i="6"/>
  <c r="H52" i="6"/>
  <c r="Q49" i="6"/>
  <c r="Y49" i="6"/>
  <c r="P45" i="11"/>
  <c r="R45" i="11" s="1"/>
  <c r="W45" i="11"/>
  <c r="M46" i="11"/>
  <c r="N46" i="11"/>
  <c r="O46" i="11" s="1"/>
  <c r="A52" i="11"/>
  <c r="Q51" i="11"/>
  <c r="BM39" i="6"/>
  <c r="AS38" i="6"/>
  <c r="AT39" i="6"/>
  <c r="G42" i="10"/>
  <c r="E41" i="10"/>
  <c r="F41" i="10"/>
  <c r="A50" i="6"/>
  <c r="A51" i="10"/>
  <c r="V50" i="10"/>
  <c r="AD40" i="6" l="1"/>
  <c r="AC40" i="6"/>
  <c r="AF40" i="6"/>
  <c r="AE40" i="6"/>
  <c r="AG40" i="6"/>
  <c r="G49" i="6"/>
  <c r="F50" i="6"/>
  <c r="K41" i="6"/>
  <c r="Y50" i="6"/>
  <c r="Q50" i="6"/>
  <c r="H53" i="6"/>
  <c r="J53" i="6"/>
  <c r="P46" i="11"/>
  <c r="R46" i="11" s="1"/>
  <c r="W46" i="11"/>
  <c r="Q52" i="11"/>
  <c r="A53" i="11"/>
  <c r="M47" i="11"/>
  <c r="N47" i="11"/>
  <c r="O47" i="11" s="1"/>
  <c r="BM40" i="6"/>
  <c r="AT40" i="6"/>
  <c r="AS39" i="6"/>
  <c r="E42" i="10"/>
  <c r="G43" i="10"/>
  <c r="F42" i="10"/>
  <c r="A51" i="6"/>
  <c r="A52" i="10"/>
  <c r="V51" i="10"/>
  <c r="AC41" i="6" l="1"/>
  <c r="AD41" i="6"/>
  <c r="AF41" i="6"/>
  <c r="AE41" i="6"/>
  <c r="AG41" i="6"/>
  <c r="G50" i="6"/>
  <c r="K42" i="6"/>
  <c r="F51" i="6"/>
  <c r="Q51" i="6"/>
  <c r="Y51" i="6"/>
  <c r="J54" i="6"/>
  <c r="H54" i="6"/>
  <c r="Q53" i="11"/>
  <c r="A54" i="11"/>
  <c r="M48" i="11"/>
  <c r="N48" i="11"/>
  <c r="O48" i="11" s="1"/>
  <c r="P47" i="11"/>
  <c r="R47" i="11" s="1"/>
  <c r="W47" i="11"/>
  <c r="BM41" i="6"/>
  <c r="AT41" i="6"/>
  <c r="AS40" i="6"/>
  <c r="E43" i="10"/>
  <c r="G44" i="10"/>
  <c r="F43" i="10"/>
  <c r="A52" i="6"/>
  <c r="A53" i="10"/>
  <c r="V52" i="10"/>
  <c r="AC42" i="6" l="1"/>
  <c r="AD42" i="6"/>
  <c r="AF42" i="6"/>
  <c r="AE42" i="6"/>
  <c r="AG42" i="6"/>
  <c r="G51" i="6"/>
  <c r="F52" i="6"/>
  <c r="K43" i="6"/>
  <c r="J55" i="6"/>
  <c r="Q52" i="6"/>
  <c r="Y52" i="6"/>
  <c r="H55" i="6"/>
  <c r="M49" i="11"/>
  <c r="N49" i="11"/>
  <c r="O49" i="11" s="1"/>
  <c r="P48" i="11"/>
  <c r="R48" i="11" s="1"/>
  <c r="W48" i="11"/>
  <c r="A55" i="11"/>
  <c r="Q54" i="11"/>
  <c r="BM42" i="6"/>
  <c r="AS41" i="6"/>
  <c r="AT42" i="6"/>
  <c r="G45" i="10"/>
  <c r="E44" i="10"/>
  <c r="F44" i="10"/>
  <c r="A53" i="6"/>
  <c r="V53" i="10"/>
  <c r="A54" i="10"/>
  <c r="AD43" i="6" l="1"/>
  <c r="AC43" i="6"/>
  <c r="AF43" i="6"/>
  <c r="AE43" i="6"/>
  <c r="AG43" i="6"/>
  <c r="G52" i="6"/>
  <c r="K44" i="6"/>
  <c r="F53" i="6"/>
  <c r="J56" i="6"/>
  <c r="Y53" i="6"/>
  <c r="Q53" i="6"/>
  <c r="H56" i="6"/>
  <c r="P49" i="11"/>
  <c r="R49" i="11" s="1"/>
  <c r="W49" i="11"/>
  <c r="M50" i="11"/>
  <c r="N50" i="11"/>
  <c r="O50" i="11" s="1"/>
  <c r="A56" i="11"/>
  <c r="Q55" i="11"/>
  <c r="BM43" i="6"/>
  <c r="AS42" i="6"/>
  <c r="AT43" i="6"/>
  <c r="E45" i="10"/>
  <c r="G46" i="10"/>
  <c r="F45" i="10"/>
  <c r="A54" i="6"/>
  <c r="V54" i="10"/>
  <c r="A55" i="10"/>
  <c r="AD44" i="6" l="1"/>
  <c r="AC44" i="6"/>
  <c r="AF44" i="6"/>
  <c r="AE44" i="6"/>
  <c r="AG44" i="6"/>
  <c r="G53" i="6"/>
  <c r="F54" i="6"/>
  <c r="K45" i="6"/>
  <c r="J57" i="6"/>
  <c r="Q54" i="6"/>
  <c r="Y54" i="6"/>
  <c r="H57" i="6"/>
  <c r="Q56" i="11"/>
  <c r="A57" i="11"/>
  <c r="M51" i="11"/>
  <c r="N51" i="11"/>
  <c r="O51" i="11" s="1"/>
  <c r="P50" i="11"/>
  <c r="R50" i="11" s="1"/>
  <c r="W50" i="11"/>
  <c r="BM44" i="6"/>
  <c r="AT44" i="6"/>
  <c r="AS43" i="6"/>
  <c r="G47" i="10"/>
  <c r="E46" i="10"/>
  <c r="F46" i="10"/>
  <c r="A55" i="6"/>
  <c r="A56" i="10"/>
  <c r="V55" i="10"/>
  <c r="AD45" i="6" l="1"/>
  <c r="AC45" i="6"/>
  <c r="AF45" i="6"/>
  <c r="AE45" i="6"/>
  <c r="AG45" i="6"/>
  <c r="G54" i="6"/>
  <c r="K46" i="6"/>
  <c r="F55" i="6"/>
  <c r="H58" i="6"/>
  <c r="Q55" i="6"/>
  <c r="Y55" i="6"/>
  <c r="J58" i="6"/>
  <c r="P51" i="11"/>
  <c r="R51" i="11" s="1"/>
  <c r="W51" i="11"/>
  <c r="M52" i="11"/>
  <c r="N52" i="11"/>
  <c r="O52" i="11" s="1"/>
  <c r="A58" i="11"/>
  <c r="Q57" i="11"/>
  <c r="BM45" i="6"/>
  <c r="AT45" i="6"/>
  <c r="AS44" i="6"/>
  <c r="G48" i="10"/>
  <c r="E47" i="10"/>
  <c r="F47" i="10"/>
  <c r="A56" i="6"/>
  <c r="A57" i="10"/>
  <c r="V56" i="10"/>
  <c r="AC46" i="6" l="1"/>
  <c r="AD46" i="6"/>
  <c r="AF46" i="6"/>
  <c r="AE46" i="6"/>
  <c r="AG46" i="6"/>
  <c r="G55" i="6"/>
  <c r="F56" i="6"/>
  <c r="K47" i="6"/>
  <c r="Q56" i="6"/>
  <c r="Y56" i="6"/>
  <c r="J59" i="6"/>
  <c r="H59" i="6"/>
  <c r="P52" i="11"/>
  <c r="R52" i="11" s="1"/>
  <c r="W52" i="11"/>
  <c r="M53" i="11"/>
  <c r="N53" i="11"/>
  <c r="O53" i="11" s="1"/>
  <c r="A59" i="11"/>
  <c r="Q58" i="11"/>
  <c r="BM46" i="6"/>
  <c r="AS45" i="6"/>
  <c r="AT46" i="6"/>
  <c r="G49" i="10"/>
  <c r="E48" i="10"/>
  <c r="F48" i="10"/>
  <c r="A57" i="6"/>
  <c r="A58" i="10"/>
  <c r="V57" i="10"/>
  <c r="AD47" i="6" l="1"/>
  <c r="AC47" i="6"/>
  <c r="AF47" i="6"/>
  <c r="AE47" i="6"/>
  <c r="AG47" i="6"/>
  <c r="G56" i="6"/>
  <c r="K48" i="6"/>
  <c r="F57" i="6"/>
  <c r="J60" i="6"/>
  <c r="Q57" i="6"/>
  <c r="Y57" i="6"/>
  <c r="H60" i="6"/>
  <c r="Q59" i="11"/>
  <c r="A60" i="11"/>
  <c r="M54" i="11"/>
  <c r="N54" i="11"/>
  <c r="O54" i="11" s="1"/>
  <c r="P53" i="11"/>
  <c r="R53" i="11" s="1"/>
  <c r="W53" i="11"/>
  <c r="BM47" i="6"/>
  <c r="AS46" i="6"/>
  <c r="AT47" i="6"/>
  <c r="G50" i="10"/>
  <c r="E49" i="10"/>
  <c r="F49" i="10"/>
  <c r="A58" i="6"/>
  <c r="A59" i="10"/>
  <c r="V58" i="10"/>
  <c r="AD48" i="6" l="1"/>
  <c r="AC48" i="6"/>
  <c r="AF48" i="6"/>
  <c r="AE48" i="6"/>
  <c r="AG48" i="6"/>
  <c r="G57" i="6"/>
  <c r="F58" i="6"/>
  <c r="K49" i="6"/>
  <c r="Y58" i="6"/>
  <c r="Q58" i="6"/>
  <c r="J61" i="6"/>
  <c r="H61" i="6"/>
  <c r="Q60" i="11"/>
  <c r="A61" i="11"/>
  <c r="M55" i="11"/>
  <c r="N55" i="11"/>
  <c r="O55" i="11" s="1"/>
  <c r="W54" i="11"/>
  <c r="P54" i="11"/>
  <c r="R54" i="11" s="1"/>
  <c r="BM48" i="6"/>
  <c r="AT48" i="6"/>
  <c r="AS47" i="6"/>
  <c r="G51" i="10"/>
  <c r="E50" i="10"/>
  <c r="F50" i="10"/>
  <c r="A59" i="6"/>
  <c r="A60" i="10"/>
  <c r="V59" i="10"/>
  <c r="AC49" i="6" l="1"/>
  <c r="AD49" i="6"/>
  <c r="AF49" i="6"/>
  <c r="AE49" i="6"/>
  <c r="AG49" i="6"/>
  <c r="G58" i="6"/>
  <c r="K50" i="6"/>
  <c r="F59" i="6"/>
  <c r="H62" i="6"/>
  <c r="J62" i="6"/>
  <c r="Q59" i="6"/>
  <c r="Y59" i="6"/>
  <c r="M56" i="11"/>
  <c r="N56" i="11"/>
  <c r="O56" i="11" s="1"/>
  <c r="A62" i="11"/>
  <c r="Q61" i="11"/>
  <c r="P55" i="11"/>
  <c r="R55" i="11" s="1"/>
  <c r="W55" i="11"/>
  <c r="BM49" i="6"/>
  <c r="AT49" i="6"/>
  <c r="AS48" i="6"/>
  <c r="E51" i="10"/>
  <c r="G52" i="10"/>
  <c r="F51" i="10"/>
  <c r="A60" i="6"/>
  <c r="A61" i="10"/>
  <c r="V60" i="10"/>
  <c r="AD50" i="6" l="1"/>
  <c r="AC50" i="6"/>
  <c r="AF50" i="6"/>
  <c r="AE50" i="6"/>
  <c r="AG50" i="6"/>
  <c r="G59" i="6"/>
  <c r="F60" i="6"/>
  <c r="K51" i="6"/>
  <c r="J63" i="6"/>
  <c r="H63" i="6"/>
  <c r="Q60" i="6"/>
  <c r="Y60" i="6"/>
  <c r="M57" i="11"/>
  <c r="N57" i="11"/>
  <c r="O57" i="11" s="1"/>
  <c r="A63" i="11"/>
  <c r="Q62" i="11"/>
  <c r="P56" i="11"/>
  <c r="R56" i="11" s="1"/>
  <c r="W56" i="11"/>
  <c r="BM50" i="6"/>
  <c r="AT50" i="6"/>
  <c r="AS49" i="6"/>
  <c r="G53" i="10"/>
  <c r="E52" i="10"/>
  <c r="F52" i="10"/>
  <c r="A61" i="6"/>
  <c r="A62" i="10"/>
  <c r="V61" i="10"/>
  <c r="AD51" i="6" l="1"/>
  <c r="AC51" i="6"/>
  <c r="AF51" i="6"/>
  <c r="AE51" i="6"/>
  <c r="AG51" i="6"/>
  <c r="G60" i="6"/>
  <c r="K52" i="6"/>
  <c r="F61" i="6"/>
  <c r="H64" i="6"/>
  <c r="Q61" i="6"/>
  <c r="Y61" i="6"/>
  <c r="J64" i="6"/>
  <c r="M58" i="11"/>
  <c r="N58" i="11"/>
  <c r="O58" i="11" s="1"/>
  <c r="P57" i="11"/>
  <c r="R57" i="11" s="1"/>
  <c r="W57" i="11"/>
  <c r="A64" i="11"/>
  <c r="Q63" i="11"/>
  <c r="BM51" i="6"/>
  <c r="AT51" i="6"/>
  <c r="AS50" i="6"/>
  <c r="G54" i="10"/>
  <c r="E53" i="10"/>
  <c r="F53" i="10"/>
  <c r="A62" i="6"/>
  <c r="A63" i="10"/>
  <c r="V62" i="10"/>
  <c r="AC52" i="6" l="1"/>
  <c r="AD52" i="6"/>
  <c r="AF52" i="6"/>
  <c r="AE52" i="6"/>
  <c r="AG52" i="6"/>
  <c r="G61" i="6"/>
  <c r="F62" i="6"/>
  <c r="K53" i="6"/>
  <c r="Y62" i="6"/>
  <c r="Q62" i="6"/>
  <c r="J65" i="6"/>
  <c r="H65" i="6"/>
  <c r="A65" i="11"/>
  <c r="Q64" i="11"/>
  <c r="M59" i="11"/>
  <c r="N59" i="11"/>
  <c r="O59" i="11" s="1"/>
  <c r="P58" i="11"/>
  <c r="R58" i="11" s="1"/>
  <c r="W58" i="11"/>
  <c r="BM52" i="6"/>
  <c r="AS51" i="6"/>
  <c r="AT52" i="6"/>
  <c r="G55" i="10"/>
  <c r="E54" i="10"/>
  <c r="F54" i="10"/>
  <c r="A63" i="6"/>
  <c r="V63" i="10"/>
  <c r="A64" i="10"/>
  <c r="AD53" i="6" l="1"/>
  <c r="AC53" i="6"/>
  <c r="AF53" i="6"/>
  <c r="AE53" i="6"/>
  <c r="AG53" i="6"/>
  <c r="G62" i="6"/>
  <c r="K54" i="6"/>
  <c r="F63" i="6"/>
  <c r="J66" i="6"/>
  <c r="Q63" i="6"/>
  <c r="Y63" i="6"/>
  <c r="H66" i="6"/>
  <c r="P59" i="11"/>
  <c r="R59" i="11" s="1"/>
  <c r="W59" i="11"/>
  <c r="Q65" i="11"/>
  <c r="A66" i="11"/>
  <c r="M60" i="11"/>
  <c r="N60" i="11"/>
  <c r="O60" i="11" s="1"/>
  <c r="BM53" i="6"/>
  <c r="AT53" i="6"/>
  <c r="AS52" i="6"/>
  <c r="E55" i="10"/>
  <c r="G56" i="10"/>
  <c r="F55" i="10"/>
  <c r="A64" i="6"/>
  <c r="V64" i="10"/>
  <c r="A65" i="10"/>
  <c r="AC54" i="6" l="1"/>
  <c r="AD54" i="6"/>
  <c r="G63" i="6"/>
  <c r="AF54" i="6"/>
  <c r="AE54" i="6"/>
  <c r="AG54" i="6"/>
  <c r="F64" i="6"/>
  <c r="K55" i="6"/>
  <c r="H67" i="6"/>
  <c r="J67" i="6"/>
  <c r="Y64" i="6"/>
  <c r="Q64" i="6"/>
  <c r="Q66" i="11"/>
  <c r="A67" i="11"/>
  <c r="P60" i="11"/>
  <c r="R60" i="11" s="1"/>
  <c r="W60" i="11"/>
  <c r="M61" i="11"/>
  <c r="N61" i="11"/>
  <c r="O61" i="11" s="1"/>
  <c r="BM54" i="6"/>
  <c r="AS53" i="6"/>
  <c r="AT54" i="6"/>
  <c r="G57" i="10"/>
  <c r="E56" i="10"/>
  <c r="F56" i="10"/>
  <c r="A65" i="6"/>
  <c r="A66" i="10"/>
  <c r="V65" i="10"/>
  <c r="AC55" i="6" l="1"/>
  <c r="AD55" i="6"/>
  <c r="AF55" i="6"/>
  <c r="AE55" i="6"/>
  <c r="AG55" i="6"/>
  <c r="G64" i="6"/>
  <c r="K56" i="6"/>
  <c r="F65" i="6"/>
  <c r="J68" i="6"/>
  <c r="H68" i="6"/>
  <c r="Y65" i="6"/>
  <c r="Q65" i="6"/>
  <c r="M62" i="11"/>
  <c r="N62" i="11"/>
  <c r="O62" i="11" s="1"/>
  <c r="Q67" i="11"/>
  <c r="A68" i="11"/>
  <c r="P61" i="11"/>
  <c r="R61" i="11" s="1"/>
  <c r="W61" i="11"/>
  <c r="BM55" i="6"/>
  <c r="AS54" i="6"/>
  <c r="AT55" i="6"/>
  <c r="G58" i="10"/>
  <c r="E57" i="10"/>
  <c r="F57" i="10"/>
  <c r="A66" i="6"/>
  <c r="A67" i="10"/>
  <c r="V66" i="10"/>
  <c r="AC56" i="6" l="1"/>
  <c r="AD56" i="6"/>
  <c r="G65" i="6"/>
  <c r="AF56" i="6"/>
  <c r="AE56" i="6"/>
  <c r="AG56" i="6"/>
  <c r="F66" i="6"/>
  <c r="K57" i="6"/>
  <c r="J69" i="6"/>
  <c r="Y66" i="6"/>
  <c r="Q66" i="6"/>
  <c r="H69" i="6"/>
  <c r="M63" i="11"/>
  <c r="N63" i="11"/>
  <c r="O63" i="11" s="1"/>
  <c r="P62" i="11"/>
  <c r="R62" i="11" s="1"/>
  <c r="W62" i="11"/>
  <c r="Q68" i="11"/>
  <c r="A69" i="11"/>
  <c r="BM56" i="6"/>
  <c r="AT56" i="6"/>
  <c r="AS55" i="6"/>
  <c r="G59" i="10"/>
  <c r="E58" i="10"/>
  <c r="F58" i="10"/>
  <c r="A67" i="6"/>
  <c r="A68" i="10"/>
  <c r="V67" i="10"/>
  <c r="AD57" i="6" l="1"/>
  <c r="AC57" i="6"/>
  <c r="G66" i="6"/>
  <c r="AF57" i="6"/>
  <c r="AE57" i="6"/>
  <c r="AG57" i="6"/>
  <c r="K58" i="6"/>
  <c r="F67" i="6"/>
  <c r="H70" i="6"/>
  <c r="J70" i="6"/>
  <c r="Q67" i="6"/>
  <c r="Y67" i="6"/>
  <c r="A70" i="11"/>
  <c r="Q69" i="11"/>
  <c r="P63" i="11"/>
  <c r="R63" i="11" s="1"/>
  <c r="W63" i="11"/>
  <c r="M64" i="11"/>
  <c r="N64" i="11"/>
  <c r="O64" i="11" s="1"/>
  <c r="BM57" i="6"/>
  <c r="AT57" i="6"/>
  <c r="AS56" i="6"/>
  <c r="E59" i="10"/>
  <c r="G60" i="10"/>
  <c r="F59" i="10"/>
  <c r="A68" i="6"/>
  <c r="V68" i="10"/>
  <c r="A69" i="10"/>
  <c r="AD58" i="6" l="1"/>
  <c r="AC58" i="6"/>
  <c r="AF58" i="6"/>
  <c r="AE58" i="6"/>
  <c r="AG58" i="6"/>
  <c r="G67" i="6"/>
  <c r="F68" i="6"/>
  <c r="K59" i="6"/>
  <c r="H71" i="6"/>
  <c r="Q68" i="6"/>
  <c r="Y68" i="6"/>
  <c r="J71" i="6"/>
  <c r="Q70" i="11"/>
  <c r="A71" i="11"/>
  <c r="N66" i="11"/>
  <c r="O66" i="11" s="1"/>
  <c r="P66" i="11" s="1"/>
  <c r="R66" i="11" s="1"/>
  <c r="M65" i="11"/>
  <c r="N65" i="11"/>
  <c r="O65" i="11" s="1"/>
  <c r="P65" i="11" s="1"/>
  <c r="R65" i="11" s="1"/>
  <c r="P64" i="11"/>
  <c r="R64" i="11" s="1"/>
  <c r="W64" i="11"/>
  <c r="BM58" i="6"/>
  <c r="AT58" i="6"/>
  <c r="AS57" i="6"/>
  <c r="G61" i="10"/>
  <c r="E60" i="10"/>
  <c r="F60" i="10"/>
  <c r="A69" i="6"/>
  <c r="V69" i="10"/>
  <c r="A70" i="10"/>
  <c r="AD59" i="6" l="1"/>
  <c r="AC59" i="6"/>
  <c r="AF59" i="6"/>
  <c r="AE59" i="6"/>
  <c r="AG59" i="6"/>
  <c r="G68" i="6"/>
  <c r="K60" i="6"/>
  <c r="F69" i="6"/>
  <c r="H72" i="6"/>
  <c r="Q69" i="6"/>
  <c r="Y69" i="6"/>
  <c r="J72" i="6"/>
  <c r="N67" i="11"/>
  <c r="O67" i="11" s="1"/>
  <c r="P67" i="11" s="1"/>
  <c r="R67" i="11" s="1"/>
  <c r="Q71" i="11"/>
  <c r="A72" i="11"/>
  <c r="BM59" i="6"/>
  <c r="AT59" i="6"/>
  <c r="AS58" i="6"/>
  <c r="G62" i="10"/>
  <c r="E61" i="10"/>
  <c r="F61" i="10"/>
  <c r="A70" i="6"/>
  <c r="V70" i="10"/>
  <c r="A71" i="10"/>
  <c r="AD60" i="6" l="1"/>
  <c r="AC60" i="6"/>
  <c r="AF60" i="6"/>
  <c r="AE60" i="6"/>
  <c r="AG60" i="6"/>
  <c r="G69" i="6"/>
  <c r="F70" i="6"/>
  <c r="K61" i="6"/>
  <c r="Q70" i="6"/>
  <c r="Y70" i="6"/>
  <c r="H73" i="6"/>
  <c r="J73" i="6"/>
  <c r="A73" i="11"/>
  <c r="Q72" i="11"/>
  <c r="N68" i="11"/>
  <c r="O68" i="11" s="1"/>
  <c r="P68" i="11" s="1"/>
  <c r="R68" i="11" s="1"/>
  <c r="BM60" i="6"/>
  <c r="AT60" i="6"/>
  <c r="AS59" i="6"/>
  <c r="G63" i="10"/>
  <c r="E62" i="10"/>
  <c r="F62" i="10"/>
  <c r="A71" i="6"/>
  <c r="A72" i="10"/>
  <c r="V71" i="10"/>
  <c r="AC61" i="6" l="1"/>
  <c r="AD61" i="6"/>
  <c r="AF61" i="6"/>
  <c r="AE61" i="6"/>
  <c r="AG61" i="6"/>
  <c r="G70" i="6"/>
  <c r="K62" i="6"/>
  <c r="F71" i="6"/>
  <c r="J74" i="6"/>
  <c r="Q71" i="6"/>
  <c r="Y71" i="6"/>
  <c r="H74" i="6"/>
  <c r="Q73" i="11"/>
  <c r="A74" i="11"/>
  <c r="N69" i="11"/>
  <c r="O69" i="11" s="1"/>
  <c r="P69" i="11" s="1"/>
  <c r="R69" i="11" s="1"/>
  <c r="BM61" i="6"/>
  <c r="AT61" i="6"/>
  <c r="AS60" i="6"/>
  <c r="E63" i="10"/>
  <c r="G64" i="10"/>
  <c r="F63" i="10"/>
  <c r="A72" i="6"/>
  <c r="A73" i="10"/>
  <c r="V72" i="10"/>
  <c r="AD62" i="6" l="1"/>
  <c r="AC62" i="6"/>
  <c r="AF62" i="6"/>
  <c r="AE62" i="6"/>
  <c r="AG62" i="6"/>
  <c r="G71" i="6"/>
  <c r="F72" i="6"/>
  <c r="K63" i="6"/>
  <c r="J75" i="6"/>
  <c r="Y72" i="6"/>
  <c r="Q72" i="6"/>
  <c r="H75" i="6"/>
  <c r="N70" i="11"/>
  <c r="O70" i="11" s="1"/>
  <c r="P70" i="11" s="1"/>
  <c r="R70" i="11" s="1"/>
  <c r="A75" i="11"/>
  <c r="Q74" i="11"/>
  <c r="BM62" i="6"/>
  <c r="AS61" i="6"/>
  <c r="AT62" i="6"/>
  <c r="E64" i="10"/>
  <c r="G65" i="10"/>
  <c r="F64" i="10"/>
  <c r="A73" i="6"/>
  <c r="V73" i="10"/>
  <c r="A74" i="10"/>
  <c r="AC63" i="6" l="1"/>
  <c r="AD63" i="6"/>
  <c r="AF63" i="6"/>
  <c r="AE63" i="6"/>
  <c r="AG63" i="6"/>
  <c r="G72" i="6"/>
  <c r="K64" i="6"/>
  <c r="F73" i="6"/>
  <c r="H76" i="6"/>
  <c r="J76" i="6"/>
  <c r="Q73" i="6"/>
  <c r="Y73" i="6"/>
  <c r="A76" i="11"/>
  <c r="Q75" i="11"/>
  <c r="N71" i="11"/>
  <c r="O71" i="11" s="1"/>
  <c r="P71" i="11" s="1"/>
  <c r="R71" i="11" s="1"/>
  <c r="BM63" i="6"/>
  <c r="AS62" i="6"/>
  <c r="AT63" i="6"/>
  <c r="G66" i="10"/>
  <c r="E65" i="10"/>
  <c r="F65" i="10"/>
  <c r="A74" i="6"/>
  <c r="A75" i="10"/>
  <c r="V74" i="10"/>
  <c r="AD64" i="6" l="1"/>
  <c r="AC64" i="6"/>
  <c r="G73" i="6"/>
  <c r="AE64" i="6"/>
  <c r="AF64" i="6"/>
  <c r="AG64" i="6"/>
  <c r="F74" i="6"/>
  <c r="K65" i="6"/>
  <c r="J77" i="6"/>
  <c r="H77" i="6"/>
  <c r="Q74" i="6"/>
  <c r="Y74" i="6"/>
  <c r="A77" i="11"/>
  <c r="Q76" i="11"/>
  <c r="N72" i="11"/>
  <c r="O72" i="11" s="1"/>
  <c r="P72" i="11" s="1"/>
  <c r="R72" i="11" s="1"/>
  <c r="BM64" i="6"/>
  <c r="AT64" i="6"/>
  <c r="AS63" i="6"/>
  <c r="G67" i="10"/>
  <c r="E66" i="10"/>
  <c r="F66" i="10"/>
  <c r="A75" i="6"/>
  <c r="A76" i="10"/>
  <c r="V75" i="10"/>
  <c r="AD65" i="6" l="1"/>
  <c r="AC65" i="6"/>
  <c r="AF65" i="6"/>
  <c r="AE65" i="6"/>
  <c r="AG65" i="6"/>
  <c r="G74" i="6"/>
  <c r="K66" i="6"/>
  <c r="F75" i="6"/>
  <c r="J78" i="6"/>
  <c r="Y75" i="6"/>
  <c r="Q75" i="6"/>
  <c r="H78" i="6"/>
  <c r="Q77" i="11"/>
  <c r="A78" i="11"/>
  <c r="N73" i="11"/>
  <c r="O73" i="11" s="1"/>
  <c r="P73" i="11" s="1"/>
  <c r="R73" i="11" s="1"/>
  <c r="BM65" i="6"/>
  <c r="G68" i="10"/>
  <c r="E67" i="10"/>
  <c r="F67" i="10"/>
  <c r="A76" i="6"/>
  <c r="A77" i="10"/>
  <c r="V76" i="10"/>
  <c r="AC66" i="6" l="1"/>
  <c r="AD66" i="6"/>
  <c r="AF66" i="6"/>
  <c r="AE66" i="6"/>
  <c r="AG66" i="6"/>
  <c r="G75" i="6"/>
  <c r="F76" i="6"/>
  <c r="K67" i="6"/>
  <c r="J79" i="6"/>
  <c r="Q76" i="6"/>
  <c r="Y76" i="6"/>
  <c r="H79" i="6"/>
  <c r="Q78" i="11"/>
  <c r="A79" i="11"/>
  <c r="N74" i="11"/>
  <c r="O74" i="11" s="1"/>
  <c r="P74" i="11" s="1"/>
  <c r="R74" i="11" s="1"/>
  <c r="BM66" i="6"/>
  <c r="AT65" i="6"/>
  <c r="AS64" i="6"/>
  <c r="E68" i="10"/>
  <c r="G69" i="10"/>
  <c r="F68" i="10"/>
  <c r="A77" i="6"/>
  <c r="V77" i="10"/>
  <c r="A78" i="10"/>
  <c r="AC67" i="6" l="1"/>
  <c r="AD67" i="6"/>
  <c r="AF67" i="6"/>
  <c r="AE67" i="6"/>
  <c r="AG67" i="6"/>
  <c r="G76" i="6"/>
  <c r="K68" i="6"/>
  <c r="F77" i="6"/>
  <c r="J80" i="6"/>
  <c r="H80" i="6"/>
  <c r="Y77" i="6"/>
  <c r="Q77" i="6"/>
  <c r="N75" i="11"/>
  <c r="O75" i="11" s="1"/>
  <c r="P75" i="11" s="1"/>
  <c r="R75" i="11" s="1"/>
  <c r="A80" i="11"/>
  <c r="Q79" i="11"/>
  <c r="BM67" i="6"/>
  <c r="AT66" i="6"/>
  <c r="AS65" i="6"/>
  <c r="G70" i="10"/>
  <c r="E69" i="10"/>
  <c r="F69" i="10"/>
  <c r="A78" i="6"/>
  <c r="A79" i="10"/>
  <c r="V78" i="10"/>
  <c r="AC68" i="6" l="1"/>
  <c r="AD68" i="6"/>
  <c r="AF68" i="6"/>
  <c r="AE68" i="6"/>
  <c r="AG68" i="6"/>
  <c r="G77" i="6"/>
  <c r="F78" i="6"/>
  <c r="K69" i="6"/>
  <c r="J81" i="6"/>
  <c r="Y78" i="6"/>
  <c r="Q78" i="6"/>
  <c r="H81" i="6"/>
  <c r="Q80" i="11"/>
  <c r="A81" i="11"/>
  <c r="N76" i="11"/>
  <c r="O76" i="11" s="1"/>
  <c r="P76" i="11" s="1"/>
  <c r="R76" i="11" s="1"/>
  <c r="BM68" i="6"/>
  <c r="AS66" i="6"/>
  <c r="AT67" i="6"/>
  <c r="E70" i="10"/>
  <c r="G71" i="10"/>
  <c r="F70" i="10"/>
  <c r="A79" i="6"/>
  <c r="A80" i="10"/>
  <c r="V79" i="10"/>
  <c r="AC69" i="6" l="1"/>
  <c r="AD69" i="6"/>
  <c r="AF69" i="6"/>
  <c r="AE69" i="6"/>
  <c r="AG69" i="6"/>
  <c r="G78" i="6"/>
  <c r="K70" i="6"/>
  <c r="F79" i="6"/>
  <c r="H82" i="6"/>
  <c r="Y79" i="6"/>
  <c r="Q79" i="6"/>
  <c r="J82" i="6"/>
  <c r="N77" i="11"/>
  <c r="O77" i="11" s="1"/>
  <c r="P77" i="11" s="1"/>
  <c r="R77" i="11" s="1"/>
  <c r="Q81" i="11"/>
  <c r="A82" i="11"/>
  <c r="BM69" i="6"/>
  <c r="AS67" i="6"/>
  <c r="AT68" i="6"/>
  <c r="G72" i="10"/>
  <c r="E71" i="10"/>
  <c r="F71" i="10"/>
  <c r="A80" i="6"/>
  <c r="A81" i="10"/>
  <c r="V80" i="10"/>
  <c r="AC70" i="6" l="1"/>
  <c r="AD70" i="6"/>
  <c r="AF70" i="6"/>
  <c r="AE70" i="6"/>
  <c r="AG70" i="6"/>
  <c r="G79" i="6"/>
  <c r="F80" i="6"/>
  <c r="K71" i="6"/>
  <c r="J83" i="6"/>
  <c r="Q80" i="6"/>
  <c r="Y80" i="6"/>
  <c r="H83" i="6"/>
  <c r="N78" i="11"/>
  <c r="O78" i="11" s="1"/>
  <c r="P78" i="11" s="1"/>
  <c r="R78" i="11" s="1"/>
  <c r="A83" i="11"/>
  <c r="Q82" i="11"/>
  <c r="BM70" i="6"/>
  <c r="AS68" i="6"/>
  <c r="AT69" i="6"/>
  <c r="E72" i="10"/>
  <c r="G73" i="10"/>
  <c r="F72" i="10"/>
  <c r="A81" i="6"/>
  <c r="V81" i="10"/>
  <c r="A82" i="10"/>
  <c r="AD71" i="6" l="1"/>
  <c r="AC71" i="6"/>
  <c r="AE71" i="6"/>
  <c r="AF71" i="6"/>
  <c r="AG71" i="6"/>
  <c r="G80" i="6"/>
  <c r="K72" i="6"/>
  <c r="F81" i="6"/>
  <c r="Q81" i="6"/>
  <c r="Y81" i="6"/>
  <c r="H84" i="6"/>
  <c r="J84" i="6"/>
  <c r="N79" i="11"/>
  <c r="O79" i="11" s="1"/>
  <c r="P79" i="11" s="1"/>
  <c r="R79" i="11" s="1"/>
  <c r="A84" i="11"/>
  <c r="Q83" i="11"/>
  <c r="BM71" i="6"/>
  <c r="AT70" i="6"/>
  <c r="AS69" i="6"/>
  <c r="G74" i="10"/>
  <c r="E73" i="10"/>
  <c r="F73" i="10"/>
  <c r="A82" i="6"/>
  <c r="V82" i="10"/>
  <c r="A83" i="10"/>
  <c r="AD72" i="6" l="1"/>
  <c r="AC72" i="6"/>
  <c r="AF72" i="6"/>
  <c r="AE72" i="6"/>
  <c r="AG72" i="6"/>
  <c r="G81" i="6"/>
  <c r="F82" i="6"/>
  <c r="K73" i="6"/>
  <c r="J85" i="6"/>
  <c r="H85" i="6"/>
  <c r="Q82" i="6"/>
  <c r="Y82" i="6"/>
  <c r="N80" i="11"/>
  <c r="O80" i="11" s="1"/>
  <c r="P80" i="11" s="1"/>
  <c r="R80" i="11" s="1"/>
  <c r="A85" i="11"/>
  <c r="Q84" i="11"/>
  <c r="BM72" i="6"/>
  <c r="AT71" i="6"/>
  <c r="AS70" i="6"/>
  <c r="E74" i="10"/>
  <c r="G75" i="10"/>
  <c r="F74" i="10"/>
  <c r="A83" i="6"/>
  <c r="V83" i="10"/>
  <c r="A84" i="10"/>
  <c r="AC73" i="6" l="1"/>
  <c r="AD73" i="6"/>
  <c r="G82" i="6"/>
  <c r="AE73" i="6"/>
  <c r="AF73" i="6"/>
  <c r="AG73" i="6"/>
  <c r="K74" i="6"/>
  <c r="F83" i="6"/>
  <c r="H86" i="6"/>
  <c r="J86" i="6"/>
  <c r="Q83" i="6"/>
  <c r="Y83" i="6"/>
  <c r="Q85" i="11"/>
  <c r="A86" i="11"/>
  <c r="N81" i="11"/>
  <c r="O81" i="11" s="1"/>
  <c r="P81" i="11" s="1"/>
  <c r="R81" i="11" s="1"/>
  <c r="BM73" i="6"/>
  <c r="G76" i="10"/>
  <c r="E75" i="10"/>
  <c r="F75" i="10"/>
  <c r="A84" i="6"/>
  <c r="A85" i="10"/>
  <c r="V84" i="10"/>
  <c r="AC74" i="6" l="1"/>
  <c r="AD74" i="6"/>
  <c r="G83" i="6"/>
  <c r="AF74" i="6"/>
  <c r="AE74" i="6"/>
  <c r="AG74" i="6"/>
  <c r="F84" i="6"/>
  <c r="K75" i="6"/>
  <c r="H87" i="6"/>
  <c r="J87" i="6"/>
  <c r="Y84" i="6"/>
  <c r="Q84" i="6"/>
  <c r="N82" i="11"/>
  <c r="O82" i="11" s="1"/>
  <c r="P82" i="11" s="1"/>
  <c r="R82" i="11" s="1"/>
  <c r="A87" i="11"/>
  <c r="Q86" i="11"/>
  <c r="BM74" i="6"/>
  <c r="AS71" i="6"/>
  <c r="AT72" i="6"/>
  <c r="E76" i="10"/>
  <c r="G77" i="10"/>
  <c r="F76" i="10"/>
  <c r="A85" i="6"/>
  <c r="V85" i="10"/>
  <c r="A86" i="10"/>
  <c r="AC75" i="6" l="1"/>
  <c r="AD75" i="6"/>
  <c r="G84" i="6"/>
  <c r="AE75" i="6"/>
  <c r="AF75" i="6"/>
  <c r="AG75" i="6"/>
  <c r="K76" i="6"/>
  <c r="F85" i="6"/>
  <c r="J88" i="6"/>
  <c r="Y85" i="6"/>
  <c r="Q85" i="6"/>
  <c r="H88" i="6"/>
  <c r="N83" i="11"/>
  <c r="O83" i="11" s="1"/>
  <c r="P83" i="11" s="1"/>
  <c r="R83" i="11" s="1"/>
  <c r="Q87" i="11"/>
  <c r="A88" i="11"/>
  <c r="BM75" i="6"/>
  <c r="AS72" i="6"/>
  <c r="AT73" i="6"/>
  <c r="G78" i="10"/>
  <c r="E77" i="10"/>
  <c r="F77" i="10"/>
  <c r="A86" i="6"/>
  <c r="A87" i="10"/>
  <c r="V86" i="10"/>
  <c r="AC76" i="6" l="1"/>
  <c r="AD76" i="6"/>
  <c r="G85" i="6"/>
  <c r="AF76" i="6"/>
  <c r="AE76" i="6"/>
  <c r="AG76" i="6"/>
  <c r="K77" i="6"/>
  <c r="F86" i="6"/>
  <c r="H89" i="6"/>
  <c r="J89" i="6"/>
  <c r="Q86" i="6"/>
  <c r="Y86" i="6"/>
  <c r="N84" i="11"/>
  <c r="O84" i="11" s="1"/>
  <c r="P84" i="11" s="1"/>
  <c r="R84" i="11" s="1"/>
  <c r="Q88" i="11"/>
  <c r="A89" i="11"/>
  <c r="BM76" i="6"/>
  <c r="AT74" i="6"/>
  <c r="AS73" i="6"/>
  <c r="AS74" i="6"/>
  <c r="E78" i="10"/>
  <c r="G79" i="10"/>
  <c r="F78" i="10"/>
  <c r="A87" i="6"/>
  <c r="A88" i="10"/>
  <c r="V87" i="10"/>
  <c r="AC77" i="6" l="1"/>
  <c r="AD77" i="6"/>
  <c r="AF77" i="6"/>
  <c r="AE77" i="6"/>
  <c r="AG77" i="6"/>
  <c r="G86" i="6"/>
  <c r="F87" i="6"/>
  <c r="K78" i="6"/>
  <c r="Y87" i="6"/>
  <c r="Q87" i="6"/>
  <c r="J90" i="6"/>
  <c r="H90" i="6"/>
  <c r="A90" i="11"/>
  <c r="Q89" i="11"/>
  <c r="N85" i="11"/>
  <c r="O85" i="11" s="1"/>
  <c r="P85" i="11" s="1"/>
  <c r="R85" i="11" s="1"/>
  <c r="BM77" i="6"/>
  <c r="G80" i="10"/>
  <c r="E79" i="10"/>
  <c r="F79" i="10"/>
  <c r="A88" i="6"/>
  <c r="A89" i="10"/>
  <c r="V88" i="10"/>
  <c r="AD78" i="6" l="1"/>
  <c r="AC78" i="6"/>
  <c r="G87" i="6"/>
  <c r="AE78" i="6"/>
  <c r="AF78" i="6"/>
  <c r="AG78" i="6"/>
  <c r="K79" i="6"/>
  <c r="F88" i="6"/>
  <c r="J91" i="6"/>
  <c r="H91" i="6"/>
  <c r="Q88" i="6"/>
  <c r="Y88" i="6"/>
  <c r="A91" i="11"/>
  <c r="Q90" i="11"/>
  <c r="N86" i="11"/>
  <c r="O86" i="11" s="1"/>
  <c r="P86" i="11" s="1"/>
  <c r="R86" i="11" s="1"/>
  <c r="BM78" i="6"/>
  <c r="E80" i="10"/>
  <c r="G81" i="10"/>
  <c r="F80" i="10"/>
  <c r="A89" i="6"/>
  <c r="V89" i="10"/>
  <c r="A90" i="10"/>
  <c r="AD79" i="6" l="1"/>
  <c r="AC79" i="6"/>
  <c r="AF79" i="6"/>
  <c r="AE79" i="6"/>
  <c r="AG79" i="6"/>
  <c r="G88" i="6"/>
  <c r="F89" i="6"/>
  <c r="K80" i="6"/>
  <c r="H92" i="6"/>
  <c r="J92" i="6"/>
  <c r="Q89" i="6"/>
  <c r="Y89" i="6"/>
  <c r="N87" i="11"/>
  <c r="O87" i="11" s="1"/>
  <c r="P87" i="11" s="1"/>
  <c r="R87" i="11" s="1"/>
  <c r="A92" i="11"/>
  <c r="Q91" i="11"/>
  <c r="BM79" i="6"/>
  <c r="G82" i="10"/>
  <c r="E81" i="10"/>
  <c r="F81" i="10"/>
  <c r="A90" i="6"/>
  <c r="A91" i="10"/>
  <c r="V90" i="10"/>
  <c r="AC80" i="6" l="1"/>
  <c r="AD80" i="6"/>
  <c r="AF80" i="6"/>
  <c r="AE80" i="6"/>
  <c r="AG80" i="6"/>
  <c r="G89" i="6"/>
  <c r="K81" i="6"/>
  <c r="F90" i="6"/>
  <c r="H93" i="6"/>
  <c r="Q90" i="6"/>
  <c r="Y90" i="6"/>
  <c r="J93" i="6"/>
  <c r="A93" i="11"/>
  <c r="Q92" i="11"/>
  <c r="N88" i="11"/>
  <c r="O88" i="11" s="1"/>
  <c r="P88" i="11" s="1"/>
  <c r="R88" i="11" s="1"/>
  <c r="BM80" i="6"/>
  <c r="E82" i="10"/>
  <c r="G83" i="10"/>
  <c r="F82" i="10"/>
  <c r="A91" i="6"/>
  <c r="A92" i="10"/>
  <c r="V91" i="10"/>
  <c r="AC81" i="6" l="1"/>
  <c r="AD81" i="6"/>
  <c r="AF81" i="6"/>
  <c r="AE81" i="6"/>
  <c r="AG81" i="6"/>
  <c r="G90" i="6"/>
  <c r="F91" i="6"/>
  <c r="K82" i="6"/>
  <c r="J94" i="6"/>
  <c r="H94" i="6"/>
  <c r="Q91" i="6"/>
  <c r="Y91" i="6"/>
  <c r="Q93" i="11"/>
  <c r="A94" i="11"/>
  <c r="N89" i="11"/>
  <c r="O89" i="11" s="1"/>
  <c r="P89" i="11" s="1"/>
  <c r="R89" i="11" s="1"/>
  <c r="BM81" i="6"/>
  <c r="G84" i="10"/>
  <c r="E83" i="10"/>
  <c r="F83" i="10"/>
  <c r="A92" i="6"/>
  <c r="A93" i="10"/>
  <c r="V92" i="10"/>
  <c r="AC82" i="6" l="1"/>
  <c r="AD82" i="6"/>
  <c r="AF82" i="6"/>
  <c r="AE82" i="6"/>
  <c r="AG82" i="6"/>
  <c r="G91" i="6"/>
  <c r="F92" i="6"/>
  <c r="K83" i="6"/>
  <c r="Y92" i="6"/>
  <c r="Q92" i="6"/>
  <c r="H95" i="6"/>
  <c r="J95" i="6"/>
  <c r="N90" i="11"/>
  <c r="O90" i="11" s="1"/>
  <c r="P90" i="11" s="1"/>
  <c r="R90" i="11" s="1"/>
  <c r="Q94" i="11"/>
  <c r="A95" i="11"/>
  <c r="BM82" i="6"/>
  <c r="E84" i="10"/>
  <c r="G85" i="10"/>
  <c r="F84" i="10"/>
  <c r="A93" i="6"/>
  <c r="V93" i="10"/>
  <c r="A94" i="10"/>
  <c r="AC83" i="6" l="1"/>
  <c r="AD83" i="6"/>
  <c r="AF83" i="6"/>
  <c r="AE83" i="6"/>
  <c r="AG83" i="6"/>
  <c r="G92" i="6"/>
  <c r="F93" i="6"/>
  <c r="K84" i="6"/>
  <c r="J96" i="6"/>
  <c r="H96" i="6"/>
  <c r="Q93" i="6"/>
  <c r="Y93" i="6"/>
  <c r="N91" i="11"/>
  <c r="O91" i="11" s="1"/>
  <c r="P91" i="11" s="1"/>
  <c r="R91" i="11" s="1"/>
  <c r="Q95" i="11"/>
  <c r="A96" i="11"/>
  <c r="BM83" i="6"/>
  <c r="G86" i="10"/>
  <c r="E85" i="10"/>
  <c r="F85" i="10"/>
  <c r="A94" i="6"/>
  <c r="A95" i="10"/>
  <c r="V94" i="10"/>
  <c r="AC84" i="6" l="1"/>
  <c r="AD84" i="6"/>
  <c r="G93" i="6"/>
  <c r="AF84" i="6"/>
  <c r="AE84" i="6"/>
  <c r="AG84" i="6"/>
  <c r="F94" i="6"/>
  <c r="K85" i="6"/>
  <c r="H97" i="6"/>
  <c r="Q94" i="6"/>
  <c r="Y94" i="6"/>
  <c r="J97" i="6"/>
  <c r="N92" i="11"/>
  <c r="O92" i="11" s="1"/>
  <c r="P92" i="11" s="1"/>
  <c r="R92" i="11" s="1"/>
  <c r="Q96" i="11"/>
  <c r="A97" i="11"/>
  <c r="BM84" i="6"/>
  <c r="E86" i="10"/>
  <c r="G87" i="10"/>
  <c r="F86" i="10"/>
  <c r="A95" i="6"/>
  <c r="A96" i="10"/>
  <c r="V95" i="10"/>
  <c r="AD85" i="6" l="1"/>
  <c r="AC85" i="6"/>
  <c r="AF85" i="6"/>
  <c r="AE85" i="6"/>
  <c r="AG85" i="6"/>
  <c r="G94" i="6"/>
  <c r="K86" i="6"/>
  <c r="F95" i="6"/>
  <c r="H98" i="6"/>
  <c r="J98" i="6"/>
  <c r="Q95" i="6"/>
  <c r="Y95" i="6"/>
  <c r="A98" i="11"/>
  <c r="Q97" i="11"/>
  <c r="N93" i="11"/>
  <c r="O93" i="11" s="1"/>
  <c r="P93" i="11" s="1"/>
  <c r="R93" i="11" s="1"/>
  <c r="BM85" i="6"/>
  <c r="G88" i="10"/>
  <c r="E87" i="10"/>
  <c r="F87" i="10"/>
  <c r="A96" i="6"/>
  <c r="A97" i="10"/>
  <c r="V96" i="10"/>
  <c r="AD86" i="6" l="1"/>
  <c r="AC86" i="6"/>
  <c r="AF86" i="6"/>
  <c r="AE86" i="6"/>
  <c r="AG86" i="6"/>
  <c r="G95" i="6"/>
  <c r="F96" i="6"/>
  <c r="K87" i="6"/>
  <c r="H99" i="6"/>
  <c r="Q96" i="6"/>
  <c r="Y96" i="6"/>
  <c r="J99" i="6"/>
  <c r="A99" i="11"/>
  <c r="Q98" i="11"/>
  <c r="N94" i="11"/>
  <c r="O94" i="11" s="1"/>
  <c r="P94" i="11" s="1"/>
  <c r="R94" i="11" s="1"/>
  <c r="BM86" i="6"/>
  <c r="E88" i="10"/>
  <c r="G89" i="10"/>
  <c r="F88" i="10"/>
  <c r="A97" i="6"/>
  <c r="V97" i="10"/>
  <c r="A98" i="10"/>
  <c r="AC87" i="6" l="1"/>
  <c r="AD87" i="6"/>
  <c r="G96" i="6"/>
  <c r="AF87" i="6"/>
  <c r="AE87" i="6"/>
  <c r="AG87" i="6"/>
  <c r="K88" i="6"/>
  <c r="F97" i="6"/>
  <c r="J100" i="6"/>
  <c r="H100" i="6"/>
  <c r="Y97" i="6"/>
  <c r="Q97" i="6"/>
  <c r="Q99" i="11"/>
  <c r="A100" i="11"/>
  <c r="N95" i="11"/>
  <c r="O95" i="11" s="1"/>
  <c r="P95" i="11" s="1"/>
  <c r="R95" i="11" s="1"/>
  <c r="BM87" i="6"/>
  <c r="G90" i="10"/>
  <c r="E89" i="10"/>
  <c r="F89" i="10"/>
  <c r="A98" i="6"/>
  <c r="V98" i="10"/>
  <c r="A99" i="10"/>
  <c r="AC88" i="6" l="1"/>
  <c r="AD88" i="6"/>
  <c r="AE88" i="6"/>
  <c r="AF88" i="6"/>
  <c r="AG88" i="6"/>
  <c r="G97" i="6"/>
  <c r="F98" i="6"/>
  <c r="K89" i="6"/>
  <c r="H101" i="6"/>
  <c r="J101" i="6"/>
  <c r="Y98" i="6"/>
  <c r="Q98" i="6"/>
  <c r="Q100" i="11"/>
  <c r="A101" i="11"/>
  <c r="N96" i="11"/>
  <c r="O96" i="11" s="1"/>
  <c r="P96" i="11" s="1"/>
  <c r="R96" i="11" s="1"/>
  <c r="BM88" i="6"/>
  <c r="E90" i="10"/>
  <c r="G91" i="10"/>
  <c r="F90" i="10"/>
  <c r="A99" i="6"/>
  <c r="V99" i="10"/>
  <c r="A100" i="10"/>
  <c r="AC89" i="6" l="1"/>
  <c r="AD89" i="6"/>
  <c r="AF89" i="6"/>
  <c r="AE89" i="6"/>
  <c r="AG89" i="6"/>
  <c r="G98" i="6"/>
  <c r="K90" i="6"/>
  <c r="F99" i="6"/>
  <c r="H102" i="6"/>
  <c r="Q99" i="6"/>
  <c r="Y99" i="6"/>
  <c r="J102" i="6"/>
  <c r="A102" i="11"/>
  <c r="Q101" i="11"/>
  <c r="N97" i="11"/>
  <c r="O97" i="11" s="1"/>
  <c r="P97" i="11" s="1"/>
  <c r="R97" i="11" s="1"/>
  <c r="BM89" i="6"/>
  <c r="E91" i="10"/>
  <c r="G92" i="10"/>
  <c r="F91" i="10"/>
  <c r="A100" i="6"/>
  <c r="A101" i="10"/>
  <c r="V100" i="10"/>
  <c r="AC90" i="6" l="1"/>
  <c r="AD90" i="6"/>
  <c r="AF90" i="6"/>
  <c r="AE90" i="6"/>
  <c r="AG90" i="6"/>
  <c r="G99" i="6"/>
  <c r="F100" i="6"/>
  <c r="K91" i="6"/>
  <c r="J103" i="6"/>
  <c r="H103" i="6"/>
  <c r="Y100" i="6"/>
  <c r="Q100" i="6"/>
  <c r="N98" i="11"/>
  <c r="O98" i="11" s="1"/>
  <c r="P98" i="11" s="1"/>
  <c r="R98" i="11" s="1"/>
  <c r="Q102" i="11"/>
  <c r="A103" i="11"/>
  <c r="BM90" i="6"/>
  <c r="G93" i="10"/>
  <c r="E92" i="10"/>
  <c r="F92" i="10"/>
  <c r="A101" i="6"/>
  <c r="V101" i="10"/>
  <c r="A102" i="10"/>
  <c r="AC91" i="6" l="1"/>
  <c r="AD91" i="6"/>
  <c r="AF91" i="6"/>
  <c r="AE91" i="6"/>
  <c r="AG91" i="6"/>
  <c r="G100" i="6"/>
  <c r="K92" i="6"/>
  <c r="F101" i="6"/>
  <c r="Q101" i="6"/>
  <c r="Y101" i="6"/>
  <c r="H104" i="6"/>
  <c r="J104" i="6"/>
  <c r="N99" i="11"/>
  <c r="O99" i="11" s="1"/>
  <c r="P99" i="11" s="1"/>
  <c r="R99" i="11" s="1"/>
  <c r="Q103" i="11"/>
  <c r="A104" i="11"/>
  <c r="BM91" i="6"/>
  <c r="E93" i="10"/>
  <c r="G94" i="10"/>
  <c r="F93" i="10"/>
  <c r="F94" i="10" s="1"/>
  <c r="F95" i="10" s="1"/>
  <c r="A102" i="6"/>
  <c r="A103" i="10"/>
  <c r="V102" i="10"/>
  <c r="AD92" i="6" l="1"/>
  <c r="AC92" i="6"/>
  <c r="AF92" i="6"/>
  <c r="AE92" i="6"/>
  <c r="AG92" i="6"/>
  <c r="G101" i="6"/>
  <c r="F102" i="6"/>
  <c r="K93" i="6"/>
  <c r="H105" i="6"/>
  <c r="J105" i="6"/>
  <c r="Y102" i="6"/>
  <c r="Q102" i="6"/>
  <c r="A105" i="11"/>
  <c r="Q104" i="11"/>
  <c r="N100" i="11"/>
  <c r="O100" i="11" s="1"/>
  <c r="P100" i="11" s="1"/>
  <c r="R100" i="11" s="1"/>
  <c r="BM92" i="6"/>
  <c r="G95" i="10"/>
  <c r="E94" i="10"/>
  <c r="A103" i="6"/>
  <c r="A104" i="10"/>
  <c r="V103" i="10"/>
  <c r="AD93" i="6" l="1"/>
  <c r="AC93" i="6"/>
  <c r="AF93" i="6"/>
  <c r="AE93" i="6"/>
  <c r="AG93" i="6"/>
  <c r="G102" i="6"/>
  <c r="F103" i="6"/>
  <c r="K94" i="6"/>
  <c r="J106" i="6"/>
  <c r="Y103" i="6"/>
  <c r="Q103" i="6"/>
  <c r="H106" i="6"/>
  <c r="A106" i="11"/>
  <c r="Q105" i="11"/>
  <c r="N101" i="11"/>
  <c r="O101" i="11" s="1"/>
  <c r="P101" i="11" s="1"/>
  <c r="R101" i="11" s="1"/>
  <c r="BM93" i="6"/>
  <c r="G96" i="10"/>
  <c r="E95" i="10"/>
  <c r="A105" i="10"/>
  <c r="V105" i="10" s="1"/>
  <c r="A104" i="6"/>
  <c r="V104" i="10"/>
  <c r="AC94" i="6" l="1"/>
  <c r="AD94" i="6"/>
  <c r="AF94" i="6"/>
  <c r="AE94" i="6"/>
  <c r="AG94" i="6"/>
  <c r="G103" i="6"/>
  <c r="K95" i="6"/>
  <c r="F104" i="6"/>
  <c r="H107" i="6"/>
  <c r="J107" i="6"/>
  <c r="Y104" i="6"/>
  <c r="Q104" i="6"/>
  <c r="N102" i="11"/>
  <c r="O102" i="11" s="1"/>
  <c r="P102" i="11" s="1"/>
  <c r="R102" i="11" s="1"/>
  <c r="A107" i="11"/>
  <c r="Q106" i="11"/>
  <c r="BM94" i="6"/>
  <c r="E96" i="10"/>
  <c r="G97" i="10"/>
  <c r="F96" i="10"/>
  <c r="A106" i="10"/>
  <c r="V106" i="10" s="1"/>
  <c r="A105" i="6"/>
  <c r="AD95" i="6" l="1"/>
  <c r="AC95" i="6"/>
  <c r="AF95" i="6"/>
  <c r="AE95" i="6"/>
  <c r="AG95" i="6"/>
  <c r="G104" i="6"/>
  <c r="F105" i="6"/>
  <c r="K96" i="6"/>
  <c r="H108" i="6"/>
  <c r="J108" i="6"/>
  <c r="Y105" i="6"/>
  <c r="N103" i="11"/>
  <c r="O103" i="11" s="1"/>
  <c r="P103" i="11" s="1"/>
  <c r="R103" i="11" s="1"/>
  <c r="A108" i="11"/>
  <c r="Q107" i="11"/>
  <c r="BM95" i="6"/>
  <c r="G98" i="10"/>
  <c r="E97" i="10"/>
  <c r="F97" i="10"/>
  <c r="A107" i="10"/>
  <c r="V107" i="10" s="1"/>
  <c r="A106" i="6"/>
  <c r="AD96" i="6" l="1"/>
  <c r="AC96" i="6"/>
  <c r="AF96" i="6"/>
  <c r="AE96" i="6"/>
  <c r="AG96" i="6"/>
  <c r="G105" i="6"/>
  <c r="K97" i="6"/>
  <c r="F106" i="6"/>
  <c r="H109" i="6"/>
  <c r="Y106" i="6"/>
  <c r="J109" i="6"/>
  <c r="Q108" i="11"/>
  <c r="A109" i="11"/>
  <c r="N104" i="11"/>
  <c r="O104" i="11" s="1"/>
  <c r="P104" i="11" s="1"/>
  <c r="R104" i="11" s="1"/>
  <c r="BM96" i="6"/>
  <c r="E98" i="10"/>
  <c r="G99" i="10"/>
  <c r="F98" i="10"/>
  <c r="A108" i="10"/>
  <c r="A109" i="10" s="1"/>
  <c r="A107" i="6"/>
  <c r="AD97" i="6" l="1"/>
  <c r="AC97" i="6"/>
  <c r="AF97" i="6"/>
  <c r="AE97" i="6"/>
  <c r="AG97" i="6"/>
  <c r="G106" i="6"/>
  <c r="F107" i="6"/>
  <c r="K98" i="6"/>
  <c r="H110" i="6"/>
  <c r="Y107" i="6"/>
  <c r="J110" i="6"/>
  <c r="N105" i="11"/>
  <c r="O105" i="11" s="1"/>
  <c r="P105" i="11" s="1"/>
  <c r="R105" i="11" s="1"/>
  <c r="Q109" i="11"/>
  <c r="A110" i="11"/>
  <c r="BM97" i="6"/>
  <c r="V108" i="10"/>
  <c r="G100" i="10"/>
  <c r="E99" i="10"/>
  <c r="F99" i="10"/>
  <c r="V109" i="10"/>
  <c r="A110" i="10"/>
  <c r="A108" i="6"/>
  <c r="AC98" i="6" l="1"/>
  <c r="AD98" i="6"/>
  <c r="AF98" i="6"/>
  <c r="AE98" i="6"/>
  <c r="AG98" i="6"/>
  <c r="G107" i="6"/>
  <c r="K99" i="6"/>
  <c r="F108" i="6"/>
  <c r="H111" i="6"/>
  <c r="J111" i="6"/>
  <c r="Y108" i="6"/>
  <c r="N106" i="11"/>
  <c r="O106" i="11" s="1"/>
  <c r="P106" i="11" s="1"/>
  <c r="R106" i="11" s="1"/>
  <c r="A111" i="11"/>
  <c r="Q110" i="11"/>
  <c r="BM98" i="6"/>
  <c r="E100" i="10"/>
  <c r="G101" i="10"/>
  <c r="F100" i="10"/>
  <c r="V110" i="10"/>
  <c r="A111" i="10"/>
  <c r="A109" i="6"/>
  <c r="AC99" i="6" l="1"/>
  <c r="AD99" i="6"/>
  <c r="AF99" i="6"/>
  <c r="AE99" i="6"/>
  <c r="AG99" i="6"/>
  <c r="G108" i="6"/>
  <c r="F109" i="6"/>
  <c r="K100" i="6"/>
  <c r="J112" i="6"/>
  <c r="H112" i="6"/>
  <c r="Y109" i="6"/>
  <c r="N107" i="11"/>
  <c r="O107" i="11" s="1"/>
  <c r="P107" i="11" s="1"/>
  <c r="R107" i="11" s="1"/>
  <c r="Q111" i="11"/>
  <c r="A112" i="11"/>
  <c r="BM99" i="6"/>
  <c r="E101" i="10"/>
  <c r="G102" i="10"/>
  <c r="F101" i="10"/>
  <c r="A112" i="10"/>
  <c r="V111" i="10"/>
  <c r="A110" i="6"/>
  <c r="AD100" i="6" l="1"/>
  <c r="AC100" i="6"/>
  <c r="AF100" i="6"/>
  <c r="AE100" i="6"/>
  <c r="AG100" i="6"/>
  <c r="G109" i="6"/>
  <c r="K101" i="6"/>
  <c r="F110" i="6"/>
  <c r="H113" i="6"/>
  <c r="J113" i="6"/>
  <c r="Y110" i="6"/>
  <c r="Q112" i="11"/>
  <c r="A113" i="11"/>
  <c r="N108" i="11"/>
  <c r="O108" i="11" s="1"/>
  <c r="P108" i="11" s="1"/>
  <c r="R108" i="11" s="1"/>
  <c r="BM100" i="6"/>
  <c r="G103" i="10"/>
  <c r="E102" i="10"/>
  <c r="F102" i="10"/>
  <c r="A113" i="10"/>
  <c r="V112" i="10"/>
  <c r="A111" i="6"/>
  <c r="AC101" i="6" l="1"/>
  <c r="AD101" i="6"/>
  <c r="AF101" i="6"/>
  <c r="AE101" i="6"/>
  <c r="AG101" i="6"/>
  <c r="G110" i="6"/>
  <c r="F111" i="6"/>
  <c r="K102" i="6"/>
  <c r="H114" i="6"/>
  <c r="J114" i="6"/>
  <c r="Y111" i="6"/>
  <c r="Q113" i="11"/>
  <c r="A114" i="11"/>
  <c r="N109" i="11"/>
  <c r="O109" i="11" s="1"/>
  <c r="P109" i="11" s="1"/>
  <c r="R109" i="11" s="1"/>
  <c r="BM101" i="6"/>
  <c r="E103" i="10"/>
  <c r="G104" i="10"/>
  <c r="F103" i="10"/>
  <c r="V113" i="10"/>
  <c r="A114" i="10"/>
  <c r="A112" i="6"/>
  <c r="AC102" i="6" l="1"/>
  <c r="AD102" i="6"/>
  <c r="AF102" i="6"/>
  <c r="AE102" i="6"/>
  <c r="AG102" i="6"/>
  <c r="G111" i="6"/>
  <c r="K103" i="6"/>
  <c r="F112" i="6"/>
  <c r="J115" i="6"/>
  <c r="H115" i="6"/>
  <c r="Y112" i="6"/>
  <c r="Q114" i="11"/>
  <c r="A115" i="11"/>
  <c r="N110" i="11"/>
  <c r="O110" i="11" s="1"/>
  <c r="P110" i="11" s="1"/>
  <c r="R110" i="11" s="1"/>
  <c r="BM102" i="6"/>
  <c r="G105" i="10"/>
  <c r="E104" i="10"/>
  <c r="F104" i="10"/>
  <c r="A115" i="10"/>
  <c r="V114" i="10"/>
  <c r="A113" i="6"/>
  <c r="AC103" i="6" l="1"/>
  <c r="AD103" i="6"/>
  <c r="AF103" i="6"/>
  <c r="AE103" i="6"/>
  <c r="AG103" i="6"/>
  <c r="G112" i="6"/>
  <c r="F113" i="6"/>
  <c r="K104" i="6"/>
  <c r="H116" i="6"/>
  <c r="J116" i="6"/>
  <c r="Y113" i="6"/>
  <c r="A116" i="11"/>
  <c r="Q115" i="11"/>
  <c r="N111" i="11"/>
  <c r="O111" i="11" s="1"/>
  <c r="P111" i="11" s="1"/>
  <c r="R111" i="11" s="1"/>
  <c r="BM103" i="6"/>
  <c r="E105" i="10"/>
  <c r="G106" i="10"/>
  <c r="F105" i="10"/>
  <c r="A116" i="10"/>
  <c r="V115" i="10"/>
  <c r="A114" i="6"/>
  <c r="AD104" i="6" l="1"/>
  <c r="AC104" i="6"/>
  <c r="AF104" i="6"/>
  <c r="AE104" i="6"/>
  <c r="AG104" i="6"/>
  <c r="G113" i="6"/>
  <c r="K105" i="6"/>
  <c r="F114" i="6"/>
  <c r="Y114" i="6"/>
  <c r="J117" i="6"/>
  <c r="H117" i="6"/>
  <c r="Q116" i="11"/>
  <c r="A117" i="11"/>
  <c r="N112" i="11"/>
  <c r="O112" i="11" s="1"/>
  <c r="P112" i="11" s="1"/>
  <c r="R112" i="11" s="1"/>
  <c r="BM104" i="6"/>
  <c r="G107" i="10"/>
  <c r="E106" i="10"/>
  <c r="F106" i="10"/>
  <c r="A117" i="10"/>
  <c r="V116" i="10"/>
  <c r="A115" i="6"/>
  <c r="AC105" i="6" l="1"/>
  <c r="AD105" i="6"/>
  <c r="AF105" i="6"/>
  <c r="AE105" i="6"/>
  <c r="AG105" i="6"/>
  <c r="G114" i="6"/>
  <c r="F115" i="6"/>
  <c r="K106" i="6"/>
  <c r="Y115" i="6"/>
  <c r="H118" i="6"/>
  <c r="J118" i="6"/>
  <c r="N113" i="11"/>
  <c r="O113" i="11" s="1"/>
  <c r="P113" i="11" s="1"/>
  <c r="R113" i="11" s="1"/>
  <c r="Q117" i="11"/>
  <c r="A118" i="11"/>
  <c r="BM105" i="6"/>
  <c r="E107" i="10"/>
  <c r="G108" i="10"/>
  <c r="F107" i="10"/>
  <c r="A118" i="10"/>
  <c r="V117" i="10"/>
  <c r="A116" i="6"/>
  <c r="AD106" i="6" l="1"/>
  <c r="AC106" i="6"/>
  <c r="AF106" i="6"/>
  <c r="AE106" i="6"/>
  <c r="AG106" i="6"/>
  <c r="G115" i="6"/>
  <c r="K107" i="6"/>
  <c r="F116" i="6"/>
  <c r="Y116" i="6"/>
  <c r="J119" i="6"/>
  <c r="H119" i="6"/>
  <c r="A119" i="11"/>
  <c r="Q118" i="11"/>
  <c r="N114" i="11"/>
  <c r="O114" i="11" s="1"/>
  <c r="P114" i="11" s="1"/>
  <c r="R114" i="11" s="1"/>
  <c r="BM106" i="6"/>
  <c r="G109" i="10"/>
  <c r="E108" i="10"/>
  <c r="F108" i="10"/>
  <c r="A119" i="10"/>
  <c r="V118" i="10"/>
  <c r="A117" i="6"/>
  <c r="AD107" i="6" l="1"/>
  <c r="AC107" i="6"/>
  <c r="AF107" i="6"/>
  <c r="AE107" i="6"/>
  <c r="AG107" i="6"/>
  <c r="G116" i="6"/>
  <c r="F117" i="6"/>
  <c r="K108" i="6"/>
  <c r="Y117" i="6"/>
  <c r="H120" i="6"/>
  <c r="J120" i="6"/>
  <c r="Q119" i="11"/>
  <c r="A120" i="11"/>
  <c r="N115" i="11"/>
  <c r="O115" i="11" s="1"/>
  <c r="P115" i="11" s="1"/>
  <c r="R115" i="11" s="1"/>
  <c r="BM107" i="6"/>
  <c r="E109" i="10"/>
  <c r="G110" i="10"/>
  <c r="F109" i="10"/>
  <c r="A120" i="10"/>
  <c r="V119" i="10"/>
  <c r="A118" i="6"/>
  <c r="AD108" i="6" l="1"/>
  <c r="AC108" i="6"/>
  <c r="AF108" i="6"/>
  <c r="AE108" i="6"/>
  <c r="AG108" i="6"/>
  <c r="G117" i="6"/>
  <c r="F118" i="6"/>
  <c r="K109" i="6"/>
  <c r="H121" i="6"/>
  <c r="J121" i="6"/>
  <c r="Y118" i="6"/>
  <c r="N116" i="11"/>
  <c r="O116" i="11" s="1"/>
  <c r="P116" i="11" s="1"/>
  <c r="R116" i="11" s="1"/>
  <c r="A121" i="11"/>
  <c r="Q120" i="11"/>
  <c r="BM108" i="6"/>
  <c r="G111" i="10"/>
  <c r="E110" i="10"/>
  <c r="F110" i="10"/>
  <c r="A121" i="10"/>
  <c r="V120" i="10"/>
  <c r="A119" i="6"/>
  <c r="AC109" i="6" l="1"/>
  <c r="AD109" i="6"/>
  <c r="AF109" i="6"/>
  <c r="AE109" i="6"/>
  <c r="AG109" i="6"/>
  <c r="G118" i="6"/>
  <c r="F119" i="6"/>
  <c r="K110" i="6"/>
  <c r="H122" i="6"/>
  <c r="Y119" i="6"/>
  <c r="J122" i="6"/>
  <c r="N117" i="11"/>
  <c r="O117" i="11" s="1"/>
  <c r="P117" i="11" s="1"/>
  <c r="R117" i="11" s="1"/>
  <c r="A122" i="11"/>
  <c r="Q121" i="11"/>
  <c r="BM109" i="6"/>
  <c r="E111" i="10"/>
  <c r="G112" i="10"/>
  <c r="F111" i="10"/>
  <c r="V121" i="10"/>
  <c r="A122" i="10"/>
  <c r="A120" i="6"/>
  <c r="AC110" i="6" l="1"/>
  <c r="AD110" i="6"/>
  <c r="AF110" i="6"/>
  <c r="AE110" i="6"/>
  <c r="AG110" i="6"/>
  <c r="G119" i="6"/>
  <c r="K111" i="6"/>
  <c r="F120" i="6"/>
  <c r="Y120" i="6"/>
  <c r="H123" i="6"/>
  <c r="J123" i="6"/>
  <c r="N118" i="11"/>
  <c r="O118" i="11" s="1"/>
  <c r="P118" i="11" s="1"/>
  <c r="R118" i="11" s="1"/>
  <c r="A123" i="11"/>
  <c r="Q122" i="11"/>
  <c r="BM110" i="6"/>
  <c r="G113" i="10"/>
  <c r="E112" i="10"/>
  <c r="F112" i="10"/>
  <c r="A123" i="10"/>
  <c r="V122" i="10"/>
  <c r="A121" i="6"/>
  <c r="AC111" i="6" l="1"/>
  <c r="AD111" i="6"/>
  <c r="AF111" i="6"/>
  <c r="AE111" i="6"/>
  <c r="AG111" i="6"/>
  <c r="G120" i="6"/>
  <c r="F121" i="6"/>
  <c r="K112" i="6"/>
  <c r="Y121" i="6"/>
  <c r="J124" i="6"/>
  <c r="H124" i="6"/>
  <c r="A124" i="11"/>
  <c r="Q123" i="11"/>
  <c r="N119" i="11"/>
  <c r="O119" i="11" s="1"/>
  <c r="P119" i="11" s="1"/>
  <c r="R119" i="11" s="1"/>
  <c r="BM111" i="6"/>
  <c r="E113" i="10"/>
  <c r="G114" i="10"/>
  <c r="F113" i="10"/>
  <c r="A124" i="10"/>
  <c r="V123" i="10"/>
  <c r="A122" i="6"/>
  <c r="AC112" i="6" l="1"/>
  <c r="AD112" i="6"/>
  <c r="AF112" i="6"/>
  <c r="AE112" i="6"/>
  <c r="AG112" i="6"/>
  <c r="G121" i="6"/>
  <c r="K113" i="6"/>
  <c r="F122" i="6"/>
  <c r="Y122" i="6"/>
  <c r="H125" i="6"/>
  <c r="J125" i="6"/>
  <c r="N120" i="11"/>
  <c r="O120" i="11" s="1"/>
  <c r="P120" i="11" s="1"/>
  <c r="R120" i="11" s="1"/>
  <c r="A125" i="11"/>
  <c r="Q124" i="11"/>
  <c r="BM112" i="6"/>
  <c r="G115" i="10"/>
  <c r="E114" i="10"/>
  <c r="F114" i="10"/>
  <c r="A125" i="10"/>
  <c r="V124" i="10"/>
  <c r="A123" i="6"/>
  <c r="AC113" i="6" l="1"/>
  <c r="AD113" i="6"/>
  <c r="AF113" i="6"/>
  <c r="AE113" i="6"/>
  <c r="AG113" i="6"/>
  <c r="G122" i="6"/>
  <c r="F123" i="6"/>
  <c r="K114" i="6"/>
  <c r="Y123" i="6"/>
  <c r="J126" i="6"/>
  <c r="H126" i="6"/>
  <c r="A126" i="11"/>
  <c r="Q125" i="11"/>
  <c r="N121" i="11"/>
  <c r="O121" i="11" s="1"/>
  <c r="P121" i="11" s="1"/>
  <c r="R121" i="11" s="1"/>
  <c r="BM113" i="6"/>
  <c r="E115" i="10"/>
  <c r="G116" i="10"/>
  <c r="F115" i="10"/>
  <c r="V125" i="10"/>
  <c r="A126" i="10"/>
  <c r="A124" i="6"/>
  <c r="AD114" i="6" l="1"/>
  <c r="AC114" i="6"/>
  <c r="AF114" i="6"/>
  <c r="AE114" i="6"/>
  <c r="AG114" i="6"/>
  <c r="G123" i="6"/>
  <c r="K115" i="6"/>
  <c r="F124" i="6"/>
  <c r="J127" i="6"/>
  <c r="H127" i="6"/>
  <c r="Y124" i="6"/>
  <c r="A127" i="11"/>
  <c r="Q126" i="11"/>
  <c r="N122" i="11"/>
  <c r="O122" i="11" s="1"/>
  <c r="P122" i="11" s="1"/>
  <c r="R122" i="11" s="1"/>
  <c r="BM114" i="6"/>
  <c r="G117" i="10"/>
  <c r="E116" i="10"/>
  <c r="F116" i="10"/>
  <c r="A127" i="10"/>
  <c r="V126" i="10"/>
  <c r="A125" i="6"/>
  <c r="AC115" i="6" l="1"/>
  <c r="AD115" i="6"/>
  <c r="AF115" i="6"/>
  <c r="AE115" i="6"/>
  <c r="AG115" i="6"/>
  <c r="G124" i="6"/>
  <c r="F125" i="6"/>
  <c r="K116" i="6"/>
  <c r="Y125" i="6"/>
  <c r="J128" i="6"/>
  <c r="H128" i="6"/>
  <c r="N123" i="11"/>
  <c r="O123" i="11" s="1"/>
  <c r="P123" i="11" s="1"/>
  <c r="R123" i="11" s="1"/>
  <c r="A128" i="11"/>
  <c r="Q127" i="11"/>
  <c r="BM115" i="6"/>
  <c r="E117" i="10"/>
  <c r="G118" i="10"/>
  <c r="F117" i="10"/>
  <c r="A128" i="10"/>
  <c r="V127" i="10"/>
  <c r="A126" i="6"/>
  <c r="AC116" i="6" l="1"/>
  <c r="AD116" i="6"/>
  <c r="AF116" i="6"/>
  <c r="AE116" i="6"/>
  <c r="AG116" i="6"/>
  <c r="G125" i="6"/>
  <c r="K117" i="6"/>
  <c r="F126" i="6"/>
  <c r="H129" i="6"/>
  <c r="Y126" i="6"/>
  <c r="J129" i="6"/>
  <c r="Q128" i="11"/>
  <c r="A129" i="11"/>
  <c r="N124" i="11"/>
  <c r="O124" i="11" s="1"/>
  <c r="P124" i="11" s="1"/>
  <c r="R124" i="11" s="1"/>
  <c r="BM116" i="6"/>
  <c r="G119" i="10"/>
  <c r="E118" i="10"/>
  <c r="F118" i="10"/>
  <c r="A129" i="10"/>
  <c r="V128" i="10"/>
  <c r="A127" i="6"/>
  <c r="AC117" i="6" l="1"/>
  <c r="AD117" i="6"/>
  <c r="AF117" i="6"/>
  <c r="AE117" i="6"/>
  <c r="AG117" i="6"/>
  <c r="G126" i="6"/>
  <c r="F127" i="6"/>
  <c r="K118" i="6"/>
  <c r="Y127" i="6"/>
  <c r="H130" i="6"/>
  <c r="J130" i="6"/>
  <c r="N125" i="11"/>
  <c r="O125" i="11" s="1"/>
  <c r="P125" i="11" s="1"/>
  <c r="R125" i="11" s="1"/>
  <c r="Q129" i="11"/>
  <c r="A130" i="11"/>
  <c r="BM117" i="6"/>
  <c r="E119" i="10"/>
  <c r="G120" i="10"/>
  <c r="F119" i="10"/>
  <c r="V129" i="10"/>
  <c r="A130" i="10"/>
  <c r="A128" i="6"/>
  <c r="AC118" i="6" l="1"/>
  <c r="AD118" i="6"/>
  <c r="AF118" i="6"/>
  <c r="AE118" i="6"/>
  <c r="AG118" i="6"/>
  <c r="G127" i="6"/>
  <c r="K119" i="6"/>
  <c r="F128" i="6"/>
  <c r="Y128" i="6"/>
  <c r="H131" i="6"/>
  <c r="J131" i="6"/>
  <c r="A131" i="11"/>
  <c r="Q130" i="11"/>
  <c r="N126" i="11"/>
  <c r="O126" i="11" s="1"/>
  <c r="P126" i="11" s="1"/>
  <c r="R126" i="11" s="1"/>
  <c r="BM118" i="6"/>
  <c r="G121" i="10"/>
  <c r="E120" i="10"/>
  <c r="F120" i="10"/>
  <c r="A131" i="10"/>
  <c r="V130" i="10"/>
  <c r="A129" i="6"/>
  <c r="AC119" i="6" l="1"/>
  <c r="AD119" i="6"/>
  <c r="AF119" i="6"/>
  <c r="AE119" i="6"/>
  <c r="AG119" i="6"/>
  <c r="G128" i="6"/>
  <c r="F129" i="6"/>
  <c r="K120" i="6"/>
  <c r="Y129" i="6"/>
  <c r="H132" i="6"/>
  <c r="J132" i="6"/>
  <c r="N127" i="11"/>
  <c r="O127" i="11" s="1"/>
  <c r="P127" i="11" s="1"/>
  <c r="R127" i="11" s="1"/>
  <c r="A132" i="11"/>
  <c r="Q131" i="11"/>
  <c r="BM119" i="6"/>
  <c r="E121" i="10"/>
  <c r="G122" i="10"/>
  <c r="F121" i="10"/>
  <c r="V131" i="10"/>
  <c r="A132" i="10"/>
  <c r="A130" i="6"/>
  <c r="AD120" i="6" l="1"/>
  <c r="AC120" i="6"/>
  <c r="AF120" i="6"/>
  <c r="AE120" i="6"/>
  <c r="AG120" i="6"/>
  <c r="G129" i="6"/>
  <c r="K121" i="6"/>
  <c r="F130" i="6"/>
  <c r="Y130" i="6"/>
  <c r="J133" i="6"/>
  <c r="H133" i="6"/>
  <c r="Q132" i="11"/>
  <c r="A133" i="11"/>
  <c r="N128" i="11"/>
  <c r="O128" i="11" s="1"/>
  <c r="P128" i="11" s="1"/>
  <c r="R128" i="11" s="1"/>
  <c r="BM120" i="6"/>
  <c r="E122" i="10"/>
  <c r="G123" i="10"/>
  <c r="F122" i="10"/>
  <c r="A133" i="10"/>
  <c r="V132" i="10"/>
  <c r="A131" i="6"/>
  <c r="AD121" i="6" l="1"/>
  <c r="AC121" i="6"/>
  <c r="AF121" i="6"/>
  <c r="AE121" i="6"/>
  <c r="AG121" i="6"/>
  <c r="G130" i="6"/>
  <c r="F131" i="6"/>
  <c r="K122" i="6"/>
  <c r="J134" i="6"/>
  <c r="H134" i="6"/>
  <c r="Y131" i="6"/>
  <c r="N129" i="11"/>
  <c r="O129" i="11" s="1"/>
  <c r="P129" i="11" s="1"/>
  <c r="R129" i="11" s="1"/>
  <c r="A134" i="11"/>
  <c r="Q133" i="11"/>
  <c r="BM121" i="6"/>
  <c r="E123" i="10"/>
  <c r="G124" i="10"/>
  <c r="F123" i="10"/>
  <c r="V133" i="10"/>
  <c r="A134" i="10"/>
  <c r="A132" i="6"/>
  <c r="AC122" i="6" l="1"/>
  <c r="AD122" i="6"/>
  <c r="AF122" i="6"/>
  <c r="AE122" i="6"/>
  <c r="AG122" i="6"/>
  <c r="G131" i="6"/>
  <c r="K123" i="6"/>
  <c r="F132" i="6"/>
  <c r="Y132" i="6"/>
  <c r="H135" i="6"/>
  <c r="J135" i="6"/>
  <c r="N130" i="11"/>
  <c r="O130" i="11" s="1"/>
  <c r="P130" i="11" s="1"/>
  <c r="R130" i="11" s="1"/>
  <c r="A135" i="11"/>
  <c r="Q134" i="11"/>
  <c r="BM122" i="6"/>
  <c r="G125" i="10"/>
  <c r="E124" i="10"/>
  <c r="F124" i="10"/>
  <c r="A135" i="10"/>
  <c r="V134" i="10"/>
  <c r="A133" i="6"/>
  <c r="AC123" i="6" l="1"/>
  <c r="AD123" i="6"/>
  <c r="AF123" i="6"/>
  <c r="AE123" i="6"/>
  <c r="AG123" i="6"/>
  <c r="G132" i="6"/>
  <c r="F133" i="6"/>
  <c r="K124" i="6"/>
  <c r="H136" i="6"/>
  <c r="J136" i="6"/>
  <c r="Y133" i="6"/>
  <c r="N131" i="11"/>
  <c r="O131" i="11" s="1"/>
  <c r="P131" i="11" s="1"/>
  <c r="R131" i="11" s="1"/>
  <c r="A136" i="11"/>
  <c r="Q135" i="11"/>
  <c r="BM123" i="6"/>
  <c r="E125" i="10"/>
  <c r="G126" i="10"/>
  <c r="F125" i="10"/>
  <c r="A136" i="10"/>
  <c r="V135" i="10"/>
  <c r="A134" i="6"/>
  <c r="AC124" i="6" l="1"/>
  <c r="AD124" i="6"/>
  <c r="AF124" i="6"/>
  <c r="AE124" i="6"/>
  <c r="AG124" i="6"/>
  <c r="G133" i="6"/>
  <c r="K125" i="6"/>
  <c r="F134" i="6"/>
  <c r="Y134" i="6"/>
  <c r="J137" i="6"/>
  <c r="H137" i="6"/>
  <c r="Q136" i="11"/>
  <c r="A137" i="11"/>
  <c r="N132" i="11"/>
  <c r="O132" i="11" s="1"/>
  <c r="P132" i="11" s="1"/>
  <c r="R132" i="11" s="1"/>
  <c r="BM124" i="6"/>
  <c r="E126" i="10"/>
  <c r="G127" i="10"/>
  <c r="F126" i="10"/>
  <c r="V136" i="10"/>
  <c r="A137" i="10"/>
  <c r="A135" i="6"/>
  <c r="AC125" i="6" l="1"/>
  <c r="AD125" i="6"/>
  <c r="AF125" i="6"/>
  <c r="AE125" i="6"/>
  <c r="AG125" i="6"/>
  <c r="G134" i="6"/>
  <c r="F135" i="6"/>
  <c r="K126" i="6"/>
  <c r="H138" i="6"/>
  <c r="J138" i="6"/>
  <c r="Y135" i="6"/>
  <c r="Q137" i="11"/>
  <c r="A138" i="11"/>
  <c r="N133" i="11"/>
  <c r="O133" i="11" s="1"/>
  <c r="P133" i="11" s="1"/>
  <c r="R133" i="11" s="1"/>
  <c r="BM125" i="6"/>
  <c r="G128" i="10"/>
  <c r="E127" i="10"/>
  <c r="F127" i="10"/>
  <c r="A138" i="10"/>
  <c r="V137" i="10"/>
  <c r="A136" i="6"/>
  <c r="AC126" i="6" l="1"/>
  <c r="AD126" i="6"/>
  <c r="AF126" i="6"/>
  <c r="AE126" i="6"/>
  <c r="AG126" i="6"/>
  <c r="G135" i="6"/>
  <c r="F136" i="6"/>
  <c r="K127" i="6"/>
  <c r="J139" i="6"/>
  <c r="H139" i="6"/>
  <c r="Y136" i="6"/>
  <c r="Q138" i="11"/>
  <c r="A139" i="11"/>
  <c r="N134" i="11"/>
  <c r="O134" i="11" s="1"/>
  <c r="P134" i="11" s="1"/>
  <c r="R134" i="11" s="1"/>
  <c r="BM126" i="6"/>
  <c r="G129" i="10"/>
  <c r="E128" i="10"/>
  <c r="F128" i="10"/>
  <c r="A139" i="10"/>
  <c r="V138" i="10"/>
  <c r="A137" i="6"/>
  <c r="AD127" i="6" l="1"/>
  <c r="AC127" i="6"/>
  <c r="AF127" i="6"/>
  <c r="AE127" i="6"/>
  <c r="AG127" i="6"/>
  <c r="G136" i="6"/>
  <c r="K128" i="6"/>
  <c r="F137" i="6"/>
  <c r="H140" i="6"/>
  <c r="Y137" i="6"/>
  <c r="J140" i="6"/>
  <c r="N135" i="11"/>
  <c r="O135" i="11" s="1"/>
  <c r="P135" i="11" s="1"/>
  <c r="R135" i="11" s="1"/>
  <c r="Q139" i="11"/>
  <c r="A140" i="11"/>
  <c r="BM127" i="6"/>
  <c r="G130" i="10"/>
  <c r="E129" i="10"/>
  <c r="F129" i="10"/>
  <c r="V139" i="10"/>
  <c r="A140" i="10"/>
  <c r="A138" i="6"/>
  <c r="AD128" i="6" l="1"/>
  <c r="AC128" i="6"/>
  <c r="AF128" i="6"/>
  <c r="AE128" i="6"/>
  <c r="AG128" i="6"/>
  <c r="G137" i="6"/>
  <c r="K129" i="6"/>
  <c r="F138" i="6"/>
  <c r="J141" i="6"/>
  <c r="H141" i="6"/>
  <c r="Y138" i="6"/>
  <c r="A141" i="11"/>
  <c r="Q140" i="11"/>
  <c r="N136" i="11"/>
  <c r="O136" i="11" s="1"/>
  <c r="P136" i="11" s="1"/>
  <c r="R136" i="11" s="1"/>
  <c r="BM128" i="6"/>
  <c r="E130" i="10"/>
  <c r="G131" i="10"/>
  <c r="F130" i="10"/>
  <c r="V140" i="10"/>
  <c r="A141" i="10"/>
  <c r="A139" i="6"/>
  <c r="AD129" i="6" l="1"/>
  <c r="AC129" i="6"/>
  <c r="AF129" i="6"/>
  <c r="AE129" i="6"/>
  <c r="AG129" i="6"/>
  <c r="G138" i="6"/>
  <c r="K130" i="6"/>
  <c r="F139" i="6"/>
  <c r="Y139" i="6"/>
  <c r="H142" i="6"/>
  <c r="J142" i="6"/>
  <c r="Q141" i="11"/>
  <c r="A142" i="11"/>
  <c r="N137" i="11"/>
  <c r="O137" i="11" s="1"/>
  <c r="P137" i="11" s="1"/>
  <c r="R137" i="11" s="1"/>
  <c r="BM129" i="6"/>
  <c r="E131" i="10"/>
  <c r="G132" i="10"/>
  <c r="F131" i="10"/>
  <c r="V141" i="10"/>
  <c r="A142" i="10"/>
  <c r="A140" i="6"/>
  <c r="AC130" i="6" l="1"/>
  <c r="AD130" i="6"/>
  <c r="AF130" i="6"/>
  <c r="AE130" i="6"/>
  <c r="AG130" i="6"/>
  <c r="G139" i="6"/>
  <c r="F140" i="6"/>
  <c r="K131" i="6"/>
  <c r="Y140" i="6"/>
  <c r="J143" i="6"/>
  <c r="H143" i="6"/>
  <c r="A143" i="11"/>
  <c r="Q142" i="11"/>
  <c r="N138" i="11"/>
  <c r="O138" i="11" s="1"/>
  <c r="P138" i="11" s="1"/>
  <c r="R138" i="11" s="1"/>
  <c r="BM130" i="6"/>
  <c r="G133" i="10"/>
  <c r="E132" i="10"/>
  <c r="F132" i="10"/>
  <c r="V142" i="10"/>
  <c r="A143" i="10"/>
  <c r="A141" i="6"/>
  <c r="AD131" i="6" l="1"/>
  <c r="AC131" i="6"/>
  <c r="AF131" i="6"/>
  <c r="AE131" i="6"/>
  <c r="AG131" i="6"/>
  <c r="G140" i="6"/>
  <c r="K132" i="6"/>
  <c r="F141" i="6"/>
  <c r="Y141" i="6"/>
  <c r="J144" i="6"/>
  <c r="H144" i="6"/>
  <c r="A144" i="11"/>
  <c r="Q143" i="11"/>
  <c r="N139" i="11"/>
  <c r="O139" i="11" s="1"/>
  <c r="P139" i="11" s="1"/>
  <c r="R139" i="11" s="1"/>
  <c r="BM131" i="6"/>
  <c r="E133" i="10"/>
  <c r="G134" i="10"/>
  <c r="F133" i="10"/>
  <c r="V143" i="10"/>
  <c r="A144" i="10"/>
  <c r="A142" i="6"/>
  <c r="AC132" i="6" l="1"/>
  <c r="AD132" i="6"/>
  <c r="AF132" i="6"/>
  <c r="AE132" i="6"/>
  <c r="AG132" i="6"/>
  <c r="G141" i="6"/>
  <c r="F142" i="6"/>
  <c r="K133" i="6"/>
  <c r="H145" i="6"/>
  <c r="Y142" i="6"/>
  <c r="J145" i="6"/>
  <c r="Q144" i="11"/>
  <c r="A145" i="11"/>
  <c r="N140" i="11"/>
  <c r="O140" i="11" s="1"/>
  <c r="P140" i="11" s="1"/>
  <c r="R140" i="11" s="1"/>
  <c r="BM132" i="6"/>
  <c r="E134" i="10"/>
  <c r="G135" i="10"/>
  <c r="F134" i="10"/>
  <c r="V144" i="10"/>
  <c r="A145" i="10"/>
  <c r="A143" i="6"/>
  <c r="AC133" i="6" l="1"/>
  <c r="AD133" i="6"/>
  <c r="AF133" i="6"/>
  <c r="AE133" i="6"/>
  <c r="AG133" i="6"/>
  <c r="G142" i="6"/>
  <c r="K134" i="6"/>
  <c r="F143" i="6"/>
  <c r="H146" i="6"/>
  <c r="Y143" i="6"/>
  <c r="J146" i="6"/>
  <c r="N141" i="11"/>
  <c r="O141" i="11" s="1"/>
  <c r="P141" i="11" s="1"/>
  <c r="R141" i="11" s="1"/>
  <c r="Q145" i="11"/>
  <c r="A146" i="11"/>
  <c r="BM133" i="6"/>
  <c r="E135" i="10"/>
  <c r="G136" i="10"/>
  <c r="F135" i="10"/>
  <c r="A146" i="10"/>
  <c r="V145" i="10"/>
  <c r="A144" i="6"/>
  <c r="AD134" i="6" l="1"/>
  <c r="AC134" i="6"/>
  <c r="AF134" i="6"/>
  <c r="AE134" i="6"/>
  <c r="AG134" i="6"/>
  <c r="G143" i="6"/>
  <c r="F144" i="6"/>
  <c r="K135" i="6"/>
  <c r="Y144" i="6"/>
  <c r="H147" i="6"/>
  <c r="J147" i="6"/>
  <c r="N142" i="11"/>
  <c r="O142" i="11" s="1"/>
  <c r="P142" i="11" s="1"/>
  <c r="R142" i="11" s="1"/>
  <c r="A147" i="11"/>
  <c r="Q146" i="11"/>
  <c r="BM134" i="6"/>
  <c r="G137" i="10"/>
  <c r="E136" i="10"/>
  <c r="F136" i="10"/>
  <c r="V146" i="10"/>
  <c r="A147" i="10"/>
  <c r="A145" i="6"/>
  <c r="AD135" i="6" l="1"/>
  <c r="AC135" i="6"/>
  <c r="AF135" i="6"/>
  <c r="AE135" i="6"/>
  <c r="AG135" i="6"/>
  <c r="G144" i="6"/>
  <c r="K136" i="6"/>
  <c r="F145" i="6"/>
  <c r="Y145" i="6"/>
  <c r="H148" i="6"/>
  <c r="J148" i="6"/>
  <c r="N143" i="11"/>
  <c r="O143" i="11" s="1"/>
  <c r="P143" i="11" s="1"/>
  <c r="R143" i="11" s="1"/>
  <c r="A148" i="11"/>
  <c r="Q147" i="11"/>
  <c r="BM135" i="6"/>
  <c r="G138" i="10"/>
  <c r="E137" i="10"/>
  <c r="F137" i="10"/>
  <c r="V147" i="10"/>
  <c r="A148" i="10"/>
  <c r="A146" i="6"/>
  <c r="AC136" i="6" l="1"/>
  <c r="AD136" i="6"/>
  <c r="AF136" i="6"/>
  <c r="AE136" i="6"/>
  <c r="AG136" i="6"/>
  <c r="G145" i="6"/>
  <c r="F146" i="6"/>
  <c r="K137" i="6"/>
  <c r="H149" i="6"/>
  <c r="Y146" i="6"/>
  <c r="J149" i="6"/>
  <c r="A149" i="11"/>
  <c r="Q148" i="11"/>
  <c r="N144" i="11"/>
  <c r="O144" i="11" s="1"/>
  <c r="P144" i="11" s="1"/>
  <c r="R144" i="11" s="1"/>
  <c r="BM136" i="6"/>
  <c r="E138" i="10"/>
  <c r="G139" i="10"/>
  <c r="F138" i="10"/>
  <c r="V148" i="10"/>
  <c r="A149" i="10"/>
  <c r="A147" i="6"/>
  <c r="AC137" i="6" l="1"/>
  <c r="AD137" i="6"/>
  <c r="AF137" i="6"/>
  <c r="AE137" i="6"/>
  <c r="AG137" i="6"/>
  <c r="G146" i="6"/>
  <c r="K138" i="6"/>
  <c r="F147" i="6"/>
  <c r="J150" i="6"/>
  <c r="H150" i="6"/>
  <c r="Y147" i="6"/>
  <c r="N145" i="11"/>
  <c r="O145" i="11" s="1"/>
  <c r="P145" i="11" s="1"/>
  <c r="R145" i="11" s="1"/>
  <c r="A150" i="11"/>
  <c r="Q149" i="11"/>
  <c r="BM137" i="6"/>
  <c r="G140" i="10"/>
  <c r="E139" i="10"/>
  <c r="F139" i="10"/>
  <c r="A150" i="10"/>
  <c r="V149" i="10"/>
  <c r="A148" i="6"/>
  <c r="AC138" i="6" l="1"/>
  <c r="AD138" i="6"/>
  <c r="AF138" i="6"/>
  <c r="AE138" i="6"/>
  <c r="AG138" i="6"/>
  <c r="G147" i="6"/>
  <c r="F148" i="6"/>
  <c r="K139" i="6"/>
  <c r="H151" i="6"/>
  <c r="Y148" i="6"/>
  <c r="J151" i="6"/>
  <c r="N146" i="11"/>
  <c r="O146" i="11" s="1"/>
  <c r="P146" i="11" s="1"/>
  <c r="R146" i="11" s="1"/>
  <c r="A151" i="11"/>
  <c r="Q150" i="11"/>
  <c r="BM138" i="6"/>
  <c r="G141" i="10"/>
  <c r="E140" i="10"/>
  <c r="F140" i="10"/>
  <c r="A151" i="10"/>
  <c r="V150" i="10"/>
  <c r="A149" i="6"/>
  <c r="AC139" i="6" l="1"/>
  <c r="AD139" i="6"/>
  <c r="AF139" i="6"/>
  <c r="AE139" i="6"/>
  <c r="AG139" i="6"/>
  <c r="G148" i="6"/>
  <c r="K140" i="6"/>
  <c r="F149" i="6"/>
  <c r="Y149" i="6"/>
  <c r="J152" i="6"/>
  <c r="H152" i="6"/>
  <c r="N147" i="11"/>
  <c r="O147" i="11" s="1"/>
  <c r="P147" i="11" s="1"/>
  <c r="R147" i="11" s="1"/>
  <c r="A152" i="11"/>
  <c r="Q151" i="11"/>
  <c r="BM139" i="6"/>
  <c r="E141" i="10"/>
  <c r="G142" i="10"/>
  <c r="F141" i="10"/>
  <c r="V151" i="10"/>
  <c r="A152" i="10"/>
  <c r="A150" i="6"/>
  <c r="AC140" i="6" l="1"/>
  <c r="AD140" i="6"/>
  <c r="AF140" i="6"/>
  <c r="AE140" i="6"/>
  <c r="AG140" i="6"/>
  <c r="G149" i="6"/>
  <c r="F150" i="6"/>
  <c r="K141" i="6"/>
  <c r="Y150" i="6"/>
  <c r="J153" i="6"/>
  <c r="H153" i="6"/>
  <c r="N148" i="11"/>
  <c r="O148" i="11" s="1"/>
  <c r="P148" i="11" s="1"/>
  <c r="R148" i="11" s="1"/>
  <c r="Q152" i="11"/>
  <c r="A153" i="11"/>
  <c r="BM140" i="6"/>
  <c r="G143" i="10"/>
  <c r="E142" i="10"/>
  <c r="F142" i="10"/>
  <c r="V152" i="10"/>
  <c r="A153" i="10"/>
  <c r="A151" i="6"/>
  <c r="AD141" i="6" l="1"/>
  <c r="AC141" i="6"/>
  <c r="AF141" i="6"/>
  <c r="AE141" i="6"/>
  <c r="AG141" i="6"/>
  <c r="G150" i="6"/>
  <c r="K142" i="6"/>
  <c r="F151" i="6"/>
  <c r="Y151" i="6"/>
  <c r="H154" i="6"/>
  <c r="J154" i="6"/>
  <c r="Q153" i="11"/>
  <c r="A154" i="11"/>
  <c r="N149" i="11"/>
  <c r="O149" i="11" s="1"/>
  <c r="P149" i="11" s="1"/>
  <c r="R149" i="11" s="1"/>
  <c r="BM141" i="6"/>
  <c r="E143" i="10"/>
  <c r="G144" i="10"/>
  <c r="F143" i="10"/>
  <c r="V153" i="10"/>
  <c r="A154" i="10"/>
  <c r="A152" i="6"/>
  <c r="AD142" i="6" l="1"/>
  <c r="AC142" i="6"/>
  <c r="AF142" i="6"/>
  <c r="AE142" i="6"/>
  <c r="AG142" i="6"/>
  <c r="G151" i="6"/>
  <c r="F152" i="6"/>
  <c r="K143" i="6"/>
  <c r="Y152" i="6"/>
  <c r="H155" i="6"/>
  <c r="J155" i="6"/>
  <c r="N150" i="11"/>
  <c r="O150" i="11" s="1"/>
  <c r="P150" i="11" s="1"/>
  <c r="R150" i="11" s="1"/>
  <c r="Q154" i="11"/>
  <c r="A155" i="11"/>
  <c r="BM142" i="6"/>
  <c r="G145" i="10"/>
  <c r="E144" i="10"/>
  <c r="F144" i="10"/>
  <c r="V154" i="10"/>
  <c r="A155" i="10"/>
  <c r="A153" i="6"/>
  <c r="AC143" i="6" l="1"/>
  <c r="AD143" i="6"/>
  <c r="AF143" i="6"/>
  <c r="AE143" i="6"/>
  <c r="AG143" i="6"/>
  <c r="G152" i="6"/>
  <c r="K144" i="6"/>
  <c r="F153" i="6"/>
  <c r="H156" i="6"/>
  <c r="J156" i="6"/>
  <c r="Y153" i="6"/>
  <c r="A156" i="11"/>
  <c r="Q155" i="11"/>
  <c r="N151" i="11"/>
  <c r="O151" i="11" s="1"/>
  <c r="P151" i="11" s="1"/>
  <c r="R151" i="11" s="1"/>
  <c r="G146" i="10"/>
  <c r="E145" i="10"/>
  <c r="F145" i="10"/>
  <c r="A156" i="10"/>
  <c r="V155" i="10"/>
  <c r="A154" i="6"/>
  <c r="AC144" i="6" l="1"/>
  <c r="AD144" i="6"/>
  <c r="AF144" i="6"/>
  <c r="AE144" i="6"/>
  <c r="AG144" i="6"/>
  <c r="G153" i="6"/>
  <c r="F154" i="6"/>
  <c r="K145" i="6"/>
  <c r="Y154" i="6"/>
  <c r="J157" i="6"/>
  <c r="H157" i="6"/>
  <c r="N152" i="11"/>
  <c r="O152" i="11" s="1"/>
  <c r="P152" i="11" s="1"/>
  <c r="R152" i="11" s="1"/>
  <c r="A157" i="11"/>
  <c r="Q156" i="11"/>
  <c r="G147" i="10"/>
  <c r="E146" i="10"/>
  <c r="F146" i="10"/>
  <c r="V156" i="10"/>
  <c r="A157" i="10"/>
  <c r="A155" i="6"/>
  <c r="AC145" i="6" l="1"/>
  <c r="AD145" i="6"/>
  <c r="AF145" i="6"/>
  <c r="AE145" i="6"/>
  <c r="AG145" i="6"/>
  <c r="G154" i="6"/>
  <c r="K146" i="6"/>
  <c r="F155" i="6"/>
  <c r="Y155" i="6"/>
  <c r="H158" i="6"/>
  <c r="J158" i="6"/>
  <c r="N153" i="11"/>
  <c r="O153" i="11" s="1"/>
  <c r="P153" i="11" s="1"/>
  <c r="R153" i="11" s="1"/>
  <c r="Q157" i="11"/>
  <c r="A158" i="11"/>
  <c r="E147" i="10"/>
  <c r="G148" i="10"/>
  <c r="F147" i="10"/>
  <c r="V157" i="10"/>
  <c r="A158" i="10"/>
  <c r="A156" i="6"/>
  <c r="AD146" i="6" l="1"/>
  <c r="AC146" i="6"/>
  <c r="AF146" i="6"/>
  <c r="AE146" i="6"/>
  <c r="AG146" i="6"/>
  <c r="G155" i="6"/>
  <c r="F156" i="6"/>
  <c r="K147" i="6"/>
  <c r="Y156" i="6"/>
  <c r="J159" i="6"/>
  <c r="H159" i="6"/>
  <c r="N154" i="11"/>
  <c r="O154" i="11" s="1"/>
  <c r="P154" i="11" s="1"/>
  <c r="R154" i="11" s="1"/>
  <c r="A159" i="11"/>
  <c r="Q158" i="11"/>
  <c r="E148" i="10"/>
  <c r="G149" i="10"/>
  <c r="F148" i="10"/>
  <c r="A159" i="10"/>
  <c r="V158" i="10"/>
  <c r="A157" i="6"/>
  <c r="AC147" i="6" l="1"/>
  <c r="AD147" i="6"/>
  <c r="AF147" i="6"/>
  <c r="AE147" i="6"/>
  <c r="AG147" i="6"/>
  <c r="G156" i="6"/>
  <c r="K148" i="6"/>
  <c r="F157" i="6"/>
  <c r="Y157" i="6"/>
  <c r="H160" i="6"/>
  <c r="J160" i="6"/>
  <c r="N155" i="11"/>
  <c r="O155" i="11" s="1"/>
  <c r="P155" i="11" s="1"/>
  <c r="R155" i="11" s="1"/>
  <c r="A160" i="11"/>
  <c r="Q159" i="11"/>
  <c r="E149" i="10"/>
  <c r="G150" i="10"/>
  <c r="F149" i="10"/>
  <c r="A160" i="10"/>
  <c r="V159" i="10"/>
  <c r="A158" i="6"/>
  <c r="AD148" i="6" l="1"/>
  <c r="AC148" i="6"/>
  <c r="AF148" i="6"/>
  <c r="AE148" i="6"/>
  <c r="AG148" i="6"/>
  <c r="G157" i="6"/>
  <c r="F158" i="6"/>
  <c r="K149" i="6"/>
  <c r="J161" i="6"/>
  <c r="Y158" i="6"/>
  <c r="H161" i="6"/>
  <c r="A161" i="11"/>
  <c r="Q160" i="11"/>
  <c r="N156" i="11"/>
  <c r="O156" i="11" s="1"/>
  <c r="P156" i="11" s="1"/>
  <c r="R156" i="11" s="1"/>
  <c r="G151" i="10"/>
  <c r="E150" i="10"/>
  <c r="F150" i="10"/>
  <c r="V160" i="10"/>
  <c r="A161" i="10"/>
  <c r="A159" i="6"/>
  <c r="AD149" i="6" l="1"/>
  <c r="AC149" i="6"/>
  <c r="AF149" i="6"/>
  <c r="AE149" i="6"/>
  <c r="AG149" i="6"/>
  <c r="G158" i="6"/>
  <c r="K150" i="6"/>
  <c r="F159" i="6"/>
  <c r="Y159" i="6"/>
  <c r="J162" i="6"/>
  <c r="H162" i="6"/>
  <c r="N157" i="11"/>
  <c r="O157" i="11" s="1"/>
  <c r="P157" i="11" s="1"/>
  <c r="R157" i="11" s="1"/>
  <c r="Q161" i="11"/>
  <c r="A162" i="11"/>
  <c r="E151" i="10"/>
  <c r="G152" i="10"/>
  <c r="F151" i="10"/>
  <c r="A162" i="10"/>
  <c r="V161" i="10"/>
  <c r="A160" i="6"/>
  <c r="AD150" i="6" l="1"/>
  <c r="AC150" i="6"/>
  <c r="AF150" i="6"/>
  <c r="AE150" i="6"/>
  <c r="AG150" i="6"/>
  <c r="G159" i="6"/>
  <c r="F160" i="6"/>
  <c r="K151" i="6"/>
  <c r="H163" i="6"/>
  <c r="Y160" i="6"/>
  <c r="J163" i="6"/>
  <c r="N158" i="11"/>
  <c r="O158" i="11" s="1"/>
  <c r="P158" i="11" s="1"/>
  <c r="R158" i="11" s="1"/>
  <c r="Q162" i="11"/>
  <c r="A163" i="11"/>
  <c r="G153" i="10"/>
  <c r="E152" i="10"/>
  <c r="F152" i="10"/>
  <c r="V162" i="10"/>
  <c r="A163" i="10"/>
  <c r="A161" i="6"/>
  <c r="AC151" i="6" l="1"/>
  <c r="AD151" i="6"/>
  <c r="AF151" i="6"/>
  <c r="AE151" i="6"/>
  <c r="AG151" i="6"/>
  <c r="G160" i="6"/>
  <c r="K152" i="6"/>
  <c r="F161" i="6"/>
  <c r="H164" i="6"/>
  <c r="Y161" i="6"/>
  <c r="J164" i="6"/>
  <c r="N159" i="11"/>
  <c r="O159" i="11" s="1"/>
  <c r="P159" i="11" s="1"/>
  <c r="R159" i="11" s="1"/>
  <c r="A164" i="11"/>
  <c r="Q163" i="11"/>
  <c r="E153" i="10"/>
  <c r="G154" i="10"/>
  <c r="F153" i="10"/>
  <c r="A164" i="10"/>
  <c r="V163" i="10"/>
  <c r="A162" i="6"/>
  <c r="AD152" i="6" l="1"/>
  <c r="AC152" i="6"/>
  <c r="AF152" i="6"/>
  <c r="AE152" i="6"/>
  <c r="AG152" i="6"/>
  <c r="G161" i="6"/>
  <c r="F162" i="6"/>
  <c r="K153" i="6"/>
  <c r="Y162" i="6"/>
  <c r="H165" i="6"/>
  <c r="J165" i="6"/>
  <c r="N160" i="11"/>
  <c r="O160" i="11" s="1"/>
  <c r="P160" i="11" s="1"/>
  <c r="R160" i="11" s="1"/>
  <c r="Q164" i="11"/>
  <c r="A165" i="11"/>
  <c r="G155" i="10"/>
  <c r="E154" i="10"/>
  <c r="F154" i="10"/>
  <c r="V164" i="10"/>
  <c r="A165" i="10"/>
  <c r="A163" i="6"/>
  <c r="AC153" i="6" l="1"/>
  <c r="AD153" i="6"/>
  <c r="AF153" i="6"/>
  <c r="AE153" i="6"/>
  <c r="AG153" i="6"/>
  <c r="G162" i="6"/>
  <c r="K154" i="6"/>
  <c r="F163" i="6"/>
  <c r="Y163" i="6"/>
  <c r="J166" i="6"/>
  <c r="H166" i="6"/>
  <c r="Q165" i="11"/>
  <c r="A166" i="11"/>
  <c r="N161" i="11"/>
  <c r="O161" i="11" s="1"/>
  <c r="P161" i="11" s="1"/>
  <c r="R161" i="11" s="1"/>
  <c r="G156" i="10"/>
  <c r="E155" i="10"/>
  <c r="F155" i="10"/>
  <c r="A166" i="10"/>
  <c r="V165" i="10"/>
  <c r="A164" i="6"/>
  <c r="AC154" i="6" l="1"/>
  <c r="AD154" i="6"/>
  <c r="AF154" i="6"/>
  <c r="AE154" i="6"/>
  <c r="AG154" i="6"/>
  <c r="G163" i="6"/>
  <c r="F164" i="6"/>
  <c r="K155" i="6"/>
  <c r="Y164" i="6"/>
  <c r="H167" i="6"/>
  <c r="J167" i="6"/>
  <c r="N162" i="11"/>
  <c r="O162" i="11" s="1"/>
  <c r="P162" i="11" s="1"/>
  <c r="R162" i="11" s="1"/>
  <c r="Q166" i="11"/>
  <c r="A167" i="11"/>
  <c r="E156" i="10"/>
  <c r="G157" i="10"/>
  <c r="F156" i="10"/>
  <c r="V166" i="10"/>
  <c r="A167" i="10"/>
  <c r="A165" i="6"/>
  <c r="AC155" i="6" l="1"/>
  <c r="AD155" i="6"/>
  <c r="AF155" i="6"/>
  <c r="AE155" i="6"/>
  <c r="AG155" i="6"/>
  <c r="G164" i="6"/>
  <c r="K156" i="6"/>
  <c r="F165" i="6"/>
  <c r="Y165" i="6"/>
  <c r="H168" i="6"/>
  <c r="J168" i="6"/>
  <c r="A168" i="11"/>
  <c r="Q167" i="11"/>
  <c r="N163" i="11"/>
  <c r="O163" i="11" s="1"/>
  <c r="P163" i="11" s="1"/>
  <c r="R163" i="11" s="1"/>
  <c r="G158" i="10"/>
  <c r="E157" i="10"/>
  <c r="F157" i="10"/>
  <c r="V167" i="10"/>
  <c r="A168" i="10"/>
  <c r="A166" i="6"/>
  <c r="AD156" i="6" l="1"/>
  <c r="AC156" i="6"/>
  <c r="AF156" i="6"/>
  <c r="AE156" i="6"/>
  <c r="AG156" i="6"/>
  <c r="G165" i="6"/>
  <c r="F166" i="6"/>
  <c r="K157" i="6"/>
  <c r="Y166" i="6"/>
  <c r="J169" i="6"/>
  <c r="H169" i="6"/>
  <c r="A169" i="11"/>
  <c r="Q168" i="11"/>
  <c r="N164" i="11"/>
  <c r="O164" i="11" s="1"/>
  <c r="P164" i="11" s="1"/>
  <c r="R164" i="11" s="1"/>
  <c r="G159" i="10"/>
  <c r="E158" i="10"/>
  <c r="F158" i="10"/>
  <c r="V168" i="10"/>
  <c r="A169" i="10"/>
  <c r="A167" i="6"/>
  <c r="AC157" i="6" l="1"/>
  <c r="AD157" i="6"/>
  <c r="AF157" i="6"/>
  <c r="AE157" i="6"/>
  <c r="AG157" i="6"/>
  <c r="G166" i="6"/>
  <c r="K158" i="6"/>
  <c r="F167" i="6"/>
  <c r="Y167" i="6"/>
  <c r="H170" i="6"/>
  <c r="J170" i="6"/>
  <c r="N165" i="11"/>
  <c r="O165" i="11" s="1"/>
  <c r="P165" i="11" s="1"/>
  <c r="R165" i="11" s="1"/>
  <c r="Q169" i="11"/>
  <c r="A170" i="11"/>
  <c r="E159" i="10"/>
  <c r="G160" i="10"/>
  <c r="F159" i="10"/>
  <c r="V169" i="10"/>
  <c r="A170" i="10"/>
  <c r="A168" i="6"/>
  <c r="AC158" i="6" l="1"/>
  <c r="AD158" i="6"/>
  <c r="AF158" i="6"/>
  <c r="AE158" i="6"/>
  <c r="AG158" i="6"/>
  <c r="G167" i="6"/>
  <c r="F168" i="6"/>
  <c r="K159" i="6"/>
  <c r="H171" i="6"/>
  <c r="J171" i="6"/>
  <c r="Y168" i="6"/>
  <c r="N166" i="11"/>
  <c r="O166" i="11" s="1"/>
  <c r="P166" i="11" s="1"/>
  <c r="R166" i="11" s="1"/>
  <c r="Q170" i="11"/>
  <c r="A171" i="11"/>
  <c r="G161" i="10"/>
  <c r="E160" i="10"/>
  <c r="F160" i="10"/>
  <c r="V170" i="10"/>
  <c r="A171" i="10"/>
  <c r="A169" i="6"/>
  <c r="AC159" i="6" l="1"/>
  <c r="AD159" i="6"/>
  <c r="AF159" i="6"/>
  <c r="AE159" i="6"/>
  <c r="AG159" i="6"/>
  <c r="G168" i="6"/>
  <c r="K160" i="6"/>
  <c r="F169" i="6"/>
  <c r="Y169" i="6"/>
  <c r="J172" i="6"/>
  <c r="H172" i="6"/>
  <c r="A172" i="11"/>
  <c r="Q171" i="11"/>
  <c r="N167" i="11"/>
  <c r="O167" i="11" s="1"/>
  <c r="P167" i="11" s="1"/>
  <c r="R167" i="11" s="1"/>
  <c r="E161" i="10"/>
  <c r="G162" i="10"/>
  <c r="F161" i="10"/>
  <c r="V171" i="10"/>
  <c r="A172" i="10"/>
  <c r="A170" i="6"/>
  <c r="AC160" i="6" l="1"/>
  <c r="AD160" i="6"/>
  <c r="AF160" i="6"/>
  <c r="AE160" i="6"/>
  <c r="AG160" i="6"/>
  <c r="G169" i="6"/>
  <c r="F170" i="6"/>
  <c r="K161" i="6"/>
  <c r="Y170" i="6"/>
  <c r="H173" i="6"/>
  <c r="J173" i="6"/>
  <c r="N168" i="11"/>
  <c r="O168" i="11" s="1"/>
  <c r="P168" i="11" s="1"/>
  <c r="R168" i="11" s="1"/>
  <c r="Q172" i="11"/>
  <c r="A173" i="11"/>
  <c r="G163" i="10"/>
  <c r="E162" i="10"/>
  <c r="F162" i="10"/>
  <c r="A173" i="10"/>
  <c r="V172" i="10"/>
  <c r="A171" i="6"/>
  <c r="AC161" i="6" l="1"/>
  <c r="AD161" i="6"/>
  <c r="AF161" i="6"/>
  <c r="AE161" i="6"/>
  <c r="AG161" i="6"/>
  <c r="G170" i="6"/>
  <c r="F171" i="6"/>
  <c r="K162" i="6"/>
  <c r="Y171" i="6"/>
  <c r="H174" i="6"/>
  <c r="J174" i="6"/>
  <c r="N169" i="11"/>
  <c r="O169" i="11" s="1"/>
  <c r="P169" i="11" s="1"/>
  <c r="R169" i="11" s="1"/>
  <c r="Q173" i="11"/>
  <c r="A174" i="11"/>
  <c r="G164" i="10"/>
  <c r="E163" i="10"/>
  <c r="F163" i="10"/>
  <c r="V173" i="10"/>
  <c r="A174" i="10"/>
  <c r="A172" i="6"/>
  <c r="AD162" i="6" l="1"/>
  <c r="AC162" i="6"/>
  <c r="AF162" i="6"/>
  <c r="AE162" i="6"/>
  <c r="AG162" i="6"/>
  <c r="G171" i="6"/>
  <c r="K163" i="6"/>
  <c r="F172" i="6"/>
  <c r="Y172" i="6"/>
  <c r="H175" i="6"/>
  <c r="J175" i="6"/>
  <c r="A175" i="11"/>
  <c r="Q174" i="11"/>
  <c r="N170" i="11"/>
  <c r="O170" i="11" s="1"/>
  <c r="P170" i="11" s="1"/>
  <c r="R170" i="11" s="1"/>
  <c r="E164" i="10"/>
  <c r="G165" i="10"/>
  <c r="F164" i="10"/>
  <c r="A175" i="10"/>
  <c r="V174" i="10"/>
  <c r="A173" i="6"/>
  <c r="AD163" i="6" l="1"/>
  <c r="AC163" i="6"/>
  <c r="AF163" i="6"/>
  <c r="AE163" i="6"/>
  <c r="AG163" i="6"/>
  <c r="G172" i="6"/>
  <c r="F173" i="6"/>
  <c r="K164" i="6"/>
  <c r="Y173" i="6"/>
  <c r="H176" i="6"/>
  <c r="J176" i="6"/>
  <c r="N171" i="11"/>
  <c r="O171" i="11" s="1"/>
  <c r="P171" i="11" s="1"/>
  <c r="R171" i="11" s="1"/>
  <c r="A176" i="11"/>
  <c r="Q175" i="11"/>
  <c r="E165" i="10"/>
  <c r="G166" i="10"/>
  <c r="F165" i="10"/>
  <c r="A176" i="10"/>
  <c r="V175" i="10"/>
  <c r="A174" i="6"/>
  <c r="AD164" i="6" l="1"/>
  <c r="AC164" i="6"/>
  <c r="AF164" i="6"/>
  <c r="AE164" i="6"/>
  <c r="AG164" i="6"/>
  <c r="G173" i="6"/>
  <c r="K165" i="6"/>
  <c r="F174" i="6"/>
  <c r="H177" i="6"/>
  <c r="J177" i="6"/>
  <c r="Y174" i="6"/>
  <c r="N172" i="11"/>
  <c r="O172" i="11" s="1"/>
  <c r="P172" i="11" s="1"/>
  <c r="R172" i="11" s="1"/>
  <c r="Q176" i="11"/>
  <c r="A177" i="11"/>
  <c r="G167" i="10"/>
  <c r="E166" i="10"/>
  <c r="F166" i="10"/>
  <c r="A177" i="10"/>
  <c r="V176" i="10"/>
  <c r="A175" i="6"/>
  <c r="AC165" i="6" l="1"/>
  <c r="AD165" i="6"/>
  <c r="AF165" i="6"/>
  <c r="AE165" i="6"/>
  <c r="AG165" i="6"/>
  <c r="G174" i="6"/>
  <c r="F175" i="6"/>
  <c r="K166" i="6"/>
  <c r="J178" i="6"/>
  <c r="H178" i="6"/>
  <c r="Y175" i="6"/>
  <c r="Q177" i="11"/>
  <c r="A178" i="11"/>
  <c r="N173" i="11"/>
  <c r="O173" i="11" s="1"/>
  <c r="P173" i="11" s="1"/>
  <c r="R173" i="11" s="1"/>
  <c r="E167" i="10"/>
  <c r="G168" i="10"/>
  <c r="F167" i="10"/>
  <c r="A178" i="10"/>
  <c r="V177" i="10"/>
  <c r="A176" i="6"/>
  <c r="AC166" i="6" l="1"/>
  <c r="AD166" i="6"/>
  <c r="AF166" i="6"/>
  <c r="AE166" i="6"/>
  <c r="AG166" i="6"/>
  <c r="G175" i="6"/>
  <c r="K167" i="6"/>
  <c r="F176" i="6"/>
  <c r="H179" i="6"/>
  <c r="J179" i="6"/>
  <c r="Y176" i="6"/>
  <c r="A179" i="11"/>
  <c r="Q178" i="11"/>
  <c r="N174" i="11"/>
  <c r="O174" i="11" s="1"/>
  <c r="P174" i="11" s="1"/>
  <c r="R174" i="11" s="1"/>
  <c r="G169" i="10"/>
  <c r="E168" i="10"/>
  <c r="F168" i="10"/>
  <c r="V178" i="10"/>
  <c r="A179" i="10"/>
  <c r="A177" i="6"/>
  <c r="AC167" i="6" l="1"/>
  <c r="AD167" i="6"/>
  <c r="AF167" i="6"/>
  <c r="AE167" i="6"/>
  <c r="AG167" i="6"/>
  <c r="G176" i="6"/>
  <c r="F177" i="6"/>
  <c r="K168" i="6"/>
  <c r="Y177" i="6"/>
  <c r="J180" i="6"/>
  <c r="H180" i="6"/>
  <c r="N175" i="11"/>
  <c r="O175" i="11" s="1"/>
  <c r="P175" i="11" s="1"/>
  <c r="R175" i="11" s="1"/>
  <c r="A180" i="11"/>
  <c r="Q179" i="11"/>
  <c r="E169" i="10"/>
  <c r="G170" i="10"/>
  <c r="F169" i="10"/>
  <c r="V179" i="10"/>
  <c r="A180" i="10"/>
  <c r="A178" i="6"/>
  <c r="AC168" i="6" l="1"/>
  <c r="AD168" i="6"/>
  <c r="AF168" i="6"/>
  <c r="AE168" i="6"/>
  <c r="AG168" i="6"/>
  <c r="G177" i="6"/>
  <c r="K169" i="6"/>
  <c r="F178" i="6"/>
  <c r="Y178" i="6"/>
  <c r="J181" i="6"/>
  <c r="H181" i="6"/>
  <c r="Q180" i="11"/>
  <c r="A181" i="11"/>
  <c r="N176" i="11"/>
  <c r="O176" i="11" s="1"/>
  <c r="P176" i="11" s="1"/>
  <c r="R176" i="11" s="1"/>
  <c r="G171" i="10"/>
  <c r="E170" i="10"/>
  <c r="F170" i="10"/>
  <c r="A181" i="10"/>
  <c r="V180" i="10"/>
  <c r="A179" i="6"/>
  <c r="AD169" i="6" l="1"/>
  <c r="AC169" i="6"/>
  <c r="AF169" i="6"/>
  <c r="AE169" i="6"/>
  <c r="AG169" i="6"/>
  <c r="G178" i="6"/>
  <c r="F179" i="6"/>
  <c r="K170" i="6"/>
  <c r="H182" i="6"/>
  <c r="J182" i="6"/>
  <c r="Y179" i="6"/>
  <c r="N177" i="11"/>
  <c r="O177" i="11" s="1"/>
  <c r="P177" i="11" s="1"/>
  <c r="R177" i="11" s="1"/>
  <c r="Q181" i="11"/>
  <c r="A182" i="11"/>
  <c r="E171" i="10"/>
  <c r="G172" i="10"/>
  <c r="F171" i="10"/>
  <c r="V181" i="10"/>
  <c r="A182" i="10"/>
  <c r="A180" i="6"/>
  <c r="AD170" i="6" l="1"/>
  <c r="AC170" i="6"/>
  <c r="AF170" i="6"/>
  <c r="AE170" i="6"/>
  <c r="AG170" i="6"/>
  <c r="G179" i="6"/>
  <c r="K171" i="6"/>
  <c r="F180" i="6"/>
  <c r="Y180" i="6"/>
  <c r="J183" i="6"/>
  <c r="H183" i="6"/>
  <c r="N178" i="11"/>
  <c r="O178" i="11" s="1"/>
  <c r="P178" i="11" s="1"/>
  <c r="R178" i="11" s="1"/>
  <c r="A183" i="11"/>
  <c r="Q182" i="11"/>
  <c r="G173" i="10"/>
  <c r="E172" i="10"/>
  <c r="F172" i="10"/>
  <c r="V182" i="10"/>
  <c r="A183" i="10"/>
  <c r="A181" i="6"/>
  <c r="AD171" i="6" l="1"/>
  <c r="AC171" i="6"/>
  <c r="AF171" i="6"/>
  <c r="AE171" i="6"/>
  <c r="AG171" i="6"/>
  <c r="G180" i="6"/>
  <c r="F181" i="6"/>
  <c r="K172" i="6"/>
  <c r="H184" i="6"/>
  <c r="Y181" i="6"/>
  <c r="J184" i="6"/>
  <c r="A184" i="11"/>
  <c r="Q183" i="11"/>
  <c r="N179" i="11"/>
  <c r="O179" i="11" s="1"/>
  <c r="P179" i="11" s="1"/>
  <c r="R179" i="11" s="1"/>
  <c r="E173" i="10"/>
  <c r="G174" i="10"/>
  <c r="F173" i="10"/>
  <c r="V183" i="10"/>
  <c r="A184" i="10"/>
  <c r="A182" i="6"/>
  <c r="AC172" i="6" l="1"/>
  <c r="AD172" i="6"/>
  <c r="AF172" i="6"/>
  <c r="AE172" i="6"/>
  <c r="AG172" i="6"/>
  <c r="G181" i="6"/>
  <c r="K173" i="6"/>
  <c r="F182" i="6"/>
  <c r="Y182" i="6"/>
  <c r="J185" i="6"/>
  <c r="H185" i="6"/>
  <c r="A185" i="11"/>
  <c r="Q184" i="11"/>
  <c r="N180" i="11"/>
  <c r="O180" i="11" s="1"/>
  <c r="P180" i="11" s="1"/>
  <c r="R180" i="11" s="1"/>
  <c r="G175" i="10"/>
  <c r="E174" i="10"/>
  <c r="F174" i="10"/>
  <c r="A185" i="10"/>
  <c r="V184" i="10"/>
  <c r="A183" i="6"/>
  <c r="AD173" i="6" l="1"/>
  <c r="AC173" i="6"/>
  <c r="AF173" i="6"/>
  <c r="AE173" i="6"/>
  <c r="AG173" i="6"/>
  <c r="G182" i="6"/>
  <c r="F183" i="6"/>
  <c r="K174" i="6"/>
  <c r="Y183" i="6"/>
  <c r="H186" i="6"/>
  <c r="J186" i="6"/>
  <c r="N181" i="11"/>
  <c r="O181" i="11" s="1"/>
  <c r="P181" i="11" s="1"/>
  <c r="R181" i="11" s="1"/>
  <c r="Q185" i="11"/>
  <c r="A186" i="11"/>
  <c r="E175" i="10"/>
  <c r="G176" i="10"/>
  <c r="F175" i="10"/>
  <c r="V185" i="10"/>
  <c r="A186" i="10"/>
  <c r="A184" i="6"/>
  <c r="AC174" i="6" l="1"/>
  <c r="AD174" i="6"/>
  <c r="AF174" i="6"/>
  <c r="AE174" i="6"/>
  <c r="AG174" i="6"/>
  <c r="G183" i="6"/>
  <c r="K175" i="6"/>
  <c r="F184" i="6"/>
  <c r="H187" i="6"/>
  <c r="Y184" i="6"/>
  <c r="J187" i="6"/>
  <c r="A187" i="11"/>
  <c r="Q186" i="11"/>
  <c r="N182" i="11"/>
  <c r="O182" i="11" s="1"/>
  <c r="P182" i="11" s="1"/>
  <c r="R182" i="11" s="1"/>
  <c r="G177" i="10"/>
  <c r="E176" i="10"/>
  <c r="F176" i="10"/>
  <c r="V186" i="10"/>
  <c r="A187" i="10"/>
  <c r="A185" i="6"/>
  <c r="AD175" i="6" l="1"/>
  <c r="AC175" i="6"/>
  <c r="AF175" i="6"/>
  <c r="AE175" i="6"/>
  <c r="AG175" i="6"/>
  <c r="G184" i="6"/>
  <c r="F185" i="6"/>
  <c r="K176" i="6"/>
  <c r="Y185" i="6"/>
  <c r="H188" i="6"/>
  <c r="J188" i="6"/>
  <c r="N183" i="11"/>
  <c r="O183" i="11" s="1"/>
  <c r="P183" i="11" s="1"/>
  <c r="R183" i="11" s="1"/>
  <c r="A188" i="11"/>
  <c r="Q187" i="11"/>
  <c r="E177" i="10"/>
  <c r="G178" i="10"/>
  <c r="F177" i="10"/>
  <c r="V187" i="10"/>
  <c r="A188" i="10"/>
  <c r="A186" i="6"/>
  <c r="AD176" i="6" l="1"/>
  <c r="AC176" i="6"/>
  <c r="AF176" i="6"/>
  <c r="AE176" i="6"/>
  <c r="AG176" i="6"/>
  <c r="G185" i="6"/>
  <c r="K177" i="6"/>
  <c r="F186" i="6"/>
  <c r="Y186" i="6"/>
  <c r="J189" i="6"/>
  <c r="H189" i="6"/>
  <c r="Q188" i="11"/>
  <c r="A189" i="11"/>
  <c r="N184" i="11"/>
  <c r="O184" i="11" s="1"/>
  <c r="P184" i="11" s="1"/>
  <c r="R184" i="11" s="1"/>
  <c r="G179" i="10"/>
  <c r="E178" i="10"/>
  <c r="F178" i="10"/>
  <c r="A189" i="10"/>
  <c r="V188" i="10"/>
  <c r="A187" i="6"/>
  <c r="AD177" i="6" l="1"/>
  <c r="AC177" i="6"/>
  <c r="AF177" i="6"/>
  <c r="AE177" i="6"/>
  <c r="AG177" i="6"/>
  <c r="G186" i="6"/>
  <c r="F187" i="6"/>
  <c r="K178" i="6"/>
  <c r="Y187" i="6"/>
  <c r="H190" i="6"/>
  <c r="J190" i="6"/>
  <c r="Q189" i="11"/>
  <c r="A190" i="11"/>
  <c r="N185" i="11"/>
  <c r="O185" i="11" s="1"/>
  <c r="P185" i="11" s="1"/>
  <c r="R185" i="11" s="1"/>
  <c r="E179" i="10"/>
  <c r="G180" i="10"/>
  <c r="F179" i="10"/>
  <c r="A190" i="10"/>
  <c r="V189" i="10"/>
  <c r="A188" i="6"/>
  <c r="AD178" i="6" l="1"/>
  <c r="AC178" i="6"/>
  <c r="AF178" i="6"/>
  <c r="AE178" i="6"/>
  <c r="AG178" i="6"/>
  <c r="G187" i="6"/>
  <c r="F188" i="6"/>
  <c r="K179" i="6"/>
  <c r="H191" i="6"/>
  <c r="Y188" i="6"/>
  <c r="J191" i="6"/>
  <c r="N186" i="11"/>
  <c r="O186" i="11" s="1"/>
  <c r="P186" i="11" s="1"/>
  <c r="R186" i="11" s="1"/>
  <c r="A191" i="11"/>
  <c r="Q190" i="11"/>
  <c r="G181" i="10"/>
  <c r="E180" i="10"/>
  <c r="F180" i="10"/>
  <c r="V190" i="10"/>
  <c r="A191" i="10"/>
  <c r="A189" i="6"/>
  <c r="AC179" i="6" l="1"/>
  <c r="AD179" i="6"/>
  <c r="AF179" i="6"/>
  <c r="AE179" i="6"/>
  <c r="AG179" i="6"/>
  <c r="G188" i="6"/>
  <c r="K180" i="6"/>
  <c r="F189" i="6"/>
  <c r="Y189" i="6"/>
  <c r="H192" i="6"/>
  <c r="J192" i="6"/>
  <c r="N187" i="11"/>
  <c r="O187" i="11" s="1"/>
  <c r="P187" i="11" s="1"/>
  <c r="R187" i="11" s="1"/>
  <c r="A192" i="11"/>
  <c r="Q191" i="11"/>
  <c r="E181" i="10"/>
  <c r="G182" i="10"/>
  <c r="F181" i="10"/>
  <c r="V191" i="10"/>
  <c r="A192" i="10"/>
  <c r="A190" i="6"/>
  <c r="AC180" i="6" l="1"/>
  <c r="AD180" i="6"/>
  <c r="AF180" i="6"/>
  <c r="AE180" i="6"/>
  <c r="AG180" i="6"/>
  <c r="G189" i="6"/>
  <c r="F190" i="6"/>
  <c r="K181" i="6"/>
  <c r="Y190" i="6"/>
  <c r="H193" i="6"/>
  <c r="J193" i="6"/>
  <c r="Q192" i="11"/>
  <c r="A193" i="11"/>
  <c r="N188" i="11"/>
  <c r="O188" i="11" s="1"/>
  <c r="P188" i="11" s="1"/>
  <c r="R188" i="11" s="1"/>
  <c r="G183" i="10"/>
  <c r="E182" i="10"/>
  <c r="F182" i="10"/>
  <c r="A193" i="10"/>
  <c r="V192" i="10"/>
  <c r="A191" i="6"/>
  <c r="AD181" i="6" l="1"/>
  <c r="AC181" i="6"/>
  <c r="AF181" i="6"/>
  <c r="AE181" i="6"/>
  <c r="AG181" i="6"/>
  <c r="G190" i="6"/>
  <c r="K182" i="6"/>
  <c r="F191" i="6"/>
  <c r="Y191" i="6"/>
  <c r="H194" i="6"/>
  <c r="J194" i="6"/>
  <c r="N189" i="11"/>
  <c r="O189" i="11" s="1"/>
  <c r="P189" i="11" s="1"/>
  <c r="R189" i="11" s="1"/>
  <c r="Q193" i="11"/>
  <c r="A194" i="11"/>
  <c r="E183" i="10"/>
  <c r="G184" i="10"/>
  <c r="F183" i="10"/>
  <c r="V193" i="10"/>
  <c r="A194" i="10"/>
  <c r="A192" i="6"/>
  <c r="AC182" i="6" l="1"/>
  <c r="AD182" i="6"/>
  <c r="AF182" i="6"/>
  <c r="AE182" i="6"/>
  <c r="AG182" i="6"/>
  <c r="G191" i="6"/>
  <c r="F192" i="6"/>
  <c r="K183" i="6"/>
  <c r="H195" i="6"/>
  <c r="Y192" i="6"/>
  <c r="J195" i="6"/>
  <c r="N190" i="11"/>
  <c r="O190" i="11" s="1"/>
  <c r="P190" i="11" s="1"/>
  <c r="R190" i="11" s="1"/>
  <c r="A195" i="11"/>
  <c r="Q194" i="11"/>
  <c r="G185" i="10"/>
  <c r="E184" i="10"/>
  <c r="F184" i="10"/>
  <c r="V194" i="10"/>
  <c r="A195" i="10"/>
  <c r="A193" i="6"/>
  <c r="AD183" i="6" l="1"/>
  <c r="AC183" i="6"/>
  <c r="AF183" i="6"/>
  <c r="AE183" i="6"/>
  <c r="AG183" i="6"/>
  <c r="G192" i="6"/>
  <c r="K184" i="6"/>
  <c r="F193" i="6"/>
  <c r="H196" i="6"/>
  <c r="Y193" i="6"/>
  <c r="J196" i="6"/>
  <c r="N191" i="11"/>
  <c r="O191" i="11" s="1"/>
  <c r="P191" i="11" s="1"/>
  <c r="R191" i="11" s="1"/>
  <c r="A196" i="11"/>
  <c r="Q195" i="11"/>
  <c r="E185" i="10"/>
  <c r="G186" i="10"/>
  <c r="F185" i="10"/>
  <c r="A196" i="10"/>
  <c r="V195" i="10"/>
  <c r="A194" i="6"/>
  <c r="AD184" i="6" l="1"/>
  <c r="AC184" i="6"/>
  <c r="AF184" i="6"/>
  <c r="AE184" i="6"/>
  <c r="AG184" i="6"/>
  <c r="G193" i="6"/>
  <c r="F194" i="6"/>
  <c r="K185" i="6"/>
  <c r="Y194" i="6"/>
  <c r="H197" i="6"/>
  <c r="J197" i="6"/>
  <c r="Q196" i="11"/>
  <c r="A197" i="11"/>
  <c r="N192" i="11"/>
  <c r="O192" i="11" s="1"/>
  <c r="P192" i="11" s="1"/>
  <c r="R192" i="11" s="1"/>
  <c r="G187" i="10"/>
  <c r="E186" i="10"/>
  <c r="F186" i="10"/>
  <c r="V196" i="10"/>
  <c r="A197" i="10"/>
  <c r="A195" i="6"/>
  <c r="AC185" i="6" l="1"/>
  <c r="AD185" i="6"/>
  <c r="AF185" i="6"/>
  <c r="AE185" i="6"/>
  <c r="AG185" i="6"/>
  <c r="G194" i="6"/>
  <c r="K186" i="6"/>
  <c r="F195" i="6"/>
  <c r="Y195" i="6"/>
  <c r="J198" i="6"/>
  <c r="H198" i="6"/>
  <c r="Q197" i="11"/>
  <c r="A198" i="11"/>
  <c r="N193" i="11"/>
  <c r="O193" i="11" s="1"/>
  <c r="P193" i="11" s="1"/>
  <c r="R193" i="11" s="1"/>
  <c r="E187" i="10"/>
  <c r="G188" i="10"/>
  <c r="F187" i="10"/>
  <c r="A198" i="10"/>
  <c r="V197" i="10"/>
  <c r="A196" i="6"/>
  <c r="AC186" i="6" l="1"/>
  <c r="AD186" i="6"/>
  <c r="AF186" i="6"/>
  <c r="AE186" i="6"/>
  <c r="AG186" i="6"/>
  <c r="G195" i="6"/>
  <c r="F196" i="6"/>
  <c r="K187" i="6"/>
  <c r="J199" i="6"/>
  <c r="H199" i="6"/>
  <c r="Y196" i="6"/>
  <c r="N194" i="11"/>
  <c r="O194" i="11" s="1"/>
  <c r="P194" i="11" s="1"/>
  <c r="R194" i="11" s="1"/>
  <c r="A199" i="11"/>
  <c r="Q198" i="11"/>
  <c r="G189" i="10"/>
  <c r="E188" i="10"/>
  <c r="F188" i="10"/>
  <c r="A199" i="10"/>
  <c r="V198" i="10"/>
  <c r="A197" i="6"/>
  <c r="AC187" i="6" l="1"/>
  <c r="AD187" i="6"/>
  <c r="AF187" i="6"/>
  <c r="AE187" i="6"/>
  <c r="AG187" i="6"/>
  <c r="G196" i="6"/>
  <c r="K188" i="6"/>
  <c r="F197" i="6"/>
  <c r="H200" i="6"/>
  <c r="J200" i="6"/>
  <c r="Y197" i="6"/>
  <c r="N195" i="11"/>
  <c r="O195" i="11" s="1"/>
  <c r="P195" i="11" s="1"/>
  <c r="R195" i="11" s="1"/>
  <c r="A200" i="11"/>
  <c r="Q199" i="11"/>
  <c r="E189" i="10"/>
  <c r="G190" i="10"/>
  <c r="F189" i="10"/>
  <c r="V199" i="10"/>
  <c r="A200" i="10"/>
  <c r="A198" i="6"/>
  <c r="AC188" i="6" l="1"/>
  <c r="AD188" i="6"/>
  <c r="AF188" i="6"/>
  <c r="AE188" i="6"/>
  <c r="AG188" i="6"/>
  <c r="G197" i="6"/>
  <c r="F198" i="6"/>
  <c r="K189" i="6"/>
  <c r="Y198" i="6"/>
  <c r="J201" i="6"/>
  <c r="H201" i="6"/>
  <c r="N196" i="11"/>
  <c r="O196" i="11" s="1"/>
  <c r="P196" i="11" s="1"/>
  <c r="R196" i="11" s="1"/>
  <c r="A201" i="11"/>
  <c r="Q200" i="11"/>
  <c r="E190" i="10"/>
  <c r="G191" i="10"/>
  <c r="F190" i="10"/>
  <c r="A201" i="10"/>
  <c r="V200" i="10"/>
  <c r="A199" i="6"/>
  <c r="AC189" i="6" l="1"/>
  <c r="AD189" i="6"/>
  <c r="AF189" i="6"/>
  <c r="AE189" i="6"/>
  <c r="AG189" i="6"/>
  <c r="G198" i="6"/>
  <c r="K190" i="6"/>
  <c r="F199" i="6"/>
  <c r="Y199" i="6"/>
  <c r="H202" i="6"/>
  <c r="J202" i="6"/>
  <c r="N197" i="11"/>
  <c r="O197" i="11" s="1"/>
  <c r="P197" i="11" s="1"/>
  <c r="R197" i="11" s="1"/>
  <c r="Q201" i="11"/>
  <c r="A202" i="11"/>
  <c r="G192" i="10"/>
  <c r="E191" i="10"/>
  <c r="F191" i="10"/>
  <c r="V201" i="10"/>
  <c r="A202" i="10"/>
  <c r="A200" i="6"/>
  <c r="AD190" i="6" l="1"/>
  <c r="AC190" i="6"/>
  <c r="AF190" i="6"/>
  <c r="AE190" i="6"/>
  <c r="AG190" i="6"/>
  <c r="G199" i="6"/>
  <c r="F200" i="6"/>
  <c r="K191" i="6"/>
  <c r="J203" i="6"/>
  <c r="Y200" i="6"/>
  <c r="H203" i="6"/>
  <c r="N198" i="11"/>
  <c r="O198" i="11" s="1"/>
  <c r="P198" i="11" s="1"/>
  <c r="R198" i="11" s="1"/>
  <c r="A203" i="11"/>
  <c r="Q202" i="11"/>
  <c r="E192" i="10"/>
  <c r="G193" i="10"/>
  <c r="F192" i="10"/>
  <c r="V202" i="10"/>
  <c r="A203" i="10"/>
  <c r="A201" i="6"/>
  <c r="AD191" i="6" l="1"/>
  <c r="AC191" i="6"/>
  <c r="AF191" i="6"/>
  <c r="AE191" i="6"/>
  <c r="AG191" i="6"/>
  <c r="G200" i="6"/>
  <c r="K192" i="6"/>
  <c r="F201" i="6"/>
  <c r="Y201" i="6"/>
  <c r="J204" i="6"/>
  <c r="H204" i="6"/>
  <c r="N199" i="11"/>
  <c r="O199" i="11" s="1"/>
  <c r="P199" i="11" s="1"/>
  <c r="R199" i="11" s="1"/>
  <c r="A204" i="11"/>
  <c r="Q203" i="11"/>
  <c r="E193" i="10"/>
  <c r="G194" i="10"/>
  <c r="F193" i="10"/>
  <c r="A204" i="10"/>
  <c r="V203" i="10"/>
  <c r="A202" i="6"/>
  <c r="AD192" i="6" l="1"/>
  <c r="AC192" i="6"/>
  <c r="AF192" i="6"/>
  <c r="AE192" i="6"/>
  <c r="AG192" i="6"/>
  <c r="G201" i="6"/>
  <c r="F202" i="6"/>
  <c r="K193" i="6"/>
  <c r="Y202" i="6"/>
  <c r="A205" i="11"/>
  <c r="Q205" i="11" s="1"/>
  <c r="N200" i="11"/>
  <c r="O200" i="11" s="1"/>
  <c r="P200" i="11" s="1"/>
  <c r="R200" i="11" s="1"/>
  <c r="Q204" i="11"/>
  <c r="G195" i="10"/>
  <c r="E194" i="10"/>
  <c r="F194" i="10"/>
  <c r="V204" i="10"/>
  <c r="A203" i="6"/>
  <c r="AD193" i="6" l="1"/>
  <c r="AC193" i="6"/>
  <c r="AF193" i="6"/>
  <c r="AE193" i="6"/>
  <c r="AG193" i="6"/>
  <c r="G202" i="6"/>
  <c r="K194" i="6"/>
  <c r="F203" i="6"/>
  <c r="Y203" i="6"/>
  <c r="A206" i="11"/>
  <c r="A207" i="11" s="1"/>
  <c r="N201" i="11"/>
  <c r="O201" i="11" s="1"/>
  <c r="P201" i="11" s="1"/>
  <c r="R201" i="11" s="1"/>
  <c r="A204" i="6"/>
  <c r="E195" i="10"/>
  <c r="G196" i="10"/>
  <c r="F195" i="10"/>
  <c r="AD194" i="6" l="1"/>
  <c r="AC194" i="6"/>
  <c r="AF194" i="6"/>
  <c r="AE194" i="6"/>
  <c r="AG194" i="6"/>
  <c r="G203" i="6"/>
  <c r="F204" i="6"/>
  <c r="K195" i="6"/>
  <c r="Y204" i="6"/>
  <c r="Q206" i="11"/>
  <c r="N205" i="11"/>
  <c r="O205" i="11" s="1"/>
  <c r="P205" i="11" s="1"/>
  <c r="R205" i="11" s="1"/>
  <c r="A208" i="11"/>
  <c r="Q207" i="11"/>
  <c r="N202" i="11"/>
  <c r="O202" i="11" s="1"/>
  <c r="P202" i="11" s="1"/>
  <c r="R202" i="11" s="1"/>
  <c r="G197" i="10"/>
  <c r="E196" i="10"/>
  <c r="F196" i="10"/>
  <c r="AC195" i="6" l="1"/>
  <c r="AD195" i="6"/>
  <c r="AF195" i="6"/>
  <c r="AE195" i="6"/>
  <c r="AG195" i="6"/>
  <c r="G204" i="6"/>
  <c r="K196" i="6"/>
  <c r="N206" i="11"/>
  <c r="O206" i="11" s="1"/>
  <c r="P206" i="11" s="1"/>
  <c r="R206" i="11" s="1"/>
  <c r="Q208" i="11"/>
  <c r="A209" i="11"/>
  <c r="N203" i="11"/>
  <c r="O203" i="11" s="1"/>
  <c r="P203" i="11" s="1"/>
  <c r="R203" i="11" s="1"/>
  <c r="E197" i="10"/>
  <c r="G198" i="10"/>
  <c r="F197" i="10"/>
  <c r="AC196" i="6" l="1"/>
  <c r="AD196" i="6"/>
  <c r="AF196" i="6"/>
  <c r="AE196" i="6"/>
  <c r="AG196" i="6"/>
  <c r="K197" i="6"/>
  <c r="N207" i="11"/>
  <c r="O207" i="11" s="1"/>
  <c r="P207" i="11" s="1"/>
  <c r="R207" i="11" s="1"/>
  <c r="N204" i="11"/>
  <c r="O204" i="11" s="1"/>
  <c r="P204" i="11" s="1"/>
  <c r="R204" i="11" s="1"/>
  <c r="A210" i="11"/>
  <c r="Q209" i="11"/>
  <c r="G199" i="10"/>
  <c r="E198" i="10"/>
  <c r="F198" i="10"/>
  <c r="AD197" i="6" l="1"/>
  <c r="AC197" i="6"/>
  <c r="AF197" i="6"/>
  <c r="AE197" i="6"/>
  <c r="AG197" i="6"/>
  <c r="K198" i="6"/>
  <c r="A211" i="11"/>
  <c r="Q210" i="11"/>
  <c r="E199" i="10"/>
  <c r="G200" i="10"/>
  <c r="F199" i="10"/>
  <c r="AD198" i="6" l="1"/>
  <c r="AC198" i="6"/>
  <c r="AF198" i="6"/>
  <c r="AE198" i="6"/>
  <c r="AG198" i="6"/>
  <c r="K199" i="6"/>
  <c r="N208" i="11"/>
  <c r="O208" i="11" s="1"/>
  <c r="P208" i="11" s="1"/>
  <c r="R208" i="11" s="1"/>
  <c r="N209" i="11"/>
  <c r="O209" i="11" s="1"/>
  <c r="P209" i="11" s="1"/>
  <c r="R209" i="11" s="1"/>
  <c r="A212" i="11"/>
  <c r="Q211" i="11"/>
  <c r="G201" i="10"/>
  <c r="E200" i="10"/>
  <c r="F200" i="10"/>
  <c r="AD199" i="6" l="1"/>
  <c r="AC199" i="6"/>
  <c r="AF199" i="6"/>
  <c r="AE199" i="6"/>
  <c r="AG199" i="6"/>
  <c r="K200" i="6"/>
  <c r="A213" i="11"/>
  <c r="Q212" i="11"/>
  <c r="N210" i="11"/>
  <c r="O210" i="11" s="1"/>
  <c r="P210" i="11" s="1"/>
  <c r="R210" i="11" s="1"/>
  <c r="E201" i="10"/>
  <c r="G202" i="10"/>
  <c r="F201" i="10"/>
  <c r="AC200" i="6" l="1"/>
  <c r="AD200" i="6"/>
  <c r="AF200" i="6"/>
  <c r="AE200" i="6"/>
  <c r="AG200" i="6"/>
  <c r="K201" i="6"/>
  <c r="N211" i="11"/>
  <c r="O211" i="11" s="1"/>
  <c r="P211" i="11" s="1"/>
  <c r="R211" i="11" s="1"/>
  <c r="Q213" i="11"/>
  <c r="A214" i="11"/>
  <c r="G203" i="10"/>
  <c r="E202" i="10"/>
  <c r="F202" i="10"/>
  <c r="AC201" i="6" l="1"/>
  <c r="AD201" i="6"/>
  <c r="AF201" i="6"/>
  <c r="AE201" i="6"/>
  <c r="AG201" i="6"/>
  <c r="K202" i="6"/>
  <c r="A215" i="11"/>
  <c r="Q214" i="11"/>
  <c r="N212" i="11"/>
  <c r="O212" i="11" s="1"/>
  <c r="P212" i="11" s="1"/>
  <c r="R212" i="11" s="1"/>
  <c r="G204" i="10"/>
  <c r="E203" i="10"/>
  <c r="F203" i="10"/>
  <c r="AD202" i="6" l="1"/>
  <c r="AC202" i="6"/>
  <c r="AF202" i="6"/>
  <c r="AE202" i="6"/>
  <c r="AG202" i="6"/>
  <c r="K203" i="6"/>
  <c r="Q215" i="11"/>
  <c r="A216" i="11"/>
  <c r="N213" i="11"/>
  <c r="O213" i="11" s="1"/>
  <c r="P213" i="11" s="1"/>
  <c r="R213" i="11" s="1"/>
  <c r="E204" i="10"/>
  <c r="F204" i="10"/>
  <c r="AC203" i="6" l="1"/>
  <c r="AD203" i="6"/>
  <c r="AF203" i="6"/>
  <c r="AE203" i="6"/>
  <c r="AG203" i="6"/>
  <c r="K204" i="6"/>
  <c r="N214" i="11"/>
  <c r="O214" i="11" s="1"/>
  <c r="P214" i="11" s="1"/>
  <c r="R214" i="11" s="1"/>
  <c r="Q216" i="11"/>
  <c r="A217" i="11"/>
  <c r="AD204" i="6" l="1"/>
  <c r="AC204" i="6"/>
  <c r="AE204" i="6"/>
  <c r="AF204" i="6"/>
  <c r="AG204" i="6"/>
  <c r="Q217" i="11"/>
  <c r="A218" i="11"/>
  <c r="N215" i="11"/>
  <c r="O215" i="11" s="1"/>
  <c r="P215" i="11" s="1"/>
  <c r="R215" i="11" s="1"/>
  <c r="J4" i="10"/>
  <c r="J5" i="10" s="1"/>
  <c r="J6" i="10" s="1"/>
  <c r="J7" i="10" s="1"/>
  <c r="J8" i="10" s="1"/>
  <c r="J9" i="10" s="1"/>
  <c r="J10" i="10" s="1"/>
  <c r="J11" i="10" s="1"/>
  <c r="J12" i="10" s="1"/>
  <c r="J13" i="10" s="1"/>
  <c r="J14" i="10" s="1"/>
  <c r="J15" i="10" s="1"/>
  <c r="J16" i="10" s="1"/>
  <c r="J17" i="10" s="1"/>
  <c r="J18" i="10" s="1"/>
  <c r="J19" i="10" s="1"/>
  <c r="J20" i="10" s="1"/>
  <c r="J21" i="10" s="1"/>
  <c r="J22" i="10" s="1"/>
  <c r="J23" i="10" s="1"/>
  <c r="J24" i="10" s="1"/>
  <c r="J25" i="10" s="1"/>
  <c r="J26" i="10" s="1"/>
  <c r="J27" i="10" s="1"/>
  <c r="J28" i="10" s="1"/>
  <c r="J29" i="10" s="1"/>
  <c r="J30" i="10" s="1"/>
  <c r="J31" i="10" s="1"/>
  <c r="J32" i="10" s="1"/>
  <c r="J33" i="10" s="1"/>
  <c r="J34" i="10" s="1"/>
  <c r="J35" i="10" s="1"/>
  <c r="J36" i="10" s="1"/>
  <c r="J37" i="10" s="1"/>
  <c r="J38" i="10" s="1"/>
  <c r="J39" i="10" s="1"/>
  <c r="J40" i="10" s="1"/>
  <c r="J41" i="10" s="1"/>
  <c r="J42" i="10" s="1"/>
  <c r="J43" i="10" s="1"/>
  <c r="J44" i="10" s="1"/>
  <c r="J45" i="10" s="1"/>
  <c r="J46" i="10" s="1"/>
  <c r="J47" i="10" s="1"/>
  <c r="J48" i="10" s="1"/>
  <c r="J49" i="10" s="1"/>
  <c r="J50" i="10" s="1"/>
  <c r="J51" i="10" s="1"/>
  <c r="J52" i="10" s="1"/>
  <c r="J53" i="10" s="1"/>
  <c r="J54" i="10" s="1"/>
  <c r="J55" i="10" s="1"/>
  <c r="J56" i="10" s="1"/>
  <c r="J57" i="10" s="1"/>
  <c r="J58" i="10" s="1"/>
  <c r="J59" i="10" s="1"/>
  <c r="J60" i="10" s="1"/>
  <c r="J61" i="10" s="1"/>
  <c r="J62" i="10" s="1"/>
  <c r="J63" i="10" s="1"/>
  <c r="J64" i="10" s="1"/>
  <c r="J65" i="10" s="1"/>
  <c r="J66" i="10" s="1"/>
  <c r="J67" i="10" s="1"/>
  <c r="J68" i="10" s="1"/>
  <c r="J69" i="10" s="1"/>
  <c r="J70" i="10" s="1"/>
  <c r="J71" i="10" s="1"/>
  <c r="J72" i="10" s="1"/>
  <c r="J73" i="10" s="1"/>
  <c r="J74" i="10" s="1"/>
  <c r="J75" i="10" s="1"/>
  <c r="J76" i="10" s="1"/>
  <c r="J77" i="10" s="1"/>
  <c r="J78" i="10" s="1"/>
  <c r="J79" i="10" s="1"/>
  <c r="J80" i="10" s="1"/>
  <c r="J81" i="10" s="1"/>
  <c r="J82" i="10" s="1"/>
  <c r="J83" i="10" s="1"/>
  <c r="J84" i="10" s="1"/>
  <c r="J85" i="10" s="1"/>
  <c r="J86" i="10" s="1"/>
  <c r="J87" i="10" s="1"/>
  <c r="J88" i="10" s="1"/>
  <c r="J89" i="10" s="1"/>
  <c r="J90" i="10" s="1"/>
  <c r="J91" i="10" s="1"/>
  <c r="J92" i="10" s="1"/>
  <c r="J93" i="10" s="1"/>
  <c r="J94" i="10" s="1"/>
  <c r="J95" i="10" s="1"/>
  <c r="J96" i="10" s="1"/>
  <c r="J97" i="10" s="1"/>
  <c r="J98" i="10" s="1"/>
  <c r="J99" i="10" s="1"/>
  <c r="J100" i="10" s="1"/>
  <c r="J101" i="10" s="1"/>
  <c r="J102" i="10" s="1"/>
  <c r="J103" i="10" s="1"/>
  <c r="J104" i="10" s="1"/>
  <c r="J105" i="10" s="1"/>
  <c r="J106" i="10" s="1"/>
  <c r="J107" i="10" s="1"/>
  <c r="J108" i="10" s="1"/>
  <c r="J109" i="10" s="1"/>
  <c r="J110" i="10" s="1"/>
  <c r="J111" i="10" s="1"/>
  <c r="J112" i="10" s="1"/>
  <c r="J113" i="10" s="1"/>
  <c r="J114" i="10" s="1"/>
  <c r="J115" i="10" s="1"/>
  <c r="J116" i="10" s="1"/>
  <c r="J117" i="10" s="1"/>
  <c r="J118" i="10" s="1"/>
  <c r="J119" i="10" s="1"/>
  <c r="J120" i="10" s="1"/>
  <c r="J121" i="10" s="1"/>
  <c r="J122" i="10" s="1"/>
  <c r="J123" i="10" s="1"/>
  <c r="J124" i="10" s="1"/>
  <c r="J125" i="10" s="1"/>
  <c r="J126" i="10" s="1"/>
  <c r="J127" i="10" s="1"/>
  <c r="J128" i="10" s="1"/>
  <c r="J129" i="10" s="1"/>
  <c r="J130" i="10" s="1"/>
  <c r="J131" i="10" s="1"/>
  <c r="J132" i="10" s="1"/>
  <c r="J133" i="10" s="1"/>
  <c r="J134" i="10" s="1"/>
  <c r="J135" i="10" s="1"/>
  <c r="J136" i="10" s="1"/>
  <c r="J137" i="10" s="1"/>
  <c r="J138" i="10" s="1"/>
  <c r="J139" i="10" s="1"/>
  <c r="J140" i="10" s="1"/>
  <c r="J141" i="10" s="1"/>
  <c r="J142" i="10" s="1"/>
  <c r="J143" i="10" s="1"/>
  <c r="J144" i="10" s="1"/>
  <c r="J145" i="10" s="1"/>
  <c r="J146" i="10" s="1"/>
  <c r="J147" i="10" s="1"/>
  <c r="J148" i="10" s="1"/>
  <c r="J149" i="10" s="1"/>
  <c r="J150" i="10" s="1"/>
  <c r="J151" i="10" s="1"/>
  <c r="J152" i="10" s="1"/>
  <c r="J153" i="10" s="1"/>
  <c r="J154" i="10" s="1"/>
  <c r="J155" i="10" s="1"/>
  <c r="J156" i="10" s="1"/>
  <c r="J157" i="10" s="1"/>
  <c r="J158" i="10" s="1"/>
  <c r="J159" i="10" s="1"/>
  <c r="J160" i="10" s="1"/>
  <c r="J161" i="10" s="1"/>
  <c r="J162" i="10" s="1"/>
  <c r="J163" i="10" s="1"/>
  <c r="J164" i="10" s="1"/>
  <c r="J165" i="10" s="1"/>
  <c r="J166" i="10" s="1"/>
  <c r="J167" i="10" s="1"/>
  <c r="J168" i="10" s="1"/>
  <c r="J169" i="10" s="1"/>
  <c r="J170" i="10" s="1"/>
  <c r="J171" i="10" s="1"/>
  <c r="J172" i="10" s="1"/>
  <c r="J173" i="10" s="1"/>
  <c r="J174" i="10" s="1"/>
  <c r="J175" i="10" s="1"/>
  <c r="J176" i="10" s="1"/>
  <c r="J177" i="10" s="1"/>
  <c r="J178" i="10" s="1"/>
  <c r="J179" i="10" s="1"/>
  <c r="J180" i="10" s="1"/>
  <c r="J181" i="10" s="1"/>
  <c r="J182" i="10" s="1"/>
  <c r="J183" i="10" s="1"/>
  <c r="J184" i="10" s="1"/>
  <c r="J185" i="10" s="1"/>
  <c r="J186" i="10" s="1"/>
  <c r="J187" i="10" s="1"/>
  <c r="J188" i="10" s="1"/>
  <c r="J189" i="10" s="1"/>
  <c r="J190" i="10" s="1"/>
  <c r="J191" i="10" s="1"/>
  <c r="J192" i="10" s="1"/>
  <c r="J193" i="10" s="1"/>
  <c r="J194" i="10" s="1"/>
  <c r="J195" i="10" s="1"/>
  <c r="J196" i="10" s="1"/>
  <c r="J197" i="10" s="1"/>
  <c r="J198" i="10" s="1"/>
  <c r="J199" i="10" s="1"/>
  <c r="J200" i="10" s="1"/>
  <c r="J201" i="10" s="1"/>
  <c r="J202" i="10" s="1"/>
  <c r="J203" i="10" s="1"/>
  <c r="J204" i="10" s="1"/>
  <c r="B41" i="1" l="1"/>
  <c r="B35" i="1" s="1"/>
  <c r="J4" i="11"/>
  <c r="J5" i="11" s="1"/>
  <c r="J6" i="11" s="1"/>
  <c r="J7" i="11" s="1"/>
  <c r="J8" i="11" s="1"/>
  <c r="J9" i="11" s="1"/>
  <c r="J10" i="11" s="1"/>
  <c r="J11" i="11" s="1"/>
  <c r="J12" i="11" s="1"/>
  <c r="J13" i="11" s="1"/>
  <c r="J14" i="11" s="1"/>
  <c r="J15" i="11" s="1"/>
  <c r="J16" i="11" s="1"/>
  <c r="J17" i="11" s="1"/>
  <c r="J18" i="11" s="1"/>
  <c r="J19" i="11" s="1"/>
  <c r="J20" i="11" s="1"/>
  <c r="J21" i="11" s="1"/>
  <c r="J22" i="11" s="1"/>
  <c r="J23" i="11" s="1"/>
  <c r="J24" i="11" s="1"/>
  <c r="J25" i="11" s="1"/>
  <c r="J26" i="11" s="1"/>
  <c r="J27" i="11" s="1"/>
  <c r="J28" i="11" s="1"/>
  <c r="J29" i="11" s="1"/>
  <c r="J30" i="11" s="1"/>
  <c r="J31" i="11" s="1"/>
  <c r="J32" i="11" s="1"/>
  <c r="J33" i="11" s="1"/>
  <c r="J34" i="11" s="1"/>
  <c r="J35" i="11" s="1"/>
  <c r="J36" i="11" s="1"/>
  <c r="J37" i="11" s="1"/>
  <c r="J38" i="11" s="1"/>
  <c r="J39" i="11" s="1"/>
  <c r="J40" i="11" s="1"/>
  <c r="J41" i="11" s="1"/>
  <c r="J42" i="11" s="1"/>
  <c r="J43" i="11" s="1"/>
  <c r="J44" i="11" s="1"/>
  <c r="J45" i="11" s="1"/>
  <c r="J46" i="11" s="1"/>
  <c r="J47" i="11" s="1"/>
  <c r="J48" i="11" s="1"/>
  <c r="J49" i="11" s="1"/>
  <c r="J50" i="11" s="1"/>
  <c r="J51" i="11" s="1"/>
  <c r="J52" i="11" s="1"/>
  <c r="J53" i="11" s="1"/>
  <c r="J54" i="11" s="1"/>
  <c r="J55" i="11" s="1"/>
  <c r="J56" i="11" s="1"/>
  <c r="J57" i="11" s="1"/>
  <c r="J58" i="11" s="1"/>
  <c r="J59" i="11" s="1"/>
  <c r="J60" i="11" s="1"/>
  <c r="J61" i="11" s="1"/>
  <c r="J62" i="11" s="1"/>
  <c r="J63" i="11" s="1"/>
  <c r="J64" i="11" s="1"/>
  <c r="J65" i="11" s="1"/>
  <c r="J66" i="11" s="1"/>
  <c r="J67" i="11" s="1"/>
  <c r="J68" i="11" s="1"/>
  <c r="J69" i="11" s="1"/>
  <c r="J70" i="11" s="1"/>
  <c r="J71" i="11" s="1"/>
  <c r="J72" i="11" s="1"/>
  <c r="J73" i="11" s="1"/>
  <c r="J74" i="11" s="1"/>
  <c r="J75" i="11" s="1"/>
  <c r="J76" i="11" s="1"/>
  <c r="J77" i="11" s="1"/>
  <c r="J78" i="11" s="1"/>
  <c r="J79" i="11" s="1"/>
  <c r="J80" i="11" s="1"/>
  <c r="J81" i="11" s="1"/>
  <c r="J82" i="11" s="1"/>
  <c r="J83" i="11" s="1"/>
  <c r="J84" i="11" s="1"/>
  <c r="J85" i="11" s="1"/>
  <c r="J86" i="11" s="1"/>
  <c r="J87" i="11" s="1"/>
  <c r="J88" i="11" s="1"/>
  <c r="J89" i="11" s="1"/>
  <c r="J90" i="11" s="1"/>
  <c r="J91" i="11" s="1"/>
  <c r="J92" i="11" s="1"/>
  <c r="J93" i="11" s="1"/>
  <c r="J94" i="11" s="1"/>
  <c r="J95" i="11" s="1"/>
  <c r="J96" i="11" s="1"/>
  <c r="J97" i="11" s="1"/>
  <c r="J98" i="11" s="1"/>
  <c r="J99" i="11" s="1"/>
  <c r="J100" i="11" s="1"/>
  <c r="J101" i="11" s="1"/>
  <c r="J102" i="11" s="1"/>
  <c r="J103" i="11" s="1"/>
  <c r="J104" i="11" s="1"/>
  <c r="J105" i="11" s="1"/>
  <c r="J106" i="11" s="1"/>
  <c r="J107" i="11" s="1"/>
  <c r="J108" i="11" s="1"/>
  <c r="J109" i="11" s="1"/>
  <c r="J110" i="11" s="1"/>
  <c r="J111" i="11" s="1"/>
  <c r="J112" i="11" s="1"/>
  <c r="J113" i="11" s="1"/>
  <c r="J114" i="11" s="1"/>
  <c r="J115" i="11" s="1"/>
  <c r="J116" i="11" s="1"/>
  <c r="J117" i="11" s="1"/>
  <c r="J118" i="11" s="1"/>
  <c r="J119" i="11" s="1"/>
  <c r="J120" i="11" s="1"/>
  <c r="J121" i="11" s="1"/>
  <c r="J122" i="11" s="1"/>
  <c r="J123" i="11" s="1"/>
  <c r="J124" i="11" s="1"/>
  <c r="J125" i="11" s="1"/>
  <c r="J126" i="11" s="1"/>
  <c r="J127" i="11" s="1"/>
  <c r="J128" i="11" s="1"/>
  <c r="J129" i="11" s="1"/>
  <c r="J130" i="11" s="1"/>
  <c r="J131" i="11" s="1"/>
  <c r="J132" i="11" s="1"/>
  <c r="J133" i="11" s="1"/>
  <c r="J134" i="11" s="1"/>
  <c r="J135" i="11" s="1"/>
  <c r="J136" i="11" s="1"/>
  <c r="J137" i="11" s="1"/>
  <c r="J138" i="11" s="1"/>
  <c r="J139" i="11" s="1"/>
  <c r="J140" i="11" s="1"/>
  <c r="J141" i="11" s="1"/>
  <c r="J142" i="11" s="1"/>
  <c r="J143" i="11" s="1"/>
  <c r="J144" i="11" s="1"/>
  <c r="J145" i="11" s="1"/>
  <c r="J146" i="11" s="1"/>
  <c r="J147" i="11" s="1"/>
  <c r="J148" i="11" s="1"/>
  <c r="J149" i="11" s="1"/>
  <c r="J150" i="11" s="1"/>
  <c r="J151" i="11" s="1"/>
  <c r="J152" i="11" s="1"/>
  <c r="J153" i="11" s="1"/>
  <c r="J154" i="11" s="1"/>
  <c r="J155" i="11" s="1"/>
  <c r="J156" i="11" s="1"/>
  <c r="J157" i="11" s="1"/>
  <c r="J158" i="11" s="1"/>
  <c r="J159" i="11" s="1"/>
  <c r="J160" i="11" s="1"/>
  <c r="J161" i="11" s="1"/>
  <c r="J162" i="11" s="1"/>
  <c r="J163" i="11" s="1"/>
  <c r="J164" i="11" s="1"/>
  <c r="J165" i="11" s="1"/>
  <c r="J166" i="11" s="1"/>
  <c r="J167" i="11" s="1"/>
  <c r="J168" i="11" s="1"/>
  <c r="J169" i="11" s="1"/>
  <c r="J170" i="11" s="1"/>
  <c r="J171" i="11" s="1"/>
  <c r="J172" i="11" s="1"/>
  <c r="J173" i="11" s="1"/>
  <c r="J174" i="11" s="1"/>
  <c r="J175" i="11" s="1"/>
  <c r="J176" i="11" s="1"/>
  <c r="J177" i="11" s="1"/>
  <c r="J178" i="11" s="1"/>
  <c r="J179" i="11" s="1"/>
  <c r="J180" i="11" s="1"/>
  <c r="J181" i="11" s="1"/>
  <c r="J182" i="11" s="1"/>
  <c r="J183" i="11" s="1"/>
  <c r="J184" i="11" s="1"/>
  <c r="J185" i="11" s="1"/>
  <c r="J186" i="11" s="1"/>
  <c r="J187" i="11" s="1"/>
  <c r="J188" i="11" s="1"/>
  <c r="J189" i="11" s="1"/>
  <c r="J190" i="11" s="1"/>
  <c r="J191" i="11" s="1"/>
  <c r="J192" i="11" s="1"/>
  <c r="J193" i="11" s="1"/>
  <c r="J194" i="11" s="1"/>
  <c r="J195" i="11" s="1"/>
  <c r="J196" i="11" s="1"/>
  <c r="J197" i="11" s="1"/>
  <c r="J198" i="11" s="1"/>
  <c r="J199" i="11" s="1"/>
  <c r="J200" i="11" s="1"/>
  <c r="J201" i="11" s="1"/>
  <c r="J202" i="11" s="1"/>
  <c r="J203" i="11" s="1"/>
  <c r="J204" i="11" s="1"/>
  <c r="J205" i="11" s="1"/>
  <c r="J206" i="11" s="1"/>
  <c r="J207" i="11" s="1"/>
  <c r="J208" i="11" s="1"/>
  <c r="J209" i="11" s="1"/>
  <c r="J210" i="11" s="1"/>
  <c r="J211" i="11" s="1"/>
  <c r="J212" i="11" s="1"/>
  <c r="J213" i="11" s="1"/>
  <c r="J214" i="11" s="1"/>
  <c r="J215" i="11" s="1"/>
  <c r="J216" i="11" s="1"/>
  <c r="J217" i="11" s="1"/>
  <c r="J218" i="11" s="1"/>
  <c r="J219" i="11" s="1"/>
  <c r="J220" i="11" s="1"/>
  <c r="J221" i="11" s="1"/>
  <c r="J222" i="11" s="1"/>
  <c r="J223" i="11" s="1"/>
  <c r="J224" i="11" s="1"/>
  <c r="J225" i="11" s="1"/>
  <c r="J226" i="11" s="1"/>
  <c r="J227" i="11" s="1"/>
  <c r="J228" i="11" s="1"/>
  <c r="J229" i="11" s="1"/>
  <c r="J230" i="11" s="1"/>
  <c r="J231" i="11" s="1"/>
  <c r="J232" i="11" s="1"/>
  <c r="J233" i="11" s="1"/>
  <c r="J234" i="11" s="1"/>
  <c r="J235" i="11" s="1"/>
  <c r="J236" i="11" s="1"/>
  <c r="J237" i="11" s="1"/>
  <c r="J238" i="11" s="1"/>
  <c r="J239" i="11" s="1"/>
  <c r="J240" i="11" s="1"/>
  <c r="J241" i="11" s="1"/>
  <c r="J242" i="11" s="1"/>
  <c r="J243" i="11" s="1"/>
  <c r="J244" i="11" s="1"/>
  <c r="J245" i="11" s="1"/>
  <c r="J246" i="11" s="1"/>
  <c r="J247" i="11" s="1"/>
  <c r="J248" i="11" s="1"/>
  <c r="J249" i="11" s="1"/>
  <c r="J250" i="11" s="1"/>
  <c r="J251" i="11" s="1"/>
  <c r="J252" i="11" s="1"/>
  <c r="J253" i="11" s="1"/>
  <c r="J254" i="11" s="1"/>
  <c r="J255" i="11" s="1"/>
  <c r="J256" i="11" s="1"/>
  <c r="J257" i="11" s="1"/>
  <c r="J258" i="11" s="1"/>
  <c r="J259" i="11" s="1"/>
  <c r="J260" i="11" s="1"/>
  <c r="J261" i="11" s="1"/>
  <c r="J262" i="11" s="1"/>
  <c r="J263" i="11" s="1"/>
  <c r="J264" i="11" s="1"/>
  <c r="J265" i="11" s="1"/>
  <c r="J266" i="11" s="1"/>
  <c r="J267" i="11" s="1"/>
  <c r="J268" i="11" s="1"/>
  <c r="J269" i="11" s="1"/>
  <c r="J270" i="11" s="1"/>
  <c r="J271" i="11" s="1"/>
  <c r="J272" i="11" s="1"/>
  <c r="J273" i="11" s="1"/>
  <c r="J274" i="11" s="1"/>
  <c r="J275" i="11" s="1"/>
  <c r="J276" i="11" s="1"/>
  <c r="J277" i="11" s="1"/>
  <c r="J278" i="11" s="1"/>
  <c r="J279" i="11" s="1"/>
  <c r="J280" i="11" s="1"/>
  <c r="J281" i="11" s="1"/>
  <c r="J282" i="11" s="1"/>
  <c r="J283" i="11" s="1"/>
  <c r="J284" i="11" s="1"/>
  <c r="J285" i="11" s="1"/>
  <c r="J286" i="11" s="1"/>
  <c r="J287" i="11" s="1"/>
  <c r="J288" i="11" s="1"/>
  <c r="J289" i="11" s="1"/>
  <c r="J290" i="11" s="1"/>
  <c r="J291" i="11" s="1"/>
  <c r="J292" i="11" s="1"/>
  <c r="J293" i="11" s="1"/>
  <c r="J294" i="11" s="1"/>
  <c r="J295" i="11" s="1"/>
  <c r="J296" i="11" s="1"/>
  <c r="J297" i="11" s="1"/>
  <c r="J298" i="11" s="1"/>
  <c r="J299" i="11" s="1"/>
  <c r="J300" i="11" s="1"/>
  <c r="J301" i="11" s="1"/>
  <c r="J302" i="11" s="1"/>
  <c r="J303" i="11" s="1"/>
  <c r="J304" i="11" s="1"/>
  <c r="A219" i="11"/>
  <c r="Q218" i="11"/>
  <c r="N216" i="11"/>
  <c r="O216" i="11" s="1"/>
  <c r="P216" i="11" s="1"/>
  <c r="R216" i="11" s="1"/>
  <c r="E28" i="1"/>
  <c r="E26" i="1"/>
  <c r="AU5" i="6" l="1"/>
  <c r="L4" i="6"/>
  <c r="L5" i="6"/>
  <c r="M5" i="6" s="1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BK110" i="6"/>
  <c r="BK107" i="6"/>
  <c r="BK87" i="6"/>
  <c r="BK102" i="6"/>
  <c r="BK111" i="6"/>
  <c r="BK147" i="6"/>
  <c r="BK118" i="6"/>
  <c r="BK160" i="6"/>
  <c r="BK154" i="6"/>
  <c r="BK151" i="6"/>
  <c r="BK155" i="6"/>
  <c r="BK152" i="6"/>
  <c r="BK149" i="6"/>
  <c r="BK142" i="6"/>
  <c r="BK139" i="6"/>
  <c r="BK166" i="6"/>
  <c r="BK135" i="6"/>
  <c r="BK165" i="6"/>
  <c r="BK134" i="6"/>
  <c r="BK163" i="6"/>
  <c r="BK133" i="6"/>
  <c r="BK162" i="6"/>
  <c r="BK123" i="6"/>
  <c r="BK159" i="6"/>
  <c r="BK117" i="6"/>
  <c r="BK150" i="6"/>
  <c r="BK127" i="6"/>
  <c r="BK101" i="6"/>
  <c r="BK91" i="6"/>
  <c r="BK94" i="6"/>
  <c r="BK86" i="6"/>
  <c r="AU74" i="6"/>
  <c r="BK6" i="6"/>
  <c r="BK78" i="6"/>
  <c r="BK73" i="6"/>
  <c r="BK158" i="6"/>
  <c r="BK143" i="6"/>
  <c r="BK119" i="6"/>
  <c r="BK95" i="6"/>
  <c r="AU72" i="6"/>
  <c r="BK72" i="6"/>
  <c r="BK167" i="6"/>
  <c r="BK157" i="6"/>
  <c r="BK144" i="6"/>
  <c r="BK126" i="6"/>
  <c r="BK103" i="6"/>
  <c r="BK85" i="6"/>
  <c r="AU65" i="6"/>
  <c r="BK62" i="6"/>
  <c r="BK58" i="6"/>
  <c r="BK57" i="6"/>
  <c r="BK55" i="6"/>
  <c r="AV4" i="6"/>
  <c r="BK40" i="6"/>
  <c r="AU34" i="6"/>
  <c r="BK23" i="6"/>
  <c r="AU24" i="6"/>
  <c r="BK24" i="6"/>
  <c r="BL4" i="6"/>
  <c r="BK131" i="6"/>
  <c r="BK115" i="6"/>
  <c r="BK99" i="6"/>
  <c r="BK83" i="6"/>
  <c r="AU69" i="6"/>
  <c r="BK51" i="6"/>
  <c r="BK17" i="6"/>
  <c r="BK79" i="6"/>
  <c r="BK66" i="6"/>
  <c r="BK43" i="6"/>
  <c r="AU8" i="6"/>
  <c r="BK141" i="6"/>
  <c r="BK125" i="6"/>
  <c r="BK109" i="6"/>
  <c r="BK93" i="6"/>
  <c r="BK77" i="6"/>
  <c r="BK64" i="6"/>
  <c r="AU39" i="6"/>
  <c r="N217" i="11"/>
  <c r="O217" i="11" s="1"/>
  <c r="P217" i="11" s="1"/>
  <c r="R217" i="11" s="1"/>
  <c r="A220" i="11"/>
  <c r="Q219" i="11"/>
  <c r="BK164" i="6"/>
  <c r="BK156" i="6"/>
  <c r="BK148" i="6"/>
  <c r="BK140" i="6"/>
  <c r="BK132" i="6"/>
  <c r="BK124" i="6"/>
  <c r="BK116" i="6"/>
  <c r="BK108" i="6"/>
  <c r="BK100" i="6"/>
  <c r="BK92" i="6"/>
  <c r="BK84" i="6"/>
  <c r="BK76" i="6"/>
  <c r="BK70" i="6"/>
  <c r="AU64" i="6"/>
  <c r="AU54" i="6"/>
  <c r="BK39" i="6"/>
  <c r="BK21" i="6"/>
  <c r="BK146" i="6"/>
  <c r="BK138" i="6"/>
  <c r="BK130" i="6"/>
  <c r="BK122" i="6"/>
  <c r="BK114" i="6"/>
  <c r="BK106" i="6"/>
  <c r="BK98" i="6"/>
  <c r="BK90" i="6"/>
  <c r="BK82" i="6"/>
  <c r="BK75" i="6"/>
  <c r="BK69" i="6"/>
  <c r="AU61" i="6"/>
  <c r="AU50" i="6"/>
  <c r="BK33" i="6"/>
  <c r="BK16" i="6"/>
  <c r="BK161" i="6"/>
  <c r="BK153" i="6"/>
  <c r="BK145" i="6"/>
  <c r="BK137" i="6"/>
  <c r="BK129" i="6"/>
  <c r="BK121" i="6"/>
  <c r="BK113" i="6"/>
  <c r="BK105" i="6"/>
  <c r="BK97" i="6"/>
  <c r="BK89" i="6"/>
  <c r="BK81" i="6"/>
  <c r="BK74" i="6"/>
  <c r="AU68" i="6"/>
  <c r="AU60" i="6"/>
  <c r="BK48" i="6"/>
  <c r="AU30" i="6"/>
  <c r="AU13" i="6"/>
  <c r="BK136" i="6"/>
  <c r="BK128" i="6"/>
  <c r="BK120" i="6"/>
  <c r="BK112" i="6"/>
  <c r="BK104" i="6"/>
  <c r="BK96" i="6"/>
  <c r="BK88" i="6"/>
  <c r="BK80" i="6"/>
  <c r="AU73" i="6"/>
  <c r="BK68" i="6"/>
  <c r="BK60" i="6"/>
  <c r="AU46" i="6"/>
  <c r="BK29" i="6"/>
  <c r="AU12" i="6"/>
  <c r="BK65" i="6"/>
  <c r="BK61" i="6"/>
  <c r="AU55" i="6"/>
  <c r="BK49" i="6"/>
  <c r="AU40" i="6"/>
  <c r="BK32" i="6"/>
  <c r="AU23" i="6"/>
  <c r="AU14" i="6"/>
  <c r="AU71" i="6"/>
  <c r="BK67" i="6"/>
  <c r="AU63" i="6"/>
  <c r="AU59" i="6"/>
  <c r="BK54" i="6"/>
  <c r="BK45" i="6"/>
  <c r="BK37" i="6"/>
  <c r="AU28" i="6"/>
  <c r="AU19" i="6"/>
  <c r="BK12" i="6"/>
  <c r="BK71" i="6"/>
  <c r="AU67" i="6"/>
  <c r="BK63" i="6"/>
  <c r="BK59" i="6"/>
  <c r="BK53" i="6"/>
  <c r="AU44" i="6"/>
  <c r="AU35" i="6"/>
  <c r="BK28" i="6"/>
  <c r="BK19" i="6"/>
  <c r="BK11" i="6"/>
  <c r="AU70" i="6"/>
  <c r="AU66" i="6"/>
  <c r="AU62" i="6"/>
  <c r="AU58" i="6"/>
  <c r="AU51" i="6"/>
  <c r="BK44" i="6"/>
  <c r="BK35" i="6"/>
  <c r="BK27" i="6"/>
  <c r="BK18" i="6"/>
  <c r="BK8" i="6"/>
  <c r="AU57" i="6"/>
  <c r="AU53" i="6"/>
  <c r="AU48" i="6"/>
  <c r="AU43" i="6"/>
  <c r="BK38" i="6"/>
  <c r="AU32" i="6"/>
  <c r="AU27" i="6"/>
  <c r="AU22" i="6"/>
  <c r="AU16" i="6"/>
  <c r="AU11" i="6"/>
  <c r="AU56" i="6"/>
  <c r="AU52" i="6"/>
  <c r="AU47" i="6"/>
  <c r="AU42" i="6"/>
  <c r="BK36" i="6"/>
  <c r="AU31" i="6"/>
  <c r="BK26" i="6"/>
  <c r="AU20" i="6"/>
  <c r="AU15" i="6"/>
  <c r="AU10" i="6"/>
  <c r="BK56" i="6"/>
  <c r="BK52" i="6"/>
  <c r="BK47" i="6"/>
  <c r="BK41" i="6"/>
  <c r="AU36" i="6"/>
  <c r="BK31" i="6"/>
  <c r="BK25" i="6"/>
  <c r="BK20" i="6"/>
  <c r="BK15" i="6"/>
  <c r="AU9" i="6"/>
  <c r="BK5" i="6"/>
  <c r="BK4" i="6"/>
  <c r="AU4" i="6"/>
  <c r="AU7" i="6"/>
  <c r="BK7" i="6"/>
  <c r="BK50" i="6"/>
  <c r="BK46" i="6"/>
  <c r="BK42" i="6"/>
  <c r="AU38" i="6"/>
  <c r="BK34" i="6"/>
  <c r="BK30" i="6"/>
  <c r="AU26" i="6"/>
  <c r="BK22" i="6"/>
  <c r="AU18" i="6"/>
  <c r="BK14" i="6"/>
  <c r="BK10" i="6"/>
  <c r="AU6" i="6"/>
  <c r="AU49" i="6"/>
  <c r="AU45" i="6"/>
  <c r="AU41" i="6"/>
  <c r="AU37" i="6"/>
  <c r="AU33" i="6"/>
  <c r="AU29" i="6"/>
  <c r="AU25" i="6"/>
  <c r="AU21" i="6"/>
  <c r="AU17" i="6"/>
  <c r="BK13" i="6"/>
  <c r="BK9" i="6"/>
  <c r="K28" i="10"/>
  <c r="K48" i="10"/>
  <c r="K60" i="10"/>
  <c r="K68" i="10"/>
  <c r="K77" i="10"/>
  <c r="K87" i="10"/>
  <c r="K4" i="10"/>
  <c r="O4" i="10" s="1"/>
  <c r="K8" i="10"/>
  <c r="K12" i="10"/>
  <c r="K16" i="10"/>
  <c r="K20" i="10"/>
  <c r="K24" i="10"/>
  <c r="K32" i="10"/>
  <c r="K36" i="10"/>
  <c r="K40" i="10"/>
  <c r="K44" i="10"/>
  <c r="K52" i="10"/>
  <c r="K56" i="10"/>
  <c r="K64" i="10"/>
  <c r="K82" i="10"/>
  <c r="K98" i="10"/>
  <c r="K37" i="10"/>
  <c r="K57" i="10"/>
  <c r="K61" i="10"/>
  <c r="K65" i="10"/>
  <c r="K69" i="10"/>
  <c r="K73" i="10"/>
  <c r="K83" i="10"/>
  <c r="K88" i="10"/>
  <c r="K93" i="10"/>
  <c r="K114" i="10"/>
  <c r="K5" i="10"/>
  <c r="L5" i="10" s="1"/>
  <c r="K9" i="10"/>
  <c r="K13" i="10"/>
  <c r="K17" i="10"/>
  <c r="K21" i="10"/>
  <c r="K25" i="10"/>
  <c r="K29" i="10"/>
  <c r="K33" i="10"/>
  <c r="K41" i="10"/>
  <c r="K45" i="10"/>
  <c r="K49" i="10"/>
  <c r="K53" i="10"/>
  <c r="K74" i="10"/>
  <c r="K78" i="10"/>
  <c r="K89" i="10"/>
  <c r="K6" i="10"/>
  <c r="K22" i="10"/>
  <c r="K26" i="10"/>
  <c r="K30" i="10"/>
  <c r="K42" i="10"/>
  <c r="K46" i="10"/>
  <c r="K58" i="10"/>
  <c r="K62" i="10"/>
  <c r="K66" i="10"/>
  <c r="K70" i="10"/>
  <c r="K79" i="10"/>
  <c r="K84" i="10"/>
  <c r="K95" i="10"/>
  <c r="K103" i="10"/>
  <c r="K115" i="10"/>
  <c r="K119" i="10"/>
  <c r="K10" i="10"/>
  <c r="K14" i="10"/>
  <c r="K18" i="10"/>
  <c r="K34" i="10"/>
  <c r="K38" i="10"/>
  <c r="K50" i="10"/>
  <c r="K54" i="10"/>
  <c r="K75" i="10"/>
  <c r="K85" i="10"/>
  <c r="K90" i="10"/>
  <c r="K100" i="10"/>
  <c r="K104" i="10"/>
  <c r="K108" i="10"/>
  <c r="K112" i="10"/>
  <c r="K116" i="10"/>
  <c r="K120" i="10"/>
  <c r="K124" i="10"/>
  <c r="K128" i="10"/>
  <c r="K132" i="10"/>
  <c r="K136" i="10"/>
  <c r="K140" i="10"/>
  <c r="K144" i="10"/>
  <c r="K148" i="10"/>
  <c r="K152" i="10"/>
  <c r="K156" i="10"/>
  <c r="K160" i="10"/>
  <c r="K164" i="10"/>
  <c r="K168" i="10"/>
  <c r="K172" i="10"/>
  <c r="K176" i="10"/>
  <c r="K180" i="10"/>
  <c r="K184" i="10"/>
  <c r="K188" i="10"/>
  <c r="K192" i="10"/>
  <c r="K196" i="10"/>
  <c r="K200" i="10"/>
  <c r="K204" i="10"/>
  <c r="K7" i="10"/>
  <c r="K11" i="10"/>
  <c r="K47" i="10"/>
  <c r="K51" i="10"/>
  <c r="K55" i="10"/>
  <c r="K59" i="10"/>
  <c r="K63" i="10"/>
  <c r="K67" i="10"/>
  <c r="K71" i="10"/>
  <c r="K76" i="10"/>
  <c r="K80" i="10"/>
  <c r="K91" i="10"/>
  <c r="K96" i="10"/>
  <c r="K15" i="10"/>
  <c r="K19" i="10"/>
  <c r="K23" i="10"/>
  <c r="K27" i="10"/>
  <c r="K31" i="10"/>
  <c r="K35" i="10"/>
  <c r="K39" i="10"/>
  <c r="K43" i="10"/>
  <c r="K72" i="10"/>
  <c r="K81" i="10"/>
  <c r="K86" i="10"/>
  <c r="K97" i="10"/>
  <c r="K203" i="10"/>
  <c r="K198" i="10"/>
  <c r="K193" i="10"/>
  <c r="K187" i="10"/>
  <c r="K182" i="10"/>
  <c r="K177" i="10"/>
  <c r="K171" i="10"/>
  <c r="K166" i="10"/>
  <c r="K161" i="10"/>
  <c r="K155" i="10"/>
  <c r="K150" i="10"/>
  <c r="K145" i="10"/>
  <c r="K139" i="10"/>
  <c r="K134" i="10"/>
  <c r="K127" i="10"/>
  <c r="K111" i="10"/>
  <c r="K133" i="10"/>
  <c r="K126" i="10"/>
  <c r="K118" i="10"/>
  <c r="K110" i="10"/>
  <c r="K102" i="10"/>
  <c r="K202" i="10"/>
  <c r="K197" i="10"/>
  <c r="K191" i="10"/>
  <c r="K186" i="10"/>
  <c r="K181" i="10"/>
  <c r="K175" i="10"/>
  <c r="K170" i="10"/>
  <c r="K165" i="10"/>
  <c r="K159" i="10"/>
  <c r="K154" i="10"/>
  <c r="K149" i="10"/>
  <c r="K143" i="10"/>
  <c r="K138" i="10"/>
  <c r="K109" i="10"/>
  <c r="K131" i="10"/>
  <c r="K125" i="10"/>
  <c r="K117" i="10"/>
  <c r="K101" i="10"/>
  <c r="K201" i="10"/>
  <c r="K195" i="10"/>
  <c r="K190" i="10"/>
  <c r="K185" i="10"/>
  <c r="K179" i="10"/>
  <c r="K174" i="10"/>
  <c r="K169" i="10"/>
  <c r="K163" i="10"/>
  <c r="K158" i="10"/>
  <c r="K153" i="10"/>
  <c r="K147" i="10"/>
  <c r="K142" i="10"/>
  <c r="K137" i="10"/>
  <c r="K123" i="10"/>
  <c r="K107" i="10"/>
  <c r="K99" i="10"/>
  <c r="K130" i="10"/>
  <c r="K122" i="10"/>
  <c r="K106" i="10"/>
  <c r="K199" i="10"/>
  <c r="K194" i="10"/>
  <c r="K189" i="10"/>
  <c r="K183" i="10"/>
  <c r="K178" i="10"/>
  <c r="K173" i="10"/>
  <c r="K167" i="10"/>
  <c r="K162" i="10"/>
  <c r="K157" i="10"/>
  <c r="K151" i="10"/>
  <c r="K146" i="10"/>
  <c r="K141" i="10"/>
  <c r="K135" i="10"/>
  <c r="K121" i="10"/>
  <c r="K113" i="10"/>
  <c r="K94" i="10"/>
  <c r="K129" i="10"/>
  <c r="K105" i="10"/>
  <c r="K92" i="10"/>
  <c r="B40" i="1"/>
  <c r="M5" i="1" l="1"/>
  <c r="Q5" i="1"/>
  <c r="Q6" i="1"/>
  <c r="BN5" i="6"/>
  <c r="M6" i="6"/>
  <c r="M7" i="6" s="1"/>
  <c r="P5" i="6"/>
  <c r="N5" i="6"/>
  <c r="O5" i="6" s="1"/>
  <c r="BN6" i="6"/>
  <c r="BN23" i="6"/>
  <c r="BN24" i="6"/>
  <c r="BL5" i="6"/>
  <c r="AV5" i="6"/>
  <c r="BN8" i="6"/>
  <c r="BN17" i="6"/>
  <c r="BN13" i="6"/>
  <c r="BN21" i="6"/>
  <c r="BN7" i="6"/>
  <c r="BN20" i="6"/>
  <c r="BN19" i="6"/>
  <c r="BN11" i="6"/>
  <c r="BN12" i="6"/>
  <c r="A221" i="11"/>
  <c r="Q220" i="11"/>
  <c r="N218" i="11"/>
  <c r="O218" i="11" s="1"/>
  <c r="P218" i="11" s="1"/>
  <c r="R218" i="11" s="1"/>
  <c r="BN18" i="6"/>
  <c r="BN16" i="6"/>
  <c r="BN14" i="6"/>
  <c r="BN22" i="6"/>
  <c r="BN15" i="6"/>
  <c r="BN9" i="6"/>
  <c r="BN4" i="6"/>
  <c r="BN25" i="6"/>
  <c r="BN10" i="6"/>
  <c r="AV6" i="6"/>
  <c r="BL6" i="6"/>
  <c r="P4" i="10"/>
  <c r="Q4" i="10" s="1"/>
  <c r="S4" i="10" s="1"/>
  <c r="O5" i="10"/>
  <c r="M5" i="10"/>
  <c r="M6" i="10" s="1"/>
  <c r="M7" i="10" s="1"/>
  <c r="M8" i="10" s="1"/>
  <c r="M9" i="10" s="1"/>
  <c r="M10" i="10" s="1"/>
  <c r="M11" i="10" s="1"/>
  <c r="M12" i="10" s="1"/>
  <c r="M13" i="10" s="1"/>
  <c r="M14" i="10" s="1"/>
  <c r="M15" i="10" s="1"/>
  <c r="M16" i="10" s="1"/>
  <c r="M17" i="10" s="1"/>
  <c r="M18" i="10" s="1"/>
  <c r="M19" i="10" s="1"/>
  <c r="M20" i="10" s="1"/>
  <c r="M21" i="10" s="1"/>
  <c r="M22" i="10" s="1"/>
  <c r="M23" i="10" s="1"/>
  <c r="M24" i="10" s="1"/>
  <c r="M25" i="10" s="1"/>
  <c r="M26" i="10" s="1"/>
  <c r="M27" i="10" s="1"/>
  <c r="M28" i="10" s="1"/>
  <c r="M29" i="10" s="1"/>
  <c r="M30" i="10" s="1"/>
  <c r="M31" i="10" s="1"/>
  <c r="M32" i="10" s="1"/>
  <c r="M33" i="10" s="1"/>
  <c r="M34" i="10" s="1"/>
  <c r="M35" i="10" s="1"/>
  <c r="M36" i="10" s="1"/>
  <c r="M37" i="10" s="1"/>
  <c r="M38" i="10" s="1"/>
  <c r="M39" i="10" s="1"/>
  <c r="M40" i="10" s="1"/>
  <c r="M41" i="10" s="1"/>
  <c r="M42" i="10" s="1"/>
  <c r="M43" i="10" s="1"/>
  <c r="M44" i="10" s="1"/>
  <c r="M45" i="10" s="1"/>
  <c r="M46" i="10" s="1"/>
  <c r="M47" i="10" s="1"/>
  <c r="M48" i="10" s="1"/>
  <c r="M49" i="10" s="1"/>
  <c r="M50" i="10" s="1"/>
  <c r="M51" i="10" s="1"/>
  <c r="M52" i="10" s="1"/>
  <c r="M53" i="10" s="1"/>
  <c r="M54" i="10" s="1"/>
  <c r="M55" i="10" s="1"/>
  <c r="M56" i="10" s="1"/>
  <c r="M57" i="10" s="1"/>
  <c r="M58" i="10" s="1"/>
  <c r="M59" i="10" s="1"/>
  <c r="M60" i="10" s="1"/>
  <c r="M61" i="10" s="1"/>
  <c r="M62" i="10" s="1"/>
  <c r="M63" i="10" s="1"/>
  <c r="M64" i="10" s="1"/>
  <c r="M65" i="10" s="1"/>
  <c r="M66" i="10" s="1"/>
  <c r="M67" i="10" s="1"/>
  <c r="M68" i="10" s="1"/>
  <c r="M69" i="10" s="1"/>
  <c r="M70" i="10" s="1"/>
  <c r="M71" i="10" s="1"/>
  <c r="M72" i="10" s="1"/>
  <c r="M73" i="10" s="1"/>
  <c r="M74" i="10" s="1"/>
  <c r="M75" i="10" s="1"/>
  <c r="M76" i="10" s="1"/>
  <c r="M77" i="10" s="1"/>
  <c r="M78" i="10" s="1"/>
  <c r="M79" i="10" s="1"/>
  <c r="M80" i="10" s="1"/>
  <c r="M81" i="10" s="1"/>
  <c r="M82" i="10" s="1"/>
  <c r="M83" i="10" s="1"/>
  <c r="M84" i="10" s="1"/>
  <c r="M85" i="10" s="1"/>
  <c r="M86" i="10" s="1"/>
  <c r="M87" i="10" s="1"/>
  <c r="M88" i="10" s="1"/>
  <c r="M89" i="10" s="1"/>
  <c r="M90" i="10" s="1"/>
  <c r="M91" i="10" s="1"/>
  <c r="M92" i="10" s="1"/>
  <c r="M93" i="10" s="1"/>
  <c r="M94" i="10" s="1"/>
  <c r="M95" i="10" s="1"/>
  <c r="M96" i="10" s="1"/>
  <c r="M97" i="10" s="1"/>
  <c r="M98" i="10" s="1"/>
  <c r="M99" i="10" s="1"/>
  <c r="M100" i="10" s="1"/>
  <c r="M101" i="10" s="1"/>
  <c r="M102" i="10" s="1"/>
  <c r="M103" i="10" s="1"/>
  <c r="M104" i="10" s="1"/>
  <c r="M105" i="10" s="1"/>
  <c r="M106" i="10" s="1"/>
  <c r="M107" i="10" s="1"/>
  <c r="M108" i="10" s="1"/>
  <c r="M109" i="10" s="1"/>
  <c r="M110" i="10" s="1"/>
  <c r="M111" i="10" s="1"/>
  <c r="M112" i="10" s="1"/>
  <c r="M113" i="10" s="1"/>
  <c r="M114" i="10" s="1"/>
  <c r="M115" i="10" s="1"/>
  <c r="M116" i="10" s="1"/>
  <c r="M117" i="10" s="1"/>
  <c r="M118" i="10" s="1"/>
  <c r="M119" i="10" s="1"/>
  <c r="M120" i="10" s="1"/>
  <c r="M121" i="10" s="1"/>
  <c r="M122" i="10" s="1"/>
  <c r="M123" i="10" s="1"/>
  <c r="M124" i="10" s="1"/>
  <c r="M125" i="10" s="1"/>
  <c r="M126" i="10" s="1"/>
  <c r="M127" i="10" s="1"/>
  <c r="M128" i="10" s="1"/>
  <c r="M129" i="10" s="1"/>
  <c r="M130" i="10" s="1"/>
  <c r="M131" i="10" s="1"/>
  <c r="M132" i="10" s="1"/>
  <c r="M133" i="10" s="1"/>
  <c r="M134" i="10" s="1"/>
  <c r="M135" i="10" s="1"/>
  <c r="M136" i="10" s="1"/>
  <c r="M137" i="10" s="1"/>
  <c r="M138" i="10" s="1"/>
  <c r="M139" i="10" s="1"/>
  <c r="M140" i="10" s="1"/>
  <c r="M141" i="10" s="1"/>
  <c r="M142" i="10" s="1"/>
  <c r="M143" i="10" s="1"/>
  <c r="M144" i="10" s="1"/>
  <c r="M145" i="10" s="1"/>
  <c r="M146" i="10" s="1"/>
  <c r="M147" i="10" s="1"/>
  <c r="M148" i="10" s="1"/>
  <c r="M149" i="10" s="1"/>
  <c r="M150" i="10" s="1"/>
  <c r="M151" i="10" s="1"/>
  <c r="M152" i="10" s="1"/>
  <c r="M153" i="10" s="1"/>
  <c r="M154" i="10" s="1"/>
  <c r="M155" i="10" s="1"/>
  <c r="M156" i="10" s="1"/>
  <c r="M157" i="10" s="1"/>
  <c r="M158" i="10" s="1"/>
  <c r="M159" i="10" s="1"/>
  <c r="M160" i="10" s="1"/>
  <c r="M161" i="10" s="1"/>
  <c r="M162" i="10" s="1"/>
  <c r="M163" i="10" s="1"/>
  <c r="M164" i="10" s="1"/>
  <c r="M165" i="10" s="1"/>
  <c r="M166" i="10" s="1"/>
  <c r="M167" i="10" s="1"/>
  <c r="M168" i="10" s="1"/>
  <c r="M169" i="10" s="1"/>
  <c r="M170" i="10" s="1"/>
  <c r="M171" i="10" s="1"/>
  <c r="M172" i="10" s="1"/>
  <c r="M173" i="10" s="1"/>
  <c r="M174" i="10" s="1"/>
  <c r="M175" i="10" s="1"/>
  <c r="M176" i="10" s="1"/>
  <c r="M177" i="10" s="1"/>
  <c r="M178" i="10" s="1"/>
  <c r="M179" i="10" s="1"/>
  <c r="M180" i="10" s="1"/>
  <c r="M181" i="10" s="1"/>
  <c r="M182" i="10" s="1"/>
  <c r="M183" i="10" s="1"/>
  <c r="M184" i="10" s="1"/>
  <c r="M185" i="10" s="1"/>
  <c r="M186" i="10" s="1"/>
  <c r="M187" i="10" s="1"/>
  <c r="M188" i="10" s="1"/>
  <c r="M189" i="10" s="1"/>
  <c r="M190" i="10" s="1"/>
  <c r="M191" i="10" s="1"/>
  <c r="M192" i="10" s="1"/>
  <c r="M193" i="10" s="1"/>
  <c r="M194" i="10" s="1"/>
  <c r="M195" i="10" s="1"/>
  <c r="M196" i="10" s="1"/>
  <c r="M197" i="10" s="1"/>
  <c r="M198" i="10" s="1"/>
  <c r="M199" i="10" s="1"/>
  <c r="M200" i="10" s="1"/>
  <c r="M201" i="10" s="1"/>
  <c r="M202" i="10" s="1"/>
  <c r="M203" i="10" s="1"/>
  <c r="M204" i="10" s="1"/>
  <c r="L6" i="10"/>
  <c r="L7" i="10" s="1"/>
  <c r="L8" i="10" s="1"/>
  <c r="L9" i="10" s="1"/>
  <c r="L10" i="10" s="1"/>
  <c r="L11" i="10" s="1"/>
  <c r="L12" i="10" s="1"/>
  <c r="L13" i="10" s="1"/>
  <c r="L14" i="10" s="1"/>
  <c r="L15" i="10" s="1"/>
  <c r="L16" i="10" s="1"/>
  <c r="L17" i="10" s="1"/>
  <c r="L18" i="10" s="1"/>
  <c r="L19" i="10" s="1"/>
  <c r="L20" i="10" s="1"/>
  <c r="L21" i="10" s="1"/>
  <c r="L22" i="10" s="1"/>
  <c r="L23" i="10" s="1"/>
  <c r="L24" i="10" s="1"/>
  <c r="L25" i="10" s="1"/>
  <c r="L26" i="10" s="1"/>
  <c r="L27" i="10" s="1"/>
  <c r="L28" i="10" s="1"/>
  <c r="L29" i="10" s="1"/>
  <c r="L30" i="10" s="1"/>
  <c r="L31" i="10" s="1"/>
  <c r="L32" i="10" s="1"/>
  <c r="L33" i="10" s="1"/>
  <c r="L34" i="10" s="1"/>
  <c r="L35" i="10" s="1"/>
  <c r="L36" i="10" s="1"/>
  <c r="L37" i="10" s="1"/>
  <c r="L38" i="10" s="1"/>
  <c r="L39" i="10" s="1"/>
  <c r="L40" i="10" s="1"/>
  <c r="L41" i="10" s="1"/>
  <c r="L42" i="10" s="1"/>
  <c r="L43" i="10" s="1"/>
  <c r="L44" i="10" s="1"/>
  <c r="L45" i="10" s="1"/>
  <c r="L46" i="10" s="1"/>
  <c r="L47" i="10" s="1"/>
  <c r="L48" i="10" s="1"/>
  <c r="L49" i="10" s="1"/>
  <c r="L50" i="10" s="1"/>
  <c r="L51" i="10" s="1"/>
  <c r="L52" i="10" s="1"/>
  <c r="L53" i="10" s="1"/>
  <c r="L54" i="10" s="1"/>
  <c r="L55" i="10" s="1"/>
  <c r="L56" i="10" s="1"/>
  <c r="L57" i="10" s="1"/>
  <c r="L58" i="10" s="1"/>
  <c r="L59" i="10" s="1"/>
  <c r="L60" i="10" s="1"/>
  <c r="L61" i="10" s="1"/>
  <c r="L62" i="10" s="1"/>
  <c r="L63" i="10" s="1"/>
  <c r="L64" i="10" s="1"/>
  <c r="L65" i="10" s="1"/>
  <c r="L66" i="10" s="1"/>
  <c r="L67" i="10" s="1"/>
  <c r="L68" i="10" s="1"/>
  <c r="L69" i="10" s="1"/>
  <c r="L70" i="10" s="1"/>
  <c r="L71" i="10" s="1"/>
  <c r="L72" i="10" s="1"/>
  <c r="L73" i="10" s="1"/>
  <c r="L74" i="10" s="1"/>
  <c r="L75" i="10" s="1"/>
  <c r="L76" i="10" s="1"/>
  <c r="L77" i="10" s="1"/>
  <c r="L78" i="10" s="1"/>
  <c r="L79" i="10" s="1"/>
  <c r="L80" i="10" s="1"/>
  <c r="L81" i="10" s="1"/>
  <c r="L82" i="10" s="1"/>
  <c r="L83" i="10" s="1"/>
  <c r="L84" i="10" s="1"/>
  <c r="L85" i="10" s="1"/>
  <c r="L86" i="10" s="1"/>
  <c r="L87" i="10" s="1"/>
  <c r="L88" i="10" s="1"/>
  <c r="L89" i="10" s="1"/>
  <c r="L90" i="10" s="1"/>
  <c r="L91" i="10" s="1"/>
  <c r="L92" i="10" s="1"/>
  <c r="L93" i="10" s="1"/>
  <c r="L94" i="10" s="1"/>
  <c r="L95" i="10" s="1"/>
  <c r="L96" i="10" s="1"/>
  <c r="L97" i="10" s="1"/>
  <c r="L98" i="10" s="1"/>
  <c r="L99" i="10" s="1"/>
  <c r="L100" i="10" s="1"/>
  <c r="L101" i="10" s="1"/>
  <c r="L102" i="10" s="1"/>
  <c r="L103" i="10" s="1"/>
  <c r="L104" i="10" s="1"/>
  <c r="L105" i="10" s="1"/>
  <c r="L106" i="10" s="1"/>
  <c r="L107" i="10" s="1"/>
  <c r="L108" i="10" s="1"/>
  <c r="L109" i="10" s="1"/>
  <c r="L110" i="10" s="1"/>
  <c r="L111" i="10" s="1"/>
  <c r="L112" i="10" s="1"/>
  <c r="L113" i="10" s="1"/>
  <c r="L114" i="10" s="1"/>
  <c r="L115" i="10" s="1"/>
  <c r="L116" i="10" s="1"/>
  <c r="L117" i="10" s="1"/>
  <c r="L118" i="10" s="1"/>
  <c r="L119" i="10" s="1"/>
  <c r="L120" i="10" s="1"/>
  <c r="L121" i="10" s="1"/>
  <c r="L122" i="10" s="1"/>
  <c r="L123" i="10" s="1"/>
  <c r="L124" i="10" s="1"/>
  <c r="L125" i="10" s="1"/>
  <c r="L126" i="10" s="1"/>
  <c r="L127" i="10" s="1"/>
  <c r="L128" i="10" s="1"/>
  <c r="L129" i="10" s="1"/>
  <c r="L130" i="10" s="1"/>
  <c r="L131" i="10" s="1"/>
  <c r="L132" i="10" s="1"/>
  <c r="L133" i="10" s="1"/>
  <c r="L134" i="10" s="1"/>
  <c r="L135" i="10" s="1"/>
  <c r="L136" i="10" s="1"/>
  <c r="L137" i="10" s="1"/>
  <c r="L138" i="10" s="1"/>
  <c r="L139" i="10" s="1"/>
  <c r="L140" i="10" s="1"/>
  <c r="L141" i="10" s="1"/>
  <c r="L142" i="10" s="1"/>
  <c r="L143" i="10" s="1"/>
  <c r="L144" i="10" s="1"/>
  <c r="L145" i="10" s="1"/>
  <c r="L146" i="10" s="1"/>
  <c r="L147" i="10" s="1"/>
  <c r="L148" i="10" s="1"/>
  <c r="L149" i="10" s="1"/>
  <c r="L150" i="10" s="1"/>
  <c r="L151" i="10" s="1"/>
  <c r="L152" i="10" s="1"/>
  <c r="L153" i="10" s="1"/>
  <c r="L154" i="10" s="1"/>
  <c r="L155" i="10" s="1"/>
  <c r="L156" i="10" s="1"/>
  <c r="L157" i="10" s="1"/>
  <c r="L158" i="10" s="1"/>
  <c r="L159" i="10" s="1"/>
  <c r="L160" i="10" s="1"/>
  <c r="L161" i="10" s="1"/>
  <c r="L162" i="10" s="1"/>
  <c r="L163" i="10" s="1"/>
  <c r="L164" i="10" s="1"/>
  <c r="L165" i="10" s="1"/>
  <c r="L166" i="10" s="1"/>
  <c r="L167" i="10" s="1"/>
  <c r="L168" i="10" s="1"/>
  <c r="L169" i="10" s="1"/>
  <c r="L170" i="10" s="1"/>
  <c r="L171" i="10" s="1"/>
  <c r="L172" i="10" s="1"/>
  <c r="L173" i="10" s="1"/>
  <c r="L174" i="10" s="1"/>
  <c r="L175" i="10" s="1"/>
  <c r="L176" i="10" s="1"/>
  <c r="L177" i="10" s="1"/>
  <c r="L178" i="10" s="1"/>
  <c r="L179" i="10" s="1"/>
  <c r="L180" i="10" s="1"/>
  <c r="L181" i="10" s="1"/>
  <c r="L182" i="10" s="1"/>
  <c r="L183" i="10" s="1"/>
  <c r="L184" i="10" s="1"/>
  <c r="L185" i="10" s="1"/>
  <c r="L186" i="10" s="1"/>
  <c r="L187" i="10" s="1"/>
  <c r="L188" i="10" s="1"/>
  <c r="L189" i="10" s="1"/>
  <c r="L190" i="10" s="1"/>
  <c r="L191" i="10" s="1"/>
  <c r="L192" i="10" s="1"/>
  <c r="L193" i="10" s="1"/>
  <c r="L194" i="10" s="1"/>
  <c r="L195" i="10" s="1"/>
  <c r="L196" i="10" s="1"/>
  <c r="L197" i="10" s="1"/>
  <c r="L198" i="10" s="1"/>
  <c r="L199" i="10" s="1"/>
  <c r="L200" i="10" s="1"/>
  <c r="L201" i="10" s="1"/>
  <c r="L202" i="10" s="1"/>
  <c r="L203" i="10" s="1"/>
  <c r="L204" i="10" s="1"/>
  <c r="N6" i="6" l="1"/>
  <c r="O6" i="6" s="1"/>
  <c r="P6" i="6"/>
  <c r="R6" i="6" s="1"/>
  <c r="M8" i="6"/>
  <c r="N8" i="6" s="1"/>
  <c r="O8" i="6" s="1"/>
  <c r="P7" i="6"/>
  <c r="S7" i="6" s="1"/>
  <c r="T7" i="6" s="1"/>
  <c r="N7" i="6"/>
  <c r="O7" i="6" s="1"/>
  <c r="R5" i="6"/>
  <c r="S5" i="6"/>
  <c r="T5" i="6" s="1"/>
  <c r="Q221" i="11"/>
  <c r="A222" i="11"/>
  <c r="N219" i="11"/>
  <c r="O219" i="11" s="1"/>
  <c r="P219" i="11" s="1"/>
  <c r="R219" i="11" s="1"/>
  <c r="AV7" i="6"/>
  <c r="BL7" i="6"/>
  <c r="N5" i="10"/>
  <c r="P5" i="10"/>
  <c r="Q5" i="10" s="1"/>
  <c r="O6" i="10"/>
  <c r="T4" i="10"/>
  <c r="R4" i="10"/>
  <c r="CC4" i="6"/>
  <c r="R7" i="6" l="1"/>
  <c r="S6" i="6"/>
  <c r="T6" i="6" s="1"/>
  <c r="V6" i="6" s="1"/>
  <c r="M9" i="6"/>
  <c r="P9" i="6" s="1"/>
  <c r="P8" i="6"/>
  <c r="R8" i="6" s="1"/>
  <c r="U5" i="6"/>
  <c r="V5" i="6"/>
  <c r="V7" i="6"/>
  <c r="U7" i="6"/>
  <c r="CC5" i="6"/>
  <c r="CD5" i="6" s="1"/>
  <c r="N220" i="11"/>
  <c r="O220" i="11" s="1"/>
  <c r="P220" i="11" s="1"/>
  <c r="R220" i="11" s="1"/>
  <c r="Q222" i="11"/>
  <c r="A223" i="11"/>
  <c r="AV8" i="6"/>
  <c r="BL8" i="6"/>
  <c r="U4" i="10"/>
  <c r="W4" i="10" s="1"/>
  <c r="AB4" i="10"/>
  <c r="P6" i="10"/>
  <c r="Q6" i="10" s="1"/>
  <c r="O7" i="10"/>
  <c r="R5" i="10"/>
  <c r="S5" i="10"/>
  <c r="T5" i="10" s="1"/>
  <c r="W5" i="6" l="1"/>
  <c r="AH5" i="6"/>
  <c r="AI5" i="6" s="1"/>
  <c r="W6" i="6"/>
  <c r="AH6" i="6"/>
  <c r="AI6" i="6" s="1"/>
  <c r="W7" i="6"/>
  <c r="AH7" i="6"/>
  <c r="AI7" i="6" s="1"/>
  <c r="M10" i="6"/>
  <c r="N10" i="6" s="1"/>
  <c r="O10" i="6" s="1"/>
  <c r="U6" i="6"/>
  <c r="S8" i="6"/>
  <c r="T8" i="6" s="1"/>
  <c r="V8" i="6" s="1"/>
  <c r="N9" i="6"/>
  <c r="O9" i="6" s="1"/>
  <c r="R9" i="6"/>
  <c r="S9" i="6"/>
  <c r="T9" i="6" s="1"/>
  <c r="CF5" i="6"/>
  <c r="CB5" i="6"/>
  <c r="CE5" i="6" s="1"/>
  <c r="N221" i="11"/>
  <c r="O221" i="11" s="1"/>
  <c r="P221" i="11" s="1"/>
  <c r="R221" i="11" s="1"/>
  <c r="Q223" i="11"/>
  <c r="A224" i="11"/>
  <c r="AV9" i="6"/>
  <c r="BL9" i="6"/>
  <c r="BI4" i="6"/>
  <c r="N7" i="10"/>
  <c r="N6" i="10"/>
  <c r="P7" i="10"/>
  <c r="Q7" i="10" s="1"/>
  <c r="O8" i="10"/>
  <c r="CC6" i="6"/>
  <c r="U5" i="10"/>
  <c r="W5" i="10" s="1"/>
  <c r="AB5" i="10"/>
  <c r="R6" i="10"/>
  <c r="S6" i="10"/>
  <c r="X6" i="6" l="1"/>
  <c r="AJ6" i="6"/>
  <c r="X7" i="6"/>
  <c r="AJ7" i="6"/>
  <c r="X5" i="6"/>
  <c r="AY5" i="6" s="1"/>
  <c r="AJ5" i="6"/>
  <c r="AL5" i="6" s="1"/>
  <c r="W8" i="6"/>
  <c r="AH8" i="6"/>
  <c r="AI8" i="6" s="1"/>
  <c r="M11" i="6"/>
  <c r="P11" i="6" s="1"/>
  <c r="P10" i="6"/>
  <c r="R10" i="6" s="1"/>
  <c r="U8" i="6"/>
  <c r="U9" i="6"/>
  <c r="V9" i="6"/>
  <c r="CD6" i="6"/>
  <c r="CF6" i="6"/>
  <c r="CC7" i="6"/>
  <c r="CB6" i="6"/>
  <c r="CE6" i="6" s="1"/>
  <c r="Q224" i="11"/>
  <c r="A225" i="11"/>
  <c r="N222" i="11"/>
  <c r="O222" i="11" s="1"/>
  <c r="P222" i="11" s="1"/>
  <c r="R222" i="11" s="1"/>
  <c r="AV10" i="6"/>
  <c r="BL10" i="6"/>
  <c r="AQ4" i="6"/>
  <c r="AZ4" i="6" s="1"/>
  <c r="BB4" i="6"/>
  <c r="AR4" i="6"/>
  <c r="AX4" i="6"/>
  <c r="Q17" i="1" s="1"/>
  <c r="T6" i="10"/>
  <c r="AB6" i="10" s="1"/>
  <c r="N8" i="10"/>
  <c r="AQ5" i="6"/>
  <c r="AZ5" i="6" s="1"/>
  <c r="AX5" i="6"/>
  <c r="AR5" i="6"/>
  <c r="AW5" i="6" s="1"/>
  <c r="BB5" i="6"/>
  <c r="O9" i="10"/>
  <c r="P8" i="10"/>
  <c r="Q8" i="10" s="1"/>
  <c r="S7" i="10"/>
  <c r="T7" i="10" s="1"/>
  <c r="R7" i="10"/>
  <c r="AL7" i="6" l="1"/>
  <c r="Q16" i="1"/>
  <c r="AL6" i="6"/>
  <c r="Z6" i="6"/>
  <c r="AK6" i="6"/>
  <c r="Z5" i="6"/>
  <c r="AK5" i="6"/>
  <c r="AM5" i="6" s="1"/>
  <c r="Z7" i="6"/>
  <c r="AK7" i="6"/>
  <c r="X8" i="6"/>
  <c r="AJ8" i="6"/>
  <c r="AL8" i="6" s="1"/>
  <c r="W9" i="6"/>
  <c r="AH9" i="6"/>
  <c r="AI9" i="6" s="1"/>
  <c r="M12" i="6"/>
  <c r="P12" i="6" s="1"/>
  <c r="S10" i="6"/>
  <c r="T10" i="6" s="1"/>
  <c r="U10" i="6" s="1"/>
  <c r="N11" i="6"/>
  <c r="O11" i="6" s="1"/>
  <c r="R11" i="6"/>
  <c r="S11" i="6"/>
  <c r="T11" i="6" s="1"/>
  <c r="CD7" i="6"/>
  <c r="CF7" i="6"/>
  <c r="CC8" i="6"/>
  <c r="CB7" i="6"/>
  <c r="CE7" i="6" s="1"/>
  <c r="N223" i="11"/>
  <c r="O223" i="11" s="1"/>
  <c r="P223" i="11" s="1"/>
  <c r="R223" i="11" s="1"/>
  <c r="A226" i="11"/>
  <c r="Q225" i="11"/>
  <c r="N9" i="10"/>
  <c r="AV11" i="6"/>
  <c r="BL11" i="6"/>
  <c r="BJ4" i="6"/>
  <c r="BU5" i="6"/>
  <c r="BW5" i="6"/>
  <c r="BI5" i="6"/>
  <c r="BU4" i="6"/>
  <c r="BW4" i="6"/>
  <c r="BJ5" i="6"/>
  <c r="U6" i="10"/>
  <c r="W6" i="10" s="1"/>
  <c r="S8" i="10"/>
  <c r="T8" i="10" s="1"/>
  <c r="R8" i="10"/>
  <c r="O10" i="10"/>
  <c r="P9" i="10"/>
  <c r="Q9" i="10" s="1"/>
  <c r="U7" i="10"/>
  <c r="W7" i="10" s="1"/>
  <c r="AB7" i="10"/>
  <c r="AM7" i="6" l="1"/>
  <c r="AM6" i="6"/>
  <c r="Z8" i="6"/>
  <c r="AK8" i="6"/>
  <c r="AM8" i="6" s="1"/>
  <c r="X9" i="6"/>
  <c r="AJ9" i="6"/>
  <c r="AL9" i="6" s="1"/>
  <c r="M13" i="6"/>
  <c r="N13" i="6" s="1"/>
  <c r="O13" i="6" s="1"/>
  <c r="N12" i="6"/>
  <c r="O12" i="6" s="1"/>
  <c r="V10" i="6"/>
  <c r="U11" i="6"/>
  <c r="V11" i="6"/>
  <c r="R12" i="6"/>
  <c r="S12" i="6"/>
  <c r="T12" i="6" s="1"/>
  <c r="CF8" i="6"/>
  <c r="CD8" i="6"/>
  <c r="CB8" i="6"/>
  <c r="CE8" i="6" s="1"/>
  <c r="Q226" i="11"/>
  <c r="A227" i="11"/>
  <c r="N224" i="11"/>
  <c r="O224" i="11" s="1"/>
  <c r="P224" i="11" s="1"/>
  <c r="R224" i="11" s="1"/>
  <c r="N10" i="10"/>
  <c r="AV12" i="6"/>
  <c r="BL12" i="6"/>
  <c r="BX5" i="6"/>
  <c r="BV5" i="6"/>
  <c r="AY6" i="6"/>
  <c r="AR7" i="6"/>
  <c r="AW7" i="6" s="1"/>
  <c r="AX7" i="6"/>
  <c r="AQ7" i="6"/>
  <c r="AZ7" i="6" s="1"/>
  <c r="BB7" i="6"/>
  <c r="AR6" i="6"/>
  <c r="AW6" i="6" s="1"/>
  <c r="BB6" i="6"/>
  <c r="AX6" i="6"/>
  <c r="Q15" i="1" s="1"/>
  <c r="AQ6" i="6"/>
  <c r="AZ6" i="6" s="1"/>
  <c r="P10" i="10"/>
  <c r="Q10" i="10" s="1"/>
  <c r="O11" i="10"/>
  <c r="CC9" i="6"/>
  <c r="U8" i="10"/>
  <c r="W8" i="10" s="1"/>
  <c r="AB8" i="10"/>
  <c r="S9" i="10"/>
  <c r="T9" i="10" s="1"/>
  <c r="R9" i="10"/>
  <c r="Q14" i="1" l="1"/>
  <c r="AN7" i="6"/>
  <c r="Z9" i="6"/>
  <c r="AK9" i="6"/>
  <c r="AM9" i="6" s="1"/>
  <c r="W11" i="6"/>
  <c r="AH11" i="6"/>
  <c r="AI11" i="6" s="1"/>
  <c r="W10" i="6"/>
  <c r="AH10" i="6"/>
  <c r="AI10" i="6" s="1"/>
  <c r="P13" i="6"/>
  <c r="R13" i="6" s="1"/>
  <c r="M14" i="6"/>
  <c r="P14" i="6" s="1"/>
  <c r="U12" i="6"/>
  <c r="V12" i="6"/>
  <c r="CF9" i="6"/>
  <c r="CD9" i="6"/>
  <c r="CB9" i="6"/>
  <c r="CE9" i="6" s="1"/>
  <c r="BW7" i="6"/>
  <c r="BU7" i="6"/>
  <c r="AY7" i="6"/>
  <c r="N225" i="11"/>
  <c r="O225" i="11" s="1"/>
  <c r="P225" i="11" s="1"/>
  <c r="R225" i="11" s="1"/>
  <c r="A228" i="11"/>
  <c r="Q227" i="11"/>
  <c r="N11" i="10"/>
  <c r="AV13" i="6"/>
  <c r="BL13" i="6"/>
  <c r="BI6" i="6"/>
  <c r="BJ6" i="6"/>
  <c r="BU6" i="6"/>
  <c r="BV6" i="6" s="1"/>
  <c r="BW6" i="6"/>
  <c r="BX6" i="6" s="1"/>
  <c r="P11" i="10"/>
  <c r="Q11" i="10" s="1"/>
  <c r="O12" i="10"/>
  <c r="CC10" i="6"/>
  <c r="U9" i="10"/>
  <c r="W9" i="10" s="1"/>
  <c r="AB9" i="10"/>
  <c r="S10" i="10"/>
  <c r="T10" i="10" s="1"/>
  <c r="R10" i="10"/>
  <c r="AO7" i="6" l="1"/>
  <c r="X10" i="6"/>
  <c r="AJ10" i="6"/>
  <c r="AL10" i="6" s="1"/>
  <c r="X11" i="6"/>
  <c r="AJ11" i="6"/>
  <c r="W12" i="6"/>
  <c r="AH12" i="6"/>
  <c r="AI12" i="6" s="1"/>
  <c r="M15" i="6"/>
  <c r="P15" i="6" s="1"/>
  <c r="S13" i="6"/>
  <c r="T13" i="6" s="1"/>
  <c r="V13" i="6" s="1"/>
  <c r="N14" i="6"/>
  <c r="O14" i="6" s="1"/>
  <c r="R14" i="6"/>
  <c r="S14" i="6"/>
  <c r="T14" i="6" s="1"/>
  <c r="CF10" i="6"/>
  <c r="CD10" i="6"/>
  <c r="CB10" i="6"/>
  <c r="CE10" i="6" s="1"/>
  <c r="N226" i="11"/>
  <c r="O226" i="11" s="1"/>
  <c r="P226" i="11" s="1"/>
  <c r="R226" i="11" s="1"/>
  <c r="Q228" i="11"/>
  <c r="A229" i="11"/>
  <c r="AV14" i="6"/>
  <c r="BL14" i="6"/>
  <c r="BV7" i="6"/>
  <c r="BX7" i="6"/>
  <c r="AY8" i="6"/>
  <c r="N12" i="10"/>
  <c r="AQ8" i="6"/>
  <c r="AZ8" i="6" s="1"/>
  <c r="AX8" i="6"/>
  <c r="AR8" i="6"/>
  <c r="AW8" i="6" s="1"/>
  <c r="BB8" i="6"/>
  <c r="CC11" i="6"/>
  <c r="S11" i="10"/>
  <c r="T11" i="10" s="1"/>
  <c r="R11" i="10"/>
  <c r="P12" i="10"/>
  <c r="Q12" i="10" s="1"/>
  <c r="O13" i="10"/>
  <c r="U10" i="10"/>
  <c r="W10" i="10" s="1"/>
  <c r="AB10" i="10"/>
  <c r="AL11" i="6" l="1"/>
  <c r="AN9" i="6" s="1"/>
  <c r="AN8" i="6"/>
  <c r="Z11" i="6"/>
  <c r="AK11" i="6"/>
  <c r="Z10" i="6"/>
  <c r="AK10" i="6"/>
  <c r="AM10" i="6" s="1"/>
  <c r="X12" i="6"/>
  <c r="AJ12" i="6"/>
  <c r="AL12" i="6" s="1"/>
  <c r="W13" i="6"/>
  <c r="AH13" i="6"/>
  <c r="AI13" i="6" s="1"/>
  <c r="N15" i="6"/>
  <c r="O15" i="6" s="1"/>
  <c r="M16" i="6"/>
  <c r="N16" i="6" s="1"/>
  <c r="O16" i="6" s="1"/>
  <c r="U13" i="6"/>
  <c r="U14" i="6"/>
  <c r="V14" i="6"/>
  <c r="R15" i="6"/>
  <c r="S15" i="6"/>
  <c r="T15" i="6" s="1"/>
  <c r="CF11" i="6"/>
  <c r="CD11" i="6"/>
  <c r="CC12" i="6"/>
  <c r="CB11" i="6"/>
  <c r="CE11" i="6" s="1"/>
  <c r="BW10" i="6"/>
  <c r="Q229" i="11"/>
  <c r="A230" i="11"/>
  <c r="N227" i="11"/>
  <c r="O227" i="11" s="1"/>
  <c r="P227" i="11" s="1"/>
  <c r="R227" i="11" s="1"/>
  <c r="N13" i="10"/>
  <c r="AV15" i="6"/>
  <c r="BL15" i="6"/>
  <c r="BW8" i="6"/>
  <c r="BU8" i="6"/>
  <c r="AY9" i="6"/>
  <c r="AQ10" i="6"/>
  <c r="AZ10" i="6" s="1"/>
  <c r="AX10" i="6"/>
  <c r="AR10" i="6"/>
  <c r="AW10" i="6" s="1"/>
  <c r="BB10" i="6"/>
  <c r="BB9" i="6"/>
  <c r="AR9" i="6"/>
  <c r="AW9" i="6" s="1"/>
  <c r="AQ9" i="6"/>
  <c r="AZ9" i="6" s="1"/>
  <c r="AX9" i="6"/>
  <c r="S12" i="10"/>
  <c r="T12" i="10" s="1"/>
  <c r="R12" i="10"/>
  <c r="U11" i="10"/>
  <c r="W11" i="10" s="1"/>
  <c r="AB11" i="10"/>
  <c r="P13" i="10"/>
  <c r="Q13" i="10" s="1"/>
  <c r="O14" i="10"/>
  <c r="Q13" i="1" l="1"/>
  <c r="AO8" i="6"/>
  <c r="AN10" i="6"/>
  <c r="AM11" i="6"/>
  <c r="Z12" i="6"/>
  <c r="AK12" i="6"/>
  <c r="AM12" i="6" s="1"/>
  <c r="X13" i="6"/>
  <c r="AJ13" i="6"/>
  <c r="AL13" i="6" s="1"/>
  <c r="W14" i="6"/>
  <c r="AH14" i="6"/>
  <c r="AI14" i="6" s="1"/>
  <c r="M17" i="6"/>
  <c r="P17" i="6" s="1"/>
  <c r="P16" i="6"/>
  <c r="R16" i="6" s="1"/>
  <c r="U15" i="6"/>
  <c r="V15" i="6"/>
  <c r="CF12" i="6"/>
  <c r="CD12" i="6"/>
  <c r="CC13" i="6"/>
  <c r="CB12" i="6"/>
  <c r="CE12" i="6" s="1"/>
  <c r="BU10" i="6"/>
  <c r="AY10" i="6"/>
  <c r="N228" i="11"/>
  <c r="O228" i="11" s="1"/>
  <c r="P228" i="11" s="1"/>
  <c r="R228" i="11" s="1"/>
  <c r="Q230" i="11"/>
  <c r="A231" i="11"/>
  <c r="N14" i="10"/>
  <c r="AV16" i="6"/>
  <c r="BL16" i="6"/>
  <c r="BV8" i="6"/>
  <c r="BX8" i="6"/>
  <c r="BU9" i="6"/>
  <c r="BV9" i="6" s="1"/>
  <c r="BW9" i="6"/>
  <c r="BX9" i="6" s="1"/>
  <c r="AY11" i="6"/>
  <c r="AR11" i="6"/>
  <c r="AW11" i="6" s="1"/>
  <c r="AX11" i="6"/>
  <c r="AQ11" i="6"/>
  <c r="AZ11" i="6" s="1"/>
  <c r="BB11" i="6"/>
  <c r="P14" i="10"/>
  <c r="Q14" i="10" s="1"/>
  <c r="O15" i="10"/>
  <c r="S13" i="10"/>
  <c r="T13" i="10" s="1"/>
  <c r="R13" i="10"/>
  <c r="U12" i="10"/>
  <c r="W12" i="10" s="1"/>
  <c r="AB12" i="10"/>
  <c r="AO9" i="6" l="1"/>
  <c r="AO10" i="6"/>
  <c r="AN11" i="6"/>
  <c r="Z13" i="6"/>
  <c r="AK13" i="6"/>
  <c r="AM13" i="6" s="1"/>
  <c r="X14" i="6"/>
  <c r="AJ14" i="6"/>
  <c r="AL14" i="6" s="1"/>
  <c r="AN12" i="6" s="1"/>
  <c r="W15" i="6"/>
  <c r="AH15" i="6"/>
  <c r="AI15" i="6" s="1"/>
  <c r="S16" i="6"/>
  <c r="T16" i="6" s="1"/>
  <c r="U16" i="6" s="1"/>
  <c r="M18" i="6"/>
  <c r="N18" i="6" s="1"/>
  <c r="O18" i="6" s="1"/>
  <c r="N17" i="6"/>
  <c r="O17" i="6" s="1"/>
  <c r="R17" i="6"/>
  <c r="S17" i="6"/>
  <c r="T17" i="6" s="1"/>
  <c r="CD13" i="6"/>
  <c r="CF13" i="6"/>
  <c r="CC14" i="6"/>
  <c r="CB13" i="6"/>
  <c r="CE13" i="6" s="1"/>
  <c r="A232" i="11"/>
  <c r="Q231" i="11"/>
  <c r="N229" i="11"/>
  <c r="O229" i="11" s="1"/>
  <c r="P229" i="11" s="1"/>
  <c r="R229" i="11" s="1"/>
  <c r="N15" i="10"/>
  <c r="AV17" i="6"/>
  <c r="BL17" i="6"/>
  <c r="BX10" i="6"/>
  <c r="BV10" i="6"/>
  <c r="BU11" i="6"/>
  <c r="BV11" i="6" s="1"/>
  <c r="BW11" i="6"/>
  <c r="BX11" i="6" s="1"/>
  <c r="U13" i="10"/>
  <c r="W13" i="10" s="1"/>
  <c r="AB13" i="10"/>
  <c r="O16" i="10"/>
  <c r="P15" i="10"/>
  <c r="Q15" i="10" s="1"/>
  <c r="S14" i="10"/>
  <c r="T14" i="10" s="1"/>
  <c r="R14" i="10"/>
  <c r="AO11" i="6" l="1"/>
  <c r="Z14" i="6"/>
  <c r="AK14" i="6"/>
  <c r="AM14" i="6" s="1"/>
  <c r="X15" i="6"/>
  <c r="AJ15" i="6"/>
  <c r="AL15" i="6" s="1"/>
  <c r="V16" i="6"/>
  <c r="P18" i="6"/>
  <c r="R18" i="6" s="1"/>
  <c r="M19" i="6"/>
  <c r="N19" i="6" s="1"/>
  <c r="O19" i="6" s="1"/>
  <c r="U17" i="6"/>
  <c r="V17" i="6"/>
  <c r="CD14" i="6"/>
  <c r="CF14" i="6"/>
  <c r="CC15" i="6"/>
  <c r="CB14" i="6"/>
  <c r="CE14" i="6" s="1"/>
  <c r="N230" i="11"/>
  <c r="O230" i="11" s="1"/>
  <c r="P230" i="11" s="1"/>
  <c r="R230" i="11" s="1"/>
  <c r="Q232" i="11"/>
  <c r="A233" i="11"/>
  <c r="AV18" i="6"/>
  <c r="BL18" i="6"/>
  <c r="AY12" i="6"/>
  <c r="AX12" i="6"/>
  <c r="AR12" i="6"/>
  <c r="AW12" i="6" s="1"/>
  <c r="BB12" i="6"/>
  <c r="AQ12" i="6"/>
  <c r="AZ12" i="6" s="1"/>
  <c r="N16" i="10"/>
  <c r="S15" i="10"/>
  <c r="T15" i="10" s="1"/>
  <c r="R15" i="10"/>
  <c r="P16" i="10"/>
  <c r="Q16" i="10" s="1"/>
  <c r="O17" i="10"/>
  <c r="U14" i="10"/>
  <c r="W14" i="10" s="1"/>
  <c r="AB14" i="10"/>
  <c r="AN13" i="6" l="1"/>
  <c r="AO12" i="6"/>
  <c r="Z15" i="6"/>
  <c r="AK15" i="6"/>
  <c r="AM15" i="6" s="1"/>
  <c r="W17" i="6"/>
  <c r="AH17" i="6"/>
  <c r="AI17" i="6" s="1"/>
  <c r="W16" i="6"/>
  <c r="AH16" i="6"/>
  <c r="AI16" i="6" s="1"/>
  <c r="S18" i="6"/>
  <c r="T18" i="6" s="1"/>
  <c r="U18" i="6" s="1"/>
  <c r="P19" i="6"/>
  <c r="R19" i="6" s="1"/>
  <c r="M20" i="6"/>
  <c r="N20" i="6" s="1"/>
  <c r="O20" i="6" s="1"/>
  <c r="CD15" i="6"/>
  <c r="CF15" i="6"/>
  <c r="CC16" i="6"/>
  <c r="CB15" i="6"/>
  <c r="CE15" i="6" s="1"/>
  <c r="Q233" i="11"/>
  <c r="A234" i="11"/>
  <c r="N231" i="11"/>
  <c r="O231" i="11" s="1"/>
  <c r="P231" i="11" s="1"/>
  <c r="R231" i="11" s="1"/>
  <c r="N17" i="10"/>
  <c r="AV19" i="6"/>
  <c r="BL19" i="6"/>
  <c r="BU12" i="6"/>
  <c r="BW12" i="6"/>
  <c r="AY14" i="6"/>
  <c r="AY13" i="6"/>
  <c r="AX13" i="6"/>
  <c r="AR13" i="6"/>
  <c r="AW13" i="6" s="1"/>
  <c r="AQ13" i="6"/>
  <c r="AZ13" i="6" s="1"/>
  <c r="BB13" i="6"/>
  <c r="U15" i="10"/>
  <c r="W15" i="10" s="1"/>
  <c r="AB15" i="10"/>
  <c r="S16" i="10"/>
  <c r="T16" i="10" s="1"/>
  <c r="R16" i="10"/>
  <c r="AR14" i="6"/>
  <c r="AW14" i="6" s="1"/>
  <c r="AQ14" i="6"/>
  <c r="AZ14" i="6" s="1"/>
  <c r="AX14" i="6"/>
  <c r="BB14" i="6"/>
  <c r="O18" i="10"/>
  <c r="P17" i="10"/>
  <c r="Q17" i="10" s="1"/>
  <c r="Q12" i="1" l="1"/>
  <c r="AO13" i="6"/>
  <c r="X16" i="6"/>
  <c r="AJ16" i="6"/>
  <c r="AL16" i="6" s="1"/>
  <c r="X17" i="6"/>
  <c r="AJ17" i="6"/>
  <c r="AL17" i="6" s="1"/>
  <c r="S19" i="6"/>
  <c r="T19" i="6" s="1"/>
  <c r="V19" i="6" s="1"/>
  <c r="V18" i="6"/>
  <c r="P20" i="6"/>
  <c r="S20" i="6" s="1"/>
  <c r="T20" i="6" s="1"/>
  <c r="M21" i="6"/>
  <c r="P21" i="6" s="1"/>
  <c r="CF16" i="6"/>
  <c r="CD16" i="6"/>
  <c r="CB16" i="6"/>
  <c r="CE16" i="6" s="1"/>
  <c r="AY15" i="6"/>
  <c r="N232" i="11"/>
  <c r="O232" i="11" s="1"/>
  <c r="P232" i="11" s="1"/>
  <c r="R232" i="11" s="1"/>
  <c r="A235" i="11"/>
  <c r="Q234" i="11"/>
  <c r="N18" i="10"/>
  <c r="AV20" i="6"/>
  <c r="BL20" i="6"/>
  <c r="BW13" i="6"/>
  <c r="BX13" i="6" s="1"/>
  <c r="BU13" i="6"/>
  <c r="BV13" i="6" s="1"/>
  <c r="BU14" i="6"/>
  <c r="BW14" i="6"/>
  <c r="BX12" i="6"/>
  <c r="BV12" i="6"/>
  <c r="BB15" i="6"/>
  <c r="AX15" i="6"/>
  <c r="AR15" i="6"/>
  <c r="AW15" i="6" s="1"/>
  <c r="AQ15" i="6"/>
  <c r="AZ15" i="6" s="1"/>
  <c r="U16" i="10"/>
  <c r="W16" i="10" s="1"/>
  <c r="AB16" i="10"/>
  <c r="S17" i="10"/>
  <c r="T17" i="10" s="1"/>
  <c r="R17" i="10"/>
  <c r="P18" i="10"/>
  <c r="Q18" i="10" s="1"/>
  <c r="O19" i="10"/>
  <c r="CC17" i="6"/>
  <c r="AN15" i="6" l="1"/>
  <c r="AN14" i="6"/>
  <c r="Z17" i="6"/>
  <c r="AK17" i="6"/>
  <c r="Z16" i="6"/>
  <c r="AK16" i="6"/>
  <c r="AM16" i="6" s="1"/>
  <c r="W18" i="6"/>
  <c r="AH18" i="6"/>
  <c r="AI18" i="6" s="1"/>
  <c r="W19" i="6"/>
  <c r="AH19" i="6"/>
  <c r="AI19" i="6" s="1"/>
  <c r="U19" i="6"/>
  <c r="N21" i="6"/>
  <c r="O21" i="6" s="1"/>
  <c r="M22" i="6"/>
  <c r="P22" i="6" s="1"/>
  <c r="R20" i="6"/>
  <c r="U20" i="6"/>
  <c r="V20" i="6"/>
  <c r="R21" i="6"/>
  <c r="S21" i="6"/>
  <c r="T21" i="6" s="1"/>
  <c r="CF17" i="6"/>
  <c r="CD17" i="6"/>
  <c r="CB17" i="6"/>
  <c r="CE17" i="6" s="1"/>
  <c r="BW15" i="6"/>
  <c r="BX15" i="6" s="1"/>
  <c r="BU15" i="6"/>
  <c r="BV15" i="6" s="1"/>
  <c r="AY16" i="6"/>
  <c r="A236" i="11"/>
  <c r="Q235" i="11"/>
  <c r="N233" i="11"/>
  <c r="O233" i="11" s="1"/>
  <c r="P233" i="11" s="1"/>
  <c r="R233" i="11" s="1"/>
  <c r="N19" i="10"/>
  <c r="AV21" i="6"/>
  <c r="BL21" i="6"/>
  <c r="BX14" i="6"/>
  <c r="BV14" i="6"/>
  <c r="U17" i="10"/>
  <c r="W17" i="10" s="1"/>
  <c r="AB17" i="10"/>
  <c r="CC18" i="6"/>
  <c r="P19" i="10"/>
  <c r="Q19" i="10" s="1"/>
  <c r="O20" i="10"/>
  <c r="R18" i="10"/>
  <c r="S18" i="10"/>
  <c r="T18" i="10" s="1"/>
  <c r="AQ16" i="6"/>
  <c r="AZ16" i="6" s="1"/>
  <c r="AR16" i="6"/>
  <c r="AW16" i="6" s="1"/>
  <c r="BB16" i="6"/>
  <c r="AX16" i="6"/>
  <c r="AO14" i="6" l="1"/>
  <c r="AM17" i="6"/>
  <c r="X19" i="6"/>
  <c r="AJ19" i="6"/>
  <c r="X18" i="6"/>
  <c r="AJ18" i="6"/>
  <c r="AL18" i="6" s="1"/>
  <c r="W20" i="6"/>
  <c r="AH20" i="6"/>
  <c r="AI20" i="6" s="1"/>
  <c r="M23" i="6"/>
  <c r="P23" i="6" s="1"/>
  <c r="N22" i="6"/>
  <c r="O22" i="6" s="1"/>
  <c r="U21" i="6"/>
  <c r="V21" i="6"/>
  <c r="R22" i="6"/>
  <c r="S22" i="6"/>
  <c r="T22" i="6" s="1"/>
  <c r="CF18" i="6"/>
  <c r="CD18" i="6"/>
  <c r="CC19" i="6"/>
  <c r="CB18" i="6"/>
  <c r="CE18" i="6" s="1"/>
  <c r="BU16" i="6"/>
  <c r="BV16" i="6" s="1"/>
  <c r="BW16" i="6"/>
  <c r="BX16" i="6" s="1"/>
  <c r="N234" i="11"/>
  <c r="O234" i="11" s="1"/>
  <c r="P234" i="11" s="1"/>
  <c r="R234" i="11" s="1"/>
  <c r="Q236" i="11"/>
  <c r="A237" i="11"/>
  <c r="N20" i="10"/>
  <c r="AV22" i="6"/>
  <c r="BL22" i="6"/>
  <c r="O21" i="10"/>
  <c r="P20" i="10"/>
  <c r="Q20" i="10" s="1"/>
  <c r="S19" i="10"/>
  <c r="T19" i="10" s="1"/>
  <c r="R19" i="10"/>
  <c r="U18" i="10"/>
  <c r="W18" i="10" s="1"/>
  <c r="AB18" i="10"/>
  <c r="AN16" i="6" l="1"/>
  <c r="AO15" i="6"/>
  <c r="AL19" i="6"/>
  <c r="Z18" i="6"/>
  <c r="AK18" i="6"/>
  <c r="AM18" i="6" s="1"/>
  <c r="Z19" i="6"/>
  <c r="AK19" i="6"/>
  <c r="X20" i="6"/>
  <c r="AJ20" i="6"/>
  <c r="AL20" i="6" s="1"/>
  <c r="W21" i="6"/>
  <c r="AH21" i="6"/>
  <c r="AI21" i="6" s="1"/>
  <c r="N23" i="6"/>
  <c r="O23" i="6" s="1"/>
  <c r="M24" i="6"/>
  <c r="N24" i="6" s="1"/>
  <c r="O24" i="6" s="1"/>
  <c r="U22" i="6"/>
  <c r="V22" i="6"/>
  <c r="R23" i="6"/>
  <c r="S23" i="6"/>
  <c r="T23" i="6" s="1"/>
  <c r="CF19" i="6"/>
  <c r="CD19" i="6"/>
  <c r="CC20" i="6"/>
  <c r="CB19" i="6"/>
  <c r="CE19" i="6" s="1"/>
  <c r="AY18" i="6"/>
  <c r="Q237" i="11"/>
  <c r="A238" i="11"/>
  <c r="N235" i="11"/>
  <c r="O235" i="11" s="1"/>
  <c r="P235" i="11" s="1"/>
  <c r="R235" i="11" s="1"/>
  <c r="N21" i="10"/>
  <c r="AV23" i="6"/>
  <c r="BL23" i="6"/>
  <c r="AY17" i="6"/>
  <c r="AQ17" i="6"/>
  <c r="AZ17" i="6" s="1"/>
  <c r="AR17" i="6"/>
  <c r="AW17" i="6" s="1"/>
  <c r="BB17" i="6"/>
  <c r="AX17" i="6"/>
  <c r="AX18" i="6"/>
  <c r="AQ18" i="6"/>
  <c r="AZ18" i="6" s="1"/>
  <c r="BB18" i="6"/>
  <c r="AR18" i="6"/>
  <c r="AW18" i="6" s="1"/>
  <c r="S20" i="10"/>
  <c r="T20" i="10" s="1"/>
  <c r="R20" i="10"/>
  <c r="U19" i="10"/>
  <c r="W19" i="10" s="1"/>
  <c r="AB19" i="10"/>
  <c r="O22" i="10"/>
  <c r="P21" i="10"/>
  <c r="Q21" i="10" s="1"/>
  <c r="AN17" i="6" l="1"/>
  <c r="AN18" i="6"/>
  <c r="AO16" i="6"/>
  <c r="AM19" i="6"/>
  <c r="Z20" i="6"/>
  <c r="AK20" i="6"/>
  <c r="AM20" i="6" s="1"/>
  <c r="X21" i="6"/>
  <c r="AJ21" i="6"/>
  <c r="AL21" i="6" s="1"/>
  <c r="AN19" i="6" s="1"/>
  <c r="W22" i="6"/>
  <c r="AH22" i="6"/>
  <c r="AI22" i="6" s="1"/>
  <c r="M25" i="6"/>
  <c r="N25" i="6" s="1"/>
  <c r="O25" i="6" s="1"/>
  <c r="P24" i="6"/>
  <c r="R24" i="6" s="1"/>
  <c r="U23" i="6"/>
  <c r="V23" i="6"/>
  <c r="CF20" i="6"/>
  <c r="CD20" i="6"/>
  <c r="CC21" i="6"/>
  <c r="CB20" i="6"/>
  <c r="CE20" i="6" s="1"/>
  <c r="BW18" i="6"/>
  <c r="BU18" i="6"/>
  <c r="N236" i="11"/>
  <c r="O236" i="11" s="1"/>
  <c r="P236" i="11" s="1"/>
  <c r="R236" i="11" s="1"/>
  <c r="Q238" i="11"/>
  <c r="A239" i="11"/>
  <c r="AV24" i="6"/>
  <c r="BL24" i="6"/>
  <c r="BU17" i="6"/>
  <c r="BV17" i="6" s="1"/>
  <c r="BW17" i="6"/>
  <c r="BX17" i="6" s="1"/>
  <c r="AY19" i="6"/>
  <c r="AR19" i="6"/>
  <c r="AW19" i="6" s="1"/>
  <c r="AX19" i="6"/>
  <c r="AQ19" i="6"/>
  <c r="AZ19" i="6" s="1"/>
  <c r="BB19" i="6"/>
  <c r="N22" i="10"/>
  <c r="P22" i="10"/>
  <c r="Q22" i="10" s="1"/>
  <c r="O23" i="10"/>
  <c r="U20" i="10"/>
  <c r="W20" i="10" s="1"/>
  <c r="AB20" i="10"/>
  <c r="R21" i="10"/>
  <c r="S21" i="10"/>
  <c r="T21" i="10" s="1"/>
  <c r="AO18" i="6" l="1"/>
  <c r="AO17" i="6"/>
  <c r="Z21" i="6"/>
  <c r="AK21" i="6"/>
  <c r="AM21" i="6" s="1"/>
  <c r="X22" i="6"/>
  <c r="AJ22" i="6"/>
  <c r="AL22" i="6" s="1"/>
  <c r="W23" i="6"/>
  <c r="AH23" i="6"/>
  <c r="AI23" i="6" s="1"/>
  <c r="S24" i="6"/>
  <c r="T24" i="6" s="1"/>
  <c r="U24" i="6" s="1"/>
  <c r="M26" i="6"/>
  <c r="P26" i="6" s="1"/>
  <c r="P25" i="6"/>
  <c r="R25" i="6" s="1"/>
  <c r="CD21" i="6"/>
  <c r="CF21" i="6"/>
  <c r="CC22" i="6"/>
  <c r="CB21" i="6"/>
  <c r="CE21" i="6" s="1"/>
  <c r="N237" i="11"/>
  <c r="O237" i="11" s="1"/>
  <c r="P237" i="11" s="1"/>
  <c r="R237" i="11" s="1"/>
  <c r="Q239" i="11"/>
  <c r="A240" i="11"/>
  <c r="AV25" i="6"/>
  <c r="BL25" i="6"/>
  <c r="BV18" i="6"/>
  <c r="BX18" i="6"/>
  <c r="BU19" i="6"/>
  <c r="BV19" i="6" s="1"/>
  <c r="BW19" i="6"/>
  <c r="BX19" i="6" s="1"/>
  <c r="AY20" i="6"/>
  <c r="N23" i="10"/>
  <c r="AX20" i="6"/>
  <c r="Q11" i="1" s="1"/>
  <c r="AQ20" i="6"/>
  <c r="AZ20" i="6" s="1"/>
  <c r="AR20" i="6"/>
  <c r="AW20" i="6" s="1"/>
  <c r="BB20" i="6"/>
  <c r="S22" i="10"/>
  <c r="T22" i="10" s="1"/>
  <c r="R22" i="10"/>
  <c r="U21" i="10"/>
  <c r="W21" i="10" s="1"/>
  <c r="AB21" i="10"/>
  <c r="O24" i="10"/>
  <c r="P23" i="10"/>
  <c r="Q23" i="10" s="1"/>
  <c r="AN20" i="6" l="1"/>
  <c r="AO19" i="6"/>
  <c r="Z22" i="6"/>
  <c r="AK22" i="6"/>
  <c r="AM22" i="6" s="1"/>
  <c r="X23" i="6"/>
  <c r="AJ23" i="6"/>
  <c r="AL23" i="6" s="1"/>
  <c r="S25" i="6"/>
  <c r="T25" i="6" s="1"/>
  <c r="V25" i="6" s="1"/>
  <c r="M27" i="6"/>
  <c r="N27" i="6" s="1"/>
  <c r="O27" i="6" s="1"/>
  <c r="N26" i="6"/>
  <c r="O26" i="6" s="1"/>
  <c r="V24" i="6"/>
  <c r="R26" i="6"/>
  <c r="S26" i="6"/>
  <c r="T26" i="6" s="1"/>
  <c r="CD22" i="6"/>
  <c r="CF22" i="6"/>
  <c r="CC23" i="6"/>
  <c r="CB22" i="6"/>
  <c r="CE22" i="6" s="1"/>
  <c r="N238" i="11"/>
  <c r="O238" i="11" s="1"/>
  <c r="P238" i="11" s="1"/>
  <c r="R238" i="11" s="1"/>
  <c r="Q240" i="11"/>
  <c r="A241" i="11"/>
  <c r="N24" i="10"/>
  <c r="AV26" i="6"/>
  <c r="BL26" i="6"/>
  <c r="BU20" i="6"/>
  <c r="BW20" i="6"/>
  <c r="S23" i="10"/>
  <c r="T23" i="10" s="1"/>
  <c r="R23" i="10"/>
  <c r="O25" i="10"/>
  <c r="P24" i="10"/>
  <c r="Q24" i="10" s="1"/>
  <c r="U22" i="10"/>
  <c r="W22" i="10" s="1"/>
  <c r="AB22" i="10"/>
  <c r="AO20" i="6" l="1"/>
  <c r="AN21" i="6"/>
  <c r="Z23" i="6"/>
  <c r="AK23" i="6"/>
  <c r="AM23" i="6" s="1"/>
  <c r="W24" i="6"/>
  <c r="AH24" i="6"/>
  <c r="AI24" i="6" s="1"/>
  <c r="W25" i="6"/>
  <c r="AH25" i="6"/>
  <c r="AI25" i="6" s="1"/>
  <c r="M28" i="6"/>
  <c r="P28" i="6" s="1"/>
  <c r="P27" i="6"/>
  <c r="R27" i="6" s="1"/>
  <c r="U25" i="6"/>
  <c r="U26" i="6"/>
  <c r="V26" i="6"/>
  <c r="CD23" i="6"/>
  <c r="CF23" i="6"/>
  <c r="CB23" i="6"/>
  <c r="CE23" i="6" s="1"/>
  <c r="A242" i="11"/>
  <c r="Q241" i="11"/>
  <c r="N239" i="11"/>
  <c r="O239" i="11" s="1"/>
  <c r="P239" i="11" s="1"/>
  <c r="R239" i="11" s="1"/>
  <c r="N25" i="10"/>
  <c r="AV27" i="6"/>
  <c r="BL27" i="6"/>
  <c r="BX20" i="6"/>
  <c r="BV20" i="6"/>
  <c r="AY21" i="6"/>
  <c r="BB21" i="6"/>
  <c r="AX21" i="6"/>
  <c r="AR21" i="6"/>
  <c r="AW21" i="6" s="1"/>
  <c r="AQ21" i="6"/>
  <c r="AZ21" i="6" s="1"/>
  <c r="U23" i="10"/>
  <c r="W23" i="10" s="1"/>
  <c r="AB23" i="10"/>
  <c r="S24" i="10"/>
  <c r="T24" i="10" s="1"/>
  <c r="R24" i="10"/>
  <c r="P25" i="10"/>
  <c r="Q25" i="10" s="1"/>
  <c r="O26" i="10"/>
  <c r="CC24" i="6"/>
  <c r="AO21" i="6" l="1"/>
  <c r="X25" i="6"/>
  <c r="AJ25" i="6"/>
  <c r="X24" i="6"/>
  <c r="AJ24" i="6"/>
  <c r="AL24" i="6" s="1"/>
  <c r="W26" i="6"/>
  <c r="AH26" i="6"/>
  <c r="AI26" i="6" s="1"/>
  <c r="S27" i="6"/>
  <c r="T27" i="6" s="1"/>
  <c r="U27" i="6" s="1"/>
  <c r="M29" i="6"/>
  <c r="N29" i="6" s="1"/>
  <c r="O29" i="6" s="1"/>
  <c r="N28" i="6"/>
  <c r="O28" i="6" s="1"/>
  <c r="R28" i="6"/>
  <c r="S28" i="6"/>
  <c r="T28" i="6" s="1"/>
  <c r="CF24" i="6"/>
  <c r="CD24" i="6"/>
  <c r="CC25" i="6"/>
  <c r="CB24" i="6"/>
  <c r="CE24" i="6" s="1"/>
  <c r="AY23" i="6"/>
  <c r="N240" i="11"/>
  <c r="O240" i="11" s="1"/>
  <c r="P240" i="11" s="1"/>
  <c r="R240" i="11" s="1"/>
  <c r="Q242" i="11"/>
  <c r="A243" i="11"/>
  <c r="N26" i="10"/>
  <c r="AV28" i="6"/>
  <c r="BL28" i="6"/>
  <c r="BW21" i="6"/>
  <c r="BX21" i="6" s="1"/>
  <c r="BU21" i="6"/>
  <c r="BV21" i="6" s="1"/>
  <c r="AY22" i="6"/>
  <c r="AQ22" i="6"/>
  <c r="AZ22" i="6" s="1"/>
  <c r="BB22" i="6"/>
  <c r="AX22" i="6"/>
  <c r="AR22" i="6"/>
  <c r="AW22" i="6" s="1"/>
  <c r="AQ23" i="6"/>
  <c r="AZ23" i="6" s="1"/>
  <c r="AR23" i="6"/>
  <c r="AW23" i="6" s="1"/>
  <c r="BB23" i="6"/>
  <c r="AX23" i="6"/>
  <c r="S25" i="10"/>
  <c r="T25" i="10" s="1"/>
  <c r="R25" i="10"/>
  <c r="U24" i="10"/>
  <c r="W24" i="10" s="1"/>
  <c r="AB24" i="10"/>
  <c r="O27" i="10"/>
  <c r="P26" i="10"/>
  <c r="Q26" i="10" s="1"/>
  <c r="AN22" i="6" l="1"/>
  <c r="AL25" i="6"/>
  <c r="Z24" i="6"/>
  <c r="AK24" i="6"/>
  <c r="AM24" i="6" s="1"/>
  <c r="Z25" i="6"/>
  <c r="AK25" i="6"/>
  <c r="X26" i="6"/>
  <c r="AJ26" i="6"/>
  <c r="AL26" i="6" s="1"/>
  <c r="M30" i="6"/>
  <c r="N30" i="6" s="1"/>
  <c r="O30" i="6" s="1"/>
  <c r="P29" i="6"/>
  <c r="R29" i="6" s="1"/>
  <c r="V27" i="6"/>
  <c r="U28" i="6"/>
  <c r="V28" i="6"/>
  <c r="CF25" i="6"/>
  <c r="CD25" i="6"/>
  <c r="CC26" i="6"/>
  <c r="CB25" i="6"/>
  <c r="CE25" i="6" s="1"/>
  <c r="BW23" i="6"/>
  <c r="BU23" i="6"/>
  <c r="A244" i="11"/>
  <c r="Q243" i="11"/>
  <c r="N241" i="11"/>
  <c r="O241" i="11" s="1"/>
  <c r="P241" i="11" s="1"/>
  <c r="R241" i="11" s="1"/>
  <c r="AV29" i="6"/>
  <c r="BL29" i="6"/>
  <c r="BU22" i="6"/>
  <c r="BW22" i="6"/>
  <c r="BB24" i="6"/>
  <c r="AX24" i="6"/>
  <c r="AQ24" i="6"/>
  <c r="AZ24" i="6" s="1"/>
  <c r="AR24" i="6"/>
  <c r="AW24" i="6" s="1"/>
  <c r="N27" i="10"/>
  <c r="S26" i="10"/>
  <c r="T26" i="10" s="1"/>
  <c r="R26" i="10"/>
  <c r="O28" i="10"/>
  <c r="P27" i="10"/>
  <c r="Q27" i="10" s="1"/>
  <c r="U25" i="10"/>
  <c r="W25" i="10" s="1"/>
  <c r="AB25" i="10"/>
  <c r="AM25" i="6" l="1"/>
  <c r="AO23" i="6" s="1"/>
  <c r="AN23" i="6"/>
  <c r="AN24" i="6"/>
  <c r="AO22" i="6"/>
  <c r="Z26" i="6"/>
  <c r="AK26" i="6"/>
  <c r="AM26" i="6" s="1"/>
  <c r="W28" i="6"/>
  <c r="AH28" i="6"/>
  <c r="AI28" i="6" s="1"/>
  <c r="W27" i="6"/>
  <c r="AH27" i="6"/>
  <c r="AI27" i="6" s="1"/>
  <c r="S29" i="6"/>
  <c r="T29" i="6" s="1"/>
  <c r="V29" i="6" s="1"/>
  <c r="P30" i="6"/>
  <c r="R30" i="6" s="1"/>
  <c r="M31" i="6"/>
  <c r="N31" i="6" s="1"/>
  <c r="O31" i="6" s="1"/>
  <c r="CF26" i="6"/>
  <c r="CD26" i="6"/>
  <c r="CC27" i="6"/>
  <c r="CB26" i="6"/>
  <c r="CE26" i="6" s="1"/>
  <c r="BW24" i="6"/>
  <c r="BX24" i="6" s="1"/>
  <c r="AY24" i="6"/>
  <c r="BU24" i="6"/>
  <c r="BV24" i="6" s="1"/>
  <c r="N242" i="11"/>
  <c r="O242" i="11" s="1"/>
  <c r="P242" i="11" s="1"/>
  <c r="R242" i="11" s="1"/>
  <c r="A245" i="11"/>
  <c r="Q244" i="11"/>
  <c r="N28" i="10"/>
  <c r="AV30" i="6"/>
  <c r="BL30" i="6"/>
  <c r="BX23" i="6"/>
  <c r="BX22" i="6"/>
  <c r="BV23" i="6"/>
  <c r="BV22" i="6"/>
  <c r="R27" i="10"/>
  <c r="S27" i="10"/>
  <c r="T27" i="10" s="1"/>
  <c r="O29" i="10"/>
  <c r="P28" i="10"/>
  <c r="Q28" i="10" s="1"/>
  <c r="U26" i="10"/>
  <c r="W26" i="10" s="1"/>
  <c r="AB26" i="10"/>
  <c r="AO24" i="6" l="1"/>
  <c r="X27" i="6"/>
  <c r="AJ27" i="6"/>
  <c r="AL27" i="6" s="1"/>
  <c r="X28" i="6"/>
  <c r="AJ28" i="6"/>
  <c r="W29" i="6"/>
  <c r="AH29" i="6"/>
  <c r="AI29" i="6" s="1"/>
  <c r="U29" i="6"/>
  <c r="M32" i="6"/>
  <c r="N32" i="6" s="1"/>
  <c r="O32" i="6" s="1"/>
  <c r="P31" i="6"/>
  <c r="R31" i="6" s="1"/>
  <c r="S30" i="6"/>
  <c r="T30" i="6" s="1"/>
  <c r="U30" i="6" s="1"/>
  <c r="CF27" i="6"/>
  <c r="CD27" i="6"/>
  <c r="CC28" i="6"/>
  <c r="CB27" i="6"/>
  <c r="CE27" i="6" s="1"/>
  <c r="AY25" i="6"/>
  <c r="Q245" i="11"/>
  <c r="A246" i="11"/>
  <c r="N243" i="11"/>
  <c r="O243" i="11" s="1"/>
  <c r="P243" i="11" s="1"/>
  <c r="R243" i="11" s="1"/>
  <c r="AV31" i="6"/>
  <c r="BL31" i="6"/>
  <c r="N29" i="10"/>
  <c r="AQ25" i="6"/>
  <c r="AZ25" i="6" s="1"/>
  <c r="AR25" i="6"/>
  <c r="AW25" i="6" s="1"/>
  <c r="BB25" i="6"/>
  <c r="AX25" i="6"/>
  <c r="O30" i="10"/>
  <c r="P29" i="10"/>
  <c r="Q29" i="10" s="1"/>
  <c r="S28" i="10"/>
  <c r="T28" i="10" s="1"/>
  <c r="R28" i="10"/>
  <c r="U27" i="10"/>
  <c r="W27" i="10" s="1"/>
  <c r="AB27" i="10"/>
  <c r="AL28" i="6" l="1"/>
  <c r="AN26" i="6" s="1"/>
  <c r="AN25" i="6"/>
  <c r="Z27" i="6"/>
  <c r="AK27" i="6"/>
  <c r="AM27" i="6" s="1"/>
  <c r="Z28" i="6"/>
  <c r="AK28" i="6"/>
  <c r="X29" i="6"/>
  <c r="AJ29" i="6"/>
  <c r="AL29" i="6" s="1"/>
  <c r="M33" i="6"/>
  <c r="P33" i="6" s="1"/>
  <c r="P32" i="6"/>
  <c r="R32" i="6" s="1"/>
  <c r="S31" i="6"/>
  <c r="T31" i="6" s="1"/>
  <c r="U31" i="6" s="1"/>
  <c r="V30" i="6"/>
  <c r="CF28" i="6"/>
  <c r="CD28" i="6"/>
  <c r="CC29" i="6"/>
  <c r="CB28" i="6"/>
  <c r="CE28" i="6" s="1"/>
  <c r="BW25" i="6"/>
  <c r="BX25" i="6" s="1"/>
  <c r="BU25" i="6"/>
  <c r="BV25" i="6" s="1"/>
  <c r="AY26" i="6"/>
  <c r="N244" i="11"/>
  <c r="O244" i="11" s="1"/>
  <c r="P244" i="11" s="1"/>
  <c r="R244" i="11" s="1"/>
  <c r="A247" i="11"/>
  <c r="Q246" i="11"/>
  <c r="AV32" i="6"/>
  <c r="BL32" i="6"/>
  <c r="AY27" i="6"/>
  <c r="AQ26" i="6"/>
  <c r="AZ26" i="6" s="1"/>
  <c r="AR26" i="6"/>
  <c r="AW26" i="6" s="1"/>
  <c r="AX26" i="6"/>
  <c r="BB26" i="6"/>
  <c r="N30" i="10"/>
  <c r="AR27" i="6"/>
  <c r="AW27" i="6" s="1"/>
  <c r="AX27" i="6"/>
  <c r="U28" i="10"/>
  <c r="W28" i="10" s="1"/>
  <c r="AB28" i="10"/>
  <c r="BB27" i="6"/>
  <c r="AQ27" i="6"/>
  <c r="AZ27" i="6" s="1"/>
  <c r="S29" i="10"/>
  <c r="T29" i="10" s="1"/>
  <c r="R29" i="10"/>
  <c r="O31" i="10"/>
  <c r="P30" i="10"/>
  <c r="Q30" i="10" s="1"/>
  <c r="AM28" i="6" l="1"/>
  <c r="AO26" i="6" s="1"/>
  <c r="AN27" i="6"/>
  <c r="AO25" i="6"/>
  <c r="Z29" i="6"/>
  <c r="AK29" i="6"/>
  <c r="AM29" i="6" s="1"/>
  <c r="W30" i="6"/>
  <c r="AH30" i="6"/>
  <c r="AI30" i="6" s="1"/>
  <c r="M34" i="6"/>
  <c r="N34" i="6" s="1"/>
  <c r="O34" i="6" s="1"/>
  <c r="N33" i="6"/>
  <c r="O33" i="6" s="1"/>
  <c r="S32" i="6"/>
  <c r="T32" i="6" s="1"/>
  <c r="U32" i="6" s="1"/>
  <c r="V31" i="6"/>
  <c r="S33" i="6"/>
  <c r="T33" i="6" s="1"/>
  <c r="R33" i="6"/>
  <c r="CD29" i="6"/>
  <c r="CF29" i="6"/>
  <c r="CC30" i="6"/>
  <c r="CB29" i="6"/>
  <c r="CE29" i="6" s="1"/>
  <c r="BW26" i="6"/>
  <c r="BX26" i="6" s="1"/>
  <c r="BU26" i="6"/>
  <c r="BV26" i="6" s="1"/>
  <c r="Q247" i="11"/>
  <c r="A248" i="11"/>
  <c r="N245" i="11"/>
  <c r="O245" i="11" s="1"/>
  <c r="P245" i="11" s="1"/>
  <c r="R245" i="11" s="1"/>
  <c r="AV33" i="6"/>
  <c r="BL33" i="6"/>
  <c r="BU27" i="6"/>
  <c r="BW27" i="6"/>
  <c r="AX28" i="6"/>
  <c r="AQ28" i="6"/>
  <c r="AZ28" i="6" s="1"/>
  <c r="AR28" i="6"/>
  <c r="AW28" i="6" s="1"/>
  <c r="BB28" i="6"/>
  <c r="N31" i="10"/>
  <c r="P31" i="10"/>
  <c r="Q31" i="10" s="1"/>
  <c r="O32" i="10"/>
  <c r="S30" i="10"/>
  <c r="T30" i="10" s="1"/>
  <c r="R30" i="10"/>
  <c r="U29" i="10"/>
  <c r="W29" i="10" s="1"/>
  <c r="AB29" i="10"/>
  <c r="AO27" i="6" l="1"/>
  <c r="X30" i="6"/>
  <c r="AJ30" i="6"/>
  <c r="AL30" i="6" s="1"/>
  <c r="W31" i="6"/>
  <c r="AH31" i="6"/>
  <c r="AI31" i="6" s="1"/>
  <c r="M35" i="6"/>
  <c r="P35" i="6" s="1"/>
  <c r="P34" i="6"/>
  <c r="S34" i="6" s="1"/>
  <c r="T34" i="6" s="1"/>
  <c r="V32" i="6"/>
  <c r="U33" i="6"/>
  <c r="V33" i="6"/>
  <c r="CD30" i="6"/>
  <c r="CF30" i="6"/>
  <c r="CC31" i="6"/>
  <c r="CB30" i="6"/>
  <c r="CE30" i="6" s="1"/>
  <c r="BV27" i="6"/>
  <c r="BX27" i="6"/>
  <c r="AY28" i="6"/>
  <c r="BW28" i="6"/>
  <c r="BX28" i="6" s="1"/>
  <c r="BU28" i="6"/>
  <c r="BV28" i="6" s="1"/>
  <c r="N246" i="11"/>
  <c r="O246" i="11" s="1"/>
  <c r="P246" i="11" s="1"/>
  <c r="R246" i="11" s="1"/>
  <c r="Q248" i="11"/>
  <c r="A249" i="11"/>
  <c r="N32" i="10"/>
  <c r="AV34" i="6"/>
  <c r="BL34" i="6"/>
  <c r="AY29" i="6"/>
  <c r="AR29" i="6"/>
  <c r="AW29" i="6" s="1"/>
  <c r="AX29" i="6"/>
  <c r="Q10" i="1" s="1"/>
  <c r="AQ29" i="6"/>
  <c r="AZ29" i="6" s="1"/>
  <c r="BB29" i="6"/>
  <c r="R31" i="10"/>
  <c r="S31" i="10"/>
  <c r="T31" i="10" s="1"/>
  <c r="O33" i="10"/>
  <c r="P32" i="10"/>
  <c r="Q32" i="10" s="1"/>
  <c r="U30" i="10"/>
  <c r="W30" i="10" s="1"/>
  <c r="AB30" i="10"/>
  <c r="AN28" i="6" l="1"/>
  <c r="Z30" i="6"/>
  <c r="AK30" i="6"/>
  <c r="AM30" i="6" s="1"/>
  <c r="X31" i="6"/>
  <c r="AJ31" i="6"/>
  <c r="AL31" i="6" s="1"/>
  <c r="W33" i="6"/>
  <c r="AH33" i="6"/>
  <c r="AI33" i="6" s="1"/>
  <c r="W32" i="6"/>
  <c r="AH32" i="6"/>
  <c r="AI32" i="6" s="1"/>
  <c r="M36" i="6"/>
  <c r="N36" i="6" s="1"/>
  <c r="O36" i="6" s="1"/>
  <c r="N35" i="6"/>
  <c r="O35" i="6" s="1"/>
  <c r="R34" i="6"/>
  <c r="U34" i="6"/>
  <c r="V34" i="6"/>
  <c r="R35" i="6"/>
  <c r="S35" i="6"/>
  <c r="T35" i="6" s="1"/>
  <c r="CD31" i="6"/>
  <c r="CF31" i="6"/>
  <c r="CC32" i="6"/>
  <c r="CB31" i="6"/>
  <c r="CE31" i="6" s="1"/>
  <c r="Q249" i="11"/>
  <c r="A250" i="11"/>
  <c r="N247" i="11"/>
  <c r="O247" i="11" s="1"/>
  <c r="P247" i="11" s="1"/>
  <c r="R247" i="11" s="1"/>
  <c r="N33" i="10"/>
  <c r="AV35" i="6"/>
  <c r="BL35" i="6"/>
  <c r="BW29" i="6"/>
  <c r="BX29" i="6" s="1"/>
  <c r="BU29" i="6"/>
  <c r="BV29" i="6" s="1"/>
  <c r="AY30" i="6"/>
  <c r="BB30" i="6"/>
  <c r="AQ30" i="6"/>
  <c r="AZ30" i="6" s="1"/>
  <c r="AR30" i="6"/>
  <c r="AW30" i="6" s="1"/>
  <c r="AX30" i="6"/>
  <c r="O34" i="10"/>
  <c r="P33" i="10"/>
  <c r="Q33" i="10" s="1"/>
  <c r="S32" i="10"/>
  <c r="T32" i="10" s="1"/>
  <c r="R32" i="10"/>
  <c r="U31" i="10"/>
  <c r="W31" i="10" s="1"/>
  <c r="AB31" i="10"/>
  <c r="AN29" i="6" l="1"/>
  <c r="AO28" i="6"/>
  <c r="Z31" i="6"/>
  <c r="AK31" i="6"/>
  <c r="AM31" i="6" s="1"/>
  <c r="AO29" i="6" s="1"/>
  <c r="X33" i="6"/>
  <c r="AJ33" i="6"/>
  <c r="X32" i="6"/>
  <c r="AJ32" i="6"/>
  <c r="AL32" i="6" s="1"/>
  <c r="W34" i="6"/>
  <c r="AH34" i="6"/>
  <c r="AI34" i="6" s="1"/>
  <c r="M37" i="6"/>
  <c r="P37" i="6" s="1"/>
  <c r="P36" i="6"/>
  <c r="R36" i="6" s="1"/>
  <c r="U35" i="6"/>
  <c r="V35" i="6"/>
  <c r="CF32" i="6"/>
  <c r="CD32" i="6"/>
  <c r="CC33" i="6"/>
  <c r="CB32" i="6"/>
  <c r="CE32" i="6" s="1"/>
  <c r="A251" i="11"/>
  <c r="Q250" i="11"/>
  <c r="N248" i="11"/>
  <c r="O248" i="11" s="1"/>
  <c r="P248" i="11" s="1"/>
  <c r="R248" i="11" s="1"/>
  <c r="N34" i="10"/>
  <c r="AV36" i="6"/>
  <c r="BL36" i="6"/>
  <c r="BU30" i="6"/>
  <c r="BW30" i="6"/>
  <c r="AY31" i="6"/>
  <c r="AQ31" i="6"/>
  <c r="AZ31" i="6" s="1"/>
  <c r="AX31" i="6"/>
  <c r="AR31" i="6"/>
  <c r="AW31" i="6" s="1"/>
  <c r="BB31" i="6"/>
  <c r="U32" i="10"/>
  <c r="W32" i="10" s="1"/>
  <c r="AB32" i="10"/>
  <c r="R33" i="10"/>
  <c r="S33" i="10"/>
  <c r="T33" i="10" s="1"/>
  <c r="P34" i="10"/>
  <c r="Q34" i="10" s="1"/>
  <c r="O35" i="10"/>
  <c r="AL33" i="6" l="1"/>
  <c r="AN31" i="6" s="1"/>
  <c r="AN30" i="6"/>
  <c r="Z32" i="6"/>
  <c r="AK32" i="6"/>
  <c r="AM32" i="6" s="1"/>
  <c r="Z33" i="6"/>
  <c r="AK33" i="6"/>
  <c r="X34" i="6"/>
  <c r="AJ34" i="6"/>
  <c r="AL34" i="6" s="1"/>
  <c r="AN32" i="6" s="1"/>
  <c r="W35" i="6"/>
  <c r="AH35" i="6"/>
  <c r="AI35" i="6" s="1"/>
  <c r="S36" i="6"/>
  <c r="T36" i="6" s="1"/>
  <c r="U36" i="6" s="1"/>
  <c r="N37" i="6"/>
  <c r="O37" i="6" s="1"/>
  <c r="M38" i="6"/>
  <c r="N38" i="6" s="1"/>
  <c r="O38" i="6" s="1"/>
  <c r="R37" i="6"/>
  <c r="S37" i="6"/>
  <c r="T37" i="6" s="1"/>
  <c r="CF33" i="6"/>
  <c r="CD33" i="6"/>
  <c r="CC34" i="6"/>
  <c r="CB33" i="6"/>
  <c r="CE33" i="6" s="1"/>
  <c r="BU32" i="6"/>
  <c r="N249" i="11"/>
  <c r="O249" i="11" s="1"/>
  <c r="P249" i="11" s="1"/>
  <c r="R249" i="11" s="1"/>
  <c r="A252" i="11"/>
  <c r="Q251" i="11"/>
  <c r="AV37" i="6"/>
  <c r="BL37" i="6"/>
  <c r="BU31" i="6"/>
  <c r="BV31" i="6" s="1"/>
  <c r="BW31" i="6"/>
  <c r="BX31" i="6" s="1"/>
  <c r="BX30" i="6"/>
  <c r="BV30" i="6"/>
  <c r="AX32" i="6"/>
  <c r="AQ32" i="6"/>
  <c r="AZ32" i="6" s="1"/>
  <c r="BB32" i="6"/>
  <c r="AR32" i="6"/>
  <c r="AW32" i="6" s="1"/>
  <c r="N35" i="10"/>
  <c r="U33" i="10"/>
  <c r="W33" i="10" s="1"/>
  <c r="AB33" i="10"/>
  <c r="P35" i="10"/>
  <c r="Q35" i="10" s="1"/>
  <c r="O36" i="10"/>
  <c r="S34" i="10"/>
  <c r="T34" i="10" s="1"/>
  <c r="R34" i="10"/>
  <c r="AM33" i="6" l="1"/>
  <c r="AO31" i="6" s="1"/>
  <c r="AO30" i="6"/>
  <c r="Z34" i="6"/>
  <c r="AK34" i="6"/>
  <c r="AM34" i="6" s="1"/>
  <c r="X35" i="6"/>
  <c r="AJ35" i="6"/>
  <c r="AL35" i="6" s="1"/>
  <c r="V36" i="6"/>
  <c r="M39" i="6"/>
  <c r="N39" i="6" s="1"/>
  <c r="O39" i="6" s="1"/>
  <c r="P38" i="6"/>
  <c r="S38" i="6" s="1"/>
  <c r="T38" i="6" s="1"/>
  <c r="U37" i="6"/>
  <c r="V37" i="6"/>
  <c r="CF34" i="6"/>
  <c r="CD34" i="6"/>
  <c r="CC35" i="6"/>
  <c r="CB34" i="6"/>
  <c r="CE34" i="6" s="1"/>
  <c r="BW32" i="6"/>
  <c r="BX32" i="6" s="1"/>
  <c r="AY32" i="6"/>
  <c r="Q252" i="11"/>
  <c r="A253" i="11"/>
  <c r="N250" i="11"/>
  <c r="O250" i="11" s="1"/>
  <c r="P250" i="11" s="1"/>
  <c r="R250" i="11" s="1"/>
  <c r="N36" i="10"/>
  <c r="AV38" i="6"/>
  <c r="BL38" i="6"/>
  <c r="BV32" i="6"/>
  <c r="AY33" i="6"/>
  <c r="BB33" i="6"/>
  <c r="AQ33" i="6"/>
  <c r="AZ33" i="6" s="1"/>
  <c r="AX33" i="6"/>
  <c r="AR33" i="6"/>
  <c r="AW33" i="6" s="1"/>
  <c r="S35" i="10"/>
  <c r="T35" i="10" s="1"/>
  <c r="R35" i="10"/>
  <c r="P36" i="10"/>
  <c r="Q36" i="10" s="1"/>
  <c r="O37" i="10"/>
  <c r="U34" i="10"/>
  <c r="W34" i="10" s="1"/>
  <c r="AB34" i="10"/>
  <c r="AN33" i="6" l="1"/>
  <c r="AO32" i="6"/>
  <c r="Z35" i="6"/>
  <c r="AK35" i="6"/>
  <c r="AM35" i="6" s="1"/>
  <c r="W37" i="6"/>
  <c r="AH37" i="6"/>
  <c r="AI37" i="6" s="1"/>
  <c r="W36" i="6"/>
  <c r="AH36" i="6"/>
  <c r="AI36" i="6" s="1"/>
  <c r="P39" i="6"/>
  <c r="S39" i="6" s="1"/>
  <c r="T39" i="6" s="1"/>
  <c r="M40" i="6"/>
  <c r="P40" i="6" s="1"/>
  <c r="R38" i="6"/>
  <c r="U38" i="6"/>
  <c r="V38" i="6"/>
  <c r="CF35" i="6"/>
  <c r="CD35" i="6"/>
  <c r="CB35" i="6"/>
  <c r="CE35" i="6" s="1"/>
  <c r="N251" i="11"/>
  <c r="O251" i="11" s="1"/>
  <c r="P251" i="11" s="1"/>
  <c r="R251" i="11" s="1"/>
  <c r="Q253" i="11"/>
  <c r="A254" i="11"/>
  <c r="AV39" i="6"/>
  <c r="BL39" i="6"/>
  <c r="N37" i="10"/>
  <c r="BU33" i="6"/>
  <c r="BV33" i="6" s="1"/>
  <c r="BW33" i="6"/>
  <c r="BX33" i="6" s="1"/>
  <c r="R36" i="10"/>
  <c r="S36" i="10"/>
  <c r="T36" i="10" s="1"/>
  <c r="CC36" i="6"/>
  <c r="P37" i="10"/>
  <c r="Q37" i="10" s="1"/>
  <c r="O38" i="10"/>
  <c r="U35" i="10"/>
  <c r="W35" i="10" s="1"/>
  <c r="AB35" i="10"/>
  <c r="AO33" i="6" l="1"/>
  <c r="X36" i="6"/>
  <c r="AJ36" i="6"/>
  <c r="AL36" i="6" s="1"/>
  <c r="X37" i="6"/>
  <c r="AJ37" i="6"/>
  <c r="W38" i="6"/>
  <c r="AH38" i="6"/>
  <c r="AI38" i="6" s="1"/>
  <c r="R39" i="6"/>
  <c r="M41" i="6"/>
  <c r="M42" i="6" s="1"/>
  <c r="N40" i="6"/>
  <c r="O40" i="6" s="1"/>
  <c r="U39" i="6"/>
  <c r="V39" i="6"/>
  <c r="R40" i="6"/>
  <c r="S40" i="6"/>
  <c r="T40" i="6" s="1"/>
  <c r="CF36" i="6"/>
  <c r="CD36" i="6"/>
  <c r="CB36" i="6"/>
  <c r="CE36" i="6" s="1"/>
  <c r="Q254" i="11"/>
  <c r="A255" i="11"/>
  <c r="N252" i="11"/>
  <c r="O252" i="11" s="1"/>
  <c r="P252" i="11" s="1"/>
  <c r="R252" i="11" s="1"/>
  <c r="N38" i="10"/>
  <c r="AV40" i="6"/>
  <c r="BL40" i="6"/>
  <c r="AY35" i="6"/>
  <c r="AY34" i="6"/>
  <c r="AR34" i="6"/>
  <c r="AW34" i="6" s="1"/>
  <c r="AX34" i="6"/>
  <c r="BB34" i="6"/>
  <c r="AQ34" i="6"/>
  <c r="AZ34" i="6" s="1"/>
  <c r="BB35" i="6"/>
  <c r="AX35" i="6"/>
  <c r="AR35" i="6"/>
  <c r="AW35" i="6" s="1"/>
  <c r="AQ35" i="6"/>
  <c r="AZ35" i="6" s="1"/>
  <c r="S37" i="10"/>
  <c r="T37" i="10" s="1"/>
  <c r="R37" i="10"/>
  <c r="P38" i="10"/>
  <c r="Q38" i="10" s="1"/>
  <c r="O39" i="10"/>
  <c r="CC37" i="6"/>
  <c r="U36" i="10"/>
  <c r="W36" i="10" s="1"/>
  <c r="AB36" i="10"/>
  <c r="AL37" i="6" l="1"/>
  <c r="AN35" i="6" s="1"/>
  <c r="AN34" i="6"/>
  <c r="Z37" i="6"/>
  <c r="AK37" i="6"/>
  <c r="Z36" i="6"/>
  <c r="AK36" i="6"/>
  <c r="AM36" i="6" s="1"/>
  <c r="X38" i="6"/>
  <c r="AJ38" i="6"/>
  <c r="AL38" i="6" s="1"/>
  <c r="W39" i="6"/>
  <c r="AH39" i="6"/>
  <c r="AI39" i="6" s="1"/>
  <c r="N41" i="6"/>
  <c r="O41" i="6" s="1"/>
  <c r="P41" i="6"/>
  <c r="S41" i="6" s="1"/>
  <c r="T41" i="6" s="1"/>
  <c r="N42" i="6"/>
  <c r="O42" i="6" s="1"/>
  <c r="P42" i="6"/>
  <c r="M43" i="6"/>
  <c r="U40" i="6"/>
  <c r="V40" i="6"/>
  <c r="CD37" i="6"/>
  <c r="CF37" i="6"/>
  <c r="CC38" i="6"/>
  <c r="CB37" i="6"/>
  <c r="CE37" i="6" s="1"/>
  <c r="BU36" i="6"/>
  <c r="N253" i="11"/>
  <c r="O253" i="11" s="1"/>
  <c r="P253" i="11" s="1"/>
  <c r="R253" i="11" s="1"/>
  <c r="A256" i="11"/>
  <c r="Q255" i="11"/>
  <c r="N39" i="10"/>
  <c r="AV41" i="6"/>
  <c r="BL41" i="6"/>
  <c r="BU34" i="6"/>
  <c r="BW34" i="6"/>
  <c r="BU35" i="6"/>
  <c r="BW35" i="6"/>
  <c r="AQ36" i="6"/>
  <c r="AZ36" i="6" s="1"/>
  <c r="AX36" i="6"/>
  <c r="BB36" i="6"/>
  <c r="AR36" i="6"/>
  <c r="AW36" i="6" s="1"/>
  <c r="S38" i="10"/>
  <c r="T38" i="10" s="1"/>
  <c r="R38" i="10"/>
  <c r="O40" i="10"/>
  <c r="P39" i="10"/>
  <c r="Q39" i="10" s="1"/>
  <c r="U37" i="10"/>
  <c r="W37" i="10" s="1"/>
  <c r="AB37" i="10"/>
  <c r="AO34" i="6" l="1"/>
  <c r="AN36" i="6"/>
  <c r="AM37" i="6"/>
  <c r="Z38" i="6"/>
  <c r="AK38" i="6"/>
  <c r="AM38" i="6" s="1"/>
  <c r="X39" i="6"/>
  <c r="AJ39" i="6"/>
  <c r="AL39" i="6" s="1"/>
  <c r="AN37" i="6" s="1"/>
  <c r="W40" i="6"/>
  <c r="AH40" i="6"/>
  <c r="AI40" i="6" s="1"/>
  <c r="R41" i="6"/>
  <c r="V41" i="6"/>
  <c r="U41" i="6"/>
  <c r="P43" i="6"/>
  <c r="N43" i="6"/>
  <c r="O43" i="6" s="1"/>
  <c r="M44" i="6"/>
  <c r="R42" i="6"/>
  <c r="S42" i="6"/>
  <c r="T42" i="6" s="1"/>
  <c r="CD38" i="6"/>
  <c r="CF38" i="6"/>
  <c r="CC39" i="6"/>
  <c r="CB38" i="6"/>
  <c r="CE38" i="6" s="1"/>
  <c r="AY36" i="6"/>
  <c r="BW36" i="6"/>
  <c r="BX36" i="6" s="1"/>
  <c r="AY37" i="6"/>
  <c r="A257" i="11"/>
  <c r="Q256" i="11"/>
  <c r="N254" i="11"/>
  <c r="O254" i="11" s="1"/>
  <c r="P254" i="11" s="1"/>
  <c r="R254" i="11" s="1"/>
  <c r="N40" i="10"/>
  <c r="AV42" i="6"/>
  <c r="BL42" i="6"/>
  <c r="BX35" i="6"/>
  <c r="BX34" i="6"/>
  <c r="BV35" i="6"/>
  <c r="BV34" i="6"/>
  <c r="BV36" i="6"/>
  <c r="AX37" i="6"/>
  <c r="BB37" i="6"/>
  <c r="AQ37" i="6"/>
  <c r="AZ37" i="6" s="1"/>
  <c r="AR37" i="6"/>
  <c r="AW37" i="6" s="1"/>
  <c r="P40" i="10"/>
  <c r="Q40" i="10" s="1"/>
  <c r="O41" i="10"/>
  <c r="U38" i="10"/>
  <c r="W38" i="10" s="1"/>
  <c r="AB38" i="10"/>
  <c r="R39" i="10"/>
  <c r="S39" i="10"/>
  <c r="T39" i="10" s="1"/>
  <c r="AO36" i="6" l="1"/>
  <c r="AO35" i="6"/>
  <c r="Z39" i="6"/>
  <c r="AK39" i="6"/>
  <c r="AM39" i="6" s="1"/>
  <c r="X40" i="6"/>
  <c r="AJ40" i="6"/>
  <c r="AL40" i="6" s="1"/>
  <c r="W41" i="6"/>
  <c r="AH41" i="6"/>
  <c r="AI41" i="6" s="1"/>
  <c r="U42" i="6"/>
  <c r="V42" i="6"/>
  <c r="N44" i="6"/>
  <c r="O44" i="6" s="1"/>
  <c r="P44" i="6"/>
  <c r="M45" i="6"/>
  <c r="R43" i="6"/>
  <c r="S43" i="6"/>
  <c r="T43" i="6" s="1"/>
  <c r="CD39" i="6"/>
  <c r="CF39" i="6"/>
  <c r="CB39" i="6"/>
  <c r="CE39" i="6" s="1"/>
  <c r="BU37" i="6"/>
  <c r="BV37" i="6" s="1"/>
  <c r="BW37" i="6"/>
  <c r="BX37" i="6" s="1"/>
  <c r="N255" i="11"/>
  <c r="O255" i="11" s="1"/>
  <c r="P255" i="11" s="1"/>
  <c r="R255" i="11" s="1"/>
  <c r="A258" i="11"/>
  <c r="Q257" i="11"/>
  <c r="AV43" i="6"/>
  <c r="BL43" i="6"/>
  <c r="N41" i="10"/>
  <c r="U39" i="10"/>
  <c r="W39" i="10" s="1"/>
  <c r="AB39" i="10"/>
  <c r="S40" i="10"/>
  <c r="T40" i="10" s="1"/>
  <c r="R40" i="10"/>
  <c r="O42" i="10"/>
  <c r="P41" i="10"/>
  <c r="Q41" i="10" s="1"/>
  <c r="CC40" i="6"/>
  <c r="AN38" i="6" l="1"/>
  <c r="AO37" i="6"/>
  <c r="Z40" i="6"/>
  <c r="AK40" i="6"/>
  <c r="AM40" i="6" s="1"/>
  <c r="X41" i="6"/>
  <c r="AJ41" i="6"/>
  <c r="AL41" i="6" s="1"/>
  <c r="AN39" i="6" s="1"/>
  <c r="W42" i="6"/>
  <c r="AH42" i="6"/>
  <c r="AI42" i="6" s="1"/>
  <c r="U43" i="6"/>
  <c r="V43" i="6"/>
  <c r="P45" i="6"/>
  <c r="N45" i="6"/>
  <c r="O45" i="6" s="1"/>
  <c r="M46" i="6"/>
  <c r="R44" i="6"/>
  <c r="S44" i="6"/>
  <c r="T44" i="6" s="1"/>
  <c r="CF40" i="6"/>
  <c r="CD40" i="6"/>
  <c r="CC41" i="6"/>
  <c r="CB40" i="6"/>
  <c r="CE40" i="6" s="1"/>
  <c r="A259" i="11"/>
  <c r="Q258" i="11"/>
  <c r="N256" i="11"/>
  <c r="O256" i="11" s="1"/>
  <c r="P256" i="11" s="1"/>
  <c r="R256" i="11" s="1"/>
  <c r="AV44" i="6"/>
  <c r="BL44" i="6"/>
  <c r="N42" i="10"/>
  <c r="AY38" i="6"/>
  <c r="BB38" i="6"/>
  <c r="AQ38" i="6"/>
  <c r="AZ38" i="6" s="1"/>
  <c r="AX38" i="6"/>
  <c r="AR38" i="6"/>
  <c r="AW38" i="6" s="1"/>
  <c r="R41" i="10"/>
  <c r="S41" i="10"/>
  <c r="T41" i="10" s="1"/>
  <c r="U40" i="10"/>
  <c r="W40" i="10" s="1"/>
  <c r="AB40" i="10"/>
  <c r="O43" i="10"/>
  <c r="P42" i="10"/>
  <c r="Q42" i="10" s="1"/>
  <c r="AO38" i="6" l="1"/>
  <c r="Z41" i="6"/>
  <c r="AK41" i="6"/>
  <c r="AM41" i="6" s="1"/>
  <c r="X42" i="6"/>
  <c r="AJ42" i="6"/>
  <c r="AL42" i="6" s="1"/>
  <c r="W43" i="6"/>
  <c r="AH43" i="6"/>
  <c r="AI43" i="6" s="1"/>
  <c r="U44" i="6"/>
  <c r="V44" i="6"/>
  <c r="P46" i="6"/>
  <c r="N46" i="6"/>
  <c r="O46" i="6" s="1"/>
  <c r="M47" i="6"/>
  <c r="R45" i="6"/>
  <c r="S45" i="6"/>
  <c r="T45" i="6" s="1"/>
  <c r="CF41" i="6"/>
  <c r="CD41" i="6"/>
  <c r="CB41" i="6"/>
  <c r="CE41" i="6" s="1"/>
  <c r="BU40" i="6"/>
  <c r="N257" i="11"/>
  <c r="O257" i="11" s="1"/>
  <c r="P257" i="11" s="1"/>
  <c r="R257" i="11" s="1"/>
  <c r="Q259" i="11"/>
  <c r="A260" i="11"/>
  <c r="AV45" i="6"/>
  <c r="BL45" i="6"/>
  <c r="BU38" i="6"/>
  <c r="BW38" i="6"/>
  <c r="AY39" i="6"/>
  <c r="AR39" i="6"/>
  <c r="AW39" i="6" s="1"/>
  <c r="BB39" i="6"/>
  <c r="AX39" i="6"/>
  <c r="AQ39" i="6"/>
  <c r="AZ39" i="6" s="1"/>
  <c r="BB40" i="6"/>
  <c r="AX40" i="6"/>
  <c r="AR40" i="6"/>
  <c r="AW40" i="6" s="1"/>
  <c r="AQ40" i="6"/>
  <c r="AZ40" i="6" s="1"/>
  <c r="N43" i="10"/>
  <c r="CC42" i="6"/>
  <c r="O44" i="10"/>
  <c r="P43" i="10"/>
  <c r="Q43" i="10" s="1"/>
  <c r="S42" i="10"/>
  <c r="T42" i="10" s="1"/>
  <c r="R42" i="10"/>
  <c r="U41" i="10"/>
  <c r="W41" i="10" s="1"/>
  <c r="AB41" i="10"/>
  <c r="AN40" i="6" l="1"/>
  <c r="AO39" i="6"/>
  <c r="Z42" i="6"/>
  <c r="AK42" i="6"/>
  <c r="AM42" i="6" s="1"/>
  <c r="X43" i="6"/>
  <c r="AJ43" i="6"/>
  <c r="AL43" i="6" s="1"/>
  <c r="W44" i="6"/>
  <c r="AH44" i="6"/>
  <c r="AI44" i="6" s="1"/>
  <c r="U45" i="6"/>
  <c r="V45" i="6"/>
  <c r="N47" i="6"/>
  <c r="O47" i="6" s="1"/>
  <c r="P47" i="6"/>
  <c r="M48" i="6"/>
  <c r="R46" i="6"/>
  <c r="S46" i="6"/>
  <c r="T46" i="6" s="1"/>
  <c r="CF42" i="6"/>
  <c r="CD42" i="6"/>
  <c r="CC43" i="6"/>
  <c r="CB42" i="6"/>
  <c r="CE42" i="6" s="1"/>
  <c r="BW40" i="6"/>
  <c r="AY40" i="6"/>
  <c r="A261" i="11"/>
  <c r="Q260" i="11"/>
  <c r="N258" i="11"/>
  <c r="O258" i="11" s="1"/>
  <c r="P258" i="11" s="1"/>
  <c r="R258" i="11" s="1"/>
  <c r="N44" i="10"/>
  <c r="AV46" i="6"/>
  <c r="BL46" i="6"/>
  <c r="BX38" i="6"/>
  <c r="BV38" i="6"/>
  <c r="BU39" i="6"/>
  <c r="BV39" i="6" s="1"/>
  <c r="BW39" i="6"/>
  <c r="BX39" i="6" s="1"/>
  <c r="AY41" i="6"/>
  <c r="AX41" i="6"/>
  <c r="Q9" i="1" s="1"/>
  <c r="AR41" i="6"/>
  <c r="AW41" i="6" s="1"/>
  <c r="AQ41" i="6"/>
  <c r="AZ41" i="6" s="1"/>
  <c r="BB41" i="6"/>
  <c r="U42" i="10"/>
  <c r="W42" i="10" s="1"/>
  <c r="AB42" i="10"/>
  <c r="O45" i="10"/>
  <c r="P44" i="10"/>
  <c r="Q44" i="10" s="1"/>
  <c r="S43" i="10"/>
  <c r="T43" i="10" s="1"/>
  <c r="R43" i="10"/>
  <c r="AN41" i="6" l="1"/>
  <c r="AO40" i="6"/>
  <c r="Z43" i="6"/>
  <c r="AK43" i="6"/>
  <c r="AM43" i="6" s="1"/>
  <c r="AO41" i="6" s="1"/>
  <c r="X44" i="6"/>
  <c r="AJ44" i="6"/>
  <c r="AL44" i="6" s="1"/>
  <c r="W45" i="6"/>
  <c r="AH45" i="6"/>
  <c r="AI45" i="6" s="1"/>
  <c r="U46" i="6"/>
  <c r="V46" i="6"/>
  <c r="N48" i="6"/>
  <c r="O48" i="6" s="1"/>
  <c r="P48" i="6"/>
  <c r="M49" i="6"/>
  <c r="R47" i="6"/>
  <c r="S47" i="6"/>
  <c r="T47" i="6" s="1"/>
  <c r="CF43" i="6"/>
  <c r="CD43" i="6"/>
  <c r="CC44" i="6"/>
  <c r="CB43" i="6"/>
  <c r="CE43" i="6" s="1"/>
  <c r="A262" i="11"/>
  <c r="Q261" i="11"/>
  <c r="N259" i="11"/>
  <c r="O259" i="11" s="1"/>
  <c r="P259" i="11" s="1"/>
  <c r="R259" i="11" s="1"/>
  <c r="AV47" i="6"/>
  <c r="BL47" i="6"/>
  <c r="BV40" i="6"/>
  <c r="BX40" i="6"/>
  <c r="BU41" i="6"/>
  <c r="BV41" i="6" s="1"/>
  <c r="BW41" i="6"/>
  <c r="BX41" i="6" s="1"/>
  <c r="AY42" i="6"/>
  <c r="N45" i="10"/>
  <c r="BB42" i="6"/>
  <c r="AX42" i="6"/>
  <c r="AQ42" i="6"/>
  <c r="AZ42" i="6" s="1"/>
  <c r="AR42" i="6"/>
  <c r="AW42" i="6" s="1"/>
  <c r="O46" i="10"/>
  <c r="P45" i="10"/>
  <c r="Q45" i="10" s="1"/>
  <c r="U43" i="10"/>
  <c r="W43" i="10" s="1"/>
  <c r="AB43" i="10"/>
  <c r="R44" i="10"/>
  <c r="S44" i="10"/>
  <c r="T44" i="10" s="1"/>
  <c r="AN42" i="6" l="1"/>
  <c r="Z44" i="6"/>
  <c r="AK44" i="6"/>
  <c r="AM44" i="6" s="1"/>
  <c r="X45" i="6"/>
  <c r="AJ45" i="6"/>
  <c r="AL45" i="6" s="1"/>
  <c r="AN43" i="6" s="1"/>
  <c r="W46" i="6"/>
  <c r="AH46" i="6"/>
  <c r="AI46" i="6" s="1"/>
  <c r="U47" i="6"/>
  <c r="V47" i="6"/>
  <c r="N49" i="6"/>
  <c r="O49" i="6" s="1"/>
  <c r="P49" i="6"/>
  <c r="M50" i="6"/>
  <c r="R48" i="6"/>
  <c r="S48" i="6"/>
  <c r="T48" i="6" s="1"/>
  <c r="CD44" i="6"/>
  <c r="CF44" i="6"/>
  <c r="CB44" i="6"/>
  <c r="CE44" i="6" s="1"/>
  <c r="N260" i="11"/>
  <c r="O260" i="11" s="1"/>
  <c r="P260" i="11" s="1"/>
  <c r="R260" i="11" s="1"/>
  <c r="A263" i="11"/>
  <c r="Q262" i="11"/>
  <c r="N46" i="10"/>
  <c r="AV48" i="6"/>
  <c r="BL48" i="6"/>
  <c r="BU42" i="6"/>
  <c r="BW42" i="6"/>
  <c r="AY43" i="6"/>
  <c r="BB43" i="6"/>
  <c r="AR43" i="6"/>
  <c r="AW43" i="6" s="1"/>
  <c r="AX43" i="6"/>
  <c r="AQ43" i="6"/>
  <c r="AZ43" i="6" s="1"/>
  <c r="S45" i="10"/>
  <c r="T45" i="10" s="1"/>
  <c r="R45" i="10"/>
  <c r="U44" i="10"/>
  <c r="W44" i="10" s="1"/>
  <c r="AB44" i="10"/>
  <c r="O47" i="10"/>
  <c r="P46" i="10"/>
  <c r="Q46" i="10" s="1"/>
  <c r="AO42" i="6" l="1"/>
  <c r="Z45" i="6"/>
  <c r="AK45" i="6"/>
  <c r="AM45" i="6" s="1"/>
  <c r="AO43" i="6" s="1"/>
  <c r="X46" i="6"/>
  <c r="AJ46" i="6"/>
  <c r="AL46" i="6" s="1"/>
  <c r="W47" i="6"/>
  <c r="AH47" i="6"/>
  <c r="AI47" i="6" s="1"/>
  <c r="U48" i="6"/>
  <c r="V48" i="6"/>
  <c r="N50" i="6"/>
  <c r="O50" i="6" s="1"/>
  <c r="P50" i="6"/>
  <c r="M51" i="6"/>
  <c r="R49" i="6"/>
  <c r="S49" i="6"/>
  <c r="T49" i="6" s="1"/>
  <c r="CC45" i="6"/>
  <c r="CB45" i="6"/>
  <c r="CE45" i="6" s="1"/>
  <c r="A264" i="11"/>
  <c r="Q263" i="11"/>
  <c r="N261" i="11"/>
  <c r="O261" i="11" s="1"/>
  <c r="P261" i="11" s="1"/>
  <c r="R261" i="11" s="1"/>
  <c r="N47" i="10"/>
  <c r="AV49" i="6"/>
  <c r="BL49" i="6"/>
  <c r="BV42" i="6"/>
  <c r="BU43" i="6"/>
  <c r="BV43" i="6" s="1"/>
  <c r="BW43" i="6"/>
  <c r="BX43" i="6" s="1"/>
  <c r="BX42" i="6"/>
  <c r="AY44" i="6"/>
  <c r="BB44" i="6"/>
  <c r="AX44" i="6"/>
  <c r="AQ44" i="6"/>
  <c r="AZ44" i="6" s="1"/>
  <c r="AR44" i="6"/>
  <c r="AW44" i="6" s="1"/>
  <c r="U45" i="10"/>
  <c r="W45" i="10" s="1"/>
  <c r="AB45" i="10"/>
  <c r="R46" i="10"/>
  <c r="S46" i="10"/>
  <c r="T46" i="10" s="1"/>
  <c r="P47" i="10"/>
  <c r="Q47" i="10" s="1"/>
  <c r="O48" i="10"/>
  <c r="AN44" i="6" l="1"/>
  <c r="Z46" i="6"/>
  <c r="AK46" i="6"/>
  <c r="AM46" i="6" s="1"/>
  <c r="X47" i="6"/>
  <c r="AJ47" i="6"/>
  <c r="AL47" i="6" s="1"/>
  <c r="W48" i="6"/>
  <c r="AH48" i="6"/>
  <c r="AI48" i="6" s="1"/>
  <c r="U49" i="6"/>
  <c r="V49" i="6"/>
  <c r="N51" i="6"/>
  <c r="O51" i="6" s="1"/>
  <c r="P51" i="6"/>
  <c r="M52" i="6"/>
  <c r="R50" i="6"/>
  <c r="S50" i="6"/>
  <c r="T50" i="6" s="1"/>
  <c r="CC46" i="6"/>
  <c r="CB46" i="6"/>
  <c r="CE46" i="6" s="1"/>
  <c r="CD45" i="6"/>
  <c r="CF45" i="6"/>
  <c r="N262" i="11"/>
  <c r="O262" i="11" s="1"/>
  <c r="P262" i="11" s="1"/>
  <c r="R262" i="11" s="1"/>
  <c r="Q264" i="11"/>
  <c r="A265" i="11"/>
  <c r="N48" i="10"/>
  <c r="AV50" i="6"/>
  <c r="BL50" i="6"/>
  <c r="BU44" i="6"/>
  <c r="BW44" i="6"/>
  <c r="AY45" i="6"/>
  <c r="AQ45" i="6"/>
  <c r="AZ45" i="6" s="1"/>
  <c r="AR45" i="6"/>
  <c r="AW45" i="6" s="1"/>
  <c r="AX45" i="6"/>
  <c r="BB45" i="6"/>
  <c r="U46" i="10"/>
  <c r="W46" i="10" s="1"/>
  <c r="AB46" i="10"/>
  <c r="O49" i="10"/>
  <c r="P48" i="10"/>
  <c r="Q48" i="10" s="1"/>
  <c r="R47" i="10"/>
  <c r="S47" i="10"/>
  <c r="T47" i="10" s="1"/>
  <c r="AN45" i="6" l="1"/>
  <c r="AO44" i="6"/>
  <c r="Z47" i="6"/>
  <c r="AK47" i="6"/>
  <c r="AM47" i="6" s="1"/>
  <c r="X48" i="6"/>
  <c r="AJ48" i="6"/>
  <c r="AL48" i="6" s="1"/>
  <c r="W49" i="6"/>
  <c r="AH49" i="6"/>
  <c r="AI49" i="6" s="1"/>
  <c r="U50" i="6"/>
  <c r="V50" i="6"/>
  <c r="P52" i="6"/>
  <c r="N52" i="6"/>
  <c r="O52" i="6" s="1"/>
  <c r="M53" i="6"/>
  <c r="R51" i="6"/>
  <c r="S51" i="6"/>
  <c r="T51" i="6" s="1"/>
  <c r="CB47" i="6"/>
  <c r="CE47" i="6" s="1"/>
  <c r="CC47" i="6"/>
  <c r="CF46" i="6"/>
  <c r="CD46" i="6"/>
  <c r="N263" i="11"/>
  <c r="O263" i="11" s="1"/>
  <c r="P263" i="11" s="1"/>
  <c r="R263" i="11" s="1"/>
  <c r="Q265" i="11"/>
  <c r="A266" i="11"/>
  <c r="N49" i="10"/>
  <c r="AV51" i="6"/>
  <c r="BL51" i="6"/>
  <c r="BW45" i="6"/>
  <c r="BX45" i="6" s="1"/>
  <c r="BU45" i="6"/>
  <c r="BV45" i="6" s="1"/>
  <c r="BX44" i="6"/>
  <c r="BV44" i="6"/>
  <c r="AY46" i="6"/>
  <c r="AR46" i="6"/>
  <c r="AW46" i="6" s="1"/>
  <c r="BB46" i="6"/>
  <c r="AQ46" i="6"/>
  <c r="AZ46" i="6" s="1"/>
  <c r="AX46" i="6"/>
  <c r="O50" i="10"/>
  <c r="P49" i="10"/>
  <c r="Q49" i="10" s="1"/>
  <c r="U47" i="10"/>
  <c r="W47" i="10" s="1"/>
  <c r="AB47" i="10"/>
  <c r="S48" i="10"/>
  <c r="T48" i="10" s="1"/>
  <c r="R48" i="10"/>
  <c r="AN46" i="6" l="1"/>
  <c r="AO45" i="6"/>
  <c r="Z48" i="6"/>
  <c r="AK48" i="6"/>
  <c r="AM48" i="6" s="1"/>
  <c r="X49" i="6"/>
  <c r="AJ49" i="6"/>
  <c r="AL49" i="6" s="1"/>
  <c r="W50" i="6"/>
  <c r="AH50" i="6"/>
  <c r="AI50" i="6" s="1"/>
  <c r="U51" i="6"/>
  <c r="V51" i="6"/>
  <c r="N53" i="6"/>
  <c r="O53" i="6" s="1"/>
  <c r="P53" i="6"/>
  <c r="M54" i="6"/>
  <c r="R52" i="6"/>
  <c r="S52" i="6"/>
  <c r="T52" i="6" s="1"/>
  <c r="CC48" i="6"/>
  <c r="CB48" i="6"/>
  <c r="CE48" i="6" s="1"/>
  <c r="CD47" i="6"/>
  <c r="CF47" i="6"/>
  <c r="Q266" i="11"/>
  <c r="A267" i="11"/>
  <c r="N264" i="11"/>
  <c r="O264" i="11" s="1"/>
  <c r="P264" i="11" s="1"/>
  <c r="R264" i="11" s="1"/>
  <c r="N50" i="10"/>
  <c r="AV52" i="6"/>
  <c r="BL52" i="6"/>
  <c r="BU46" i="6"/>
  <c r="BW46" i="6"/>
  <c r="AY47" i="6"/>
  <c r="AR47" i="6"/>
  <c r="AW47" i="6" s="1"/>
  <c r="AX47" i="6"/>
  <c r="BB47" i="6"/>
  <c r="AQ47" i="6"/>
  <c r="AZ47" i="6" s="1"/>
  <c r="S49" i="10"/>
  <c r="T49" i="10" s="1"/>
  <c r="R49" i="10"/>
  <c r="U48" i="10"/>
  <c r="W48" i="10" s="1"/>
  <c r="AB48" i="10"/>
  <c r="O51" i="10"/>
  <c r="P50" i="10"/>
  <c r="Q50" i="10" s="1"/>
  <c r="AN47" i="6" l="1"/>
  <c r="AO46" i="6"/>
  <c r="Z49" i="6"/>
  <c r="AK49" i="6"/>
  <c r="AM49" i="6" s="1"/>
  <c r="X50" i="6"/>
  <c r="AJ50" i="6"/>
  <c r="AL50" i="6" s="1"/>
  <c r="W51" i="6"/>
  <c r="AH51" i="6"/>
  <c r="AI51" i="6" s="1"/>
  <c r="N54" i="6"/>
  <c r="O54" i="6" s="1"/>
  <c r="P54" i="6"/>
  <c r="M55" i="6"/>
  <c r="V52" i="6"/>
  <c r="U52" i="6"/>
  <c r="R53" i="6"/>
  <c r="S53" i="6"/>
  <c r="T53" i="6" s="1"/>
  <c r="CB49" i="6"/>
  <c r="CE49" i="6" s="1"/>
  <c r="CC49" i="6"/>
  <c r="CD48" i="6"/>
  <c r="CF48" i="6"/>
  <c r="N265" i="11"/>
  <c r="O265" i="11" s="1"/>
  <c r="P265" i="11" s="1"/>
  <c r="R265" i="11" s="1"/>
  <c r="A268" i="11"/>
  <c r="Q267" i="11"/>
  <c r="N51" i="10"/>
  <c r="AV53" i="6"/>
  <c r="BL53" i="6"/>
  <c r="BX46" i="6"/>
  <c r="BV46" i="6"/>
  <c r="BU47" i="6"/>
  <c r="BV47" i="6" s="1"/>
  <c r="BW47" i="6"/>
  <c r="BX47" i="6" s="1"/>
  <c r="AY48" i="6"/>
  <c r="AX48" i="6"/>
  <c r="AQ48" i="6"/>
  <c r="AZ48" i="6" s="1"/>
  <c r="AR48" i="6"/>
  <c r="AW48" i="6" s="1"/>
  <c r="BB48" i="6"/>
  <c r="U49" i="10"/>
  <c r="W49" i="10" s="1"/>
  <c r="AB49" i="10"/>
  <c r="S50" i="10"/>
  <c r="T50" i="10" s="1"/>
  <c r="R50" i="10"/>
  <c r="P51" i="10"/>
  <c r="Q51" i="10" s="1"/>
  <c r="O52" i="10"/>
  <c r="AN48" i="6" l="1"/>
  <c r="AO47" i="6"/>
  <c r="Z50" i="6"/>
  <c r="AK50" i="6"/>
  <c r="AM50" i="6" s="1"/>
  <c r="X51" i="6"/>
  <c r="AJ51" i="6"/>
  <c r="AL51" i="6" s="1"/>
  <c r="W52" i="6"/>
  <c r="AH52" i="6"/>
  <c r="AI52" i="6" s="1"/>
  <c r="U53" i="6"/>
  <c r="V53" i="6"/>
  <c r="P55" i="6"/>
  <c r="N55" i="6"/>
  <c r="O55" i="6" s="1"/>
  <c r="M56" i="6"/>
  <c r="R54" i="6"/>
  <c r="S54" i="6"/>
  <c r="T54" i="6" s="1"/>
  <c r="CF49" i="6"/>
  <c r="CD49" i="6"/>
  <c r="CC50" i="6"/>
  <c r="CB50" i="6"/>
  <c r="CE50" i="6" s="1"/>
  <c r="BU49" i="6"/>
  <c r="N266" i="11"/>
  <c r="O266" i="11" s="1"/>
  <c r="P266" i="11" s="1"/>
  <c r="R266" i="11" s="1"/>
  <c r="Q268" i="11"/>
  <c r="A269" i="11"/>
  <c r="N52" i="10"/>
  <c r="AV54" i="6"/>
  <c r="BL54" i="6"/>
  <c r="BW48" i="6"/>
  <c r="BU48" i="6"/>
  <c r="AQ49" i="6"/>
  <c r="AZ49" i="6" s="1"/>
  <c r="AX49" i="6"/>
  <c r="AR49" i="6"/>
  <c r="AW49" i="6" s="1"/>
  <c r="BB49" i="6"/>
  <c r="U50" i="10"/>
  <c r="W50" i="10" s="1"/>
  <c r="AB50" i="10"/>
  <c r="S51" i="10"/>
  <c r="T51" i="10" s="1"/>
  <c r="R51" i="10"/>
  <c r="O53" i="10"/>
  <c r="P52" i="10"/>
  <c r="Q52" i="10" s="1"/>
  <c r="AO48" i="6" l="1"/>
  <c r="AN49" i="6"/>
  <c r="Z51" i="6"/>
  <c r="AK51" i="6"/>
  <c r="AM51" i="6" s="1"/>
  <c r="X52" i="6"/>
  <c r="AJ52" i="6"/>
  <c r="AL52" i="6" s="1"/>
  <c r="W53" i="6"/>
  <c r="AH53" i="6"/>
  <c r="AI53" i="6" s="1"/>
  <c r="P56" i="6"/>
  <c r="N56" i="6"/>
  <c r="O56" i="6" s="1"/>
  <c r="M57" i="6"/>
  <c r="R55" i="6"/>
  <c r="S55" i="6"/>
  <c r="T55" i="6" s="1"/>
  <c r="U54" i="6"/>
  <c r="V54" i="6"/>
  <c r="CB51" i="6"/>
  <c r="CE51" i="6" s="1"/>
  <c r="CC51" i="6"/>
  <c r="CD50" i="6"/>
  <c r="CF50" i="6"/>
  <c r="AY49" i="6"/>
  <c r="BW49" i="6"/>
  <c r="BX49" i="6" s="1"/>
  <c r="N267" i="11"/>
  <c r="O267" i="11" s="1"/>
  <c r="P267" i="11" s="1"/>
  <c r="R267" i="11" s="1"/>
  <c r="Q269" i="11"/>
  <c r="A270" i="11"/>
  <c r="AV55" i="6"/>
  <c r="BL55" i="6"/>
  <c r="BV49" i="6"/>
  <c r="BV48" i="6"/>
  <c r="BX48" i="6"/>
  <c r="N53" i="10"/>
  <c r="S52" i="10"/>
  <c r="T52" i="10" s="1"/>
  <c r="R52" i="10"/>
  <c r="U51" i="10"/>
  <c r="W51" i="10" s="1"/>
  <c r="AB51" i="10"/>
  <c r="O54" i="10"/>
  <c r="P53" i="10"/>
  <c r="Q53" i="10" s="1"/>
  <c r="AO49" i="6" l="1"/>
  <c r="AN50" i="6"/>
  <c r="Z52" i="6"/>
  <c r="AK52" i="6"/>
  <c r="AM52" i="6" s="1"/>
  <c r="X53" i="6"/>
  <c r="AJ53" i="6"/>
  <c r="AL53" i="6" s="1"/>
  <c r="W54" i="6"/>
  <c r="AH54" i="6"/>
  <c r="AI54" i="6" s="1"/>
  <c r="U55" i="6"/>
  <c r="V55" i="6"/>
  <c r="N57" i="6"/>
  <c r="O57" i="6" s="1"/>
  <c r="P57" i="6"/>
  <c r="M58" i="6"/>
  <c r="R56" i="6"/>
  <c r="S56" i="6"/>
  <c r="T56" i="6" s="1"/>
  <c r="CB52" i="6"/>
  <c r="CE52" i="6" s="1"/>
  <c r="CC52" i="6"/>
  <c r="CD51" i="6"/>
  <c r="CF51" i="6"/>
  <c r="BU50" i="6"/>
  <c r="A271" i="11"/>
  <c r="Q270" i="11"/>
  <c r="N268" i="11"/>
  <c r="O268" i="11" s="1"/>
  <c r="P268" i="11" s="1"/>
  <c r="R268" i="11" s="1"/>
  <c r="N54" i="10"/>
  <c r="AV56" i="6"/>
  <c r="BL56" i="6"/>
  <c r="BS56" i="6" s="1"/>
  <c r="AQ50" i="6"/>
  <c r="AZ50" i="6" s="1"/>
  <c r="BB50" i="6"/>
  <c r="AX50" i="6"/>
  <c r="AR50" i="6"/>
  <c r="AW50" i="6" s="1"/>
  <c r="S53" i="10"/>
  <c r="T53" i="10" s="1"/>
  <c r="R53" i="10"/>
  <c r="O55" i="10"/>
  <c r="P54" i="10"/>
  <c r="Q54" i="10" s="1"/>
  <c r="U52" i="10"/>
  <c r="W52" i="10" s="1"/>
  <c r="AB52" i="10"/>
  <c r="AO50" i="6" l="1"/>
  <c r="AN51" i="6"/>
  <c r="Z53" i="6"/>
  <c r="AK53" i="6"/>
  <c r="AM53" i="6" s="1"/>
  <c r="X54" i="6"/>
  <c r="AJ54" i="6"/>
  <c r="AL54" i="6" s="1"/>
  <c r="W55" i="6"/>
  <c r="AH55" i="6"/>
  <c r="AI55" i="6" s="1"/>
  <c r="R57" i="6"/>
  <c r="S57" i="6"/>
  <c r="T57" i="6" s="1"/>
  <c r="U56" i="6"/>
  <c r="V56" i="6"/>
  <c r="N58" i="6"/>
  <c r="O58" i="6" s="1"/>
  <c r="P58" i="6"/>
  <c r="M59" i="6"/>
  <c r="CB53" i="6"/>
  <c r="CE53" i="6" s="1"/>
  <c r="CC53" i="6"/>
  <c r="CD52" i="6"/>
  <c r="CF52" i="6"/>
  <c r="AY50" i="6"/>
  <c r="BW50" i="6"/>
  <c r="BX50" i="6" s="1"/>
  <c r="AY52" i="6"/>
  <c r="N269" i="11"/>
  <c r="O269" i="11" s="1"/>
  <c r="P269" i="11" s="1"/>
  <c r="R269" i="11" s="1"/>
  <c r="Q271" i="11"/>
  <c r="A272" i="11"/>
  <c r="N55" i="10"/>
  <c r="AV57" i="6"/>
  <c r="BL57" i="6"/>
  <c r="BS57" i="6" s="1"/>
  <c r="BV50" i="6"/>
  <c r="AY51" i="6"/>
  <c r="AQ51" i="6"/>
  <c r="AZ51" i="6" s="1"/>
  <c r="BB51" i="6"/>
  <c r="AR51" i="6"/>
  <c r="AW51" i="6" s="1"/>
  <c r="AX51" i="6"/>
  <c r="BB52" i="6"/>
  <c r="AQ52" i="6"/>
  <c r="AZ52" i="6" s="1"/>
  <c r="AX52" i="6"/>
  <c r="AR52" i="6"/>
  <c r="AW52" i="6" s="1"/>
  <c r="O56" i="10"/>
  <c r="P55" i="10"/>
  <c r="Q55" i="10" s="1"/>
  <c r="R54" i="10"/>
  <c r="S54" i="10"/>
  <c r="T54" i="10" s="1"/>
  <c r="U53" i="10"/>
  <c r="W53" i="10" s="1"/>
  <c r="AB53" i="10"/>
  <c r="AN52" i="6" l="1"/>
  <c r="AO51" i="6"/>
  <c r="Z54" i="6"/>
  <c r="AK54" i="6"/>
  <c r="AM54" i="6" s="1"/>
  <c r="X55" i="6"/>
  <c r="AJ55" i="6"/>
  <c r="AL55" i="6" s="1"/>
  <c r="W56" i="6"/>
  <c r="AH56" i="6"/>
  <c r="AI56" i="6" s="1"/>
  <c r="N59" i="6"/>
  <c r="O59" i="6" s="1"/>
  <c r="P59" i="6"/>
  <c r="M60" i="6"/>
  <c r="R58" i="6"/>
  <c r="S58" i="6"/>
  <c r="T58" i="6" s="1"/>
  <c r="U57" i="6"/>
  <c r="V57" i="6"/>
  <c r="CD53" i="6"/>
  <c r="CF53" i="6"/>
  <c r="CB54" i="6"/>
  <c r="CE54" i="6" s="1"/>
  <c r="CC54" i="6"/>
  <c r="BW52" i="6"/>
  <c r="BU52" i="6"/>
  <c r="Q272" i="11"/>
  <c r="A273" i="11"/>
  <c r="N270" i="11"/>
  <c r="O270" i="11" s="1"/>
  <c r="P270" i="11" s="1"/>
  <c r="R270" i="11" s="1"/>
  <c r="N56" i="10"/>
  <c r="AV58" i="6"/>
  <c r="BL58" i="6"/>
  <c r="BS58" i="6" s="1"/>
  <c r="BU51" i="6"/>
  <c r="BV51" i="6" s="1"/>
  <c r="BW51" i="6"/>
  <c r="BX51" i="6" s="1"/>
  <c r="S55" i="10"/>
  <c r="T55" i="10" s="1"/>
  <c r="R55" i="10"/>
  <c r="P56" i="10"/>
  <c r="Q56" i="10" s="1"/>
  <c r="O57" i="10"/>
  <c r="U54" i="10"/>
  <c r="W54" i="10" s="1"/>
  <c r="AB54" i="10"/>
  <c r="AO52" i="6" l="1"/>
  <c r="AN53" i="6"/>
  <c r="Z55" i="6"/>
  <c r="AK55" i="6"/>
  <c r="AM55" i="6" s="1"/>
  <c r="X56" i="6"/>
  <c r="AJ56" i="6"/>
  <c r="AL56" i="6" s="1"/>
  <c r="W57" i="6"/>
  <c r="AH57" i="6"/>
  <c r="AI57" i="6" s="1"/>
  <c r="U58" i="6"/>
  <c r="V58" i="6"/>
  <c r="N60" i="6"/>
  <c r="O60" i="6" s="1"/>
  <c r="P60" i="6"/>
  <c r="M61" i="6"/>
  <c r="R59" i="6"/>
  <c r="S59" i="6"/>
  <c r="T59" i="6" s="1"/>
  <c r="CB55" i="6"/>
  <c r="CE55" i="6" s="1"/>
  <c r="CC55" i="6"/>
  <c r="CF54" i="6"/>
  <c r="CD54" i="6"/>
  <c r="BW54" i="6"/>
  <c r="BW53" i="6"/>
  <c r="BX53" i="6" s="1"/>
  <c r="N271" i="11"/>
  <c r="O271" i="11" s="1"/>
  <c r="P271" i="11" s="1"/>
  <c r="R271" i="11" s="1"/>
  <c r="Q273" i="11"/>
  <c r="A274" i="11"/>
  <c r="AV59" i="6"/>
  <c r="BL59" i="6"/>
  <c r="BS59" i="6" s="1"/>
  <c r="BV52" i="6"/>
  <c r="BX52" i="6"/>
  <c r="BB54" i="6"/>
  <c r="AX54" i="6"/>
  <c r="AQ54" i="6"/>
  <c r="AZ54" i="6" s="1"/>
  <c r="AR54" i="6"/>
  <c r="AW54" i="6" s="1"/>
  <c r="AQ53" i="6"/>
  <c r="AZ53" i="6" s="1"/>
  <c r="BB53" i="6"/>
  <c r="AX53" i="6"/>
  <c r="AR53" i="6"/>
  <c r="AW53" i="6" s="1"/>
  <c r="N57" i="10"/>
  <c r="O58" i="10"/>
  <c r="P57" i="10"/>
  <c r="Q57" i="10" s="1"/>
  <c r="R56" i="10"/>
  <c r="S56" i="10"/>
  <c r="T56" i="10" s="1"/>
  <c r="U55" i="10"/>
  <c r="W55" i="10" s="1"/>
  <c r="AB55" i="10"/>
  <c r="AO53" i="6" l="1"/>
  <c r="AN54" i="6"/>
  <c r="Z56" i="6"/>
  <c r="AK56" i="6"/>
  <c r="AM56" i="6" s="1"/>
  <c r="AO54" i="6" s="1"/>
  <c r="X57" i="6"/>
  <c r="AJ57" i="6"/>
  <c r="AL57" i="6" s="1"/>
  <c r="W58" i="6"/>
  <c r="AH58" i="6"/>
  <c r="AI58" i="6" s="1"/>
  <c r="U59" i="6"/>
  <c r="V59" i="6"/>
  <c r="N61" i="6"/>
  <c r="O61" i="6" s="1"/>
  <c r="P61" i="6"/>
  <c r="M62" i="6"/>
  <c r="R60" i="6"/>
  <c r="S60" i="6"/>
  <c r="T60" i="6" s="1"/>
  <c r="CB56" i="6"/>
  <c r="CE56" i="6" s="1"/>
  <c r="CC56" i="6"/>
  <c r="CD55" i="6"/>
  <c r="CF55" i="6"/>
  <c r="BU54" i="6"/>
  <c r="AY54" i="6"/>
  <c r="AY53" i="6"/>
  <c r="BU53" i="6"/>
  <c r="BV53" i="6" s="1"/>
  <c r="N272" i="11"/>
  <c r="O272" i="11" s="1"/>
  <c r="P272" i="11" s="1"/>
  <c r="R272" i="11" s="1"/>
  <c r="Q274" i="11"/>
  <c r="A275" i="11"/>
  <c r="N58" i="10"/>
  <c r="AV60" i="6"/>
  <c r="BL60" i="6"/>
  <c r="BS60" i="6" s="1"/>
  <c r="BX54" i="6"/>
  <c r="U56" i="10"/>
  <c r="W56" i="10" s="1"/>
  <c r="AB56" i="10"/>
  <c r="S57" i="10"/>
  <c r="T57" i="10" s="1"/>
  <c r="R57" i="10"/>
  <c r="P58" i="10"/>
  <c r="Q58" i="10" s="1"/>
  <c r="O59" i="10"/>
  <c r="AN55" i="6" l="1"/>
  <c r="Z57" i="6"/>
  <c r="AK57" i="6"/>
  <c r="AM57" i="6" s="1"/>
  <c r="AO55" i="6" s="1"/>
  <c r="X58" i="6"/>
  <c r="AJ58" i="6"/>
  <c r="AL58" i="6" s="1"/>
  <c r="W59" i="6"/>
  <c r="AH59" i="6"/>
  <c r="AI59" i="6" s="1"/>
  <c r="U60" i="6"/>
  <c r="V60" i="6"/>
  <c r="N62" i="6"/>
  <c r="O62" i="6" s="1"/>
  <c r="P62" i="6"/>
  <c r="M63" i="6"/>
  <c r="R61" i="6"/>
  <c r="S61" i="6"/>
  <c r="T61" i="6" s="1"/>
  <c r="CB57" i="6"/>
  <c r="CE57" i="6" s="1"/>
  <c r="CC57" i="6"/>
  <c r="CF56" i="6"/>
  <c r="CD56" i="6"/>
  <c r="BV54" i="6"/>
  <c r="AY56" i="6"/>
  <c r="AY55" i="6"/>
  <c r="Q275" i="11"/>
  <c r="A276" i="11"/>
  <c r="N273" i="11"/>
  <c r="O273" i="11" s="1"/>
  <c r="P273" i="11" s="1"/>
  <c r="R273" i="11" s="1"/>
  <c r="N59" i="10"/>
  <c r="AV61" i="6"/>
  <c r="BL61" i="6"/>
  <c r="BS61" i="6" s="1"/>
  <c r="AR56" i="6"/>
  <c r="AW56" i="6" s="1"/>
  <c r="AX56" i="6"/>
  <c r="BB56" i="6"/>
  <c r="AQ56" i="6"/>
  <c r="AZ56" i="6" s="1"/>
  <c r="AR55" i="6"/>
  <c r="AW55" i="6" s="1"/>
  <c r="BB55" i="6"/>
  <c r="AQ55" i="6"/>
  <c r="AZ55" i="6" s="1"/>
  <c r="AX55" i="6"/>
  <c r="P59" i="10"/>
  <c r="Q59" i="10" s="1"/>
  <c r="O60" i="10"/>
  <c r="U57" i="10"/>
  <c r="W57" i="10" s="1"/>
  <c r="AB57" i="10"/>
  <c r="S58" i="10"/>
  <c r="T58" i="10" s="1"/>
  <c r="R58" i="10"/>
  <c r="AN56" i="6" l="1"/>
  <c r="Z58" i="6"/>
  <c r="AK58" i="6"/>
  <c r="AM58" i="6" s="1"/>
  <c r="X59" i="6"/>
  <c r="AJ59" i="6"/>
  <c r="AL59" i="6" s="1"/>
  <c r="AN57" i="6" s="1"/>
  <c r="W60" i="6"/>
  <c r="AH60" i="6"/>
  <c r="AI60" i="6" s="1"/>
  <c r="U61" i="6"/>
  <c r="V61" i="6"/>
  <c r="P63" i="6"/>
  <c r="N63" i="6"/>
  <c r="O63" i="6" s="1"/>
  <c r="M64" i="6"/>
  <c r="R62" i="6"/>
  <c r="S62" i="6"/>
  <c r="T62" i="6" s="1"/>
  <c r="CF57" i="6"/>
  <c r="CD57" i="6"/>
  <c r="CB58" i="6"/>
  <c r="CE58" i="6" s="1"/>
  <c r="CC58" i="6"/>
  <c r="BW55" i="6"/>
  <c r="BX55" i="6" s="1"/>
  <c r="BU56" i="6"/>
  <c r="BW56" i="6"/>
  <c r="BU55" i="6"/>
  <c r="BV55" i="6" s="1"/>
  <c r="N274" i="11"/>
  <c r="O274" i="11" s="1"/>
  <c r="P274" i="11" s="1"/>
  <c r="R274" i="11" s="1"/>
  <c r="Q276" i="11"/>
  <c r="A277" i="11"/>
  <c r="N60" i="10"/>
  <c r="AV62" i="6"/>
  <c r="BL62" i="6"/>
  <c r="BS62" i="6" s="1"/>
  <c r="R59" i="10"/>
  <c r="S59" i="10"/>
  <c r="T59" i="10" s="1"/>
  <c r="P60" i="10"/>
  <c r="Q60" i="10" s="1"/>
  <c r="O61" i="10"/>
  <c r="U58" i="10"/>
  <c r="W58" i="10" s="1"/>
  <c r="AB58" i="10"/>
  <c r="AO56" i="6" l="1"/>
  <c r="Z59" i="6"/>
  <c r="AK59" i="6"/>
  <c r="AM59" i="6" s="1"/>
  <c r="X60" i="6"/>
  <c r="AJ60" i="6"/>
  <c r="AL60" i="6" s="1"/>
  <c r="AN58" i="6" s="1"/>
  <c r="W61" i="6"/>
  <c r="AH61" i="6"/>
  <c r="AI61" i="6" s="1"/>
  <c r="U62" i="6"/>
  <c r="V62" i="6"/>
  <c r="N64" i="6"/>
  <c r="O64" i="6" s="1"/>
  <c r="P64" i="6"/>
  <c r="M65" i="6"/>
  <c r="R63" i="6"/>
  <c r="S63" i="6"/>
  <c r="T63" i="6" s="1"/>
  <c r="CD58" i="6"/>
  <c r="CF58" i="6"/>
  <c r="CB59" i="6"/>
  <c r="CE59" i="6" s="1"/>
  <c r="CC59" i="6"/>
  <c r="BX56" i="6"/>
  <c r="BV56" i="6"/>
  <c r="A278" i="11"/>
  <c r="Q277" i="11"/>
  <c r="N275" i="11"/>
  <c r="O275" i="11" s="1"/>
  <c r="P275" i="11" s="1"/>
  <c r="R275" i="11" s="1"/>
  <c r="N61" i="10"/>
  <c r="AV63" i="6"/>
  <c r="BL63" i="6"/>
  <c r="BS63" i="6" s="1"/>
  <c r="AY57" i="6"/>
  <c r="AR57" i="6"/>
  <c r="AW57" i="6" s="1"/>
  <c r="AX57" i="6"/>
  <c r="Q8" i="1" s="1"/>
  <c r="AQ57" i="6"/>
  <c r="AZ57" i="6" s="1"/>
  <c r="BB57" i="6"/>
  <c r="O62" i="10"/>
  <c r="P61" i="10"/>
  <c r="Q61" i="10" s="1"/>
  <c r="S60" i="10"/>
  <c r="T60" i="10" s="1"/>
  <c r="R60" i="10"/>
  <c r="U59" i="10"/>
  <c r="W59" i="10" s="1"/>
  <c r="AB59" i="10"/>
  <c r="AO57" i="6" l="1"/>
  <c r="Z60" i="6"/>
  <c r="AK60" i="6"/>
  <c r="AM60" i="6" s="1"/>
  <c r="X61" i="6"/>
  <c r="AJ61" i="6"/>
  <c r="AL61" i="6" s="1"/>
  <c r="W62" i="6"/>
  <c r="AH62" i="6"/>
  <c r="AI62" i="6" s="1"/>
  <c r="V63" i="6"/>
  <c r="U63" i="6"/>
  <c r="N65" i="6"/>
  <c r="O65" i="6" s="1"/>
  <c r="P65" i="6"/>
  <c r="M66" i="6"/>
  <c r="R64" i="6"/>
  <c r="S64" i="6"/>
  <c r="T64" i="6" s="1"/>
  <c r="CC60" i="6"/>
  <c r="CB60" i="6"/>
  <c r="CE60" i="6" s="1"/>
  <c r="CD59" i="6"/>
  <c r="CF59" i="6"/>
  <c r="AY59" i="6"/>
  <c r="AY58" i="6"/>
  <c r="N276" i="11"/>
  <c r="O276" i="11" s="1"/>
  <c r="P276" i="11" s="1"/>
  <c r="R276" i="11" s="1"/>
  <c r="Q278" i="11"/>
  <c r="A279" i="11"/>
  <c r="N62" i="10"/>
  <c r="AV64" i="6"/>
  <c r="BL64" i="6"/>
  <c r="BS64" i="6" s="1"/>
  <c r="BT56" i="6" s="1"/>
  <c r="BU57" i="6"/>
  <c r="BV57" i="6" s="1"/>
  <c r="BW57" i="6"/>
  <c r="BX57" i="6" s="1"/>
  <c r="BB59" i="6"/>
  <c r="AQ59" i="6"/>
  <c r="AZ59" i="6" s="1"/>
  <c r="AR59" i="6"/>
  <c r="AW59" i="6" s="1"/>
  <c r="AX59" i="6"/>
  <c r="AR58" i="6"/>
  <c r="AW58" i="6" s="1"/>
  <c r="BB58" i="6"/>
  <c r="AQ58" i="6"/>
  <c r="AZ58" i="6" s="1"/>
  <c r="AX58" i="6"/>
  <c r="U60" i="10"/>
  <c r="W60" i="10" s="1"/>
  <c r="AB60" i="10"/>
  <c r="R61" i="10"/>
  <c r="S61" i="10"/>
  <c r="T61" i="10" s="1"/>
  <c r="P62" i="10"/>
  <c r="Q62" i="10" s="1"/>
  <c r="O63" i="10"/>
  <c r="AO58" i="6" l="1"/>
  <c r="AN59" i="6"/>
  <c r="Z61" i="6"/>
  <c r="AK61" i="6"/>
  <c r="AM61" i="6" s="1"/>
  <c r="X62" i="6"/>
  <c r="AJ62" i="6"/>
  <c r="AL62" i="6" s="1"/>
  <c r="AN60" i="6" s="1"/>
  <c r="W63" i="6"/>
  <c r="AH63" i="6"/>
  <c r="AI63" i="6" s="1"/>
  <c r="U64" i="6"/>
  <c r="V64" i="6"/>
  <c r="P66" i="6"/>
  <c r="N66" i="6"/>
  <c r="O66" i="6" s="1"/>
  <c r="M67" i="6"/>
  <c r="R65" i="6"/>
  <c r="S65" i="6"/>
  <c r="T65" i="6" s="1"/>
  <c r="CB61" i="6"/>
  <c r="CE61" i="6" s="1"/>
  <c r="CC61" i="6"/>
  <c r="CD60" i="6"/>
  <c r="CF60" i="6"/>
  <c r="BW59" i="6"/>
  <c r="BU59" i="6"/>
  <c r="BW58" i="6"/>
  <c r="BU58" i="6"/>
  <c r="Q279" i="11"/>
  <c r="A280" i="11"/>
  <c r="N277" i="11"/>
  <c r="O277" i="11" s="1"/>
  <c r="P277" i="11" s="1"/>
  <c r="R277" i="11" s="1"/>
  <c r="N63" i="10"/>
  <c r="AV65" i="6"/>
  <c r="BL65" i="6"/>
  <c r="BS65" i="6" s="1"/>
  <c r="AY60" i="6"/>
  <c r="AQ60" i="6"/>
  <c r="AZ60" i="6" s="1"/>
  <c r="BB60" i="6"/>
  <c r="AX60" i="6"/>
  <c r="AR60" i="6"/>
  <c r="AW60" i="6" s="1"/>
  <c r="U61" i="10"/>
  <c r="W61" i="10" s="1"/>
  <c r="AB61" i="10"/>
  <c r="S62" i="10"/>
  <c r="T62" i="10" s="1"/>
  <c r="R62" i="10"/>
  <c r="O64" i="10"/>
  <c r="P63" i="10"/>
  <c r="Q63" i="10" s="1"/>
  <c r="AO59" i="6" l="1"/>
  <c r="Z62" i="6"/>
  <c r="AK62" i="6"/>
  <c r="AM62" i="6" s="1"/>
  <c r="X63" i="6"/>
  <c r="AJ63" i="6"/>
  <c r="AL63" i="6" s="1"/>
  <c r="W64" i="6"/>
  <c r="AH64" i="6"/>
  <c r="AI64" i="6" s="1"/>
  <c r="U65" i="6"/>
  <c r="V65" i="6"/>
  <c r="N67" i="6"/>
  <c r="O67" i="6" s="1"/>
  <c r="P67" i="6"/>
  <c r="M68" i="6"/>
  <c r="R66" i="6"/>
  <c r="S66" i="6"/>
  <c r="T66" i="6" s="1"/>
  <c r="CB62" i="6"/>
  <c r="CE62" i="6" s="1"/>
  <c r="CC62" i="6"/>
  <c r="CF61" i="6"/>
  <c r="CD61" i="6"/>
  <c r="BV59" i="6"/>
  <c r="BX59" i="6"/>
  <c r="BT57" i="6"/>
  <c r="BX58" i="6"/>
  <c r="BV58" i="6"/>
  <c r="N278" i="11"/>
  <c r="O278" i="11" s="1"/>
  <c r="P278" i="11" s="1"/>
  <c r="R278" i="11" s="1"/>
  <c r="Q280" i="11"/>
  <c r="A281" i="11"/>
  <c r="AV66" i="6"/>
  <c r="BL66" i="6"/>
  <c r="BS66" i="6" s="1"/>
  <c r="BU60" i="6"/>
  <c r="BW60" i="6"/>
  <c r="AY61" i="6"/>
  <c r="N64" i="10"/>
  <c r="AR61" i="6"/>
  <c r="AW61" i="6" s="1"/>
  <c r="BB61" i="6"/>
  <c r="AQ61" i="6"/>
  <c r="AZ61" i="6" s="1"/>
  <c r="AX61" i="6"/>
  <c r="O65" i="10"/>
  <c r="P64" i="10"/>
  <c r="Q64" i="10" s="1"/>
  <c r="U62" i="10"/>
  <c r="W62" i="10" s="1"/>
  <c r="AB62" i="10"/>
  <c r="S63" i="10"/>
  <c r="T63" i="10" s="1"/>
  <c r="R63" i="10"/>
  <c r="AO60" i="6" l="1"/>
  <c r="AN61" i="6"/>
  <c r="Z63" i="6"/>
  <c r="AK63" i="6"/>
  <c r="AM63" i="6" s="1"/>
  <c r="X64" i="6"/>
  <c r="AJ64" i="6"/>
  <c r="AL64" i="6" s="1"/>
  <c r="W65" i="6"/>
  <c r="AH65" i="6"/>
  <c r="AI65" i="6" s="1"/>
  <c r="V66" i="6"/>
  <c r="U66" i="6"/>
  <c r="N68" i="6"/>
  <c r="O68" i="6" s="1"/>
  <c r="P68" i="6"/>
  <c r="M69" i="6"/>
  <c r="R67" i="6"/>
  <c r="S67" i="6"/>
  <c r="T67" i="6" s="1"/>
  <c r="CF62" i="6"/>
  <c r="CD62" i="6"/>
  <c r="CB63" i="6"/>
  <c r="CE63" i="6" s="1"/>
  <c r="CC63" i="6"/>
  <c r="BT58" i="6"/>
  <c r="BU62" i="6"/>
  <c r="A282" i="11"/>
  <c r="Q281" i="11"/>
  <c r="N279" i="11"/>
  <c r="O279" i="11" s="1"/>
  <c r="P279" i="11" s="1"/>
  <c r="R279" i="11" s="1"/>
  <c r="N65" i="10"/>
  <c r="AV67" i="6"/>
  <c r="BL67" i="6"/>
  <c r="BS67" i="6" s="1"/>
  <c r="BW61" i="6"/>
  <c r="BX61" i="6" s="1"/>
  <c r="BU61" i="6"/>
  <c r="BV61" i="6" s="1"/>
  <c r="BX60" i="6"/>
  <c r="BV60" i="6"/>
  <c r="BB62" i="6"/>
  <c r="AQ62" i="6"/>
  <c r="AZ62" i="6" s="1"/>
  <c r="AX62" i="6"/>
  <c r="AR62" i="6"/>
  <c r="AW62" i="6" s="1"/>
  <c r="U63" i="10"/>
  <c r="W63" i="10" s="1"/>
  <c r="AB63" i="10"/>
  <c r="R64" i="10"/>
  <c r="S64" i="10"/>
  <c r="T64" i="10" s="1"/>
  <c r="O66" i="10"/>
  <c r="P65" i="10"/>
  <c r="Q65" i="10" s="1"/>
  <c r="AO61" i="6" l="1"/>
  <c r="AN62" i="6"/>
  <c r="Z64" i="6"/>
  <c r="AK64" i="6"/>
  <c r="AM64" i="6" s="1"/>
  <c r="X65" i="6"/>
  <c r="AJ65" i="6"/>
  <c r="AL65" i="6" s="1"/>
  <c r="W66" i="6"/>
  <c r="AH66" i="6"/>
  <c r="AI66" i="6" s="1"/>
  <c r="U67" i="6"/>
  <c r="V67" i="6"/>
  <c r="P69" i="6"/>
  <c r="N69" i="6"/>
  <c r="O69" i="6" s="1"/>
  <c r="M70" i="6"/>
  <c r="S68" i="6"/>
  <c r="T68" i="6" s="1"/>
  <c r="R68" i="6"/>
  <c r="CB64" i="6"/>
  <c r="CE64" i="6" s="1"/>
  <c r="CC64" i="6"/>
  <c r="CF63" i="6"/>
  <c r="CD63" i="6"/>
  <c r="AY62" i="6"/>
  <c r="BW62" i="6"/>
  <c r="BX62" i="6" s="1"/>
  <c r="BT59" i="6"/>
  <c r="AY63" i="6"/>
  <c r="N280" i="11"/>
  <c r="O280" i="11" s="1"/>
  <c r="P280" i="11" s="1"/>
  <c r="R280" i="11" s="1"/>
  <c r="Q282" i="11"/>
  <c r="A283" i="11"/>
  <c r="AV68" i="6"/>
  <c r="BL68" i="6"/>
  <c r="BS68" i="6" s="1"/>
  <c r="BT60" i="6" s="1"/>
  <c r="BV62" i="6"/>
  <c r="BB63" i="6"/>
  <c r="AQ63" i="6"/>
  <c r="AZ63" i="6" s="1"/>
  <c r="AR63" i="6"/>
  <c r="AW63" i="6" s="1"/>
  <c r="AX63" i="6"/>
  <c r="N66" i="10"/>
  <c r="S65" i="10"/>
  <c r="T65" i="10" s="1"/>
  <c r="U65" i="10" s="1"/>
  <c r="W65" i="10" s="1"/>
  <c r="R65" i="10"/>
  <c r="U64" i="10"/>
  <c r="W64" i="10" s="1"/>
  <c r="AB64" i="10"/>
  <c r="P66" i="10"/>
  <c r="Q66" i="10" s="1"/>
  <c r="O67" i="10"/>
  <c r="AN63" i="6" l="1"/>
  <c r="AO62" i="6"/>
  <c r="Z65" i="6"/>
  <c r="AK65" i="6"/>
  <c r="AM65" i="6" s="1"/>
  <c r="S66" i="10"/>
  <c r="T66" i="10" s="1"/>
  <c r="U66" i="10" s="1"/>
  <c r="W66" i="10" s="1"/>
  <c r="R66" i="10"/>
  <c r="X66" i="6"/>
  <c r="AJ66" i="6"/>
  <c r="AL66" i="6" s="1"/>
  <c r="W67" i="6"/>
  <c r="AH67" i="6"/>
  <c r="AI67" i="6" s="1"/>
  <c r="U68" i="6"/>
  <c r="V68" i="6"/>
  <c r="N70" i="6"/>
  <c r="O70" i="6" s="1"/>
  <c r="P70" i="6"/>
  <c r="M71" i="6"/>
  <c r="R69" i="6"/>
  <c r="S69" i="6"/>
  <c r="T69" i="6" s="1"/>
  <c r="CC65" i="6"/>
  <c r="CB65" i="6"/>
  <c r="CE65" i="6" s="1"/>
  <c r="CD64" i="6"/>
  <c r="CF64" i="6"/>
  <c r="BW63" i="6"/>
  <c r="BX63" i="6" s="1"/>
  <c r="BU63" i="6"/>
  <c r="BV63" i="6" s="1"/>
  <c r="A284" i="11"/>
  <c r="Q283" i="11"/>
  <c r="N281" i="11"/>
  <c r="O281" i="11" s="1"/>
  <c r="P281" i="11" s="1"/>
  <c r="R281" i="11" s="1"/>
  <c r="N67" i="10"/>
  <c r="AV69" i="6"/>
  <c r="BL69" i="6"/>
  <c r="BS69" i="6" s="1"/>
  <c r="AY64" i="6"/>
  <c r="O68" i="10"/>
  <c r="P67" i="10"/>
  <c r="Q67" i="10" s="1"/>
  <c r="AR64" i="6"/>
  <c r="AW64" i="6" s="1"/>
  <c r="AQ64" i="6"/>
  <c r="AZ64" i="6" s="1"/>
  <c r="BB64" i="6"/>
  <c r="AX64" i="6"/>
  <c r="AO63" i="6" l="1"/>
  <c r="AN64" i="6"/>
  <c r="Z66" i="6"/>
  <c r="AK66" i="6"/>
  <c r="AM66" i="6" s="1"/>
  <c r="S67" i="10"/>
  <c r="T67" i="10" s="1"/>
  <c r="U67" i="10" s="1"/>
  <c r="W67" i="10" s="1"/>
  <c r="R67" i="10"/>
  <c r="X67" i="6"/>
  <c r="AJ67" i="6"/>
  <c r="AL67" i="6" s="1"/>
  <c r="W68" i="6"/>
  <c r="AH68" i="6"/>
  <c r="AI68" i="6" s="1"/>
  <c r="U69" i="6"/>
  <c r="V69" i="6"/>
  <c r="N71" i="6"/>
  <c r="O71" i="6" s="1"/>
  <c r="P71" i="6"/>
  <c r="M72" i="6"/>
  <c r="R70" i="6"/>
  <c r="S70" i="6"/>
  <c r="T70" i="6" s="1"/>
  <c r="CB66" i="6"/>
  <c r="CE66" i="6" s="1"/>
  <c r="CC66" i="6"/>
  <c r="CF65" i="6"/>
  <c r="CD65" i="6"/>
  <c r="BT61" i="6"/>
  <c r="N282" i="11"/>
  <c r="O282" i="11" s="1"/>
  <c r="P282" i="11" s="1"/>
  <c r="R282" i="11" s="1"/>
  <c r="Q284" i="11"/>
  <c r="A285" i="11"/>
  <c r="N68" i="10"/>
  <c r="AV70" i="6"/>
  <c r="BL70" i="6"/>
  <c r="BS70" i="6" s="1"/>
  <c r="BW64" i="6"/>
  <c r="BU64" i="6"/>
  <c r="P68" i="10"/>
  <c r="Q68" i="10" s="1"/>
  <c r="O69" i="10"/>
  <c r="AN65" i="6" l="1"/>
  <c r="AO64" i="6"/>
  <c r="Z67" i="6"/>
  <c r="AK67" i="6"/>
  <c r="AM67" i="6" s="1"/>
  <c r="AO65" i="6" s="1"/>
  <c r="S68" i="10"/>
  <c r="T68" i="10" s="1"/>
  <c r="U68" i="10" s="1"/>
  <c r="W68" i="10" s="1"/>
  <c r="R68" i="10"/>
  <c r="X68" i="6"/>
  <c r="AJ68" i="6"/>
  <c r="AL68" i="6" s="1"/>
  <c r="W69" i="6"/>
  <c r="AH69" i="6"/>
  <c r="AI69" i="6" s="1"/>
  <c r="V70" i="6"/>
  <c r="U70" i="6"/>
  <c r="N72" i="6"/>
  <c r="O72" i="6" s="1"/>
  <c r="P72" i="6"/>
  <c r="M73" i="6"/>
  <c r="R71" i="6"/>
  <c r="S71" i="6"/>
  <c r="T71" i="6" s="1"/>
  <c r="CB67" i="6"/>
  <c r="CE67" i="6" s="1"/>
  <c r="CC67" i="6"/>
  <c r="CD66" i="6"/>
  <c r="CF66" i="6"/>
  <c r="BT62" i="6"/>
  <c r="AY66" i="6"/>
  <c r="Q285" i="11"/>
  <c r="A286" i="11"/>
  <c r="N283" i="11"/>
  <c r="O283" i="11" s="1"/>
  <c r="P283" i="11" s="1"/>
  <c r="R283" i="11" s="1"/>
  <c r="N69" i="10"/>
  <c r="AV71" i="6"/>
  <c r="BL71" i="6"/>
  <c r="BS71" i="6" s="1"/>
  <c r="BV64" i="6"/>
  <c r="BX64" i="6"/>
  <c r="AY65" i="6"/>
  <c r="BB65" i="6"/>
  <c r="AR65" i="6"/>
  <c r="AW65" i="6" s="1"/>
  <c r="AX66" i="6"/>
  <c r="AR66" i="6"/>
  <c r="AW66" i="6" s="1"/>
  <c r="AQ66" i="6"/>
  <c r="AZ66" i="6" s="1"/>
  <c r="BB66" i="6"/>
  <c r="AX65" i="6"/>
  <c r="AQ65" i="6"/>
  <c r="AZ65" i="6" s="1"/>
  <c r="O70" i="10"/>
  <c r="P69" i="10"/>
  <c r="Q69" i="10" s="1"/>
  <c r="AN66" i="6" l="1"/>
  <c r="Z68" i="6"/>
  <c r="AK68" i="6"/>
  <c r="AM68" i="6" s="1"/>
  <c r="S69" i="10"/>
  <c r="T69" i="10" s="1"/>
  <c r="U69" i="10" s="1"/>
  <c r="W69" i="10" s="1"/>
  <c r="R69" i="10"/>
  <c r="X69" i="6"/>
  <c r="AJ69" i="6"/>
  <c r="AL69" i="6" s="1"/>
  <c r="W70" i="6"/>
  <c r="AH70" i="6"/>
  <c r="AI70" i="6" s="1"/>
  <c r="U71" i="6"/>
  <c r="V71" i="6"/>
  <c r="N73" i="6"/>
  <c r="O73" i="6" s="1"/>
  <c r="P73" i="6"/>
  <c r="M74" i="6"/>
  <c r="R72" i="6"/>
  <c r="S72" i="6"/>
  <c r="T72" i="6" s="1"/>
  <c r="CD67" i="6"/>
  <c r="CF67" i="6"/>
  <c r="CB68" i="6"/>
  <c r="CE68" i="6" s="1"/>
  <c r="CC68" i="6"/>
  <c r="BT63" i="6"/>
  <c r="BW66" i="6"/>
  <c r="BU66" i="6"/>
  <c r="N284" i="11"/>
  <c r="O284" i="11" s="1"/>
  <c r="P284" i="11" s="1"/>
  <c r="R284" i="11" s="1"/>
  <c r="A287" i="11"/>
  <c r="Q286" i="11"/>
  <c r="AV72" i="6"/>
  <c r="BL72" i="6"/>
  <c r="BS72" i="6" s="1"/>
  <c r="BU65" i="6"/>
  <c r="BV65" i="6" s="1"/>
  <c r="BW65" i="6"/>
  <c r="BX65" i="6" s="1"/>
  <c r="N70" i="10"/>
  <c r="P70" i="10"/>
  <c r="Q70" i="10" s="1"/>
  <c r="O71" i="10"/>
  <c r="AN67" i="6" l="1"/>
  <c r="AO66" i="6"/>
  <c r="Z69" i="6"/>
  <c r="AK69" i="6"/>
  <c r="AM69" i="6" s="1"/>
  <c r="S70" i="10"/>
  <c r="T70" i="10" s="1"/>
  <c r="U70" i="10" s="1"/>
  <c r="W70" i="10" s="1"/>
  <c r="R70" i="10"/>
  <c r="X70" i="6"/>
  <c r="AJ70" i="6"/>
  <c r="AL70" i="6" s="1"/>
  <c r="AN68" i="6" s="1"/>
  <c r="W71" i="6"/>
  <c r="AH71" i="6"/>
  <c r="AI71" i="6" s="1"/>
  <c r="U72" i="6"/>
  <c r="V72" i="6"/>
  <c r="N74" i="6"/>
  <c r="O74" i="6" s="1"/>
  <c r="P74" i="6"/>
  <c r="M75" i="6"/>
  <c r="R73" i="6"/>
  <c r="S73" i="6"/>
  <c r="T73" i="6" s="1"/>
  <c r="CB69" i="6"/>
  <c r="CE69" i="6" s="1"/>
  <c r="CC69" i="6"/>
  <c r="CD68" i="6"/>
  <c r="CF68" i="6"/>
  <c r="BT64" i="6"/>
  <c r="AY67" i="6"/>
  <c r="BW68" i="6"/>
  <c r="A288" i="11"/>
  <c r="Q287" i="11"/>
  <c r="N285" i="11"/>
  <c r="O285" i="11" s="1"/>
  <c r="P285" i="11" s="1"/>
  <c r="R285" i="11" s="1"/>
  <c r="AV73" i="6"/>
  <c r="BL73" i="6"/>
  <c r="BS73" i="6" s="1"/>
  <c r="BV66" i="6"/>
  <c r="BX66" i="6"/>
  <c r="AX68" i="6"/>
  <c r="BB68" i="6"/>
  <c r="AR68" i="6"/>
  <c r="AW68" i="6" s="1"/>
  <c r="AQ68" i="6"/>
  <c r="AZ68" i="6" s="1"/>
  <c r="AX67" i="6"/>
  <c r="AQ67" i="6"/>
  <c r="AZ67" i="6" s="1"/>
  <c r="BB67" i="6"/>
  <c r="AR67" i="6"/>
  <c r="AW67" i="6" s="1"/>
  <c r="N71" i="10"/>
  <c r="P71" i="10"/>
  <c r="Q71" i="10" s="1"/>
  <c r="O72" i="10"/>
  <c r="AO67" i="6" l="1"/>
  <c r="Z70" i="6"/>
  <c r="AK70" i="6"/>
  <c r="AM70" i="6" s="1"/>
  <c r="S71" i="10"/>
  <c r="T71" i="10" s="1"/>
  <c r="U71" i="10" s="1"/>
  <c r="W71" i="10" s="1"/>
  <c r="R71" i="10"/>
  <c r="X71" i="6"/>
  <c r="AJ71" i="6"/>
  <c r="AL71" i="6" s="1"/>
  <c r="W72" i="6"/>
  <c r="AH72" i="6"/>
  <c r="AI72" i="6" s="1"/>
  <c r="U73" i="6"/>
  <c r="V73" i="6"/>
  <c r="P75" i="6"/>
  <c r="N75" i="6"/>
  <c r="O75" i="6" s="1"/>
  <c r="M76" i="6"/>
  <c r="R74" i="6"/>
  <c r="S74" i="6"/>
  <c r="T74" i="6" s="1"/>
  <c r="CC70" i="6"/>
  <c r="CB70" i="6"/>
  <c r="CE70" i="6" s="1"/>
  <c r="CF69" i="6"/>
  <c r="CD69" i="6"/>
  <c r="BT65" i="6"/>
  <c r="BU68" i="6"/>
  <c r="BW67" i="6"/>
  <c r="BX67" i="6" s="1"/>
  <c r="BU67" i="6"/>
  <c r="BV67" i="6" s="1"/>
  <c r="AY68" i="6"/>
  <c r="N286" i="11"/>
  <c r="O286" i="11" s="1"/>
  <c r="P286" i="11" s="1"/>
  <c r="R286" i="11" s="1"/>
  <c r="A289" i="11"/>
  <c r="Q288" i="11"/>
  <c r="N72" i="10"/>
  <c r="AV74" i="6"/>
  <c r="BL74" i="6"/>
  <c r="BS74" i="6" s="1"/>
  <c r="O73" i="10"/>
  <c r="P72" i="10"/>
  <c r="Q72" i="10" s="1"/>
  <c r="AN69" i="6" l="1"/>
  <c r="AO68" i="6"/>
  <c r="Z71" i="6"/>
  <c r="AK71" i="6"/>
  <c r="AM71" i="6" s="1"/>
  <c r="S72" i="10"/>
  <c r="T72" i="10" s="1"/>
  <c r="U72" i="10" s="1"/>
  <c r="W72" i="10" s="1"/>
  <c r="R72" i="10"/>
  <c r="X72" i="6"/>
  <c r="AJ72" i="6"/>
  <c r="AL72" i="6" s="1"/>
  <c r="AN70" i="6" s="1"/>
  <c r="W73" i="6"/>
  <c r="AH73" i="6"/>
  <c r="AI73" i="6" s="1"/>
  <c r="U74" i="6"/>
  <c r="V74" i="6"/>
  <c r="P76" i="6"/>
  <c r="N76" i="6"/>
  <c r="O76" i="6" s="1"/>
  <c r="M77" i="6"/>
  <c r="R75" i="6"/>
  <c r="S75" i="6"/>
  <c r="T75" i="6" s="1"/>
  <c r="CB71" i="6"/>
  <c r="CE71" i="6" s="1"/>
  <c r="CC71" i="6"/>
  <c r="CF70" i="6"/>
  <c r="CD70" i="6"/>
  <c r="BV68" i="6"/>
  <c r="BT66" i="6"/>
  <c r="BX68" i="6"/>
  <c r="AY70" i="6"/>
  <c r="AY69" i="6"/>
  <c r="N287" i="11"/>
  <c r="O287" i="11" s="1"/>
  <c r="P287" i="11" s="1"/>
  <c r="R287" i="11" s="1"/>
  <c r="Q289" i="11"/>
  <c r="A290" i="11"/>
  <c r="N73" i="10"/>
  <c r="BL75" i="6"/>
  <c r="BS75" i="6" s="1"/>
  <c r="AQ70" i="6"/>
  <c r="AZ70" i="6" s="1"/>
  <c r="AX70" i="6"/>
  <c r="AR70" i="6"/>
  <c r="AW70" i="6" s="1"/>
  <c r="AX69" i="6"/>
  <c r="BB69" i="6"/>
  <c r="AQ69" i="6"/>
  <c r="AZ69" i="6" s="1"/>
  <c r="AR69" i="6"/>
  <c r="AW69" i="6" s="1"/>
  <c r="O74" i="10"/>
  <c r="P73" i="10"/>
  <c r="Q73" i="10" s="1"/>
  <c r="AO69" i="6" l="1"/>
  <c r="Z72" i="6"/>
  <c r="AK72" i="6"/>
  <c r="AM72" i="6" s="1"/>
  <c r="S73" i="10"/>
  <c r="T73" i="10" s="1"/>
  <c r="U73" i="10" s="1"/>
  <c r="W73" i="10" s="1"/>
  <c r="R73" i="10"/>
  <c r="X73" i="6"/>
  <c r="AJ73" i="6"/>
  <c r="AL73" i="6" s="1"/>
  <c r="W74" i="6"/>
  <c r="AH74" i="6"/>
  <c r="AI74" i="6" s="1"/>
  <c r="U75" i="6"/>
  <c r="V75" i="6"/>
  <c r="P77" i="6"/>
  <c r="N77" i="6"/>
  <c r="O77" i="6" s="1"/>
  <c r="M78" i="6"/>
  <c r="R76" i="6"/>
  <c r="S76" i="6"/>
  <c r="T76" i="6" s="1"/>
  <c r="CB72" i="6"/>
  <c r="CE72" i="6" s="1"/>
  <c r="CC72" i="6"/>
  <c r="CF71" i="6"/>
  <c r="CD71" i="6"/>
  <c r="BU70" i="6"/>
  <c r="BT67" i="6"/>
  <c r="BU69" i="6"/>
  <c r="BV69" i="6" s="1"/>
  <c r="BW69" i="6"/>
  <c r="BX69" i="6" s="1"/>
  <c r="BW70" i="6"/>
  <c r="Q290" i="11"/>
  <c r="A291" i="11"/>
  <c r="N288" i="11"/>
  <c r="O288" i="11" s="1"/>
  <c r="P288" i="11" s="1"/>
  <c r="R288" i="11" s="1"/>
  <c r="N74" i="10"/>
  <c r="BL76" i="6"/>
  <c r="BS76" i="6" s="1"/>
  <c r="P74" i="10"/>
  <c r="Q74" i="10" s="1"/>
  <c r="O75" i="10"/>
  <c r="AN71" i="6" l="1"/>
  <c r="AO70" i="6"/>
  <c r="Z73" i="6"/>
  <c r="AK73" i="6"/>
  <c r="AM73" i="6" s="1"/>
  <c r="S74" i="10"/>
  <c r="T74" i="10" s="1"/>
  <c r="U74" i="10" s="1"/>
  <c r="W74" i="10" s="1"/>
  <c r="R74" i="10"/>
  <c r="X74" i="6"/>
  <c r="AJ74" i="6"/>
  <c r="AL74" i="6" s="1"/>
  <c r="AN72" i="6" s="1"/>
  <c r="W75" i="6"/>
  <c r="AH75" i="6"/>
  <c r="AI75" i="6" s="1"/>
  <c r="U76" i="6"/>
  <c r="V76" i="6"/>
  <c r="N78" i="6"/>
  <c r="O78" i="6" s="1"/>
  <c r="P78" i="6"/>
  <c r="M79" i="6"/>
  <c r="R77" i="6"/>
  <c r="S77" i="6"/>
  <c r="T77" i="6" s="1"/>
  <c r="CD72" i="6"/>
  <c r="CF72" i="6"/>
  <c r="CB73" i="6"/>
  <c r="CE73" i="6" s="1"/>
  <c r="CC73" i="6"/>
  <c r="BX70" i="6"/>
  <c r="BT68" i="6"/>
  <c r="BV70" i="6"/>
  <c r="A292" i="11"/>
  <c r="Q291" i="11"/>
  <c r="N289" i="11"/>
  <c r="O289" i="11" s="1"/>
  <c r="P289" i="11" s="1"/>
  <c r="R289" i="11" s="1"/>
  <c r="N75" i="10"/>
  <c r="BL77" i="6"/>
  <c r="BS77" i="6" s="1"/>
  <c r="AY71" i="6"/>
  <c r="AR71" i="6"/>
  <c r="AW71" i="6" s="1"/>
  <c r="AX71" i="6"/>
  <c r="AQ71" i="6"/>
  <c r="AZ71" i="6" s="1"/>
  <c r="AR72" i="6"/>
  <c r="AW72" i="6" s="1"/>
  <c r="AX72" i="6"/>
  <c r="AQ72" i="6"/>
  <c r="AZ72" i="6" s="1"/>
  <c r="O76" i="10"/>
  <c r="P75" i="10"/>
  <c r="Q75" i="10" s="1"/>
  <c r="AO71" i="6" l="1"/>
  <c r="Z74" i="6"/>
  <c r="AK74" i="6"/>
  <c r="AM74" i="6" s="1"/>
  <c r="S75" i="10"/>
  <c r="T75" i="10" s="1"/>
  <c r="U75" i="10" s="1"/>
  <c r="W75" i="10" s="1"/>
  <c r="R75" i="10"/>
  <c r="X75" i="6"/>
  <c r="AJ75" i="6"/>
  <c r="AL75" i="6" s="1"/>
  <c r="W76" i="6"/>
  <c r="AH76" i="6"/>
  <c r="AI76" i="6" s="1"/>
  <c r="U77" i="6"/>
  <c r="V77" i="6"/>
  <c r="N79" i="6"/>
  <c r="O79" i="6" s="1"/>
  <c r="P79" i="6"/>
  <c r="M80" i="6"/>
  <c r="R78" i="6"/>
  <c r="S78" i="6"/>
  <c r="T78" i="6" s="1"/>
  <c r="CC74" i="6"/>
  <c r="CB74" i="6"/>
  <c r="CE74" i="6" s="1"/>
  <c r="CD73" i="6"/>
  <c r="CF73" i="6"/>
  <c r="BU72" i="6"/>
  <c r="AY72" i="6"/>
  <c r="BT69" i="6"/>
  <c r="BW72" i="6"/>
  <c r="N290" i="11"/>
  <c r="O290" i="11" s="1"/>
  <c r="P290" i="11" s="1"/>
  <c r="R290" i="11" s="1"/>
  <c r="A293" i="11"/>
  <c r="Q292" i="11"/>
  <c r="BL78" i="6"/>
  <c r="BS78" i="6" s="1"/>
  <c r="BU71" i="6"/>
  <c r="BV71" i="6" s="1"/>
  <c r="BW71" i="6"/>
  <c r="BX71" i="6" s="1"/>
  <c r="N76" i="10"/>
  <c r="P76" i="10"/>
  <c r="Q76" i="10" s="1"/>
  <c r="O77" i="10"/>
  <c r="AO72" i="6" l="1"/>
  <c r="AN73" i="6"/>
  <c r="Z75" i="6"/>
  <c r="AK75" i="6"/>
  <c r="AM75" i="6" s="1"/>
  <c r="S76" i="10"/>
  <c r="T76" i="10" s="1"/>
  <c r="U76" i="10" s="1"/>
  <c r="W76" i="10" s="1"/>
  <c r="R76" i="10"/>
  <c r="X76" i="6"/>
  <c r="AJ76" i="6"/>
  <c r="AL76" i="6" s="1"/>
  <c r="AN74" i="6" s="1"/>
  <c r="W77" i="6"/>
  <c r="AH77" i="6"/>
  <c r="AI77" i="6" s="1"/>
  <c r="U78" i="6"/>
  <c r="V78" i="6"/>
  <c r="N80" i="6"/>
  <c r="O80" i="6" s="1"/>
  <c r="P80" i="6"/>
  <c r="M81" i="6"/>
  <c r="R79" i="6"/>
  <c r="S79" i="6"/>
  <c r="T79" i="6" s="1"/>
  <c r="CB75" i="6"/>
  <c r="CE75" i="6" s="1"/>
  <c r="CC75" i="6"/>
  <c r="CD74" i="6"/>
  <c r="CF74" i="6"/>
  <c r="BT70" i="6"/>
  <c r="Q293" i="11"/>
  <c r="A294" i="11"/>
  <c r="N291" i="11"/>
  <c r="O291" i="11" s="1"/>
  <c r="P291" i="11" s="1"/>
  <c r="R291" i="11" s="1"/>
  <c r="BL79" i="6"/>
  <c r="BS79" i="6" s="1"/>
  <c r="BT71" i="6" s="1"/>
  <c r="BX72" i="6"/>
  <c r="BV72" i="6"/>
  <c r="AY73" i="6"/>
  <c r="AQ74" i="6"/>
  <c r="AZ74" i="6" s="1"/>
  <c r="AX74" i="6"/>
  <c r="AR74" i="6"/>
  <c r="AW74" i="6" s="1"/>
  <c r="N77" i="10"/>
  <c r="AQ73" i="6"/>
  <c r="AZ73" i="6" s="1"/>
  <c r="AR73" i="6"/>
  <c r="AW73" i="6" s="1"/>
  <c r="AX73" i="6"/>
  <c r="O78" i="10"/>
  <c r="P77" i="10"/>
  <c r="Q77" i="10" s="1"/>
  <c r="Q7" i="1" l="1"/>
  <c r="Q19" i="1" s="1"/>
  <c r="AO73" i="6"/>
  <c r="Z76" i="6"/>
  <c r="AK76" i="6"/>
  <c r="AM76" i="6" s="1"/>
  <c r="S77" i="10"/>
  <c r="T77" i="10" s="1"/>
  <c r="U77" i="10" s="1"/>
  <c r="W77" i="10" s="1"/>
  <c r="R77" i="10"/>
  <c r="X77" i="6"/>
  <c r="AJ77" i="6"/>
  <c r="AL77" i="6" s="1"/>
  <c r="W78" i="6"/>
  <c r="AH78" i="6"/>
  <c r="AI78" i="6" s="1"/>
  <c r="U79" i="6"/>
  <c r="V79" i="6"/>
  <c r="N81" i="6"/>
  <c r="O81" i="6" s="1"/>
  <c r="P81" i="6"/>
  <c r="M82" i="6"/>
  <c r="R80" i="6"/>
  <c r="S80" i="6"/>
  <c r="T80" i="6" s="1"/>
  <c r="CB76" i="6"/>
  <c r="CE76" i="6" s="1"/>
  <c r="CC76" i="6"/>
  <c r="CF75" i="6"/>
  <c r="CD75" i="6"/>
  <c r="BW74" i="6"/>
  <c r="BU74" i="6"/>
  <c r="AY74" i="6"/>
  <c r="N292" i="11"/>
  <c r="O292" i="11" s="1"/>
  <c r="P292" i="11" s="1"/>
  <c r="R292" i="11" s="1"/>
  <c r="A295" i="11"/>
  <c r="Q294" i="11"/>
  <c r="N78" i="10"/>
  <c r="BL80" i="6"/>
  <c r="BS80" i="6" s="1"/>
  <c r="BU73" i="6"/>
  <c r="BV73" i="6" s="1"/>
  <c r="BW73" i="6"/>
  <c r="BX73" i="6" s="1"/>
  <c r="AY75" i="6"/>
  <c r="AX75" i="6"/>
  <c r="AQ75" i="6"/>
  <c r="AZ75" i="6" s="1"/>
  <c r="P78" i="10"/>
  <c r="Q78" i="10" s="1"/>
  <c r="O79" i="10"/>
  <c r="AN75" i="6" l="1"/>
  <c r="AO74" i="6"/>
  <c r="Z77" i="6"/>
  <c r="AK77" i="6"/>
  <c r="AM77" i="6" s="1"/>
  <c r="S78" i="10"/>
  <c r="T78" i="10" s="1"/>
  <c r="U78" i="10" s="1"/>
  <c r="W78" i="10" s="1"/>
  <c r="R78" i="10"/>
  <c r="X78" i="6"/>
  <c r="AJ78" i="6"/>
  <c r="AL78" i="6" s="1"/>
  <c r="AN76" i="6" s="1"/>
  <c r="W79" i="6"/>
  <c r="AH79" i="6"/>
  <c r="AI79" i="6" s="1"/>
  <c r="U80" i="6"/>
  <c r="V80" i="6"/>
  <c r="N82" i="6"/>
  <c r="O82" i="6" s="1"/>
  <c r="P82" i="6"/>
  <c r="M83" i="6"/>
  <c r="R81" i="6"/>
  <c r="S81" i="6"/>
  <c r="T81" i="6" s="1"/>
  <c r="CB77" i="6"/>
  <c r="CE77" i="6" s="1"/>
  <c r="CC77" i="6"/>
  <c r="CF76" i="6"/>
  <c r="CD76" i="6"/>
  <c r="BT72" i="6"/>
  <c r="A296" i="11"/>
  <c r="Q295" i="11"/>
  <c r="N293" i="11"/>
  <c r="O293" i="11" s="1"/>
  <c r="P293" i="11" s="1"/>
  <c r="R293" i="11" s="1"/>
  <c r="BL81" i="6"/>
  <c r="BS81" i="6" s="1"/>
  <c r="BV74" i="6"/>
  <c r="BX74" i="6"/>
  <c r="BU75" i="6"/>
  <c r="BV75" i="6" s="1"/>
  <c r="BW75" i="6"/>
  <c r="BX75" i="6" s="1"/>
  <c r="N79" i="10"/>
  <c r="P79" i="10"/>
  <c r="Q79" i="10" s="1"/>
  <c r="O80" i="10"/>
  <c r="AO75" i="6" l="1"/>
  <c r="Z78" i="6"/>
  <c r="AK78" i="6"/>
  <c r="AM78" i="6" s="1"/>
  <c r="S79" i="10"/>
  <c r="T79" i="10" s="1"/>
  <c r="U79" i="10" s="1"/>
  <c r="W79" i="10" s="1"/>
  <c r="R79" i="10"/>
  <c r="X79" i="6"/>
  <c r="AJ79" i="6"/>
  <c r="AL79" i="6" s="1"/>
  <c r="W80" i="6"/>
  <c r="AH80" i="6"/>
  <c r="AI80" i="6" s="1"/>
  <c r="U81" i="6"/>
  <c r="V81" i="6"/>
  <c r="N83" i="6"/>
  <c r="O83" i="6" s="1"/>
  <c r="P83" i="6"/>
  <c r="M84" i="6"/>
  <c r="R82" i="6"/>
  <c r="S82" i="6"/>
  <c r="T82" i="6" s="1"/>
  <c r="CB78" i="6"/>
  <c r="CE78" i="6" s="1"/>
  <c r="CC78" i="6"/>
  <c r="CD77" i="6"/>
  <c r="CF77" i="6"/>
  <c r="BT73" i="6"/>
  <c r="N294" i="11"/>
  <c r="O294" i="11" s="1"/>
  <c r="P294" i="11" s="1"/>
  <c r="R294" i="11" s="1"/>
  <c r="Q296" i="11"/>
  <c r="A297" i="11"/>
  <c r="BL82" i="6"/>
  <c r="BS82" i="6" s="1"/>
  <c r="AY76" i="6"/>
  <c r="AX76" i="6"/>
  <c r="AQ76" i="6"/>
  <c r="AZ76" i="6" s="1"/>
  <c r="N80" i="10"/>
  <c r="O81" i="10"/>
  <c r="P80" i="10"/>
  <c r="Q80" i="10" s="1"/>
  <c r="AN77" i="6" l="1"/>
  <c r="AO76" i="6"/>
  <c r="Z79" i="6"/>
  <c r="AK79" i="6"/>
  <c r="AM79" i="6" s="1"/>
  <c r="S80" i="10"/>
  <c r="T80" i="10" s="1"/>
  <c r="U80" i="10" s="1"/>
  <c r="W80" i="10" s="1"/>
  <c r="R80" i="10"/>
  <c r="X80" i="6"/>
  <c r="AJ80" i="6"/>
  <c r="AL80" i="6" s="1"/>
  <c r="W81" i="6"/>
  <c r="AH81" i="6"/>
  <c r="AI81" i="6" s="1"/>
  <c r="U82" i="6"/>
  <c r="V82" i="6"/>
  <c r="N84" i="6"/>
  <c r="O84" i="6" s="1"/>
  <c r="P84" i="6"/>
  <c r="M85" i="6"/>
  <c r="R83" i="6"/>
  <c r="S83" i="6"/>
  <c r="T83" i="6" s="1"/>
  <c r="CB79" i="6"/>
  <c r="CE79" i="6" s="1"/>
  <c r="CC79" i="6"/>
  <c r="CD78" i="6"/>
  <c r="CF78" i="6"/>
  <c r="BT74" i="6"/>
  <c r="Q297" i="11"/>
  <c r="A298" i="11"/>
  <c r="N295" i="11"/>
  <c r="O295" i="11" s="1"/>
  <c r="P295" i="11" s="1"/>
  <c r="R295" i="11" s="1"/>
  <c r="N81" i="10"/>
  <c r="BL83" i="6"/>
  <c r="BS83" i="6" s="1"/>
  <c r="BU76" i="6"/>
  <c r="BW76" i="6"/>
  <c r="AY78" i="6"/>
  <c r="AY77" i="6"/>
  <c r="AQ77" i="6"/>
  <c r="AZ77" i="6" s="1"/>
  <c r="AX77" i="6"/>
  <c r="AQ78" i="6"/>
  <c r="AZ78" i="6" s="1"/>
  <c r="AX78" i="6"/>
  <c r="P81" i="10"/>
  <c r="Q81" i="10" s="1"/>
  <c r="O82" i="10"/>
  <c r="AO77" i="6" l="1"/>
  <c r="AN78" i="6"/>
  <c r="Z80" i="6"/>
  <c r="AK80" i="6"/>
  <c r="AM80" i="6" s="1"/>
  <c r="S81" i="10"/>
  <c r="T81" i="10" s="1"/>
  <c r="U81" i="10" s="1"/>
  <c r="W81" i="10" s="1"/>
  <c r="R81" i="10"/>
  <c r="X81" i="6"/>
  <c r="AJ81" i="6"/>
  <c r="AL81" i="6" s="1"/>
  <c r="W82" i="6"/>
  <c r="AH82" i="6"/>
  <c r="AI82" i="6" s="1"/>
  <c r="U83" i="6"/>
  <c r="V83" i="6"/>
  <c r="N85" i="6"/>
  <c r="O85" i="6" s="1"/>
  <c r="P85" i="6"/>
  <c r="M86" i="6"/>
  <c r="R84" i="6"/>
  <c r="S84" i="6"/>
  <c r="T84" i="6" s="1"/>
  <c r="CB80" i="6"/>
  <c r="CE80" i="6" s="1"/>
  <c r="CC80" i="6"/>
  <c r="CF79" i="6"/>
  <c r="CD79" i="6"/>
  <c r="BT75" i="6"/>
  <c r="N296" i="11"/>
  <c r="O296" i="11" s="1"/>
  <c r="P296" i="11" s="1"/>
  <c r="R296" i="11" s="1"/>
  <c r="A299" i="11"/>
  <c r="Q298" i="11"/>
  <c r="N82" i="10"/>
  <c r="BL84" i="6"/>
  <c r="BS84" i="6" s="1"/>
  <c r="BU78" i="6"/>
  <c r="BW78" i="6"/>
  <c r="BX76" i="6"/>
  <c r="BW77" i="6"/>
  <c r="BX77" i="6" s="1"/>
  <c r="BU77" i="6"/>
  <c r="BV77" i="6" s="1"/>
  <c r="BV76" i="6"/>
  <c r="O83" i="10"/>
  <c r="P82" i="10"/>
  <c r="Q82" i="10" s="1"/>
  <c r="CC81" i="6"/>
  <c r="CD81" i="6" s="1"/>
  <c r="AO78" i="6" l="1"/>
  <c r="AN79" i="6"/>
  <c r="Z81" i="6"/>
  <c r="AK81" i="6"/>
  <c r="AM81" i="6" s="1"/>
  <c r="S82" i="10"/>
  <c r="T82" i="10" s="1"/>
  <c r="U82" i="10" s="1"/>
  <c r="W82" i="10" s="1"/>
  <c r="R82" i="10"/>
  <c r="X82" i="6"/>
  <c r="AJ82" i="6"/>
  <c r="AL82" i="6" s="1"/>
  <c r="W83" i="6"/>
  <c r="AH83" i="6"/>
  <c r="AI83" i="6" s="1"/>
  <c r="U84" i="6"/>
  <c r="V84" i="6"/>
  <c r="P86" i="6"/>
  <c r="N86" i="6"/>
  <c r="O86" i="6" s="1"/>
  <c r="M87" i="6"/>
  <c r="R85" i="6"/>
  <c r="S85" i="6"/>
  <c r="T85" i="6" s="1"/>
  <c r="CF80" i="6"/>
  <c r="CD80" i="6"/>
  <c r="BT76" i="6"/>
  <c r="AY80" i="6"/>
  <c r="N297" i="11"/>
  <c r="O297" i="11" s="1"/>
  <c r="P297" i="11" s="1"/>
  <c r="R297" i="11" s="1"/>
  <c r="Q299" i="11"/>
  <c r="A300" i="11"/>
  <c r="N83" i="10"/>
  <c r="BL85" i="6"/>
  <c r="BS85" i="6" s="1"/>
  <c r="BX78" i="6"/>
  <c r="BV78" i="6"/>
  <c r="AY79" i="6"/>
  <c r="AX79" i="6"/>
  <c r="AQ79" i="6"/>
  <c r="AZ79" i="6" s="1"/>
  <c r="AX80" i="6"/>
  <c r="AQ80" i="6"/>
  <c r="AZ80" i="6" s="1"/>
  <c r="CC82" i="6"/>
  <c r="CD82" i="6" s="1"/>
  <c r="O84" i="10"/>
  <c r="P83" i="10"/>
  <c r="Q83" i="10" s="1"/>
  <c r="AN80" i="6" l="1"/>
  <c r="AO79" i="6"/>
  <c r="Z82" i="6"/>
  <c r="AK82" i="6"/>
  <c r="AM82" i="6" s="1"/>
  <c r="S83" i="10"/>
  <c r="T83" i="10" s="1"/>
  <c r="U83" i="10" s="1"/>
  <c r="W83" i="10" s="1"/>
  <c r="R83" i="10"/>
  <c r="X83" i="6"/>
  <c r="AJ83" i="6"/>
  <c r="AL83" i="6" s="1"/>
  <c r="W84" i="6"/>
  <c r="AH84" i="6"/>
  <c r="AI84" i="6" s="1"/>
  <c r="U85" i="6"/>
  <c r="V85" i="6"/>
  <c r="N87" i="6"/>
  <c r="O87" i="6" s="1"/>
  <c r="P87" i="6"/>
  <c r="M88" i="6"/>
  <c r="R86" i="6"/>
  <c r="S86" i="6"/>
  <c r="T86" i="6" s="1"/>
  <c r="BW80" i="6"/>
  <c r="BT77" i="6"/>
  <c r="BU80" i="6"/>
  <c r="A301" i="11"/>
  <c r="Q300" i="11"/>
  <c r="N298" i="11"/>
  <c r="O298" i="11" s="1"/>
  <c r="P298" i="11" s="1"/>
  <c r="R298" i="11" s="1"/>
  <c r="N84" i="10"/>
  <c r="BL86" i="6"/>
  <c r="BS86" i="6" s="1"/>
  <c r="BU79" i="6"/>
  <c r="BV79" i="6" s="1"/>
  <c r="BW79" i="6"/>
  <c r="BX79" i="6" s="1"/>
  <c r="P84" i="10"/>
  <c r="Q84" i="10" s="1"/>
  <c r="O85" i="10"/>
  <c r="CC83" i="6"/>
  <c r="CD83" i="6" s="1"/>
  <c r="AQ81" i="6"/>
  <c r="AZ81" i="6" s="1"/>
  <c r="AX81" i="6"/>
  <c r="AO80" i="6" l="1"/>
  <c r="AN81" i="6"/>
  <c r="Z83" i="6"/>
  <c r="AK83" i="6"/>
  <c r="AM83" i="6" s="1"/>
  <c r="S84" i="10"/>
  <c r="T84" i="10" s="1"/>
  <c r="U84" i="10" s="1"/>
  <c r="W84" i="10" s="1"/>
  <c r="R84" i="10"/>
  <c r="X84" i="6"/>
  <c r="AJ84" i="6"/>
  <c r="AL84" i="6" s="1"/>
  <c r="W85" i="6"/>
  <c r="AH85" i="6"/>
  <c r="AI85" i="6" s="1"/>
  <c r="V86" i="6"/>
  <c r="U86" i="6"/>
  <c r="N88" i="6"/>
  <c r="O88" i="6" s="1"/>
  <c r="P88" i="6"/>
  <c r="M89" i="6"/>
  <c r="R87" i="6"/>
  <c r="S87" i="6"/>
  <c r="T87" i="6" s="1"/>
  <c r="BW81" i="6"/>
  <c r="BX81" i="6" s="1"/>
  <c r="BU81" i="6"/>
  <c r="BV81" i="6" s="1"/>
  <c r="AY81" i="6"/>
  <c r="BT78" i="6"/>
  <c r="N299" i="11"/>
  <c r="O299" i="11" s="1"/>
  <c r="P299" i="11" s="1"/>
  <c r="R299" i="11" s="1"/>
  <c r="A302" i="11"/>
  <c r="Q301" i="11"/>
  <c r="N85" i="10"/>
  <c r="BL87" i="6"/>
  <c r="BS87" i="6" s="1"/>
  <c r="BV80" i="6"/>
  <c r="BX80" i="6"/>
  <c r="AX82" i="6"/>
  <c r="AQ82" i="6"/>
  <c r="AZ82" i="6" s="1"/>
  <c r="CC84" i="6"/>
  <c r="CD84" i="6" s="1"/>
  <c r="O86" i="10"/>
  <c r="P85" i="10"/>
  <c r="Q85" i="10" s="1"/>
  <c r="AO81" i="6" l="1"/>
  <c r="AN82" i="6"/>
  <c r="Z84" i="6"/>
  <c r="AK84" i="6"/>
  <c r="AM84" i="6" s="1"/>
  <c r="S85" i="10"/>
  <c r="T85" i="10" s="1"/>
  <c r="U85" i="10" s="1"/>
  <c r="W85" i="10" s="1"/>
  <c r="R85" i="10"/>
  <c r="X85" i="6"/>
  <c r="AJ85" i="6"/>
  <c r="AL85" i="6" s="1"/>
  <c r="AN83" i="6" s="1"/>
  <c r="W86" i="6"/>
  <c r="AH86" i="6"/>
  <c r="AI86" i="6" s="1"/>
  <c r="U87" i="6"/>
  <c r="V87" i="6"/>
  <c r="N89" i="6"/>
  <c r="O89" i="6" s="1"/>
  <c r="P89" i="6"/>
  <c r="M90" i="6"/>
  <c r="R88" i="6"/>
  <c r="S88" i="6"/>
  <c r="T88" i="6" s="1"/>
  <c r="BW82" i="6"/>
  <c r="BX82" i="6" s="1"/>
  <c r="BU82" i="6"/>
  <c r="BV82" i="6" s="1"/>
  <c r="AY82" i="6"/>
  <c r="BT79" i="6"/>
  <c r="Q302" i="11"/>
  <c r="A303" i="11"/>
  <c r="N300" i="11"/>
  <c r="O300" i="11" s="1"/>
  <c r="P300" i="11" s="1"/>
  <c r="R300" i="11" s="1"/>
  <c r="N86" i="10"/>
  <c r="BL88" i="6"/>
  <c r="BS88" i="6" s="1"/>
  <c r="BT80" i="6" s="1"/>
  <c r="O87" i="10"/>
  <c r="P86" i="10"/>
  <c r="Q86" i="10" s="1"/>
  <c r="CC85" i="6"/>
  <c r="CD85" i="6" s="1"/>
  <c r="AO82" i="6" l="1"/>
  <c r="Z85" i="6"/>
  <c r="AK85" i="6"/>
  <c r="AM85" i="6" s="1"/>
  <c r="S86" i="10"/>
  <c r="T86" i="10" s="1"/>
  <c r="U86" i="10" s="1"/>
  <c r="W86" i="10" s="1"/>
  <c r="R86" i="10"/>
  <c r="X86" i="6"/>
  <c r="AJ86" i="6"/>
  <c r="AL86" i="6" s="1"/>
  <c r="W87" i="6"/>
  <c r="AH87" i="6"/>
  <c r="AI87" i="6" s="1"/>
  <c r="U88" i="6"/>
  <c r="V88" i="6"/>
  <c r="P90" i="6"/>
  <c r="N90" i="6"/>
  <c r="O90" i="6" s="1"/>
  <c r="M91" i="6"/>
  <c r="R89" i="6"/>
  <c r="S89" i="6"/>
  <c r="T89" i="6" s="1"/>
  <c r="N301" i="11"/>
  <c r="O301" i="11" s="1"/>
  <c r="P301" i="11" s="1"/>
  <c r="R301" i="11" s="1"/>
  <c r="A304" i="11"/>
  <c r="Q303" i="11"/>
  <c r="N87" i="10"/>
  <c r="BL89" i="6"/>
  <c r="BS89" i="6" s="1"/>
  <c r="AY83" i="6"/>
  <c r="AQ84" i="6"/>
  <c r="AZ84" i="6" s="1"/>
  <c r="AX84" i="6"/>
  <c r="AQ83" i="6"/>
  <c r="AZ83" i="6" s="1"/>
  <c r="AX83" i="6"/>
  <c r="CC86" i="6"/>
  <c r="CD86" i="6" s="1"/>
  <c r="P87" i="10"/>
  <c r="Q87" i="10" s="1"/>
  <c r="O88" i="10"/>
  <c r="AN84" i="6" l="1"/>
  <c r="AO83" i="6"/>
  <c r="Z86" i="6"/>
  <c r="AK86" i="6"/>
  <c r="AM86" i="6" s="1"/>
  <c r="S87" i="10"/>
  <c r="T87" i="10" s="1"/>
  <c r="U87" i="10" s="1"/>
  <c r="W87" i="10" s="1"/>
  <c r="R87" i="10"/>
  <c r="X87" i="6"/>
  <c r="AJ87" i="6"/>
  <c r="AL87" i="6" s="1"/>
  <c r="W88" i="6"/>
  <c r="AH88" i="6"/>
  <c r="AI88" i="6" s="1"/>
  <c r="R90" i="6"/>
  <c r="S90" i="6"/>
  <c r="T90" i="6" s="1"/>
  <c r="U89" i="6"/>
  <c r="V89" i="6"/>
  <c r="N91" i="6"/>
  <c r="O91" i="6" s="1"/>
  <c r="P91" i="6"/>
  <c r="M92" i="6"/>
  <c r="BU84" i="6"/>
  <c r="BW84" i="6"/>
  <c r="AY84" i="6"/>
  <c r="BT81" i="6"/>
  <c r="BW85" i="6"/>
  <c r="Q304" i="11"/>
  <c r="N302" i="11"/>
  <c r="O302" i="11" s="1"/>
  <c r="P302" i="11" s="1"/>
  <c r="R302" i="11" s="1"/>
  <c r="N88" i="10"/>
  <c r="BL90" i="6"/>
  <c r="BS90" i="6" s="1"/>
  <c r="BU83" i="6"/>
  <c r="BV83" i="6" s="1"/>
  <c r="BW83" i="6"/>
  <c r="BX83" i="6" s="1"/>
  <c r="P88" i="10"/>
  <c r="Q88" i="10" s="1"/>
  <c r="O89" i="10"/>
  <c r="CC87" i="6"/>
  <c r="CD87" i="6" s="1"/>
  <c r="AX85" i="6"/>
  <c r="AQ85" i="6"/>
  <c r="AZ85" i="6" s="1"/>
  <c r="AN85" i="6" l="1"/>
  <c r="AO84" i="6"/>
  <c r="Z87" i="6"/>
  <c r="AK87" i="6"/>
  <c r="AM87" i="6" s="1"/>
  <c r="S88" i="10"/>
  <c r="T88" i="10" s="1"/>
  <c r="U88" i="10" s="1"/>
  <c r="W88" i="10" s="1"/>
  <c r="R88" i="10"/>
  <c r="X88" i="6"/>
  <c r="AJ88" i="6"/>
  <c r="AL88" i="6" s="1"/>
  <c r="W89" i="6"/>
  <c r="AH89" i="6"/>
  <c r="AI89" i="6" s="1"/>
  <c r="N92" i="6"/>
  <c r="O92" i="6" s="1"/>
  <c r="P92" i="6"/>
  <c r="M93" i="6"/>
  <c r="R91" i="6"/>
  <c r="S91" i="6"/>
  <c r="T91" i="6" s="1"/>
  <c r="U90" i="6"/>
  <c r="V90" i="6"/>
  <c r="BX85" i="6"/>
  <c r="BU85" i="6"/>
  <c r="BV85" i="6" s="1"/>
  <c r="BT82" i="6"/>
  <c r="AY85" i="6"/>
  <c r="AY86" i="6"/>
  <c r="N303" i="11"/>
  <c r="O303" i="11" s="1"/>
  <c r="P303" i="11" s="1"/>
  <c r="R303" i="11" s="1"/>
  <c r="N89" i="10"/>
  <c r="BL91" i="6"/>
  <c r="BS91" i="6" s="1"/>
  <c r="BV84" i="6"/>
  <c r="BX84" i="6"/>
  <c r="AX86" i="6"/>
  <c r="AQ86" i="6"/>
  <c r="AZ86" i="6" s="1"/>
  <c r="O90" i="10"/>
  <c r="P89" i="10"/>
  <c r="Q89" i="10" s="1"/>
  <c r="CC88" i="6"/>
  <c r="CD88" i="6" s="1"/>
  <c r="AO85" i="6" l="1"/>
  <c r="AN86" i="6"/>
  <c r="Z88" i="6"/>
  <c r="AK88" i="6"/>
  <c r="AM88" i="6" s="1"/>
  <c r="S89" i="10"/>
  <c r="T89" i="10" s="1"/>
  <c r="U89" i="10" s="1"/>
  <c r="W89" i="10" s="1"/>
  <c r="R89" i="10"/>
  <c r="X89" i="6"/>
  <c r="AJ89" i="6"/>
  <c r="AL89" i="6" s="1"/>
  <c r="AN87" i="6" s="1"/>
  <c r="W90" i="6"/>
  <c r="AH90" i="6"/>
  <c r="AI90" i="6" s="1"/>
  <c r="U91" i="6"/>
  <c r="V91" i="6"/>
  <c r="N93" i="6"/>
  <c r="O93" i="6" s="1"/>
  <c r="P93" i="6"/>
  <c r="M94" i="6"/>
  <c r="S92" i="6"/>
  <c r="T92" i="6" s="1"/>
  <c r="R92" i="6"/>
  <c r="BW86" i="6"/>
  <c r="BX86" i="6" s="1"/>
  <c r="BU86" i="6"/>
  <c r="BV86" i="6" s="1"/>
  <c r="BT83" i="6"/>
  <c r="N304" i="11"/>
  <c r="O304" i="11" s="1"/>
  <c r="P304" i="11" s="1"/>
  <c r="R304" i="11" s="1"/>
  <c r="S4" i="11" s="1"/>
  <c r="N90" i="10"/>
  <c r="BL92" i="6"/>
  <c r="BS92" i="6" s="1"/>
  <c r="P90" i="10"/>
  <c r="Q90" i="10" s="1"/>
  <c r="O91" i="10"/>
  <c r="AO86" i="6" l="1"/>
  <c r="Z89" i="6"/>
  <c r="AK89" i="6"/>
  <c r="AM89" i="6" s="1"/>
  <c r="S90" i="10"/>
  <c r="T90" i="10" s="1"/>
  <c r="U90" i="10" s="1"/>
  <c r="W90" i="10" s="1"/>
  <c r="R90" i="10"/>
  <c r="X90" i="6"/>
  <c r="AJ90" i="6"/>
  <c r="AL90" i="6" s="1"/>
  <c r="W91" i="6"/>
  <c r="AH91" i="6"/>
  <c r="AI91" i="6" s="1"/>
  <c r="U92" i="6"/>
  <c r="V92" i="6"/>
  <c r="N94" i="6"/>
  <c r="O94" i="6" s="1"/>
  <c r="P94" i="6"/>
  <c r="M95" i="6"/>
  <c r="R93" i="6"/>
  <c r="S93" i="6"/>
  <c r="T93" i="6" s="1"/>
  <c r="BT84" i="6"/>
  <c r="N91" i="10"/>
  <c r="BL93" i="6"/>
  <c r="BS93" i="6" s="1"/>
  <c r="AY88" i="6"/>
  <c r="AY87" i="6"/>
  <c r="AX87" i="6"/>
  <c r="AQ87" i="6"/>
  <c r="AZ87" i="6" s="1"/>
  <c r="AX88" i="6"/>
  <c r="AQ88" i="6"/>
  <c r="AZ88" i="6" s="1"/>
  <c r="P91" i="10"/>
  <c r="Q91" i="10" s="1"/>
  <c r="O92" i="10"/>
  <c r="AO87" i="6" l="1"/>
  <c r="AN88" i="6"/>
  <c r="Z90" i="6"/>
  <c r="AK90" i="6"/>
  <c r="AM90" i="6" s="1"/>
  <c r="S91" i="10"/>
  <c r="T91" i="10" s="1"/>
  <c r="U91" i="10" s="1"/>
  <c r="W91" i="10" s="1"/>
  <c r="R91" i="10"/>
  <c r="X91" i="6"/>
  <c r="AJ91" i="6"/>
  <c r="AL91" i="6" s="1"/>
  <c r="AN89" i="6" s="1"/>
  <c r="W92" i="6"/>
  <c r="AH92" i="6"/>
  <c r="AI92" i="6" s="1"/>
  <c r="U93" i="6"/>
  <c r="V93" i="6"/>
  <c r="N95" i="6"/>
  <c r="O95" i="6" s="1"/>
  <c r="P95" i="6"/>
  <c r="M96" i="6"/>
  <c r="R94" i="6"/>
  <c r="S94" i="6"/>
  <c r="T94" i="6" s="1"/>
  <c r="BT85" i="6"/>
  <c r="N92" i="10"/>
  <c r="BL94" i="6"/>
  <c r="BS94" i="6" s="1"/>
  <c r="BU87" i="6"/>
  <c r="BV87" i="6" s="1"/>
  <c r="BW87" i="6"/>
  <c r="BX87" i="6" s="1"/>
  <c r="BW88" i="6"/>
  <c r="BU88" i="6"/>
  <c r="AY89" i="6"/>
  <c r="AQ89" i="6"/>
  <c r="AZ89" i="6" s="1"/>
  <c r="AX89" i="6"/>
  <c r="O93" i="10"/>
  <c r="P92" i="10"/>
  <c r="Q92" i="10" s="1"/>
  <c r="AO88" i="6" l="1"/>
  <c r="Z91" i="6"/>
  <c r="AK91" i="6"/>
  <c r="AM91" i="6" s="1"/>
  <c r="S92" i="10"/>
  <c r="T92" i="10" s="1"/>
  <c r="U92" i="10" s="1"/>
  <c r="W92" i="10" s="1"/>
  <c r="R92" i="10"/>
  <c r="X92" i="6"/>
  <c r="AJ92" i="6"/>
  <c r="AL92" i="6" s="1"/>
  <c r="W93" i="6"/>
  <c r="AH93" i="6"/>
  <c r="AI93" i="6" s="1"/>
  <c r="U94" i="6"/>
  <c r="V94" i="6"/>
  <c r="N96" i="6"/>
  <c r="O96" i="6" s="1"/>
  <c r="P96" i="6"/>
  <c r="M97" i="6"/>
  <c r="R95" i="6"/>
  <c r="S95" i="6"/>
  <c r="T95" i="6" s="1"/>
  <c r="BT86" i="6"/>
  <c r="N93" i="10"/>
  <c r="BL95" i="6"/>
  <c r="BS95" i="6" s="1"/>
  <c r="BX88" i="6"/>
  <c r="BV88" i="6"/>
  <c r="BU89" i="6"/>
  <c r="BV89" i="6" s="1"/>
  <c r="BW89" i="6"/>
  <c r="BX89" i="6" s="1"/>
  <c r="AY90" i="6"/>
  <c r="AQ90" i="6"/>
  <c r="AZ90" i="6" s="1"/>
  <c r="P93" i="10"/>
  <c r="Q93" i="10" s="1"/>
  <c r="O94" i="10"/>
  <c r="AX90" i="6"/>
  <c r="AN90" i="6" l="1"/>
  <c r="AO89" i="6"/>
  <c r="Z92" i="6"/>
  <c r="AK92" i="6"/>
  <c r="AM92" i="6" s="1"/>
  <c r="S93" i="10"/>
  <c r="T93" i="10" s="1"/>
  <c r="U93" i="10" s="1"/>
  <c r="W93" i="10" s="1"/>
  <c r="R93" i="10"/>
  <c r="X93" i="6"/>
  <c r="AJ93" i="6"/>
  <c r="AL93" i="6" s="1"/>
  <c r="W94" i="6"/>
  <c r="AH94" i="6"/>
  <c r="AI94" i="6" s="1"/>
  <c r="U95" i="6"/>
  <c r="V95" i="6"/>
  <c r="N97" i="6"/>
  <c r="O97" i="6" s="1"/>
  <c r="P97" i="6"/>
  <c r="M98" i="6"/>
  <c r="R96" i="6"/>
  <c r="S96" i="6"/>
  <c r="T96" i="6" s="1"/>
  <c r="BT87" i="6"/>
  <c r="BW91" i="6"/>
  <c r="N94" i="10"/>
  <c r="BL96" i="6"/>
  <c r="BS96" i="6" s="1"/>
  <c r="BU90" i="6"/>
  <c r="BW90" i="6"/>
  <c r="AQ91" i="6"/>
  <c r="AZ91" i="6" s="1"/>
  <c r="AX91" i="6"/>
  <c r="O95" i="10"/>
  <c r="P94" i="10"/>
  <c r="Q94" i="10" s="1"/>
  <c r="AO90" i="6" l="1"/>
  <c r="AN91" i="6"/>
  <c r="Z93" i="6"/>
  <c r="AK93" i="6"/>
  <c r="AM93" i="6" s="1"/>
  <c r="S94" i="10"/>
  <c r="T94" i="10" s="1"/>
  <c r="U94" i="10" s="1"/>
  <c r="W94" i="10" s="1"/>
  <c r="R94" i="10"/>
  <c r="X94" i="6"/>
  <c r="AJ94" i="6"/>
  <c r="AL94" i="6" s="1"/>
  <c r="W95" i="6"/>
  <c r="AH95" i="6"/>
  <c r="AI95" i="6" s="1"/>
  <c r="U96" i="6"/>
  <c r="V96" i="6"/>
  <c r="N98" i="6"/>
  <c r="O98" i="6" s="1"/>
  <c r="P98" i="6"/>
  <c r="M99" i="6"/>
  <c r="R97" i="6"/>
  <c r="S97" i="6"/>
  <c r="T97" i="6" s="1"/>
  <c r="AY91" i="6"/>
  <c r="BU91" i="6"/>
  <c r="BV91" i="6" s="1"/>
  <c r="BT88" i="6"/>
  <c r="AY92" i="6"/>
  <c r="N95" i="10"/>
  <c r="BL97" i="6"/>
  <c r="BS97" i="6" s="1"/>
  <c r="BV90" i="6"/>
  <c r="BX91" i="6"/>
  <c r="BX90" i="6"/>
  <c r="AX92" i="6"/>
  <c r="AQ92" i="6"/>
  <c r="AZ92" i="6" s="1"/>
  <c r="O96" i="10"/>
  <c r="P95" i="10"/>
  <c r="Q95" i="10" s="1"/>
  <c r="AO91" i="6" l="1"/>
  <c r="AN92" i="6"/>
  <c r="Z94" i="6"/>
  <c r="AK94" i="6"/>
  <c r="AM94" i="6" s="1"/>
  <c r="S95" i="10"/>
  <c r="T95" i="10" s="1"/>
  <c r="U95" i="10" s="1"/>
  <c r="W95" i="10" s="1"/>
  <c r="R95" i="10"/>
  <c r="X95" i="6"/>
  <c r="AJ95" i="6"/>
  <c r="AL95" i="6" s="1"/>
  <c r="W96" i="6"/>
  <c r="AH96" i="6"/>
  <c r="AI96" i="6" s="1"/>
  <c r="U97" i="6"/>
  <c r="V97" i="6"/>
  <c r="N99" i="6"/>
  <c r="O99" i="6" s="1"/>
  <c r="P99" i="6"/>
  <c r="M100" i="6"/>
  <c r="S98" i="6"/>
  <c r="T98" i="6" s="1"/>
  <c r="R98" i="6"/>
  <c r="BT89" i="6"/>
  <c r="BW92" i="6"/>
  <c r="BX92" i="6" s="1"/>
  <c r="BU92" i="6"/>
  <c r="BV92" i="6" s="1"/>
  <c r="N96" i="10"/>
  <c r="BL98" i="6"/>
  <c r="BS98" i="6" s="1"/>
  <c r="O97" i="10"/>
  <c r="P96" i="10"/>
  <c r="Q96" i="10" s="1"/>
  <c r="AN93" i="6" l="1"/>
  <c r="AO92" i="6"/>
  <c r="Z95" i="6"/>
  <c r="AK95" i="6"/>
  <c r="AM95" i="6" s="1"/>
  <c r="S96" i="10"/>
  <c r="T96" i="10" s="1"/>
  <c r="U96" i="10" s="1"/>
  <c r="W96" i="10" s="1"/>
  <c r="R96" i="10"/>
  <c r="X96" i="6"/>
  <c r="AJ96" i="6"/>
  <c r="AL96" i="6" s="1"/>
  <c r="AN94" i="6" s="1"/>
  <c r="W97" i="6"/>
  <c r="AH97" i="6"/>
  <c r="AI97" i="6" s="1"/>
  <c r="U98" i="6"/>
  <c r="V98" i="6"/>
  <c r="N100" i="6"/>
  <c r="O100" i="6" s="1"/>
  <c r="P100" i="6"/>
  <c r="M101" i="6"/>
  <c r="R99" i="6"/>
  <c r="S99" i="6"/>
  <c r="T99" i="6" s="1"/>
  <c r="BT90" i="6"/>
  <c r="AY94" i="6"/>
  <c r="BL99" i="6"/>
  <c r="BS99" i="6" s="1"/>
  <c r="AX93" i="6"/>
  <c r="AY93" i="6"/>
  <c r="AQ93" i="6"/>
  <c r="AZ93" i="6" s="1"/>
  <c r="AQ94" i="6"/>
  <c r="AZ94" i="6" s="1"/>
  <c r="AX94" i="6"/>
  <c r="N97" i="10"/>
  <c r="P97" i="10"/>
  <c r="Q97" i="10" s="1"/>
  <c r="O98" i="10"/>
  <c r="AO93" i="6" l="1"/>
  <c r="Z96" i="6"/>
  <c r="AK96" i="6"/>
  <c r="AM96" i="6" s="1"/>
  <c r="S97" i="10"/>
  <c r="T97" i="10" s="1"/>
  <c r="U97" i="10" s="1"/>
  <c r="W97" i="10" s="1"/>
  <c r="R97" i="10"/>
  <c r="X97" i="6"/>
  <c r="AJ97" i="6"/>
  <c r="AL97" i="6" s="1"/>
  <c r="W98" i="6"/>
  <c r="AH98" i="6"/>
  <c r="AI98" i="6" s="1"/>
  <c r="V99" i="6"/>
  <c r="U99" i="6"/>
  <c r="P101" i="6"/>
  <c r="N101" i="6"/>
  <c r="O101" i="6" s="1"/>
  <c r="M102" i="6"/>
  <c r="R100" i="6"/>
  <c r="S100" i="6"/>
  <c r="T100" i="6" s="1"/>
  <c r="BW94" i="6"/>
  <c r="BU94" i="6"/>
  <c r="BT91" i="6"/>
  <c r="BL100" i="6"/>
  <c r="BS100" i="6" s="1"/>
  <c r="BW93" i="6"/>
  <c r="BX93" i="6" s="1"/>
  <c r="BU93" i="6"/>
  <c r="BV93" i="6" s="1"/>
  <c r="N98" i="10"/>
  <c r="P98" i="10"/>
  <c r="Q98" i="10" s="1"/>
  <c r="O99" i="10"/>
  <c r="AO94" i="6" l="1"/>
  <c r="AN95" i="6"/>
  <c r="Z97" i="6"/>
  <c r="AK97" i="6"/>
  <c r="AM97" i="6" s="1"/>
  <c r="S98" i="10"/>
  <c r="T98" i="10" s="1"/>
  <c r="U98" i="10" s="1"/>
  <c r="W98" i="10" s="1"/>
  <c r="R98" i="10"/>
  <c r="X98" i="6"/>
  <c r="AJ98" i="6"/>
  <c r="AL98" i="6" s="1"/>
  <c r="W99" i="6"/>
  <c r="AH99" i="6"/>
  <c r="AI99" i="6" s="1"/>
  <c r="U100" i="6"/>
  <c r="V100" i="6"/>
  <c r="N102" i="6"/>
  <c r="O102" i="6" s="1"/>
  <c r="P102" i="6"/>
  <c r="M103" i="6"/>
  <c r="R101" i="6"/>
  <c r="S101" i="6"/>
  <c r="T101" i="6" s="1"/>
  <c r="BT100" i="6"/>
  <c r="BT92" i="6"/>
  <c r="BT94" i="6"/>
  <c r="BT96" i="6"/>
  <c r="BT93" i="6"/>
  <c r="BT97" i="6"/>
  <c r="BT95" i="6"/>
  <c r="BT99" i="6"/>
  <c r="BT98" i="6"/>
  <c r="BW95" i="6"/>
  <c r="BX95" i="6" s="1"/>
  <c r="BU96" i="6"/>
  <c r="BL101" i="6"/>
  <c r="BX94" i="6"/>
  <c r="BV94" i="6"/>
  <c r="AQ96" i="6"/>
  <c r="AZ96" i="6" s="1"/>
  <c r="AX96" i="6"/>
  <c r="AX95" i="6"/>
  <c r="AQ95" i="6"/>
  <c r="AZ95" i="6" s="1"/>
  <c r="N99" i="10"/>
  <c r="P99" i="10"/>
  <c r="Q99" i="10" s="1"/>
  <c r="O100" i="10"/>
  <c r="AO95" i="6" l="1"/>
  <c r="AN96" i="6"/>
  <c r="Z98" i="6"/>
  <c r="AK98" i="6"/>
  <c r="AM98" i="6" s="1"/>
  <c r="S99" i="10"/>
  <c r="T99" i="10" s="1"/>
  <c r="U99" i="10" s="1"/>
  <c r="W99" i="10" s="1"/>
  <c r="R99" i="10"/>
  <c r="X99" i="6"/>
  <c r="AJ99" i="6"/>
  <c r="AL99" i="6" s="1"/>
  <c r="W100" i="6"/>
  <c r="AH100" i="6"/>
  <c r="AI100" i="6" s="1"/>
  <c r="U101" i="6"/>
  <c r="V101" i="6"/>
  <c r="N103" i="6"/>
  <c r="O103" i="6" s="1"/>
  <c r="P103" i="6"/>
  <c r="M104" i="6"/>
  <c r="R102" i="6"/>
  <c r="S102" i="6"/>
  <c r="T102" i="6" s="1"/>
  <c r="BW96" i="6"/>
  <c r="BX96" i="6" s="1"/>
  <c r="AY96" i="6"/>
  <c r="BU95" i="6"/>
  <c r="BV95" i="6" s="1"/>
  <c r="AY95" i="6"/>
  <c r="BL102" i="6"/>
  <c r="N100" i="10"/>
  <c r="AX97" i="6"/>
  <c r="AQ97" i="6"/>
  <c r="AZ97" i="6" s="1"/>
  <c r="O101" i="10"/>
  <c r="P100" i="10"/>
  <c r="Q100" i="10" s="1"/>
  <c r="AN97" i="6" l="1"/>
  <c r="AO96" i="6"/>
  <c r="Z99" i="6"/>
  <c r="AK99" i="6"/>
  <c r="AM99" i="6" s="1"/>
  <c r="AO97" i="6" s="1"/>
  <c r="S100" i="10"/>
  <c r="T100" i="10" s="1"/>
  <c r="U100" i="10" s="1"/>
  <c r="W100" i="10" s="1"/>
  <c r="R100" i="10"/>
  <c r="X100" i="6"/>
  <c r="AJ100" i="6"/>
  <c r="AL100" i="6" s="1"/>
  <c r="W101" i="6"/>
  <c r="AH101" i="6"/>
  <c r="AI101" i="6" s="1"/>
  <c r="U102" i="6"/>
  <c r="V102" i="6"/>
  <c r="N104" i="6"/>
  <c r="O104" i="6" s="1"/>
  <c r="P104" i="6"/>
  <c r="M105" i="6"/>
  <c r="S103" i="6"/>
  <c r="T103" i="6" s="1"/>
  <c r="R103" i="6"/>
  <c r="BV96" i="6"/>
  <c r="BU97" i="6"/>
  <c r="BV97" i="6" s="1"/>
  <c r="BW97" i="6"/>
  <c r="BX97" i="6" s="1"/>
  <c r="AY97" i="6"/>
  <c r="BW98" i="6"/>
  <c r="N101" i="10"/>
  <c r="BL103" i="6"/>
  <c r="AQ98" i="6"/>
  <c r="AZ98" i="6" s="1"/>
  <c r="AX98" i="6"/>
  <c r="O102" i="10"/>
  <c r="P101" i="10"/>
  <c r="Q101" i="10" s="1"/>
  <c r="AN98" i="6" l="1"/>
  <c r="Z100" i="6"/>
  <c r="AK100" i="6"/>
  <c r="AM100" i="6" s="1"/>
  <c r="S101" i="10"/>
  <c r="T101" i="10" s="1"/>
  <c r="U101" i="10" s="1"/>
  <c r="W101" i="10" s="1"/>
  <c r="R101" i="10"/>
  <c r="X101" i="6"/>
  <c r="AJ101" i="6"/>
  <c r="AL101" i="6" s="1"/>
  <c r="W102" i="6"/>
  <c r="AH102" i="6"/>
  <c r="AI102" i="6" s="1"/>
  <c r="N105" i="6"/>
  <c r="O105" i="6" s="1"/>
  <c r="P105" i="6"/>
  <c r="S105" i="6" s="1"/>
  <c r="T105" i="6" s="1"/>
  <c r="M106" i="6"/>
  <c r="R104" i="6"/>
  <c r="S104" i="6"/>
  <c r="T104" i="6" s="1"/>
  <c r="U103" i="6"/>
  <c r="V103" i="6"/>
  <c r="AY98" i="6"/>
  <c r="BU98" i="6"/>
  <c r="BV98" i="6" s="1"/>
  <c r="N102" i="10"/>
  <c r="BL104" i="6"/>
  <c r="BX98" i="6"/>
  <c r="P102" i="10"/>
  <c r="Q102" i="10" s="1"/>
  <c r="O103" i="10"/>
  <c r="AN99" i="6" l="1"/>
  <c r="AO98" i="6"/>
  <c r="Z101" i="6"/>
  <c r="AK101" i="6"/>
  <c r="AM101" i="6" s="1"/>
  <c r="S102" i="10"/>
  <c r="T102" i="10" s="1"/>
  <c r="U102" i="10" s="1"/>
  <c r="W102" i="10" s="1"/>
  <c r="R102" i="10"/>
  <c r="X102" i="6"/>
  <c r="AJ102" i="6"/>
  <c r="AL102" i="6" s="1"/>
  <c r="AN100" i="6" s="1"/>
  <c r="W103" i="6"/>
  <c r="AH103" i="6"/>
  <c r="AI103" i="6" s="1"/>
  <c r="U104" i="6"/>
  <c r="V104" i="6"/>
  <c r="N106" i="6"/>
  <c r="O106" i="6" s="1"/>
  <c r="P106" i="6"/>
  <c r="S106" i="6" s="1"/>
  <c r="T106" i="6" s="1"/>
  <c r="M107" i="6"/>
  <c r="U105" i="6"/>
  <c r="V105" i="6"/>
  <c r="AY99" i="6"/>
  <c r="N103" i="10"/>
  <c r="BL105" i="6"/>
  <c r="AX99" i="6"/>
  <c r="AQ99" i="6"/>
  <c r="AZ99" i="6" s="1"/>
  <c r="P103" i="10"/>
  <c r="Q103" i="10" s="1"/>
  <c r="O104" i="10"/>
  <c r="AO99" i="6" l="1"/>
  <c r="Z102" i="6"/>
  <c r="AK102" i="6"/>
  <c r="AM102" i="6" s="1"/>
  <c r="S103" i="10"/>
  <c r="T103" i="10" s="1"/>
  <c r="U103" i="10" s="1"/>
  <c r="W103" i="10" s="1"/>
  <c r="R103" i="10"/>
  <c r="X103" i="6"/>
  <c r="AJ103" i="6"/>
  <c r="AL103" i="6" s="1"/>
  <c r="W105" i="6"/>
  <c r="AH105" i="6"/>
  <c r="AI105" i="6" s="1"/>
  <c r="W104" i="6"/>
  <c r="AH104" i="6"/>
  <c r="AI104" i="6" s="1"/>
  <c r="N107" i="6"/>
  <c r="O107" i="6" s="1"/>
  <c r="P107" i="6"/>
  <c r="S107" i="6" s="1"/>
  <c r="T107" i="6" s="1"/>
  <c r="M108" i="6"/>
  <c r="U106" i="6"/>
  <c r="V106" i="6"/>
  <c r="BW99" i="6"/>
  <c r="BX99" i="6" s="1"/>
  <c r="BU99" i="6"/>
  <c r="BV99" i="6" s="1"/>
  <c r="AY100" i="6"/>
  <c r="AY101" i="6"/>
  <c r="N104" i="10"/>
  <c r="BL106" i="6"/>
  <c r="AQ101" i="6"/>
  <c r="AZ101" i="6" s="1"/>
  <c r="AX101" i="6"/>
  <c r="AX100" i="6"/>
  <c r="AQ100" i="6"/>
  <c r="AZ100" i="6" s="1"/>
  <c r="P104" i="10"/>
  <c r="Q104" i="10" s="1"/>
  <c r="O105" i="10"/>
  <c r="AN101" i="6" l="1"/>
  <c r="AO100" i="6"/>
  <c r="Z103" i="6"/>
  <c r="AK103" i="6"/>
  <c r="AM103" i="6" s="1"/>
  <c r="S104" i="10"/>
  <c r="T104" i="10" s="1"/>
  <c r="U104" i="10" s="1"/>
  <c r="W104" i="10" s="1"/>
  <c r="R104" i="10"/>
  <c r="X104" i="6"/>
  <c r="AJ104" i="6"/>
  <c r="AL104" i="6" s="1"/>
  <c r="AN102" i="6" s="1"/>
  <c r="X105" i="6"/>
  <c r="AJ105" i="6"/>
  <c r="W106" i="6"/>
  <c r="AH106" i="6"/>
  <c r="AI106" i="6" s="1"/>
  <c r="N108" i="6"/>
  <c r="O108" i="6" s="1"/>
  <c r="P108" i="6"/>
  <c r="S108" i="6" s="1"/>
  <c r="T108" i="6" s="1"/>
  <c r="M109" i="6"/>
  <c r="U107" i="6"/>
  <c r="V107" i="6"/>
  <c r="BW100" i="6"/>
  <c r="BX100" i="6" s="1"/>
  <c r="BU100" i="6"/>
  <c r="BV100" i="6" s="1"/>
  <c r="AY102" i="6"/>
  <c r="N105" i="10"/>
  <c r="BL107" i="6"/>
  <c r="AX102" i="6"/>
  <c r="AQ102" i="6"/>
  <c r="AZ102" i="6" s="1"/>
  <c r="O106" i="10"/>
  <c r="P105" i="10"/>
  <c r="Q105" i="10" s="1"/>
  <c r="AL105" i="6" l="1"/>
  <c r="AN103" i="6"/>
  <c r="AO101" i="6"/>
  <c r="Z104" i="6"/>
  <c r="AK104" i="6"/>
  <c r="AM104" i="6" s="1"/>
  <c r="Z105" i="6"/>
  <c r="AK105" i="6"/>
  <c r="AM105" i="6" s="1"/>
  <c r="S105" i="10"/>
  <c r="T105" i="10" s="1"/>
  <c r="U105" i="10" s="1"/>
  <c r="W105" i="10" s="1"/>
  <c r="R105" i="10"/>
  <c r="X106" i="6"/>
  <c r="AJ106" i="6"/>
  <c r="AL106" i="6" s="1"/>
  <c r="AN104" i="6" s="1"/>
  <c r="W107" i="6"/>
  <c r="AH107" i="6"/>
  <c r="AI107" i="6" s="1"/>
  <c r="N109" i="6"/>
  <c r="O109" i="6" s="1"/>
  <c r="P109" i="6"/>
  <c r="S109" i="6" s="1"/>
  <c r="T109" i="6" s="1"/>
  <c r="M110" i="6"/>
  <c r="U108" i="6"/>
  <c r="V108" i="6"/>
  <c r="AY103" i="6"/>
  <c r="BL108" i="6"/>
  <c r="AX103" i="6"/>
  <c r="AQ103" i="6"/>
  <c r="AZ103" i="6" s="1"/>
  <c r="N106" i="10"/>
  <c r="P106" i="10"/>
  <c r="Q106" i="10" s="1"/>
  <c r="O107" i="10"/>
  <c r="AO103" i="6" l="1"/>
  <c r="AO102" i="6"/>
  <c r="Z106" i="6"/>
  <c r="AK106" i="6"/>
  <c r="AM106" i="6" s="1"/>
  <c r="S106" i="10"/>
  <c r="T106" i="10" s="1"/>
  <c r="U106" i="10" s="1"/>
  <c r="W106" i="10" s="1"/>
  <c r="R106" i="10"/>
  <c r="X107" i="6"/>
  <c r="AJ107" i="6"/>
  <c r="AL107" i="6" s="1"/>
  <c r="W108" i="6"/>
  <c r="AH108" i="6"/>
  <c r="AI108" i="6" s="1"/>
  <c r="N110" i="6"/>
  <c r="O110" i="6" s="1"/>
  <c r="P110" i="6"/>
  <c r="S110" i="6" s="1"/>
  <c r="T110" i="6" s="1"/>
  <c r="M111" i="6"/>
  <c r="U109" i="6"/>
  <c r="V109" i="6"/>
  <c r="N107" i="10"/>
  <c r="BL109" i="6"/>
  <c r="P107" i="10"/>
  <c r="Q107" i="10" s="1"/>
  <c r="O108" i="10"/>
  <c r="AN105" i="6" l="1"/>
  <c r="AO104" i="6"/>
  <c r="Z107" i="6"/>
  <c r="AK107" i="6"/>
  <c r="AM107" i="6" s="1"/>
  <c r="S107" i="10"/>
  <c r="T107" i="10" s="1"/>
  <c r="U107" i="10" s="1"/>
  <c r="W107" i="10" s="1"/>
  <c r="R107" i="10"/>
  <c r="X108" i="6"/>
  <c r="AJ108" i="6"/>
  <c r="AL108" i="6" s="1"/>
  <c r="AN106" i="6" s="1"/>
  <c r="W109" i="6"/>
  <c r="AH109" i="6"/>
  <c r="AI109" i="6" s="1"/>
  <c r="P111" i="6"/>
  <c r="S111" i="6" s="1"/>
  <c r="T111" i="6" s="1"/>
  <c r="N111" i="6"/>
  <c r="O111" i="6" s="1"/>
  <c r="M112" i="6"/>
  <c r="U110" i="6"/>
  <c r="V110" i="6"/>
  <c r="N108" i="10"/>
  <c r="BL110" i="6"/>
  <c r="AQ104" i="6"/>
  <c r="AZ104" i="6" s="1"/>
  <c r="AX104" i="6"/>
  <c r="P108" i="10"/>
  <c r="Q108" i="10" s="1"/>
  <c r="O109" i="10"/>
  <c r="AO105" i="6" l="1"/>
  <c r="Z108" i="6"/>
  <c r="AK108" i="6"/>
  <c r="AM108" i="6" s="1"/>
  <c r="S108" i="10"/>
  <c r="T108" i="10" s="1"/>
  <c r="U108" i="10" s="1"/>
  <c r="W108" i="10" s="1"/>
  <c r="R108" i="10"/>
  <c r="X109" i="6"/>
  <c r="AJ109" i="6"/>
  <c r="AL109" i="6" s="1"/>
  <c r="W110" i="6"/>
  <c r="AH110" i="6"/>
  <c r="AI110" i="6" s="1"/>
  <c r="P112" i="6"/>
  <c r="S112" i="6" s="1"/>
  <c r="T112" i="6" s="1"/>
  <c r="N112" i="6"/>
  <c r="O112" i="6" s="1"/>
  <c r="M113" i="6"/>
  <c r="U111" i="6"/>
  <c r="V111" i="6"/>
  <c r="AY106" i="6"/>
  <c r="AY104" i="6"/>
  <c r="N109" i="10"/>
  <c r="BL111" i="6"/>
  <c r="AQ105" i="6"/>
  <c r="AZ105" i="6" s="1"/>
  <c r="AQ106" i="6"/>
  <c r="AZ106" i="6" s="1"/>
  <c r="P109" i="10"/>
  <c r="Q109" i="10" s="1"/>
  <c r="O110" i="10"/>
  <c r="AN107" i="6" l="1"/>
  <c r="AO106" i="6"/>
  <c r="Z109" i="6"/>
  <c r="AK109" i="6"/>
  <c r="AM109" i="6" s="1"/>
  <c r="S109" i="10"/>
  <c r="T109" i="10" s="1"/>
  <c r="U109" i="10" s="1"/>
  <c r="W109" i="10" s="1"/>
  <c r="R109" i="10"/>
  <c r="X110" i="6"/>
  <c r="AJ110" i="6"/>
  <c r="AL110" i="6" s="1"/>
  <c r="AN108" i="6" s="1"/>
  <c r="W111" i="6"/>
  <c r="AH111" i="6"/>
  <c r="AI111" i="6" s="1"/>
  <c r="N113" i="6"/>
  <c r="O113" i="6" s="1"/>
  <c r="P113" i="6"/>
  <c r="S113" i="6" s="1"/>
  <c r="T113" i="6" s="1"/>
  <c r="M114" i="6"/>
  <c r="U112" i="6"/>
  <c r="V112" i="6"/>
  <c r="AY105" i="6"/>
  <c r="N110" i="10"/>
  <c r="BL112" i="6"/>
  <c r="O111" i="10"/>
  <c r="P110" i="10"/>
  <c r="Q110" i="10" s="1"/>
  <c r="AO107" i="6" l="1"/>
  <c r="Z110" i="6"/>
  <c r="AK110" i="6"/>
  <c r="AM110" i="6" s="1"/>
  <c r="S110" i="10"/>
  <c r="T110" i="10" s="1"/>
  <c r="U110" i="10" s="1"/>
  <c r="W110" i="10" s="1"/>
  <c r="R110" i="10"/>
  <c r="X111" i="6"/>
  <c r="AJ111" i="6"/>
  <c r="AL111" i="6" s="1"/>
  <c r="W112" i="6"/>
  <c r="AH112" i="6"/>
  <c r="AI112" i="6" s="1"/>
  <c r="N114" i="6"/>
  <c r="O114" i="6" s="1"/>
  <c r="P114" i="6"/>
  <c r="S114" i="6" s="1"/>
  <c r="T114" i="6" s="1"/>
  <c r="M115" i="6"/>
  <c r="U113" i="6"/>
  <c r="V113" i="6"/>
  <c r="AY108" i="6"/>
  <c r="N111" i="10"/>
  <c r="BL113" i="6"/>
  <c r="AQ108" i="6"/>
  <c r="AZ108" i="6" s="1"/>
  <c r="AQ107" i="6"/>
  <c r="AZ107" i="6" s="1"/>
  <c r="O112" i="10"/>
  <c r="P111" i="10"/>
  <c r="Q111" i="10" s="1"/>
  <c r="AN109" i="6" l="1"/>
  <c r="AO108" i="6"/>
  <c r="Z111" i="6"/>
  <c r="AK111" i="6"/>
  <c r="AM111" i="6" s="1"/>
  <c r="S111" i="10"/>
  <c r="T111" i="10" s="1"/>
  <c r="U111" i="10" s="1"/>
  <c r="W111" i="10" s="1"/>
  <c r="R111" i="10"/>
  <c r="X112" i="6"/>
  <c r="AJ112" i="6"/>
  <c r="AL112" i="6" s="1"/>
  <c r="AN110" i="6" s="1"/>
  <c r="W113" i="6"/>
  <c r="AH113" i="6"/>
  <c r="AI113" i="6" s="1"/>
  <c r="N115" i="6"/>
  <c r="O115" i="6" s="1"/>
  <c r="P115" i="6"/>
  <c r="S115" i="6" s="1"/>
  <c r="T115" i="6" s="1"/>
  <c r="M116" i="6"/>
  <c r="U114" i="6"/>
  <c r="V114" i="6"/>
  <c r="AY107" i="6"/>
  <c r="N112" i="10"/>
  <c r="BL114" i="6"/>
  <c r="P112" i="10"/>
  <c r="Q112" i="10" s="1"/>
  <c r="O113" i="10"/>
  <c r="AO109" i="6" l="1"/>
  <c r="Z112" i="6"/>
  <c r="AK112" i="6"/>
  <c r="AM112" i="6" s="1"/>
  <c r="AO110" i="6" s="1"/>
  <c r="S112" i="10"/>
  <c r="T112" i="10" s="1"/>
  <c r="U112" i="10" s="1"/>
  <c r="W112" i="10" s="1"/>
  <c r="R112" i="10"/>
  <c r="X113" i="6"/>
  <c r="AJ113" i="6"/>
  <c r="AL113" i="6" s="1"/>
  <c r="W114" i="6"/>
  <c r="AH114" i="6"/>
  <c r="AI114" i="6" s="1"/>
  <c r="N116" i="6"/>
  <c r="O116" i="6" s="1"/>
  <c r="P116" i="6"/>
  <c r="S116" i="6" s="1"/>
  <c r="T116" i="6" s="1"/>
  <c r="M117" i="6"/>
  <c r="U115" i="6"/>
  <c r="V115" i="6"/>
  <c r="AY110" i="6"/>
  <c r="AY109" i="6"/>
  <c r="N113" i="10"/>
  <c r="BL115" i="6"/>
  <c r="AQ110" i="6"/>
  <c r="AZ110" i="6" s="1"/>
  <c r="AQ109" i="6"/>
  <c r="AZ109" i="6" s="1"/>
  <c r="O114" i="10"/>
  <c r="P113" i="10"/>
  <c r="Q113" i="10" s="1"/>
  <c r="AN111" i="6" l="1"/>
  <c r="Z113" i="6"/>
  <c r="AK113" i="6"/>
  <c r="AM113" i="6" s="1"/>
  <c r="S113" i="10"/>
  <c r="T113" i="10" s="1"/>
  <c r="U113" i="10" s="1"/>
  <c r="W113" i="10" s="1"/>
  <c r="R113" i="10"/>
  <c r="X114" i="6"/>
  <c r="AJ114" i="6"/>
  <c r="AL114" i="6" s="1"/>
  <c r="AN112" i="6" s="1"/>
  <c r="W115" i="6"/>
  <c r="AH115" i="6"/>
  <c r="AI115" i="6" s="1"/>
  <c r="U116" i="6"/>
  <c r="V116" i="6"/>
  <c r="N117" i="6"/>
  <c r="O117" i="6" s="1"/>
  <c r="P117" i="6"/>
  <c r="S117" i="6" s="1"/>
  <c r="T117" i="6" s="1"/>
  <c r="M118" i="6"/>
  <c r="BL116" i="6"/>
  <c r="N114" i="10"/>
  <c r="AQ111" i="6"/>
  <c r="AZ111" i="6" s="1"/>
  <c r="O115" i="10"/>
  <c r="P114" i="10"/>
  <c r="Q114" i="10" s="1"/>
  <c r="AO111" i="6" l="1"/>
  <c r="Z114" i="6"/>
  <c r="AK114" i="6"/>
  <c r="AM114" i="6" s="1"/>
  <c r="S114" i="10"/>
  <c r="T114" i="10" s="1"/>
  <c r="U114" i="10" s="1"/>
  <c r="W114" i="10" s="1"/>
  <c r="R114" i="10"/>
  <c r="X115" i="6"/>
  <c r="AJ115" i="6"/>
  <c r="AL115" i="6" s="1"/>
  <c r="W116" i="6"/>
  <c r="AH116" i="6"/>
  <c r="AI116" i="6" s="1"/>
  <c r="N118" i="6"/>
  <c r="O118" i="6" s="1"/>
  <c r="P118" i="6"/>
  <c r="S118" i="6" s="1"/>
  <c r="T118" i="6" s="1"/>
  <c r="M119" i="6"/>
  <c r="V117" i="6"/>
  <c r="U117" i="6"/>
  <c r="AY111" i="6"/>
  <c r="N115" i="10"/>
  <c r="BL117" i="6"/>
  <c r="AQ112" i="6"/>
  <c r="AZ112" i="6" s="1"/>
  <c r="P115" i="10"/>
  <c r="Q115" i="10" s="1"/>
  <c r="O116" i="10"/>
  <c r="AN113" i="6" l="1"/>
  <c r="AO112" i="6"/>
  <c r="Z115" i="6"/>
  <c r="AK115" i="6"/>
  <c r="AM115" i="6" s="1"/>
  <c r="AO113" i="6" s="1"/>
  <c r="S115" i="10"/>
  <c r="T115" i="10" s="1"/>
  <c r="U115" i="10" s="1"/>
  <c r="W115" i="10" s="1"/>
  <c r="R115" i="10"/>
  <c r="X116" i="6"/>
  <c r="AJ116" i="6"/>
  <c r="AL116" i="6" s="1"/>
  <c r="AN114" i="6" s="1"/>
  <c r="W117" i="6"/>
  <c r="AH117" i="6"/>
  <c r="AI117" i="6" s="1"/>
  <c r="N119" i="6"/>
  <c r="O119" i="6" s="1"/>
  <c r="P119" i="6"/>
  <c r="S119" i="6" s="1"/>
  <c r="T119" i="6" s="1"/>
  <c r="M120" i="6"/>
  <c r="U118" i="6"/>
  <c r="V118" i="6"/>
  <c r="AY113" i="6"/>
  <c r="AY112" i="6"/>
  <c r="N116" i="10"/>
  <c r="BL118" i="6"/>
  <c r="AQ113" i="6"/>
  <c r="AZ113" i="6" s="1"/>
  <c r="O117" i="10"/>
  <c r="P116" i="10"/>
  <c r="Q116" i="10" s="1"/>
  <c r="Z116" i="6" l="1"/>
  <c r="AK116" i="6"/>
  <c r="AM116" i="6" s="1"/>
  <c r="S116" i="10"/>
  <c r="T116" i="10" s="1"/>
  <c r="U116" i="10" s="1"/>
  <c r="W116" i="10" s="1"/>
  <c r="R116" i="10"/>
  <c r="X117" i="6"/>
  <c r="AJ117" i="6"/>
  <c r="AL117" i="6" s="1"/>
  <c r="W118" i="6"/>
  <c r="AH118" i="6"/>
  <c r="AI118" i="6" s="1"/>
  <c r="N120" i="6"/>
  <c r="O120" i="6" s="1"/>
  <c r="P120" i="6"/>
  <c r="S120" i="6" s="1"/>
  <c r="T120" i="6" s="1"/>
  <c r="M121" i="6"/>
  <c r="U119" i="6"/>
  <c r="V119" i="6"/>
  <c r="N117" i="10"/>
  <c r="BL119" i="6"/>
  <c r="P117" i="10"/>
  <c r="Q117" i="10" s="1"/>
  <c r="O118" i="10"/>
  <c r="AN115" i="6" l="1"/>
  <c r="AO114" i="6"/>
  <c r="Z117" i="6"/>
  <c r="AK117" i="6"/>
  <c r="AM117" i="6" s="1"/>
  <c r="AO115" i="6" s="1"/>
  <c r="S117" i="10"/>
  <c r="T117" i="10" s="1"/>
  <c r="U117" i="10" s="1"/>
  <c r="W117" i="10" s="1"/>
  <c r="R117" i="10"/>
  <c r="X118" i="6"/>
  <c r="AJ118" i="6"/>
  <c r="AL118" i="6" s="1"/>
  <c r="AN116" i="6" s="1"/>
  <c r="W119" i="6"/>
  <c r="AH119" i="6"/>
  <c r="AI119" i="6" s="1"/>
  <c r="N121" i="6"/>
  <c r="O121" i="6" s="1"/>
  <c r="P121" i="6"/>
  <c r="S121" i="6" s="1"/>
  <c r="T121" i="6" s="1"/>
  <c r="M122" i="6"/>
  <c r="U120" i="6"/>
  <c r="V120" i="6"/>
  <c r="AY115" i="6"/>
  <c r="N118" i="10"/>
  <c r="BL120" i="6"/>
  <c r="AQ114" i="6"/>
  <c r="AZ114" i="6" s="1"/>
  <c r="AQ115" i="6"/>
  <c r="AZ115" i="6" s="1"/>
  <c r="O119" i="10"/>
  <c r="P118" i="10"/>
  <c r="Q118" i="10" s="1"/>
  <c r="Z118" i="6" l="1"/>
  <c r="AK118" i="6"/>
  <c r="AM118" i="6" s="1"/>
  <c r="S118" i="10"/>
  <c r="T118" i="10" s="1"/>
  <c r="U118" i="10" s="1"/>
  <c r="W118" i="10" s="1"/>
  <c r="R118" i="10"/>
  <c r="X119" i="6"/>
  <c r="AJ119" i="6"/>
  <c r="AL119" i="6" s="1"/>
  <c r="W120" i="6"/>
  <c r="AH120" i="6"/>
  <c r="AI120" i="6" s="1"/>
  <c r="P122" i="6"/>
  <c r="S122" i="6" s="1"/>
  <c r="T122" i="6" s="1"/>
  <c r="N122" i="6"/>
  <c r="O122" i="6" s="1"/>
  <c r="M123" i="6"/>
  <c r="U121" i="6"/>
  <c r="V121" i="6"/>
  <c r="AY114" i="6"/>
  <c r="BL121" i="6"/>
  <c r="N119" i="10"/>
  <c r="AQ116" i="6"/>
  <c r="AZ116" i="6" s="1"/>
  <c r="O120" i="10"/>
  <c r="P119" i="10"/>
  <c r="Q119" i="10" s="1"/>
  <c r="AN117" i="6" l="1"/>
  <c r="AO116" i="6"/>
  <c r="Z119" i="6"/>
  <c r="AK119" i="6"/>
  <c r="AM119" i="6" s="1"/>
  <c r="AO117" i="6" s="1"/>
  <c r="S119" i="10"/>
  <c r="T119" i="10" s="1"/>
  <c r="U119" i="10" s="1"/>
  <c r="W119" i="10" s="1"/>
  <c r="R119" i="10"/>
  <c r="X120" i="6"/>
  <c r="AJ120" i="6"/>
  <c r="AL120" i="6" s="1"/>
  <c r="AN118" i="6" s="1"/>
  <c r="W121" i="6"/>
  <c r="AH121" i="6"/>
  <c r="AI121" i="6" s="1"/>
  <c r="N123" i="6"/>
  <c r="O123" i="6" s="1"/>
  <c r="P123" i="6"/>
  <c r="S123" i="6" s="1"/>
  <c r="T123" i="6" s="1"/>
  <c r="M124" i="6"/>
  <c r="U122" i="6"/>
  <c r="V122" i="6"/>
  <c r="AY116" i="6"/>
  <c r="N120" i="10"/>
  <c r="BL122" i="6"/>
  <c r="O121" i="10"/>
  <c r="P120" i="10"/>
  <c r="Q120" i="10" s="1"/>
  <c r="Z120" i="6" l="1"/>
  <c r="AK120" i="6"/>
  <c r="AM120" i="6" s="1"/>
  <c r="S120" i="10"/>
  <c r="T120" i="10" s="1"/>
  <c r="U120" i="10" s="1"/>
  <c r="W120" i="10" s="1"/>
  <c r="R120" i="10"/>
  <c r="X121" i="6"/>
  <c r="AJ121" i="6"/>
  <c r="AL121" i="6" s="1"/>
  <c r="W122" i="6"/>
  <c r="AH122" i="6"/>
  <c r="AI122" i="6" s="1"/>
  <c r="P124" i="6"/>
  <c r="S124" i="6" s="1"/>
  <c r="T124" i="6" s="1"/>
  <c r="N124" i="6"/>
  <c r="O124" i="6" s="1"/>
  <c r="M125" i="6"/>
  <c r="U123" i="6"/>
  <c r="V123" i="6"/>
  <c r="AY118" i="6"/>
  <c r="N121" i="10"/>
  <c r="BL123" i="6"/>
  <c r="AQ117" i="6"/>
  <c r="AZ117" i="6" s="1"/>
  <c r="AQ118" i="6"/>
  <c r="AZ118" i="6" s="1"/>
  <c r="P121" i="10"/>
  <c r="Q121" i="10" s="1"/>
  <c r="O122" i="10"/>
  <c r="AN119" i="6" l="1"/>
  <c r="AO118" i="6"/>
  <c r="Z121" i="6"/>
  <c r="AK121" i="6"/>
  <c r="AM121" i="6" s="1"/>
  <c r="S121" i="10"/>
  <c r="T121" i="10" s="1"/>
  <c r="U121" i="10" s="1"/>
  <c r="W121" i="10" s="1"/>
  <c r="R121" i="10"/>
  <c r="X122" i="6"/>
  <c r="AJ122" i="6"/>
  <c r="AL122" i="6" s="1"/>
  <c r="W123" i="6"/>
  <c r="AH123" i="6"/>
  <c r="AI123" i="6" s="1"/>
  <c r="N125" i="6"/>
  <c r="O125" i="6" s="1"/>
  <c r="P125" i="6"/>
  <c r="S125" i="6" s="1"/>
  <c r="T125" i="6" s="1"/>
  <c r="M126" i="6"/>
  <c r="U124" i="6"/>
  <c r="V124" i="6"/>
  <c r="AY119" i="6"/>
  <c r="AY117" i="6"/>
  <c r="N122" i="10"/>
  <c r="BL124" i="6"/>
  <c r="AQ119" i="6"/>
  <c r="AZ119" i="6" s="1"/>
  <c r="O123" i="10"/>
  <c r="P122" i="10"/>
  <c r="Q122" i="10" s="1"/>
  <c r="AO119" i="6" l="1"/>
  <c r="AN120" i="6"/>
  <c r="Z122" i="6"/>
  <c r="AK122" i="6"/>
  <c r="AM122" i="6" s="1"/>
  <c r="S122" i="10"/>
  <c r="T122" i="10" s="1"/>
  <c r="U122" i="10" s="1"/>
  <c r="W122" i="10" s="1"/>
  <c r="R122" i="10"/>
  <c r="X123" i="6"/>
  <c r="AJ123" i="6"/>
  <c r="AL123" i="6" s="1"/>
  <c r="W124" i="6"/>
  <c r="AH124" i="6"/>
  <c r="AI124" i="6" s="1"/>
  <c r="N126" i="6"/>
  <c r="O126" i="6" s="1"/>
  <c r="P126" i="6"/>
  <c r="S126" i="6" s="1"/>
  <c r="T126" i="6" s="1"/>
  <c r="M127" i="6"/>
  <c r="V125" i="6"/>
  <c r="U125" i="6"/>
  <c r="BL125" i="6"/>
  <c r="N123" i="10"/>
  <c r="P123" i="10"/>
  <c r="Q123" i="10" s="1"/>
  <c r="O124" i="10"/>
  <c r="AN121" i="6" l="1"/>
  <c r="AO120" i="6"/>
  <c r="Z123" i="6"/>
  <c r="AK123" i="6"/>
  <c r="AM123" i="6" s="1"/>
  <c r="S123" i="10"/>
  <c r="T123" i="10" s="1"/>
  <c r="U123" i="10" s="1"/>
  <c r="W123" i="10" s="1"/>
  <c r="R123" i="10"/>
  <c r="X124" i="6"/>
  <c r="AJ124" i="6"/>
  <c r="AL124" i="6" s="1"/>
  <c r="W125" i="6"/>
  <c r="AH125" i="6"/>
  <c r="AI125" i="6" s="1"/>
  <c r="N127" i="6"/>
  <c r="O127" i="6" s="1"/>
  <c r="P127" i="6"/>
  <c r="S127" i="6" s="1"/>
  <c r="T127" i="6" s="1"/>
  <c r="M128" i="6"/>
  <c r="U126" i="6"/>
  <c r="V126" i="6"/>
  <c r="AY121" i="6"/>
  <c r="N124" i="10"/>
  <c r="BL126" i="6"/>
  <c r="AQ121" i="6"/>
  <c r="AZ121" i="6" s="1"/>
  <c r="AQ120" i="6"/>
  <c r="AZ120" i="6" s="1"/>
  <c r="O125" i="10"/>
  <c r="P124" i="10"/>
  <c r="Q124" i="10" s="1"/>
  <c r="AO121" i="6" l="1"/>
  <c r="AN122" i="6"/>
  <c r="Z124" i="6"/>
  <c r="AK124" i="6"/>
  <c r="AM124" i="6" s="1"/>
  <c r="S124" i="10"/>
  <c r="T124" i="10" s="1"/>
  <c r="U124" i="10" s="1"/>
  <c r="W124" i="10" s="1"/>
  <c r="R124" i="10"/>
  <c r="X125" i="6"/>
  <c r="AJ125" i="6"/>
  <c r="AL125" i="6" s="1"/>
  <c r="W126" i="6"/>
  <c r="AH126" i="6"/>
  <c r="AI126" i="6" s="1"/>
  <c r="N128" i="6"/>
  <c r="O128" i="6" s="1"/>
  <c r="P128" i="6"/>
  <c r="S128" i="6" s="1"/>
  <c r="T128" i="6" s="1"/>
  <c r="M129" i="6"/>
  <c r="U127" i="6"/>
  <c r="V127" i="6"/>
  <c r="AY120" i="6"/>
  <c r="AY122" i="6"/>
  <c r="BL127" i="6"/>
  <c r="AQ122" i="6"/>
  <c r="AZ122" i="6" s="1"/>
  <c r="N125" i="10"/>
  <c r="P125" i="10"/>
  <c r="Q125" i="10" s="1"/>
  <c r="O126" i="10"/>
  <c r="AN123" i="6" l="1"/>
  <c r="AO122" i="6"/>
  <c r="Z125" i="6"/>
  <c r="AK125" i="6"/>
  <c r="AM125" i="6" s="1"/>
  <c r="AO123" i="6" s="1"/>
  <c r="S125" i="10"/>
  <c r="T125" i="10" s="1"/>
  <c r="U125" i="10" s="1"/>
  <c r="W125" i="10" s="1"/>
  <c r="R125" i="10"/>
  <c r="X126" i="6"/>
  <c r="AJ126" i="6"/>
  <c r="AL126" i="6" s="1"/>
  <c r="AN124" i="6" s="1"/>
  <c r="W127" i="6"/>
  <c r="AH127" i="6"/>
  <c r="AI127" i="6" s="1"/>
  <c r="P129" i="6"/>
  <c r="S129" i="6" s="1"/>
  <c r="T129" i="6" s="1"/>
  <c r="N129" i="6"/>
  <c r="O129" i="6" s="1"/>
  <c r="M130" i="6"/>
  <c r="V128" i="6"/>
  <c r="U128" i="6"/>
  <c r="N126" i="10"/>
  <c r="BL128" i="6"/>
  <c r="AQ123" i="6"/>
  <c r="AZ123" i="6" s="1"/>
  <c r="O127" i="10"/>
  <c r="P126" i="10"/>
  <c r="Q126" i="10" s="1"/>
  <c r="Z126" i="6" l="1"/>
  <c r="AK126" i="6"/>
  <c r="AM126" i="6" s="1"/>
  <c r="AO124" i="6" s="1"/>
  <c r="S126" i="10"/>
  <c r="T126" i="10" s="1"/>
  <c r="U126" i="10" s="1"/>
  <c r="W126" i="10" s="1"/>
  <c r="R126" i="10"/>
  <c r="X127" i="6"/>
  <c r="AJ127" i="6"/>
  <c r="AL127" i="6" s="1"/>
  <c r="W128" i="6"/>
  <c r="AH128" i="6"/>
  <c r="AI128" i="6" s="1"/>
  <c r="N130" i="6"/>
  <c r="O130" i="6" s="1"/>
  <c r="P130" i="6"/>
  <c r="S130" i="6" s="1"/>
  <c r="T130" i="6" s="1"/>
  <c r="M131" i="6"/>
  <c r="U129" i="6"/>
  <c r="V129" i="6"/>
  <c r="AY123" i="6"/>
  <c r="N127" i="10"/>
  <c r="BL129" i="6"/>
  <c r="P127" i="10"/>
  <c r="Q127" i="10" s="1"/>
  <c r="O128" i="10"/>
  <c r="AN125" i="6" l="1"/>
  <c r="Z127" i="6"/>
  <c r="AK127" i="6"/>
  <c r="AM127" i="6" s="1"/>
  <c r="S127" i="10"/>
  <c r="T127" i="10" s="1"/>
  <c r="U127" i="10" s="1"/>
  <c r="W127" i="10" s="1"/>
  <c r="R127" i="10"/>
  <c r="X128" i="6"/>
  <c r="AJ128" i="6"/>
  <c r="AL128" i="6" s="1"/>
  <c r="AN126" i="6" s="1"/>
  <c r="W129" i="6"/>
  <c r="AH129" i="6"/>
  <c r="AI129" i="6" s="1"/>
  <c r="P131" i="6"/>
  <c r="S131" i="6" s="1"/>
  <c r="T131" i="6" s="1"/>
  <c r="N131" i="6"/>
  <c r="O131" i="6" s="1"/>
  <c r="M132" i="6"/>
  <c r="U130" i="6"/>
  <c r="V130" i="6"/>
  <c r="AY125" i="6"/>
  <c r="N128" i="10"/>
  <c r="BL130" i="6"/>
  <c r="AQ124" i="6"/>
  <c r="AZ124" i="6" s="1"/>
  <c r="AQ125" i="6"/>
  <c r="AZ125" i="6" s="1"/>
  <c r="P128" i="10"/>
  <c r="Q128" i="10" s="1"/>
  <c r="O129" i="10"/>
  <c r="AO125" i="6" l="1"/>
  <c r="Z128" i="6"/>
  <c r="AK128" i="6"/>
  <c r="AM128" i="6" s="1"/>
  <c r="S128" i="10"/>
  <c r="T128" i="10" s="1"/>
  <c r="U128" i="10" s="1"/>
  <c r="W128" i="10" s="1"/>
  <c r="R128" i="10"/>
  <c r="X129" i="6"/>
  <c r="AJ129" i="6"/>
  <c r="AL129" i="6" s="1"/>
  <c r="W130" i="6"/>
  <c r="AH130" i="6"/>
  <c r="AI130" i="6" s="1"/>
  <c r="N132" i="6"/>
  <c r="O132" i="6" s="1"/>
  <c r="P132" i="6"/>
  <c r="S132" i="6" s="1"/>
  <c r="T132" i="6" s="1"/>
  <c r="M133" i="6"/>
  <c r="U131" i="6"/>
  <c r="V131" i="6"/>
  <c r="AY124" i="6"/>
  <c r="AY126" i="6"/>
  <c r="BL131" i="6"/>
  <c r="AQ126" i="6"/>
  <c r="AZ126" i="6" s="1"/>
  <c r="N129" i="10"/>
  <c r="O130" i="10"/>
  <c r="P129" i="10"/>
  <c r="Q129" i="10" s="1"/>
  <c r="AN127" i="6" l="1"/>
  <c r="AO126" i="6"/>
  <c r="Z129" i="6"/>
  <c r="AK129" i="6"/>
  <c r="AM129" i="6" s="1"/>
  <c r="AO127" i="6" s="1"/>
  <c r="S129" i="10"/>
  <c r="T129" i="10" s="1"/>
  <c r="U129" i="10" s="1"/>
  <c r="W129" i="10" s="1"/>
  <c r="R129" i="10"/>
  <c r="X130" i="6"/>
  <c r="AJ130" i="6"/>
  <c r="AL130" i="6" s="1"/>
  <c r="AN128" i="6" s="1"/>
  <c r="W131" i="6"/>
  <c r="AH131" i="6"/>
  <c r="AI131" i="6" s="1"/>
  <c r="N133" i="6"/>
  <c r="O133" i="6" s="1"/>
  <c r="P133" i="6"/>
  <c r="S133" i="6" s="1"/>
  <c r="T133" i="6" s="1"/>
  <c r="M134" i="6"/>
  <c r="U132" i="6"/>
  <c r="V132" i="6"/>
  <c r="N130" i="10"/>
  <c r="BL132" i="6"/>
  <c r="AQ127" i="6"/>
  <c r="AZ127" i="6" s="1"/>
  <c r="O131" i="10"/>
  <c r="P130" i="10"/>
  <c r="Q130" i="10" s="1"/>
  <c r="Z130" i="6" l="1"/>
  <c r="AK130" i="6"/>
  <c r="AM130" i="6" s="1"/>
  <c r="AO128" i="6" s="1"/>
  <c r="S130" i="10"/>
  <c r="T130" i="10" s="1"/>
  <c r="U130" i="10" s="1"/>
  <c r="W130" i="10" s="1"/>
  <c r="R130" i="10"/>
  <c r="X131" i="6"/>
  <c r="AJ131" i="6"/>
  <c r="AL131" i="6" s="1"/>
  <c r="W132" i="6"/>
  <c r="AH132" i="6"/>
  <c r="AI132" i="6" s="1"/>
  <c r="N134" i="6"/>
  <c r="O134" i="6" s="1"/>
  <c r="P134" i="6"/>
  <c r="S134" i="6" s="1"/>
  <c r="T134" i="6" s="1"/>
  <c r="M135" i="6"/>
  <c r="V133" i="6"/>
  <c r="U133" i="6"/>
  <c r="AY127" i="6"/>
  <c r="BL133" i="6"/>
  <c r="N131" i="10"/>
  <c r="AQ128" i="6"/>
  <c r="AZ128" i="6" s="1"/>
  <c r="O132" i="10"/>
  <c r="P131" i="10"/>
  <c r="Q131" i="10" s="1"/>
  <c r="AN129" i="6" l="1"/>
  <c r="Z131" i="6"/>
  <c r="AK131" i="6"/>
  <c r="AM131" i="6" s="1"/>
  <c r="S131" i="10"/>
  <c r="T131" i="10" s="1"/>
  <c r="U131" i="10" s="1"/>
  <c r="W131" i="10" s="1"/>
  <c r="R131" i="10"/>
  <c r="X132" i="6"/>
  <c r="AJ132" i="6"/>
  <c r="AL132" i="6" s="1"/>
  <c r="AN130" i="6" s="1"/>
  <c r="W133" i="6"/>
  <c r="AH133" i="6"/>
  <c r="AI133" i="6" s="1"/>
  <c r="N135" i="6"/>
  <c r="O135" i="6" s="1"/>
  <c r="P135" i="6"/>
  <c r="S135" i="6" s="1"/>
  <c r="T135" i="6" s="1"/>
  <c r="M136" i="6"/>
  <c r="U134" i="6"/>
  <c r="V134" i="6"/>
  <c r="AY128" i="6"/>
  <c r="BL134" i="6"/>
  <c r="N132" i="10"/>
  <c r="P132" i="10"/>
  <c r="Q132" i="10" s="1"/>
  <c r="O133" i="10"/>
  <c r="AO129" i="6" l="1"/>
  <c r="Z132" i="6"/>
  <c r="AK132" i="6"/>
  <c r="AM132" i="6" s="1"/>
  <c r="S132" i="10"/>
  <c r="T132" i="10" s="1"/>
  <c r="U132" i="10" s="1"/>
  <c r="W132" i="10" s="1"/>
  <c r="R132" i="10"/>
  <c r="X133" i="6"/>
  <c r="AJ133" i="6"/>
  <c r="AL133" i="6" s="1"/>
  <c r="W134" i="6"/>
  <c r="AH134" i="6"/>
  <c r="AI134" i="6" s="1"/>
  <c r="N136" i="6"/>
  <c r="O136" i="6" s="1"/>
  <c r="P136" i="6"/>
  <c r="S136" i="6" s="1"/>
  <c r="T136" i="6" s="1"/>
  <c r="M137" i="6"/>
  <c r="U135" i="6"/>
  <c r="V135" i="6"/>
  <c r="N133" i="10"/>
  <c r="BL135" i="6"/>
  <c r="AY130" i="6"/>
  <c r="AQ129" i="6"/>
  <c r="AZ129" i="6" s="1"/>
  <c r="AQ130" i="6"/>
  <c r="AZ130" i="6" s="1"/>
  <c r="O134" i="10"/>
  <c r="P133" i="10"/>
  <c r="Q133" i="10" s="1"/>
  <c r="AO130" i="6" l="1"/>
  <c r="AN131" i="6"/>
  <c r="Z133" i="6"/>
  <c r="AK133" i="6"/>
  <c r="AM133" i="6" s="1"/>
  <c r="S133" i="10"/>
  <c r="T133" i="10" s="1"/>
  <c r="U133" i="10" s="1"/>
  <c r="W133" i="10" s="1"/>
  <c r="R133" i="10"/>
  <c r="X134" i="6"/>
  <c r="AJ134" i="6"/>
  <c r="AL134" i="6" s="1"/>
  <c r="AN132" i="6" s="1"/>
  <c r="W135" i="6"/>
  <c r="AH135" i="6"/>
  <c r="AI135" i="6" s="1"/>
  <c r="P137" i="6"/>
  <c r="S137" i="6" s="1"/>
  <c r="T137" i="6" s="1"/>
  <c r="N137" i="6"/>
  <c r="O137" i="6" s="1"/>
  <c r="M138" i="6"/>
  <c r="V136" i="6"/>
  <c r="U136" i="6"/>
  <c r="AY129" i="6"/>
  <c r="BL136" i="6"/>
  <c r="N134" i="10"/>
  <c r="O135" i="10"/>
  <c r="P134" i="10"/>
  <c r="Q134" i="10" s="1"/>
  <c r="AO131" i="6" l="1"/>
  <c r="Z134" i="6"/>
  <c r="AK134" i="6"/>
  <c r="AM134" i="6" s="1"/>
  <c r="S134" i="10"/>
  <c r="T134" i="10" s="1"/>
  <c r="U134" i="10" s="1"/>
  <c r="W134" i="10" s="1"/>
  <c r="R134" i="10"/>
  <c r="X135" i="6"/>
  <c r="AJ135" i="6"/>
  <c r="AL135" i="6" s="1"/>
  <c r="W136" i="6"/>
  <c r="AH136" i="6"/>
  <c r="AI136" i="6" s="1"/>
  <c r="N138" i="6"/>
  <c r="O138" i="6" s="1"/>
  <c r="P138" i="6"/>
  <c r="S138" i="6" s="1"/>
  <c r="T138" i="6" s="1"/>
  <c r="M139" i="6"/>
  <c r="U137" i="6"/>
  <c r="V137" i="6"/>
  <c r="AY132" i="6"/>
  <c r="N135" i="10"/>
  <c r="BL137" i="6"/>
  <c r="AQ131" i="6"/>
  <c r="AZ131" i="6" s="1"/>
  <c r="AQ132" i="6"/>
  <c r="AZ132" i="6" s="1"/>
  <c r="O136" i="10"/>
  <c r="P135" i="10"/>
  <c r="Q135" i="10" s="1"/>
  <c r="AN133" i="6" l="1"/>
  <c r="AO132" i="6"/>
  <c r="Z135" i="6"/>
  <c r="AK135" i="6"/>
  <c r="AM135" i="6" s="1"/>
  <c r="S135" i="10"/>
  <c r="T135" i="10" s="1"/>
  <c r="U135" i="10" s="1"/>
  <c r="W135" i="10" s="1"/>
  <c r="R135" i="10"/>
  <c r="X136" i="6"/>
  <c r="AJ136" i="6"/>
  <c r="AL136" i="6" s="1"/>
  <c r="AN134" i="6" s="1"/>
  <c r="W137" i="6"/>
  <c r="AH137" i="6"/>
  <c r="AI137" i="6" s="1"/>
  <c r="P139" i="6"/>
  <c r="S139" i="6" s="1"/>
  <c r="T139" i="6" s="1"/>
  <c r="N139" i="6"/>
  <c r="O139" i="6" s="1"/>
  <c r="M140" i="6"/>
  <c r="U138" i="6"/>
  <c r="V138" i="6"/>
  <c r="AY131" i="6"/>
  <c r="N136" i="10"/>
  <c r="BL138" i="6"/>
  <c r="P136" i="10"/>
  <c r="Q136" i="10" s="1"/>
  <c r="O137" i="10"/>
  <c r="AO133" i="6" l="1"/>
  <c r="Z136" i="6"/>
  <c r="AK136" i="6"/>
  <c r="AM136" i="6" s="1"/>
  <c r="S136" i="10"/>
  <c r="T136" i="10" s="1"/>
  <c r="U136" i="10" s="1"/>
  <c r="W136" i="10" s="1"/>
  <c r="R136" i="10"/>
  <c r="X137" i="6"/>
  <c r="AJ137" i="6"/>
  <c r="AL137" i="6" s="1"/>
  <c r="W138" i="6"/>
  <c r="AH138" i="6"/>
  <c r="AI138" i="6" s="1"/>
  <c r="N140" i="6"/>
  <c r="O140" i="6" s="1"/>
  <c r="P140" i="6"/>
  <c r="S140" i="6" s="1"/>
  <c r="T140" i="6" s="1"/>
  <c r="M141" i="6"/>
  <c r="U139" i="6"/>
  <c r="V139" i="6"/>
  <c r="N137" i="10"/>
  <c r="BL139" i="6"/>
  <c r="AQ133" i="6"/>
  <c r="AZ133" i="6" s="1"/>
  <c r="AQ134" i="6"/>
  <c r="AZ134" i="6" s="1"/>
  <c r="P137" i="10"/>
  <c r="Q137" i="10" s="1"/>
  <c r="O138" i="10"/>
  <c r="AN135" i="6" l="1"/>
  <c r="AO134" i="6"/>
  <c r="Z137" i="6"/>
  <c r="AK137" i="6"/>
  <c r="AM137" i="6" s="1"/>
  <c r="AO135" i="6" s="1"/>
  <c r="S137" i="10"/>
  <c r="T137" i="10" s="1"/>
  <c r="U137" i="10" s="1"/>
  <c r="W137" i="10" s="1"/>
  <c r="R137" i="10"/>
  <c r="X138" i="6"/>
  <c r="AJ138" i="6"/>
  <c r="AL138" i="6" s="1"/>
  <c r="AN136" i="6" s="1"/>
  <c r="W139" i="6"/>
  <c r="AH139" i="6"/>
  <c r="AI139" i="6" s="1"/>
  <c r="N141" i="6"/>
  <c r="O141" i="6" s="1"/>
  <c r="P141" i="6"/>
  <c r="S141" i="6" s="1"/>
  <c r="T141" i="6" s="1"/>
  <c r="M142" i="6"/>
  <c r="U140" i="6"/>
  <c r="V140" i="6"/>
  <c r="AY135" i="6"/>
  <c r="AY133" i="6"/>
  <c r="AY134" i="6"/>
  <c r="N138" i="10"/>
  <c r="BL140" i="6"/>
  <c r="AQ135" i="6"/>
  <c r="AZ135" i="6" s="1"/>
  <c r="O139" i="10"/>
  <c r="P138" i="10"/>
  <c r="Q138" i="10" s="1"/>
  <c r="Z138" i="6" l="1"/>
  <c r="AK138" i="6"/>
  <c r="AM138" i="6" s="1"/>
  <c r="S138" i="10"/>
  <c r="T138" i="10" s="1"/>
  <c r="U138" i="10" s="1"/>
  <c r="W138" i="10" s="1"/>
  <c r="R138" i="10"/>
  <c r="X139" i="6"/>
  <c r="AJ139" i="6"/>
  <c r="AL139" i="6" s="1"/>
  <c r="W140" i="6"/>
  <c r="AH140" i="6"/>
  <c r="AI140" i="6" s="1"/>
  <c r="N142" i="6"/>
  <c r="O142" i="6" s="1"/>
  <c r="P142" i="6"/>
  <c r="S142" i="6" s="1"/>
  <c r="T142" i="6" s="1"/>
  <c r="M143" i="6"/>
  <c r="U141" i="6"/>
  <c r="V141" i="6"/>
  <c r="N139" i="10"/>
  <c r="BL141" i="6"/>
  <c r="P139" i="10"/>
  <c r="Q139" i="10" s="1"/>
  <c r="O140" i="10"/>
  <c r="AQ136" i="6"/>
  <c r="AZ136" i="6" s="1"/>
  <c r="AO136" i="6" l="1"/>
  <c r="AN137" i="6"/>
  <c r="Z139" i="6"/>
  <c r="AK139" i="6"/>
  <c r="AM139" i="6" s="1"/>
  <c r="S139" i="10"/>
  <c r="T139" i="10" s="1"/>
  <c r="U139" i="10" s="1"/>
  <c r="W139" i="10" s="1"/>
  <c r="R139" i="10"/>
  <c r="X140" i="6"/>
  <c r="AJ140" i="6"/>
  <c r="AL140" i="6" s="1"/>
  <c r="AN138" i="6" s="1"/>
  <c r="W141" i="6"/>
  <c r="AH141" i="6"/>
  <c r="AI141" i="6" s="1"/>
  <c r="N143" i="6"/>
  <c r="O143" i="6" s="1"/>
  <c r="P143" i="6"/>
  <c r="S143" i="6" s="1"/>
  <c r="T143" i="6" s="1"/>
  <c r="M144" i="6"/>
  <c r="V142" i="6"/>
  <c r="U142" i="6"/>
  <c r="AY137" i="6"/>
  <c r="AY136" i="6"/>
  <c r="N140" i="10"/>
  <c r="BL142" i="6"/>
  <c r="AQ137" i="6"/>
  <c r="AZ137" i="6" s="1"/>
  <c r="O141" i="10"/>
  <c r="P140" i="10"/>
  <c r="Q140" i="10" s="1"/>
  <c r="AO137" i="6" l="1"/>
  <c r="Z140" i="6"/>
  <c r="AK140" i="6"/>
  <c r="AM140" i="6" s="1"/>
  <c r="S140" i="10"/>
  <c r="T140" i="10" s="1"/>
  <c r="U140" i="10" s="1"/>
  <c r="W140" i="10" s="1"/>
  <c r="R140" i="10"/>
  <c r="X141" i="6"/>
  <c r="AJ141" i="6"/>
  <c r="AL141" i="6" s="1"/>
  <c r="W142" i="6"/>
  <c r="AH142" i="6"/>
  <c r="AI142" i="6" s="1"/>
  <c r="P144" i="6"/>
  <c r="S144" i="6" s="1"/>
  <c r="T144" i="6" s="1"/>
  <c r="N144" i="6"/>
  <c r="O144" i="6" s="1"/>
  <c r="M145" i="6"/>
  <c r="V143" i="6"/>
  <c r="U143" i="6"/>
  <c r="N141" i="10"/>
  <c r="BL143" i="6"/>
  <c r="P141" i="10"/>
  <c r="Q141" i="10" s="1"/>
  <c r="O142" i="10"/>
  <c r="AO138" i="6" l="1"/>
  <c r="AN139" i="6"/>
  <c r="Z141" i="6"/>
  <c r="AK141" i="6"/>
  <c r="AM141" i="6" s="1"/>
  <c r="S141" i="10"/>
  <c r="T141" i="10" s="1"/>
  <c r="U141" i="10" s="1"/>
  <c r="W141" i="10" s="1"/>
  <c r="R141" i="10"/>
  <c r="X142" i="6"/>
  <c r="AJ142" i="6"/>
  <c r="AL142" i="6" s="1"/>
  <c r="AN140" i="6" s="1"/>
  <c r="W143" i="6"/>
  <c r="AH143" i="6"/>
  <c r="AI143" i="6" s="1"/>
  <c r="P145" i="6"/>
  <c r="S145" i="6" s="1"/>
  <c r="T145" i="6" s="1"/>
  <c r="N145" i="6"/>
  <c r="O145" i="6" s="1"/>
  <c r="M146" i="6"/>
  <c r="U144" i="6"/>
  <c r="V144" i="6"/>
  <c r="AY138" i="6"/>
  <c r="N142" i="10"/>
  <c r="BL144" i="6"/>
  <c r="AQ139" i="6"/>
  <c r="AZ139" i="6" s="1"/>
  <c r="AQ138" i="6"/>
  <c r="AZ138" i="6" s="1"/>
  <c r="P142" i="10"/>
  <c r="Q142" i="10" s="1"/>
  <c r="O143" i="10"/>
  <c r="AO139" i="6" l="1"/>
  <c r="Z142" i="6"/>
  <c r="AK142" i="6"/>
  <c r="AM142" i="6" s="1"/>
  <c r="AO140" i="6" s="1"/>
  <c r="S142" i="10"/>
  <c r="T142" i="10" s="1"/>
  <c r="U142" i="10" s="1"/>
  <c r="W142" i="10" s="1"/>
  <c r="R142" i="10"/>
  <c r="X143" i="6"/>
  <c r="AJ143" i="6"/>
  <c r="AL143" i="6" s="1"/>
  <c r="W144" i="6"/>
  <c r="AH144" i="6"/>
  <c r="AI144" i="6" s="1"/>
  <c r="N146" i="6"/>
  <c r="O146" i="6" s="1"/>
  <c r="P146" i="6"/>
  <c r="S146" i="6" s="1"/>
  <c r="T146" i="6" s="1"/>
  <c r="M147" i="6"/>
  <c r="U145" i="6"/>
  <c r="V145" i="6"/>
  <c r="AY139" i="6"/>
  <c r="AY140" i="6"/>
  <c r="N143" i="10"/>
  <c r="BL145" i="6"/>
  <c r="O144" i="10"/>
  <c r="P143" i="10"/>
  <c r="Q143" i="10" s="1"/>
  <c r="AQ140" i="6"/>
  <c r="AZ140" i="6" s="1"/>
  <c r="AN141" i="6" l="1"/>
  <c r="Z143" i="6"/>
  <c r="AK143" i="6"/>
  <c r="AM143" i="6" s="1"/>
  <c r="S143" i="10"/>
  <c r="T143" i="10" s="1"/>
  <c r="U143" i="10" s="1"/>
  <c r="W143" i="10" s="1"/>
  <c r="R143" i="10"/>
  <c r="X144" i="6"/>
  <c r="AJ144" i="6"/>
  <c r="AL144" i="6" s="1"/>
  <c r="W145" i="6"/>
  <c r="AH145" i="6"/>
  <c r="AI145" i="6" s="1"/>
  <c r="N147" i="6"/>
  <c r="O147" i="6" s="1"/>
  <c r="P147" i="6"/>
  <c r="S147" i="6" s="1"/>
  <c r="T147" i="6" s="1"/>
  <c r="M148" i="6"/>
  <c r="U146" i="6"/>
  <c r="V146" i="6"/>
  <c r="AY141" i="6"/>
  <c r="N144" i="10"/>
  <c r="BL146" i="6"/>
  <c r="AQ141" i="6"/>
  <c r="AZ141" i="6" s="1"/>
  <c r="P144" i="10"/>
  <c r="Q144" i="10" s="1"/>
  <c r="O145" i="10"/>
  <c r="AN142" i="6" l="1"/>
  <c r="AO141" i="6"/>
  <c r="Z144" i="6"/>
  <c r="AK144" i="6"/>
  <c r="AM144" i="6" s="1"/>
  <c r="S144" i="10"/>
  <c r="T144" i="10" s="1"/>
  <c r="U144" i="10" s="1"/>
  <c r="W144" i="10" s="1"/>
  <c r="R144" i="10"/>
  <c r="X145" i="6"/>
  <c r="AJ145" i="6"/>
  <c r="AL145" i="6" s="1"/>
  <c r="AN143" i="6" s="1"/>
  <c r="W146" i="6"/>
  <c r="AH146" i="6"/>
  <c r="AI146" i="6" s="1"/>
  <c r="N148" i="6"/>
  <c r="O148" i="6" s="1"/>
  <c r="P148" i="6"/>
  <c r="S148" i="6" s="1"/>
  <c r="T148" i="6" s="1"/>
  <c r="M149" i="6"/>
  <c r="U147" i="6"/>
  <c r="V147" i="6"/>
  <c r="AY142" i="6"/>
  <c r="N145" i="10"/>
  <c r="BL147" i="6"/>
  <c r="AQ142" i="6"/>
  <c r="AZ142" i="6" s="1"/>
  <c r="O146" i="10"/>
  <c r="P145" i="10"/>
  <c r="Q145" i="10" s="1"/>
  <c r="AO142" i="6" l="1"/>
  <c r="Z145" i="6"/>
  <c r="AK145" i="6"/>
  <c r="AM145" i="6" s="1"/>
  <c r="S145" i="10"/>
  <c r="T145" i="10" s="1"/>
  <c r="U145" i="10" s="1"/>
  <c r="W145" i="10" s="1"/>
  <c r="R145" i="10"/>
  <c r="X146" i="6"/>
  <c r="AJ146" i="6"/>
  <c r="AL146" i="6" s="1"/>
  <c r="W147" i="6"/>
  <c r="AH147" i="6"/>
  <c r="AI147" i="6" s="1"/>
  <c r="P149" i="6"/>
  <c r="S149" i="6" s="1"/>
  <c r="T149" i="6" s="1"/>
  <c r="N149" i="6"/>
  <c r="O149" i="6" s="1"/>
  <c r="M150" i="6"/>
  <c r="U148" i="6"/>
  <c r="V148" i="6"/>
  <c r="AY143" i="6"/>
  <c r="N146" i="10"/>
  <c r="BL148" i="6"/>
  <c r="AQ143" i="6"/>
  <c r="AZ143" i="6" s="1"/>
  <c r="P146" i="10"/>
  <c r="Q146" i="10" s="1"/>
  <c r="O147" i="10"/>
  <c r="AN144" i="6" l="1"/>
  <c r="AO143" i="6"/>
  <c r="Z146" i="6"/>
  <c r="AK146" i="6"/>
  <c r="AM146" i="6" s="1"/>
  <c r="AO144" i="6" s="1"/>
  <c r="S146" i="10"/>
  <c r="T146" i="10" s="1"/>
  <c r="U146" i="10" s="1"/>
  <c r="W146" i="10" s="1"/>
  <c r="R146" i="10"/>
  <c r="X147" i="6"/>
  <c r="AJ147" i="6"/>
  <c r="AL147" i="6" s="1"/>
  <c r="W148" i="6"/>
  <c r="AH148" i="6"/>
  <c r="AI148" i="6" s="1"/>
  <c r="P150" i="6"/>
  <c r="S150" i="6" s="1"/>
  <c r="T150" i="6" s="1"/>
  <c r="N150" i="6"/>
  <c r="O150" i="6" s="1"/>
  <c r="M151" i="6"/>
  <c r="U149" i="6"/>
  <c r="V149" i="6"/>
  <c r="N147" i="10"/>
  <c r="BL149" i="6"/>
  <c r="O148" i="10"/>
  <c r="P147" i="10"/>
  <c r="Q147" i="10" s="1"/>
  <c r="AQ144" i="6"/>
  <c r="AZ144" i="6" s="1"/>
  <c r="AN145" i="6" l="1"/>
  <c r="Z147" i="6"/>
  <c r="AK147" i="6"/>
  <c r="AM147" i="6" s="1"/>
  <c r="S147" i="10"/>
  <c r="T147" i="10" s="1"/>
  <c r="U147" i="10" s="1"/>
  <c r="W147" i="10" s="1"/>
  <c r="R147" i="10"/>
  <c r="X148" i="6"/>
  <c r="AJ148" i="6"/>
  <c r="AL148" i="6" s="1"/>
  <c r="W149" i="6"/>
  <c r="AH149" i="6"/>
  <c r="AI149" i="6" s="1"/>
  <c r="P151" i="6"/>
  <c r="S151" i="6" s="1"/>
  <c r="T151" i="6" s="1"/>
  <c r="N151" i="6"/>
  <c r="O151" i="6" s="1"/>
  <c r="M152" i="6"/>
  <c r="U150" i="6"/>
  <c r="V150" i="6"/>
  <c r="AY144" i="6"/>
  <c r="N148" i="10"/>
  <c r="BL150" i="6"/>
  <c r="AQ145" i="6"/>
  <c r="AZ145" i="6" s="1"/>
  <c r="O149" i="10"/>
  <c r="P148" i="10"/>
  <c r="Q148" i="10" s="1"/>
  <c r="AN146" i="6" l="1"/>
  <c r="AO145" i="6"/>
  <c r="Z148" i="6"/>
  <c r="AK148" i="6"/>
  <c r="AM148" i="6" s="1"/>
  <c r="AO146" i="6" s="1"/>
  <c r="S148" i="10"/>
  <c r="T148" i="10" s="1"/>
  <c r="U148" i="10" s="1"/>
  <c r="W148" i="10" s="1"/>
  <c r="R148" i="10"/>
  <c r="X149" i="6"/>
  <c r="AJ149" i="6"/>
  <c r="AL149" i="6" s="1"/>
  <c r="AN147" i="6" s="1"/>
  <c r="W150" i="6"/>
  <c r="AH150" i="6"/>
  <c r="AI150" i="6" s="1"/>
  <c r="N152" i="6"/>
  <c r="O152" i="6" s="1"/>
  <c r="P152" i="6"/>
  <c r="S152" i="6" s="1"/>
  <c r="T152" i="6" s="1"/>
  <c r="M153" i="6"/>
  <c r="U151" i="6"/>
  <c r="V151" i="6"/>
  <c r="AY146" i="6"/>
  <c r="AY145" i="6"/>
  <c r="N149" i="10"/>
  <c r="BL151" i="6"/>
  <c r="AQ146" i="6"/>
  <c r="AZ146" i="6" s="1"/>
  <c r="P149" i="10"/>
  <c r="Q149" i="10" s="1"/>
  <c r="O150" i="10"/>
  <c r="Z149" i="6" l="1"/>
  <c r="AK149" i="6"/>
  <c r="AM149" i="6" s="1"/>
  <c r="AO147" i="6" s="1"/>
  <c r="S149" i="10"/>
  <c r="T149" i="10" s="1"/>
  <c r="U149" i="10" s="1"/>
  <c r="W149" i="10" s="1"/>
  <c r="R149" i="10"/>
  <c r="X150" i="6"/>
  <c r="AJ150" i="6"/>
  <c r="AL150" i="6" s="1"/>
  <c r="W151" i="6"/>
  <c r="AH151" i="6"/>
  <c r="AI151" i="6" s="1"/>
  <c r="N153" i="6"/>
  <c r="O153" i="6" s="1"/>
  <c r="P153" i="6"/>
  <c r="S153" i="6" s="1"/>
  <c r="T153" i="6" s="1"/>
  <c r="M154" i="6"/>
  <c r="U152" i="6"/>
  <c r="V152" i="6"/>
  <c r="AY147" i="6"/>
  <c r="N150" i="10"/>
  <c r="BL152" i="6"/>
  <c r="AQ147" i="6"/>
  <c r="AZ147" i="6" s="1"/>
  <c r="O151" i="10"/>
  <c r="P150" i="10"/>
  <c r="Q150" i="10" s="1"/>
  <c r="AN148" i="6" l="1"/>
  <c r="Z150" i="6"/>
  <c r="AK150" i="6"/>
  <c r="AM150" i="6" s="1"/>
  <c r="S150" i="10"/>
  <c r="T150" i="10" s="1"/>
  <c r="U150" i="10" s="1"/>
  <c r="W150" i="10" s="1"/>
  <c r="R150" i="10"/>
  <c r="X151" i="6"/>
  <c r="AJ151" i="6"/>
  <c r="AL151" i="6" s="1"/>
  <c r="W152" i="6"/>
  <c r="AH152" i="6"/>
  <c r="AI152" i="6" s="1"/>
  <c r="P154" i="6"/>
  <c r="S154" i="6" s="1"/>
  <c r="T154" i="6" s="1"/>
  <c r="N154" i="6"/>
  <c r="O154" i="6" s="1"/>
  <c r="M155" i="6"/>
  <c r="U153" i="6"/>
  <c r="V153" i="6"/>
  <c r="N151" i="10"/>
  <c r="BL153" i="6"/>
  <c r="O152" i="10"/>
  <c r="P151" i="10"/>
  <c r="Q151" i="10" s="1"/>
  <c r="AO148" i="6" l="1"/>
  <c r="AN149" i="6"/>
  <c r="Z151" i="6"/>
  <c r="AK151" i="6"/>
  <c r="AM151" i="6" s="1"/>
  <c r="S151" i="10"/>
  <c r="T151" i="10" s="1"/>
  <c r="U151" i="10" s="1"/>
  <c r="W151" i="10" s="1"/>
  <c r="R151" i="10"/>
  <c r="X152" i="6"/>
  <c r="AJ152" i="6"/>
  <c r="AL152" i="6" s="1"/>
  <c r="W153" i="6"/>
  <c r="AH153" i="6"/>
  <c r="AI153" i="6" s="1"/>
  <c r="P155" i="6"/>
  <c r="S155" i="6" s="1"/>
  <c r="T155" i="6" s="1"/>
  <c r="N155" i="6"/>
  <c r="O155" i="6" s="1"/>
  <c r="M156" i="6"/>
  <c r="U154" i="6"/>
  <c r="V154" i="6"/>
  <c r="AY148" i="6"/>
  <c r="BL154" i="6"/>
  <c r="AQ148" i="6"/>
  <c r="AZ148" i="6" s="1"/>
  <c r="N152" i="10"/>
  <c r="O153" i="10"/>
  <c r="P152" i="10"/>
  <c r="Q152" i="10" s="1"/>
  <c r="AO149" i="6" l="1"/>
  <c r="AN150" i="6"/>
  <c r="Z152" i="6"/>
  <c r="AK152" i="6"/>
  <c r="AM152" i="6" s="1"/>
  <c r="S152" i="10"/>
  <c r="T152" i="10" s="1"/>
  <c r="U152" i="10" s="1"/>
  <c r="W152" i="10" s="1"/>
  <c r="R152" i="10"/>
  <c r="X153" i="6"/>
  <c r="AJ153" i="6"/>
  <c r="AL153" i="6" s="1"/>
  <c r="W154" i="6"/>
  <c r="AH154" i="6"/>
  <c r="AI154" i="6" s="1"/>
  <c r="N156" i="6"/>
  <c r="O156" i="6" s="1"/>
  <c r="P156" i="6"/>
  <c r="S156" i="6" s="1"/>
  <c r="T156" i="6" s="1"/>
  <c r="M157" i="6"/>
  <c r="U155" i="6"/>
  <c r="V155" i="6"/>
  <c r="N153" i="10"/>
  <c r="BL155" i="6"/>
  <c r="AQ149" i="6"/>
  <c r="AZ149" i="6" s="1"/>
  <c r="AQ150" i="6"/>
  <c r="AZ150" i="6" s="1"/>
  <c r="P153" i="10"/>
  <c r="Q153" i="10" s="1"/>
  <c r="O154" i="10"/>
  <c r="AN151" i="6" l="1"/>
  <c r="AO150" i="6"/>
  <c r="Z153" i="6"/>
  <c r="AK153" i="6"/>
  <c r="AM153" i="6" s="1"/>
  <c r="S153" i="10"/>
  <c r="T153" i="10" s="1"/>
  <c r="U153" i="10" s="1"/>
  <c r="W153" i="10" s="1"/>
  <c r="R153" i="10"/>
  <c r="X154" i="6"/>
  <c r="AJ154" i="6"/>
  <c r="AL154" i="6" s="1"/>
  <c r="AN152" i="6" s="1"/>
  <c r="W155" i="6"/>
  <c r="AH155" i="6"/>
  <c r="AI155" i="6" s="1"/>
  <c r="N157" i="6"/>
  <c r="O157" i="6" s="1"/>
  <c r="P157" i="6"/>
  <c r="S157" i="6" s="1"/>
  <c r="T157" i="6" s="1"/>
  <c r="M158" i="6"/>
  <c r="U156" i="6"/>
  <c r="V156" i="6"/>
  <c r="AY150" i="6"/>
  <c r="AY151" i="6"/>
  <c r="AY149" i="6"/>
  <c r="N154" i="10"/>
  <c r="AQ151" i="6"/>
  <c r="AZ151" i="6" s="1"/>
  <c r="P154" i="10"/>
  <c r="Q154" i="10" s="1"/>
  <c r="O155" i="10"/>
  <c r="AO151" i="6" l="1"/>
  <c r="Z154" i="6"/>
  <c r="AK154" i="6"/>
  <c r="AM154" i="6" s="1"/>
  <c r="S154" i="10"/>
  <c r="T154" i="10" s="1"/>
  <c r="U154" i="10" s="1"/>
  <c r="W154" i="10" s="1"/>
  <c r="R154" i="10"/>
  <c r="X155" i="6"/>
  <c r="AJ155" i="6"/>
  <c r="AL155" i="6" s="1"/>
  <c r="W156" i="6"/>
  <c r="AH156" i="6"/>
  <c r="AI156" i="6" s="1"/>
  <c r="N158" i="6"/>
  <c r="O158" i="6" s="1"/>
  <c r="P158" i="6"/>
  <c r="S158" i="6" s="1"/>
  <c r="T158" i="6" s="1"/>
  <c r="M159" i="6"/>
  <c r="U157" i="6"/>
  <c r="V157" i="6"/>
  <c r="N155" i="10"/>
  <c r="P155" i="10"/>
  <c r="Q155" i="10" s="1"/>
  <c r="O156" i="10"/>
  <c r="AO152" i="6" l="1"/>
  <c r="AN153" i="6"/>
  <c r="Z155" i="6"/>
  <c r="AK155" i="6"/>
  <c r="AM155" i="6" s="1"/>
  <c r="AO153" i="6" s="1"/>
  <c r="S155" i="10"/>
  <c r="T155" i="10" s="1"/>
  <c r="U155" i="10" s="1"/>
  <c r="W155" i="10" s="1"/>
  <c r="R155" i="10"/>
  <c r="X156" i="6"/>
  <c r="AJ156" i="6"/>
  <c r="AL156" i="6" s="1"/>
  <c r="AN154" i="6" s="1"/>
  <c r="W157" i="6"/>
  <c r="AH157" i="6"/>
  <c r="AI157" i="6" s="1"/>
  <c r="P159" i="6"/>
  <c r="S159" i="6" s="1"/>
  <c r="T159" i="6" s="1"/>
  <c r="N159" i="6"/>
  <c r="O159" i="6" s="1"/>
  <c r="M160" i="6"/>
  <c r="V158" i="6"/>
  <c r="U158" i="6"/>
  <c r="AY152" i="6"/>
  <c r="AY153" i="6"/>
  <c r="N156" i="10"/>
  <c r="AQ153" i="6"/>
  <c r="AZ153" i="6" s="1"/>
  <c r="AQ152" i="6"/>
  <c r="AZ152" i="6" s="1"/>
  <c r="P156" i="10"/>
  <c r="Q156" i="10" s="1"/>
  <c r="O157" i="10"/>
  <c r="Z156" i="6" l="1"/>
  <c r="AK156" i="6"/>
  <c r="AM156" i="6" s="1"/>
  <c r="S156" i="10"/>
  <c r="T156" i="10" s="1"/>
  <c r="U156" i="10" s="1"/>
  <c r="W156" i="10" s="1"/>
  <c r="R156" i="10"/>
  <c r="X157" i="6"/>
  <c r="AJ157" i="6"/>
  <c r="AL157" i="6" s="1"/>
  <c r="W158" i="6"/>
  <c r="AH158" i="6"/>
  <c r="AI158" i="6" s="1"/>
  <c r="N160" i="6"/>
  <c r="O160" i="6" s="1"/>
  <c r="P160" i="6"/>
  <c r="S160" i="6" s="1"/>
  <c r="T160" i="6" s="1"/>
  <c r="M161" i="6"/>
  <c r="U159" i="6"/>
  <c r="V159" i="6"/>
  <c r="AY154" i="6"/>
  <c r="N157" i="10"/>
  <c r="O158" i="10"/>
  <c r="P157" i="10"/>
  <c r="Q157" i="10" s="1"/>
  <c r="AQ154" i="6"/>
  <c r="AZ154" i="6" s="1"/>
  <c r="AO154" i="6" l="1"/>
  <c r="AN155" i="6"/>
  <c r="Z157" i="6"/>
  <c r="AK157" i="6"/>
  <c r="AM157" i="6" s="1"/>
  <c r="S157" i="10"/>
  <c r="T157" i="10" s="1"/>
  <c r="U157" i="10" s="1"/>
  <c r="W157" i="10" s="1"/>
  <c r="R157" i="10"/>
  <c r="X158" i="6"/>
  <c r="AJ158" i="6"/>
  <c r="AL158" i="6" s="1"/>
  <c r="W159" i="6"/>
  <c r="AH159" i="6"/>
  <c r="AI159" i="6" s="1"/>
  <c r="N161" i="6"/>
  <c r="O161" i="6" s="1"/>
  <c r="P161" i="6"/>
  <c r="S161" i="6" s="1"/>
  <c r="T161" i="6" s="1"/>
  <c r="M162" i="6"/>
  <c r="U160" i="6"/>
  <c r="V160" i="6"/>
  <c r="N158" i="10"/>
  <c r="P158" i="10"/>
  <c r="Q158" i="10" s="1"/>
  <c r="O159" i="10"/>
  <c r="AO155" i="6" l="1"/>
  <c r="AN156" i="6"/>
  <c r="Z158" i="6"/>
  <c r="AK158" i="6"/>
  <c r="AM158" i="6" s="1"/>
  <c r="S158" i="10"/>
  <c r="T158" i="10" s="1"/>
  <c r="U158" i="10" s="1"/>
  <c r="W158" i="10" s="1"/>
  <c r="R158" i="10"/>
  <c r="X159" i="6"/>
  <c r="AJ159" i="6"/>
  <c r="AL159" i="6" s="1"/>
  <c r="W160" i="6"/>
  <c r="AH160" i="6"/>
  <c r="AI160" i="6" s="1"/>
  <c r="N162" i="6"/>
  <c r="O162" i="6" s="1"/>
  <c r="P162" i="6"/>
  <c r="S162" i="6" s="1"/>
  <c r="T162" i="6" s="1"/>
  <c r="M163" i="6"/>
  <c r="U161" i="6"/>
  <c r="V161" i="6"/>
  <c r="AY155" i="6"/>
  <c r="N159" i="10"/>
  <c r="AQ155" i="6"/>
  <c r="AZ155" i="6" s="1"/>
  <c r="AQ156" i="6"/>
  <c r="AZ156" i="6" s="1"/>
  <c r="P159" i="10"/>
  <c r="Q159" i="10" s="1"/>
  <c r="O160" i="10"/>
  <c r="AN157" i="6" l="1"/>
  <c r="AO156" i="6"/>
  <c r="Z159" i="6"/>
  <c r="AK159" i="6"/>
  <c r="AM159" i="6" s="1"/>
  <c r="AO157" i="6" s="1"/>
  <c r="S159" i="10"/>
  <c r="T159" i="10" s="1"/>
  <c r="U159" i="10" s="1"/>
  <c r="W159" i="10" s="1"/>
  <c r="R159" i="10"/>
  <c r="X160" i="6"/>
  <c r="AJ160" i="6"/>
  <c r="AL160" i="6" s="1"/>
  <c r="AN158" i="6" s="1"/>
  <c r="W161" i="6"/>
  <c r="AH161" i="6"/>
  <c r="AI161" i="6" s="1"/>
  <c r="N163" i="6"/>
  <c r="O163" i="6" s="1"/>
  <c r="P163" i="6"/>
  <c r="S163" i="6" s="1"/>
  <c r="T163" i="6" s="1"/>
  <c r="M164" i="6"/>
  <c r="U162" i="6"/>
  <c r="V162" i="6"/>
  <c r="AY157" i="6"/>
  <c r="AY156" i="6"/>
  <c r="N160" i="10"/>
  <c r="O161" i="10"/>
  <c r="P160" i="10"/>
  <c r="Q160" i="10" s="1"/>
  <c r="AQ157" i="6"/>
  <c r="AZ157" i="6" s="1"/>
  <c r="Z160" i="6" l="1"/>
  <c r="AK160" i="6"/>
  <c r="AM160" i="6" s="1"/>
  <c r="AO158" i="6" s="1"/>
  <c r="S160" i="10"/>
  <c r="T160" i="10" s="1"/>
  <c r="U160" i="10" s="1"/>
  <c r="W160" i="10" s="1"/>
  <c r="R160" i="10"/>
  <c r="X161" i="6"/>
  <c r="AJ161" i="6"/>
  <c r="AL161" i="6" s="1"/>
  <c r="W162" i="6"/>
  <c r="AH162" i="6"/>
  <c r="AI162" i="6" s="1"/>
  <c r="N164" i="6"/>
  <c r="O164" i="6" s="1"/>
  <c r="P164" i="6"/>
  <c r="S164" i="6" s="1"/>
  <c r="T164" i="6" s="1"/>
  <c r="M165" i="6"/>
  <c r="U163" i="6"/>
  <c r="V163" i="6"/>
  <c r="N161" i="10"/>
  <c r="AQ158" i="6"/>
  <c r="AZ158" i="6" s="1"/>
  <c r="P161" i="10"/>
  <c r="Q161" i="10" s="1"/>
  <c r="O162" i="10"/>
  <c r="AN159" i="6" l="1"/>
  <c r="Z161" i="6"/>
  <c r="AK161" i="6"/>
  <c r="AM161" i="6" s="1"/>
  <c r="S161" i="10"/>
  <c r="T161" i="10" s="1"/>
  <c r="U161" i="10" s="1"/>
  <c r="W161" i="10" s="1"/>
  <c r="R161" i="10"/>
  <c r="X162" i="6"/>
  <c r="AJ162" i="6"/>
  <c r="AL162" i="6" s="1"/>
  <c r="W163" i="6"/>
  <c r="AH163" i="6"/>
  <c r="AI163" i="6" s="1"/>
  <c r="N165" i="6"/>
  <c r="O165" i="6" s="1"/>
  <c r="P165" i="6"/>
  <c r="S165" i="6" s="1"/>
  <c r="T165" i="6" s="1"/>
  <c r="M166" i="6"/>
  <c r="U164" i="6"/>
  <c r="V164" i="6"/>
  <c r="AY158" i="6"/>
  <c r="N162" i="10"/>
  <c r="O163" i="10"/>
  <c r="P162" i="10"/>
  <c r="Q162" i="10" s="1"/>
  <c r="AO159" i="6" l="1"/>
  <c r="AN160" i="6"/>
  <c r="Z162" i="6"/>
  <c r="AK162" i="6"/>
  <c r="AM162" i="6" s="1"/>
  <c r="S162" i="10"/>
  <c r="T162" i="10" s="1"/>
  <c r="U162" i="10" s="1"/>
  <c r="W162" i="10" s="1"/>
  <c r="R162" i="10"/>
  <c r="X163" i="6"/>
  <c r="AJ163" i="6"/>
  <c r="AL163" i="6" s="1"/>
  <c r="AN161" i="6" s="1"/>
  <c r="W164" i="6"/>
  <c r="AH164" i="6"/>
  <c r="AI164" i="6" s="1"/>
  <c r="P166" i="6"/>
  <c r="S166" i="6" s="1"/>
  <c r="T166" i="6" s="1"/>
  <c r="N166" i="6"/>
  <c r="O166" i="6" s="1"/>
  <c r="M167" i="6"/>
  <c r="U165" i="6"/>
  <c r="V165" i="6"/>
  <c r="N163" i="10"/>
  <c r="AY160" i="6"/>
  <c r="AQ159" i="6"/>
  <c r="AZ159" i="6" s="1"/>
  <c r="AQ160" i="6"/>
  <c r="AZ160" i="6" s="1"/>
  <c r="O164" i="10"/>
  <c r="P163" i="10"/>
  <c r="Q163" i="10" s="1"/>
  <c r="AO160" i="6" l="1"/>
  <c r="Z163" i="6"/>
  <c r="AK163" i="6"/>
  <c r="AM163" i="6" s="1"/>
  <c r="AO161" i="6" s="1"/>
  <c r="S163" i="10"/>
  <c r="T163" i="10" s="1"/>
  <c r="U163" i="10" s="1"/>
  <c r="W163" i="10" s="1"/>
  <c r="R163" i="10"/>
  <c r="X164" i="6"/>
  <c r="AJ164" i="6"/>
  <c r="AL164" i="6" s="1"/>
  <c r="W165" i="6"/>
  <c r="AH165" i="6"/>
  <c r="AI165" i="6" s="1"/>
  <c r="N167" i="6"/>
  <c r="O167" i="6" s="1"/>
  <c r="P167" i="6"/>
  <c r="S167" i="6" s="1"/>
  <c r="T167" i="6" s="1"/>
  <c r="M168" i="6"/>
  <c r="U166" i="6"/>
  <c r="V166" i="6"/>
  <c r="AY161" i="6"/>
  <c r="AY159" i="6"/>
  <c r="N164" i="10"/>
  <c r="AQ161" i="6"/>
  <c r="AZ161" i="6" s="1"/>
  <c r="P164" i="10"/>
  <c r="Q164" i="10" s="1"/>
  <c r="O165" i="10"/>
  <c r="AN162" i="6" l="1"/>
  <c r="Z164" i="6"/>
  <c r="AK164" i="6"/>
  <c r="AM164" i="6" s="1"/>
  <c r="S164" i="10"/>
  <c r="T164" i="10" s="1"/>
  <c r="U164" i="10" s="1"/>
  <c r="W164" i="10" s="1"/>
  <c r="R164" i="10"/>
  <c r="X165" i="6"/>
  <c r="AJ165" i="6"/>
  <c r="AL165" i="6" s="1"/>
  <c r="W166" i="6"/>
  <c r="AH166" i="6"/>
  <c r="AI166" i="6" s="1"/>
  <c r="P168" i="6"/>
  <c r="S168" i="6" s="1"/>
  <c r="T168" i="6" s="1"/>
  <c r="N168" i="6"/>
  <c r="O168" i="6" s="1"/>
  <c r="M169" i="6"/>
  <c r="U167" i="6"/>
  <c r="V167" i="6"/>
  <c r="AY162" i="6"/>
  <c r="N165" i="10"/>
  <c r="AQ162" i="6"/>
  <c r="AZ162" i="6" s="1"/>
  <c r="O166" i="10"/>
  <c r="P165" i="10"/>
  <c r="Q165" i="10" s="1"/>
  <c r="AN163" i="6" l="1"/>
  <c r="AO162" i="6"/>
  <c r="Z165" i="6"/>
  <c r="AK165" i="6"/>
  <c r="AM165" i="6" s="1"/>
  <c r="S165" i="10"/>
  <c r="T165" i="10" s="1"/>
  <c r="U165" i="10" s="1"/>
  <c r="W165" i="10" s="1"/>
  <c r="R165" i="10"/>
  <c r="X166" i="6"/>
  <c r="AJ166" i="6"/>
  <c r="AL166" i="6" s="1"/>
  <c r="W167" i="6"/>
  <c r="AH167" i="6"/>
  <c r="AI167" i="6" s="1"/>
  <c r="N169" i="6"/>
  <c r="O169" i="6" s="1"/>
  <c r="P169" i="6"/>
  <c r="S169" i="6" s="1"/>
  <c r="T169" i="6" s="1"/>
  <c r="M170" i="6"/>
  <c r="U168" i="6"/>
  <c r="V168" i="6"/>
  <c r="AY163" i="6"/>
  <c r="N166" i="10"/>
  <c r="AQ163" i="6"/>
  <c r="AZ163" i="6" s="1"/>
  <c r="O167" i="10"/>
  <c r="P166" i="10"/>
  <c r="Q166" i="10" s="1"/>
  <c r="AN164" i="6" l="1"/>
  <c r="AO163" i="6"/>
  <c r="Z166" i="6"/>
  <c r="AK166" i="6"/>
  <c r="AM166" i="6" s="1"/>
  <c r="S166" i="10"/>
  <c r="T166" i="10" s="1"/>
  <c r="U166" i="10" s="1"/>
  <c r="W166" i="10" s="1"/>
  <c r="R166" i="10"/>
  <c r="X167" i="6"/>
  <c r="AJ167" i="6"/>
  <c r="AL167" i="6" s="1"/>
  <c r="W168" i="6"/>
  <c r="AH168" i="6"/>
  <c r="AI168" i="6" s="1"/>
  <c r="P170" i="6"/>
  <c r="S170" i="6" s="1"/>
  <c r="T170" i="6" s="1"/>
  <c r="N170" i="6"/>
  <c r="O170" i="6" s="1"/>
  <c r="M171" i="6"/>
  <c r="U169" i="6"/>
  <c r="V169" i="6"/>
  <c r="AY164" i="6"/>
  <c r="N167" i="10"/>
  <c r="AQ164" i="6"/>
  <c r="AZ164" i="6" s="1"/>
  <c r="O168" i="10"/>
  <c r="P167" i="10"/>
  <c r="Q167" i="10" s="1"/>
  <c r="AN165" i="6" l="1"/>
  <c r="AO164" i="6"/>
  <c r="Z167" i="6"/>
  <c r="AK167" i="6"/>
  <c r="AM167" i="6" s="1"/>
  <c r="AO165" i="6" s="1"/>
  <c r="S167" i="10"/>
  <c r="T167" i="10" s="1"/>
  <c r="U167" i="10" s="1"/>
  <c r="W167" i="10" s="1"/>
  <c r="R167" i="10"/>
  <c r="X168" i="6"/>
  <c r="AJ168" i="6"/>
  <c r="AL168" i="6" s="1"/>
  <c r="W169" i="6"/>
  <c r="AH169" i="6"/>
  <c r="AI169" i="6" s="1"/>
  <c r="N171" i="6"/>
  <c r="O171" i="6" s="1"/>
  <c r="P171" i="6"/>
  <c r="S171" i="6" s="1"/>
  <c r="T171" i="6" s="1"/>
  <c r="M172" i="6"/>
  <c r="U170" i="6"/>
  <c r="V170" i="6"/>
  <c r="AY165" i="6"/>
  <c r="AQ165" i="6"/>
  <c r="AZ165" i="6" s="1"/>
  <c r="N168" i="10"/>
  <c r="O169" i="10"/>
  <c r="P168" i="10"/>
  <c r="Q168" i="10" s="1"/>
  <c r="AN166" i="6" l="1"/>
  <c r="Z168" i="6"/>
  <c r="AK168" i="6"/>
  <c r="AM168" i="6" s="1"/>
  <c r="S168" i="10"/>
  <c r="T168" i="10" s="1"/>
  <c r="U168" i="10" s="1"/>
  <c r="W168" i="10" s="1"/>
  <c r="R168" i="10"/>
  <c r="X169" i="6"/>
  <c r="AJ169" i="6"/>
  <c r="AL169" i="6" s="1"/>
  <c r="W170" i="6"/>
  <c r="AH170" i="6"/>
  <c r="AI170" i="6" s="1"/>
  <c r="P172" i="6"/>
  <c r="S172" i="6" s="1"/>
  <c r="T172" i="6" s="1"/>
  <c r="N172" i="6"/>
  <c r="O172" i="6" s="1"/>
  <c r="M173" i="6"/>
  <c r="U171" i="6"/>
  <c r="V171" i="6"/>
  <c r="N169" i="10"/>
  <c r="AQ166" i="6"/>
  <c r="AZ166" i="6" s="1"/>
  <c r="P169" i="10"/>
  <c r="Q169" i="10" s="1"/>
  <c r="O170" i="10"/>
  <c r="AO166" i="6" l="1"/>
  <c r="AN167" i="6"/>
  <c r="Z169" i="6"/>
  <c r="AK169" i="6"/>
  <c r="AM169" i="6" s="1"/>
  <c r="AO167" i="6" s="1"/>
  <c r="S169" i="10"/>
  <c r="T169" i="10" s="1"/>
  <c r="U169" i="10" s="1"/>
  <c r="W169" i="10" s="1"/>
  <c r="R169" i="10"/>
  <c r="X170" i="6"/>
  <c r="AJ170" i="6"/>
  <c r="AL170" i="6" s="1"/>
  <c r="W171" i="6"/>
  <c r="AH171" i="6"/>
  <c r="AI171" i="6" s="1"/>
  <c r="N173" i="6"/>
  <c r="O173" i="6" s="1"/>
  <c r="P173" i="6"/>
  <c r="S173" i="6" s="1"/>
  <c r="T173" i="6" s="1"/>
  <c r="M174" i="6"/>
  <c r="U172" i="6"/>
  <c r="V172" i="6"/>
  <c r="AY166" i="6"/>
  <c r="AY167" i="6"/>
  <c r="AQ167" i="6"/>
  <c r="AZ167" i="6" s="1"/>
  <c r="N170" i="10"/>
  <c r="P170" i="10"/>
  <c r="Q170" i="10" s="1"/>
  <c r="O171" i="10"/>
  <c r="AN168" i="6" l="1"/>
  <c r="Z170" i="6"/>
  <c r="AK170" i="6"/>
  <c r="AM170" i="6" s="1"/>
  <c r="S170" i="10"/>
  <c r="T170" i="10" s="1"/>
  <c r="U170" i="10" s="1"/>
  <c r="W170" i="10" s="1"/>
  <c r="R170" i="10"/>
  <c r="X171" i="6"/>
  <c r="AJ171" i="6"/>
  <c r="AL171" i="6" s="1"/>
  <c r="W172" i="6"/>
  <c r="AH172" i="6"/>
  <c r="AI172" i="6" s="1"/>
  <c r="N174" i="6"/>
  <c r="O174" i="6" s="1"/>
  <c r="P174" i="6"/>
  <c r="S174" i="6" s="1"/>
  <c r="T174" i="6" s="1"/>
  <c r="M175" i="6"/>
  <c r="U173" i="6"/>
  <c r="V173" i="6"/>
  <c r="AY168" i="6"/>
  <c r="AQ168" i="6"/>
  <c r="AZ168" i="6" s="1"/>
  <c r="N171" i="10"/>
  <c r="P171" i="10"/>
  <c r="Q171" i="10" s="1"/>
  <c r="O172" i="10"/>
  <c r="AN169" i="6" l="1"/>
  <c r="AO168" i="6"/>
  <c r="Z171" i="6"/>
  <c r="AK171" i="6"/>
  <c r="AM171" i="6" s="1"/>
  <c r="S171" i="10"/>
  <c r="T171" i="10" s="1"/>
  <c r="U171" i="10" s="1"/>
  <c r="W171" i="10" s="1"/>
  <c r="R171" i="10"/>
  <c r="X172" i="6"/>
  <c r="AJ172" i="6"/>
  <c r="AL172" i="6" s="1"/>
  <c r="AN170" i="6" s="1"/>
  <c r="W173" i="6"/>
  <c r="AH173" i="6"/>
  <c r="AI173" i="6" s="1"/>
  <c r="N175" i="6"/>
  <c r="O175" i="6" s="1"/>
  <c r="P175" i="6"/>
  <c r="S175" i="6" s="1"/>
  <c r="T175" i="6" s="1"/>
  <c r="M176" i="6"/>
  <c r="U174" i="6"/>
  <c r="V174" i="6"/>
  <c r="AY169" i="6"/>
  <c r="AQ169" i="6"/>
  <c r="AZ169" i="6" s="1"/>
  <c r="N172" i="10"/>
  <c r="O173" i="10"/>
  <c r="P172" i="10"/>
  <c r="Q172" i="10" s="1"/>
  <c r="AO169" i="6" l="1"/>
  <c r="Z172" i="6"/>
  <c r="AK172" i="6"/>
  <c r="AM172" i="6" s="1"/>
  <c r="AO170" i="6" s="1"/>
  <c r="S172" i="10"/>
  <c r="T172" i="10" s="1"/>
  <c r="U172" i="10" s="1"/>
  <c r="W172" i="10" s="1"/>
  <c r="R172" i="10"/>
  <c r="X173" i="6"/>
  <c r="AJ173" i="6"/>
  <c r="AL173" i="6" s="1"/>
  <c r="W174" i="6"/>
  <c r="AH174" i="6"/>
  <c r="AI174" i="6" s="1"/>
  <c r="N176" i="6"/>
  <c r="O176" i="6" s="1"/>
  <c r="P176" i="6"/>
  <c r="S176" i="6" s="1"/>
  <c r="T176" i="6" s="1"/>
  <c r="M177" i="6"/>
  <c r="U175" i="6"/>
  <c r="V175" i="6"/>
  <c r="AQ170" i="6"/>
  <c r="AZ170" i="6" s="1"/>
  <c r="N173" i="10"/>
  <c r="P173" i="10"/>
  <c r="Q173" i="10" s="1"/>
  <c r="O174" i="10"/>
  <c r="AN171" i="6" l="1"/>
  <c r="Z173" i="6"/>
  <c r="AK173" i="6"/>
  <c r="AM173" i="6" s="1"/>
  <c r="AO171" i="6" s="1"/>
  <c r="S173" i="10"/>
  <c r="T173" i="10" s="1"/>
  <c r="U173" i="10" s="1"/>
  <c r="W173" i="10" s="1"/>
  <c r="R173" i="10"/>
  <c r="X174" i="6"/>
  <c r="AJ174" i="6"/>
  <c r="AL174" i="6" s="1"/>
  <c r="AN172" i="6" s="1"/>
  <c r="W175" i="6"/>
  <c r="AH175" i="6"/>
  <c r="AI175" i="6" s="1"/>
  <c r="N177" i="6"/>
  <c r="O177" i="6" s="1"/>
  <c r="P177" i="6"/>
  <c r="S177" i="6" s="1"/>
  <c r="T177" i="6" s="1"/>
  <c r="M178" i="6"/>
  <c r="U176" i="6"/>
  <c r="V176" i="6"/>
  <c r="AY170" i="6"/>
  <c r="N174" i="10"/>
  <c r="O175" i="10"/>
  <c r="P174" i="10"/>
  <c r="Q174" i="10" s="1"/>
  <c r="Z174" i="6" l="1"/>
  <c r="AK174" i="6"/>
  <c r="AM174" i="6" s="1"/>
  <c r="S174" i="10"/>
  <c r="T174" i="10" s="1"/>
  <c r="U174" i="10" s="1"/>
  <c r="W174" i="10" s="1"/>
  <c r="R174" i="10"/>
  <c r="X175" i="6"/>
  <c r="AJ175" i="6"/>
  <c r="AL175" i="6" s="1"/>
  <c r="W176" i="6"/>
  <c r="AH176" i="6"/>
  <c r="AI176" i="6" s="1"/>
  <c r="N178" i="6"/>
  <c r="O178" i="6" s="1"/>
  <c r="P178" i="6"/>
  <c r="S178" i="6" s="1"/>
  <c r="T178" i="6" s="1"/>
  <c r="M179" i="6"/>
  <c r="U177" i="6"/>
  <c r="V177" i="6"/>
  <c r="AY172" i="6"/>
  <c r="N175" i="10"/>
  <c r="AQ171" i="6"/>
  <c r="AZ171" i="6" s="1"/>
  <c r="P175" i="10"/>
  <c r="Q175" i="10" s="1"/>
  <c r="O176" i="10"/>
  <c r="AQ172" i="6"/>
  <c r="AZ172" i="6" s="1"/>
  <c r="AN173" i="6" l="1"/>
  <c r="AO172" i="6"/>
  <c r="Z175" i="6"/>
  <c r="AK175" i="6"/>
  <c r="AM175" i="6" s="1"/>
  <c r="AO173" i="6" s="1"/>
  <c r="S175" i="10"/>
  <c r="T175" i="10" s="1"/>
  <c r="U175" i="10" s="1"/>
  <c r="W175" i="10" s="1"/>
  <c r="R175" i="10"/>
  <c r="X176" i="6"/>
  <c r="AJ176" i="6"/>
  <c r="AL176" i="6" s="1"/>
  <c r="AN174" i="6" s="1"/>
  <c r="W177" i="6"/>
  <c r="AH177" i="6"/>
  <c r="AI177" i="6" s="1"/>
  <c r="N179" i="6"/>
  <c r="O179" i="6" s="1"/>
  <c r="P179" i="6"/>
  <c r="S179" i="6" s="1"/>
  <c r="T179" i="6" s="1"/>
  <c r="M180" i="6"/>
  <c r="U178" i="6"/>
  <c r="V178" i="6"/>
  <c r="AY171" i="6"/>
  <c r="AQ173" i="6"/>
  <c r="AZ173" i="6" s="1"/>
  <c r="N176" i="10"/>
  <c r="P176" i="10"/>
  <c r="Q176" i="10" s="1"/>
  <c r="O177" i="10"/>
  <c r="Z176" i="6" l="1"/>
  <c r="AK176" i="6"/>
  <c r="AM176" i="6" s="1"/>
  <c r="S176" i="10"/>
  <c r="T176" i="10" s="1"/>
  <c r="U176" i="10" s="1"/>
  <c r="W176" i="10" s="1"/>
  <c r="R176" i="10"/>
  <c r="X177" i="6"/>
  <c r="AJ177" i="6"/>
  <c r="AL177" i="6" s="1"/>
  <c r="W178" i="6"/>
  <c r="AH178" i="6"/>
  <c r="AI178" i="6" s="1"/>
  <c r="P180" i="6"/>
  <c r="S180" i="6" s="1"/>
  <c r="T180" i="6" s="1"/>
  <c r="N180" i="6"/>
  <c r="O180" i="6" s="1"/>
  <c r="M181" i="6"/>
  <c r="U179" i="6"/>
  <c r="V179" i="6"/>
  <c r="AY173" i="6"/>
  <c r="AY174" i="6"/>
  <c r="AQ174" i="6"/>
  <c r="AZ174" i="6" s="1"/>
  <c r="N177" i="10"/>
  <c r="O178" i="10"/>
  <c r="P177" i="10"/>
  <c r="Q177" i="10" s="1"/>
  <c r="AN175" i="6" l="1"/>
  <c r="AO174" i="6"/>
  <c r="Z177" i="6"/>
  <c r="AK177" i="6"/>
  <c r="AM177" i="6" s="1"/>
  <c r="AO175" i="6" s="1"/>
  <c r="S177" i="10"/>
  <c r="T177" i="10" s="1"/>
  <c r="U177" i="10" s="1"/>
  <c r="W177" i="10" s="1"/>
  <c r="R177" i="10"/>
  <c r="X178" i="6"/>
  <c r="AJ178" i="6"/>
  <c r="AL178" i="6" s="1"/>
  <c r="W179" i="6"/>
  <c r="AH179" i="6"/>
  <c r="AI179" i="6" s="1"/>
  <c r="N181" i="6"/>
  <c r="O181" i="6" s="1"/>
  <c r="P181" i="6"/>
  <c r="S181" i="6" s="1"/>
  <c r="T181" i="6" s="1"/>
  <c r="M182" i="6"/>
  <c r="U180" i="6"/>
  <c r="V180" i="6"/>
  <c r="AY175" i="6"/>
  <c r="AQ175" i="6"/>
  <c r="AZ175" i="6" s="1"/>
  <c r="N178" i="10"/>
  <c r="O179" i="10"/>
  <c r="P178" i="10"/>
  <c r="Q178" i="10" s="1"/>
  <c r="AN176" i="6" l="1"/>
  <c r="Z178" i="6"/>
  <c r="AK178" i="6"/>
  <c r="AM178" i="6" s="1"/>
  <c r="S178" i="10"/>
  <c r="T178" i="10" s="1"/>
  <c r="U178" i="10" s="1"/>
  <c r="W178" i="10" s="1"/>
  <c r="R178" i="10"/>
  <c r="X179" i="6"/>
  <c r="AJ179" i="6"/>
  <c r="AL179" i="6" s="1"/>
  <c r="W180" i="6"/>
  <c r="AH180" i="6"/>
  <c r="AI180" i="6" s="1"/>
  <c r="N182" i="6"/>
  <c r="O182" i="6" s="1"/>
  <c r="P182" i="6"/>
  <c r="S182" i="6" s="1"/>
  <c r="T182" i="6" s="1"/>
  <c r="M183" i="6"/>
  <c r="U181" i="6"/>
  <c r="V181" i="6"/>
  <c r="AY176" i="6"/>
  <c r="AQ176" i="6"/>
  <c r="AZ176" i="6" s="1"/>
  <c r="N179" i="10"/>
  <c r="P179" i="10"/>
  <c r="Q179" i="10" s="1"/>
  <c r="O180" i="10"/>
  <c r="AO176" i="6" l="1"/>
  <c r="AN177" i="6"/>
  <c r="Z179" i="6"/>
  <c r="AK179" i="6"/>
  <c r="AM179" i="6" s="1"/>
  <c r="S179" i="10"/>
  <c r="T179" i="10" s="1"/>
  <c r="U179" i="10" s="1"/>
  <c r="W179" i="10" s="1"/>
  <c r="R179" i="10"/>
  <c r="X180" i="6"/>
  <c r="AJ180" i="6"/>
  <c r="AL180" i="6" s="1"/>
  <c r="AN178" i="6" s="1"/>
  <c r="W181" i="6"/>
  <c r="AH181" i="6"/>
  <c r="AI181" i="6" s="1"/>
  <c r="N183" i="6"/>
  <c r="O183" i="6" s="1"/>
  <c r="P183" i="6"/>
  <c r="S183" i="6" s="1"/>
  <c r="T183" i="6" s="1"/>
  <c r="M184" i="6"/>
  <c r="U182" i="6"/>
  <c r="V182" i="6"/>
  <c r="N180" i="10"/>
  <c r="P180" i="10"/>
  <c r="Q180" i="10" s="1"/>
  <c r="O181" i="10"/>
  <c r="AQ177" i="6"/>
  <c r="AZ177" i="6" s="1"/>
  <c r="AO177" i="6" l="1"/>
  <c r="Z180" i="6"/>
  <c r="AK180" i="6"/>
  <c r="AM180" i="6" s="1"/>
  <c r="S180" i="10"/>
  <c r="T180" i="10" s="1"/>
  <c r="U180" i="10" s="1"/>
  <c r="W180" i="10" s="1"/>
  <c r="R180" i="10"/>
  <c r="X181" i="6"/>
  <c r="AJ181" i="6"/>
  <c r="AL181" i="6" s="1"/>
  <c r="W182" i="6"/>
  <c r="AH182" i="6"/>
  <c r="AI182" i="6" s="1"/>
  <c r="N184" i="6"/>
  <c r="O184" i="6" s="1"/>
  <c r="P184" i="6"/>
  <c r="S184" i="6" s="1"/>
  <c r="T184" i="6" s="1"/>
  <c r="M185" i="6"/>
  <c r="U183" i="6"/>
  <c r="V183" i="6"/>
  <c r="AY178" i="6"/>
  <c r="AY177" i="6"/>
  <c r="AQ178" i="6"/>
  <c r="AZ178" i="6" s="1"/>
  <c r="N181" i="10"/>
  <c r="O182" i="10"/>
  <c r="P181" i="10"/>
  <c r="Q181" i="10" s="1"/>
  <c r="AN179" i="6" l="1"/>
  <c r="AO178" i="6"/>
  <c r="Z181" i="6"/>
  <c r="AK181" i="6"/>
  <c r="AM181" i="6" s="1"/>
  <c r="AO179" i="6" s="1"/>
  <c r="S181" i="10"/>
  <c r="T181" i="10" s="1"/>
  <c r="U181" i="10" s="1"/>
  <c r="W181" i="10" s="1"/>
  <c r="R181" i="10"/>
  <c r="X182" i="6"/>
  <c r="AJ182" i="6"/>
  <c r="AL182" i="6" s="1"/>
  <c r="W183" i="6"/>
  <c r="AH183" i="6"/>
  <c r="AI183" i="6" s="1"/>
  <c r="N185" i="6"/>
  <c r="O185" i="6" s="1"/>
  <c r="P185" i="6"/>
  <c r="S185" i="6" s="1"/>
  <c r="T185" i="6" s="1"/>
  <c r="M186" i="6"/>
  <c r="V184" i="6"/>
  <c r="U184" i="6"/>
  <c r="N182" i="10"/>
  <c r="P182" i="10"/>
  <c r="Q182" i="10" s="1"/>
  <c r="O183" i="10"/>
  <c r="AN180" i="6" l="1"/>
  <c r="Z182" i="6"/>
  <c r="AK182" i="6"/>
  <c r="AM182" i="6" s="1"/>
  <c r="AO180" i="6" s="1"/>
  <c r="S182" i="10"/>
  <c r="T182" i="10" s="1"/>
  <c r="U182" i="10" s="1"/>
  <c r="W182" i="10" s="1"/>
  <c r="R182" i="10"/>
  <c r="X183" i="6"/>
  <c r="AJ183" i="6"/>
  <c r="AL183" i="6" s="1"/>
  <c r="W184" i="6"/>
  <c r="AH184" i="6"/>
  <c r="AI184" i="6" s="1"/>
  <c r="N186" i="6"/>
  <c r="O186" i="6" s="1"/>
  <c r="P186" i="6"/>
  <c r="S186" i="6" s="1"/>
  <c r="T186" i="6" s="1"/>
  <c r="M187" i="6"/>
  <c r="U185" i="6"/>
  <c r="V185" i="6"/>
  <c r="AY180" i="6"/>
  <c r="N183" i="10"/>
  <c r="AQ180" i="6"/>
  <c r="AZ180" i="6" s="1"/>
  <c r="O184" i="10"/>
  <c r="P183" i="10"/>
  <c r="Q183" i="10" s="1"/>
  <c r="AQ179" i="6"/>
  <c r="AZ179" i="6" s="1"/>
  <c r="AN181" i="6" l="1"/>
  <c r="Z183" i="6"/>
  <c r="AK183" i="6"/>
  <c r="AM183" i="6" s="1"/>
  <c r="S183" i="10"/>
  <c r="T183" i="10" s="1"/>
  <c r="U183" i="10" s="1"/>
  <c r="W183" i="10" s="1"/>
  <c r="R183" i="10"/>
  <c r="X184" i="6"/>
  <c r="AJ184" i="6"/>
  <c r="AL184" i="6" s="1"/>
  <c r="AN182" i="6" s="1"/>
  <c r="W185" i="6"/>
  <c r="AH185" i="6"/>
  <c r="AI185" i="6" s="1"/>
  <c r="N187" i="6"/>
  <c r="O187" i="6" s="1"/>
  <c r="P187" i="6"/>
  <c r="S187" i="6" s="1"/>
  <c r="T187" i="6" s="1"/>
  <c r="M188" i="6"/>
  <c r="U186" i="6"/>
  <c r="V186" i="6"/>
  <c r="AY179" i="6"/>
  <c r="N184" i="10"/>
  <c r="AQ181" i="6"/>
  <c r="AZ181" i="6" s="1"/>
  <c r="P184" i="10"/>
  <c r="Q184" i="10" s="1"/>
  <c r="O185" i="10"/>
  <c r="AO181" i="6" l="1"/>
  <c r="Z184" i="6"/>
  <c r="AK184" i="6"/>
  <c r="AM184" i="6" s="1"/>
  <c r="S184" i="10"/>
  <c r="T184" i="10" s="1"/>
  <c r="U184" i="10" s="1"/>
  <c r="W184" i="10" s="1"/>
  <c r="R184" i="10"/>
  <c r="X185" i="6"/>
  <c r="AJ185" i="6"/>
  <c r="AL185" i="6" s="1"/>
  <c r="W186" i="6"/>
  <c r="AH186" i="6"/>
  <c r="AI186" i="6" s="1"/>
  <c r="N188" i="6"/>
  <c r="O188" i="6" s="1"/>
  <c r="P188" i="6"/>
  <c r="S188" i="6" s="1"/>
  <c r="T188" i="6" s="1"/>
  <c r="M189" i="6"/>
  <c r="U187" i="6"/>
  <c r="V187" i="6"/>
  <c r="AY182" i="6"/>
  <c r="AY181" i="6"/>
  <c r="N185" i="10"/>
  <c r="O186" i="10"/>
  <c r="P185" i="10"/>
  <c r="Q185" i="10" s="1"/>
  <c r="AQ182" i="6"/>
  <c r="AZ182" i="6" s="1"/>
  <c r="AN183" i="6" l="1"/>
  <c r="AO182" i="6"/>
  <c r="Z185" i="6"/>
  <c r="AK185" i="6"/>
  <c r="AM185" i="6" s="1"/>
  <c r="S185" i="10"/>
  <c r="T185" i="10" s="1"/>
  <c r="U185" i="10" s="1"/>
  <c r="W185" i="10" s="1"/>
  <c r="R185" i="10"/>
  <c r="X186" i="6"/>
  <c r="AJ186" i="6"/>
  <c r="AL186" i="6" s="1"/>
  <c r="AN184" i="6" s="1"/>
  <c r="W187" i="6"/>
  <c r="AH187" i="6"/>
  <c r="AI187" i="6" s="1"/>
  <c r="P189" i="6"/>
  <c r="S189" i="6" s="1"/>
  <c r="T189" i="6" s="1"/>
  <c r="N189" i="6"/>
  <c r="O189" i="6" s="1"/>
  <c r="M190" i="6"/>
  <c r="U188" i="6"/>
  <c r="V188" i="6"/>
  <c r="AY183" i="6"/>
  <c r="AQ183" i="6"/>
  <c r="AZ183" i="6" s="1"/>
  <c r="N186" i="10"/>
  <c r="P186" i="10"/>
  <c r="Q186" i="10" s="1"/>
  <c r="O187" i="10"/>
  <c r="AO183" i="6" l="1"/>
  <c r="Z186" i="6"/>
  <c r="AK186" i="6"/>
  <c r="AM186" i="6" s="1"/>
  <c r="S186" i="10"/>
  <c r="T186" i="10" s="1"/>
  <c r="U186" i="10" s="1"/>
  <c r="W186" i="10" s="1"/>
  <c r="R186" i="10"/>
  <c r="X187" i="6"/>
  <c r="AJ187" i="6"/>
  <c r="AL187" i="6" s="1"/>
  <c r="W188" i="6"/>
  <c r="AH188" i="6"/>
  <c r="AI188" i="6" s="1"/>
  <c r="N190" i="6"/>
  <c r="O190" i="6" s="1"/>
  <c r="P190" i="6"/>
  <c r="S190" i="6" s="1"/>
  <c r="T190" i="6" s="1"/>
  <c r="M191" i="6"/>
  <c r="U189" i="6"/>
  <c r="V189" i="6"/>
  <c r="AY184" i="6"/>
  <c r="N187" i="10"/>
  <c r="O188" i="10"/>
  <c r="P187" i="10"/>
  <c r="Q187" i="10" s="1"/>
  <c r="AQ184" i="6"/>
  <c r="AZ184" i="6" s="1"/>
  <c r="AO184" i="6" l="1"/>
  <c r="AN185" i="6"/>
  <c r="Z187" i="6"/>
  <c r="AK187" i="6"/>
  <c r="AM187" i="6" s="1"/>
  <c r="AO185" i="6" s="1"/>
  <c r="S187" i="10"/>
  <c r="T187" i="10" s="1"/>
  <c r="U187" i="10" s="1"/>
  <c r="W187" i="10" s="1"/>
  <c r="R187" i="10"/>
  <c r="X188" i="6"/>
  <c r="AJ188" i="6"/>
  <c r="AL188" i="6" s="1"/>
  <c r="AN186" i="6" s="1"/>
  <c r="W189" i="6"/>
  <c r="AH189" i="6"/>
  <c r="AI189" i="6" s="1"/>
  <c r="N191" i="6"/>
  <c r="O191" i="6" s="1"/>
  <c r="P191" i="6"/>
  <c r="S191" i="6" s="1"/>
  <c r="T191" i="6" s="1"/>
  <c r="M192" i="6"/>
  <c r="U190" i="6"/>
  <c r="V190" i="6"/>
  <c r="AY185" i="6"/>
  <c r="AQ185" i="6"/>
  <c r="AZ185" i="6" s="1"/>
  <c r="N188" i="10"/>
  <c r="P188" i="10"/>
  <c r="Q188" i="10" s="1"/>
  <c r="O189" i="10"/>
  <c r="Z188" i="6" l="1"/>
  <c r="AK188" i="6"/>
  <c r="AM188" i="6" s="1"/>
  <c r="S188" i="10"/>
  <c r="T188" i="10" s="1"/>
  <c r="U188" i="10" s="1"/>
  <c r="W188" i="10" s="1"/>
  <c r="R188" i="10"/>
  <c r="X189" i="6"/>
  <c r="AJ189" i="6"/>
  <c r="AL189" i="6" s="1"/>
  <c r="W190" i="6"/>
  <c r="AH190" i="6"/>
  <c r="AI190" i="6" s="1"/>
  <c r="N192" i="6"/>
  <c r="O192" i="6" s="1"/>
  <c r="P192" i="6"/>
  <c r="S192" i="6" s="1"/>
  <c r="T192" i="6" s="1"/>
  <c r="M193" i="6"/>
  <c r="U191" i="6"/>
  <c r="V191" i="6"/>
  <c r="AY186" i="6"/>
  <c r="N189" i="10"/>
  <c r="P189" i="10"/>
  <c r="Q189" i="10" s="1"/>
  <c r="O190" i="10"/>
  <c r="AQ186" i="6"/>
  <c r="AZ186" i="6" s="1"/>
  <c r="AN187" i="6" l="1"/>
  <c r="AO186" i="6"/>
  <c r="Z189" i="6"/>
  <c r="AK189" i="6"/>
  <c r="AM189" i="6" s="1"/>
  <c r="AO187" i="6" s="1"/>
  <c r="S189" i="10"/>
  <c r="T189" i="10" s="1"/>
  <c r="U189" i="10" s="1"/>
  <c r="W189" i="10" s="1"/>
  <c r="R189" i="10"/>
  <c r="X190" i="6"/>
  <c r="AJ190" i="6"/>
  <c r="AL190" i="6" s="1"/>
  <c r="AN188" i="6" s="1"/>
  <c r="W191" i="6"/>
  <c r="AH191" i="6"/>
  <c r="AI191" i="6" s="1"/>
  <c r="N193" i="6"/>
  <c r="O193" i="6" s="1"/>
  <c r="P193" i="6"/>
  <c r="S193" i="6" s="1"/>
  <c r="T193" i="6" s="1"/>
  <c r="M194" i="6"/>
  <c r="U192" i="6"/>
  <c r="V192" i="6"/>
  <c r="AY187" i="6"/>
  <c r="AQ187" i="6"/>
  <c r="AZ187" i="6" s="1"/>
  <c r="N190" i="10"/>
  <c r="P190" i="10"/>
  <c r="Q190" i="10" s="1"/>
  <c r="O191" i="10"/>
  <c r="Z190" i="6" l="1"/>
  <c r="AK190" i="6"/>
  <c r="AM190" i="6" s="1"/>
  <c r="S190" i="10"/>
  <c r="T190" i="10" s="1"/>
  <c r="U190" i="10" s="1"/>
  <c r="W190" i="10" s="1"/>
  <c r="R190" i="10"/>
  <c r="X191" i="6"/>
  <c r="AJ191" i="6"/>
  <c r="AL191" i="6" s="1"/>
  <c r="W192" i="6"/>
  <c r="AH192" i="6"/>
  <c r="AI192" i="6" s="1"/>
  <c r="N194" i="6"/>
  <c r="O194" i="6" s="1"/>
  <c r="P194" i="6"/>
  <c r="S194" i="6" s="1"/>
  <c r="T194" i="6" s="1"/>
  <c r="M195" i="6"/>
  <c r="U193" i="6"/>
  <c r="V193" i="6"/>
  <c r="AY188" i="6"/>
  <c r="AQ188" i="6"/>
  <c r="AZ188" i="6" s="1"/>
  <c r="N191" i="10"/>
  <c r="P191" i="10"/>
  <c r="Q191" i="10" s="1"/>
  <c r="O192" i="10"/>
  <c r="AN189" i="6" l="1"/>
  <c r="AO188" i="6"/>
  <c r="Z191" i="6"/>
  <c r="AK191" i="6"/>
  <c r="AM191" i="6" s="1"/>
  <c r="S191" i="10"/>
  <c r="T191" i="10" s="1"/>
  <c r="U191" i="10" s="1"/>
  <c r="W191" i="10" s="1"/>
  <c r="R191" i="10"/>
  <c r="X192" i="6"/>
  <c r="AJ192" i="6"/>
  <c r="AL192" i="6" s="1"/>
  <c r="AN190" i="6" s="1"/>
  <c r="W193" i="6"/>
  <c r="AH193" i="6"/>
  <c r="AI193" i="6" s="1"/>
  <c r="N195" i="6"/>
  <c r="O195" i="6" s="1"/>
  <c r="P195" i="6"/>
  <c r="S195" i="6" s="1"/>
  <c r="T195" i="6" s="1"/>
  <c r="M196" i="6"/>
  <c r="U194" i="6"/>
  <c r="V194" i="6"/>
  <c r="N192" i="10"/>
  <c r="AQ189" i="6"/>
  <c r="AZ189" i="6" s="1"/>
  <c r="P192" i="10"/>
  <c r="Q192" i="10" s="1"/>
  <c r="O193" i="10"/>
  <c r="AO189" i="6" l="1"/>
  <c r="Z192" i="6"/>
  <c r="AK192" i="6"/>
  <c r="AM192" i="6" s="1"/>
  <c r="S192" i="10"/>
  <c r="T192" i="10" s="1"/>
  <c r="U192" i="10" s="1"/>
  <c r="W192" i="10" s="1"/>
  <c r="R192" i="10"/>
  <c r="X193" i="6"/>
  <c r="AJ193" i="6"/>
  <c r="AL193" i="6" s="1"/>
  <c r="W194" i="6"/>
  <c r="AH194" i="6"/>
  <c r="AI194" i="6" s="1"/>
  <c r="N196" i="6"/>
  <c r="O196" i="6" s="1"/>
  <c r="P196" i="6"/>
  <c r="S196" i="6" s="1"/>
  <c r="T196" i="6" s="1"/>
  <c r="M197" i="6"/>
  <c r="U195" i="6"/>
  <c r="V195" i="6"/>
  <c r="AY190" i="6"/>
  <c r="AY189" i="6"/>
  <c r="AQ190" i="6"/>
  <c r="AZ190" i="6" s="1"/>
  <c r="N193" i="10"/>
  <c r="O194" i="10"/>
  <c r="P193" i="10"/>
  <c r="Q193" i="10" s="1"/>
  <c r="AN191" i="6" l="1"/>
  <c r="AO190" i="6"/>
  <c r="Z193" i="6"/>
  <c r="AK193" i="6"/>
  <c r="AM193" i="6" s="1"/>
  <c r="S193" i="10"/>
  <c r="T193" i="10" s="1"/>
  <c r="U193" i="10" s="1"/>
  <c r="W193" i="10" s="1"/>
  <c r="R193" i="10"/>
  <c r="X194" i="6"/>
  <c r="AJ194" i="6"/>
  <c r="AL194" i="6" s="1"/>
  <c r="W195" i="6"/>
  <c r="AH195" i="6"/>
  <c r="AI195" i="6" s="1"/>
  <c r="N197" i="6"/>
  <c r="O197" i="6" s="1"/>
  <c r="P197" i="6"/>
  <c r="S197" i="6" s="1"/>
  <c r="T197" i="6" s="1"/>
  <c r="M198" i="6"/>
  <c r="U196" i="6"/>
  <c r="V196" i="6"/>
  <c r="AY191" i="6"/>
  <c r="AQ191" i="6"/>
  <c r="AZ191" i="6" s="1"/>
  <c r="N194" i="10"/>
  <c r="O195" i="10"/>
  <c r="P194" i="10"/>
  <c r="Q194" i="10" s="1"/>
  <c r="AO191" i="6" l="1"/>
  <c r="AN192" i="6"/>
  <c r="Z194" i="6"/>
  <c r="AK194" i="6"/>
  <c r="AM194" i="6" s="1"/>
  <c r="S194" i="10"/>
  <c r="T194" i="10" s="1"/>
  <c r="U194" i="10" s="1"/>
  <c r="W194" i="10" s="1"/>
  <c r="R194" i="10"/>
  <c r="X195" i="6"/>
  <c r="AJ195" i="6"/>
  <c r="AL195" i="6" s="1"/>
  <c r="W196" i="6"/>
  <c r="AH196" i="6"/>
  <c r="AI196" i="6" s="1"/>
  <c r="N198" i="6"/>
  <c r="O198" i="6" s="1"/>
  <c r="P198" i="6"/>
  <c r="S198" i="6" s="1"/>
  <c r="T198" i="6" s="1"/>
  <c r="M199" i="6"/>
  <c r="U197" i="6"/>
  <c r="V197" i="6"/>
  <c r="N195" i="10"/>
  <c r="AQ192" i="6"/>
  <c r="AZ192" i="6" s="1"/>
  <c r="P195" i="10"/>
  <c r="Q195" i="10" s="1"/>
  <c r="O196" i="10"/>
  <c r="AN193" i="6" l="1"/>
  <c r="AO192" i="6"/>
  <c r="Z195" i="6"/>
  <c r="AK195" i="6"/>
  <c r="AM195" i="6" s="1"/>
  <c r="AO193" i="6" s="1"/>
  <c r="S195" i="10"/>
  <c r="T195" i="10" s="1"/>
  <c r="U195" i="10" s="1"/>
  <c r="W195" i="10" s="1"/>
  <c r="R195" i="10"/>
  <c r="X196" i="6"/>
  <c r="AJ196" i="6"/>
  <c r="AL196" i="6" s="1"/>
  <c r="AN194" i="6" s="1"/>
  <c r="W197" i="6"/>
  <c r="AH197" i="6"/>
  <c r="AI197" i="6" s="1"/>
  <c r="N199" i="6"/>
  <c r="O199" i="6" s="1"/>
  <c r="P199" i="6"/>
  <c r="S199" i="6" s="1"/>
  <c r="T199" i="6" s="1"/>
  <c r="M200" i="6"/>
  <c r="U198" i="6"/>
  <c r="V198" i="6"/>
  <c r="AY192" i="6"/>
  <c r="N196" i="10"/>
  <c r="O197" i="10"/>
  <c r="P196" i="10"/>
  <c r="Q196" i="10" s="1"/>
  <c r="Z196" i="6" l="1"/>
  <c r="AK196" i="6"/>
  <c r="AM196" i="6" s="1"/>
  <c r="S196" i="10"/>
  <c r="T196" i="10" s="1"/>
  <c r="U196" i="10" s="1"/>
  <c r="W196" i="10" s="1"/>
  <c r="R196" i="10"/>
  <c r="X197" i="6"/>
  <c r="AJ197" i="6"/>
  <c r="AL197" i="6" s="1"/>
  <c r="W198" i="6"/>
  <c r="AH198" i="6"/>
  <c r="AI198" i="6" s="1"/>
  <c r="N200" i="6"/>
  <c r="O200" i="6" s="1"/>
  <c r="P200" i="6"/>
  <c r="S200" i="6" s="1"/>
  <c r="T200" i="6" s="1"/>
  <c r="M201" i="6"/>
  <c r="V199" i="6"/>
  <c r="U199" i="6"/>
  <c r="AY194" i="6"/>
  <c r="AQ194" i="6"/>
  <c r="AZ194" i="6" s="1"/>
  <c r="N197" i="10"/>
  <c r="AQ193" i="6"/>
  <c r="AZ193" i="6" s="1"/>
  <c r="O198" i="10"/>
  <c r="P197" i="10"/>
  <c r="Q197" i="10" s="1"/>
  <c r="AN195" i="6" l="1"/>
  <c r="AO194" i="6"/>
  <c r="Z197" i="6"/>
  <c r="AK197" i="6"/>
  <c r="AM197" i="6" s="1"/>
  <c r="AO195" i="6" s="1"/>
  <c r="S197" i="10"/>
  <c r="T197" i="10" s="1"/>
  <c r="U197" i="10" s="1"/>
  <c r="W197" i="10" s="1"/>
  <c r="R197" i="10"/>
  <c r="X198" i="6"/>
  <c r="AJ198" i="6"/>
  <c r="AL198" i="6" s="1"/>
  <c r="AN196" i="6" s="1"/>
  <c r="W199" i="6"/>
  <c r="AH199" i="6"/>
  <c r="AI199" i="6" s="1"/>
  <c r="N201" i="6"/>
  <c r="O201" i="6" s="1"/>
  <c r="P201" i="6"/>
  <c r="S201" i="6" s="1"/>
  <c r="T201" i="6" s="1"/>
  <c r="M202" i="6"/>
  <c r="U200" i="6"/>
  <c r="V200" i="6"/>
  <c r="AY195" i="6"/>
  <c r="AY193" i="6"/>
  <c r="N198" i="10"/>
  <c r="P198" i="10"/>
  <c r="Q198" i="10" s="1"/>
  <c r="O199" i="10"/>
  <c r="AQ195" i="6"/>
  <c r="AZ195" i="6" s="1"/>
  <c r="Z198" i="6" l="1"/>
  <c r="AK198" i="6"/>
  <c r="AM198" i="6" s="1"/>
  <c r="S198" i="10"/>
  <c r="T198" i="10" s="1"/>
  <c r="U198" i="10" s="1"/>
  <c r="W198" i="10" s="1"/>
  <c r="R198" i="10"/>
  <c r="X199" i="6"/>
  <c r="AJ199" i="6"/>
  <c r="AL199" i="6" s="1"/>
  <c r="W200" i="6"/>
  <c r="AH200" i="6"/>
  <c r="AI200" i="6" s="1"/>
  <c r="N202" i="6"/>
  <c r="O202" i="6" s="1"/>
  <c r="P202" i="6"/>
  <c r="S202" i="6" s="1"/>
  <c r="T202" i="6" s="1"/>
  <c r="M203" i="6"/>
  <c r="U201" i="6"/>
  <c r="V201" i="6"/>
  <c r="AY196" i="6"/>
  <c r="N199" i="10"/>
  <c r="P199" i="10"/>
  <c r="Q199" i="10" s="1"/>
  <c r="O200" i="10"/>
  <c r="AQ196" i="6"/>
  <c r="AZ196" i="6" s="1"/>
  <c r="AO196" i="6" l="1"/>
  <c r="AN197" i="6"/>
  <c r="Z199" i="6"/>
  <c r="AK199" i="6"/>
  <c r="AM199" i="6" s="1"/>
  <c r="AO197" i="6" s="1"/>
  <c r="S199" i="10"/>
  <c r="T199" i="10" s="1"/>
  <c r="U199" i="10" s="1"/>
  <c r="W199" i="10" s="1"/>
  <c r="R199" i="10"/>
  <c r="X200" i="6"/>
  <c r="AJ200" i="6"/>
  <c r="AL200" i="6" s="1"/>
  <c r="AN198" i="6" s="1"/>
  <c r="W201" i="6"/>
  <c r="AH201" i="6"/>
  <c r="AI201" i="6" s="1"/>
  <c r="N203" i="6"/>
  <c r="O203" i="6" s="1"/>
  <c r="P203" i="6"/>
  <c r="S203" i="6" s="1"/>
  <c r="T203" i="6" s="1"/>
  <c r="M204" i="6"/>
  <c r="U202" i="6"/>
  <c r="V202" i="6"/>
  <c r="AY197" i="6"/>
  <c r="N200" i="10"/>
  <c r="AQ197" i="6"/>
  <c r="AZ197" i="6" s="1"/>
  <c r="O201" i="10"/>
  <c r="P200" i="10"/>
  <c r="Q200" i="10" s="1"/>
  <c r="Z200" i="6" l="1"/>
  <c r="AK200" i="6"/>
  <c r="AM200" i="6" s="1"/>
  <c r="S200" i="10"/>
  <c r="T200" i="10" s="1"/>
  <c r="U200" i="10" s="1"/>
  <c r="W200" i="10" s="1"/>
  <c r="R200" i="10"/>
  <c r="X201" i="6"/>
  <c r="AJ201" i="6"/>
  <c r="AL201" i="6" s="1"/>
  <c r="W202" i="6"/>
  <c r="AH202" i="6"/>
  <c r="AI202" i="6" s="1"/>
  <c r="N204" i="6"/>
  <c r="O204" i="6" s="1"/>
  <c r="P204" i="6"/>
  <c r="S204" i="6" s="1"/>
  <c r="T204" i="6" s="1"/>
  <c r="U203" i="6"/>
  <c r="V203" i="6"/>
  <c r="AY198" i="6"/>
  <c r="N201" i="10"/>
  <c r="O202" i="10"/>
  <c r="P201" i="10"/>
  <c r="Q201" i="10" s="1"/>
  <c r="AQ198" i="6"/>
  <c r="AZ198" i="6" s="1"/>
  <c r="AN199" i="6" l="1"/>
  <c r="AO198" i="6"/>
  <c r="Z201" i="6"/>
  <c r="AK201" i="6"/>
  <c r="AM201" i="6" s="1"/>
  <c r="S201" i="10"/>
  <c r="T201" i="10" s="1"/>
  <c r="U201" i="10" s="1"/>
  <c r="W201" i="10" s="1"/>
  <c r="R201" i="10"/>
  <c r="X202" i="6"/>
  <c r="AJ202" i="6"/>
  <c r="AL202" i="6" s="1"/>
  <c r="AN200" i="6" s="1"/>
  <c r="W203" i="6"/>
  <c r="AH203" i="6"/>
  <c r="AI203" i="6" s="1"/>
  <c r="U204" i="6"/>
  <c r="V204" i="6"/>
  <c r="AY199" i="6"/>
  <c r="N202" i="10"/>
  <c r="AQ199" i="6"/>
  <c r="AZ199" i="6" s="1"/>
  <c r="O203" i="10"/>
  <c r="P202" i="10"/>
  <c r="Q202" i="10" s="1"/>
  <c r="AO199" i="6" l="1"/>
  <c r="Z202" i="6"/>
  <c r="AK202" i="6"/>
  <c r="AM202" i="6" s="1"/>
  <c r="S202" i="10"/>
  <c r="T202" i="10" s="1"/>
  <c r="U202" i="10" s="1"/>
  <c r="W202" i="10" s="1"/>
  <c r="R202" i="10"/>
  <c r="X203" i="6"/>
  <c r="AJ203" i="6"/>
  <c r="AL203" i="6" s="1"/>
  <c r="W204" i="6"/>
  <c r="AH204" i="6"/>
  <c r="AI204" i="6" s="1"/>
  <c r="AY200" i="6"/>
  <c r="N204" i="10"/>
  <c r="N203" i="10"/>
  <c r="P203" i="10"/>
  <c r="Q203" i="10" s="1"/>
  <c r="O204" i="10"/>
  <c r="AQ200" i="6"/>
  <c r="AZ200" i="6" s="1"/>
  <c r="AN201" i="6" l="1"/>
  <c r="AO200" i="6"/>
  <c r="Z203" i="6"/>
  <c r="AK203" i="6"/>
  <c r="AM203" i="6" s="1"/>
  <c r="AO201" i="6" s="1"/>
  <c r="S203" i="10"/>
  <c r="T203" i="10" s="1"/>
  <c r="U203" i="10" s="1"/>
  <c r="W203" i="10" s="1"/>
  <c r="R203" i="10"/>
  <c r="X204" i="6"/>
  <c r="AJ204" i="6"/>
  <c r="AL204" i="6" s="1"/>
  <c r="AN204" i="6" s="1"/>
  <c r="AY201" i="6"/>
  <c r="P204" i="10"/>
  <c r="Q204" i="10" s="1"/>
  <c r="AQ201" i="6"/>
  <c r="AZ201" i="6" s="1"/>
  <c r="AN203" i="6" l="1"/>
  <c r="AN202" i="6"/>
  <c r="Z204" i="6"/>
  <c r="AA4" i="6" s="1"/>
  <c r="AK204" i="6"/>
  <c r="AM204" i="6" s="1"/>
  <c r="AO202" i="6" s="1"/>
  <c r="S204" i="10"/>
  <c r="T204" i="10" s="1"/>
  <c r="U204" i="10" s="1"/>
  <c r="W204" i="10" s="1"/>
  <c r="R204" i="10"/>
  <c r="AY202" i="6"/>
  <c r="AQ202" i="6"/>
  <c r="AZ202" i="6" s="1"/>
  <c r="AO204" i="6" l="1"/>
  <c r="AO203" i="6"/>
  <c r="AY203" i="6"/>
  <c r="BF5" i="6" s="1"/>
  <c r="AY204" i="6"/>
  <c r="AQ204" i="6"/>
  <c r="AQ203" i="6"/>
  <c r="AZ203" i="6" s="1"/>
  <c r="BG1" i="6" l="1"/>
  <c r="BS5" i="6"/>
  <c r="BG5" i="6"/>
  <c r="BF6" i="6"/>
  <c r="BF7" i="6"/>
  <c r="BF11" i="6"/>
  <c r="BF9" i="6"/>
  <c r="BF10" i="6"/>
  <c r="BF8" i="6"/>
  <c r="BF12" i="6"/>
  <c r="BF13" i="6"/>
  <c r="BF14" i="6"/>
  <c r="BF15" i="6"/>
  <c r="BF17" i="6"/>
  <c r="BF16" i="6"/>
  <c r="BF19" i="6"/>
  <c r="BF18" i="6"/>
  <c r="BF20" i="6"/>
  <c r="BF21" i="6"/>
  <c r="BF22" i="6"/>
  <c r="BF23" i="6"/>
  <c r="BF24" i="6"/>
  <c r="BF27" i="6"/>
  <c r="BF25" i="6"/>
  <c r="BF26" i="6"/>
  <c r="BF29" i="6"/>
  <c r="BF28" i="6"/>
  <c r="BF30" i="6"/>
  <c r="BF32" i="6"/>
  <c r="BF33" i="6"/>
  <c r="BF31" i="6"/>
  <c r="BF35" i="6"/>
  <c r="BF34" i="6"/>
  <c r="BF36" i="6"/>
  <c r="BF37" i="6"/>
  <c r="BF40" i="6"/>
  <c r="BF38" i="6"/>
  <c r="BF39" i="6"/>
  <c r="BF41" i="6"/>
  <c r="BF42" i="6"/>
  <c r="BF44" i="6"/>
  <c r="BF43" i="6"/>
  <c r="BF45" i="6"/>
  <c r="BF47" i="6"/>
  <c r="BF46" i="6"/>
  <c r="BF48" i="6"/>
  <c r="BF50" i="6"/>
  <c r="BF49" i="6"/>
  <c r="BF55" i="6"/>
  <c r="BF52" i="6"/>
  <c r="BF54" i="6"/>
  <c r="BF51" i="6"/>
  <c r="BF53" i="6"/>
  <c r="AZ204" i="6"/>
  <c r="BA204" i="6" l="1"/>
  <c r="BA108" i="6"/>
  <c r="BA106" i="6"/>
  <c r="BA105" i="6"/>
  <c r="BA110" i="6"/>
  <c r="BA107" i="6"/>
  <c r="BA109" i="6"/>
  <c r="BA111" i="6"/>
  <c r="BA113" i="6"/>
  <c r="BA112" i="6"/>
  <c r="BA116" i="6"/>
  <c r="BA115" i="6"/>
  <c r="BA114" i="6"/>
  <c r="BA121" i="6"/>
  <c r="BA118" i="6"/>
  <c r="BA119" i="6"/>
  <c r="BA117" i="6"/>
  <c r="BA122" i="6"/>
  <c r="BA120" i="6"/>
  <c r="BA126" i="6"/>
  <c r="BA125" i="6"/>
  <c r="BA123" i="6"/>
  <c r="BA124" i="6"/>
  <c r="BA127" i="6"/>
  <c r="BA128" i="6"/>
  <c r="BA130" i="6"/>
  <c r="BA129" i="6"/>
  <c r="BA131" i="6"/>
  <c r="BA132" i="6"/>
  <c r="BA134" i="6"/>
  <c r="BA133" i="6"/>
  <c r="BA139" i="6"/>
  <c r="BA135" i="6"/>
  <c r="BA136" i="6"/>
  <c r="BA137" i="6"/>
  <c r="BA138" i="6"/>
  <c r="BA140" i="6"/>
  <c r="BA141" i="6"/>
  <c r="BA142" i="6"/>
  <c r="BA143" i="6"/>
  <c r="BA144" i="6"/>
  <c r="BA145" i="6"/>
  <c r="BA146" i="6"/>
  <c r="BA147" i="6"/>
  <c r="BA150" i="6"/>
  <c r="BA149" i="6"/>
  <c r="BA148" i="6"/>
  <c r="BA151" i="6"/>
  <c r="BA153" i="6"/>
  <c r="BA156" i="6"/>
  <c r="BA152" i="6"/>
  <c r="BA154" i="6"/>
  <c r="BA157" i="6"/>
  <c r="BA155" i="6"/>
  <c r="BA158" i="6"/>
  <c r="BA159" i="6"/>
  <c r="BA160" i="6"/>
  <c r="BA161" i="6"/>
  <c r="BA162" i="6"/>
  <c r="BA164" i="6"/>
  <c r="BA163" i="6"/>
  <c r="BA165" i="6"/>
  <c r="BA166" i="6"/>
  <c r="BA167" i="6"/>
  <c r="BA168" i="6"/>
  <c r="BA169" i="6"/>
  <c r="BA170" i="6"/>
  <c r="BA172" i="6"/>
  <c r="BA171" i="6"/>
  <c r="BA173" i="6"/>
  <c r="BA174" i="6"/>
  <c r="BA175" i="6"/>
  <c r="BA176" i="6"/>
  <c r="BA177" i="6"/>
  <c r="BA180" i="6"/>
  <c r="BA178" i="6"/>
  <c r="BA179" i="6"/>
  <c r="BA181" i="6"/>
  <c r="BA182" i="6"/>
  <c r="BA183" i="6"/>
  <c r="BA184" i="6"/>
  <c r="BA185" i="6"/>
  <c r="BA186" i="6"/>
  <c r="BA187" i="6"/>
  <c r="BA188" i="6"/>
  <c r="BA189" i="6"/>
  <c r="BA190" i="6"/>
  <c r="BA191" i="6"/>
  <c r="BA192" i="6"/>
  <c r="BA195" i="6"/>
  <c r="BA194" i="6"/>
  <c r="BA193" i="6"/>
  <c r="BA196" i="6"/>
  <c r="BA198" i="6"/>
  <c r="BA197" i="6"/>
  <c r="BA199" i="6"/>
  <c r="BA200" i="6"/>
  <c r="BA202" i="6"/>
  <c r="BA203" i="6"/>
  <c r="BA201" i="6"/>
  <c r="BS44" i="6"/>
  <c r="BG44" i="6"/>
  <c r="BS18" i="6"/>
  <c r="BG18" i="6"/>
  <c r="BS35" i="6"/>
  <c r="BG35" i="6"/>
  <c r="BS19" i="6"/>
  <c r="BG19" i="6"/>
  <c r="BS31" i="6"/>
  <c r="BG31" i="6"/>
  <c r="BS9" i="6"/>
  <c r="BG9" i="6"/>
  <c r="BS48" i="6"/>
  <c r="BG48" i="6"/>
  <c r="BS24" i="6"/>
  <c r="BG24" i="6"/>
  <c r="BS11" i="6"/>
  <c r="BG11" i="6"/>
  <c r="BS53" i="6"/>
  <c r="BG53" i="6"/>
  <c r="BS46" i="6"/>
  <c r="BG46" i="6"/>
  <c r="BS38" i="6"/>
  <c r="BG38" i="6"/>
  <c r="BS32" i="6"/>
  <c r="BG32" i="6"/>
  <c r="BS23" i="6"/>
  <c r="BG23" i="6"/>
  <c r="BS15" i="6"/>
  <c r="BG15" i="6"/>
  <c r="BS7" i="6"/>
  <c r="BG7" i="6"/>
  <c r="BS26" i="6"/>
  <c r="BG26" i="6"/>
  <c r="BS49" i="6"/>
  <c r="BG49" i="6"/>
  <c r="BS25" i="6"/>
  <c r="BG25" i="6"/>
  <c r="BS50" i="6"/>
  <c r="BG50" i="6"/>
  <c r="BS27" i="6"/>
  <c r="BG27" i="6"/>
  <c r="BS39" i="6"/>
  <c r="BG39" i="6"/>
  <c r="BS51" i="6"/>
  <c r="BG51" i="6"/>
  <c r="BS30" i="6"/>
  <c r="BG30" i="6"/>
  <c r="BS14" i="6"/>
  <c r="BG14" i="6"/>
  <c r="BS6" i="6"/>
  <c r="BG6" i="6"/>
  <c r="BS16" i="6"/>
  <c r="BG16" i="6"/>
  <c r="BS33" i="6"/>
  <c r="BG33" i="6"/>
  <c r="BS54" i="6"/>
  <c r="BG54" i="6"/>
  <c r="BS13" i="6"/>
  <c r="BG13" i="6"/>
  <c r="BS55" i="6"/>
  <c r="BT55" i="6" s="1"/>
  <c r="BG55" i="6"/>
  <c r="BS34" i="6"/>
  <c r="BG34" i="6"/>
  <c r="BS8" i="6"/>
  <c r="BG8" i="6"/>
  <c r="BS42" i="6"/>
  <c r="BG42" i="6"/>
  <c r="BS10" i="6"/>
  <c r="BG10" i="6"/>
  <c r="BS41" i="6"/>
  <c r="BG41" i="6"/>
  <c r="BS17" i="6"/>
  <c r="BG17" i="6"/>
  <c r="BS47" i="6"/>
  <c r="BG47" i="6"/>
  <c r="BS40" i="6"/>
  <c r="BG40" i="6"/>
  <c r="BS22" i="6"/>
  <c r="BG22" i="6"/>
  <c r="BS45" i="6"/>
  <c r="BG45" i="6"/>
  <c r="BS37" i="6"/>
  <c r="BG37" i="6"/>
  <c r="BS28" i="6"/>
  <c r="BG28" i="6"/>
  <c r="BS21" i="6"/>
  <c r="BG21" i="6"/>
  <c r="BS52" i="6"/>
  <c r="BG52" i="6"/>
  <c r="BS43" i="6"/>
  <c r="BG43" i="6"/>
  <c r="BS36" i="6"/>
  <c r="BG36" i="6"/>
  <c r="BS29" i="6"/>
  <c r="BG29" i="6"/>
  <c r="BS20" i="6"/>
  <c r="BG20" i="6"/>
  <c r="BS12" i="6"/>
  <c r="BG12" i="6"/>
  <c r="BA4" i="6"/>
  <c r="M17" i="1" s="1"/>
  <c r="BA7" i="6"/>
  <c r="BA10" i="6"/>
  <c r="BA6" i="6"/>
  <c r="BA9" i="6"/>
  <c r="BA12" i="6"/>
  <c r="BA5" i="6"/>
  <c r="BA11" i="6"/>
  <c r="BA14" i="6"/>
  <c r="BA8" i="6"/>
  <c r="BA17" i="6"/>
  <c r="BA13" i="6"/>
  <c r="BA18" i="6"/>
  <c r="BA16" i="6"/>
  <c r="BA19" i="6"/>
  <c r="BA15" i="6"/>
  <c r="BA22" i="6"/>
  <c r="BA20" i="6"/>
  <c r="BA24" i="6"/>
  <c r="BA21" i="6"/>
  <c r="BA26" i="6"/>
  <c r="BA25" i="6"/>
  <c r="BA29" i="6"/>
  <c r="BA27" i="6"/>
  <c r="BA28" i="6"/>
  <c r="BA23" i="6"/>
  <c r="BA30" i="6"/>
  <c r="BA31" i="6"/>
  <c r="BA32" i="6"/>
  <c r="BA34" i="6"/>
  <c r="BA33" i="6"/>
  <c r="BA36" i="6"/>
  <c r="BA35" i="6"/>
  <c r="BA38" i="6"/>
  <c r="BA40" i="6"/>
  <c r="BA39" i="6"/>
  <c r="BA42" i="6"/>
  <c r="BA43" i="6"/>
  <c r="BA46" i="6"/>
  <c r="BA41" i="6"/>
  <c r="BA37" i="6"/>
  <c r="BA44" i="6"/>
  <c r="BA52" i="6"/>
  <c r="BA48" i="6"/>
  <c r="BA49" i="6"/>
  <c r="BA45" i="6"/>
  <c r="BA50" i="6"/>
  <c r="BA54" i="6"/>
  <c r="BA47" i="6"/>
  <c r="BA55" i="6"/>
  <c r="BA56" i="6"/>
  <c r="BA58" i="6"/>
  <c r="BA51" i="6"/>
  <c r="BA53" i="6"/>
  <c r="BA59" i="6"/>
  <c r="BA60" i="6"/>
  <c r="BA62" i="6"/>
  <c r="BA57" i="6"/>
  <c r="BA66" i="6"/>
  <c r="BA64" i="6"/>
  <c r="BA61" i="6"/>
  <c r="BA68" i="6"/>
  <c r="BA67" i="6"/>
  <c r="BA63" i="6"/>
  <c r="BA65" i="6"/>
  <c r="BA69" i="6"/>
  <c r="BA72" i="6"/>
  <c r="BA70" i="6"/>
  <c r="BA74" i="6"/>
  <c r="BA71" i="6"/>
  <c r="BA73" i="6"/>
  <c r="BA75" i="6"/>
  <c r="BA76" i="6"/>
  <c r="BA78" i="6"/>
  <c r="BA80" i="6"/>
  <c r="BA79" i="6"/>
  <c r="BA81" i="6"/>
  <c r="BA82" i="6"/>
  <c r="BA86" i="6"/>
  <c r="BA84" i="6"/>
  <c r="BA77" i="6"/>
  <c r="BA83" i="6"/>
  <c r="BA85" i="6"/>
  <c r="BA89" i="6"/>
  <c r="BA87" i="6"/>
  <c r="BA88" i="6"/>
  <c r="BA91" i="6"/>
  <c r="BA92" i="6"/>
  <c r="BA94" i="6"/>
  <c r="BA90" i="6"/>
  <c r="BA93" i="6"/>
  <c r="BA97" i="6"/>
  <c r="BA101" i="6"/>
  <c r="BA95" i="6"/>
  <c r="BA96" i="6"/>
  <c r="BA100" i="6"/>
  <c r="BA99" i="6"/>
  <c r="BA98" i="6"/>
  <c r="BA102" i="6"/>
  <c r="BA104" i="6"/>
  <c r="BA103" i="6"/>
  <c r="M6" i="1" l="1"/>
  <c r="M7" i="1"/>
  <c r="M8" i="1"/>
  <c r="M12" i="1"/>
  <c r="M9" i="1"/>
  <c r="M13" i="1"/>
  <c r="M10" i="1"/>
  <c r="M11" i="1"/>
  <c r="M14" i="1"/>
  <c r="M15" i="1"/>
  <c r="M16" i="1"/>
  <c r="BH13" i="6"/>
  <c r="BH31" i="6"/>
  <c r="BH8" i="6"/>
  <c r="BH44" i="6"/>
  <c r="BH11" i="6"/>
  <c r="BH26" i="6"/>
  <c r="BH20" i="6"/>
  <c r="BH14" i="6"/>
  <c r="BH23" i="6"/>
  <c r="BH35" i="6"/>
  <c r="BH17" i="6"/>
  <c r="BH52" i="6"/>
  <c r="BH54" i="6"/>
  <c r="BH42" i="6"/>
  <c r="BH51" i="6"/>
  <c r="BH39" i="6"/>
  <c r="BH25" i="6"/>
  <c r="BH22" i="6"/>
  <c r="BH30" i="6"/>
  <c r="BT52" i="6"/>
  <c r="BT36" i="6"/>
  <c r="BT10" i="6"/>
  <c r="BT40" i="6"/>
  <c r="BT9" i="6"/>
  <c r="BT29" i="6"/>
  <c r="BT18" i="6"/>
  <c r="BT41" i="6"/>
  <c r="BT30" i="6"/>
  <c r="BT44" i="6"/>
  <c r="BT8" i="6"/>
  <c r="BT51" i="6"/>
  <c r="BT43" i="6"/>
  <c r="BH34" i="6"/>
  <c r="BT34" i="6"/>
  <c r="BH37" i="6"/>
  <c r="BH47" i="6"/>
  <c r="BH49" i="6"/>
  <c r="BH53" i="6"/>
  <c r="BH18" i="6"/>
  <c r="BH9" i="6"/>
  <c r="BT39" i="6"/>
  <c r="BT22" i="6"/>
  <c r="BT32" i="6"/>
  <c r="BT7" i="6"/>
  <c r="BT38" i="6"/>
  <c r="BT24" i="6"/>
  <c r="BT19" i="6"/>
  <c r="BH29" i="6"/>
  <c r="BH41" i="6"/>
  <c r="BH16" i="6"/>
  <c r="BH36" i="6"/>
  <c r="BT25" i="6"/>
  <c r="BT14" i="6"/>
  <c r="BT46" i="6"/>
  <c r="BT48" i="6"/>
  <c r="BT35" i="6"/>
  <c r="BH38" i="6"/>
  <c r="BH48" i="6"/>
  <c r="BH43" i="6"/>
  <c r="BH6" i="6"/>
  <c r="BH7" i="6"/>
  <c r="BH40" i="6"/>
  <c r="BH50" i="6"/>
  <c r="BH24" i="6"/>
  <c r="BH10" i="6"/>
  <c r="BH19" i="6"/>
  <c r="BT17" i="6"/>
  <c r="BT11" i="6"/>
  <c r="BT37" i="6"/>
  <c r="BT33" i="6"/>
  <c r="BH21" i="6"/>
  <c r="BH46" i="6"/>
  <c r="BH55" i="6"/>
  <c r="BH15" i="6"/>
  <c r="BH28" i="6"/>
  <c r="BH27" i="6"/>
  <c r="BH33" i="6"/>
  <c r="BH12" i="6"/>
  <c r="BH32" i="6"/>
  <c r="BH45" i="6"/>
  <c r="BT5" i="6"/>
  <c r="BT47" i="6"/>
  <c r="BT13" i="6"/>
  <c r="BT31" i="6"/>
  <c r="BT49" i="6"/>
  <c r="BT28" i="6"/>
  <c r="BT53" i="6"/>
  <c r="BT23" i="6"/>
  <c r="BT50" i="6"/>
  <c r="BT12" i="6"/>
  <c r="BT16" i="6"/>
  <c r="BT15" i="6"/>
  <c r="BT6" i="6"/>
  <c r="BT42" i="6"/>
  <c r="BT20" i="6"/>
  <c r="BT26" i="6"/>
  <c r="BT21" i="6"/>
  <c r="BT27" i="6"/>
  <c r="BT45" i="6"/>
  <c r="BT54" i="6"/>
  <c r="M19" i="1" l="1"/>
  <c r="M20" i="1" s="1"/>
  <c r="BY83" i="6"/>
  <c r="BY61" i="6"/>
  <c r="BY12" i="6"/>
  <c r="BY78" i="6"/>
  <c r="BY54" i="6"/>
  <c r="BY99" i="6"/>
  <c r="BY91" i="6"/>
  <c r="BY84" i="6"/>
  <c r="BY79" i="6"/>
  <c r="BY80" i="6"/>
  <c r="BY67" i="6"/>
  <c r="BY60" i="6"/>
  <c r="BY50" i="6"/>
  <c r="BY26" i="6"/>
  <c r="BY19" i="6"/>
  <c r="BY13" i="6"/>
  <c r="BY100" i="6"/>
  <c r="BY92" i="6"/>
  <c r="BY85" i="6"/>
  <c r="BY69" i="6"/>
  <c r="BY75" i="6"/>
  <c r="BY65" i="6"/>
  <c r="BY58" i="6"/>
  <c r="BY51" i="6"/>
  <c r="BY43" i="6"/>
  <c r="BY34" i="6"/>
  <c r="BY27" i="6"/>
  <c r="BY16" i="6"/>
  <c r="BY17" i="6"/>
  <c r="BY11" i="6"/>
  <c r="BY23" i="6"/>
  <c r="BY24" i="6"/>
  <c r="BY98" i="6"/>
  <c r="BY89" i="6"/>
  <c r="BY81" i="6"/>
  <c r="BY73" i="6"/>
  <c r="BY68" i="6"/>
  <c r="BY57" i="6"/>
  <c r="BY52" i="6"/>
  <c r="BY42" i="6"/>
  <c r="BY33" i="6"/>
  <c r="BY25" i="6"/>
  <c r="BY20" i="6"/>
  <c r="BY9" i="6"/>
  <c r="BY36" i="6"/>
  <c r="BY37" i="6"/>
  <c r="BY87" i="6"/>
  <c r="BY82" i="6"/>
  <c r="BY71" i="6"/>
  <c r="BY66" i="6"/>
  <c r="BY56" i="6"/>
  <c r="BY59" i="6"/>
  <c r="BY49" i="6"/>
  <c r="BY41" i="6"/>
  <c r="BY35" i="6"/>
  <c r="BY18" i="6"/>
  <c r="BY8" i="6"/>
  <c r="BY44" i="6"/>
  <c r="BY45" i="6"/>
  <c r="BY97" i="6"/>
  <c r="BY90" i="6"/>
  <c r="BY76" i="6"/>
  <c r="BY63" i="6"/>
  <c r="BY64" i="6"/>
  <c r="BY53" i="6"/>
  <c r="BY48" i="6"/>
  <c r="BY39" i="6"/>
  <c r="BY40" i="6"/>
  <c r="BY31" i="6"/>
  <c r="BY32" i="6"/>
  <c r="BY21" i="6"/>
  <c r="BY10" i="6"/>
  <c r="BY93" i="6"/>
  <c r="BY74" i="6"/>
  <c r="BY47" i="6"/>
  <c r="BY30" i="6"/>
  <c r="BY14" i="6"/>
  <c r="BY6" i="6"/>
  <c r="BY4" i="6"/>
  <c r="BY94" i="6"/>
  <c r="BY70" i="6"/>
  <c r="BY86" i="6"/>
  <c r="BY77" i="6"/>
  <c r="BY95" i="6"/>
  <c r="BY96" i="6"/>
  <c r="BY88" i="6"/>
  <c r="BY72" i="6"/>
  <c r="BY62" i="6"/>
  <c r="BY55" i="6"/>
  <c r="BY46" i="6"/>
  <c r="BY38" i="6"/>
  <c r="BY28" i="6"/>
  <c r="BY29" i="6"/>
  <c r="BY22" i="6"/>
  <c r="BY15" i="6"/>
  <c r="BY5" i="6"/>
  <c r="BY7" i="6"/>
  <c r="BZ83" i="6" l="1"/>
  <c r="BZ77" i="6"/>
  <c r="CA77" i="6"/>
  <c r="BZ74" i="6"/>
  <c r="CA74" i="6"/>
  <c r="BZ58" i="6"/>
  <c r="CA58" i="6"/>
  <c r="BZ91" i="6"/>
  <c r="CA91" i="6"/>
  <c r="CA73" i="6"/>
  <c r="BZ73" i="6"/>
  <c r="BZ72" i="6"/>
  <c r="CA72" i="6"/>
  <c r="BZ64" i="6"/>
  <c r="CA64" i="6"/>
  <c r="CA82" i="6"/>
  <c r="BZ82" i="6"/>
  <c r="BZ81" i="6"/>
  <c r="CA81" i="6"/>
  <c r="BZ75" i="6"/>
  <c r="CA75" i="6"/>
  <c r="CA88" i="6"/>
  <c r="BZ88" i="6"/>
  <c r="BZ63" i="6"/>
  <c r="CA63" i="6"/>
  <c r="CA87" i="6"/>
  <c r="CA89" i="6"/>
  <c r="BZ89" i="6"/>
  <c r="BZ69" i="6"/>
  <c r="CA69" i="6"/>
  <c r="BZ60" i="6"/>
  <c r="CA60" i="6"/>
  <c r="BZ87" i="6"/>
  <c r="CA86" i="6"/>
  <c r="BZ86" i="6"/>
  <c r="CA96" i="6"/>
  <c r="BZ96" i="6"/>
  <c r="BZ76" i="6"/>
  <c r="CA76" i="6"/>
  <c r="CA98" i="6"/>
  <c r="BZ98" i="6"/>
  <c r="BZ85" i="6"/>
  <c r="CA85" i="6"/>
  <c r="BZ67" i="6"/>
  <c r="CA67" i="6"/>
  <c r="CA54" i="6"/>
  <c r="BZ54" i="6"/>
  <c r="BZ68" i="6"/>
  <c r="CA68" i="6"/>
  <c r="CA65" i="6"/>
  <c r="BZ65" i="6"/>
  <c r="CA90" i="6"/>
  <c r="BZ90" i="6"/>
  <c r="BZ92" i="6"/>
  <c r="CA92" i="6"/>
  <c r="BZ80" i="6"/>
  <c r="CA80" i="6"/>
  <c r="CA61" i="6"/>
  <c r="BZ59" i="6"/>
  <c r="CA59" i="6"/>
  <c r="BZ100" i="6"/>
  <c r="CA100" i="6"/>
  <c r="CA79" i="6"/>
  <c r="BZ79" i="6"/>
  <c r="BZ61" i="6"/>
  <c r="CA55" i="6"/>
  <c r="BZ55" i="6"/>
  <c r="CA94" i="6"/>
  <c r="BZ94" i="6"/>
  <c r="BZ66" i="6"/>
  <c r="CA66" i="6"/>
  <c r="BZ78" i="6"/>
  <c r="CA62" i="6"/>
  <c r="BZ62" i="6"/>
  <c r="BZ93" i="6"/>
  <c r="CA93" i="6"/>
  <c r="BZ71" i="6"/>
  <c r="CA71" i="6"/>
  <c r="CA99" i="6"/>
  <c r="BZ99" i="6"/>
  <c r="BZ95" i="6"/>
  <c r="CA95" i="6"/>
  <c r="CA5" i="6"/>
  <c r="BZ97" i="6"/>
  <c r="CA97" i="6"/>
  <c r="CA70" i="6"/>
  <c r="BZ70" i="6"/>
  <c r="CA83" i="6"/>
  <c r="CA56" i="6"/>
  <c r="BZ56" i="6"/>
  <c r="CA78" i="6"/>
  <c r="CA57" i="6"/>
  <c r="BZ57" i="6"/>
  <c r="CA84" i="6"/>
  <c r="BZ84" i="6"/>
  <c r="BZ53" i="6"/>
  <c r="CA53" i="6"/>
  <c r="BZ31" i="6"/>
  <c r="BZ35" i="6"/>
  <c r="BZ43" i="6"/>
  <c r="CA43" i="6"/>
  <c r="BZ33" i="6"/>
  <c r="CA33" i="6"/>
  <c r="CA46" i="6"/>
  <c r="BZ46" i="6"/>
  <c r="BZ40" i="6"/>
  <c r="CA40" i="6"/>
  <c r="CA36" i="6"/>
  <c r="BZ36" i="6"/>
  <c r="BZ45" i="6"/>
  <c r="CA45" i="6"/>
  <c r="CA50" i="6"/>
  <c r="BZ50" i="6"/>
  <c r="BZ51" i="6"/>
  <c r="CA51" i="6"/>
  <c r="CA26" i="6"/>
  <c r="BZ26" i="6"/>
  <c r="BZ48" i="6"/>
  <c r="CA48" i="6"/>
  <c r="BZ9" i="6"/>
  <c r="BZ44" i="6"/>
  <c r="CA44" i="6"/>
  <c r="CA18" i="6"/>
  <c r="BZ18" i="6"/>
  <c r="BZ20" i="6"/>
  <c r="CA20" i="6"/>
  <c r="BZ11" i="6"/>
  <c r="BZ49" i="6"/>
  <c r="CA49" i="6"/>
  <c r="CA39" i="6"/>
  <c r="BZ38" i="6"/>
  <c r="CA38" i="6"/>
  <c r="BZ37" i="6"/>
  <c r="CA37" i="6"/>
  <c r="BZ23" i="6"/>
  <c r="CA23" i="6"/>
  <c r="CA10" i="6"/>
  <c r="BZ10" i="6"/>
  <c r="CA28" i="6"/>
  <c r="BZ28" i="6"/>
  <c r="BZ25" i="6"/>
  <c r="CA25" i="6"/>
  <c r="BZ17" i="6"/>
  <c r="CA17" i="6"/>
  <c r="CA32" i="6"/>
  <c r="BZ32" i="6"/>
  <c r="BZ13" i="6"/>
  <c r="CA13" i="6"/>
  <c r="BZ24" i="6"/>
  <c r="CA24" i="6"/>
  <c r="CA19" i="6"/>
  <c r="BZ19" i="6"/>
  <c r="CA31" i="6"/>
  <c r="BZ30" i="6"/>
  <c r="CA30" i="6"/>
  <c r="CA42" i="6"/>
  <c r="BZ42" i="6"/>
  <c r="CA27" i="6"/>
  <c r="BZ27" i="6"/>
  <c r="BZ14" i="6"/>
  <c r="CA14" i="6"/>
  <c r="BZ15" i="6"/>
  <c r="CA15" i="6"/>
  <c r="BZ22" i="6"/>
  <c r="CA22" i="6"/>
  <c r="BZ39" i="6"/>
  <c r="BZ16" i="6"/>
  <c r="CA16" i="6"/>
  <c r="BZ29" i="6"/>
  <c r="CA29" i="6"/>
  <c r="BZ47" i="6"/>
  <c r="CA47" i="6"/>
  <c r="BZ21" i="6"/>
  <c r="CA21" i="6"/>
  <c r="BZ41" i="6"/>
  <c r="CA41" i="6"/>
  <c r="BZ52" i="6"/>
  <c r="CA52" i="6"/>
  <c r="CA35" i="6"/>
  <c r="CA34" i="6"/>
  <c r="BZ34" i="6"/>
  <c r="BZ12" i="6"/>
  <c r="CA12" i="6"/>
  <c r="BZ5" i="6"/>
  <c r="CA6" i="6"/>
  <c r="CA8" i="6"/>
  <c r="BZ8" i="6"/>
  <c r="CA9" i="6"/>
  <c r="CA11" i="6"/>
  <c r="BZ7" i="6"/>
  <c r="CA7" i="6"/>
  <c r="BZ6" i="6"/>
  <c r="X4" i="10" l="1"/>
  <c r="BF4" i="6"/>
  <c r="BS4" i="6" s="1"/>
  <c r="BT4" i="6" s="1"/>
  <c r="BG4" i="6" l="1"/>
  <c r="BH5" i="6" s="1"/>
</calcChain>
</file>

<file path=xl/sharedStrings.xml><?xml version="1.0" encoding="utf-8"?>
<sst xmlns="http://schemas.openxmlformats.org/spreadsheetml/2006/main" count="266" uniqueCount="213">
  <si>
    <t>Production function</t>
  </si>
  <si>
    <t>Damages</t>
  </si>
  <si>
    <t xml:space="preserve">Stranding costs </t>
  </si>
  <si>
    <t>TCRE</t>
  </si>
  <si>
    <t>Discount rate</t>
  </si>
  <si>
    <t>g</t>
  </si>
  <si>
    <t>Period</t>
  </si>
  <si>
    <t>decay rate of capital</t>
  </si>
  <si>
    <t>Initial states</t>
  </si>
  <si>
    <t>investment adjustment cost</t>
  </si>
  <si>
    <t>g_L</t>
  </si>
  <si>
    <t>labour growth</t>
  </si>
  <si>
    <t>share parameter of clean capital</t>
  </si>
  <si>
    <t>r-g</t>
  </si>
  <si>
    <t>decay rate of capital per unit of effective labour</t>
  </si>
  <si>
    <t>investment constant</t>
  </si>
  <si>
    <t>share parameter of dirty capital</t>
  </si>
  <si>
    <t>total capital</t>
  </si>
  <si>
    <t>autonomous decrease in carbon intensity</t>
  </si>
  <si>
    <t>MAC</t>
  </si>
  <si>
    <t>id MA</t>
  </si>
  <si>
    <t>ic MA</t>
  </si>
  <si>
    <t>Technical change</t>
  </si>
  <si>
    <t>share of exogenous TC</t>
  </si>
  <si>
    <t>if MA</t>
  </si>
  <si>
    <t>emissions</t>
  </si>
  <si>
    <t>k_ramsey</t>
  </si>
  <si>
    <t>k steady state in Ramsey model (without energy)k=((sigma+delta+etag)/alpha)^(1/alpha-1)</t>
  </si>
  <si>
    <t>shift in the MAC curve (0.01)</t>
  </si>
  <si>
    <t xml:space="preserve">Model </t>
  </si>
  <si>
    <t>Squared Error</t>
  </si>
  <si>
    <t>MedianIPCC</t>
  </si>
  <si>
    <t>P25_IPCC</t>
  </si>
  <si>
    <t>P75_IPCC</t>
  </si>
  <si>
    <t>TAC</t>
  </si>
  <si>
    <t>combined error</t>
  </si>
  <si>
    <t>time step</t>
  </si>
  <si>
    <t>Clean adj costs (% of investment)</t>
  </si>
  <si>
    <t>Dirty adjustment costs (% of investment)</t>
  </si>
  <si>
    <t>discount factor</t>
  </si>
  <si>
    <t>ratio of renewable over all energy  from IEA (should be 0.16)</t>
  </si>
  <si>
    <t>mean emissions intensity at start</t>
  </si>
  <si>
    <t>ratio clean/dirty adj costs</t>
  </si>
  <si>
    <t>investment adjustment cost for negative investments</t>
  </si>
  <si>
    <t>share of capital income in national income</t>
  </si>
  <si>
    <t>y_kd-y_kc</t>
  </si>
  <si>
    <t>r</t>
  </si>
  <si>
    <t>change id ic</t>
  </si>
  <si>
    <t>id² ic²</t>
  </si>
  <si>
    <t>Intercept</t>
  </si>
  <si>
    <t>varespilon</t>
  </si>
  <si>
    <t>parameter in softplus function</t>
  </si>
  <si>
    <t>U_c</t>
  </si>
  <si>
    <t>dP/dKs</t>
  </si>
  <si>
    <t>lambdaks</t>
  </si>
  <si>
    <t>lambdaS</t>
  </si>
  <si>
    <t>lambdakc</t>
  </si>
  <si>
    <t>g_lambdakc</t>
  </si>
  <si>
    <t>lambdakf</t>
  </si>
  <si>
    <t>g_lambdakf</t>
  </si>
  <si>
    <t>lambdakd</t>
  </si>
  <si>
    <t>lmbdks-lmbdkd</t>
  </si>
  <si>
    <t>dP/dKd</t>
  </si>
  <si>
    <t>vareps2</t>
  </si>
  <si>
    <t>shift in softplus of stranding (0.004)</t>
  </si>
  <si>
    <t>dP/Ks-dP/dKd</t>
  </si>
  <si>
    <t>g_lambdakd</t>
  </si>
  <si>
    <t>d_lambdakd</t>
  </si>
  <si>
    <t>ks/(kd+ks)</t>
  </si>
  <si>
    <t>dP/dkd</t>
  </si>
  <si>
    <t>dP/dks</t>
  </si>
  <si>
    <t>P_BAU</t>
  </si>
  <si>
    <t>lambdaS*dP/dks</t>
  </si>
  <si>
    <t>lambdaT</t>
  </si>
  <si>
    <t>endog TC missing</t>
  </si>
  <si>
    <t>g_lambdaT</t>
  </si>
  <si>
    <t>ss lambdaT</t>
  </si>
  <si>
    <t>Y_E*E/Y</t>
  </si>
  <si>
    <t>Y_kf*kf/Y</t>
  </si>
  <si>
    <t>share of final capital income in GDP</t>
  </si>
  <si>
    <t>share of energy capital in GDP</t>
  </si>
  <si>
    <t>ratio of renewable over clean energy</t>
  </si>
  <si>
    <t>LR elasticity wrt M for initial clean productivity</t>
  </si>
  <si>
    <t>E_kc at initial capital ratios</t>
  </si>
  <si>
    <t>total damage for 1°C/2 (0.0154 before)</t>
  </si>
  <si>
    <t>Learning rate</t>
  </si>
  <si>
    <t>elasticity wrt M for LT clean productivity</t>
  </si>
  <si>
    <t>Learning rate at initial k_j</t>
  </si>
  <si>
    <t>δ</t>
  </si>
  <si>
    <r>
      <rPr>
        <sz val="11"/>
        <color theme="1"/>
        <rFont val="Aptos Narrow"/>
        <family val="2"/>
      </rPr>
      <t>δ</t>
    </r>
    <r>
      <rPr>
        <sz val="11"/>
        <color theme="1"/>
        <rFont val="Calibri"/>
        <family val="2"/>
        <scheme val="minor"/>
      </rPr>
      <t>+g_L+g</t>
    </r>
  </si>
  <si>
    <t>χ</t>
  </si>
  <si>
    <r>
      <rPr>
        <sz val="11"/>
        <color theme="1"/>
        <rFont val="Aptos Narrow"/>
        <family val="2"/>
      </rPr>
      <t>χ</t>
    </r>
    <r>
      <rPr>
        <sz val="11"/>
        <color theme="1"/>
        <rFont val="Calibri"/>
        <family val="2"/>
        <scheme val="minor"/>
      </rPr>
      <t>_s</t>
    </r>
  </si>
  <si>
    <t>α</t>
  </si>
  <si>
    <r>
      <rPr>
        <sz val="11"/>
        <color theme="1"/>
        <rFont val="Aptos Narrow"/>
        <family val="2"/>
      </rPr>
      <t>σ</t>
    </r>
    <r>
      <rPr>
        <sz val="11"/>
        <color theme="1"/>
        <rFont val="Calibri"/>
        <family val="2"/>
        <scheme val="minor"/>
      </rPr>
      <t>_f</t>
    </r>
  </si>
  <si>
    <r>
      <rPr>
        <sz val="11"/>
        <color theme="1"/>
        <rFont val="Aptos Narrow"/>
        <family val="2"/>
      </rPr>
      <t>ε</t>
    </r>
    <r>
      <rPr>
        <sz val="11"/>
        <color theme="1"/>
        <rFont val="Calibri"/>
        <family val="2"/>
        <scheme val="minor"/>
      </rPr>
      <t>_f</t>
    </r>
  </si>
  <si>
    <r>
      <rPr>
        <sz val="11"/>
        <color theme="1"/>
        <rFont val="Aptos Narrow"/>
        <family val="2"/>
      </rPr>
      <t>φ</t>
    </r>
    <r>
      <rPr>
        <sz val="11"/>
        <color theme="1"/>
        <rFont val="Calibri"/>
        <family val="2"/>
        <scheme val="minor"/>
      </rPr>
      <t>_f</t>
    </r>
  </si>
  <si>
    <r>
      <rPr>
        <sz val="11"/>
        <color theme="1"/>
        <rFont val="Aptos Narrow"/>
        <family val="2"/>
      </rPr>
      <t>φ</t>
    </r>
    <r>
      <rPr>
        <sz val="11"/>
        <color theme="1"/>
        <rFont val="Calibri"/>
        <family val="2"/>
        <scheme val="minor"/>
      </rPr>
      <t>_E</t>
    </r>
  </si>
  <si>
    <r>
      <rPr>
        <sz val="11"/>
        <color theme="1"/>
        <rFont val="Aptos Narrow"/>
        <family val="2"/>
      </rPr>
      <t>σ[</t>
    </r>
    <r>
      <rPr>
        <sz val="11"/>
        <color theme="1"/>
        <rFont val="Calibri"/>
        <family val="2"/>
        <scheme val="minor"/>
      </rPr>
      <t>0]</t>
    </r>
  </si>
  <si>
    <r>
      <rPr>
        <sz val="11"/>
        <color theme="1"/>
        <rFont val="Aptos Narrow"/>
        <family val="2"/>
      </rPr>
      <t>ε</t>
    </r>
    <r>
      <rPr>
        <sz val="9.9"/>
        <color theme="1"/>
        <rFont val="Calibri"/>
        <family val="2"/>
      </rPr>
      <t>[0]</t>
    </r>
  </si>
  <si>
    <r>
      <rPr>
        <sz val="11"/>
        <color theme="1"/>
        <rFont val="Aptos Narrow"/>
        <family val="2"/>
      </rPr>
      <t>θ</t>
    </r>
    <r>
      <rPr>
        <sz val="11"/>
        <color theme="1"/>
        <rFont val="Calibri"/>
        <family val="2"/>
        <scheme val="minor"/>
      </rPr>
      <t>_d</t>
    </r>
  </si>
  <si>
    <r>
      <t>k_c/(k_c+k_d+</t>
    </r>
    <r>
      <rPr>
        <sz val="11"/>
        <color theme="1"/>
        <rFont val="Aptos Narrow"/>
        <family val="2"/>
      </rPr>
      <t>ξ</t>
    </r>
    <r>
      <rPr>
        <sz val="11"/>
        <color theme="1"/>
        <rFont val="Calibri"/>
        <family val="2"/>
        <scheme val="minor"/>
      </rPr>
      <t>)</t>
    </r>
  </si>
  <si>
    <r>
      <rPr>
        <sz val="11"/>
        <color theme="1"/>
        <rFont val="Aptos Narrow"/>
        <family val="2"/>
      </rPr>
      <t>θ</t>
    </r>
    <r>
      <rPr>
        <sz val="11"/>
        <color theme="1"/>
        <rFont val="Calibri"/>
        <family val="2"/>
        <scheme val="minor"/>
      </rPr>
      <t>_c</t>
    </r>
  </si>
  <si>
    <r>
      <t>k_c/(k_d+</t>
    </r>
    <r>
      <rPr>
        <sz val="11"/>
        <color theme="1"/>
        <rFont val="Aptos Narrow"/>
        <family val="2"/>
      </rPr>
      <t>ξ</t>
    </r>
    <r>
      <rPr>
        <sz val="11"/>
        <color theme="1"/>
        <rFont val="Calibri"/>
        <family val="2"/>
        <scheme val="minor"/>
      </rPr>
      <t>)</t>
    </r>
  </si>
  <si>
    <r>
      <rPr>
        <sz val="11"/>
        <color theme="1"/>
        <rFont val="Aptos Narrow"/>
        <family val="2"/>
      </rPr>
      <t>φ</t>
    </r>
    <r>
      <rPr>
        <sz val="11"/>
        <color theme="1"/>
        <rFont val="Calibri"/>
        <family val="2"/>
        <scheme val="minor"/>
      </rPr>
      <t>_c</t>
    </r>
  </si>
  <si>
    <r>
      <rPr>
        <sz val="11"/>
        <color theme="1"/>
        <rFont val="Aptos Narrow"/>
        <family val="2"/>
      </rPr>
      <t>φ</t>
    </r>
    <r>
      <rPr>
        <sz val="11"/>
        <color theme="1"/>
        <rFont val="Calibri"/>
        <family val="2"/>
        <scheme val="minor"/>
      </rPr>
      <t>_d</t>
    </r>
  </si>
  <si>
    <t>ξ</t>
  </si>
  <si>
    <t>k_d[0]</t>
  </si>
  <si>
    <t>k_c[0]</t>
  </si>
  <si>
    <t>k_f[0]</t>
  </si>
  <si>
    <t>L[0]</t>
  </si>
  <si>
    <t>A[0]</t>
  </si>
  <si>
    <t>Y[0]</t>
  </si>
  <si>
    <t>K_d[0]</t>
  </si>
  <si>
    <t>K_c[0]</t>
  </si>
  <si>
    <t>K_f[0]</t>
  </si>
  <si>
    <t>K[0]=(k_f[0]+k_d[0]+k_c[0])*A[0]L[0]</t>
  </si>
  <si>
    <t>E[0]</t>
  </si>
  <si>
    <t>k_c/(k_c+k_d)</t>
  </si>
  <si>
    <t>k_d[0] theory</t>
  </si>
  <si>
    <t>k_c[0] theory</t>
  </si>
  <si>
    <t>k_f[0] theory</t>
  </si>
  <si>
    <r>
      <t>A[0]L[0]</t>
    </r>
    <r>
      <rPr>
        <sz val="11"/>
        <color theme="1"/>
        <rFont val="Aptos Narrow"/>
        <family val="2"/>
      </rPr>
      <t>ψ</t>
    </r>
    <r>
      <rPr>
        <sz val="11"/>
        <color theme="1"/>
        <rFont val="Calibri"/>
        <family val="2"/>
        <scheme val="minor"/>
      </rPr>
      <t>/(</t>
    </r>
    <r>
      <rPr>
        <sz val="11"/>
        <color theme="1"/>
        <rFont val="Aptos Narrow"/>
        <family val="2"/>
      </rPr>
      <t>σ</t>
    </r>
    <r>
      <rPr>
        <sz val="11"/>
        <color theme="1"/>
        <rFont val="Calibri"/>
        <family val="2"/>
        <scheme val="minor"/>
      </rPr>
      <t>+g_</t>
    </r>
    <r>
      <rPr>
        <sz val="11"/>
        <color theme="1"/>
        <rFont val="Aptos Narrow"/>
        <family val="2"/>
      </rPr>
      <t>ψ</t>
    </r>
    <r>
      <rPr>
        <sz val="11"/>
        <color theme="1"/>
        <rFont val="Calibri"/>
        <family val="2"/>
        <scheme val="minor"/>
      </rPr>
      <t>)</t>
    </r>
  </si>
  <si>
    <r>
      <rPr>
        <sz val="11"/>
        <color theme="1"/>
        <rFont val="Aptos Narrow"/>
        <family val="2"/>
      </rPr>
      <t>ψ_</t>
    </r>
    <r>
      <rPr>
        <sz val="11"/>
        <color theme="1"/>
        <rFont val="Calibri"/>
        <family val="2"/>
        <scheme val="minor"/>
      </rPr>
      <t>1</t>
    </r>
  </si>
  <si>
    <r>
      <rPr>
        <sz val="11"/>
        <color theme="1"/>
        <rFont val="Aptos Narrow"/>
        <family val="2"/>
      </rPr>
      <t>ψ</t>
    </r>
    <r>
      <rPr>
        <sz val="9.9"/>
        <color theme="1"/>
        <rFont val="Calibri"/>
        <family val="2"/>
      </rPr>
      <t>_</t>
    </r>
    <r>
      <rPr>
        <sz val="11"/>
        <color theme="1"/>
        <rFont val="Calibri"/>
        <family val="2"/>
        <scheme val="minor"/>
      </rPr>
      <t>2</t>
    </r>
  </si>
  <si>
    <r>
      <rPr>
        <sz val="11"/>
        <color theme="1"/>
        <rFont val="Aptos Narrow"/>
        <family val="2"/>
      </rPr>
      <t>ψ</t>
    </r>
    <r>
      <rPr>
        <sz val="9.9"/>
        <color theme="1"/>
        <rFont val="Calibri"/>
        <family val="2"/>
      </rPr>
      <t>_</t>
    </r>
    <r>
      <rPr>
        <sz val="11"/>
        <color theme="1"/>
        <rFont val="Calibri"/>
        <family val="2"/>
        <scheme val="minor"/>
      </rPr>
      <t>3</t>
    </r>
  </si>
  <si>
    <r>
      <rPr>
        <sz val="11"/>
        <color theme="1"/>
        <rFont val="Aptos Narrow"/>
        <family val="2"/>
      </rPr>
      <t>ψ</t>
    </r>
    <r>
      <rPr>
        <sz val="11"/>
        <color theme="1"/>
        <rFont val="Calibri"/>
        <family val="2"/>
        <scheme val="minor"/>
      </rPr>
      <t>_min</t>
    </r>
  </si>
  <si>
    <t>\bar{ψ}</t>
  </si>
  <si>
    <r>
      <t>g_</t>
    </r>
    <r>
      <rPr>
        <sz val="11"/>
        <color theme="1"/>
        <rFont val="Aptos Narrow"/>
        <family val="2"/>
      </rPr>
      <t>ψ</t>
    </r>
  </si>
  <si>
    <t>ζ</t>
  </si>
  <si>
    <t>γ</t>
  </si>
  <si>
    <t>T[0]</t>
  </si>
  <si>
    <t>ρ</t>
  </si>
  <si>
    <t>η</t>
  </si>
  <si>
    <r>
      <t>r+</t>
    </r>
    <r>
      <rPr>
        <sz val="11"/>
        <color theme="1"/>
        <rFont val="Aptos Narrow"/>
        <family val="2"/>
      </rPr>
      <t>δ</t>
    </r>
    <r>
      <rPr>
        <sz val="11"/>
        <color theme="1"/>
        <rFont val="Calibri"/>
        <family val="2"/>
        <scheme val="minor"/>
      </rPr>
      <t>+g_L</t>
    </r>
  </si>
  <si>
    <t>β</t>
  </si>
  <si>
    <r>
      <t>g_</t>
    </r>
    <r>
      <rPr>
        <sz val="11"/>
        <color theme="1"/>
        <rFont val="Aptos Narrow"/>
        <family val="2"/>
      </rPr>
      <t>σ</t>
    </r>
  </si>
  <si>
    <t>ω</t>
  </si>
  <si>
    <t>M[0]</t>
  </si>
  <si>
    <t xml:space="preserve">elasticity of substitution between energy and final capital </t>
  </si>
  <si>
    <t>1-1/sigma</t>
  </si>
  <si>
    <t>share parameter of final-good capital</t>
  </si>
  <si>
    <t>share parameter of energy capital, using Y_k_f=Y_k_c</t>
  </si>
  <si>
    <t>elasticity of substitution between clean and dirty capital in energy sector (initially 2)</t>
  </si>
  <si>
    <t>ratio of dirty capital over final capital (k_d+xi)/k_f</t>
  </si>
  <si>
    <t>ratio of renewable capital over final capital k_c/k_f</t>
  </si>
  <si>
    <t>initial dirty capital (ss in constantT&amp;epsilon sheet)</t>
  </si>
  <si>
    <t>initial clean capital (ss in constantT&amp;epsilon sheet)</t>
  </si>
  <si>
    <t>initial final capital (ss in constantT&amp;epsilon sheet)</t>
  </si>
  <si>
    <t>initial Labour</t>
  </si>
  <si>
    <t>tfp (targeting Y0)</t>
  </si>
  <si>
    <t>initial GDP (trillion $, MERs)</t>
  </si>
  <si>
    <t xml:space="preserve">initial business as usual emissions </t>
  </si>
  <si>
    <t>slightly higher than in theory, due to effect of z</t>
  </si>
  <si>
    <t>cumulative stranded emissions per unit of stranded capital k_s at time zero</t>
  </si>
  <si>
    <t>highest carbon intensity in GtCO2/T$, that is kg per $ (sum of a and c from calibration)</t>
  </si>
  <si>
    <t>degrowth rate of psi as a function of cumulative stranded emissions (calibrated parameter per Billion $ multiplied by 1000)</t>
  </si>
  <si>
    <t>lowest emissions intensity of capital at start</t>
  </si>
  <si>
    <t>initial temperature</t>
  </si>
  <si>
    <t xml:space="preserve">pure time preference rate </t>
  </si>
  <si>
    <t>elasticity of marginal utility of consumption</t>
  </si>
  <si>
    <t>productivity growth</t>
  </si>
  <si>
    <t>growth rate of exogenous TC</t>
  </si>
  <si>
    <t>initial cumulative abatement</t>
  </si>
  <si>
    <t>elasticity of endogenous TC</t>
  </si>
  <si>
    <t>i_d[t]</t>
  </si>
  <si>
    <t>i_c[t]</t>
  </si>
  <si>
    <t>i_f[t]</t>
  </si>
  <si>
    <t>k_d[t]</t>
  </si>
  <si>
    <t>k_c[t]</t>
  </si>
  <si>
    <t>k_f[t]</t>
  </si>
  <si>
    <t>k_s[t]</t>
  </si>
  <si>
    <t>L[t]</t>
  </si>
  <si>
    <t>A[t]</t>
  </si>
  <si>
    <t>P[t]</t>
  </si>
  <si>
    <t>S[t]</t>
  </si>
  <si>
    <t>T[t]</t>
  </si>
  <si>
    <r>
      <rPr>
        <sz val="11"/>
        <color theme="1"/>
        <rFont val="Aptos Narrow"/>
        <family val="2"/>
      </rPr>
      <t>Ω</t>
    </r>
    <r>
      <rPr>
        <sz val="11"/>
        <color theme="1"/>
        <rFont val="Calibri"/>
        <family val="2"/>
      </rPr>
      <t>[t]</t>
    </r>
  </si>
  <si>
    <t>M[t]/M[0]</t>
  </si>
  <si>
    <r>
      <rPr>
        <sz val="11"/>
        <color theme="1"/>
        <rFont val="Aptos Narrow"/>
        <family val="2"/>
      </rPr>
      <t>ω</t>
    </r>
    <r>
      <rPr>
        <sz val="11"/>
        <color theme="1"/>
        <rFont val="Calibri"/>
        <family val="2"/>
      </rPr>
      <t>*</t>
    </r>
    <r>
      <rPr>
        <sz val="11"/>
        <color theme="1"/>
        <rFont val="Calibri"/>
        <family val="2"/>
        <scheme val="minor"/>
      </rPr>
      <t>exp(g_</t>
    </r>
    <r>
      <rPr>
        <sz val="11"/>
        <color theme="1"/>
        <rFont val="Aptos Narrow"/>
        <family val="2"/>
      </rPr>
      <t>σ</t>
    </r>
    <r>
      <rPr>
        <sz val="11"/>
        <color theme="1"/>
        <rFont val="Calibri"/>
        <family val="2"/>
        <scheme val="minor"/>
      </rPr>
      <t>)*t</t>
    </r>
  </si>
  <si>
    <r>
      <t>ω*M[t]^-</t>
    </r>
    <r>
      <rPr>
        <i/>
        <sz val="11"/>
        <color theme="1"/>
        <rFont val="Aptos Narrow"/>
        <family val="2"/>
      </rPr>
      <t>ρ</t>
    </r>
  </si>
  <si>
    <t>TC[t]</t>
  </si>
  <si>
    <r>
      <rPr>
        <sz val="11"/>
        <color theme="1"/>
        <rFont val="Aptos Narrow"/>
        <family val="2"/>
      </rPr>
      <t>ε</t>
    </r>
    <r>
      <rPr>
        <sz val="11"/>
        <color theme="1"/>
        <rFont val="Calibri"/>
        <family val="2"/>
      </rPr>
      <t>[t]</t>
    </r>
  </si>
  <si>
    <r>
      <rPr>
        <sz val="11"/>
        <color theme="1"/>
        <rFont val="Aptos Narrow"/>
        <family val="2"/>
      </rPr>
      <t>σ</t>
    </r>
    <r>
      <rPr>
        <sz val="11"/>
        <color theme="1"/>
        <rFont val="Calibri"/>
        <family val="2"/>
      </rPr>
      <t>[t]</t>
    </r>
  </si>
  <si>
    <t>E[t]/(A[t]*L[t])</t>
  </si>
  <si>
    <t>y[t]</t>
  </si>
  <si>
    <t>c[t]</t>
  </si>
  <si>
    <r>
      <rPr>
        <sz val="11"/>
        <color theme="1"/>
        <rFont val="Aptos Narrow"/>
        <family val="2"/>
      </rPr>
      <t>β</t>
    </r>
    <r>
      <rPr>
        <sz val="11"/>
        <color theme="1"/>
        <rFont val="Calibri"/>
        <family val="2"/>
      </rPr>
      <t>^t</t>
    </r>
  </si>
  <si>
    <t>β^t * u(c[t])</t>
  </si>
  <si>
    <t>W</t>
  </si>
  <si>
    <t>K_s[t]</t>
  </si>
  <si>
    <t>K_d[t]</t>
  </si>
  <si>
    <t>E[t]</t>
  </si>
  <si>
    <t>Y[t]</t>
  </si>
  <si>
    <t>Mgl damage[t] (utils)</t>
  </si>
  <si>
    <t>Mgl damage[t] ($)</t>
  </si>
  <si>
    <t>SCC[t]</t>
  </si>
  <si>
    <t>s[t]</t>
  </si>
  <si>
    <t>TAC[t]</t>
  </si>
  <si>
    <t>MAC[t]</t>
  </si>
  <si>
    <t>i_d MA[t]</t>
  </si>
  <si>
    <t>i_c MA[t]</t>
  </si>
  <si>
    <t>i_f MA[t]</t>
  </si>
  <si>
    <t>6 states: k_f, k_d, k_c, k_s, T, time</t>
  </si>
  <si>
    <t>Year</t>
  </si>
  <si>
    <t>K_c[t]</t>
  </si>
  <si>
    <t>E[t]/E[0]</t>
  </si>
  <si>
    <t>C[t]</t>
  </si>
  <si>
    <t>g_Y[t]</t>
  </si>
  <si>
    <t>g_C[t]</t>
  </si>
  <si>
    <t>g_Y[t] (5-year moving average)</t>
  </si>
  <si>
    <t>g_C[t] (5-year moving average)</t>
  </si>
  <si>
    <t>I_c[t]</t>
  </si>
  <si>
    <t>I_d[t]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</si>
</sst>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00"/>
    <numFmt numFmtId="165" formatCode="0.000"/>
    <numFmt numFmtId="166" formatCode="0.0%"/>
    <numFmt numFmtId="167" formatCode="0.0000"/>
    <numFmt numFmtId="168" formatCode="0.0E+00"/>
    <numFmt numFmtId="169" formatCode="0.0"/>
    <numFmt numFmtId="170" formatCode="0.000000000000000"/>
    <numFmt numFmtId="171" formatCode="0.00000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  <font>
      <sz val="9.9"/>
      <color theme="1"/>
      <name val="Calibri"/>
      <family val="2"/>
    </font>
    <font>
      <i/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7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1" xfId="0" applyBorder="1"/>
    <xf numFmtId="0" fontId="0" fillId="0" borderId="0" xfId="0" applyBorder="1"/>
    <xf numFmtId="164" fontId="0" fillId="0" borderId="0" xfId="0" applyNumberFormat="1"/>
    <xf numFmtId="11" fontId="0" fillId="0" borderId="0" xfId="0" applyNumberFormat="1"/>
    <xf numFmtId="2" fontId="0" fillId="0" borderId="0" xfId="0" applyNumberFormat="1"/>
    <xf numFmtId="1" fontId="0" fillId="0" borderId="0" xfId="0" applyNumberFormat="1"/>
    <xf numFmtId="165" fontId="0" fillId="0" borderId="0" xfId="0" applyNumberFormat="1"/>
    <xf numFmtId="0" fontId="3" fillId="0" borderId="0" xfId="0" applyFont="1"/>
    <xf numFmtId="165" fontId="1" fillId="0" borderId="0" xfId="0" applyNumberFormat="1" applyFont="1"/>
    <xf numFmtId="1" fontId="0" fillId="0" borderId="0" xfId="0" applyNumberFormat="1" applyFont="1"/>
    <xf numFmtId="166" fontId="0" fillId="0" borderId="0" xfId="1" applyNumberFormat="1" applyFont="1"/>
    <xf numFmtId="164" fontId="0" fillId="0" borderId="0" xfId="0" applyNumberFormat="1" applyFont="1"/>
    <xf numFmtId="2" fontId="0" fillId="0" borderId="0" xfId="0" applyNumberFormat="1" applyFont="1"/>
    <xf numFmtId="2" fontId="0" fillId="0" borderId="0" xfId="0" applyNumberFormat="1" applyBorder="1"/>
    <xf numFmtId="2" fontId="0" fillId="0" borderId="1" xfId="0" applyNumberFormat="1" applyBorder="1"/>
    <xf numFmtId="2" fontId="3" fillId="0" borderId="0" xfId="0" applyNumberFormat="1" applyFont="1"/>
    <xf numFmtId="165" fontId="3" fillId="0" borderId="0" xfId="0" applyNumberFormat="1" applyFont="1"/>
    <xf numFmtId="1" fontId="3" fillId="0" borderId="0" xfId="0" applyNumberFormat="1" applyFont="1"/>
    <xf numFmtId="168" fontId="0" fillId="0" borderId="0" xfId="0" applyNumberFormat="1"/>
    <xf numFmtId="165" fontId="0" fillId="0" borderId="1" xfId="0" applyNumberFormat="1" applyBorder="1"/>
    <xf numFmtId="169" fontId="0" fillId="0" borderId="0" xfId="0" applyNumberFormat="1"/>
    <xf numFmtId="169" fontId="0" fillId="0" borderId="1" xfId="0" applyNumberFormat="1" applyBorder="1"/>
    <xf numFmtId="1" fontId="0" fillId="0" borderId="0" xfId="0" applyNumberFormat="1" applyBorder="1"/>
    <xf numFmtId="1" fontId="0" fillId="0" borderId="1" xfId="0" applyNumberFormat="1" applyBorder="1"/>
    <xf numFmtId="165" fontId="0" fillId="0" borderId="0" xfId="0" applyNumberFormat="1" applyFont="1"/>
    <xf numFmtId="167" fontId="0" fillId="0" borderId="0" xfId="0" applyNumberFormat="1"/>
    <xf numFmtId="2" fontId="0" fillId="2" borderId="0" xfId="0" applyNumberFormat="1" applyFill="1"/>
    <xf numFmtId="2" fontId="0" fillId="0" borderId="0" xfId="1" applyNumberFormat="1" applyFont="1"/>
    <xf numFmtId="166" fontId="0" fillId="0" borderId="1" xfId="1" applyNumberFormat="1" applyFont="1" applyBorder="1"/>
    <xf numFmtId="9" fontId="0" fillId="0" borderId="0" xfId="1" applyFont="1"/>
    <xf numFmtId="170" fontId="0" fillId="0" borderId="0" xfId="0" applyNumberFormat="1" applyFont="1"/>
    <xf numFmtId="11" fontId="3" fillId="0" borderId="0" xfId="0" applyNumberFormat="1" applyFont="1"/>
    <xf numFmtId="2" fontId="4" fillId="0" borderId="0" xfId="0" applyNumberFormat="1" applyFont="1"/>
    <xf numFmtId="0" fontId="0" fillId="0" borderId="0" xfId="0" applyAlignment="1">
      <alignment wrapText="1"/>
    </xf>
    <xf numFmtId="1" fontId="0" fillId="0" borderId="0" xfId="0" applyNumberFormat="1" applyFont="1" applyBorder="1"/>
    <xf numFmtId="0" fontId="0" fillId="0" borderId="0" xfId="0" applyFont="1" applyBorder="1"/>
    <xf numFmtId="2" fontId="0" fillId="0" borderId="0" xfId="0" applyNumberFormat="1" applyFont="1" applyBorder="1"/>
    <xf numFmtId="165" fontId="0" fillId="0" borderId="0" xfId="0" applyNumberFormat="1" applyFont="1" applyBorder="1"/>
    <xf numFmtId="169" fontId="0" fillId="0" borderId="0" xfId="0" applyNumberFormat="1" applyFont="1" applyBorder="1"/>
    <xf numFmtId="9" fontId="0" fillId="0" borderId="0" xfId="1" applyFont="1" applyBorder="1"/>
    <xf numFmtId="166" fontId="0" fillId="0" borderId="0" xfId="1" applyNumberFormat="1" applyFont="1" applyBorder="1"/>
    <xf numFmtId="169" fontId="0" fillId="0" borderId="0" xfId="0" applyNumberFormat="1" applyBorder="1"/>
    <xf numFmtId="165" fontId="3" fillId="0" borderId="0" xfId="0" applyNumberFormat="1" applyFont="1" applyBorder="1"/>
    <xf numFmtId="165" fontId="4" fillId="0" borderId="0" xfId="0" applyNumberFormat="1" applyFont="1"/>
    <xf numFmtId="165" fontId="3" fillId="0" borderId="1" xfId="0" applyNumberFormat="1" applyFont="1" applyBorder="1"/>
    <xf numFmtId="2" fontId="3" fillId="0" borderId="1" xfId="0" applyNumberFormat="1" applyFont="1" applyBorder="1"/>
    <xf numFmtId="171" fontId="3" fillId="0" borderId="0" xfId="0" applyNumberFormat="1" applyFont="1"/>
    <xf numFmtId="0" fontId="5" fillId="0" borderId="0" xfId="0" applyFont="1"/>
    <xf numFmtId="11" fontId="5" fillId="0" borderId="0" xfId="0" applyNumberFormat="1" applyFont="1"/>
    <xf numFmtId="2" fontId="5" fillId="0" borderId="0" xfId="0" applyNumberFormat="1" applyFont="1"/>
    <xf numFmtId="0" fontId="0" fillId="3" borderId="0" xfId="0" applyFill="1"/>
    <xf numFmtId="2" fontId="0" fillId="3" borderId="0" xfId="0" applyNumberFormat="1" applyFill="1"/>
    <xf numFmtId="165" fontId="0" fillId="3" borderId="0" xfId="0" applyNumberFormat="1" applyFill="1"/>
    <xf numFmtId="169" fontId="0" fillId="3" borderId="0" xfId="0" applyNumberFormat="1" applyFill="1"/>
    <xf numFmtId="1" fontId="0" fillId="3" borderId="0" xfId="0" applyNumberFormat="1" applyFill="1"/>
    <xf numFmtId="9" fontId="0" fillId="3" borderId="0" xfId="1" applyFont="1" applyFill="1"/>
    <xf numFmtId="2" fontId="0" fillId="3" borderId="0" xfId="1" applyNumberFormat="1" applyFont="1" applyFill="1"/>
    <xf numFmtId="166" fontId="0" fillId="3" borderId="0" xfId="1" applyNumberFormat="1" applyFont="1" applyFill="1"/>
    <xf numFmtId="168" fontId="0" fillId="3" borderId="0" xfId="0" applyNumberFormat="1" applyFill="1"/>
    <xf numFmtId="164" fontId="0" fillId="3" borderId="0" xfId="0" applyNumberFormat="1" applyFill="1"/>
    <xf numFmtId="0" fontId="0" fillId="3" borderId="0" xfId="0" applyFont="1" applyFill="1"/>
    <xf numFmtId="169" fontId="0" fillId="0" borderId="0" xfId="0" applyNumberFormat="1" applyFill="1"/>
    <xf numFmtId="165" fontId="6" fillId="0" borderId="0" xfId="0" applyNumberFormat="1" applyFont="1"/>
    <xf numFmtId="0" fontId="8" fillId="0" borderId="0" xfId="0" applyFont="1"/>
    <xf numFmtId="0" fontId="7" fillId="0" borderId="0" xfId="0" applyFont="1"/>
    <xf numFmtId="0" fontId="10" fillId="0" borderId="0" xfId="0" applyFont="1"/>
    <xf numFmtId="165" fontId="4" fillId="0" borderId="0" xfId="0" applyNumberFormat="1" applyFont="1" applyBorder="1"/>
    <xf numFmtId="165" fontId="4" fillId="0" borderId="1" xfId="0" applyNumberFormat="1" applyFont="1" applyBorder="1"/>
    <xf numFmtId="165" fontId="4" fillId="0" borderId="2" xfId="0" applyNumberFormat="1" applyFont="1" applyBorder="1"/>
    <xf numFmtId="165" fontId="4" fillId="0" borderId="3" xfId="0" applyNumberFormat="1" applyFont="1" applyBorder="1"/>
    <xf numFmtId="165" fontId="4" fillId="0" borderId="4" xfId="0" applyNumberFormat="1" applyFont="1" applyBorder="1"/>
    <xf numFmtId="165" fontId="4" fillId="0" borderId="5" xfId="0" applyNumberFormat="1" applyFont="1" applyBorder="1"/>
    <xf numFmtId="165" fontId="4" fillId="0" borderId="6" xfId="0" applyNumberFormat="1" applyFont="1" applyBorder="1"/>
    <xf numFmtId="165" fontId="4" fillId="3" borderId="5" xfId="0" applyNumberFormat="1" applyFont="1" applyFill="1" applyBorder="1"/>
    <xf numFmtId="165" fontId="4" fillId="3" borderId="0" xfId="0" applyNumberFormat="1" applyFont="1" applyFill="1" applyBorder="1"/>
    <xf numFmtId="165" fontId="4" fillId="3" borderId="6" xfId="0" applyNumberFormat="1" applyFont="1" applyFill="1" applyBorder="1"/>
    <xf numFmtId="165" fontId="4" fillId="0" borderId="7" xfId="0" applyNumberFormat="1" applyFont="1" applyBorder="1"/>
    <xf numFmtId="165" fontId="4" fillId="0" borderId="8" xfId="0" applyNumberFormat="1" applyFont="1" applyBorder="1"/>
    <xf numFmtId="165" fontId="4" fillId="0" borderId="9" xfId="0" applyNumberFormat="1" applyFont="1" applyBorder="1"/>
    <xf numFmtId="165" fontId="4" fillId="0" borderId="10" xfId="0" applyNumberFormat="1" applyFont="1" applyBorder="1"/>
    <xf numFmtId="165" fontId="4" fillId="0" borderId="11" xfId="0" applyNumberFormat="1" applyFont="1" applyBorder="1"/>
    <xf numFmtId="1" fontId="0" fillId="3" borderId="0" xfId="0" applyNumberFormat="1" applyFill="1" applyBorder="1"/>
    <xf numFmtId="0" fontId="0" fillId="3" borderId="0" xfId="0" applyFill="1" applyBorder="1"/>
    <xf numFmtId="2" fontId="0" fillId="3" borderId="0" xfId="0" applyNumberFormat="1" applyFill="1" applyBorder="1"/>
    <xf numFmtId="169" fontId="0" fillId="0" borderId="0" xfId="0" applyNumberFormat="1" applyFont="1"/>
    <xf numFmtId="2" fontId="0" fillId="0" borderId="0" xfId="0" applyNumberFormat="1" applyFill="1" applyBorder="1"/>
    <xf numFmtId="0" fontId="0" fillId="0" borderId="0" xfId="0" applyFill="1"/>
    <xf numFmtId="165" fontId="4" fillId="0" borderId="5" xfId="0" applyNumberFormat="1" applyFont="1" applyFill="1" applyBorder="1"/>
    <xf numFmtId="165" fontId="4" fillId="0" borderId="0" xfId="0" applyNumberFormat="1" applyFont="1" applyFill="1" applyBorder="1"/>
    <xf numFmtId="165" fontId="4" fillId="0" borderId="6" xfId="0" applyNumberFormat="1" applyFont="1" applyFill="1" applyBorder="1"/>
    <xf numFmtId="2" fontId="0" fillId="0" borderId="0" xfId="0" applyNumberFormat="1" applyFill="1"/>
    <xf numFmtId="165" fontId="0" fillId="0" borderId="0" xfId="0" applyNumberFormat="1" applyFill="1"/>
    <xf numFmtId="1" fontId="0" fillId="0" borderId="0" xfId="0" applyNumberFormat="1" applyFill="1"/>
    <xf numFmtId="1" fontId="0" fillId="0" borderId="0" xfId="0" applyNumberFormat="1" applyFill="1" applyBorder="1"/>
    <xf numFmtId="0" fontId="0" fillId="0" borderId="0" xfId="0" applyFill="1" applyBorder="1"/>
    <xf numFmtId="166" fontId="0" fillId="0" borderId="0" xfId="1" applyNumberFormat="1" applyFont="1" applyFill="1"/>
    <xf numFmtId="168" fontId="0" fillId="0" borderId="0" xfId="0" applyNumberFormat="1" applyFill="1"/>
    <xf numFmtId="164" fontId="0" fillId="0" borderId="0" xfId="0" applyNumberFormat="1" applyFill="1"/>
    <xf numFmtId="169" fontId="0" fillId="3" borderId="0" xfId="0" applyNumberFormat="1" applyFill="1" applyBorder="1"/>
    <xf numFmtId="166" fontId="0" fillId="3" borderId="0" xfId="1" applyNumberFormat="1" applyFont="1" applyFill="1" applyBorder="1"/>
    <xf numFmtId="9" fontId="0" fillId="0" borderId="0" xfId="1" applyFont="1" applyFill="1"/>
    <xf numFmtId="2" fontId="0" fillId="0" borderId="0" xfId="1" applyNumberFormat="1" applyFont="1" applyFill="1"/>
    <xf numFmtId="0" fontId="0" fillId="0" borderId="0" xfId="0" applyFont="1" applyFill="1"/>
    <xf numFmtId="0" fontId="4" fillId="0" borderId="0" xfId="0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4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3.xml"/><Relationship Id="rId12" Type="http://schemas.openxmlformats.org/officeDocument/2006/relationships/chartsheet" Target="chartsheets/sheet8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chartsheet" Target="chartsheets/sheet7.xml"/><Relationship Id="rId5" Type="http://schemas.openxmlformats.org/officeDocument/2006/relationships/chartsheet" Target="chartsheets/sheet1.xml"/><Relationship Id="rId15" Type="http://schemas.openxmlformats.org/officeDocument/2006/relationships/styles" Target="styles.xml"/><Relationship Id="rId10" Type="http://schemas.openxmlformats.org/officeDocument/2006/relationships/chartsheet" Target="chartsheets/sheet6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5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</a:t>
            </a:r>
            <a:r>
              <a:rPr lang="en-BE"/>
              <a:t> function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MAC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'6states'!$L$4:$L$104</c:f>
              <c:numCache>
                <c:formatCode>0.0</c:formatCode>
                <c:ptCount val="101"/>
                <c:pt idx="0">
                  <c:v>53.20000000000001</c:v>
                </c:pt>
                <c:pt idx="1">
                  <c:v>42.115042706170982</c:v>
                </c:pt>
                <c:pt idx="2">
                  <c:v>38.479357823644783</c:v>
                </c:pt>
                <c:pt idx="3">
                  <c:v>35.782680296704072</c:v>
                </c:pt>
                <c:pt idx="4">
                  <c:v>34.288582260623926</c:v>
                </c:pt>
                <c:pt idx="5">
                  <c:v>32.954207395286176</c:v>
                </c:pt>
                <c:pt idx="6">
                  <c:v>30.88485783383701</c:v>
                </c:pt>
                <c:pt idx="7">
                  <c:v>28.95726566531485</c:v>
                </c:pt>
                <c:pt idx="8">
                  <c:v>28.074107738916464</c:v>
                </c:pt>
                <c:pt idx="9">
                  <c:v>27.262146243514476</c:v>
                </c:pt>
                <c:pt idx="10">
                  <c:v>26.499775371022491</c:v>
                </c:pt>
                <c:pt idx="11">
                  <c:v>25.791231815747928</c:v>
                </c:pt>
                <c:pt idx="12">
                  <c:v>25.12434149119138</c:v>
                </c:pt>
                <c:pt idx="13">
                  <c:v>24.501798645019711</c:v>
                </c:pt>
                <c:pt idx="14">
                  <c:v>23.914780393557457</c:v>
                </c:pt>
                <c:pt idx="15">
                  <c:v>23.357826691469278</c:v>
                </c:pt>
                <c:pt idx="16">
                  <c:v>22.834425830673453</c:v>
                </c:pt>
                <c:pt idx="17">
                  <c:v>22.328374443959671</c:v>
                </c:pt>
                <c:pt idx="18">
                  <c:v>21.856092689759262</c:v>
                </c:pt>
                <c:pt idx="19">
                  <c:v>21.412115592906396</c:v>
                </c:pt>
                <c:pt idx="20">
                  <c:v>20.974582617909434</c:v>
                </c:pt>
                <c:pt idx="21">
                  <c:v>20.554361974873256</c:v>
                </c:pt>
                <c:pt idx="22">
                  <c:v>20.157158243043408</c:v>
                </c:pt>
                <c:pt idx="23">
                  <c:v>19.776008959790548</c:v>
                </c:pt>
                <c:pt idx="24">
                  <c:v>19.406351681747193</c:v>
                </c:pt>
                <c:pt idx="25">
                  <c:v>19.047676673800925</c:v>
                </c:pt>
                <c:pt idx="26">
                  <c:v>18.708928835189639</c:v>
                </c:pt>
                <c:pt idx="27">
                  <c:v>18.386562705117353</c:v>
                </c:pt>
                <c:pt idx="28">
                  <c:v>18.071987767814665</c:v>
                </c:pt>
                <c:pt idx="29">
                  <c:v>17.776820147252494</c:v>
                </c:pt>
                <c:pt idx="30">
                  <c:v>17.492487274018313</c:v>
                </c:pt>
                <c:pt idx="31">
                  <c:v>17.224668950742927</c:v>
                </c:pt>
                <c:pt idx="32">
                  <c:v>16.978679448074026</c:v>
                </c:pt>
                <c:pt idx="33">
                  <c:v>16.749729245916058</c:v>
                </c:pt>
                <c:pt idx="34">
                  <c:v>16.559143480527517</c:v>
                </c:pt>
                <c:pt idx="35">
                  <c:v>16.40746716179498</c:v>
                </c:pt>
                <c:pt idx="36">
                  <c:v>14.930587409667755</c:v>
                </c:pt>
                <c:pt idx="37">
                  <c:v>14.823926753688987</c:v>
                </c:pt>
                <c:pt idx="38">
                  <c:v>14.716715400876001</c:v>
                </c:pt>
                <c:pt idx="39">
                  <c:v>13.653287427761393</c:v>
                </c:pt>
                <c:pt idx="40">
                  <c:v>13.543159624941598</c:v>
                </c:pt>
                <c:pt idx="41">
                  <c:v>13.408063257634222</c:v>
                </c:pt>
                <c:pt idx="42">
                  <c:v>13.265711319032564</c:v>
                </c:pt>
                <c:pt idx="43">
                  <c:v>13.117151007321558</c:v>
                </c:pt>
                <c:pt idx="44">
                  <c:v>12.179182970152914</c:v>
                </c:pt>
                <c:pt idx="45">
                  <c:v>12.036619312507542</c:v>
                </c:pt>
                <c:pt idx="46">
                  <c:v>11.878749661022669</c:v>
                </c:pt>
                <c:pt idx="47">
                  <c:v>11.710918607776897</c:v>
                </c:pt>
                <c:pt idx="48">
                  <c:v>11.535768289348985</c:v>
                </c:pt>
                <c:pt idx="49">
                  <c:v>11.360845542751589</c:v>
                </c:pt>
                <c:pt idx="50">
                  <c:v>11.188143721298518</c:v>
                </c:pt>
                <c:pt idx="51">
                  <c:v>11.025338034924438</c:v>
                </c:pt>
                <c:pt idx="52">
                  <c:v>10.870039078672768</c:v>
                </c:pt>
                <c:pt idx="53">
                  <c:v>10.268099786290712</c:v>
                </c:pt>
                <c:pt idx="54">
                  <c:v>9.7513416880359145</c:v>
                </c:pt>
                <c:pt idx="55">
                  <c:v>9.644781843377217</c:v>
                </c:pt>
                <c:pt idx="56">
                  <c:v>9.1876867076198927</c:v>
                </c:pt>
                <c:pt idx="57">
                  <c:v>8.7538462050239527</c:v>
                </c:pt>
                <c:pt idx="58">
                  <c:v>8.6441261506051816</c:v>
                </c:pt>
                <c:pt idx="59">
                  <c:v>8.5272246771957629</c:v>
                </c:pt>
                <c:pt idx="60">
                  <c:v>8.4031138380273678</c:v>
                </c:pt>
                <c:pt idx="61">
                  <c:v>7.9998851832531246</c:v>
                </c:pt>
                <c:pt idx="62">
                  <c:v>7.8725744804031361</c:v>
                </c:pt>
                <c:pt idx="63">
                  <c:v>7.7385002307141884</c:v>
                </c:pt>
                <c:pt idx="64">
                  <c:v>7.6005948273028823</c:v>
                </c:pt>
                <c:pt idx="65">
                  <c:v>7.2602988600319263</c:v>
                </c:pt>
                <c:pt idx="66">
                  <c:v>7.1257031124749677</c:v>
                </c:pt>
                <c:pt idx="67">
                  <c:v>6.9906156418815248</c:v>
                </c:pt>
                <c:pt idx="68">
                  <c:v>6.7140781281698745</c:v>
                </c:pt>
                <c:pt idx="69">
                  <c:v>6.5883597476319657</c:v>
                </c:pt>
                <c:pt idx="70">
                  <c:v>6.3585693795912102</c:v>
                </c:pt>
                <c:pt idx="71">
                  <c:v>6.1486779340131106</c:v>
                </c:pt>
                <c:pt idx="72">
                  <c:v>5.9603144897897264</c:v>
                </c:pt>
                <c:pt idx="73">
                  <c:v>5.7859494839943286</c:v>
                </c:pt>
                <c:pt idx="74">
                  <c:v>5.6213292951286764</c:v>
                </c:pt>
                <c:pt idx="75">
                  <c:v>5.4664075533612388</c:v>
                </c:pt>
                <c:pt idx="76">
                  <c:v>5.3234689675738434</c:v>
                </c:pt>
                <c:pt idx="77">
                  <c:v>5.1886154342377262</c:v>
                </c:pt>
                <c:pt idx="78">
                  <c:v>5.0591244472336312</c:v>
                </c:pt>
                <c:pt idx="79">
                  <c:v>4.9363785189181124</c:v>
                </c:pt>
                <c:pt idx="80">
                  <c:v>4.8160743365102299</c:v>
                </c:pt>
                <c:pt idx="81">
                  <c:v>4.7022890666699784</c:v>
                </c:pt>
                <c:pt idx="82">
                  <c:v>4.5946325093253364</c:v>
                </c:pt>
                <c:pt idx="83">
                  <c:v>4.4923785090242454</c:v>
                </c:pt>
                <c:pt idx="84">
                  <c:v>4.3913076612761808</c:v>
                </c:pt>
                <c:pt idx="85">
                  <c:v>4.2977749177332063</c:v>
                </c:pt>
                <c:pt idx="86">
                  <c:v>4.2047641796786435</c:v>
                </c:pt>
                <c:pt idx="87">
                  <c:v>4.1171681557160884</c:v>
                </c:pt>
                <c:pt idx="88">
                  <c:v>4.0296227171594277</c:v>
                </c:pt>
                <c:pt idx="89">
                  <c:v>3.9466486053682734</c:v>
                </c:pt>
                <c:pt idx="90">
                  <c:v>3.8667285453679199</c:v>
                </c:pt>
                <c:pt idx="91">
                  <c:v>3.7885625535133509</c:v>
                </c:pt>
                <c:pt idx="92">
                  <c:v>3.7128839322814886</c:v>
                </c:pt>
                <c:pt idx="93">
                  <c:v>3.6409927493033081</c:v>
                </c:pt>
                <c:pt idx="94">
                  <c:v>3.5735321003051017</c:v>
                </c:pt>
                <c:pt idx="95">
                  <c:v>3.5091060571680512</c:v>
                </c:pt>
                <c:pt idx="96">
                  <c:v>3.4498365140105838</c:v>
                </c:pt>
                <c:pt idx="97">
                  <c:v>3.3990769828482805</c:v>
                </c:pt>
                <c:pt idx="98">
                  <c:v>3.3549819174549649</c:v>
                </c:pt>
                <c:pt idx="99">
                  <c:v>3.319469848662687</c:v>
                </c:pt>
                <c:pt idx="100">
                  <c:v>3.2854013040734573</c:v>
                </c:pt>
              </c:numCache>
            </c:numRef>
          </c:xVal>
          <c:yVal>
            <c:numRef>
              <c:f>'6states'!$BA$4:$BA$104</c:f>
              <c:numCache>
                <c:formatCode>0.00</c:formatCode>
                <c:ptCount val="101"/>
                <c:pt idx="0">
                  <c:v>181.28957053695825</c:v>
                </c:pt>
                <c:pt idx="1">
                  <c:v>185.852828416189</c:v>
                </c:pt>
                <c:pt idx="2">
                  <c:v>190.51261266198574</c:v>
                </c:pt>
                <c:pt idx="3">
                  <c:v>195.27250381595422</c:v>
                </c:pt>
                <c:pt idx="4">
                  <c:v>200.1366116721052</c:v>
                </c:pt>
                <c:pt idx="5">
                  <c:v>205.10564292272647</c:v>
                </c:pt>
                <c:pt idx="6">
                  <c:v>210.18249311931945</c:v>
                </c:pt>
                <c:pt idx="7">
                  <c:v>215.3735918558159</c:v>
                </c:pt>
                <c:pt idx="8">
                  <c:v>220.68378924847258</c:v>
                </c:pt>
                <c:pt idx="9">
                  <c:v>226.11164900571654</c:v>
                </c:pt>
                <c:pt idx="10">
                  <c:v>231.65995585553813</c:v>
                </c:pt>
                <c:pt idx="11">
                  <c:v>237.33116785022182</c:v>
                </c:pt>
                <c:pt idx="12">
                  <c:v>243.12801467834987</c:v>
                </c:pt>
                <c:pt idx="13">
                  <c:v>249.05307060401682</c:v>
                </c:pt>
                <c:pt idx="14">
                  <c:v>255.10917043262219</c:v>
                </c:pt>
                <c:pt idx="15">
                  <c:v>261.29901679265697</c:v>
                </c:pt>
                <c:pt idx="16">
                  <c:v>267.6253129905125</c:v>
                </c:pt>
                <c:pt idx="17">
                  <c:v>274.09097391998438</c:v>
                </c:pt>
                <c:pt idx="18">
                  <c:v>280.69861834585413</c:v>
                </c:pt>
                <c:pt idx="19">
                  <c:v>287.45155967834489</c:v>
                </c:pt>
                <c:pt idx="20">
                  <c:v>294.35299764864573</c:v>
                </c:pt>
                <c:pt idx="21">
                  <c:v>301.40538466022565</c:v>
                </c:pt>
                <c:pt idx="22">
                  <c:v>308.61182603087281</c:v>
                </c:pt>
                <c:pt idx="23">
                  <c:v>315.97587562414162</c:v>
                </c:pt>
                <c:pt idx="24">
                  <c:v>323.50080849022504</c:v>
                </c:pt>
                <c:pt idx="25">
                  <c:v>331.18969253698447</c:v>
                </c:pt>
                <c:pt idx="26">
                  <c:v>339.04565074137264</c:v>
                </c:pt>
                <c:pt idx="27">
                  <c:v>347.07241179407094</c:v>
                </c:pt>
                <c:pt idx="28">
                  <c:v>355.27339318006881</c:v>
                </c:pt>
                <c:pt idx="29">
                  <c:v>363.65134005575504</c:v>
                </c:pt>
                <c:pt idx="30">
                  <c:v>372.20982823446525</c:v>
                </c:pt>
                <c:pt idx="31">
                  <c:v>380.95181301406734</c:v>
                </c:pt>
                <c:pt idx="32">
                  <c:v>389.88075913428065</c:v>
                </c:pt>
                <c:pt idx="33">
                  <c:v>399.00045676534364</c:v>
                </c:pt>
                <c:pt idx="34">
                  <c:v>408.31403267824771</c:v>
                </c:pt>
                <c:pt idx="35">
                  <c:v>417.82581456376761</c:v>
                </c:pt>
                <c:pt idx="36">
                  <c:v>427.538946450342</c:v>
                </c:pt>
                <c:pt idx="37">
                  <c:v>437.46960951149379</c:v>
                </c:pt>
                <c:pt idx="38">
                  <c:v>447.61026785617997</c:v>
                </c:pt>
                <c:pt idx="39">
                  <c:v>457.96515142634439</c:v>
                </c:pt>
                <c:pt idx="40">
                  <c:v>468.54996825174726</c:v>
                </c:pt>
                <c:pt idx="41">
                  <c:v>479.35952006074115</c:v>
                </c:pt>
                <c:pt idx="42">
                  <c:v>490.39775185097642</c:v>
                </c:pt>
                <c:pt idx="43">
                  <c:v>501.66968734927019</c:v>
                </c:pt>
                <c:pt idx="44">
                  <c:v>513.17879771789808</c:v>
                </c:pt>
                <c:pt idx="45">
                  <c:v>524.94177523251733</c:v>
                </c:pt>
                <c:pt idx="46">
                  <c:v>536.9537062607701</c:v>
                </c:pt>
                <c:pt idx="47">
                  <c:v>549.21982817743981</c:v>
                </c:pt>
                <c:pt idx="48">
                  <c:v>561.74480683208253</c:v>
                </c:pt>
                <c:pt idx="49">
                  <c:v>574.53289349870954</c:v>
                </c:pt>
                <c:pt idx="50">
                  <c:v>587.58948036283255</c:v>
                </c:pt>
                <c:pt idx="51">
                  <c:v>600.91973225282231</c:v>
                </c:pt>
                <c:pt idx="52">
                  <c:v>614.52936650894321</c:v>
                </c:pt>
                <c:pt idx="53">
                  <c:v>628.42195116080825</c:v>
                </c:pt>
                <c:pt idx="54">
                  <c:v>642.61185377785102</c:v>
                </c:pt>
                <c:pt idx="55">
                  <c:v>657.10307512590214</c:v>
                </c:pt>
                <c:pt idx="56">
                  <c:v>671.89654754747107</c:v>
                </c:pt>
                <c:pt idx="57">
                  <c:v>687.00393327588949</c:v>
                </c:pt>
                <c:pt idx="58">
                  <c:v>702.43085106169247</c:v>
                </c:pt>
                <c:pt idx="59">
                  <c:v>718.17767839317617</c:v>
                </c:pt>
                <c:pt idx="60">
                  <c:v>734.25213918805548</c:v>
                </c:pt>
                <c:pt idx="61">
                  <c:v>750.6589031961654</c:v>
                </c:pt>
                <c:pt idx="62">
                  <c:v>767.40940413666476</c:v>
                </c:pt>
                <c:pt idx="63">
                  <c:v>784.50552231696247</c:v>
                </c:pt>
                <c:pt idx="64">
                  <c:v>801.9554563433212</c:v>
                </c:pt>
                <c:pt idx="65">
                  <c:v>819.76523151094466</c:v>
                </c:pt>
                <c:pt idx="66">
                  <c:v>837.94690228748834</c:v>
                </c:pt>
                <c:pt idx="67">
                  <c:v>856.5007552612077</c:v>
                </c:pt>
                <c:pt idx="68">
                  <c:v>875.43560697146802</c:v>
                </c:pt>
                <c:pt idx="69">
                  <c:v>894.76213613981747</c:v>
                </c:pt>
                <c:pt idx="70">
                  <c:v>914.48504706883853</c:v>
                </c:pt>
                <c:pt idx="71">
                  <c:v>934.61237772611889</c:v>
                </c:pt>
                <c:pt idx="72">
                  <c:v>955.15038814170077</c:v>
                </c:pt>
                <c:pt idx="73">
                  <c:v>976.11190617255397</c:v>
                </c:pt>
                <c:pt idx="74">
                  <c:v>997.50420872854704</c:v>
                </c:pt>
                <c:pt idx="75">
                  <c:v>1019.3326847869539</c:v>
                </c:pt>
                <c:pt idx="76">
                  <c:v>1041.6051220208253</c:v>
                </c:pt>
                <c:pt idx="77">
                  <c:v>1064.3320317098028</c:v>
                </c:pt>
                <c:pt idx="78">
                  <c:v>1087.5207816832901</c:v>
                </c:pt>
                <c:pt idx="79">
                  <c:v>1111.1773921051624</c:v>
                </c:pt>
                <c:pt idx="80">
                  <c:v>1135.3120488188961</c:v>
                </c:pt>
                <c:pt idx="81">
                  <c:v>1159.9301629251731</c:v>
                </c:pt>
                <c:pt idx="82">
                  <c:v>1185.0458592321756</c:v>
                </c:pt>
                <c:pt idx="83">
                  <c:v>1210.6670751146605</c:v>
                </c:pt>
                <c:pt idx="84">
                  <c:v>1236.7980131633874</c:v>
                </c:pt>
                <c:pt idx="85">
                  <c:v>1263.4463235933833</c:v>
                </c:pt>
                <c:pt idx="86">
                  <c:v>1290.6290456865831</c:v>
                </c:pt>
                <c:pt idx="87">
                  <c:v>1318.3453021200128</c:v>
                </c:pt>
                <c:pt idx="88">
                  <c:v>1346.6081286777685</c:v>
                </c:pt>
                <c:pt idx="89">
                  <c:v>1375.4248821284134</c:v>
                </c:pt>
                <c:pt idx="90">
                  <c:v>1404.8096098164281</c:v>
                </c:pt>
                <c:pt idx="91">
                  <c:v>1434.7661508536496</c:v>
                </c:pt>
                <c:pt idx="92">
                  <c:v>1465.3037695628061</c:v>
                </c:pt>
                <c:pt idx="93">
                  <c:v>1496.4385684205272</c:v>
                </c:pt>
                <c:pt idx="94">
                  <c:v>1528.1834010006755</c:v>
                </c:pt>
                <c:pt idx="95">
                  <c:v>1560.5478649324036</c:v>
                </c:pt>
                <c:pt idx="96">
                  <c:v>1593.5373154518593</c:v>
                </c:pt>
                <c:pt idx="97">
                  <c:v>1627.1615122890798</c:v>
                </c:pt>
                <c:pt idx="98">
                  <c:v>1661.4327771921455</c:v>
                </c:pt>
                <c:pt idx="99">
                  <c:v>1696.3539490298149</c:v>
                </c:pt>
                <c:pt idx="100">
                  <c:v>1731.9502884629867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F7-4F2B-86FF-A2D3ACB62064}"/>
            </c:ext>
          </c:extLst>
        </c:ser>
        <c:ser>
          <c:idx val="1"/>
          <c:order val="1"/>
          <c:tx>
            <c:strRef>
              <c:f>Parameters!$N$4</c:f>
              <c:strCache>
                <c:ptCount val="1"/>
                <c:pt idx="0">
                  <c:v>MedianIPCC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Parameters!$L$5:$L$17</c:f>
              <c:numCache>
                <c:formatCode>General</c:formatCode>
                <c:ptCount val="13"/>
                <c:pt idx="0">
                  <c:v>-2.5</c:v>
                </c:pt>
                <c:pt idx="1">
                  <c:v>2.5</c:v>
                </c:pt>
                <c:pt idx="2">
                  <c:v>7.5</c:v>
                </c:pt>
                <c:pt idx="3">
                  <c:v>12.5</c:v>
                </c:pt>
                <c:pt idx="4">
                  <c:v>17.5</c:v>
                </c:pt>
                <c:pt idx="5">
                  <c:v>22.5</c:v>
                </c:pt>
                <c:pt idx="6">
                  <c:v>27.5</c:v>
                </c:pt>
                <c:pt idx="7">
                  <c:v>32.5</c:v>
                </c:pt>
                <c:pt idx="8">
                  <c:v>37.5</c:v>
                </c:pt>
                <c:pt idx="9">
                  <c:v>42.5</c:v>
                </c:pt>
                <c:pt idx="10">
                  <c:v>47.5</c:v>
                </c:pt>
                <c:pt idx="11">
                  <c:v>52.5</c:v>
                </c:pt>
                <c:pt idx="12">
                  <c:v>57.5</c:v>
                </c:pt>
              </c:numCache>
            </c:numRef>
          </c:xVal>
          <c:yVal>
            <c:numRef>
              <c:f>Parameters!$N$5:$N$17</c:f>
              <c:numCache>
                <c:formatCode>0</c:formatCode>
                <c:ptCount val="13"/>
                <c:pt idx="0">
                  <c:v>830.64850000000001</c:v>
                </c:pt>
                <c:pt idx="1">
                  <c:v>606.61189999999999</c:v>
                </c:pt>
                <c:pt idx="2">
                  <c:v>417.0838</c:v>
                </c:pt>
                <c:pt idx="3">
                  <c:v>369.45100000000002</c:v>
                </c:pt>
                <c:pt idx="4">
                  <c:v>279.10210000000001</c:v>
                </c:pt>
                <c:pt idx="5">
                  <c:v>201.3134</c:v>
                </c:pt>
                <c:pt idx="6">
                  <c:v>158.28030000000001</c:v>
                </c:pt>
                <c:pt idx="7">
                  <c:v>112.6412</c:v>
                </c:pt>
                <c:pt idx="8">
                  <c:v>89.531630000000007</c:v>
                </c:pt>
                <c:pt idx="9">
                  <c:v>74.867599999999996</c:v>
                </c:pt>
                <c:pt idx="10">
                  <c:v>32.49194</c:v>
                </c:pt>
                <c:pt idx="11">
                  <c:v>1.7695000000000001</c:v>
                </c:pt>
                <c:pt idx="12">
                  <c:v>2.2415600000000002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F7-4F2B-86FF-A2D3ACB62064}"/>
            </c:ext>
          </c:extLst>
        </c:ser>
        <c:ser>
          <c:idx val="2"/>
          <c:order val="2"/>
          <c:tx>
            <c:strRef>
              <c:f>Parameters!$O$4</c:f>
              <c:strCache>
                <c:ptCount val="1"/>
                <c:pt idx="0">
                  <c:v>P25_IPCC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Parameters!$L$5:$L$17</c:f>
              <c:numCache>
                <c:formatCode>General</c:formatCode>
                <c:ptCount val="13"/>
                <c:pt idx="0">
                  <c:v>-2.5</c:v>
                </c:pt>
                <c:pt idx="1">
                  <c:v>2.5</c:v>
                </c:pt>
                <c:pt idx="2">
                  <c:v>7.5</c:v>
                </c:pt>
                <c:pt idx="3">
                  <c:v>12.5</c:v>
                </c:pt>
                <c:pt idx="4">
                  <c:v>17.5</c:v>
                </c:pt>
                <c:pt idx="5">
                  <c:v>22.5</c:v>
                </c:pt>
                <c:pt idx="6">
                  <c:v>27.5</c:v>
                </c:pt>
                <c:pt idx="7">
                  <c:v>32.5</c:v>
                </c:pt>
                <c:pt idx="8">
                  <c:v>37.5</c:v>
                </c:pt>
                <c:pt idx="9">
                  <c:v>42.5</c:v>
                </c:pt>
                <c:pt idx="10">
                  <c:v>47.5</c:v>
                </c:pt>
                <c:pt idx="11">
                  <c:v>52.5</c:v>
                </c:pt>
                <c:pt idx="12">
                  <c:v>57.5</c:v>
                </c:pt>
              </c:numCache>
            </c:numRef>
          </c:xVal>
          <c:yVal>
            <c:numRef>
              <c:f>Parameters!$O$5:$O$17</c:f>
              <c:numCache>
                <c:formatCode>0</c:formatCode>
                <c:ptCount val="13"/>
                <c:pt idx="0">
                  <c:v>534.30409999999995</c:v>
                </c:pt>
                <c:pt idx="1">
                  <c:v>387.11829999999998</c:v>
                </c:pt>
                <c:pt idx="2">
                  <c:v>242.37639999999999</c:v>
                </c:pt>
                <c:pt idx="3">
                  <c:v>259.53149999999999</c:v>
                </c:pt>
                <c:pt idx="4">
                  <c:v>194.92009999999999</c:v>
                </c:pt>
                <c:pt idx="5">
                  <c:v>145.1962</c:v>
                </c:pt>
                <c:pt idx="6">
                  <c:v>107.6669</c:v>
                </c:pt>
                <c:pt idx="7">
                  <c:v>81.444730000000007</c:v>
                </c:pt>
                <c:pt idx="8">
                  <c:v>58.81897</c:v>
                </c:pt>
                <c:pt idx="9">
                  <c:v>47.317929999999997</c:v>
                </c:pt>
                <c:pt idx="10">
                  <c:v>10.02872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6F7-4F2B-86FF-A2D3ACB62064}"/>
            </c:ext>
          </c:extLst>
        </c:ser>
        <c:ser>
          <c:idx val="3"/>
          <c:order val="3"/>
          <c:tx>
            <c:strRef>
              <c:f>Parameters!$P$4</c:f>
              <c:strCache>
                <c:ptCount val="1"/>
                <c:pt idx="0">
                  <c:v>P75_IPCC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Parameters!$L$5:$L$17</c:f>
              <c:numCache>
                <c:formatCode>General</c:formatCode>
                <c:ptCount val="13"/>
                <c:pt idx="0">
                  <c:v>-2.5</c:v>
                </c:pt>
                <c:pt idx="1">
                  <c:v>2.5</c:v>
                </c:pt>
                <c:pt idx="2">
                  <c:v>7.5</c:v>
                </c:pt>
                <c:pt idx="3">
                  <c:v>12.5</c:v>
                </c:pt>
                <c:pt idx="4">
                  <c:v>17.5</c:v>
                </c:pt>
                <c:pt idx="5">
                  <c:v>22.5</c:v>
                </c:pt>
                <c:pt idx="6">
                  <c:v>27.5</c:v>
                </c:pt>
                <c:pt idx="7">
                  <c:v>32.5</c:v>
                </c:pt>
                <c:pt idx="8">
                  <c:v>37.5</c:v>
                </c:pt>
                <c:pt idx="9">
                  <c:v>42.5</c:v>
                </c:pt>
                <c:pt idx="10">
                  <c:v>47.5</c:v>
                </c:pt>
                <c:pt idx="11">
                  <c:v>52.5</c:v>
                </c:pt>
                <c:pt idx="12">
                  <c:v>57.5</c:v>
                </c:pt>
              </c:numCache>
            </c:numRef>
          </c:xVal>
          <c:yVal>
            <c:numRef>
              <c:f>Parameters!$P$5:$P$17</c:f>
              <c:numCache>
                <c:formatCode>0</c:formatCode>
                <c:ptCount val="13"/>
                <c:pt idx="0">
                  <c:v>1319.8</c:v>
                </c:pt>
                <c:pt idx="1">
                  <c:v>1117.905</c:v>
                </c:pt>
                <c:pt idx="2">
                  <c:v>684.37270000000001</c:v>
                </c:pt>
                <c:pt idx="3">
                  <c:v>657.7192</c:v>
                </c:pt>
                <c:pt idx="4">
                  <c:v>471.17509999999999</c:v>
                </c:pt>
                <c:pt idx="5">
                  <c:v>330</c:v>
                </c:pt>
                <c:pt idx="6">
                  <c:v>245.52</c:v>
                </c:pt>
                <c:pt idx="7">
                  <c:v>177.91800000000001</c:v>
                </c:pt>
                <c:pt idx="8">
                  <c:v>159.26089999999999</c:v>
                </c:pt>
                <c:pt idx="9">
                  <c:v>131.6824</c:v>
                </c:pt>
                <c:pt idx="10">
                  <c:v>64.102000000000004</c:v>
                </c:pt>
                <c:pt idx="11">
                  <c:v>12.83052</c:v>
                </c:pt>
                <c:pt idx="12">
                  <c:v>11.00962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6F7-4F2B-86FF-A2D3ACB62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7367391"/>
        <c:axId val="1727363071"/>
      </c:scatterChart>
      <c:valAx>
        <c:axId val="1727367391"/>
        <c:scaling>
          <c:orientation val="minMax"/>
          <c:max val="60"/>
          <c:min val="-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Emissions</a:t>
                </a:r>
                <a:r>
                  <a:rPr lang="en-GB" baseline="0"/>
                  <a:t> Gt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363071"/>
        <c:crosses val="autoZero"/>
        <c:crossBetween val="midCat"/>
        <c:majorUnit val="5"/>
      </c:valAx>
      <c:valAx>
        <c:axId val="1727363071"/>
        <c:scaling>
          <c:orientation val="minMax"/>
          <c:max val="13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MAC $/tCO2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367391"/>
        <c:crossesAt val="-10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TAC</a:t>
            </a:r>
            <a:r>
              <a:rPr lang="en-BE"/>
              <a:t> function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Parameters!$Q$4</c:f>
              <c:strCache>
                <c:ptCount val="1"/>
                <c:pt idx="0">
                  <c:v>Model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'6states'!$L$4:$L$104</c:f>
              <c:numCache>
                <c:formatCode>0.0</c:formatCode>
                <c:ptCount val="101"/>
                <c:pt idx="0">
                  <c:v>53.20000000000001</c:v>
                </c:pt>
                <c:pt idx="1">
                  <c:v>42.115042706170982</c:v>
                </c:pt>
                <c:pt idx="2">
                  <c:v>38.479357823644783</c:v>
                </c:pt>
                <c:pt idx="3">
                  <c:v>35.782680296704072</c:v>
                </c:pt>
                <c:pt idx="4">
                  <c:v>34.288582260623926</c:v>
                </c:pt>
                <c:pt idx="5">
                  <c:v>32.954207395286176</c:v>
                </c:pt>
                <c:pt idx="6">
                  <c:v>30.88485783383701</c:v>
                </c:pt>
                <c:pt idx="7">
                  <c:v>28.95726566531485</c:v>
                </c:pt>
                <c:pt idx="8">
                  <c:v>28.074107738916464</c:v>
                </c:pt>
                <c:pt idx="9">
                  <c:v>27.262146243514476</c:v>
                </c:pt>
                <c:pt idx="10">
                  <c:v>26.499775371022491</c:v>
                </c:pt>
                <c:pt idx="11">
                  <c:v>25.791231815747928</c:v>
                </c:pt>
                <c:pt idx="12">
                  <c:v>25.12434149119138</c:v>
                </c:pt>
                <c:pt idx="13">
                  <c:v>24.501798645019711</c:v>
                </c:pt>
                <c:pt idx="14">
                  <c:v>23.914780393557457</c:v>
                </c:pt>
                <c:pt idx="15">
                  <c:v>23.357826691469278</c:v>
                </c:pt>
                <c:pt idx="16">
                  <c:v>22.834425830673453</c:v>
                </c:pt>
                <c:pt idx="17">
                  <c:v>22.328374443959671</c:v>
                </c:pt>
                <c:pt idx="18">
                  <c:v>21.856092689759262</c:v>
                </c:pt>
                <c:pt idx="19">
                  <c:v>21.412115592906396</c:v>
                </c:pt>
                <c:pt idx="20">
                  <c:v>20.974582617909434</c:v>
                </c:pt>
                <c:pt idx="21">
                  <c:v>20.554361974873256</c:v>
                </c:pt>
                <c:pt idx="22">
                  <c:v>20.157158243043408</c:v>
                </c:pt>
                <c:pt idx="23">
                  <c:v>19.776008959790548</c:v>
                </c:pt>
                <c:pt idx="24">
                  <c:v>19.406351681747193</c:v>
                </c:pt>
                <c:pt idx="25">
                  <c:v>19.047676673800925</c:v>
                </c:pt>
                <c:pt idx="26">
                  <c:v>18.708928835189639</c:v>
                </c:pt>
                <c:pt idx="27">
                  <c:v>18.386562705117353</c:v>
                </c:pt>
                <c:pt idx="28">
                  <c:v>18.071987767814665</c:v>
                </c:pt>
                <c:pt idx="29">
                  <c:v>17.776820147252494</c:v>
                </c:pt>
                <c:pt idx="30">
                  <c:v>17.492487274018313</c:v>
                </c:pt>
                <c:pt idx="31">
                  <c:v>17.224668950742927</c:v>
                </c:pt>
                <c:pt idx="32">
                  <c:v>16.978679448074026</c:v>
                </c:pt>
                <c:pt idx="33">
                  <c:v>16.749729245916058</c:v>
                </c:pt>
                <c:pt idx="34">
                  <c:v>16.559143480527517</c:v>
                </c:pt>
                <c:pt idx="35">
                  <c:v>16.40746716179498</c:v>
                </c:pt>
                <c:pt idx="36">
                  <c:v>14.930587409667755</c:v>
                </c:pt>
                <c:pt idx="37">
                  <c:v>14.823926753688987</c:v>
                </c:pt>
                <c:pt idx="38">
                  <c:v>14.716715400876001</c:v>
                </c:pt>
                <c:pt idx="39">
                  <c:v>13.653287427761393</c:v>
                </c:pt>
                <c:pt idx="40">
                  <c:v>13.543159624941598</c:v>
                </c:pt>
                <c:pt idx="41">
                  <c:v>13.408063257634222</c:v>
                </c:pt>
                <c:pt idx="42">
                  <c:v>13.265711319032564</c:v>
                </c:pt>
                <c:pt idx="43">
                  <c:v>13.117151007321558</c:v>
                </c:pt>
                <c:pt idx="44">
                  <c:v>12.179182970152914</c:v>
                </c:pt>
                <c:pt idx="45">
                  <c:v>12.036619312507542</c:v>
                </c:pt>
                <c:pt idx="46">
                  <c:v>11.878749661022669</c:v>
                </c:pt>
                <c:pt idx="47">
                  <c:v>11.710918607776897</c:v>
                </c:pt>
                <c:pt idx="48">
                  <c:v>11.535768289348985</c:v>
                </c:pt>
                <c:pt idx="49">
                  <c:v>11.360845542751589</c:v>
                </c:pt>
                <c:pt idx="50">
                  <c:v>11.188143721298518</c:v>
                </c:pt>
                <c:pt idx="51">
                  <c:v>11.025338034924438</c:v>
                </c:pt>
                <c:pt idx="52">
                  <c:v>10.870039078672768</c:v>
                </c:pt>
                <c:pt idx="53">
                  <c:v>10.268099786290712</c:v>
                </c:pt>
                <c:pt idx="54">
                  <c:v>9.7513416880359145</c:v>
                </c:pt>
                <c:pt idx="55">
                  <c:v>9.644781843377217</c:v>
                </c:pt>
                <c:pt idx="56">
                  <c:v>9.1876867076198927</c:v>
                </c:pt>
                <c:pt idx="57">
                  <c:v>8.7538462050239527</c:v>
                </c:pt>
                <c:pt idx="58">
                  <c:v>8.6441261506051816</c:v>
                </c:pt>
                <c:pt idx="59">
                  <c:v>8.5272246771957629</c:v>
                </c:pt>
                <c:pt idx="60">
                  <c:v>8.4031138380273678</c:v>
                </c:pt>
                <c:pt idx="61">
                  <c:v>7.9998851832531246</c:v>
                </c:pt>
                <c:pt idx="62">
                  <c:v>7.8725744804031361</c:v>
                </c:pt>
                <c:pt idx="63">
                  <c:v>7.7385002307141884</c:v>
                </c:pt>
                <c:pt idx="64">
                  <c:v>7.6005948273028823</c:v>
                </c:pt>
                <c:pt idx="65">
                  <c:v>7.2602988600319263</c:v>
                </c:pt>
                <c:pt idx="66">
                  <c:v>7.1257031124749677</c:v>
                </c:pt>
                <c:pt idx="67">
                  <c:v>6.9906156418815248</c:v>
                </c:pt>
                <c:pt idx="68">
                  <c:v>6.7140781281698745</c:v>
                </c:pt>
                <c:pt idx="69">
                  <c:v>6.5883597476319657</c:v>
                </c:pt>
                <c:pt idx="70">
                  <c:v>6.3585693795912102</c:v>
                </c:pt>
                <c:pt idx="71">
                  <c:v>6.1486779340131106</c:v>
                </c:pt>
                <c:pt idx="72">
                  <c:v>5.9603144897897264</c:v>
                </c:pt>
                <c:pt idx="73">
                  <c:v>5.7859494839943286</c:v>
                </c:pt>
                <c:pt idx="74">
                  <c:v>5.6213292951286764</c:v>
                </c:pt>
                <c:pt idx="75">
                  <c:v>5.4664075533612388</c:v>
                </c:pt>
                <c:pt idx="76">
                  <c:v>5.3234689675738434</c:v>
                </c:pt>
                <c:pt idx="77">
                  <c:v>5.1886154342377262</c:v>
                </c:pt>
                <c:pt idx="78">
                  <c:v>5.0591244472336312</c:v>
                </c:pt>
                <c:pt idx="79">
                  <c:v>4.9363785189181124</c:v>
                </c:pt>
                <c:pt idx="80">
                  <c:v>4.8160743365102299</c:v>
                </c:pt>
                <c:pt idx="81">
                  <c:v>4.7022890666699784</c:v>
                </c:pt>
                <c:pt idx="82">
                  <c:v>4.5946325093253364</c:v>
                </c:pt>
                <c:pt idx="83">
                  <c:v>4.4923785090242454</c:v>
                </c:pt>
                <c:pt idx="84">
                  <c:v>4.3913076612761808</c:v>
                </c:pt>
                <c:pt idx="85">
                  <c:v>4.2977749177332063</c:v>
                </c:pt>
                <c:pt idx="86">
                  <c:v>4.2047641796786435</c:v>
                </c:pt>
                <c:pt idx="87">
                  <c:v>4.1171681557160884</c:v>
                </c:pt>
                <c:pt idx="88">
                  <c:v>4.0296227171594277</c:v>
                </c:pt>
                <c:pt idx="89">
                  <c:v>3.9466486053682734</c:v>
                </c:pt>
                <c:pt idx="90">
                  <c:v>3.8667285453679199</c:v>
                </c:pt>
                <c:pt idx="91">
                  <c:v>3.7885625535133509</c:v>
                </c:pt>
                <c:pt idx="92">
                  <c:v>3.7128839322814886</c:v>
                </c:pt>
                <c:pt idx="93">
                  <c:v>3.6409927493033081</c:v>
                </c:pt>
                <c:pt idx="94">
                  <c:v>3.5735321003051017</c:v>
                </c:pt>
                <c:pt idx="95">
                  <c:v>3.5091060571680512</c:v>
                </c:pt>
                <c:pt idx="96">
                  <c:v>3.4498365140105838</c:v>
                </c:pt>
                <c:pt idx="97">
                  <c:v>3.3990769828482805</c:v>
                </c:pt>
                <c:pt idx="98">
                  <c:v>3.3549819174549649</c:v>
                </c:pt>
                <c:pt idx="99">
                  <c:v>3.319469848662687</c:v>
                </c:pt>
                <c:pt idx="100">
                  <c:v>3.2854013040734573</c:v>
                </c:pt>
              </c:numCache>
            </c:numRef>
          </c:xVal>
          <c:yVal>
            <c:numRef>
              <c:f>'6states'!$AX$4:$AX$104</c:f>
              <c:numCache>
                <c:formatCode>0.0%</c:formatCode>
                <c:ptCount val="101"/>
                <c:pt idx="0">
                  <c:v>0</c:v>
                </c:pt>
                <c:pt idx="1">
                  <c:v>6.1317619652709876E-3</c:v>
                </c:pt>
                <c:pt idx="2">
                  <c:v>1.1604402249996926E-2</c:v>
                </c:pt>
                <c:pt idx="3">
                  <c:v>1.6993446282309588E-2</c:v>
                </c:pt>
                <c:pt idx="4">
                  <c:v>2.1138107123645056E-2</c:v>
                </c:pt>
                <c:pt idx="5">
                  <c:v>2.5150376024200338E-2</c:v>
                </c:pt>
                <c:pt idx="6">
                  <c:v>3.0196494725508338E-2</c:v>
                </c:pt>
                <c:pt idx="7">
                  <c:v>3.5465732544145645E-2</c:v>
                </c:pt>
                <c:pt idx="8">
                  <c:v>3.8750869392719212E-2</c:v>
                </c:pt>
                <c:pt idx="9">
                  <c:v>4.1901910142914889E-2</c:v>
                </c:pt>
                <c:pt idx="10">
                  <c:v>4.4809167724622179E-2</c:v>
                </c:pt>
                <c:pt idx="11">
                  <c:v>4.7556937499218743E-2</c:v>
                </c:pt>
                <c:pt idx="12">
                  <c:v>5.0089966094084781E-2</c:v>
                </c:pt>
                <c:pt idx="13">
                  <c:v>5.2502785497237858E-2</c:v>
                </c:pt>
                <c:pt idx="14">
                  <c:v>5.4747332693898088E-2</c:v>
                </c:pt>
                <c:pt idx="15">
                  <c:v>5.6816651417198383E-2</c:v>
                </c:pt>
                <c:pt idx="16">
                  <c:v>5.8796184926311779E-2</c:v>
                </c:pt>
                <c:pt idx="17">
                  <c:v>6.0566036321751837E-2</c:v>
                </c:pt>
                <c:pt idx="18">
                  <c:v>6.2355237559592602E-2</c:v>
                </c:pt>
                <c:pt idx="19">
                  <c:v>6.4094843002807322E-2</c:v>
                </c:pt>
                <c:pt idx="20">
                  <c:v>6.558490195074651E-2</c:v>
                </c:pt>
                <c:pt idx="21">
                  <c:v>6.6980939009564922E-2</c:v>
                </c:pt>
                <c:pt idx="22">
                  <c:v>6.841895680873189E-2</c:v>
                </c:pt>
                <c:pt idx="23">
                  <c:v>6.9808635819060383E-2</c:v>
                </c:pt>
                <c:pt idx="24">
                  <c:v>7.1088482804329112E-2</c:v>
                </c:pt>
                <c:pt idx="25">
                  <c:v>7.2267285134217207E-2</c:v>
                </c:pt>
                <c:pt idx="26">
                  <c:v>7.3447677119860777E-2</c:v>
                </c:pt>
                <c:pt idx="27">
                  <c:v>7.4578174205886083E-2</c:v>
                </c:pt>
                <c:pt idx="28">
                  <c:v>7.5504660433904469E-2</c:v>
                </c:pt>
                <c:pt idx="29">
                  <c:v>7.6412124879821408E-2</c:v>
                </c:pt>
                <c:pt idx="30">
                  <c:v>7.7164021001342897E-2</c:v>
                </c:pt>
                <c:pt idx="31">
                  <c:v>7.7830720195936398E-2</c:v>
                </c:pt>
                <c:pt idx="32">
                  <c:v>7.8511354953921475E-2</c:v>
                </c:pt>
                <c:pt idx="33">
                  <c:v>7.9071985257136435E-2</c:v>
                </c:pt>
                <c:pt idx="34">
                  <c:v>7.9742028733300274E-2</c:v>
                </c:pt>
                <c:pt idx="35">
                  <c:v>8.0299423368626277E-2</c:v>
                </c:pt>
                <c:pt idx="36">
                  <c:v>8.2625864456619125E-2</c:v>
                </c:pt>
                <c:pt idx="37">
                  <c:v>8.2879328202963176E-2</c:v>
                </c:pt>
                <c:pt idx="38">
                  <c:v>8.3192643877658456E-2</c:v>
                </c:pt>
                <c:pt idx="39">
                  <c:v>8.511438457404763E-2</c:v>
                </c:pt>
                <c:pt idx="40">
                  <c:v>8.5456222477416577E-2</c:v>
                </c:pt>
                <c:pt idx="41">
                  <c:v>8.5711972033144623E-2</c:v>
                </c:pt>
                <c:pt idx="42">
                  <c:v>8.6070426626798535E-2</c:v>
                </c:pt>
                <c:pt idx="43">
                  <c:v>8.6287482253569969E-2</c:v>
                </c:pt>
                <c:pt idx="44">
                  <c:v>8.7999721564779532E-2</c:v>
                </c:pt>
                <c:pt idx="45">
                  <c:v>8.8293259710776728E-2</c:v>
                </c:pt>
                <c:pt idx="46">
                  <c:v>8.8643485913509235E-2</c:v>
                </c:pt>
                <c:pt idx="47">
                  <c:v>8.8957568958970779E-2</c:v>
                </c:pt>
                <c:pt idx="48">
                  <c:v>8.9174843249498537E-2</c:v>
                </c:pt>
                <c:pt idx="49">
                  <c:v>8.9434405124126926E-2</c:v>
                </c:pt>
                <c:pt idx="50">
                  <c:v>8.9694821838044003E-2</c:v>
                </c:pt>
                <c:pt idx="51">
                  <c:v>8.9988248103234358E-2</c:v>
                </c:pt>
                <c:pt idx="52">
                  <c:v>9.0083059173930224E-2</c:v>
                </c:pt>
                <c:pt idx="53">
                  <c:v>9.1068642587899706E-2</c:v>
                </c:pt>
                <c:pt idx="54">
                  <c:v>9.1736174866905884E-2</c:v>
                </c:pt>
                <c:pt idx="55">
                  <c:v>9.1878780590284093E-2</c:v>
                </c:pt>
                <c:pt idx="56">
                  <c:v>9.2551467121974706E-2</c:v>
                </c:pt>
                <c:pt idx="57">
                  <c:v>9.308395759326471E-2</c:v>
                </c:pt>
                <c:pt idx="58">
                  <c:v>9.3043175082981877E-2</c:v>
                </c:pt>
                <c:pt idx="59">
                  <c:v>9.3174425027982566E-2</c:v>
                </c:pt>
                <c:pt idx="60">
                  <c:v>9.3167268479328103E-2</c:v>
                </c:pt>
                <c:pt idx="61">
                  <c:v>9.3556302410475745E-2</c:v>
                </c:pt>
                <c:pt idx="62">
                  <c:v>9.3523632159849823E-2</c:v>
                </c:pt>
                <c:pt idx="63">
                  <c:v>9.3644606776450479E-2</c:v>
                </c:pt>
                <c:pt idx="64">
                  <c:v>9.3711726074913071E-2</c:v>
                </c:pt>
                <c:pt idx="65">
                  <c:v>9.4165302708490994E-2</c:v>
                </c:pt>
                <c:pt idx="66">
                  <c:v>9.4062666059325672E-2</c:v>
                </c:pt>
                <c:pt idx="67">
                  <c:v>9.4115754411425723E-2</c:v>
                </c:pt>
                <c:pt idx="68">
                  <c:v>9.4407657997427119E-2</c:v>
                </c:pt>
                <c:pt idx="69">
                  <c:v>9.4494899749485328E-2</c:v>
                </c:pt>
                <c:pt idx="70">
                  <c:v>9.4606261777072764E-2</c:v>
                </c:pt>
                <c:pt idx="71">
                  <c:v>9.4605605227728318E-2</c:v>
                </c:pt>
                <c:pt idx="72">
                  <c:v>9.4953646221926036E-2</c:v>
                </c:pt>
                <c:pt idx="73">
                  <c:v>9.523465548926402E-2</c:v>
                </c:pt>
                <c:pt idx="74">
                  <c:v>9.5323955959153106E-2</c:v>
                </c:pt>
                <c:pt idx="75">
                  <c:v>9.5387826421936328E-2</c:v>
                </c:pt>
                <c:pt idx="76">
                  <c:v>9.5593169858090632E-2</c:v>
                </c:pt>
                <c:pt idx="77">
                  <c:v>9.5727014932428856E-2</c:v>
                </c:pt>
                <c:pt idx="78">
                  <c:v>9.5709423067724897E-2</c:v>
                </c:pt>
                <c:pt idx="79">
                  <c:v>9.5792044400449416E-2</c:v>
                </c:pt>
                <c:pt idx="80">
                  <c:v>9.5686846719094554E-2</c:v>
                </c:pt>
                <c:pt idx="81">
                  <c:v>9.58976428914462E-2</c:v>
                </c:pt>
                <c:pt idx="82">
                  <c:v>9.6044765164664425E-2</c:v>
                </c:pt>
                <c:pt idx="83">
                  <c:v>9.5931552700970535E-2</c:v>
                </c:pt>
                <c:pt idx="84">
                  <c:v>9.5756677307887395E-2</c:v>
                </c:pt>
                <c:pt idx="85">
                  <c:v>9.5995626250932387E-2</c:v>
                </c:pt>
                <c:pt idx="86">
                  <c:v>9.5718916135579035E-2</c:v>
                </c:pt>
                <c:pt idx="87">
                  <c:v>9.5643572641885166E-2</c:v>
                </c:pt>
                <c:pt idx="88">
                  <c:v>9.5478014954508583E-2</c:v>
                </c:pt>
                <c:pt idx="89">
                  <c:v>9.553437441005419E-2</c:v>
                </c:pt>
                <c:pt idx="90">
                  <c:v>9.5329335453879893E-2</c:v>
                </c:pt>
                <c:pt idx="91">
                  <c:v>9.5088626818325195E-2</c:v>
                </c:pt>
                <c:pt idx="92">
                  <c:v>9.5137370389756115E-2</c:v>
                </c:pt>
                <c:pt idx="93">
                  <c:v>9.5307539323169155E-2</c:v>
                </c:pt>
                <c:pt idx="94">
                  <c:v>9.54507367464279E-2</c:v>
                </c:pt>
                <c:pt idx="95">
                  <c:v>9.5397403240515488E-2</c:v>
                </c:pt>
                <c:pt idx="96">
                  <c:v>9.5336184008844471E-2</c:v>
                </c:pt>
                <c:pt idx="97">
                  <c:v>9.5364043758349948E-2</c:v>
                </c:pt>
                <c:pt idx="98">
                  <c:v>9.5119418631772867E-2</c:v>
                </c:pt>
                <c:pt idx="99">
                  <c:v>9.5441373472989199E-2</c:v>
                </c:pt>
                <c:pt idx="100">
                  <c:v>9.4956225969325514E-2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0A-4C0B-B766-8833C429E316}"/>
            </c:ext>
          </c:extLst>
        </c:ser>
        <c:ser>
          <c:idx val="1"/>
          <c:order val="1"/>
          <c:tx>
            <c:strRef>
              <c:f>Parameters!$R$4</c:f>
              <c:strCache>
                <c:ptCount val="1"/>
                <c:pt idx="0">
                  <c:v>MedianIPCC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Parameters!$L$5:$L$17</c:f>
              <c:numCache>
                <c:formatCode>General</c:formatCode>
                <c:ptCount val="13"/>
                <c:pt idx="0">
                  <c:v>-2.5</c:v>
                </c:pt>
                <c:pt idx="1">
                  <c:v>2.5</c:v>
                </c:pt>
                <c:pt idx="2">
                  <c:v>7.5</c:v>
                </c:pt>
                <c:pt idx="3">
                  <c:v>12.5</c:v>
                </c:pt>
                <c:pt idx="4">
                  <c:v>17.5</c:v>
                </c:pt>
                <c:pt idx="5">
                  <c:v>22.5</c:v>
                </c:pt>
                <c:pt idx="6">
                  <c:v>27.5</c:v>
                </c:pt>
                <c:pt idx="7">
                  <c:v>32.5</c:v>
                </c:pt>
                <c:pt idx="8">
                  <c:v>37.5</c:v>
                </c:pt>
                <c:pt idx="9">
                  <c:v>42.5</c:v>
                </c:pt>
                <c:pt idx="10">
                  <c:v>47.5</c:v>
                </c:pt>
                <c:pt idx="11">
                  <c:v>52.5</c:v>
                </c:pt>
                <c:pt idx="12">
                  <c:v>57.5</c:v>
                </c:pt>
              </c:numCache>
            </c:numRef>
          </c:xVal>
          <c:yVal>
            <c:numRef>
              <c:f>Parameters!$R$5:$R$17</c:f>
              <c:numCache>
                <c:formatCode>0.000</c:formatCode>
                <c:ptCount val="13"/>
                <c:pt idx="0">
                  <c:v>2.8247399999999999E-2</c:v>
                </c:pt>
                <c:pt idx="1">
                  <c:v>2.6695099999999999E-2</c:v>
                </c:pt>
                <c:pt idx="2">
                  <c:v>1.9692500000000002E-2</c:v>
                </c:pt>
                <c:pt idx="3">
                  <c:v>2.0146399999999998E-2</c:v>
                </c:pt>
                <c:pt idx="4">
                  <c:v>1.9457499999999999E-2</c:v>
                </c:pt>
                <c:pt idx="5">
                  <c:v>1.8330699999999998E-2</c:v>
                </c:pt>
                <c:pt idx="6">
                  <c:v>1.6000899999999998E-2</c:v>
                </c:pt>
                <c:pt idx="7">
                  <c:v>1.2162600000000001E-2</c:v>
                </c:pt>
                <c:pt idx="8">
                  <c:v>8.2251000000000008E-3</c:v>
                </c:pt>
                <c:pt idx="9">
                  <c:v>6.1939999999999999E-3</c:v>
                </c:pt>
                <c:pt idx="10">
                  <c:v>2.7149000000000001E-3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0A-4C0B-B766-8833C429E316}"/>
            </c:ext>
          </c:extLst>
        </c:ser>
        <c:ser>
          <c:idx val="2"/>
          <c:order val="2"/>
          <c:tx>
            <c:strRef>
              <c:f>Parameters!$S$4</c:f>
              <c:strCache>
                <c:ptCount val="1"/>
                <c:pt idx="0">
                  <c:v>P25_IPCC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Parameters!$L$5:$L$17</c:f>
              <c:numCache>
                <c:formatCode>General</c:formatCode>
                <c:ptCount val="13"/>
                <c:pt idx="0">
                  <c:v>-2.5</c:v>
                </c:pt>
                <c:pt idx="1">
                  <c:v>2.5</c:v>
                </c:pt>
                <c:pt idx="2">
                  <c:v>7.5</c:v>
                </c:pt>
                <c:pt idx="3">
                  <c:v>12.5</c:v>
                </c:pt>
                <c:pt idx="4">
                  <c:v>17.5</c:v>
                </c:pt>
                <c:pt idx="5">
                  <c:v>22.5</c:v>
                </c:pt>
                <c:pt idx="6">
                  <c:v>27.5</c:v>
                </c:pt>
                <c:pt idx="7">
                  <c:v>32.5</c:v>
                </c:pt>
                <c:pt idx="8">
                  <c:v>37.5</c:v>
                </c:pt>
                <c:pt idx="9">
                  <c:v>42.5</c:v>
                </c:pt>
                <c:pt idx="10">
                  <c:v>47.5</c:v>
                </c:pt>
                <c:pt idx="11">
                  <c:v>52.5</c:v>
                </c:pt>
                <c:pt idx="12">
                  <c:v>57.5</c:v>
                </c:pt>
              </c:numCache>
            </c:numRef>
          </c:xVal>
          <c:yVal>
            <c:numRef>
              <c:f>Parameters!$S$5:$S$17</c:f>
              <c:numCache>
                <c:formatCode>0.000</c:formatCode>
                <c:ptCount val="13"/>
                <c:pt idx="0">
                  <c:v>2.03494E-2</c:v>
                </c:pt>
                <c:pt idx="1">
                  <c:v>1.8069600000000002E-2</c:v>
                </c:pt>
                <c:pt idx="2">
                  <c:v>1.23111E-2</c:v>
                </c:pt>
                <c:pt idx="3">
                  <c:v>1.4205300000000001E-2</c:v>
                </c:pt>
                <c:pt idx="4">
                  <c:v>1.37847E-2</c:v>
                </c:pt>
                <c:pt idx="5">
                  <c:v>1.23982E-2</c:v>
                </c:pt>
                <c:pt idx="6">
                  <c:v>1.1003199999999999E-2</c:v>
                </c:pt>
                <c:pt idx="7">
                  <c:v>8.7869999999999997E-3</c:v>
                </c:pt>
                <c:pt idx="8">
                  <c:v>5.6994000000000003E-3</c:v>
                </c:pt>
                <c:pt idx="9">
                  <c:v>3.8782000000000001E-3</c:v>
                </c:pt>
                <c:pt idx="10">
                  <c:v>7.5310000000000004E-4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A0A-4C0B-B766-8833C429E316}"/>
            </c:ext>
          </c:extLst>
        </c:ser>
        <c:ser>
          <c:idx val="3"/>
          <c:order val="3"/>
          <c:tx>
            <c:strRef>
              <c:f>Parameters!$T$4</c:f>
              <c:strCache>
                <c:ptCount val="1"/>
                <c:pt idx="0">
                  <c:v>P75_IPCC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Parameters!$L$5:$L$17</c:f>
              <c:numCache>
                <c:formatCode>General</c:formatCode>
                <c:ptCount val="13"/>
                <c:pt idx="0">
                  <c:v>-2.5</c:v>
                </c:pt>
                <c:pt idx="1">
                  <c:v>2.5</c:v>
                </c:pt>
                <c:pt idx="2">
                  <c:v>7.5</c:v>
                </c:pt>
                <c:pt idx="3">
                  <c:v>12.5</c:v>
                </c:pt>
                <c:pt idx="4">
                  <c:v>17.5</c:v>
                </c:pt>
                <c:pt idx="5">
                  <c:v>22.5</c:v>
                </c:pt>
                <c:pt idx="6">
                  <c:v>27.5</c:v>
                </c:pt>
                <c:pt idx="7">
                  <c:v>32.5</c:v>
                </c:pt>
                <c:pt idx="8">
                  <c:v>37.5</c:v>
                </c:pt>
                <c:pt idx="9">
                  <c:v>42.5</c:v>
                </c:pt>
                <c:pt idx="10">
                  <c:v>47.5</c:v>
                </c:pt>
                <c:pt idx="11">
                  <c:v>52.5</c:v>
                </c:pt>
                <c:pt idx="12">
                  <c:v>57.5</c:v>
                </c:pt>
              </c:numCache>
            </c:numRef>
          </c:xVal>
          <c:yVal>
            <c:numRef>
              <c:f>Parameters!$T$5:$T$17</c:f>
              <c:numCache>
                <c:formatCode>0.000</c:formatCode>
                <c:ptCount val="13"/>
                <c:pt idx="0">
                  <c:v>3.9677799999999999E-2</c:v>
                </c:pt>
                <c:pt idx="1">
                  <c:v>4.0859699999999999E-2</c:v>
                </c:pt>
                <c:pt idx="2">
                  <c:v>2.83897E-2</c:v>
                </c:pt>
                <c:pt idx="3">
                  <c:v>3.0372400000000001E-2</c:v>
                </c:pt>
                <c:pt idx="4">
                  <c:v>2.8879800000000001E-2</c:v>
                </c:pt>
                <c:pt idx="5">
                  <c:v>2.8500000000000001E-2</c:v>
                </c:pt>
                <c:pt idx="6">
                  <c:v>2.3718599999999999E-2</c:v>
                </c:pt>
                <c:pt idx="7">
                  <c:v>1.73682E-2</c:v>
                </c:pt>
                <c:pt idx="8">
                  <c:v>1.38741E-2</c:v>
                </c:pt>
                <c:pt idx="9">
                  <c:v>9.2855999999999998E-3</c:v>
                </c:pt>
                <c:pt idx="10">
                  <c:v>5.1000999999999998E-3</c:v>
                </c:pt>
                <c:pt idx="11">
                  <c:v>5.0129999999999999E-4</c:v>
                </c:pt>
                <c:pt idx="12">
                  <c:v>1.0000000000000001E-5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A0A-4C0B-B766-8833C429E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7367391"/>
        <c:axId val="1727363071"/>
      </c:scatterChart>
      <c:valAx>
        <c:axId val="1727367391"/>
        <c:scaling>
          <c:orientation val="minMax"/>
          <c:max val="60"/>
          <c:min val="-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Emissions</a:t>
                </a:r>
                <a:r>
                  <a:rPr lang="en-GB" baseline="0"/>
                  <a:t> Gt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363071"/>
        <c:crosses val="autoZero"/>
        <c:crossBetween val="midCat"/>
        <c:majorUnit val="5"/>
      </c:valAx>
      <c:valAx>
        <c:axId val="172736307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TAC  %GDP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7367391"/>
        <c:crossesAt val="-10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Emissions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'6states'!$B$4:$B$79</c:f>
              <c:numCache>
                <c:formatCode>General</c:formatCode>
                <c:ptCount val="7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  <c:pt idx="36">
                  <c:v>2061</c:v>
                </c:pt>
                <c:pt idx="37">
                  <c:v>2062</c:v>
                </c:pt>
                <c:pt idx="38">
                  <c:v>2063</c:v>
                </c:pt>
                <c:pt idx="39">
                  <c:v>2064</c:v>
                </c:pt>
                <c:pt idx="40">
                  <c:v>2065</c:v>
                </c:pt>
                <c:pt idx="41">
                  <c:v>2066</c:v>
                </c:pt>
                <c:pt idx="42">
                  <c:v>2067</c:v>
                </c:pt>
                <c:pt idx="43">
                  <c:v>2068</c:v>
                </c:pt>
                <c:pt idx="44">
                  <c:v>2069</c:v>
                </c:pt>
                <c:pt idx="45">
                  <c:v>2070</c:v>
                </c:pt>
                <c:pt idx="46">
                  <c:v>2071</c:v>
                </c:pt>
                <c:pt idx="47">
                  <c:v>2072</c:v>
                </c:pt>
                <c:pt idx="48">
                  <c:v>2073</c:v>
                </c:pt>
                <c:pt idx="49">
                  <c:v>2074</c:v>
                </c:pt>
                <c:pt idx="50">
                  <c:v>2075</c:v>
                </c:pt>
                <c:pt idx="51">
                  <c:v>2076</c:v>
                </c:pt>
                <c:pt idx="52">
                  <c:v>2077</c:v>
                </c:pt>
                <c:pt idx="53">
                  <c:v>2078</c:v>
                </c:pt>
                <c:pt idx="54">
                  <c:v>2079</c:v>
                </c:pt>
                <c:pt idx="55">
                  <c:v>2080</c:v>
                </c:pt>
                <c:pt idx="56">
                  <c:v>2081</c:v>
                </c:pt>
                <c:pt idx="57">
                  <c:v>2082</c:v>
                </c:pt>
                <c:pt idx="58">
                  <c:v>2083</c:v>
                </c:pt>
                <c:pt idx="59">
                  <c:v>2084</c:v>
                </c:pt>
                <c:pt idx="60">
                  <c:v>2085</c:v>
                </c:pt>
                <c:pt idx="61">
                  <c:v>2086</c:v>
                </c:pt>
                <c:pt idx="62">
                  <c:v>2087</c:v>
                </c:pt>
                <c:pt idx="63">
                  <c:v>2088</c:v>
                </c:pt>
                <c:pt idx="64">
                  <c:v>2089</c:v>
                </c:pt>
                <c:pt idx="65">
                  <c:v>2090</c:v>
                </c:pt>
                <c:pt idx="66">
                  <c:v>2091</c:v>
                </c:pt>
                <c:pt idx="67">
                  <c:v>2092</c:v>
                </c:pt>
                <c:pt idx="68">
                  <c:v>2093</c:v>
                </c:pt>
                <c:pt idx="69">
                  <c:v>2094</c:v>
                </c:pt>
                <c:pt idx="70">
                  <c:v>2095</c:v>
                </c:pt>
                <c:pt idx="71">
                  <c:v>2096</c:v>
                </c:pt>
                <c:pt idx="72">
                  <c:v>2097</c:v>
                </c:pt>
                <c:pt idx="73">
                  <c:v>2098</c:v>
                </c:pt>
                <c:pt idx="74">
                  <c:v>2099</c:v>
                </c:pt>
                <c:pt idx="75">
                  <c:v>2100</c:v>
                </c:pt>
              </c:numCache>
            </c:numRef>
          </c:xVal>
          <c:yVal>
            <c:numRef>
              <c:f>'6states'!$L$4:$L$79</c:f>
              <c:numCache>
                <c:formatCode>0.0</c:formatCode>
                <c:ptCount val="76"/>
                <c:pt idx="0">
                  <c:v>53.20000000000001</c:v>
                </c:pt>
                <c:pt idx="1">
                  <c:v>42.115042706170982</c:v>
                </c:pt>
                <c:pt idx="2">
                  <c:v>38.479357823644783</c:v>
                </c:pt>
                <c:pt idx="3">
                  <c:v>35.782680296704072</c:v>
                </c:pt>
                <c:pt idx="4">
                  <c:v>34.288582260623926</c:v>
                </c:pt>
                <c:pt idx="5">
                  <c:v>32.954207395286176</c:v>
                </c:pt>
                <c:pt idx="6">
                  <c:v>30.88485783383701</c:v>
                </c:pt>
                <c:pt idx="7">
                  <c:v>28.95726566531485</c:v>
                </c:pt>
                <c:pt idx="8">
                  <c:v>28.074107738916464</c:v>
                </c:pt>
                <c:pt idx="9">
                  <c:v>27.262146243514476</c:v>
                </c:pt>
                <c:pt idx="10">
                  <c:v>26.499775371022491</c:v>
                </c:pt>
                <c:pt idx="11">
                  <c:v>25.791231815747928</c:v>
                </c:pt>
                <c:pt idx="12">
                  <c:v>25.12434149119138</c:v>
                </c:pt>
                <c:pt idx="13">
                  <c:v>24.501798645019711</c:v>
                </c:pt>
                <c:pt idx="14">
                  <c:v>23.914780393557457</c:v>
                </c:pt>
                <c:pt idx="15">
                  <c:v>23.357826691469278</c:v>
                </c:pt>
                <c:pt idx="16">
                  <c:v>22.834425830673453</c:v>
                </c:pt>
                <c:pt idx="17">
                  <c:v>22.328374443959671</c:v>
                </c:pt>
                <c:pt idx="18">
                  <c:v>21.856092689759262</c:v>
                </c:pt>
                <c:pt idx="19">
                  <c:v>21.412115592906396</c:v>
                </c:pt>
                <c:pt idx="20">
                  <c:v>20.974582617909434</c:v>
                </c:pt>
                <c:pt idx="21">
                  <c:v>20.554361974873256</c:v>
                </c:pt>
                <c:pt idx="22">
                  <c:v>20.157158243043408</c:v>
                </c:pt>
                <c:pt idx="23">
                  <c:v>19.776008959790548</c:v>
                </c:pt>
                <c:pt idx="24">
                  <c:v>19.406351681747193</c:v>
                </c:pt>
                <c:pt idx="25">
                  <c:v>19.047676673800925</c:v>
                </c:pt>
                <c:pt idx="26">
                  <c:v>18.708928835189639</c:v>
                </c:pt>
                <c:pt idx="27">
                  <c:v>18.386562705117353</c:v>
                </c:pt>
                <c:pt idx="28">
                  <c:v>18.071987767814665</c:v>
                </c:pt>
                <c:pt idx="29">
                  <c:v>17.776820147252494</c:v>
                </c:pt>
                <c:pt idx="30">
                  <c:v>17.492487274018313</c:v>
                </c:pt>
                <c:pt idx="31">
                  <c:v>17.224668950742927</c:v>
                </c:pt>
                <c:pt idx="32">
                  <c:v>16.978679448074026</c:v>
                </c:pt>
                <c:pt idx="33">
                  <c:v>16.749729245916058</c:v>
                </c:pt>
                <c:pt idx="34">
                  <c:v>16.559143480527517</c:v>
                </c:pt>
                <c:pt idx="35">
                  <c:v>16.40746716179498</c:v>
                </c:pt>
                <c:pt idx="36">
                  <c:v>14.930587409667755</c:v>
                </c:pt>
                <c:pt idx="37">
                  <c:v>14.823926753688987</c:v>
                </c:pt>
                <c:pt idx="38">
                  <c:v>14.716715400876001</c:v>
                </c:pt>
                <c:pt idx="39">
                  <c:v>13.653287427761393</c:v>
                </c:pt>
                <c:pt idx="40">
                  <c:v>13.543159624941598</c:v>
                </c:pt>
                <c:pt idx="41">
                  <c:v>13.408063257634222</c:v>
                </c:pt>
                <c:pt idx="42">
                  <c:v>13.265711319032564</c:v>
                </c:pt>
                <c:pt idx="43">
                  <c:v>13.117151007321558</c:v>
                </c:pt>
                <c:pt idx="44">
                  <c:v>12.179182970152914</c:v>
                </c:pt>
                <c:pt idx="45">
                  <c:v>12.036619312507542</c:v>
                </c:pt>
                <c:pt idx="46">
                  <c:v>11.878749661022669</c:v>
                </c:pt>
                <c:pt idx="47">
                  <c:v>11.710918607776897</c:v>
                </c:pt>
                <c:pt idx="48">
                  <c:v>11.535768289348985</c:v>
                </c:pt>
                <c:pt idx="49">
                  <c:v>11.360845542751589</c:v>
                </c:pt>
                <c:pt idx="50">
                  <c:v>11.188143721298518</c:v>
                </c:pt>
                <c:pt idx="51">
                  <c:v>11.025338034924438</c:v>
                </c:pt>
                <c:pt idx="52">
                  <c:v>10.870039078672768</c:v>
                </c:pt>
                <c:pt idx="53">
                  <c:v>10.268099786290712</c:v>
                </c:pt>
                <c:pt idx="54">
                  <c:v>9.7513416880359145</c:v>
                </c:pt>
                <c:pt idx="55">
                  <c:v>9.644781843377217</c:v>
                </c:pt>
                <c:pt idx="56">
                  <c:v>9.1876867076198927</c:v>
                </c:pt>
                <c:pt idx="57">
                  <c:v>8.7538462050239527</c:v>
                </c:pt>
                <c:pt idx="58">
                  <c:v>8.6441261506051816</c:v>
                </c:pt>
                <c:pt idx="59">
                  <c:v>8.5272246771957629</c:v>
                </c:pt>
                <c:pt idx="60">
                  <c:v>8.4031138380273678</c:v>
                </c:pt>
                <c:pt idx="61">
                  <c:v>7.9998851832531246</c:v>
                </c:pt>
                <c:pt idx="62">
                  <c:v>7.8725744804031361</c:v>
                </c:pt>
                <c:pt idx="63">
                  <c:v>7.7385002307141884</c:v>
                </c:pt>
                <c:pt idx="64">
                  <c:v>7.6005948273028823</c:v>
                </c:pt>
                <c:pt idx="65">
                  <c:v>7.2602988600319263</c:v>
                </c:pt>
                <c:pt idx="66">
                  <c:v>7.1257031124749677</c:v>
                </c:pt>
                <c:pt idx="67">
                  <c:v>6.9906156418815248</c:v>
                </c:pt>
                <c:pt idx="68">
                  <c:v>6.7140781281698745</c:v>
                </c:pt>
                <c:pt idx="69">
                  <c:v>6.5883597476319657</c:v>
                </c:pt>
                <c:pt idx="70">
                  <c:v>6.3585693795912102</c:v>
                </c:pt>
                <c:pt idx="71">
                  <c:v>6.1486779340131106</c:v>
                </c:pt>
                <c:pt idx="72">
                  <c:v>5.9603144897897264</c:v>
                </c:pt>
                <c:pt idx="73">
                  <c:v>5.7859494839943286</c:v>
                </c:pt>
                <c:pt idx="74">
                  <c:v>5.6213292951286764</c:v>
                </c:pt>
                <c:pt idx="75">
                  <c:v>5.4664075533612388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72-4112-BAB6-288008D18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0258288"/>
        <c:axId val="1649690160"/>
      </c:scatterChart>
      <c:valAx>
        <c:axId val="1770258288"/>
        <c:scaling>
          <c:orientation val="minMax"/>
          <c:max val="2100"/>
          <c:min val="2025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9690160"/>
        <c:crosses val="autoZero"/>
        <c:crossBetween val="midCat"/>
        <c:majorUnit val="10"/>
      </c:valAx>
      <c:valAx>
        <c:axId val="1649690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GHG emissions (Gt CO2e)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0258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Temperature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'6states'!$B$4:$B$79</c:f>
              <c:numCache>
                <c:formatCode>General</c:formatCode>
                <c:ptCount val="7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  <c:pt idx="36">
                  <c:v>2061</c:v>
                </c:pt>
                <c:pt idx="37">
                  <c:v>2062</c:v>
                </c:pt>
                <c:pt idx="38">
                  <c:v>2063</c:v>
                </c:pt>
                <c:pt idx="39">
                  <c:v>2064</c:v>
                </c:pt>
                <c:pt idx="40">
                  <c:v>2065</c:v>
                </c:pt>
                <c:pt idx="41">
                  <c:v>2066</c:v>
                </c:pt>
                <c:pt idx="42">
                  <c:v>2067</c:v>
                </c:pt>
                <c:pt idx="43">
                  <c:v>2068</c:v>
                </c:pt>
                <c:pt idx="44">
                  <c:v>2069</c:v>
                </c:pt>
                <c:pt idx="45">
                  <c:v>2070</c:v>
                </c:pt>
                <c:pt idx="46">
                  <c:v>2071</c:v>
                </c:pt>
                <c:pt idx="47">
                  <c:v>2072</c:v>
                </c:pt>
                <c:pt idx="48">
                  <c:v>2073</c:v>
                </c:pt>
                <c:pt idx="49">
                  <c:v>2074</c:v>
                </c:pt>
                <c:pt idx="50">
                  <c:v>2075</c:v>
                </c:pt>
                <c:pt idx="51">
                  <c:v>2076</c:v>
                </c:pt>
                <c:pt idx="52">
                  <c:v>2077</c:v>
                </c:pt>
                <c:pt idx="53">
                  <c:v>2078</c:v>
                </c:pt>
                <c:pt idx="54">
                  <c:v>2079</c:v>
                </c:pt>
                <c:pt idx="55">
                  <c:v>2080</c:v>
                </c:pt>
                <c:pt idx="56">
                  <c:v>2081</c:v>
                </c:pt>
                <c:pt idx="57">
                  <c:v>2082</c:v>
                </c:pt>
                <c:pt idx="58">
                  <c:v>2083</c:v>
                </c:pt>
                <c:pt idx="59">
                  <c:v>2084</c:v>
                </c:pt>
                <c:pt idx="60">
                  <c:v>2085</c:v>
                </c:pt>
                <c:pt idx="61">
                  <c:v>2086</c:v>
                </c:pt>
                <c:pt idx="62">
                  <c:v>2087</c:v>
                </c:pt>
                <c:pt idx="63">
                  <c:v>2088</c:v>
                </c:pt>
                <c:pt idx="64">
                  <c:v>2089</c:v>
                </c:pt>
                <c:pt idx="65">
                  <c:v>2090</c:v>
                </c:pt>
                <c:pt idx="66">
                  <c:v>2091</c:v>
                </c:pt>
                <c:pt idx="67">
                  <c:v>2092</c:v>
                </c:pt>
                <c:pt idx="68">
                  <c:v>2093</c:v>
                </c:pt>
                <c:pt idx="69">
                  <c:v>2094</c:v>
                </c:pt>
                <c:pt idx="70">
                  <c:v>2095</c:v>
                </c:pt>
                <c:pt idx="71">
                  <c:v>2096</c:v>
                </c:pt>
                <c:pt idx="72">
                  <c:v>2097</c:v>
                </c:pt>
                <c:pt idx="73">
                  <c:v>2098</c:v>
                </c:pt>
                <c:pt idx="74">
                  <c:v>2099</c:v>
                </c:pt>
                <c:pt idx="75">
                  <c:v>2100</c:v>
                </c:pt>
              </c:numCache>
            </c:numRef>
          </c:xVal>
          <c:yVal>
            <c:numRef>
              <c:f>'6states'!$N$4:$N$79</c:f>
              <c:numCache>
                <c:formatCode>0.00</c:formatCode>
                <c:ptCount val="76"/>
                <c:pt idx="0">
                  <c:v>1.38</c:v>
                </c:pt>
                <c:pt idx="1">
                  <c:v>1.4052690256237026</c:v>
                </c:pt>
                <c:pt idx="2">
                  <c:v>1.4283566403178896</c:v>
                </c:pt>
                <c:pt idx="3">
                  <c:v>1.4498262484959121</c:v>
                </c:pt>
                <c:pt idx="4">
                  <c:v>1.4703993978522865</c:v>
                </c:pt>
                <c:pt idx="5">
                  <c:v>1.4901719222894583</c:v>
                </c:pt>
                <c:pt idx="6">
                  <c:v>1.5087028369897604</c:v>
                </c:pt>
                <c:pt idx="7">
                  <c:v>1.5260771963889495</c:v>
                </c:pt>
                <c:pt idx="8">
                  <c:v>1.5429216610322993</c:v>
                </c:pt>
                <c:pt idx="9">
                  <c:v>1.559278948778408</c:v>
                </c:pt>
                <c:pt idx="10">
                  <c:v>1.5751788140010217</c:v>
                </c:pt>
                <c:pt idx="11">
                  <c:v>1.5906535530904704</c:v>
                </c:pt>
                <c:pt idx="12">
                  <c:v>1.6057281579851852</c:v>
                </c:pt>
                <c:pt idx="13">
                  <c:v>1.6204292371721971</c:v>
                </c:pt>
                <c:pt idx="14">
                  <c:v>1.6347781054083315</c:v>
                </c:pt>
                <c:pt idx="15">
                  <c:v>1.6487928014232132</c:v>
                </c:pt>
                <c:pt idx="16">
                  <c:v>1.662493456921617</c:v>
                </c:pt>
                <c:pt idx="17">
                  <c:v>1.6758904815879929</c:v>
                </c:pt>
                <c:pt idx="18">
                  <c:v>1.6890041372018485</c:v>
                </c:pt>
                <c:pt idx="19">
                  <c:v>1.7018514065575923</c:v>
                </c:pt>
                <c:pt idx="20">
                  <c:v>1.7144361561283381</c:v>
                </c:pt>
                <c:pt idx="21">
                  <c:v>1.7267687733132622</c:v>
                </c:pt>
                <c:pt idx="22">
                  <c:v>1.738863068259088</c:v>
                </c:pt>
                <c:pt idx="23">
                  <c:v>1.7507286736349623</c:v>
                </c:pt>
                <c:pt idx="24">
                  <c:v>1.7623724846440108</c:v>
                </c:pt>
                <c:pt idx="25">
                  <c:v>1.7738010906482915</c:v>
                </c:pt>
                <c:pt idx="26">
                  <c:v>1.7850264479494051</c:v>
                </c:pt>
                <c:pt idx="27">
                  <c:v>1.7960583855724754</c:v>
                </c:pt>
                <c:pt idx="28">
                  <c:v>1.8069015782331643</c:v>
                </c:pt>
                <c:pt idx="29">
                  <c:v>1.817567670321516</c:v>
                </c:pt>
                <c:pt idx="30">
                  <c:v>1.8280631626859269</c:v>
                </c:pt>
                <c:pt idx="31">
                  <c:v>1.8383979640563728</c:v>
                </c:pt>
                <c:pt idx="32">
                  <c:v>1.8485851717252173</c:v>
                </c:pt>
                <c:pt idx="33">
                  <c:v>1.858635009272767</c:v>
                </c:pt>
                <c:pt idx="34">
                  <c:v>1.8685704953610833</c:v>
                </c:pt>
                <c:pt idx="35">
                  <c:v>1.8784149756581603</c:v>
                </c:pt>
                <c:pt idx="36">
                  <c:v>1.8873733281039609</c:v>
                </c:pt>
                <c:pt idx="37">
                  <c:v>1.8962676841561745</c:v>
                </c:pt>
                <c:pt idx="38">
                  <c:v>1.9050977133967002</c:v>
                </c:pt>
                <c:pt idx="39">
                  <c:v>1.913289685853357</c:v>
                </c:pt>
                <c:pt idx="40">
                  <c:v>1.9214155816283218</c:v>
                </c:pt>
                <c:pt idx="41">
                  <c:v>1.9294604195829024</c:v>
                </c:pt>
                <c:pt idx="42">
                  <c:v>1.937419846374322</c:v>
                </c:pt>
                <c:pt idx="43">
                  <c:v>1.9452901369787148</c:v>
                </c:pt>
                <c:pt idx="44">
                  <c:v>1.9525976467608064</c:v>
                </c:pt>
                <c:pt idx="45">
                  <c:v>1.9598196183483108</c:v>
                </c:pt>
                <c:pt idx="46">
                  <c:v>1.9669468681449243</c:v>
                </c:pt>
                <c:pt idx="47">
                  <c:v>1.9739734193095906</c:v>
                </c:pt>
                <c:pt idx="48">
                  <c:v>1.9808948802832</c:v>
                </c:pt>
                <c:pt idx="49">
                  <c:v>1.9877113876088508</c:v>
                </c:pt>
                <c:pt idx="50">
                  <c:v>1.99442427384163</c:v>
                </c:pt>
                <c:pt idx="51">
                  <c:v>2.001039476662585</c:v>
                </c:pt>
                <c:pt idx="52">
                  <c:v>2.0075615001097882</c:v>
                </c:pt>
                <c:pt idx="53">
                  <c:v>2.0137223599815628</c:v>
                </c:pt>
                <c:pt idx="54">
                  <c:v>2.0195731649943847</c:v>
                </c:pt>
                <c:pt idx="55">
                  <c:v>2.0253600341004105</c:v>
                </c:pt>
                <c:pt idx="56">
                  <c:v>2.0308726461249829</c:v>
                </c:pt>
                <c:pt idx="57">
                  <c:v>2.0361249538479971</c:v>
                </c:pt>
                <c:pt idx="58">
                  <c:v>2.0413114295383599</c:v>
                </c:pt>
                <c:pt idx="59">
                  <c:v>2.0464277643446773</c:v>
                </c:pt>
                <c:pt idx="60">
                  <c:v>2.0514696326474939</c:v>
                </c:pt>
                <c:pt idx="61">
                  <c:v>2.0562695637574455</c:v>
                </c:pt>
                <c:pt idx="62">
                  <c:v>2.0609931084456874</c:v>
                </c:pt>
                <c:pt idx="63">
                  <c:v>2.0656362085841162</c:v>
                </c:pt>
                <c:pt idx="64">
                  <c:v>2.0701965654804977</c:v>
                </c:pt>
                <c:pt idx="65">
                  <c:v>2.0745527447965171</c:v>
                </c:pt>
                <c:pt idx="66">
                  <c:v>2.0788281666640018</c:v>
                </c:pt>
                <c:pt idx="67">
                  <c:v>2.083022536049131</c:v>
                </c:pt>
                <c:pt idx="68">
                  <c:v>2.0870509829260331</c:v>
                </c:pt>
                <c:pt idx="69">
                  <c:v>2.0910039987746121</c:v>
                </c:pt>
                <c:pt idx="70">
                  <c:v>2.0948191404023668</c:v>
                </c:pt>
                <c:pt idx="71">
                  <c:v>2.0985083471627743</c:v>
                </c:pt>
                <c:pt idx="72">
                  <c:v>2.1020845358566485</c:v>
                </c:pt>
                <c:pt idx="73">
                  <c:v>2.1055561055470449</c:v>
                </c:pt>
                <c:pt idx="74">
                  <c:v>2.1089289031241223</c:v>
                </c:pt>
                <c:pt idx="75">
                  <c:v>2.1122087476561391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BA-463C-BE53-C4CA25AEA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815296"/>
        <c:axId val="11939232"/>
      </c:scatterChart>
      <c:valAx>
        <c:axId val="80815296"/>
        <c:scaling>
          <c:orientation val="minMax"/>
          <c:max val="2100"/>
          <c:min val="2025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9232"/>
        <c:crosses val="autoZero"/>
        <c:crossBetween val="midCat"/>
        <c:majorUnit val="10"/>
      </c:valAx>
      <c:valAx>
        <c:axId val="1193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Global mean temperature (°C above pre-industrial)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15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SCC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'6states'!$B$4:$B$79</c:f>
              <c:numCache>
                <c:formatCode>General</c:formatCode>
                <c:ptCount val="7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  <c:pt idx="36">
                  <c:v>2061</c:v>
                </c:pt>
                <c:pt idx="37">
                  <c:v>2062</c:v>
                </c:pt>
                <c:pt idx="38">
                  <c:v>2063</c:v>
                </c:pt>
                <c:pt idx="39">
                  <c:v>2064</c:v>
                </c:pt>
                <c:pt idx="40">
                  <c:v>2065</c:v>
                </c:pt>
                <c:pt idx="41">
                  <c:v>2066</c:v>
                </c:pt>
                <c:pt idx="42">
                  <c:v>2067</c:v>
                </c:pt>
                <c:pt idx="43">
                  <c:v>2068</c:v>
                </c:pt>
                <c:pt idx="44">
                  <c:v>2069</c:v>
                </c:pt>
                <c:pt idx="45">
                  <c:v>2070</c:v>
                </c:pt>
                <c:pt idx="46">
                  <c:v>2071</c:v>
                </c:pt>
                <c:pt idx="47">
                  <c:v>2072</c:v>
                </c:pt>
                <c:pt idx="48">
                  <c:v>2073</c:v>
                </c:pt>
                <c:pt idx="49">
                  <c:v>2074</c:v>
                </c:pt>
                <c:pt idx="50">
                  <c:v>2075</c:v>
                </c:pt>
                <c:pt idx="51">
                  <c:v>2076</c:v>
                </c:pt>
                <c:pt idx="52">
                  <c:v>2077</c:v>
                </c:pt>
                <c:pt idx="53">
                  <c:v>2078</c:v>
                </c:pt>
                <c:pt idx="54">
                  <c:v>2079</c:v>
                </c:pt>
                <c:pt idx="55">
                  <c:v>2080</c:v>
                </c:pt>
                <c:pt idx="56">
                  <c:v>2081</c:v>
                </c:pt>
                <c:pt idx="57">
                  <c:v>2082</c:v>
                </c:pt>
                <c:pt idx="58">
                  <c:v>2083</c:v>
                </c:pt>
                <c:pt idx="59">
                  <c:v>2084</c:v>
                </c:pt>
                <c:pt idx="60">
                  <c:v>2085</c:v>
                </c:pt>
                <c:pt idx="61">
                  <c:v>2086</c:v>
                </c:pt>
                <c:pt idx="62">
                  <c:v>2087</c:v>
                </c:pt>
                <c:pt idx="63">
                  <c:v>2088</c:v>
                </c:pt>
                <c:pt idx="64">
                  <c:v>2089</c:v>
                </c:pt>
                <c:pt idx="65">
                  <c:v>2090</c:v>
                </c:pt>
                <c:pt idx="66">
                  <c:v>2091</c:v>
                </c:pt>
                <c:pt idx="67">
                  <c:v>2092</c:v>
                </c:pt>
                <c:pt idx="68">
                  <c:v>2093</c:v>
                </c:pt>
                <c:pt idx="69">
                  <c:v>2094</c:v>
                </c:pt>
                <c:pt idx="70">
                  <c:v>2095</c:v>
                </c:pt>
                <c:pt idx="71">
                  <c:v>2096</c:v>
                </c:pt>
                <c:pt idx="72">
                  <c:v>2097</c:v>
                </c:pt>
                <c:pt idx="73">
                  <c:v>2098</c:v>
                </c:pt>
                <c:pt idx="74">
                  <c:v>2099</c:v>
                </c:pt>
                <c:pt idx="75">
                  <c:v>2100</c:v>
                </c:pt>
              </c:numCache>
            </c:numRef>
          </c:xVal>
          <c:yVal>
            <c:numRef>
              <c:f>'6states'!$BA$4:$BA$79</c:f>
              <c:numCache>
                <c:formatCode>0.00</c:formatCode>
                <c:ptCount val="76"/>
                <c:pt idx="0">
                  <c:v>181.28957053695825</c:v>
                </c:pt>
                <c:pt idx="1">
                  <c:v>185.852828416189</c:v>
                </c:pt>
                <c:pt idx="2">
                  <c:v>190.51261266198574</c:v>
                </c:pt>
                <c:pt idx="3">
                  <c:v>195.27250381595422</c:v>
                </c:pt>
                <c:pt idx="4">
                  <c:v>200.1366116721052</c:v>
                </c:pt>
                <c:pt idx="5">
                  <c:v>205.10564292272647</c:v>
                </c:pt>
                <c:pt idx="6">
                  <c:v>210.18249311931945</c:v>
                </c:pt>
                <c:pt idx="7">
                  <c:v>215.3735918558159</c:v>
                </c:pt>
                <c:pt idx="8">
                  <c:v>220.68378924847258</c:v>
                </c:pt>
                <c:pt idx="9">
                  <c:v>226.11164900571654</c:v>
                </c:pt>
                <c:pt idx="10">
                  <c:v>231.65995585553813</c:v>
                </c:pt>
                <c:pt idx="11">
                  <c:v>237.33116785022182</c:v>
                </c:pt>
                <c:pt idx="12">
                  <c:v>243.12801467834987</c:v>
                </c:pt>
                <c:pt idx="13">
                  <c:v>249.05307060401682</c:v>
                </c:pt>
                <c:pt idx="14">
                  <c:v>255.10917043262219</c:v>
                </c:pt>
                <c:pt idx="15">
                  <c:v>261.29901679265697</c:v>
                </c:pt>
                <c:pt idx="16">
                  <c:v>267.6253129905125</c:v>
                </c:pt>
                <c:pt idx="17">
                  <c:v>274.09097391998438</c:v>
                </c:pt>
                <c:pt idx="18">
                  <c:v>280.69861834585413</c:v>
                </c:pt>
                <c:pt idx="19">
                  <c:v>287.45155967834489</c:v>
                </c:pt>
                <c:pt idx="20">
                  <c:v>294.35299764864573</c:v>
                </c:pt>
                <c:pt idx="21">
                  <c:v>301.40538466022565</c:v>
                </c:pt>
                <c:pt idx="22">
                  <c:v>308.61182603087281</c:v>
                </c:pt>
                <c:pt idx="23">
                  <c:v>315.97587562414162</c:v>
                </c:pt>
                <c:pt idx="24">
                  <c:v>323.50080849022504</c:v>
                </c:pt>
                <c:pt idx="25">
                  <c:v>331.18969253698447</c:v>
                </c:pt>
                <c:pt idx="26">
                  <c:v>339.04565074137264</c:v>
                </c:pt>
                <c:pt idx="27">
                  <c:v>347.07241179407094</c:v>
                </c:pt>
                <c:pt idx="28">
                  <c:v>355.27339318006881</c:v>
                </c:pt>
                <c:pt idx="29">
                  <c:v>363.65134005575504</c:v>
                </c:pt>
                <c:pt idx="30">
                  <c:v>372.20982823446525</c:v>
                </c:pt>
                <c:pt idx="31">
                  <c:v>380.95181301406734</c:v>
                </c:pt>
                <c:pt idx="32">
                  <c:v>389.88075913428065</c:v>
                </c:pt>
                <c:pt idx="33">
                  <c:v>399.00045676534364</c:v>
                </c:pt>
                <c:pt idx="34">
                  <c:v>408.31403267824771</c:v>
                </c:pt>
                <c:pt idx="35">
                  <c:v>417.82581456376761</c:v>
                </c:pt>
                <c:pt idx="36">
                  <c:v>427.538946450342</c:v>
                </c:pt>
                <c:pt idx="37">
                  <c:v>437.46960951149379</c:v>
                </c:pt>
                <c:pt idx="38">
                  <c:v>447.61026785617997</c:v>
                </c:pt>
                <c:pt idx="39">
                  <c:v>457.96515142634439</c:v>
                </c:pt>
                <c:pt idx="40">
                  <c:v>468.54996825174726</c:v>
                </c:pt>
                <c:pt idx="41">
                  <c:v>479.35952006074115</c:v>
                </c:pt>
                <c:pt idx="42">
                  <c:v>490.39775185097642</c:v>
                </c:pt>
                <c:pt idx="43">
                  <c:v>501.66968734927019</c:v>
                </c:pt>
                <c:pt idx="44">
                  <c:v>513.17879771789808</c:v>
                </c:pt>
                <c:pt idx="45">
                  <c:v>524.94177523251733</c:v>
                </c:pt>
                <c:pt idx="46">
                  <c:v>536.9537062607701</c:v>
                </c:pt>
                <c:pt idx="47">
                  <c:v>549.21982817743981</c:v>
                </c:pt>
                <c:pt idx="48">
                  <c:v>561.74480683208253</c:v>
                </c:pt>
                <c:pt idx="49">
                  <c:v>574.53289349870954</c:v>
                </c:pt>
                <c:pt idx="50">
                  <c:v>587.58948036283255</c:v>
                </c:pt>
                <c:pt idx="51">
                  <c:v>600.91973225282231</c:v>
                </c:pt>
                <c:pt idx="52">
                  <c:v>614.52936650894321</c:v>
                </c:pt>
                <c:pt idx="53">
                  <c:v>628.42195116080825</c:v>
                </c:pt>
                <c:pt idx="54">
                  <c:v>642.61185377785102</c:v>
                </c:pt>
                <c:pt idx="55">
                  <c:v>657.10307512590214</c:v>
                </c:pt>
                <c:pt idx="56">
                  <c:v>671.89654754747107</c:v>
                </c:pt>
                <c:pt idx="57">
                  <c:v>687.00393327588949</c:v>
                </c:pt>
                <c:pt idx="58">
                  <c:v>702.43085106169247</c:v>
                </c:pt>
                <c:pt idx="59">
                  <c:v>718.17767839317617</c:v>
                </c:pt>
                <c:pt idx="60">
                  <c:v>734.25213918805548</c:v>
                </c:pt>
                <c:pt idx="61">
                  <c:v>750.6589031961654</c:v>
                </c:pt>
                <c:pt idx="62">
                  <c:v>767.40940413666476</c:v>
                </c:pt>
                <c:pt idx="63">
                  <c:v>784.50552231696247</c:v>
                </c:pt>
                <c:pt idx="64">
                  <c:v>801.9554563433212</c:v>
                </c:pt>
                <c:pt idx="65">
                  <c:v>819.76523151094466</c:v>
                </c:pt>
                <c:pt idx="66">
                  <c:v>837.94690228748834</c:v>
                </c:pt>
                <c:pt idx="67">
                  <c:v>856.5007552612077</c:v>
                </c:pt>
                <c:pt idx="68">
                  <c:v>875.43560697146802</c:v>
                </c:pt>
                <c:pt idx="69">
                  <c:v>894.76213613981747</c:v>
                </c:pt>
                <c:pt idx="70">
                  <c:v>914.48504706883853</c:v>
                </c:pt>
                <c:pt idx="71">
                  <c:v>934.61237772611889</c:v>
                </c:pt>
                <c:pt idx="72">
                  <c:v>955.15038814170077</c:v>
                </c:pt>
                <c:pt idx="73">
                  <c:v>976.11190617255397</c:v>
                </c:pt>
                <c:pt idx="74">
                  <c:v>997.50420872854704</c:v>
                </c:pt>
                <c:pt idx="75">
                  <c:v>1019.3326847869539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37-402C-B922-FE129C8E7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815296"/>
        <c:axId val="11939232"/>
      </c:scatterChart>
      <c:valAx>
        <c:axId val="80815296"/>
        <c:scaling>
          <c:orientation val="minMax"/>
          <c:max val="2100"/>
          <c:min val="2025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9232"/>
        <c:crosses val="autoZero"/>
        <c:crossBetween val="midCat"/>
        <c:majorUnit val="10"/>
        <c:minorUnit val="2"/>
      </c:valAx>
      <c:valAx>
        <c:axId val="1193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Social cost of carbon(2024 USD/tCO2e)</a:t>
                </a:r>
              </a:p>
            </c:rich>
          </c:tx>
          <c:layout>
            <c:manualLayout>
              <c:xMode val="edge"/>
              <c:yMode val="edge"/>
              <c:x val="9.583718415907291E-3"/>
              <c:y val="0.146545873141342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15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Stranded capital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'6states'!$B$4:$B$79</c:f>
              <c:numCache>
                <c:formatCode>General</c:formatCode>
                <c:ptCount val="7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  <c:pt idx="36">
                  <c:v>2061</c:v>
                </c:pt>
                <c:pt idx="37">
                  <c:v>2062</c:v>
                </c:pt>
                <c:pt idx="38">
                  <c:v>2063</c:v>
                </c:pt>
                <c:pt idx="39">
                  <c:v>2064</c:v>
                </c:pt>
                <c:pt idx="40">
                  <c:v>2065</c:v>
                </c:pt>
                <c:pt idx="41">
                  <c:v>2066</c:v>
                </c:pt>
                <c:pt idx="42">
                  <c:v>2067</c:v>
                </c:pt>
                <c:pt idx="43">
                  <c:v>2068</c:v>
                </c:pt>
                <c:pt idx="44">
                  <c:v>2069</c:v>
                </c:pt>
                <c:pt idx="45">
                  <c:v>2070</c:v>
                </c:pt>
                <c:pt idx="46">
                  <c:v>2071</c:v>
                </c:pt>
                <c:pt idx="47">
                  <c:v>2072</c:v>
                </c:pt>
                <c:pt idx="48">
                  <c:v>2073</c:v>
                </c:pt>
                <c:pt idx="49">
                  <c:v>2074</c:v>
                </c:pt>
                <c:pt idx="50">
                  <c:v>2075</c:v>
                </c:pt>
                <c:pt idx="51">
                  <c:v>2076</c:v>
                </c:pt>
                <c:pt idx="52">
                  <c:v>2077</c:v>
                </c:pt>
                <c:pt idx="53">
                  <c:v>2078</c:v>
                </c:pt>
                <c:pt idx="54">
                  <c:v>2079</c:v>
                </c:pt>
                <c:pt idx="55">
                  <c:v>2080</c:v>
                </c:pt>
                <c:pt idx="56">
                  <c:v>2081</c:v>
                </c:pt>
                <c:pt idx="57">
                  <c:v>2082</c:v>
                </c:pt>
                <c:pt idx="58">
                  <c:v>2083</c:v>
                </c:pt>
                <c:pt idx="59">
                  <c:v>2084</c:v>
                </c:pt>
                <c:pt idx="60">
                  <c:v>2085</c:v>
                </c:pt>
                <c:pt idx="61">
                  <c:v>2086</c:v>
                </c:pt>
                <c:pt idx="62">
                  <c:v>2087</c:v>
                </c:pt>
                <c:pt idx="63">
                  <c:v>2088</c:v>
                </c:pt>
                <c:pt idx="64">
                  <c:v>2089</c:v>
                </c:pt>
                <c:pt idx="65">
                  <c:v>2090</c:v>
                </c:pt>
                <c:pt idx="66">
                  <c:v>2091</c:v>
                </c:pt>
                <c:pt idx="67">
                  <c:v>2092</c:v>
                </c:pt>
                <c:pt idx="68">
                  <c:v>2093</c:v>
                </c:pt>
                <c:pt idx="69">
                  <c:v>2094</c:v>
                </c:pt>
                <c:pt idx="70">
                  <c:v>2095</c:v>
                </c:pt>
                <c:pt idx="71">
                  <c:v>2096</c:v>
                </c:pt>
                <c:pt idx="72">
                  <c:v>2097</c:v>
                </c:pt>
                <c:pt idx="73">
                  <c:v>2098</c:v>
                </c:pt>
                <c:pt idx="74">
                  <c:v>2099</c:v>
                </c:pt>
                <c:pt idx="75">
                  <c:v>2100</c:v>
                </c:pt>
              </c:numCache>
            </c:numRef>
          </c:xVal>
          <c:yVal>
            <c:numRef>
              <c:f>'6states'!$AE$4:$AE$79</c:f>
              <c:numCache>
                <c:formatCode>0.0</c:formatCode>
                <c:ptCount val="76"/>
                <c:pt idx="0">
                  <c:v>0</c:v>
                </c:pt>
                <c:pt idx="1">
                  <c:v>2.3267220567054148</c:v>
                </c:pt>
                <c:pt idx="2">
                  <c:v>3.2581049355386611</c:v>
                </c:pt>
                <c:pt idx="3">
                  <c:v>3.8013523225140671</c:v>
                </c:pt>
                <c:pt idx="4">
                  <c:v>3.6440293340557939</c:v>
                </c:pt>
                <c:pt idx="5">
                  <c:v>3.4932173239540534</c:v>
                </c:pt>
                <c:pt idx="6">
                  <c:v>3.7640488203976794</c:v>
                </c:pt>
                <c:pt idx="7">
                  <c:v>4.0196754474842802</c:v>
                </c:pt>
                <c:pt idx="8">
                  <c:v>3.853316925469584</c:v>
                </c:pt>
                <c:pt idx="9">
                  <c:v>3.6938433269290543</c:v>
                </c:pt>
                <c:pt idx="10">
                  <c:v>3.5409697120190873</c:v>
                </c:pt>
                <c:pt idx="11">
                  <c:v>3.3944229334330274</c:v>
                </c:pt>
                <c:pt idx="12">
                  <c:v>3.2539411483545533</c:v>
                </c:pt>
                <c:pt idx="13">
                  <c:v>3.1192733506093768</c:v>
                </c:pt>
                <c:pt idx="14">
                  <c:v>2.9901789221793482</c:v>
                </c:pt>
                <c:pt idx="15">
                  <c:v>2.8664272032776204</c:v>
                </c:pt>
                <c:pt idx="16">
                  <c:v>2.7477970802167095</c:v>
                </c:pt>
                <c:pt idx="17">
                  <c:v>2.6340765903330712</c:v>
                </c:pt>
                <c:pt idx="18">
                  <c:v>2.5250625432622886</c:v>
                </c:pt>
                <c:pt idx="19">
                  <c:v>2.4205601578881955</c:v>
                </c:pt>
                <c:pt idx="20">
                  <c:v>2.3203827143172333</c:v>
                </c:pt>
                <c:pt idx="21">
                  <c:v>2.2243512202562261</c:v>
                </c:pt>
                <c:pt idx="22">
                  <c:v>2.1322940911974611</c:v>
                </c:pt>
                <c:pt idx="23">
                  <c:v>2.0440468438396464</c:v>
                </c:pt>
                <c:pt idx="24">
                  <c:v>1.9594518021969722</c:v>
                </c:pt>
                <c:pt idx="25">
                  <c:v>1.8783578158711534</c:v>
                </c:pt>
                <c:pt idx="26">
                  <c:v>1.8006199899830846</c:v>
                </c:pt>
                <c:pt idx="27">
                  <c:v>1.726099426281561</c:v>
                </c:pt>
                <c:pt idx="28">
                  <c:v>1.6546629749664858</c:v>
                </c:pt>
                <c:pt idx="29">
                  <c:v>1.5861829967831378</c:v>
                </c:pt>
                <c:pt idx="30">
                  <c:v>1.5205371349624206</c:v>
                </c:pt>
                <c:pt idx="31">
                  <c:v>1.4576080965996043</c:v>
                </c:pt>
                <c:pt idx="32">
                  <c:v>1.3972834430809418</c:v>
                </c:pt>
                <c:pt idx="33">
                  <c:v>1.3394553891836978</c:v>
                </c:pt>
                <c:pt idx="34">
                  <c:v>1.2840206104906378</c:v>
                </c:pt>
                <c:pt idx="35">
                  <c:v>1.2308800587748727</c:v>
                </c:pt>
                <c:pt idx="36">
                  <c:v>1.7949653965882295</c:v>
                </c:pt>
                <c:pt idx="37">
                  <c:v>1.7206788542180425</c:v>
                </c:pt>
                <c:pt idx="38">
                  <c:v>1.6494667390138651</c:v>
                </c:pt>
                <c:pt idx="39">
                  <c:v>1.9731249766627048</c:v>
                </c:pt>
                <c:pt idx="40">
                  <c:v>1.8914651115426682</c:v>
                </c:pt>
                <c:pt idx="41">
                  <c:v>1.8131848263530936</c:v>
                </c:pt>
                <c:pt idx="42">
                  <c:v>1.7381442536022875</c:v>
                </c:pt>
                <c:pt idx="43">
                  <c:v>1.6662093143627075</c:v>
                </c:pt>
                <c:pt idx="44">
                  <c:v>1.972599617159938</c:v>
                </c:pt>
                <c:pt idx="45">
                  <c:v>1.8909614945988589</c:v>
                </c:pt>
                <c:pt idx="46">
                  <c:v>1.8127020521294313</c:v>
                </c:pt>
                <c:pt idx="47">
                  <c:v>1.7376814595007439</c:v>
                </c:pt>
                <c:pt idx="48">
                  <c:v>1.665765673484785</c:v>
                </c:pt>
                <c:pt idx="49">
                  <c:v>1.5968261983743814</c:v>
                </c:pt>
                <c:pt idx="50">
                  <c:v>1.5307398563931744</c:v>
                </c:pt>
                <c:pt idx="51">
                  <c:v>1.467388567607427</c:v>
                </c:pt>
                <c:pt idx="52">
                  <c:v>1.4066591389464111</c:v>
                </c:pt>
                <c:pt idx="53">
                  <c:v>1.4124254020220739</c:v>
                </c:pt>
                <c:pt idx="54">
                  <c:v>1.3539706821308299</c:v>
                </c:pt>
                <c:pt idx="55">
                  <c:v>1.2979351726790695</c:v>
                </c:pt>
                <c:pt idx="56">
                  <c:v>1.2442187520827461</c:v>
                </c:pt>
                <c:pt idx="57">
                  <c:v>1.1927254423955183</c:v>
                </c:pt>
                <c:pt idx="58">
                  <c:v>1.1433632378199166</c:v>
                </c:pt>
                <c:pt idx="59">
                  <c:v>1.0960439403157611</c:v>
                </c:pt>
                <c:pt idx="60">
                  <c:v>1.0506830020120956</c:v>
                </c:pt>
                <c:pt idx="61">
                  <c:v>1.0071993741410721</c:v>
                </c:pt>
                <c:pt idx="62">
                  <c:v>0.96551536222386625</c:v>
                </c:pt>
                <c:pt idx="63">
                  <c:v>0.92555648724987516</c:v>
                </c:pt>
                <c:pt idx="64">
                  <c:v>0.88725135260116428</c:v>
                </c:pt>
                <c:pt idx="65">
                  <c:v>0.85053151648438374</c:v>
                </c:pt>
                <c:pt idx="66">
                  <c:v>0.81533136964222663</c:v>
                </c:pt>
                <c:pt idx="67">
                  <c:v>0.7815880181259276</c:v>
                </c:pt>
                <c:pt idx="68">
                  <c:v>0.74924117091934539</c:v>
                </c:pt>
                <c:pt idx="69">
                  <c:v>0.71823303221384116</c:v>
                </c:pt>
                <c:pt idx="70">
                  <c:v>0.68850819814147657</c:v>
                </c:pt>
                <c:pt idx="71">
                  <c:v>0.66001355778201631</c:v>
                </c:pt>
                <c:pt idx="72">
                  <c:v>0.63269819826686069</c:v>
                </c:pt>
                <c:pt idx="73">
                  <c:v>0.60651331381035323</c:v>
                </c:pt>
                <c:pt idx="74">
                  <c:v>0.58141211850592289</c:v>
                </c:pt>
                <c:pt idx="75">
                  <c:v>0.55734976273125159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4B-4B8D-BD61-285E79F1BCB7}"/>
            </c:ext>
          </c:extLst>
        </c:ser>
        <c:ser>
          <c:idx val="1"/>
          <c:order val="1"/>
          <c:tx>
            <c:v>Dirty capital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'6states'!$B$4:$B$79</c:f>
              <c:numCache>
                <c:formatCode>General</c:formatCode>
                <c:ptCount val="7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  <c:pt idx="36">
                  <c:v>2061</c:v>
                </c:pt>
                <c:pt idx="37">
                  <c:v>2062</c:v>
                </c:pt>
                <c:pt idx="38">
                  <c:v>2063</c:v>
                </c:pt>
                <c:pt idx="39">
                  <c:v>2064</c:v>
                </c:pt>
                <c:pt idx="40">
                  <c:v>2065</c:v>
                </c:pt>
                <c:pt idx="41">
                  <c:v>2066</c:v>
                </c:pt>
                <c:pt idx="42">
                  <c:v>2067</c:v>
                </c:pt>
                <c:pt idx="43">
                  <c:v>2068</c:v>
                </c:pt>
                <c:pt idx="44">
                  <c:v>2069</c:v>
                </c:pt>
                <c:pt idx="45">
                  <c:v>2070</c:v>
                </c:pt>
                <c:pt idx="46">
                  <c:v>2071</c:v>
                </c:pt>
                <c:pt idx="47">
                  <c:v>2072</c:v>
                </c:pt>
                <c:pt idx="48">
                  <c:v>2073</c:v>
                </c:pt>
                <c:pt idx="49">
                  <c:v>2074</c:v>
                </c:pt>
                <c:pt idx="50">
                  <c:v>2075</c:v>
                </c:pt>
                <c:pt idx="51">
                  <c:v>2076</c:v>
                </c:pt>
                <c:pt idx="52">
                  <c:v>2077</c:v>
                </c:pt>
                <c:pt idx="53">
                  <c:v>2078</c:v>
                </c:pt>
                <c:pt idx="54">
                  <c:v>2079</c:v>
                </c:pt>
                <c:pt idx="55">
                  <c:v>2080</c:v>
                </c:pt>
                <c:pt idx="56">
                  <c:v>2081</c:v>
                </c:pt>
                <c:pt idx="57">
                  <c:v>2082</c:v>
                </c:pt>
                <c:pt idx="58">
                  <c:v>2083</c:v>
                </c:pt>
                <c:pt idx="59">
                  <c:v>2084</c:v>
                </c:pt>
                <c:pt idx="60">
                  <c:v>2085</c:v>
                </c:pt>
                <c:pt idx="61">
                  <c:v>2086</c:v>
                </c:pt>
                <c:pt idx="62">
                  <c:v>2087</c:v>
                </c:pt>
                <c:pt idx="63">
                  <c:v>2088</c:v>
                </c:pt>
                <c:pt idx="64">
                  <c:v>2089</c:v>
                </c:pt>
                <c:pt idx="65">
                  <c:v>2090</c:v>
                </c:pt>
                <c:pt idx="66">
                  <c:v>2091</c:v>
                </c:pt>
                <c:pt idx="67">
                  <c:v>2092</c:v>
                </c:pt>
                <c:pt idx="68">
                  <c:v>2093</c:v>
                </c:pt>
                <c:pt idx="69">
                  <c:v>2094</c:v>
                </c:pt>
                <c:pt idx="70">
                  <c:v>2095</c:v>
                </c:pt>
                <c:pt idx="71">
                  <c:v>2096</c:v>
                </c:pt>
                <c:pt idx="72">
                  <c:v>2097</c:v>
                </c:pt>
                <c:pt idx="73">
                  <c:v>2098</c:v>
                </c:pt>
                <c:pt idx="74">
                  <c:v>2099</c:v>
                </c:pt>
                <c:pt idx="75">
                  <c:v>2100</c:v>
                </c:pt>
              </c:numCache>
            </c:numRef>
          </c:xVal>
          <c:yVal>
            <c:numRef>
              <c:f>'6states'!$AF$4:$AF$79</c:f>
              <c:numCache>
                <c:formatCode>0.0</c:formatCode>
                <c:ptCount val="76"/>
                <c:pt idx="0">
                  <c:v>58.41828303493655</c:v>
                </c:pt>
                <c:pt idx="1">
                  <c:v>53.673858516603175</c:v>
                </c:pt>
                <c:pt idx="2">
                  <c:v>50.424832350929194</c:v>
                </c:pt>
                <c:pt idx="3">
                  <c:v>47.659859797069068</c:v>
                </c:pt>
                <c:pt idx="4">
                  <c:v>46.118118832511463</c:v>
                </c:pt>
                <c:pt idx="5">
                  <c:v>44.754979083465109</c:v>
                </c:pt>
                <c:pt idx="6">
                  <c:v>42.487344922459009</c:v>
                </c:pt>
                <c:pt idx="7">
                  <c:v>40.317555422099439</c:v>
                </c:pt>
                <c:pt idx="8">
                  <c:v>39.468201610189858</c:v>
                </c:pt>
                <c:pt idx="9">
                  <c:v>38.697894157023654</c:v>
                </c:pt>
                <c:pt idx="10">
                  <c:v>37.97862652334404</c:v>
                </c:pt>
                <c:pt idx="11">
                  <c:v>37.318068011755585</c:v>
                </c:pt>
                <c:pt idx="12">
                  <c:v>36.700589129610606</c:v>
                </c:pt>
                <c:pt idx="13">
                  <c:v>36.131461466063634</c:v>
                </c:pt>
                <c:pt idx="14">
                  <c:v>35.59931582442649</c:v>
                </c:pt>
                <c:pt idx="15">
                  <c:v>35.097306290814323</c:v>
                </c:pt>
                <c:pt idx="16">
                  <c:v>34.631578310417432</c:v>
                </c:pt>
                <c:pt idx="17">
                  <c:v>34.179071513774318</c:v>
                </c:pt>
                <c:pt idx="18">
                  <c:v>33.765018485802415</c:v>
                </c:pt>
                <c:pt idx="19">
                  <c:v>33.382265494708712</c:v>
                </c:pt>
                <c:pt idx="20">
                  <c:v>32.998385200732663</c:v>
                </c:pt>
                <c:pt idx="21">
                  <c:v>32.630281583347269</c:v>
                </c:pt>
                <c:pt idx="22">
                  <c:v>32.28736486281872</c:v>
                </c:pt>
                <c:pt idx="23">
                  <c:v>31.959543489885554</c:v>
                </c:pt>
                <c:pt idx="24">
                  <c:v>31.64018788979779</c:v>
                </c:pt>
                <c:pt idx="25">
                  <c:v>31.328884524661049</c:v>
                </c:pt>
                <c:pt idx="26">
                  <c:v>31.040279282213952</c:v>
                </c:pt>
                <c:pt idx="27">
                  <c:v>30.769371701533348</c:v>
                </c:pt>
                <c:pt idx="28">
                  <c:v>30.50284956155722</c:v>
                </c:pt>
                <c:pt idx="29">
                  <c:v>30.259922659367223</c:v>
                </c:pt>
                <c:pt idx="30">
                  <c:v>30.027230090114429</c:v>
                </c:pt>
                <c:pt idx="31">
                  <c:v>29.814559720117344</c:v>
                </c:pt>
                <c:pt idx="32">
                  <c:v>29.631354441885133</c:v>
                </c:pt>
                <c:pt idx="33">
                  <c:v>29.47039662820573</c:v>
                </c:pt>
                <c:pt idx="34">
                  <c:v>29.368247942125606</c:v>
                </c:pt>
                <c:pt idx="35">
                  <c:v>29.327189502121065</c:v>
                </c:pt>
                <c:pt idx="36">
                  <c:v>27.498426118980824</c:v>
                </c:pt>
                <c:pt idx="37">
                  <c:v>27.533573484274154</c:v>
                </c:pt>
                <c:pt idx="38">
                  <c:v>27.563845336486988</c:v>
                </c:pt>
                <c:pt idx="39">
                  <c:v>26.031163265066699</c:v>
                </c:pt>
                <c:pt idx="40">
                  <c:v>26.049275430550892</c:v>
                </c:pt>
                <c:pt idx="41">
                  <c:v>26.016403117409752</c:v>
                </c:pt>
                <c:pt idx="42">
                  <c:v>25.965126263423993</c:v>
                </c:pt>
                <c:pt idx="43">
                  <c:v>25.897154445303297</c:v>
                </c:pt>
                <c:pt idx="44">
                  <c:v>24.450025165760756</c:v>
                </c:pt>
                <c:pt idx="45">
                  <c:v>24.382669846559736</c:v>
                </c:pt>
                <c:pt idx="46">
                  <c:v>24.279935658354447</c:v>
                </c:pt>
                <c:pt idx="47">
                  <c:v>24.151841240895383</c:v>
                </c:pt>
                <c:pt idx="48">
                  <c:v>24.003266606151172</c:v>
                </c:pt>
                <c:pt idx="49">
                  <c:v>23.849215562116854</c:v>
                </c:pt>
                <c:pt idx="50">
                  <c:v>23.693769690405141</c:v>
                </c:pt>
                <c:pt idx="51">
                  <c:v>23.552837938638366</c:v>
                </c:pt>
                <c:pt idx="52">
                  <c:v>23.421894390281146</c:v>
                </c:pt>
                <c:pt idx="53">
                  <c:v>22.38857216582306</c:v>
                </c:pt>
                <c:pt idx="54">
                  <c:v>21.475043493897722</c:v>
                </c:pt>
                <c:pt idx="55">
                  <c:v>21.421986039493589</c:v>
                </c:pt>
                <c:pt idx="56">
                  <c:v>20.608991699438317</c:v>
                </c:pt>
                <c:pt idx="57">
                  <c:v>19.830310311556588</c:v>
                </c:pt>
                <c:pt idx="58">
                  <c:v>19.748656343053359</c:v>
                </c:pt>
                <c:pt idx="59">
                  <c:v>19.647069310065362</c:v>
                </c:pt>
                <c:pt idx="60">
                  <c:v>19.52519480288365</c:v>
                </c:pt>
                <c:pt idx="61">
                  <c:v>18.772622547418365</c:v>
                </c:pt>
                <c:pt idx="62">
                  <c:v>18.630382708381777</c:v>
                </c:pt>
                <c:pt idx="63">
                  <c:v>18.468221924105819</c:v>
                </c:pt>
                <c:pt idx="64">
                  <c:v>18.29257113068007</c:v>
                </c:pt>
                <c:pt idx="65">
                  <c:v>17.643857839113171</c:v>
                </c:pt>
                <c:pt idx="66">
                  <c:v>17.462984569457081</c:v>
                </c:pt>
                <c:pt idx="67">
                  <c:v>17.276260677174349</c:v>
                </c:pt>
                <c:pt idx="68">
                  <c:v>16.749751778413078</c:v>
                </c:pt>
                <c:pt idx="69">
                  <c:v>16.573569854794489</c:v>
                </c:pt>
                <c:pt idx="70">
                  <c:v>16.142487447522374</c:v>
                </c:pt>
                <c:pt idx="71">
                  <c:v>15.751355595200948</c:v>
                </c:pt>
                <c:pt idx="72">
                  <c:v>15.405307159810695</c:v>
                </c:pt>
                <c:pt idx="73">
                  <c:v>15.086991209126879</c:v>
                </c:pt>
                <c:pt idx="74">
                  <c:v>14.786611722351211</c:v>
                </c:pt>
                <c:pt idx="75">
                  <c:v>14.504595798445406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C4B-4B8D-BD61-285E79F1BCB7}"/>
            </c:ext>
          </c:extLst>
        </c:ser>
        <c:ser>
          <c:idx val="2"/>
          <c:order val="2"/>
          <c:tx>
            <c:v>Clean capital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'6states'!$B$4:$B$79</c:f>
              <c:numCache>
                <c:formatCode>General</c:formatCode>
                <c:ptCount val="7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  <c:pt idx="36">
                  <c:v>2061</c:v>
                </c:pt>
                <c:pt idx="37">
                  <c:v>2062</c:v>
                </c:pt>
                <c:pt idx="38">
                  <c:v>2063</c:v>
                </c:pt>
                <c:pt idx="39">
                  <c:v>2064</c:v>
                </c:pt>
                <c:pt idx="40">
                  <c:v>2065</c:v>
                </c:pt>
                <c:pt idx="41">
                  <c:v>2066</c:v>
                </c:pt>
                <c:pt idx="42">
                  <c:v>2067</c:v>
                </c:pt>
                <c:pt idx="43">
                  <c:v>2068</c:v>
                </c:pt>
                <c:pt idx="44">
                  <c:v>2069</c:v>
                </c:pt>
                <c:pt idx="45">
                  <c:v>2070</c:v>
                </c:pt>
                <c:pt idx="46">
                  <c:v>2071</c:v>
                </c:pt>
                <c:pt idx="47">
                  <c:v>2072</c:v>
                </c:pt>
                <c:pt idx="48">
                  <c:v>2073</c:v>
                </c:pt>
                <c:pt idx="49">
                  <c:v>2074</c:v>
                </c:pt>
                <c:pt idx="50">
                  <c:v>2075</c:v>
                </c:pt>
                <c:pt idx="51">
                  <c:v>2076</c:v>
                </c:pt>
                <c:pt idx="52">
                  <c:v>2077</c:v>
                </c:pt>
                <c:pt idx="53">
                  <c:v>2078</c:v>
                </c:pt>
                <c:pt idx="54">
                  <c:v>2079</c:v>
                </c:pt>
                <c:pt idx="55">
                  <c:v>2080</c:v>
                </c:pt>
                <c:pt idx="56">
                  <c:v>2081</c:v>
                </c:pt>
                <c:pt idx="57">
                  <c:v>2082</c:v>
                </c:pt>
                <c:pt idx="58">
                  <c:v>2083</c:v>
                </c:pt>
                <c:pt idx="59">
                  <c:v>2084</c:v>
                </c:pt>
                <c:pt idx="60">
                  <c:v>2085</c:v>
                </c:pt>
                <c:pt idx="61">
                  <c:v>2086</c:v>
                </c:pt>
                <c:pt idx="62">
                  <c:v>2087</c:v>
                </c:pt>
                <c:pt idx="63">
                  <c:v>2088</c:v>
                </c:pt>
                <c:pt idx="64">
                  <c:v>2089</c:v>
                </c:pt>
                <c:pt idx="65">
                  <c:v>2090</c:v>
                </c:pt>
                <c:pt idx="66">
                  <c:v>2091</c:v>
                </c:pt>
                <c:pt idx="67">
                  <c:v>2092</c:v>
                </c:pt>
                <c:pt idx="68">
                  <c:v>2093</c:v>
                </c:pt>
                <c:pt idx="69">
                  <c:v>2094</c:v>
                </c:pt>
                <c:pt idx="70">
                  <c:v>2095</c:v>
                </c:pt>
                <c:pt idx="71">
                  <c:v>2096</c:v>
                </c:pt>
                <c:pt idx="72">
                  <c:v>2097</c:v>
                </c:pt>
                <c:pt idx="73">
                  <c:v>2098</c:v>
                </c:pt>
                <c:pt idx="74">
                  <c:v>2099</c:v>
                </c:pt>
                <c:pt idx="75">
                  <c:v>2100</c:v>
                </c:pt>
              </c:numCache>
            </c:numRef>
          </c:xVal>
          <c:yVal>
            <c:numRef>
              <c:f>'[1]6states'!$K$4:$K$80</c:f>
              <c:numCache>
                <c:formatCode>General</c:formatCode>
                <c:ptCount val="77"/>
                <c:pt idx="0">
                  <c:v>4.3661700735228628</c:v>
                </c:pt>
                <c:pt idx="1">
                  <c:v>5.2558260515640729</c:v>
                </c:pt>
                <c:pt idx="2">
                  <c:v>6.3153868958549664</c:v>
                </c:pt>
                <c:pt idx="3">
                  <c:v>7.5714122602396712</c:v>
                </c:pt>
                <c:pt idx="4">
                  <c:v>9.0503208868173761</c:v>
                </c:pt>
                <c:pt idx="5">
                  <c:v>10.771536410966055</c:v>
                </c:pt>
                <c:pt idx="6">
                  <c:v>12.742278521170114</c:v>
                </c:pt>
                <c:pt idx="7">
                  <c:v>14.95882150753137</c:v>
                </c:pt>
                <c:pt idx="8">
                  <c:v>17.411234067674933</c:v>
                </c:pt>
                <c:pt idx="9">
                  <c:v>20.087368198446619</c:v>
                </c:pt>
                <c:pt idx="10">
                  <c:v>22.973298094707484</c:v>
                </c:pt>
                <c:pt idx="11">
                  <c:v>26.051007231309743</c:v>
                </c:pt>
                <c:pt idx="12">
                  <c:v>29.294566149573303</c:v>
                </c:pt>
                <c:pt idx="13">
                  <c:v>32.666401257209102</c:v>
                </c:pt>
                <c:pt idx="14">
                  <c:v>36.114251728594375</c:v>
                </c:pt>
                <c:pt idx="15">
                  <c:v>39.571282164675836</c:v>
                </c:pt>
                <c:pt idx="16">
                  <c:v>42.965299267298462</c:v>
                </c:pt>
                <c:pt idx="17">
                  <c:v>46.239864898950749</c:v>
                </c:pt>
                <c:pt idx="18">
                  <c:v>49.388607931813119</c:v>
                </c:pt>
                <c:pt idx="19">
                  <c:v>52.50220220393085</c:v>
                </c:pt>
                <c:pt idx="20">
                  <c:v>55.696000873440191</c:v>
                </c:pt>
                <c:pt idx="21">
                  <c:v>59.462673174103841</c:v>
                </c:pt>
                <c:pt idx="22">
                  <c:v>63.248719507968296</c:v>
                </c:pt>
                <c:pt idx="23">
                  <c:v>66.663906869348523</c:v>
                </c:pt>
                <c:pt idx="24">
                  <c:v>70.097364631079358</c:v>
                </c:pt>
                <c:pt idx="25">
                  <c:v>73.52015179885106</c:v>
                </c:pt>
                <c:pt idx="26">
                  <c:v>76.963752658857629</c:v>
                </c:pt>
                <c:pt idx="27">
                  <c:v>80.395077613752491</c:v>
                </c:pt>
                <c:pt idx="28">
                  <c:v>83.850599210081313</c:v>
                </c:pt>
                <c:pt idx="29">
                  <c:v>87.249700022196208</c:v>
                </c:pt>
                <c:pt idx="30">
                  <c:v>90.677257754836262</c:v>
                </c:pt>
                <c:pt idx="31">
                  <c:v>94.071991957785116</c:v>
                </c:pt>
                <c:pt idx="32">
                  <c:v>97.499698299321935</c:v>
                </c:pt>
                <c:pt idx="33">
                  <c:v>100.91534029578166</c:v>
                </c:pt>
                <c:pt idx="34">
                  <c:v>104.36854713187476</c:v>
                </c:pt>
                <c:pt idx="35">
                  <c:v>107.8483132253872</c:v>
                </c:pt>
                <c:pt idx="36">
                  <c:v>111.37002789445258</c:v>
                </c:pt>
                <c:pt idx="37">
                  <c:v>114.93477422562239</c:v>
                </c:pt>
                <c:pt idx="38">
                  <c:v>118.54583249105583</c:v>
                </c:pt>
                <c:pt idx="39">
                  <c:v>122.28770169721211</c:v>
                </c:pt>
                <c:pt idx="40">
                  <c:v>126.07943316887079</c:v>
                </c:pt>
                <c:pt idx="41">
                  <c:v>129.92334901276601</c:v>
                </c:pt>
                <c:pt idx="42">
                  <c:v>133.86208302882886</c:v>
                </c:pt>
                <c:pt idx="43">
                  <c:v>137.85726453573622</c:v>
                </c:pt>
                <c:pt idx="44">
                  <c:v>141.91132291520935</c:v>
                </c:pt>
                <c:pt idx="45">
                  <c:v>146.01480765442997</c:v>
                </c:pt>
                <c:pt idx="46">
                  <c:v>150.18224761257994</c:v>
                </c:pt>
                <c:pt idx="47">
                  <c:v>154.41614243592667</c:v>
                </c:pt>
                <c:pt idx="48">
                  <c:v>158.637958072034</c:v>
                </c:pt>
                <c:pt idx="49">
                  <c:v>162.93230720972139</c:v>
                </c:pt>
                <c:pt idx="50">
                  <c:v>167.30170541274114</c:v>
                </c:pt>
                <c:pt idx="51">
                  <c:v>171.6524854196737</c:v>
                </c:pt>
                <c:pt idx="52">
                  <c:v>176.08466380651561</c:v>
                </c:pt>
                <c:pt idx="53">
                  <c:v>180.60076511919999</c:v>
                </c:pt>
                <c:pt idx="54">
                  <c:v>185.20335005491836</c:v>
                </c:pt>
                <c:pt idx="55">
                  <c:v>189.8950168626956</c:v>
                </c:pt>
                <c:pt idx="56">
                  <c:v>194.32733415847059</c:v>
                </c:pt>
                <c:pt idx="57">
                  <c:v>198.8587421180855</c:v>
                </c:pt>
                <c:pt idx="58">
                  <c:v>203.49161321574942</c:v>
                </c:pt>
                <c:pt idx="59">
                  <c:v>208.22837084662754</c:v>
                </c:pt>
                <c:pt idx="60">
                  <c:v>213.07149062267658</c:v>
                </c:pt>
                <c:pt idx="61">
                  <c:v>217.82402025450082</c:v>
                </c:pt>
                <c:pt idx="62">
                  <c:v>222.69078399969817</c:v>
                </c:pt>
                <c:pt idx="63">
                  <c:v>227.67421491109533</c:v>
                </c:pt>
                <c:pt idx="64">
                  <c:v>232.77680897741277</c:v>
                </c:pt>
                <c:pt idx="65">
                  <c:v>238.00112629759337</c:v>
                </c:pt>
                <c:pt idx="66">
                  <c:v>243.08027379957747</c:v>
                </c:pt>
                <c:pt idx="67">
                  <c:v>248.29025879772541</c:v>
                </c:pt>
                <c:pt idx="68">
                  <c:v>253.63355387621382</c:v>
                </c:pt>
                <c:pt idx="69">
                  <c:v>259.11270866022295</c:v>
                </c:pt>
                <c:pt idx="70">
                  <c:v>264.73035077217565</c:v>
                </c:pt>
                <c:pt idx="71">
                  <c:v>270.39105490368655</c:v>
                </c:pt>
                <c:pt idx="72">
                  <c:v>276.19713191533475</c:v>
                </c:pt>
                <c:pt idx="73">
                  <c:v>282.15134412807737</c:v>
                </c:pt>
                <c:pt idx="74">
                  <c:v>288.25653921415972</c:v>
                </c:pt>
                <c:pt idx="75">
                  <c:v>294.51565127927279</c:v>
                </c:pt>
                <c:pt idx="76">
                  <c:v>300.93170200796453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C4B-4B8D-BD61-285E79F1BC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815296"/>
        <c:axId val="11939232"/>
      </c:scatterChart>
      <c:valAx>
        <c:axId val="80815296"/>
        <c:scaling>
          <c:orientation val="minMax"/>
          <c:max val="2100"/>
          <c:min val="2025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9232"/>
        <c:crosses val="autoZero"/>
        <c:crossBetween val="midCat"/>
        <c:majorUnit val="5"/>
        <c:minorUnit val="2"/>
      </c:valAx>
      <c:valAx>
        <c:axId val="11939232"/>
        <c:scaling>
          <c:orientation val="minMax"/>
          <c:max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Dirty capital and stranded dirty capital (USD 2024 trillion)</a:t>
                </a:r>
              </a:p>
            </c:rich>
          </c:tx>
          <c:layout>
            <c:manualLayout>
              <c:xMode val="edge"/>
              <c:yMode val="edge"/>
              <c:x val="9.583718415907291E-3"/>
              <c:y val="0.146545873141342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152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600"/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Stranded capital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9525">
                <a:solidFill>
                  <a:schemeClr val="accent2">
                    <a:alpha val="95000"/>
                  </a:schemeClr>
                </a:solidFill>
              </a:ln>
              <a:effectLst/>
            </c:spPr>
          </c:marker>
          <c:xVal>
            <c:numRef>
              <c:f>'6states'!$B$4:$B$79</c:f>
              <c:numCache>
                <c:formatCode>General</c:formatCode>
                <c:ptCount val="7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  <c:pt idx="36">
                  <c:v>2061</c:v>
                </c:pt>
                <c:pt idx="37">
                  <c:v>2062</c:v>
                </c:pt>
                <c:pt idx="38">
                  <c:v>2063</c:v>
                </c:pt>
                <c:pt idx="39">
                  <c:v>2064</c:v>
                </c:pt>
                <c:pt idx="40">
                  <c:v>2065</c:v>
                </c:pt>
                <c:pt idx="41">
                  <c:v>2066</c:v>
                </c:pt>
                <c:pt idx="42">
                  <c:v>2067</c:v>
                </c:pt>
                <c:pt idx="43">
                  <c:v>2068</c:v>
                </c:pt>
                <c:pt idx="44">
                  <c:v>2069</c:v>
                </c:pt>
                <c:pt idx="45">
                  <c:v>2070</c:v>
                </c:pt>
                <c:pt idx="46">
                  <c:v>2071</c:v>
                </c:pt>
                <c:pt idx="47">
                  <c:v>2072</c:v>
                </c:pt>
                <c:pt idx="48">
                  <c:v>2073</c:v>
                </c:pt>
                <c:pt idx="49">
                  <c:v>2074</c:v>
                </c:pt>
                <c:pt idx="50">
                  <c:v>2075</c:v>
                </c:pt>
                <c:pt idx="51">
                  <c:v>2076</c:v>
                </c:pt>
                <c:pt idx="52">
                  <c:v>2077</c:v>
                </c:pt>
                <c:pt idx="53">
                  <c:v>2078</c:v>
                </c:pt>
                <c:pt idx="54">
                  <c:v>2079</c:v>
                </c:pt>
                <c:pt idx="55">
                  <c:v>2080</c:v>
                </c:pt>
                <c:pt idx="56">
                  <c:v>2081</c:v>
                </c:pt>
                <c:pt idx="57">
                  <c:v>2082</c:v>
                </c:pt>
                <c:pt idx="58">
                  <c:v>2083</c:v>
                </c:pt>
                <c:pt idx="59">
                  <c:v>2084</c:v>
                </c:pt>
                <c:pt idx="60">
                  <c:v>2085</c:v>
                </c:pt>
                <c:pt idx="61">
                  <c:v>2086</c:v>
                </c:pt>
                <c:pt idx="62">
                  <c:v>2087</c:v>
                </c:pt>
                <c:pt idx="63">
                  <c:v>2088</c:v>
                </c:pt>
                <c:pt idx="64">
                  <c:v>2089</c:v>
                </c:pt>
                <c:pt idx="65">
                  <c:v>2090</c:v>
                </c:pt>
                <c:pt idx="66">
                  <c:v>2091</c:v>
                </c:pt>
                <c:pt idx="67">
                  <c:v>2092</c:v>
                </c:pt>
                <c:pt idx="68">
                  <c:v>2093</c:v>
                </c:pt>
                <c:pt idx="69">
                  <c:v>2094</c:v>
                </c:pt>
                <c:pt idx="70">
                  <c:v>2095</c:v>
                </c:pt>
                <c:pt idx="71">
                  <c:v>2096</c:v>
                </c:pt>
                <c:pt idx="72">
                  <c:v>2097</c:v>
                </c:pt>
                <c:pt idx="73">
                  <c:v>2098</c:v>
                </c:pt>
                <c:pt idx="74">
                  <c:v>2099</c:v>
                </c:pt>
                <c:pt idx="75">
                  <c:v>2100</c:v>
                </c:pt>
              </c:numCache>
            </c:numRef>
          </c:xVal>
          <c:yVal>
            <c:numRef>
              <c:f>'6states'!$I$4:$I$79</c:f>
              <c:numCache>
                <c:formatCode>0.000</c:formatCode>
                <c:ptCount val="76"/>
                <c:pt idx="0">
                  <c:v>0</c:v>
                </c:pt>
                <c:pt idx="1">
                  <c:v>3.0791000225526801E-2</c:v>
                </c:pt>
                <c:pt idx="2">
                  <c:v>4.214893006792847E-2</c:v>
                </c:pt>
                <c:pt idx="3">
                  <c:v>4.8073064436568946E-2</c:v>
                </c:pt>
                <c:pt idx="4">
                  <c:v>4.504926868350876E-2</c:v>
                </c:pt>
                <c:pt idx="5">
                  <c:v>4.2215669683316061E-2</c:v>
                </c:pt>
                <c:pt idx="6">
                  <c:v>4.4467787574991841E-2</c:v>
                </c:pt>
                <c:pt idx="7">
                  <c:v>4.6421958686829655E-2</c:v>
                </c:pt>
                <c:pt idx="8">
                  <c:v>4.350201748542807E-2</c:v>
                </c:pt>
                <c:pt idx="9">
                  <c:v>4.0765740585594644E-2</c:v>
                </c:pt>
                <c:pt idx="10">
                  <c:v>3.8201575502760744E-2</c:v>
                </c:pt>
                <c:pt idx="11">
                  <c:v>3.5798696403637094E-2</c:v>
                </c:pt>
                <c:pt idx="12">
                  <c:v>3.3546958399848323E-2</c:v>
                </c:pt>
                <c:pt idx="13">
                  <c:v>3.1436854716497868E-2</c:v>
                </c:pt>
                <c:pt idx="14">
                  <c:v>2.9459476554830152E-2</c:v>
                </c:pt>
                <c:pt idx="15">
                  <c:v>2.7606475479531337E-2</c:v>
                </c:pt>
                <c:pt idx="16">
                  <c:v>2.5870028171868818E-2</c:v>
                </c:pt>
                <c:pt idx="17">
                  <c:v>2.4242803399858272E-2</c:v>
                </c:pt>
                <c:pt idx="18">
                  <c:v>2.2717931066007186E-2</c:v>
                </c:pt>
                <c:pt idx="19">
                  <c:v>2.1288973201955334E-2</c:v>
                </c:pt>
                <c:pt idx="20">
                  <c:v>1.9949896787552344E-2</c:v>
                </c:pt>
                <c:pt idx="21">
                  <c:v>1.8695048279615302E-2</c:v>
                </c:pt>
                <c:pt idx="22">
                  <c:v>1.7519129742827499E-2</c:v>
                </c:pt>
                <c:pt idx="23">
                  <c:v>1.6417176482003651E-2</c:v>
                </c:pt>
                <c:pt idx="24">
                  <c:v>1.5384536081285621E-2</c:v>
                </c:pt>
                <c:pt idx="25">
                  <c:v>1.4416848761772757E-2</c:v>
                </c:pt>
                <c:pt idx="26">
                  <c:v>1.3510028974657251E-2</c:v>
                </c:pt>
                <c:pt idx="27">
                  <c:v>1.2660248152151311E-2</c:v>
                </c:pt>
                <c:pt idx="28">
                  <c:v>1.1863918543380994E-2</c:v>
                </c:pt>
                <c:pt idx="29">
                  <c:v>1.111767806700233E-2</c:v>
                </c:pt>
                <c:pt idx="30">
                  <c:v>1.0418376116587883E-2</c:v>
                </c:pt>
                <c:pt idx="31">
                  <c:v>9.763060258854506E-3</c:v>
                </c:pt>
                <c:pt idx="32">
                  <c:v>9.1489637685725576E-3</c:v>
                </c:pt>
                <c:pt idx="33">
                  <c:v>8.5734939475293447E-3</c:v>
                </c:pt>
                <c:pt idx="34">
                  <c:v>8.0342211782297498E-3</c:v>
                </c:pt>
                <c:pt idx="35">
                  <c:v>7.5288686661190984E-3</c:v>
                </c:pt>
                <c:pt idx="36">
                  <c:v>1.0732780884630347E-2</c:v>
                </c:pt>
                <c:pt idx="37">
                  <c:v>1.0057688966987098E-2</c:v>
                </c:pt>
                <c:pt idx="38">
                  <c:v>9.4250603309636097E-3</c:v>
                </c:pt>
                <c:pt idx="39">
                  <c:v>1.102141529742548E-2</c:v>
                </c:pt>
                <c:pt idx="40">
                  <c:v>1.0328168275217417E-2</c:v>
                </c:pt>
                <c:pt idx="41">
                  <c:v>9.6785264907062411E-3</c:v>
                </c:pt>
                <c:pt idx="42">
                  <c:v>9.069747174440819E-3</c:v>
                </c:pt>
                <c:pt idx="43">
                  <c:v>8.4992600771684919E-3</c:v>
                </c:pt>
                <c:pt idx="44">
                  <c:v>9.8363212090025343E-3</c:v>
                </c:pt>
                <c:pt idx="45">
                  <c:v>9.2176166049562757E-3</c:v>
                </c:pt>
                <c:pt idx="46">
                  <c:v>8.6378285205045268E-3</c:v>
                </c:pt>
                <c:pt idx="47">
                  <c:v>8.0945091065647932E-3</c:v>
                </c:pt>
                <c:pt idx="48">
                  <c:v>7.5853644837618681E-3</c:v>
                </c:pt>
                <c:pt idx="49">
                  <c:v>7.108245057733247E-3</c:v>
                </c:pt>
                <c:pt idx="50">
                  <c:v>6.6611364436018261E-3</c:v>
                </c:pt>
                <c:pt idx="51">
                  <c:v>6.2421509612992712E-3</c:v>
                </c:pt>
                <c:pt idx="52">
                  <c:v>5.8495196658335472E-3</c:v>
                </c:pt>
                <c:pt idx="53">
                  <c:v>5.7416808649005269E-3</c:v>
                </c:pt>
                <c:pt idx="54">
                  <c:v>5.3805291384982842E-3</c:v>
                </c:pt>
                <c:pt idx="55">
                  <c:v>5.042093855686742E-3</c:v>
                </c:pt>
                <c:pt idx="56">
                  <c:v>4.724946152164046E-3</c:v>
                </c:pt>
                <c:pt idx="57">
                  <c:v>4.4277470391929277E-3</c:v>
                </c:pt>
                <c:pt idx="58">
                  <c:v>4.1492417504276928E-3</c:v>
                </c:pt>
                <c:pt idx="59">
                  <c:v>3.8882544443257913E-3</c:v>
                </c:pt>
                <c:pt idx="60">
                  <c:v>3.643683239777699E-3</c:v>
                </c:pt>
                <c:pt idx="61">
                  <c:v>3.4144955639956818E-3</c:v>
                </c:pt>
                <c:pt idx="62">
                  <c:v>3.1997237930203536E-3</c:v>
                </c:pt>
                <c:pt idx="63">
                  <c:v>2.9984611664393736E-3</c:v>
                </c:pt>
                <c:pt idx="64">
                  <c:v>2.8098579590703373E-3</c:v>
                </c:pt>
                <c:pt idx="65">
                  <c:v>2.6331178934448133E-3</c:v>
                </c:pt>
                <c:pt idx="66">
                  <c:v>2.4674947779471344E-3</c:v>
                </c:pt>
                <c:pt idx="67">
                  <c:v>2.3122893564142596E-3</c:v>
                </c:pt>
                <c:pt idx="68">
                  <c:v>2.1668463558958029E-3</c:v>
                </c:pt>
                <c:pt idx="69">
                  <c:v>2.0305517201099571E-3</c:v>
                </c:pt>
                <c:pt idx="70">
                  <c:v>1.9028300169150409E-3</c:v>
                </c:pt>
                <c:pt idx="71">
                  <c:v>1.7831420088510849E-3</c:v>
                </c:pt>
                <c:pt idx="72">
                  <c:v>1.6709823764943519E-3</c:v>
                </c:pt>
                <c:pt idx="73">
                  <c:v>1.5658775850128572E-3</c:v>
                </c:pt>
                <c:pt idx="74">
                  <c:v>1.4673838849155484E-3</c:v>
                </c:pt>
                <c:pt idx="75">
                  <c:v>1.3750854385543604E-3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2C-41AE-B468-5B108A263CD0}"/>
            </c:ext>
          </c:extLst>
        </c:ser>
        <c:ser>
          <c:idx val="1"/>
          <c:order val="1"/>
          <c:tx>
            <c:v>Dirty capital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'6states'!$B$4:$B$79</c:f>
              <c:numCache>
                <c:formatCode>General</c:formatCode>
                <c:ptCount val="7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  <c:pt idx="36">
                  <c:v>2061</c:v>
                </c:pt>
                <c:pt idx="37">
                  <c:v>2062</c:v>
                </c:pt>
                <c:pt idx="38">
                  <c:v>2063</c:v>
                </c:pt>
                <c:pt idx="39">
                  <c:v>2064</c:v>
                </c:pt>
                <c:pt idx="40">
                  <c:v>2065</c:v>
                </c:pt>
                <c:pt idx="41">
                  <c:v>2066</c:v>
                </c:pt>
                <c:pt idx="42">
                  <c:v>2067</c:v>
                </c:pt>
                <c:pt idx="43">
                  <c:v>2068</c:v>
                </c:pt>
                <c:pt idx="44">
                  <c:v>2069</c:v>
                </c:pt>
                <c:pt idx="45">
                  <c:v>2070</c:v>
                </c:pt>
                <c:pt idx="46">
                  <c:v>2071</c:v>
                </c:pt>
                <c:pt idx="47">
                  <c:v>2072</c:v>
                </c:pt>
                <c:pt idx="48">
                  <c:v>2073</c:v>
                </c:pt>
                <c:pt idx="49">
                  <c:v>2074</c:v>
                </c:pt>
                <c:pt idx="50">
                  <c:v>2075</c:v>
                </c:pt>
                <c:pt idx="51">
                  <c:v>2076</c:v>
                </c:pt>
                <c:pt idx="52">
                  <c:v>2077</c:v>
                </c:pt>
                <c:pt idx="53">
                  <c:v>2078</c:v>
                </c:pt>
                <c:pt idx="54">
                  <c:v>2079</c:v>
                </c:pt>
                <c:pt idx="55">
                  <c:v>2080</c:v>
                </c:pt>
                <c:pt idx="56">
                  <c:v>2081</c:v>
                </c:pt>
                <c:pt idx="57">
                  <c:v>2082</c:v>
                </c:pt>
                <c:pt idx="58">
                  <c:v>2083</c:v>
                </c:pt>
                <c:pt idx="59">
                  <c:v>2084</c:v>
                </c:pt>
                <c:pt idx="60">
                  <c:v>2085</c:v>
                </c:pt>
                <c:pt idx="61">
                  <c:v>2086</c:v>
                </c:pt>
                <c:pt idx="62">
                  <c:v>2087</c:v>
                </c:pt>
                <c:pt idx="63">
                  <c:v>2088</c:v>
                </c:pt>
                <c:pt idx="64">
                  <c:v>2089</c:v>
                </c:pt>
                <c:pt idx="65">
                  <c:v>2090</c:v>
                </c:pt>
                <c:pt idx="66">
                  <c:v>2091</c:v>
                </c:pt>
                <c:pt idx="67">
                  <c:v>2092</c:v>
                </c:pt>
                <c:pt idx="68">
                  <c:v>2093</c:v>
                </c:pt>
                <c:pt idx="69">
                  <c:v>2094</c:v>
                </c:pt>
                <c:pt idx="70">
                  <c:v>2095</c:v>
                </c:pt>
                <c:pt idx="71">
                  <c:v>2096</c:v>
                </c:pt>
                <c:pt idx="72">
                  <c:v>2097</c:v>
                </c:pt>
                <c:pt idx="73">
                  <c:v>2098</c:v>
                </c:pt>
                <c:pt idx="74">
                  <c:v>2099</c:v>
                </c:pt>
                <c:pt idx="75">
                  <c:v>2100</c:v>
                </c:pt>
              </c:numCache>
            </c:numRef>
          </c:xVal>
          <c:yVal>
            <c:numRef>
              <c:f>'6states'!$F$4:$F$79</c:f>
              <c:numCache>
                <c:formatCode>0.00</c:formatCode>
                <c:ptCount val="76"/>
                <c:pt idx="0">
                  <c:v>0.79083499999999995</c:v>
                </c:pt>
                <c:pt idx="1">
                  <c:v>0.71030047827447318</c:v>
                </c:pt>
                <c:pt idx="2">
                  <c:v>0.65232789443442163</c:v>
                </c:pt>
                <c:pt idx="3">
                  <c:v>0.60272116780458329</c:v>
                </c:pt>
                <c:pt idx="4">
                  <c:v>0.57013468773354947</c:v>
                </c:pt>
                <c:pt idx="5">
                  <c:v>0.54086569441739474</c:v>
                </c:pt>
                <c:pt idx="6">
                  <c:v>0.50193775872378432</c:v>
                </c:pt>
                <c:pt idx="7">
                  <c:v>0.46561467874975354</c:v>
                </c:pt>
                <c:pt idx="8">
                  <c:v>0.44557622167443289</c:v>
                </c:pt>
                <c:pt idx="9">
                  <c:v>0.42707504752930309</c:v>
                </c:pt>
                <c:pt idx="10">
                  <c:v>0.4097305220369698</c:v>
                </c:pt>
                <c:pt idx="11">
                  <c:v>0.39356857213193153</c:v>
                </c:pt>
                <c:pt idx="12">
                  <c:v>0.37836982313080864</c:v>
                </c:pt>
                <c:pt idx="13">
                  <c:v>0.36414234250470018</c:v>
                </c:pt>
                <c:pt idx="14">
                  <c:v>0.35072724314882447</c:v>
                </c:pt>
                <c:pt idx="15">
                  <c:v>0.33802111716183186</c:v>
                </c:pt>
                <c:pt idx="16">
                  <c:v>0.32605024329384685</c:v>
                </c:pt>
                <c:pt idx="17">
                  <c:v>0.31456811625714859</c:v>
                </c:pt>
                <c:pt idx="18">
                  <c:v>0.30378311398651114</c:v>
                </c:pt>
                <c:pt idx="19">
                  <c:v>0.29359904698978262</c:v>
                </c:pt>
                <c:pt idx="20">
                  <c:v>0.28370939623389613</c:v>
                </c:pt>
                <c:pt idx="21">
                  <c:v>0.27424836690486748</c:v>
                </c:pt>
                <c:pt idx="22">
                  <c:v>0.2652760406835219</c:v>
                </c:pt>
                <c:pt idx="23">
                  <c:v>0.25668955060351006</c:v>
                </c:pt>
                <c:pt idx="24">
                  <c:v>0.24842132460899299</c:v>
                </c:pt>
                <c:pt idx="25">
                  <c:v>0.24045673633146764</c:v>
                </c:pt>
                <c:pt idx="26">
                  <c:v>0.23289482223736901</c:v>
                </c:pt>
                <c:pt idx="27">
                  <c:v>0.22568102120651037</c:v>
                </c:pt>
                <c:pt idx="28">
                  <c:v>0.21870515507645855</c:v>
                </c:pt>
                <c:pt idx="29">
                  <c:v>0.2120941147027243</c:v>
                </c:pt>
                <c:pt idx="30">
                  <c:v>0.2057397807820516</c:v>
                </c:pt>
                <c:pt idx="31">
                  <c:v>0.1996979461199303</c:v>
                </c:pt>
                <c:pt idx="32">
                  <c:v>0.19401660382147284</c:v>
                </c:pt>
                <c:pt idx="33">
                  <c:v>0.18863208820802299</c:v>
                </c:pt>
                <c:pt idx="34">
                  <c:v>0.18375951106732505</c:v>
                </c:pt>
                <c:pt idx="35">
                  <c:v>0.17938430030918276</c:v>
                </c:pt>
                <c:pt idx="36">
                  <c:v>0.16442354976212503</c:v>
                </c:pt>
                <c:pt idx="37">
                  <c:v>0.16093887454690667</c:v>
                </c:pt>
                <c:pt idx="38">
                  <c:v>0.15749993564893341</c:v>
                </c:pt>
                <c:pt idx="39">
                  <c:v>0.14540399843533602</c:v>
                </c:pt>
                <c:pt idx="40">
                  <c:v>0.14223963130611894</c:v>
                </c:pt>
                <c:pt idx="41">
                  <c:v>0.13887191372056404</c:v>
                </c:pt>
                <c:pt idx="42">
                  <c:v>0.13548767892746721</c:v>
                </c:pt>
                <c:pt idx="43">
                  <c:v>0.13210024034310441</c:v>
                </c:pt>
                <c:pt idx="44">
                  <c:v>0.12191947063483521</c:v>
                </c:pt>
                <c:pt idx="45">
                  <c:v>0.11885493337266147</c:v>
                </c:pt>
                <c:pt idx="46">
                  <c:v>0.11569795513795443</c:v>
                </c:pt>
                <c:pt idx="47">
                  <c:v>0.1125046813360738</c:v>
                </c:pt>
                <c:pt idx="48">
                  <c:v>0.10930320447033116</c:v>
                </c:pt>
                <c:pt idx="49">
                  <c:v>0.10616438333916037</c:v>
                </c:pt>
                <c:pt idx="50">
                  <c:v>0.1031053265595037</c:v>
                </c:pt>
                <c:pt idx="51">
                  <c:v>0.10019184640351515</c:v>
                </c:pt>
                <c:pt idx="52">
                  <c:v>9.7398742917665357E-2</c:v>
                </c:pt>
                <c:pt idx="53">
                  <c:v>9.1012266002096304E-2</c:v>
                </c:pt>
                <c:pt idx="54">
                  <c:v>8.5339438138786639E-2</c:v>
                </c:pt>
                <c:pt idx="55">
                  <c:v>8.3218073182646554E-2</c:v>
                </c:pt>
                <c:pt idx="56">
                  <c:v>7.8263067380426252E-2</c:v>
                </c:pt>
                <c:pt idx="57">
                  <c:v>7.3615934268932301E-2</c:v>
                </c:pt>
                <c:pt idx="58">
                  <c:v>7.166746900983692E-2</c:v>
                </c:pt>
                <c:pt idx="59">
                  <c:v>6.9698669690952703E-2</c:v>
                </c:pt>
                <c:pt idx="60">
                  <c:v>6.7711788351404942E-2</c:v>
                </c:pt>
                <c:pt idx="61">
                  <c:v>6.3640862036265886E-2</c:v>
                </c:pt>
                <c:pt idx="62">
                  <c:v>6.1741201805199632E-2</c:v>
                </c:pt>
                <c:pt idx="63">
                  <c:v>5.9830217837007565E-2</c:v>
                </c:pt>
                <c:pt idx="64">
                  <c:v>5.7931189885158399E-2</c:v>
                </c:pt>
                <c:pt idx="65">
                  <c:v>5.4622735178113099E-2</c:v>
                </c:pt>
                <c:pt idx="66">
                  <c:v>5.2849460767607728E-2</c:v>
                </c:pt>
                <c:pt idx="67">
                  <c:v>5.1110959682127796E-2</c:v>
                </c:pt>
                <c:pt idx="68">
                  <c:v>4.8441196255512006E-2</c:v>
                </c:pt>
                <c:pt idx="69">
                  <c:v>4.6855949625825268E-2</c:v>
                </c:pt>
                <c:pt idx="70">
                  <c:v>4.4612990441848216E-2</c:v>
                </c:pt>
                <c:pt idx="71">
                  <c:v>4.2555040766951491E-2</c:v>
                </c:pt>
                <c:pt idx="72">
                  <c:v>4.0686059860831812E-2</c:v>
                </c:pt>
                <c:pt idx="73">
                  <c:v>3.8951134001066236E-2</c:v>
                </c:pt>
                <c:pt idx="74">
                  <c:v>3.731885707789985E-2</c:v>
                </c:pt>
                <c:pt idx="75">
                  <c:v>3.5785533265179373E-2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2C-41AE-B468-5B108A263CD0}"/>
            </c:ext>
          </c:extLst>
        </c:ser>
        <c:ser>
          <c:idx val="2"/>
          <c:order val="2"/>
          <c:tx>
            <c:v>Clean capital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'6states'!$B$4:$B$79</c:f>
              <c:numCache>
                <c:formatCode>General</c:formatCode>
                <c:ptCount val="7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  <c:pt idx="36">
                  <c:v>2061</c:v>
                </c:pt>
                <c:pt idx="37">
                  <c:v>2062</c:v>
                </c:pt>
                <c:pt idx="38">
                  <c:v>2063</c:v>
                </c:pt>
                <c:pt idx="39">
                  <c:v>2064</c:v>
                </c:pt>
                <c:pt idx="40">
                  <c:v>2065</c:v>
                </c:pt>
                <c:pt idx="41">
                  <c:v>2066</c:v>
                </c:pt>
                <c:pt idx="42">
                  <c:v>2067</c:v>
                </c:pt>
                <c:pt idx="43">
                  <c:v>2068</c:v>
                </c:pt>
                <c:pt idx="44">
                  <c:v>2069</c:v>
                </c:pt>
                <c:pt idx="45">
                  <c:v>2070</c:v>
                </c:pt>
                <c:pt idx="46">
                  <c:v>2071</c:v>
                </c:pt>
                <c:pt idx="47">
                  <c:v>2072</c:v>
                </c:pt>
                <c:pt idx="48">
                  <c:v>2073</c:v>
                </c:pt>
                <c:pt idx="49">
                  <c:v>2074</c:v>
                </c:pt>
                <c:pt idx="50">
                  <c:v>2075</c:v>
                </c:pt>
                <c:pt idx="51">
                  <c:v>2076</c:v>
                </c:pt>
                <c:pt idx="52">
                  <c:v>2077</c:v>
                </c:pt>
                <c:pt idx="53">
                  <c:v>2078</c:v>
                </c:pt>
                <c:pt idx="54">
                  <c:v>2079</c:v>
                </c:pt>
                <c:pt idx="55">
                  <c:v>2080</c:v>
                </c:pt>
                <c:pt idx="56">
                  <c:v>2081</c:v>
                </c:pt>
                <c:pt idx="57">
                  <c:v>2082</c:v>
                </c:pt>
                <c:pt idx="58">
                  <c:v>2083</c:v>
                </c:pt>
                <c:pt idx="59">
                  <c:v>2084</c:v>
                </c:pt>
                <c:pt idx="60">
                  <c:v>2085</c:v>
                </c:pt>
                <c:pt idx="61">
                  <c:v>2086</c:v>
                </c:pt>
                <c:pt idx="62">
                  <c:v>2087</c:v>
                </c:pt>
                <c:pt idx="63">
                  <c:v>2088</c:v>
                </c:pt>
                <c:pt idx="64">
                  <c:v>2089</c:v>
                </c:pt>
                <c:pt idx="65">
                  <c:v>2090</c:v>
                </c:pt>
                <c:pt idx="66">
                  <c:v>2091</c:v>
                </c:pt>
                <c:pt idx="67">
                  <c:v>2092</c:v>
                </c:pt>
                <c:pt idx="68">
                  <c:v>2093</c:v>
                </c:pt>
                <c:pt idx="69">
                  <c:v>2094</c:v>
                </c:pt>
                <c:pt idx="70">
                  <c:v>2095</c:v>
                </c:pt>
                <c:pt idx="71">
                  <c:v>2096</c:v>
                </c:pt>
                <c:pt idx="72">
                  <c:v>2097</c:v>
                </c:pt>
                <c:pt idx="73">
                  <c:v>2098</c:v>
                </c:pt>
                <c:pt idx="74">
                  <c:v>2099</c:v>
                </c:pt>
                <c:pt idx="75">
                  <c:v>2100</c:v>
                </c:pt>
              </c:numCache>
            </c:numRef>
          </c:xVal>
          <c:yVal>
            <c:numRef>
              <c:f>'6states'!$G$4:$G$79</c:f>
              <c:numCache>
                <c:formatCode>0.00</c:formatCode>
                <c:ptCount val="76"/>
                <c:pt idx="0" formatCode="0.000">
                  <c:v>0.15254000000000001</c:v>
                </c:pt>
                <c:pt idx="1">
                  <c:v>0.17146633029580285</c:v>
                </c:pt>
                <c:pt idx="2">
                  <c:v>0.19200662186919409</c:v>
                </c:pt>
                <c:pt idx="3">
                  <c:v>0.21399134199616435</c:v>
                </c:pt>
                <c:pt idx="4">
                  <c:v>0.2371212594400211</c:v>
                </c:pt>
                <c:pt idx="5">
                  <c:v>0.26141759172699292</c:v>
                </c:pt>
                <c:pt idx="6">
                  <c:v>0.28668048711314836</c:v>
                </c:pt>
                <c:pt idx="7">
                  <c:v>0.31282839716424621</c:v>
                </c:pt>
                <c:pt idx="8">
                  <c:v>0.33875774838948719</c:v>
                </c:pt>
                <c:pt idx="9">
                  <c:v>0.36486082784924462</c:v>
                </c:pt>
                <c:pt idx="10">
                  <c:v>0.39052025408305985</c:v>
                </c:pt>
                <c:pt idx="11">
                  <c:v>0.41595233135548887</c:v>
                </c:pt>
                <c:pt idx="12">
                  <c:v>0.44059063231634749</c:v>
                </c:pt>
                <c:pt idx="13">
                  <c:v>0.46506616604531736</c:v>
                </c:pt>
                <c:pt idx="14">
                  <c:v>0.488794676625049</c:v>
                </c:pt>
                <c:pt idx="15">
                  <c:v>0.51179624645217392</c:v>
                </c:pt>
                <c:pt idx="16">
                  <c:v>0.53411719286195058</c:v>
                </c:pt>
                <c:pt idx="17">
                  <c:v>0.55536663727515034</c:v>
                </c:pt>
                <c:pt idx="18">
                  <c:v>0.57670796135327385</c:v>
                </c:pt>
                <c:pt idx="19">
                  <c:v>0.59787016710205521</c:v>
                </c:pt>
                <c:pt idx="20">
                  <c:v>0.61702964599142873</c:v>
                </c:pt>
                <c:pt idx="21">
                  <c:v>0.63573344101410889</c:v>
                </c:pt>
                <c:pt idx="22">
                  <c:v>0.65498483206263525</c:v>
                </c:pt>
                <c:pt idx="23">
                  <c:v>0.67381833468264773</c:v>
                </c:pt>
                <c:pt idx="24">
                  <c:v>0.69172697140625516</c:v>
                </c:pt>
                <c:pt idx="25">
                  <c:v>0.70876001246655096</c:v>
                </c:pt>
                <c:pt idx="26">
                  <c:v>0.72643417380694897</c:v>
                </c:pt>
                <c:pt idx="27">
                  <c:v>0.74391977052953095</c:v>
                </c:pt>
                <c:pt idx="28">
                  <c:v>0.75960376761651194</c:v>
                </c:pt>
                <c:pt idx="29">
                  <c:v>0.77545325751936933</c:v>
                </c:pt>
                <c:pt idx="30">
                  <c:v>0.7900317554658729</c:v>
                </c:pt>
                <c:pt idx="31">
                  <c:v>0.80458690147540057</c:v>
                </c:pt>
                <c:pt idx="32">
                  <c:v>0.81964889119015427</c:v>
                </c:pt>
                <c:pt idx="33">
                  <c:v>0.83417212816950692</c:v>
                </c:pt>
                <c:pt idx="34">
                  <c:v>0.85052260046712136</c:v>
                </c:pt>
                <c:pt idx="35">
                  <c:v>0.86674433812935991</c:v>
                </c:pt>
                <c:pt idx="36">
                  <c:v>0.88316596053111129</c:v>
                </c:pt>
                <c:pt idx="37">
                  <c:v>0.89723174949432116</c:v>
                </c:pt>
                <c:pt idx="38">
                  <c:v>0.91157101575103983</c:v>
                </c:pt>
                <c:pt idx="39">
                  <c:v>0.92660881631633152</c:v>
                </c:pt>
                <c:pt idx="40">
                  <c:v>0.94058463454475394</c:v>
                </c:pt>
                <c:pt idx="41">
                  <c:v>0.95303896742682881</c:v>
                </c:pt>
                <c:pt idx="42">
                  <c:v>0.9671535917432077</c:v>
                </c:pt>
                <c:pt idx="43">
                  <c:v>0.97886511050286173</c:v>
                </c:pt>
                <c:pt idx="44">
                  <c:v>0.99270069314468334</c:v>
                </c:pt>
                <c:pt idx="45">
                  <c:v>1.0045639929064729</c:v>
                </c:pt>
                <c:pt idx="46">
                  <c:v>1.0169083975070889</c:v>
                </c:pt>
                <c:pt idx="47">
                  <c:v>1.027602279712811</c:v>
                </c:pt>
                <c:pt idx="48">
                  <c:v>1.0371891080481395</c:v>
                </c:pt>
                <c:pt idx="49">
                  <c:v>1.0466469624047301</c:v>
                </c:pt>
                <c:pt idx="50">
                  <c:v>1.057246724526326</c:v>
                </c:pt>
                <c:pt idx="51">
                  <c:v>1.0677896629759087</c:v>
                </c:pt>
                <c:pt idx="52">
                  <c:v>1.0784591455432397</c:v>
                </c:pt>
                <c:pt idx="53">
                  <c:v>1.0902417019063619</c:v>
                </c:pt>
                <c:pt idx="54">
                  <c:v>1.1000684239529042</c:v>
                </c:pt>
                <c:pt idx="55">
                  <c:v>1.111522719326139</c:v>
                </c:pt>
                <c:pt idx="56">
                  <c:v>1.122782658507256</c:v>
                </c:pt>
                <c:pt idx="57">
                  <c:v>1.1324937195694604</c:v>
                </c:pt>
                <c:pt idx="58">
                  <c:v>1.1410979523864009</c:v>
                </c:pt>
                <c:pt idx="59">
                  <c:v>1.150750744488803</c:v>
                </c:pt>
                <c:pt idx="60">
                  <c:v>1.1580994126897191</c:v>
                </c:pt>
                <c:pt idx="61">
                  <c:v>1.1639481655860373</c:v>
                </c:pt>
                <c:pt idx="62">
                  <c:v>1.1703800753403935</c:v>
                </c:pt>
                <c:pt idx="63">
                  <c:v>1.1799463986322745</c:v>
                </c:pt>
                <c:pt idx="64">
                  <c:v>1.1878779355930507</c:v>
                </c:pt>
                <c:pt idx="65">
                  <c:v>1.1952668534000583</c:v>
                </c:pt>
                <c:pt idx="66">
                  <c:v>1.2008096487068265</c:v>
                </c:pt>
                <c:pt idx="67">
                  <c:v>1.2089469160085951</c:v>
                </c:pt>
                <c:pt idx="68">
                  <c:v>1.2157861646788757</c:v>
                </c:pt>
                <c:pt idx="69">
                  <c:v>1.2218149325188077</c:v>
                </c:pt>
                <c:pt idx="70">
                  <c:v>1.2275874488076037</c:v>
                </c:pt>
                <c:pt idx="71">
                  <c:v>1.2333382080416433</c:v>
                </c:pt>
                <c:pt idx="72">
                  <c:v>1.2382802311871861</c:v>
                </c:pt>
                <c:pt idx="73">
                  <c:v>1.2435361933714282</c:v>
                </c:pt>
                <c:pt idx="74">
                  <c:v>1.2488905585074594</c:v>
                </c:pt>
                <c:pt idx="75">
                  <c:v>1.254349384893038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92C-41AE-B468-5B108A263C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815296"/>
        <c:axId val="11939232"/>
      </c:scatterChart>
      <c:valAx>
        <c:axId val="80815296"/>
        <c:scaling>
          <c:orientation val="minMax"/>
          <c:max val="2050"/>
          <c:min val="2025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9232"/>
        <c:crosses val="autoZero"/>
        <c:crossBetween val="midCat"/>
        <c:majorUnit val="5"/>
      </c:valAx>
      <c:valAx>
        <c:axId val="1193923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 capital and stranded capital (per unit of effective labour)</a:t>
                </a:r>
              </a:p>
            </c:rich>
          </c:tx>
          <c:layout>
            <c:manualLayout>
              <c:xMode val="edge"/>
              <c:yMode val="edge"/>
              <c:x val="9.583718415907291E-3"/>
              <c:y val="0.146545873141342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15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/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Final energy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'6states'!$B$4:$B$79</c:f>
              <c:numCache>
                <c:formatCode>General</c:formatCode>
                <c:ptCount val="7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  <c:pt idx="36">
                  <c:v>2061</c:v>
                </c:pt>
                <c:pt idx="37">
                  <c:v>2062</c:v>
                </c:pt>
                <c:pt idx="38">
                  <c:v>2063</c:v>
                </c:pt>
                <c:pt idx="39">
                  <c:v>2064</c:v>
                </c:pt>
                <c:pt idx="40">
                  <c:v>2065</c:v>
                </c:pt>
                <c:pt idx="41">
                  <c:v>2066</c:v>
                </c:pt>
                <c:pt idx="42">
                  <c:v>2067</c:v>
                </c:pt>
                <c:pt idx="43">
                  <c:v>2068</c:v>
                </c:pt>
                <c:pt idx="44">
                  <c:v>2069</c:v>
                </c:pt>
                <c:pt idx="45">
                  <c:v>2070</c:v>
                </c:pt>
                <c:pt idx="46">
                  <c:v>2071</c:v>
                </c:pt>
                <c:pt idx="47">
                  <c:v>2072</c:v>
                </c:pt>
                <c:pt idx="48">
                  <c:v>2073</c:v>
                </c:pt>
                <c:pt idx="49">
                  <c:v>2074</c:v>
                </c:pt>
                <c:pt idx="50">
                  <c:v>2075</c:v>
                </c:pt>
                <c:pt idx="51">
                  <c:v>2076</c:v>
                </c:pt>
                <c:pt idx="52">
                  <c:v>2077</c:v>
                </c:pt>
                <c:pt idx="53">
                  <c:v>2078</c:v>
                </c:pt>
                <c:pt idx="54">
                  <c:v>2079</c:v>
                </c:pt>
                <c:pt idx="55">
                  <c:v>2080</c:v>
                </c:pt>
                <c:pt idx="56">
                  <c:v>2081</c:v>
                </c:pt>
                <c:pt idx="57">
                  <c:v>2082</c:v>
                </c:pt>
                <c:pt idx="58">
                  <c:v>2083</c:v>
                </c:pt>
                <c:pt idx="59">
                  <c:v>2084</c:v>
                </c:pt>
                <c:pt idx="60">
                  <c:v>2085</c:v>
                </c:pt>
                <c:pt idx="61">
                  <c:v>2086</c:v>
                </c:pt>
                <c:pt idx="62">
                  <c:v>2087</c:v>
                </c:pt>
                <c:pt idx="63">
                  <c:v>2088</c:v>
                </c:pt>
                <c:pt idx="64">
                  <c:v>2089</c:v>
                </c:pt>
                <c:pt idx="65">
                  <c:v>2090</c:v>
                </c:pt>
                <c:pt idx="66">
                  <c:v>2091</c:v>
                </c:pt>
                <c:pt idx="67">
                  <c:v>2092</c:v>
                </c:pt>
                <c:pt idx="68">
                  <c:v>2093</c:v>
                </c:pt>
                <c:pt idx="69">
                  <c:v>2094</c:v>
                </c:pt>
                <c:pt idx="70">
                  <c:v>2095</c:v>
                </c:pt>
                <c:pt idx="71">
                  <c:v>2096</c:v>
                </c:pt>
                <c:pt idx="72">
                  <c:v>2097</c:v>
                </c:pt>
                <c:pt idx="73">
                  <c:v>2098</c:v>
                </c:pt>
                <c:pt idx="74">
                  <c:v>2099</c:v>
                </c:pt>
                <c:pt idx="75">
                  <c:v>2100</c:v>
                </c:pt>
              </c:numCache>
            </c:numRef>
          </c:xVal>
          <c:yVal>
            <c:numRef>
              <c:f>'6states'!$AI$4:$AI$79</c:f>
              <c:numCache>
                <c:formatCode>0.0</c:formatCode>
                <c:ptCount val="76"/>
                <c:pt idx="0">
                  <c:v>100</c:v>
                </c:pt>
                <c:pt idx="1">
                  <c:v>95.704376407744462</c:v>
                </c:pt>
                <c:pt idx="2">
                  <c:v>93.426687466265662</c:v>
                </c:pt>
                <c:pt idx="3">
                  <c:v>91.757387553173757</c:v>
                </c:pt>
                <c:pt idx="4">
                  <c:v>91.868588547655008</c:v>
                </c:pt>
                <c:pt idx="5">
                  <c:v>92.23919735710885</c:v>
                </c:pt>
                <c:pt idx="6">
                  <c:v>91.151015080524601</c:v>
                </c:pt>
                <c:pt idx="7">
                  <c:v>90.164321416807496</c:v>
                </c:pt>
                <c:pt idx="8">
                  <c:v>91.244454432202474</c:v>
                </c:pt>
                <c:pt idx="9">
                  <c:v>92.449641335801232</c:v>
                </c:pt>
                <c:pt idx="10">
                  <c:v>93.704450844191996</c:v>
                </c:pt>
                <c:pt idx="11">
                  <c:v>95.050566143639344</c:v>
                </c:pt>
                <c:pt idx="12">
                  <c:v>96.432872071063372</c:v>
                </c:pt>
                <c:pt idx="13">
                  <c:v>97.914570974187811</c:v>
                </c:pt>
                <c:pt idx="14">
                  <c:v>99.443215108090712</c:v>
                </c:pt>
                <c:pt idx="15">
                  <c:v>101.01495229847646</c:v>
                </c:pt>
                <c:pt idx="16">
                  <c:v>102.64995395445939</c:v>
                </c:pt>
                <c:pt idx="17">
                  <c:v>104.28340794521166</c:v>
                </c:pt>
                <c:pt idx="18">
                  <c:v>106.04877144991562</c:v>
                </c:pt>
                <c:pt idx="19">
                  <c:v>107.91891999937135</c:v>
                </c:pt>
                <c:pt idx="20">
                  <c:v>109.70317469760278</c:v>
                </c:pt>
                <c:pt idx="21">
                  <c:v>111.54738847763682</c:v>
                </c:pt>
                <c:pt idx="22">
                  <c:v>113.5483153266419</c:v>
                </c:pt>
                <c:pt idx="23">
                  <c:v>115.61846794390347</c:v>
                </c:pt>
                <c:pt idx="24">
                  <c:v>117.70803289246754</c:v>
                </c:pt>
                <c:pt idx="25">
                  <c:v>119.82042411212636</c:v>
                </c:pt>
                <c:pt idx="26">
                  <c:v>122.10698935964781</c:v>
                </c:pt>
                <c:pt idx="27">
                  <c:v>124.49644732807248</c:v>
                </c:pt>
                <c:pt idx="28">
                  <c:v>126.83071113364419</c:v>
                </c:pt>
                <c:pt idx="29">
                  <c:v>129.3109523789183</c:v>
                </c:pt>
                <c:pt idx="30">
                  <c:v>131.79044984769072</c:v>
                </c:pt>
                <c:pt idx="31">
                  <c:v>134.39656254771211</c:v>
                </c:pt>
                <c:pt idx="32">
                  <c:v>137.1999332022645</c:v>
                </c:pt>
                <c:pt idx="33">
                  <c:v>140.09645937049834</c:v>
                </c:pt>
                <c:pt idx="34">
                  <c:v>143.38432558255491</c:v>
                </c:pt>
                <c:pt idx="35">
                  <c:v>146.89643889147052</c:v>
                </c:pt>
                <c:pt idx="36">
                  <c:v>146.82591248109173</c:v>
                </c:pt>
                <c:pt idx="37">
                  <c:v>150.50193885855069</c:v>
                </c:pt>
                <c:pt idx="38">
                  <c:v>154.3103794875648</c:v>
                </c:pt>
                <c:pt idx="39">
                  <c:v>154.99189724028358</c:v>
                </c:pt>
                <c:pt idx="40">
                  <c:v>158.96872470824738</c:v>
                </c:pt>
                <c:pt idx="41">
                  <c:v>162.79714837893405</c:v>
                </c:pt>
                <c:pt idx="42">
                  <c:v>166.88998440672745</c:v>
                </c:pt>
                <c:pt idx="43">
                  <c:v>170.80812563098485</c:v>
                </c:pt>
                <c:pt idx="44">
                  <c:v>172.08198469379948</c:v>
                </c:pt>
                <c:pt idx="45">
                  <c:v>176.26620285904684</c:v>
                </c:pt>
                <c:pt idx="46">
                  <c:v>180.56261265240593</c:v>
                </c:pt>
                <c:pt idx="47">
                  <c:v>184.73841594058936</c:v>
                </c:pt>
                <c:pt idx="48">
                  <c:v>188.86231199368987</c:v>
                </c:pt>
                <c:pt idx="49">
                  <c:v>193.08745583194465</c:v>
                </c:pt>
                <c:pt idx="50">
                  <c:v>197.59278565044224</c:v>
                </c:pt>
                <c:pt idx="51">
                  <c:v>202.26696396228257</c:v>
                </c:pt>
                <c:pt idx="52">
                  <c:v>207.12904795274591</c:v>
                </c:pt>
                <c:pt idx="53">
                  <c:v>210.24316181516465</c:v>
                </c:pt>
                <c:pt idx="54">
                  <c:v>213.48894442932203</c:v>
                </c:pt>
                <c:pt idx="55">
                  <c:v>219.1068470086372</c:v>
                </c:pt>
                <c:pt idx="56">
                  <c:v>223.09755607743944</c:v>
                </c:pt>
                <c:pt idx="57">
                  <c:v>227.0870074458069</c:v>
                </c:pt>
                <c:pt idx="58">
                  <c:v>232.70704914520297</c:v>
                </c:pt>
                <c:pt idx="59">
                  <c:v>238.61569411100442</c:v>
                </c:pt>
                <c:pt idx="60">
                  <c:v>244.27566870517325</c:v>
                </c:pt>
                <c:pt idx="61">
                  <c:v>248.33870021257982</c:v>
                </c:pt>
                <c:pt idx="62">
                  <c:v>254.11777355621666</c:v>
                </c:pt>
                <c:pt idx="63">
                  <c:v>260.56982105051827</c:v>
                </c:pt>
                <c:pt idx="64">
                  <c:v>266.89132770266053</c:v>
                </c:pt>
                <c:pt idx="65">
                  <c:v>272.14740989750919</c:v>
                </c:pt>
                <c:pt idx="66">
                  <c:v>278.38091733090675</c:v>
                </c:pt>
                <c:pt idx="67">
                  <c:v>285.2811380583579</c:v>
                </c:pt>
                <c:pt idx="68">
                  <c:v>291.28945154709959</c:v>
                </c:pt>
                <c:pt idx="69">
                  <c:v>298.1974991190616</c:v>
                </c:pt>
                <c:pt idx="70">
                  <c:v>304.61334149487567</c:v>
                </c:pt>
                <c:pt idx="71">
                  <c:v>311.32002807701235</c:v>
                </c:pt>
                <c:pt idx="72">
                  <c:v>318.16566446604605</c:v>
                </c:pt>
                <c:pt idx="73">
                  <c:v>325.35107097331036</c:v>
                </c:pt>
                <c:pt idx="74">
                  <c:v>332.81329657970082</c:v>
                </c:pt>
                <c:pt idx="75">
                  <c:v>340.56259345845012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83-4FAE-9A3F-E74C3B336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815296"/>
        <c:axId val="11939232"/>
      </c:scatterChart>
      <c:valAx>
        <c:axId val="80815296"/>
        <c:scaling>
          <c:orientation val="minMax"/>
          <c:max val="2100"/>
          <c:min val="2025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9232"/>
        <c:crosses val="autoZero"/>
        <c:crossBetween val="midCat"/>
        <c:majorUnit val="10"/>
        <c:minorUnit val="2"/>
      </c:valAx>
      <c:valAx>
        <c:axId val="1193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Final energy (2024 = 100)</a:t>
                </a:r>
              </a:p>
            </c:rich>
          </c:tx>
          <c:layout>
            <c:manualLayout>
              <c:xMode val="edge"/>
              <c:yMode val="edge"/>
              <c:x val="9.583718415907291E-3"/>
              <c:y val="0.264106159980508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15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/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Output</c:v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'6states'!$B$4:$B$79</c:f>
              <c:numCache>
                <c:formatCode>General</c:formatCode>
                <c:ptCount val="7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  <c:pt idx="36">
                  <c:v>2061</c:v>
                </c:pt>
                <c:pt idx="37">
                  <c:v>2062</c:v>
                </c:pt>
                <c:pt idx="38">
                  <c:v>2063</c:v>
                </c:pt>
                <c:pt idx="39">
                  <c:v>2064</c:v>
                </c:pt>
                <c:pt idx="40">
                  <c:v>2065</c:v>
                </c:pt>
                <c:pt idx="41">
                  <c:v>2066</c:v>
                </c:pt>
                <c:pt idx="42">
                  <c:v>2067</c:v>
                </c:pt>
                <c:pt idx="43">
                  <c:v>2068</c:v>
                </c:pt>
                <c:pt idx="44">
                  <c:v>2069</c:v>
                </c:pt>
                <c:pt idx="45">
                  <c:v>2070</c:v>
                </c:pt>
                <c:pt idx="46">
                  <c:v>2071</c:v>
                </c:pt>
                <c:pt idx="47">
                  <c:v>2072</c:v>
                </c:pt>
                <c:pt idx="48">
                  <c:v>2073</c:v>
                </c:pt>
                <c:pt idx="49">
                  <c:v>2074</c:v>
                </c:pt>
                <c:pt idx="50">
                  <c:v>2075</c:v>
                </c:pt>
                <c:pt idx="51">
                  <c:v>2076</c:v>
                </c:pt>
                <c:pt idx="52">
                  <c:v>2077</c:v>
                </c:pt>
                <c:pt idx="53">
                  <c:v>2078</c:v>
                </c:pt>
                <c:pt idx="54">
                  <c:v>2079</c:v>
                </c:pt>
                <c:pt idx="55">
                  <c:v>2080</c:v>
                </c:pt>
                <c:pt idx="56">
                  <c:v>2081</c:v>
                </c:pt>
                <c:pt idx="57">
                  <c:v>2082</c:v>
                </c:pt>
                <c:pt idx="58">
                  <c:v>2083</c:v>
                </c:pt>
                <c:pt idx="59">
                  <c:v>2084</c:v>
                </c:pt>
                <c:pt idx="60">
                  <c:v>2085</c:v>
                </c:pt>
                <c:pt idx="61">
                  <c:v>2086</c:v>
                </c:pt>
                <c:pt idx="62">
                  <c:v>2087</c:v>
                </c:pt>
                <c:pt idx="63">
                  <c:v>2088</c:v>
                </c:pt>
                <c:pt idx="64">
                  <c:v>2089</c:v>
                </c:pt>
                <c:pt idx="65">
                  <c:v>2090</c:v>
                </c:pt>
                <c:pt idx="66">
                  <c:v>2091</c:v>
                </c:pt>
                <c:pt idx="67">
                  <c:v>2092</c:v>
                </c:pt>
                <c:pt idx="68">
                  <c:v>2093</c:v>
                </c:pt>
                <c:pt idx="69">
                  <c:v>2094</c:v>
                </c:pt>
                <c:pt idx="70">
                  <c:v>2095</c:v>
                </c:pt>
                <c:pt idx="71">
                  <c:v>2096</c:v>
                </c:pt>
                <c:pt idx="72">
                  <c:v>2097</c:v>
                </c:pt>
                <c:pt idx="73">
                  <c:v>2098</c:v>
                </c:pt>
                <c:pt idx="74">
                  <c:v>2099</c:v>
                </c:pt>
                <c:pt idx="75">
                  <c:v>2100</c:v>
                </c:pt>
              </c:numCache>
            </c:numRef>
          </c:xVal>
          <c:yVal>
            <c:numRef>
              <c:f>'6states'!$AJ$4:$AJ$79</c:f>
              <c:numCache>
                <c:formatCode>0.0</c:formatCode>
                <c:ptCount val="76"/>
                <c:pt idx="0">
                  <c:v>110.98</c:v>
                </c:pt>
                <c:pt idx="1">
                  <c:v>112.7722574465252</c:v>
                </c:pt>
                <c:pt idx="2">
                  <c:v>114.66865066656673</c:v>
                </c:pt>
                <c:pt idx="3">
                  <c:v>116.60526488385297</c:v>
                </c:pt>
                <c:pt idx="4">
                  <c:v>118.72182346478458</c:v>
                </c:pt>
                <c:pt idx="5">
                  <c:v>120.89067148572549</c:v>
                </c:pt>
                <c:pt idx="6">
                  <c:v>122.96714699705009</c:v>
                </c:pt>
                <c:pt idx="7">
                  <c:v>125.04762883568525</c:v>
                </c:pt>
                <c:pt idx="8">
                  <c:v>127.42020314318367</c:v>
                </c:pt>
                <c:pt idx="9">
                  <c:v>129.8549026429628</c:v>
                </c:pt>
                <c:pt idx="10">
                  <c:v>132.37121034199956</c:v>
                </c:pt>
                <c:pt idx="11">
                  <c:v>134.95685733323339</c:v>
                </c:pt>
                <c:pt idx="12">
                  <c:v>137.62236181603603</c:v>
                </c:pt>
                <c:pt idx="13">
                  <c:v>140.35683588751832</c:v>
                </c:pt>
                <c:pt idx="14">
                  <c:v>143.16985903574735</c:v>
                </c:pt>
                <c:pt idx="15">
                  <c:v>146.06424025004284</c:v>
                </c:pt>
                <c:pt idx="16">
                  <c:v>149.03232388214406</c:v>
                </c:pt>
                <c:pt idx="17">
                  <c:v>152.09214699950405</c:v>
                </c:pt>
                <c:pt idx="18">
                  <c:v>155.21282255512742</c:v>
                </c:pt>
                <c:pt idx="19">
                  <c:v>158.4038379621837</c:v>
                </c:pt>
                <c:pt idx="20">
                  <c:v>161.70497031088658</c:v>
                </c:pt>
                <c:pt idx="21">
                  <c:v>165.0881148453152</c:v>
                </c:pt>
                <c:pt idx="22">
                  <c:v>168.53611555397896</c:v>
                </c:pt>
                <c:pt idx="23">
                  <c:v>172.06664514499806</c:v>
                </c:pt>
                <c:pt idx="24">
                  <c:v>175.69344824601623</c:v>
                </c:pt>
                <c:pt idx="25">
                  <c:v>179.41778392525384</c:v>
                </c:pt>
                <c:pt idx="26">
                  <c:v>183.21573574616576</c:v>
                </c:pt>
                <c:pt idx="27">
                  <c:v>187.10599823375358</c:v>
                </c:pt>
                <c:pt idx="28">
                  <c:v>191.12283371974956</c:v>
                </c:pt>
                <c:pt idx="29">
                  <c:v>195.23170869616993</c:v>
                </c:pt>
                <c:pt idx="30">
                  <c:v>199.46426641628216</c:v>
                </c:pt>
                <c:pt idx="31">
                  <c:v>203.80088056934133</c:v>
                </c:pt>
                <c:pt idx="32">
                  <c:v>208.23072796458013</c:v>
                </c:pt>
                <c:pt idx="33">
                  <c:v>212.78656794562141</c:v>
                </c:pt>
                <c:pt idx="34">
                  <c:v>217.41802582094289</c:v>
                </c:pt>
                <c:pt idx="35">
                  <c:v>222.17902411195652</c:v>
                </c:pt>
                <c:pt idx="36">
                  <c:v>226.61563883440076</c:v>
                </c:pt>
                <c:pt idx="37">
                  <c:v>231.66437287045991</c:v>
                </c:pt>
                <c:pt idx="38">
                  <c:v>236.81144886097113</c:v>
                </c:pt>
                <c:pt idx="39">
                  <c:v>241.65464818836941</c:v>
                </c:pt>
                <c:pt idx="40">
                  <c:v>247.02386836348737</c:v>
                </c:pt>
                <c:pt idx="41">
                  <c:v>252.52789346358941</c:v>
                </c:pt>
                <c:pt idx="42">
                  <c:v>258.12756299051165</c:v>
                </c:pt>
                <c:pt idx="43">
                  <c:v>263.89422765376918</c:v>
                </c:pt>
                <c:pt idx="44">
                  <c:v>269.35511360634956</c:v>
                </c:pt>
                <c:pt idx="45">
                  <c:v>275.35846073423261</c:v>
                </c:pt>
                <c:pt idx="46">
                  <c:v>281.48008193001959</c:v>
                </c:pt>
                <c:pt idx="47">
                  <c:v>287.75121601651637</c:v>
                </c:pt>
                <c:pt idx="48">
                  <c:v>294.19537218674958</c:v>
                </c:pt>
                <c:pt idx="49">
                  <c:v>300.77190891833419</c:v>
                </c:pt>
                <c:pt idx="50">
                  <c:v>307.49716035844284</c:v>
                </c:pt>
                <c:pt idx="51">
                  <c:v>314.35501831340093</c:v>
                </c:pt>
                <c:pt idx="52">
                  <c:v>321.43830845568021</c:v>
                </c:pt>
                <c:pt idx="53">
                  <c:v>328.36528734949121</c:v>
                </c:pt>
                <c:pt idx="54">
                  <c:v>335.56392181734947</c:v>
                </c:pt>
                <c:pt idx="55">
                  <c:v>343.12041714530091</c:v>
                </c:pt>
                <c:pt idx="56">
                  <c:v>350.6471130214959</c:v>
                </c:pt>
                <c:pt idx="57">
                  <c:v>358.3988444207788</c:v>
                </c:pt>
                <c:pt idx="58">
                  <c:v>366.5553664353165</c:v>
                </c:pt>
                <c:pt idx="59">
                  <c:v>374.82830452511655</c:v>
                </c:pt>
                <c:pt idx="60">
                  <c:v>383.34840137807657</c:v>
                </c:pt>
                <c:pt idx="61">
                  <c:v>391.88984663339903</c:v>
                </c:pt>
                <c:pt idx="62">
                  <c:v>400.81029859170354</c:v>
                </c:pt>
                <c:pt idx="63">
                  <c:v>409.86667477905024</c:v>
                </c:pt>
                <c:pt idx="64">
                  <c:v>419.15495443615077</c:v>
                </c:pt>
                <c:pt idx="65">
                  <c:v>428.47544765704828</c:v>
                </c:pt>
                <c:pt idx="66">
                  <c:v>438.27448699049387</c:v>
                </c:pt>
                <c:pt idx="67">
                  <c:v>448.22288280808817</c:v>
                </c:pt>
                <c:pt idx="68">
                  <c:v>458.28018007422202</c:v>
                </c:pt>
                <c:pt idx="69">
                  <c:v>468.67122058527423</c:v>
                </c:pt>
                <c:pt idx="70">
                  <c:v>479.28854568026475</c:v>
                </c:pt>
                <c:pt idx="71">
                  <c:v>490.20900879159592</c:v>
                </c:pt>
                <c:pt idx="72">
                  <c:v>501.18827394627397</c:v>
                </c:pt>
                <c:pt idx="73">
                  <c:v>512.45425181530675</c:v>
                </c:pt>
                <c:pt idx="74">
                  <c:v>524.08728807835121</c:v>
                </c:pt>
                <c:pt idx="75">
                  <c:v>536.0021587277821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DC-449F-BE05-15C7B8060C6F}"/>
            </c:ext>
          </c:extLst>
        </c:ser>
        <c:ser>
          <c:idx val="1"/>
          <c:order val="1"/>
          <c:tx>
            <c:v>Consumption</c:v>
          </c:tx>
          <c:spPr>
            <a:ln w="28575" cap="rnd">
              <a:solidFill>
                <a:schemeClr val="accent2"/>
              </a:solidFill>
              <a:prstDash val="lgDash"/>
              <a:round/>
            </a:ln>
            <a:effectLst/>
          </c:spPr>
          <c:marker>
            <c:symbol val="none"/>
          </c:marker>
          <c:xVal>
            <c:numRef>
              <c:f>'6states'!$B$4:$B$79</c:f>
              <c:numCache>
                <c:formatCode>General</c:formatCode>
                <c:ptCount val="7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  <c:pt idx="36">
                  <c:v>2061</c:v>
                </c:pt>
                <c:pt idx="37">
                  <c:v>2062</c:v>
                </c:pt>
                <c:pt idx="38">
                  <c:v>2063</c:v>
                </c:pt>
                <c:pt idx="39">
                  <c:v>2064</c:v>
                </c:pt>
                <c:pt idx="40">
                  <c:v>2065</c:v>
                </c:pt>
                <c:pt idx="41">
                  <c:v>2066</c:v>
                </c:pt>
                <c:pt idx="42">
                  <c:v>2067</c:v>
                </c:pt>
                <c:pt idx="43">
                  <c:v>2068</c:v>
                </c:pt>
                <c:pt idx="44">
                  <c:v>2069</c:v>
                </c:pt>
                <c:pt idx="45">
                  <c:v>2070</c:v>
                </c:pt>
                <c:pt idx="46">
                  <c:v>2071</c:v>
                </c:pt>
                <c:pt idx="47">
                  <c:v>2072</c:v>
                </c:pt>
                <c:pt idx="48">
                  <c:v>2073</c:v>
                </c:pt>
                <c:pt idx="49">
                  <c:v>2074</c:v>
                </c:pt>
                <c:pt idx="50">
                  <c:v>2075</c:v>
                </c:pt>
                <c:pt idx="51">
                  <c:v>2076</c:v>
                </c:pt>
                <c:pt idx="52">
                  <c:v>2077</c:v>
                </c:pt>
                <c:pt idx="53">
                  <c:v>2078</c:v>
                </c:pt>
                <c:pt idx="54">
                  <c:v>2079</c:v>
                </c:pt>
                <c:pt idx="55">
                  <c:v>2080</c:v>
                </c:pt>
                <c:pt idx="56">
                  <c:v>2081</c:v>
                </c:pt>
                <c:pt idx="57">
                  <c:v>2082</c:v>
                </c:pt>
                <c:pt idx="58">
                  <c:v>2083</c:v>
                </c:pt>
                <c:pt idx="59">
                  <c:v>2084</c:v>
                </c:pt>
                <c:pt idx="60">
                  <c:v>2085</c:v>
                </c:pt>
                <c:pt idx="61">
                  <c:v>2086</c:v>
                </c:pt>
                <c:pt idx="62">
                  <c:v>2087</c:v>
                </c:pt>
                <c:pt idx="63">
                  <c:v>2088</c:v>
                </c:pt>
                <c:pt idx="64">
                  <c:v>2089</c:v>
                </c:pt>
                <c:pt idx="65">
                  <c:v>2090</c:v>
                </c:pt>
                <c:pt idx="66">
                  <c:v>2091</c:v>
                </c:pt>
                <c:pt idx="67">
                  <c:v>2092</c:v>
                </c:pt>
                <c:pt idx="68">
                  <c:v>2093</c:v>
                </c:pt>
                <c:pt idx="69">
                  <c:v>2094</c:v>
                </c:pt>
                <c:pt idx="70">
                  <c:v>2095</c:v>
                </c:pt>
                <c:pt idx="71">
                  <c:v>2096</c:v>
                </c:pt>
                <c:pt idx="72">
                  <c:v>2097</c:v>
                </c:pt>
                <c:pt idx="73">
                  <c:v>2098</c:v>
                </c:pt>
                <c:pt idx="74">
                  <c:v>2099</c:v>
                </c:pt>
                <c:pt idx="75">
                  <c:v>2100</c:v>
                </c:pt>
              </c:numCache>
            </c:numRef>
          </c:xVal>
          <c:yVal>
            <c:numRef>
              <c:f>'6states'!$AK$4:$AK$79</c:f>
              <c:numCache>
                <c:formatCode>0.0</c:formatCode>
                <c:ptCount val="76"/>
                <c:pt idx="0">
                  <c:v>89.126890862748894</c:v>
                </c:pt>
                <c:pt idx="1">
                  <c:v>91.001532094782704</c:v>
                </c:pt>
                <c:pt idx="2">
                  <c:v>92.619338023181541</c:v>
                </c:pt>
                <c:pt idx="3">
                  <c:v>93.950836719244649</c:v>
                </c:pt>
                <c:pt idx="4">
                  <c:v>95.634380402905109</c:v>
                </c:pt>
                <c:pt idx="5">
                  <c:v>97.226367751016994</c:v>
                </c:pt>
                <c:pt idx="6">
                  <c:v>99.161295595654082</c:v>
                </c:pt>
                <c:pt idx="7">
                  <c:v>100.30968804515192</c:v>
                </c:pt>
                <c:pt idx="8">
                  <c:v>102.16141214734111</c:v>
                </c:pt>
                <c:pt idx="9">
                  <c:v>103.74015261340666</c:v>
                </c:pt>
                <c:pt idx="10">
                  <c:v>105.61646868509989</c:v>
                </c:pt>
                <c:pt idx="11">
                  <c:v>107.38666529152397</c:v>
                </c:pt>
                <c:pt idx="12">
                  <c:v>109.42415636764014</c:v>
                </c:pt>
                <c:pt idx="13">
                  <c:v>111.37855422200839</c:v>
                </c:pt>
                <c:pt idx="14">
                  <c:v>113.36692162595466</c:v>
                </c:pt>
                <c:pt idx="15">
                  <c:v>115.57144268921751</c:v>
                </c:pt>
                <c:pt idx="16">
                  <c:v>117.54747924041922</c:v>
                </c:pt>
                <c:pt idx="17">
                  <c:v>120.12262619609513</c:v>
                </c:pt>
                <c:pt idx="18">
                  <c:v>122.62207315888816</c:v>
                </c:pt>
                <c:pt idx="19">
                  <c:v>124.56583321518609</c:v>
                </c:pt>
                <c:pt idx="20">
                  <c:v>127.05056417896679</c:v>
                </c:pt>
                <c:pt idx="21">
                  <c:v>129.891547633057</c:v>
                </c:pt>
                <c:pt idx="22">
                  <c:v>132.54055586692033</c:v>
                </c:pt>
                <c:pt idx="23">
                  <c:v>135.07392410487071</c:v>
                </c:pt>
                <c:pt idx="24">
                  <c:v>137.68850806510378</c:v>
                </c:pt>
                <c:pt idx="25">
                  <c:v>140.7727278197481</c:v>
                </c:pt>
                <c:pt idx="26">
                  <c:v>143.67516355389299</c:v>
                </c:pt>
                <c:pt idx="27">
                  <c:v>146.17812829288178</c:v>
                </c:pt>
                <c:pt idx="28">
                  <c:v>149.32184939040317</c:v>
                </c:pt>
                <c:pt idx="29">
                  <c:v>152.10127430406487</c:v>
                </c:pt>
                <c:pt idx="30">
                  <c:v>155.2941636024884</c:v>
                </c:pt>
                <c:pt idx="31">
                  <c:v>158.77437563494252</c:v>
                </c:pt>
                <c:pt idx="32">
                  <c:v>161.89464600204812</c:v>
                </c:pt>
                <c:pt idx="33">
                  <c:v>165.91438903832966</c:v>
                </c:pt>
                <c:pt idx="34">
                  <c:v>169.30297924973036</c:v>
                </c:pt>
                <c:pt idx="35">
                  <c:v>172.78558167767494</c:v>
                </c:pt>
                <c:pt idx="36">
                  <c:v>175.74552806071344</c:v>
                </c:pt>
                <c:pt idx="37">
                  <c:v>179.78983468885627</c:v>
                </c:pt>
                <c:pt idx="38">
                  <c:v>183.86089536050108</c:v>
                </c:pt>
                <c:pt idx="39">
                  <c:v>187.64606217074999</c:v>
                </c:pt>
                <c:pt idx="40">
                  <c:v>191.39324192784545</c:v>
                </c:pt>
                <c:pt idx="41">
                  <c:v>195.9266058999475</c:v>
                </c:pt>
                <c:pt idx="42">
                  <c:v>199.63009522503398</c:v>
                </c:pt>
                <c:pt idx="43">
                  <c:v>204.81651287185099</c:v>
                </c:pt>
                <c:pt idx="44">
                  <c:v>208.62890240441723</c:v>
                </c:pt>
                <c:pt idx="45">
                  <c:v>213.34322876431744</c:v>
                </c:pt>
                <c:pt idx="46">
                  <c:v>217.81218994827123</c:v>
                </c:pt>
                <c:pt idx="47">
                  <c:v>222.14070637198105</c:v>
                </c:pt>
                <c:pt idx="48">
                  <c:v>227.23866475505105</c:v>
                </c:pt>
                <c:pt idx="49">
                  <c:v>232.26953935687604</c:v>
                </c:pt>
                <c:pt idx="50">
                  <c:v>237.73609623956432</c:v>
                </c:pt>
                <c:pt idx="51">
                  <c:v>242.09213538056474</c:v>
                </c:pt>
                <c:pt idx="52">
                  <c:v>248.35922746159164</c:v>
                </c:pt>
                <c:pt idx="53">
                  <c:v>252.57701080732369</c:v>
                </c:pt>
                <c:pt idx="54">
                  <c:v>258.85954609486117</c:v>
                </c:pt>
                <c:pt idx="55">
                  <c:v>264.35844031516035</c:v>
                </c:pt>
                <c:pt idx="56">
                  <c:v>269.52688386072407</c:v>
                </c:pt>
                <c:pt idx="57">
                  <c:v>275.2506973211436</c:v>
                </c:pt>
                <c:pt idx="58">
                  <c:v>282.30374570541034</c:v>
                </c:pt>
                <c:pt idx="59">
                  <c:v>287.76799434553169</c:v>
                </c:pt>
                <c:pt idx="60">
                  <c:v>293.97568689344899</c:v>
                </c:pt>
                <c:pt idx="61">
                  <c:v>300.56778671032549</c:v>
                </c:pt>
                <c:pt idx="62">
                  <c:v>308.19005520873708</c:v>
                </c:pt>
                <c:pt idx="63">
                  <c:v>314.7116854803208</c:v>
                </c:pt>
                <c:pt idx="64">
                  <c:v>322.23733504518333</c:v>
                </c:pt>
                <c:pt idx="65">
                  <c:v>327.79949205886879</c:v>
                </c:pt>
                <c:pt idx="66">
                  <c:v>336.20606851886936</c:v>
                </c:pt>
                <c:pt idx="67">
                  <c:v>343.94717382872614</c:v>
                </c:pt>
                <c:pt idx="68">
                  <c:v>351.74613881315599</c:v>
                </c:pt>
                <c:pt idx="69">
                  <c:v>358.75001099518397</c:v>
                </c:pt>
                <c:pt idx="70">
                  <c:v>366.19638644716485</c:v>
                </c:pt>
                <c:pt idx="71">
                  <c:v>377.25076358361935</c:v>
                </c:pt>
                <c:pt idx="72">
                  <c:v>385.34516540785597</c:v>
                </c:pt>
                <c:pt idx="73">
                  <c:v>392.61723247954501</c:v>
                </c:pt>
                <c:pt idx="74">
                  <c:v>401.36941324858697</c:v>
                </c:pt>
                <c:pt idx="75">
                  <c:v>411.71172781568907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DC-449F-BE05-15C7B8060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815296"/>
        <c:axId val="11939232"/>
      </c:scatterChart>
      <c:valAx>
        <c:axId val="80815296"/>
        <c:scaling>
          <c:orientation val="minMax"/>
          <c:max val="2100"/>
          <c:min val="2025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9232"/>
        <c:crosses val="autoZero"/>
        <c:crossBetween val="midCat"/>
        <c:majorUnit val="10"/>
      </c:valAx>
      <c:valAx>
        <c:axId val="1193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and consumption (2024 USD trillion)</a:t>
                </a:r>
              </a:p>
            </c:rich>
          </c:tx>
          <c:layout>
            <c:manualLayout>
              <c:xMode val="edge"/>
              <c:yMode val="edge"/>
              <c:x val="9.583718415907291E-3"/>
              <c:y val="0.264106159980508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15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/>
      </a:pPr>
      <a:endParaRPr lang="en-US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Output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'6states'!$B$4:$B$79</c:f>
              <c:numCache>
                <c:formatCode>General</c:formatCode>
                <c:ptCount val="7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  <c:pt idx="36">
                  <c:v>2061</c:v>
                </c:pt>
                <c:pt idx="37">
                  <c:v>2062</c:v>
                </c:pt>
                <c:pt idx="38">
                  <c:v>2063</c:v>
                </c:pt>
                <c:pt idx="39">
                  <c:v>2064</c:v>
                </c:pt>
                <c:pt idx="40">
                  <c:v>2065</c:v>
                </c:pt>
                <c:pt idx="41">
                  <c:v>2066</c:v>
                </c:pt>
                <c:pt idx="42">
                  <c:v>2067</c:v>
                </c:pt>
                <c:pt idx="43">
                  <c:v>2068</c:v>
                </c:pt>
                <c:pt idx="44">
                  <c:v>2069</c:v>
                </c:pt>
                <c:pt idx="45">
                  <c:v>2070</c:v>
                </c:pt>
                <c:pt idx="46">
                  <c:v>2071</c:v>
                </c:pt>
                <c:pt idx="47">
                  <c:v>2072</c:v>
                </c:pt>
                <c:pt idx="48">
                  <c:v>2073</c:v>
                </c:pt>
                <c:pt idx="49">
                  <c:v>2074</c:v>
                </c:pt>
                <c:pt idx="50">
                  <c:v>2075</c:v>
                </c:pt>
                <c:pt idx="51">
                  <c:v>2076</c:v>
                </c:pt>
                <c:pt idx="52">
                  <c:v>2077</c:v>
                </c:pt>
                <c:pt idx="53">
                  <c:v>2078</c:v>
                </c:pt>
                <c:pt idx="54">
                  <c:v>2079</c:v>
                </c:pt>
                <c:pt idx="55">
                  <c:v>2080</c:v>
                </c:pt>
                <c:pt idx="56">
                  <c:v>2081</c:v>
                </c:pt>
                <c:pt idx="57">
                  <c:v>2082</c:v>
                </c:pt>
                <c:pt idx="58">
                  <c:v>2083</c:v>
                </c:pt>
                <c:pt idx="59">
                  <c:v>2084</c:v>
                </c:pt>
                <c:pt idx="60">
                  <c:v>2085</c:v>
                </c:pt>
                <c:pt idx="61">
                  <c:v>2086</c:v>
                </c:pt>
                <c:pt idx="62">
                  <c:v>2087</c:v>
                </c:pt>
                <c:pt idx="63">
                  <c:v>2088</c:v>
                </c:pt>
                <c:pt idx="64">
                  <c:v>2089</c:v>
                </c:pt>
                <c:pt idx="65">
                  <c:v>2090</c:v>
                </c:pt>
                <c:pt idx="66">
                  <c:v>2091</c:v>
                </c:pt>
                <c:pt idx="67">
                  <c:v>2092</c:v>
                </c:pt>
                <c:pt idx="68">
                  <c:v>2093</c:v>
                </c:pt>
                <c:pt idx="69">
                  <c:v>2094</c:v>
                </c:pt>
                <c:pt idx="70">
                  <c:v>2095</c:v>
                </c:pt>
                <c:pt idx="71">
                  <c:v>2096</c:v>
                </c:pt>
                <c:pt idx="72">
                  <c:v>2097</c:v>
                </c:pt>
                <c:pt idx="73">
                  <c:v>2098</c:v>
                </c:pt>
                <c:pt idx="74">
                  <c:v>2099</c:v>
                </c:pt>
                <c:pt idx="75">
                  <c:v>2100</c:v>
                </c:pt>
              </c:numCache>
            </c:numRef>
          </c:xVal>
          <c:yVal>
            <c:numRef>
              <c:f>'6states'!$AN$4:$AN$79</c:f>
              <c:numCache>
                <c:formatCode>0.0</c:formatCode>
                <c:ptCount val="76"/>
                <c:pt idx="3" formatCode="0.000">
                  <c:v>1.7107318163817452E-2</c:v>
                </c:pt>
                <c:pt idx="4" formatCode="0.000">
                  <c:v>1.7309371583785982E-2</c:v>
                </c:pt>
                <c:pt idx="5" formatCode="0.000">
                  <c:v>1.732960490674227E-2</c:v>
                </c:pt>
                <c:pt idx="6" formatCode="0.000">
                  <c:v>1.7739176938490787E-2</c:v>
                </c:pt>
                <c:pt idx="7" formatCode="0.000">
                  <c:v>1.7926910984946788E-2</c:v>
                </c:pt>
                <c:pt idx="8" formatCode="0.000">
                  <c:v>1.8144715918948329E-2</c:v>
                </c:pt>
                <c:pt idx="9" formatCode="0.000">
                  <c:v>1.8607585988685928E-2</c:v>
                </c:pt>
                <c:pt idx="10" formatCode="0.000">
                  <c:v>1.9163746015862772E-2</c:v>
                </c:pt>
                <c:pt idx="11" formatCode="0.000">
                  <c:v>1.9339539331499546E-2</c:v>
                </c:pt>
                <c:pt idx="12" formatCode="0.000">
                  <c:v>1.9522811435841447E-2</c:v>
                </c:pt>
                <c:pt idx="13" formatCode="0.000">
                  <c:v>1.9687270267401403E-2</c:v>
                </c:pt>
                <c:pt idx="14" formatCode="0.000">
                  <c:v>1.9841613833999894E-2</c:v>
                </c:pt>
                <c:pt idx="15" formatCode="0.000">
                  <c:v>1.9994628385899917E-2</c:v>
                </c:pt>
                <c:pt idx="16" formatCode="0.000">
                  <c:v>2.012184325355424E-2</c:v>
                </c:pt>
                <c:pt idx="17" formatCode="0.000">
                  <c:v>2.0223191573558452E-2</c:v>
                </c:pt>
                <c:pt idx="18" formatCode="0.000">
                  <c:v>2.0345395463084337E-2</c:v>
                </c:pt>
                <c:pt idx="19" formatCode="0.000">
                  <c:v>2.0463227899843162E-2</c:v>
                </c:pt>
                <c:pt idx="20" formatCode="0.000">
                  <c:v>2.0532699006979804E-2</c:v>
                </c:pt>
                <c:pt idx="21" formatCode="0.000">
                  <c:v>2.0616929929270177E-2</c:v>
                </c:pt>
                <c:pt idx="22" formatCode="0.000">
                  <c:v>2.0718599283060257E-2</c:v>
                </c:pt>
                <c:pt idx="23" formatCode="0.000">
                  <c:v>2.0788714153153087E-2</c:v>
                </c:pt>
                <c:pt idx="24" formatCode="0.000">
                  <c:v>2.0836996327824941E-2</c:v>
                </c:pt>
                <c:pt idx="25" formatCode="0.000">
                  <c:v>2.0905045856184225E-2</c:v>
                </c:pt>
                <c:pt idx="26" formatCode="0.000">
                  <c:v>2.1006891256491578E-2</c:v>
                </c:pt>
                <c:pt idx="27" formatCode="0.000">
                  <c:v>2.1089279563280529E-2</c:v>
                </c:pt>
                <c:pt idx="28" formatCode="0.000">
                  <c:v>2.1183605969829423E-2</c:v>
                </c:pt>
                <c:pt idx="29" formatCode="0.000">
                  <c:v>2.1295819833876982E-2</c:v>
                </c:pt>
                <c:pt idx="30" formatCode="0.000">
                  <c:v>2.1394288447762831E-2</c:v>
                </c:pt>
                <c:pt idx="31" formatCode="0.000">
                  <c:v>2.1474661019531993E-2</c:v>
                </c:pt>
                <c:pt idx="32" formatCode="0.000">
                  <c:v>2.1526956766358473E-2</c:v>
                </c:pt>
                <c:pt idx="33" formatCode="0.000">
                  <c:v>2.1569673446853344E-2</c:v>
                </c:pt>
                <c:pt idx="34" formatCode="0.000">
                  <c:v>2.1222383967398884E-2</c:v>
                </c:pt>
                <c:pt idx="35" formatCode="0.000">
                  <c:v>2.1328584318320055E-2</c:v>
                </c:pt>
                <c:pt idx="36" formatCode="0.000">
                  <c:v>2.1394923030510427E-2</c:v>
                </c:pt>
                <c:pt idx="37" formatCode="0.000">
                  <c:v>2.1137549321208305E-2</c:v>
                </c:pt>
                <c:pt idx="38" formatCode="0.000">
                  <c:v>2.120029863933386E-2</c:v>
                </c:pt>
                <c:pt idx="39" formatCode="0.000">
                  <c:v>2.1653270081636221E-2</c:v>
                </c:pt>
                <c:pt idx="40" formatCode="0.000">
                  <c:v>2.1632847471598105E-2</c:v>
                </c:pt>
                <c:pt idx="41" formatCode="0.000">
                  <c:v>2.1656823993066076E-2</c:v>
                </c:pt>
                <c:pt idx="42" formatCode="0.000">
                  <c:v>2.170420012362655E-2</c:v>
                </c:pt>
                <c:pt idx="43" formatCode="0.000">
                  <c:v>2.1717755485103039E-2</c:v>
                </c:pt>
                <c:pt idx="44" formatCode="0.000">
                  <c:v>2.1707995278027248E-2</c:v>
                </c:pt>
                <c:pt idx="45" formatCode="0.000">
                  <c:v>2.1728476122785167E-2</c:v>
                </c:pt>
                <c:pt idx="46" formatCode="0.000">
                  <c:v>2.1739141569223009E-2</c:v>
                </c:pt>
                <c:pt idx="47" formatCode="0.000">
                  <c:v>2.2064313175316742E-2</c:v>
                </c:pt>
                <c:pt idx="48" formatCode="0.000">
                  <c:v>2.2078422032373445E-2</c:v>
                </c:pt>
                <c:pt idx="49" formatCode="0.000">
                  <c:v>2.209225812601421E-2</c:v>
                </c:pt>
                <c:pt idx="50" formatCode="0.000">
                  <c:v>2.2141873023313254E-2</c:v>
                </c:pt>
                <c:pt idx="51" formatCode="0.000">
                  <c:v>2.1976518352424888E-2</c:v>
                </c:pt>
                <c:pt idx="52" formatCode="0.000">
                  <c:v>2.1892053095971066E-2</c:v>
                </c:pt>
                <c:pt idx="53" formatCode="0.000">
                  <c:v>2.1923120670473573E-2</c:v>
                </c:pt>
                <c:pt idx="54" formatCode="0.000">
                  <c:v>2.1851472586439335E-2</c:v>
                </c:pt>
                <c:pt idx="55" formatCode="0.000">
                  <c:v>2.1768163633127991E-2</c:v>
                </c:pt>
                <c:pt idx="56" formatCode="0.000">
                  <c:v>2.2004581661655642E-2</c:v>
                </c:pt>
                <c:pt idx="57" formatCode="0.000">
                  <c:v>2.2131120246631043E-2</c:v>
                </c:pt>
                <c:pt idx="58" formatCode="0.000">
                  <c:v>2.2172556781969277E-2</c:v>
                </c:pt>
                <c:pt idx="59" formatCode="0.000">
                  <c:v>2.2240091017215489E-2</c:v>
                </c:pt>
                <c:pt idx="60" formatCode="0.000">
                  <c:v>2.2368357541285099E-2</c:v>
                </c:pt>
                <c:pt idx="61" formatCode="0.000">
                  <c:v>2.2336469079120215E-2</c:v>
                </c:pt>
                <c:pt idx="62" formatCode="0.000">
                  <c:v>2.2354520937817667E-2</c:v>
                </c:pt>
                <c:pt idx="63" formatCode="0.000">
                  <c:v>2.2257839637363653E-2</c:v>
                </c:pt>
                <c:pt idx="64" formatCode="0.000">
                  <c:v>2.2372919980846007E-2</c:v>
                </c:pt>
                <c:pt idx="65" formatCode="0.000">
                  <c:v>2.2360474087640903E-2</c:v>
                </c:pt>
                <c:pt idx="66" formatCode="0.000">
                  <c:v>2.2329764122253692E-2</c:v>
                </c:pt>
                <c:pt idx="67" formatCode="0.000">
                  <c:v>2.2332165839338104E-2</c:v>
                </c:pt>
                <c:pt idx="68" formatCode="0.000">
                  <c:v>2.2413873963271415E-2</c:v>
                </c:pt>
                <c:pt idx="69" formatCode="0.000">
                  <c:v>2.2397290398677681E-2</c:v>
                </c:pt>
                <c:pt idx="70" formatCode="0.000">
                  <c:v>2.233824236464841E-2</c:v>
                </c:pt>
                <c:pt idx="71" formatCode="0.000">
                  <c:v>2.2346139663464902E-2</c:v>
                </c:pt>
                <c:pt idx="72" formatCode="0.000">
                  <c:v>2.2351350068240627E-2</c:v>
                </c:pt>
                <c:pt idx="73" formatCode="0.000">
                  <c:v>2.2367076135452812E-2</c:v>
                </c:pt>
                <c:pt idx="74" formatCode="0.000">
                  <c:v>2.2326900175395535E-2</c:v>
                </c:pt>
                <c:pt idx="75" formatCode="0.000">
                  <c:v>2.2379212695185124E-2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E78-4ABB-9037-2155EE5E7234}"/>
            </c:ext>
          </c:extLst>
        </c:ser>
        <c:ser>
          <c:idx val="1"/>
          <c:order val="1"/>
          <c:tx>
            <c:v>Consumption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'6states'!$B$4:$B$79</c:f>
              <c:numCache>
                <c:formatCode>General</c:formatCode>
                <c:ptCount val="7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  <c:pt idx="36">
                  <c:v>2061</c:v>
                </c:pt>
                <c:pt idx="37">
                  <c:v>2062</c:v>
                </c:pt>
                <c:pt idx="38">
                  <c:v>2063</c:v>
                </c:pt>
                <c:pt idx="39">
                  <c:v>2064</c:v>
                </c:pt>
                <c:pt idx="40">
                  <c:v>2065</c:v>
                </c:pt>
                <c:pt idx="41">
                  <c:v>2066</c:v>
                </c:pt>
                <c:pt idx="42">
                  <c:v>2067</c:v>
                </c:pt>
                <c:pt idx="43">
                  <c:v>2068</c:v>
                </c:pt>
                <c:pt idx="44">
                  <c:v>2069</c:v>
                </c:pt>
                <c:pt idx="45">
                  <c:v>2070</c:v>
                </c:pt>
                <c:pt idx="46">
                  <c:v>2071</c:v>
                </c:pt>
                <c:pt idx="47">
                  <c:v>2072</c:v>
                </c:pt>
                <c:pt idx="48">
                  <c:v>2073</c:v>
                </c:pt>
                <c:pt idx="49">
                  <c:v>2074</c:v>
                </c:pt>
                <c:pt idx="50">
                  <c:v>2075</c:v>
                </c:pt>
                <c:pt idx="51">
                  <c:v>2076</c:v>
                </c:pt>
                <c:pt idx="52">
                  <c:v>2077</c:v>
                </c:pt>
                <c:pt idx="53">
                  <c:v>2078</c:v>
                </c:pt>
                <c:pt idx="54">
                  <c:v>2079</c:v>
                </c:pt>
                <c:pt idx="55">
                  <c:v>2080</c:v>
                </c:pt>
                <c:pt idx="56">
                  <c:v>2081</c:v>
                </c:pt>
                <c:pt idx="57">
                  <c:v>2082</c:v>
                </c:pt>
                <c:pt idx="58">
                  <c:v>2083</c:v>
                </c:pt>
                <c:pt idx="59">
                  <c:v>2084</c:v>
                </c:pt>
                <c:pt idx="60">
                  <c:v>2085</c:v>
                </c:pt>
                <c:pt idx="61">
                  <c:v>2086</c:v>
                </c:pt>
                <c:pt idx="62">
                  <c:v>2087</c:v>
                </c:pt>
                <c:pt idx="63">
                  <c:v>2088</c:v>
                </c:pt>
                <c:pt idx="64">
                  <c:v>2089</c:v>
                </c:pt>
                <c:pt idx="65">
                  <c:v>2090</c:v>
                </c:pt>
                <c:pt idx="66">
                  <c:v>2091</c:v>
                </c:pt>
                <c:pt idx="67">
                  <c:v>2092</c:v>
                </c:pt>
                <c:pt idx="68">
                  <c:v>2093</c:v>
                </c:pt>
                <c:pt idx="69">
                  <c:v>2094</c:v>
                </c:pt>
                <c:pt idx="70">
                  <c:v>2095</c:v>
                </c:pt>
                <c:pt idx="71">
                  <c:v>2096</c:v>
                </c:pt>
                <c:pt idx="72">
                  <c:v>2097</c:v>
                </c:pt>
                <c:pt idx="73">
                  <c:v>2098</c:v>
                </c:pt>
                <c:pt idx="74">
                  <c:v>2099</c:v>
                </c:pt>
                <c:pt idx="75">
                  <c:v>2100</c:v>
                </c:pt>
              </c:numCache>
            </c:numRef>
          </c:xVal>
          <c:yVal>
            <c:numRef>
              <c:f>'6states'!$AO$4:$AO$79</c:f>
              <c:numCache>
                <c:formatCode>0.0</c:formatCode>
                <c:ptCount val="76"/>
                <c:pt idx="3" formatCode="0.000">
                  <c:v>1.7396170695273307E-2</c:v>
                </c:pt>
                <c:pt idx="4" formatCode="0.000">
                  <c:v>1.7174286041720065E-2</c:v>
                </c:pt>
                <c:pt idx="5" formatCode="0.000">
                  <c:v>1.5952865437957087E-2</c:v>
                </c:pt>
                <c:pt idx="6" formatCode="0.000">
                  <c:v>1.6756480540386497E-2</c:v>
                </c:pt>
                <c:pt idx="7" formatCode="0.000">
                  <c:v>1.6271371396855194E-2</c:v>
                </c:pt>
                <c:pt idx="8" formatCode="0.000">
                  <c:v>1.655447294659531E-2</c:v>
                </c:pt>
                <c:pt idx="9" formatCode="0.000">
                  <c:v>1.5937648455887299E-2</c:v>
                </c:pt>
                <c:pt idx="10" formatCode="0.000">
                  <c:v>1.7393878475745694E-2</c:v>
                </c:pt>
                <c:pt idx="11" formatCode="0.000">
                  <c:v>1.7276152592165771E-2</c:v>
                </c:pt>
                <c:pt idx="12" formatCode="0.000">
                  <c:v>1.7748082457052484E-2</c:v>
                </c:pt>
                <c:pt idx="13" formatCode="0.000">
                  <c:v>1.8014915517898977E-2</c:v>
                </c:pt>
                <c:pt idx="14" formatCode="0.000">
                  <c:v>1.8081263107745472E-2</c:v>
                </c:pt>
                <c:pt idx="15" formatCode="0.000">
                  <c:v>1.865628652379403E-2</c:v>
                </c:pt>
                <c:pt idx="16" formatCode="0.000">
                  <c:v>1.9234450377425816E-2</c:v>
                </c:pt>
                <c:pt idx="17" formatCode="0.000">
                  <c:v>1.8840940934496331E-2</c:v>
                </c:pt>
                <c:pt idx="18" formatCode="0.000">
                  <c:v>1.8939252040509481E-2</c:v>
                </c:pt>
                <c:pt idx="19" formatCode="0.000">
                  <c:v>1.9971504538294126E-2</c:v>
                </c:pt>
                <c:pt idx="20" formatCode="0.000">
                  <c:v>1.9675114925347258E-2</c:v>
                </c:pt>
                <c:pt idx="21" formatCode="0.000">
                  <c:v>1.9343033030889422E-2</c:v>
                </c:pt>
                <c:pt idx="22" formatCode="0.000">
                  <c:v>2.0031917788060662E-2</c:v>
                </c:pt>
                <c:pt idx="23" formatCode="0.000">
                  <c:v>2.0512316027723722E-2</c:v>
                </c:pt>
                <c:pt idx="24" formatCode="0.000">
                  <c:v>2.0171017890707077E-2</c:v>
                </c:pt>
                <c:pt idx="25" formatCode="0.000">
                  <c:v>1.9587450847437182E-2</c:v>
                </c:pt>
                <c:pt idx="26" formatCode="0.000">
                  <c:v>2.0056364971262043E-2</c:v>
                </c:pt>
                <c:pt idx="27" formatCode="0.000">
                  <c:v>1.9910526272606255E-2</c:v>
                </c:pt>
                <c:pt idx="28" formatCode="0.000">
                  <c:v>1.9634883501697155E-2</c:v>
                </c:pt>
                <c:pt idx="29" formatCode="0.000">
                  <c:v>1.9985846107809558E-2</c:v>
                </c:pt>
                <c:pt idx="30" formatCode="0.000">
                  <c:v>2.0423971101767968E-2</c:v>
                </c:pt>
                <c:pt idx="31" formatCode="0.000">
                  <c:v>2.1073577450348324E-2</c:v>
                </c:pt>
                <c:pt idx="32" formatCode="0.000">
                  <c:v>2.1428661829030915E-2</c:v>
                </c:pt>
                <c:pt idx="33" formatCode="0.000">
                  <c:v>2.1346053102834793E-2</c:v>
                </c:pt>
                <c:pt idx="34" formatCode="0.000">
                  <c:v>2.0310582437089587E-2</c:v>
                </c:pt>
                <c:pt idx="35" formatCode="0.000">
                  <c:v>2.0968558663314596E-2</c:v>
                </c:pt>
                <c:pt idx="36" formatCode="0.000">
                  <c:v>2.0541508316141412E-2</c:v>
                </c:pt>
                <c:pt idx="37" formatCode="0.000">
                  <c:v>2.0573530790004568E-2</c:v>
                </c:pt>
                <c:pt idx="38" formatCode="0.000">
                  <c:v>2.0455751248030472E-2</c:v>
                </c:pt>
                <c:pt idx="39" formatCode="0.000">
                  <c:v>2.1740608786208249E-2</c:v>
                </c:pt>
                <c:pt idx="40" formatCode="0.000">
                  <c:v>2.0935509304451472E-2</c:v>
                </c:pt>
                <c:pt idx="41" formatCode="0.000">
                  <c:v>2.1587010190672905E-2</c:v>
                </c:pt>
                <c:pt idx="42" formatCode="0.000">
                  <c:v>2.1199909353589418E-2</c:v>
                </c:pt>
                <c:pt idx="43" formatCode="0.000">
                  <c:v>2.1714420335811901E-2</c:v>
                </c:pt>
                <c:pt idx="44" formatCode="0.000">
                  <c:v>2.1178609613007281E-2</c:v>
                </c:pt>
                <c:pt idx="45" formatCode="0.000">
                  <c:v>2.1368972678459032E-2</c:v>
                </c:pt>
                <c:pt idx="46" formatCode="0.000">
                  <c:v>2.0777266515136006E-2</c:v>
                </c:pt>
                <c:pt idx="47" formatCode="0.000">
                  <c:v>2.1468283540429844E-2</c:v>
                </c:pt>
                <c:pt idx="48" formatCode="0.000">
                  <c:v>2.1651789536430856E-2</c:v>
                </c:pt>
                <c:pt idx="49" formatCode="0.000">
                  <c:v>2.1137040187726087E-2</c:v>
                </c:pt>
                <c:pt idx="50" formatCode="0.000">
                  <c:v>2.2313040469715339E-2</c:v>
                </c:pt>
                <c:pt idx="51" formatCode="0.000">
                  <c:v>2.1143068752598283E-2</c:v>
                </c:pt>
                <c:pt idx="52" formatCode="0.000">
                  <c:v>2.1677423334504554E-2</c:v>
                </c:pt>
                <c:pt idx="53" formatCode="0.000">
                  <c:v>2.1228938321644721E-2</c:v>
                </c:pt>
                <c:pt idx="54" formatCode="0.000">
                  <c:v>2.1469952309328199E-2</c:v>
                </c:pt>
                <c:pt idx="55" formatCode="0.000">
                  <c:v>2.0561222615354958E-2</c:v>
                </c:pt>
                <c:pt idx="56" formatCode="0.000">
                  <c:v>2.2253481637703132E-2</c:v>
                </c:pt>
                <c:pt idx="57" formatCode="0.000">
                  <c:v>2.1173791752265282E-2</c:v>
                </c:pt>
                <c:pt idx="58" formatCode="0.000">
                  <c:v>2.1238231108946515E-2</c:v>
                </c:pt>
                <c:pt idx="59" formatCode="0.000">
                  <c:v>2.1801033662339719E-2</c:v>
                </c:pt>
                <c:pt idx="60" formatCode="0.000">
                  <c:v>2.2606869205035095E-2</c:v>
                </c:pt>
                <c:pt idx="61" formatCode="0.000">
                  <c:v>2.1734666361714616E-2</c:v>
                </c:pt>
                <c:pt idx="62" formatCode="0.000">
                  <c:v>2.2626751821217539E-2</c:v>
                </c:pt>
                <c:pt idx="63" formatCode="0.000">
                  <c:v>2.1781010096992227E-2</c:v>
                </c:pt>
                <c:pt idx="64" formatCode="0.000">
                  <c:v>2.2410192572918673E-2</c:v>
                </c:pt>
                <c:pt idx="65" formatCode="0.000">
                  <c:v>2.1954285218977708E-2</c:v>
                </c:pt>
                <c:pt idx="66" formatCode="0.000">
                  <c:v>2.2250556669877852E-2</c:v>
                </c:pt>
                <c:pt idx="67" formatCode="0.000">
                  <c:v>2.1467491663915438E-2</c:v>
                </c:pt>
                <c:pt idx="68" formatCode="0.000">
                  <c:v>2.2153529545211902E-2</c:v>
                </c:pt>
                <c:pt idx="69" formatCode="0.000">
                  <c:v>2.3037170117798135E-2</c:v>
                </c:pt>
                <c:pt idx="70" formatCode="0.000">
                  <c:v>2.2730277007749676E-2</c:v>
                </c:pt>
                <c:pt idx="71" formatCode="0.000">
                  <c:v>2.1985091049070961E-2</c:v>
                </c:pt>
                <c:pt idx="72" formatCode="0.000">
                  <c:v>2.2451287111704056E-2</c:v>
                </c:pt>
                <c:pt idx="73" formatCode="0.000">
                  <c:v>2.3430730039184233E-2</c:v>
                </c:pt>
                <c:pt idx="74" formatCode="0.000">
                  <c:v>2.1702482982165882E-2</c:v>
                </c:pt>
                <c:pt idx="75" formatCode="0.000">
                  <c:v>2.1353458335970112E-2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78-4ABB-9037-2155EE5E7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815296"/>
        <c:axId val="11939232"/>
      </c:scatterChart>
      <c:valAx>
        <c:axId val="80815296"/>
        <c:scaling>
          <c:orientation val="minMax"/>
          <c:max val="2100"/>
          <c:min val="2025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9232"/>
        <c:crosses val="autoZero"/>
        <c:crossBetween val="midCat"/>
        <c:majorUnit val="5"/>
      </c:valAx>
      <c:valAx>
        <c:axId val="1193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and consumption (2024</a:t>
                </a:r>
                <a:r>
                  <a:rPr lang="en-US" baseline="0"/>
                  <a:t> USD trillion)</a:t>
                </a:r>
              </a:p>
            </c:rich>
          </c:tx>
          <c:layout>
            <c:manualLayout>
              <c:xMode val="edge"/>
              <c:yMode val="edge"/>
              <c:x val="9.583718415907291E-3"/>
              <c:y val="0.264106159980508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152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1A42E04-4244-46C4-98AD-833227D227A0}">
  <sheetPr/>
  <sheetViews>
    <sheetView zoomScale="111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036DF4D-C367-481B-8A11-0E0FD1E4B49F}">
  <sheetPr/>
  <sheetViews>
    <sheetView zoomScale="111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4E318CB-88AA-45EC-B4E2-19BE4F94B5FA}">
  <sheetPr/>
  <sheetViews>
    <sheetView zoomScale="111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12E6DFC-C070-44D5-885F-C853D0ACB979}">
  <sheetPr/>
  <sheetViews>
    <sheetView zoomScale="111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251E21F-5379-4235-BFB3-A6A71642D310}">
  <sheetPr/>
  <sheetViews>
    <sheetView zoomScale="110"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945B619-0755-451F-A7CD-F12B76B16253}">
  <sheetPr/>
  <sheetViews>
    <sheetView zoomScale="111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299DE2B-5AFC-49E0-B95F-B6C409905381}">
  <sheetPr/>
  <sheetViews>
    <sheetView zoomScale="111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378C67A-22F0-49EF-8961-F43747B239EB}">
  <sheetPr/>
  <sheetViews>
    <sheetView zoomScale="11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21</xdr:row>
      <xdr:rowOff>1</xdr:rowOff>
    </xdr:from>
    <xdr:to>
      <xdr:col>21</xdr:col>
      <xdr:colOff>362833</xdr:colOff>
      <xdr:row>43</xdr:row>
      <xdr:rowOff>129001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1E2224-1528-45A4-AA63-3334309F3A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613832</xdr:colOff>
      <xdr:row>44</xdr:row>
      <xdr:rowOff>0</xdr:rowOff>
    </xdr:from>
    <xdr:to>
      <xdr:col>21</xdr:col>
      <xdr:colOff>362832</xdr:colOff>
      <xdr:row>66</xdr:row>
      <xdr:rowOff>129000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552C88-D462-49A2-8612-7FFC0404AE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84730" cy="604108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6F05C5-4F0D-7829-F6FF-36D5FB9B357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84730" cy="604108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1BDD82-642E-006D-ED15-C808911C9CE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84730" cy="604108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4E8CAC-8732-F4E4-527E-C69D7591F22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84730" cy="604108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E1F267-6543-C981-5A5C-415A5C79C09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82545" cy="60440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FABF45-EFF8-20A8-DACA-539AB1A417E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84730" cy="604108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57BB12-D477-A66D-7BBE-DFA69448306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84730" cy="604108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CEBE04-A479-FE6E-31BD-07614CCE538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284730" cy="604108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570612-CDF8-F350-65D2-D2974441A9A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IETZS\Dropbox\Frank\Stranded%20assets\Old%20Excel%20versions\excell%20version%20of%20model12%20181225.xlsx" TargetMode="External"/><Relationship Id="rId1" Type="http://schemas.openxmlformats.org/officeDocument/2006/relationships/externalLinkPath" Target="Old%20Excel%20versions/excell%20version%20of%20model12%201812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ameters"/>
      <sheetName val="g_psi"/>
      <sheetName val="6states"/>
      <sheetName val="6states,ExoDamages"/>
      <sheetName val="Graphs"/>
      <sheetName val="Emissions"/>
      <sheetName val="Temperature"/>
      <sheetName val="SCC"/>
      <sheetName val="Energy capital"/>
      <sheetName val="Energy capital per AL"/>
      <sheetName val="Final energy"/>
      <sheetName val="Growth"/>
      <sheetName val="Optimal (default)"/>
      <sheetName val="Optimal (chi=chi_s=0)"/>
      <sheetName val="Optimal (2xchi, 3xchi_s)"/>
      <sheetName val="Optimal (0.5xgamma)"/>
      <sheetName val="Optimal (2xgamma)"/>
      <sheetName val="Optimal (omega=1)"/>
      <sheetName val="Optimal (omega=0)"/>
      <sheetName val="Optimal (sigma_f=1.01)"/>
      <sheetName val="Optimal (no TC)"/>
      <sheetName val="Emissions (optimal)"/>
      <sheetName val="Temperature (optimal)"/>
      <sheetName val="SCC (optimal)"/>
      <sheetName val="Energy capital (optimal)"/>
      <sheetName val="Energy capital per AL (optimal)"/>
      <sheetName val="Final energy (optimal)"/>
      <sheetName val="Growth (optimal)"/>
    </sheetNames>
    <sheetDataSet>
      <sheetData sheetId="0" refreshError="1"/>
      <sheetData sheetId="1" refreshError="1"/>
      <sheetData sheetId="2">
        <row r="4">
          <cell r="K4">
            <v>4.3661700735228628</v>
          </cell>
        </row>
        <row r="5">
          <cell r="K5">
            <v>5.2558260515640729</v>
          </cell>
        </row>
        <row r="6">
          <cell r="K6">
            <v>6.3153868958549664</v>
          </cell>
        </row>
        <row r="7">
          <cell r="K7">
            <v>7.5714122602396712</v>
          </cell>
        </row>
        <row r="8">
          <cell r="K8">
            <v>9.0503208868173761</v>
          </cell>
        </row>
        <row r="9">
          <cell r="K9">
            <v>10.771536410966055</v>
          </cell>
        </row>
        <row r="10">
          <cell r="K10">
            <v>12.742278521170114</v>
          </cell>
        </row>
        <row r="11">
          <cell r="K11">
            <v>14.95882150753137</v>
          </cell>
        </row>
        <row r="12">
          <cell r="K12">
            <v>17.411234067674933</v>
          </cell>
        </row>
        <row r="13">
          <cell r="K13">
            <v>20.087368198446619</v>
          </cell>
        </row>
        <row r="14">
          <cell r="K14">
            <v>22.973298094707484</v>
          </cell>
        </row>
        <row r="15">
          <cell r="K15">
            <v>26.051007231309743</v>
          </cell>
        </row>
        <row r="16">
          <cell r="K16">
            <v>29.294566149573303</v>
          </cell>
        </row>
        <row r="17">
          <cell r="K17">
            <v>32.666401257209102</v>
          </cell>
        </row>
        <row r="18">
          <cell r="K18">
            <v>36.114251728594375</v>
          </cell>
        </row>
        <row r="19">
          <cell r="K19">
            <v>39.571282164675836</v>
          </cell>
        </row>
        <row r="20">
          <cell r="K20">
            <v>42.965299267298462</v>
          </cell>
        </row>
        <row r="21">
          <cell r="K21">
            <v>46.239864898950749</v>
          </cell>
        </row>
        <row r="22">
          <cell r="K22">
            <v>49.388607931813119</v>
          </cell>
        </row>
        <row r="23">
          <cell r="K23">
            <v>52.50220220393085</v>
          </cell>
        </row>
        <row r="24">
          <cell r="K24">
            <v>55.696000873440191</v>
          </cell>
        </row>
        <row r="25">
          <cell r="K25">
            <v>59.462673174103841</v>
          </cell>
        </row>
        <row r="26">
          <cell r="K26">
            <v>63.248719507968296</v>
          </cell>
        </row>
        <row r="27">
          <cell r="K27">
            <v>66.663906869348523</v>
          </cell>
        </row>
        <row r="28">
          <cell r="K28">
            <v>70.097364631079358</v>
          </cell>
        </row>
        <row r="29">
          <cell r="K29">
            <v>73.52015179885106</v>
          </cell>
        </row>
        <row r="30">
          <cell r="K30">
            <v>76.963752658857629</v>
          </cell>
        </row>
        <row r="31">
          <cell r="K31">
            <v>80.395077613752491</v>
          </cell>
        </row>
        <row r="32">
          <cell r="K32">
            <v>83.850599210081313</v>
          </cell>
        </row>
        <row r="33">
          <cell r="K33">
            <v>87.249700022196208</v>
          </cell>
        </row>
        <row r="34">
          <cell r="K34">
            <v>90.677257754836262</v>
          </cell>
        </row>
        <row r="35">
          <cell r="K35">
            <v>94.071991957785116</v>
          </cell>
        </row>
        <row r="36">
          <cell r="K36">
            <v>97.499698299321935</v>
          </cell>
        </row>
        <row r="37">
          <cell r="K37">
            <v>100.91534029578166</v>
          </cell>
        </row>
        <row r="38">
          <cell r="K38">
            <v>104.36854713187476</v>
          </cell>
        </row>
        <row r="39">
          <cell r="K39">
            <v>107.8483132253872</v>
          </cell>
        </row>
        <row r="40">
          <cell r="K40">
            <v>111.37002789445258</v>
          </cell>
        </row>
        <row r="41">
          <cell r="K41">
            <v>114.93477422562239</v>
          </cell>
        </row>
        <row r="42">
          <cell r="K42">
            <v>118.54583249105583</v>
          </cell>
        </row>
        <row r="43">
          <cell r="K43">
            <v>122.28770169721211</v>
          </cell>
        </row>
        <row r="44">
          <cell r="K44">
            <v>126.07943316887079</v>
          </cell>
        </row>
        <row r="45">
          <cell r="K45">
            <v>129.92334901276601</v>
          </cell>
        </row>
        <row r="46">
          <cell r="K46">
            <v>133.86208302882886</v>
          </cell>
        </row>
        <row r="47">
          <cell r="K47">
            <v>137.85726453573622</v>
          </cell>
        </row>
        <row r="48">
          <cell r="K48">
            <v>141.91132291520935</v>
          </cell>
        </row>
        <row r="49">
          <cell r="K49">
            <v>146.01480765442997</v>
          </cell>
        </row>
        <row r="50">
          <cell r="K50">
            <v>150.18224761257994</v>
          </cell>
        </row>
        <row r="51">
          <cell r="K51">
            <v>154.41614243592667</v>
          </cell>
        </row>
        <row r="52">
          <cell r="K52">
            <v>158.637958072034</v>
          </cell>
        </row>
        <row r="53">
          <cell r="K53">
            <v>162.93230720972139</v>
          </cell>
        </row>
        <row r="54">
          <cell r="K54">
            <v>167.30170541274114</v>
          </cell>
        </row>
        <row r="55">
          <cell r="K55">
            <v>171.6524854196737</v>
          </cell>
        </row>
        <row r="56">
          <cell r="K56">
            <v>176.08466380651561</v>
          </cell>
        </row>
        <row r="57">
          <cell r="K57">
            <v>180.60076511919999</v>
          </cell>
        </row>
        <row r="58">
          <cell r="K58">
            <v>185.20335005491836</v>
          </cell>
        </row>
        <row r="59">
          <cell r="K59">
            <v>189.8950168626956</v>
          </cell>
        </row>
        <row r="60">
          <cell r="K60">
            <v>194.32733415847059</v>
          </cell>
        </row>
        <row r="61">
          <cell r="K61">
            <v>198.8587421180855</v>
          </cell>
        </row>
        <row r="62">
          <cell r="K62">
            <v>203.49161321574942</v>
          </cell>
        </row>
        <row r="63">
          <cell r="K63">
            <v>208.22837084662754</v>
          </cell>
        </row>
        <row r="64">
          <cell r="K64">
            <v>213.07149062267658</v>
          </cell>
        </row>
        <row r="65">
          <cell r="K65">
            <v>217.82402025450082</v>
          </cell>
        </row>
        <row r="66">
          <cell r="K66">
            <v>222.69078399969817</v>
          </cell>
        </row>
        <row r="67">
          <cell r="K67">
            <v>227.67421491109533</v>
          </cell>
        </row>
        <row r="68">
          <cell r="K68">
            <v>232.77680897741277</v>
          </cell>
        </row>
        <row r="69">
          <cell r="K69">
            <v>238.00112629759337</v>
          </cell>
        </row>
        <row r="70">
          <cell r="K70">
            <v>243.08027379957747</v>
          </cell>
        </row>
        <row r="71">
          <cell r="K71">
            <v>248.29025879772541</v>
          </cell>
        </row>
        <row r="72">
          <cell r="K72">
            <v>253.63355387621382</v>
          </cell>
        </row>
        <row r="73">
          <cell r="K73">
            <v>259.11270866022295</v>
          </cell>
        </row>
        <row r="74">
          <cell r="K74">
            <v>264.73035077217565</v>
          </cell>
        </row>
        <row r="75">
          <cell r="K75">
            <v>270.39105490368655</v>
          </cell>
        </row>
        <row r="76">
          <cell r="K76">
            <v>276.19713191533475</v>
          </cell>
        </row>
        <row r="77">
          <cell r="K77">
            <v>282.15134412807737</v>
          </cell>
        </row>
        <row r="78">
          <cell r="K78">
            <v>288.25653921415972</v>
          </cell>
        </row>
        <row r="79">
          <cell r="K79">
            <v>294.51565127927279</v>
          </cell>
        </row>
        <row r="80">
          <cell r="K80">
            <v>300.93170200796453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5AFF3-08FC-43D5-AE0A-5C84A3F24636}">
  <dimension ref="A2:T65"/>
  <sheetViews>
    <sheetView tabSelected="1" topLeftCell="A13" zoomScale="90" zoomScaleNormal="90" workbookViewId="0">
      <selection activeCell="D37" sqref="D37"/>
    </sheetView>
  </sheetViews>
  <sheetFormatPr defaultRowHeight="15" x14ac:dyDescent="0.25"/>
  <cols>
    <col min="2" max="2" width="18.7109375" customWidth="1"/>
    <col min="3" max="3" width="45" customWidth="1"/>
    <col min="4" max="4" width="15" customWidth="1"/>
    <col min="8" max="9" width="12.28515625" bestFit="1" customWidth="1"/>
    <col min="18" max="19" width="8.7109375" bestFit="1" customWidth="1"/>
    <col min="20" max="20" width="9.85546875" bestFit="1" customWidth="1"/>
  </cols>
  <sheetData>
    <row r="2" spans="1:20" x14ac:dyDescent="0.25">
      <c r="A2" s="1" t="s">
        <v>0</v>
      </c>
    </row>
    <row r="3" spans="1:20" x14ac:dyDescent="0.25">
      <c r="A3" s="66" t="s">
        <v>88</v>
      </c>
      <c r="B3">
        <v>0.04</v>
      </c>
      <c r="C3" t="s">
        <v>7</v>
      </c>
      <c r="M3" t="s">
        <v>19</v>
      </c>
      <c r="Q3" t="s">
        <v>34</v>
      </c>
    </row>
    <row r="4" spans="1:20" x14ac:dyDescent="0.25">
      <c r="A4" t="s">
        <v>89</v>
      </c>
      <c r="B4" s="19">
        <f>B3+B53+B51</f>
        <v>6.2899999999999998E-2</v>
      </c>
      <c r="C4" t="s">
        <v>14</v>
      </c>
      <c r="L4" t="s">
        <v>25</v>
      </c>
      <c r="M4" t="s">
        <v>29</v>
      </c>
      <c r="N4" t="s">
        <v>31</v>
      </c>
      <c r="O4" t="s">
        <v>32</v>
      </c>
      <c r="P4" t="s">
        <v>33</v>
      </c>
      <c r="Q4" t="s">
        <v>29</v>
      </c>
      <c r="R4" t="s">
        <v>31</v>
      </c>
      <c r="S4" t="s">
        <v>32</v>
      </c>
      <c r="T4" t="s">
        <v>33</v>
      </c>
    </row>
    <row r="5" spans="1:20" x14ac:dyDescent="0.25">
      <c r="A5" s="66" t="s">
        <v>90</v>
      </c>
      <c r="B5">
        <v>1</v>
      </c>
      <c r="C5" t="s">
        <v>9</v>
      </c>
      <c r="L5">
        <v>-2.5</v>
      </c>
      <c r="M5" t="e">
        <f>_xlfn.XLOOKUP($L5,'6states'!$L$4:$L$154,'6states'!BA$4:BA$154,,-1)</f>
        <v>#N/A</v>
      </c>
      <c r="N5" s="8">
        <v>830.64850000000001</v>
      </c>
      <c r="O5" s="8">
        <v>534.30409999999995</v>
      </c>
      <c r="P5" s="8">
        <v>1319.8</v>
      </c>
      <c r="Q5" s="9" t="e">
        <f>_xlfn.XLOOKUP($L5,'6states'!$L$4:$L$104,'6states'!AR$4:AR$104,,-1)</f>
        <v>#N/A</v>
      </c>
      <c r="R5" s="9">
        <v>2.8247399999999999E-2</v>
      </c>
      <c r="S5" s="9">
        <v>2.03494E-2</v>
      </c>
      <c r="T5" s="9">
        <v>3.9677799999999999E-2</v>
      </c>
    </row>
    <row r="6" spans="1:20" x14ac:dyDescent="0.25">
      <c r="A6" t="s">
        <v>91</v>
      </c>
      <c r="B6">
        <v>5</v>
      </c>
      <c r="C6" t="s">
        <v>43</v>
      </c>
      <c r="L6">
        <v>2.5</v>
      </c>
      <c r="M6">
        <f>_xlfn.XLOOKUP($L6,'6states'!$L$4:$L$154,'6states'!BA$4:BA$154,,-1)</f>
        <v>2701.6072919545277</v>
      </c>
      <c r="N6" s="8">
        <v>606.61189999999999</v>
      </c>
      <c r="O6" s="8">
        <v>387.11829999999998</v>
      </c>
      <c r="P6" s="8">
        <v>1117.905</v>
      </c>
      <c r="Q6" s="9" t="e">
        <f>_xlfn.XLOOKUP($L6,'6states'!$L$4:$L$104,'6states'!AR$4:AR$104,,-1)</f>
        <v>#N/A</v>
      </c>
      <c r="R6" s="9">
        <v>2.6695099999999999E-2</v>
      </c>
      <c r="S6" s="9">
        <v>1.8069600000000002E-2</v>
      </c>
      <c r="T6" s="9">
        <v>4.0859699999999999E-2</v>
      </c>
    </row>
    <row r="7" spans="1:20" x14ac:dyDescent="0.25">
      <c r="A7" s="66" t="s">
        <v>92</v>
      </c>
      <c r="B7">
        <v>0.3</v>
      </c>
      <c r="C7" t="s">
        <v>44</v>
      </c>
      <c r="L7">
        <v>7.5</v>
      </c>
      <c r="M7">
        <f>_xlfn.XLOOKUP($L7,'6states'!$L$4:$L$154,'6states'!BA$4:BA$154,,-1)</f>
        <v>819.76523151094466</v>
      </c>
      <c r="N7" s="8">
        <v>417.0838</v>
      </c>
      <c r="O7" s="8">
        <v>242.37639999999999</v>
      </c>
      <c r="P7" s="8">
        <v>684.37270000000001</v>
      </c>
      <c r="Q7" s="9">
        <f>_xlfn.XLOOKUP($L7,'6states'!$L$4:$L$104,'6states'!AX$4:AX$104,,-1)</f>
        <v>9.4165302708490994E-2</v>
      </c>
      <c r="R7" s="9">
        <v>1.9692500000000002E-2</v>
      </c>
      <c r="S7" s="9">
        <v>1.23111E-2</v>
      </c>
      <c r="T7" s="9">
        <v>2.83897E-2</v>
      </c>
    </row>
    <row r="8" spans="1:20" x14ac:dyDescent="0.25">
      <c r="A8" t="s">
        <v>93</v>
      </c>
      <c r="B8">
        <v>0.2</v>
      </c>
      <c r="C8" t="s">
        <v>138</v>
      </c>
      <c r="L8">
        <v>12.5</v>
      </c>
      <c r="M8">
        <f>_xlfn.XLOOKUP($L8,'6states'!$L$4:$L$154,'6states'!BA$4:BA$154,,-1)</f>
        <v>513.17879771789808</v>
      </c>
      <c r="N8" s="8">
        <v>369.45100000000002</v>
      </c>
      <c r="O8" s="8">
        <v>259.53149999999999</v>
      </c>
      <c r="P8" s="8">
        <v>657.7192</v>
      </c>
      <c r="Q8" s="9">
        <f>_xlfn.XLOOKUP($L8,'6states'!$L$4:$L$104,'6states'!AX$4:AX$104,,-1)</f>
        <v>8.7999721564779532E-2</v>
      </c>
      <c r="R8" s="9">
        <v>2.0146399999999998E-2</v>
      </c>
      <c r="S8" s="9">
        <v>1.4205300000000001E-2</v>
      </c>
      <c r="T8" s="9">
        <v>3.0372400000000001E-2</v>
      </c>
    </row>
    <row r="9" spans="1:20" x14ac:dyDescent="0.25">
      <c r="A9" t="s">
        <v>94</v>
      </c>
      <c r="B9" s="10">
        <f>1-1/B8</f>
        <v>-4</v>
      </c>
      <c r="C9" t="s">
        <v>139</v>
      </c>
      <c r="L9">
        <v>17.5</v>
      </c>
      <c r="M9">
        <f>_xlfn.XLOOKUP($L9,'6states'!$L$4:$L$154,'6states'!BA$4:BA$154,,-1)</f>
        <v>372.20982823446525</v>
      </c>
      <c r="N9" s="8">
        <v>279.10210000000001</v>
      </c>
      <c r="O9" s="8">
        <v>194.92009999999999</v>
      </c>
      <c r="P9" s="8">
        <v>471.17509999999999</v>
      </c>
      <c r="Q9" s="9">
        <f>_xlfn.XLOOKUP($L9,'6states'!$L$4:$L$104,'6states'!AX$4:AX$104,,-1)</f>
        <v>7.7164021001342897E-2</v>
      </c>
      <c r="R9" s="9">
        <v>1.9457499999999999E-2</v>
      </c>
      <c r="S9" s="9">
        <v>1.37847E-2</v>
      </c>
      <c r="T9" s="9">
        <v>2.8879800000000001E-2</v>
      </c>
    </row>
    <row r="10" spans="1:20" x14ac:dyDescent="0.25">
      <c r="A10" t="s">
        <v>95</v>
      </c>
      <c r="B10" s="49">
        <f>1-B11</f>
        <v>0.9999439673301258</v>
      </c>
      <c r="C10" t="s">
        <v>140</v>
      </c>
      <c r="L10">
        <v>22.5</v>
      </c>
      <c r="M10">
        <f>_xlfn.XLOOKUP($L10,'6states'!$L$4:$L$154,'6states'!BA$4:BA$154,,-1)</f>
        <v>274.09097391998438</v>
      </c>
      <c r="N10" s="8">
        <v>201.3134</v>
      </c>
      <c r="O10" s="8">
        <v>145.1962</v>
      </c>
      <c r="P10" s="8">
        <v>330</v>
      </c>
      <c r="Q10" s="9">
        <f>_xlfn.XLOOKUP($L10,'6states'!$L$4:$L$104,'6states'!AX$4:AX$104,,-1)</f>
        <v>6.0566036321751837E-2</v>
      </c>
      <c r="R10" s="9">
        <v>1.8330699999999998E-2</v>
      </c>
      <c r="S10" s="9">
        <v>1.23982E-2</v>
      </c>
      <c r="T10" s="9">
        <v>2.8500000000000001E-2</v>
      </c>
    </row>
    <row r="11" spans="1:20" x14ac:dyDescent="0.25">
      <c r="A11" t="s">
        <v>96</v>
      </c>
      <c r="B11" s="34">
        <f>1/(1+(B18*B16^B13+B19*B14^B13)^(B9/B13-1)*B18*B16^(B13-1))</f>
        <v>5.6032669874171739E-5</v>
      </c>
      <c r="C11" t="s">
        <v>141</v>
      </c>
      <c r="D11" s="6"/>
      <c r="L11">
        <v>27.5</v>
      </c>
      <c r="M11">
        <f>_xlfn.XLOOKUP($L11,'6states'!$L$4:$L$154,'6states'!BA$4:BA$154,,-1)</f>
        <v>226.11164900571654</v>
      </c>
      <c r="N11" s="8">
        <v>158.28030000000001</v>
      </c>
      <c r="O11" s="8">
        <v>107.6669</v>
      </c>
      <c r="P11" s="8">
        <v>245.52</v>
      </c>
      <c r="Q11" s="9">
        <f>_xlfn.XLOOKUP($L11,'6states'!$L$4:$L$104,'6states'!AX$4:AX$104,,-1)</f>
        <v>4.1901910142914889E-2</v>
      </c>
      <c r="R11" s="9">
        <v>1.6000899999999998E-2</v>
      </c>
      <c r="S11" s="9">
        <v>1.1003199999999999E-2</v>
      </c>
      <c r="T11" s="9">
        <v>2.3718599999999999E-2</v>
      </c>
    </row>
    <row r="12" spans="1:20" x14ac:dyDescent="0.25">
      <c r="A12" t="s">
        <v>97</v>
      </c>
      <c r="B12" s="36">
        <v>2</v>
      </c>
      <c r="C12" t="s">
        <v>142</v>
      </c>
      <c r="L12">
        <v>32.5</v>
      </c>
      <c r="M12">
        <f>_xlfn.XLOOKUP($L12,'6states'!$L$4:$L$154,'6states'!BA$4:BA$154,,-1)</f>
        <v>210.18249311931945</v>
      </c>
      <c r="N12" s="8">
        <v>112.6412</v>
      </c>
      <c r="O12" s="8">
        <v>81.444730000000007</v>
      </c>
      <c r="P12" s="8">
        <v>177.91800000000001</v>
      </c>
      <c r="Q12" s="9">
        <f>_xlfn.XLOOKUP($L12,'6states'!$L$4:$L$104,'6states'!AX$4:AX$104,,-1)</f>
        <v>3.0196494725508338E-2</v>
      </c>
      <c r="R12" s="9">
        <v>1.2162600000000001E-2</v>
      </c>
      <c r="S12" s="9">
        <v>8.7869999999999997E-3</v>
      </c>
      <c r="T12" s="9">
        <v>1.73682E-2</v>
      </c>
    </row>
    <row r="13" spans="1:20" x14ac:dyDescent="0.25">
      <c r="A13" s="67" t="s">
        <v>98</v>
      </c>
      <c r="B13" s="18">
        <f>1-1/B12</f>
        <v>0.5</v>
      </c>
      <c r="C13" t="s">
        <v>139</v>
      </c>
      <c r="L13">
        <v>37.5</v>
      </c>
      <c r="M13">
        <f>_xlfn.XLOOKUP($L13,'6states'!$L$4:$L$154,'6states'!BA$4:BA$154,,-1)</f>
        <v>195.27250381595422</v>
      </c>
      <c r="N13" s="8">
        <v>89.531630000000007</v>
      </c>
      <c r="O13" s="8">
        <v>58.81897</v>
      </c>
      <c r="P13" s="8">
        <v>159.26089999999999</v>
      </c>
      <c r="Q13" s="9">
        <f>_xlfn.XLOOKUP($L13,'6states'!$L$4:$L$104,'6states'!AX$4:AX$104,,-1)</f>
        <v>1.6993446282309588E-2</v>
      </c>
      <c r="R13" s="9">
        <v>8.2251000000000008E-3</v>
      </c>
      <c r="S13" s="9">
        <v>5.6994000000000003E-3</v>
      </c>
      <c r="T13" s="9">
        <v>1.38741E-2</v>
      </c>
    </row>
    <row r="14" spans="1:20" x14ac:dyDescent="0.25">
      <c r="A14" t="s">
        <v>99</v>
      </c>
      <c r="B14">
        <v>0.18410000000000001</v>
      </c>
      <c r="C14" t="s">
        <v>143</v>
      </c>
      <c r="L14">
        <v>42.5</v>
      </c>
      <c r="M14">
        <f>_xlfn.XLOOKUP($L14,'6states'!$L$4:$L$154,'6states'!BA$4:BA$154,,-1)</f>
        <v>185.852828416189</v>
      </c>
      <c r="N14" s="8">
        <v>74.867599999999996</v>
      </c>
      <c r="O14" s="8">
        <v>47.317929999999997</v>
      </c>
      <c r="P14" s="8">
        <v>131.6824</v>
      </c>
      <c r="Q14" s="9">
        <f>_xlfn.XLOOKUP($L14,'6states'!$L$4:$L$104,'6states'!AX$4:AX$104,,-1)</f>
        <v>6.1317619652709876E-3</v>
      </c>
      <c r="R14" s="9">
        <v>6.1939999999999999E-3</v>
      </c>
      <c r="S14" s="9">
        <v>3.8782000000000001E-3</v>
      </c>
      <c r="T14" s="9">
        <v>9.2855999999999998E-3</v>
      </c>
    </row>
    <row r="15" spans="1:20" x14ac:dyDescent="0.25">
      <c r="A15" t="s">
        <v>100</v>
      </c>
      <c r="B15" s="35">
        <v>0.16</v>
      </c>
      <c r="C15" t="s">
        <v>40</v>
      </c>
      <c r="L15">
        <v>47.5</v>
      </c>
      <c r="M15">
        <f>_xlfn.XLOOKUP($L15,'6states'!$L$4:$L$154,'6states'!BA$4:BA$154,,-1)</f>
        <v>185.852828416189</v>
      </c>
      <c r="N15" s="8">
        <v>32.49194</v>
      </c>
      <c r="O15" s="8">
        <v>10.02872</v>
      </c>
      <c r="P15" s="8">
        <v>64.102000000000004</v>
      </c>
      <c r="Q15" s="9">
        <f>_xlfn.XLOOKUP($L15,'6states'!$L$4:$L$104,'6states'!AX$4:AX$104,,-1)</f>
        <v>6.1317619652709876E-3</v>
      </c>
      <c r="R15" s="9">
        <v>2.7149000000000001E-3</v>
      </c>
      <c r="S15" s="9">
        <v>7.5310000000000004E-4</v>
      </c>
      <c r="T15" s="9">
        <v>5.1000999999999998E-3</v>
      </c>
    </row>
    <row r="16" spans="1:20" x14ac:dyDescent="0.25">
      <c r="A16" t="s">
        <v>101</v>
      </c>
      <c r="B16" s="19">
        <f>B14*B15/(1-B15)</f>
        <v>3.506666666666667E-2</v>
      </c>
      <c r="C16" t="s">
        <v>144</v>
      </c>
      <c r="L16">
        <v>52.5</v>
      </c>
      <c r="M16">
        <f>_xlfn.XLOOKUP($L16,'6states'!$L$4:$L$154,'6states'!BA$4:BA$154,,-1)</f>
        <v>185.852828416189</v>
      </c>
      <c r="N16" s="8">
        <v>1.7695000000000001</v>
      </c>
      <c r="O16" s="8">
        <v>0</v>
      </c>
      <c r="P16" s="8">
        <v>12.83052</v>
      </c>
      <c r="Q16" s="9">
        <f>_xlfn.XLOOKUP($L16,'6states'!$L$4:$L$104,'6states'!AX$4:AX$104,,-1)</f>
        <v>6.1317619652709876E-3</v>
      </c>
      <c r="R16" s="11">
        <v>0</v>
      </c>
      <c r="S16" s="11">
        <v>0</v>
      </c>
      <c r="T16" s="11">
        <v>5.0129999999999999E-4</v>
      </c>
    </row>
    <row r="17" spans="1:20" x14ac:dyDescent="0.25">
      <c r="A17" t="s">
        <v>102</v>
      </c>
      <c r="B17" s="19">
        <f>B16/B14</f>
        <v>0.19047619047619047</v>
      </c>
      <c r="C17" t="s">
        <v>81</v>
      </c>
      <c r="L17">
        <v>57.5</v>
      </c>
      <c r="M17">
        <f>_xlfn.XLOOKUP($L17,'6states'!$L$4:$L$154,'6states'!BA$4:BA$154,,-1)</f>
        <v>181.28957053695825</v>
      </c>
      <c r="N17" s="12">
        <v>2.2415600000000002</v>
      </c>
      <c r="O17" s="12">
        <v>0</v>
      </c>
      <c r="P17" s="12">
        <v>11.00962</v>
      </c>
      <c r="Q17" s="9">
        <f>_xlfn.XLOOKUP($L17,'6states'!$L$4:$L$104,'6states'!AX$4:AX$104,,-1)</f>
        <v>0</v>
      </c>
      <c r="R17" s="11">
        <v>0</v>
      </c>
      <c r="S17" s="11">
        <v>0</v>
      </c>
      <c r="T17" s="11">
        <v>1.0000000000000001E-5</v>
      </c>
    </row>
    <row r="18" spans="1:20" x14ac:dyDescent="0.25">
      <c r="A18" t="s">
        <v>103</v>
      </c>
      <c r="B18" s="19">
        <f>1-B19</f>
        <v>0.30383243470068699</v>
      </c>
      <c r="C18" t="s">
        <v>12</v>
      </c>
      <c r="D18" s="7">
        <f>B18^(1/B13)</f>
        <v>9.2314148376147223E-2</v>
      </c>
      <c r="R18" s="1"/>
      <c r="S18" s="1"/>
      <c r="T18" s="1"/>
    </row>
    <row r="19" spans="1:20" x14ac:dyDescent="0.25">
      <c r="A19" t="s">
        <v>104</v>
      </c>
      <c r="B19" s="19">
        <f>1/((B17)^(1-B13)+1)</f>
        <v>0.69616756529931301</v>
      </c>
      <c r="C19" t="s">
        <v>16</v>
      </c>
      <c r="D19" s="7">
        <f>B18^(1/0.77)</f>
        <v>0.21286108799892262</v>
      </c>
      <c r="L19" t="s">
        <v>30</v>
      </c>
      <c r="M19">
        <f>SUMXMY2(M6:M16,N6:N16)/11/1000</f>
        <v>425.52743770397939</v>
      </c>
      <c r="Q19">
        <f>SUMXMY2(Q7:Q16,R7:R16)/10*10000</f>
        <v>16.386382696903134</v>
      </c>
      <c r="R19" s="1"/>
      <c r="S19" s="1"/>
      <c r="T19" s="1"/>
    </row>
    <row r="20" spans="1:20" x14ac:dyDescent="0.25">
      <c r="A20" s="66" t="s">
        <v>105</v>
      </c>
      <c r="B20">
        <v>0.01</v>
      </c>
      <c r="C20" t="s">
        <v>28</v>
      </c>
      <c r="E20" s="6"/>
      <c r="L20" t="s">
        <v>35</v>
      </c>
      <c r="M20">
        <f>M19+Q19</f>
        <v>441.91382040088251</v>
      </c>
    </row>
    <row r="21" spans="1:20" x14ac:dyDescent="0.25">
      <c r="A21" t="s">
        <v>50</v>
      </c>
      <c r="B21">
        <v>300</v>
      </c>
      <c r="C21" t="s">
        <v>51</v>
      </c>
    </row>
    <row r="22" spans="1:20" x14ac:dyDescent="0.25">
      <c r="A22" t="s">
        <v>63</v>
      </c>
      <c r="B22">
        <v>4.0000000000000001E-3</v>
      </c>
      <c r="C22" t="s">
        <v>64</v>
      </c>
    </row>
    <row r="24" spans="1:20" x14ac:dyDescent="0.25">
      <c r="A24" s="1" t="s">
        <v>8</v>
      </c>
    </row>
    <row r="25" spans="1:20" x14ac:dyDescent="0.25">
      <c r="A25" t="s">
        <v>106</v>
      </c>
      <c r="B25" s="19">
        <f>B27*B14-B20</f>
        <v>0.79083499999999995</v>
      </c>
      <c r="C25" t="s">
        <v>145</v>
      </c>
      <c r="D25" t="s">
        <v>112</v>
      </c>
      <c r="E25" s="50">
        <f>B25*B$28*B$29</f>
        <v>58.41828303493655</v>
      </c>
      <c r="F25" t="s">
        <v>118</v>
      </c>
      <c r="G25" s="50">
        <f>B14*G27</f>
        <v>1.0792327449608088</v>
      </c>
      <c r="H25" s="1"/>
      <c r="I25" s="1"/>
      <c r="J25" s="1"/>
    </row>
    <row r="26" spans="1:20" s="1" customFormat="1" x14ac:dyDescent="0.25">
      <c r="A26" t="s">
        <v>107</v>
      </c>
      <c r="B26" s="19">
        <f>B27*B16</f>
        <v>0.15254000000000001</v>
      </c>
      <c r="C26" t="s">
        <v>146</v>
      </c>
      <c r="D26" t="s">
        <v>113</v>
      </c>
      <c r="E26" s="50">
        <f>B26*B$28*B$29</f>
        <v>11.26799508639504</v>
      </c>
      <c r="F26" t="s">
        <v>119</v>
      </c>
      <c r="G26" s="50">
        <f>B16*G27</f>
        <v>0.20556814189729691</v>
      </c>
    </row>
    <row r="27" spans="1:20" s="1" customFormat="1" x14ac:dyDescent="0.25">
      <c r="A27" t="s">
        <v>108</v>
      </c>
      <c r="B27" s="65">
        <v>4.3499999999999996</v>
      </c>
      <c r="C27" t="s">
        <v>147</v>
      </c>
      <c r="D27" t="s">
        <v>114</v>
      </c>
      <c r="E27" s="50">
        <f>B27*B$28*B$29</f>
        <v>321.33065835727297</v>
      </c>
      <c r="F27" t="s">
        <v>120</v>
      </c>
      <c r="G27" s="50">
        <f>(B7*(B10+B11*(B18*B16^B13+B19*B14^B13)^(B9/B13))^(B7/B9)*EXP(-B46/2*B47^2) / (B56+B5*(B56)^2)) ^ (1/(1-B7))</f>
        <v>5.8622093696947788</v>
      </c>
    </row>
    <row r="28" spans="1:20" s="1" customFormat="1" x14ac:dyDescent="0.25">
      <c r="A28" t="s">
        <v>109</v>
      </c>
      <c r="B28" s="2">
        <v>8.16</v>
      </c>
      <c r="C28" t="s">
        <v>148</v>
      </c>
      <c r="D28" t="s">
        <v>115</v>
      </c>
      <c r="E28" s="52">
        <f>(B25+B26+B27)*B28*B29</f>
        <v>391.01693647860458</v>
      </c>
      <c r="F28" s="2" t="s">
        <v>17</v>
      </c>
      <c r="G28"/>
      <c r="H28"/>
      <c r="I28"/>
      <c r="J28"/>
    </row>
    <row r="29" spans="1:20" x14ac:dyDescent="0.25">
      <c r="A29" t="s">
        <v>110</v>
      </c>
      <c r="B29" s="18">
        <f>B30*EXP(B46/2*B47^2)/B28/(Parameters!$B$10*B27^Parameters!$B$9+B11*E30^Parameters!$B$9)^(Parameters!$B$7/Parameters!$B$9)</f>
        <v>9.0525878509486422</v>
      </c>
      <c r="C29" t="s">
        <v>149</v>
      </c>
      <c r="D29" t="s">
        <v>26</v>
      </c>
      <c r="E29" s="10">
        <f>((Parameters!B3+Parameters!B50+Parameters!B52*Parameters!B53)/Parameters!B7)^(1/(Parameters!B7-1))</f>
        <v>6.8509746420694579</v>
      </c>
      <c r="F29" s="2" t="s">
        <v>27</v>
      </c>
    </row>
    <row r="30" spans="1:20" x14ac:dyDescent="0.25">
      <c r="A30" t="s">
        <v>111</v>
      </c>
      <c r="B30" s="2">
        <v>110.98</v>
      </c>
      <c r="C30" t="s">
        <v>150</v>
      </c>
      <c r="D30" t="s">
        <v>116</v>
      </c>
      <c r="E30" s="10">
        <f>(B18*B26^B13+B19*(B25+B20)^B13)^(1/B13)</f>
        <v>0.55006250755068387</v>
      </c>
      <c r="F30" s="2"/>
    </row>
    <row r="31" spans="1:20" x14ac:dyDescent="0.25">
      <c r="A31" t="s">
        <v>71</v>
      </c>
      <c r="B31">
        <v>53.2</v>
      </c>
      <c r="C31" t="s">
        <v>151</v>
      </c>
      <c r="D31" t="s">
        <v>117</v>
      </c>
      <c r="E31" s="10">
        <f>B26/(B26+B25)</f>
        <v>0.16169603816085865</v>
      </c>
      <c r="F31" s="2" t="s">
        <v>152</v>
      </c>
    </row>
    <row r="32" spans="1:20" x14ac:dyDescent="0.25">
      <c r="C32" s="2"/>
      <c r="D32" t="s">
        <v>77</v>
      </c>
      <c r="E32" s="34">
        <f>B7*B11*E30^(B9-1)/(B10*B27^B9+B11*E30^B9)    * E30</f>
        <v>5.3930280246069738E-2</v>
      </c>
      <c r="F32" s="2" t="s">
        <v>80</v>
      </c>
    </row>
    <row r="33" spans="1:10" x14ac:dyDescent="0.25">
      <c r="C33" s="2"/>
      <c r="D33" t="s">
        <v>78</v>
      </c>
      <c r="E33" s="51">
        <f>B7*B10*B27^(B9-1)/(B10*B27^B9+B11*E30^B9)    * B27</f>
        <v>0.24606971975393027</v>
      </c>
      <c r="F33" s="2" t="s">
        <v>79</v>
      </c>
    </row>
    <row r="34" spans="1:10" x14ac:dyDescent="0.25">
      <c r="A34" s="1" t="s">
        <v>2</v>
      </c>
      <c r="B34" s="2"/>
      <c r="C34" s="2"/>
      <c r="D34" s="2"/>
      <c r="E34" s="2"/>
      <c r="F34" s="2"/>
      <c r="G34" s="2"/>
      <c r="H34" s="2"/>
      <c r="I34" s="2"/>
      <c r="J34" s="2"/>
    </row>
    <row r="35" spans="1:10" s="2" customFormat="1" x14ac:dyDescent="0.25">
      <c r="A35" t="s">
        <v>121</v>
      </c>
      <c r="B35" s="20">
        <f>Parameters!B29*Parameters!B28*Parameters!B41/(Parameters!B3+B42)</f>
        <v>1345.4133921740947</v>
      </c>
      <c r="C35" t="s">
        <v>153</v>
      </c>
      <c r="D35"/>
      <c r="E35"/>
      <c r="F35"/>
      <c r="G35"/>
      <c r="H35"/>
      <c r="I35"/>
      <c r="J35"/>
    </row>
    <row r="36" spans="1:10" x14ac:dyDescent="0.25">
      <c r="A36" s="106" t="s">
        <v>49</v>
      </c>
      <c r="B36" s="10">
        <f>6.1198+0.7666</f>
        <v>6.8864000000000001</v>
      </c>
      <c r="C36" s="106" t="s">
        <v>154</v>
      </c>
    </row>
    <row r="37" spans="1:10" x14ac:dyDescent="0.25">
      <c r="A37" t="s">
        <v>122</v>
      </c>
      <c r="B37" s="35">
        <f>B36-B39</f>
        <v>6.1194186123629359</v>
      </c>
    </row>
    <row r="38" spans="1:10" x14ac:dyDescent="0.25">
      <c r="A38" t="s">
        <v>123</v>
      </c>
      <c r="B38" s="35">
        <v>0.72899999999999998</v>
      </c>
      <c r="C38" t="s">
        <v>155</v>
      </c>
    </row>
    <row r="39" spans="1:10" x14ac:dyDescent="0.25">
      <c r="A39" t="s">
        <v>124</v>
      </c>
      <c r="B39" s="18">
        <f>(B31-B36/B38*(1-EXP(-B38*E25)))/(E25-(1-EXP(-B38*E25))/B38)</f>
        <v>0.76698138763706381</v>
      </c>
    </row>
    <row r="40" spans="1:10" x14ac:dyDescent="0.25">
      <c r="A40" t="s">
        <v>125</v>
      </c>
      <c r="B40" s="18">
        <f>B37*EXP(-B38*E25)+B39</f>
        <v>0.76698138763706381</v>
      </c>
      <c r="C40" t="s">
        <v>156</v>
      </c>
    </row>
    <row r="41" spans="1:10" x14ac:dyDescent="0.25">
      <c r="A41" s="66" t="s">
        <v>126</v>
      </c>
      <c r="B41" s="18">
        <f>B31/B28/B29/B25</f>
        <v>0.91067380340815918</v>
      </c>
      <c r="C41" t="s">
        <v>41</v>
      </c>
      <c r="D41" s="2"/>
      <c r="E41" s="2"/>
      <c r="F41" s="2"/>
      <c r="G41" s="2"/>
      <c r="H41" s="2"/>
      <c r="I41" s="2"/>
      <c r="J41" s="2"/>
    </row>
    <row r="42" spans="1:10" x14ac:dyDescent="0.25">
      <c r="A42" t="s">
        <v>127</v>
      </c>
      <c r="B42" s="2">
        <v>0.01</v>
      </c>
      <c r="C42" t="s">
        <v>18</v>
      </c>
      <c r="D42" s="2"/>
      <c r="E42" s="2"/>
      <c r="F42" s="2"/>
      <c r="G42" s="2"/>
      <c r="H42" s="2"/>
      <c r="I42" s="2"/>
      <c r="J42" s="2"/>
    </row>
    <row r="43" spans="1:1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25">
      <c r="A44" s="1" t="s">
        <v>1</v>
      </c>
      <c r="B44" s="2"/>
      <c r="C44" s="2"/>
      <c r="D44" s="2"/>
      <c r="E44" s="2"/>
      <c r="F44" s="2"/>
      <c r="G44" s="2"/>
      <c r="H44" s="2"/>
      <c r="I44" s="2"/>
      <c r="J44" s="2"/>
    </row>
    <row r="45" spans="1:10" x14ac:dyDescent="0.25">
      <c r="A45" s="66" t="s">
        <v>128</v>
      </c>
      <c r="B45">
        <v>5.9999999999999995E-4</v>
      </c>
      <c r="C45" t="s">
        <v>3</v>
      </c>
    </row>
    <row r="46" spans="1:10" s="2" customFormat="1" x14ac:dyDescent="0.25">
      <c r="A46" s="66" t="s">
        <v>129</v>
      </c>
      <c r="B46">
        <v>2.01E-2</v>
      </c>
      <c r="C46" t="s">
        <v>84</v>
      </c>
      <c r="D46"/>
      <c r="E46"/>
      <c r="F46"/>
      <c r="G46"/>
      <c r="H46"/>
      <c r="I46"/>
      <c r="J46"/>
    </row>
    <row r="47" spans="1:10" s="2" customFormat="1" x14ac:dyDescent="0.25">
      <c r="A47" t="s">
        <v>130</v>
      </c>
      <c r="B47">
        <v>1.38</v>
      </c>
      <c r="C47" t="s">
        <v>157</v>
      </c>
      <c r="D47"/>
      <c r="E47"/>
      <c r="F47"/>
      <c r="G47"/>
      <c r="H47"/>
      <c r="I47"/>
      <c r="J47"/>
    </row>
    <row r="48" spans="1:10" s="2" customFormat="1" x14ac:dyDescent="0.25"/>
    <row r="49" spans="1:11" s="2" customFormat="1" x14ac:dyDescent="0.25">
      <c r="A49" s="1" t="s">
        <v>4</v>
      </c>
      <c r="B49" s="1"/>
      <c r="C49" s="1"/>
      <c r="D49" s="1"/>
      <c r="E49" s="1"/>
      <c r="F49" s="1"/>
      <c r="G49" s="1"/>
      <c r="H49" s="1"/>
      <c r="I49" s="1"/>
      <c r="J49" s="1"/>
    </row>
    <row r="50" spans="1:11" s="2" customFormat="1" x14ac:dyDescent="0.25">
      <c r="A50" s="66" t="s">
        <v>131</v>
      </c>
      <c r="B50">
        <f>0.011</f>
        <v>1.0999999999999999E-2</v>
      </c>
      <c r="C50" t="s">
        <v>158</v>
      </c>
      <c r="D50"/>
      <c r="E50"/>
      <c r="F50"/>
      <c r="G50"/>
      <c r="H50"/>
      <c r="I50"/>
      <c r="J50"/>
    </row>
    <row r="51" spans="1:11" s="2" customFormat="1" x14ac:dyDescent="0.25">
      <c r="A51" t="s">
        <v>10</v>
      </c>
      <c r="B51">
        <v>2.8999999999999998E-3</v>
      </c>
      <c r="C51" t="s">
        <v>11</v>
      </c>
      <c r="D51"/>
      <c r="E51"/>
      <c r="F51"/>
      <c r="G51"/>
      <c r="H51"/>
      <c r="I51"/>
      <c r="J51"/>
    </row>
    <row r="52" spans="1:11" x14ac:dyDescent="0.25">
      <c r="A52" s="66" t="s">
        <v>132</v>
      </c>
      <c r="B52">
        <v>1.35</v>
      </c>
      <c r="C52" t="s">
        <v>159</v>
      </c>
      <c r="K52" s="2"/>
    </row>
    <row r="53" spans="1:11" x14ac:dyDescent="0.25">
      <c r="A53" t="s">
        <v>5</v>
      </c>
      <c r="B53">
        <v>0.02</v>
      </c>
      <c r="C53" t="s">
        <v>160</v>
      </c>
    </row>
    <row r="54" spans="1:11" x14ac:dyDescent="0.25">
      <c r="A54" t="s">
        <v>46</v>
      </c>
      <c r="B54" s="10">
        <f>B50-B51+B52*B53</f>
        <v>3.5100000000000006E-2</v>
      </c>
    </row>
    <row r="55" spans="1:11" s="1" customFormat="1" x14ac:dyDescent="0.25">
      <c r="A55" t="s">
        <v>13</v>
      </c>
      <c r="B55" s="10">
        <f>B50-B51+(B52-1)*B53</f>
        <v>1.5100000000000002E-2</v>
      </c>
      <c r="C55"/>
      <c r="D55"/>
      <c r="E55"/>
      <c r="F55"/>
      <c r="G55"/>
      <c r="H55"/>
      <c r="I55"/>
      <c r="J55"/>
      <c r="K55"/>
    </row>
    <row r="56" spans="1:11" x14ac:dyDescent="0.25">
      <c r="A56" t="s">
        <v>133</v>
      </c>
      <c r="B56" s="10">
        <f>B54+B3+B51</f>
        <v>7.8E-2</v>
      </c>
      <c r="K56" s="1"/>
    </row>
    <row r="57" spans="1:11" x14ac:dyDescent="0.25">
      <c r="A57" s="66" t="s">
        <v>134</v>
      </c>
      <c r="B57" s="19">
        <f>EXP(-B55)</f>
        <v>0.98501343333449787</v>
      </c>
      <c r="C57" t="s">
        <v>39</v>
      </c>
    </row>
    <row r="59" spans="1:11" x14ac:dyDescent="0.25">
      <c r="A59" s="1" t="s">
        <v>22</v>
      </c>
    </row>
    <row r="60" spans="1:11" x14ac:dyDescent="0.25">
      <c r="A60" t="s">
        <v>135</v>
      </c>
      <c r="B60">
        <v>2.7E-2</v>
      </c>
      <c r="C60" t="s">
        <v>161</v>
      </c>
    </row>
    <row r="61" spans="1:11" x14ac:dyDescent="0.25">
      <c r="A61" s="66" t="s">
        <v>136</v>
      </c>
      <c r="B61">
        <v>0.5</v>
      </c>
      <c r="C61" t="s">
        <v>23</v>
      </c>
    </row>
    <row r="62" spans="1:11" x14ac:dyDescent="0.25">
      <c r="A62" t="s">
        <v>137</v>
      </c>
      <c r="B62">
        <v>50</v>
      </c>
      <c r="C62" t="s">
        <v>162</v>
      </c>
    </row>
    <row r="63" spans="1:11" x14ac:dyDescent="0.25">
      <c r="A63" s="68" t="s">
        <v>131</v>
      </c>
      <c r="B63">
        <v>0.1</v>
      </c>
      <c r="C63" t="s">
        <v>163</v>
      </c>
    </row>
    <row r="65" spans="1:2" x14ac:dyDescent="0.25">
      <c r="A65" t="s">
        <v>36</v>
      </c>
      <c r="B65">
        <v>1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4BBA9-EF41-41AA-9096-6EC0B0DD19F0}">
  <dimension ref="A1:CF305"/>
  <sheetViews>
    <sheetView zoomScaleNormal="100" workbookViewId="0">
      <pane xSplit="1" topLeftCell="BE1" activePane="topRight" state="frozen"/>
      <selection pane="topRight" activeCell="BP2" sqref="BP2"/>
    </sheetView>
  </sheetViews>
  <sheetFormatPr defaultRowHeight="15" x14ac:dyDescent="0.25"/>
  <cols>
    <col min="3" max="3" width="11.140625" bestFit="1" customWidth="1"/>
    <col min="4" max="5" width="8.7109375" bestFit="1" customWidth="1"/>
    <col min="6" max="7" width="8.7109375" customWidth="1"/>
    <col min="8" max="8" width="11.7109375" customWidth="1"/>
    <col min="9" max="9" width="10.85546875" customWidth="1"/>
    <col min="10" max="15" width="8.7109375" customWidth="1"/>
    <col min="16" max="18" width="8.5703125" customWidth="1"/>
    <col min="19" max="22" width="8.7109375" customWidth="1"/>
    <col min="23" max="23" width="12.7109375" customWidth="1"/>
    <col min="24" max="24" width="10" style="7" customWidth="1"/>
    <col min="25" max="26" width="8.85546875" customWidth="1"/>
    <col min="27" max="27" width="12.28515625" customWidth="1"/>
    <col min="31" max="31" width="10.85546875" style="23" customWidth="1"/>
    <col min="32" max="33" width="10.7109375" customWidth="1"/>
    <col min="34" max="35" width="8.7109375" customWidth="1"/>
    <col min="36" max="36" width="9.28515625" bestFit="1" customWidth="1"/>
    <col min="37" max="42" width="9.28515625" customWidth="1"/>
    <col min="43" max="43" width="8.7109375" customWidth="1"/>
    <col min="44" max="46" width="12.85546875" customWidth="1"/>
    <col min="47" max="48" width="12.85546875" style="7" customWidth="1"/>
    <col min="49" max="49" width="9.140625" customWidth="1"/>
    <col min="50" max="50" width="8.28515625" customWidth="1"/>
    <col min="51" max="51" width="12.42578125" bestFit="1" customWidth="1"/>
    <col min="53" max="53" width="8.7109375" style="7"/>
    <col min="55" max="57" width="8.7109375" style="7"/>
    <col min="77" max="77" width="8.7109375" style="7"/>
  </cols>
  <sheetData>
    <row r="1" spans="1:84" x14ac:dyDescent="0.25">
      <c r="A1" s="1" t="s">
        <v>202</v>
      </c>
      <c r="B1" s="1"/>
      <c r="G1" s="1"/>
      <c r="H1" s="1"/>
      <c r="I1" s="5"/>
      <c r="AF1" s="5"/>
      <c r="AG1" s="5"/>
      <c r="AU1" s="2"/>
      <c r="AV1"/>
      <c r="BA1"/>
      <c r="BC1"/>
      <c r="BD1"/>
      <c r="BE1"/>
      <c r="BF1" t="s">
        <v>76</v>
      </c>
      <c r="BG1">
        <f>-W204*X204^(-Parameters!B$52)*Parameters!B$46*Parameters!B$45*N204/Parameters!B45/Parameters!B55</f>
        <v>-2.5272930579071522</v>
      </c>
      <c r="BY1"/>
    </row>
    <row r="2" spans="1:84" s="2" customFormat="1" x14ac:dyDescent="0.25">
      <c r="C2" s="14"/>
      <c r="D2" s="14"/>
      <c r="E2" s="14"/>
      <c r="P2" s="33"/>
      <c r="Q2" s="33"/>
      <c r="R2" s="33"/>
      <c r="T2" s="7"/>
      <c r="U2" s="7"/>
      <c r="X2" s="15"/>
      <c r="AE2" s="87"/>
      <c r="BF2" s="2" t="s">
        <v>74</v>
      </c>
      <c r="BK2"/>
    </row>
    <row r="3" spans="1:84" ht="15.75" thickBot="1" x14ac:dyDescent="0.3">
      <c r="A3" t="s">
        <v>6</v>
      </c>
      <c r="B3" t="s">
        <v>203</v>
      </c>
      <c r="C3" t="s">
        <v>164</v>
      </c>
      <c r="D3" t="s">
        <v>165</v>
      </c>
      <c r="E3" t="s">
        <v>166</v>
      </c>
      <c r="F3" t="s">
        <v>167</v>
      </c>
      <c r="G3" t="s">
        <v>168</v>
      </c>
      <c r="H3" t="s">
        <v>169</v>
      </c>
      <c r="I3" t="s">
        <v>170</v>
      </c>
      <c r="J3" t="s">
        <v>171</v>
      </c>
      <c r="K3" t="s">
        <v>172</v>
      </c>
      <c r="L3" t="s">
        <v>173</v>
      </c>
      <c r="M3" t="s">
        <v>174</v>
      </c>
      <c r="N3" t="s">
        <v>175</v>
      </c>
      <c r="O3" s="67" t="s">
        <v>176</v>
      </c>
      <c r="P3" t="s">
        <v>177</v>
      </c>
      <c r="Q3" t="s">
        <v>178</v>
      </c>
      <c r="R3" t="s">
        <v>179</v>
      </c>
      <c r="S3" t="s">
        <v>180</v>
      </c>
      <c r="T3" s="67" t="s">
        <v>181</v>
      </c>
      <c r="U3" s="67" t="s">
        <v>182</v>
      </c>
      <c r="V3" t="s">
        <v>183</v>
      </c>
      <c r="W3" t="s">
        <v>184</v>
      </c>
      <c r="X3" s="7" t="s">
        <v>185</v>
      </c>
      <c r="Y3" s="67" t="s">
        <v>186</v>
      </c>
      <c r="Z3" t="s">
        <v>187</v>
      </c>
      <c r="AA3" t="s">
        <v>188</v>
      </c>
      <c r="AC3" t="s">
        <v>212</v>
      </c>
      <c r="AD3" t="s">
        <v>211</v>
      </c>
      <c r="AE3" s="23" t="s">
        <v>189</v>
      </c>
      <c r="AF3" t="s">
        <v>190</v>
      </c>
      <c r="AG3" t="s">
        <v>204</v>
      </c>
      <c r="AH3" t="s">
        <v>191</v>
      </c>
      <c r="AI3" t="s">
        <v>205</v>
      </c>
      <c r="AJ3" t="s">
        <v>192</v>
      </c>
      <c r="AK3" t="s">
        <v>206</v>
      </c>
      <c r="AL3" t="s">
        <v>207</v>
      </c>
      <c r="AM3" t="s">
        <v>208</v>
      </c>
      <c r="AN3" t="s">
        <v>209</v>
      </c>
      <c r="AO3" t="s">
        <v>210</v>
      </c>
      <c r="AQ3" t="s">
        <v>45</v>
      </c>
      <c r="AR3" t="s">
        <v>47</v>
      </c>
      <c r="AS3" t="s">
        <v>48</v>
      </c>
      <c r="AT3" t="s">
        <v>62</v>
      </c>
      <c r="AU3" t="s">
        <v>69</v>
      </c>
      <c r="AV3" t="s">
        <v>198</v>
      </c>
      <c r="AW3" t="s">
        <v>197</v>
      </c>
      <c r="AX3" t="s">
        <v>193</v>
      </c>
      <c r="AY3" t="s">
        <v>194</v>
      </c>
      <c r="BA3" t="s">
        <v>195</v>
      </c>
      <c r="BB3" t="s">
        <v>196</v>
      </c>
      <c r="BC3" t="s">
        <v>38</v>
      </c>
      <c r="BD3" t="s">
        <v>37</v>
      </c>
      <c r="BE3" t="s">
        <v>42</v>
      </c>
      <c r="BF3" t="s">
        <v>55</v>
      </c>
      <c r="BG3" t="s">
        <v>73</v>
      </c>
      <c r="BH3" t="s">
        <v>75</v>
      </c>
      <c r="BI3" t="s">
        <v>61</v>
      </c>
      <c r="BJ3" t="s">
        <v>52</v>
      </c>
      <c r="BK3" t="s">
        <v>53</v>
      </c>
      <c r="BL3" t="s">
        <v>70</v>
      </c>
      <c r="BM3" t="s">
        <v>68</v>
      </c>
      <c r="BN3" t="s">
        <v>65</v>
      </c>
      <c r="BS3" t="s">
        <v>72</v>
      </c>
      <c r="BT3" t="s">
        <v>54</v>
      </c>
      <c r="BU3" t="s">
        <v>56</v>
      </c>
      <c r="BV3" t="s">
        <v>57</v>
      </c>
      <c r="BW3" t="s">
        <v>58</v>
      </c>
      <c r="BX3" t="s">
        <v>59</v>
      </c>
      <c r="BY3" t="s">
        <v>60</v>
      </c>
      <c r="BZ3" t="s">
        <v>66</v>
      </c>
      <c r="CA3" t="s">
        <v>67</v>
      </c>
      <c r="CB3" t="s">
        <v>86</v>
      </c>
      <c r="CC3" t="s">
        <v>83</v>
      </c>
      <c r="CD3" t="s">
        <v>82</v>
      </c>
      <c r="CE3" t="s">
        <v>85</v>
      </c>
      <c r="CF3" t="s">
        <v>87</v>
      </c>
    </row>
    <row r="4" spans="1:84" x14ac:dyDescent="0.25">
      <c r="A4">
        <v>0</v>
      </c>
      <c r="B4">
        <v>2025</v>
      </c>
      <c r="C4" s="71">
        <v>-3.0791000225526801E-2</v>
      </c>
      <c r="D4" s="72">
        <v>3.7975028123287097E-2</v>
      </c>
      <c r="E4" s="73">
        <v>0.25186596798399102</v>
      </c>
      <c r="F4" s="7">
        <f>Parameters!B25</f>
        <v>0.79083499999999995</v>
      </c>
      <c r="G4" s="9">
        <f>Parameters!B26</f>
        <v>0.15254000000000001</v>
      </c>
      <c r="H4" s="88">
        <f>Parameters!B27</f>
        <v>4.3499999999999996</v>
      </c>
      <c r="I4" s="9">
        <v>0</v>
      </c>
      <c r="J4" s="23">
        <f>Parameters!B28</f>
        <v>8.16</v>
      </c>
      <c r="K4" s="23">
        <f>Parameters!B29</f>
        <v>9.0525878509486422</v>
      </c>
      <c r="L4" s="23">
        <f>J4*K4*EXP(-Parameters!$B$42*'6states'!A4)*(Parameters!$B$37/Parameters!$B$38*('6states'!F4+'6states'!I4)/Parameters!$E$25*(EXP(-Parameters!$B$38*Parameters!$E$25*'6states'!I4/('6states'!F4+'6states'!I4))-EXP(-Parameters!$B$38*Parameters!$E$25))  +  Parameters!$B$39*'6states'!F4)</f>
        <v>53.20000000000001</v>
      </c>
      <c r="M4" s="8">
        <f xml:space="preserve"> N4/Parameters!$B$45</f>
        <v>2300</v>
      </c>
      <c r="N4" s="7">
        <f>Parameters!B47</f>
        <v>1.38</v>
      </c>
      <c r="O4" s="9">
        <f>EXP(-Parameters!$B$46/2*N4^2)</f>
        <v>0.98104277196026479</v>
      </c>
      <c r="P4" s="8">
        <f>MAX((Parameters!$B$62 + Parameters!$B$31*'6states'!A4 - '6states'!M4 + Parameters!$B$47/Parameters!$B$45)/Parameters!B$62,1)</f>
        <v>1</v>
      </c>
      <c r="Q4" s="7">
        <f>Parameters!B$61*EXP(-Parameters!B$60*A4)</f>
        <v>0.5</v>
      </c>
      <c r="R4" s="7">
        <f>(1-Parameters!B$61)*P4^-Parameters!B$63</f>
        <v>0.5</v>
      </c>
      <c r="S4" s="7">
        <f>Parameters!B$61*EXP(-Parameters!B$60*A4)+(1-Parameters!B$61)*P4^-Parameters!B$63</f>
        <v>1</v>
      </c>
      <c r="T4" s="7">
        <f>1-S4/Parameters!$B$12</f>
        <v>0.5</v>
      </c>
      <c r="U4" s="7">
        <f t="shared" ref="U4:U68" si="0">1/(1-T4)</f>
        <v>2</v>
      </c>
      <c r="V4" s="7">
        <f>(Parameters!$B$19*(F4+Parameters!$B$20)^T4+Parameters!$B$18*G4^T4)^(1/T4)</f>
        <v>0.55006250755068387</v>
      </c>
      <c r="W4" s="7">
        <f>(Parameters!$B$10*H4^Parameters!$B$9+Parameters!$B$11*V4^Parameters!$B$9)^(Parameters!$B$7/Parameters!$B$9)*O4</f>
        <v>1.5023869881199998</v>
      </c>
      <c r="X4" s="7">
        <f>W4 - D4 - E4 - LN(1+EXP(Parameters!$B$21*C4))/Parameters!$B$21 - IF(C4&gt;0, 0,Parameters!$B$6*C4^2/F4)</f>
        <v>1.2065514608378558</v>
      </c>
      <c r="Y4" s="7">
        <f>EXP(-Parameters!$B$55*A4)</f>
        <v>1</v>
      </c>
      <c r="Z4" s="7">
        <f>IF(X4&gt;0,X4^(1-Parameters!$B$52)/(1-Parameters!$B$52)*Y4*Parameters!$B$65,-10+X4*1000)</f>
        <v>-2.6754134633438533</v>
      </c>
      <c r="AA4" s="28">
        <f>SUM(Z4:Z204)*Parameters!$B$65</f>
        <v>-185.78347817096613</v>
      </c>
      <c r="AC4">
        <f>C4*$J4*$K4</f>
        <v>-2.2745039940109124</v>
      </c>
      <c r="AD4">
        <f>D4*$J4*$K4</f>
        <v>2.8051817903429428</v>
      </c>
      <c r="AE4" s="23">
        <f>I4*J4*K4</f>
        <v>0</v>
      </c>
      <c r="AF4" s="23">
        <f>F4*J4*K4</f>
        <v>58.41828303493655</v>
      </c>
      <c r="AG4" s="23">
        <f>G4*J4*K4</f>
        <v>11.26799508639504</v>
      </c>
      <c r="AH4" s="23">
        <f>V4*J4*K4</f>
        <v>40.632631652623843</v>
      </c>
      <c r="AI4" s="23">
        <f>AH4/AH$4*100</f>
        <v>100</v>
      </c>
      <c r="AJ4" s="23">
        <f>W4*J4*K4</f>
        <v>110.98</v>
      </c>
      <c r="AK4" s="23">
        <f>X4*J4*K4</f>
        <v>89.126890862748894</v>
      </c>
      <c r="AL4" s="23"/>
      <c r="AM4" s="23"/>
      <c r="AN4" s="23"/>
      <c r="AO4" s="23"/>
      <c r="AP4" s="23"/>
      <c r="AQ4" s="8">
        <f t="shared" ref="AQ4:AQ67" si="1">W4*K4*J4</f>
        <v>110.98</v>
      </c>
      <c r="AR4" s="32">
        <f>Parameters!$B$7*W4*(W4/O4)^(-Parameters!$B$9/Parameters!$B$7)*Parameters!$B$11*(V4)^(Parameters!$B$9-T4)*((1-2*Parameters!$B$5*C4/F4)*Parameters!$B$19*(F4+Parameters!$B$20)^(T4-1)-(1-2*Parameters!$B$5*D4/G4)*(Parameters!$B$18)*(G4)^(T4-1))</f>
        <v>4.8932948731168123E-2</v>
      </c>
      <c r="AS4" s="32"/>
      <c r="AT4" s="32"/>
      <c r="AU4" s="30">
        <f>EXP(-Parameters!$B$42*'6states'!A4)*(Parameters!$B$37*EXP(-Parameters!$B$38*Parameters!$E$25*'6states'!I4/('6states'!F4+'6states'!I4))*(1/Parameters!$B$38/Parameters!$E$25+'6states'!I4/('6states'!F4+'6states'!I4))-Parameters!$B$37/Parameters!$B$38/Parameters!$E$25*EXP(-Parameters!$B$38*Parameters!$E$25)+Parameters!$B$39)</f>
        <v>0.91067380340815907</v>
      </c>
      <c r="AV4" s="30">
        <f>J4*K4*EXP(-Parameters!$B$42*'6states'!A4)*(Parameters!$B$37*EXP(-Parameters!$B$38*Parameters!$E$25*'6states'!I4/('6states'!F4+'6states'!I4))*(1/Parameters!$B$38/Parameters!$E$25+'6states'!I4/('6states'!F4+'6states'!I4))-Parameters!$B$37/Parameters!$B$38/Parameters!$E$25*EXP(-Parameters!$B$38*Parameters!$E$25)+Parameters!$B$39)</f>
        <v>67.270669608704736</v>
      </c>
      <c r="AW4" s="8"/>
      <c r="AX4" s="13">
        <f>1-W4/'6states,ExoDamages'!T4</f>
        <v>0</v>
      </c>
      <c r="AY4" s="21"/>
      <c r="AZ4" s="7">
        <f>1000*EXP(-(Parameters!$B$54)*'6states'!A4)*AQ4*Parameters!B$46*Parameters!B$45*N4</f>
        <v>1.8470179439999996</v>
      </c>
      <c r="BA4" s="7">
        <f>SUM(AZ4:AZ$204)*EXP(Parameters!$B$54*A4)</f>
        <v>181.28957053695825</v>
      </c>
      <c r="BB4" s="13">
        <f t="shared" ref="BB4:BB13" si="2">((C4&gt;0)*C4+D4+E4)/W4</f>
        <v>0.19292033171158407</v>
      </c>
      <c r="BC4" s="30">
        <f>Parameters!$B$6*C4/F4</f>
        <v>-0.19467398525309831</v>
      </c>
      <c r="BD4" s="30">
        <f>Parameters!$B$5*D4/G4</f>
        <v>0.2489512791614468</v>
      </c>
      <c r="BE4" s="30">
        <f>(1-2*BD4)/(1-2*BC4)</f>
        <v>0.36139070437060611</v>
      </c>
      <c r="BF4" s="5">
        <f t="shared" ref="BF4:BF35" si="3">SUM(AY4:AY202)/Y4</f>
        <v>-1.8421521952646592E-3</v>
      </c>
      <c r="BG4" s="2">
        <f>BF4/Parameters!$B$45</f>
        <v>-3.070253658774432</v>
      </c>
      <c r="BH4" s="2"/>
      <c r="BI4">
        <f>-2*Parameters!B$6 * C4/F4*X4^-Parameters!B$52</f>
        <v>0.30216977278622226</v>
      </c>
      <c r="BJ4">
        <f>X4^-Parameters!B$52</f>
        <v>0.77609181420251716</v>
      </c>
      <c r="BK4">
        <f>-EXP(-Parameters!B$42*'6states'!A4)*(-Parameters!B$37/Parameters!B$38/Parameters!E$25*(EXP(-Parameters!B$38*Parameters!E$25*'6states'!I4/('6states'!F4+'6states'!I4))-EXP(-Parameters!B$38*Parameters!E$25)) + Parameters!B$37*'6states'!F4/('6states'!F4+'6states'!I4)*EXP(-Parameters!B$38*Parameters!E$25*'6states'!I4/('6states'!F4+'6states'!I4)))</f>
        <v>-5.9757261965918396</v>
      </c>
      <c r="BL4">
        <f>-J4*K4*EXP(-Parameters!B$42*'6states'!A4)*(-Parameters!B$37/Parameters!B$38/Parameters!E$25*(EXP(-Parameters!B$38*Parameters!E$25*'6states'!I4/('6states'!F4+'6states'!I4))-EXP(-Parameters!B$38*Parameters!E$25)) + Parameters!B$37*'6states'!F4/('6states'!F4+'6states'!I4)*EXP(-Parameters!B$38*Parameters!E$25*'6states'!I4/('6states'!F4+'6states'!I4)))</f>
        <v>-441.42161676176067</v>
      </c>
      <c r="BM4" s="7">
        <f t="shared" ref="BM4:BM35" si="4">I4/(F4+I4)</f>
        <v>0</v>
      </c>
      <c r="BN4" s="7">
        <f t="shared" ref="BN4:BN25" si="5">BK4-AU4</f>
        <v>-6.8863999999999983</v>
      </c>
      <c r="BS4">
        <f>EXP(-Parameters!$B$56*A4)*BF4*BL4</f>
        <v>0.81316580035495245</v>
      </c>
      <c r="BT4">
        <f>-EXP((Parameters!$B$56)*F4)*SUM(BS4:BS12)</f>
        <v>-1.1781448785454767</v>
      </c>
      <c r="BU4">
        <f>$X4^-Parameters!$B$52/(1-2*Parameters!$B$5*'6states'!$D4/'6states'!$G4)</f>
        <v>1.5456995988870494</v>
      </c>
      <c r="BW4">
        <f>$X4^-Parameters!$B$52/(1-2*Parameters!$B$5*'6states'!$E4/'6states'!$H4)</f>
        <v>0.87773377611177494</v>
      </c>
      <c r="BY4" s="7">
        <f>($X4^-Parameters!$B$52*(1/(1+EXP(-C4)) + IF(C4&lt;0,2*Parameters!$B$6*C4/F4,0)) + BQ4*(1/(1+EXP((C4-Parameters!$B$22)*Parameters!$B$21))))/(1-IF(C4&gt;0,2*Parameters!$B$5*C4/F4,0))</f>
        <v>7.9902445465122693E-2</v>
      </c>
      <c r="CC4">
        <f>(Parameters!$B$18*'6states'!T4^+Parameters!$B$19*Parameters!$B$25^'6states'!T4)^((1-'6states'!T4)/'6states'!T4)*Parameters!$B$18*Parameters!$B$26^('6states'!T4-1)</f>
        <v>0.12973346516345516</v>
      </c>
    </row>
    <row r="5" spans="1:84" x14ac:dyDescent="0.25">
      <c r="A5">
        <f>A4+Parameters!$B$65</f>
        <v>1</v>
      </c>
      <c r="B5">
        <v>2026</v>
      </c>
      <c r="C5" s="74">
        <v>-1.32946837565873E-2</v>
      </c>
      <c r="D5" s="69">
        <v>4.1248302504045098E-2</v>
      </c>
      <c r="E5" s="75">
        <v>0.24555224109440901</v>
      </c>
      <c r="F5" s="7">
        <f>MAX((1-Parameters!$B$4)^Parameters!B$65*F4 + C4*Parameters!B$65 - IF(C4&gt;0,Parameters!$B$5,0)*C4^2/F4*Parameters!B$65, 0.0001)</f>
        <v>0.71030047827447318</v>
      </c>
      <c r="G5" s="7">
        <f>(1-Parameters!$B$4)^Parameters!B$65*G4+D4*Parameters!B$65-Parameters!$B$5*D4^2/G4*Parameters!B$65</f>
        <v>0.17146633029580285</v>
      </c>
      <c r="H5" s="7">
        <f>(1-Parameters!$B$4)^Parameters!B$65*H4+E4*Parameters!B$65-Parameters!$B$5*E4^2/H4*Parameters!B$65</f>
        <v>4.3136678723912301</v>
      </c>
      <c r="I5" s="9">
        <f>I4 *(1-Parameters!$B$4)-C4*(C4&lt;0)*Parameters!B$65</f>
        <v>3.0791000225526801E-2</v>
      </c>
      <c r="J5" s="23">
        <f>J4*(1+Parameters!$B$51)^Parameters!B$65</f>
        <v>8.1836639999999985</v>
      </c>
      <c r="K5" s="23">
        <f>K4*(1+Parameters!$B$53)^Parameters!B$65</f>
        <v>9.233639607967616</v>
      </c>
      <c r="L5" s="23">
        <f>J5*K5*EXP(-Parameters!$B$42*'6states'!A5)*(Parameters!$B$37/Parameters!$B$38*('6states'!F5+'6states'!I5)/Parameters!$E$25*(EXP(-Parameters!$B$38*Parameters!$E$25*'6states'!I5/('6states'!F5+'6states'!I5))-EXP(-Parameters!$B$38*Parameters!$E$25))  +  Parameters!$B$39*'6states'!F5)</f>
        <v>42.115042706170982</v>
      </c>
      <c r="M5" s="8">
        <f>M4+L5*Parameters!B$65</f>
        <v>2342.1150427061712</v>
      </c>
      <c r="N5" s="7">
        <f>M5*Parameters!$B$45</f>
        <v>1.4052690256237026</v>
      </c>
      <c r="O5" s="9">
        <f>EXP(-Parameters!$B$46/2*N5^2)</f>
        <v>0.9803490969267139</v>
      </c>
      <c r="P5" s="8">
        <f>MAX((Parameters!$B$62 + Parameters!$B$31*'6states'!A5 - '6states'!M5 + Parameters!$B$47/Parameters!$B$45)/Parameters!B$62,1)</f>
        <v>1.2216991458765734</v>
      </c>
      <c r="Q5" s="7">
        <f>Parameters!B$61*EXP(-Parameters!B$60*A5)</f>
        <v>0.48668062076216839</v>
      </c>
      <c r="R5" s="7">
        <f>(1-Parameters!B$61)*P5^-Parameters!B$63</f>
        <v>0.49008744540467808</v>
      </c>
      <c r="S5" s="7">
        <f>Parameters!B$61*EXP(-Parameters!B$60*A5)+(1-Parameters!B$61)*P5^-Parameters!B$63</f>
        <v>0.97676806616684653</v>
      </c>
      <c r="T5" s="7">
        <f>1-S5/Parameters!$B$12</f>
        <v>0.51161596691657674</v>
      </c>
      <c r="U5" s="7">
        <f t="shared" si="0"/>
        <v>2.0475689872301479</v>
      </c>
      <c r="V5" s="7">
        <f>(Parameters!$B$19*(F5+Parameters!$B$20)^T5+Parameters!$B$18*G5^T5)^(1/T5)</f>
        <v>0.5146192636493232</v>
      </c>
      <c r="W5" s="7">
        <f>(Parameters!$B$10*H5^Parameters!$B$9+Parameters!$B$11*V5^Parameters!$B$9)^(Parameters!$B$7/Parameters!$B$9)*O5</f>
        <v>1.4923873672242234</v>
      </c>
      <c r="X5" s="7">
        <f>W5 - D5 - E5 - LN(1+EXP(Parameters!$B$21*C5))/Parameters!$B$21 - IF(C5&gt;0, 0,Parameters!$B$6*C5^2/F5)</f>
        <v>1.2042814427183222</v>
      </c>
      <c r="Y5" s="7">
        <f>EXP(-Parameters!$B$55*A5)</f>
        <v>0.98501343333449787</v>
      </c>
      <c r="Z5" s="7">
        <f>IF(X5&gt;0,X5^(1-Parameters!$B$52)/(1-Parameters!$B$52)*Y5*Parameters!$B$65,-10+X5*1000)</f>
        <v>-2.6370557481784305</v>
      </c>
      <c r="AB5" s="9"/>
      <c r="AC5">
        <f t="shared" ref="AC5:AC68" si="6">C5*$J5*$K5</f>
        <v>-1.0046128318926879</v>
      </c>
      <c r="AD5">
        <f t="shared" ref="AD5:AD68" si="7">D5*$J5*$K5</f>
        <v>3.1169281457201157</v>
      </c>
      <c r="AE5" s="23">
        <f t="shared" ref="AE5:AE68" si="8">I5*J5*K5</f>
        <v>2.3267220567054148</v>
      </c>
      <c r="AF5" s="23">
        <f t="shared" ref="AF5:AF68" si="9">F5*J5*K5</f>
        <v>53.673858516603175</v>
      </c>
      <c r="AG5" s="23">
        <f t="shared" ref="AG5:AG68" si="10">G5*J5*K5</f>
        <v>12.956853943017848</v>
      </c>
      <c r="AH5" s="23">
        <f t="shared" ref="AH5:AH68" si="11">V5*J5*K5</f>
        <v>38.887206741199442</v>
      </c>
      <c r="AI5" s="23">
        <f t="shared" ref="AI5:AI68" si="12">AH5/AH$4*100</f>
        <v>95.704376407744462</v>
      </c>
      <c r="AJ5" s="23">
        <f t="shared" ref="AJ5:AJ68" si="13">W5*J5*K5</f>
        <v>112.7722574465252</v>
      </c>
      <c r="AK5" s="23">
        <f t="shared" ref="AK5:AK68" si="14">X5*J5*K5</f>
        <v>91.001532094782704</v>
      </c>
      <c r="AL5" s="9">
        <f>LN(AJ5)-LN(AJ4)</f>
        <v>1.6020359293861475E-2</v>
      </c>
      <c r="AM5" s="9">
        <f>LN(AK5)-LN(AK4)</f>
        <v>2.0815248220799276E-2</v>
      </c>
      <c r="AN5" s="23"/>
      <c r="AO5" s="23"/>
      <c r="AP5" s="23"/>
      <c r="AQ5" s="8">
        <f t="shared" si="1"/>
        <v>112.7722574465252</v>
      </c>
      <c r="AR5" s="32">
        <f>Parameters!$B$7*W5*(W5/O5)^(-Parameters!$B$9/Parameters!$B$7)*Parameters!$B$11*(V5)^(Parameters!$B$9-T5)*((1-2*Parameters!$B$5*C5/F5)*Parameters!$B$19*(F5+Parameters!$B$20)^(T5-1)-(1-2*Parameters!$B$5*D5/G5)*(Parameters!$B$18)*(G5)^(T5-1))</f>
        <v>6.4700082605399903E-2</v>
      </c>
      <c r="AS5" s="32">
        <f>((C6-C4)/2-(F6-F4)/F5/2*C5)/(F5/2/Parameters!$B$5-C5)-((D6-D4)/D5-(G6-G4)/G5)/(G5/2/Parameters!$B$5/D5-1)</f>
        <v>9.8586217650370525E-2</v>
      </c>
      <c r="AT5" s="32">
        <f>+Parameters!$B$5*C5^2/F5^2-Parameters!$B$5*D5^2/G5^2</f>
        <v>-5.7519804046540481E-2</v>
      </c>
      <c r="AU5" s="30">
        <f>EXP(-Parameters!$B$42*'6states'!A5)*(Parameters!$B$37*EXP(-Parameters!$B$38*Parameters!$E$25*'6states'!I5/('6states'!F5+'6states'!I5))*(1/Parameters!$B$38/Parameters!$E$25+'6states'!I5/('6states'!F5+'6states'!I5))-Parameters!$B$37/Parameters!$B$38/Parameters!$E$25*EXP(-Parameters!$B$38*Parameters!$E$25)+Parameters!$B$39)</f>
        <v>0.82649783916438213</v>
      </c>
      <c r="AV5" s="30">
        <f>J5*K5*EXP(-Parameters!$B$42*'6states'!A5)*(Parameters!$B$37*EXP(-Parameters!$B$38*Parameters!$E$25*'6states'!I5/('6states'!F5+'6states'!I5))*(1/Parameters!$B$38/Parameters!$E$25+'6states'!I5/('6states'!F5+'6states'!I5))-Parameters!$B$37/Parameters!$B$38/Parameters!$E$25*EXP(-Parameters!$B$38*Parameters!$E$25)+Parameters!$B$39)</f>
        <v>62.454312562697247</v>
      </c>
      <c r="AW5" s="8">
        <f>1000*(AR5+AS5+AT5)/AU5</f>
        <v>127.96947698757874</v>
      </c>
      <c r="AX5" s="13">
        <f>1-W5/'6states,ExoDamages'!T5</f>
        <v>6.1317619652709876E-3</v>
      </c>
      <c r="AY5" s="21">
        <f>-Y5*W5*X5^(-Parameters!B$52)*Parameters!B$46*Parameters!B$45*N5</f>
        <v>-1.9384192184982808E-5</v>
      </c>
      <c r="AZ5" s="7">
        <f>1000*EXP(-(Parameters!$B$54)*'6states'!A5)*AQ5*Parameters!B$46*Parameters!B$45*N5</f>
        <v>1.8452929369003075</v>
      </c>
      <c r="BA5" s="7">
        <f>SUM(AZ5:AZ$204)*EXP(Parameters!$B$54*A5)</f>
        <v>185.852828416189</v>
      </c>
      <c r="BB5" s="13">
        <f t="shared" si="2"/>
        <v>0.19217567093983837</v>
      </c>
      <c r="BC5" s="30">
        <f>Parameters!$B$6*C5/F5</f>
        <v>-9.3584927528726713E-2</v>
      </c>
      <c r="BD5" s="30">
        <f>Parameters!$B$5*D5/G5</f>
        <v>0.24056211171537956</v>
      </c>
      <c r="BE5" s="30">
        <f t="shared" ref="BE5" si="15">(1-2*BD5)/(1-2*BC5)</f>
        <v>0.43706953504486495</v>
      </c>
      <c r="BF5" s="5">
        <f t="shared" si="3"/>
        <v>-1.8734177618392406E-3</v>
      </c>
      <c r="BG5" s="2">
        <f>BF5/Parameters!$B$45</f>
        <v>-3.1223629363987344</v>
      </c>
      <c r="BH5" s="2">
        <f>1-BG4/BG5</f>
        <v>1.6689052069137178E-2</v>
      </c>
      <c r="BI5">
        <f>-2*Parameters!B$6 * C5/F5*X5^-Parameters!B$52</f>
        <v>0.14563075863708305</v>
      </c>
      <c r="BJ5">
        <f>X5^-Parameters!B$52</f>
        <v>0.77806737945263893</v>
      </c>
      <c r="BK5">
        <f>-EXP(-Parameters!B$42*'6states'!A5)*(-Parameters!B$37/Parameters!B$38/Parameters!E$25*(EXP(-Parameters!B$38*Parameters!E$25*'6states'!AE5/('6states'!F5+'6states'!AE5))-EXP(-Parameters!B$38*Parameters!E$25))+Parameters!B$37*'6states'!F5/('6states'!F5+'6states'!AE5)*EXP(-Parameters!B$38*Parameters!E$25*'6states'!I5/('6states'!F5+'6states'!AE5)))</f>
        <v>-0.92012353610674713</v>
      </c>
      <c r="BL5">
        <f>-J5*K5*EXP(-Parameters!B$42*'6states'!A5)*(-Parameters!B$37/Parameters!B$38/Parameters!E$25*(EXP(-Parameters!B$38*Parameters!E$25*'6states'!I5/('6states'!F5+'6states'!I5))-EXP(-Parameters!B$38*Parameters!E$25)) + Parameters!B$37*'6states'!F5/('6states'!F5+'6states'!I5)*EXP(-Parameters!B$38*Parameters!E$25*'6states'!I5/('6states'!F5+'6states'!I5)))</f>
        <v>-72.952660224206184</v>
      </c>
      <c r="BM5" s="7">
        <f t="shared" si="4"/>
        <v>4.1548177409689108E-2</v>
      </c>
      <c r="BN5" s="7">
        <f t="shared" si="5"/>
        <v>-1.7466213752711293</v>
      </c>
      <c r="BS5">
        <f>EXP(-Parameters!$B$56*A5)*BF5*BL5</f>
        <v>0.12641563687655316</v>
      </c>
      <c r="BT5">
        <f>-EXP((Parameters!$B$56)*F5)*SUM(BS5:BS13)</f>
        <v>-0.32245871863179926</v>
      </c>
      <c r="BU5">
        <f>X5^-Parameters!B$52/(1-2*Parameters!B$5*'6states'!D5/'6states'!G5)</f>
        <v>1.4995253480460182</v>
      </c>
      <c r="BV5">
        <f t="shared" ref="BV5:BV36" si="16">BU5/BU4</f>
        <v>0.97012728031094908</v>
      </c>
      <c r="BW5">
        <f>$X5^-Parameters!$B$52/(1-2*Parameters!$B$5*'6states'!$E5/'6states'!$H5)</f>
        <v>0.87802971846145395</v>
      </c>
      <c r="BX5">
        <f t="shared" ref="BX5:BX36" si="17">BW5/BW4</f>
        <v>1.0003371664139324</v>
      </c>
      <c r="BY5" s="7">
        <f>($X5^-Parameters!$B$52*(1/(1+EXP(-C5)) + IF(C5&lt;0,2*Parameters!$B$6*C5/F5,0)) + BQ5*(1/(1+EXP((C5-Parameters!$B$22)*Parameters!$B$21))))/(1-IF(C5&gt;0,2*Parameters!$B$5*C5/F5,0))</f>
        <v>0.24081692924069337</v>
      </c>
      <c r="BZ5">
        <f t="shared" ref="BZ5:BZ36" si="18">BY5/BY4</f>
        <v>3.0138868446249196</v>
      </c>
      <c r="CA5" s="7">
        <f t="shared" ref="CA5:CA36" si="19">BY5-BY4</f>
        <v>0.16091448377557066</v>
      </c>
      <c r="CB5">
        <f>(1/$T5-1/Parameters!$B$13) * LN(Parameters!$B$18) / LN(P5)</f>
        <v>0.27014577990452315</v>
      </c>
      <c r="CC5">
        <f>(Parameters!$B$18*'6states'!T5^+Parameters!$B$19*Parameters!$B$25^'6states'!T5)^((1-'6states'!T5)/'6states'!T5)*Parameters!$B$18*Parameters!$B$26^('6states'!T5-1)</f>
        <v>0.13944008921986675</v>
      </c>
      <c r="CD5">
        <f t="shared" ref="CD5:CD36" si="20">(LN(CC5)-LN(CC$4))/ LN(P5)</f>
        <v>0.36032768058025405</v>
      </c>
      <c r="CE5">
        <f t="shared" ref="CE5:CE36" si="21">1-2^-CB5</f>
        <v>0.17076425014575447</v>
      </c>
      <c r="CF5">
        <f t="shared" ref="CF5:CF36" si="22">1-2^-CC5</f>
        <v>9.2128567618512291E-2</v>
      </c>
    </row>
    <row r="6" spans="1:84" x14ac:dyDescent="0.25">
      <c r="A6">
        <f>A5+Parameters!$B$65</f>
        <v>2</v>
      </c>
      <c r="B6">
        <v>2027</v>
      </c>
      <c r="C6" s="74">
        <v>-8.5753020699131707E-3</v>
      </c>
      <c r="D6" s="69">
        <v>4.4268232686392898E-2</v>
      </c>
      <c r="E6" s="75">
        <v>0.24016692830549999</v>
      </c>
      <c r="F6" s="7">
        <f>MAX((1-Parameters!$B$4)^Parameters!B$65*F5 + C5*Parameters!B$65 - IF(C5&gt;0,Parameters!$B$5,0)*C5^2/F5*Parameters!B$65, 0.0001)</f>
        <v>0.65232789443442163</v>
      </c>
      <c r="G6" s="7">
        <f>(1-Parameters!$B$4)^Parameters!B$65*G5+D5*Parameters!B$65-Parameters!$B$5*D5^2/G5*Parameters!B$65</f>
        <v>0.19200662186919409</v>
      </c>
      <c r="H6" s="7">
        <f>(1-Parameters!$B$4)^Parameters!B$65*H5+E5*Parameters!B$65-Parameters!$B$5*E5^2/H5*Parameters!B$65</f>
        <v>4.2739125309825754</v>
      </c>
      <c r="I6" s="9">
        <f>I5 *(1-Parameters!$B$4)-C5*(C5&lt;0)*Parameters!B$65</f>
        <v>4.214893006792847E-2</v>
      </c>
      <c r="J6" s="23">
        <f>J5*(1+Parameters!$B$51)^Parameters!B$65</f>
        <v>8.2073966255999977</v>
      </c>
      <c r="K6" s="23">
        <f>K5*(1+Parameters!$B$53)^Parameters!B$65</f>
        <v>9.4183124001269682</v>
      </c>
      <c r="L6" s="23">
        <f>J6*K6*EXP(-Parameters!$B$42*'6states'!A6)*(Parameters!$B$37/Parameters!$B$38*('6states'!F6+'6states'!I6)/Parameters!$E$25*(EXP(-Parameters!$B$38*Parameters!$E$25*'6states'!I6/('6states'!F6+'6states'!I6))-EXP(-Parameters!$B$38*Parameters!$E$25))  +  Parameters!$B$39*'6states'!F6)</f>
        <v>38.479357823644783</v>
      </c>
      <c r="M6" s="8">
        <f>M5+L6*Parameters!B$65</f>
        <v>2380.5944005298161</v>
      </c>
      <c r="N6" s="7">
        <f>M6*Parameters!$B$45</f>
        <v>1.4283566403178896</v>
      </c>
      <c r="O6" s="9">
        <f>EXP(-Parameters!$B$46/2*N6^2)</f>
        <v>0.97970474134559027</v>
      </c>
      <c r="P6" s="8">
        <f>MAX((Parameters!$B$62 + Parameters!$B$31*'6states'!A6 - '6states'!M6 + Parameters!$B$47/Parameters!$B$45)/Parameters!B$62,1)</f>
        <v>1.5161119894036801</v>
      </c>
      <c r="Q6" s="7">
        <f>Parameters!B$61*EXP(-Parameters!B$60*A6)</f>
        <v>0.47371605325089916</v>
      </c>
      <c r="R6" s="7">
        <f>(1-Parameters!B$61)*P6^-Parameters!B$63</f>
        <v>0.47961954872932877</v>
      </c>
      <c r="S6" s="7">
        <f>Parameters!B$61*EXP(-Parameters!B$60*A6)+(1-Parameters!B$61)*P6^-Parameters!B$63</f>
        <v>0.95333560198022793</v>
      </c>
      <c r="T6" s="7">
        <f>1-S6/Parameters!$B$12</f>
        <v>0.52333219900988603</v>
      </c>
      <c r="U6" s="7">
        <f t="shared" si="0"/>
        <v>2.0978971055373212</v>
      </c>
      <c r="V6" s="7">
        <f>(Parameters!$B$19*(F6+Parameters!$B$20)^T6+Parameters!$B$18*G6^T6)^(1/T6)</f>
        <v>0.4910971219049502</v>
      </c>
      <c r="W6" s="7">
        <f>(Parameters!$B$10*H6^Parameters!$B$9+Parameters!$B$11*V6^Parameters!$B$9)^(Parameters!$B$7/Parameters!$B$9)*O6</f>
        <v>1.4834270330614066</v>
      </c>
      <c r="X6" s="7">
        <f>W6 - D6 - E6 - LN(1+EXP(Parameters!$B$21*C6))/Parameters!$B$21 - IF(C6&gt;0, 0,Parameters!$B$6*C6^2/F6)</f>
        <v>1.1981830169725618</v>
      </c>
      <c r="Y6" s="7">
        <f>EXP(-Parameters!$B$55*A6)</f>
        <v>0.9702514638494153</v>
      </c>
      <c r="Z6" s="7">
        <f>IF(X6&gt;0,X6^(1-Parameters!$B$52)/(1-Parameters!$B$52)*Y6*Parameters!$B$65,-10+X6*1000)</f>
        <v>-2.6021549655120522</v>
      </c>
      <c r="AB6" s="9"/>
      <c r="AC6">
        <f t="shared" si="6"/>
        <v>-0.66286935285643767</v>
      </c>
      <c r="AD6">
        <f t="shared" si="7"/>
        <v>3.4219266579404111</v>
      </c>
      <c r="AE6" s="23">
        <f t="shared" si="8"/>
        <v>3.2581049355386611</v>
      </c>
      <c r="AF6" s="23">
        <f t="shared" si="9"/>
        <v>50.424832350929194</v>
      </c>
      <c r="AG6" s="23">
        <f t="shared" si="10"/>
        <v>14.842078348369153</v>
      </c>
      <c r="AH6" s="23">
        <f t="shared" si="11"/>
        <v>37.961721783415811</v>
      </c>
      <c r="AI6" s="23">
        <f t="shared" si="12"/>
        <v>93.426687466265662</v>
      </c>
      <c r="AJ6" s="23">
        <f t="shared" si="13"/>
        <v>114.66865066656673</v>
      </c>
      <c r="AK6" s="23">
        <f t="shared" si="14"/>
        <v>92.619338023181541</v>
      </c>
      <c r="AL6" s="9">
        <f t="shared" ref="AL6:AL69" si="23">LN(AJ6)-LN(AJ5)</f>
        <v>1.6676306688698794E-2</v>
      </c>
      <c r="AM6" s="9">
        <f t="shared" ref="AM6:AM69" si="24">LN(AK6)-LN(AK5)</f>
        <v>1.762161121147976E-2</v>
      </c>
      <c r="AN6" s="9"/>
      <c r="AO6" s="9"/>
      <c r="AP6" s="23"/>
      <c r="AQ6" s="8">
        <f t="shared" si="1"/>
        <v>114.66865066656673</v>
      </c>
      <c r="AR6" s="32">
        <f>Parameters!$B$7*W6*(W6/O6)^(-Parameters!$B$9/Parameters!$B$7)*Parameters!$B$11*(V6)^(Parameters!$B$9-T6)*((1-2*Parameters!$B$5*C6/F6)*Parameters!$B$19*(F6+Parameters!$B$20)^(T6-1)-(1-2*Parameters!$B$5*D6/G6)*(Parameters!$B$18)*(G6)^(T6-1))</f>
        <v>8.0093830358979795E-2</v>
      </c>
      <c r="AS6" s="32">
        <f>((C7-C5)/2-(F7-F5)/F6/2*C6)/(F6/2/Parameters!$B$5-C6)-((D7-D5)/D6-(G7-G5)/G6)/(G6/2/Parameters!$B$5/D6-1)</f>
        <v>0.10710763244631238</v>
      </c>
      <c r="AT6" s="32">
        <f>+Parameters!$B$5*C6^2/F6^2-Parameters!$B$5*D6^2/G6^2</f>
        <v>-5.2983149366630476E-2</v>
      </c>
      <c r="AU6" s="30">
        <f>EXP(-Parameters!$B$42*'6states'!A6)*(Parameters!$B$37*EXP(-Parameters!$B$38*Parameters!$E$25*'6states'!I6/('6states'!F6+'6states'!I6))*(1/Parameters!$B$38/Parameters!$E$25+'6states'!I6/('6states'!F6+'6states'!I6))-Parameters!$B$37/Parameters!$B$38/Parameters!$E$25*EXP(-Parameters!$B$38*Parameters!$E$25)+Parameters!$B$39)</f>
        <v>0.78987345969592038</v>
      </c>
      <c r="AV6" s="30">
        <f>J6*K6*EXP(-Parameters!$B$42*'6states'!A6)*(Parameters!$B$37*EXP(-Parameters!$B$38*Parameters!$E$25*'6states'!I6/('6states'!F6+'6states'!I6))*(1/Parameters!$B$38/Parameters!$E$25+'6states'!I6/('6states'!F6+'6states'!I6))-Parameters!$B$37/Parameters!$B$38/Parameters!$E$25*EXP(-Parameters!$B$38*Parameters!$E$25)+Parameters!$B$39)</f>
        <v>61.057080531789573</v>
      </c>
      <c r="AW6" s="8">
        <f t="shared" ref="AW6:AW13" si="25">1000*(AR6+AS6+AT6)/AU6</f>
        <v>169.92381727869687</v>
      </c>
      <c r="AX6" s="13">
        <f>1-W6/'6states,ExoDamages'!T6</f>
        <v>1.1604402249996926E-2</v>
      </c>
      <c r="AY6" s="21">
        <f>-Y6*W6*X6^(-Parameters!B$52)*Parameters!B$46*Parameters!B$45*N6</f>
        <v>-1.9423531586025694E-5</v>
      </c>
      <c r="AZ6" s="7">
        <f>1000*EXP(-(Parameters!$B$54)*'6states'!A6)*AQ6*Parameters!B$46*Parameters!B$45*N6</f>
        <v>1.8413705602689354</v>
      </c>
      <c r="BA6" s="7">
        <f>SUM(AZ6:AZ$204)*EXP(Parameters!$B$54*A6)</f>
        <v>190.51261266198574</v>
      </c>
      <c r="BB6" s="13">
        <f t="shared" si="2"/>
        <v>0.19174192909569193</v>
      </c>
      <c r="BC6" s="30">
        <f>Parameters!$B$6*C6/F6</f>
        <v>-6.5728463730254025E-2</v>
      </c>
      <c r="BD6" s="30">
        <f>Parameters!$B$5*D6/G6</f>
        <v>0.23055576029326194</v>
      </c>
      <c r="BE6" s="30">
        <f t="shared" ref="BE6" si="26">(1-2*BD6)/(1-2*BC6)</f>
        <v>0.4762783861538426</v>
      </c>
      <c r="BF6" s="5">
        <f t="shared" si="3"/>
        <v>-1.8830941796754248E-3</v>
      </c>
      <c r="BG6" s="2">
        <f>BF6/Parameters!$B$45</f>
        <v>-3.1384902994590416</v>
      </c>
      <c r="BH6" s="2">
        <f t="shared" ref="BH6:BH55" si="27">1-BG5/BG6</f>
        <v>5.1385734928308668E-3</v>
      </c>
      <c r="BI6">
        <f>-2*Parameters!B$6 * C6/F6*X6^-Parameters!B$52</f>
        <v>0.10298576795367093</v>
      </c>
      <c r="BJ6">
        <f>X6^-Parameters!B$52</f>
        <v>0.78341834046448133</v>
      </c>
      <c r="BK6">
        <f>-EXP(-Parameters!B$42*'6states'!A6)*(-Parameters!B$37/Parameters!B$38/Parameters!E$25*(EXP(-Parameters!B$38*Parameters!E$25*'6states'!AE6/('6states'!F6+'6states'!AE6))-EXP(-Parameters!B$38*Parameters!E$25))+Parameters!B$37*'6states'!F6/('6states'!F6+'6states'!AE6)*EXP(-Parameters!B$38*Parameters!E$25*'6states'!I6/('6states'!F6+'6states'!AE6)))</f>
        <v>-0.63228457530652837</v>
      </c>
      <c r="BL6">
        <f>-J6*K6*EXP(-Parameters!B$42*'6states'!A6)*(-Parameters!B$37/Parameters!B$38/Parameters!E$25*(EXP(-Parameters!B$38*Parameters!E$25*'6states'!I6/('6states'!F6+'6states'!I6))-EXP(-Parameters!B$38*Parameters!E$25)) + Parameters!B$37*'6states'!F6/('6states'!F6+'6states'!I6)*EXP(-Parameters!B$38*Parameters!E$25*'6states'!I6/('6states'!F6+'6states'!I6)))</f>
        <v>-32.026411057052321</v>
      </c>
      <c r="BM6" s="7">
        <f t="shared" si="4"/>
        <v>6.0691629412013365E-2</v>
      </c>
      <c r="BN6" s="7">
        <f t="shared" si="5"/>
        <v>-1.4221580350024488</v>
      </c>
      <c r="BS6">
        <f>EXP(-Parameters!$B$56*A6)*BF6*BL6</f>
        <v>5.1597703831414585E-2</v>
      </c>
      <c r="BT6">
        <f>-EXP((Parameters!$B$56)*F6)*SUM(BS6:BS14)</f>
        <v>-0.19933421241172383</v>
      </c>
      <c r="BU6">
        <f>X6^-Parameters!B$52/(1-2*Parameters!B$5*'6states'!D6/'6states'!G6)</f>
        <v>1.4537670972612933</v>
      </c>
      <c r="BV6">
        <f t="shared" si="16"/>
        <v>0.9694848434243869</v>
      </c>
      <c r="BW6">
        <f>$X6^-Parameters!$B$52/(1-2*Parameters!$B$5*'6states'!$E6/'6states'!$H6)</f>
        <v>0.8826128966120298</v>
      </c>
      <c r="BX6">
        <f t="shared" si="17"/>
        <v>1.0052198439918489</v>
      </c>
      <c r="BY6" s="7">
        <f>($X6^-Parameters!$B$52 * (1/(1+EXP(-C6)) + IF(C6&lt;0,2*Parameters!$B$6*C6/F6,0)) + BQ6 * (1/(1+EXP((C6-Parameters!$B$22)*Parameters!$B$21)))) / (1-IF(C6&gt;0,2*Parameters!$B$5*C6/F6,0))</f>
        <v>0.28704390034136951</v>
      </c>
      <c r="BZ6">
        <f t="shared" si="18"/>
        <v>1.1919589758345972</v>
      </c>
      <c r="CA6" s="7">
        <f t="shared" si="19"/>
        <v>4.622697110067614E-2</v>
      </c>
      <c r="CB6">
        <f>(1/$T6-1/Parameters!$B$13) * LN(Parameters!$B$18) / LN(P6)</f>
        <v>0.25525405732175921</v>
      </c>
      <c r="CC6">
        <f>(Parameters!$B$18*'6states'!T6^+Parameters!$B$19*Parameters!$B$25^'6states'!T6)^((1-'6states'!T6)/'6states'!T6)*Parameters!$B$18*Parameters!$B$26^('6states'!T6-1)</f>
        <v>0.14919533553924275</v>
      </c>
      <c r="CD6">
        <f t="shared" si="20"/>
        <v>0.33587559718595461</v>
      </c>
      <c r="CE6">
        <f t="shared" si="21"/>
        <v>0.16216042113331441</v>
      </c>
      <c r="CF6">
        <f t="shared" si="22"/>
        <v>9.8246723921178947E-2</v>
      </c>
    </row>
    <row r="7" spans="1:84" x14ac:dyDescent="0.25">
      <c r="A7">
        <f>A6+Parameters!$B$65</f>
        <v>3</v>
      </c>
      <c r="B7">
        <v>2028</v>
      </c>
      <c r="C7" s="74">
        <v>5.3725717327883296E-3</v>
      </c>
      <c r="D7" s="69">
        <v>4.6844725723745401E-2</v>
      </c>
      <c r="E7" s="75">
        <v>0.23367108855759</v>
      </c>
      <c r="F7" s="7">
        <f>MAX((1-Parameters!$B$4)^Parameters!B$65*F6 + C6*Parameters!B$65 - IF(C6&gt;0,Parameters!$B$5,0)*C6^2/F6*Parameters!B$65, 0.0001)</f>
        <v>0.60272116780458329</v>
      </c>
      <c r="G7" s="7">
        <f>(1-Parameters!$B$4)^Parameters!B$65*G6+D6*Parameters!B$65-Parameters!$B$5*D6^2/G6*Parameters!B$65</f>
        <v>0.21399134199616435</v>
      </c>
      <c r="H7" s="7">
        <f>(1-Parameters!$B$4)^Parameters!B$65*H6+E6*Parameters!B$65-Parameters!$B$5*E6^2/H6*Parameters!B$65</f>
        <v>4.2317544944720771</v>
      </c>
      <c r="I7" s="9">
        <f>I6 *(1-Parameters!$B$4)-C6*(C6&lt;0)*Parameters!B$65</f>
        <v>4.8073064436568946E-2</v>
      </c>
      <c r="J7" s="23">
        <f>J6*(1+Parameters!$B$51)^Parameters!B$65</f>
        <v>8.2311980758142376</v>
      </c>
      <c r="K7" s="23">
        <f>K6*(1+Parameters!$B$53)^Parameters!B$65</f>
        <v>9.6066786481295079</v>
      </c>
      <c r="L7" s="23">
        <f>J7*K7*EXP(-Parameters!$B$42*'6states'!A7)*(Parameters!$B$37/Parameters!$B$38*('6states'!F7+'6states'!I7)/Parameters!$E$25*(EXP(-Parameters!$B$38*Parameters!$E$25*'6states'!I7/('6states'!F7+'6states'!I7))-EXP(-Parameters!$B$38*Parameters!$E$25))  +  Parameters!$B$39*'6states'!F7)</f>
        <v>35.782680296704072</v>
      </c>
      <c r="M7" s="8">
        <f>M6+L7*Parameters!B$65</f>
        <v>2416.3770808265203</v>
      </c>
      <c r="N7" s="7">
        <f>M7*Parameters!$B$45</f>
        <v>1.4498262484959121</v>
      </c>
      <c r="O7" s="9">
        <f>EXP(-Parameters!$B$46/2*N7^2)</f>
        <v>0.97909650981461194</v>
      </c>
      <c r="P7" s="8">
        <f>MAX((Parameters!$B$62 + Parameters!$B$31*'6states'!A7 - '6states'!M7 + Parameters!$B$47/Parameters!$B$45)/Parameters!B$62,1)</f>
        <v>1.8644583834695914</v>
      </c>
      <c r="Q7" s="7">
        <f>Parameters!B$61*EXP(-Parameters!B$60*A7)</f>
        <v>0.46109684572230403</v>
      </c>
      <c r="R7" s="7">
        <f>(1-Parameters!B$61)*P7^-Parameters!B$63</f>
        <v>0.46980186332744872</v>
      </c>
      <c r="S7" s="7">
        <f>Parameters!B$61*EXP(-Parameters!B$60*A7)+(1-Parameters!B$61)*P7^-Parameters!B$63</f>
        <v>0.93089870904975269</v>
      </c>
      <c r="T7" s="7">
        <f>1-S7/Parameters!$B$12</f>
        <v>0.53455064547512365</v>
      </c>
      <c r="U7" s="7">
        <f t="shared" si="0"/>
        <v>2.1484614604757266</v>
      </c>
      <c r="V7" s="7">
        <f>(Parameters!$B$19*(F7+Parameters!$B$20)^T7+Parameters!$B$18*G7^T7)^(1/T7)</f>
        <v>0.47149780496455806</v>
      </c>
      <c r="W7" s="7">
        <f>(Parameters!$B$10*H7^Parameters!$B$9+Parameters!$B$11*V7^Parameters!$B$9)^(Parameters!$B$7/Parameters!$B$9)*O7</f>
        <v>1.474625853332465</v>
      </c>
      <c r="X7" s="7">
        <f>W7 - D7 - E7 - LN(1+EXP(Parameters!$B$21*C7))/Parameters!$B$21 - IF(C7&gt;0, 0,Parameters!$B$6*C7^2/F7)</f>
        <v>1.1881310239843212</v>
      </c>
      <c r="Y7" s="7">
        <f>EXP(-Parameters!$B$55*A7)</f>
        <v>0.95571072560413495</v>
      </c>
      <c r="Z7" s="7">
        <f>IF(X7&gt;0,X7^(1-Parameters!$B$52)/(1-Parameters!$B$52)*Y7*Parameters!$B$65,-10+X7*1000)</f>
        <v>-2.5707266392604695</v>
      </c>
      <c r="AB7" s="9"/>
      <c r="AC7">
        <f t="shared" si="6"/>
        <v>0.42483328811409488</v>
      </c>
      <c r="AD7">
        <f t="shared" si="7"/>
        <v>3.7042220839168003</v>
      </c>
      <c r="AE7" s="23">
        <f t="shared" si="8"/>
        <v>3.8013523225140671</v>
      </c>
      <c r="AF7" s="23">
        <f t="shared" si="9"/>
        <v>47.659859797069068</v>
      </c>
      <c r="AG7" s="23">
        <f t="shared" si="10"/>
        <v>16.921252980832005</v>
      </c>
      <c r="AH7" s="23">
        <f t="shared" si="11"/>
        <v>37.283441298551608</v>
      </c>
      <c r="AI7" s="23">
        <f t="shared" si="12"/>
        <v>91.757387553173757</v>
      </c>
      <c r="AJ7" s="23">
        <f t="shared" si="13"/>
        <v>116.60526488385297</v>
      </c>
      <c r="AK7" s="23">
        <f t="shared" si="14"/>
        <v>93.950836719244649</v>
      </c>
      <c r="AL7" s="9">
        <f t="shared" si="23"/>
        <v>1.6747755394506569E-2</v>
      </c>
      <c r="AM7" s="9">
        <f t="shared" si="24"/>
        <v>1.4273678032607151E-2</v>
      </c>
      <c r="AN7" s="9">
        <f>AVERAGE(AL5:AL9)</f>
        <v>1.7107318163817452E-2</v>
      </c>
      <c r="AO7" s="9">
        <f>AVERAGE(AM5:AM9)</f>
        <v>1.7396170695273307E-2</v>
      </c>
      <c r="AP7" s="23"/>
      <c r="AQ7" s="8">
        <f t="shared" si="1"/>
        <v>116.60526488385297</v>
      </c>
      <c r="AR7" s="32">
        <f>Parameters!$B$7*W7*(W7/O7)^(-Parameters!$B$9/Parameters!$B$7)*Parameters!$B$11*(V7)^(Parameters!$B$9-T7)*((1-2*Parameters!$B$5*C7/F7)*Parameters!$B$19*(F7+Parameters!$B$20)^(T7-1)-(1-2*Parameters!$B$5*D7/G7)*(Parameters!$B$18)*(G7)^(T7-1))</f>
        <v>8.9702438400658197E-2</v>
      </c>
      <c r="AS7" s="32">
        <f>((C8-C6)/2-(F8-F6)/F7/2*C7)/(F7/2/Parameters!$B$5-C7)-((D8-D6)/D7-(G8-G6)/G7)/(G7/2/Parameters!$B$5/D7-1)</f>
        <v>0.10292868691999228</v>
      </c>
      <c r="AT7" s="32">
        <f>+Parameters!$B$5*C7^2/F7^2-Parameters!$B$5*D7^2/G7^2</f>
        <v>-4.7841887837735721E-2</v>
      </c>
      <c r="AU7" s="30">
        <f>EXP(-Parameters!$B$42*'6states'!A7)*(Parameters!$B$37*EXP(-Parameters!$B$38*Parameters!$E$25*'6states'!I7/('6states'!F7+'6states'!I7))*(1/Parameters!$B$38/Parameters!$E$25+'6states'!I7/('6states'!F7+'6states'!I7))-Parameters!$B$37/Parameters!$B$38/Parameters!$E$25*EXP(-Parameters!$B$38*Parameters!$E$25)+Parameters!$B$39)</f>
        <v>0.76919088219337628</v>
      </c>
      <c r="AV7" s="30">
        <f>J7*K7*EXP(-Parameters!$B$42*'6states'!A7)*(Parameters!$B$37*EXP(-Parameters!$B$38*Parameters!$E$25*'6states'!I7/('6states'!F7+'6states'!I7))*(1/Parameters!$B$38/Parameters!$E$25+'6states'!I7/('6states'!F7+'6states'!I7))-Parameters!$B$37/Parameters!$B$38/Parameters!$E$25*EXP(-Parameters!$B$38*Parameters!$E$25)+Parameters!$B$39)</f>
        <v>60.823365033043089</v>
      </c>
      <c r="AW7" s="8">
        <f t="shared" si="25"/>
        <v>188.23576934511092</v>
      </c>
      <c r="AX7" s="13">
        <f>1-W7/'6states,ExoDamages'!T7</f>
        <v>1.6993446282309588E-2</v>
      </c>
      <c r="AY7" s="21">
        <f>-Y7*W7*X7^(-Parameters!B$52)*Parameters!B$46*Parameters!B$45*N7</f>
        <v>-1.9525614736897857E-5</v>
      </c>
      <c r="AZ7" s="7">
        <f>1000*EXP(-(Parameters!$B$54)*'6states'!A7)*AQ7*Parameters!B$46*Parameters!B$45*N7</f>
        <v>1.8350597810792095</v>
      </c>
      <c r="BA7" s="7">
        <f>SUM(AZ7:AZ$204)*EXP(Parameters!$B$54*A7)</f>
        <v>195.27250381595422</v>
      </c>
      <c r="BB7" s="13">
        <f t="shared" si="2"/>
        <v>0.19387181186878877</v>
      </c>
      <c r="BC7" s="30"/>
      <c r="BD7" s="30"/>
      <c r="BE7" s="30"/>
      <c r="BF7" s="5">
        <f t="shared" si="3"/>
        <v>-1.891421017241065E-3</v>
      </c>
      <c r="BG7" s="2">
        <f>BF7/Parameters!$B$45</f>
        <v>-3.152368362068442</v>
      </c>
      <c r="BH7" s="2">
        <f t="shared" si="27"/>
        <v>4.4024241508039408E-3</v>
      </c>
      <c r="BK7">
        <f>-EXP(-Parameters!B$42*'6states'!A7)*(-Parameters!B$37/Parameters!B$38/Parameters!E$25*(EXP(-Parameters!B$38*Parameters!E$25*'6states'!AE7/('6states'!F7+'6states'!AE7))-EXP(-Parameters!B$38*Parameters!E$25))+Parameters!B$37*'6states'!F7/('6states'!F7+'6states'!AE7)*EXP(-Parameters!B$38*Parameters!E$25*'6states'!I7/('6states'!F7+'6states'!AE7)))</f>
        <v>-0.51057134501805157</v>
      </c>
      <c r="BL7">
        <f>-J7*K7*EXP(-Parameters!B$42*'6states'!A7)*(-Parameters!B$37/Parameters!B$38/Parameters!E$25*(EXP(-Parameters!B$38*Parameters!E$25*'6states'!I7/('6states'!F7+'6states'!I7))-EXP(-Parameters!B$38*Parameters!E$25)) + Parameters!B$37*'6states'!F7/('6states'!F7+'6states'!I7)*EXP(-Parameters!B$38*Parameters!E$25*'6states'!I7/('6states'!F7+'6states'!I7)))</f>
        <v>-18.239929492597561</v>
      </c>
      <c r="BM7" s="7">
        <f t="shared" si="4"/>
        <v>7.3868301307801768E-2</v>
      </c>
      <c r="BN7" s="7">
        <f t="shared" si="5"/>
        <v>-1.2797622272114277</v>
      </c>
      <c r="BS7">
        <f>EXP(-Parameters!$B$56*A7)*BF7*BL7</f>
        <v>2.7301496748518679E-2</v>
      </c>
      <c r="BT7">
        <f>-EXP((Parameters!$B$56)*F7)*SUM(BS7:BS15)</f>
        <v>-0.15602895117714563</v>
      </c>
      <c r="BU7">
        <f>X7^-Parameters!B$52/(1-2*Parameters!B$5*'6states'!D7/'6states'!G7)</f>
        <v>1.4094734390365715</v>
      </c>
      <c r="BV7">
        <f t="shared" si="16"/>
        <v>0.96953180581114728</v>
      </c>
      <c r="BW7">
        <f>$X7^-Parameters!$B$52/(1-2*Parameters!$B$5*'6states'!$E7/'6states'!$H7)</f>
        <v>0.89075121734823159</v>
      </c>
      <c r="BX7">
        <f t="shared" si="17"/>
        <v>1.0092207135964604</v>
      </c>
      <c r="BY7" s="7">
        <f>($X7^-Parameters!$B$52*(1/(1+EXP(-C7)) + IF(C7&lt;0,2*Parameters!$B$6*C7/F7,0)) + BQ7*(1/(1+EXP((C7-Parameters!$B$22)*Parameters!$B$21))))/(1-IF(C7&gt;0,2*Parameters!$B$5*C7/F7,0))</f>
        <v>0.40446463030295221</v>
      </c>
      <c r="BZ7">
        <f t="shared" si="18"/>
        <v>1.4090688909324987</v>
      </c>
      <c r="CA7" s="7">
        <f t="shared" si="19"/>
        <v>0.1174207299615827</v>
      </c>
      <c r="CB7">
        <f>(1/$T7-1/Parameters!$B$13) * LN(Parameters!$B$18) / LN(P7)</f>
        <v>0.24719700937786657</v>
      </c>
      <c r="CC7">
        <f>(Parameters!$B$18*'6states'!T7^+Parameters!$B$19*Parameters!$B$25^'6states'!T7)^((1-'6states'!T7)/'6states'!T7)*Parameters!$B$18*Parameters!$B$26^('6states'!T7-1)</f>
        <v>0.15845999259070878</v>
      </c>
      <c r="CD7">
        <f t="shared" si="20"/>
        <v>0.32107465585427475</v>
      </c>
      <c r="CE7">
        <f t="shared" si="21"/>
        <v>0.15746823153790468</v>
      </c>
      <c r="CF7">
        <f t="shared" si="22"/>
        <v>0.10401902285344067</v>
      </c>
    </row>
    <row r="8" spans="1:84" x14ac:dyDescent="0.25">
      <c r="A8">
        <f>A7+Parameters!$B$65</f>
        <v>4</v>
      </c>
      <c r="B8">
        <v>2029</v>
      </c>
      <c r="C8" s="74">
        <v>6.6705230441189501E-3</v>
      </c>
      <c r="D8" s="69">
        <v>4.9576575900503003E-2</v>
      </c>
      <c r="E8" s="75">
        <v>0.22874850348594999</v>
      </c>
      <c r="F8" s="7">
        <f>MAX((1-Parameters!$B$4)^Parameters!B$65*F7 + C7*Parameters!B$65 - IF(C7&gt;0,Parameters!$B$5,0)*C7^2/F7*Parameters!B$65, 0.0001)</f>
        <v>0.57013468773354947</v>
      </c>
      <c r="G8" s="7">
        <f>(1-Parameters!$B$4)^Parameters!B$65*G7+D7*Parameters!B$65-Parameters!$B$5*D7^2/G7*Parameters!B$65</f>
        <v>0.2371212594400211</v>
      </c>
      <c r="H8" s="7">
        <f>(1-Parameters!$B$4)^Parameters!B$65*H7+E7*Parameters!B$65-Parameters!$B$5*E7^2/H7*Parameters!B$65</f>
        <v>4.1863452609188725</v>
      </c>
      <c r="I8" s="9">
        <f>I7 *(1-Parameters!$B$4)-C7*(C7&lt;0)*Parameters!B$65</f>
        <v>4.504926868350876E-2</v>
      </c>
      <c r="J8" s="23">
        <f>J7*(1+Parameters!$B$51)^Parameters!B$65</f>
        <v>8.2550685502340979</v>
      </c>
      <c r="K8" s="23">
        <f>K7*(1+Parameters!$B$53)^Parameters!B$65</f>
        <v>9.7988122210920974</v>
      </c>
      <c r="L8" s="23">
        <f>J8*K8*EXP(-Parameters!$B$42*'6states'!A8)*(Parameters!$B$37/Parameters!$B$38*('6states'!F8+'6states'!I8)/Parameters!$E$25*(EXP(-Parameters!$B$38*Parameters!$E$25*'6states'!I8/('6states'!F8+'6states'!I8))-EXP(-Parameters!$B$38*Parameters!$E$25))  +  Parameters!$B$39*'6states'!F8)</f>
        <v>34.288582260623926</v>
      </c>
      <c r="M8" s="8">
        <f>M7+L8*Parameters!B$65</f>
        <v>2450.6656630871444</v>
      </c>
      <c r="N8" s="7">
        <f>M8*Parameters!$B$45</f>
        <v>1.4703993978522865</v>
      </c>
      <c r="O8" s="9">
        <f>EXP(-Parameters!$B$46/2*N8^2)</f>
        <v>0.97850552319259831</v>
      </c>
      <c r="P8" s="8">
        <f>MAX((Parameters!$B$62 + Parameters!$B$31*'6states'!A8 - '6states'!M8 + Parameters!$B$47/Parameters!$B$45)/Parameters!B$62,1)</f>
        <v>2.2426867382571163</v>
      </c>
      <c r="Q8" s="7">
        <f>Parameters!B$61*EXP(-Parameters!B$60*A8)</f>
        <v>0.44881379821521744</v>
      </c>
      <c r="R8" s="7">
        <f>(1-Parameters!B$61)*P8^-Parameters!B$63</f>
        <v>0.46120408239598348</v>
      </c>
      <c r="S8" s="7">
        <f>Parameters!B$61*EXP(-Parameters!B$60*A8)+(1-Parameters!B$61)*P8^-Parameters!B$63</f>
        <v>0.91001788061120092</v>
      </c>
      <c r="T8" s="7">
        <f>1-S8/Parameters!$B$12</f>
        <v>0.54499105969439954</v>
      </c>
      <c r="U8" s="7">
        <f t="shared" si="0"/>
        <v>2.1977590139841294</v>
      </c>
      <c r="V8" s="7">
        <f>(Parameters!$B$19*(F8+Parameters!$B$20)^T8+Parameters!$B$18*G8^T8)^(1/T8)</f>
        <v>0.46147467859571395</v>
      </c>
      <c r="W8" s="7">
        <f>(Parameters!$B$10*H8^Parameters!$B$9+Parameters!$B$11*V8^Parameters!$B$9)^(Parameters!$B$7/Parameters!$B$9)*O8</f>
        <v>1.4676971104149972</v>
      </c>
      <c r="X8" s="7">
        <f>W8 - D8 - E8 - LN(1+EXP(Parameters!$B$21*C8))/Parameters!$B$21 - IF(C8&gt;0, 0,Parameters!$B$6*C8^2/F8)</f>
        <v>1.1822788740715975</v>
      </c>
      <c r="Y8" s="7">
        <f>EXP(-Parameters!$B$55*A8)</f>
        <v>0.94138790310193321</v>
      </c>
      <c r="Z8" s="7">
        <f>IF(X8&gt;0,X8^(1-Parameters!$B$52)/(1-Parameters!$B$52)*Y8*Parameters!$B$65,-10+X8*1000)</f>
        <v>-2.5365801740580132</v>
      </c>
      <c r="AB8" s="9"/>
      <c r="AC8">
        <f t="shared" si="6"/>
        <v>0.53957771916423836</v>
      </c>
      <c r="AD8">
        <f t="shared" si="7"/>
        <v>4.0102426108775067</v>
      </c>
      <c r="AE8" s="23">
        <f t="shared" si="8"/>
        <v>3.6440293340557939</v>
      </c>
      <c r="AF8" s="23">
        <f t="shared" si="9"/>
        <v>46.118118832511463</v>
      </c>
      <c r="AG8" s="23">
        <f t="shared" si="10"/>
        <v>19.180707043175705</v>
      </c>
      <c r="AH8" s="23">
        <f t="shared" si="11"/>
        <v>37.328625189033232</v>
      </c>
      <c r="AI8" s="23">
        <f t="shared" si="12"/>
        <v>91.868588547655008</v>
      </c>
      <c r="AJ8" s="23">
        <f t="shared" si="13"/>
        <v>118.72182346478458</v>
      </c>
      <c r="AK8" s="23">
        <f t="shared" si="14"/>
        <v>95.634380402905109</v>
      </c>
      <c r="AL8" s="9">
        <f t="shared" si="23"/>
        <v>1.7988712399479745E-2</v>
      </c>
      <c r="AM8" s="9">
        <f t="shared" si="24"/>
        <v>1.776075122667109E-2</v>
      </c>
      <c r="AN8" s="9">
        <f t="shared" ref="AN8:AO8" si="28">AVERAGE(AL6:AL10)</f>
        <v>1.7309371583785982E-2</v>
      </c>
      <c r="AO8" s="9">
        <f t="shared" si="28"/>
        <v>1.7174286041720065E-2</v>
      </c>
      <c r="AP8" s="23"/>
      <c r="AQ8" s="8">
        <f t="shared" si="1"/>
        <v>118.72182346478458</v>
      </c>
      <c r="AR8" s="32">
        <f>Parameters!$B$7*W8*(W8/O8)^(-Parameters!$B$9/Parameters!$B$7)*Parameters!$B$11*(V8)^(Parameters!$B$9-T8)*((1-2*Parameters!$B$5*C8/F8)*Parameters!$B$19*(F8+Parameters!$B$20)^(T8-1)-(1-2*Parameters!$B$5*D8/G8)*(Parameters!$B$18)*(G8)^(T8-1))</f>
        <v>9.7986480978256463E-2</v>
      </c>
      <c r="AS8" s="32">
        <f>((C9-C7)/2-(F9-F7)/F8/2*C8)/(F8/2/Parameters!$B$5-C8)-((D9-D7)/D8-(G9-G7)/G8)/(G8/2/Parameters!$B$5/D8-1)</f>
        <v>5.0648680107394775E-2</v>
      </c>
      <c r="AT8" s="32">
        <f>+Parameters!$B$5*C8^2/F8^2-Parameters!$B$5*D8^2/G8^2</f>
        <v>-4.357625884675842E-2</v>
      </c>
      <c r="AU8" s="30">
        <f>EXP(-Parameters!$B$42*'6states'!A8)*(Parameters!$B$37*EXP(-Parameters!$B$38*Parameters!$E$25*'6states'!I8/('6states'!F8+'6states'!I8))*(1/Parameters!$B$38/Parameters!$E$25+'6states'!I8/('6states'!F8+'6states'!I8))-Parameters!$B$37/Parameters!$B$38/Parameters!$E$25*EXP(-Parameters!$B$38*Parameters!$E$25)+Parameters!$B$39)</f>
        <v>0.76205092201891744</v>
      </c>
      <c r="AV8" s="30">
        <f>J8*K8*EXP(-Parameters!$B$42*'6states'!A8)*(Parameters!$B$37*EXP(-Parameters!$B$38*Parameters!$E$25*'6states'!I8/('6states'!F8+'6states'!I8))*(1/Parameters!$B$38/Parameters!$E$25+'6states'!I8/('6states'!F8+'6states'!I8))-Parameters!$B$37/Parameters!$B$38/Parameters!$E$25*EXP(-Parameters!$B$38*Parameters!$E$25)+Parameters!$B$39)</f>
        <v>61.642197421459052</v>
      </c>
      <c r="AW8" s="8">
        <f t="shared" si="25"/>
        <v>137.86336214981284</v>
      </c>
      <c r="AX8" s="13">
        <f>1-W8/'6states,ExoDamages'!T8</f>
        <v>2.1138107123645056E-2</v>
      </c>
      <c r="AY8" s="21">
        <f>-Y8*W8*X8^(-Parameters!B$52)*Parameters!B$46*Parameters!B$45*N8</f>
        <v>-1.9544104311348877E-5</v>
      </c>
      <c r="AZ8" s="7">
        <f>1000*EXP(-(Parameters!$B$54)*'6states'!A8)*AQ8*Parameters!B$46*Parameters!B$45*N8</f>
        <v>1.8295245312355202</v>
      </c>
      <c r="BA8" s="7">
        <f>SUM(AZ8:AZ$204)*EXP(Parameters!$B$54*A8)</f>
        <v>200.1366116721052</v>
      </c>
      <c r="BB8" s="13">
        <f t="shared" si="2"/>
        <v>0.19417875827934844</v>
      </c>
      <c r="BC8" s="30"/>
      <c r="BD8" s="30"/>
      <c r="BE8" s="30"/>
      <c r="BF8" s="5">
        <f t="shared" si="3"/>
        <v>-1.8994568893242446E-3</v>
      </c>
      <c r="BG8" s="2">
        <f>BF8/Parameters!$B$45</f>
        <v>-3.1657614822070745</v>
      </c>
      <c r="BH8" s="2">
        <f t="shared" si="27"/>
        <v>4.2306156714293497E-3</v>
      </c>
      <c r="BK8">
        <f>-EXP(-Parameters!B$42*'6states'!A8)*(-Parameters!B$37/Parameters!B$38/Parameters!E$25*(EXP(-Parameters!B$38*Parameters!E$25*'6states'!AE8/('6states'!F8+'6states'!AE8))-EXP(-Parameters!B$38*Parameters!E$25))+Parameters!B$37*'6states'!F8/('6states'!F8+'6states'!AE8)*EXP(-Parameters!B$38*Parameters!E$25*'6states'!I8/('6states'!F8+'6states'!AE8)))</f>
        <v>-0.50453422757401378</v>
      </c>
      <c r="BL8">
        <f>-J8*K8*EXP(-Parameters!B$42*'6states'!A8)*(-Parameters!B$37/Parameters!B$38/Parameters!E$25*(EXP(-Parameters!B$38*Parameters!E$25*'6states'!I8/('6states'!F8+'6states'!I8))-EXP(-Parameters!B$38*Parameters!E$25)) + Parameters!B$37*'6states'!F8/('6states'!F8+'6states'!I8)*EXP(-Parameters!B$38*Parameters!E$25*'6states'!I8/('6states'!F8+'6states'!I8)))</f>
        <v>-18.996373137189323</v>
      </c>
      <c r="BM8" s="7">
        <f t="shared" si="4"/>
        <v>7.322893943119678E-2</v>
      </c>
      <c r="BN8" s="7">
        <f t="shared" si="5"/>
        <v>-1.2665851495929312</v>
      </c>
      <c r="BS8">
        <f>EXP(-Parameters!$B$56*A8)*BF8*BL8</f>
        <v>2.6411937104716777E-2</v>
      </c>
      <c r="BT8">
        <f>-EXP((Parameters!$B$56)*F8)*SUM(BS8:BS16)</f>
        <v>-0.13886768164009458</v>
      </c>
      <c r="BU8">
        <f>X8^-Parameters!B$52/(1-2*Parameters!B$5*'6states'!D8/'6states'!G8)</f>
        <v>1.3709445228914383</v>
      </c>
      <c r="BV8">
        <f t="shared" si="16"/>
        <v>0.97266431911518025</v>
      </c>
      <c r="BW8">
        <f>$X8^-Parameters!$B$52/(1-2*Parameters!$B$5*'6states'!$E8/'6states'!$H8)</f>
        <v>0.89554709297805091</v>
      </c>
      <c r="BX8">
        <f t="shared" si="17"/>
        <v>1.0053840797928928</v>
      </c>
      <c r="BY8" s="7">
        <f>($X8^-Parameters!$B$52*(1/(1+EXP(-C8)) + IF(C8&lt;0,2*Parameters!$B$6*C8/F8,0)) + BQ8*(1/(1+EXP((C8-Parameters!$B$22)*Parameters!$B$21))))/(1-IF(C8&gt;0,2*Parameters!$B$5*C8/F8,0))</f>
        <v>0.40975793036954722</v>
      </c>
      <c r="BZ8">
        <f t="shared" si="18"/>
        <v>1.0130871766528269</v>
      </c>
      <c r="CA8" s="7">
        <f t="shared" si="19"/>
        <v>5.2933000665950081E-3</v>
      </c>
      <c r="CB8">
        <f>(1/$T8-1/Parameters!$B$13) * LN(Parameters!$B$18) / LN(P8)</f>
        <v>0.2435251864475135</v>
      </c>
      <c r="CC8">
        <f>(Parameters!$B$18*'6states'!T8^+Parameters!$B$19*Parameters!$B$25^'6states'!T8)^((1-'6states'!T8)/'6states'!T8)*Parameters!$B$18*Parameters!$B$26^('6states'!T8-1)</f>
        <v>0.16698137047674799</v>
      </c>
      <c r="CD8">
        <f t="shared" si="20"/>
        <v>0.31250231145986446</v>
      </c>
      <c r="CE8">
        <f t="shared" si="21"/>
        <v>0.15532116127145923</v>
      </c>
      <c r="CF8">
        <f t="shared" si="22"/>
        <v>0.1092955978002822</v>
      </c>
    </row>
    <row r="9" spans="1:84" x14ac:dyDescent="0.25">
      <c r="A9">
        <f>A8+Parameters!$B$65</f>
        <v>5</v>
      </c>
      <c r="B9">
        <v>2030</v>
      </c>
      <c r="C9" s="74">
        <v>-4.9074835147563597E-3</v>
      </c>
      <c r="D9" s="69">
        <v>5.20825212966671E-2</v>
      </c>
      <c r="E9" s="75">
        <v>0.232990441338113</v>
      </c>
      <c r="F9" s="7">
        <f>MAX((1-Parameters!$B$4)^Parameters!B$65*F8 + C8*Parameters!B$65 - IF(C8&gt;0,Parameters!$B$5,0)*C8^2/F8*Parameters!B$65, 0.0001)</f>
        <v>0.54086569441739474</v>
      </c>
      <c r="G9" s="7">
        <f>(1-Parameters!$B$4)^Parameters!B$65*G8+D8*Parameters!B$65-Parameters!$B$5*D8^2/G8*Parameters!B$65</f>
        <v>0.26141759172699292</v>
      </c>
      <c r="H9" s="7">
        <f>(1-Parameters!$B$4)^Parameters!B$65*H8+E8*Parameters!B$65-Parameters!$B$5*E8^2/H8*Parameters!B$65</f>
        <v>4.1392734687139736</v>
      </c>
      <c r="I9" s="9">
        <f>I8 *(1-Parameters!$B$4)-C8*(C8&lt;0)*Parameters!B$65</f>
        <v>4.2215669683316061E-2</v>
      </c>
      <c r="J9" s="23">
        <f>J8*(1+Parameters!$B$51)^Parameters!B$65</f>
        <v>8.2790082490297756</v>
      </c>
      <c r="K9" s="23">
        <f>K8*(1+Parameters!$B$53)^Parameters!B$65</f>
        <v>9.9947884655139401</v>
      </c>
      <c r="L9" s="23">
        <f>J9*K9*EXP(-Parameters!$B$42*'6states'!A9)*(Parameters!$B$37/Parameters!$B$38*('6states'!F9+'6states'!I9)/Parameters!$E$25*(EXP(-Parameters!$B$38*Parameters!$E$25*'6states'!I9/('6states'!F9+'6states'!I9))-EXP(-Parameters!$B$38*Parameters!$E$25))  +  Parameters!$B$39*'6states'!F9)</f>
        <v>32.954207395286176</v>
      </c>
      <c r="M9" s="8">
        <f>M8+L9*Parameters!B$65</f>
        <v>2483.6198704824305</v>
      </c>
      <c r="N9" s="7">
        <f>M9*Parameters!$B$45</f>
        <v>1.4901719222894583</v>
      </c>
      <c r="O9" s="9">
        <f>EXP(-Parameters!$B$46/2*N9^2)</f>
        <v>0.97793003124812627</v>
      </c>
      <c r="P9" s="8">
        <f>MAX((Parameters!$B$62 + Parameters!$B$31*'6states'!A9 - '6states'!M9 + Parameters!$B$47/Parameters!$B$45)/Parameters!B$62,1)</f>
        <v>2.6476025903513891</v>
      </c>
      <c r="Q9" s="7">
        <f>Parameters!B$61*EXP(-Parameters!B$60*A9)</f>
        <v>0.43685795584401721</v>
      </c>
      <c r="R9" s="7">
        <f>(1-Parameters!B$61)*P9^-Parameters!B$63</f>
        <v>0.45361219803261321</v>
      </c>
      <c r="S9" s="7">
        <f>Parameters!B$61*EXP(-Parameters!B$60*A9)+(1-Parameters!B$61)*P9^-Parameters!B$63</f>
        <v>0.89047015387663042</v>
      </c>
      <c r="T9" s="7">
        <f>1-S9/Parameters!$B$12</f>
        <v>0.55476492306168479</v>
      </c>
      <c r="U9" s="7">
        <f t="shared" si="0"/>
        <v>2.2460045306325771</v>
      </c>
      <c r="V9" s="7">
        <f>(Parameters!$B$19*(F9+Parameters!$B$20)^T9+Parameters!$B$18*G9^T9)^(1/T9)</f>
        <v>0.45293777683824488</v>
      </c>
      <c r="W9" s="7">
        <f>(Parameters!$B$10*H9^Parameters!$B$9+Parameters!$B$11*V9^Parameters!$B$9)^(Parameters!$B$7/Parameters!$B$9)*O9</f>
        <v>1.4609685518961399</v>
      </c>
      <c r="X9" s="7">
        <f>W9 - D9 - E9 - LN(1+EXP(Parameters!$B$21*C9))/Parameters!$B$21 - IF(C9&gt;0, 0,Parameters!$B$6*C9^2/F9)</f>
        <v>1.1749845042104607</v>
      </c>
      <c r="Y9" s="7">
        <f>EXP(-Parameters!$B$55*A9)</f>
        <v>0.92727973053399881</v>
      </c>
      <c r="Z9" s="7">
        <f>IF(X9&gt;0,X9^(1-Parameters!$B$52)/(1-Parameters!$B$52)*Y9*Parameters!$B$65,-10+X9*1000)</f>
        <v>-2.5039835622948421</v>
      </c>
      <c r="AB9" s="9"/>
      <c r="AC9">
        <f t="shared" si="6"/>
        <v>-0.40607922506890476</v>
      </c>
      <c r="AD9">
        <f t="shared" si="7"/>
        <v>4.3096690644380731</v>
      </c>
      <c r="AE9" s="23">
        <f t="shared" si="8"/>
        <v>3.4932173239540534</v>
      </c>
      <c r="AF9" s="23">
        <f t="shared" si="9"/>
        <v>44.754979083465109</v>
      </c>
      <c r="AG9" s="23">
        <f t="shared" si="10"/>
        <v>21.631504771982289</v>
      </c>
      <c r="AH9" s="23">
        <f t="shared" si="11"/>
        <v>37.479213301450784</v>
      </c>
      <c r="AI9" s="23">
        <f t="shared" si="12"/>
        <v>92.23919735710885</v>
      </c>
      <c r="AJ9" s="23">
        <f t="shared" si="13"/>
        <v>120.89067148572549</v>
      </c>
      <c r="AK9" s="23">
        <f t="shared" si="14"/>
        <v>97.226367751016994</v>
      </c>
      <c r="AL9" s="9">
        <f t="shared" si="23"/>
        <v>1.8103457042540683E-2</v>
      </c>
      <c r="AM9" s="9">
        <f t="shared" si="24"/>
        <v>1.650956478480925E-2</v>
      </c>
      <c r="AN9" s="9">
        <f t="shared" ref="AN9:AO9" si="29">AVERAGE(AL7:AL11)</f>
        <v>1.732960490674227E-2</v>
      </c>
      <c r="AO9" s="9">
        <f t="shared" si="29"/>
        <v>1.5952865437957087E-2</v>
      </c>
      <c r="AP9" s="23"/>
      <c r="AQ9" s="8">
        <f t="shared" si="1"/>
        <v>120.89067148572549</v>
      </c>
      <c r="AR9" s="32">
        <f>Parameters!$B$7*W9*(W9/O9)^(-Parameters!$B$9/Parameters!$B$7)*Parameters!$B$11*(V9)^(Parameters!$B$9-T9)*((1-2*Parameters!$B$5*C9/F9)*Parameters!$B$19*(F9+Parameters!$B$20)^(T9-1)-(1-2*Parameters!$B$5*D9/G9)*(Parameters!$B$18)*(G9)^(T9-1))</f>
        <v>0.1131770585152382</v>
      </c>
      <c r="AS9" s="32">
        <f>((C10-C8)/2-(F10-F8)/F9/2*C9)/(F9/2/Parameters!$B$5-C9)-((D10-D8)/D9-(G10-G8)/G9)/(G9/2/Parameters!$B$5/D9-1)</f>
        <v>4.0254690751715214E-2</v>
      </c>
      <c r="AT9" s="32">
        <f>+Parameters!$B$5*C9^2/F9^2-Parameters!$B$5*D9^2/G9^2</f>
        <v>-3.9610715438265096E-2</v>
      </c>
      <c r="AU9" s="30">
        <f>EXP(-Parameters!$B$42*'6states'!A9)*(Parameters!$B$37*EXP(-Parameters!$B$38*Parameters!$E$25*'6states'!I9/('6states'!F9+'6states'!I9))*(1/Parameters!$B$38/Parameters!$E$25+'6states'!I9/('6states'!F9+'6states'!I9))-Parameters!$B$37/Parameters!$B$38/Parameters!$E$25*EXP(-Parameters!$B$38*Parameters!$E$25)+Parameters!$B$39)</f>
        <v>0.75514100960549557</v>
      </c>
      <c r="AV9" s="30">
        <f>J9*K9*EXP(-Parameters!$B$42*'6states'!A9)*(Parameters!$B$37*EXP(-Parameters!$B$38*Parameters!$E$25*'6states'!I9/('6states'!F9+'6states'!I9))*(1/Parameters!$B$38/Parameters!$E$25+'6states'!I9/('6states'!F9+'6states'!I9))-Parameters!$B$37/Parameters!$B$38/Parameters!$E$25*EXP(-Parameters!$B$38*Parameters!$E$25)+Parameters!$B$39)</f>
        <v>62.4856049085626</v>
      </c>
      <c r="AW9" s="8">
        <f t="shared" si="25"/>
        <v>150.72818504209067</v>
      </c>
      <c r="AX9" s="13">
        <f>1-W9/'6states,ExoDamages'!T9</f>
        <v>2.5150376024200338E-2</v>
      </c>
      <c r="AY9" s="21">
        <f>-Y9*W9*X9^(-Parameters!B$52)*Parameters!B$46*Parameters!B$45*N9</f>
        <v>-1.9583572963311252E-5</v>
      </c>
      <c r="AZ9" s="7">
        <f>1000*EXP(-(Parameters!$B$54)*'6states'!A9)*AQ9*Parameters!B$46*Parameters!B$45*N9</f>
        <v>1.8228787922587235</v>
      </c>
      <c r="BA9" s="7">
        <f>SUM(AZ9:AZ$204)*EXP(Parameters!$B$54*A9)</f>
        <v>205.10564292272647</v>
      </c>
      <c r="BB9" s="13">
        <f t="shared" si="2"/>
        <v>0.19512600888280168</v>
      </c>
      <c r="BC9" s="30"/>
      <c r="BD9" s="30"/>
      <c r="BE9" s="30"/>
      <c r="BF9" s="5">
        <f t="shared" si="3"/>
        <v>-1.9072795139646131E-3</v>
      </c>
      <c r="BG9" s="2">
        <f>BF9/Parameters!$B$45</f>
        <v>-3.1787991899410222</v>
      </c>
      <c r="BH9" s="2">
        <f t="shared" si="27"/>
        <v>4.101456856791752E-3</v>
      </c>
      <c r="BK9">
        <f>-EXP(-Parameters!B$42*'6states'!A9)*(-Parameters!B$37/Parameters!B$38/Parameters!E$25*(EXP(-Parameters!B$38*Parameters!E$25*'6states'!AE9/('6states'!F9+'6states'!AE9))-EXP(-Parameters!B$38*Parameters!E$25))+Parameters!B$37*'6states'!F9/('6states'!F9+'6states'!AE9)*EXP(-Parameters!B$38*Parameters!E$25*'6states'!I9/('6states'!F9+'6states'!AE9)))</f>
        <v>-0.4997947512523635</v>
      </c>
      <c r="BL9">
        <f>-J9*K9*EXP(-Parameters!B$42*'6states'!A9)*(-Parameters!B$37/Parameters!B$38/Parameters!E$25*(EXP(-Parameters!B$38*Parameters!E$25*'6states'!I9/('6states'!F9+'6states'!I9))-EXP(-Parameters!B$38*Parameters!E$25)) + Parameters!B$37*'6states'!F9/('6states'!F9+'6states'!I9)*EXP(-Parameters!B$38*Parameters!E$25*'6states'!I9/('6states'!F9+'6states'!I9)))</f>
        <v>-19.94787009164304</v>
      </c>
      <c r="BM9" s="7">
        <f t="shared" si="4"/>
        <v>7.2400992867308486E-2</v>
      </c>
      <c r="BN9" s="7">
        <f t="shared" si="5"/>
        <v>-1.2549357608578591</v>
      </c>
      <c r="BS9">
        <f>EXP(-Parameters!$B$56*A9)*BF9*BL9</f>
        <v>2.5759416866216363E-2</v>
      </c>
      <c r="BT9">
        <f>-EXP((Parameters!$B$56)*F9)*SUM(BS9:BS17)</f>
        <v>-0.12303631604951153</v>
      </c>
      <c r="BU9">
        <f>X9^-Parameters!B$52/(1-2*Parameters!B$5*'6states'!D9/'6states'!G9)</f>
        <v>1.33719186965555</v>
      </c>
      <c r="BV9">
        <f t="shared" si="16"/>
        <v>0.97538000066939179</v>
      </c>
      <c r="BW9">
        <f>$X9^-Parameters!$B$52/(1-2*Parameters!$B$5*'6states'!$E9/'6states'!$H9)</f>
        <v>0.90641108835565309</v>
      </c>
      <c r="BX9">
        <f t="shared" si="17"/>
        <v>1.0121311268416662</v>
      </c>
      <c r="BY9" s="7">
        <f>($X9^-Parameters!$B$52*(1/(1+EXP(-C9)) + IF(C9&lt;0,2*Parameters!$B$6*C9/F9,0)) + BQ9*(1/(1+EXP((C9-Parameters!$B$22)*Parameters!$B$21))))/(1-IF(C9&gt;0,2*Parameters!$B$5*C9/F9,0))</f>
        <v>0.32821510941531123</v>
      </c>
      <c r="BZ9">
        <f t="shared" si="18"/>
        <v>0.8009975770799721</v>
      </c>
      <c r="CA9" s="7">
        <f t="shared" si="19"/>
        <v>-8.1542820954235984E-2</v>
      </c>
      <c r="CB9">
        <f>(1/$T9-1/Parameters!$B$13) * LN(Parameters!$B$18) / LN(P9)</f>
        <v>0.24156390877739012</v>
      </c>
      <c r="CC9">
        <f>(Parameters!$B$18*'6states'!T9^+Parameters!$B$19*Parameters!$B$25^'6states'!T9)^((1-'6states'!T9)/'6states'!T9)*Parameters!$B$18*Parameters!$B$26^('6states'!T9-1)</f>
        <v>0.17484503274440361</v>
      </c>
      <c r="CD9">
        <f t="shared" si="20"/>
        <v>0.30649266452447832</v>
      </c>
      <c r="CE9">
        <f t="shared" si="21"/>
        <v>0.15417207828584822</v>
      </c>
      <c r="CF9">
        <f t="shared" si="22"/>
        <v>0.11413733096638501</v>
      </c>
    </row>
    <row r="10" spans="1:84" x14ac:dyDescent="0.25">
      <c r="A10">
        <f>A9+Parameters!$B$65</f>
        <v>6</v>
      </c>
      <c r="B10">
        <v>2031</v>
      </c>
      <c r="C10" s="74">
        <v>-4.7511949503048004E-3</v>
      </c>
      <c r="D10" s="69">
        <v>5.4566096441395297E-2</v>
      </c>
      <c r="E10" s="75">
        <v>0.22572885860839501</v>
      </c>
      <c r="F10" s="7">
        <f>MAX((1-Parameters!$B$4)^Parameters!B$65*F9 + C9*Parameters!B$65 - IF(C9&gt;0,Parameters!$B$5,0)*C9^2/F9*Parameters!B$65, 0.0001)</f>
        <v>0.50193775872378432</v>
      </c>
      <c r="G10" s="7">
        <f>(1-Parameters!$B$4)^Parameters!B$65*G9+D9*Parameters!B$65-Parameters!$B$5*D9^2/G9*Parameters!B$65</f>
        <v>0.28668048711314836</v>
      </c>
      <c r="H10" s="7">
        <f>(1-Parameters!$B$4)^Parameters!B$65*H9+E9*Parameters!B$65-Parameters!$B$5*E9^2/H9*Parameters!B$65</f>
        <v>4.0987890982764563</v>
      </c>
      <c r="I10" s="9">
        <f>I9 *(1-Parameters!$B$4)-C9*(C9&lt;0)*Parameters!B$65</f>
        <v>4.4467787574991841E-2</v>
      </c>
      <c r="J10" s="23">
        <f>J9*(1+Parameters!$B$51)^Parameters!B$65</f>
        <v>8.3030173729519614</v>
      </c>
      <c r="K10" s="23">
        <f>K9*(1+Parameters!$B$53)^Parameters!B$65</f>
        <v>10.194684234824219</v>
      </c>
      <c r="L10" s="23">
        <f>J10*K10*EXP(-Parameters!$B$42*'6states'!A10)*(Parameters!$B$37/Parameters!$B$38*('6states'!F10+'6states'!I10)/Parameters!$E$25*(EXP(-Parameters!$B$38*Parameters!$E$25*'6states'!I10/('6states'!F10+'6states'!I10))-EXP(-Parameters!$B$38*Parameters!$E$25))  +  Parameters!$B$39*'6states'!F10)</f>
        <v>30.88485783383701</v>
      </c>
      <c r="M10" s="8">
        <f>M9+L10*Parameters!B$65</f>
        <v>2514.5047283162676</v>
      </c>
      <c r="N10" s="7">
        <f>M10*Parameters!$B$45</f>
        <v>1.5087028369897604</v>
      </c>
      <c r="O10" s="9">
        <f>EXP(-Parameters!$B$46/2*N10^2)</f>
        <v>0.97738401224199534</v>
      </c>
      <c r="P10" s="8">
        <f>MAX((Parameters!$B$62 + Parameters!$B$31*'6states'!A10 - '6states'!M10 + Parameters!$B$47/Parameters!$B$45)/Parameters!B$62,1)</f>
        <v>3.093905433674645</v>
      </c>
      <c r="Q10" s="7">
        <f>Parameters!B$61*EXP(-Parameters!B$60*A10)</f>
        <v>0.42522060227011649</v>
      </c>
      <c r="R10" s="7">
        <f>(1-Parameters!B$61)*P10^-Parameters!B$63</f>
        <v>0.44660059857394913</v>
      </c>
      <c r="S10" s="7">
        <f>Parameters!B$61*EXP(-Parameters!B$60*A10)+(1-Parameters!B$61)*P10^-Parameters!B$63</f>
        <v>0.87182120084406556</v>
      </c>
      <c r="T10" s="7">
        <f>1-S10/Parameters!$B$12</f>
        <v>0.56408939957796722</v>
      </c>
      <c r="U10" s="7">
        <f t="shared" si="0"/>
        <v>2.2940483645771321</v>
      </c>
      <c r="V10" s="7">
        <f>(Parameters!$B$19*(F10+Parameters!$B$20)^T10+Parameters!$B$18*G10^T10)^(1/T10)</f>
        <v>0.43754903996335087</v>
      </c>
      <c r="W10" s="7">
        <f>(Parameters!$B$10*H10^Parameters!$B$9+Parameters!$B$11*V10^Parameters!$B$9)^(Parameters!$B$7/Parameters!$B$9)*O10</f>
        <v>1.4527114902802738</v>
      </c>
      <c r="X10" s="7">
        <f>W10 - D10 - E10 - LN(1+EXP(Parameters!$B$21*C10))/Parameters!$B$21 - IF(C10&gt;0, 0,Parameters!$B$6*C10^2/F10)</f>
        <v>1.1714734953258785</v>
      </c>
      <c r="Y10" s="7">
        <f>EXP(-Parameters!$B$55*A10)</f>
        <v>0.91338299103478215</v>
      </c>
      <c r="Z10" s="7">
        <f>IF(X10&gt;0,X10^(1-Parameters!$B$52)/(1-Parameters!$B$52)*Y10*Parameters!$B$65,-10+X10*1000)</f>
        <v>-2.4690421960244584</v>
      </c>
      <c r="AB10" s="9"/>
      <c r="AC10">
        <f t="shared" si="6"/>
        <v>-0.40217269001779155</v>
      </c>
      <c r="AD10">
        <f t="shared" si="7"/>
        <v>4.6188367387868112</v>
      </c>
      <c r="AE10" s="23">
        <f t="shared" si="8"/>
        <v>3.7640488203976794</v>
      </c>
      <c r="AF10" s="23">
        <f t="shared" si="9"/>
        <v>42.487344922459009</v>
      </c>
      <c r="AG10" s="23">
        <f t="shared" si="10"/>
        <v>24.266540077567065</v>
      </c>
      <c r="AH10" s="23">
        <f t="shared" si="11"/>
        <v>37.037056205297169</v>
      </c>
      <c r="AI10" s="23">
        <f t="shared" si="12"/>
        <v>91.151015080524601</v>
      </c>
      <c r="AJ10" s="23">
        <f t="shared" si="13"/>
        <v>122.96714699705009</v>
      </c>
      <c r="AK10" s="23">
        <f t="shared" si="14"/>
        <v>99.161295595654082</v>
      </c>
      <c r="AL10" s="9">
        <f t="shared" si="23"/>
        <v>1.7030626393704118E-2</v>
      </c>
      <c r="AM10" s="9">
        <f t="shared" si="24"/>
        <v>1.970582495303308E-2</v>
      </c>
      <c r="AN10" s="9">
        <f t="shared" ref="AN10:AO10" si="30">AVERAGE(AL8:AL12)</f>
        <v>1.7739176938490787E-2</v>
      </c>
      <c r="AO10" s="9">
        <f t="shared" si="30"/>
        <v>1.6756480540386497E-2</v>
      </c>
      <c r="AP10" s="23"/>
      <c r="AQ10" s="8">
        <f t="shared" si="1"/>
        <v>122.96714699705011</v>
      </c>
      <c r="AR10" s="32">
        <f>Parameters!$B$7*W10*(W10/O10)^(-Parameters!$B$9/Parameters!$B$7)*Parameters!$B$11*(V10)^(Parameters!$B$9-T10)*((1-2*Parameters!$B$5*C10/F10)*Parameters!$B$19*(F10+Parameters!$B$20)^(T10-1)-(1-2*Parameters!$B$5*D10/G10)*(Parameters!$B$18)*(G10)^(T10-1))</f>
        <v>0.13095282347434997</v>
      </c>
      <c r="AS10" s="32">
        <f>((C11-C9)/2-(F11-F9)/F10/2*C10)/(F10/2/Parameters!$B$5-C10)-((D11-D9)/D10-(G11-G9)/G10)/(G10/2/Parameters!$B$5/D10-1)</f>
        <v>9.9217781874470584E-2</v>
      </c>
      <c r="AT10" s="32">
        <f>+Parameters!$B$5*C10^2/F10^2-Parameters!$B$5*D10^2/G10^2</f>
        <v>-3.6138829692829479E-2</v>
      </c>
      <c r="AU10" s="30">
        <f>EXP(-Parameters!$B$42*'6states'!A10)*(Parameters!$B$37*EXP(-Parameters!$B$38*Parameters!$E$25*'6states'!I10/('6states'!F10+'6states'!I10))*(1/Parameters!$B$38/Parameters!$E$25+'6states'!I10/('6states'!F10+'6states'!I10))-Parameters!$B$37/Parameters!$B$38/Parameters!$E$25*EXP(-Parameters!$B$38*Parameters!$E$25)+Parameters!$B$39)</f>
        <v>0.7411996477910856</v>
      </c>
      <c r="AV10" s="30">
        <f>J10*K10*EXP(-Parameters!$B$42*'6states'!A10)*(Parameters!$B$37*EXP(-Parameters!$B$38*Parameters!$E$25*'6states'!I10/('6states'!F10+'6states'!I10))*(1/Parameters!$B$38/Parameters!$E$25+'6states'!I10/('6states'!F10+'6states'!I10))-Parameters!$B$37/Parameters!$B$38/Parameters!$E$25*EXP(-Parameters!$B$38*Parameters!$E$25)+Parameters!$B$39)</f>
        <v>62.740059987068584</v>
      </c>
      <c r="AW10" s="8">
        <f t="shared" si="25"/>
        <v>261.78071756272726</v>
      </c>
      <c r="AX10" s="13">
        <f>1-W10/'6states,ExoDamages'!T10</f>
        <v>3.0196494725508338E-2</v>
      </c>
      <c r="AY10" s="21">
        <f>-Y10*W10*X10^(-Parameters!B$52)*Parameters!B$46*Parameters!B$45*N10</f>
        <v>-1.9498197978681726E-5</v>
      </c>
      <c r="AZ10" s="7">
        <f>1000*EXP(-(Parameters!$B$54)*'6states'!A10)*AQ10*Parameters!B$46*Parameters!B$45*N10</f>
        <v>1.8124986586833427</v>
      </c>
      <c r="BA10" s="7">
        <f>SUM(AZ10:AZ$204)*EXP(Parameters!$B$54*A10)</f>
        <v>210.18249311931945</v>
      </c>
      <c r="BB10" s="13">
        <f t="shared" si="2"/>
        <v>0.19294605771701617</v>
      </c>
      <c r="BC10" s="30"/>
      <c r="BD10" s="30"/>
      <c r="BE10" s="30"/>
      <c r="BF10" s="5">
        <f t="shared" si="3"/>
        <v>-1.9148572701330373E-3</v>
      </c>
      <c r="BG10" s="2">
        <f>BF10/Parameters!$B$45</f>
        <v>-3.1914287835550623</v>
      </c>
      <c r="BH10" s="2">
        <f t="shared" si="27"/>
        <v>3.9573477807552937E-3</v>
      </c>
      <c r="BK10">
        <f>-EXP(-Parameters!B$42*'6states'!A10)*(-Parameters!B$37/Parameters!B$38/Parameters!E$25*(EXP(-Parameters!B$38*Parameters!E$25*'6states'!AE10/('6states'!F10+'6states'!AE10))-EXP(-Parameters!B$38*Parameters!E$25))+Parameters!B$37*'6states'!F10/('6states'!F10+'6states'!AE10)*EXP(-Parameters!B$38*Parameters!E$25*'6states'!I10/('6states'!F10+'6states'!AE10)))</f>
        <v>-0.43500266394084952</v>
      </c>
      <c r="BL10">
        <f>-J10*K10*EXP(-Parameters!B$42*'6states'!A10)*(-Parameters!B$37/Parameters!B$38/Parameters!E$25*(EXP(-Parameters!B$38*Parameters!E$25*'6states'!I10/('6states'!F10+'6states'!I10))-EXP(-Parameters!B$38*Parameters!E$25)) + Parameters!B$37*'6states'!F10/('6states'!F10+'6states'!I10)*EXP(-Parameters!B$38*Parameters!E$25*'6states'!I10/('6states'!F10+'6states'!I10)))</f>
        <v>-13.644646863636773</v>
      </c>
      <c r="BM10" s="7">
        <f t="shared" si="4"/>
        <v>8.1382386903292386E-2</v>
      </c>
      <c r="BN10" s="7">
        <f t="shared" si="5"/>
        <v>-1.1762023117319351</v>
      </c>
      <c r="BS10">
        <f>EXP(-Parameters!$B$56*A10)*BF10*BL10</f>
        <v>1.6362471031870416E-2</v>
      </c>
      <c r="BT10">
        <f>-EXP((Parameters!$B$56)*F10)*SUM(BS10:BS18)</f>
        <v>-0.10817000897289845</v>
      </c>
      <c r="BU10">
        <f>X10^-Parameters!B$52/(1-2*Parameters!B$5*'6states'!D10/'6states'!G10)</f>
        <v>1.3040456624373868</v>
      </c>
      <c r="BV10">
        <f t="shared" si="16"/>
        <v>0.9752120784082382</v>
      </c>
      <c r="BW10">
        <f>$X10^-Parameters!$B$52/(1-2*Parameters!$B$5*'6states'!$E10/'6states'!$H10)</f>
        <v>0.90759379609262925</v>
      </c>
      <c r="BX10">
        <f t="shared" si="17"/>
        <v>1.0013048248771115</v>
      </c>
      <c r="BY10" s="7">
        <f>($X10^-Parameters!$B$52*(1/(1+EXP(-C10)) + IF(C10&lt;0,2*Parameters!$B$6*C10/F10,0)) + BQ10*(1/(1+EXP((C10-Parameters!$B$22)*Parameters!$B$21))))/(1-IF(C10&gt;0,2*Parameters!$B$5*C10/F10,0))</f>
        <v>0.32640686641878391</v>
      </c>
      <c r="BZ10">
        <f t="shared" si="18"/>
        <v>0.9944906771667259</v>
      </c>
      <c r="CA10" s="7">
        <f t="shared" si="19"/>
        <v>-1.8082429965273206E-3</v>
      </c>
      <c r="CB10">
        <f>(1/$T10-1/Parameters!$B$13) * LN(Parameters!$B$18) / LN(P10)</f>
        <v>0.23967392693473705</v>
      </c>
      <c r="CC10">
        <f>(Parameters!$B$18*'6states'!T10^+Parameters!$B$19*Parameters!$B$25^'6states'!T10)^((1-'6states'!T10)/'6states'!T10)*Parameters!$B$18*Parameters!$B$26^('6states'!T10-1)</f>
        <v>0.18222472206092785</v>
      </c>
      <c r="CD10">
        <f t="shared" si="20"/>
        <v>0.3008219407927839</v>
      </c>
      <c r="CE10">
        <f t="shared" si="21"/>
        <v>0.15306328749003084</v>
      </c>
      <c r="CF10">
        <f t="shared" si="22"/>
        <v>0.11865713556463209</v>
      </c>
    </row>
    <row r="11" spans="1:84" x14ac:dyDescent="0.25">
      <c r="A11">
        <f>A10+Parameters!$B$65</f>
        <v>7</v>
      </c>
      <c r="B11">
        <v>2032</v>
      </c>
      <c r="C11" s="74">
        <v>9.4400994039130805E-3</v>
      </c>
      <c r="D11" s="69">
        <v>5.5426728503721698E-2</v>
      </c>
      <c r="E11" s="75">
        <v>0.22063306828325399</v>
      </c>
      <c r="F11" s="7">
        <f>MAX((1-Parameters!$B$4)^Parameters!B$65*F10 + C10*Parameters!B$65 - IF(C10&gt;0,Parameters!$B$5,0)*C10^2/F10*Parameters!B$65, 0.0001)</f>
        <v>0.46561467874975354</v>
      </c>
      <c r="G11" s="7">
        <f>(1-Parameters!$B$4)^Parameters!B$65*G10+D10*Parameters!B$65-Parameters!$B$5*D10^2/G10*Parameters!B$65</f>
        <v>0.31282839716424621</v>
      </c>
      <c r="H11" s="7">
        <f>(1-Parameters!$B$4)^Parameters!B$65*H10+E10*Parameters!B$65-Parameters!$B$5*E10^2/H10*Parameters!B$65</f>
        <v>4.0542727638807374</v>
      </c>
      <c r="I11" s="9">
        <f>I10 *(1-Parameters!$B$4)-C10*(C10&lt;0)*Parameters!B$65</f>
        <v>4.6421958686829655E-2</v>
      </c>
      <c r="J11" s="23">
        <f>J10*(1+Parameters!$B$51)^Parameters!B$65</f>
        <v>8.3270961233335221</v>
      </c>
      <c r="K11" s="23">
        <f>K10*(1+Parameters!$B$53)^Parameters!B$65</f>
        <v>10.398577919520704</v>
      </c>
      <c r="L11" s="23">
        <f>J11*K11*EXP(-Parameters!$B$42*'6states'!A11)*(Parameters!$B$37/Parameters!$B$38*('6states'!F11+'6states'!I11)/Parameters!$E$25*(EXP(-Parameters!$B$38*Parameters!$E$25*'6states'!I11/('6states'!F11+'6states'!I11))-EXP(-Parameters!$B$38*Parameters!$E$25))  +  Parameters!$B$39*'6states'!F11)</f>
        <v>28.95726566531485</v>
      </c>
      <c r="M11" s="8">
        <f>M10+L11*Parameters!B$65</f>
        <v>2543.4619939815825</v>
      </c>
      <c r="N11" s="7">
        <f>M11*Parameters!$B$45</f>
        <v>1.5260771963889495</v>
      </c>
      <c r="O11" s="9">
        <f>EXP(-Parameters!$B$46/2*N11^2)</f>
        <v>0.97686622392390199</v>
      </c>
      <c r="P11" s="8">
        <f>MAX((Parameters!$B$62 + Parameters!$B$31*'6states'!A11 - '6states'!M11 + Parameters!$B$47/Parameters!$B$45)/Parameters!B$62,1)</f>
        <v>3.5787601203683517</v>
      </c>
      <c r="Q11" s="7">
        <f>Parameters!B$61*EXP(-Parameters!B$60*A11)</f>
        <v>0.41389325334736682</v>
      </c>
      <c r="R11" s="7">
        <f>(1-Parameters!B$61)*P11^-Parameters!B$63</f>
        <v>0.44014598584241038</v>
      </c>
      <c r="S11" s="7">
        <f>Parameters!B$61*EXP(-Parameters!B$60*A11)+(1-Parameters!B$61)*P11^-Parameters!B$63</f>
        <v>0.8540392391897772</v>
      </c>
      <c r="T11" s="7">
        <f>1-S11/Parameters!$B$12</f>
        <v>0.57298038040511146</v>
      </c>
      <c r="U11" s="7">
        <f t="shared" si="0"/>
        <v>2.3418127741968746</v>
      </c>
      <c r="V11" s="7">
        <f>(Parameters!$B$19*(F11+Parameters!$B$20)^T11+Parameters!$B$18*G11^T11)^(1/T11)</f>
        <v>0.423099138740546</v>
      </c>
      <c r="W11" s="7">
        <f>(Parameters!$B$10*H11^Parameters!$B$9+Parameters!$B$11*V11^Parameters!$B$9)^(Parameters!$B$7/Parameters!$B$9)*O11</f>
        <v>1.4441354620630453</v>
      </c>
      <c r="X11" s="7">
        <f>W11 - D11 - E11 - LN(1+EXP(Parameters!$B$21*C11))/Parameters!$B$21 - IF(C11&gt;0, 0,Parameters!$B$6*C11^2/F11)</f>
        <v>1.1584448185325846</v>
      </c>
      <c r="Y11" s="7">
        <f>EXP(-Parameters!$B$55*A11)</f>
        <v>0.89969451594850369</v>
      </c>
      <c r="Z11" s="7">
        <f>IF(X11&gt;0,X11^(1-Parameters!$B$52)/(1-Parameters!$B$52)*Y11*Parameters!$B$65,-10+X11*1000)</f>
        <v>-2.4415782972373314</v>
      </c>
      <c r="AB11" s="9"/>
      <c r="AC11">
        <f t="shared" si="6"/>
        <v>0.81741780978505052</v>
      </c>
      <c r="AD11">
        <f t="shared" si="7"/>
        <v>4.7993980866644677</v>
      </c>
      <c r="AE11" s="23">
        <f t="shared" si="8"/>
        <v>4.0196754474842802</v>
      </c>
      <c r="AF11" s="23">
        <f t="shared" si="9"/>
        <v>40.317555422099439</v>
      </c>
      <c r="AG11" s="23">
        <f t="shared" si="10"/>
        <v>27.087797734690096</v>
      </c>
      <c r="AH11" s="23">
        <f t="shared" si="11"/>
        <v>36.636136603379221</v>
      </c>
      <c r="AI11" s="23">
        <f t="shared" si="12"/>
        <v>90.164321416807496</v>
      </c>
      <c r="AJ11" s="23">
        <f t="shared" si="13"/>
        <v>125.04762883568525</v>
      </c>
      <c r="AK11" s="23">
        <f t="shared" si="14"/>
        <v>100.30968804515192</v>
      </c>
      <c r="AL11" s="9">
        <f t="shared" si="23"/>
        <v>1.6777473303480228E-2</v>
      </c>
      <c r="AM11" s="9">
        <f t="shared" si="24"/>
        <v>1.1514508192664863E-2</v>
      </c>
      <c r="AN11" s="9">
        <f t="shared" ref="AN11:AO11" si="31">AVERAGE(AL9:AL13)</f>
        <v>1.7926910984946788E-2</v>
      </c>
      <c r="AO11" s="9">
        <f t="shared" si="31"/>
        <v>1.6271371396855194E-2</v>
      </c>
      <c r="AP11" s="23"/>
      <c r="AQ11" s="8">
        <f t="shared" si="1"/>
        <v>125.04762883568525</v>
      </c>
      <c r="AR11" s="32">
        <f>Parameters!$B$7*W11*(W11/O11)^(-Parameters!$B$9/Parameters!$B$7)*Parameters!$B$11*(V11)^(Parameters!$B$9-T11)*((1-2*Parameters!$B$5*C11/F11)*Parameters!$B$19*(F11+Parameters!$B$20)^(T11-1)-(1-2*Parameters!$B$5*D11/G11)*(Parameters!$B$18)*(G11)^(T11-1))</f>
        <v>0.13543488914047389</v>
      </c>
      <c r="AS11" s="32">
        <f>((C12-C10)/2-(F12-F10)/F11/2*C11)/(F11/2/Parameters!$B$5-C11)-((D12-D10)/D11-(G12-G10)/G11)/(G11/2/Parameters!$B$5/D11-1)</f>
        <v>0.10223140536134058</v>
      </c>
      <c r="AT11" s="32">
        <f>+Parameters!$B$5*C11^2/F11^2-Parameters!$B$5*D11^2/G11^2</f>
        <v>-3.0981463145499433E-2</v>
      </c>
      <c r="AU11" s="30">
        <f>EXP(-Parameters!$B$42*'6states'!A11)*(Parameters!$B$37*EXP(-Parameters!$B$38*Parameters!$E$25*'6states'!I11/('6states'!F11+'6states'!I11))*(1/Parameters!$B$38/Parameters!$E$25+'6states'!I11/('6states'!F11+'6states'!I11))-Parameters!$B$37/Parameters!$B$38/Parameters!$E$25*EXP(-Parameters!$B$38*Parameters!$E$25)+Parameters!$B$39)</f>
        <v>0.72883598039564224</v>
      </c>
      <c r="AV11" s="30">
        <f>J11*K11*EXP(-Parameters!$B$42*'6states'!A11)*(Parameters!$B$37*EXP(-Parameters!$B$38*Parameters!$E$25*'6states'!I11/('6states'!F11+'6states'!I11))*(1/Parameters!$B$38/Parameters!$E$25+'6states'!I11/('6states'!F11+'6states'!I11))-Parameters!$B$37/Parameters!$B$38/Parameters!$E$25*EXP(-Parameters!$B$38*Parameters!$E$25)+Parameters!$B$39)</f>
        <v>63.109876845215418</v>
      </c>
      <c r="AW11" s="8">
        <f t="shared" si="25"/>
        <v>283.5820910544482</v>
      </c>
      <c r="AX11" s="13">
        <f>1-W11/'6states,ExoDamages'!T11</f>
        <v>3.5465732544145645E-2</v>
      </c>
      <c r="AY11" s="21">
        <f>-Y11*W11*X11^(-Parameters!B$52)*Parameters!B$46*Parameters!B$45*N11</f>
        <v>-1.960627510759697E-5</v>
      </c>
      <c r="AZ11" s="7">
        <f>1000*EXP(-(Parameters!$B$54)*'6states'!A11)*AQ11*Parameters!B$46*Parameters!B$45*N11</f>
        <v>1.8000854333077494</v>
      </c>
      <c r="BA11" s="7">
        <f>SUM(AZ11:AZ$204)*EXP(Parameters!$B$54*A11)</f>
        <v>215.3735918558159</v>
      </c>
      <c r="BB11" s="13">
        <f t="shared" si="2"/>
        <v>0.1976960636248298</v>
      </c>
      <c r="BC11" s="30"/>
      <c r="BD11" s="30"/>
      <c r="BE11" s="30"/>
      <c r="BF11" s="5">
        <f t="shared" si="3"/>
        <v>-1.9223190006852524E-3</v>
      </c>
      <c r="BG11" s="2">
        <f>BF11/Parameters!$B$45</f>
        <v>-3.2038650011420877</v>
      </c>
      <c r="BH11" s="2">
        <f t="shared" si="27"/>
        <v>3.8816297136715638E-3</v>
      </c>
      <c r="BK11">
        <f>-EXP(-Parameters!B$42*'6states'!A11)*(-Parameters!B$37/Parameters!B$38/Parameters!E$25*(EXP(-Parameters!B$38*Parameters!E$25*'6states'!AE11/('6states'!F11+'6states'!AE11))-EXP(-Parameters!B$38*Parameters!E$25))+Parameters!B$37*'6states'!F11/('6states'!F11+'6states'!AE11)*EXP(-Parameters!B$38*Parameters!E$25*'6states'!I11/('6states'!F11+'6states'!AE11)))</f>
        <v>-0.3811736961710917</v>
      </c>
      <c r="BL11">
        <f>-J11*K11*EXP(-Parameters!B$42*'6states'!A11)*(-Parameters!B$37/Parameters!B$38/Parameters!E$25*(EXP(-Parameters!B$38*Parameters!E$25*'6states'!I11/('6states'!F11+'6states'!I11))-EXP(-Parameters!B$38*Parameters!E$25)) + Parameters!B$37*'6states'!F11/('6states'!F11+'6states'!I11)*EXP(-Parameters!B$38*Parameters!E$25*'6states'!I11/('6states'!F11+'6states'!I11)))</f>
        <v>-9.2115752976178698</v>
      </c>
      <c r="BM11" s="7">
        <f t="shared" si="4"/>
        <v>9.0661400557648777E-2</v>
      </c>
      <c r="BN11" s="7">
        <f t="shared" si="5"/>
        <v>-1.110009676566734</v>
      </c>
      <c r="BS11">
        <f>EXP(-Parameters!$B$56*A11)*BF11*BL11</f>
        <v>1.0257335906659327E-2</v>
      </c>
      <c r="BT11">
        <f>-EXP((Parameters!$B$56)*F11)*SUM(BS11:BS19)</f>
        <v>-0.10345626647235751</v>
      </c>
      <c r="BU11">
        <f>X11^-Parameters!B$52/(1-2*Parameters!B$5*'6states'!D11/'6states'!G11)</f>
        <v>1.2699217369709326</v>
      </c>
      <c r="BV11">
        <f t="shared" si="16"/>
        <v>0.973832261822279</v>
      </c>
      <c r="BW11">
        <f>$X11^-Parameters!$B$52/(1-2*Parameters!$B$5*'6states'!$E11/'6states'!$H11)</f>
        <v>0.92005222784960783</v>
      </c>
      <c r="BX11">
        <f t="shared" si="17"/>
        <v>1.0137268806933395</v>
      </c>
      <c r="BY11" s="7">
        <f>($X11^-Parameters!$B$52*(1/(1+EXP(-C11)) + IF(C11&lt;0,2*Parameters!$B$6*C11/F11,0)) + BQ11*(1/(1+EXP((C11-Parameters!$B$22)*Parameters!$B$21))))/(1-IF(C11&gt;0,2*Parameters!$B$5*C11/F11,0))</f>
        <v>0.42929963909515279</v>
      </c>
      <c r="BZ11">
        <f t="shared" si="18"/>
        <v>1.3152285789979559</v>
      </c>
      <c r="CA11" s="7">
        <f t="shared" si="19"/>
        <v>0.10289277267636887</v>
      </c>
      <c r="CB11">
        <f>(1/$T11-1/Parameters!$B$13) * LN(Parameters!$B$18) / LN(P11)</f>
        <v>0.23800937023755939</v>
      </c>
      <c r="CC11">
        <f>(Parameters!$B$18*'6states'!T11^+Parameters!$B$19*Parameters!$B$25^'6states'!T11)^((1-'6states'!T11)/'6states'!T11)*Parameters!$B$18*Parameters!$B$26^('6states'!T11-1)</f>
        <v>0.18913426880976011</v>
      </c>
      <c r="CD11">
        <f t="shared" si="20"/>
        <v>0.29566294240119234</v>
      </c>
      <c r="CE11">
        <f t="shared" si="21"/>
        <v>0.15208554254991791</v>
      </c>
      <c r="CF11">
        <f t="shared" si="22"/>
        <v>0.12286808801994686</v>
      </c>
    </row>
    <row r="12" spans="1:84" x14ac:dyDescent="0.25">
      <c r="A12">
        <f>A11+Parameters!$B$65</f>
        <v>8</v>
      </c>
      <c r="B12">
        <v>2033</v>
      </c>
      <c r="C12" s="74">
        <v>9.7384106444894404E-3</v>
      </c>
      <c r="D12" s="69">
        <v>5.7002813047574798E-2</v>
      </c>
      <c r="E12" s="75">
        <v>0.21824303259219199</v>
      </c>
      <c r="F12" s="7">
        <f>MAX((1-Parameters!$B$4)^Parameters!B$65*F11 + C11*Parameters!B$65 - IF(C11&gt;0,Parameters!$B$5,0)*C11^2/F11*Parameters!B$65, 0.0001)</f>
        <v>0.44557622167443289</v>
      </c>
      <c r="G12" s="7">
        <f>(1-Parameters!$B$4)^Parameters!B$65*G11+D11*Parameters!B$65-Parameters!$B$5*D11^2/G11*Parameters!B$65</f>
        <v>0.33875774838948719</v>
      </c>
      <c r="H12" s="7">
        <f>(1-Parameters!$B$4)^Parameters!B$65*H11+E11*Parameters!B$65-Parameters!$B$5*E11^2/H11*Parameters!B$65</f>
        <v>4.0078852485296537</v>
      </c>
      <c r="I12" s="9">
        <f>I11 *(1-Parameters!$B$4)-C11*(C11&lt;0)*Parameters!B$65</f>
        <v>4.350201748542807E-2</v>
      </c>
      <c r="J12" s="23">
        <f>J11*(1+Parameters!$B$51)^Parameters!B$65</f>
        <v>8.3512447020911882</v>
      </c>
      <c r="K12" s="23">
        <f>K11*(1+Parameters!$B$53)^Parameters!B$65</f>
        <v>10.606549477911118</v>
      </c>
      <c r="L12" s="23">
        <f>J12*K12*EXP(-Parameters!$B$42*'6states'!A12)*(Parameters!$B$37/Parameters!$B$38*('6states'!F12+'6states'!I12)/Parameters!$E$25*(EXP(-Parameters!$B$38*Parameters!$E$25*'6states'!I12/('6states'!F12+'6states'!I12))-EXP(-Parameters!$B$38*Parameters!$E$25))  +  Parameters!$B$39*'6states'!F12)</f>
        <v>28.074107738916464</v>
      </c>
      <c r="M12" s="8">
        <f>M11+L12*Parameters!B$65</f>
        <v>2571.5361017204991</v>
      </c>
      <c r="N12" s="7">
        <f>M12*Parameters!$B$45</f>
        <v>1.5429216610322993</v>
      </c>
      <c r="O12" s="9">
        <f>EXP(-Parameters!$B$46/2*N12^2)</f>
        <v>0.97635883348086172</v>
      </c>
      <c r="P12" s="8">
        <f>MAX((Parameters!$B$62 + Parameters!$B$31*'6states'!A12 - '6states'!M12 + Parameters!$B$47/Parameters!$B$45)/Parameters!B$62,1)</f>
        <v>4.081277965590016</v>
      </c>
      <c r="Q12" s="7">
        <f>Parameters!B$61*EXP(-Parameters!B$60*A12)</f>
        <v>0.40286765093673982</v>
      </c>
      <c r="R12" s="7">
        <f>(1-Parameters!B$61)*P12^-Parameters!B$63</f>
        <v>0.4344005704454878</v>
      </c>
      <c r="S12" s="7">
        <f>Parameters!B$61*EXP(-Parameters!B$60*A12)+(1-Parameters!B$61)*P12^-Parameters!B$63</f>
        <v>0.83726822138222756</v>
      </c>
      <c r="T12" s="7">
        <f>1-S12/Parameters!$B$12</f>
        <v>0.58136588930888622</v>
      </c>
      <c r="U12" s="7">
        <f t="shared" si="0"/>
        <v>2.3887207813742699</v>
      </c>
      <c r="V12" s="7">
        <f>(Parameters!$B$19*(F12+Parameters!$B$20)^T12+Parameters!$B$18*G12^T12)^(1/T12)</f>
        <v>0.41855843502741696</v>
      </c>
      <c r="W12" s="7">
        <f>(Parameters!$B$10*H12^Parameters!$B$9+Parameters!$B$11*V12^Parameters!$B$9)^(Parameters!$B$7/Parameters!$B$9)*O12</f>
        <v>1.43851025294424</v>
      </c>
      <c r="X12" s="7">
        <f>W12 - D12 - E12 - LN(1+EXP(Parameters!$B$21*C12))/Parameters!$B$21 - IF(C12&gt;0, 0,Parameters!$B$6*C12^2/F12)</f>
        <v>1.1533511578542326</v>
      </c>
      <c r="Y12" s="7">
        <f>EXP(-Parameters!$B$55*A12)</f>
        <v>0.88621118410665478</v>
      </c>
      <c r="Z12" s="7">
        <f>IF(X12&gt;0,X12^(1-Parameters!$B$52)/(1-Parameters!$B$52)*Y12*Parameters!$B$65,-10+X12*1000)</f>
        <v>-2.408699584132957</v>
      </c>
      <c r="AB12" s="9"/>
      <c r="AC12">
        <f t="shared" si="6"/>
        <v>0.86260786815586621</v>
      </c>
      <c r="AD12">
        <f t="shared" si="7"/>
        <v>5.0491889115068016</v>
      </c>
      <c r="AE12" s="23">
        <f t="shared" si="8"/>
        <v>3.853316925469584</v>
      </c>
      <c r="AF12" s="23">
        <f t="shared" si="9"/>
        <v>39.468201610189858</v>
      </c>
      <c r="AG12" s="23">
        <f t="shared" si="10"/>
        <v>30.006446619181041</v>
      </c>
      <c r="AH12" s="23">
        <f t="shared" si="11"/>
        <v>37.075023072883042</v>
      </c>
      <c r="AI12" s="23">
        <f t="shared" si="12"/>
        <v>91.244454432202474</v>
      </c>
      <c r="AJ12" s="23">
        <f t="shared" si="13"/>
        <v>127.42020314318367</v>
      </c>
      <c r="AK12" s="23">
        <f t="shared" si="14"/>
        <v>102.16141214734111</v>
      </c>
      <c r="AL12" s="9">
        <f t="shared" si="23"/>
        <v>1.8795615553249156E-2</v>
      </c>
      <c r="AM12" s="9">
        <f t="shared" si="24"/>
        <v>1.8291753544754208E-2</v>
      </c>
      <c r="AN12" s="9">
        <f t="shared" ref="AN12:AO12" si="32">AVERAGE(AL10:AL14)</f>
        <v>1.8144715918948329E-2</v>
      </c>
      <c r="AO12" s="9">
        <f t="shared" si="32"/>
        <v>1.655447294659531E-2</v>
      </c>
      <c r="AP12" s="23"/>
      <c r="AQ12" s="8">
        <f t="shared" si="1"/>
        <v>127.42020314318367</v>
      </c>
      <c r="AR12" s="32">
        <f>Parameters!$B$7*W12*(W12/O12)^(-Parameters!$B$9/Parameters!$B$7)*Parameters!$B$11*(V12)^(Parameters!$B$9-T12)*((1-2*Parameters!$B$5*C12/F12)*Parameters!$B$19*(F12+Parameters!$B$20)^(T12-1)-(1-2*Parameters!$B$5*D12/G12)*(Parameters!$B$18)*(G12)^(T12-1))</f>
        <v>0.13942767901605485</v>
      </c>
      <c r="AS12" s="32">
        <f>((C13-C11)/2-(F13-F11)/F12/2*C12)/(F12/2/Parameters!$B$5-C12)-((D13-D11)/D12-(G13-G11)/G12)/(G12/2/Parameters!$B$5/D12-1)</f>
        <v>5.9923041099603218E-2</v>
      </c>
      <c r="AT12" s="32">
        <f>+Parameters!$B$5*C12^2/F12^2-Parameters!$B$5*D12^2/G12^2</f>
        <v>-2.7837164713819976E-2</v>
      </c>
      <c r="AU12" s="30">
        <f>EXP(-Parameters!$B$42*'6states'!A12)*(Parameters!$B$37*EXP(-Parameters!$B$38*Parameters!$E$25*'6states'!I12/('6states'!F12+'6states'!I12))*(1/Parameters!$B$38/Parameters!$E$25+'6states'!I12/('6states'!F12+'6states'!I12))-Parameters!$B$37/Parameters!$B$38/Parameters!$E$25*EXP(-Parameters!$B$38*Parameters!$E$25)+Parameters!$B$39)</f>
        <v>0.72239258686453323</v>
      </c>
      <c r="AV12" s="30">
        <f>J12*K12*EXP(-Parameters!$B$42*'6states'!A12)*(Parameters!$B$37*EXP(-Parameters!$B$38*Parameters!$E$25*'6states'!I12/('6states'!F12+'6states'!I12))*(1/Parameters!$B$38/Parameters!$E$25+'6states'!I12/('6states'!F12+'6states'!I12))-Parameters!$B$37/Parameters!$B$38/Parameters!$E$25*EXP(-Parameters!$B$38*Parameters!$E$25)+Parameters!$B$39)</f>
        <v>63.988011193533538</v>
      </c>
      <c r="AW12" s="8">
        <f t="shared" si="25"/>
        <v>237.42430157855591</v>
      </c>
      <c r="AX12" s="13">
        <f>1-W12/'6states,ExoDamages'!T12</f>
        <v>3.8750869392719212E-2</v>
      </c>
      <c r="AY12" s="21">
        <f>-Y12*W12*X12^(-Parameters!B$52)*Parameters!B$46*Parameters!B$45*N12</f>
        <v>-1.9565604554898496E-5</v>
      </c>
      <c r="AZ12" s="7">
        <f>1000*EXP(-(Parameters!$B$54)*'6states'!A12)*AQ12*Parameters!B$46*Parameters!B$45*N12</f>
        <v>1.7905216909003379</v>
      </c>
      <c r="BA12" s="7">
        <f>SUM(AZ12:AZ$204)*EXP(Parameters!$B$54*A12)</f>
        <v>220.68378924847258</v>
      </c>
      <c r="BB12" s="13">
        <f t="shared" si="2"/>
        <v>0.198110688263063</v>
      </c>
      <c r="BC12" s="30"/>
      <c r="BD12" s="30"/>
      <c r="BE12" s="30"/>
      <c r="BF12" s="5">
        <f t="shared" si="3"/>
        <v>-1.9294425734834196E-3</v>
      </c>
      <c r="BG12" s="2">
        <f>BF12/Parameters!$B$45</f>
        <v>-3.2157376224723664</v>
      </c>
      <c r="BH12" s="2">
        <f t="shared" si="27"/>
        <v>3.692036703277668E-3</v>
      </c>
      <c r="BK12">
        <f>-EXP(-Parameters!B$42*'6states'!A12)*(-Parameters!B$37/Parameters!B$38/Parameters!E$25*(EXP(-Parameters!B$38*Parameters!E$25*'6states'!AE12/('6states'!F12+'6states'!AE12))-EXP(-Parameters!B$38*Parameters!E$25))+Parameters!B$37*'6states'!F12/('6states'!F12+'6states'!AE12)*EXP(-Parameters!B$38*Parameters!E$25*'6states'!I12/('6states'!F12+'6states'!AE12)))</f>
        <v>-0.38051502865502979</v>
      </c>
      <c r="BL12">
        <f>-J12*K12*EXP(-Parameters!B$42*'6states'!A12)*(-Parameters!B$37/Parameters!B$38/Parameters!E$25*(EXP(-Parameters!B$38*Parameters!E$25*'6states'!I12/('6states'!F12+'6states'!I12))-EXP(-Parameters!B$38*Parameters!E$25)) + Parameters!B$37*'6states'!F12/('6states'!F12+'6states'!I12)*EXP(-Parameters!B$38*Parameters!E$25*'6states'!I12/('6states'!F12+'6states'!I12)))</f>
        <v>-10.055361715259551</v>
      </c>
      <c r="BM12" s="7">
        <f t="shared" si="4"/>
        <v>8.8946949592678404E-2</v>
      </c>
      <c r="BN12" s="7">
        <f t="shared" si="5"/>
        <v>-1.102907615519563</v>
      </c>
      <c r="BS12">
        <f>EXP(-Parameters!$B$56*A12)*BF12*BL12</f>
        <v>1.0395126966435648E-2</v>
      </c>
      <c r="BT12">
        <f>-EXP((Parameters!$B$56)*F12)*SUM(BS12:BS20)</f>
        <v>-0.10552664330375619</v>
      </c>
      <c r="BU12">
        <f>X12^-Parameters!B$52/(1-2*Parameters!B$5*'6states'!D12/'6states'!G12)</f>
        <v>1.2431895064589649</v>
      </c>
      <c r="BV12">
        <f t="shared" si="16"/>
        <v>0.97894970238423473</v>
      </c>
      <c r="BW12">
        <f>$X12^-Parameters!$B$52/(1-2*Parameters!$B$5*'6states'!$E12/'6states'!$H12)</f>
        <v>0.9256115880385547</v>
      </c>
      <c r="BX12">
        <f t="shared" si="17"/>
        <v>1.0060424397883807</v>
      </c>
      <c r="BY12" s="7">
        <f>($X12^-Parameters!$B$52*(1/(1+EXP(-C12)) + IF(C12&lt;0,2*Parameters!$B$6*C12/F12,0)) + BQ12*(1/(1+EXP((C12-Parameters!$B$22)*Parameters!$B$21))))/(1-IF(C12&gt;0,2*Parameters!$B$5*C12/F12,0))</f>
        <v>0.43335369896025527</v>
      </c>
      <c r="BZ12">
        <f t="shared" si="18"/>
        <v>1.0094434271448431</v>
      </c>
      <c r="CA12" s="7">
        <f t="shared" si="19"/>
        <v>4.0540598651024884E-3</v>
      </c>
      <c r="CB12">
        <f>(1/$T12-1/Parameters!$B$13) * LN(Parameters!$B$18) / LN(P12)</f>
        <v>0.23709603347804889</v>
      </c>
      <c r="CC12">
        <f>(Parameters!$B$18*'6states'!T12^+Parameters!$B$19*Parameters!$B$25^'6states'!T12)^((1-'6states'!T12)/'6states'!T12)*Parameters!$B$18*Parameters!$B$26^('6states'!T12-1)</f>
        <v>0.19552511881330778</v>
      </c>
      <c r="CD12">
        <f t="shared" si="20"/>
        <v>0.2916693779626528</v>
      </c>
      <c r="CE12">
        <f t="shared" si="21"/>
        <v>0.15154857762664453</v>
      </c>
      <c r="CF12">
        <f t="shared" si="22"/>
        <v>0.12674501332560373</v>
      </c>
    </row>
    <row r="13" spans="1:84" x14ac:dyDescent="0.25">
      <c r="A13">
        <f>A12+Parameters!$B$65</f>
        <v>9</v>
      </c>
      <c r="B13">
        <v>2034</v>
      </c>
      <c r="C13" s="74">
        <v>9.7406583516209105E-3</v>
      </c>
      <c r="D13" s="69">
        <v>5.7749729469307398E-2</v>
      </c>
      <c r="E13" s="75">
        <v>0.220540702826484</v>
      </c>
      <c r="F13" s="7">
        <f>MAX((1-Parameters!$B$4)^Parameters!B$65*F12 + C12*Parameters!B$65 - IF(C12&gt;0,Parameters!$B$5,0)*C12^2/F12*Parameters!B$65, 0.0001)</f>
        <v>0.42707504752930309</v>
      </c>
      <c r="G13" s="7">
        <f>(1-Parameters!$B$4)^Parameters!B$65*G12+D12*Parameters!B$65-Parameters!$B$5*D12^2/G12*Parameters!B$65</f>
        <v>0.36486082784924462</v>
      </c>
      <c r="H13" s="7">
        <f>(1-Parameters!$B$4)^Parameters!B$65*H12+E12*Parameters!B$65-Parameters!$B$5*E12^2/H12*Parameters!B$65</f>
        <v>3.9621482208978955</v>
      </c>
      <c r="I13" s="9">
        <f>I12 *(1-Parameters!$B$4)-C12*(C12&lt;0)*Parameters!B$65</f>
        <v>4.0765740585594644E-2</v>
      </c>
      <c r="J13" s="23">
        <f>J12*(1+Parameters!$B$51)^Parameters!B$65</f>
        <v>8.3754633117272519</v>
      </c>
      <c r="K13" s="23">
        <f>K12*(1+Parameters!$B$53)^Parameters!B$65</f>
        <v>10.81868046746934</v>
      </c>
      <c r="L13" s="64">
        <f>J13*K13*EXP(-Parameters!$B$42*'6states'!A13)*(Parameters!$B$37/Parameters!$B$38*('6states'!F13+'6states'!I13)/Parameters!$E$25*(EXP(-Parameters!$B$38*Parameters!$E$25*'6states'!I13/('6states'!F13+'6states'!I13))-EXP(-Parameters!$B$38*Parameters!$E$25))  +  Parameters!$B$39*'6states'!F13)</f>
        <v>27.262146243514476</v>
      </c>
      <c r="M13" s="8">
        <f>M12+L13*Parameters!B$65</f>
        <v>2598.7982479640136</v>
      </c>
      <c r="N13" s="7">
        <f>M13*Parameters!$B$45</f>
        <v>1.559278948778408</v>
      </c>
      <c r="O13" s="9">
        <f>EXP(-Parameters!$B$46/2*N13^2)</f>
        <v>0.97586104371974702</v>
      </c>
      <c r="P13" s="8">
        <f>MAX((Parameters!$B$62 + Parameters!$B$31*'6states'!A13 - '6states'!M13 + Parameters!$B$47/Parameters!$B$45)/Parameters!B$62,1)</f>
        <v>4.6000350407197219</v>
      </c>
      <c r="Q13" s="7">
        <f>Parameters!B$61*EXP(-Parameters!B$60*A13)</f>
        <v>0.39213575688577823</v>
      </c>
      <c r="R13" s="7">
        <f>(1-Parameters!B$61)*P13^-Parameters!B$63</f>
        <v>0.42923377746523478</v>
      </c>
      <c r="S13" s="7">
        <f>Parameters!B$61*EXP(-Parameters!B$60*A13)+(1-Parameters!B$61)*P13^-Parameters!B$63</f>
        <v>0.82136953435101301</v>
      </c>
      <c r="T13" s="7">
        <f>1-S13/Parameters!$B$12</f>
        <v>0.5893152328244935</v>
      </c>
      <c r="U13" s="7">
        <f t="shared" si="0"/>
        <v>2.4349576120816994</v>
      </c>
      <c r="V13" s="7">
        <f>(Parameters!$B$19*(F13+Parameters!$B$20)^T13+Parameters!$B$18*G13^T13)^(1/T13)</f>
        <v>0.41456921314411055</v>
      </c>
      <c r="W13" s="7">
        <f>(Parameters!$B$10*H13^Parameters!$B$9+Parameters!$B$11*V13^Parameters!$B$9)^(Parameters!$B$7/Parameters!$B$9)*O13</f>
        <v>1.4330957775926108</v>
      </c>
      <c r="X13" s="7">
        <f>W13 - D13 - E13 - LN(1+EXP(Parameters!$B$21*C13))/Parameters!$B$21 - IF(C13&gt;0, 0,Parameters!$B$6*C13^2/F13)</f>
        <v>1.1448899629600775</v>
      </c>
      <c r="Y13" s="7">
        <f>EXP(-Parameters!$B$55*A13)</f>
        <v>0.87292992111632683</v>
      </c>
      <c r="Z13" s="7">
        <f>IF(X13&gt;0,X13^(1-Parameters!$B$52)/(1-Parameters!$B$52)*Y13*Parameters!$B$65,-10+X13*1000)</f>
        <v>-2.3787238322550199</v>
      </c>
      <c r="AB13" s="9"/>
      <c r="AC13">
        <f t="shared" si="6"/>
        <v>0.88261528762082764</v>
      </c>
      <c r="AD13">
        <f t="shared" si="7"/>
        <v>5.2327873790066617</v>
      </c>
      <c r="AE13" s="23">
        <f t="shared" si="8"/>
        <v>3.6938433269290543</v>
      </c>
      <c r="AF13" s="23">
        <f t="shared" si="9"/>
        <v>38.697894157023654</v>
      </c>
      <c r="AG13" s="23">
        <f t="shared" si="10"/>
        <v>33.06057279589794</v>
      </c>
      <c r="AH13" s="23">
        <f t="shared" si="11"/>
        <v>37.564722228147986</v>
      </c>
      <c r="AI13" s="23">
        <f t="shared" si="12"/>
        <v>92.449641335801232</v>
      </c>
      <c r="AJ13" s="23">
        <f t="shared" si="13"/>
        <v>129.8549026429628</v>
      </c>
      <c r="AK13" s="23">
        <f t="shared" si="14"/>
        <v>103.74015261340666</v>
      </c>
      <c r="AL13" s="9">
        <f t="shared" si="23"/>
        <v>1.8927382631759748E-2</v>
      </c>
      <c r="AM13" s="9">
        <f t="shared" si="24"/>
        <v>1.5335205509014571E-2</v>
      </c>
      <c r="AN13" s="9">
        <f t="shared" ref="AN13:AO13" si="33">AVERAGE(AL11:AL15)</f>
        <v>1.8607585988685928E-2</v>
      </c>
      <c r="AO13" s="9">
        <f t="shared" si="33"/>
        <v>1.5937648455887299E-2</v>
      </c>
      <c r="AP13" s="23"/>
      <c r="AQ13" s="8">
        <f t="shared" si="1"/>
        <v>129.8549026429628</v>
      </c>
      <c r="AR13" s="32">
        <f>Parameters!$B$7*W13*(W13/O13)^(-Parameters!$B$9/Parameters!$B$7)*Parameters!$B$11*(V13)^(Parameters!$B$9-T13)*((1-2*Parameters!$B$5*C13/F13)*Parameters!$B$19*(F13+Parameters!$B$20)^(T13-1)-(1-2*Parameters!$B$5*D13/G13)*(Parameters!$B$18)*(G13)^(T13-1))</f>
        <v>0.14249584189429251</v>
      </c>
      <c r="AS13" s="32">
        <f>((C14-C12)/2-(F14-F12)/F13/2*C13)/(F13/2/Parameters!$B$5-C13)-((D14-D12)/D13-(G14-G12)/G13)/(G13/2/Parameters!$B$5/D13-1)</f>
        <v>5.3003362303237392E-2</v>
      </c>
      <c r="AT13" s="32">
        <f>+Parameters!$B$5*C13^2/F13^2-Parameters!$B$5*D13^2/G13^2</f>
        <v>-2.4531977140826652E-2</v>
      </c>
      <c r="AU13" s="30">
        <f>EXP(-Parameters!$B$42*'6states'!A13)*(Parameters!$B$37*EXP(-Parameters!$B$38*Parameters!$E$25*'6states'!I13/('6states'!F13+'6states'!I13))*(1/Parameters!$B$38/Parameters!$E$25+'6states'!I13/('6states'!F13+'6states'!I13))-Parameters!$B$37/Parameters!$B$38/Parameters!$E$25*EXP(-Parameters!$B$38*Parameters!$E$25)+Parameters!$B$39)</f>
        <v>0.71609840072382203</v>
      </c>
      <c r="AV13" s="30">
        <f>J13*K13*EXP(-Parameters!$B$42*'6states'!A13)*(Parameters!$B$37*EXP(-Parameters!$B$38*Parameters!$E$25*'6states'!I13/('6states'!F13+'6states'!I13))*(1/Parameters!$B$38/Parameters!$E$25+'6states'!I13/('6states'!F13+'6states'!I13))-Parameters!$B$37/Parameters!$B$38/Parameters!$E$25*EXP(-Parameters!$B$38*Parameters!$E$25)+Parameters!$B$39)</f>
        <v>64.886722550380313</v>
      </c>
      <c r="AW13" s="8">
        <f t="shared" si="25"/>
        <v>238.74823192440036</v>
      </c>
      <c r="AX13" s="13">
        <f>1-W13/'6states,ExoDamages'!T13</f>
        <v>4.1901910142914889E-2</v>
      </c>
      <c r="AY13" s="21">
        <f>-Y13*W13*X13^(-Parameters!B$52)*Parameters!B$46*Parameters!B$45*N13</f>
        <v>-1.9597228660933547E-5</v>
      </c>
      <c r="AZ13" s="7">
        <f>1000*EXP(-(Parameters!$B$54)*'6states'!A13)*AQ13*Parameters!B$46*Parameters!B$45*N13</f>
        <v>1.7804748671149777</v>
      </c>
      <c r="BA13" s="7">
        <f>SUM(AZ13:AZ$204)*EXP(Parameters!$B$54*A13)</f>
        <v>226.11164900571654</v>
      </c>
      <c r="BB13" s="13">
        <f t="shared" si="2"/>
        <v>0.20098523430950441</v>
      </c>
      <c r="BC13" s="30"/>
      <c r="BD13" s="30"/>
      <c r="BE13" s="30"/>
      <c r="BF13" s="5">
        <f t="shared" si="3"/>
        <v>-1.9363845164065358E-3</v>
      </c>
      <c r="BG13" s="2">
        <f>BF13/Parameters!$B$45</f>
        <v>-3.2273075273442267</v>
      </c>
      <c r="BH13" s="2">
        <f t="shared" si="27"/>
        <v>3.5850022886976252E-3</v>
      </c>
      <c r="BK13">
        <f>-EXP(-Parameters!B$42*'6states'!A13)*(-Parameters!B$37/Parameters!B$38/Parameters!E$25*(EXP(-Parameters!B$38*Parameters!E$25*'6states'!AE13/('6states'!F13+'6states'!AE13))-EXP(-Parameters!B$38*Parameters!E$25))+Parameters!B$37*'6states'!F13/('6states'!F13+'6states'!AE13)*EXP(-Parameters!B$38*Parameters!E$25*'6states'!I13/('6states'!F13+'6states'!AE13)))</f>
        <v>-0.38033947402182472</v>
      </c>
      <c r="BL13">
        <f>-J13*K13*EXP(-Parameters!B$42*'6states'!A13)*(-Parameters!B$37/Parameters!B$38/Parameters!E$25*(EXP(-Parameters!B$38*Parameters!E$25*'6states'!I13/('6states'!F13+'6states'!I13))-EXP(-Parameters!B$38*Parameters!E$25)) + Parameters!B$37*'6states'!F13/('6states'!F13+'6states'!I13)*EXP(-Parameters!B$38*Parameters!E$25*'6states'!I13/('6states'!F13+'6states'!I13)))</f>
        <v>-11.022831113944783</v>
      </c>
      <c r="BM13" s="7">
        <f t="shared" si="4"/>
        <v>8.713592662549749E-2</v>
      </c>
      <c r="BN13" s="7">
        <f t="shared" si="5"/>
        <v>-1.0964378747456467</v>
      </c>
      <c r="BS13">
        <f>EXP(-Parameters!$B$56*A13)*BF13*BL13</f>
        <v>1.0578157485983734E-2</v>
      </c>
      <c r="BT13">
        <f>-EXP((Parameters!$B$56)*F13)*SUM(BS13:BS21)</f>
        <v>-0.1077579258122647</v>
      </c>
      <c r="BU13">
        <f>X13^-Parameters!B$52/(1-2*Parameters!B$5*'6states'!D13/'6states'!G13)</f>
        <v>1.2188969939023617</v>
      </c>
      <c r="BV13">
        <f t="shared" si="16"/>
        <v>0.98045952573570494</v>
      </c>
      <c r="BW13">
        <f>$X13^-Parameters!$B$52/(1-2*Parameters!$B$5*'6states'!$E13/'6states'!$H13)</f>
        <v>0.93740095592418804</v>
      </c>
      <c r="BX13">
        <f t="shared" si="17"/>
        <v>1.0127368412820068</v>
      </c>
      <c r="BY13" s="7">
        <f>($X13^-Parameters!$B$52*(1/(1+EXP(-C13)) + IF(C13&lt;0,2*Parameters!$B$6*C13/F13,0)) + BQ13*(1/(1+EXP((C13-Parameters!$B$22)*Parameters!$B$21))))/(1-IF(C13&gt;0,2*Parameters!$B$5*C13/F13,0))</f>
        <v>0.43855660200759666</v>
      </c>
      <c r="BZ13">
        <f t="shared" si="18"/>
        <v>1.0120061350804774</v>
      </c>
      <c r="CA13" s="7">
        <f t="shared" si="19"/>
        <v>5.2029030473413895E-3</v>
      </c>
      <c r="CB13">
        <f>(1/$T13-1/Parameters!$B$13) * LN(Parameters!$B$18) / LN(P13)</f>
        <v>0.23661844683935992</v>
      </c>
      <c r="CC13">
        <f>(Parameters!$B$18*'6states'!T13^+Parameters!$B$19*Parameters!$B$25^'6states'!T13)^((1-'6states'!T13)/'6states'!T13)*Parameters!$B$18*Parameters!$B$26^('6states'!T13-1)</f>
        <v>0.20146127162451286</v>
      </c>
      <c r="CD13">
        <f t="shared" si="20"/>
        <v>0.28839885320226544</v>
      </c>
      <c r="CE13">
        <f t="shared" si="21"/>
        <v>0.1512676616128078</v>
      </c>
      <c r="CF13">
        <f t="shared" si="22"/>
        <v>0.13033075033690877</v>
      </c>
    </row>
    <row r="14" spans="1:84" x14ac:dyDescent="0.25">
      <c r="A14">
        <f>A13+Parameters!$B$65</f>
        <v>10</v>
      </c>
      <c r="B14">
        <v>2035</v>
      </c>
      <c r="C14" s="74">
        <v>9.8467390504929607E-3</v>
      </c>
      <c r="D14" s="69">
        <v>5.8870449267230597E-2</v>
      </c>
      <c r="E14" s="75">
        <v>0.21975562268024701</v>
      </c>
      <c r="F14" s="7">
        <f>MAX((1-Parameters!$B$4)^Parameters!B$65*F13 + C13*Parameters!B$65 - IF(C13&gt;0,Parameters!$B$5,0)*C13^2/F13*Parameters!B$65, 0.0001)</f>
        <v>0.4097305220369698</v>
      </c>
      <c r="G14" s="7">
        <f>(1-Parameters!$B$4)^Parameters!B$65*G13+D13*Parameters!B$65-Parameters!$B$5*D13^2/G13*Parameters!B$65</f>
        <v>0.39052025408305985</v>
      </c>
      <c r="H14" s="7">
        <f>(1-Parameters!$B$4)^Parameters!B$65*H13+E13*Parameters!B$65-Parameters!$B$5*E13^2/H13*Parameters!B$65</f>
        <v>3.9211940858177545</v>
      </c>
      <c r="I14" s="9">
        <f>I13 *(1-Parameters!$B$4)-C13*(C13&lt;0)*Parameters!B$65</f>
        <v>3.8201575502760744E-2</v>
      </c>
      <c r="J14" s="23">
        <f>J13*(1+Parameters!$B$51)^Parameters!B$65</f>
        <v>8.3997521553312602</v>
      </c>
      <c r="K14" s="23">
        <f>K13*(1+Parameters!$B$53)^Parameters!B$65</f>
        <v>11.035054076818728</v>
      </c>
      <c r="L14" s="64">
        <f>J14*K14*EXP(-Parameters!$B$42*'6states'!A14)*(Parameters!$B$37/Parameters!$B$38*('6states'!F14+'6states'!I14)/Parameters!$E$25*(EXP(-Parameters!$B$38*Parameters!$E$25*'6states'!I14/('6states'!F14+'6states'!I14))-EXP(-Parameters!$B$38*Parameters!$E$25))  +  Parameters!$B$39*'6states'!F14)</f>
        <v>26.499775371022491</v>
      </c>
      <c r="M14" s="8">
        <f>M13+L14*Parameters!B$65</f>
        <v>2625.2980233350363</v>
      </c>
      <c r="N14" s="7">
        <f>M14*Parameters!$B$45</f>
        <v>1.5751788140010217</v>
      </c>
      <c r="O14" s="9">
        <f>EXP(-Parameters!$B$46/2*N14^2)</f>
        <v>0.97537239006544596</v>
      </c>
      <c r="P14" s="8">
        <f>MAX((Parameters!$B$62 + Parameters!$B$31*'6states'!A14 - '6states'!M14 + Parameters!$B$47/Parameters!$B$45)/Parameters!B$62,1)</f>
        <v>5.1340395332992736</v>
      </c>
      <c r="Q14" s="7">
        <f>Parameters!B$61*EXP(-Parameters!B$60*A14)</f>
        <v>0.38168974716842657</v>
      </c>
      <c r="R14" s="7">
        <f>(1-Parameters!B$61)*P14^-Parameters!B$63</f>
        <v>0.42454534513436781</v>
      </c>
      <c r="S14" s="7">
        <f>Parameters!B$61*EXP(-Parameters!B$60*A14)+(1-Parameters!B$61)*P14^-Parameters!B$63</f>
        <v>0.80623509230279433</v>
      </c>
      <c r="T14" s="7">
        <f>1-S14/Parameters!$B$12</f>
        <v>0.59688245384860283</v>
      </c>
      <c r="U14" s="7">
        <f t="shared" si="0"/>
        <v>2.480666022967986</v>
      </c>
      <c r="V14" s="7">
        <f>(Parameters!$B$19*(F14+Parameters!$B$20)^T14+Parameters!$B$18*G14^T14)^(1/T14)</f>
        <v>0.41076575831320217</v>
      </c>
      <c r="W14" s="7">
        <f>(Parameters!$B$10*H14^Parameters!$B$9+Parameters!$B$11*V14^Parameters!$B$9)^(Parameters!$B$7/Parameters!$B$9)*O14</f>
        <v>1.4280802146111273</v>
      </c>
      <c r="X14" s="7">
        <f>W14 - D14 - E14 - LN(1+EXP(Parameters!$B$21*C14))/Parameters!$B$21 - IF(C14&gt;0, 0,Parameters!$B$6*C14^2/F14)</f>
        <v>1.1394380158389392</v>
      </c>
      <c r="Y14" s="7">
        <f>EXP(-Parameters!$B$55*A14)</f>
        <v>0.85984769865920552</v>
      </c>
      <c r="Z14" s="7">
        <f>IF(X14&gt;0,X14^(1-Parameters!$B$52)/(1-Parameters!$B$52)*Y14*Parameters!$B$65,-10+X14*1000)</f>
        <v>-2.3469927180365899</v>
      </c>
      <c r="AB14" s="9"/>
      <c r="AC14">
        <f t="shared" si="6"/>
        <v>0.91271117175341088</v>
      </c>
      <c r="AD14">
        <f t="shared" si="7"/>
        <v>5.4568031565387916</v>
      </c>
      <c r="AE14" s="23">
        <f t="shared" si="8"/>
        <v>3.5409697120190873</v>
      </c>
      <c r="AF14" s="23">
        <f t="shared" si="9"/>
        <v>37.97862652334404</v>
      </c>
      <c r="AG14" s="23">
        <f t="shared" si="10"/>
        <v>36.197993759136445</v>
      </c>
      <c r="AH14" s="23">
        <f t="shared" si="11"/>
        <v>38.074584353634506</v>
      </c>
      <c r="AI14" s="23">
        <f t="shared" si="12"/>
        <v>93.704450844191996</v>
      </c>
      <c r="AJ14" s="23">
        <f t="shared" si="13"/>
        <v>132.37121034199956</v>
      </c>
      <c r="AK14" s="23">
        <f t="shared" si="14"/>
        <v>105.61646868509989</v>
      </c>
      <c r="AL14" s="9">
        <f t="shared" si="23"/>
        <v>1.9192481712548393E-2</v>
      </c>
      <c r="AM14" s="9">
        <f t="shared" si="24"/>
        <v>1.7925072533509834E-2</v>
      </c>
      <c r="AN14" s="9">
        <f t="shared" ref="AN14:AO14" si="34">AVERAGE(AL12:AL16)</f>
        <v>1.9163746015862772E-2</v>
      </c>
      <c r="AO14" s="9">
        <f t="shared" si="34"/>
        <v>1.7393878475745694E-2</v>
      </c>
      <c r="AP14" s="23"/>
      <c r="AQ14" s="8">
        <f t="shared" si="1"/>
        <v>132.37121034199956</v>
      </c>
      <c r="AR14" s="32">
        <f>Parameters!$B$7*W14*(W14/O14)^(-Parameters!$B$9/Parameters!$B$7)*Parameters!$B$11*(V14)^(Parameters!$B$9-T14)*((1-2*Parameters!$B$5*C14/F14)*Parameters!$B$19*(F14+Parameters!$B$20)^(T14-1)-(1-2*Parameters!$B$5*D14/G14)*(Parameters!$B$18)*(G14)^(T14-1))</f>
        <v>0.14585506343224858</v>
      </c>
      <c r="AS14" s="32">
        <f>((C15-C13)/2-(F15-F13)/F14/2*C14)/(F14/2/Parameters!$B$5-C14)-((D15-D13)/D14-(G15-G13)/G14)/(G14/2/Parameters!$B$5/D14-1)</f>
        <v>4.7776095929899211E-2</v>
      </c>
      <c r="AT14" s="32">
        <f>+Parameters!$B$5*C14^2/F14^2-Parameters!$B$5*D14^2/G14^2</f>
        <v>-2.2147644478191314E-2</v>
      </c>
      <c r="AU14" s="30">
        <f>EXP(-Parameters!$B$42*'6states'!A14)*(Parameters!$B$37*EXP(-Parameters!$B$38*Parameters!$E$25*'6states'!I14/('6states'!F14+'6states'!I14))*(1/Parameters!$B$38/Parameters!$E$25+'6states'!I14/('6states'!F14+'6states'!I14))-Parameters!$B$37/Parameters!$B$38/Parameters!$E$25*EXP(-Parameters!$B$38*Parameters!$E$25)+Parameters!$B$39)</f>
        <v>0.70993082725681178</v>
      </c>
      <c r="AV14" s="30">
        <f>J14*K14*EXP(-Parameters!$B$42*'6states'!A14)*(Parameters!$B$37*EXP(-Parameters!$B$38*Parameters!$E$25*'6states'!I14/('6states'!F14+'6states'!I14))*(1/Parameters!$B$38/Parameters!$E$25+'6states'!I14/('6states'!F14+'6states'!I14))-Parameters!$B$37/Parameters!$B$38/Parameters!$E$25*EXP(-Parameters!$B$38*Parameters!$E$25)+Parameters!$B$39)</f>
        <v>65.804708938335679</v>
      </c>
      <c r="AW14" s="8">
        <f>1000*(AR14+AS14+AT14)/(EXP(-Parameters!$B$42*A14)*((C14&lt;0)*Parameters!$B$37*EXP(-Parameters!$B$38*AF14)+(C14&gt;=0)*Parameters!$B$41))</f>
        <v>208.10809849792059</v>
      </c>
      <c r="AX14" s="13">
        <f>1-W14/'6states,ExoDamages'!T14</f>
        <v>4.4809167724622179E-2</v>
      </c>
      <c r="AY14" s="21">
        <f>-Y14*W14*X14^(-Parameters!B$52)*Parameters!B$46*Parameters!B$45*N14</f>
        <v>-1.9557748336697144E-5</v>
      </c>
      <c r="AZ14" s="7">
        <f>1000*EXP(-(Parameters!$B$54)*'6states'!A14)*AQ14*Parameters!B$46*Parameters!B$45*N14</f>
        <v>1.7702448779856179</v>
      </c>
      <c r="BA14" s="7">
        <f>SUM(AZ14:AZ$204)*EXP(Parameters!$B$54*A14)</f>
        <v>231.65995585553813</v>
      </c>
      <c r="BB14" s="13">
        <f t="shared" ref="BB14:BB45" si="35">(C14+D14+E14)/W14</f>
        <v>0.20200042549887368</v>
      </c>
      <c r="BC14" s="30"/>
      <c r="BD14" s="30"/>
      <c r="BE14" s="30"/>
      <c r="BF14" s="5">
        <f t="shared" si="3"/>
        <v>-1.9430542840341808E-3</v>
      </c>
      <c r="BG14" s="2">
        <f>BF14/Parameters!$B$45</f>
        <v>-3.2384238067236351</v>
      </c>
      <c r="BH14" s="2">
        <f t="shared" si="27"/>
        <v>3.4326203248409293E-3</v>
      </c>
      <c r="BK14">
        <f>-EXP(-Parameters!B$42*'6states'!A14)*(-Parameters!B$37/Parameters!B$38/Parameters!E$25*(EXP(-Parameters!B$38*Parameters!E$25*'6states'!AE14/('6states'!F14+'6states'!AE14))-EXP(-Parameters!B$38*Parameters!E$25))+Parameters!B$37*'6states'!F14/('6states'!F14+'6states'!AE14)*EXP(-Parameters!B$38*Parameters!E$25*'6states'!I14/('6states'!F14+'6states'!AE14)))</f>
        <v>-0.38042027153278141</v>
      </c>
      <c r="BL14">
        <f>-J14*K14*EXP(-Parameters!B$42*'6states'!A14)*(-Parameters!B$37/Parameters!B$38/Parameters!E$25*(EXP(-Parameters!B$38*Parameters!E$25*'6states'!I14/('6states'!F14+'6states'!I14))-EXP(-Parameters!B$38*Parameters!E$25)) + Parameters!B$37*'6states'!F14/('6states'!F14+'6states'!I14)*EXP(-Parameters!B$38*Parameters!E$25*'6states'!I14/('6states'!F14+'6states'!I14)))</f>
        <v>-12.104798524323231</v>
      </c>
      <c r="BM14" s="7">
        <f t="shared" si="4"/>
        <v>8.5284300260202603E-2</v>
      </c>
      <c r="BN14" s="7">
        <f t="shared" si="5"/>
        <v>-1.0903510987895932</v>
      </c>
      <c r="BS14">
        <f>EXP(-Parameters!$B$56*A14)*BF14*BL14</f>
        <v>1.0781838028403885E-2</v>
      </c>
      <c r="BT14">
        <f>-EXP((Parameters!$B$56)*F14)*SUM(BS14:BS22)</f>
        <v>-0.11011466852142432</v>
      </c>
      <c r="BU14">
        <f>X14^-Parameters!B$52/(1-2*Parameters!B$5*'6states'!D14/'6states'!G14)</f>
        <v>1.2003271029275315</v>
      </c>
      <c r="BV14">
        <f t="shared" si="16"/>
        <v>0.98476500387831978</v>
      </c>
      <c r="BW14">
        <f>$X14^-Parameters!$B$52/(1-2*Parameters!$B$5*'6states'!$E14/'6states'!$H14)</f>
        <v>0.94427106096761915</v>
      </c>
      <c r="BX14">
        <f t="shared" si="17"/>
        <v>1.0073288863212837</v>
      </c>
      <c r="BY14" s="7">
        <f>($X14^-Parameters!$B$52*(1/(1+EXP(-C14)) + IF(C14&lt;0,2*Parameters!$B$6*C14/F14,0)) + BQ14*(1/(1+EXP((C14-Parameters!$B$22)*Parameters!$B$21))))/(1-IF(C14&gt;0,2*Parameters!$B$5*C14/F14,0))</f>
        <v>0.44255060824858405</v>
      </c>
      <c r="BZ14">
        <f t="shared" si="18"/>
        <v>1.0091071625024088</v>
      </c>
      <c r="CA14" s="7">
        <f t="shared" si="19"/>
        <v>3.9940062409873911E-3</v>
      </c>
      <c r="CB14">
        <f>(1/$T14-1/Parameters!$B$13) * LN(Parameters!$B$18) / LN(P14)</f>
        <v>0.23639862054030092</v>
      </c>
      <c r="CC14">
        <f>(Parameters!$B$18*'6states'!T14^+Parameters!$B$19*Parameters!$B$25^'6states'!T14)^((1-'6states'!T14)/'6states'!T14)*Parameters!$B$18*Parameters!$B$26^('6states'!T14-1)</f>
        <v>0.2069941315587274</v>
      </c>
      <c r="CD14">
        <f t="shared" si="20"/>
        <v>0.28559840231447908</v>
      </c>
      <c r="CE14">
        <f t="shared" si="21"/>
        <v>0.15113832873331889</v>
      </c>
      <c r="CF14">
        <f t="shared" si="22"/>
        <v>0.13365961959992634</v>
      </c>
    </row>
    <row r="15" spans="1:84" x14ac:dyDescent="0.25">
      <c r="A15">
        <f>A14+Parameters!$B$65</f>
        <v>11</v>
      </c>
      <c r="B15">
        <v>2036</v>
      </c>
      <c r="C15" s="74">
        <v>9.8007764025613495E-3</v>
      </c>
      <c r="D15" s="69">
        <v>5.9238144797335003E-2</v>
      </c>
      <c r="E15" s="75">
        <v>0.221553677100948</v>
      </c>
      <c r="F15" s="7">
        <f>MAX((1-Parameters!$B$4)^Parameters!B$65*F14 + C14*Parameters!B$65 - IF(C14&gt;0,Parameters!$B$5,0)*C14^2/F14*Parameters!B$65, 0.0001)</f>
        <v>0.39356857213193153</v>
      </c>
      <c r="G15" s="7">
        <f>(1-Parameters!$B$4)^Parameters!B$65*G14+D14*Parameters!B$65-Parameters!$B$5*D14^2/G14*Parameters!B$65</f>
        <v>0.41595233135548887</v>
      </c>
      <c r="H15" s="7">
        <f>(1-Parameters!$B$4)^Parameters!B$65*H14+E14*Parameters!B$65-Parameters!$B$5*E14^2/H14*Parameters!B$65</f>
        <v>3.8819908281504514</v>
      </c>
      <c r="I15" s="9">
        <f>I14 *(1-Parameters!$B$4)-C14*(C14&lt;0)*Parameters!B$65</f>
        <v>3.5798696403637094E-2</v>
      </c>
      <c r="J15" s="23">
        <f>J14*(1+Parameters!$B$51)^Parameters!B$65</f>
        <v>8.42411143658172</v>
      </c>
      <c r="K15" s="23">
        <f>K14*(1+Parameters!$B$53)^Parameters!B$65</f>
        <v>11.255755158355102</v>
      </c>
      <c r="L15" s="23">
        <f>J15*K15*EXP(-Parameters!$B$42*'6states'!A15)*(Parameters!$B$37/Parameters!$B$38*('6states'!F15+'6states'!I15)/Parameters!$E$25*(EXP(-Parameters!$B$38*Parameters!$E$25*'6states'!I15/('6states'!F15+'6states'!I15))-EXP(-Parameters!$B$38*Parameters!$E$25))  +  Parameters!$B$39*'6states'!F15)</f>
        <v>25.791231815747928</v>
      </c>
      <c r="M15" s="8">
        <f>M14+L15*Parameters!B$65</f>
        <v>2651.0892551507841</v>
      </c>
      <c r="N15" s="7">
        <f>M15*Parameters!$B$45</f>
        <v>1.5906535530904704</v>
      </c>
      <c r="O15" s="9">
        <f>EXP(-Parameters!$B$46/2*N15^2)</f>
        <v>0.97489227994469629</v>
      </c>
      <c r="P15" s="8">
        <f>MAX((Parameters!$B$62 + Parameters!$B$31*'6states'!A15 - '6states'!M15 + Parameters!$B$47/Parameters!$B$45)/Parameters!B$62,1)</f>
        <v>5.6822148969843189</v>
      </c>
      <c r="Q15" s="7">
        <f>Parameters!B$61*EXP(-Parameters!B$60*A15)</f>
        <v>0.37152200618096992</v>
      </c>
      <c r="R15" s="7">
        <f>(1-Parameters!B$61)*P15^-Parameters!B$63</f>
        <v>0.42026017681144101</v>
      </c>
      <c r="S15" s="7">
        <f>Parameters!B$61*EXP(-Parameters!B$60*A15)+(1-Parameters!B$61)*P15^-Parameters!B$63</f>
        <v>0.79178218299241099</v>
      </c>
      <c r="T15" s="7">
        <f>1-S15/Parameters!$B$12</f>
        <v>0.60410890850379451</v>
      </c>
      <c r="U15" s="7">
        <f t="shared" si="0"/>
        <v>2.5259472149794124</v>
      </c>
      <c r="V15" s="7">
        <f>(Parameters!$B$19*(F15+Parameters!$B$20)^T15+Parameters!$B$18*G15^T15)^(1/T15)</f>
        <v>0.40731548254797989</v>
      </c>
      <c r="W15" s="7">
        <f>(Parameters!$B$10*H15^Parameters!$B$9+Parameters!$B$11*V15^Parameters!$B$9)^(Parameters!$B$7/Parameters!$B$9)*O15</f>
        <v>1.4232992346581752</v>
      </c>
      <c r="X15" s="7">
        <f>W15 - D15 - E15 - LN(1+EXP(Parameters!$B$21*C15))/Parameters!$B$21 - IF(C15&gt;0, 0,Parameters!$B$6*C15^2/F15)</f>
        <v>1.132534956297339</v>
      </c>
      <c r="Y15" s="7">
        <f>EXP(-Parameters!$B$55*A15)</f>
        <v>0.84696153380107075</v>
      </c>
      <c r="Z15" s="7">
        <f>IF(X15&gt;0,X15^(1-Parameters!$B$52)/(1-Parameters!$B$52)*Y15*Parameters!$B$65,-10+X15*1000)</f>
        <v>-2.3167414917020657</v>
      </c>
      <c r="AB15" s="9"/>
      <c r="AC15">
        <f t="shared" si="6"/>
        <v>0.92930702870296455</v>
      </c>
      <c r="AD15">
        <f t="shared" si="7"/>
        <v>5.6169452364100882</v>
      </c>
      <c r="AE15" s="23">
        <f t="shared" si="8"/>
        <v>3.3944229334330274</v>
      </c>
      <c r="AF15" s="23">
        <f t="shared" si="9"/>
        <v>37.318068011755585</v>
      </c>
      <c r="AG15" s="23">
        <f t="shared" si="10"/>
        <v>39.44049014657854</v>
      </c>
      <c r="AH15" s="23">
        <f t="shared" si="11"/>
        <v>38.621546424878559</v>
      </c>
      <c r="AI15" s="23">
        <f t="shared" si="12"/>
        <v>95.050566143639344</v>
      </c>
      <c r="AJ15" s="23">
        <f t="shared" si="13"/>
        <v>134.95685733323339</v>
      </c>
      <c r="AK15" s="23">
        <f t="shared" si="14"/>
        <v>107.38666529152397</v>
      </c>
      <c r="AL15" s="9">
        <f t="shared" si="23"/>
        <v>1.9344976742392106E-2</v>
      </c>
      <c r="AM15" s="9">
        <f t="shared" si="24"/>
        <v>1.6621702499493018E-2</v>
      </c>
      <c r="AN15" s="9">
        <f t="shared" ref="AN15:AO15" si="36">AVERAGE(AL13:AL17)</f>
        <v>1.9339539331499546E-2</v>
      </c>
      <c r="AO15" s="9">
        <f t="shared" si="36"/>
        <v>1.7276152592165771E-2</v>
      </c>
      <c r="AP15" s="23"/>
      <c r="AQ15" s="8">
        <f t="shared" si="1"/>
        <v>134.95685733323339</v>
      </c>
      <c r="AR15" s="32">
        <f>Parameters!$B$7*W15*(W15/O15)^(-Parameters!$B$9/Parameters!$B$7)*Parameters!$B$11*(V15)^(Parameters!$B$9-T15)*((1-2*Parameters!$B$5*C15/F15)*Parameters!$B$19*(F15+Parameters!$B$20)^(T15-1)-(1-2*Parameters!$B$5*D15/G15)*(Parameters!$B$18)*(G15)^(T15-1))</f>
        <v>0.14862413986546669</v>
      </c>
      <c r="AS15" s="32">
        <f>((C16-C14)/2-(F16-F14)/F15/2*C15)/(F15/2/Parameters!$B$5-C15)-((D16-D14)/D15-(G16-G14)/G15)/(G15/2/Parameters!$B$5/D15-1)</f>
        <v>3.9056775864782678E-2</v>
      </c>
      <c r="AT15" s="32">
        <f>+Parameters!$B$5*C15^2/F15^2-Parameters!$B$5*D15^2/G15^2</f>
        <v>-1.9662106937888255E-2</v>
      </c>
      <c r="AU15" s="30">
        <f>EXP(-Parameters!$B$42*'6states'!A15)*(Parameters!$B$37*EXP(-Parameters!$B$38*Parameters!$E$25*'6states'!I15/('6states'!F15+'6states'!I15))*(1/Parameters!$B$38/Parameters!$E$25+'6states'!I15/('6states'!F15+'6states'!I15))-Parameters!$B$37/Parameters!$B$38/Parameters!$E$25*EXP(-Parameters!$B$38*Parameters!$E$25)+Parameters!$B$39)</f>
        <v>0.70390278558086838</v>
      </c>
      <c r="AV15" s="30">
        <f>J15*K15*EXP(-Parameters!$B$42*'6states'!A15)*(Parameters!$B$37*EXP(-Parameters!$B$38*Parameters!$E$25*'6states'!I15/('6states'!F15+'6states'!I15))*(1/Parameters!$B$38/Parameters!$E$25+'6states'!I15/('6states'!F15+'6states'!I15))-Parameters!$B$37/Parameters!$B$38/Parameters!$E$25*EXP(-Parameters!$B$38*Parameters!$E$25)+Parameters!$B$39)</f>
        <v>66.743876127297668</v>
      </c>
      <c r="AW15" s="8">
        <f>1000*(AR15+AS15+AT15)/(EXP(-Parameters!$B$42*A15)*((C15&lt;0)*Parameters!$B$37*EXP(-Parameters!$B$38*AF15)+(C15&gt;=0)*Parameters!$B$41))</f>
        <v>205.95268138560195</v>
      </c>
      <c r="AX15" s="13">
        <f>1-W15/'6states,ExoDamages'!T15</f>
        <v>4.7556937499218743E-2</v>
      </c>
      <c r="AY15" s="21">
        <f>-Y15*W15*X15^(-Parameters!B$52)*Parameters!B$46*Parameters!B$45*N15</f>
        <v>-1.9548486063120356E-5</v>
      </c>
      <c r="AZ15" s="7">
        <f>1000*EXP(-(Parameters!$B$54)*'6states'!A15)*AQ15*Parameters!B$46*Parameters!B$45*N15</f>
        <v>1.7596924260093754</v>
      </c>
      <c r="BA15" s="7">
        <f>SUM(AZ15:AZ$204)*EXP(Parameters!$B$54*A15)</f>
        <v>237.33116785022182</v>
      </c>
      <c r="BB15" s="13">
        <f t="shared" si="35"/>
        <v>0.20416830925271606</v>
      </c>
      <c r="BC15" s="30"/>
      <c r="BD15" s="30"/>
      <c r="BE15" s="30"/>
      <c r="BF15" s="5">
        <f t="shared" si="3"/>
        <v>-1.9495253801547748E-3</v>
      </c>
      <c r="BG15" s="2">
        <f>BF15/Parameters!$B$45</f>
        <v>-3.2492089669246247</v>
      </c>
      <c r="BH15" s="2">
        <f t="shared" si="27"/>
        <v>3.3193187359684684E-3</v>
      </c>
      <c r="BK15">
        <f>-EXP(-Parameters!B$42*'6states'!A15)*(-Parameters!B$37/Parameters!B$38/Parameters!E$25*(EXP(-Parameters!B$38*Parameters!E$25*'6states'!AE15/('6states'!F15+'6states'!AE15))-EXP(-Parameters!B$38*Parameters!E$25))+Parameters!B$37*'6states'!F15/('6states'!F15+'6states'!AE15)*EXP(-Parameters!B$38*Parameters!E$25*'6states'!I15/('6states'!F15+'6states'!AE15)))</f>
        <v>-0.38085378370393036</v>
      </c>
      <c r="BL15">
        <f>-J15*K15*EXP(-Parameters!B$42*'6states'!A15)*(-Parameters!B$37/Parameters!B$38/Parameters!E$25*(EXP(-Parameters!B$38*Parameters!E$25*'6states'!I15/('6states'!F15+'6states'!I15))-EXP(-Parameters!B$38*Parameters!E$25)) + Parameters!B$37*'6states'!F15/('6states'!F15+'6states'!I15)*EXP(-Parameters!B$38*Parameters!E$25*'6states'!I15/('6states'!F15+'6states'!I15)))</f>
        <v>-13.326189446793858</v>
      </c>
      <c r="BM15" s="7">
        <f t="shared" si="4"/>
        <v>8.3375466708803261E-2</v>
      </c>
      <c r="BN15" s="7">
        <f t="shared" si="5"/>
        <v>-1.0847565692847987</v>
      </c>
      <c r="BS15">
        <f>EXP(-Parameters!$B$56*A15)*BF15*BL15</f>
        <v>1.1015652088260755E-2</v>
      </c>
      <c r="BT15">
        <f>-EXP((Parameters!$B$56)*F15)*SUM(BS15:BS23)</f>
        <v>-0.11258183401059685</v>
      </c>
      <c r="BU15">
        <f>X15^-Parameters!B$52/(1-2*Parameters!B$5*'6states'!D15/'6states'!G15)</f>
        <v>1.1820120054645384</v>
      </c>
      <c r="BV15">
        <f t="shared" si="16"/>
        <v>0.98474157800959128</v>
      </c>
      <c r="BW15">
        <f>$X15^-Parameters!$B$52/(1-2*Parameters!$B$5*'6states'!$E15/'6states'!$H15)</f>
        <v>0.95426141513532847</v>
      </c>
      <c r="BX15">
        <f t="shared" si="17"/>
        <v>1.0105799643562856</v>
      </c>
      <c r="BY15" s="7">
        <f>($X15^-Parameters!$B$52*(1/(1+EXP(-C15)) + IF(C15&lt;0,2*Parameters!$B$6*C15/F15,0)) + BQ15*(1/(1+EXP((C15-Parameters!$B$22)*Parameters!$B$21))))/(1-IF(C15&gt;0,2*Parameters!$B$5*C15/F15,0))</f>
        <v>0.44700299048042585</v>
      </c>
      <c r="BZ15">
        <f t="shared" si="18"/>
        <v>1.0100607301150535</v>
      </c>
      <c r="CA15" s="7">
        <f t="shared" si="19"/>
        <v>4.4523822318418005E-3</v>
      </c>
      <c r="CB15">
        <f>(1/$T15-1/Parameters!$B$13) * LN(Parameters!$B$18) / LN(P15)</f>
        <v>0.23633661730019637</v>
      </c>
      <c r="CC15">
        <f>(Parameters!$B$18*'6states'!T15^+Parameters!$B$19*Parameters!$B$25^'6states'!T15)^((1-'6states'!T15)/'6states'!T15)*Parameters!$B$18*Parameters!$B$26^('6states'!T15-1)</f>
        <v>0.21216465386910383</v>
      </c>
      <c r="CD15">
        <f t="shared" si="20"/>
        <v>0.28312261976256281</v>
      </c>
      <c r="CE15">
        <f t="shared" si="21"/>
        <v>0.15110184610633282</v>
      </c>
      <c r="CF15">
        <f t="shared" si="22"/>
        <v>0.13675896819880051</v>
      </c>
    </row>
    <row r="16" spans="1:84" x14ac:dyDescent="0.25">
      <c r="A16">
        <f>A15+Parameters!$B$65</f>
        <v>12</v>
      </c>
      <c r="B16">
        <v>2037</v>
      </c>
      <c r="C16" s="74">
        <v>9.8272189177717201E-3</v>
      </c>
      <c r="D16" s="69">
        <v>6.0494875555272401E-2</v>
      </c>
      <c r="E16" s="75">
        <v>0.22022086507094599</v>
      </c>
      <c r="F16" s="7">
        <f>MAX((1-Parameters!$B$4)^Parameters!B$65*F15 + C15*Parameters!B$65 - IF(C15&gt;0,Parameters!$B$5,0)*C15^2/F15*Parameters!B$65, 0.0001)</f>
        <v>0.37836982313080864</v>
      </c>
      <c r="G16" s="7">
        <f>(1-Parameters!$B$4)^Parameters!B$65*G15+D15*Parameters!B$65-Parameters!$B$5*D15^2/G15*Parameters!B$65</f>
        <v>0.44059063231634749</v>
      </c>
      <c r="H16" s="7">
        <f>(1-Parameters!$B$4)^Parameters!B$65*H15+E15*Parameters!B$65-Parameters!$B$5*E15^2/H15*Parameters!B$65</f>
        <v>3.8467227309472189</v>
      </c>
      <c r="I16" s="9">
        <f>I15 *(1-Parameters!$B$4)-C15*(C15&lt;0)*Parameters!B$65</f>
        <v>3.3546958399848323E-2</v>
      </c>
      <c r="J16" s="23">
        <f>J15*(1+Parameters!$B$51)^Parameters!B$65</f>
        <v>8.4485413597478054</v>
      </c>
      <c r="K16" s="23">
        <f>K15*(1+Parameters!$B$53)^Parameters!B$65</f>
        <v>11.480870261522204</v>
      </c>
      <c r="L16" s="23">
        <f>J16*K16*EXP(-Parameters!$B$42*'6states'!A16)*(Parameters!$B$37/Parameters!$B$38*('6states'!F16+'6states'!I16)/Parameters!$E$25*(EXP(-Parameters!$B$38*Parameters!$E$25*'6states'!I16/('6states'!F16+'6states'!I16))-EXP(-Parameters!$B$38*Parameters!$E$25))  +  Parameters!$B$39*'6states'!F16)</f>
        <v>25.12434149119138</v>
      </c>
      <c r="M16" s="8">
        <f>M15+L16*Parameters!B$65</f>
        <v>2676.2135966419755</v>
      </c>
      <c r="N16" s="7">
        <f>M16*Parameters!$B$45</f>
        <v>1.6057281579851852</v>
      </c>
      <c r="O16" s="9">
        <f>EXP(-Parameters!$B$46/2*N16^2)</f>
        <v>0.97442030155015624</v>
      </c>
      <c r="P16" s="8">
        <f>MAX((Parameters!$B$62 + Parameters!$B$31*'6states'!A16 - '6states'!M16 + Parameters!$B$47/Parameters!$B$45)/Parameters!B$62,1)</f>
        <v>6.2437280671604913</v>
      </c>
      <c r="Q16" s="7">
        <f>Parameters!B$61*EXP(-Parameters!B$60*A16)</f>
        <v>0.36162512118992118</v>
      </c>
      <c r="R16" s="7">
        <f>(1-Parameters!B$61)*P16^-Parameters!B$63</f>
        <v>0.41631840051574764</v>
      </c>
      <c r="S16" s="7">
        <f>Parameters!B$61*EXP(-Parameters!B$60*A16)+(1-Parameters!B$61)*P16^-Parameters!B$63</f>
        <v>0.77794352170566883</v>
      </c>
      <c r="T16" s="7">
        <f>1-S16/Parameters!$B$12</f>
        <v>0.61102823914716553</v>
      </c>
      <c r="U16" s="7">
        <f t="shared" si="0"/>
        <v>2.5708807184548932</v>
      </c>
      <c r="V16" s="7">
        <f>(Parameters!$B$19*(F16+Parameters!$B$20)^T16+Parameters!$B$18*G16^T16)^(1/T16)</f>
        <v>0.403964786103713</v>
      </c>
      <c r="W16" s="7">
        <f>(Parameters!$B$10*H16^Parameters!$B$9+Parameters!$B$11*V16^Parameters!$B$9)^(Parameters!$B$7/Parameters!$B$9)*O16</f>
        <v>1.4188368615904612</v>
      </c>
      <c r="X16" s="7">
        <f>W16 - D16 - E16 - LN(1+EXP(Parameters!$B$21*C16))/Parameters!$B$21 - IF(C16&gt;0, 0,Parameters!$B$6*C16^2/F16)</f>
        <v>1.1281235444162807</v>
      </c>
      <c r="Y16" s="7">
        <f>EXP(-Parameters!$B$55*A16)</f>
        <v>0.83426848831164502</v>
      </c>
      <c r="Z16" s="7">
        <f>IF(X16&gt;0,X16^(1-Parameters!$B$52)/(1-Parameters!$B$52)*Y16*Parameters!$B$65,-10+X16*1000)</f>
        <v>-2.2851407942878894</v>
      </c>
      <c r="AB16" s="9"/>
      <c r="AC16">
        <f t="shared" si="6"/>
        <v>0.95320689373049927</v>
      </c>
      <c r="AD16">
        <f t="shared" si="7"/>
        <v>5.8677976848947022</v>
      </c>
      <c r="AE16" s="23">
        <f t="shared" si="8"/>
        <v>3.2539411483545533</v>
      </c>
      <c r="AF16" s="23">
        <f t="shared" si="9"/>
        <v>36.700589129610606</v>
      </c>
      <c r="AG16" s="23">
        <f t="shared" si="10"/>
        <v>42.735796520980465</v>
      </c>
      <c r="AH16" s="23">
        <f t="shared" si="11"/>
        <v>39.183213700681151</v>
      </c>
      <c r="AI16" s="23">
        <f t="shared" si="12"/>
        <v>96.432872071063372</v>
      </c>
      <c r="AJ16" s="23">
        <f t="shared" si="13"/>
        <v>137.62236181603603</v>
      </c>
      <c r="AK16" s="23">
        <f t="shared" si="14"/>
        <v>109.42415636764014</v>
      </c>
      <c r="AL16" s="9">
        <f t="shared" si="23"/>
        <v>1.9558273439364449E-2</v>
      </c>
      <c r="AM16" s="9">
        <f t="shared" si="24"/>
        <v>1.879565829195684E-2</v>
      </c>
      <c r="AN16" s="9">
        <f t="shared" ref="AN16:AO16" si="37">AVERAGE(AL14:AL18)</f>
        <v>1.9522811435841447E-2</v>
      </c>
      <c r="AO16" s="9">
        <f t="shared" si="37"/>
        <v>1.7748082457052484E-2</v>
      </c>
      <c r="AP16" s="23"/>
      <c r="AQ16" s="8">
        <f t="shared" si="1"/>
        <v>137.62236181603603</v>
      </c>
      <c r="AR16" s="32">
        <f>Parameters!$B$7*W16*(W16/O16)^(-Parameters!$B$9/Parameters!$B$7)*Parameters!$B$11*(V16)^(Parameters!$B$9-T16)*((1-2*Parameters!$B$5*C16/F16)*Parameters!$B$19*(F16+Parameters!$B$20)^(T16-1)-(1-2*Parameters!$B$5*D16/G16)*(Parameters!$B$18)*(G16)^(T16-1))</f>
        <v>0.15191895066125866</v>
      </c>
      <c r="AS16" s="32">
        <f>((C17-C15)/2-(F17-F15)/F16/2*C16)/(F16/2/Parameters!$B$5-C16)-((D17-D15)/D16-(G17-G15)/G16)/(G16/2/Parameters!$B$5/D16-1)</f>
        <v>3.3316003192912058E-2</v>
      </c>
      <c r="AT16" s="32">
        <f>+Parameters!$B$5*C16^2/F16^2-Parameters!$B$5*D16^2/G16^2</f>
        <v>-1.8177828543558129E-2</v>
      </c>
      <c r="AU16" s="30">
        <f>EXP(-Parameters!$B$42*'6states'!A16)*(Parameters!$B$37*EXP(-Parameters!$B$38*Parameters!$E$25*'6states'!I16/('6states'!F16+'6states'!I16))*(1/Parameters!$B$38/Parameters!$E$25+'6states'!I16/('6states'!F16+'6states'!I16))-Parameters!$B$37/Parameters!$B$38/Parameters!$E$25*EXP(-Parameters!$B$38*Parameters!$E$25)+Parameters!$B$39)</f>
        <v>0.69800105736556628</v>
      </c>
      <c r="AV16" s="30">
        <f>J16*K16*EXP(-Parameters!$B$42*'6states'!A16)*(Parameters!$B$37*EXP(-Parameters!$B$38*Parameters!$E$25*'6states'!I16/('6states'!F16+'6states'!I16))*(1/Parameters!$B$38/Parameters!$E$25+'6states'!I16/('6states'!F16+'6states'!I16))-Parameters!$B$37/Parameters!$B$38/Parameters!$E$25*EXP(-Parameters!$B$38*Parameters!$E$25)+Parameters!$B$39)</f>
        <v>67.70373442163006</v>
      </c>
      <c r="AW16" s="8">
        <f>1000*(AR16+AS16+AT16)/(EXP(-Parameters!$B$42*A16)*((C16&lt;0)*Parameters!$B$37*EXP(-Parameters!$B$38*AF16)+(C16&gt;=0)*Parameters!$B$41))</f>
        <v>206.83188878026462</v>
      </c>
      <c r="AX16" s="13">
        <f>1-W16/'6states,ExoDamages'!T16</f>
        <v>5.0089966094084781E-2</v>
      </c>
      <c r="AY16" s="21">
        <f>-Y16*W16*X16^(-Parameters!B$52)*Parameters!B$46*Parameters!B$45*N16</f>
        <v>-1.9479425243471249E-5</v>
      </c>
      <c r="AZ16" s="7">
        <f>1000*EXP(-(Parameters!$B$54)*'6states'!A16)*AQ16*Parameters!B$46*Parameters!B$45*N16</f>
        <v>1.7489745985152869</v>
      </c>
      <c r="BA16" s="7">
        <f>SUM(AZ16:AZ$204)*EXP(Parameters!$B$54*A16)</f>
        <v>243.12801467834987</v>
      </c>
      <c r="BB16" s="13">
        <f t="shared" si="35"/>
        <v>0.20477545192778732</v>
      </c>
      <c r="BC16" s="30"/>
      <c r="BD16" s="30"/>
      <c r="BE16" s="30"/>
      <c r="BF16" s="5">
        <f t="shared" si="3"/>
        <v>-1.9557547036193243E-3</v>
      </c>
      <c r="BG16" s="2">
        <f>BF16/Parameters!$B$45</f>
        <v>-3.2595911726988742</v>
      </c>
      <c r="BH16" s="2">
        <f t="shared" si="27"/>
        <v>3.1851251350804022E-3</v>
      </c>
      <c r="BK16">
        <f>-EXP(-Parameters!B$42*'6states'!A16)*(-Parameters!B$37/Parameters!B$38/Parameters!E$25*(EXP(-Parameters!B$38*Parameters!E$25*'6states'!AE16/('6states'!F16+'6states'!AE16))-EXP(-Parameters!B$38*Parameters!E$25))+Parameters!B$37*'6states'!F16/('6states'!F16+'6states'!AE16)*EXP(-Parameters!B$38*Parameters!E$25*'6states'!I16/('6states'!F16+'6states'!AE16)))</f>
        <v>-0.38151483179017059</v>
      </c>
      <c r="BL16">
        <f>-J16*K16*EXP(-Parameters!B$42*'6states'!A16)*(-Parameters!B$37/Parameters!B$38/Parameters!E$25*(EXP(-Parameters!B$38*Parameters!E$25*'6states'!I16/('6states'!F16+'6states'!I16))-EXP(-Parameters!B$38*Parameters!E$25)) + Parameters!B$37*'6states'!F16/('6states'!F16+'6states'!I16)*EXP(-Parameters!B$38*Parameters!E$25*'6states'!I16/('6states'!F16+'6states'!I16)))</f>
        <v>-14.687129645060674</v>
      </c>
      <c r="BM16" s="7">
        <f t="shared" si="4"/>
        <v>8.1441106320528936E-2</v>
      </c>
      <c r="BN16" s="7">
        <f t="shared" si="5"/>
        <v>-1.0795158891557368</v>
      </c>
      <c r="BS16">
        <f>EXP(-Parameters!$B$56*A16)*BF16*BL16</f>
        <v>1.1265531254693022E-2</v>
      </c>
      <c r="BT16">
        <f>-EXP((Parameters!$B$56)*F16)*SUM(BS16:BS24)</f>
        <v>-0.1150939269426751</v>
      </c>
      <c r="BU16">
        <f>X16^-Parameters!B$52/(1-2*Parameters!B$5*'6states'!D16/'6states'!G16)</f>
        <v>1.1715094485502255</v>
      </c>
      <c r="BV16">
        <f t="shared" si="16"/>
        <v>0.99111467830634659</v>
      </c>
      <c r="BW16">
        <f>$X16^-Parameters!$B$52/(1-2*Parameters!$B$5*'6states'!$E16/'6states'!$H16)</f>
        <v>0.95968546288856804</v>
      </c>
      <c r="BX16">
        <f t="shared" si="17"/>
        <v>1.0056840271095635</v>
      </c>
      <c r="BY16" s="7">
        <f>($X16^-Parameters!$B$52*(1/(1+EXP(-C16)) + IF(C16&lt;0,2*Parameters!$B$6*C16/F16,0)) + BQ16*(1/(1+EXP((C16-Parameters!$B$22)*Parameters!$B$21))))/(1-IF(C16&gt;0,2*Parameters!$B$5*C16/F16,0))</f>
        <v>0.45038478201762311</v>
      </c>
      <c r="BZ16">
        <f t="shared" si="18"/>
        <v>1.0075654785520844</v>
      </c>
      <c r="CA16" s="7">
        <f t="shared" si="19"/>
        <v>3.381791537197254E-3</v>
      </c>
      <c r="CB16">
        <f>(1/$T16-1/Parameters!$B$13) * LN(Parameters!$B$18) / LN(P16)</f>
        <v>0.23636890252477744</v>
      </c>
      <c r="CC16">
        <f>(Parameters!$B$18*'6states'!T16^+Parameters!$B$19*Parameters!$B$25^'6states'!T16)^((1-'6states'!T16)/'6states'!T16)*Parameters!$B$18*Parameters!$B$26^('6states'!T16-1)</f>
        <v>0.21700721206096962</v>
      </c>
      <c r="CD16">
        <f t="shared" si="20"/>
        <v>0.28087728985006505</v>
      </c>
      <c r="CE16">
        <f t="shared" si="21"/>
        <v>0.15112084288673988</v>
      </c>
      <c r="CF16">
        <f t="shared" si="22"/>
        <v>0.13965167029758274</v>
      </c>
    </row>
    <row r="17" spans="1:84" x14ac:dyDescent="0.25">
      <c r="A17">
        <f>A16+Parameters!$B$65</f>
        <v>13</v>
      </c>
      <c r="B17">
        <v>2038</v>
      </c>
      <c r="C17" s="74">
        <v>9.7505416195580105E-3</v>
      </c>
      <c r="D17" s="69">
        <v>6.0975850682499298E-2</v>
      </c>
      <c r="E17" s="75">
        <v>0.22115010858856701</v>
      </c>
      <c r="F17" s="7">
        <f>MAX((1-Parameters!$B$4)^Parameters!B$65*F16 + C16*Parameters!B$65 - IF(C16&gt;0,Parameters!$B$5,0)*C16^2/F16*Parameters!B$65, 0.0001)</f>
        <v>0.36414234250470018</v>
      </c>
      <c r="G17" s="7">
        <f>(1-Parameters!$B$4)^Parameters!B$65*G16+D16*Parameters!B$65-Parameters!$B$5*D16^2/G16*Parameters!B$65</f>
        <v>0.46506616604531736</v>
      </c>
      <c r="H17" s="7">
        <f>(1-Parameters!$B$4)^Parameters!B$65*H16+E16*Parameters!B$65-Parameters!$B$5*E16^2/H16*Parameters!B$65</f>
        <v>3.8123773213576286</v>
      </c>
      <c r="I17" s="9">
        <f>I16 *(1-Parameters!$B$4)-C16*(C16&lt;0)*Parameters!B$65</f>
        <v>3.1436854716497868E-2</v>
      </c>
      <c r="J17" s="23">
        <f>J16*(1+Parameters!$B$51)^Parameters!B$65</f>
        <v>8.4730421296910734</v>
      </c>
      <c r="K17" s="23">
        <f>K16*(1+Parameters!$B$53)^Parameters!B$65</f>
        <v>11.710487666752648</v>
      </c>
      <c r="L17" s="23">
        <f>J17*K17*EXP(-Parameters!$B$42*'6states'!A17)*(Parameters!$B$37/Parameters!$B$38*('6states'!F17+'6states'!I17)/Parameters!$E$25*(EXP(-Parameters!$B$38*Parameters!$E$25*'6states'!I17/('6states'!F17+'6states'!I17))-EXP(-Parameters!$B$38*Parameters!$E$25))  +  Parameters!$B$39*'6states'!F17)</f>
        <v>24.501798645019711</v>
      </c>
      <c r="M17" s="8">
        <f>M16+L17*Parameters!B$65</f>
        <v>2700.7153952869953</v>
      </c>
      <c r="N17" s="7">
        <f>M17*Parameters!$B$45</f>
        <v>1.6204292371721971</v>
      </c>
      <c r="O17" s="9">
        <f>EXP(-Parameters!$B$46/2*N17^2)</f>
        <v>0.97395595346977037</v>
      </c>
      <c r="P17" s="8">
        <f>MAX((Parameters!$B$62 + Parameters!$B$31*'6states'!A17 - '6states'!M17 + Parameters!$B$47/Parameters!$B$45)/Parameters!B$62,1)</f>
        <v>6.8176920942600923</v>
      </c>
      <c r="Q17" s="7">
        <f>Parameters!B$61*EXP(-Parameters!B$60*A17)</f>
        <v>0.35199187692781048</v>
      </c>
      <c r="R17" s="7">
        <f>(1-Parameters!B$61)*P17^-Parameters!B$63</f>
        <v>0.41267320032423555</v>
      </c>
      <c r="S17" s="7">
        <f>Parameters!B$61*EXP(-Parameters!B$60*A17)+(1-Parameters!B$61)*P17^-Parameters!B$63</f>
        <v>0.76466507725204602</v>
      </c>
      <c r="T17" s="7">
        <f>1-S17/Parameters!$B$12</f>
        <v>0.61766746137397699</v>
      </c>
      <c r="U17" s="7">
        <f t="shared" si="0"/>
        <v>2.6155241811059819</v>
      </c>
      <c r="V17" s="7">
        <f>(Parameters!$B$19*(F17+Parameters!$B$20)^T17+Parameters!$B$18*G17^T17)^(1/T17)</f>
        <v>0.4009663523003909</v>
      </c>
      <c r="W17" s="7">
        <f>(Parameters!$B$10*H17^Parameters!$B$9+Parameters!$B$11*V17^Parameters!$B$9)^(Parameters!$B$7/Parameters!$B$9)*O17</f>
        <v>1.4145529943380086</v>
      </c>
      <c r="X17" s="7">
        <f>W17 - D17 - E17 - LN(1+EXP(Parameters!$B$21*C17))/Parameters!$B$21 - IF(C17&gt;0, 0,Parameters!$B$6*C17^2/F17)</f>
        <v>1.1225022734627701</v>
      </c>
      <c r="Y17" s="7">
        <f>EXP(-Parameters!$B$55*A17)</f>
        <v>0.82176566799463491</v>
      </c>
      <c r="Z17" s="7">
        <f>IF(X17&gt;0,X17^(1-Parameters!$B$52)/(1-Parameters!$B$52)*Y17*Parameters!$B$65,-10+X17*1000)</f>
        <v>-2.2548331890452586</v>
      </c>
      <c r="AB17" s="9"/>
      <c r="AC17">
        <f t="shared" si="6"/>
        <v>0.96748243112035948</v>
      </c>
      <c r="AD17">
        <f t="shared" si="7"/>
        <v>6.0502345982100012</v>
      </c>
      <c r="AE17" s="23">
        <f t="shared" si="8"/>
        <v>3.1192733506093768</v>
      </c>
      <c r="AF17" s="23">
        <f t="shared" si="9"/>
        <v>36.131461466063634</v>
      </c>
      <c r="AG17" s="23">
        <f t="shared" si="10"/>
        <v>46.145471965868524</v>
      </c>
      <c r="AH17" s="23">
        <f t="shared" si="11"/>
        <v>39.785266958188672</v>
      </c>
      <c r="AI17" s="23">
        <f t="shared" si="12"/>
        <v>97.914570974187811</v>
      </c>
      <c r="AJ17" s="23">
        <f t="shared" si="13"/>
        <v>140.35683588751832</v>
      </c>
      <c r="AK17" s="23">
        <f t="shared" si="14"/>
        <v>111.37855422200839</v>
      </c>
      <c r="AL17" s="9">
        <f t="shared" si="23"/>
        <v>1.9674582131433027E-2</v>
      </c>
      <c r="AM17" s="9">
        <f t="shared" si="24"/>
        <v>1.7703124126854597E-2</v>
      </c>
      <c r="AN17" s="9">
        <f t="shared" ref="AN17:AO17" si="38">AVERAGE(AL15:AL19)</f>
        <v>1.9687270267401403E-2</v>
      </c>
      <c r="AO17" s="9">
        <f t="shared" si="38"/>
        <v>1.8014915517898977E-2</v>
      </c>
      <c r="AP17" s="23"/>
      <c r="AQ17" s="8">
        <f t="shared" si="1"/>
        <v>140.35683588751832</v>
      </c>
      <c r="AR17" s="32">
        <f>Parameters!$B$7*W17*(W17/O17)^(-Parameters!$B$9/Parameters!$B$7)*Parameters!$B$11*(V17)^(Parameters!$B$9-T17)*((1-2*Parameters!$B$5*C17/F17)*Parameters!$B$19*(F17+Parameters!$B$20)^(T17-1)-(1-2*Parameters!$B$5*D17/G17)*(Parameters!$B$18)*(G17)^(T17-1))</f>
        <v>0.15450190544978798</v>
      </c>
      <c r="AS17" s="32">
        <f>((C18-C16)/2-(F18-F16)/F17/2*C17)/(F17/2/Parameters!$B$5-C17)-((D18-D16)/D17-(G18-G16)/G17)/(G17/2/Parameters!$B$5/D17-1)</f>
        <v>3.264217813138412E-2</v>
      </c>
      <c r="AT17" s="32">
        <f>+Parameters!$B$5*C17^2/F17^2-Parameters!$B$5*D17^2/G17^2</f>
        <v>-1.6473417069108941E-2</v>
      </c>
      <c r="AU17" s="30">
        <f>EXP(-Parameters!$B$42*'6states'!A17)*(Parameters!$B$37*EXP(-Parameters!$B$38*Parameters!$E$25*'6states'!I17/('6states'!F17+'6states'!I17))*(1/Parameters!$B$38/Parameters!$E$25+'6states'!I17/('6states'!F17+'6states'!I17))-Parameters!$B$37/Parameters!$B$38/Parameters!$E$25*EXP(-Parameters!$B$38*Parameters!$E$25)+Parameters!$B$39)</f>
        <v>0.69223533476817323</v>
      </c>
      <c r="AV17" s="30">
        <f>J17*K17*EXP(-Parameters!$B$42*'6states'!A17)*(Parameters!$B$37*EXP(-Parameters!$B$38*Parameters!$E$25*'6states'!I17/('6states'!F17+'6states'!I17))*(1/Parameters!$B$38/Parameters!$E$25+'6states'!I17/('6states'!F17+'6states'!I17))-Parameters!$B$37/Parameters!$B$38/Parameters!$E$25*EXP(-Parameters!$B$38*Parameters!$E$25)+Parameters!$B$39)</f>
        <v>68.68598183772346</v>
      </c>
      <c r="AW17" s="8">
        <f>1000*(AR17+AS17+AT17)/(EXP(-Parameters!$B$42*A17)*((C17&lt;0)*Parameters!$B$37*EXP(-Parameters!$B$38*AF17)+(C17&gt;=0)*Parameters!$B$41))</f>
        <v>213.42943927613499</v>
      </c>
      <c r="AX17" s="13">
        <f>1-W17/'6states,ExoDamages'!T17</f>
        <v>5.2502785497237858E-2</v>
      </c>
      <c r="AY17" s="21">
        <f>-Y17*W17*X17^(-Parameters!B$52)*Parameters!B$46*Parameters!B$45*N17</f>
        <v>-1.9435326207567956E-5</v>
      </c>
      <c r="AZ17" s="7">
        <f>1000*EXP(-(Parameters!$B$54)*'6states'!A17)*AQ17*Parameters!B$46*Parameters!B$45*N17</f>
        <v>1.7379703994427638</v>
      </c>
      <c r="BA17" s="7">
        <f>SUM(AZ17:AZ$204)*EXP(Parameters!$B$54*A17)</f>
        <v>249.05307060401682</v>
      </c>
      <c r="BB17" s="13">
        <f t="shared" si="35"/>
        <v>0.20633832882819531</v>
      </c>
      <c r="BC17" s="30"/>
      <c r="BD17" s="30"/>
      <c r="BE17" s="30"/>
      <c r="BF17" s="5">
        <f t="shared" si="3"/>
        <v>-1.9618063368205072E-3</v>
      </c>
      <c r="BG17" s="2">
        <f>BF17/Parameters!$B$45</f>
        <v>-3.2696772280341788</v>
      </c>
      <c r="BH17" s="2">
        <f t="shared" si="27"/>
        <v>3.0847250758658795E-3</v>
      </c>
      <c r="BK17">
        <f>-EXP(-Parameters!B$42*'6states'!A17)*(-Parameters!B$37/Parameters!B$38/Parameters!E$25*(EXP(-Parameters!B$38*Parameters!E$25*'6states'!AE17/('6states'!F17+'6states'!AE17))-EXP(-Parameters!B$38*Parameters!E$25))+Parameters!B$37*'6states'!F17/('6states'!F17+'6states'!AE17)*EXP(-Parameters!B$38*Parameters!E$25*'6states'!I17/('6states'!F17+'6states'!AE17)))</f>
        <v>-0.38247506312540414</v>
      </c>
      <c r="BL17">
        <f>-J17*K17*EXP(-Parameters!B$42*'6states'!A17)*(-Parameters!B$37/Parameters!B$38/Parameters!E$25*(EXP(-Parameters!B$38*Parameters!E$25*'6states'!I17/('6states'!F17+'6states'!I17))-EXP(-Parameters!B$38*Parameters!E$25)) + Parameters!B$37*'6states'!F17/('6states'!F17+'6states'!I17)*EXP(-Parameters!B$38*Parameters!E$25*'6states'!I17/('6states'!F17+'6states'!I17)))</f>
        <v>-16.212680409682598</v>
      </c>
      <c r="BM17" s="7">
        <f t="shared" si="4"/>
        <v>7.9470444698129972E-2</v>
      </c>
      <c r="BN17" s="7">
        <f t="shared" si="5"/>
        <v>-1.0747103978935773</v>
      </c>
      <c r="BS17">
        <f>EXP(-Parameters!$B$56*A17)*BF17*BL17</f>
        <v>1.1538154504176716E-2</v>
      </c>
      <c r="BT17">
        <f>-EXP((Parameters!$B$56)*F17)*SUM(BS17:BS25)</f>
        <v>-0.11762110544924476</v>
      </c>
      <c r="BU17">
        <f>X17^-Parameters!B$52/(1-2*Parameters!B$5*'6states'!D17/'6states'!G17)</f>
        <v>1.1596393901019331</v>
      </c>
      <c r="BV17">
        <f t="shared" si="16"/>
        <v>0.98986772282290847</v>
      </c>
      <c r="BW17">
        <f>$X17^-Parameters!$B$52/(1-2*Parameters!$B$5*'6states'!$E17/'6states'!$H17)</f>
        <v>0.96783936148574556</v>
      </c>
      <c r="BX17">
        <f t="shared" si="17"/>
        <v>1.0084964281657816</v>
      </c>
      <c r="BY17" s="7">
        <f>($X17^-Parameters!$B$52*(1/(1+EXP(-C17)) + IF(C17&lt;0,2*Parameters!$B$6*C17/F17,0)) + BQ17*(1/(1+EXP((C17-Parameters!$B$22)*Parameters!$B$21))))/(1-IF(C17&gt;0,2*Parameters!$B$5*C17/F17,0))</f>
        <v>0.45418553650567395</v>
      </c>
      <c r="BZ17">
        <f t="shared" si="18"/>
        <v>1.0084389052201637</v>
      </c>
      <c r="CA17" s="7">
        <f t="shared" si="19"/>
        <v>3.8007544880508393E-3</v>
      </c>
      <c r="CB17">
        <f>(1/$T17-1/Parameters!$B$13) * LN(Parameters!$B$18) / LN(P17)</f>
        <v>0.23645703885409475</v>
      </c>
      <c r="CC17">
        <f>(Parameters!$B$18*'6states'!T17^+Parameters!$B$19*Parameters!$B$25^'6states'!T17)^((1-'6states'!T17)/'6states'!T17)*Parameters!$B$18*Parameters!$B$26^('6states'!T17-1)</f>
        <v>0.22155055445793767</v>
      </c>
      <c r="CD17">
        <f t="shared" si="20"/>
        <v>0.27880326348453099</v>
      </c>
      <c r="CE17">
        <f t="shared" si="21"/>
        <v>0.15117270055972387</v>
      </c>
      <c r="CF17">
        <f t="shared" si="22"/>
        <v>0.14235682176188746</v>
      </c>
    </row>
    <row r="18" spans="1:84" x14ac:dyDescent="0.25">
      <c r="A18">
        <f>A17+Parameters!$B$65</f>
        <v>14</v>
      </c>
      <c r="B18">
        <v>2039</v>
      </c>
      <c r="C18" s="74">
        <v>9.6183938070490502E-3</v>
      </c>
      <c r="D18" s="69">
        <v>6.1479511814372299E-2</v>
      </c>
      <c r="E18" s="75">
        <v>0.222341886602475</v>
      </c>
      <c r="F18" s="7">
        <f>MAX((1-Parameters!$B$4)^Parameters!B$65*F17 + C17*Parameters!B$65 - IF(C17&gt;0,Parameters!$B$5,0)*C17^2/F17*Parameters!B$65, 0.0001)</f>
        <v>0.35072724314882447</v>
      </c>
      <c r="G18" s="7">
        <f>(1-Parameters!$B$4)^Parameters!B$65*G17+D17*Parameters!B$65-Parameters!$B$5*D17^2/G17*Parameters!B$65</f>
        <v>0.488794676625049</v>
      </c>
      <c r="H18" s="7">
        <f>(1-Parameters!$B$4)^Parameters!B$65*H17+E17*Parameters!B$65-Parameters!$B$5*E17^2/H17*Parameters!B$65</f>
        <v>3.780900320873203</v>
      </c>
      <c r="I18" s="9">
        <f>I17 *(1-Parameters!$B$4)-C17*(C17&lt;0)*Parameters!B$65</f>
        <v>2.9459476554830152E-2</v>
      </c>
      <c r="J18" s="23">
        <f>J17*(1+Parameters!$B$51)^Parameters!B$65</f>
        <v>8.4976139518671765</v>
      </c>
      <c r="K18" s="23">
        <f>K17*(1+Parameters!$B$53)^Parameters!B$65</f>
        <v>11.944697420087701</v>
      </c>
      <c r="L18" s="23">
        <f>J18*K18*EXP(-Parameters!$B$42*'6states'!A18)*(Parameters!$B$37/Parameters!$B$38*('6states'!F18+'6states'!I18)/Parameters!$E$25*(EXP(-Parameters!$B$38*Parameters!$E$25*'6states'!I18/('6states'!F18+'6states'!I18))-EXP(-Parameters!$B$38*Parameters!$E$25))  +  Parameters!$B$39*'6states'!F18)</f>
        <v>23.914780393557457</v>
      </c>
      <c r="M18" s="8">
        <f>M17+L18*Parameters!B$65</f>
        <v>2724.6301756805528</v>
      </c>
      <c r="N18" s="7">
        <f>M18*Parameters!$B$45</f>
        <v>1.6347781054083315</v>
      </c>
      <c r="O18" s="9">
        <f>EXP(-Parameters!$B$46/2*N18^2)</f>
        <v>0.97349886554018705</v>
      </c>
      <c r="P18" s="8">
        <f>MAX((Parameters!$B$62 + Parameters!$B$31*'6states'!A18 - '6states'!M18 + Parameters!$B$47/Parameters!$B$45)/Parameters!B$62,1)</f>
        <v>7.4033964863889468</v>
      </c>
      <c r="Q18" s="7">
        <f>Parameters!B$61*EXP(-Parameters!B$60*A18)</f>
        <v>0.34261525033293516</v>
      </c>
      <c r="R18" s="7">
        <f>(1-Parameters!B$61)*P18^-Parameters!B$63</f>
        <v>0.40928601321708324</v>
      </c>
      <c r="S18" s="7">
        <f>Parameters!B$61*EXP(-Parameters!B$60*A18)+(1-Parameters!B$61)*P18^-Parameters!B$63</f>
        <v>0.75190126355001841</v>
      </c>
      <c r="T18" s="7">
        <f>1-S18/Parameters!$B$12</f>
        <v>0.6240493682249908</v>
      </c>
      <c r="U18" s="7">
        <f t="shared" si="0"/>
        <v>2.6599237120007246</v>
      </c>
      <c r="V18" s="7">
        <f>(Parameters!$B$19*(F18+Parameters!$B$20)^T18+Parameters!$B$18*G18^T18)^(1/T18)</f>
        <v>0.3980869660102988</v>
      </c>
      <c r="W18" s="7">
        <f>(Parameters!$B$10*H18^Parameters!$B$9+Parameters!$B$11*V18^Parameters!$B$9)^(Parameters!$B$7/Parameters!$B$9)*O18</f>
        <v>1.4105206462186957</v>
      </c>
      <c r="X18" s="7">
        <f>W18 - D18 - E18 - LN(1+EXP(Parameters!$B$21*C18))/Parameters!$B$21 - IF(C18&gt;0, 0,Parameters!$B$6*C18^2/F18)</f>
        <v>1.1168997764518269</v>
      </c>
      <c r="Y18" s="7">
        <f>EXP(-Parameters!$B$55*A18)</f>
        <v>0.80945022202781236</v>
      </c>
      <c r="Z18" s="7">
        <f>IF(X18&gt;0,X18^(1-Parameters!$B$52)/(1-Parameters!$B$52)*Y18*Parameters!$B$65,-10+X18*1000)</f>
        <v>-2.2249339902032972</v>
      </c>
      <c r="AB18" s="9"/>
      <c r="AC18">
        <f t="shared" si="6"/>
        <v>0.976280701170261</v>
      </c>
      <c r="AD18">
        <f t="shared" si="7"/>
        <v>6.2402582079507738</v>
      </c>
      <c r="AE18" s="23">
        <f t="shared" si="8"/>
        <v>2.9901789221793482</v>
      </c>
      <c r="AF18" s="23">
        <f t="shared" si="9"/>
        <v>35.59931582442649</v>
      </c>
      <c r="AG18" s="23">
        <f t="shared" si="10"/>
        <v>49.613357406313177</v>
      </c>
      <c r="AH18" s="23">
        <f t="shared" si="11"/>
        <v>40.40639529839688</v>
      </c>
      <c r="AI18" s="23">
        <f t="shared" si="12"/>
        <v>99.443215108090712</v>
      </c>
      <c r="AJ18" s="23">
        <f t="shared" si="13"/>
        <v>143.16985903574735</v>
      </c>
      <c r="AK18" s="23">
        <f t="shared" si="14"/>
        <v>113.36692162595466</v>
      </c>
      <c r="AL18" s="9">
        <f t="shared" si="23"/>
        <v>1.9843743153469262E-2</v>
      </c>
      <c r="AM18" s="9">
        <f t="shared" si="24"/>
        <v>1.7694854833448126E-2</v>
      </c>
      <c r="AN18" s="9">
        <f t="shared" ref="AN18:AO18" si="39">AVERAGE(AL16:AL20)</f>
        <v>1.9841613833999894E-2</v>
      </c>
      <c r="AO18" s="9">
        <f t="shared" si="39"/>
        <v>1.8081263107745472E-2</v>
      </c>
      <c r="AP18" s="23"/>
      <c r="AQ18" s="8">
        <f t="shared" si="1"/>
        <v>143.16985903574735</v>
      </c>
      <c r="AR18" s="32">
        <f>Parameters!$B$7*W18*(W18/O18)^(-Parameters!$B$9/Parameters!$B$7)*Parameters!$B$11*(V18)^(Parameters!$B$9-T18)*((1-2*Parameters!$B$5*C18/F18)*Parameters!$B$19*(F18+Parameters!$B$20)^(T18-1)-(1-2*Parameters!$B$5*D18/G18)*(Parameters!$B$18)*(G18)^(T18-1))</f>
        <v>0.15722779895886166</v>
      </c>
      <c r="AS18" s="32">
        <f>((C19-C17)/2-(F19-F17)/F18/2*C18)/(F18/2/Parameters!$B$5-C18)-((D19-D17)/D18-(G19-G17)/G18)/(G18/2/Parameters!$B$5/D18-1)</f>
        <v>2.7951800333002916E-2</v>
      </c>
      <c r="AT18" s="32">
        <f>+Parameters!$B$5*C18^2/F18^2-Parameters!$B$5*D18^2/G18^2</f>
        <v>-1.5067967656707293E-2</v>
      </c>
      <c r="AU18" s="30">
        <f>EXP(-Parameters!$B$42*'6states'!A18)*(Parameters!$B$37*EXP(-Parameters!$B$38*Parameters!$E$25*'6states'!I18/('6states'!F18+'6states'!I18))*(1/Parameters!$B$38/Parameters!$E$25+'6states'!I18/('6states'!F18+'6states'!I18))-Parameters!$B$37/Parameters!$B$38/Parameters!$E$25*EXP(-Parameters!$B$38*Parameters!$E$25)+Parameters!$B$39)</f>
        <v>0.68659473190148212</v>
      </c>
      <c r="AV18" s="30">
        <f>J18*K18*EXP(-Parameters!$B$42*'6states'!A18)*(Parameters!$B$37*EXP(-Parameters!$B$38*Parameters!$E$25*'6states'!I18/('6states'!F18+'6states'!I18))*(1/Parameters!$B$38/Parameters!$E$25+'6states'!I18/('6states'!F18+'6states'!I18))-Parameters!$B$37/Parameters!$B$38/Parameters!$E$25*EXP(-Parameters!$B$38*Parameters!$E$25)+Parameters!$B$39)</f>
        <v>69.690345366118777</v>
      </c>
      <c r="AW18" s="8">
        <f>1000*(AR18+AS18+AT18)/(EXP(-Parameters!$B$42*A18)*((C18&lt;0)*Parameters!$B$37*EXP(-Parameters!$B$38*AF18)+(C18&gt;=0)*Parameters!$B$41))</f>
        <v>214.86832279403248</v>
      </c>
      <c r="AX18" s="13">
        <f>1-W18/'6states,ExoDamages'!T18</f>
        <v>5.4747332693898088E-2</v>
      </c>
      <c r="AY18" s="21">
        <f>-Y18*W18*X18^(-Parameters!B$52)*Parameters!B$46*Parameters!B$45*N18</f>
        <v>-1.9389050371798289E-5</v>
      </c>
      <c r="AZ18" s="7">
        <f>1000*EXP(-(Parameters!$B$54)*'6states'!A18)*AQ18*Parameters!B$46*Parameters!B$45*N18</f>
        <v>1.726813396891747</v>
      </c>
      <c r="BA18" s="7">
        <f>SUM(AZ18:AZ$204)*EXP(Parameters!$B$54*A18)</f>
        <v>255.10917043262219</v>
      </c>
      <c r="BB18" s="13">
        <f t="shared" si="35"/>
        <v>0.208036509788457</v>
      </c>
      <c r="BC18" s="30"/>
      <c r="BD18" s="30"/>
      <c r="BE18" s="30"/>
      <c r="BF18" s="5">
        <f t="shared" si="3"/>
        <v>-1.9676438714857987E-3</v>
      </c>
      <c r="BG18" s="2">
        <f>BF18/Parameters!$B$45</f>
        <v>-3.2794064524763313</v>
      </c>
      <c r="BH18" s="2">
        <f t="shared" si="27"/>
        <v>2.9667638284988085E-3</v>
      </c>
      <c r="BK18">
        <f>-EXP(-Parameters!B$42*'6states'!A18)*(-Parameters!B$37/Parameters!B$38/Parameters!E$25*(EXP(-Parameters!B$38*Parameters!E$25*'6states'!I18/('6states'!F18+'6states'!I18))-EXP(-Parameters!B$38*Parameters!E$25))+Parameters!B$37*'6states'!F18/('6states'!F18+'6states'!I18)*EXP(-Parameters!B$38*Parameters!E$25*'6states'!I18/('6states'!F18+'6states'!I18)))</f>
        <v>-0.17641830957940141</v>
      </c>
      <c r="BL18">
        <f>-J18*K18*EXP(-Parameters!B$42*'6states'!A18)*(-Parameters!B$37/Parameters!B$38/Parameters!E$25*(EXP(-Parameters!B$38*Parameters!E$25*'6states'!I18/('6states'!F18+'6states'!I18))-EXP(-Parameters!B$38*Parameters!E$25)) + Parameters!B$37*'6states'!F18/('6states'!F18+'6states'!I18)*EXP(-Parameters!B$38*Parameters!E$25*'6states'!I18/('6states'!F18+'6states'!I18)))</f>
        <v>-17.906710250231683</v>
      </c>
      <c r="BM18" s="7">
        <f t="shared" si="4"/>
        <v>7.7486863764712838E-2</v>
      </c>
      <c r="BN18" s="7">
        <f t="shared" si="5"/>
        <v>-0.86301304148088354</v>
      </c>
      <c r="BS18">
        <f>EXP(-Parameters!$B$56*A18)*BF18*BL18</f>
        <v>1.1822592736309498E-2</v>
      </c>
      <c r="BT18">
        <f>-EXP((Parameters!$B$56)*F18)*SUM(BS18:BS26)</f>
        <v>-0.12013569755265222</v>
      </c>
      <c r="BU18">
        <f>X18^-Parameters!B$52/(1-2*Parameters!B$5*'6states'!D18/'6states'!G18)</f>
        <v>1.1508567362030455</v>
      </c>
      <c r="BV18">
        <f t="shared" si="16"/>
        <v>0.992426392226884</v>
      </c>
      <c r="BW18">
        <f>$X18^-Parameters!$B$52/(1-2*Parameters!$B$5*'6states'!$E18/'6states'!$H18)</f>
        <v>0.97616182654892047</v>
      </c>
      <c r="BX18">
        <f t="shared" si="17"/>
        <v>1.0085990148720538</v>
      </c>
      <c r="BY18" s="7">
        <f>($X18^-Parameters!$B$52*(1/(1+EXP(-C18)) + IF(C18&lt;0,2*Parameters!$B$6*C18/F18,0)) + BQ18*(1/(1+EXP((C18-Parameters!$B$22)*Parameters!$B$21))))/(1-IF(C18&gt;0,2*Parameters!$B$5*C18/F18,0))</f>
        <v>0.4578601934303268</v>
      </c>
      <c r="BZ18">
        <f t="shared" si="18"/>
        <v>1.0080906515714354</v>
      </c>
      <c r="CA18" s="7">
        <f t="shared" si="19"/>
        <v>3.6746569246528527E-3</v>
      </c>
      <c r="CB18">
        <f>(1/$T18-1/Parameters!$B$13) * LN(Parameters!$B$18) / LN(P18)</f>
        <v>0.23657467464997395</v>
      </c>
      <c r="CC18">
        <f>(Parameters!$B$18*'6states'!T18^+Parameters!$B$19*Parameters!$B$25^'6states'!T18)^((1-'6states'!T18)/'6states'!T18)*Parameters!$B$18*Parameters!$B$26^('6states'!T18-1)</f>
        <v>0.22581964527174381</v>
      </c>
      <c r="CD18">
        <f t="shared" si="20"/>
        <v>0.27685888853078561</v>
      </c>
      <c r="CE18">
        <f t="shared" si="21"/>
        <v>0.15124191019951816</v>
      </c>
      <c r="CF18">
        <f t="shared" si="22"/>
        <v>0.14489092957691885</v>
      </c>
    </row>
    <row r="19" spans="1:84" x14ac:dyDescent="0.25">
      <c r="A19">
        <f>A18+Parameters!$B$65</f>
        <v>15</v>
      </c>
      <c r="B19">
        <v>2040</v>
      </c>
      <c r="C19" s="74">
        <v>9.5610947001123804E-3</v>
      </c>
      <c r="D19" s="69">
        <v>6.2031322679839698E-2</v>
      </c>
      <c r="E19" s="75">
        <v>0.22189868063583901</v>
      </c>
      <c r="F19" s="7">
        <f>MAX((1-Parameters!$B$4)^Parameters!B$65*F18 + C18*Parameters!B$65 - IF(C18&gt;0,Parameters!$B$5,0)*C18^2/F18*Parameters!B$65, 0.0001)</f>
        <v>0.33802111716183186</v>
      </c>
      <c r="G19" s="7">
        <f>(1-Parameters!$B$4)^Parameters!B$65*G18+D18*Parameters!B$65-Parameters!$B$5*D18^2/G18*Parameters!B$65</f>
        <v>0.51179624645217392</v>
      </c>
      <c r="H19" s="7">
        <f>(1-Parameters!$B$4)^Parameters!B$65*H18+E18*Parameters!B$65-Parameters!$B$5*E18^2/H18*Parameters!B$65</f>
        <v>3.7523484072690887</v>
      </c>
      <c r="I19" s="9">
        <f>I18 *(1-Parameters!$B$4)-C18*(C18&lt;0)*Parameters!B$65</f>
        <v>2.7606475479531337E-2</v>
      </c>
      <c r="J19" s="23">
        <f>J18*(1+Parameters!$B$51)^Parameters!B$65</f>
        <v>8.522257032327591</v>
      </c>
      <c r="K19" s="23">
        <f>K18*(1+Parameters!$B$53)^Parameters!B$65</f>
        <v>12.183591368489456</v>
      </c>
      <c r="L19" s="23">
        <f>J19*K19*EXP(-Parameters!$B$42*'6states'!A19)*(Parameters!$B$37/Parameters!$B$38*('6states'!F19+'6states'!I19)/Parameters!$E$25*(EXP(-Parameters!$B$38*Parameters!$E$25*'6states'!I19/('6states'!F19+'6states'!I19))-EXP(-Parameters!$B$38*Parameters!$E$25))  +  Parameters!$B$39*'6states'!F19)</f>
        <v>23.357826691469278</v>
      </c>
      <c r="M19" s="8">
        <f>M18+L19*Parameters!B$65</f>
        <v>2747.988002372022</v>
      </c>
      <c r="N19" s="7">
        <f>M19*Parameters!$B$45</f>
        <v>1.6487928014232132</v>
      </c>
      <c r="O19" s="9">
        <f>EXP(-Parameters!$B$46/2*N19^2)</f>
        <v>0.97304874257657203</v>
      </c>
      <c r="P19" s="8">
        <f>MAX((Parameters!$B$62 + Parameters!$B$31*'6states'!A19 - '6states'!M19 + Parameters!$B$47/Parameters!$B$45)/Parameters!B$62,1)</f>
        <v>8.0002399525595589</v>
      </c>
      <c r="Q19" s="7">
        <f>Parameters!B$61*EXP(-Parameters!B$60*A19)</f>
        <v>0.33348840542923719</v>
      </c>
      <c r="R19" s="7">
        <f>(1-Parameters!B$61)*P19^-Parameters!B$63</f>
        <v>0.40612498006045317</v>
      </c>
      <c r="S19" s="7">
        <f>Parameters!B$61*EXP(-Parameters!B$60*A19)+(1-Parameters!B$61)*P19^-Parameters!B$63</f>
        <v>0.73961338548969036</v>
      </c>
      <c r="T19" s="7">
        <f>1-S19/Parameters!$B$12</f>
        <v>0.63019330725515488</v>
      </c>
      <c r="U19" s="7">
        <f t="shared" si="0"/>
        <v>2.7041154733507438</v>
      </c>
      <c r="V19" s="7">
        <f>(Parameters!$B$19*(F19+Parameters!$B$20)^T19+Parameters!$B$18*G19^T19)^(1/T19)</f>
        <v>0.39530350153957988</v>
      </c>
      <c r="W19" s="7">
        <f>(Parameters!$B$10*H19^Parameters!$B$9+Parameters!$B$11*V19^Parameters!$B$9)^(Parameters!$B$7/Parameters!$B$9)*O19</f>
        <v>1.4067403708311241</v>
      </c>
      <c r="X19" s="7">
        <f>W19 - D19 - E19 - LN(1+EXP(Parameters!$B$21*C19))/Parameters!$B$21 - IF(C19&gt;0, 0,Parameters!$B$6*C19^2/F19)</f>
        <v>1.1130651408435348</v>
      </c>
      <c r="Y19" s="7">
        <f>EXP(-Parameters!$B$55*A19)</f>
        <v>0.79731934231298707</v>
      </c>
      <c r="Z19" s="7">
        <f>IF(X19&gt;0,X19^(1-Parameters!$B$52)/(1-Parameters!$B$52)*Y19*Parameters!$B$65,-10+X19*1000)</f>
        <v>-2.1942295118640915</v>
      </c>
      <c r="AB19" s="9"/>
      <c r="AC19">
        <f t="shared" si="6"/>
        <v>0.99274468998535392</v>
      </c>
      <c r="AD19">
        <f t="shared" si="7"/>
        <v>6.4408175145943369</v>
      </c>
      <c r="AE19" s="23">
        <f t="shared" si="8"/>
        <v>2.8664272032776204</v>
      </c>
      <c r="AF19" s="23">
        <f t="shared" si="9"/>
        <v>35.097306290814323</v>
      </c>
      <c r="AG19" s="23">
        <f t="shared" si="10"/>
        <v>53.140672899501681</v>
      </c>
      <c r="AH19" s="23">
        <f t="shared" si="11"/>
        <v>41.04503348151362</v>
      </c>
      <c r="AI19" s="23">
        <f t="shared" si="12"/>
        <v>101.01495229847646</v>
      </c>
      <c r="AJ19" s="23">
        <f t="shared" si="13"/>
        <v>146.06424025004284</v>
      </c>
      <c r="AK19" s="23">
        <f t="shared" si="14"/>
        <v>115.57144268921751</v>
      </c>
      <c r="AL19" s="9">
        <f t="shared" si="23"/>
        <v>2.0014775870348167E-2</v>
      </c>
      <c r="AM19" s="9">
        <f t="shared" si="24"/>
        <v>1.9259237837742305E-2</v>
      </c>
      <c r="AN19" s="9">
        <f t="shared" ref="AN19:AO19" si="40">AVERAGE(AL17:AL21)</f>
        <v>1.9994628385899917E-2</v>
      </c>
      <c r="AO19" s="9">
        <f t="shared" si="40"/>
        <v>1.865628652379403E-2</v>
      </c>
      <c r="AP19" s="23"/>
      <c r="AQ19" s="8">
        <f t="shared" si="1"/>
        <v>146.06424025004284</v>
      </c>
      <c r="AR19" s="32">
        <f>Parameters!$B$7*W19*(W19/O19)^(-Parameters!$B$9/Parameters!$B$7)*Parameters!$B$11*(V19)^(Parameters!$B$9-T19)*((1-2*Parameters!$B$5*C19/F19)*Parameters!$B$19*(F19+Parameters!$B$20)^(T19-1)-(1-2*Parameters!$B$5*D19/G19)*(Parameters!$B$18)*(G19)^(T19-1))</f>
        <v>0.15998481385566884</v>
      </c>
      <c r="AS19" s="32">
        <f>((C20-C18)/2-(F20-F18)/F19/2*C19)/(F19/2/Parameters!$B$5-C19)-((D20-D18)/D19-(G20-G18)/G19)/(G19/2/Parameters!$B$5/D19-1)</f>
        <v>2.6528620736608083E-2</v>
      </c>
      <c r="AT19" s="32">
        <f>+Parameters!$B$5*C19^2/F19^2-Parameters!$B$5*D19^2/G19^2</f>
        <v>-1.3890136911130384E-2</v>
      </c>
      <c r="AU19" s="30">
        <f>EXP(-Parameters!$B$42*'6states'!A19)*(Parameters!$B$37*EXP(-Parameters!$B$38*Parameters!$E$25*'6states'!I19/('6states'!F19+'6states'!I19))*(1/Parameters!$B$38/Parameters!$E$25+'6states'!I19/('6states'!F19+'6states'!I19))-Parameters!$B$37/Parameters!$B$38/Parameters!$E$25*EXP(-Parameters!$B$38*Parameters!$E$25)+Parameters!$B$39)</f>
        <v>0.68107199212551972</v>
      </c>
      <c r="AV19" s="30">
        <f>J19*K19*EXP(-Parameters!$B$42*'6states'!A19)*(Parameters!$B$37*EXP(-Parameters!$B$38*Parameters!$E$25*'6states'!I19/('6states'!F19+'6states'!I19))*(1/Parameters!$B$38/Parameters!$E$25+'6states'!I19/('6states'!F19+'6states'!I19))-Parameters!$B$37/Parameters!$B$38/Parameters!$E$25*EXP(-Parameters!$B$38*Parameters!$E$25)+Parameters!$B$39)</f>
        <v>70.716860870796438</v>
      </c>
      <c r="AW19" s="8">
        <f>1000*(AR19+AS19+AT19)/(EXP(-Parameters!$B$42*A19)*((C19&lt;0)*Parameters!$B$37*EXP(-Parameters!$B$38*AF19)+(C19&gt;=0)*Parameters!$B$41))</f>
        <v>220.23215951534746</v>
      </c>
      <c r="AX19" s="13">
        <f>1-W19/'6states,ExoDamages'!T19</f>
        <v>5.6816651417198383E-2</v>
      </c>
      <c r="AY19" s="21">
        <f>-Y19*W19*X19^(-Parameters!B$52)*Parameters!B$46*Parameters!B$45*N19</f>
        <v>-1.9299979875273335E-5</v>
      </c>
      <c r="AZ19" s="7">
        <f>1000*EXP(-(Parameters!$B$54)*'6states'!A19)*AQ19*Parameters!B$46*Parameters!B$45*N19</f>
        <v>1.7155415847123467</v>
      </c>
      <c r="BA19" s="7">
        <f>SUM(AZ19:AZ$204)*EXP(Parameters!$B$54*A19)</f>
        <v>261.29901679265697</v>
      </c>
      <c r="BB19" s="13">
        <f t="shared" si="35"/>
        <v>0.2086320291230371</v>
      </c>
      <c r="BC19" s="30"/>
      <c r="BD19" s="30"/>
      <c r="BE19" s="30"/>
      <c r="BF19" s="5">
        <f t="shared" si="3"/>
        <v>-1.9732629509650601E-3</v>
      </c>
      <c r="BG19" s="2">
        <f>BF19/Parameters!$B$45</f>
        <v>-3.2887715849417671</v>
      </c>
      <c r="BH19" s="2">
        <f t="shared" si="27"/>
        <v>2.8476080577671814E-3</v>
      </c>
      <c r="BK19">
        <f>-EXP(-Parameters!B$42*'6states'!A19)*(-Parameters!B$37/Parameters!B$38/Parameters!E$25*(EXP(-Parameters!B$38*Parameters!E$25*'6states'!I19/('6states'!F19+'6states'!I19))-EXP(-Parameters!B$38*Parameters!E$25))+Parameters!B$37*'6states'!F19/('6states'!F19+'6states'!I19)*EXP(-Parameters!B$38*Parameters!E$25*'6states'!I19/('6states'!F19+'6states'!I19)))</f>
        <v>-0.19046903463338802</v>
      </c>
      <c r="BL19">
        <f>-J19*K19*EXP(-Parameters!B$42*'6states'!A19)*(-Parameters!B$37/Parameters!B$38/Parameters!E$25*(EXP(-Parameters!B$38*Parameters!E$25*'6states'!I19/('6states'!F19+'6states'!I19))-EXP(-Parameters!B$38*Parameters!E$25)) + Parameters!B$37*'6states'!F19/('6states'!F19+'6states'!I19)*EXP(-Parameters!B$38*Parameters!E$25*'6states'!I19/('6states'!F19+'6states'!I19)))</f>
        <v>-19.776723133671073</v>
      </c>
      <c r="BM19" s="7">
        <f t="shared" si="4"/>
        <v>7.5504354800185927E-2</v>
      </c>
      <c r="BN19" s="7">
        <f t="shared" si="5"/>
        <v>-0.87154102675890777</v>
      </c>
      <c r="BS19">
        <f>EXP(-Parameters!$B$56*A19)*BF19*BL19</f>
        <v>1.211196902951011E-2</v>
      </c>
      <c r="BT19">
        <f>-EXP((Parameters!$B$56)*F19)*SUM(BS19:BS27)</f>
        <v>-0.12260897212092288</v>
      </c>
      <c r="BU19">
        <f>X19^-Parameters!B$52/(1-2*Parameters!B$5*'6states'!D19/'6states'!G19)</f>
        <v>1.1422492260679737</v>
      </c>
      <c r="BV19">
        <f t="shared" si="16"/>
        <v>0.99252078050698989</v>
      </c>
      <c r="BW19">
        <f>$X19^-Parameters!$B$52/(1-2*Parameters!$B$5*'6states'!$E19/'6states'!$H19)</f>
        <v>0.98143723605899758</v>
      </c>
      <c r="BX19">
        <f t="shared" si="17"/>
        <v>1.0054042366404836</v>
      </c>
      <c r="BY19" s="7">
        <f>($X19^-Parameters!$B$52*(1/(1+EXP(-C19)) + IF(C19&lt;0,2*Parameters!$B$6*C19/F19,0)) + BQ19*(1/(1+EXP((C19-Parameters!$B$22)*Parameters!$B$21))))/(1-IF(C19&gt;0,2*Parameters!$B$5*C19/F19,0))</f>
        <v>0.46081774628556543</v>
      </c>
      <c r="BZ19">
        <f t="shared" si="18"/>
        <v>1.0064595107800929</v>
      </c>
      <c r="CA19" s="7">
        <f t="shared" si="19"/>
        <v>2.9575528552386321E-3</v>
      </c>
      <c r="CB19">
        <f>(1/$T19-1/Parameters!$B$13) * LN(Parameters!$B$18) / LN(P19)</f>
        <v>0.23670386508408489</v>
      </c>
      <c r="CC19">
        <f>(Parameters!$B$18*'6states'!T19^+Parameters!$B$19*Parameters!$B$25^'6states'!T19)^((1-'6states'!T19)/'6states'!T19)*Parameters!$B$18*Parameters!$B$26^('6states'!T19-1)</f>
        <v>0.22983630714223871</v>
      </c>
      <c r="CD19">
        <f t="shared" si="20"/>
        <v>0.27501471405018901</v>
      </c>
      <c r="CE19">
        <f t="shared" si="21"/>
        <v>0.15131791137342077</v>
      </c>
      <c r="CF19">
        <f t="shared" si="22"/>
        <v>0.14726836002368993</v>
      </c>
    </row>
    <row r="20" spans="1:84" x14ac:dyDescent="0.25">
      <c r="A20">
        <f>A19+Parameters!$B$65</f>
        <v>16</v>
      </c>
      <c r="B20">
        <v>2041</v>
      </c>
      <c r="C20" s="74">
        <v>9.2911972015324498E-3</v>
      </c>
      <c r="D20" s="69">
        <v>6.2055146763358E-2</v>
      </c>
      <c r="E20" s="75">
        <v>0.22487874710749101</v>
      </c>
      <c r="F20" s="7">
        <f>MAX((1-Parameters!$B$4)^Parameters!B$65*F19 + C19*Parameters!B$65 - IF(C19&gt;0,Parameters!$B$5,0)*C19^2/F19*Parameters!B$65, 0.0001)</f>
        <v>0.32605024329384685</v>
      </c>
      <c r="G20" s="7">
        <f>(1-Parameters!$B$4)^Parameters!B$65*G19+D19*Parameters!B$65-Parameters!$B$5*D19^2/G19*Parameters!B$65</f>
        <v>0.53411719286195058</v>
      </c>
      <c r="H20" s="7">
        <f>(1-Parameters!$B$4)^Parameters!B$65*H19+E19*Parameters!B$65-Parameters!$B$5*E19^2/H19*Parameters!B$65</f>
        <v>3.72510218422791</v>
      </c>
      <c r="I20" s="9">
        <f>I19 *(1-Parameters!$B$4)-C19*(C19&lt;0)*Parameters!B$65</f>
        <v>2.5870028171868818E-2</v>
      </c>
      <c r="J20" s="23">
        <f>J19*(1+Parameters!$B$51)^Parameters!B$65</f>
        <v>8.5469715777213402</v>
      </c>
      <c r="K20" s="23">
        <f>K19*(1+Parameters!$B$53)^Parameters!B$65</f>
        <v>12.427263195859245</v>
      </c>
      <c r="L20" s="23">
        <f>J20*K20*EXP(-Parameters!$B$42*'6states'!A20)*(Parameters!$B$37/Parameters!$B$38*('6states'!F20+'6states'!I20)/Parameters!$E$25*(EXP(-Parameters!$B$38*Parameters!$E$25*'6states'!I20/('6states'!F20+'6states'!I20))-EXP(-Parameters!$B$38*Parameters!$E$25))  +  Parameters!$B$39*'6states'!F20)</f>
        <v>22.834425830673453</v>
      </c>
      <c r="M20" s="8">
        <f>M19+L20*Parameters!B$65</f>
        <v>2770.8224282026954</v>
      </c>
      <c r="N20" s="7">
        <f>M20*Parameters!$B$45</f>
        <v>1.662493456921617</v>
      </c>
      <c r="O20" s="9">
        <f>EXP(-Parameters!$B$46/2*N20^2)</f>
        <v>0.97260519549199731</v>
      </c>
      <c r="P20" s="8">
        <f>MAX((Parameters!$B$62 + Parameters!$B$31*'6states'!A20 - '6states'!M20 + Parameters!$B$47/Parameters!$B$45)/Parameters!B$62,1)</f>
        <v>8.6075514359460925</v>
      </c>
      <c r="Q20" s="7">
        <f>Parameters!B$61*EXP(-Parameters!B$60*A20)</f>
        <v>0.32460468834257372</v>
      </c>
      <c r="R20" s="7">
        <f>(1-Parameters!B$61)*P20^-Parameters!B$63</f>
        <v>0.40316427502768837</v>
      </c>
      <c r="S20" s="7">
        <f>Parameters!B$61*EXP(-Parameters!B$60*A20)+(1-Parameters!B$61)*P20^-Parameters!B$63</f>
        <v>0.72776896337026209</v>
      </c>
      <c r="T20" s="7">
        <f>1-S20/Parameters!$B$12</f>
        <v>0.63611551831486901</v>
      </c>
      <c r="U20" s="7">
        <f t="shared" si="0"/>
        <v>2.7481248866921986</v>
      </c>
      <c r="V20" s="7">
        <f>(Parameters!$B$19*(F20+Parameters!$B$20)^T20+Parameters!$B$18*G20^T20)^(1/T20)</f>
        <v>0.3926864845408673</v>
      </c>
      <c r="W20" s="7">
        <f>(Parameters!$B$10*H20^Parameters!$B$9+Parameters!$B$11*V20^Parameters!$B$9)^(Parameters!$B$7/Parameters!$B$9)*O20</f>
        <v>1.4031132229917345</v>
      </c>
      <c r="X20" s="7">
        <f>W20 - D20 - E20 - LN(1+EXP(Parameters!$B$21*C20))/Parameters!$B$21 - IF(C20&gt;0, 0,Parameters!$B$6*C20^2/F20)</f>
        <v>1.1066889259675536</v>
      </c>
      <c r="Y20" s="7">
        <f>EXP(-Parameters!$B$55*A20)</f>
        <v>0.7853702628357192</v>
      </c>
      <c r="Z20" s="7">
        <f>IF(X20&gt;0,X20^(1-Parameters!$B$52)/(1-Parameters!$B$52)*Y20*Parameters!$B$65,-10+X20*1000)</f>
        <v>-2.1656958351639872</v>
      </c>
      <c r="AB20" s="9"/>
      <c r="AC20">
        <f t="shared" si="6"/>
        <v>0.9868688341766213</v>
      </c>
      <c r="AD20">
        <f t="shared" si="7"/>
        <v>6.5912162892112054</v>
      </c>
      <c r="AE20" s="23">
        <f t="shared" si="8"/>
        <v>2.7477970802167095</v>
      </c>
      <c r="AF20" s="23">
        <f t="shared" si="9"/>
        <v>34.631578310417432</v>
      </c>
      <c r="AG20" s="23">
        <f t="shared" si="10"/>
        <v>56.731506177312063</v>
      </c>
      <c r="AH20" s="23">
        <f t="shared" si="11"/>
        <v>41.709377681903469</v>
      </c>
      <c r="AI20" s="23">
        <f t="shared" si="12"/>
        <v>102.64995395445939</v>
      </c>
      <c r="AJ20" s="23">
        <f t="shared" si="13"/>
        <v>149.03232388214406</v>
      </c>
      <c r="AK20" s="23">
        <f t="shared" si="14"/>
        <v>117.54747924041922</v>
      </c>
      <c r="AL20" s="9">
        <f t="shared" si="23"/>
        <v>2.0116694575384564E-2</v>
      </c>
      <c r="AM20" s="9">
        <f t="shared" si="24"/>
        <v>1.6953440448725487E-2</v>
      </c>
      <c r="AN20" s="9">
        <f t="shared" ref="AN20:AO20" si="41">AVERAGE(AL18:AL22)</f>
        <v>2.012184325355424E-2</v>
      </c>
      <c r="AO20" s="9">
        <f t="shared" si="41"/>
        <v>1.9234450377425816E-2</v>
      </c>
      <c r="AP20" s="23"/>
      <c r="AQ20" s="8">
        <f t="shared" si="1"/>
        <v>149.03232388214408</v>
      </c>
      <c r="AR20" s="32">
        <f>Parameters!$B$7*W20*(W20/O20)^(-Parameters!$B$9/Parameters!$B$7)*Parameters!$B$11*(V20)^(Parameters!$B$9-T20)*((1-2*Parameters!$B$5*C20/F20)*Parameters!$B$19*(F20+Parameters!$B$20)^(T20-1)-(1-2*Parameters!$B$5*D20/G20)*(Parameters!$B$18)*(G20)^(T20-1))</f>
        <v>0.16268842993382862</v>
      </c>
      <c r="AS20" s="32">
        <f>((C21-C19)/2-(F21-F19)/F20/2*C20)/(F20/2/Parameters!$B$5-C20)-((D21-D19)/D20-(G21-G19)/G20)/(G20/2/Parameters!$B$5/D20-1)</f>
        <v>1.8553575212245703E-2</v>
      </c>
      <c r="AT20" s="32">
        <f>+Parameters!$B$5*C20^2/F20^2-Parameters!$B$5*D20^2/G20^2</f>
        <v>-1.2686372212461855E-2</v>
      </c>
      <c r="AU20" s="30">
        <f>EXP(-Parameters!$B$42*'6states'!A20)*(Parameters!$B$37*EXP(-Parameters!$B$38*Parameters!$E$25*'6states'!I20/('6states'!F20+'6states'!I20))*(1/Parameters!$B$38/Parameters!$E$25+'6states'!I20/('6states'!F20+'6states'!I20))-Parameters!$B$37/Parameters!$B$38/Parameters!$E$25*EXP(-Parameters!$B$38*Parameters!$E$25)+Parameters!$B$39)</f>
        <v>0.67567649614085246</v>
      </c>
      <c r="AV20" s="30">
        <f>J20*K20*EXP(-Parameters!$B$42*'6states'!A20)*(Parameters!$B$37*EXP(-Parameters!$B$38*Parameters!$E$25*'6states'!I20/('6states'!F20+'6states'!I20))*(1/Parameters!$B$38/Parameters!$E$25+'6states'!I20/('6states'!F20+'6states'!I20))-Parameters!$B$37/Parameters!$B$38/Parameters!$E$25*EXP(-Parameters!$B$38*Parameters!$E$25)+Parameters!$B$39)</f>
        <v>71.767293446003663</v>
      </c>
      <c r="AW20" s="8">
        <f>1000*(AR20+AS20+AT20)/(EXP(-Parameters!$B$42*A20)*((C20&lt;0)*Parameters!$B$37*EXP(-Parameters!$B$38*AF20)+(C20&gt;=0)*Parameters!$B$41))</f>
        <v>217.2038625402796</v>
      </c>
      <c r="AX20" s="13">
        <f>1-W20/'6states,ExoDamages'!T20</f>
        <v>5.8796184926311779E-2</v>
      </c>
      <c r="AY20" s="21">
        <f>-Y20*W20*X20^(-Parameters!B$52)*Parameters!B$46*Parameters!B$45*N20</f>
        <v>-1.9268145247378746E-5</v>
      </c>
      <c r="AZ20" s="7">
        <f>1000*EXP(-(Parameters!$B$54)*'6states'!A20)*AQ20*Parameters!B$46*Parameters!B$45*N20</f>
        <v>1.7040720176527597</v>
      </c>
      <c r="BA20" s="7">
        <f>SUM(AZ20:AZ$204)*EXP(Parameters!$B$54*A20)</f>
        <v>267.6253129905125</v>
      </c>
      <c r="BB20" s="13">
        <f t="shared" si="35"/>
        <v>0.21111987701232468</v>
      </c>
      <c r="BC20" s="30"/>
      <c r="BD20" s="30"/>
      <c r="BE20" s="30"/>
      <c r="BF20" s="5">
        <f t="shared" si="3"/>
        <v>-1.9787109493905513E-3</v>
      </c>
      <c r="BG20" s="2">
        <f>BF20/Parameters!$B$45</f>
        <v>-3.2978515823175858</v>
      </c>
      <c r="BH20" s="2">
        <f t="shared" si="27"/>
        <v>2.7533068572593855E-3</v>
      </c>
      <c r="BK20">
        <f>-EXP(-Parameters!B$42*'6states'!A20)*(-Parameters!B$37/Parameters!B$38/Parameters!E$25*(EXP(-Parameters!B$38*Parameters!E$25*'6states'!I20/('6states'!F20+'6states'!I20))-EXP(-Parameters!B$38*Parameters!E$25))+Parameters!B$37*'6states'!F20/('6states'!F20+'6states'!I20)*EXP(-Parameters!B$38*Parameters!E$25*'6states'!I20/('6states'!F20+'6states'!I20)))</f>
        <v>-0.20573486375943034</v>
      </c>
      <c r="BL20">
        <f>-J20*K20*EXP(-Parameters!B$42*'6states'!A20)*(-Parameters!B$37/Parameters!B$38/Parameters!E$25*(EXP(-Parameters!B$38*Parameters!E$25*'6states'!I20/('6states'!F20+'6states'!I20))-EXP(-Parameters!B$38*Parameters!E$25)) + Parameters!B$37*'6states'!F20/('6states'!F20+'6states'!I20)*EXP(-Parameters!B$38*Parameters!E$25*'6states'!I20/('6states'!F20+'6states'!I20)))</f>
        <v>-21.852224287551188</v>
      </c>
      <c r="BM20" s="7">
        <f t="shared" si="4"/>
        <v>7.3511048579618668E-2</v>
      </c>
      <c r="BN20" s="7">
        <f t="shared" si="5"/>
        <v>-0.88141135990028285</v>
      </c>
      <c r="BS20">
        <f>EXP(-Parameters!$B$56*A20)*BF20*BL20</f>
        <v>1.2413049663436706E-2</v>
      </c>
      <c r="BT20">
        <f>-EXP((Parameters!$B$56)*F20)*SUM(BS20:BS28)</f>
        <v>-0.12501181351433999</v>
      </c>
      <c r="BU20">
        <f>X20^-Parameters!B$52/(1-2*Parameters!B$5*'6states'!D20/'6states'!G20)</f>
        <v>1.1360851452819734</v>
      </c>
      <c r="BV20">
        <f t="shared" si="16"/>
        <v>0.99460355879844253</v>
      </c>
      <c r="BW20">
        <f>$X20^-Parameters!$B$52/(1-2*Parameters!$B$5*'6states'!$E20/'6states'!$H20)</f>
        <v>0.99185153064332698</v>
      </c>
      <c r="BX20">
        <f t="shared" si="17"/>
        <v>1.0106112690671372</v>
      </c>
      <c r="BY20" s="7">
        <f>($X20^-Parameters!$B$52*(1/(1+EXP(-C20)) + IF(C20&lt;0,2*Parameters!$B$6*C20/F20,0)) + BQ20*(1/(1+EXP((C20-Parameters!$B$22)*Parameters!$B$21))))/(1-IF(C20&gt;0,2*Parameters!$B$5*C20/F20,0))</f>
        <v>0.46455076894002262</v>
      </c>
      <c r="BZ20">
        <f t="shared" si="18"/>
        <v>1.0081008656557768</v>
      </c>
      <c r="CA20" s="7">
        <f t="shared" si="19"/>
        <v>3.7330226544571854E-3</v>
      </c>
      <c r="CB20">
        <f>(1/$T20-1/Parameters!$B$13) * LN(Parameters!$B$18) / LN(P20)</f>
        <v>0.23683382175096596</v>
      </c>
      <c r="CC20">
        <f>(Parameters!$B$18*'6states'!T20^+Parameters!$B$19*Parameters!$B$25^'6states'!T20)^((1-'6states'!T20)/'6states'!T20)*Parameters!$B$18*Parameters!$B$26^('6states'!T20-1)</f>
        <v>0.23361956573764686</v>
      </c>
      <c r="CD20">
        <f t="shared" si="20"/>
        <v>0.27325142922700679</v>
      </c>
      <c r="CE20">
        <f t="shared" si="21"/>
        <v>0.15139435644670773</v>
      </c>
      <c r="CF20">
        <f t="shared" si="22"/>
        <v>0.14950159567978527</v>
      </c>
    </row>
    <row r="21" spans="1:84" x14ac:dyDescent="0.25">
      <c r="A21">
        <f>A20+Parameters!$B$65</f>
        <v>17</v>
      </c>
      <c r="B21">
        <v>2042</v>
      </c>
      <c r="C21" s="74">
        <v>9.2747921543055705E-3</v>
      </c>
      <c r="D21" s="69">
        <v>6.3544609249952103E-2</v>
      </c>
      <c r="E21" s="75">
        <v>0.22121288836641101</v>
      </c>
      <c r="F21" s="7">
        <f>MAX((1-Parameters!$B$4)^Parameters!B$65*F20 + C20*Parameters!B$65 - IF(C20&gt;0,Parameters!$B$5,0)*C20^2/F20*Parameters!B$65, 0.0001)</f>
        <v>0.31456811625714859</v>
      </c>
      <c r="G21" s="7">
        <f>(1-Parameters!$B$4)^Parameters!B$65*G20+D20*Parameters!B$65-Parameters!$B$5*D20^2/G20*Parameters!B$65</f>
        <v>0.55536663727515034</v>
      </c>
      <c r="H21" s="7">
        <f>(1-Parameters!$B$4)^Parameters!B$65*H20+E20*Parameters!B$65-Parameters!$B$5*E20^2/H20*Parameters!B$65</f>
        <v>3.7020964163797605</v>
      </c>
      <c r="I21" s="9">
        <f>I20 *(1-Parameters!$B$4)-C20*(C20&lt;0)*Parameters!B$65</f>
        <v>2.4242803399858272E-2</v>
      </c>
      <c r="J21" s="23">
        <f>J20*(1+Parameters!$B$51)^Parameters!B$65</f>
        <v>8.5717577952967314</v>
      </c>
      <c r="K21" s="23">
        <f>K20*(1+Parameters!$B$53)^Parameters!B$65</f>
        <v>12.67580845977643</v>
      </c>
      <c r="L21" s="23">
        <f>J21*K21*EXP(-Parameters!$B$42*'6states'!A21)*(Parameters!$B$37/Parameters!$B$38*('6states'!F21+'6states'!I21)/Parameters!$E$25*(EXP(-Parameters!$B$38*Parameters!$E$25*'6states'!I21/('6states'!F21+'6states'!I21))-EXP(-Parameters!$B$38*Parameters!$E$25))  +  Parameters!$B$39*'6states'!F21)</f>
        <v>22.328374443959671</v>
      </c>
      <c r="M21" s="8">
        <f>M20+L21*Parameters!B$65</f>
        <v>2793.1508026466549</v>
      </c>
      <c r="N21" s="7">
        <f>M21*Parameters!$B$45</f>
        <v>1.6758904815879929</v>
      </c>
      <c r="O21" s="9">
        <f>EXP(-Parameters!$B$46/2*N21^2)</f>
        <v>0.97216812681199904</v>
      </c>
      <c r="P21" s="8">
        <f>MAX((Parameters!$B$62 + Parameters!$B$31*'6states'!A21 - '6states'!M21 + Parameters!$B$47/Parameters!$B$45)/Parameters!B$62,1)</f>
        <v>9.2249839470669031</v>
      </c>
      <c r="Q21" s="7">
        <f>Parameters!B$61*EXP(-Parameters!B$60*A21)</f>
        <v>0.31595762244974795</v>
      </c>
      <c r="R21" s="7">
        <f>(1-Parameters!B$61)*P21^-Parameters!B$63</f>
        <v>0.40038098385564291</v>
      </c>
      <c r="S21" s="7">
        <f>Parameters!B$61*EXP(-Parameters!B$60*A21)+(1-Parameters!B$61)*P21^-Parameters!B$63</f>
        <v>0.71633860630539092</v>
      </c>
      <c r="T21" s="7">
        <f>1-S21/Parameters!$B$12</f>
        <v>0.64183069684730454</v>
      </c>
      <c r="U21" s="7">
        <f t="shared" si="0"/>
        <v>2.7919757254397592</v>
      </c>
      <c r="V21" s="7">
        <f>(Parameters!$B$19*(F21+Parameters!$B$20)^T21+Parameters!$B$18*G21^T21)^(1/T21)</f>
        <v>0.38998204054631358</v>
      </c>
      <c r="W21" s="7">
        <f>(Parameters!$B$10*H21^Parameters!$B$9+Parameters!$B$11*V21^Parameters!$B$9)^(Parameters!$B$7/Parameters!$B$9)*O21</f>
        <v>1.3997846652990047</v>
      </c>
      <c r="X21" s="7">
        <f>W21 - D21 - E21 - LN(1+EXP(Parameters!$B$21*C21))/Parameters!$B$21 - IF(C21&gt;0, 0,Parameters!$B$6*C21^2/F21)</f>
        <v>1.1055522156925484</v>
      </c>
      <c r="Y21" s="7">
        <f>EXP(-Parameters!$B$55*A21)</f>
        <v>0.7736002590346287</v>
      </c>
      <c r="Z21" s="7">
        <f>IF(X21&gt;0,X21^(1-Parameters!$B$52)/(1-Parameters!$B$52)*Y21*Parameters!$B$65,-10+X21*1000)</f>
        <v>-2.1340069101641319</v>
      </c>
      <c r="AB21" s="9"/>
      <c r="AC21">
        <f t="shared" si="6"/>
        <v>1.0077428955268415</v>
      </c>
      <c r="AD21">
        <f t="shared" si="7"/>
        <v>6.9043734301842212</v>
      </c>
      <c r="AE21" s="23">
        <f t="shared" si="8"/>
        <v>2.6340765903330712</v>
      </c>
      <c r="AF21" s="23">
        <f t="shared" si="9"/>
        <v>34.179071513774318</v>
      </c>
      <c r="AG21" s="23">
        <f t="shared" si="10"/>
        <v>60.342784378931341</v>
      </c>
      <c r="AH21" s="23">
        <f t="shared" si="11"/>
        <v>42.373093025180928</v>
      </c>
      <c r="AI21" s="23">
        <f t="shared" si="12"/>
        <v>104.28340794521166</v>
      </c>
      <c r="AJ21" s="23">
        <f t="shared" si="13"/>
        <v>152.09214699950405</v>
      </c>
      <c r="AK21" s="23">
        <f t="shared" si="14"/>
        <v>120.12262619609513</v>
      </c>
      <c r="AL21" s="9">
        <f t="shared" si="23"/>
        <v>2.0323346198864556E-2</v>
      </c>
      <c r="AM21" s="9">
        <f t="shared" si="24"/>
        <v>2.1670775372199635E-2</v>
      </c>
      <c r="AN21" s="9">
        <f t="shared" ref="AN21:AO21" si="42">AVERAGE(AL19:AL23)</f>
        <v>2.0223191573558452E-2</v>
      </c>
      <c r="AO21" s="9">
        <f t="shared" si="42"/>
        <v>1.8840940934496331E-2</v>
      </c>
      <c r="AP21" s="23"/>
      <c r="AQ21" s="8">
        <f t="shared" si="1"/>
        <v>152.09214699950405</v>
      </c>
      <c r="AR21" s="32">
        <f>Parameters!$B$7*W21*(W21/O21)^(-Parameters!$B$9/Parameters!$B$7)*Parameters!$B$11*(V21)^(Parameters!$B$9-T21)*((1-2*Parameters!$B$5*C21/F21)*Parameters!$B$19*(F21+Parameters!$B$20)^(T21-1)-(1-2*Parameters!$B$5*D21/G21)*(Parameters!$B$18)*(G21)^(T21-1))</f>
        <v>0.16609723543302468</v>
      </c>
      <c r="AS21" s="32">
        <f>((C22-C20)/2-(F22-F20)/F21/2*C21)/(F21/2/Parameters!$B$5-C21)-((D22-D20)/D21-(G22-G20)/G21)/(G21/2/Parameters!$B$5/D21-1)</f>
        <v>1.2350606209450355E-2</v>
      </c>
      <c r="AT21" s="32">
        <f>+Parameters!$B$5*C21^2/F21^2-Parameters!$B$5*D21^2/G21^2</f>
        <v>-1.2222435932705257E-2</v>
      </c>
      <c r="AU21" s="30">
        <f>EXP(-Parameters!$B$42*'6states'!A21)*(Parameters!$B$37*EXP(-Parameters!$B$38*Parameters!$E$25*'6states'!I21/('6states'!F21+'6states'!I21))*(1/Parameters!$B$38/Parameters!$E$25+'6states'!I21/('6states'!F21+'6states'!I21))-Parameters!$B$37/Parameters!$B$38/Parameters!$E$25*EXP(-Parameters!$B$38*Parameters!$E$25)+Parameters!$B$39)</f>
        <v>0.6703762071833107</v>
      </c>
      <c r="AV21" s="30">
        <f>J21*K21*EXP(-Parameters!$B$42*'6states'!A21)*(Parameters!$B$37*EXP(-Parameters!$B$38*Parameters!$E$25*'6states'!I21/('6states'!F21+'6states'!I21))*(1/Parameters!$B$38/Parameters!$E$25+'6states'!I21/('6states'!F21+'6states'!I21))-Parameters!$B$37/Parameters!$B$38/Parameters!$E$25*EXP(-Parameters!$B$38*Parameters!$E$25)+Parameters!$B$39)</f>
        <v>72.839029584678926</v>
      </c>
      <c r="AW21" s="8">
        <f>1000*(AR21+AS21+AT21)/(EXP(-Parameters!$B$42*A21)*((C21&lt;0)*Parameters!$B$37*EXP(-Parameters!$B$38*AF21)+(C21&gt;=0)*Parameters!$B$41))</f>
        <v>216.3538459798863</v>
      </c>
      <c r="AX21" s="13">
        <f>1-W21/'6states,ExoDamages'!T21</f>
        <v>6.0566036321751837E-2</v>
      </c>
      <c r="AY21" s="21">
        <f>-Y21*W21*X21^(-Parameters!B$52)*Parameters!B$46*Parameters!B$45*N21</f>
        <v>-1.9113436588955199E-5</v>
      </c>
      <c r="AZ21" s="7">
        <f>1000*EXP(-(Parameters!$B$54)*'6states'!A21)*AQ21*Parameters!B$46*Parameters!B$45*N21</f>
        <v>1.6926073227046479</v>
      </c>
      <c r="BA21" s="7">
        <f>SUM(AZ21:AZ$204)*EXP(Parameters!$B$54*A21)</f>
        <v>274.09097391998438</v>
      </c>
      <c r="BB21" s="13">
        <f t="shared" si="35"/>
        <v>0.21005537284398038</v>
      </c>
      <c r="BC21" s="30"/>
      <c r="BD21" s="30"/>
      <c r="BE21" s="30"/>
      <c r="BF21" s="5">
        <f t="shared" si="3"/>
        <v>-1.9839090993410509E-3</v>
      </c>
      <c r="BG21" s="2">
        <f>BF21/Parameters!$B$45</f>
        <v>-3.3065151655684182</v>
      </c>
      <c r="BH21" s="2">
        <f t="shared" si="27"/>
        <v>2.6201553046084625E-3</v>
      </c>
      <c r="BK21">
        <f>-EXP(-Parameters!B$42*'6states'!A21)*(-Parameters!B$37/Parameters!B$38/Parameters!E$25*(EXP(-Parameters!B$38*Parameters!E$25*'6states'!I21/('6states'!F21+'6states'!I21))-EXP(-Parameters!B$38*Parameters!E$25))+Parameters!B$37*'6states'!F21/('6states'!F21+'6states'!I21)*EXP(-Parameters!B$38*Parameters!E$25*'6states'!I21/('6states'!F21+'6states'!I21)))</f>
        <v>-0.2218849234059633</v>
      </c>
      <c r="BL21">
        <f>-J21*K21*EXP(-Parameters!B$42*'6states'!A21)*(-Parameters!B$37/Parameters!B$38/Parameters!E$25*(EXP(-Parameters!B$38*Parameters!E$25*'6states'!I21/('6states'!F21+'6states'!I21))-EXP(-Parameters!B$38*Parameters!E$25)) + Parameters!B$37*'6states'!F21/('6states'!F21+'6states'!I21)*EXP(-Parameters!B$38*Parameters!E$25*'6states'!I21/('6states'!F21+'6states'!I21)))</f>
        <v>-24.108675587201738</v>
      </c>
      <c r="BM21" s="7">
        <f t="shared" si="4"/>
        <v>7.1552603512308049E-2</v>
      </c>
      <c r="BN21" s="7">
        <f t="shared" si="5"/>
        <v>-0.89226113058927403</v>
      </c>
      <c r="BS21">
        <f>EXP(-Parameters!$B$56*A21)*BF21*BL21</f>
        <v>1.2700494751775053E-2</v>
      </c>
      <c r="BT21">
        <f>-EXP((Parameters!$B$56)*F21)*SUM(BS21:BS29)</f>
        <v>-0.1273044165000887</v>
      </c>
      <c r="BU21">
        <f>X21^-Parameters!B$52/(1-2*Parameters!B$5*'6states'!D21/'6states'!G21)</f>
        <v>1.1324593194149002</v>
      </c>
      <c r="BV21">
        <f t="shared" si="16"/>
        <v>0.99680849108701863</v>
      </c>
      <c r="BW21">
        <f>$X21^-Parameters!$B$52/(1-2*Parameters!$B$5*'6states'!$E21/'6states'!$H21)</f>
        <v>0.99184088016633665</v>
      </c>
      <c r="BX21">
        <f t="shared" si="17"/>
        <v>0.99998926202494898</v>
      </c>
      <c r="BY21" s="7">
        <f>($X21^-Parameters!$B$52*(1/(1+EXP(-C21)) + IF(C21&lt;0,2*Parameters!$B$6*C21/F21,0)) + BQ21*(1/(1+EXP((C21-Parameters!$B$22)*Parameters!$B$21))))/(1-IF(C21&gt;0,2*Parameters!$B$5*C21/F21,0))</f>
        <v>0.46616872235515128</v>
      </c>
      <c r="BZ21">
        <f t="shared" si="18"/>
        <v>1.0034828344355566</v>
      </c>
      <c r="CA21" s="7">
        <f t="shared" si="19"/>
        <v>1.617953415128659E-3</v>
      </c>
      <c r="CB21">
        <f>(1/$T21-1/Parameters!$B$13) * LN(Parameters!$B$18) / LN(P21)</f>
        <v>0.23695489256118338</v>
      </c>
      <c r="CC21">
        <f>(Parameters!$B$18*'6states'!T21^+Parameters!$B$19*Parameters!$B$25^'6states'!T21)^((1-'6states'!T21)/'6states'!T21)*Parameters!$B$18*Parameters!$B$26^('6states'!T21-1)</f>
        <v>0.23718675312918228</v>
      </c>
      <c r="CD21">
        <f t="shared" si="20"/>
        <v>0.27155207052524427</v>
      </c>
      <c r="CE21">
        <f t="shared" si="21"/>
        <v>0.15146556835151526</v>
      </c>
      <c r="CF21">
        <f t="shared" si="22"/>
        <v>0.15160192833130204</v>
      </c>
    </row>
    <row r="22" spans="1:84" x14ac:dyDescent="0.25">
      <c r="A22">
        <f>A21+Parameters!$B$65</f>
        <v>18</v>
      </c>
      <c r="B22">
        <v>2043</v>
      </c>
      <c r="C22" s="74">
        <v>9.2026726064447298E-3</v>
      </c>
      <c r="D22" s="69">
        <v>6.4694497835302497E-2</v>
      </c>
      <c r="E22" s="75">
        <v>0.219116664782568</v>
      </c>
      <c r="F22" s="7">
        <f>MAX((1-Parameters!$B$4)^Parameters!B$65*F21 + C21*Parameters!B$65 - IF(C21&gt;0,Parameters!$B$5,0)*C21^2/F21*Parameters!B$65, 0.0001)</f>
        <v>0.30378311398651114</v>
      </c>
      <c r="G22" s="7">
        <f>(1-Parameters!$B$4)^Parameters!B$65*G21+D21*Parameters!B$65-Parameters!$B$5*D21^2/G21*Parameters!B$65</f>
        <v>0.57670796135327385</v>
      </c>
      <c r="H22" s="7">
        <f>(1-Parameters!$B$4)^Parameters!B$65*H21+E21*Parameters!B$65-Parameters!$B$5*E21^2/H21*Parameters!B$65</f>
        <v>3.6772292155405295</v>
      </c>
      <c r="I22" s="9">
        <f>I21 *(1-Parameters!$B$4)-C21*(C21&lt;0)*Parameters!B$65</f>
        <v>2.2717931066007186E-2</v>
      </c>
      <c r="J22" s="23">
        <f>J21*(1+Parameters!$B$51)^Parameters!B$65</f>
        <v>8.5966158929030918</v>
      </c>
      <c r="K22" s="23">
        <f>K21*(1+Parameters!$B$53)^Parameters!B$65</f>
        <v>12.929324628971958</v>
      </c>
      <c r="L22" s="23">
        <f>J22*K22*EXP(-Parameters!$B$42*'6states'!A22)*(Parameters!$B$37/Parameters!$B$38*('6states'!F22+'6states'!I22)/Parameters!$E$25*(EXP(-Parameters!$B$38*Parameters!$E$25*'6states'!I22/('6states'!F22+'6states'!I22))-EXP(-Parameters!$B$38*Parameters!$E$25))  +  Parameters!$B$39*'6states'!F22)</f>
        <v>21.856092689759262</v>
      </c>
      <c r="M22" s="8">
        <f>M21+L22*Parameters!B$65</f>
        <v>2815.0068953364143</v>
      </c>
      <c r="N22" s="7">
        <f>M22*Parameters!$B$45</f>
        <v>1.6890041372018485</v>
      </c>
      <c r="O22" s="9">
        <f>EXP(-Parameters!$B$46/2*N22^2)</f>
        <v>0.97173709791425333</v>
      </c>
      <c r="P22" s="8">
        <f>MAX((Parameters!$B$62 + Parameters!$B$31*'6states'!A22 - '6states'!M22 + Parameters!$B$47/Parameters!$B$45)/Parameters!B$62,1)</f>
        <v>9.8518620932717109</v>
      </c>
      <c r="Q22" s="7">
        <f>Parameters!B$61*EXP(-Parameters!B$60*A22)</f>
        <v>0.30754090365676434</v>
      </c>
      <c r="R22" s="7">
        <f>(1-Parameters!B$61)*P22^-Parameters!B$63</f>
        <v>0.39775731189445951</v>
      </c>
      <c r="S22" s="7">
        <f>Parameters!B$61*EXP(-Parameters!B$60*A22)+(1-Parameters!B$61)*P22^-Parameters!B$63</f>
        <v>0.70529821555122385</v>
      </c>
      <c r="T22" s="7">
        <f>1-S22/Parameters!$B$12</f>
        <v>0.64735089222438802</v>
      </c>
      <c r="U22" s="7">
        <f t="shared" si="0"/>
        <v>2.8356799377932713</v>
      </c>
      <c r="V22" s="7">
        <f>(Parameters!$B$19*(F22+Parameters!$B$20)^T22+Parameters!$B$18*G22^T22)^(1/T22)</f>
        <v>0.38768342236493608</v>
      </c>
      <c r="W22" s="7">
        <f>(Parameters!$B$10*H22^Parameters!$B$9+Parameters!$B$11*V22^Parameters!$B$9)^(Parameters!$B$7/Parameters!$B$9)*O22</f>
        <v>1.396446283192724</v>
      </c>
      <c r="X22" s="7">
        <f>W22 - D22 - E22 - LN(1+EXP(Parameters!$B$21*C22))/Parameters!$B$21 - IF(C22&gt;0, 0,Parameters!$B$6*C22^2/F22)</f>
        <v>1.1032280418668217</v>
      </c>
      <c r="Y22" s="7">
        <f>EXP(-Parameters!$B$55*A22)</f>
        <v>0.76200664718015654</v>
      </c>
      <c r="Z22" s="7">
        <f>IF(X22&gt;0,X22^(1-Parameters!$B$52)/(1-Parameters!$B$52)*Y22*Parameters!$B$65,-10+X22*1000)</f>
        <v>-2.1035743335511388</v>
      </c>
      <c r="AB22" s="9"/>
      <c r="AC22">
        <f t="shared" si="6"/>
        <v>1.0228626818579227</v>
      </c>
      <c r="AD22">
        <f t="shared" si="7"/>
        <v>7.1906923550585748</v>
      </c>
      <c r="AE22" s="23">
        <f t="shared" si="8"/>
        <v>2.5250625432622886</v>
      </c>
      <c r="AF22" s="23">
        <f t="shared" si="9"/>
        <v>33.765018485802415</v>
      </c>
      <c r="AG22" s="23">
        <f t="shared" si="10"/>
        <v>64.100188850086482</v>
      </c>
      <c r="AH22" s="23">
        <f t="shared" si="11"/>
        <v>43.090406675377132</v>
      </c>
      <c r="AI22" s="23">
        <f t="shared" si="12"/>
        <v>106.04877144991562</v>
      </c>
      <c r="AJ22" s="23">
        <f t="shared" si="13"/>
        <v>155.21282255512742</v>
      </c>
      <c r="AK22" s="23">
        <f t="shared" si="14"/>
        <v>122.62207315888816</v>
      </c>
      <c r="AL22" s="9">
        <f t="shared" si="23"/>
        <v>2.0310656469704647E-2</v>
      </c>
      <c r="AM22" s="9">
        <f t="shared" si="24"/>
        <v>2.0593943395013525E-2</v>
      </c>
      <c r="AN22" s="9">
        <f t="shared" ref="AN22:AO22" si="43">AVERAGE(AL20:AL24)</f>
        <v>2.0345395463084337E-2</v>
      </c>
      <c r="AO22" s="9">
        <f t="shared" si="43"/>
        <v>1.8939252040509481E-2</v>
      </c>
      <c r="AP22" s="23"/>
      <c r="AQ22" s="8">
        <f t="shared" si="1"/>
        <v>155.21282255512742</v>
      </c>
      <c r="AR22" s="32">
        <f>Parameters!$B$7*W22*(W22/O22)^(-Parameters!$B$9/Parameters!$B$7)*Parameters!$B$11*(V22)^(Parameters!$B$9-T22)*((1-2*Parameters!$B$5*C22/F22)*Parameters!$B$19*(F22+Parameters!$B$20)^(T22-1)-(1-2*Parameters!$B$5*D22/G22)*(Parameters!$B$18)*(G22)^(T22-1))</f>
        <v>0.16851425824021718</v>
      </c>
      <c r="AS22" s="32">
        <f>((C23-C21)/2-(F23-F21)/F22/2*C22)/(F22/2/Parameters!$B$5-C22)-((D23-D21)/D22-(G23-G21)/G22)/(G22/2/Parameters!$B$5/D22-1)</f>
        <v>2.2178419288401235E-2</v>
      </c>
      <c r="AT22" s="32">
        <f>+Parameters!$B$5*C22^2/F22^2-Parameters!$B$5*D22^2/G22^2</f>
        <v>-1.1666418585534331E-2</v>
      </c>
      <c r="AU22" s="30">
        <f>EXP(-Parameters!$B$42*'6states'!A22)*(Parameters!$B$37*EXP(-Parameters!$B$38*Parameters!$E$25*'6states'!I22/('6states'!F22+'6states'!I22))*(1/Parameters!$B$38/Parameters!$E$25+'6states'!I22/('6states'!F22+'6states'!I22))-Parameters!$B$37/Parameters!$B$38/Parameters!$E$25*EXP(-Parameters!$B$38*Parameters!$E$25)+Parameters!$B$39)</f>
        <v>0.66520677666371497</v>
      </c>
      <c r="AV22" s="30">
        <f>J22*K22*EXP(-Parameters!$B$42*'6states'!A22)*(Parameters!$B$37*EXP(-Parameters!$B$38*Parameters!$E$25*'6states'!I22/('6states'!F22+'6states'!I22))*(1/Parameters!$B$38/Parameters!$E$25+'6states'!I22/('6states'!F22+'6states'!I22))-Parameters!$B$37/Parameters!$B$38/Parameters!$E$25*EXP(-Parameters!$B$38*Parameters!$E$25)+Parameters!$B$39)</f>
        <v>73.936693900401238</v>
      </c>
      <c r="AW22" s="8">
        <f>1000*(AR22+AS22+AT22)/(EXP(-Parameters!$B$42*A22)*((C22&lt;0)*Parameters!$B$37*EXP(-Parameters!$B$38*AF22)+(C22&gt;=0)*Parameters!$B$41))</f>
        <v>235.35688065174139</v>
      </c>
      <c r="AX22" s="13">
        <f>1-W22/'6states,ExoDamages'!T22</f>
        <v>6.2355237559592602E-2</v>
      </c>
      <c r="AY22" s="21">
        <f>-Y22*W22*X22^(-Parameters!B$52)*Parameters!B$46*Parameters!B$45*N22</f>
        <v>-1.8982913595008963E-5</v>
      </c>
      <c r="AZ22" s="7">
        <f>1000*EXP(-(Parameters!$B$54)*'6states'!A22)*AQ22*Parameters!B$46*Parameters!B$45*N22</f>
        <v>1.6808089973150402</v>
      </c>
      <c r="BA22" s="7">
        <f>SUM(AZ22:AZ$204)*EXP(Parameters!$B$54*A22)</f>
        <v>280.69861834585413</v>
      </c>
      <c r="BB22" s="13">
        <f t="shared" si="35"/>
        <v>0.20982821806392127</v>
      </c>
      <c r="BC22" s="30"/>
      <c r="BD22" s="30"/>
      <c r="BE22" s="30"/>
      <c r="BF22" s="5">
        <f t="shared" si="3"/>
        <v>-1.9890104137163852E-3</v>
      </c>
      <c r="BG22" s="2">
        <f>BF22/Parameters!$B$45</f>
        <v>-3.3150173561939758</v>
      </c>
      <c r="BH22" s="2">
        <f t="shared" si="27"/>
        <v>2.5647499581477051E-3</v>
      </c>
      <c r="BK22">
        <f>-EXP(-Parameters!B$42*'6states'!A22)*(-Parameters!B$37/Parameters!B$38/Parameters!E$25*(EXP(-Parameters!B$38*Parameters!E$25*'6states'!I22/('6states'!F22+'6states'!I22))-EXP(-Parameters!B$38*Parameters!E$25))+Parameters!B$37*'6states'!F22/('6states'!F22+'6states'!I22)*EXP(-Parameters!B$38*Parameters!E$25*'6states'!I22/('6states'!F22+'6states'!I22)))</f>
        <v>-0.23945007730024603</v>
      </c>
      <c r="BL22">
        <f>-J22*K22*EXP(-Parameters!B$42*'6states'!A22)*(-Parameters!B$37/Parameters!B$38/Parameters!E$25*(EXP(-Parameters!B$38*Parameters!E$25*'6states'!I22/('6states'!F22+'6states'!I22))-EXP(-Parameters!B$38*Parameters!E$25)) + Parameters!B$37*'6states'!F22/('6states'!F22+'6states'!I22)*EXP(-Parameters!B$38*Parameters!E$25*'6states'!I22/('6states'!F22+'6states'!I22)))</f>
        <v>-26.614501972708801</v>
      </c>
      <c r="BM22" s="7">
        <f t="shared" si="4"/>
        <v>6.9579964322481619E-2</v>
      </c>
      <c r="BN22" s="7">
        <f t="shared" si="5"/>
        <v>-0.90465685396396101</v>
      </c>
      <c r="BS22">
        <f>EXP(-Parameters!$B$56*A22)*BF22*BL22</f>
        <v>1.3001873853925008E-2</v>
      </c>
      <c r="BT22">
        <f>-EXP((Parameters!$B$56)*F22)*SUM(BS22:BS30)</f>
        <v>-0.12949401530679824</v>
      </c>
      <c r="BU22">
        <f>X22^-Parameters!B$52/(1-2*Parameters!B$5*'6states'!D22/'6states'!G22)</f>
        <v>1.1291210145056423</v>
      </c>
      <c r="BV22">
        <f t="shared" si="16"/>
        <v>0.99705216350642711</v>
      </c>
      <c r="BW22">
        <f>$X22^-Parameters!$B$52/(1-2*Parameters!$B$5*'6states'!$E22/'6states'!$H22)</f>
        <v>0.99428791546053286</v>
      </c>
      <c r="BX22">
        <f t="shared" si="17"/>
        <v>1.0024671651906361</v>
      </c>
      <c r="BY22" s="7">
        <f>($X22^-Parameters!$B$52*(1/(1+EXP(-C22)) + IF(C22&lt;0,2*Parameters!$B$6*C22/F22,0)) + BQ22*(1/(1+EXP((C22-Parameters!$B$22)*Parameters!$B$21))))/(1-IF(C22&gt;0,2*Parameters!$B$5*C22/F22,0))</f>
        <v>0.46828375142795908</v>
      </c>
      <c r="BZ22">
        <f t="shared" si="18"/>
        <v>1.0045370462911418</v>
      </c>
      <c r="CA22" s="7">
        <f t="shared" si="19"/>
        <v>2.1150290728078058E-3</v>
      </c>
      <c r="CB22">
        <f>(1/$T22-1/Parameters!$B$13) * LN(Parameters!$B$18) / LN(P22)</f>
        <v>0.23706361652164878</v>
      </c>
      <c r="CC22">
        <f>(Parameters!$B$18*'6states'!T22^+Parameters!$B$19*Parameters!$B$25^'6states'!T22)^((1-'6states'!T22)/'6states'!T22)*Parameters!$B$18*Parameters!$B$26^('6states'!T22-1)</f>
        <v>0.24055289201500771</v>
      </c>
      <c r="CD22">
        <f t="shared" si="20"/>
        <v>0.26990802068346281</v>
      </c>
      <c r="CE22">
        <f t="shared" si="21"/>
        <v>0.15152951294492356</v>
      </c>
      <c r="CF22">
        <f t="shared" si="22"/>
        <v>0.15357912836306797</v>
      </c>
    </row>
    <row r="23" spans="1:84" x14ac:dyDescent="0.25">
      <c r="A23">
        <f>A22+Parameters!$B$65</f>
        <v>19</v>
      </c>
      <c r="B23">
        <v>2044</v>
      </c>
      <c r="C23" s="74">
        <v>8.8441432062701004E-3</v>
      </c>
      <c r="D23" s="69">
        <v>6.3512531969020805E-2</v>
      </c>
      <c r="E23" s="75">
        <v>0.22502378148371599</v>
      </c>
      <c r="F23" s="7">
        <f>MAX((1-Parameters!$B$4)^Parameters!B$65*F22 + C22*Parameters!B$65 - IF(C22&gt;0,Parameters!$B$5,0)*C22^2/F22*Parameters!B$65, 0.0001)</f>
        <v>0.29359904698978262</v>
      </c>
      <c r="G23" s="7">
        <f>(1-Parameters!$B$4)^Parameters!B$65*G22+D22*Parameters!B$65-Parameters!$B$5*D22^2/G22*Parameters!B$65</f>
        <v>0.59787016710205521</v>
      </c>
      <c r="H23" s="7">
        <f>(1-Parameters!$B$4)^Parameters!B$65*H22+E22*Parameters!B$65-Parameters!$B$5*E22^2/H22*Parameters!B$65</f>
        <v>3.6519915621734316</v>
      </c>
      <c r="I23" s="9">
        <f>I22 *(1-Parameters!$B$4)-C22*(C22&lt;0)*Parameters!B$65</f>
        <v>2.1288973201955334E-2</v>
      </c>
      <c r="J23" s="23">
        <f>J22*(1+Parameters!$B$51)^Parameters!B$65</f>
        <v>8.6215460789925107</v>
      </c>
      <c r="K23" s="23">
        <f>K22*(1+Parameters!$B$53)^Parameters!B$65</f>
        <v>13.187911121551398</v>
      </c>
      <c r="L23" s="23">
        <f>J23*K23*EXP(-Parameters!$B$42*'6states'!A23)*(Parameters!$B$37/Parameters!$B$38*('6states'!F23+'6states'!I23)/Parameters!$E$25*(EXP(-Parameters!$B$38*Parameters!$E$25*'6states'!I23/('6states'!F23+'6states'!I23))-EXP(-Parameters!$B$38*Parameters!$E$25))  +  Parameters!$B$39*'6states'!F23)</f>
        <v>21.412115592906396</v>
      </c>
      <c r="M23" s="8">
        <f>M22+L23*Parameters!B$65</f>
        <v>2836.4190109293208</v>
      </c>
      <c r="N23" s="7">
        <f>M23*Parameters!$B$45</f>
        <v>1.7018514065575923</v>
      </c>
      <c r="O23" s="9">
        <f>EXP(-Parameters!$B$46/2*N23^2)</f>
        <v>0.97131175431958661</v>
      </c>
      <c r="P23" s="8">
        <f>MAX((Parameters!$B$62 + Parameters!$B$31*'6states'!A23 - '6states'!M23 + Parameters!$B$47/Parameters!$B$45)/Parameters!B$62,1)</f>
        <v>10.487619781413587</v>
      </c>
      <c r="Q23" s="7">
        <f>Parameters!B$61*EXP(-Parameters!B$60*A23)</f>
        <v>0.2993483958028646</v>
      </c>
      <c r="R23" s="7">
        <f>(1-Parameters!B$61)*P23^-Parameters!B$63</f>
        <v>0.39527769733343832</v>
      </c>
      <c r="S23" s="7">
        <f>Parameters!B$61*EXP(-Parameters!B$60*A23)+(1-Parameters!B$61)*P23^-Parameters!B$63</f>
        <v>0.69462609313630286</v>
      </c>
      <c r="T23" s="7">
        <f>1-S23/Parameters!$B$12</f>
        <v>0.65268695343184857</v>
      </c>
      <c r="U23" s="7">
        <f t="shared" si="0"/>
        <v>2.8792468635461272</v>
      </c>
      <c r="V23" s="7">
        <f>(Parameters!$B$19*(F23+Parameters!$B$20)^T23+Parameters!$B$18*G23^T23)^(1/T23)</f>
        <v>0.38566602029841052</v>
      </c>
      <c r="W23" s="7">
        <f>(Parameters!$B$10*H23^Parameters!$B$9+Parameters!$B$11*V23^Parameters!$B$9)^(Parameters!$B$7/Parameters!$B$9)*O23</f>
        <v>1.3931713493978639</v>
      </c>
      <c r="X23" s="7">
        <f>W23 - D23 - E23 - LN(1+EXP(Parameters!$B$21*C23))/Parameters!$B$21 - IF(C23&gt;0, 0,Parameters!$B$6*C23^2/F23)</f>
        <v>1.0955640480800739</v>
      </c>
      <c r="Y23" s="7">
        <f>EXP(-Parameters!$B$55*A23)</f>
        <v>0.75058678376263543</v>
      </c>
      <c r="Z23" s="7">
        <f>IF(X23&gt;0,X23^(1-Parameters!$B$52)/(1-Parameters!$B$52)*Y23*Parameters!$B$65,-10+X23*1000)</f>
        <v>-2.0771107268634079</v>
      </c>
      <c r="AB23" s="9"/>
      <c r="AC23">
        <f t="shared" si="6"/>
        <v>1.0055807047466583</v>
      </c>
      <c r="AD23">
        <f t="shared" si="7"/>
        <v>7.221386534353468</v>
      </c>
      <c r="AE23" s="23">
        <f t="shared" si="8"/>
        <v>2.4205601578881955</v>
      </c>
      <c r="AF23" s="23">
        <f t="shared" si="9"/>
        <v>33.382265494708712</v>
      </c>
      <c r="AG23" s="23">
        <f t="shared" si="10"/>
        <v>67.977947660917394</v>
      </c>
      <c r="AH23" s="23">
        <f t="shared" si="11"/>
        <v>43.850297246834366</v>
      </c>
      <c r="AI23" s="23">
        <f t="shared" si="12"/>
        <v>107.91891999937135</v>
      </c>
      <c r="AJ23" s="23">
        <f t="shared" si="13"/>
        <v>158.4038379621837</v>
      </c>
      <c r="AK23" s="23">
        <f t="shared" si="14"/>
        <v>124.56583321518609</v>
      </c>
      <c r="AL23" s="9">
        <f t="shared" si="23"/>
        <v>2.0350484753490328E-2</v>
      </c>
      <c r="AM23" s="9">
        <f t="shared" si="24"/>
        <v>1.5727307618800701E-2</v>
      </c>
      <c r="AN23" s="9">
        <f t="shared" ref="AN23:AO23" si="44">AVERAGE(AL21:AL25)</f>
        <v>2.0463227899843162E-2</v>
      </c>
      <c r="AO23" s="9">
        <f t="shared" si="44"/>
        <v>1.9971504538294126E-2</v>
      </c>
      <c r="AP23" s="23"/>
      <c r="AQ23" s="8">
        <f t="shared" si="1"/>
        <v>158.4038379621837</v>
      </c>
      <c r="AR23" s="32">
        <f>Parameters!$B$7*W23*(W23/O23)^(-Parameters!$B$9/Parameters!$B$7)*Parameters!$B$11*(V23)^(Parameters!$B$9-T23)*((1-2*Parameters!$B$5*C23/F23)*Parameters!$B$19*(F23+Parameters!$B$20)^(T23-1)-(1-2*Parameters!$B$5*D23/G23)*(Parameters!$B$18)*(G23)^(T23-1))</f>
        <v>0.17013098643352079</v>
      </c>
      <c r="AS23" s="32">
        <f>((C24-C22)/2-(F24-F22)/F23/2*C23)/(F23/2/Parameters!$B$5-C23)-((D24-D22)/D23-(G24-G22)/G23)/(G23/2/Parameters!$B$5/D23-1)</f>
        <v>2.0504029159422055E-2</v>
      </c>
      <c r="AT23" s="32">
        <f>+Parameters!$B$5*C23^2/F23^2-Parameters!$B$5*D23^2/G23^2</f>
        <v>-1.0377684287849099E-2</v>
      </c>
      <c r="AU23" s="30">
        <f>EXP(-Parameters!$B$42*'6states'!A23)*(Parameters!$B$37*EXP(-Parameters!$B$38*Parameters!$E$25*'6states'!I23/('6states'!F23+'6states'!I23))*(1/Parameters!$B$38/Parameters!$E$25+'6states'!I23/('6states'!F23+'6states'!I23))-Parameters!$B$37/Parameters!$B$38/Parameters!$E$25*EXP(-Parameters!$B$38*Parameters!$E$25)+Parameters!$B$39)</f>
        <v>0.66015827406625394</v>
      </c>
      <c r="AV23" s="30">
        <f>J23*K23*EXP(-Parameters!$B$42*'6states'!A23)*(Parameters!$B$37*EXP(-Parameters!$B$38*Parameters!$E$25*'6states'!I23/('6states'!F23+'6states'!I23))*(1/Parameters!$B$38/Parameters!$E$25+'6states'!I23/('6states'!F23+'6states'!I23))-Parameters!$B$37/Parameters!$B$38/Parameters!$E$25*EXP(-Parameters!$B$38*Parameters!$E$25)+Parameters!$B$39)</f>
        <v>75.060116847638412</v>
      </c>
      <c r="AW23" s="8">
        <f>1000*(AR23+AS23+AT23)/(EXP(-Parameters!$B$42*A23)*((C23&lt;0)*Parameters!$B$37*EXP(-Parameters!$B$38*AF23)+(C23&gt;=0)*Parameters!$B$41))</f>
        <v>239.35695145691895</v>
      </c>
      <c r="AX23" s="13">
        <f>1-W23/'6states,ExoDamages'!T23</f>
        <v>6.4094843002807322E-2</v>
      </c>
      <c r="AY23" s="21">
        <f>-Y23*W23*X23^(-Parameters!B$52)*Parameters!B$46*Parameters!B$45*N23</f>
        <v>-1.8974196819436872E-5</v>
      </c>
      <c r="AZ23" s="7">
        <f>1000*EXP(-(Parameters!$B$54)*'6states'!A23)*AQ23*Parameters!B$46*Parameters!B$45*N23</f>
        <v>1.6687975582855918</v>
      </c>
      <c r="BA23" s="7">
        <f>SUM(AZ23:AZ$204)*EXP(Parameters!$B$54*A23)</f>
        <v>287.45155967834489</v>
      </c>
      <c r="BB23" s="13">
        <f t="shared" si="35"/>
        <v>0.21345576535688618</v>
      </c>
      <c r="BC23" s="30"/>
      <c r="BD23" s="30"/>
      <c r="BE23" s="30"/>
      <c r="BF23" s="5">
        <f t="shared" si="3"/>
        <v>-1.993981609248172E-3</v>
      </c>
      <c r="BG23" s="2">
        <f>BF23/Parameters!$B$45</f>
        <v>-3.3233026820802869</v>
      </c>
      <c r="BH23" s="2">
        <f t="shared" si="27"/>
        <v>2.4930999908575613E-3</v>
      </c>
      <c r="BK23">
        <f>-EXP(-Parameters!B$42*'6states'!A23)*(-Parameters!B$37/Parameters!B$38/Parameters!E$25*(EXP(-Parameters!B$38*Parameters!E$25*'6states'!I23/('6states'!F23+'6states'!I23))-EXP(-Parameters!B$38*Parameters!E$25))+Parameters!B$37*'6states'!F23/('6states'!F23+'6states'!I23)*EXP(-Parameters!B$38*Parameters!E$25*'6states'!I23/('6states'!F23+'6states'!I23)))</f>
        <v>-0.25839604872603067</v>
      </c>
      <c r="BL23">
        <f>-J23*K23*EXP(-Parameters!B$42*'6states'!A23)*(-Parameters!B$37/Parameters!B$38/Parameters!E$25*(EXP(-Parameters!B$38*Parameters!E$25*'6states'!I23/('6states'!F23+'6states'!I23))-EXP(-Parameters!B$38*Parameters!E$25)) + Parameters!B$37*'6states'!F23/('6states'!F23+'6states'!I23)*EXP(-Parameters!B$38*Parameters!E$25*'6states'!I23/('6states'!F23+'6states'!I23)))</f>
        <v>-29.379678135182193</v>
      </c>
      <c r="BM23" s="7">
        <f t="shared" si="4"/>
        <v>6.7608076004264314E-2</v>
      </c>
      <c r="BN23" s="7">
        <f t="shared" si="5"/>
        <v>-0.91855432279228455</v>
      </c>
      <c r="BS23">
        <f>EXP(-Parameters!$B$56*A23)*BF23*BL23</f>
        <v>1.330894897070219E-2</v>
      </c>
      <c r="BT23">
        <f>-EXP((Parameters!$B$56)*F23)*SUM(BS23:BS31)</f>
        <v>-0.13154974009015954</v>
      </c>
      <c r="BU23">
        <f>X23^-Parameters!B$52/(1-2*Parameters!B$5*'6states'!D23/'6states'!G23)</f>
        <v>1.1225813761767625</v>
      </c>
      <c r="BV23">
        <f t="shared" si="16"/>
        <v>0.99420820421826706</v>
      </c>
      <c r="BW23">
        <f>$X23^-Parameters!$B$52/(1-2*Parameters!$B$5*'6states'!$E23/'6states'!$H23)</f>
        <v>1.0083354621615281</v>
      </c>
      <c r="BX23">
        <f t="shared" si="17"/>
        <v>1.0141282484505394</v>
      </c>
      <c r="BY23" s="7">
        <f>($X23^-Parameters!$B$52*(1/(1+EXP(-C23)) + IF(C23&lt;0,2*Parameters!$B$6*C23/F23,0)) + BQ23*(1/(1+EXP((C23-Parameters!$B$22)*Parameters!$B$21))))/(1-IF(C23&gt;0,2*Parameters!$B$5*C23/F23,0))</f>
        <v>0.47245587115066962</v>
      </c>
      <c r="BZ23">
        <f t="shared" si="18"/>
        <v>1.0089093839151759</v>
      </c>
      <c r="CA23" s="7">
        <f t="shared" si="19"/>
        <v>4.1721197227105322E-3</v>
      </c>
      <c r="CB23">
        <f>(1/$T23-1/Parameters!$B$13) * LN(Parameters!$B$18) / LN(P23)</f>
        <v>0.23715728265897207</v>
      </c>
      <c r="CC23">
        <f>(Parameters!$B$18*'6states'!T23^+Parameters!$B$19*Parameters!$B$25^'6states'!T23)^((1-'6states'!T23)/'6states'!T23)*Parameters!$B$18*Parameters!$B$26^('6states'!T23-1)</f>
        <v>0.24373168978549528</v>
      </c>
      <c r="CD23">
        <f t="shared" si="20"/>
        <v>0.26831210947311762</v>
      </c>
      <c r="CE23">
        <f t="shared" si="21"/>
        <v>0.15158459761014453</v>
      </c>
      <c r="CF23">
        <f t="shared" si="22"/>
        <v>0.15544205758823615</v>
      </c>
    </row>
    <row r="24" spans="1:84" x14ac:dyDescent="0.25">
      <c r="A24">
        <f>A23+Parameters!$B$65</f>
        <v>20</v>
      </c>
      <c r="B24">
        <v>2045</v>
      </c>
      <c r="C24" s="74">
        <v>8.6478925720615395E-3</v>
      </c>
      <c r="D24" s="69">
        <v>6.4193393827284201E-2</v>
      </c>
      <c r="E24" s="75">
        <v>0.22486592277336301</v>
      </c>
      <c r="F24" s="7">
        <f>MAX((1-Parameters!$B$4)^Parameters!B$65*F23 + C23*Parameters!B$65 - IF(C23&gt;0,Parameters!$B$5,0)*C23^2/F23*Parameters!B$65, 0.0001)</f>
        <v>0.28370939623389613</v>
      </c>
      <c r="G24" s="7">
        <f>(1-Parameters!$B$4)^Parameters!B$65*G23+D23*Parameters!B$65-Parameters!$B$5*D23^2/G23*Parameters!B$65</f>
        <v>0.61702964599142873</v>
      </c>
      <c r="H24" s="7">
        <f>(1-Parameters!$B$4)^Parameters!B$65*H23+E23*Parameters!B$65-Parameters!$B$5*E23^2/H23*Parameters!B$65</f>
        <v>3.6334398445975244</v>
      </c>
      <c r="I24" s="9">
        <f>I23 *(1-Parameters!$B$4)-C23*(C23&lt;0)*Parameters!B$65</f>
        <v>1.9949896787552344E-2</v>
      </c>
      <c r="J24" s="23">
        <f>J23*(1+Parameters!$B$51)^Parameters!B$65</f>
        <v>8.6465485626215877</v>
      </c>
      <c r="K24" s="23">
        <f>K23*(1+Parameters!$B$53)^Parameters!B$65</f>
        <v>13.451669343982426</v>
      </c>
      <c r="L24" s="23">
        <f>J24*K24*EXP(-Parameters!$B$42*'6states'!A24)*(Parameters!$B$37/Parameters!$B$38*('6states'!F24+'6states'!I24)/Parameters!$E$25*(EXP(-Parameters!$B$38*Parameters!$E$25*'6states'!I24/('6states'!F24+'6states'!I24))-EXP(-Parameters!$B$38*Parameters!$E$25))  +  Parameters!$B$39*'6states'!F24)</f>
        <v>20.974582617909434</v>
      </c>
      <c r="M24" s="8">
        <f>M23+L24*Parameters!B$65</f>
        <v>2857.3935935472305</v>
      </c>
      <c r="N24" s="7">
        <f>M24*Parameters!$B$45</f>
        <v>1.7144361561283381</v>
      </c>
      <c r="O24" s="9">
        <f>EXP(-Parameters!$B$46/2*N24^2)</f>
        <v>0.97089215972770659</v>
      </c>
      <c r="P24" s="8">
        <f>MAX((Parameters!$B$62 + Parameters!$B$31*'6states'!A24 - '6states'!M24 + Parameters!$B$47/Parameters!$B$45)/Parameters!B$62,1)</f>
        <v>11.13212812905539</v>
      </c>
      <c r="Q24" s="7">
        <f>Parameters!B$61*EXP(-Parameters!B$60*A24)</f>
        <v>0.29137412618699482</v>
      </c>
      <c r="R24" s="7">
        <f>(1-Parameters!B$61)*P24^-Parameters!B$63</f>
        <v>0.39292728254820408</v>
      </c>
      <c r="S24" s="7">
        <f>Parameters!B$61*EXP(-Parameters!B$60*A24)+(1-Parameters!B$61)*P24^-Parameters!B$63</f>
        <v>0.68430140873519885</v>
      </c>
      <c r="T24" s="7">
        <f>1-S24/Parameters!$B$12</f>
        <v>0.65784929563240058</v>
      </c>
      <c r="U24" s="7">
        <f t="shared" si="0"/>
        <v>2.9226887077386263</v>
      </c>
      <c r="V24" s="7">
        <f>(Parameters!$B$19*(F24+Parameters!$B$20)^T24+Parameters!$B$18*G24^T24)^(1/T24)</f>
        <v>0.3832438360993064</v>
      </c>
      <c r="W24" s="7">
        <f>(Parameters!$B$10*H24^Parameters!$B$9+Parameters!$B$11*V24^Parameters!$B$9)^(Parameters!$B$7/Parameters!$B$9)*O24</f>
        <v>1.3902868039101235</v>
      </c>
      <c r="X24" s="7">
        <f>W24 - D24 - E24 - LN(1+EXP(Parameters!$B$21*C24))/Parameters!$B$21 - IF(C24&gt;0, 0,Parameters!$B$6*C24^2/F24)</f>
        <v>1.092339477678145</v>
      </c>
      <c r="Y24" s="7">
        <f>EXP(-Parameters!$B$55*A24)</f>
        <v>0.7393380648895318</v>
      </c>
      <c r="Z24" s="7">
        <f>IF(X24&gt;0,X24^(1-Parameters!$B$52)/(1-Parameters!$B$52)*Y24*Parameters!$B$65,-10+X24*1000)</f>
        <v>-2.0480938419597092</v>
      </c>
      <c r="AB24" s="9"/>
      <c r="AC24">
        <f t="shared" si="6"/>
        <v>1.0058408147757614</v>
      </c>
      <c r="AD24">
        <f t="shared" si="7"/>
        <v>7.4663665179023679</v>
      </c>
      <c r="AE24" s="23">
        <f t="shared" si="8"/>
        <v>2.3203827143172333</v>
      </c>
      <c r="AF24" s="23">
        <f t="shared" si="9"/>
        <v>32.998385200732663</v>
      </c>
      <c r="AG24" s="23">
        <f t="shared" si="10"/>
        <v>71.767034187020172</v>
      </c>
      <c r="AH24" s="23">
        <f t="shared" si="11"/>
        <v>44.575286886111378</v>
      </c>
      <c r="AI24" s="23">
        <f t="shared" si="12"/>
        <v>109.70317469760278</v>
      </c>
      <c r="AJ24" s="23">
        <f t="shared" si="13"/>
        <v>161.70497031088658</v>
      </c>
      <c r="AK24" s="23">
        <f t="shared" si="14"/>
        <v>127.05056417896679</v>
      </c>
      <c r="AL24" s="9">
        <f t="shared" si="23"/>
        <v>2.0625795317977591E-2</v>
      </c>
      <c r="AM24" s="9">
        <f t="shared" si="24"/>
        <v>1.9750793367808051E-2</v>
      </c>
      <c r="AN24" s="9">
        <f t="shared" ref="AN24:AO24" si="45">AVERAGE(AL22:AL26)</f>
        <v>2.0532699006979804E-2</v>
      </c>
      <c r="AO24" s="9">
        <f t="shared" si="45"/>
        <v>1.9675114925347258E-2</v>
      </c>
      <c r="AP24" s="23"/>
      <c r="AQ24" s="8">
        <f t="shared" si="1"/>
        <v>161.70497031088658</v>
      </c>
      <c r="AR24" s="32">
        <f>Parameters!$B$7*W24*(W24/O24)^(-Parameters!$B$9/Parameters!$B$7)*Parameters!$B$11*(V24)^(Parameters!$B$9-T24)*((1-2*Parameters!$B$5*C24/F24)*Parameters!$B$19*(F24+Parameters!$B$20)^(T24-1)-(1-2*Parameters!$B$5*D24/G24)*(Parameters!$B$18)*(G24)^(T24-1))</f>
        <v>0.17351427679031578</v>
      </c>
      <c r="AS24" s="32">
        <f>((C25-C23)/2-(F25-F23)/F24/2*C24)/(F24/2/Parameters!$B$5-C24)-((D25-D23)/D24-(G25-G23)/G24)/(G24/2/Parameters!$B$5/D24-1)</f>
        <v>6.5594622414167714E-3</v>
      </c>
      <c r="AT24" s="32">
        <f>+Parameters!$B$5*C24^2/F24^2-Parameters!$B$5*D24^2/G24^2</f>
        <v>-9.8943993674788493E-3</v>
      </c>
      <c r="AU24" s="30">
        <f>EXP(-Parameters!$B$42*'6states'!A24)*(Parameters!$B$37*EXP(-Parameters!$B$38*Parameters!$E$25*'6states'!I24/('6states'!F24+'6states'!I24))*(1/Parameters!$B$38/Parameters!$E$25+'6states'!I24/('6states'!F24+'6states'!I24))-Parameters!$B$37/Parameters!$B$38/Parameters!$E$25*EXP(-Parameters!$B$38*Parameters!$E$25)+Parameters!$B$39)</f>
        <v>0.65517886678337123</v>
      </c>
      <c r="AV24" s="30">
        <f>J24*K24*EXP(-Parameters!$B$42*'6states'!A24)*(Parameters!$B$37*EXP(-Parameters!$B$38*Parameters!$E$25*'6states'!I24/('6states'!F24+'6states'!I24))*(1/Parameters!$B$38/Parameters!$E$25+'6states'!I24/('6states'!F24+'6states'!I24))-Parameters!$B$37/Parameters!$B$38/Parameters!$E$25*EXP(-Parameters!$B$38*Parameters!$E$25)+Parameters!$B$39)</f>
        <v>76.204189598547259</v>
      </c>
      <c r="AW24" s="8">
        <f>1000*(AR24+AS24+AT24)/(EXP(-Parameters!$B$42*A24)*((C24&lt;0)*Parameters!$B$37*EXP(-Parameters!$B$38*AF24)+(C24&gt;=0)*Parameters!$B$41))</f>
        <v>228.24584837062147</v>
      </c>
      <c r="AX24" s="13">
        <f>1-W24/'6states,ExoDamages'!T24</f>
        <v>6.558490195074651E-2</v>
      </c>
      <c r="AY24" s="21">
        <f>-Y24*W24*X24^(-Parameters!B$52)*Parameters!B$46*Parameters!B$45*N24</f>
        <v>-1.8863978469168362E-5</v>
      </c>
      <c r="AZ24" s="7">
        <f>1000*EXP(-(Parameters!$B$54)*'6states'!A24)*AQ24*Parameters!B$46*Parameters!B$45*N24</f>
        <v>1.656980004207236</v>
      </c>
      <c r="BA24" s="7">
        <f>SUM(AZ24:AZ$204)*EXP(Parameters!$B$54*A24)</f>
        <v>294.35299764864573</v>
      </c>
      <c r="BB24" s="13">
        <f t="shared" si="35"/>
        <v>0.21413366532388833</v>
      </c>
      <c r="BC24" s="30"/>
      <c r="BD24" s="30"/>
      <c r="BE24" s="30"/>
      <c r="BF24" s="5">
        <f t="shared" si="3"/>
        <v>-1.9986554410245071E-3</v>
      </c>
      <c r="BG24" s="2">
        <f>BF24/Parameters!$B$45</f>
        <v>-3.3310924017075121</v>
      </c>
      <c r="BH24" s="2">
        <f t="shared" si="27"/>
        <v>2.3384880056861457E-3</v>
      </c>
      <c r="BK24">
        <f>-EXP(-Parameters!B$42*'6states'!A24)*(-Parameters!B$37/Parameters!B$38/Parameters!E$25*(EXP(-Parameters!B$38*Parameters!E$25*'6states'!I24/('6states'!F24+'6states'!I24))-EXP(-Parameters!B$38*Parameters!E$25))+Parameters!B$37*'6states'!F24/('6states'!F24+'6states'!I24)*EXP(-Parameters!B$38*Parameters!E$25*'6states'!I24/('6states'!F24+'6states'!I24)))</f>
        <v>-0.27808430032095938</v>
      </c>
      <c r="BL24">
        <f>-J24*K24*EXP(-Parameters!B$42*'6states'!A24)*(-Parameters!B$37/Parameters!B$38/Parameters!E$25*(EXP(-Parameters!B$38*Parameters!E$25*'6states'!I24/('6states'!F24+'6states'!I24))-EXP(-Parameters!B$38*Parameters!E$25)) + Parameters!B$37*'6states'!F24/('6states'!F24+'6states'!I24)*EXP(-Parameters!B$38*Parameters!E$25*'6states'!I24/('6states'!F24+'6states'!I24)))</f>
        <v>-32.344127413750073</v>
      </c>
      <c r="BM24" s="7">
        <f t="shared" si="4"/>
        <v>6.5698291624960145E-2</v>
      </c>
      <c r="BN24" s="7">
        <f t="shared" si="5"/>
        <v>-0.93326316710433055</v>
      </c>
      <c r="BS24">
        <f>EXP(-Parameters!$B$56*A24)*BF24*BL24</f>
        <v>1.3584197201508639E-2</v>
      </c>
      <c r="BT24">
        <f>-EXP((Parameters!$B$56)*F24)*SUM(BS24:BS32)</f>
        <v>-0.13343079506748759</v>
      </c>
      <c r="BU24">
        <f>X24^-Parameters!B$52/(1-2*Parameters!B$5*'6states'!D24/'6states'!G24)</f>
        <v>1.1208091688794886</v>
      </c>
      <c r="BV24">
        <f t="shared" si="16"/>
        <v>0.99842131061953865</v>
      </c>
      <c r="BW24">
        <f>$X24^-Parameters!$B$52/(1-2*Parameters!$B$5*'6states'!$E24/'6states'!$H24)</f>
        <v>1.012982507520058</v>
      </c>
      <c r="BX24">
        <f t="shared" si="17"/>
        <v>1.0046086302950887</v>
      </c>
      <c r="BY24" s="7">
        <f>($X24^-Parameters!$B$52*(1/(1+EXP(-C24)) + IF(C24&lt;0,2*Parameters!$B$6*C24/F24,0)) + BQ24*(1/(1+EXP((C24-Parameters!$B$22)*Parameters!$B$21))))/(1-IF(C24&gt;0,2*Parameters!$B$5*C24/F24,0))</f>
        <v>0.4746552850624422</v>
      </c>
      <c r="BZ24">
        <f t="shared" si="18"/>
        <v>1.0046552790346661</v>
      </c>
      <c r="CA24" s="7">
        <f t="shared" si="19"/>
        <v>2.1994139117725853E-3</v>
      </c>
      <c r="CB24">
        <f>(1/$T24-1/Parameters!$B$13) * LN(Parameters!$B$18) / LN(P24)</f>
        <v>0.2372314806649469</v>
      </c>
      <c r="CC24">
        <f>(Parameters!$B$18*'6states'!T24^+Parameters!$B$19*Parameters!$B$25^'6states'!T24)^((1-'6states'!T24)/'6states'!T24)*Parameters!$B$18*Parameters!$B$26^('6states'!T24-1)</f>
        <v>0.24673603063370383</v>
      </c>
      <c r="CD24">
        <f t="shared" si="20"/>
        <v>0.26675556257911132</v>
      </c>
      <c r="CE24">
        <f t="shared" si="21"/>
        <v>0.15162823060988251</v>
      </c>
      <c r="CF24">
        <f t="shared" si="22"/>
        <v>0.15719897761909651</v>
      </c>
    </row>
    <row r="25" spans="1:84" x14ac:dyDescent="0.25">
      <c r="A25">
        <f>A24+Parameters!$B$65</f>
        <v>21</v>
      </c>
      <c r="B25">
        <v>2046</v>
      </c>
      <c r="C25" s="74">
        <v>8.5440830773590194E-3</v>
      </c>
      <c r="D25" s="69">
        <v>6.6114812618285695E-2</v>
      </c>
      <c r="E25" s="75">
        <v>0.22091094483000601</v>
      </c>
      <c r="F25" s="7">
        <f>MAX((1-Parameters!$B$4)^Parameters!B$65*F24 + C24*Parameters!B$65 - IF(C24&gt;0,Parameters!$B$5,0)*C24^2/F24*Parameters!B$65, 0.0001)</f>
        <v>0.27424836690486748</v>
      </c>
      <c r="G25" s="7">
        <f>(1-Parameters!$B$4)^Parameters!B$65*G24+D24*Parameters!B$65-Parameters!$B$5*D24^2/G24*Parameters!B$65</f>
        <v>0.63573344101410889</v>
      </c>
      <c r="H25" s="7">
        <f>(1-Parameters!$B$4)^Parameters!B$65*H24+E24*Parameters!B$65-Parameters!$B$5*E24^2/H24*Parameters!B$65</f>
        <v>3.6158459238164036</v>
      </c>
      <c r="I25" s="9">
        <f>I24 *(1-Parameters!$B$4)-C24*(C24&lt;0)*Parameters!B$65</f>
        <v>1.8695048279615302E-2</v>
      </c>
      <c r="J25" s="23">
        <f>J24*(1+Parameters!$B$51)^Parameters!B$65</f>
        <v>8.6716235534531894</v>
      </c>
      <c r="K25" s="23">
        <f>K24*(1+Parameters!$B$53)^Parameters!B$65</f>
        <v>13.720702730862074</v>
      </c>
      <c r="L25" s="23">
        <f>J25*K25*EXP(-Parameters!$B$42*'6states'!A25)*(Parameters!$B$37/Parameters!$B$38*('6states'!F25+'6states'!I25)/Parameters!$E$25*(EXP(-Parameters!$B$38*Parameters!$E$25*'6states'!I25/('6states'!F25+'6states'!I25))-EXP(-Parameters!$B$38*Parameters!$E$25))  +  Parameters!$B$39*'6states'!F25)</f>
        <v>20.554361974873256</v>
      </c>
      <c r="M25" s="8">
        <f>M24+L25*Parameters!B$65</f>
        <v>2877.9479555221037</v>
      </c>
      <c r="N25" s="7">
        <f>M25*Parameters!$B$45</f>
        <v>1.7267687733132622</v>
      </c>
      <c r="O25" s="9">
        <f>EXP(-Parameters!$B$46/2*N25^2)</f>
        <v>0.97047815030060758</v>
      </c>
      <c r="P25" s="8">
        <f>MAX((Parameters!$B$62 + Parameters!$B$31*'6states'!A25 - '6states'!M25 + Parameters!$B$47/Parameters!$B$45)/Parameters!B$62,1)</f>
        <v>11.785040889557926</v>
      </c>
      <c r="Q25" s="7">
        <f>Parameters!B$61*EXP(-Parameters!B$60*A25)</f>
        <v>0.28361228121344206</v>
      </c>
      <c r="R25" s="7">
        <f>(1-Parameters!B$61)*P25^-Parameters!B$63</f>
        <v>0.39069413788749935</v>
      </c>
      <c r="S25" s="7">
        <f>Parameters!B$61*EXP(-Parameters!B$60*A25)+(1-Parameters!B$61)*P25^-Parameters!B$63</f>
        <v>0.67430641910094136</v>
      </c>
      <c r="T25" s="7">
        <f>1-S25/Parameters!$B$12</f>
        <v>0.66284679044952932</v>
      </c>
      <c r="U25" s="7">
        <f t="shared" si="0"/>
        <v>2.966010619721843</v>
      </c>
      <c r="V25" s="7">
        <f>(Parameters!$B$19*(F25+Parameters!$B$20)^T25+Parameters!$B$18*G25^T25)^(1/T25)</f>
        <v>0.38094088540758364</v>
      </c>
      <c r="W25" s="7">
        <f>(Parameters!$B$10*H25^Parameters!$B$9+Parameters!$B$11*V25^Parameters!$B$9)^(Parameters!$B$7/Parameters!$B$9)*O25</f>
        <v>1.3875193131902637</v>
      </c>
      <c r="X25" s="7">
        <f>W25 - D25 - E25 - LN(1+EXP(Parameters!$B$21*C25))/Parameters!$B$21 - IF(C25&gt;0, 0,Parameters!$B$6*C25^2/F25)</f>
        <v>1.0917020351822986</v>
      </c>
      <c r="Y25" s="7">
        <f>EXP(-Parameters!$B$55*A25)</f>
        <v>0.72825792569172154</v>
      </c>
      <c r="Z25" s="7">
        <f>IF(X25&gt;0,X25^(1-Parameters!$B$52)/(1-Parameters!$B$52)*Y25*Parameters!$B$65,-10+X25*1000)</f>
        <v>-2.0178121532852291</v>
      </c>
      <c r="AB25" s="9"/>
      <c r="AC25">
        <f t="shared" si="6"/>
        <v>1.0165815746951996</v>
      </c>
      <c r="AD25">
        <f t="shared" si="7"/>
        <v>7.8663912456888134</v>
      </c>
      <c r="AE25" s="23">
        <f t="shared" si="8"/>
        <v>2.2243512202562261</v>
      </c>
      <c r="AF25" s="23">
        <f t="shared" si="9"/>
        <v>32.630281583347269</v>
      </c>
      <c r="AG25" s="23">
        <f t="shared" si="10"/>
        <v>75.640053672357837</v>
      </c>
      <c r="AH25" s="23">
        <f t="shared" si="11"/>
        <v>45.32463947823954</v>
      </c>
      <c r="AI25" s="23">
        <f t="shared" si="12"/>
        <v>111.54738847763682</v>
      </c>
      <c r="AJ25" s="23">
        <f t="shared" si="13"/>
        <v>165.0881148453152</v>
      </c>
      <c r="AK25" s="23">
        <f t="shared" si="14"/>
        <v>129.891547633057</v>
      </c>
      <c r="AL25" s="9">
        <f t="shared" si="23"/>
        <v>2.0705856759178687E-2</v>
      </c>
      <c r="AM25" s="9">
        <f t="shared" si="24"/>
        <v>2.2114702937648723E-2</v>
      </c>
      <c r="AN25" s="9">
        <f t="shared" ref="AN25:AO25" si="46">AVERAGE(AL23:AL27)</f>
        <v>2.0616929929270177E-2</v>
      </c>
      <c r="AO25" s="9">
        <f t="shared" si="46"/>
        <v>1.9343033030889422E-2</v>
      </c>
      <c r="AP25" s="23"/>
      <c r="AQ25" s="8">
        <f t="shared" si="1"/>
        <v>165.08811484531523</v>
      </c>
      <c r="AR25" s="32">
        <f>Parameters!$B$7*W25*(W25/O25)^(-Parameters!$B$9/Parameters!$B$7)*Parameters!$B$11*(V25)^(Parameters!$B$9-T25)*((1-2*Parameters!$B$5*C25/F25)*Parameters!$B$19*(F25+Parameters!$B$20)^(T25-1)-(1-2*Parameters!$B$5*D25/G25)*(Parameters!$B$18)*(G25)^(T25-1))</f>
        <v>0.17697983448471219</v>
      </c>
      <c r="AS25" s="32">
        <f>((C26-C24)/2-(F26-F24)/F25/2*C25)/(F25/2/Parameters!$B$5-C25)-((D26-D24)/D25-(G26-G24)/G25)/(G25/2/Parameters!$B$5/D25-1)</f>
        <v>6.2271783757392521E-3</v>
      </c>
      <c r="AT25" s="32">
        <f>+Parameters!$B$5*C25^2/F25^2-Parameters!$B$5*D25^2/G25^2</f>
        <v>-9.844914932291492E-3</v>
      </c>
      <c r="AU25" s="30">
        <f>EXP(-Parameters!$B$42*'6states'!A25)*(Parameters!$B$37*EXP(-Parameters!$B$38*Parameters!$E$25*'6states'!I25/('6states'!F25+'6states'!I25))*(1/Parameters!$B$38/Parameters!$E$25+'6states'!I25/('6states'!F25+'6states'!I25))-Parameters!$B$37/Parameters!$B$38/Parameters!$E$25*EXP(-Parameters!$B$38*Parameters!$E$25)+Parameters!$B$39)</f>
        <v>0.6502913844049667</v>
      </c>
      <c r="AV25" s="30">
        <f>J25*K25*EXP(-Parameters!$B$42*'6states'!A25)*(Parameters!$B$37*EXP(-Parameters!$B$38*Parameters!$E$25*'6states'!I25/('6states'!F25+'6states'!I25))*(1/Parameters!$B$38/Parameters!$E$25+'6states'!I25/('6states'!F25+'6states'!I25))-Parameters!$B$37/Parameters!$B$38/Parameters!$E$25*EXP(-Parameters!$B$38*Parameters!$E$25)+Parameters!$B$39)</f>
        <v>77.372168971636555</v>
      </c>
      <c r="AW25" s="8">
        <f>1000*(AR25+AS25+AT25)/(EXP(-Parameters!$B$42*A25)*((C25&lt;0)*Parameters!$B$37*EXP(-Parameters!$B$38*AF25)+(C25&gt;=0)*Parameters!$B$41))</f>
        <v>234.85139886711613</v>
      </c>
      <c r="AX25" s="13">
        <f>1-W25/'6states,ExoDamages'!T25</f>
        <v>6.6980939009564922E-2</v>
      </c>
      <c r="AY25" s="21">
        <f>-Y25*W25*X25^(-Parameters!B$52)*Parameters!B$46*Parameters!B$45*N25</f>
        <v>-1.8692405291358088E-5</v>
      </c>
      <c r="AZ25" s="7">
        <f>1000*EXP(-(Parameters!$B$54)*'6states'!A25)*AQ25*Parameters!B$46*Parameters!B$45*N25</f>
        <v>1.6450490049527942</v>
      </c>
      <c r="BA25" s="7">
        <f>SUM(AZ25:AZ$204)*EXP(Parameters!$B$54*A25)</f>
        <v>301.40538466022565</v>
      </c>
      <c r="BB25" s="13">
        <f t="shared" si="35"/>
        <v>0.21302034336809314</v>
      </c>
      <c r="BC25" s="30"/>
      <c r="BD25" s="30"/>
      <c r="BE25" s="30"/>
      <c r="BF25" s="5">
        <f t="shared" si="3"/>
        <v>-2.0031612650053821E-3</v>
      </c>
      <c r="BG25" s="2">
        <f>BF25/Parameters!$B$45</f>
        <v>-3.3386021083423039</v>
      </c>
      <c r="BH25" s="2">
        <f t="shared" si="27"/>
        <v>2.249356584310247E-3</v>
      </c>
      <c r="BK25">
        <f>-EXP(-Parameters!B$42*'6states'!A25)*(-Parameters!B$37/Parameters!B$38/Parameters!E$25*(EXP(-Parameters!B$38*Parameters!E$25*'6states'!I25/('6states'!F25+'6states'!I25))-EXP(-Parameters!B$38*Parameters!E$25))+Parameters!B$37*'6states'!F25/('6states'!F25+'6states'!I25)*EXP(-Parameters!B$38*Parameters!E$25*'6states'!I25/('6states'!F25+'6states'!I25)))</f>
        <v>-0.298886706124111</v>
      </c>
      <c r="BL25">
        <f>-J25*K25*EXP(-Parameters!B$42*'6states'!A25)*(-Parameters!B$37/Parameters!B$38/Parameters!E$25*(EXP(-Parameters!B$38*Parameters!E$25*'6states'!I25/('6states'!F25+'6states'!I25))-EXP(-Parameters!B$38*Parameters!E$25)) + Parameters!B$37*'6states'!F25/('6states'!F25+'6states'!I25)*EXP(-Parameters!B$38*Parameters!E$25*'6states'!I25/('6states'!F25+'6states'!I25)))</f>
        <v>-35.561770129818079</v>
      </c>
      <c r="BM25" s="7">
        <f t="shared" si="4"/>
        <v>6.3817950193015907E-2</v>
      </c>
      <c r="BN25" s="7">
        <f t="shared" si="5"/>
        <v>-0.94917809052907764</v>
      </c>
      <c r="BS25">
        <f>EXP(-Parameters!$B$56*A25)*BF25*BL25</f>
        <v>1.3846018982984593E-2</v>
      </c>
      <c r="BT25">
        <f>-EXP((Parameters!$B$56)*F25)*SUM(BS25:BS33)</f>
        <v>-0.13516083709210286</v>
      </c>
      <c r="BU25">
        <f>X25^-Parameters!B$52/(1-2*Parameters!B$5*'6states'!D25/'6states'!G25)</f>
        <v>1.1215838026741742</v>
      </c>
      <c r="BV25">
        <f t="shared" si="16"/>
        <v>1.0006911379886909</v>
      </c>
      <c r="BW25">
        <f>$X25^-Parameters!$B$52/(1-2*Parameters!$B$5*'6states'!$E25/'6states'!$H25)</f>
        <v>1.011950206673417</v>
      </c>
      <c r="BX25">
        <f t="shared" si="17"/>
        <v>0.99898092924707227</v>
      </c>
      <c r="BY25" s="7">
        <f>($X25^-Parameters!$B$52*(1/(1+EXP(-C25)) + IF(C25&lt;0,2*Parameters!$B$6*C25/F25,0)) + BQ25*(1/(1+EXP((C25-Parameters!$B$22)*Parameters!$B$21))))/(1-IF(C25&gt;0,2*Parameters!$B$5*C25/F25,0))</f>
        <v>0.47568679704062933</v>
      </c>
      <c r="BZ25">
        <f t="shared" si="18"/>
        <v>1.0021731812762844</v>
      </c>
      <c r="CA25" s="7">
        <f t="shared" si="19"/>
        <v>1.0315119781871274E-3</v>
      </c>
      <c r="CB25">
        <f>(1/$T25-1/Parameters!$B$13) * LN(Parameters!$B$18) / LN(P25)</f>
        <v>0.23728490097031482</v>
      </c>
      <c r="CC25">
        <f>(Parameters!$B$18*'6states'!T25^+Parameters!$B$19*Parameters!$B$25^'6states'!T25)^((1-'6states'!T25)/'6states'!T25)*Parameters!$B$18*Parameters!$B$26^('6states'!T25-1)</f>
        <v>0.2495773610436329</v>
      </c>
      <c r="CD25">
        <f t="shared" si="20"/>
        <v>0.265233756197849</v>
      </c>
      <c r="CE25">
        <f t="shared" si="21"/>
        <v>0.15165964365189744</v>
      </c>
      <c r="CF25">
        <f t="shared" si="22"/>
        <v>0.15885720721318852</v>
      </c>
    </row>
    <row r="26" spans="1:84" x14ac:dyDescent="0.25">
      <c r="A26">
        <f>A25+Parameters!$B$65</f>
        <v>22</v>
      </c>
      <c r="B26">
        <v>2047</v>
      </c>
      <c r="C26" s="74">
        <v>8.3630233760573301E-3</v>
      </c>
      <c r="D26" s="69">
        <v>6.6856268661638199E-2</v>
      </c>
      <c r="E26" s="75">
        <v>0.22026290493039299</v>
      </c>
      <c r="F26" s="7">
        <f>MAX((1-Parameters!$B$4)^Parameters!B$65*F25 + C25*Parameters!B$65 - IF(C25&gt;0,Parameters!$B$5,0)*C25^2/F25*Parameters!B$65, 0.0001)</f>
        <v>0.2652760406835219</v>
      </c>
      <c r="G26" s="7">
        <f>(1-Parameters!$B$4)^Parameters!B$65*G25+D25*Parameters!B$65-Parameters!$B$5*D25^2/G25*Parameters!B$65</f>
        <v>0.65498483206263525</v>
      </c>
      <c r="H26" s="7">
        <f>(1-Parameters!$B$4)^Parameters!B$65*H25+E25*Parameters!B$65-Parameters!$B$5*E25^2/H25*Parameters!B$65</f>
        <v>3.5958235546591726</v>
      </c>
      <c r="I26" s="9">
        <f>I25 *(1-Parameters!$B$4)-C25*(C25&lt;0)*Parameters!B$65</f>
        <v>1.7519129742827499E-2</v>
      </c>
      <c r="J26" s="23">
        <f>J25*(1+Parameters!$B$51)^Parameters!B$65</f>
        <v>8.6967712617582027</v>
      </c>
      <c r="K26" s="23">
        <f>K25*(1+Parameters!$B$53)^Parameters!B$65</f>
        <v>13.995116785479317</v>
      </c>
      <c r="L26" s="23">
        <f>J26*K26*EXP(-Parameters!$B$42*'6states'!A26)*(Parameters!$B$37/Parameters!$B$38*('6states'!F26+'6states'!I26)/Parameters!$E$25*(EXP(-Parameters!$B$38*Parameters!$E$25*'6states'!I26/('6states'!F26+'6states'!I26))-EXP(-Parameters!$B$38*Parameters!$E$25))  +  Parameters!$B$39*'6states'!F26)</f>
        <v>20.157158243043408</v>
      </c>
      <c r="M26" s="8">
        <f>M25+L26*Parameters!B$65</f>
        <v>2898.1051137651471</v>
      </c>
      <c r="N26" s="7">
        <f>M26*Parameters!$B$45</f>
        <v>1.738863068259088</v>
      </c>
      <c r="O26" s="9">
        <f>EXP(-Parameters!$B$46/2*N26^2)</f>
        <v>0.97006943270318879</v>
      </c>
      <c r="P26" s="8">
        <f>MAX((Parameters!$B$62 + Parameters!$B$31*'6states'!A26 - '6states'!M26 + Parameters!$B$47/Parameters!$B$45)/Parameters!B$62,1)</f>
        <v>12.44589772469706</v>
      </c>
      <c r="Q26" s="7">
        <f>Parameters!B$61*EXP(-Parameters!B$60*A26)</f>
        <v>0.2760572021534653</v>
      </c>
      <c r="R26" s="7">
        <f>(1-Parameters!B$61)*P26^-Parameters!B$63</f>
        <v>0.38856831275729248</v>
      </c>
      <c r="S26" s="7">
        <f>Parameters!B$61*EXP(-Parameters!B$60*A26)+(1-Parameters!B$61)*P26^-Parameters!B$63</f>
        <v>0.66462551491075783</v>
      </c>
      <c r="T26" s="7">
        <f>1-S26/Parameters!$B$12</f>
        <v>0.66768724254462108</v>
      </c>
      <c r="U26" s="7">
        <f t="shared" si="0"/>
        <v>3.009213391797859</v>
      </c>
      <c r="V26" s="7">
        <f>(Parameters!$B$19*(F26+Parameters!$B$20)^T26+Parameters!$B$18*G26^T26)^(1/T26)</f>
        <v>0.37907144590258801</v>
      </c>
      <c r="W26" s="7">
        <f>(Parameters!$B$10*H26^Parameters!$B$9+Parameters!$B$11*V26^Parameters!$B$9)^(Parameters!$B$7/Parameters!$B$9)*O26</f>
        <v>1.3847086510867694</v>
      </c>
      <c r="X26" s="7">
        <f>W26 - D26 - E26 - LN(1+EXP(Parameters!$B$21*C26))/Parameters!$B$21 - IF(C26&gt;0, 0,Parameters!$B$6*C26^2/F26)</f>
        <v>1.0889657313241721</v>
      </c>
      <c r="Y26" s="7">
        <f>EXP(-Parameters!$B$55*A26)</f>
        <v>0.71734383973866223</v>
      </c>
      <c r="Z26" s="7">
        <f>IF(X26&gt;0,X26^(1-Parameters!$B$52)/(1-Parameters!$B$52)*Y26*Parameters!$B$65,-10+X26*1000)</f>
        <v>-1.9893186498466315</v>
      </c>
      <c r="AB26" s="9"/>
      <c r="AC26">
        <f t="shared" si="6"/>
        <v>1.0178830564694032</v>
      </c>
      <c r="AD26">
        <f t="shared" si="7"/>
        <v>8.1372321981396016</v>
      </c>
      <c r="AE26" s="23">
        <f t="shared" si="8"/>
        <v>2.1322940911974611</v>
      </c>
      <c r="AF26" s="23">
        <f t="shared" si="9"/>
        <v>32.28736486281872</v>
      </c>
      <c r="AG26" s="23">
        <f t="shared" si="10"/>
        <v>79.719729674523833</v>
      </c>
      <c r="AH26" s="23">
        <f t="shared" si="11"/>
        <v>46.13766871443422</v>
      </c>
      <c r="AI26" s="23">
        <f t="shared" si="12"/>
        <v>113.5483153266419</v>
      </c>
      <c r="AJ26" s="23">
        <f t="shared" si="13"/>
        <v>168.53611555397896</v>
      </c>
      <c r="AK26" s="23">
        <f t="shared" si="14"/>
        <v>132.54055586692033</v>
      </c>
      <c r="AL26" s="9">
        <f t="shared" si="23"/>
        <v>2.0670701734547769E-2</v>
      </c>
      <c r="AM26" s="9">
        <f t="shared" si="24"/>
        <v>2.0188827307465296E-2</v>
      </c>
      <c r="AN26" s="9">
        <f t="shared" ref="AN26:AO26" si="47">AVERAGE(AL24:AL28)</f>
        <v>2.0718599283060257E-2</v>
      </c>
      <c r="AO26" s="9">
        <f t="shared" si="47"/>
        <v>2.0031917788060662E-2</v>
      </c>
      <c r="AP26" s="23"/>
      <c r="AQ26" s="8">
        <f t="shared" si="1"/>
        <v>168.53611555397893</v>
      </c>
      <c r="AR26" s="32">
        <f>Parameters!$B$7*W26*(W26/O26)^(-Parameters!$B$9/Parameters!$B$7)*Parameters!$B$11*(V26)^(Parameters!$B$9-T26)*((1-2*Parameters!$B$5*C26/F26)*Parameters!$B$19*(F26+Parameters!$B$20)^(T26-1)-(1-2*Parameters!$B$5*D26/G26)*(Parameters!$B$18)*(G26)^(T26-1))</f>
        <v>0.17916023672446144</v>
      </c>
      <c r="AS26" s="32">
        <f>((C27-C25)/2-(F27-F25)/F26/2*C26)/(F26/2/Parameters!$B$5-C26)-((D27-D25)/D26-(G27-G25)/G26)/(G26/2/Parameters!$B$5/D26-1)</f>
        <v>1.2322778390488259E-2</v>
      </c>
      <c r="AT26" s="32">
        <f>+Parameters!$B$5*C26^2/F26^2-Parameters!$B$5*D26^2/G26^2</f>
        <v>-9.4250256645064968E-3</v>
      </c>
      <c r="AU26" s="30">
        <f>EXP(-Parameters!$B$42*'6states'!A26)*(Parameters!$B$37*EXP(-Parameters!$B$38*Parameters!$E$25*'6states'!I26/('6states'!F26+'6states'!I26))*(1/Parameters!$B$38/Parameters!$E$25+'6states'!I26/('6states'!F26+'6states'!I26))-Parameters!$B$37/Parameters!$B$38/Parameters!$E$25*EXP(-Parameters!$B$38*Parameters!$E$25)+Parameters!$B$39)</f>
        <v>0.64550877490254588</v>
      </c>
      <c r="AV26" s="30">
        <f>J26*K26*EXP(-Parameters!$B$42*'6states'!A26)*(Parameters!$B$37*EXP(-Parameters!$B$38*Parameters!$E$25*'6states'!I26/('6states'!F26+'6states'!I26))*(1/Parameters!$B$38/Parameters!$E$25+'6states'!I26/('6states'!F26+'6states'!I26))-Parameters!$B$37/Parameters!$B$38/Parameters!$E$25*EXP(-Parameters!$B$38*Parameters!$E$25)+Parameters!$B$39)</f>
        <v>78.566376683426739</v>
      </c>
      <c r="AW26" s="8">
        <f>1000*(AR26+AS26+AT26)/(EXP(-Parameters!$B$42*A26)*((C26&lt;0)*Parameters!$B$37*EXP(-Parameters!$B$38*AF26)+(C26&gt;=0)*Parameters!$B$41))</f>
        <v>249.11029989301608</v>
      </c>
      <c r="AX26" s="13">
        <f>1-W26/'6states,ExoDamages'!T26</f>
        <v>6.841895680873189E-2</v>
      </c>
      <c r="AY26" s="21">
        <f>-Y26*W26*X26^(-Parameters!B$52)*Parameters!B$46*Parameters!B$45*N26</f>
        <v>-1.8566467523483789E-5</v>
      </c>
      <c r="AZ26" s="7">
        <f>1000*EXP(-(Parameters!$B$54)*'6states'!A26)*AQ26*Parameters!B$46*Parameters!B$45*N26</f>
        <v>1.6328394046359815</v>
      </c>
      <c r="BA26" s="7">
        <f>SUM(AZ26:AZ$204)*EXP(Parameters!$B$54*A26)</f>
        <v>308.61182603087281</v>
      </c>
      <c r="BB26" s="13">
        <f t="shared" si="35"/>
        <v>0.21338943519720441</v>
      </c>
      <c r="BC26" s="30"/>
      <c r="BD26" s="30"/>
      <c r="BE26" s="30"/>
      <c r="BF26" s="5">
        <f t="shared" si="3"/>
        <v>-2.0075807201636008E-3</v>
      </c>
      <c r="BG26" s="2">
        <f>BF26/Parameters!$B$45</f>
        <v>-3.3459678669393349</v>
      </c>
      <c r="BH26" s="2">
        <f t="shared" si="27"/>
        <v>2.2013835428039696E-3</v>
      </c>
      <c r="BK26">
        <f>-EXP(-Parameters!B$42*'6states'!A26)*(-Parameters!B$37/Parameters!B$38/Parameters!E$25*(EXP(-Parameters!B$38*Parameters!E$25*'6states'!I26/('6states'!F26+'6states'!I26))-EXP(-Parameters!B$38*Parameters!E$25))+Parameters!B$37*'6states'!F26/('6states'!F26+'6states'!I26)*EXP(-Parameters!B$38*Parameters!E$25*'6states'!I26/('6states'!F26+'6states'!I26)))</f>
        <v>-0.32107160884254038</v>
      </c>
      <c r="BL26">
        <f>-J26*K26*EXP(-Parameters!B$42*'6states'!A26)*(-Parameters!B$37/Parameters!B$38/Parameters!E$25*(EXP(-Parameters!B$38*Parameters!E$25*'6states'!I26/('6states'!F26+'6states'!I26))-EXP(-Parameters!B$38*Parameters!E$25)) + Parameters!B$37*'6states'!F26/('6states'!F26+'6states'!I26)*EXP(-Parameters!B$38*Parameters!E$25*'6states'!I26/('6states'!F26+'6states'!I26)))</f>
        <v>-39.078373437270812</v>
      </c>
      <c r="BM26" s="7">
        <f t="shared" si="4"/>
        <v>6.1949890149874912E-2</v>
      </c>
      <c r="BS26">
        <f>EXP(-Parameters!$B$56*A26)*BF26*BL26</f>
        <v>1.4104580182520992E-2</v>
      </c>
      <c r="BT26">
        <f>-EXP((Parameters!$B$56)*F26)*SUM(BS26:BS34)</f>
        <v>-0.13672808512373916</v>
      </c>
      <c r="BU26">
        <f>X26^-Parameters!B$52/(1-2*Parameters!B$5*'6states'!D26/'6states'!G26)</f>
        <v>1.119946848511387</v>
      </c>
      <c r="BV26">
        <f t="shared" si="16"/>
        <v>0.99854049767936714</v>
      </c>
      <c r="BW26">
        <f>$X26^-Parameters!$B$52/(1-2*Parameters!$B$5*'6states'!$E26/'6states'!$H26)</f>
        <v>1.0157546944714402</v>
      </c>
      <c r="BX26">
        <f t="shared" si="17"/>
        <v>1.0037595602757272</v>
      </c>
      <c r="BY26" s="7">
        <f>($X26^-Parameters!$B$52*(1/(1+EXP(-C26)) + IF(C26&lt;0,2*Parameters!$B$6*C26/F26,0)) + BQ26*(1/(1+EXP((C26-Parameters!$B$22)*Parameters!$B$21))))/(1-IF(C26&gt;0,2*Parameters!$B$5*C26/F26,0))</f>
        <v>0.47763626906282103</v>
      </c>
      <c r="BZ26">
        <f t="shared" si="18"/>
        <v>1.0040982260477269</v>
      </c>
      <c r="CA26" s="7">
        <f t="shared" si="19"/>
        <v>1.9494720221917006E-3</v>
      </c>
      <c r="CB26">
        <f>(1/$T26-1/Parameters!$B$13) * LN(Parameters!$B$18) / LN(P26)</f>
        <v>0.23731773323217473</v>
      </c>
      <c r="CC26">
        <f>(Parameters!$B$18*'6states'!T26^+Parameters!$B$19*Parameters!$B$25^'6states'!T26)^((1-'6states'!T26)/'6states'!T26)*Parameters!$B$18*Parameters!$B$26^('6states'!T26-1)</f>
        <v>0.25226604127877184</v>
      </c>
      <c r="CD26">
        <f t="shared" si="20"/>
        <v>0.26374416109849547</v>
      </c>
      <c r="CE26">
        <f t="shared" si="21"/>
        <v>0.15167894961400719</v>
      </c>
      <c r="CF26">
        <f t="shared" si="22"/>
        <v>0.16042334410507686</v>
      </c>
    </row>
    <row r="27" spans="1:84" x14ac:dyDescent="0.25">
      <c r="A27">
        <f>A26+Parameters!$B$65</f>
        <v>23</v>
      </c>
      <c r="B27">
        <v>2048</v>
      </c>
      <c r="C27" s="74">
        <v>8.1353854226414602E-3</v>
      </c>
      <c r="D27" s="69">
        <v>6.6942391522208197E-2</v>
      </c>
      <c r="E27" s="75">
        <v>0.221758358426452</v>
      </c>
      <c r="F27" s="7">
        <f>MAX((1-Parameters!$B$4)^Parameters!B$65*F26 + C26*Parameters!B$65 - IF(C26&gt;0,Parameters!$B$5,0)*C26^2/F26*Parameters!B$65, 0.0001)</f>
        <v>0.25668955060351006</v>
      </c>
      <c r="G27" s="7">
        <f>(1-Parameters!$B$4)^Parameters!B$65*G26+D26*Parameters!B$65-Parameters!$B$5*D26^2/G26*Parameters!B$65</f>
        <v>0.67381833468264773</v>
      </c>
      <c r="H27" s="7">
        <f>(1-Parameters!$B$4)^Parameters!B$65*H26+E26*Parameters!B$65-Parameters!$B$5*E26^2/H26*Parameters!B$65</f>
        <v>3.5764169088544304</v>
      </c>
      <c r="I27" s="9">
        <f>I26 *(1-Parameters!$B$4)-C26*(C26&lt;0)*Parameters!B$65</f>
        <v>1.6417176482003651E-2</v>
      </c>
      <c r="J27" s="23">
        <f>J26*(1+Parameters!$B$51)^Parameters!B$65</f>
        <v>8.7219918984173006</v>
      </c>
      <c r="K27" s="23">
        <f>K26*(1+Parameters!$B$53)^Parameters!B$65</f>
        <v>14.275019121188903</v>
      </c>
      <c r="L27" s="23">
        <f>J27*K27*EXP(-Parameters!$B$42*'6states'!A27)*(Parameters!$B$37/Parameters!$B$38*('6states'!F27+'6states'!I27)/Parameters!$E$25*(EXP(-Parameters!$B$38*Parameters!$E$25*'6states'!I27/('6states'!F27+'6states'!I27))-EXP(-Parameters!$B$38*Parameters!$E$25))  +  Parameters!$B$39*'6states'!F27)</f>
        <v>19.776008959790548</v>
      </c>
      <c r="M27" s="8">
        <f>M26+L27*Parameters!B$65</f>
        <v>2917.8811227249375</v>
      </c>
      <c r="N27" s="7">
        <f>M27*Parameters!$B$45</f>
        <v>1.7507286736349623</v>
      </c>
      <c r="O27" s="9">
        <f>EXP(-Parameters!$B$46/2*N27^2)</f>
        <v>0.96966584024313329</v>
      </c>
      <c r="P27" s="8">
        <f>MAX((Parameters!$B$62 + Parameters!$B$31*'6states'!A27 - '6states'!M27 + Parameters!$B$47/Parameters!$B$45)/Parameters!B$62,1)</f>
        <v>13.114377545501252</v>
      </c>
      <c r="Q27" s="7">
        <f>Parameters!B$61*EXP(-Parameters!B$60*A27)</f>
        <v>0.26870338101983182</v>
      </c>
      <c r="R27" s="7">
        <f>(1-Parameters!B$61)*P27^-Parameters!B$63</f>
        <v>0.38654070650770478</v>
      </c>
      <c r="S27" s="7">
        <f>Parameters!B$61*EXP(-Parameters!B$60*A27)+(1-Parameters!B$61)*P27^-Parameters!B$63</f>
        <v>0.6552440875275366</v>
      </c>
      <c r="T27" s="7">
        <f>1-S27/Parameters!$B$12</f>
        <v>0.67237795623623176</v>
      </c>
      <c r="U27" s="7">
        <f t="shared" si="0"/>
        <v>3.0522976674947113</v>
      </c>
      <c r="V27" s="7">
        <f>(Parameters!$B$19*(F27+Parameters!$B$20)^T27+Parameters!$B$18*G27^T27)^(1/T27)</f>
        <v>0.37731996358151487</v>
      </c>
      <c r="W27" s="7">
        <f>(Parameters!$B$10*H27^Parameters!$B$9+Parameters!$B$11*V27^Parameters!$B$9)^(Parameters!$B$7/Parameters!$B$9)*O27</f>
        <v>1.3819881322804637</v>
      </c>
      <c r="X27" s="7">
        <f>W27 - D27 - E27 - LN(1+EXP(Parameters!$B$21*C27))/Parameters!$B$21 - IF(C27&gt;0, 0,Parameters!$B$6*C27^2/F27)</f>
        <v>1.0848735961358391</v>
      </c>
      <c r="Y27" s="7">
        <f>EXP(-Parameters!$B$55*A27)</f>
        <v>0.70659331846233153</v>
      </c>
      <c r="Z27" s="7">
        <f>IF(X27&gt;0,X27^(1-Parameters!$B$52)/(1-Parameters!$B$52)*Y27*Parameters!$B$65,-10+X27*1000)</f>
        <v>-1.9620893627447127</v>
      </c>
      <c r="AB27" s="9"/>
      <c r="AC27">
        <f t="shared" si="6"/>
        <v>1.0129091878130208</v>
      </c>
      <c r="AD27">
        <f t="shared" si="7"/>
        <v>8.3347696395932029</v>
      </c>
      <c r="AE27" s="23">
        <f t="shared" si="8"/>
        <v>2.0440468438396464</v>
      </c>
      <c r="AF27" s="23">
        <f t="shared" si="9"/>
        <v>31.959543489885554</v>
      </c>
      <c r="AG27" s="23">
        <f t="shared" si="10"/>
        <v>83.894830626883589</v>
      </c>
      <c r="AH27" s="23">
        <f t="shared" si="11"/>
        <v>46.97882620205327</v>
      </c>
      <c r="AI27" s="23">
        <f t="shared" si="12"/>
        <v>115.61846794390347</v>
      </c>
      <c r="AJ27" s="23">
        <f t="shared" si="13"/>
        <v>172.06664514499806</v>
      </c>
      <c r="AK27" s="23">
        <f t="shared" si="14"/>
        <v>135.07392410487071</v>
      </c>
      <c r="AL27" s="9">
        <f t="shared" si="23"/>
        <v>2.0731811081156515E-2</v>
      </c>
      <c r="AM27" s="9">
        <f t="shared" si="24"/>
        <v>1.8933533922724344E-2</v>
      </c>
      <c r="AN27" s="9">
        <f t="shared" ref="AN27:AO27" si="48">AVERAGE(AL25:AL29)</f>
        <v>2.0788714153153087E-2</v>
      </c>
      <c r="AO27" s="9">
        <f t="shared" si="48"/>
        <v>2.0512316027723722E-2</v>
      </c>
      <c r="AP27" s="23"/>
      <c r="AQ27" s="8">
        <f t="shared" si="1"/>
        <v>172.06664514499806</v>
      </c>
      <c r="AR27" s="32">
        <f>Parameters!$B$7*W27*(W27/O27)^(-Parameters!$B$9/Parameters!$B$7)*Parameters!$B$11*(V27)^(Parameters!$B$9-T27)*((1-2*Parameters!$B$5*C27/F27)*Parameters!$B$19*(F27+Parameters!$B$20)^(T27-1)-(1-2*Parameters!$B$5*D27/G27)*(Parameters!$B$18)*(G27)^(T27-1))</f>
        <v>0.18109553537153261</v>
      </c>
      <c r="AS27" s="32">
        <f>((C28-C26)/2-(F28-F26)/F27/2*C27)/(F27/2/Parameters!$B$5-C27)-((D28-D26)/D27-(G28-G26)/G27)/(G27/2/Parameters!$B$5/D27-1)</f>
        <v>1.3191470796859919E-2</v>
      </c>
      <c r="AT27" s="32">
        <f>+Parameters!$B$5*C27^2/F27^2-Parameters!$B$5*D27^2/G27^2</f>
        <v>-8.865515217110766E-3</v>
      </c>
      <c r="AU27" s="30">
        <f>EXP(-Parameters!$B$42*'6states'!A27)*(Parameters!$B$37*EXP(-Parameters!$B$38*Parameters!$E$25*'6states'!I27/('6states'!F27+'6states'!I27))*(1/Parameters!$B$38/Parameters!$E$25+'6states'!I27/('6states'!F27+'6states'!I27))-Parameters!$B$37/Parameters!$B$38/Parameters!$E$25*EXP(-Parameters!$B$38*Parameters!$E$25)+Parameters!$B$39)</f>
        <v>0.64081187746480206</v>
      </c>
      <c r="AV27" s="30">
        <f>J27*K27*EXP(-Parameters!$B$42*'6states'!A27)*(Parameters!$B$37*EXP(-Parameters!$B$38*Parameters!$E$25*'6states'!I27/('6states'!F27+'6states'!I27))*(1/Parameters!$B$38/Parameters!$E$25+'6states'!I27/('6states'!F27+'6states'!I27))-Parameters!$B$37/Parameters!$B$38/Parameters!$E$25*EXP(-Parameters!$B$38*Parameters!$E$25)+Parameters!$B$39)</f>
        <v>79.785308823519756</v>
      </c>
      <c r="AW27" s="8">
        <f>1000*(AR27+AS27+AT27)/(EXP(-Parameters!$B$42*A27)*((C27&lt;0)*Parameters!$B$37*EXP(-Parameters!$B$38*AF27)+(C27&gt;=0)*Parameters!$B$41))</f>
        <v>256.26243939272069</v>
      </c>
      <c r="AX27" s="13">
        <f>1-W27/'6states,ExoDamages'!T27</f>
        <v>6.9808635819060383E-2</v>
      </c>
      <c r="AY27" s="21">
        <f>-Y27*W27*X27^(-Parameters!B$52)*Parameters!B$46*Parameters!B$45*N27</f>
        <v>-1.8470478834870102E-5</v>
      </c>
      <c r="AZ27" s="7">
        <f>1000*EXP(-(Parameters!$B$54)*'6states'!A27)*AQ27*Parameters!B$46*Parameters!B$45*N27</f>
        <v>1.6205293774387417</v>
      </c>
      <c r="BA27" s="7">
        <f>SUM(AZ27:AZ$204)*EXP(Parameters!$B$54*A27)</f>
        <v>315.97587562414162</v>
      </c>
      <c r="BB27" s="13">
        <f t="shared" si="35"/>
        <v>0.21478920725714387</v>
      </c>
      <c r="BC27" s="30"/>
      <c r="BD27" s="30"/>
      <c r="BE27" s="30"/>
      <c r="BF27" s="5">
        <f t="shared" si="3"/>
        <v>-2.0118491892302907E-3</v>
      </c>
      <c r="BG27" s="2">
        <f>BF27/Parameters!$B$45</f>
        <v>-3.3530819820504849</v>
      </c>
      <c r="BH27" s="2">
        <f t="shared" si="27"/>
        <v>2.1216645310889737E-3</v>
      </c>
      <c r="BK27">
        <f>-EXP(-Parameters!B$42*'6states'!A27)*(-Parameters!B$37/Parameters!B$38/Parameters!E$25*(EXP(-Parameters!B$38*Parameters!E$25*'6states'!I27/('6states'!F27+'6states'!I27))-EXP(-Parameters!B$38*Parameters!E$25))+Parameters!B$37*'6states'!F27/('6states'!F27+'6states'!I27)*EXP(-Parameters!B$38*Parameters!E$25*'6states'!I27/('6states'!F27+'6states'!I27)))</f>
        <v>-0.34443736404713959</v>
      </c>
      <c r="BL27">
        <f>-J27*K27*EXP(-Parameters!B$42*'6states'!A27)*(-Parameters!B$37/Parameters!B$38/Parameters!E$25*(EXP(-Parameters!B$38*Parameters!E$25*'6states'!I27/('6states'!F27+'6states'!I27))-EXP(-Parameters!B$38*Parameters!E$25)) + Parameters!B$37*'6states'!F27/('6states'!F27+'6states'!I27)*EXP(-Parameters!B$38*Parameters!E$25*'6states'!I27/('6states'!F27+'6states'!I27)))</f>
        <v>-42.884725497881533</v>
      </c>
      <c r="BM27" s="7">
        <f t="shared" si="4"/>
        <v>6.0112677037293165E-2</v>
      </c>
      <c r="BS27">
        <f>EXP(-Parameters!$B$56*A27)*BF27*BL27</f>
        <v>1.434741816653958E-2</v>
      </c>
      <c r="BT27">
        <f>-EXP((Parameters!$B$56)*F27)*SUM(BS27:BS35)</f>
        <v>-0.13811921900792651</v>
      </c>
      <c r="BU27">
        <f>X27^-Parameters!B$52/(1-2*Parameters!B$5*'6states'!D27/'6states'!G27)</f>
        <v>1.1179970827972721</v>
      </c>
      <c r="BV27">
        <f t="shared" si="16"/>
        <v>0.99825905513578028</v>
      </c>
      <c r="BW27">
        <f>$X27^-Parameters!$B$52/(1-2*Parameters!$B$5*'6states'!$E27/'6states'!$H27)</f>
        <v>1.0226799510821665</v>
      </c>
      <c r="BX27">
        <f t="shared" si="17"/>
        <v>1.0068178435683528</v>
      </c>
      <c r="BY27" s="7">
        <f>($X27^-Parameters!$B$52*(1/(1+EXP(-C27)) + IF(C27&lt;0,2*Parameters!$B$6*C27/F27,0)) + BQ27*(1/(1+EXP((C27-Parameters!$B$22)*Parameters!$B$21))))/(1-IF(C27&gt;0,2*Parameters!$B$5*C27/F27,0))</f>
        <v>0.48018761086686679</v>
      </c>
      <c r="BZ27">
        <f t="shared" si="18"/>
        <v>1.0053415998099386</v>
      </c>
      <c r="CA27" s="7">
        <f t="shared" si="19"/>
        <v>2.5513418040457592E-3</v>
      </c>
      <c r="CB27">
        <f>(1/$T27-1/Parameters!$B$13) * LN(Parameters!$B$18) / LN(P27)</f>
        <v>0.23732978755044229</v>
      </c>
      <c r="CC27">
        <f>(Parameters!$B$18*'6states'!T27^+Parameters!$B$19*Parameters!$B$25^'6states'!T27)^((1-'6states'!T27)/'6states'!T27)*Parameters!$B$18*Parameters!$B$26^('6states'!T27-1)</f>
        <v>0.25481171020226467</v>
      </c>
      <c r="CD27">
        <f t="shared" si="20"/>
        <v>0.26228402809266865</v>
      </c>
      <c r="CE27">
        <f t="shared" si="21"/>
        <v>0.15168603766028432</v>
      </c>
      <c r="CF27">
        <f t="shared" si="22"/>
        <v>0.16190349036333618</v>
      </c>
    </row>
    <row r="28" spans="1:84" x14ac:dyDescent="0.25">
      <c r="A28">
        <f>A27+Parameters!$B$65</f>
        <v>24</v>
      </c>
      <c r="B28">
        <v>2049</v>
      </c>
      <c r="C28" s="74">
        <v>7.9131783220338005E-3</v>
      </c>
      <c r="D28" s="69">
        <v>6.7039966843306403E-2</v>
      </c>
      <c r="E28" s="75">
        <v>0.223143946185002</v>
      </c>
      <c r="F28" s="7">
        <f>MAX((1-Parameters!$B$4)^Parameters!B$65*F27 + C27*Parameters!B$65 - IF(C27&gt;0,Parameters!$B$5,0)*C27^2/F27*Parameters!B$65, 0.0001)</f>
        <v>0.24842132460899299</v>
      </c>
      <c r="G28" s="7">
        <f>(1-Parameters!$B$4)^Parameters!B$65*G27+D27*Parameters!B$65-Parameters!$B$5*D27^2/G27*Parameters!B$65</f>
        <v>0.69172697140625516</v>
      </c>
      <c r="H28" s="7">
        <f>(1-Parameters!$B$4)^Parameters!B$65*H27+E27*Parameters!B$65-Parameters!$B$5*E27^2/H27*Parameters!B$65</f>
        <v>3.5594683537490739</v>
      </c>
      <c r="I28" s="9">
        <f>I27 *(1-Parameters!$B$4)-C27*(C27&lt;0)*Parameters!B$65</f>
        <v>1.5384536081285621E-2</v>
      </c>
      <c r="J28" s="23">
        <f>J27*(1+Parameters!$B$51)^Parameters!B$65</f>
        <v>8.7472856749227095</v>
      </c>
      <c r="K28" s="23">
        <f>K27*(1+Parameters!$B$53)^Parameters!B$65</f>
        <v>14.560519503612682</v>
      </c>
      <c r="L28" s="23">
        <f>J28*K28*EXP(-Parameters!$B$42*'6states'!A28)*(Parameters!$B$37/Parameters!$B$38*('6states'!F28+'6states'!I28)/Parameters!$E$25*(EXP(-Parameters!$B$38*Parameters!$E$25*'6states'!I28/('6states'!F28+'6states'!I28))-EXP(-Parameters!$B$38*Parameters!$E$25))  +  Parameters!$B$39*'6states'!F28)</f>
        <v>19.406351681747193</v>
      </c>
      <c r="M28" s="8">
        <f>M27+L28*Parameters!B$65</f>
        <v>2937.2874744066849</v>
      </c>
      <c r="N28" s="7">
        <f>M28*Parameters!$B$45</f>
        <v>1.7623724846440108</v>
      </c>
      <c r="O28" s="9">
        <f>EXP(-Parameters!$B$46/2*N28^2)</f>
        <v>0.96926728851723343</v>
      </c>
      <c r="P28" s="8">
        <f>MAX((Parameters!$B$62 + Parameters!$B$31*'6states'!A28 - '6states'!M28 + Parameters!$B$47/Parameters!$B$45)/Parameters!B$62,1)</f>
        <v>13.790250511866306</v>
      </c>
      <c r="Q28" s="7">
        <f>Parameters!B$61*EXP(-Parameters!B$60*A28)</f>
        <v>0.26154545655125039</v>
      </c>
      <c r="R28" s="7">
        <f>(1-Parameters!B$61)*P28^-Parameters!B$63</f>
        <v>0.38460310738199233</v>
      </c>
      <c r="S28" s="7">
        <f>Parameters!B$61*EXP(-Parameters!B$60*A28)+(1-Parameters!B$61)*P28^-Parameters!B$63</f>
        <v>0.64614856393324271</v>
      </c>
      <c r="T28" s="7">
        <f>1-S28/Parameters!$B$12</f>
        <v>0.67692571803337864</v>
      </c>
      <c r="U28" s="7">
        <f t="shared" si="0"/>
        <v>3.0952633985991982</v>
      </c>
      <c r="V28" s="7">
        <f>(Parameters!$B$19*(F28+Parameters!$B$20)^T28+Parameters!$B$18*G28^T28)^(1/T28)</f>
        <v>0.37551809791513802</v>
      </c>
      <c r="W28" s="7">
        <f>(Parameters!$B$10*H28^Parameters!$B$9+Parameters!$B$11*V28^Parameters!$B$9)^(Parameters!$B$7/Parameters!$B$9)*O28</f>
        <v>1.3794481654285728</v>
      </c>
      <c r="X28" s="7">
        <f>W28 - D28 - E28 - LN(1+EXP(Parameters!$B$21*C28))/Parameters!$B$21 - IF(C28&gt;0, 0,Parameters!$B$6*C28^2/F28)</f>
        <v>1.0810543121963647</v>
      </c>
      <c r="Y28" s="7">
        <f>EXP(-Parameters!$B$55*A28)</f>
        <v>0.69600391058979738</v>
      </c>
      <c r="Z28" s="7">
        <f>IF(X28&gt;0,X28^(1-Parameters!$B$52)/(1-Parameters!$B$52)*Y28*Parameters!$B$65,-10+X28*1000)</f>
        <v>-1.9350714512643203</v>
      </c>
      <c r="AB28" s="9"/>
      <c r="AC28">
        <f t="shared" si="6"/>
        <v>1.0078621443175435</v>
      </c>
      <c r="AD28">
        <f t="shared" si="7"/>
        <v>8.5385469640605951</v>
      </c>
      <c r="AE28" s="23">
        <f t="shared" si="8"/>
        <v>1.9594518021969722</v>
      </c>
      <c r="AF28" s="23">
        <f t="shared" si="9"/>
        <v>31.64018788979779</v>
      </c>
      <c r="AG28" s="23">
        <f t="shared" si="10"/>
        <v>88.10182208867586</v>
      </c>
      <c r="AH28" s="23">
        <f t="shared" si="11"/>
        <v>47.827871430745653</v>
      </c>
      <c r="AI28" s="23">
        <f t="shared" si="12"/>
        <v>117.70803289246754</v>
      </c>
      <c r="AJ28" s="23">
        <f t="shared" si="13"/>
        <v>175.69344824601623</v>
      </c>
      <c r="AK28" s="23">
        <f t="shared" si="14"/>
        <v>137.68850806510378</v>
      </c>
      <c r="AL28" s="9">
        <f t="shared" si="23"/>
        <v>2.0858831522440724E-2</v>
      </c>
      <c r="AM28" s="9">
        <f t="shared" si="24"/>
        <v>1.9171731404656889E-2</v>
      </c>
      <c r="AN28" s="9">
        <f t="shared" ref="AN28:AO28" si="49">AVERAGE(AL26:AL30)</f>
        <v>2.0836996327824941E-2</v>
      </c>
      <c r="AO28" s="9">
        <f t="shared" si="49"/>
        <v>2.0171017890707077E-2</v>
      </c>
      <c r="AP28" s="23"/>
      <c r="AQ28" s="8">
        <f t="shared" si="1"/>
        <v>175.69344824601623</v>
      </c>
      <c r="AR28" s="32">
        <f>Parameters!$B$7*W28*(W28/O28)^(-Parameters!$B$9/Parameters!$B$7)*Parameters!$B$11*(V28)^(Parameters!$B$9-T28)*((1-2*Parameters!$B$5*C28/F28)*Parameters!$B$19*(F28+Parameters!$B$20)^(T28-1)-(1-2*Parameters!$B$5*D28/G28)*(Parameters!$B$18)*(G28)^(T28-1))</f>
        <v>0.18342821625691585</v>
      </c>
      <c r="AS28" s="32">
        <f>((C29-C27)/2-(F29-F27)/F28/2*C28)/(F28/2/Parameters!$B$5-C28)-((D29-D27)/D28-(G29-G27)/G28)/(G28/2/Parameters!$B$5/D28-1)</f>
        <v>5.7421171419530757E-3</v>
      </c>
      <c r="AT28" s="32">
        <f>+Parameters!$B$5*C28^2/F28^2-Parameters!$B$5*D28^2/G28^2</f>
        <v>-8.3781983119024812E-3</v>
      </c>
      <c r="AU28" s="30">
        <f>EXP(-Parameters!$B$42*'6states'!A28)*(Parameters!$B$37*EXP(-Parameters!$B$38*Parameters!$E$25*'6states'!I28/('6states'!F28+'6states'!I28))*(1/Parameters!$B$38/Parameters!$E$25+'6states'!I28/('6states'!F28+'6states'!I28))-Parameters!$B$37/Parameters!$B$38/Parameters!$E$25*EXP(-Parameters!$B$38*Parameters!$E$25)+Parameters!$B$39)</f>
        <v>0.63618587369173463</v>
      </c>
      <c r="AV28" s="30">
        <f>J28*K28*EXP(-Parameters!$B$42*'6states'!A28)*(Parameters!$B$37*EXP(-Parameters!$B$38*Parameters!$E$25*'6states'!I28/('6states'!F28+'6states'!I28))*(1/Parameters!$B$38/Parameters!$E$25+'6states'!I28/('6states'!F28+'6states'!I28))-Parameters!$B$37/Parameters!$B$38/Parameters!$E$25*EXP(-Parameters!$B$38*Parameters!$E$25)+Parameters!$B$39)</f>
        <v>81.027828863420226</v>
      </c>
      <c r="AW28" s="8">
        <f>1000*(AR28+AS28+AT28)/(EXP(-Parameters!$B$42*A28)*((C28&lt;0)*Parameters!$B$37*EXP(-Parameters!$B$38*AF28)+(C28&gt;=0)*Parameters!$B$41))</f>
        <v>252.37560063105198</v>
      </c>
      <c r="AX28" s="13">
        <f>1-W28/'6states,ExoDamages'!T28</f>
        <v>7.1088482804329112E-2</v>
      </c>
      <c r="AY28" s="21">
        <f>-Y28*W28*X28^(-Parameters!B$52)*Parameters!B$46*Parameters!B$45*N28</f>
        <v>-1.8368256442154076E-5</v>
      </c>
      <c r="AZ28" s="7">
        <f>1000*EXP(-(Parameters!$B$54)*'6states'!A28)*AQ28*Parameters!B$46*Parameters!B$45*N28</f>
        <v>1.6082401736515917</v>
      </c>
      <c r="BA28" s="7">
        <f>SUM(AZ28:AZ$204)*EXP(Parameters!$B$54*A28)</f>
        <v>323.50080849022504</v>
      </c>
      <c r="BB28" s="13">
        <f t="shared" si="35"/>
        <v>0.21609879865092874</v>
      </c>
      <c r="BC28" s="30"/>
      <c r="BD28" s="30"/>
      <c r="BE28" s="30"/>
      <c r="BF28" s="5">
        <f t="shared" si="3"/>
        <v>-2.0159207364799539E-3</v>
      </c>
      <c r="BG28" s="2">
        <f>BF28/Parameters!$B$45</f>
        <v>-3.3598678941332567</v>
      </c>
      <c r="BH28" s="2">
        <f t="shared" si="27"/>
        <v>2.0196961001415215E-3</v>
      </c>
      <c r="BK28">
        <f>-EXP(-Parameters!B$42*'6states'!A28)*(-Parameters!B$37/Parameters!B$38/Parameters!E$25*(EXP(-Parameters!B$38*Parameters!E$25*'6states'!I28/('6states'!F28+'6states'!I28))-EXP(-Parameters!B$38*Parameters!E$25))+Parameters!B$37*'6states'!F28/('6states'!F28+'6states'!I28)*EXP(-Parameters!B$38*Parameters!E$25*'6states'!I28/('6states'!F28+'6states'!I28)))</f>
        <v>-0.36882198066018373</v>
      </c>
      <c r="BL28">
        <f>-J28*K28*EXP(-Parameters!B$42*'6states'!A28)*(-Parameters!B$37/Parameters!B$38/Parameters!E$25*(EXP(-Parameters!B$38*Parameters!E$25*'6states'!I28/('6states'!F28+'6states'!I28))-EXP(-Parameters!B$38*Parameters!E$25)) + Parameters!B$37*'6states'!F28/('6states'!F28+'6states'!I28)*EXP(-Parameters!B$38*Parameters!E$25*'6states'!I28/('6states'!F28+'6states'!I28)))</f>
        <v>-46.975020298048648</v>
      </c>
      <c r="BM28" s="7">
        <f t="shared" si="4"/>
        <v>5.8317643289008819E-2</v>
      </c>
      <c r="BS28">
        <f>EXP(-Parameters!$B$56*A28)*BF28*BL28</f>
        <v>1.4566028605042806E-2</v>
      </c>
      <c r="BT28">
        <f>-EXP((Parameters!$B$56)*F28)*SUM(BS28:BS36)</f>
        <v>-0.13934320493375871</v>
      </c>
      <c r="BU28">
        <f>X28^-Parameters!B$52/(1-2*Parameters!B$5*'6states'!D28/'6states'!G28)</f>
        <v>1.1165576901516518</v>
      </c>
      <c r="BV28">
        <f t="shared" si="16"/>
        <v>0.9987125255801037</v>
      </c>
      <c r="BW28">
        <f>$X28^-Parameters!$B$52/(1-2*Parameters!$B$5*'6states'!$E28/'6states'!$H28)</f>
        <v>1.0291690014774642</v>
      </c>
      <c r="BX28">
        <f t="shared" si="17"/>
        <v>1.0063451428654988</v>
      </c>
      <c r="BY28" s="7">
        <f>($X28^-Parameters!$B$52*(1/(1+EXP(-C28)) + IF(C28&lt;0,2*Parameters!$B$6*C28/F28,0)) + BQ28*(1/(1+EXP((C28-Parameters!$B$22)*Parameters!$B$21))))/(1-IF(C28&gt;0,2*Parameters!$B$5*C28/F28,0))</f>
        <v>0.48259114071872111</v>
      </c>
      <c r="BZ28">
        <f t="shared" si="18"/>
        <v>1.0050053974685338</v>
      </c>
      <c r="CA28" s="7">
        <f t="shared" si="19"/>
        <v>2.4035298518543247E-3</v>
      </c>
      <c r="CB28">
        <f>(1/$T28-1/Parameters!$B$13) * LN(Parameters!$B$18) / LN(P28)</f>
        <v>0.23732084791819713</v>
      </c>
      <c r="CC28">
        <f>(Parameters!$B$18*'6states'!T28^+Parameters!$B$19*Parameters!$B$25^'6states'!T28)^((1-'6states'!T28)/'6states'!T28)*Parameters!$B$18*Parameters!$B$26^('6states'!T28-1)</f>
        <v>0.25722330375120922</v>
      </c>
      <c r="CD28">
        <f t="shared" si="20"/>
        <v>0.26085078713075072</v>
      </c>
      <c r="CE28">
        <f t="shared" si="21"/>
        <v>0.1516807810827453</v>
      </c>
      <c r="CF28">
        <f t="shared" si="22"/>
        <v>0.16330327323836402</v>
      </c>
    </row>
    <row r="29" spans="1:84" s="53" customFormat="1" x14ac:dyDescent="0.25">
      <c r="A29" s="53">
        <f>A28+Parameters!$B$65</f>
        <v>25</v>
      </c>
      <c r="B29" s="53">
        <v>2050</v>
      </c>
      <c r="C29" s="76">
        <v>7.8169328465749494E-3</v>
      </c>
      <c r="D29" s="77">
        <v>6.8965892182555694E-2</v>
      </c>
      <c r="E29" s="78">
        <v>0.219522221493652</v>
      </c>
      <c r="F29" s="54">
        <f>MAX((1-Parameters!$B$4)^Parameters!B$65*F28 + C28*Parameters!B$65 - IF(C28&gt;0,Parameters!$B$5,0)*C28^2/F28*Parameters!B$65, 0.0001)</f>
        <v>0.24045673633146764</v>
      </c>
      <c r="G29" s="54">
        <f>(1-Parameters!$B$4)^Parameters!B$65*G28+D28*Parameters!B$65-Parameters!$B$5*D28^2/G28*Parameters!B$65</f>
        <v>0.70876001246655096</v>
      </c>
      <c r="H29" s="54">
        <f>(1-Parameters!$B$4)^Parameters!B$65*H28+E28*Parameters!B$65-Parameters!$B$5*E28^2/H28*Parameters!B$65</f>
        <v>3.5447327916374096</v>
      </c>
      <c r="I29" s="55">
        <f>I28 *(1-Parameters!$B$4)-C28*(C28&lt;0)*Parameters!B$65</f>
        <v>1.4416848761772757E-2</v>
      </c>
      <c r="J29" s="56">
        <f>J28*(1+Parameters!$B$51)^Parameters!B$65</f>
        <v>8.7726528033799838</v>
      </c>
      <c r="K29" s="56">
        <f>K28*(1+Parameters!$B$53)^Parameters!B$65</f>
        <v>14.851729893684935</v>
      </c>
      <c r="L29" s="56">
        <f>J29*K29*EXP(-Parameters!$B$42*'6states'!A29)*(Parameters!$B$37/Parameters!$B$38*('6states'!F29+'6states'!I29)/Parameters!$E$25*(EXP(-Parameters!$B$38*Parameters!$E$25*'6states'!I29/('6states'!F29+'6states'!I29))-EXP(-Parameters!$B$38*Parameters!$E$25))  +  Parameters!$B$39*'6states'!F29)</f>
        <v>19.047676673800925</v>
      </c>
      <c r="M29" s="57">
        <f>M28+L29*Parameters!B$65</f>
        <v>2956.335151080486</v>
      </c>
      <c r="N29" s="54">
        <f>M29*Parameters!$B$45</f>
        <v>1.7738010906482915</v>
      </c>
      <c r="O29" s="55">
        <f>EXP(-Parameters!$B$46/2*N29^2)</f>
        <v>0.96887369470646656</v>
      </c>
      <c r="P29" s="57">
        <f>MAX((Parameters!$B$62 + Parameters!$B$31*'6states'!A29 - '6states'!M29 + Parameters!$B$47/Parameters!$B$45)/Parameters!B$62,1)</f>
        <v>14.47329697839028</v>
      </c>
      <c r="Q29" s="54">
        <f>Parameters!B$61*EXP(-Parameters!B$60*A29)</f>
        <v>0.25457821030377459</v>
      </c>
      <c r="R29" s="54">
        <f>(1-Parameters!B$61)*P29^-Parameters!B$63</f>
        <v>0.38274828815147011</v>
      </c>
      <c r="S29" s="54">
        <f>Parameters!B$61*EXP(-Parameters!B$60*A29)+(1-Parameters!B$61)*P29^-Parameters!B$63</f>
        <v>0.63732649845524469</v>
      </c>
      <c r="T29" s="54">
        <f>1-S29/Parameters!$B$12</f>
        <v>0.68133675077237765</v>
      </c>
      <c r="U29" s="54">
        <f t="shared" si="0"/>
        <v>3.1381089674564144</v>
      </c>
      <c r="V29" s="54">
        <f>(Parameters!$B$19*(F29+Parameters!$B$20)^T29+Parameters!$B$18*G29^T29)^(1/T29)</f>
        <v>0.37367824957506734</v>
      </c>
      <c r="W29" s="54">
        <f>(Parameters!$B$10*H29^Parameters!$B$9+Parameters!$B$11*V29^Parameters!$B$9)^(Parameters!$B$7/Parameters!$B$9)*O29</f>
        <v>1.3770747160988412</v>
      </c>
      <c r="X29" s="54">
        <f>W29 - D29 - E29 - LN(1+EXP(Parameters!$B$21*C29))/Parameters!$B$21 - IF(C29&gt;0, 0,Parameters!$B$6*C29^2/F29)</f>
        <v>1.080464600307401</v>
      </c>
      <c r="Y29" s="54">
        <f>EXP(-Parameters!$B$55*A29)</f>
        <v>0.68557320158429325</v>
      </c>
      <c r="Z29" s="54">
        <f>IF(X29&gt;0,X29^(1-Parameters!$B$52)/(1-Parameters!$B$52)*Y29*Parameters!$B$65,-10+X29*1000)</f>
        <v>-1.906435422690594</v>
      </c>
      <c r="AB29" s="55"/>
      <c r="AC29" s="53">
        <f t="shared" si="6"/>
        <v>1.0184609099484316</v>
      </c>
      <c r="AD29" s="53">
        <f t="shared" si="7"/>
        <v>8.9855019463838541</v>
      </c>
      <c r="AE29" s="56">
        <f t="shared" si="8"/>
        <v>1.8783578158711534</v>
      </c>
      <c r="AF29" s="56">
        <f t="shared" si="9"/>
        <v>31.328884524661049</v>
      </c>
      <c r="AG29" s="56">
        <f t="shared" si="10"/>
        <v>92.343682797278589</v>
      </c>
      <c r="AH29" s="56">
        <f t="shared" si="11"/>
        <v>48.686191574091986</v>
      </c>
      <c r="AI29" s="56">
        <f t="shared" si="12"/>
        <v>119.82042411212636</v>
      </c>
      <c r="AJ29" s="56">
        <f t="shared" si="13"/>
        <v>179.41778392525384</v>
      </c>
      <c r="AK29" s="56">
        <f t="shared" si="14"/>
        <v>140.7727278197481</v>
      </c>
      <c r="AL29" s="55">
        <f t="shared" si="23"/>
        <v>2.0976369668441741E-2</v>
      </c>
      <c r="AM29" s="55">
        <f t="shared" si="24"/>
        <v>2.2152784566123351E-2</v>
      </c>
      <c r="AN29" s="55">
        <f t="shared" ref="AN29:AO29" si="50">AVERAGE(AL27:AL31)</f>
        <v>2.0905045856184225E-2</v>
      </c>
      <c r="AO29" s="55">
        <f t="shared" si="50"/>
        <v>1.9587450847437182E-2</v>
      </c>
      <c r="AP29" s="56"/>
      <c r="AQ29" s="57">
        <f t="shared" si="1"/>
        <v>179.41778392525384</v>
      </c>
      <c r="AR29" s="58">
        <f>Parameters!$B$7*W29*(W29/O29)^(-Parameters!$B$9/Parameters!$B$7)*Parameters!$B$11*(V29)^(Parameters!$B$9-T29)*((1-2*Parameters!$B$5*C29/F29)*Parameters!$B$19*(F29+Parameters!$B$20)^(T29-1)-(1-2*Parameters!$B$5*D29/G29)*(Parameters!$B$18)*(G29)^(T29-1))</f>
        <v>0.18629003974269984</v>
      </c>
      <c r="AS29" s="58">
        <f>((C30-C28)/2-(F30-F28)/F29/2*C29)/(F29/2/Parameters!$B$5-C29)-((D30-D28)/D29-(G30-G28)/G29)/(G29/2/Parameters!$B$5/D29-1)</f>
        <v>3.0417601974997441E-3</v>
      </c>
      <c r="AT29" s="58">
        <f>+Parameters!$B$5*C29^2/F29^2-Parameters!$B$5*D29^2/G29^2</f>
        <v>-8.4114480480755715E-3</v>
      </c>
      <c r="AU29" s="59">
        <f>EXP(-Parameters!$B$42*'6states'!A29)*(Parameters!$B$37*EXP(-Parameters!$B$38*Parameters!$E$25*'6states'!I29/('6states'!F29+'6states'!I29))*(1/Parameters!$B$38/Parameters!$E$25+'6states'!I29/('6states'!F29+'6states'!I29))-Parameters!$B$37/Parameters!$B$38/Parameters!$E$25*EXP(-Parameters!$B$38*Parameters!$E$25)+Parameters!$B$39)</f>
        <v>0.63162595651451681</v>
      </c>
      <c r="AV29" s="59">
        <f>J29*K29*EXP(-Parameters!$B$42*'6states'!A29)*(Parameters!$B$37*EXP(-Parameters!$B$38*Parameters!$E$25*'6states'!I29/('6states'!F29+'6states'!I29))*(1/Parameters!$B$38/Parameters!$E$25+'6states'!I29/('6states'!F29+'6states'!I29))-Parameters!$B$37/Parameters!$B$38/Parameters!$E$25*EXP(-Parameters!$B$38*Parameters!$E$25)+Parameters!$B$39)</f>
        <v>82.293958390685688</v>
      </c>
      <c r="AW29" s="57">
        <f>1000*(AR29+AS29+AT29)/(EXP(-Parameters!$B$42*A29)*((C29&lt;0)*Parameters!$B$37*EXP(-Parameters!$B$38*AF29)+(C29&gt;=0)*Parameters!$B$41))</f>
        <v>255.09279981062429</v>
      </c>
      <c r="AX29" s="60">
        <f>1-W29/'6states,ExoDamages'!T29</f>
        <v>7.2267285134217207E-2</v>
      </c>
      <c r="AY29" s="61">
        <f>-Y29*W29*X29^(-Parameters!B$52)*Parameters!B$46*Parameters!B$45*N29</f>
        <v>-1.8192372110421647E-5</v>
      </c>
      <c r="AZ29" s="54">
        <f>1000*EXP(-(Parameters!$B$54)*'6states'!A29)*AQ29*Parameters!B$46*Parameters!B$45*N29</f>
        <v>1.5959684646994001</v>
      </c>
      <c r="BA29" s="54">
        <f>SUM(AZ29:AZ$204)*EXP(Parameters!$B$54*A29)</f>
        <v>331.18969253698447</v>
      </c>
      <c r="BB29" s="60">
        <f t="shared" si="35"/>
        <v>0.21516991275694514</v>
      </c>
      <c r="BC29" s="59"/>
      <c r="BD29" s="59"/>
      <c r="BE29" s="59"/>
      <c r="BF29" s="62">
        <f t="shared" si="3"/>
        <v>-2.0197995726597882E-3</v>
      </c>
      <c r="BG29" s="63">
        <f>BF29/Parameters!$B$45</f>
        <v>-3.3663326210996471</v>
      </c>
      <c r="BH29" s="63">
        <f t="shared" si="27"/>
        <v>1.9204064761367823E-3</v>
      </c>
      <c r="BK29" s="53">
        <f>-EXP(-Parameters!B$42*'6states'!A29)*(-Parameters!B$37/Parameters!B$38/Parameters!E$25*(EXP(-Parameters!B$38*Parameters!E$25*'6states'!I29/('6states'!F29+'6states'!I29))-EXP(-Parameters!B$38*Parameters!E$25))+Parameters!B$37*'6states'!F29/('6states'!F29+'6states'!I29)*EXP(-Parameters!B$38*Parameters!E$25*'6states'!I29/('6states'!F29+'6states'!I29)))</f>
        <v>-0.39420603165405715</v>
      </c>
      <c r="BL29" s="53">
        <f>-J29*K29*EXP(-Parameters!B$42*'6states'!A29)*(-Parameters!B$37/Parameters!B$38/Parameters!E$25*(EXP(-Parameters!B$38*Parameters!E$25*'6states'!I29/('6states'!F29+'6states'!I29))-EXP(-Parameters!B$38*Parameters!E$25)) + Parameters!B$37*'6states'!F29/('6states'!F29+'6states'!I29)*EXP(-Parameters!B$38*Parameters!E$25*'6states'!I29/('6states'!F29+'6states'!I29)))</f>
        <v>-51.360737208004075</v>
      </c>
      <c r="BM29" s="54">
        <f t="shared" si="4"/>
        <v>5.6564703464655405E-2</v>
      </c>
      <c r="BS29" s="53">
        <f>EXP(-Parameters!$B$56*A29)*BF29*BL29</f>
        <v>1.4759283845636625E-2</v>
      </c>
      <c r="BT29" s="53">
        <f>-EXP((Parameters!$B$56)*F29)*SUM(BS29:BS37)</f>
        <v>-0.14040890124917696</v>
      </c>
      <c r="BU29" s="53">
        <f>X29^-Parameters!B$52/(1-2*Parameters!B$5*'6states'!D29/'6states'!G29)</f>
        <v>1.1184576218848294</v>
      </c>
      <c r="BV29" s="53">
        <f t="shared" si="16"/>
        <v>1.0017015974632888</v>
      </c>
      <c r="BW29" s="53">
        <f>$X29^-Parameters!$B$52/(1-2*Parameters!$B$5*'6states'!$E29/'6states'!$H29)</f>
        <v>1.0281379686508831</v>
      </c>
      <c r="BX29" s="53">
        <f t="shared" si="17"/>
        <v>0.99899818899995929</v>
      </c>
      <c r="BY29" s="54">
        <f>($X29^-Parameters!$B$52*(1/(1+EXP(-C29)) + IF(C29&lt;0,2*Parameters!$B$6*C29/F29,0)) + BQ29*(1/(1+EXP((C29-Parameters!$B$22)*Parameters!$B$21))))/(1-IF(C29&gt;0,2*Parameters!$B$5*C29/F29,0))</f>
        <v>0.48360005286770352</v>
      </c>
      <c r="BZ29" s="53">
        <f t="shared" si="18"/>
        <v>1.0020906147333741</v>
      </c>
      <c r="CA29" s="54">
        <f t="shared" si="19"/>
        <v>1.0089121489824104E-3</v>
      </c>
      <c r="CB29" s="53">
        <f>(1/$T29-1/Parameters!$B$13) * LN(Parameters!$B$18) / LN(P29)</f>
        <v>0.23729106626928964</v>
      </c>
      <c r="CC29" s="53">
        <f>(Parameters!$B$18*'6states'!T29^+Parameters!$B$19*Parameters!$B$25^'6states'!T29)^((1-'6states'!T29)/'6states'!T29)*Parameters!$B$18*Parameters!$B$26^('6states'!T29-1)</f>
        <v>0.2595090629643706</v>
      </c>
      <c r="CD29" s="53">
        <f t="shared" si="20"/>
        <v>0.25944248672660963</v>
      </c>
      <c r="CE29" s="53">
        <f t="shared" si="21"/>
        <v>0.15166326899239235</v>
      </c>
      <c r="CF29" s="53">
        <f t="shared" si="22"/>
        <v>0.16462785879254738</v>
      </c>
    </row>
    <row r="30" spans="1:84" x14ac:dyDescent="0.25">
      <c r="A30">
        <f>A29+Parameters!$B$65</f>
        <v>26</v>
      </c>
      <c r="B30">
        <v>2051</v>
      </c>
      <c r="C30" s="74">
        <v>7.68914441389313E-3</v>
      </c>
      <c r="D30" s="69">
        <v>6.9905355955418996E-2</v>
      </c>
      <c r="E30" s="75">
        <v>0.218761468982579</v>
      </c>
      <c r="F30" s="7">
        <f>MAX((1-Parameters!$B$4)^Parameters!B$65*F29 + C29*Parameters!B$65 - IF(C29&gt;0,Parameters!$B$5,0)*C29^2/F29*Parameters!B$65, 0.0001)</f>
        <v>0.23289482223736901</v>
      </c>
      <c r="G30" s="7">
        <f>(1-Parameters!$B$4)^Parameters!B$65*G29+D29*Parameters!B$65-Parameters!$B$5*D29^2/G29*Parameters!B$65</f>
        <v>0.72643417380694897</v>
      </c>
      <c r="H30" s="7">
        <f>(1-Parameters!$B$4)^Parameters!B$65*H29+E29*Parameters!B$65-Parameters!$B$5*E29^2/H29*Parameters!B$65</f>
        <v>3.5276965001198017</v>
      </c>
      <c r="I30" s="9">
        <f>I29 *(1-Parameters!$B$4)-C29*(C29&lt;0)*Parameters!B$65</f>
        <v>1.3510028974657251E-2</v>
      </c>
      <c r="J30" s="23">
        <f>J29*(1+Parameters!$B$51)^Parameters!B$65</f>
        <v>8.7980934965097841</v>
      </c>
      <c r="K30" s="23">
        <f>K29*(1+Parameters!$B$53)^Parameters!B$65</f>
        <v>15.148764491558634</v>
      </c>
      <c r="L30" s="23">
        <f>J30*K30*EXP(-Parameters!$B$42*'6states'!A30)*(Parameters!$B$37/Parameters!$B$38*('6states'!F30+'6states'!I30)/Parameters!$E$25*(EXP(-Parameters!$B$38*Parameters!$E$25*'6states'!I30/('6states'!F30+'6states'!I30))-EXP(-Parameters!$B$38*Parameters!$E$25))  +  Parameters!$B$39*'6states'!F30)</f>
        <v>18.708928835189639</v>
      </c>
      <c r="M30" s="8">
        <f>M29+L30*Parameters!B$65</f>
        <v>2975.0440799156754</v>
      </c>
      <c r="N30" s="7">
        <f>M30*Parameters!$B$45</f>
        <v>1.7850264479494051</v>
      </c>
      <c r="O30" s="9">
        <f>EXP(-Parameters!$B$46/2*N30^2)</f>
        <v>0.96848478107697245</v>
      </c>
      <c r="P30" s="8">
        <f>MAX((Parameters!$B$62 + Parameters!$B$31*'6states'!A30 - '6states'!M30 + Parameters!$B$47/Parameters!$B$45)/Parameters!B$62,1)</f>
        <v>15.163118401686493</v>
      </c>
      <c r="Q30" s="7">
        <f>Parameters!B$61*EXP(-Parameters!B$60*A30)</f>
        <v>0.24779656284632573</v>
      </c>
      <c r="R30" s="7">
        <f>(1-Parameters!B$61)*P30^-Parameters!B$63</f>
        <v>0.38097032790676094</v>
      </c>
      <c r="S30" s="7">
        <f>Parameters!B$61*EXP(-Parameters!B$60*A30)+(1-Parameters!B$61)*P30^-Parameters!B$63</f>
        <v>0.62876689075308667</v>
      </c>
      <c r="T30" s="7">
        <f>1-S30/Parameters!$B$12</f>
        <v>0.68561655462345672</v>
      </c>
      <c r="U30" s="7">
        <f t="shared" si="0"/>
        <v>3.1808290630643103</v>
      </c>
      <c r="V30" s="7">
        <f>(Parameters!$B$19*(F30+Parameters!$B$20)^T30+Parameters!$B$18*G30^T30)^(1/T30)</f>
        <v>0.3722628413897045</v>
      </c>
      <c r="W30" s="7">
        <f>(Parameters!$B$10*H30^Parameters!$B$9+Parameters!$B$11*V30^Parameters!$B$9)^(Parameters!$B$7/Parameters!$B$9)*O30</f>
        <v>1.3746653443334809</v>
      </c>
      <c r="X30" s="7">
        <f>W30 - D30 - E30 - LN(1+EXP(Parameters!$B$21*C30))/Parameters!$B$21 - IF(C30&gt;0, 0,Parameters!$B$6*C30^2/F30)</f>
        <v>1.077992932073329</v>
      </c>
      <c r="Y30" s="7">
        <f>EXP(-Parameters!$B$55*A30)</f>
        <v>0.67529881309466844</v>
      </c>
      <c r="Z30" s="7">
        <f>IF(X30&gt;0,X30^(1-Parameters!$B$52)/(1-Parameters!$B$52)*Y30*Parameters!$B$65,-10+X30*1000)</f>
        <v>-1.8793703563643254</v>
      </c>
      <c r="AB30" s="9"/>
      <c r="AC30">
        <f t="shared" si="6"/>
        <v>1.0248110617300872</v>
      </c>
      <c r="AD30">
        <f t="shared" si="7"/>
        <v>9.3170030631561929</v>
      </c>
      <c r="AE30" s="23">
        <f t="shared" si="8"/>
        <v>1.8006199899830846</v>
      </c>
      <c r="AF30" s="23">
        <f t="shared" si="9"/>
        <v>31.040279282213952</v>
      </c>
      <c r="AG30" s="23">
        <f t="shared" si="10"/>
        <v>96.819325644475427</v>
      </c>
      <c r="AH30" s="23">
        <f t="shared" si="11"/>
        <v>49.615283208614287</v>
      </c>
      <c r="AI30" s="23">
        <f t="shared" si="12"/>
        <v>122.10698935964781</v>
      </c>
      <c r="AJ30" s="23">
        <f t="shared" si="13"/>
        <v>183.21573574616576</v>
      </c>
      <c r="AK30" s="23">
        <f t="shared" si="14"/>
        <v>143.67516355389299</v>
      </c>
      <c r="AL30" s="9">
        <f t="shared" si="23"/>
        <v>2.0947267632537958E-2</v>
      </c>
      <c r="AM30" s="9">
        <f t="shared" si="24"/>
        <v>2.0408212252565505E-2</v>
      </c>
      <c r="AN30" s="9">
        <f t="shared" ref="AN30:AO30" si="51">AVERAGE(AL28:AL32)</f>
        <v>2.1006891256491578E-2</v>
      </c>
      <c r="AO30" s="9">
        <f t="shared" si="51"/>
        <v>2.0056364971262043E-2</v>
      </c>
      <c r="AP30" s="23"/>
      <c r="AQ30" s="8">
        <f t="shared" si="1"/>
        <v>183.21573574616579</v>
      </c>
      <c r="AR30" s="32">
        <f>Parameters!$B$7*W30*(W30/O30)^(-Parameters!$B$9/Parameters!$B$7)*Parameters!$B$11*(V30)^(Parameters!$B$9-T30)*((1-2*Parameters!$B$5*C30/F30)*Parameters!$B$19*(F30+Parameters!$B$20)^(T30-1)-(1-2*Parameters!$B$5*D30/G30)*(Parameters!$B$18)*(G30)^(T30-1))</f>
        <v>0.18783299640187734</v>
      </c>
      <c r="AS30" s="32">
        <f>((C31-C29)/2-(F31-F29)/F30/2*C30)/(F30/2/Parameters!$B$5-C30)-((D31-D29)/D30-(G31-G29)/G30)/(G30/2/Parameters!$B$5/D30-1)</f>
        <v>1.2567780800786141E-2</v>
      </c>
      <c r="AT30" s="32">
        <f>+Parameters!$B$5*C30^2/F30^2-Parameters!$B$5*D30^2/G30^2</f>
        <v>-8.1703458731875941E-3</v>
      </c>
      <c r="AU30" s="30">
        <f>EXP(-Parameters!$B$42*'6states'!A30)*(Parameters!$B$37*EXP(-Parameters!$B$38*Parameters!$E$25*'6states'!I30/('6states'!F30+'6states'!I30))*(1/Parameters!$B$38/Parameters!$E$25+'6states'!I30/('6states'!F30+'6states'!I30))-Parameters!$B$37/Parameters!$B$38/Parameters!$E$25*EXP(-Parameters!$B$38*Parameters!$E$25)+Parameters!$B$39)</f>
        <v>0.62715405639591182</v>
      </c>
      <c r="AV30" s="30">
        <f>J30*K30*EXP(-Parameters!$B$42*'6states'!A30)*(Parameters!$B$37*EXP(-Parameters!$B$38*Parameters!$E$25*'6states'!I30/('6states'!F30+'6states'!I30))*(1/Parameters!$B$38/Parameters!$E$25+'6states'!I30/('6states'!F30+'6states'!I30))-Parameters!$B$37/Parameters!$B$38/Parameters!$E$25*EXP(-Parameters!$B$38*Parameters!$E$25)+Parameters!$B$39)</f>
        <v>83.587247137943862</v>
      </c>
      <c r="AW30" s="8">
        <f>1000*(AR30+AS30+AT30)/(EXP(-Parameters!$B$42*A30)*((C30&lt;0)*Parameters!$B$37*EXP(-Parameters!$B$38*AF30)+(C30&gt;=0)*Parameters!$B$41))</f>
        <v>273.76370005473484</v>
      </c>
      <c r="AX30" s="13">
        <f>1-W30/'6states,ExoDamages'!T30</f>
        <v>7.3447677119860777E-2</v>
      </c>
      <c r="AY30" s="21">
        <f>-Y30*W30*X30^(-Parameters!B$52)*Parameters!B$46*Parameters!B$45*N30</f>
        <v>-1.8057326491443259E-5</v>
      </c>
      <c r="AZ30" s="7">
        <f>1000*EXP(-(Parameters!$B$54)*'6states'!A30)*AQ30*Parameters!B$46*Parameters!B$45*N30</f>
        <v>1.5834982574904402</v>
      </c>
      <c r="BA30" s="7">
        <f>SUM(AZ30:AZ$204)*EXP(Parameters!$B$54*A30)</f>
        <v>339.04565074137264</v>
      </c>
      <c r="BB30" s="13">
        <f t="shared" si="35"/>
        <v>0.21558408420893307</v>
      </c>
      <c r="BC30" s="30"/>
      <c r="BD30" s="30"/>
      <c r="BE30" s="30"/>
      <c r="BF30" s="5">
        <f t="shared" si="3"/>
        <v>-2.023590240317757E-3</v>
      </c>
      <c r="BG30" s="2">
        <f>BF30/Parameters!$B$45</f>
        <v>-3.3726504005295954</v>
      </c>
      <c r="BH30" s="2">
        <f t="shared" si="27"/>
        <v>1.8732387528088701E-3</v>
      </c>
      <c r="BK30">
        <f>-EXP(-Parameters!B$42*'6states'!A30)*(-Parameters!B$37/Parameters!B$38/Parameters!E$25*(EXP(-Parameters!B$38*Parameters!E$25*'6states'!I30/('6states'!F30+'6states'!I30))-EXP(-Parameters!B$38*Parameters!E$25))+Parameters!B$37*'6states'!F30/('6states'!F30+'6states'!I30)*EXP(-Parameters!B$38*Parameters!E$25*'6states'!I30/('6states'!F30+'6states'!I30)))</f>
        <v>-0.42102622015206598</v>
      </c>
      <c r="BL30">
        <f>-J30*K30*EXP(-Parameters!B$42*'6states'!A30)*(-Parameters!B$37/Parameters!B$38/Parameters!E$25*(EXP(-Parameters!B$38*Parameters!E$25*'6states'!I30/('6states'!F30+'6states'!I30))-EXP(-Parameters!B$38*Parameters!E$25)) + Parameters!B$37*'6states'!F30/('6states'!F30+'6states'!I30)*EXP(-Parameters!B$38*Parameters!E$25*'6states'!I30/('6states'!F30+'6states'!I30)))</f>
        <v>-56.114478343083078</v>
      </c>
      <c r="BM30" s="7">
        <f t="shared" si="4"/>
        <v>5.4828583561579929E-2</v>
      </c>
      <c r="BS30">
        <f>EXP(-Parameters!$B$56*A30)*BF30*BL30</f>
        <v>1.4943361295438247E-2</v>
      </c>
      <c r="BT30">
        <f>-EXP((Parameters!$B$56)*F30)*SUM(BS30:BS38)</f>
        <v>-0.14136317237347396</v>
      </c>
      <c r="BU30">
        <f>X30^-Parameters!B$52/(1-2*Parameters!B$5*'6states'!D30/'6states'!G30)</f>
        <v>1.1189362787975816</v>
      </c>
      <c r="BV30">
        <f t="shared" si="16"/>
        <v>1.000427961599426</v>
      </c>
      <c r="BW30">
        <f>$X30^-Parameters!$B$52/(1-2*Parameters!$B$5*'6states'!$E30/'6states'!$H30)</f>
        <v>1.0315181133288718</v>
      </c>
      <c r="BX30">
        <f t="shared" si="17"/>
        <v>1.0032876372442738</v>
      </c>
      <c r="BY30" s="7">
        <f>($X30^-Parameters!$B$52*(1/(1+EXP(-C30)) + IF(C30&lt;0,2*Parameters!$B$6*C30/F30,0)) + BQ30*(1/(1+EXP((C30-Parameters!$B$22)*Parameters!$B$21))))/(1-IF(C30&gt;0,2*Parameters!$B$5*C30/F30,0))</f>
        <v>0.48559314611238891</v>
      </c>
      <c r="BZ30">
        <f t="shared" si="18"/>
        <v>1.0041213668875066</v>
      </c>
      <c r="CA30" s="7">
        <f t="shared" si="19"/>
        <v>1.9930932446853844E-3</v>
      </c>
      <c r="CB30">
        <f>(1/$T30-1/Parameters!$B$13) * LN(Parameters!$B$18) / LN(P30)</f>
        <v>0.23724171524129675</v>
      </c>
      <c r="CC30">
        <f>(Parameters!$B$18*'6states'!T30^+Parameters!$B$19*Parameters!$B$25^'6states'!T30)^((1-'6states'!T30)/'6states'!T30)*Parameters!$B$18*Parameters!$B$26^('6states'!T30-1)</f>
        <v>0.26167649020564543</v>
      </c>
      <c r="CD30">
        <f t="shared" si="20"/>
        <v>0.25805864567272591</v>
      </c>
      <c r="CE30">
        <f t="shared" si="21"/>
        <v>0.15163424899533673</v>
      </c>
      <c r="CF30">
        <f t="shared" si="22"/>
        <v>0.16588193459155987</v>
      </c>
    </row>
    <row r="31" spans="1:84" x14ac:dyDescent="0.25">
      <c r="A31">
        <f>A30+Parameters!$B$65</f>
        <v>27</v>
      </c>
      <c r="B31">
        <v>2052</v>
      </c>
      <c r="C31" s="74">
        <v>7.4664936560049104E-3</v>
      </c>
      <c r="D31" s="69">
        <v>6.8848329858663404E-2</v>
      </c>
      <c r="E31" s="75">
        <v>0.22353748351887101</v>
      </c>
      <c r="F31" s="7">
        <f>MAX((1-Parameters!$B$4)^Parameters!B$65*F30 + C30*Parameters!B$65 - IF(C30&gt;0,Parameters!$B$5,0)*C30^2/F30*Parameters!B$65, 0.0001)</f>
        <v>0.22568102120651037</v>
      </c>
      <c r="G31" s="7">
        <f>(1-Parameters!$B$4)^Parameters!B$65*G30+D30*Parameters!B$65-Parameters!$B$5*D30^2/G30*Parameters!B$65</f>
        <v>0.74391977052953095</v>
      </c>
      <c r="H31" s="7">
        <f>(1-Parameters!$B$4)^Parameters!B$65*H30+E30*Parameters!B$65-Parameters!$B$5*E30^2/H30*Parameters!B$65</f>
        <v>3.510999901881509</v>
      </c>
      <c r="I31" s="9">
        <f>I30 *(1-Parameters!$B$4)-C30*(C30&lt;0)*Parameters!B$65</f>
        <v>1.2660248152151311E-2</v>
      </c>
      <c r="J31" s="23">
        <f>J30*(1+Parameters!$B$51)^Parameters!B$65</f>
        <v>8.8236079676496608</v>
      </c>
      <c r="K31" s="23">
        <f>K30*(1+Parameters!$B$53)^Parameters!B$65</f>
        <v>15.451739781389806</v>
      </c>
      <c r="L31" s="23">
        <f>J31*K31*EXP(-Parameters!$B$42*'6states'!A31)*(Parameters!$B$37/Parameters!$B$38*('6states'!F31+'6states'!I31)/Parameters!$E$25*(EXP(-Parameters!$B$38*Parameters!$E$25*'6states'!I31/('6states'!F31+'6states'!I31))-EXP(-Parameters!$B$38*Parameters!$E$25))  +  Parameters!$B$39*'6states'!F31)</f>
        <v>18.386562705117353</v>
      </c>
      <c r="M31" s="8">
        <f>M30+L31*Parameters!B$65</f>
        <v>2993.4306426207927</v>
      </c>
      <c r="N31" s="7">
        <f>M31*Parameters!$B$45</f>
        <v>1.7960583855724754</v>
      </c>
      <c r="O31" s="9">
        <f>EXP(-Parameters!$B$46/2*N31^2)</f>
        <v>0.96810033179313604</v>
      </c>
      <c r="P31" s="8">
        <f>MAX((Parameters!$B$62 + Parameters!$B$31*'6states'!A31 - '6states'!M31 + Parameters!$B$47/Parameters!$B$45)/Parameters!B$62,1)</f>
        <v>15.859387147584147</v>
      </c>
      <c r="Q31" s="7">
        <f>Parameters!B$61*EXP(-Parameters!B$60*A31)</f>
        <v>0.24119557005756295</v>
      </c>
      <c r="R31" s="7">
        <f>(1-Parameters!B$61)*P31^-Parameters!B$63</f>
        <v>0.37926377566690833</v>
      </c>
      <c r="S31" s="7">
        <f>Parameters!B$61*EXP(-Parameters!B$60*A31)+(1-Parameters!B$61)*P31^-Parameters!B$63</f>
        <v>0.62045934572447126</v>
      </c>
      <c r="T31" s="7">
        <f>1-S31/Parameters!$B$12</f>
        <v>0.68977032713776443</v>
      </c>
      <c r="U31" s="7">
        <f t="shared" si="0"/>
        <v>3.2234182848269075</v>
      </c>
      <c r="V31" s="7">
        <f>(Parameters!$B$19*(F31+Parameters!$B$20)^T31+Parameters!$B$18*G31^T31)^(1/T31)</f>
        <v>0.37102939631967385</v>
      </c>
      <c r="W31" s="7">
        <f>(Parameters!$B$10*H31^Parameters!$B$9+Parameters!$B$11*V31^Parameters!$B$9)^(Parameters!$B$7/Parameters!$B$9)*O31</f>
        <v>1.3723475787824668</v>
      </c>
      <c r="X31" s="7">
        <f>W31 - D31 - E31 - LN(1+EXP(Parameters!$B$21*C31))/Parameters!$B$21 - IF(C31&gt;0, 0,Parameters!$B$6*C31^2/F31)</f>
        <v>1.0721580405085054</v>
      </c>
      <c r="Y31" s="7">
        <f>EXP(-Parameters!$B$55*A31)</f>
        <v>0.66517840241309079</v>
      </c>
      <c r="Z31" s="7">
        <f>IF(X31&gt;0,X31^(1-Parameters!$B$52)/(1-Parameters!$B$52)*Y31*Parameters!$B$65,-10+X31*1000)</f>
        <v>-1.8547249447978991</v>
      </c>
      <c r="AB31" s="9"/>
      <c r="AC31">
        <f t="shared" si="6"/>
        <v>1.0179824487701683</v>
      </c>
      <c r="AD31">
        <f t="shared" si="7"/>
        <v>9.3867877818246939</v>
      </c>
      <c r="AE31" s="23">
        <f t="shared" si="8"/>
        <v>1.726099426281561</v>
      </c>
      <c r="AF31" s="23">
        <f t="shared" si="9"/>
        <v>30.769371701533348</v>
      </c>
      <c r="AG31" s="23">
        <f t="shared" si="10"/>
        <v>101.42609162778022</v>
      </c>
      <c r="AH31" s="23">
        <f t="shared" si="11"/>
        <v>50.58618286341855</v>
      </c>
      <c r="AI31" s="23">
        <f t="shared" si="12"/>
        <v>124.49644732807248</v>
      </c>
      <c r="AJ31" s="23">
        <f t="shared" si="13"/>
        <v>187.10599823375358</v>
      </c>
      <c r="AK31" s="23">
        <f t="shared" si="14"/>
        <v>146.17812829288178</v>
      </c>
      <c r="AL31" s="9">
        <f t="shared" si="23"/>
        <v>2.1010949376344179E-2</v>
      </c>
      <c r="AM31" s="9">
        <f t="shared" si="24"/>
        <v>1.7270992091115822E-2</v>
      </c>
      <c r="AN31" s="9">
        <f t="shared" ref="AN31:AO31" si="52">AVERAGE(AL29:AL33)</f>
        <v>2.1089279563280529E-2</v>
      </c>
      <c r="AO31" s="9">
        <f t="shared" si="52"/>
        <v>1.9910526272606255E-2</v>
      </c>
      <c r="AP31" s="23"/>
      <c r="AQ31" s="8">
        <f t="shared" si="1"/>
        <v>187.10599823375358</v>
      </c>
      <c r="AR31" s="32">
        <f>Parameters!$B$7*W31*(W31/O31)^(-Parameters!$B$9/Parameters!$B$7)*Parameters!$B$11*(V31)^(Parameters!$B$9-T31)*((1-2*Parameters!$B$5*C31/F31)*Parameters!$B$19*(F31+Parameters!$B$20)^(T31-1)-(1-2*Parameters!$B$5*D31/G31)*(Parameters!$B$18)*(G31)^(T31-1))</f>
        <v>0.18880851711535829</v>
      </c>
      <c r="AS31" s="32">
        <f>((C32-C30)/2-(F32-F30)/F31/2*C31)/(F31/2/Parameters!$B$5-C31)-((D32-D30)/D31-(G32-G30)/G31)/(G31/2/Parameters!$B$5/D31-1)</f>
        <v>1.032923507954568E-2</v>
      </c>
      <c r="AT31" s="32">
        <f>+Parameters!$B$5*C31^2/F31^2-Parameters!$B$5*D31^2/G31^2</f>
        <v>-7.4705735328789392E-3</v>
      </c>
      <c r="AU31" s="30">
        <f>EXP(-Parameters!$B$42*'6states'!A31)*(Parameters!$B$37*EXP(-Parameters!$B$38*Parameters!$E$25*'6states'!I31/('6states'!F31+'6states'!I31))*(1/Parameters!$B$38/Parameters!$E$25+'6states'!I31/('6states'!F31+'6states'!I31))-Parameters!$B$37/Parameters!$B$38/Parameters!$E$25*EXP(-Parameters!$B$38*Parameters!$E$25)+Parameters!$B$39)</f>
        <v>0.62275781778781925</v>
      </c>
      <c r="AV31" s="30">
        <f>J31*K31*EXP(-Parameters!$B$42*'6states'!A31)*(Parameters!$B$37*EXP(-Parameters!$B$38*Parameters!$E$25*'6states'!I31/('6states'!F31+'6states'!I31))*(1/Parameters!$B$38/Parameters!$E$25+'6states'!I31/('6states'!F31+'6states'!I31))-Parameters!$B$37/Parameters!$B$38/Parameters!$E$25*EXP(-Parameters!$B$38*Parameters!$E$25)+Parameters!$B$39)</f>
        <v>84.906859571567779</v>
      </c>
      <c r="AW31" s="8">
        <f>1000*(AR31+AS31+AT31)/(EXP(-Parameters!$B$42*A31)*((C31&lt;0)*Parameters!$B$37*EXP(-Parameters!$B$38*AF31)+(C31&gt;=0)*Parameters!$B$41))</f>
        <v>275.70485664564495</v>
      </c>
      <c r="AX31" s="13">
        <f>1-W31/'6states,ExoDamages'!T31</f>
        <v>7.4578174205886083E-2</v>
      </c>
      <c r="AY31" s="21">
        <f>-Y31*W31*X31^(-Parameters!B$52)*Parameters!B$46*Parameters!B$45*N31</f>
        <v>-1.7997850049087107E-5</v>
      </c>
      <c r="AZ31" s="7">
        <f>1000*EXP(-(Parameters!$B$54)*'6states'!A31)*AQ31*Parameters!B$46*Parameters!B$45*N31</f>
        <v>1.5709942231362291</v>
      </c>
      <c r="BA31" s="7">
        <f>SUM(AZ31:AZ$204)*EXP(Parameters!$B$54*A31)</f>
        <v>347.07241179407094</v>
      </c>
      <c r="BB31" s="13">
        <f t="shared" si="35"/>
        <v>0.21849589103335273</v>
      </c>
      <c r="BC31" s="30"/>
      <c r="BD31" s="30"/>
      <c r="BE31" s="30"/>
      <c r="BF31" s="5">
        <f t="shared" si="3"/>
        <v>-2.0272317262454683E-3</v>
      </c>
      <c r="BG31" s="2">
        <f>BF31/Parameters!$B$45</f>
        <v>-3.3787195437424473</v>
      </c>
      <c r="BH31" s="2">
        <f t="shared" si="27"/>
        <v>1.7962849932579017E-3</v>
      </c>
      <c r="BK31">
        <f>-EXP(-Parameters!B$42*'6states'!A31)*(-Parameters!B$37/Parameters!B$38/Parameters!E$25*(EXP(-Parameters!B$38*Parameters!E$25*'6states'!I31/('6states'!F31+'6states'!I31))-EXP(-Parameters!B$38*Parameters!E$25))+Parameters!B$37*'6states'!F31/('6states'!F31+'6states'!I31)*EXP(-Parameters!B$38*Parameters!E$25*'6states'!I31/('6states'!F31+'6states'!I31)))</f>
        <v>-0.44916536013341091</v>
      </c>
      <c r="BL31">
        <f>-J31*K31*EXP(-Parameters!B$42*'6states'!A31)*(-Parameters!B$37/Parameters!B$38/Parameters!E$25*(EXP(-Parameters!B$38*Parameters!E$25*'6states'!I31/('6states'!F31+'6states'!I31))-EXP(-Parameters!B$38*Parameters!E$25)) + Parameters!B$37*'6states'!F31/('6states'!F31+'6states'!I31)*EXP(-Parameters!B$38*Parameters!E$25*'6states'!I31/('6states'!F31+'6states'!I31)))</f>
        <v>-61.239247534029317</v>
      </c>
      <c r="BM31" s="7">
        <f t="shared" si="4"/>
        <v>5.311815358799598E-2</v>
      </c>
      <c r="BS31">
        <f>EXP(-Parameters!$B$56*A31)*BF31*BL31</f>
        <v>1.511155169543635E-2</v>
      </c>
      <c r="BT31">
        <f>-EXP((Parameters!$B$56)*F31)*SUM(BS31:BS39)</f>
        <v>-0.1422315395579129</v>
      </c>
      <c r="BU31">
        <f>X31^-Parameters!B$52/(1-2*Parameters!B$5*'6states'!D31/'6states'!G31)</f>
        <v>1.1169769798195104</v>
      </c>
      <c r="BV31">
        <f t="shared" si="16"/>
        <v>0.99824896286303566</v>
      </c>
      <c r="BW31">
        <f>$X31^-Parameters!$B$52/(1-2*Parameters!$B$5*'6states'!$E31/'6states'!$H31)</f>
        <v>1.0430456279871583</v>
      </c>
      <c r="BX31">
        <f t="shared" si="17"/>
        <v>1.0111752905832021</v>
      </c>
      <c r="BY31" s="7">
        <f>($X31^-Parameters!$B$52*(1/(1+EXP(-C31)) + IF(C31&lt;0,2*Parameters!$B$6*C31/F31,0)) + BQ31*(1/(1+EXP((C31-Parameters!$B$22)*Parameters!$B$21))))/(1-IF(C31&gt;0,2*Parameters!$B$5*C31/F31,0))</f>
        <v>0.48918194985144869</v>
      </c>
      <c r="BZ31">
        <f t="shared" si="18"/>
        <v>1.0073905568227053</v>
      </c>
      <c r="CA31" s="7">
        <f t="shared" si="19"/>
        <v>3.5888037390597871E-3</v>
      </c>
      <c r="CB31">
        <f>(1/$T31-1/Parameters!$B$13) * LN(Parameters!$B$18) / LN(P31)</f>
        <v>0.23717378301965386</v>
      </c>
      <c r="CC31">
        <f>(Parameters!$B$18*'6states'!T31^+Parameters!$B$19*Parameters!$B$25^'6states'!T31)^((1-'6states'!T31)/'6states'!T31)*Parameters!$B$18*Parameters!$B$26^('6states'!T31-1)</f>
        <v>0.26373260005218319</v>
      </c>
      <c r="CD31">
        <f t="shared" si="20"/>
        <v>0.25669856622152537</v>
      </c>
      <c r="CE31">
        <f t="shared" si="21"/>
        <v>0.15159430103304095</v>
      </c>
      <c r="CF31">
        <f t="shared" si="22"/>
        <v>0.16706986189032669</v>
      </c>
    </row>
    <row r="32" spans="1:84" x14ac:dyDescent="0.25">
      <c r="A32">
        <f>A31+Parameters!$B$65</f>
        <v>28</v>
      </c>
      <c r="B32">
        <v>2053</v>
      </c>
      <c r="C32" s="74">
        <v>7.3955989006572898E-3</v>
      </c>
      <c r="D32" s="69">
        <v>7.00972312605362E-2</v>
      </c>
      <c r="E32" s="75">
        <v>0.22187573019176901</v>
      </c>
      <c r="F32" s="7">
        <f>MAX((1-Parameters!$B$4)^Parameters!B$65*F31 + C31*Parameters!B$65 - IF(C31&gt;0,Parameters!$B$5,0)*C31^2/F31*Parameters!B$65, 0.0001)</f>
        <v>0.21870515507645855</v>
      </c>
      <c r="G32" s="7">
        <f>(1-Parameters!$B$4)^Parameters!B$65*G31+D31*Parameters!B$65-Parameters!$B$5*D31^2/G31*Parameters!B$65</f>
        <v>0.75960376761651194</v>
      </c>
      <c r="H32" s="7">
        <f>(1-Parameters!$B$4)^Parameters!B$65*H31+E31*Parameters!B$65-Parameters!$B$5*E31^2/H31*Parameters!B$65</f>
        <v>3.4994633617131941</v>
      </c>
      <c r="I32" s="9">
        <f>I31 *(1-Parameters!$B$4)-C31*(C31&lt;0)*Parameters!B$65</f>
        <v>1.1863918543380994E-2</v>
      </c>
      <c r="J32" s="23">
        <f>J31*(1+Parameters!$B$51)^Parameters!B$65</f>
        <v>8.8491964307558444</v>
      </c>
      <c r="K32" s="23">
        <f>K31*(1+Parameters!$B$53)^Parameters!B$65</f>
        <v>15.760774577017603</v>
      </c>
      <c r="L32" s="23">
        <f>J32*K32*EXP(-Parameters!$B$42*'6states'!A32)*(Parameters!$B$37/Parameters!$B$38*('6states'!F32+'6states'!I32)/Parameters!$E$25*(EXP(-Parameters!$B$38*Parameters!$E$25*'6states'!I32/('6states'!F32+'6states'!I32))-EXP(-Parameters!$B$38*Parameters!$E$25))  +  Parameters!$B$39*'6states'!F32)</f>
        <v>18.071987767814665</v>
      </c>
      <c r="M32" s="8">
        <f>M31+L32*Parameters!B$65</f>
        <v>3011.5026303886075</v>
      </c>
      <c r="N32" s="7">
        <f>M32*Parameters!$B$45</f>
        <v>1.8069015782331643</v>
      </c>
      <c r="O32" s="9">
        <f>EXP(-Parameters!$B$46/2*N32^2)</f>
        <v>0.96772030187707303</v>
      </c>
      <c r="P32" s="8">
        <f>MAX((Parameters!$B$62 + Parameters!$B$31*'6states'!A32 - '6states'!M32 + Parameters!$B$47/Parameters!$B$45)/Parameters!B$62,1)</f>
        <v>16.561947392227854</v>
      </c>
      <c r="Q32" s="7">
        <f>Parameters!B$61*EXP(-Parameters!B$60*A32)</f>
        <v>0.23477041952139963</v>
      </c>
      <c r="R32" s="7">
        <f>(1-Parameters!B$61)*P32^-Parameters!B$63</f>
        <v>0.37762337051241696</v>
      </c>
      <c r="S32" s="7">
        <f>Parameters!B$61*EXP(-Parameters!B$60*A32)+(1-Parameters!B$61)*P32^-Parameters!B$63</f>
        <v>0.61239379003381655</v>
      </c>
      <c r="T32" s="7">
        <f>1-S32/Parameters!$B$12</f>
        <v>0.69380310498309172</v>
      </c>
      <c r="U32" s="7">
        <f t="shared" si="0"/>
        <v>3.2658724378794886</v>
      </c>
      <c r="V32" s="7">
        <f>(Parameters!$B$19*(F32+Parameters!$B$20)^T32+Parameters!$B$18*G32^T32)^(1/T32)</f>
        <v>0.36950301443077671</v>
      </c>
      <c r="W32" s="7">
        <f>(Parameters!$B$10*H32^Parameters!$B$9+Parameters!$B$11*V32^Parameters!$B$9)^(Parameters!$B$7/Parameters!$B$9)*O32</f>
        <v>1.3703489866733649</v>
      </c>
      <c r="X32" s="7">
        <f>W32 - D32 - E32 - LN(1+EXP(Parameters!$B$21*C32))/Parameters!$B$21 - IF(C32&gt;0, 0,Parameters!$B$6*C32^2/F32)</f>
        <v>1.070636307644842</v>
      </c>
      <c r="Y32" s="7">
        <f>EXP(-Parameters!$B$55*A32)</f>
        <v>0.65520966194087471</v>
      </c>
      <c r="Z32" s="7">
        <f>IF(X32&gt;0,X32^(1-Parameters!$B$52)/(1-Parameters!$B$52)*Y32*Parameters!$B$65,-10+X32*1000)</f>
        <v>-1.8278374036145153</v>
      </c>
      <c r="AB32" s="9"/>
      <c r="AC32">
        <f t="shared" si="6"/>
        <v>1.0314655848212766</v>
      </c>
      <c r="AD32">
        <f t="shared" si="7"/>
        <v>9.7764741716962593</v>
      </c>
      <c r="AE32" s="23">
        <f t="shared" si="8"/>
        <v>1.6546629749664858</v>
      </c>
      <c r="AF32" s="23">
        <f t="shared" si="9"/>
        <v>30.50284956155722</v>
      </c>
      <c r="AG32" s="23">
        <f t="shared" si="10"/>
        <v>105.94208189513574</v>
      </c>
      <c r="AH32" s="23">
        <f t="shared" si="11"/>
        <v>51.534655677337021</v>
      </c>
      <c r="AI32" s="23">
        <f t="shared" si="12"/>
        <v>126.83071113364419</v>
      </c>
      <c r="AJ32" s="23">
        <f t="shared" si="13"/>
        <v>191.12283371974956</v>
      </c>
      <c r="AK32" s="23">
        <f t="shared" si="14"/>
        <v>149.32184939040317</v>
      </c>
      <c r="AL32" s="9">
        <f t="shared" si="23"/>
        <v>2.1241038082693287E-2</v>
      </c>
      <c r="AM32" s="9">
        <f t="shared" si="24"/>
        <v>2.1278104541848641E-2</v>
      </c>
      <c r="AN32" s="9">
        <f t="shared" ref="AN32:AO32" si="53">AVERAGE(AL30:AL34)</f>
        <v>2.1183605969829423E-2</v>
      </c>
      <c r="AO32" s="9">
        <f t="shared" si="53"/>
        <v>1.9634883501697155E-2</v>
      </c>
      <c r="AP32" s="23"/>
      <c r="AQ32" s="8">
        <f t="shared" si="1"/>
        <v>191.12283371974959</v>
      </c>
      <c r="AR32" s="32">
        <f>Parameters!$B$7*W32*(W32/O32)^(-Parameters!$B$9/Parameters!$B$7)*Parameters!$B$11*(V32)^(Parameters!$B$9-T32)*((1-2*Parameters!$B$5*C32/F32)*Parameters!$B$19*(F32+Parameters!$B$20)^(T32-1)-(1-2*Parameters!$B$5*D32/G32)*(Parameters!$B$18)*(G32)^(T32-1))</f>
        <v>0.19121281909522603</v>
      </c>
      <c r="AS32" s="32">
        <f>((C33-C31)/2-(F33-F31)/F32/2*C32)/(F32/2/Parameters!$B$5-C32)-((D33-D31)/D32-(G33-G31)/G32)/(G32/2/Parameters!$B$5/D32-1)</f>
        <v>8.0717426674736491E-3</v>
      </c>
      <c r="AT32" s="32">
        <f>+Parameters!$B$5*C32^2/F32^2-Parameters!$B$5*D32^2/G32^2</f>
        <v>-7.3723600720903169E-3</v>
      </c>
      <c r="AU32" s="30">
        <f>EXP(-Parameters!$B$42*'6states'!A32)*(Parameters!$B$37*EXP(-Parameters!$B$38*Parameters!$E$25*'6states'!I32/('6states'!F32+'6states'!I32))*(1/Parameters!$B$38/Parameters!$E$25+'6states'!I32/('6states'!F32+'6states'!I32))-Parameters!$B$37/Parameters!$B$38/Parameters!$E$25*EXP(-Parameters!$B$38*Parameters!$E$25)+Parameters!$B$39)</f>
        <v>0.61840916667866419</v>
      </c>
      <c r="AV32" s="30">
        <f>J32*K32*EXP(-Parameters!$B$42*'6states'!A32)*(Parameters!$B$37*EXP(-Parameters!$B$38*Parameters!$E$25*'6states'!I32/('6states'!F32+'6states'!I32))*(1/Parameters!$B$38/Parameters!$E$25+'6states'!I32/('6states'!F32+'6states'!I32))-Parameters!$B$37/Parameters!$B$38/Parameters!$E$25*EXP(-Parameters!$B$38*Parameters!$E$25)+Parameters!$B$39)</f>
        <v>86.249644056596352</v>
      </c>
      <c r="AW32" s="8">
        <f>1000*(AR32+AS32+AT32)/(EXP(-Parameters!$B$42*A32)*((C32&lt;0)*Parameters!$B$37*EXP(-Parameters!$B$38*AF32)+(C32&gt;=0)*Parameters!$B$41))</f>
        <v>278.8317336656192</v>
      </c>
      <c r="AX32" s="13">
        <f>1-W32/'6states,ExoDamages'!T32</f>
        <v>7.5504660433904469E-2</v>
      </c>
      <c r="AY32" s="21">
        <f>-Y32*W32*X32^(-Parameters!B$52)*Parameters!B$46*Parameters!B$45*N32</f>
        <v>-1.7843359492802184E-5</v>
      </c>
      <c r="AZ32" s="7">
        <f>1000*EXP(-(Parameters!$B$54)*'6states'!A32)*AQ32*Parameters!B$46*Parameters!B$45*N32</f>
        <v>1.5587259444791455</v>
      </c>
      <c r="BA32" s="7">
        <f>SUM(AZ32:AZ$204)*EXP(Parameters!$B$54*A32)</f>
        <v>355.27339318006881</v>
      </c>
      <c r="BB32" s="13">
        <f t="shared" si="35"/>
        <v>0.21846154757971861</v>
      </c>
      <c r="BC32" s="30"/>
      <c r="BD32" s="30"/>
      <c r="BE32" s="30"/>
      <c r="BF32" s="5">
        <f t="shared" si="3"/>
        <v>-2.0306063665100006E-3</v>
      </c>
      <c r="BG32" s="2">
        <f>BF32/Parameters!$B$45</f>
        <v>-3.3843439441833345</v>
      </c>
      <c r="BH32" s="2">
        <f t="shared" si="27"/>
        <v>1.661887956321273E-3</v>
      </c>
      <c r="BK32">
        <f>-EXP(-Parameters!B$42*'6states'!A32)*(-Parameters!B$37/Parameters!B$38/Parameters!E$25*(EXP(-Parameters!B$38*Parameters!E$25*'6states'!I32/('6states'!F32+'6states'!I32))-EXP(-Parameters!B$38*Parameters!E$25))+Parameters!B$37*'6states'!F32/('6states'!F32+'6states'!I32)*EXP(-Parameters!B$38*Parameters!E$25*'6states'!I32/('6states'!F32+'6states'!I32)))</f>
        <v>-0.47819648039723606</v>
      </c>
      <c r="BL32">
        <f>-J32*K32*EXP(-Parameters!B$42*'6states'!A32)*(-Parameters!B$37/Parameters!B$38/Parameters!E$25*(EXP(-Parameters!B$38*Parameters!E$25*'6states'!I32/('6states'!F32+'6states'!I32))-EXP(-Parameters!B$38*Parameters!E$25)) + Parameters!B$37*'6states'!F32/('6states'!F32+'6states'!I32)*EXP(-Parameters!B$38*Parameters!E$25*'6states'!I32/('6states'!F32+'6states'!I32)))</f>
        <v>-66.694154041882086</v>
      </c>
      <c r="BM32" s="7">
        <f t="shared" si="4"/>
        <v>5.1454943011750701E-2</v>
      </c>
      <c r="BS32">
        <f>EXP(-Parameters!$B$56*A32)*BF32*BL32</f>
        <v>1.5248051961991927E-2</v>
      </c>
      <c r="BT32">
        <f>-EXP((Parameters!$B$56)*F32)*SUM(BS32:BS40)</f>
        <v>-0.13283673654917338</v>
      </c>
      <c r="BU32">
        <f>X32^-Parameters!B$52/(1-2*Parameters!B$5*'6states'!D32/'6states'!G32)</f>
        <v>1.1183885939051676</v>
      </c>
      <c r="BV32">
        <f t="shared" si="16"/>
        <v>1.0012637808219516</v>
      </c>
      <c r="BW32">
        <f>$X32^-Parameters!$B$52/(1-2*Parameters!$B$5*'6states'!$E32/'6states'!$H32)</f>
        <v>1.044413290133213</v>
      </c>
      <c r="BX32">
        <f t="shared" si="17"/>
        <v>1.0013112198635969</v>
      </c>
      <c r="BY32" s="7">
        <f>($X32^-Parameters!$B$52*(1/(1+EXP(-C32)) + IF(C32&lt;0,2*Parameters!$B$6*C32/F32,0)) + BQ32*(1/(1+EXP((C32-Parameters!$B$22)*Parameters!$B$21))))/(1-IF(C32&gt;0,2*Parameters!$B$5*C32/F32,0))</f>
        <v>0.49087213589868567</v>
      </c>
      <c r="BZ32">
        <f t="shared" si="18"/>
        <v>1.0034551275813637</v>
      </c>
      <c r="CA32" s="7">
        <f t="shared" si="19"/>
        <v>1.6901860472369745E-3</v>
      </c>
      <c r="CB32">
        <f>(1/$T32-1/Parameters!$B$13) * LN(Parameters!$B$18) / LN(P32)</f>
        <v>0.23708761446051949</v>
      </c>
      <c r="CC32">
        <f>(Parameters!$B$18*'6states'!T32^+Parameters!$B$19*Parameters!$B$25^'6states'!T32)^((1-'6states'!T32)/'6states'!T32)*Parameters!$B$18*Parameters!$B$26^('6states'!T32-1)</f>
        <v>0.26568400856988011</v>
      </c>
      <c r="CD32">
        <f t="shared" si="20"/>
        <v>0.25536091022045665</v>
      </c>
      <c r="CE32">
        <f t="shared" si="21"/>
        <v>0.15154362637358154</v>
      </c>
      <c r="CF32">
        <f t="shared" si="22"/>
        <v>0.1681957326776734</v>
      </c>
    </row>
    <row r="33" spans="1:84" x14ac:dyDescent="0.25">
      <c r="A33">
        <f>A32+Parameters!$B$65</f>
        <v>29</v>
      </c>
      <c r="B33">
        <v>2054</v>
      </c>
      <c r="C33" s="74">
        <v>7.2330550961337801E-3</v>
      </c>
      <c r="D33" s="69">
        <v>6.96016860676376E-2</v>
      </c>
      <c r="E33" s="75">
        <v>0.22510935859673301</v>
      </c>
      <c r="F33" s="7">
        <f>MAX((1-Parameters!$B$4)^Parameters!B$65*F32 + C32*Parameters!B$65 - IF(C32&gt;0,Parameters!$B$5,0)*C32^2/F32*Parameters!B$65, 0.0001)</f>
        <v>0.2120941147027243</v>
      </c>
      <c r="G33" s="7">
        <f>(1-Parameters!$B$4)^Parameters!B$65*G32+D32*Parameters!B$65-Parameters!$B$5*D32^2/G32*Parameters!B$65</f>
        <v>0.77545325751936933</v>
      </c>
      <c r="H33" s="7">
        <f>(1-Parameters!$B$4)^Parameters!B$65*H32+E32*Parameters!B$65-Parameters!$B$5*E32^2/H32*Parameters!B$65</f>
        <v>3.4871553067879129</v>
      </c>
      <c r="I33" s="9">
        <f>I32 *(1-Parameters!$B$4)-C32*(C32&lt;0)*Parameters!B$65</f>
        <v>1.111767806700233E-2</v>
      </c>
      <c r="J33" s="23">
        <f>J32*(1+Parameters!$B$51)^Parameters!B$65</f>
        <v>8.8748591004050361</v>
      </c>
      <c r="K33" s="23">
        <f>K32*(1+Parameters!$B$53)^Parameters!B$65</f>
        <v>16.075990068557957</v>
      </c>
      <c r="L33" s="23">
        <f>J33*K33*EXP(-Parameters!$B$42*'6states'!A33)*(Parameters!$B$37/Parameters!$B$38*('6states'!F33+'6states'!I33)/Parameters!$E$25*(EXP(-Parameters!$B$38*Parameters!$E$25*'6states'!I33/('6states'!F33+'6states'!I33))-EXP(-Parameters!$B$38*Parameters!$E$25))  +  Parameters!$B$39*'6states'!F33)</f>
        <v>17.776820147252494</v>
      </c>
      <c r="M33" s="8">
        <f>M32+L33*Parameters!B$65</f>
        <v>3029.2794505358602</v>
      </c>
      <c r="N33" s="7">
        <f>M33*Parameters!$B$45</f>
        <v>1.817567670321516</v>
      </c>
      <c r="O33" s="9">
        <f>EXP(-Parameters!$B$46/2*N33^2)</f>
        <v>0.96734439411063688</v>
      </c>
      <c r="P33" s="8">
        <f>MAX((Parameters!$B$62 + Parameters!$B$31*'6states'!A33 - '6states'!M33 + Parameters!$B$47/Parameters!$B$45)/Parameters!B$62,1)</f>
        <v>17.270410989282801</v>
      </c>
      <c r="Q33" s="7">
        <f>Parameters!B$61*EXP(-Parameters!B$60*A33)</f>
        <v>0.22851642701853894</v>
      </c>
      <c r="R33" s="7">
        <f>(1-Parameters!B$61)*P33^-Parameters!B$63</f>
        <v>0.37604492944173556</v>
      </c>
      <c r="S33" s="7">
        <f>Parameters!B$61*EXP(-Parameters!B$60*A33)+(1-Parameters!B$61)*P33^-Parameters!B$63</f>
        <v>0.60456135646027453</v>
      </c>
      <c r="T33" s="7">
        <f>1-S33/Parameters!$B$12</f>
        <v>0.69771932176986273</v>
      </c>
      <c r="U33" s="7">
        <f t="shared" si="0"/>
        <v>3.3081836584959086</v>
      </c>
      <c r="V33" s="7">
        <f>(Parameters!$B$19*(F33+Parameters!$B$20)^T33+Parameters!$B$18*G33^T33)^(1/T33)</f>
        <v>0.3682740055475705</v>
      </c>
      <c r="W33" s="7">
        <f>(Parameters!$B$10*H33^Parameters!$B$9+Parameters!$B$11*V33^Parameters!$B$9)^(Parameters!$B$7/Parameters!$B$9)*O33</f>
        <v>1.3683939937300622</v>
      </c>
      <c r="X33" s="7">
        <f>W33 - D33 - E33 - LN(1+EXP(Parameters!$B$21*C33))/Parameters!$B$21 - IF(C33&gt;0, 0,Parameters!$B$6*C33^2/F33)</f>
        <v>1.0660894768906677</v>
      </c>
      <c r="Y33" s="7">
        <f>EXP(-Parameters!$B$55*A33)</f>
        <v>0.64539031866231678</v>
      </c>
      <c r="Z33" s="7">
        <f>IF(X33&gt;0,X33^(1-Parameters!$B$52)/(1-Parameters!$B$52)*Y33*Parameters!$B$65,-10+X33*1000)</f>
        <v>-1.803128269142469</v>
      </c>
      <c r="AB33" s="9"/>
      <c r="AC33">
        <f t="shared" si="6"/>
        <v>1.0319554981840275</v>
      </c>
      <c r="AD33">
        <f t="shared" si="7"/>
        <v>9.9302219692436307</v>
      </c>
      <c r="AE33" s="23">
        <f t="shared" si="8"/>
        <v>1.5861829967831378</v>
      </c>
      <c r="AF33" s="23">
        <f t="shared" si="9"/>
        <v>30.259922659367223</v>
      </c>
      <c r="AG33" s="23">
        <f t="shared" si="10"/>
        <v>110.6355809607436</v>
      </c>
      <c r="AH33" s="23">
        <f t="shared" si="11"/>
        <v>52.5424429666257</v>
      </c>
      <c r="AI33" s="23">
        <f t="shared" si="12"/>
        <v>129.3109523789183</v>
      </c>
      <c r="AJ33" s="23">
        <f t="shared" si="13"/>
        <v>195.23170869616993</v>
      </c>
      <c r="AK33" s="23">
        <f t="shared" si="14"/>
        <v>152.10127430406487</v>
      </c>
      <c r="AL33" s="9">
        <f t="shared" si="23"/>
        <v>2.1270773056385472E-2</v>
      </c>
      <c r="AM33" s="9">
        <f t="shared" si="24"/>
        <v>1.8442537911377954E-2</v>
      </c>
      <c r="AN33" s="9">
        <f t="shared" ref="AN33:AO33" si="54">AVERAGE(AL31:AL35)</f>
        <v>2.1295819833876982E-2</v>
      </c>
      <c r="AO33" s="9">
        <f t="shared" si="54"/>
        <v>1.9985846107809558E-2</v>
      </c>
      <c r="AP33" s="23"/>
      <c r="AQ33" s="8">
        <f t="shared" si="1"/>
        <v>195.23170869616996</v>
      </c>
      <c r="AR33" s="32">
        <f>Parameters!$B$7*W33*(W33/O33)^(-Parameters!$B$9/Parameters!$B$7)*Parameters!$B$11*(V33)^(Parameters!$B$9-T33)*((1-2*Parameters!$B$5*C33/F33)*Parameters!$B$19*(F33+Parameters!$B$20)^(T33-1)-(1-2*Parameters!$B$5*D33/G33)*(Parameters!$B$18)*(G33)^(T33-1))</f>
        <v>0.19275542471816587</v>
      </c>
      <c r="AS33" s="32">
        <f>((C34-C32)/2-(F34-F32)/F33/2*C33)/(F33/2/Parameters!$B$5-C33)-((D34-D32)/D33-(G34-G32)/G33)/(G33/2/Parameters!$B$5/D33-1)</f>
        <v>8.1503271157754159E-3</v>
      </c>
      <c r="AT33" s="32">
        <f>+Parameters!$B$5*C33^2/F33^2-Parameters!$B$5*D33^2/G33^2</f>
        <v>-6.8931458274124535E-3</v>
      </c>
      <c r="AU33" s="30">
        <f>EXP(-Parameters!$B$42*'6states'!A33)*(Parameters!$B$37*EXP(-Parameters!$B$38*Parameters!$E$25*'6states'!I33/('6states'!F33+'6states'!I33))*(1/Parameters!$B$38/Parameters!$E$25+'6states'!I33/('6states'!F33+'6states'!I33))-Parameters!$B$37/Parameters!$B$38/Parameters!$E$25*EXP(-Parameters!$B$38*Parameters!$E$25)+Parameters!$B$39)</f>
        <v>0.6141385448600406</v>
      </c>
      <c r="AV33" s="30">
        <f>J33*K33*EXP(-Parameters!$B$42*'6states'!A33)*(Parameters!$B$37*EXP(-Parameters!$B$38*Parameters!$E$25*'6states'!I33/('6states'!F33+'6states'!I33))*(1/Parameters!$B$38/Parameters!$E$25+'6states'!I33/('6states'!F33+'6states'!I33))-Parameters!$B$37/Parameters!$B$38/Parameters!$E$25*EXP(-Parameters!$B$38*Parameters!$E$25)+Parameters!$B$39)</f>
        <v>87.620464601993291</v>
      </c>
      <c r="AW33" s="8">
        <f>1000*(AR33+AS33+AT33)/(EXP(-Parameters!$B$42*A33)*((C33&lt;0)*Parameters!$B$37*EXP(-Parameters!$B$38*AF33)+(C33&gt;=0)*Parameters!$B$41))</f>
        <v>284.71641406640009</v>
      </c>
      <c r="AX33" s="13">
        <f>1-W33/'6states,ExoDamages'!T33</f>
        <v>7.6412124879821408E-2</v>
      </c>
      <c r="AY33" s="21">
        <f>-Y33*W33*X33^(-Parameters!B$52)*Parameters!B$46*Parameters!B$45*N33</f>
        <v>-1.7756201559007749E-5</v>
      </c>
      <c r="AZ33" s="7">
        <f>1000*EXP(-(Parameters!$B$54)*'6states'!A33)*AQ33*Parameters!B$46*Parameters!B$45*N33</f>
        <v>1.5463930855262364</v>
      </c>
      <c r="BA33" s="7">
        <f>SUM(AZ33:AZ$204)*EXP(Parameters!$B$54*A33)</f>
        <v>363.65134005575504</v>
      </c>
      <c r="BB33" s="13">
        <f t="shared" si="35"/>
        <v>0.2206558207241501</v>
      </c>
      <c r="BC33" s="30"/>
      <c r="BD33" s="30"/>
      <c r="BE33" s="30"/>
      <c r="BF33" s="5">
        <f t="shared" si="3"/>
        <v>-2.0338537989907498E-3</v>
      </c>
      <c r="BG33" s="2">
        <f>BF33/Parameters!$B$45</f>
        <v>-3.3897563316512498</v>
      </c>
      <c r="BH33" s="2">
        <f t="shared" si="27"/>
        <v>1.596689242049032E-3</v>
      </c>
      <c r="BK33">
        <f>-EXP(-Parameters!B$42*'6states'!A33)*(-Parameters!B$37/Parameters!B$38/Parameters!E$25*(EXP(-Parameters!B$38*Parameters!E$25*'6states'!I33/('6states'!F33+'6states'!I33))-EXP(-Parameters!B$38*Parameters!E$25))+Parameters!B$37*'6states'!F33/('6states'!F33+'6states'!I33)*EXP(-Parameters!B$38*Parameters!E$25*'6states'!I33/('6states'!F33+'6states'!I33)))</f>
        <v>-0.50874629471204236</v>
      </c>
      <c r="BL33">
        <f>-J33*K33*EXP(-Parameters!B$42*'6states'!A33)*(-Parameters!B$37/Parameters!B$38/Parameters!E$25*(EXP(-Parameters!B$38*Parameters!E$25*'6states'!I33/('6states'!F33+'6states'!I33))-EXP(-Parameters!B$38*Parameters!E$25)) + Parameters!B$37*'6states'!F33/('6states'!F33+'6states'!I33)*EXP(-Parameters!B$38*Parameters!E$25*'6states'!I33/('6states'!F33+'6states'!I33)))</f>
        <v>-72.583926021726185</v>
      </c>
      <c r="BM33" s="7">
        <f t="shared" si="4"/>
        <v>4.9807754012673199E-2</v>
      </c>
      <c r="BS33">
        <f>EXP(-Parameters!$B$56*A33)*BF33*BL33</f>
        <v>1.5373971376787062E-2</v>
      </c>
      <c r="BT33">
        <f>-EXP((Parameters!$B$56)*F33)*SUM(BS33:BS41)</f>
        <v>-0.12358256009329127</v>
      </c>
      <c r="BU33">
        <f>X33^-Parameters!B$52/(1-2*Parameters!B$5*'6states'!D33/'6states'!G33)</f>
        <v>1.1179090480756348</v>
      </c>
      <c r="BV33">
        <f t="shared" si="16"/>
        <v>0.99957121716714015</v>
      </c>
      <c r="BW33">
        <f>$X33^-Parameters!$B$52/(1-2*Parameters!$B$5*'6states'!$E33/'6states'!$H33)</f>
        <v>1.0532079519999411</v>
      </c>
      <c r="BX33">
        <f t="shared" si="17"/>
        <v>1.0084206721130544</v>
      </c>
      <c r="BY33" s="7">
        <f>($X33^-Parameters!$B$52*(1/(1+EXP(-C33)) + IF(C33&lt;0,2*Parameters!$B$6*C33/F33,0)) + BQ33*(1/(1+EXP((C33-Parameters!$B$22)*Parameters!$B$21))))/(1-IF(C33&gt;0,2*Parameters!$B$5*C33/F33,0))</f>
        <v>0.49396536395259483</v>
      </c>
      <c r="BZ33">
        <f t="shared" si="18"/>
        <v>1.0063014944782842</v>
      </c>
      <c r="CA33" s="7">
        <f t="shared" si="19"/>
        <v>3.0932280539091583E-3</v>
      </c>
      <c r="CB33">
        <f>(1/$T33-1/Parameters!$B$13) * LN(Parameters!$B$18) / LN(P33)</f>
        <v>0.23698462938666659</v>
      </c>
      <c r="CC33">
        <f>(Parameters!$B$18*'6states'!T33^+Parameters!$B$19*Parameters!$B$25^'6states'!T33)^((1-'6states'!T33)/'6states'!T33)*Parameters!$B$18*Parameters!$B$26^('6states'!T33-1)</f>
        <v>0.26753674105348307</v>
      </c>
      <c r="CD33">
        <f t="shared" si="20"/>
        <v>0.25404569248082848</v>
      </c>
      <c r="CE33">
        <f t="shared" si="21"/>
        <v>0.1514830581602058</v>
      </c>
      <c r="CF33">
        <f t="shared" si="22"/>
        <v>0.16926326365691058</v>
      </c>
    </row>
    <row r="34" spans="1:84" s="89" customFormat="1" x14ac:dyDescent="0.25">
      <c r="A34" s="89">
        <f>A33+Parameters!$B$65</f>
        <v>30</v>
      </c>
      <c r="B34" s="89">
        <v>2055</v>
      </c>
      <c r="C34" s="90">
        <v>7.1475055599739398E-3</v>
      </c>
      <c r="D34" s="91">
        <v>7.0547897613149294E-2</v>
      </c>
      <c r="E34" s="92">
        <v>0.22457885253138399</v>
      </c>
      <c r="F34" s="93">
        <f>MAX((1-Parameters!$B$4)^Parameters!B$65*F33 + C33*Parameters!B$65 - IF(C33&gt;0,Parameters!$B$5,0)*C33^2/F33*Parameters!B$65, 0.0001)</f>
        <v>0.2057397807820516</v>
      </c>
      <c r="G34" s="93">
        <f>(1-Parameters!$B$4)^Parameters!B$65*G33+D33*Parameters!B$65-Parameters!$B$5*D33^2/G33*Parameters!B$65</f>
        <v>0.7900317554658729</v>
      </c>
      <c r="H34" s="93">
        <f>(1-Parameters!$B$4)^Parameters!B$65*H33+E33*Parameters!B$65-Parameters!$B$5*E33^2/H33*Parameters!B$65</f>
        <v>3.4783909170753939</v>
      </c>
      <c r="I34" s="94">
        <f>I33 *(1-Parameters!$B$4)-C33*(C33&lt;0)*Parameters!B$65</f>
        <v>1.0418376116587883E-2</v>
      </c>
      <c r="J34" s="64">
        <f>J33*(1+Parameters!$B$51)^Parameters!B$65</f>
        <v>8.9005961917962093</v>
      </c>
      <c r="K34" s="64">
        <f>K33*(1+Parameters!$B$53)^Parameters!B$65</f>
        <v>16.397509869929117</v>
      </c>
      <c r="L34" s="64">
        <f>J34*K34*EXP(-Parameters!$B$42*'6states'!A34)*(Parameters!$B$37/Parameters!$B$38*('6states'!F34+'6states'!I34)/Parameters!$E$25*(EXP(-Parameters!$B$38*Parameters!$E$25*'6states'!I34/('6states'!F34+'6states'!I34))-EXP(-Parameters!$B$38*Parameters!$E$25))  +  Parameters!$B$39*'6states'!F34)</f>
        <v>17.492487274018313</v>
      </c>
      <c r="M34" s="95">
        <f>M33+L34*Parameters!B$65</f>
        <v>3046.7719378098786</v>
      </c>
      <c r="N34" s="93">
        <f>M34*Parameters!$B$45</f>
        <v>1.8280631626859269</v>
      </c>
      <c r="O34" s="94">
        <f>EXP(-Parameters!$B$46/2*N34^2)</f>
        <v>0.96697248297034355</v>
      </c>
      <c r="P34" s="95">
        <f>MAX((Parameters!$B$62 + Parameters!$B$31*'6states'!A34 - '6states'!M34 + Parameters!$B$47/Parameters!$B$45)/Parameters!B$62,1)</f>
        <v>17.984561243802428</v>
      </c>
      <c r="Q34" s="93">
        <f>Parameters!B$61*EXP(-Parameters!B$60*A34)</f>
        <v>0.22242903311147058</v>
      </c>
      <c r="R34" s="93">
        <f>(1-Parameters!B$61)*P34^-Parameters!B$63</f>
        <v>0.37452431608095232</v>
      </c>
      <c r="S34" s="93">
        <f>Parameters!B$61*EXP(-Parameters!B$60*A34)+(1-Parameters!B$61)*P34^-Parameters!B$63</f>
        <v>0.59695334919242293</v>
      </c>
      <c r="T34" s="93">
        <f>1-S34/Parameters!$B$12</f>
        <v>0.70152332540378848</v>
      </c>
      <c r="U34" s="93">
        <f t="shared" si="0"/>
        <v>3.3503455549845929</v>
      </c>
      <c r="V34" s="93">
        <f>(Parameters!$B$19*(F34+Parameters!$B$20)^T34+Parameters!$B$18*G34^T34)^(1/T34)</f>
        <v>0.36691198031818134</v>
      </c>
      <c r="W34" s="93">
        <f>(Parameters!$B$10*H34^Parameters!$B$9+Parameters!$B$11*V34^Parameters!$B$9)^(Parameters!$B$7/Parameters!$B$9)*O34</f>
        <v>1.3666839839432636</v>
      </c>
      <c r="X34" s="93">
        <f>W34 - D34 - E34 - LN(1+EXP(Parameters!$B$21*C34))/Parameters!$B$21 - IF(C34&gt;0, 0,Parameters!$B$6*C34^2/F34)</f>
        <v>1.0640404419729235</v>
      </c>
      <c r="Y34" s="93">
        <f>EXP(-Parameters!$B$55*A34)</f>
        <v>0.63571813362641427</v>
      </c>
      <c r="Z34" s="93">
        <f>IF(X34&gt;0,X34^(1-Parameters!$B$52)/(1-Parameters!$B$52)*Y34*Parameters!$B$65,-10+X34*1000)</f>
        <v>-1.7773019121364464</v>
      </c>
      <c r="AB34" s="94"/>
      <c r="AC34">
        <f t="shared" si="6"/>
        <v>1.0431613818382794</v>
      </c>
      <c r="AD34">
        <f t="shared" si="7"/>
        <v>10.296297322528645</v>
      </c>
      <c r="AE34" s="64">
        <f t="shared" si="8"/>
        <v>1.5205371349624206</v>
      </c>
      <c r="AF34" s="64">
        <f t="shared" si="9"/>
        <v>30.027230090114429</v>
      </c>
      <c r="AG34" s="64">
        <f t="shared" si="10"/>
        <v>115.3032496180257</v>
      </c>
      <c r="AH34" s="64">
        <f t="shared" si="11"/>
        <v>53.549928039948135</v>
      </c>
      <c r="AI34" s="64">
        <f t="shared" si="12"/>
        <v>131.79044984769072</v>
      </c>
      <c r="AJ34" s="64">
        <f t="shared" si="13"/>
        <v>199.46426641628216</v>
      </c>
      <c r="AK34" s="64">
        <f t="shared" si="14"/>
        <v>155.2941636024884</v>
      </c>
      <c r="AL34" s="94">
        <f t="shared" si="23"/>
        <v>2.1448001701186215E-2</v>
      </c>
      <c r="AM34" s="94">
        <f t="shared" si="24"/>
        <v>2.0774570711577844E-2</v>
      </c>
      <c r="AN34" s="9">
        <f t="shared" ref="AN34:AO34" si="55">AVERAGE(AL32:AL36)</f>
        <v>2.1394288447762831E-2</v>
      </c>
      <c r="AO34" s="9">
        <f t="shared" si="55"/>
        <v>2.0423971101767968E-2</v>
      </c>
      <c r="AP34" s="64"/>
      <c r="AQ34" s="95">
        <f t="shared" si="1"/>
        <v>199.46426641628216</v>
      </c>
      <c r="AR34" s="103">
        <f>Parameters!$B$7*W34*(W34/O34)^(-Parameters!$B$9/Parameters!$B$7)*Parameters!$B$11*(V34)^(Parameters!$B$9-T34)*((1-2*Parameters!$B$5*C34/F34)*Parameters!$B$19*(F34+Parameters!$B$20)^(T34-1)-(1-2*Parameters!$B$5*D34/G34)*(Parameters!$B$18)*(G34)^(T34-1))</f>
        <v>0.19517605048704878</v>
      </c>
      <c r="AS34" s="103">
        <f>((C35-C33)/2-(F35-F33)/F34/2*C34)/(F34/2/Parameters!$B$5-C34)-((D35-D33)/D34-(G35-G33)/G34)/(G34/2/Parameters!$B$5/D34-1)</f>
        <v>1.9349707539111903E-3</v>
      </c>
      <c r="AT34" s="103">
        <f>+Parameters!$B$5*C34^2/F34^2-Parameters!$B$5*D34^2/G34^2</f>
        <v>-6.767148600534725E-3</v>
      </c>
      <c r="AU34" s="104">
        <f>EXP(-Parameters!$B$42*'6states'!A34)*(Parameters!$B$37*EXP(-Parameters!$B$38*Parameters!$E$25*'6states'!I34/('6states'!F34+'6states'!I34))*(1/Parameters!$B$38/Parameters!$E$25+'6states'!I34/('6states'!F34+'6states'!I34))-Parameters!$B$37/Parameters!$B$38/Parameters!$E$25*EXP(-Parameters!$B$38*Parameters!$E$25)+Parameters!$B$39)</f>
        <v>0.60991740886373158</v>
      </c>
      <c r="AV34" s="104">
        <f>J34*K34*EXP(-Parameters!$B$42*'6states'!A34)*(Parameters!$B$37*EXP(-Parameters!$B$38*Parameters!$E$25*'6states'!I34/('6states'!F34+'6states'!I34))*(1/Parameters!$B$38/Parameters!$E$25+'6states'!I34/('6states'!F34+'6states'!I34))-Parameters!$B$37/Parameters!$B$38/Parameters!$E$25*EXP(-Parameters!$B$38*Parameters!$E$25)+Parameters!$B$39)</f>
        <v>89.015990501703499</v>
      </c>
      <c r="AW34" s="95">
        <f>1000*(AR34+AS34+AT34)/(EXP(-Parameters!$B$42*A34)*((C34&lt;0)*Parameters!$B$37*EXP(-Parameters!$B$38*AF34)+(C34&gt;=0)*Parameters!$B$41))</f>
        <v>282.13983095838</v>
      </c>
      <c r="AX34" s="98">
        <f>1-W34/'6states,ExoDamages'!T34</f>
        <v>7.7164021001342897E-2</v>
      </c>
      <c r="AY34" s="99">
        <f>-Y34*W34*X34^(-Parameters!B$52)*Parameters!B$46*Parameters!B$45*N34</f>
        <v>-1.7614800450530319E-5</v>
      </c>
      <c r="AZ34" s="93">
        <f>1000*EXP(-(Parameters!$B$54)*'6states'!A34)*AQ34*Parameters!B$46*Parameters!B$45*N34</f>
        <v>1.5342337062524443</v>
      </c>
      <c r="BA34" s="93">
        <f>SUM(AZ34:AZ$204)*EXP(Parameters!$B$54*A34)</f>
        <v>372.20982823446525</v>
      </c>
      <c r="BB34" s="98">
        <f t="shared" si="35"/>
        <v>0.22117348213327406</v>
      </c>
      <c r="BC34" s="104"/>
      <c r="BD34" s="104"/>
      <c r="BE34" s="104"/>
      <c r="BF34" s="100">
        <f t="shared" si="3"/>
        <v>-2.0368670978404722E-3</v>
      </c>
      <c r="BG34" s="105">
        <f>BF34/Parameters!$B$45</f>
        <v>-3.3947784964007872</v>
      </c>
      <c r="BH34" s="105">
        <f t="shared" si="27"/>
        <v>1.4793792157167251E-3</v>
      </c>
      <c r="BK34" s="89">
        <f>-EXP(-Parameters!B$42*'6states'!A34)*(-Parameters!B$37/Parameters!B$38/Parameters!E$25*(EXP(-Parameters!B$38*Parameters!E$25*'6states'!I34/('6states'!F34+'6states'!I34))-EXP(-Parameters!B$38*Parameters!E$25))+Parameters!B$37*'6states'!F34/('6states'!F34+'6states'!I34)*EXP(-Parameters!B$38*Parameters!E$25*'6states'!I34/('6states'!F34+'6states'!I34)))</f>
        <v>-0.54036371687802354</v>
      </c>
      <c r="BL34" s="89">
        <f>-J34*K34*EXP(-Parameters!B$42*'6states'!A34)*(-Parameters!B$37/Parameters!B$38/Parameters!E$25*(EXP(-Parameters!B$38*Parameters!E$25*'6states'!I34/('6states'!F34+'6states'!I34))-EXP(-Parameters!B$38*Parameters!E$25)) + Parameters!B$37*'6states'!F34/('6states'!F34+'6states'!I34)*EXP(-Parameters!B$38*Parameters!E$25*'6states'!I34/('6states'!F34+'6states'!I34)))</f>
        <v>-78.864795118229068</v>
      </c>
      <c r="BM34" s="93">
        <f t="shared" si="4"/>
        <v>4.8197931857243075E-2</v>
      </c>
      <c r="BS34" s="89">
        <f>EXP(-Parameters!$B$56*A34)*BF34*BL34</f>
        <v>1.5473793067285494E-2</v>
      </c>
      <c r="BT34" s="89">
        <f>-EXP((Parameters!$B$56)*F34)*SUM(BS34:BS42)</f>
        <v>-0.11445980263749359</v>
      </c>
      <c r="BU34" s="89">
        <f>X34^-Parameters!B$52/(1-2*Parameters!B$5*'6states'!D34/'6states'!G34)</f>
        <v>1.1195647735117509</v>
      </c>
      <c r="BV34" s="89">
        <f t="shared" si="16"/>
        <v>1.0014810913633503</v>
      </c>
      <c r="BW34" s="89">
        <f>$X34^-Parameters!$B$52/(1-2*Parameters!$B$5*'6states'!$E34/'6states'!$H34)</f>
        <v>1.0559714987848614</v>
      </c>
      <c r="BX34" s="89">
        <f t="shared" si="17"/>
        <v>1.0026239326997795</v>
      </c>
      <c r="BY34" s="93">
        <f>($X34^-Parameters!$B$52*(1/(1+EXP(-C34)) + IF(C34&lt;0,2*Parameters!$B$6*C34/F34,0)) + BQ34*(1/(1+EXP((C34-Parameters!$B$22)*Parameters!$B$21))))/(1-IF(C34&gt;0,2*Parameters!$B$5*C34/F34,0))</f>
        <v>0.49590738633255732</v>
      </c>
      <c r="BZ34" s="89">
        <f t="shared" si="18"/>
        <v>1.0039314950433424</v>
      </c>
      <c r="CA34" s="93">
        <f t="shared" si="19"/>
        <v>1.9420223799624936E-3</v>
      </c>
      <c r="CB34" s="89">
        <f>(1/$T34-1/Parameters!$B$13) * LN(Parameters!$B$18) / LN(P34)</f>
        <v>0.23686555314521035</v>
      </c>
      <c r="CC34" s="89">
        <f>(Parameters!$B$18*'6states'!T34^+Parameters!$B$19*Parameters!$B$25^'6states'!T34)^((1-'6states'!T34)/'6states'!T34)*Parameters!$B$18*Parameters!$B$26^('6states'!T34-1)</f>
        <v>0.26929650698505825</v>
      </c>
      <c r="CD34" s="89">
        <f t="shared" si="20"/>
        <v>0.25275220393160214</v>
      </c>
      <c r="CE34" s="89">
        <f t="shared" si="21"/>
        <v>0.15141302092072639</v>
      </c>
      <c r="CF34" s="89">
        <f t="shared" si="22"/>
        <v>0.17027595929287598</v>
      </c>
    </row>
    <row r="35" spans="1:84" x14ac:dyDescent="0.25">
      <c r="A35">
        <f>A34+Parameters!$B$65</f>
        <v>31</v>
      </c>
      <c r="B35">
        <v>2056</v>
      </c>
      <c r="C35" s="74">
        <v>7.13455268114994E-3</v>
      </c>
      <c r="D35" s="69">
        <v>7.2138348229233096E-2</v>
      </c>
      <c r="E35" s="75">
        <v>0.22194402007474801</v>
      </c>
      <c r="F35" s="7">
        <f>MAX((1-Parameters!$B$4)^Parameters!B$65*F34 + C34*Parameters!B$65 - IF(C34&gt;0,Parameters!$B$5,0)*C34^2/F34*Parameters!B$65, 0.0001)</f>
        <v>0.1996979461199303</v>
      </c>
      <c r="G35" s="7">
        <f>(1-Parameters!$B$4)^Parameters!B$65*G34+D34*Parameters!B$65-Parameters!$B$5*D34^2/G34*Parameters!B$65</f>
        <v>0.80458690147540057</v>
      </c>
      <c r="H35" s="7">
        <f>(1-Parameters!$B$4)^Parameters!B$65*H34+E34*Parameters!B$65-Parameters!$B$5*E34^2/H34*Parameters!B$65</f>
        <v>3.4696792705087263</v>
      </c>
      <c r="I35" s="9">
        <f>I34 *(1-Parameters!$B$4)-C34*(C34&lt;0)*Parameters!B$65</f>
        <v>9.763060258854506E-3</v>
      </c>
      <c r="J35" s="23">
        <f>J34*(1+Parameters!$B$51)^Parameters!B$65</f>
        <v>8.9264079207524176</v>
      </c>
      <c r="K35" s="23">
        <f>K34*(1+Parameters!$B$53)^Parameters!B$65</f>
        <v>16.725460067327699</v>
      </c>
      <c r="L35" s="23">
        <f>J35*K35*EXP(-Parameters!$B$42*'6states'!A35)*(Parameters!$B$37/Parameters!$B$38*('6states'!F35+'6states'!I35)/Parameters!$E$25*(EXP(-Parameters!$B$38*Parameters!$E$25*'6states'!I35/('6states'!F35+'6states'!I35))-EXP(-Parameters!$B$38*Parameters!$E$25))  +  Parameters!$B$39*'6states'!F35)</f>
        <v>17.224668950742927</v>
      </c>
      <c r="M35" s="8">
        <f>M34+L35*Parameters!B$65</f>
        <v>3063.9966067606215</v>
      </c>
      <c r="N35" s="7">
        <f>M35*Parameters!$B$45</f>
        <v>1.8383979640563728</v>
      </c>
      <c r="O35" s="9">
        <f>EXP(-Parameters!$B$46/2*N35^2)</f>
        <v>0.96660431440453931</v>
      </c>
      <c r="P35" s="8">
        <f>MAX((Parameters!$B$62 + Parameters!$B$31*'6states'!A35 - '6states'!M35 + Parameters!$B$47/Parameters!$B$45)/Parameters!B$62,1)</f>
        <v>18.704067864787572</v>
      </c>
      <c r="Q35" s="7">
        <f>Parameters!B$61*EXP(-Parameters!B$60*A35)</f>
        <v>0.21650379982043882</v>
      </c>
      <c r="R35" s="7">
        <f>(1-Parameters!B$61)*P35^-Parameters!B$63</f>
        <v>0.3730580341646782</v>
      </c>
      <c r="S35" s="7">
        <f>Parameters!B$61*EXP(-Parameters!B$60*A35)+(1-Parameters!B$61)*P35^-Parameters!B$63</f>
        <v>0.58956183398511697</v>
      </c>
      <c r="T35" s="7">
        <f>1-S35/Parameters!$B$12</f>
        <v>0.70521908300744152</v>
      </c>
      <c r="U35" s="7">
        <f t="shared" si="0"/>
        <v>3.3923498515517685</v>
      </c>
      <c r="V35" s="7">
        <f>(Parameters!$B$19*(F35+Parameters!$B$20)^T35+Parameters!$B$18*G35^T35)^(1/T35)</f>
        <v>0.36577019171233738</v>
      </c>
      <c r="W35" s="7">
        <f>(Parameters!$B$10*H35^Parameters!$B$9+Parameters!$B$11*V35^Parameters!$B$9)^(Parameters!$B$7/Parameters!$B$9)*O35</f>
        <v>1.365058469727102</v>
      </c>
      <c r="X35" s="7">
        <f>W35 - D35 - E35 - LN(1+EXP(Parameters!$B$21*C35))/Parameters!$B$21 - IF(C35&gt;0, 0,Parameters!$B$6*C35^2/F35)</f>
        <v>1.0634709017479844</v>
      </c>
      <c r="Y35" s="7">
        <f>EXP(-Parameters!$B$55*A35)</f>
        <v>0.62619090143635336</v>
      </c>
      <c r="Z35" s="7">
        <f>IF(X35&gt;0,X35^(1-Parameters!$B$52)/(1-Parameters!$B$52)*Y35*Parameters!$B$65,-10+X35*1000)</f>
        <v>-1.7509943497758251</v>
      </c>
      <c r="AB35" s="9"/>
      <c r="AC35">
        <f t="shared" si="6"/>
        <v>1.0651764383231126</v>
      </c>
      <c r="AD35">
        <f t="shared" si="7"/>
        <v>10.770131256630082</v>
      </c>
      <c r="AE35" s="23">
        <f t="shared" si="8"/>
        <v>1.4576080965996043</v>
      </c>
      <c r="AF35" s="23">
        <f t="shared" si="9"/>
        <v>29.814559720117344</v>
      </c>
      <c r="AG35" s="23">
        <f t="shared" si="10"/>
        <v>120.12343987582155</v>
      </c>
      <c r="AH35" s="23">
        <f t="shared" si="11"/>
        <v>54.608860213800071</v>
      </c>
      <c r="AI35" s="23">
        <f t="shared" si="12"/>
        <v>134.39656254771211</v>
      </c>
      <c r="AJ35" s="23">
        <f t="shared" si="13"/>
        <v>203.80088056934133</v>
      </c>
      <c r="AK35" s="23">
        <f t="shared" si="14"/>
        <v>158.77437563494252</v>
      </c>
      <c r="AL35" s="9">
        <f t="shared" si="23"/>
        <v>2.1508336952775764E-2</v>
      </c>
      <c r="AM35" s="9">
        <f t="shared" si="24"/>
        <v>2.2163025283127524E-2</v>
      </c>
      <c r="AN35" s="9">
        <f t="shared" ref="AN35:AO35" si="56">AVERAGE(AL33:AL37)</f>
        <v>2.1474661019531993E-2</v>
      </c>
      <c r="AO35" s="9">
        <f t="shared" si="56"/>
        <v>2.1073577450348324E-2</v>
      </c>
      <c r="AP35" s="23"/>
      <c r="AQ35" s="8">
        <f t="shared" si="1"/>
        <v>203.80088056934133</v>
      </c>
      <c r="AR35" s="32">
        <f>Parameters!$B$7*W35*(W35/O35)^(-Parameters!$B$9/Parameters!$B$7)*Parameters!$B$11*(V35)^(Parameters!$B$9-T35)*((1-2*Parameters!$B$5*C35/F35)*Parameters!$B$19*(F35+Parameters!$B$20)^(T35-1)-(1-2*Parameters!$B$5*D35/G35)*(Parameters!$B$18)*(G35)^(T35-1))</f>
        <v>0.19707674335271558</v>
      </c>
      <c r="AS35" s="32">
        <f>((C36-C34)/2-(F36-F34)/F35/2*C35)/(F35/2/Parameters!$B$5-C35)-((D36-D34)/D35-(G36-G34)/G35)/(G35/2/Parameters!$B$5/D35-1)</f>
        <v>4.0399722183608426E-3</v>
      </c>
      <c r="AT35" s="32">
        <f>+Parameters!$B$5*C35^2/F35^2-Parameters!$B$5*D35^2/G35^2</f>
        <v>-6.762313490463117E-3</v>
      </c>
      <c r="AU35" s="30">
        <f>EXP(-Parameters!$B$42*'6states'!A35)*(Parameters!$B$37*EXP(-Parameters!$B$38*Parameters!$E$25*'6states'!I35/('6states'!F35+'6states'!I35))*(1/Parameters!$B$38/Parameters!$E$25+'6states'!I35/('6states'!F35+'6states'!I35))-Parameters!$B$37/Parameters!$B$38/Parameters!$E$25*EXP(-Parameters!$B$38*Parameters!$E$25)+Parameters!$B$39)</f>
        <v>0.60575911381745651</v>
      </c>
      <c r="AV35" s="30">
        <f>J35*K35*EXP(-Parameters!$B$42*'6states'!A35)*(Parameters!$B$37*EXP(-Parameters!$B$38*Parameters!$E$25*'6states'!I35/('6states'!F35+'6states'!I35))*(1/Parameters!$B$38/Parameters!$E$25+'6states'!I35/('6states'!F35+'6states'!I35))-Parameters!$B$37/Parameters!$B$38/Parameters!$E$25*EXP(-Parameters!$B$38*Parameters!$E$25)+Parameters!$B$39)</f>
        <v>90.438793316730283</v>
      </c>
      <c r="AW35" s="8">
        <f>1000*(AR35+AS35+AT35)/(EXP(-Parameters!$B$42*A35)*((C35&lt;0)*Parameters!$B$37*EXP(-Parameters!$B$38*AF35)+(C35&gt;=0)*Parameters!$B$41))</f>
        <v>290.9797908396464</v>
      </c>
      <c r="AX35" s="13">
        <f>1-W35/'6states,ExoDamages'!T35</f>
        <v>7.7830720195936398E-2</v>
      </c>
      <c r="AY35" s="21">
        <f>-Y35*W35*X35^(-Parameters!B$52)*Parameters!B$46*Parameters!B$45*N35</f>
        <v>-1.7440754534542088E-5</v>
      </c>
      <c r="AZ35" s="7">
        <f>1000*EXP(-(Parameters!$B$54)*'6states'!A35)*AQ35*Parameters!B$46*Parameters!B$45*N35</f>
        <v>1.5220785601590119</v>
      </c>
      <c r="BA35" s="7">
        <f>SUM(AZ35:AZ$204)*EXP(Parameters!$B$54*A35)</f>
        <v>380.95181301406734</v>
      </c>
      <c r="BB35" s="13">
        <f t="shared" si="35"/>
        <v>0.2206622849242123</v>
      </c>
      <c r="BC35" s="30"/>
      <c r="BD35" s="30"/>
      <c r="BE35" s="30"/>
      <c r="BF35" s="5">
        <f t="shared" si="3"/>
        <v>-2.0397270968068957E-3</v>
      </c>
      <c r="BG35" s="2">
        <f>BF35/Parameters!$B$45</f>
        <v>-3.3995451613448266</v>
      </c>
      <c r="BH35" s="2">
        <f t="shared" si="27"/>
        <v>1.4021478514948393E-3</v>
      </c>
      <c r="BK35">
        <f>-EXP(-Parameters!B$42*'6states'!A35)*(-Parameters!B$37/Parameters!B$38/Parameters!E$25*(EXP(-Parameters!B$38*Parameters!E$25*'6states'!I35/('6states'!F35+'6states'!I35))-EXP(-Parameters!B$38*Parameters!E$25))+Parameters!B$37*'6states'!F35/('6states'!F35+'6states'!I35)*EXP(-Parameters!B$38*Parameters!E$25*'6states'!I35/('6states'!F35+'6states'!I35)))</f>
        <v>-0.57338617020770688</v>
      </c>
      <c r="BL35">
        <f>-J35*K35*EXP(-Parameters!B$42*'6states'!A35)*(-Parameters!B$37/Parameters!B$38/Parameters!E$25*(EXP(-Parameters!B$38*Parameters!E$25*'6states'!I35/('6states'!F35+'6states'!I35))-EXP(-Parameters!B$38*Parameters!E$25)) + Parameters!B$37*'6states'!F35/('6states'!F35+'6states'!I35)*EXP(-Parameters!B$38*Parameters!E$25*'6states'!I35/('6states'!F35+'6states'!I35)))</f>
        <v>-85.605568542404257</v>
      </c>
      <c r="BM35" s="7">
        <f t="shared" si="4"/>
        <v>4.6610395068947562E-2</v>
      </c>
      <c r="BS35">
        <f>EXP(-Parameters!$B$56*A35)*BF35*BL35</f>
        <v>1.5557865908431489E-2</v>
      </c>
      <c r="BT35">
        <f>-EXP((Parameters!$B$56)*F35)*SUM(BS35:BS43)</f>
        <v>-0.10202562374469074</v>
      </c>
      <c r="BU35">
        <f>X35^-Parameters!B$52/(1-2*Parameters!B$5*'6states'!D35/'6states'!G35)</f>
        <v>1.1213608082299151</v>
      </c>
      <c r="BV35">
        <f t="shared" si="16"/>
        <v>1.0016042258211917</v>
      </c>
      <c r="BW35">
        <f>$X35^-Parameters!$B$52/(1-2*Parameters!$B$5*'6states'!$E35/'6states'!$H35)</f>
        <v>1.0552875055402611</v>
      </c>
      <c r="BX35">
        <f t="shared" si="17"/>
        <v>0.99935226164211111</v>
      </c>
      <c r="BY35" s="7">
        <f>($X35^-Parameters!$B$52*(1/(1+EXP(-C35)) + IF(C35&lt;0,2*Parameters!$B$6*C35/F35,0)) + BQ35*(1/(1+EXP((C35-Parameters!$B$22)*Parameters!$B$21))))/(1-IF(C35&gt;0,2*Parameters!$B$5*C35/F35,0))</f>
        <v>0.49731691280918661</v>
      </c>
      <c r="BZ35">
        <f t="shared" si="18"/>
        <v>1.0028423179720176</v>
      </c>
      <c r="CA35" s="7">
        <f t="shared" si="19"/>
        <v>1.4095264766292859E-3</v>
      </c>
      <c r="CB35">
        <f>(1/$T35-1/Parameters!$B$13) * LN(Parameters!$B$18) / LN(P35)</f>
        <v>0.23673156640119222</v>
      </c>
      <c r="CC35">
        <f>(Parameters!$B$18*'6states'!T35^+Parameters!$B$19*Parameters!$B$25^'6states'!T35)^((1-'6states'!T35)/'6states'!T35)*Parameters!$B$18*Parameters!$B$26^('6states'!T35-1)</f>
        <v>0.27096857889762094</v>
      </c>
      <c r="CD35">
        <f t="shared" si="20"/>
        <v>0.25148034018912196</v>
      </c>
      <c r="CE35">
        <f t="shared" si="21"/>
        <v>0.15133420683801335</v>
      </c>
      <c r="CF35">
        <f t="shared" si="22"/>
        <v>0.17123704570846432</v>
      </c>
    </row>
    <row r="36" spans="1:84" x14ac:dyDescent="0.25">
      <c r="A36">
        <f>A35+Parameters!$B$65</f>
        <v>32</v>
      </c>
      <c r="B36">
        <v>2057</v>
      </c>
      <c r="C36" s="74">
        <v>7.07729260234878E-3</v>
      </c>
      <c r="D36" s="69">
        <v>7.2490230984500803E-2</v>
      </c>
      <c r="E36" s="75">
        <v>0.22344955826981899</v>
      </c>
      <c r="F36" s="7">
        <f>MAX((1-Parameters!$B$4)^Parameters!B$65*F35 + C35*Parameters!B$65 - IF(C35&gt;0,Parameters!$B$5,0)*C35^2/F35*Parameters!B$65, 0.0001)</f>
        <v>0.19401660382147284</v>
      </c>
      <c r="G36" s="7">
        <f>(1-Parameters!$B$4)^Parameters!B$65*G35+D35*Parameters!B$65-Parameters!$B$5*D35^2/G35*Parameters!B$65</f>
        <v>0.81964889119015427</v>
      </c>
      <c r="H36" s="7">
        <f>(1-Parameters!$B$4)^Parameters!B$65*H35+E35*Parameters!B$65-Parameters!$B$5*E35^2/H35*Parameters!B$65</f>
        <v>3.4591834323492168</v>
      </c>
      <c r="I36" s="9">
        <f>I35 *(1-Parameters!$B$4)-C35*(C35&lt;0)*Parameters!B$65</f>
        <v>9.1489637685725576E-3</v>
      </c>
      <c r="J36" s="23">
        <f>J35*(1+Parameters!$B$51)^Parameters!B$65</f>
        <v>8.9522945037225981</v>
      </c>
      <c r="K36" s="23">
        <f>K35*(1+Parameters!$B$53)^Parameters!B$65</f>
        <v>17.059969268674255</v>
      </c>
      <c r="L36" s="23">
        <f>J36*K36*EXP(-Parameters!$B$42*'6states'!A36)*(Parameters!$B$37/Parameters!$B$38*('6states'!F36+'6states'!I36)/Parameters!$E$25*(EXP(-Parameters!$B$38*Parameters!$E$25*'6states'!I36/('6states'!F36+'6states'!I36))-EXP(-Parameters!$B$38*Parameters!$E$25))  +  Parameters!$B$39*'6states'!F36)</f>
        <v>16.978679448074026</v>
      </c>
      <c r="M36" s="8">
        <f>M35+L36*Parameters!B$65</f>
        <v>3080.9752862086957</v>
      </c>
      <c r="N36" s="7">
        <f>M36*Parameters!$B$45</f>
        <v>1.8485851717252173</v>
      </c>
      <c r="O36" s="9">
        <f>EXP(-Parameters!$B$46/2*N36^2)</f>
        <v>0.96623951078746506</v>
      </c>
      <c r="P36" s="8">
        <f>MAX((Parameters!$B$62 + Parameters!$B$31*'6states'!A36 - '6states'!M36 + Parameters!$B$47/Parameters!$B$45)/Parameters!B$62,1)</f>
        <v>19.428494275826086</v>
      </c>
      <c r="Q36" s="7">
        <f>Parameters!B$61*EXP(-Parameters!B$60*A36)</f>
        <v>0.21073640738795882</v>
      </c>
      <c r="R36" s="7">
        <f>(1-Parameters!B$61)*P36^-Parameters!B$63</f>
        <v>0.37164311364697317</v>
      </c>
      <c r="S36" s="7">
        <f>Parameters!B$61*EXP(-Parameters!B$60*A36)+(1-Parameters!B$61)*P36^-Parameters!B$63</f>
        <v>0.58237952103493196</v>
      </c>
      <c r="T36" s="7">
        <f>1-S36/Parameters!$B$12</f>
        <v>0.70881023948253397</v>
      </c>
      <c r="U36" s="7">
        <f t="shared" si="0"/>
        <v>3.4341866905722407</v>
      </c>
      <c r="V36" s="7">
        <f>(Parameters!$B$19*(F36+Parameters!$B$20)^T36+Parameters!$B$18*G36^T36)^(1/T36)</f>
        <v>0.36501965127325753</v>
      </c>
      <c r="W36" s="7">
        <f>(Parameters!$B$10*H36^Parameters!$B$9+Parameters!$B$11*V36^Parameters!$B$9)^(Parameters!$B$7/Parameters!$B$9)*O36</f>
        <v>1.363428011034604</v>
      </c>
      <c r="X36" s="7">
        <f>W36 - D36 - E36 - LN(1+EXP(Parameters!$B$21*C36))/Parameters!$B$21 - IF(C36&gt;0, 0,Parameters!$B$6*C36^2/F36)</f>
        <v>1.0600342099042659</v>
      </c>
      <c r="Y36" s="7">
        <f>EXP(-Parameters!$B$55*A36)</f>
        <v>0.61680644974664667</v>
      </c>
      <c r="Z36" s="7">
        <f>IF(X36&gt;0,X36^(1-Parameters!$B$52)/(1-Parameters!$B$52)*Y36*Parameters!$B$65,-10+X36*1000)</f>
        <v>-1.7267080096242318</v>
      </c>
      <c r="AB36" s="9"/>
      <c r="AC36">
        <f t="shared" si="6"/>
        <v>1.0808856636934836</v>
      </c>
      <c r="AD36">
        <f t="shared" si="7"/>
        <v>11.071133529645561</v>
      </c>
      <c r="AE36" s="23">
        <f t="shared" si="8"/>
        <v>1.3972834430809418</v>
      </c>
      <c r="AF36" s="23">
        <f t="shared" si="9"/>
        <v>29.631354441885133</v>
      </c>
      <c r="AG36" s="23">
        <f t="shared" si="10"/>
        <v>125.18158927831722</v>
      </c>
      <c r="AH36" s="23">
        <f t="shared" si="11"/>
        <v>55.747943485722097</v>
      </c>
      <c r="AI36" s="23">
        <f t="shared" si="12"/>
        <v>137.1999332022645</v>
      </c>
      <c r="AJ36" s="23">
        <f t="shared" si="13"/>
        <v>208.23072796458013</v>
      </c>
      <c r="AK36" s="23">
        <f t="shared" si="14"/>
        <v>161.89464600204812</v>
      </c>
      <c r="AL36" s="9">
        <f t="shared" si="23"/>
        <v>2.1503292445773425E-2</v>
      </c>
      <c r="AM36" s="9">
        <f t="shared" si="24"/>
        <v>1.9461617060907876E-2</v>
      </c>
      <c r="AN36" s="9">
        <f t="shared" ref="AN36:AO36" si="57">AVERAGE(AL34:AL38)</f>
        <v>2.1526956766358473E-2</v>
      </c>
      <c r="AO36" s="9">
        <f t="shared" si="57"/>
        <v>2.1428661829030915E-2</v>
      </c>
      <c r="AP36" s="23"/>
      <c r="AQ36" s="8">
        <f t="shared" si="1"/>
        <v>208.2307279645801</v>
      </c>
      <c r="AR36" s="32">
        <f>Parameters!$B$7*W36*(W36/O36)^(-Parameters!$B$9/Parameters!$B$7)*Parameters!$B$11*(V36)^(Parameters!$B$9-T36)*((1-2*Parameters!$B$5*C36/F36)*Parameters!$B$19*(F36+Parameters!$B$20)^(T36-1)-(1-2*Parameters!$B$5*D36/G36)*(Parameters!$B$18)*(G36)^(T36-1))</f>
        <v>0.19773791795807466</v>
      </c>
      <c r="AS36" s="32">
        <f>((C37-C35)/2-(F37-F35)/F36/2*C36)/(F36/2/Parameters!$B$5-C36)-((D37-D35)/D36-(G37-G35)/G36)/(G36/2/Parameters!$B$5/D36-1)</f>
        <v>2.4886081579612558E-4</v>
      </c>
      <c r="AT36" s="32">
        <f>+Parameters!$B$5*C36^2/F36^2-Parameters!$B$5*D36^2/G36^2</f>
        <v>-6.4911103061921945E-3</v>
      </c>
      <c r="AU36" s="30">
        <f>EXP(-Parameters!$B$42*'6states'!A36)*(Parameters!$B$37*EXP(-Parameters!$B$38*Parameters!$E$25*'6states'!I36/('6states'!F36+'6states'!I36))*(1/Parameters!$B$38/Parameters!$E$25+'6states'!I36/('6states'!F36+'6states'!I36))-Parameters!$B$37/Parameters!$B$38/Parameters!$E$25*EXP(-Parameters!$B$38*Parameters!$E$25)+Parameters!$B$39)</f>
        <v>0.6016761770612179</v>
      </c>
      <c r="AV36" s="30">
        <f>J36*K36*EXP(-Parameters!$B$42*'6states'!A36)*(Parameters!$B$37*EXP(-Parameters!$B$38*Parameters!$E$25*'6states'!I36/('6states'!F36+'6states'!I36))*(1/Parameters!$B$38/Parameters!$E$25+'6states'!I36/('6states'!F36+'6states'!I36))-Parameters!$B$37/Parameters!$B$38/Parameters!$E$25*EXP(-Parameters!$B$38*Parameters!$E$25)+Parameters!$B$39)</f>
        <v>91.891517069046927</v>
      </c>
      <c r="AW36" s="8">
        <f>1000*(AR36+AS36+AT36)/(EXP(-Parameters!$B$42*A36)*((C36&lt;0)*Parameters!$B$37*EXP(-Parameters!$B$38*AF36)+(C36&gt;=0)*Parameters!$B$41))</f>
        <v>289.58118791819317</v>
      </c>
      <c r="AX36" s="13">
        <f>1-W36/'6states,ExoDamages'!T36</f>
        <v>7.8511354953921475E-2</v>
      </c>
      <c r="AY36" s="21">
        <f>-Y36*W36*X36^(-Parameters!B$52)*Parameters!B$46*Parameters!B$45*N36</f>
        <v>-1.7329500769299467E-5</v>
      </c>
      <c r="AZ36" s="7">
        <f>1000*EXP(-(Parameters!$B$54)*'6states'!A36)*AQ36*Parameters!B$46*Parameters!B$45*N36</f>
        <v>1.5098438286708928</v>
      </c>
      <c r="BA36" s="7">
        <f>SUM(AZ36:AZ$204)*EXP(Parameters!$B$54*A36)</f>
        <v>389.88075913428065</v>
      </c>
      <c r="BB36" s="13">
        <f t="shared" si="35"/>
        <v>0.22224648415924175</v>
      </c>
      <c r="BC36" s="30"/>
      <c r="BD36" s="30"/>
      <c r="BE36" s="30"/>
      <c r="BF36" s="5">
        <f t="shared" ref="BF36:BF55" si="58">SUM(AY36:AY234)/Y36</f>
        <v>-2.0424847947303308E-3</v>
      </c>
      <c r="BG36" s="2">
        <f>BF36/Parameters!$B$45</f>
        <v>-3.4041413245505519</v>
      </c>
      <c r="BH36" s="2">
        <f t="shared" si="27"/>
        <v>1.3501681532954724E-3</v>
      </c>
      <c r="BK36">
        <f>-EXP(-Parameters!B$42*'6states'!A36)*(-Parameters!B$37/Parameters!B$38/Parameters!E$25*(EXP(-Parameters!B$38*Parameters!E$25*'6states'!I36/('6states'!F36+'6states'!I36))-EXP(-Parameters!B$38*Parameters!E$25))+Parameters!B$37*'6states'!F36/('6states'!F36+'6states'!I36)*EXP(-Parameters!B$38*Parameters!E$25*'6states'!I36/('6states'!F36+'6states'!I36)))</f>
        <v>-0.60818055053424924</v>
      </c>
      <c r="BL36">
        <f>-J36*K36*EXP(-Parameters!B$42*'6states'!A36)*(-Parameters!B$37/Parameters!B$38/Parameters!E$25*(EXP(-Parameters!B$38*Parameters!E$25*'6states'!I36/('6states'!F36+'6states'!I36))-EXP(-Parameters!B$38*Parameters!E$25)) + Parameters!B$37*'6states'!F36/('6states'!F36+'6states'!I36)*EXP(-Parameters!B$38*Parameters!E$25*'6states'!I36/('6states'!F36+'6states'!I36)))</f>
        <v>-92.884903160781292</v>
      </c>
      <c r="BM36" s="7">
        <f t="shared" ref="BM36:BM67" si="59">I36/(F36+I36)</f>
        <v>4.5032058714957336E-2</v>
      </c>
      <c r="BS36">
        <f>EXP(-Parameters!$B$56*A36)*BF36*BL36</f>
        <v>1.5635253893287477E-2</v>
      </c>
      <c r="BT36">
        <f>-EXP((Parameters!$B$56)*F36)*SUM(BS36:BS44)</f>
        <v>-8.9713006891441127E-2</v>
      </c>
      <c r="BU36">
        <f>X36^-Parameters!B$52/(1-2*Parameters!B$5*'6states'!D36/'6states'!G36)</f>
        <v>1.1229376108076217</v>
      </c>
      <c r="BV36">
        <f t="shared" si="16"/>
        <v>1.0014061509606311</v>
      </c>
      <c r="BW36">
        <f>$X36^-Parameters!$B$52/(1-2*Parameters!$B$5*'6states'!$E36/'6states'!$H36)</f>
        <v>1.0614408363143033</v>
      </c>
      <c r="BX36">
        <f t="shared" si="17"/>
        <v>1.0058309519839259</v>
      </c>
      <c r="BY36" s="7">
        <f>($X36^-Parameters!$B$52*(1/(1+EXP(-C36)) + IF(C36&lt;0,2*Parameters!$B$6*C36/F36,0)) + BQ36*(1/(1+EXP((C36-Parameters!$B$22)*Parameters!$B$21))))/(1-IF(C36&gt;0,2*Parameters!$B$5*C36/F36,0))</f>
        <v>0.5002898536040491</v>
      </c>
      <c r="BZ36">
        <f t="shared" si="18"/>
        <v>1.0059779603675034</v>
      </c>
      <c r="CA36" s="7">
        <f t="shared" si="19"/>
        <v>2.9729407948624886E-3</v>
      </c>
      <c r="CB36">
        <f>(1/$T36-1/Parameters!$B$13) * LN(Parameters!$B$18) / LN(P36)</f>
        <v>0.23658416116455525</v>
      </c>
      <c r="CC36">
        <f>(Parameters!$B$18*'6states'!T36^+Parameters!$B$19*Parameters!$B$25^'6states'!T36)^((1-'6states'!T36)/'6states'!T36)*Parameters!$B$18*Parameters!$B$26^('6states'!T36-1)</f>
        <v>0.27255784388829024</v>
      </c>
      <c r="CD36">
        <f t="shared" si="20"/>
        <v>0.25023041902924265</v>
      </c>
      <c r="CE36">
        <f t="shared" si="21"/>
        <v>0.1512474912331353</v>
      </c>
      <c r="CF36">
        <f t="shared" si="22"/>
        <v>0.17214950378834037</v>
      </c>
    </row>
    <row r="37" spans="1:84" x14ac:dyDescent="0.25">
      <c r="A37">
        <f>A36+Parameters!$B$65</f>
        <v>33</v>
      </c>
      <c r="B37">
        <v>2058</v>
      </c>
      <c r="C37" s="74">
        <v>7.2727864288978598E-3</v>
      </c>
      <c r="D37" s="69">
        <v>7.5687260467283607E-2</v>
      </c>
      <c r="E37" s="75">
        <v>0.21669980575537301</v>
      </c>
      <c r="F37" s="7">
        <f>MAX((1-Parameters!$B$4)^Parameters!B$65*F36 + C36*Parameters!B$65 - IF(C36&gt;0,Parameters!$B$5,0)*C36^2/F36*Parameters!B$65, 0.0001)</f>
        <v>0.18863208820802299</v>
      </c>
      <c r="G37" s="7">
        <f>(1-Parameters!$B$4)^Parameters!B$65*G36+D36*Parameters!B$65-Parameters!$B$5*D36^2/G36*Parameters!B$65</f>
        <v>0.83417212816950692</v>
      </c>
      <c r="H37" s="7">
        <f>(1-Parameters!$B$4)^Parameters!B$65*H36+E36*Parameters!B$65-Parameters!$B$5*E36^2/H36*Parameters!B$65</f>
        <v>3.4506163956741611</v>
      </c>
      <c r="I37" s="9">
        <f>I36 *(1-Parameters!$B$4)-C36*(C36&lt;0)*Parameters!B$65</f>
        <v>8.5734939475293447E-3</v>
      </c>
      <c r="J37" s="23">
        <f>J36*(1+Parameters!$B$51)^Parameters!B$65</f>
        <v>8.9782561577833935</v>
      </c>
      <c r="K37" s="23">
        <f>K36*(1+Parameters!$B$53)^Parameters!B$65</f>
        <v>17.401168654047741</v>
      </c>
      <c r="L37" s="23">
        <f>J37*K37*EXP(-Parameters!$B$42*'6states'!A37)*(Parameters!$B$37/Parameters!$B$38*('6states'!F37+'6states'!I37)/Parameters!$E$25*(EXP(-Parameters!$B$38*Parameters!$E$25*'6states'!I37/('6states'!F37+'6states'!I37))-EXP(-Parameters!$B$38*Parameters!$E$25))  +  Parameters!$B$39*'6states'!F37)</f>
        <v>16.749729245916058</v>
      </c>
      <c r="M37" s="8">
        <f>M36+L37*Parameters!B$65</f>
        <v>3097.7250154546118</v>
      </c>
      <c r="N37" s="7">
        <f>M37*Parameters!$B$45</f>
        <v>1.858635009272767</v>
      </c>
      <c r="O37" s="9">
        <f>EXP(-Parameters!$B$46/2*N37^2)</f>
        <v>0.96587778708130534</v>
      </c>
      <c r="P37" s="8">
        <f>MAX((Parameters!$B$62 + Parameters!$B$31*'6states'!A37 - '6states'!M37 + Parameters!$B$47/Parameters!$B$45)/Parameters!B$62,1)</f>
        <v>20.157499690907766</v>
      </c>
      <c r="Q37" s="7">
        <f>Parameters!B$61*EXP(-Parameters!B$60*A37)</f>
        <v>0.20512265112952199</v>
      </c>
      <c r="R37" s="7">
        <f>(1-Parameters!B$61)*P37^-Parameters!B$63</f>
        <v>0.37027666045931867</v>
      </c>
      <c r="S37" s="7">
        <f>Parameters!B$61*EXP(-Parameters!B$60*A37)+(1-Parameters!B$61)*P37^-Parameters!B$63</f>
        <v>0.57539931158884072</v>
      </c>
      <c r="T37" s="7">
        <f>1-S37/Parameters!$B$12</f>
        <v>0.71230034420557964</v>
      </c>
      <c r="U37" s="7">
        <f t="shared" si="0"/>
        <v>3.4758470504203989</v>
      </c>
      <c r="V37" s="7">
        <f>(Parameters!$B$19*(F37+Parameters!$B$20)^T37+Parameters!$B$18*G37^T37)^(1/T37)</f>
        <v>0.36436084655134404</v>
      </c>
      <c r="W37" s="7">
        <f>(Parameters!$B$10*H37^Parameters!$B$9+Parameters!$B$11*V37^Parameters!$B$9)^(Parameters!$B$7/Parameters!$B$9)*O37</f>
        <v>1.3619896318526308</v>
      </c>
      <c r="X37" s="7">
        <f>W37 - D37 - E37 - LN(1+EXP(Parameters!$B$21*C37))/Parameters!$B$21 - IF(C37&gt;0, 0,Parameters!$B$6*C37^2/F37)</f>
        <v>1.0619734122649951</v>
      </c>
      <c r="Y37" s="7">
        <f>EXP(-Parameters!$B$55*A37)</f>
        <v>0.60756263876780681</v>
      </c>
      <c r="Z37" s="7">
        <f>IF(X37&gt;0,X37^(1-Parameters!$B$52)/(1-Parameters!$B$52)*Y37*Parameters!$B$65,-10+X37*1000)</f>
        <v>-1.6997429165330904</v>
      </c>
      <c r="AB37" s="9"/>
      <c r="AC37">
        <f t="shared" si="6"/>
        <v>1.1362430575199232</v>
      </c>
      <c r="AD37">
        <f t="shared" si="7"/>
        <v>11.824783401715498</v>
      </c>
      <c r="AE37" s="23">
        <f t="shared" si="8"/>
        <v>1.3394553891836978</v>
      </c>
      <c r="AF37" s="23">
        <f t="shared" si="9"/>
        <v>29.47039662820573</v>
      </c>
      <c r="AG37" s="23">
        <f t="shared" si="10"/>
        <v>130.32450473770584</v>
      </c>
      <c r="AH37" s="23">
        <f t="shared" si="11"/>
        <v>56.924878294382403</v>
      </c>
      <c r="AI37" s="23">
        <f t="shared" si="12"/>
        <v>140.09645937049834</v>
      </c>
      <c r="AJ37" s="23">
        <f t="shared" si="13"/>
        <v>212.78656794562141</v>
      </c>
      <c r="AK37" s="23">
        <f t="shared" si="14"/>
        <v>165.91438903832966</v>
      </c>
      <c r="AL37" s="9">
        <f t="shared" si="23"/>
        <v>2.1642900941539089E-2</v>
      </c>
      <c r="AM37" s="9">
        <f t="shared" si="24"/>
        <v>2.4526136284750422E-2</v>
      </c>
      <c r="AN37" s="9">
        <f t="shared" ref="AN37:AO37" si="60">AVERAGE(AL35:AL39)</f>
        <v>2.1569673446853344E-2</v>
      </c>
      <c r="AO37" s="9">
        <f t="shared" si="60"/>
        <v>2.1346053102834793E-2</v>
      </c>
      <c r="AP37" s="23"/>
      <c r="AQ37" s="8">
        <f t="shared" si="1"/>
        <v>212.78656794562141</v>
      </c>
      <c r="AR37" s="32">
        <f>Parameters!$B$7*W37*(W37/O37)^(-Parameters!$B$9/Parameters!$B$7)*Parameters!$B$11*(V37)^(Parameters!$B$9-T37)*((1-2*Parameters!$B$5*C37/F37)*Parameters!$B$19*(F37+Parameters!$B$20)^(T37-1)-(1-2*Parameters!$B$5*D37/G37)*(Parameters!$B$18)*(G37)^(T37-1))</f>
        <v>0.19826510853743248</v>
      </c>
      <c r="AS37" s="32">
        <f>((C38-C36)/2-(F38-F36)/F37/2*C37)/(F37/2/Parameters!$B$5-C37)-((D38-D36)/D37-(G38-G36)/G37)/(G37/2/Parameters!$B$5/D37-1)</f>
        <v>7.3491556380902035E-4</v>
      </c>
      <c r="AT37" s="32">
        <f>+Parameters!$B$5*C37^2/F37^2-Parameters!$B$5*D37^2/G37^2</f>
        <v>-6.7460278653996954E-3</v>
      </c>
      <c r="AU37" s="30">
        <f>EXP(-Parameters!$B$42*'6states'!A37)*(Parameters!$B$37*EXP(-Parameters!$B$38*Parameters!$E$25*'6states'!I37/('6states'!F37+'6states'!I37))*(1/Parameters!$B$38/Parameters!$E$25+'6states'!I37/('6states'!F37+'6states'!I37))-Parameters!$B$37/Parameters!$B$38/Parameters!$E$25*EXP(-Parameters!$B$38*Parameters!$E$25)+Parameters!$B$39)</f>
        <v>0.59765033477477914</v>
      </c>
      <c r="AV37" s="30">
        <f>J37*K37*EXP(-Parameters!$B$42*'6states'!A37)*(Parameters!$B$37*EXP(-Parameters!$B$38*Parameters!$E$25*'6states'!I37/('6states'!F37+'6states'!I37))*(1/Parameters!$B$38/Parameters!$E$25+'6states'!I37/('6states'!F37+'6states'!I37))-Parameters!$B$37/Parameters!$B$38/Parameters!$E$25*EXP(-Parameters!$B$38*Parameters!$E$25)+Parameters!$B$39)</f>
        <v>93.372196523473306</v>
      </c>
      <c r="AW37" s="8">
        <f>1000*(AR37+AS37+AT37)/(EXP(-Parameters!$B$42*A37)*((C37&lt;0)*Parameters!$B$37*EXP(-Parameters!$B$38*AF37)+(C37&gt;=0)*Parameters!$B$41))</f>
        <v>293.64980120548796</v>
      </c>
      <c r="AX37" s="13">
        <f>1-W37/'6states,ExoDamages'!T37</f>
        <v>7.9071985257136435E-2</v>
      </c>
      <c r="AY37" s="21">
        <f>-Y37*W37*X37^(-Parameters!B$52)*Parameters!B$46*Parameters!B$45*N37</f>
        <v>-1.7102234739157284E-5</v>
      </c>
      <c r="AZ37" s="7">
        <f>1000*EXP(-(Parameters!$B$54)*'6states'!A37)*AQ37*Parameters!B$46*Parameters!B$45*N37</f>
        <v>1.4977603608492014</v>
      </c>
      <c r="BA37" s="7">
        <f>SUM(AZ37:AZ$204)*EXP(Parameters!$B$54*A37)</f>
        <v>399.00045676534364</v>
      </c>
      <c r="BB37" s="13">
        <f t="shared" si="35"/>
        <v>0.22001625096363298</v>
      </c>
      <c r="BC37" s="30"/>
      <c r="BD37" s="30"/>
      <c r="BE37" s="30"/>
      <c r="BF37" s="5">
        <f t="shared" si="58"/>
        <v>-2.0450373588634511E-3</v>
      </c>
      <c r="BG37" s="2">
        <f>BF37/Parameters!$B$45</f>
        <v>-3.4083955981057521</v>
      </c>
      <c r="BH37" s="2">
        <f t="shared" si="27"/>
        <v>1.2481748179596908E-3</v>
      </c>
      <c r="BK37">
        <f>-EXP(-Parameters!B$42*'6states'!A37)*(-Parameters!B$37/Parameters!B$38/Parameters!E$25*(EXP(-Parameters!B$38*Parameters!E$25*'6states'!I37/('6states'!F37+'6states'!I37))-EXP(-Parameters!B$38*Parameters!E$25))+Parameters!B$37*'6states'!F37/('6states'!F37+'6states'!I37)*EXP(-Parameters!B$38*Parameters!E$25*'6states'!I37/('6states'!F37+'6states'!I37)))</f>
        <v>-0.64448817918655388</v>
      </c>
      <c r="BL37">
        <f>-J37*K37*EXP(-Parameters!B$42*'6states'!A37)*(-Parameters!B$37/Parameters!B$38/Parameters!E$25*(EXP(-Parameters!B$38*Parameters!E$25*'6states'!I37/('6states'!F37+'6states'!I37))-EXP(-Parameters!B$38*Parameters!E$25)) + Parameters!B$37*'6states'!F37/('6states'!F37+'6states'!I37)*EXP(-Parameters!B$38*Parameters!E$25*'6states'!I37/('6states'!F37+'6states'!I37)))</f>
        <v>-100.68977363953093</v>
      </c>
      <c r="BM37" s="7">
        <f t="shared" si="59"/>
        <v>4.3474904989082519E-2</v>
      </c>
      <c r="BS37">
        <f>EXP(-Parameters!$B$56*A37)*BF37*BL37</f>
        <v>1.5696853834295588E-2</v>
      </c>
      <c r="BT37">
        <f>-EXP((Parameters!$B$56)*F37)*SUM(BS37:BS45)</f>
        <v>-7.7502244033763837E-2</v>
      </c>
      <c r="BU37">
        <f>X37^-Parameters!B$52/(1-2*Parameters!B$5*'6states'!D37/'6states'!G37)</f>
        <v>1.1264457095042806</v>
      </c>
      <c r="BV37">
        <f t="shared" ref="BV37:BV68" si="61">BU37/BU36</f>
        <v>1.0031240370461327</v>
      </c>
      <c r="BW37">
        <f>$X37^-Parameters!$B$52/(1-2*Parameters!$B$5*'6states'!$E37/'6states'!$H37)</f>
        <v>1.054476116199585</v>
      </c>
      <c r="BX37">
        <f t="shared" ref="BX37:BX68" si="62">BW37/BW36</f>
        <v>0.9934384283358626</v>
      </c>
      <c r="BY37" s="7">
        <f>($X37^-Parameters!$B$52*(1/(1+EXP(-C37)) + IF(C37&lt;0,2*Parameters!$B$6*C37/F37,0)) + BQ37*(1/(1+EXP((C37-Parameters!$B$22)*Parameters!$B$21))))/(1-IF(C37&gt;0,2*Parameters!$B$5*C37/F37,0))</f>
        <v>0.5013527709568818</v>
      </c>
      <c r="BZ37">
        <f t="shared" ref="BZ37:BZ68" si="63">BY37/BY36</f>
        <v>1.0021246030579583</v>
      </c>
      <c r="CA37" s="7">
        <f t="shared" ref="CA37:CA68" si="64">BY37-BY36</f>
        <v>1.0629173528327041E-3</v>
      </c>
      <c r="CB37">
        <f>(1/$T37-1/Parameters!$B$13) * LN(Parameters!$B$18) / LN(P37)</f>
        <v>0.23642441094791838</v>
      </c>
      <c r="CC37">
        <f>(Parameters!$B$18*'6states'!T37^+Parameters!$B$19*Parameters!$B$25^'6states'!T37)^((1-'6states'!T37)/'6states'!T37)*Parameters!$B$18*Parameters!$B$26^('6states'!T37-1)</f>
        <v>0.27406892293469975</v>
      </c>
      <c r="CD37">
        <f t="shared" ref="CD37:CD68" si="65">(LN(CC37)-LN(CC$4))/ LN(P37)</f>
        <v>0.24900233516933071</v>
      </c>
      <c r="CE37">
        <f t="shared" ref="CE37:CE68" si="66">1-2^-CB37</f>
        <v>0.15115350331437205</v>
      </c>
      <c r="CF37">
        <f t="shared" ref="CF37:CF68" si="67">1-2^-CC37</f>
        <v>0.1730161406105899</v>
      </c>
    </row>
    <row r="38" spans="1:84" x14ac:dyDescent="0.25">
      <c r="A38">
        <f>A37+Parameters!$B$65</f>
        <v>34</v>
      </c>
      <c r="B38">
        <v>2059</v>
      </c>
      <c r="C38" s="74">
        <v>7.4884249702459899E-3</v>
      </c>
      <c r="D38" s="69">
        <v>7.6622418108934096E-2</v>
      </c>
      <c r="E38" s="75">
        <v>0.21661378133564799</v>
      </c>
      <c r="F38" s="7">
        <f>MAX((1-Parameters!$B$4)^Parameters!B$65*F37 + C37*Parameters!B$65 - IF(C37&gt;0,Parameters!$B$5,0)*C37^2/F37*Parameters!B$65, 0.0001)</f>
        <v>0.18375951106732505</v>
      </c>
      <c r="G38" s="7">
        <f>(1-Parameters!$B$4)^Parameters!B$65*G37+D37*Parameters!B$65-Parameters!$B$5*D37^2/G37*Parameters!B$65</f>
        <v>0.85052260046712136</v>
      </c>
      <c r="H38" s="7">
        <f>(1-Parameters!$B$4)^Parameters!B$65*H37+E37*Parameters!B$65-Parameters!$B$5*E37^2/H37*Parameters!B$65</f>
        <v>3.4366636135043218</v>
      </c>
      <c r="I38" s="9">
        <f>I37 *(1-Parameters!$B$4)-C37*(C37&lt;0)*Parameters!B$65</f>
        <v>8.0342211782297498E-3</v>
      </c>
      <c r="J38" s="23">
        <f>J37*(1+Parameters!$B$51)^Parameters!B$65</f>
        <v>9.0042931006409646</v>
      </c>
      <c r="K38" s="23">
        <f>K37*(1+Parameters!$B$53)^Parameters!B$65</f>
        <v>17.749192027128696</v>
      </c>
      <c r="L38" s="23">
        <f>J38*K38*EXP(-Parameters!$B$42*'6states'!A38)*(Parameters!$B$37/Parameters!$B$38*('6states'!F38+'6states'!I38)/Parameters!$E$25*(EXP(-Parameters!$B$38*Parameters!$E$25*'6states'!I38/('6states'!F38+'6states'!I38))-EXP(-Parameters!$B$38*Parameters!$E$25))  +  Parameters!$B$39*'6states'!F38)</f>
        <v>16.559143480527517</v>
      </c>
      <c r="M38" s="8">
        <f>M37+L38*Parameters!B$65</f>
        <v>3114.2841589351392</v>
      </c>
      <c r="N38" s="7">
        <f>M38*Parameters!$B$45</f>
        <v>1.8685704953610833</v>
      </c>
      <c r="O38" s="9">
        <f>EXP(-Parameters!$B$46/2*N38^2)</f>
        <v>0.9655183855807975</v>
      </c>
      <c r="P38" s="8">
        <f>MAX((Parameters!$B$62 + Parameters!$B$31*'6states'!A38 - '6states'!M38 + Parameters!$B$47/Parameters!$B$45)/Parameters!B$62,1)</f>
        <v>20.890316821297219</v>
      </c>
      <c r="Q38" s="7">
        <f>Parameters!B$61*EXP(-Parameters!B$60*A38)</f>
        <v>0.19965843836819494</v>
      </c>
      <c r="R38" s="7">
        <f>(1-Parameters!B$61)*P38^-Parameters!B$63</f>
        <v>0.36895678533161336</v>
      </c>
      <c r="S38" s="7">
        <f>Parameters!B$61*EXP(-Parameters!B$60*A38)+(1-Parameters!B$61)*P38^-Parameters!B$63</f>
        <v>0.56861522369980833</v>
      </c>
      <c r="T38" s="7">
        <f>1-S38/Parameters!$B$12</f>
        <v>0.71569238815009584</v>
      </c>
      <c r="U38" s="7">
        <f t="shared" si="0"/>
        <v>3.5173170127007878</v>
      </c>
      <c r="V38" s="7">
        <f>(Parameters!$B$19*(F38+Parameters!$B$20)^T38+Parameters!$B$18*G38^T38)^(1/T38)</f>
        <v>0.36454270993750537</v>
      </c>
      <c r="W38" s="7">
        <f>(Parameters!$B$10*H38^Parameters!$B$9+Parameters!$B$11*V38^Parameters!$B$9)^(Parameters!$B$7/Parameters!$B$9)*O38</f>
        <v>1.3604022344408142</v>
      </c>
      <c r="X38" s="7">
        <f>W38 - D38 - E38 - LN(1+EXP(Parameters!$B$21*C38))/Parameters!$B$21 - IF(C38&gt;0, 0,Parameters!$B$6*C38^2/F38)</f>
        <v>1.0593424827548694</v>
      </c>
      <c r="Y38" s="7">
        <f>EXP(-Parameters!$B$55*A38)</f>
        <v>0.59845736077844469</v>
      </c>
      <c r="Z38" s="7">
        <f>IF(X38&gt;0,X38^(1-Parameters!$B$52)/(1-Parameters!$B$52)*Y38*Parameters!$B$65,-10+X38*1000)</f>
        <v>-1.6757237789286827</v>
      </c>
      <c r="AB38" s="9"/>
      <c r="AC38">
        <f t="shared" si="6"/>
        <v>1.1967920459998107</v>
      </c>
      <c r="AD38">
        <f t="shared" si="7"/>
        <v>12.245712670208121</v>
      </c>
      <c r="AE38" s="23">
        <f t="shared" si="8"/>
        <v>1.2840206104906378</v>
      </c>
      <c r="AF38" s="23">
        <f t="shared" si="9"/>
        <v>29.368247942125606</v>
      </c>
      <c r="AG38" s="23">
        <f t="shared" si="10"/>
        <v>135.92960966112054</v>
      </c>
      <c r="AH38" s="23">
        <f t="shared" si="11"/>
        <v>58.260824861558433</v>
      </c>
      <c r="AI38" s="23">
        <f t="shared" si="12"/>
        <v>143.38432558255491</v>
      </c>
      <c r="AJ38" s="23">
        <f t="shared" si="13"/>
        <v>217.41802582094289</v>
      </c>
      <c r="AK38" s="23">
        <f t="shared" si="14"/>
        <v>169.30297924973036</v>
      </c>
      <c r="AL38" s="9">
        <f t="shared" si="23"/>
        <v>2.1532251790517876E-2</v>
      </c>
      <c r="AM38" s="9">
        <f t="shared" si="24"/>
        <v>2.0217959804790908E-2</v>
      </c>
      <c r="AN38" s="9">
        <f t="shared" ref="AN38:AO38" si="68">AVERAGE(AL36:AL40)</f>
        <v>2.1222383967398884E-2</v>
      </c>
      <c r="AO38" s="9">
        <f t="shared" si="68"/>
        <v>2.0310582437089587E-2</v>
      </c>
      <c r="AP38" s="23"/>
      <c r="AQ38" s="8">
        <f t="shared" si="1"/>
        <v>217.41802582094289</v>
      </c>
      <c r="AR38" s="32">
        <f>Parameters!$B$7*W38*(W38/O38)^(-Parameters!$B$9/Parameters!$B$7)*Parameters!$B$11*(V38)^(Parameters!$B$9-T38)*((1-2*Parameters!$B$5*C38/F38)*Parameters!$B$19*(F38+Parameters!$B$20)^(T38-1)-(1-2*Parameters!$B$5*D38/G38)*(Parameters!$B$18)*(G38)^(T38-1))</f>
        <v>0.19562568872677394</v>
      </c>
      <c r="AS38" s="32">
        <f>((C39-C37)/2-(F39-F37)/F38/2*C38)/(F38/2/Parameters!$B$5-C38)-((D39-D37)/D38-(G39-G37)/G38)/(G38/2/Parameters!$B$5/D38-1)</f>
        <v>-6.071936842560266E-2</v>
      </c>
      <c r="AT38" s="32">
        <f>+Parameters!$B$5*C38^2/F38^2-Parameters!$B$5*D38^2/G38^2</f>
        <v>-6.4552994863219942E-3</v>
      </c>
      <c r="AU38" s="30">
        <f>EXP(-Parameters!$B$42*'6states'!A38)*(Parameters!$B$37*EXP(-Parameters!$B$38*Parameters!$E$25*'6states'!I38/('6states'!F38+'6states'!I38))*(1/Parameters!$B$38/Parameters!$E$25+'6states'!I38/('6states'!F38+'6states'!I38))-Parameters!$B$37/Parameters!$B$38/Parameters!$E$25*EXP(-Parameters!$B$38*Parameters!$E$25)+Parameters!$B$39)</f>
        <v>0.59374147191067772</v>
      </c>
      <c r="AV38" s="30">
        <f>J38*K38*EXP(-Parameters!$B$42*'6states'!A38)*(Parameters!$B$37*EXP(-Parameters!$B$38*Parameters!$E$25*'6states'!I38/('6states'!F38+'6states'!I38))*(1/Parameters!$B$38/Parameters!$E$25+'6states'!I38/('6states'!F38+'6states'!I38))-Parameters!$B$37/Parameters!$B$38/Parameters!$E$25*EXP(-Parameters!$B$38*Parameters!$E$25)+Parameters!$B$39)</f>
        <v>94.891125141309502</v>
      </c>
      <c r="AW38" s="8">
        <f>1000*(AR38+AS38+AT38)/(EXP(-Parameters!$B$42*A38)*((C38&lt;0)*Parameters!$B$37*EXP(-Parameters!$B$38*AF38)+(C38&gt;=0)*Parameters!$B$41))</f>
        <v>198.16859947422051</v>
      </c>
      <c r="AX38" s="13">
        <f>1-W38/'6states,ExoDamages'!T38</f>
        <v>7.9742028733300274E-2</v>
      </c>
      <c r="AY38" s="21">
        <f>-Y38*W38*X38^(-Parameters!B$52)*Parameters!B$46*Parameters!B$45*N38</f>
        <v>-1.6972984676878913E-5</v>
      </c>
      <c r="AZ38" s="7">
        <f>1000*EXP(-(Parameters!$B$54)*'6states'!A38)*AQ38*Parameters!B$46*Parameters!B$45*N38</f>
        <v>1.4854748665256625</v>
      </c>
      <c r="BA38" s="7">
        <f>SUM(AZ38:AZ$204)*EXP(Parameters!$B$54*A38)</f>
        <v>408.31403267824771</v>
      </c>
      <c r="BB38" s="13">
        <f t="shared" si="35"/>
        <v>0.22105566780286806</v>
      </c>
      <c r="BC38" s="30"/>
      <c r="BD38" s="30"/>
      <c r="BE38" s="30"/>
      <c r="BF38" s="5">
        <f t="shared" si="58"/>
        <v>-2.0475745469931963E-3</v>
      </c>
      <c r="BG38" s="2">
        <f>BF38/Parameters!$B$45</f>
        <v>-3.412624244988661</v>
      </c>
      <c r="BH38" s="2">
        <f t="shared" si="27"/>
        <v>1.2391188069177383E-3</v>
      </c>
      <c r="BK38">
        <f>-EXP(-Parameters!B$42*'6states'!A38)*(-Parameters!B$37/Parameters!B$38/Parameters!E$25*(EXP(-Parameters!B$38*Parameters!E$25*'6states'!I38/('6states'!F38+'6states'!I38))-EXP(-Parameters!B$38*Parameters!E$25))+Parameters!B$37*'6states'!F38/('6states'!F38+'6states'!I38)*EXP(-Parameters!B$38*Parameters!E$25*'6states'!I38/('6states'!F38+'6states'!I38)))</f>
        <v>-0.68379220153824261</v>
      </c>
      <c r="BL38">
        <f>-J38*K38*EXP(-Parameters!B$42*'6states'!A38)*(-Parameters!B$37/Parameters!B$38/Parameters!E$25*(EXP(-Parameters!B$38*Parameters!E$25*'6states'!I38/('6states'!F38+'6states'!I38))-EXP(-Parameters!B$38*Parameters!E$25)) + Parameters!B$37*'6states'!F38/('6states'!F38+'6states'!I38)*EXP(-Parameters!B$38*Parameters!E$25*'6states'!I38/('6states'!F38+'6states'!I38)))</f>
        <v>-109.28293615403425</v>
      </c>
      <c r="BM38" s="7">
        <f t="shared" si="59"/>
        <v>4.1889904764684814E-2</v>
      </c>
      <c r="BS38">
        <f>EXP(-Parameters!$B$56*A38)*BF38*BL38</f>
        <v>1.5777678823660383E-2</v>
      </c>
      <c r="BT38">
        <f>-EXP((Parameters!$B$56)*F38)*SUM(BS38:BS46)</f>
        <v>-6.5395280746342543E-2</v>
      </c>
      <c r="BU38">
        <f>X38^-Parameters!B$52/(1-2*Parameters!B$5*'6states'!D38/'6states'!G38)</f>
        <v>1.1284463522699759</v>
      </c>
      <c r="BV38">
        <f t="shared" si="61"/>
        <v>1.001776066745885</v>
      </c>
      <c r="BW38">
        <f>$X38^-Parameters!$B$52/(1-2*Parameters!$B$5*'6states'!$E38/'6states'!$H38)</f>
        <v>1.0585698249071422</v>
      </c>
      <c r="BX38">
        <f t="shared" si="62"/>
        <v>1.0038822204170079</v>
      </c>
      <c r="BY38" s="7">
        <f>($X38^-Parameters!$B$52*(1/(1+EXP(-C38)) + IF(C38&lt;0,2*Parameters!$B$6*C38/F38,0)) + BQ38*(1/(1+EXP((C38-Parameters!$B$22)*Parameters!$B$21))))/(1-IF(C38&gt;0,2*Parameters!$B$5*C38/F38,0))</f>
        <v>0.50549390371679193</v>
      </c>
      <c r="BZ38">
        <f t="shared" si="63"/>
        <v>1.0082599179655602</v>
      </c>
      <c r="CA38" s="7">
        <f t="shared" si="64"/>
        <v>4.1411327599101266E-3</v>
      </c>
      <c r="CB38">
        <f>(1/$T38-1/Parameters!$B$13) * LN(Parameters!$B$18) / LN(P38)</f>
        <v>0.23625463891542325</v>
      </c>
      <c r="CC38">
        <f>(Parameters!$B$18*'6states'!T38^+Parameters!$B$19*Parameters!$B$25^'6states'!T38)^((1-'6states'!T38)/'6states'!T38)*Parameters!$B$18*Parameters!$B$26^('6states'!T38-1)</f>
        <v>0.27550598800930931</v>
      </c>
      <c r="CD38">
        <f t="shared" si="65"/>
        <v>0.24779745954715618</v>
      </c>
      <c r="CE38">
        <f t="shared" si="66"/>
        <v>0.15105360772278376</v>
      </c>
      <c r="CF38">
        <f t="shared" si="67"/>
        <v>0.1738394871172726</v>
      </c>
    </row>
    <row r="39" spans="1:84" x14ac:dyDescent="0.25">
      <c r="A39">
        <f>A38+Parameters!$B$65</f>
        <v>35</v>
      </c>
      <c r="B39">
        <v>2060</v>
      </c>
      <c r="C39" s="74">
        <v>-3.6774780576101398E-3</v>
      </c>
      <c r="D39" s="69">
        <v>7.7950263224337596E-2</v>
      </c>
      <c r="E39" s="75">
        <v>0.222840344011243</v>
      </c>
      <c r="F39" s="7">
        <f>MAX((1-Parameters!$B$4)^Parameters!B$65*F38 + C38*Parameters!B$65 - IF(C38&gt;0,Parameters!$B$5,0)*C38^2/F38*Parameters!B$65, 0.0001)</f>
        <v>0.17938430030918276</v>
      </c>
      <c r="G39" s="7">
        <f>(1-Parameters!$B$4)^Parameters!B$65*G38+D38*Parameters!B$65-Parameters!$B$5*D38^2/G38*Parameters!B$65</f>
        <v>0.86674433812935991</v>
      </c>
      <c r="H39" s="7">
        <f>(1-Parameters!$B$4)^Parameters!B$65*H38+E38*Parameters!B$65-Parameters!$B$5*E38^2/H38*Parameters!B$65</f>
        <v>3.4234580318386088</v>
      </c>
      <c r="I39" s="9">
        <f>I38 *(1-Parameters!$B$4)-C38*(C38&lt;0)*Parameters!B$65</f>
        <v>7.5288686661190984E-3</v>
      </c>
      <c r="J39" s="23">
        <f>J38*(1+Parameters!$B$51)^Parameters!B$65</f>
        <v>9.0304055506328229</v>
      </c>
      <c r="K39" s="23">
        <f>K38*(1+Parameters!$B$53)^Parameters!B$65</f>
        <v>18.10417586767127</v>
      </c>
      <c r="L39" s="23">
        <f>J39*K39*EXP(-Parameters!$B$42*'6states'!A39)*(Parameters!$B$37/Parameters!$B$38*('6states'!F39+'6states'!I39)/Parameters!$E$25*(EXP(-Parameters!$B$38*Parameters!$E$25*'6states'!I39/('6states'!F39+'6states'!I39))-EXP(-Parameters!$B$38*Parameters!$E$25))  +  Parameters!$B$39*'6states'!F39)</f>
        <v>16.40746716179498</v>
      </c>
      <c r="M39" s="8">
        <f>M38+L39*Parameters!B$65</f>
        <v>3130.6916260969342</v>
      </c>
      <c r="N39" s="7">
        <f>M39*Parameters!$B$45</f>
        <v>1.8784149756581603</v>
      </c>
      <c r="O39" s="9">
        <f>EXP(-Parameters!$B$46/2*N39^2)</f>
        <v>0.96516051918803281</v>
      </c>
      <c r="P39" s="8">
        <f>MAX((Parameters!$B$62 + Parameters!$B$31*'6states'!A39 - '6states'!M39 + Parameters!$B$47/Parameters!$B$45)/Parameters!B$62,1)</f>
        <v>21.626167478061316</v>
      </c>
      <c r="Q39" s="7">
        <f>Parameters!B$61*EXP(-Parameters!B$60*A39)</f>
        <v>0.19433978545087652</v>
      </c>
      <c r="R39" s="7">
        <f>(1-Parameters!B$61)*P39^-Parameters!B$63</f>
        <v>0.36768172805713545</v>
      </c>
      <c r="S39" s="7">
        <f>Parameters!B$61*EXP(-Parameters!B$60*A39)+(1-Parameters!B$61)*P39^-Parameters!B$63</f>
        <v>0.56202151350801199</v>
      </c>
      <c r="T39" s="7">
        <f>1-S39/Parameters!$B$12</f>
        <v>0.718989243245994</v>
      </c>
      <c r="U39" s="7">
        <f t="shared" si="0"/>
        <v>3.5585826377293803</v>
      </c>
      <c r="V39" s="7">
        <f>(Parameters!$B$19*(F39+Parameters!$B$20)^T39+Parameters!$B$18*G39^T39)^(1/T39)</f>
        <v>0.36509022424652449</v>
      </c>
      <c r="W39" s="7">
        <f>(Parameters!$B$10*H39^Parameters!$B$9+Parameters!$B$11*V39^Parameters!$B$9)^(Parameters!$B$7/Parameters!$B$9)*O39</f>
        <v>1.3589924387680536</v>
      </c>
      <c r="X39" s="7">
        <f>W39 - D39 - E39 - LN(1+EXP(Parameters!$B$21*C39))/Parameters!$B$21 - IF(C39&gt;0, 0,Parameters!$B$6*C39^2/F39)</f>
        <v>1.0568697921266264</v>
      </c>
      <c r="Y39" s="7">
        <f>EXP(-Parameters!$B$55*A39)</f>
        <v>0.58948853964467807</v>
      </c>
      <c r="Z39" s="7">
        <f>IF(X39&gt;0,X39^(1-Parameters!$B$52)/(1-Parameters!$B$52)*Y39*Parameters!$B$65,-10+X39*1000)</f>
        <v>-1.6519610460262499</v>
      </c>
      <c r="AB39" s="9"/>
      <c r="AC39">
        <f t="shared" si="6"/>
        <v>-0.60122371745764069</v>
      </c>
      <c r="AD39">
        <f t="shared" si="7"/>
        <v>12.743936550635489</v>
      </c>
      <c r="AE39" s="23">
        <f t="shared" si="8"/>
        <v>1.2308800587748727</v>
      </c>
      <c r="AF39" s="23">
        <f t="shared" si="9"/>
        <v>29.327189502121065</v>
      </c>
      <c r="AG39" s="23">
        <f t="shared" si="10"/>
        <v>141.70234190170663</v>
      </c>
      <c r="AH39" s="23">
        <f t="shared" si="11"/>
        <v>59.687888925592894</v>
      </c>
      <c r="AI39" s="23">
        <f t="shared" si="12"/>
        <v>146.89643889147052</v>
      </c>
      <c r="AJ39" s="23">
        <f t="shared" si="13"/>
        <v>222.17902411195652</v>
      </c>
      <c r="AK39" s="23">
        <f t="shared" si="14"/>
        <v>172.78558167767494</v>
      </c>
      <c r="AL39" s="9">
        <f t="shared" si="23"/>
        <v>2.1661585103660563E-2</v>
      </c>
      <c r="AM39" s="9">
        <f t="shared" si="24"/>
        <v>2.0361527080597241E-2</v>
      </c>
      <c r="AN39" s="9">
        <f t="shared" ref="AN39:AO39" si="69">AVERAGE(AL37:AL41)</f>
        <v>2.1328584318320055E-2</v>
      </c>
      <c r="AO39" s="9">
        <f t="shared" si="69"/>
        <v>2.0968558663314596E-2</v>
      </c>
      <c r="AP39" s="23"/>
      <c r="AQ39" s="8">
        <f t="shared" si="1"/>
        <v>222.17902411195655</v>
      </c>
      <c r="AR39" s="32">
        <f>Parameters!$B$7*W39*(W39/O39)^(-Parameters!$B$9/Parameters!$B$7)*Parameters!$B$11*(V39)^(Parameters!$B$9-T39)*((1-2*Parameters!$B$5*C39/F39)*Parameters!$B$19*(F39+Parameters!$B$20)^(T39-1)-(1-2*Parameters!$B$5*D39/G39)*(Parameters!$B$18)*(G39)^(T39-1))</f>
        <v>0.22821072732225373</v>
      </c>
      <c r="AS39" s="32">
        <f>((C40-C38)/2-(F40-F38)/F39/2*C39)/(F39/2/Parameters!$B$5-C39)-((D40-D38)/D39-(G40-G38)/G39)/(G39/2/Parameters!$B$5/D39-1)</f>
        <v>5.6507545087471685E-3</v>
      </c>
      <c r="AT39" s="32">
        <f>+Parameters!$B$5*C39^2/F39^2-Parameters!$B$5*D39^2/G39^2</f>
        <v>-7.6679507010245628E-3</v>
      </c>
      <c r="AU39" s="30">
        <f>EXP(-Parameters!$B$42*'6states'!A39)*(Parameters!$B$37*EXP(-Parameters!$B$38*Parameters!$E$25*'6states'!I39/('6states'!F39+'6states'!I39))*(1/Parameters!$B$38/Parameters!$E$25+'6states'!I39/('6states'!F39+'6states'!I39))-Parameters!$B$37/Parameters!$B$38/Parameters!$E$25*EXP(-Parameters!$B$38*Parameters!$E$25)+Parameters!$B$39)</f>
        <v>0.58994503281635557</v>
      </c>
      <c r="AV39" s="30">
        <f>J39*K39*EXP(-Parameters!$B$42*'6states'!A39)*(Parameters!$B$37*EXP(-Parameters!$B$38*Parameters!$E$25*'6states'!I39/('6states'!F39+'6states'!I39))*(1/Parameters!$B$38/Parameters!$E$25+'6states'!I39/('6states'!F39+'6states'!I39))-Parameters!$B$37/Parameters!$B$38/Parameters!$E$25*EXP(-Parameters!$B$38*Parameters!$E$25)+Parameters!$B$39)</f>
        <v>96.448963166898849</v>
      </c>
      <c r="AW39" s="8">
        <f>1000*(AR39+AS39+AT39)/(EXP(-Parameters!$B$42*A39)*((C39&lt;0)*Parameters!$B$37*EXP(-Parameters!$B$38*AF39)+(C39&gt;=0)*Parameters!$B$41))</f>
        <v>101106981732.30092</v>
      </c>
      <c r="AX39" s="13">
        <f>1-W39/'6states,ExoDamages'!T39</f>
        <v>8.0299423368626277E-2</v>
      </c>
      <c r="AY39" s="21">
        <f>-Y39*W39*X39^(-Parameters!B$52)*Parameters!B$46*Parameters!B$45*N39</f>
        <v>-1.6842333080732106E-5</v>
      </c>
      <c r="AZ39" s="7">
        <f>1000*EXP(-(Parameters!$B$54)*'6states'!A39)*AQ39*Parameters!B$46*Parameters!B$45*N39</f>
        <v>1.4733676622367291</v>
      </c>
      <c r="BA39" s="7">
        <f>SUM(AZ39:AZ$204)*EXP(Parameters!$B$54*A39)</f>
        <v>417.82581456376761</v>
      </c>
      <c r="BB39" s="13">
        <f t="shared" si="35"/>
        <v>0.21862750719003837</v>
      </c>
      <c r="BC39" s="30"/>
      <c r="BD39" s="30"/>
      <c r="BE39" s="30"/>
      <c r="BF39" s="5">
        <f t="shared" si="58"/>
        <v>-2.0499348052502864E-3</v>
      </c>
      <c r="BG39" s="2">
        <f>BF39/Parameters!$B$45</f>
        <v>-3.4165580087504774</v>
      </c>
      <c r="BH39" s="2">
        <f t="shared" si="27"/>
        <v>1.1513821078820152E-3</v>
      </c>
      <c r="BK39">
        <f>-EXP(-Parameters!B$42*'6states'!A39)*(-Parameters!B$37/Parameters!B$38/Parameters!E$25*(EXP(-Parameters!B$38*Parameters!E$25*'6states'!I39/('6states'!F39+'6states'!I39))-EXP(-Parameters!B$38*Parameters!E$25))+Parameters!B$37*'6states'!F39/('6states'!F39+'6states'!I39)*EXP(-Parameters!B$38*Parameters!E$25*'6states'!I39/('6states'!F39+'6states'!I39)))</f>
        <v>-0.72627922198617412</v>
      </c>
      <c r="BL39">
        <f>-J39*K39*EXP(-Parameters!B$42*'6states'!A39)*(-Parameters!B$37/Parameters!B$38/Parameters!E$25*(EXP(-Parameters!B$38*Parameters!E$25*'6states'!I39/('6states'!F39+'6states'!I39))-EXP(-Parameters!B$38*Parameters!E$25)) + Parameters!B$37*'6states'!F39/('6states'!F39+'6states'!I39)*EXP(-Parameters!B$38*Parameters!E$25*'6states'!I39/('6states'!F39+'6states'!I39)))</f>
        <v>-118.73797393601248</v>
      </c>
      <c r="BM39" s="7">
        <f t="shared" si="59"/>
        <v>4.0280033276381612E-2</v>
      </c>
      <c r="BS39">
        <f>EXP(-Parameters!$B$56*A39)*BF39*BL39</f>
        <v>1.5874708080762117E-2</v>
      </c>
      <c r="BT39">
        <f>-EXP((Parameters!$B$56)*F39)*SUM(BS39:BS47)</f>
        <v>-5.3355891669687058E-2</v>
      </c>
      <c r="BU39">
        <f>X39^-Parameters!B$52/(1-2*Parameters!B$5*'6states'!D39/'6states'!G39)</f>
        <v>1.1315866671908379</v>
      </c>
      <c r="BV39">
        <f t="shared" si="61"/>
        <v>1.0027828659417835</v>
      </c>
      <c r="BW39">
        <f>$X39^-Parameters!$B$52/(1-2*Parameters!$B$5*'6states'!$E39/'6states'!$H39)</f>
        <v>1.066949298732478</v>
      </c>
      <c r="BX39">
        <f t="shared" si="62"/>
        <v>1.007915844215634</v>
      </c>
      <c r="BY39" s="7">
        <f>($X39^-Parameters!$B$52*(1/(1+EXP(-C39)) + IF(C39&lt;0,2*Parameters!$B$6*C39/F39,0)) + BQ39*(1/(1+EXP((C39-Parameters!$B$22)*Parameters!$B$21))))/(1-IF(C39&gt;0,2*Parameters!$B$5*C39/F39,0))</f>
        <v>0.27291612305890783</v>
      </c>
      <c r="BZ39">
        <f t="shared" si="63"/>
        <v>0.53989992965733535</v>
      </c>
      <c r="CA39" s="7">
        <f t="shared" si="64"/>
        <v>-0.23257778065788409</v>
      </c>
      <c r="CB39">
        <f>(1/$T39-1/Parameters!$B$13) * LN(Parameters!$B$18) / LN(P39)</f>
        <v>0.23607692567960759</v>
      </c>
      <c r="CC39">
        <f>(Parameters!$B$18*'6states'!T39^+Parameters!$B$19*Parameters!$B$25^'6states'!T39)^((1-'6states'!T39)/'6states'!T39)*Parameters!$B$18*Parameters!$B$26^('6states'!T39-1)</f>
        <v>0.27687297404844008</v>
      </c>
      <c r="CD39">
        <f t="shared" si="65"/>
        <v>0.24661691978520417</v>
      </c>
      <c r="CE39">
        <f t="shared" si="66"/>
        <v>0.15094902685250899</v>
      </c>
      <c r="CF39">
        <f t="shared" si="67"/>
        <v>0.17462192206154159</v>
      </c>
    </row>
    <row r="40" spans="1:84" x14ac:dyDescent="0.25">
      <c r="A40">
        <f>A39+Parameters!$B$65</f>
        <v>36</v>
      </c>
      <c r="B40">
        <v>2061</v>
      </c>
      <c r="C40" s="74">
        <v>7.1702492170101903E-3</v>
      </c>
      <c r="D40" s="69">
        <v>7.61897298088728E-2</v>
      </c>
      <c r="E40" s="75">
        <v>0.22044485511370099</v>
      </c>
      <c r="F40" s="7">
        <f>MAX((1-Parameters!$B$4)^Parameters!B$65*F39 + C39*Parameters!B$65 - IF(C39&gt;0,Parameters!$B$5,0)*C39^2/F39*Parameters!B$65, 0.0001)</f>
        <v>0.16442354976212503</v>
      </c>
      <c r="G40" s="7">
        <f>(1-Parameters!$B$4)^Parameters!B$65*G39+D39*Parameters!B$65-Parameters!$B$5*D39^2/G39*Parameters!B$65</f>
        <v>0.88316596053111129</v>
      </c>
      <c r="H40" s="7">
        <f>(1-Parameters!$B$4)^Parameters!B$65*H39+E39*Parameters!B$65-Parameters!$B$5*E39^2/H39*Parameters!B$65</f>
        <v>3.4164577020210616</v>
      </c>
      <c r="I40" s="9">
        <f>I39 *(1-Parameters!$B$4)-C39*(C39&lt;0)*Parameters!B$65</f>
        <v>1.0732780884630347E-2</v>
      </c>
      <c r="J40" s="23">
        <f>J39*(1+Parameters!$B$51)^Parameters!B$65</f>
        <v>9.0565937267296572</v>
      </c>
      <c r="K40" s="23">
        <f>K39*(1+Parameters!$B$53)^Parameters!B$65</f>
        <v>18.466259385024696</v>
      </c>
      <c r="L40" s="23">
        <f>J40*K40*EXP(-Parameters!$B$42*'6states'!A40)*(Parameters!$B$37/Parameters!$B$38*('6states'!F40+'6states'!I40)/Parameters!$E$25*(EXP(-Parameters!$B$38*Parameters!$E$25*'6states'!I40/('6states'!F40+'6states'!I40))-EXP(-Parameters!$B$38*Parameters!$E$25))  +  Parameters!$B$39*'6states'!F40)</f>
        <v>14.930587409667755</v>
      </c>
      <c r="M40" s="8">
        <f>M39+L40*Parameters!B$65</f>
        <v>3145.6222135066018</v>
      </c>
      <c r="N40" s="7">
        <f>M40*Parameters!$B$45</f>
        <v>1.8873733281039609</v>
      </c>
      <c r="O40" s="9">
        <f>EXP(-Parameters!$B$46/2*N40^2)</f>
        <v>0.9648333472566728</v>
      </c>
      <c r="P40" s="8">
        <f>MAX((Parameters!$B$62 + Parameters!$B$31*'6states'!A40 - '6states'!M40 + Parameters!$B$47/Parameters!$B$45)/Parameters!B$62,1)</f>
        <v>22.391555729867964</v>
      </c>
      <c r="Q40" s="7">
        <f>Parameters!B$61*EXP(-Parameters!B$60*A40)</f>
        <v>0.18916281484403841</v>
      </c>
      <c r="R40" s="7">
        <f>(1-Parameters!B$61)*P40^-Parameters!B$63</f>
        <v>0.36640515692502212</v>
      </c>
      <c r="S40" s="7">
        <f>Parameters!B$61*EXP(-Parameters!B$60*A40)+(1-Parameters!B$61)*P40^-Parameters!B$63</f>
        <v>0.55556797176906048</v>
      </c>
      <c r="T40" s="7">
        <f>1-S40/Parameters!$B$12</f>
        <v>0.72221601411546976</v>
      </c>
      <c r="U40" s="7">
        <f t="shared" si="0"/>
        <v>3.5999195447345977</v>
      </c>
      <c r="V40" s="7">
        <f>(Parameters!$B$19*(F40+Parameters!$B$20)^T40+Parameters!$B$18*G40^T40)^(1/T40)</f>
        <v>0.35672524275252304</v>
      </c>
      <c r="W40" s="7">
        <f>(Parameters!$B$10*H40^Parameters!$B$9+Parameters!$B$11*V40^Parameters!$B$9)^(Parameters!$B$7/Parameters!$B$9)*O40</f>
        <v>1.3550211058459245</v>
      </c>
      <c r="X40" s="7">
        <f>W40 - D40 - E40 - LN(1+EXP(Parameters!$B$21*C40))/Parameters!$B$21 - IF(C40&gt;0, 0,Parameters!$B$6*C40^2/F40)</f>
        <v>1.0508493632883111</v>
      </c>
      <c r="Y40" s="7">
        <f>EXP(-Parameters!$B$55*A40)</f>
        <v>0.58065413034674362</v>
      </c>
      <c r="Z40" s="7">
        <f>IF(X40&gt;0,X40^(1-Parameters!$B$52)/(1-Parameters!$B$52)*Y40*Parameters!$B$65,-10+X40*1000)</f>
        <v>-1.6304606143543057</v>
      </c>
      <c r="AB40" s="9"/>
      <c r="AC40">
        <f t="shared" si="6"/>
        <v>1.1991625812353861</v>
      </c>
      <c r="AD40">
        <f t="shared" si="7"/>
        <v>12.74207775714258</v>
      </c>
      <c r="AE40" s="23">
        <f t="shared" si="8"/>
        <v>1.7949653965882295</v>
      </c>
      <c r="AF40" s="23">
        <f t="shared" si="9"/>
        <v>27.498426118980824</v>
      </c>
      <c r="AG40" s="23">
        <f t="shared" si="10"/>
        <v>147.70191953402104</v>
      </c>
      <c r="AH40" s="23">
        <f t="shared" si="11"/>
        <v>59.659232189045866</v>
      </c>
      <c r="AI40" s="23">
        <f t="shared" si="12"/>
        <v>146.82591248109173</v>
      </c>
      <c r="AJ40" s="23">
        <f t="shared" si="13"/>
        <v>226.61563883440076</v>
      </c>
      <c r="AK40" s="23">
        <f t="shared" si="14"/>
        <v>175.74552806071344</v>
      </c>
      <c r="AL40" s="9">
        <f t="shared" si="23"/>
        <v>1.9771889555503463E-2</v>
      </c>
      <c r="AM40" s="9">
        <f t="shared" si="24"/>
        <v>1.6985671954401482E-2</v>
      </c>
      <c r="AN40" s="9">
        <f t="shared" ref="AN40:AO40" si="70">AVERAGE(AL38:AL42)</f>
        <v>2.1394923030510427E-2</v>
      </c>
      <c r="AO40" s="9">
        <f t="shared" si="70"/>
        <v>2.0541508316141412E-2</v>
      </c>
      <c r="AP40" s="23"/>
      <c r="AQ40" s="8">
        <f t="shared" si="1"/>
        <v>226.61563883440076</v>
      </c>
      <c r="AR40" s="32">
        <f>Parameters!$B$7*W40*(W40/O40)^(-Parameters!$B$9/Parameters!$B$7)*Parameters!$B$11*(V40)^(Parameters!$B$9-T40)*((1-2*Parameters!$B$5*C40/F40)*Parameters!$B$19*(F40+Parameters!$B$20)^(T40-1)-(1-2*Parameters!$B$5*D40/G40)*(Parameters!$B$18)*(G40)^(T40-1))</f>
        <v>0.21166423635261825</v>
      </c>
      <c r="AS40" s="32">
        <f>((C41-C39)/2-(F41-F39)/F40/2*C40)/(F40/2/Parameters!$B$5-C40)-((D41-D39)/D40-(G41-G39)/G40)/(G40/2/Parameters!$B$5/D40-1)</f>
        <v>8.4951717736793636E-2</v>
      </c>
      <c r="AT40" s="32">
        <f>+Parameters!$B$5*C40^2/F40^2-Parameters!$B$5*D40^2/G40^2</f>
        <v>-5.5406247690365984E-3</v>
      </c>
      <c r="AU40" s="30">
        <f>EXP(-Parameters!$B$42*'6states'!A40)*(Parameters!$B$37*EXP(-Parameters!$B$38*Parameters!$E$25*'6states'!I40/('6states'!F40+'6states'!I40))*(1/Parameters!$B$38/Parameters!$E$25+'6states'!I40/('6states'!F40+'6states'!I40))-Parameters!$B$37/Parameters!$B$38/Parameters!$E$25*EXP(-Parameters!$B$38*Parameters!$E$25)+Parameters!$B$39)</f>
        <v>0.56172629609433589</v>
      </c>
      <c r="AV40" s="30">
        <f>J40*K40*EXP(-Parameters!$B$42*'6states'!A40)*(Parameters!$B$37*EXP(-Parameters!$B$38*Parameters!$E$25*'6states'!I40/('6states'!F40+'6states'!I40))*(1/Parameters!$B$38/Parameters!$E$25+'6states'!I40/('6states'!F40+'6states'!I40))-Parameters!$B$37/Parameters!$B$38/Parameters!$E$25*EXP(-Parameters!$B$38*Parameters!$E$25)+Parameters!$B$39)</f>
        <v>93.943897176443059</v>
      </c>
      <c r="AW40" s="8">
        <f>1000*(AR40+AS40+AT40)/(EXP(-Parameters!$B$42*A40)*((C40&lt;0)*Parameters!$B$37*EXP(-Parameters!$B$38*AF40)+(C40&gt;=0)*Parameters!$B$41))</f>
        <v>458.12982629603749</v>
      </c>
      <c r="AX40" s="13">
        <f>1-W40/'6states,ExoDamages'!T40</f>
        <v>8.2625864456619125E-2</v>
      </c>
      <c r="AY40" s="21">
        <f>-Y40*W40*X40^(-Parameters!B$52)*Parameters!B$46*Parameters!B$45*N40</f>
        <v>-1.6749007319950813E-5</v>
      </c>
      <c r="AZ40" s="7">
        <f>1000*EXP(-(Parameters!$B$54)*'6states'!A40)*AQ40*Parameters!B$46*Parameters!B$45*N40</f>
        <v>1.4578756802551658</v>
      </c>
      <c r="BA40" s="7">
        <f>SUM(AZ40:AZ$204)*EXP(Parameters!$B$54*A40)</f>
        <v>427.538946450342</v>
      </c>
      <c r="BB40" s="13">
        <f t="shared" si="35"/>
        <v>0.22420671739273171</v>
      </c>
      <c r="BC40" s="30"/>
      <c r="BD40" s="30"/>
      <c r="BE40" s="30"/>
      <c r="BF40" s="5">
        <f t="shared" si="58"/>
        <v>-2.0521179121235173E-3</v>
      </c>
      <c r="BG40" s="2">
        <f>BF40/Parameters!$B$45</f>
        <v>-3.4201965202058626</v>
      </c>
      <c r="BH40" s="2">
        <f t="shared" si="27"/>
        <v>1.0638311085019447E-3</v>
      </c>
      <c r="BK40">
        <f>-EXP(-Parameters!B$42*'6states'!A40)*(-Parameters!B$37/Parameters!B$38/Parameters!E$25*(EXP(-Parameters!B$38*Parameters!E$25*'6states'!I40/('6states'!F40+'6states'!I40))-EXP(-Parameters!B$38*Parameters!E$25))+Parameters!B$37*'6states'!F40/('6states'!F40+'6states'!I40)*EXP(-Parameters!B$38*Parameters!E$25*'6states'!I40/('6states'!F40+'6states'!I40)))</f>
        <v>-0.2874716379223109</v>
      </c>
      <c r="BL40">
        <f>-J40*K40*EXP(-Parameters!B$42*'6states'!A40)*(-Parameters!B$37/Parameters!B$38/Parameters!E$25*(EXP(-Parameters!B$38*Parameters!E$25*'6states'!I40/('6states'!F40+'6states'!I40))-EXP(-Parameters!B$38*Parameters!E$25)) + Parameters!B$37*'6states'!F40/('6states'!F40+'6states'!I40)*EXP(-Parameters!B$38*Parameters!E$25*'6states'!I40/('6states'!F40+'6states'!I40)))</f>
        <v>-48.077161745658856</v>
      </c>
      <c r="BM40" s="7">
        <f t="shared" si="59"/>
        <v>6.1275438032985324E-2</v>
      </c>
      <c r="BS40">
        <f>EXP(-Parameters!$B$56*A40)*BF40*BL40</f>
        <v>5.9517163745995867E-3</v>
      </c>
      <c r="BT40">
        <f>-EXP((Parameters!$B$56)*F40)*SUM(BS40:BS48)</f>
        <v>-3.9218789975542109E-2</v>
      </c>
      <c r="BU40">
        <f>X40^-Parameters!B$52/(1-2*Parameters!B$5*'6states'!D40/'6states'!G40)</f>
        <v>1.1302439137893503</v>
      </c>
      <c r="BV40">
        <f t="shared" si="61"/>
        <v>0.99881338881022608</v>
      </c>
      <c r="BW40">
        <f>$X40^-Parameters!$B$52/(1-2*Parameters!$B$5*'6states'!$E40/'6states'!$H40)</f>
        <v>1.0738077685136536</v>
      </c>
      <c r="BX40">
        <f t="shared" si="62"/>
        <v>1.0064281121786418</v>
      </c>
      <c r="BY40" s="7">
        <f>($X40^-Parameters!$B$52*(1/(1+EXP(-C40)) + IF(C40&lt;0,2*Parameters!$B$6*C40/F40,0)) + BQ40*(1/(1+EXP((C40-Parameters!$B$22)*Parameters!$B$21))))/(1-IF(C40&gt;0,2*Parameters!$B$5*C40/F40,0))</f>
        <v>0.51413474478423171</v>
      </c>
      <c r="BZ40">
        <f t="shared" si="63"/>
        <v>1.8838562523228348</v>
      </c>
      <c r="CA40" s="7">
        <f t="shared" si="64"/>
        <v>0.24121862172532388</v>
      </c>
      <c r="CB40">
        <f>(1/$T40-1/Parameters!$B$13) * LN(Parameters!$B$18) / LN(P40)</f>
        <v>0.23581701103223493</v>
      </c>
      <c r="CC40">
        <f>(Parameters!$B$18*'6states'!T40^+Parameters!$B$19*Parameters!$B$25^'6states'!T40)^((1-'6states'!T40)/'6states'!T40)*Parameters!$B$18*Parameters!$B$26^('6states'!T40-1)</f>
        <v>0.27818256510385148</v>
      </c>
      <c r="CD40">
        <f t="shared" si="65"/>
        <v>0.24537571238590625</v>
      </c>
      <c r="CE40">
        <f t="shared" si="66"/>
        <v>0.15079604880929676</v>
      </c>
      <c r="CF40">
        <f t="shared" si="67"/>
        <v>0.1753708102705821</v>
      </c>
    </row>
    <row r="41" spans="1:84" x14ac:dyDescent="0.25">
      <c r="A41">
        <f>A40+Parameters!$B$65</f>
        <v>37</v>
      </c>
      <c r="B41">
        <v>2062</v>
      </c>
      <c r="C41" s="74">
        <v>6.9874926974630401E-3</v>
      </c>
      <c r="D41" s="69">
        <v>7.7462944768870806E-2</v>
      </c>
      <c r="E41" s="75">
        <v>0.21837948568695301</v>
      </c>
      <c r="F41" s="7">
        <f>MAX((1-Parameters!$B$4)^Parameters!B$65*F40 + C40*Parameters!B$65 - IF(C40&gt;0,Parameters!$B$5,0)*C40^2/F40*Parameters!B$65, 0.0001)</f>
        <v>0.16093887454690667</v>
      </c>
      <c r="G41" s="7">
        <f>(1-Parameters!$B$4)^Parameters!B$65*G40+D40*Parameters!B$65-Parameters!$B$5*D40^2/G40*Parameters!B$65</f>
        <v>0.89723174949432116</v>
      </c>
      <c r="H41" s="7">
        <f>(1-Parameters!$B$4)^Parameters!B$65*H40+E40*Parameters!B$65-Parameters!$B$5*E40^2/H40*Parameters!B$65</f>
        <v>3.407783297490159</v>
      </c>
      <c r="I41" s="9">
        <f>I40 *(1-Parameters!$B$4)-C40*(C40&lt;0)*Parameters!B$65</f>
        <v>1.0057688966987098E-2</v>
      </c>
      <c r="J41" s="23">
        <f>J40*(1+Parameters!$B$51)^Parameters!B$65</f>
        <v>9.0828578485371718</v>
      </c>
      <c r="K41" s="23">
        <f>K40*(1+Parameters!$B$53)^Parameters!B$65</f>
        <v>18.835584572725189</v>
      </c>
      <c r="L41" s="23">
        <f>J41*K41*EXP(-Parameters!$B$42*'6states'!A41)*(Parameters!$B$37/Parameters!$B$38*('6states'!F41+'6states'!I41)/Parameters!$E$25*(EXP(-Parameters!$B$38*Parameters!$E$25*'6states'!I41/('6states'!F41+'6states'!I41))-EXP(-Parameters!$B$38*Parameters!$E$25))  +  Parameters!$B$39*'6states'!F41)</f>
        <v>14.823926753688987</v>
      </c>
      <c r="M41" s="8">
        <f>M40+L41*Parameters!B$65</f>
        <v>3160.446140260291</v>
      </c>
      <c r="N41" s="7">
        <f>M41*Parameters!$B$45</f>
        <v>1.8962676841561745</v>
      </c>
      <c r="O41" s="9">
        <f>EXP(-Parameters!$B$46/2*N41^2)</f>
        <v>0.96450708310191891</v>
      </c>
      <c r="P41" s="8">
        <f>MAX((Parameters!$B$62 + Parameters!$B$31*'6states'!A41 - '6states'!M41 + Parameters!$B$47/Parameters!$B$45)/Parameters!B$62,1)</f>
        <v>23.159077194794182</v>
      </c>
      <c r="Q41" s="7">
        <f>Parameters!B$61*EXP(-Parameters!B$60*A41)</f>
        <v>0.18412375230683145</v>
      </c>
      <c r="R41" s="7">
        <f>(1-Parameters!B$61)*P41^-Parameters!B$63</f>
        <v>0.36517234408189814</v>
      </c>
      <c r="S41" s="7">
        <f>Parameters!B$61*EXP(-Parameters!B$60*A41)+(1-Parameters!B$61)*P41^-Parameters!B$63</f>
        <v>0.54929609638872956</v>
      </c>
      <c r="T41" s="7">
        <f>1-S41/Parameters!$B$12</f>
        <v>0.72535195180563528</v>
      </c>
      <c r="U41" s="7">
        <f t="shared" si="0"/>
        <v>3.6410235083568243</v>
      </c>
      <c r="V41" s="7">
        <f>(Parameters!$B$19*(F41+Parameters!$B$20)^T41+Parameters!$B$18*G41^T41)^(1/T41)</f>
        <v>0.35745010203177857</v>
      </c>
      <c r="W41" s="7">
        <f>(Parameters!$B$10*H41^Parameters!$B$9+Parameters!$B$11*V41^Parameters!$B$9)^(Parameters!$B$7/Parameters!$B$9)*O41</f>
        <v>1.3541214860352748</v>
      </c>
      <c r="X41" s="7">
        <f>W41 - D41 - E41 - LN(1+EXP(Parameters!$B$21*C41))/Parameters!$B$21 - IF(C41&gt;0, 0,Parameters!$B$6*C41^2/F41)</f>
        <v>1.0509051310148791</v>
      </c>
      <c r="Y41" s="7">
        <f>EXP(-Parameters!$B$55*A41)</f>
        <v>0.571952118512703</v>
      </c>
      <c r="Z41" s="7">
        <f>IF(X41&gt;0,X41^(1-Parameters!$B$52)/(1-Parameters!$B$52)*Y41*Parameters!$B$65,-10+X41*1000)</f>
        <v>-1.6059957780619143</v>
      </c>
      <c r="AB41" s="9"/>
      <c r="AC41">
        <f t="shared" si="6"/>
        <v>1.1954267991376697</v>
      </c>
      <c r="AD41">
        <f t="shared" si="7"/>
        <v>13.252433186864041</v>
      </c>
      <c r="AE41" s="23">
        <f t="shared" si="8"/>
        <v>1.7206788542180425</v>
      </c>
      <c r="AF41" s="23">
        <f t="shared" si="9"/>
        <v>27.533573484274154</v>
      </c>
      <c r="AG41" s="23">
        <f t="shared" si="10"/>
        <v>153.49924856051862</v>
      </c>
      <c r="AH41" s="23">
        <f t="shared" si="11"/>
        <v>61.152898446452042</v>
      </c>
      <c r="AI41" s="23">
        <f t="shared" si="12"/>
        <v>150.50193885855069</v>
      </c>
      <c r="AJ41" s="23">
        <f t="shared" si="13"/>
        <v>231.66437287045991</v>
      </c>
      <c r="AK41" s="23">
        <f t="shared" si="14"/>
        <v>179.78983468885627</v>
      </c>
      <c r="AL41" s="9">
        <f t="shared" si="23"/>
        <v>2.2034294200379279E-2</v>
      </c>
      <c r="AM41" s="9">
        <f t="shared" si="24"/>
        <v>2.2751498192032926E-2</v>
      </c>
      <c r="AN41" s="9">
        <f t="shared" ref="AN41:AO41" si="71">AVERAGE(AL39:AL43)</f>
        <v>2.1137549321208305E-2</v>
      </c>
      <c r="AO41" s="9">
        <f t="shared" si="71"/>
        <v>2.0573530790004568E-2</v>
      </c>
      <c r="AP41" s="23"/>
      <c r="AQ41" s="8">
        <f t="shared" si="1"/>
        <v>231.66437287045991</v>
      </c>
      <c r="AR41" s="32">
        <f>Parameters!$B$7*W41*(W41/O41)^(-Parameters!$B$9/Parameters!$B$7)*Parameters!$B$11*(V41)^(Parameters!$B$9-T41)*((1-2*Parameters!$B$5*C41/F41)*Parameters!$B$19*(F41+Parameters!$B$20)^(T41-1)-(1-2*Parameters!$B$5*D41/G41)*(Parameters!$B$18)*(G41)^(T41-1))</f>
        <v>0.20975144550757077</v>
      </c>
      <c r="AS41" s="32">
        <f>((C42-C40)/2-(F42-F40)/F41/2*C41)/(F41/2/Parameters!$B$5-C41)-((D42-D40)/D41-(G42-G40)/G41)/(G41/2/Parameters!$B$5/D41-1)</f>
        <v>-6.3328128671761311E-2</v>
      </c>
      <c r="AT41" s="32">
        <f>+Parameters!$B$5*C41^2/F41^2-Parameters!$B$5*D41^2/G41^2</f>
        <v>-5.5687761661959954E-3</v>
      </c>
      <c r="AU41" s="30">
        <f>EXP(-Parameters!$B$42*'6states'!A41)*(Parameters!$B$37*EXP(-Parameters!$B$38*Parameters!$E$25*'6states'!I41/('6states'!F41+'6states'!I41))*(1/Parameters!$B$38/Parameters!$E$25+'6states'!I41/('6states'!F41+'6states'!I41))-Parameters!$B$37/Parameters!$B$38/Parameters!$E$25*EXP(-Parameters!$B$38*Parameters!$E$25)+Parameters!$B$39)</f>
        <v>0.55819632037945877</v>
      </c>
      <c r="AV41" s="30">
        <f>J41*K41*EXP(-Parameters!$B$42*'6states'!A41)*(Parameters!$B$37*EXP(-Parameters!$B$38*Parameters!$E$25*'6states'!I41/('6states'!F41+'6states'!I41))*(1/Parameters!$B$38/Parameters!$E$25+'6states'!I41/('6states'!F41+'6states'!I41))-Parameters!$B$37/Parameters!$B$38/Parameters!$E$25*EXP(-Parameters!$B$38*Parameters!$E$25)+Parameters!$B$39)</f>
        <v>95.496749614337773</v>
      </c>
      <c r="AW41" s="8">
        <f>1000*(AR41+AS41+AT41)/(EXP(-Parameters!$B$42*A41)*((C41&lt;0)*Parameters!$B$37*EXP(-Parameters!$B$38*AF41)+(C41&gt;=0)*Parameters!$B$41))</f>
        <v>223.92210404728917</v>
      </c>
      <c r="AX41" s="13">
        <f>1-W41/'6states,ExoDamages'!T41</f>
        <v>8.2879328202963176E-2</v>
      </c>
      <c r="AY41" s="21">
        <f>-Y41*W41*X41^(-Parameters!B$52)*Parameters!B$46*Parameters!B$45*N41</f>
        <v>-1.6563553393842832E-5</v>
      </c>
      <c r="AZ41" s="7">
        <f>1000*EXP(-(Parameters!$B$54)*'6states'!A41)*AQ41*Parameters!B$46*Parameters!B$45*N41</f>
        <v>1.4457325460337707</v>
      </c>
      <c r="BA41" s="7">
        <f>SUM(AZ41:AZ$204)*EXP(Parameters!$B$54*A41)</f>
        <v>437.46960951149379</v>
      </c>
      <c r="BB41" s="13">
        <f t="shared" si="35"/>
        <v>0.22363571236133398</v>
      </c>
      <c r="BC41" s="30"/>
      <c r="BD41" s="30"/>
      <c r="BE41" s="30"/>
      <c r="BF41" s="5">
        <f t="shared" si="58"/>
        <v>-2.0540560936605969E-3</v>
      </c>
      <c r="BG41" s="2">
        <f>BF41/Parameters!$B$45</f>
        <v>-3.4234268227676616</v>
      </c>
      <c r="BH41" s="2">
        <f t="shared" si="27"/>
        <v>9.4358744294331665E-4</v>
      </c>
      <c r="BK41">
        <f>-EXP(-Parameters!B$42*'6states'!A41)*(-Parameters!B$37/Parameters!B$38/Parameters!E$25*(EXP(-Parameters!B$38*Parameters!E$25*'6states'!I41/('6states'!F41+'6states'!I41))-EXP(-Parameters!B$38*Parameters!E$25))+Parameters!B$37*'6states'!F41/('6states'!F41+'6states'!I41)*EXP(-Parameters!B$38*Parameters!E$25*'6states'!I41/('6states'!F41+'6states'!I41)))</f>
        <v>-0.31685904129858533</v>
      </c>
      <c r="BL41">
        <f>-J41*K41*EXP(-Parameters!B$42*'6states'!A41)*(-Parameters!B$37/Parameters!B$38/Parameters!E$25*(EXP(-Parameters!B$38*Parameters!E$25*'6states'!I41/('6states'!F41+'6states'!I41))-EXP(-Parameters!B$38*Parameters!E$25)) + Parameters!B$37*'6states'!F41/('6states'!F41+'6states'!I41)*EXP(-Parameters!B$38*Parameters!E$25*'6states'!I41/('6states'!F41+'6states'!I41)))</f>
        <v>-54.208541735567536</v>
      </c>
      <c r="BM41" s="7">
        <f t="shared" si="59"/>
        <v>5.8818076575965182E-2</v>
      </c>
      <c r="BS41">
        <f>EXP(-Parameters!$B$56*A41)*BF41*BL41</f>
        <v>6.2130686052700723E-3</v>
      </c>
      <c r="BT41">
        <f>-EXP((Parameters!$B$56)*F41)*SUM(BS41:BS49)</f>
        <v>-3.5293320938346737E-2</v>
      </c>
      <c r="BU41">
        <f>X41^-Parameters!B$52/(1-2*Parameters!B$5*'6states'!D41/'6states'!G41)</f>
        <v>1.1303449602664499</v>
      </c>
      <c r="BV41">
        <f t="shared" si="61"/>
        <v>1.0000894023633897</v>
      </c>
      <c r="BW41">
        <f>$X41^-Parameters!$B$52/(1-2*Parameters!$B$5*'6states'!$E41/'6states'!$H41)</f>
        <v>1.0726425492296598</v>
      </c>
      <c r="BX41">
        <f t="shared" si="62"/>
        <v>0.99891487162026538</v>
      </c>
      <c r="BY41" s="7">
        <f>($X41^-Parameters!$B$52*(1/(1+EXP(-C41)) + IF(C41&lt;0,2*Parameters!$B$6*C41/F41,0)) + BQ41*(1/(1+EXP((C41-Parameters!$B$22)*Parameters!$B$21))))/(1-IF(C41&gt;0,2*Parameters!$B$5*C41/F41,0))</f>
        <v>0.51383567123460805</v>
      </c>
      <c r="BZ41">
        <f t="shared" si="63"/>
        <v>0.99941829733808563</v>
      </c>
      <c r="CA41" s="7">
        <f t="shared" si="64"/>
        <v>-2.9907354962366295E-4</v>
      </c>
      <c r="CB41">
        <f>(1/$T41-1/Parameters!$B$13) * LN(Parameters!$B$18) / LN(P41)</f>
        <v>0.23555718395140915</v>
      </c>
      <c r="CC41">
        <f>(Parameters!$B$18*'6states'!T41^+Parameters!$B$19*Parameters!$B$25^'6states'!T41)^((1-'6states'!T41)/'6states'!T41)*Parameters!$B$18*Parameters!$B$26^('6states'!T41-1)</f>
        <v>0.2794284993069624</v>
      </c>
      <c r="CD41">
        <f t="shared" si="65"/>
        <v>0.24416611089694693</v>
      </c>
      <c r="CE41">
        <f t="shared" si="66"/>
        <v>0.15064309475621163</v>
      </c>
      <c r="CF41">
        <f t="shared" si="67"/>
        <v>0.17608266562252073</v>
      </c>
    </row>
    <row r="42" spans="1:84" x14ac:dyDescent="0.25">
      <c r="A42">
        <f>A41+Parameters!$B$65</f>
        <v>38</v>
      </c>
      <c r="B42">
        <v>2063</v>
      </c>
      <c r="C42" s="74">
        <v>-2.1891912612794799E-3</v>
      </c>
      <c r="D42" s="69">
        <v>7.9268690097957895E-2</v>
      </c>
      <c r="E42" s="75">
        <v>0.22174638898747001</v>
      </c>
      <c r="F42" s="7">
        <f>MAX((1-Parameters!$B$4)^Parameters!B$65*F41 + C41*Parameters!B$65 - IF(C41&gt;0,Parameters!$B$5,0)*C41^2/F41*Parameters!B$65, 0.0001)</f>
        <v>0.15749993564893341</v>
      </c>
      <c r="G42" s="7">
        <f>(1-Parameters!$B$4)^Parameters!B$65*G41+D41*Parameters!B$65-Parameters!$B$5*D41^2/G41*Parameters!B$65</f>
        <v>0.91157101575103983</v>
      </c>
      <c r="H42" s="7">
        <f>(1-Parameters!$B$4)^Parameters!B$65*H41+E41*Parameters!B$65-Parameters!$B$5*E41^2/H41*Parameters!B$65</f>
        <v>3.397818896754266</v>
      </c>
      <c r="I42" s="9">
        <f>I41 *(1-Parameters!$B$4)-C41*(C41&lt;0)*Parameters!B$65</f>
        <v>9.4250603309636097E-3</v>
      </c>
      <c r="J42" s="23">
        <f>J41*(1+Parameters!$B$51)^Parameters!B$65</f>
        <v>9.1091981362979286</v>
      </c>
      <c r="K42" s="23">
        <f>K41*(1+Parameters!$B$53)^Parameters!B$65</f>
        <v>19.212296264179692</v>
      </c>
      <c r="L42" s="23">
        <f>J42*K42*EXP(-Parameters!$B$42*'6states'!A42)*(Parameters!$B$37/Parameters!$B$38*('6states'!F42+'6states'!I42)/Parameters!$E$25*(EXP(-Parameters!$B$38*Parameters!$E$25*'6states'!I42/('6states'!F42+'6states'!I42))-EXP(-Parameters!$B$38*Parameters!$E$25))  +  Parameters!$B$39*'6states'!F42)</f>
        <v>14.716715400876001</v>
      </c>
      <c r="M42" s="8">
        <f>M41+L42*Parameters!B$65</f>
        <v>3175.1628556611672</v>
      </c>
      <c r="N42" s="7">
        <f>M42*Parameters!$B$45</f>
        <v>1.9050977133967002</v>
      </c>
      <c r="O42" s="9">
        <f>EXP(-Parameters!$B$46/2*N42^2)</f>
        <v>0.96418177117087811</v>
      </c>
      <c r="P42" s="8">
        <f>MAX((Parameters!$B$62 + Parameters!$B$31*'6states'!A42 - '6states'!M42 + Parameters!$B$47/Parameters!$B$45)/Parameters!B$62,1)</f>
        <v>23.928742886776664</v>
      </c>
      <c r="Q42" s="7">
        <f>Parameters!B$61*EXP(-Parameters!B$60*A42)</f>
        <v>0.17921892413949694</v>
      </c>
      <c r="R42" s="7">
        <f>(1-Parameters!B$61)*P42^-Parameters!B$63</f>
        <v>0.36398041515209911</v>
      </c>
      <c r="S42" s="7">
        <f>Parameters!B$61*EXP(-Parameters!B$60*A42)+(1-Parameters!B$61)*P42^-Parameters!B$63</f>
        <v>0.54319933929159603</v>
      </c>
      <c r="T42" s="7">
        <f>1-S42/Parameters!$B$12</f>
        <v>0.72840033035420193</v>
      </c>
      <c r="U42" s="7">
        <f t="shared" si="0"/>
        <v>3.6818896035629662</v>
      </c>
      <c r="V42" s="7">
        <f>(Parameters!$B$19*(F42+Parameters!$B$20)^T42+Parameters!$B$18*G42^T42)^(1/T42)</f>
        <v>0.35827018401081306</v>
      </c>
      <c r="W42" s="7">
        <f>(Parameters!$B$10*H42^Parameters!$B$9+Parameters!$B$11*V42^Parameters!$B$9)^(Parameters!$B$7/Parameters!$B$9)*O42</f>
        <v>1.353141678935543</v>
      </c>
      <c r="X42" s="7">
        <f>W42 - D42 - E42 - LN(1+EXP(Parameters!$B$21*C42))/Parameters!$B$21 - IF(C42&gt;0, 0,Parameters!$B$6*C42^2/F42)</f>
        <v>1.0505819791878468</v>
      </c>
      <c r="Y42" s="7">
        <f>EXP(-Parameters!$B$55*A42)</f>
        <v>0.56338051995913718</v>
      </c>
      <c r="Z42" s="7">
        <f>IF(X42&gt;0,X42^(1-Parameters!$B$52)/(1-Parameters!$B$52)*Y42*Parameters!$B$65,-10+X42*1000)</f>
        <v>-1.5820977047635891</v>
      </c>
      <c r="AB42" s="9"/>
      <c r="AC42">
        <f t="shared" si="6"/>
        <v>-0.38312732693681639</v>
      </c>
      <c r="AD42">
        <f t="shared" si="7"/>
        <v>13.872703534027286</v>
      </c>
      <c r="AE42" s="23">
        <f t="shared" si="8"/>
        <v>1.6494667390138651</v>
      </c>
      <c r="AF42" s="23">
        <f t="shared" si="9"/>
        <v>27.563845336486988</v>
      </c>
      <c r="AG42" s="23">
        <f t="shared" si="10"/>
        <v>159.53277941263821</v>
      </c>
      <c r="AH42" s="23">
        <f t="shared" si="11"/>
        <v>62.700368098948232</v>
      </c>
      <c r="AI42" s="23">
        <f t="shared" si="12"/>
        <v>154.3103794875648</v>
      </c>
      <c r="AJ42" s="23">
        <f t="shared" si="13"/>
        <v>236.81144886097113</v>
      </c>
      <c r="AK42" s="23">
        <f t="shared" si="14"/>
        <v>183.86089536050108</v>
      </c>
      <c r="AL42" s="9">
        <f t="shared" si="23"/>
        <v>2.1974594502490952E-2</v>
      </c>
      <c r="AM42" s="9">
        <f t="shared" si="24"/>
        <v>2.2390884548884493E-2</v>
      </c>
      <c r="AN42" s="9">
        <f t="shared" ref="AN42:AO42" si="72">AVERAGE(AL40:AL44)</f>
        <v>2.120029863933386E-2</v>
      </c>
      <c r="AO42" s="9">
        <f t="shared" si="72"/>
        <v>2.0455751248030472E-2</v>
      </c>
      <c r="AP42" s="23"/>
      <c r="AQ42" s="8">
        <f t="shared" si="1"/>
        <v>236.81144886097113</v>
      </c>
      <c r="AR42" s="32">
        <f>Parameters!$B$7*W42*(W42/O42)^(-Parameters!$B$9/Parameters!$B$7)*Parameters!$B$11*(V42)^(Parameters!$B$9-T42)*((1-2*Parameters!$B$5*C42/F42)*Parameters!$B$19*(F42+Parameters!$B$20)^(T42-1)-(1-2*Parameters!$B$5*D42/G42)*(Parameters!$B$18)*(G42)^(T42-1))</f>
        <v>0.24205941932555142</v>
      </c>
      <c r="AS42" s="32">
        <f>((C43-C41)/2-(F43-F41)/F42/2*C42)/(F42/2/Parameters!$B$5-C42)-((D43-D41)/D42-(G43-G41)/G42)/(G42/2/Parameters!$B$5/D42-1)</f>
        <v>-3.1694046204201278E-3</v>
      </c>
      <c r="AT42" s="32">
        <f>+Parameters!$B$5*C42^2/F42^2-Parameters!$B$5*D42^2/G42^2</f>
        <v>-7.3685507732273682E-3</v>
      </c>
      <c r="AU42" s="30">
        <f>EXP(-Parameters!$B$42*'6states'!A42)*(Parameters!$B$37*EXP(-Parameters!$B$38*Parameters!$E$25*'6states'!I42/('6states'!F42+'6states'!I42))*(1/Parameters!$B$38/Parameters!$E$25+'6states'!I42/('6states'!F42+'6states'!I42))-Parameters!$B$37/Parameters!$B$38/Parameters!$E$25*EXP(-Parameters!$B$38*Parameters!$E$25)+Parameters!$B$39)</f>
        <v>0.55472030747486778</v>
      </c>
      <c r="AV42" s="30">
        <f>J42*K42*EXP(-Parameters!$B$42*'6states'!A42)*(Parameters!$B$37*EXP(-Parameters!$B$38*Parameters!$E$25*'6states'!I42/('6states'!F42+'6states'!I42))*(1/Parameters!$B$38/Parameters!$E$25+'6states'!I42/('6states'!F42+'6states'!I42))-Parameters!$B$37/Parameters!$B$38/Parameters!$E$25*EXP(-Parameters!$B$38*Parameters!$E$25)+Parameters!$B$39)</f>
        <v>97.080831793656074</v>
      </c>
      <c r="AW42" s="8">
        <f>1000*(AR42+AS42+AT42)/(EXP(-Parameters!$B$42*A42)*((C42&lt;0)*Parameters!$B$37*EXP(-Parameters!$B$38*AF42)+(C42&gt;=0)*Parameters!$B$41))</f>
        <v>29487985385.463139</v>
      </c>
      <c r="AX42" s="13">
        <f>1-W42/'6states,ExoDamages'!T42</f>
        <v>8.3192643877658456E-2</v>
      </c>
      <c r="AY42" s="21">
        <f>-Y42*W42*X42^(-Parameters!B$52)*Parameters!B$46*Parameters!B$45*N42</f>
        <v>-1.6386237025814027E-5</v>
      </c>
      <c r="AZ42" s="7">
        <f>1000*EXP(-(Parameters!$B$54)*'6states'!A42)*AQ42*Parameters!B$46*Parameters!B$45*N42</f>
        <v>1.4335250240137205</v>
      </c>
      <c r="BA42" s="7">
        <f>SUM(AZ42:AZ$204)*EXP(Parameters!$B$54*A42)</f>
        <v>447.61026785617997</v>
      </c>
      <c r="BB42" s="13">
        <f t="shared" si="35"/>
        <v>0.22083858067192313</v>
      </c>
      <c r="BC42" s="30"/>
      <c r="BD42" s="30"/>
      <c r="BE42" s="30"/>
      <c r="BF42" s="5">
        <f t="shared" si="58"/>
        <v>-2.055907401631979E-3</v>
      </c>
      <c r="BG42" s="2">
        <f>BF42/Parameters!$B$45</f>
        <v>-3.4265123360532987</v>
      </c>
      <c r="BH42" s="2">
        <f t="shared" si="27"/>
        <v>9.0048217634353112E-4</v>
      </c>
      <c r="BK42">
        <f>-EXP(-Parameters!B$42*'6states'!A42)*(-Parameters!B$37/Parameters!B$38/Parameters!E$25*(EXP(-Parameters!B$38*Parameters!E$25*'6states'!I42/('6states'!F42+'6states'!I42))-EXP(-Parameters!B$38*Parameters!E$25))+Parameters!B$37*'6states'!F42/('6states'!F42+'6states'!I42)*EXP(-Parameters!B$38*Parameters!E$25*'6states'!I42/('6states'!F42+'6states'!I42)))</f>
        <v>-0.34769380055073662</v>
      </c>
      <c r="BL42">
        <f>-J42*K42*EXP(-Parameters!B$42*'6states'!A42)*(-Parameters!B$37/Parameters!B$38/Parameters!E$25*(EXP(-Parameters!B$38*Parameters!E$25*'6states'!I42/('6states'!F42+'6states'!I42))-EXP(-Parameters!B$38*Parameters!E$25)) + Parameters!B$37*'6states'!F42/('6states'!F42+'6states'!I42)*EXP(-Parameters!B$38*Parameters!E$25*'6states'!I42/('6states'!F42+'6states'!I42)))</f>
        <v>-60.849409895620859</v>
      </c>
      <c r="BM42" s="7">
        <f t="shared" si="59"/>
        <v>5.6462845936498814E-2</v>
      </c>
      <c r="BS42">
        <f>EXP(-Parameters!$B$56*A42)*BF42*BL42</f>
        <v>6.456706965487234E-3</v>
      </c>
      <c r="BT42">
        <f>-EXP((Parameters!$B$56)*F42)*SUM(BS42:BS50)</f>
        <v>-3.1201269924330855E-2</v>
      </c>
      <c r="BU42">
        <f>X42^-Parameters!B$52/(1-2*Parameters!B$5*'6states'!D42/'6states'!G42)</f>
        <v>1.1325195411650713</v>
      </c>
      <c r="BV42">
        <f t="shared" si="61"/>
        <v>1.0019238205813814</v>
      </c>
      <c r="BW42">
        <f>$X42^-Parameters!$B$52/(1-2*Parameters!$B$5*'6states'!$E42/'6states'!$H42)</f>
        <v>1.075997754092725</v>
      </c>
      <c r="BX42">
        <f t="shared" si="62"/>
        <v>1.0031279803933517</v>
      </c>
      <c r="BY42" s="7">
        <f>($X42^-Parameters!$B$52*(1/(1+EXP(-C42)) + IF(C42&lt;0,2*Parameters!$B$6*C42/F42,0)) + BQ42*(1/(1+EXP((C42-Parameters!$B$22)*Parameters!$B$21))))/(1-IF(C42&gt;0,2*Parameters!$B$5*C42/F42,0))</f>
        <v>0.33722695605317038</v>
      </c>
      <c r="BZ42">
        <f t="shared" si="63"/>
        <v>0.6562933928718987</v>
      </c>
      <c r="CA42" s="7">
        <f t="shared" si="64"/>
        <v>-0.17660871518143767</v>
      </c>
      <c r="CB42">
        <f>(1/$T42-1/Parameters!$B$13) * LN(Parameters!$B$18) / LN(P42)</f>
        <v>0.23529642441617396</v>
      </c>
      <c r="CC42">
        <f>(Parameters!$B$18*'6states'!T42^+Parameters!$B$19*Parameters!$B$25^'6states'!T42)^((1-'6states'!T42)/'6states'!T42)*Parameters!$B$18*Parameters!$B$26^('6states'!T42-1)</f>
        <v>0.28061439996211884</v>
      </c>
      <c r="CD42">
        <f t="shared" si="65"/>
        <v>0.24298578860756423</v>
      </c>
      <c r="CE42">
        <f t="shared" si="66"/>
        <v>0.15048956409153769</v>
      </c>
      <c r="CF42">
        <f t="shared" si="67"/>
        <v>0.17675965043607467</v>
      </c>
    </row>
    <row r="43" spans="1:84" x14ac:dyDescent="0.25">
      <c r="A43">
        <f>A42+Parameters!$B$65</f>
        <v>39</v>
      </c>
      <c r="B43">
        <v>2064</v>
      </c>
      <c r="C43" s="74">
        <v>6.2502105157416698E-3</v>
      </c>
      <c r="D43" s="69">
        <v>7.8993761650668598E-2</v>
      </c>
      <c r="E43" s="75">
        <v>0.215959820118513</v>
      </c>
      <c r="F43" s="7">
        <f>MAX((1-Parameters!$B$4)^Parameters!B$65*F42 + C42*Parameters!B$65 - IF(C42&gt;0,Parameters!$B$5,0)*C42^2/F42*Parameters!B$65, 0.0001)</f>
        <v>0.14540399843533602</v>
      </c>
      <c r="G43" s="7">
        <f>(1-Parameters!$B$4)^Parameters!B$65*G42+D42*Parameters!B$65-Parameters!$B$5*D42^2/G42*Parameters!B$65</f>
        <v>0.92660881631633152</v>
      </c>
      <c r="H43" s="7">
        <f>(1-Parameters!$B$4)^Parameters!B$65*H42+E42*Parameters!B$65-Parameters!$B$5*E42^2/H42*Parameters!B$65</f>
        <v>3.391370999248724</v>
      </c>
      <c r="I43" s="9">
        <f>I42 *(1-Parameters!$B$4)-C42*(C42&lt;0)*Parameters!B$65</f>
        <v>1.102141529742548E-2</v>
      </c>
      <c r="J43" s="23">
        <f>J42*(1+Parameters!$B$51)^Parameters!B$65</f>
        <v>9.1356148108931912</v>
      </c>
      <c r="K43" s="23">
        <f>K42*(1+Parameters!$B$53)^Parameters!B$65</f>
        <v>19.596542189463285</v>
      </c>
      <c r="L43" s="23">
        <f>J43*K43*EXP(-Parameters!$B$42*'6states'!A43)*(Parameters!$B$37/Parameters!$B$38*('6states'!F43+'6states'!I43)/Parameters!$E$25*(EXP(-Parameters!$B$38*Parameters!$E$25*'6states'!I43/('6states'!F43+'6states'!I43))-EXP(-Parameters!$B$38*Parameters!$E$25))  +  Parameters!$B$39*'6states'!F43)</f>
        <v>13.653287427761393</v>
      </c>
      <c r="M43" s="8">
        <f>M42+L43*Parameters!B$65</f>
        <v>3188.8161430889286</v>
      </c>
      <c r="N43" s="7">
        <f>M43*Parameters!$B$45</f>
        <v>1.913289685853357</v>
      </c>
      <c r="O43" s="9">
        <f>EXP(-Parameters!$B$46/2*N43^2)</f>
        <v>0.96387871356497834</v>
      </c>
      <c r="P43" s="8">
        <f>MAX((Parameters!$B$62 + Parameters!$B$31*'6states'!A43 - '6states'!M43 + Parameters!$B$47/Parameters!$B$45)/Parameters!B$62,1)</f>
        <v>24.719677138221432</v>
      </c>
      <c r="Q43" s="7">
        <f>Parameters!B$61*EXP(-Parameters!B$60*A43)</f>
        <v>0.17444475450507668</v>
      </c>
      <c r="R43" s="7">
        <f>(1-Parameters!B$61)*P43^-Parameters!B$63</f>
        <v>0.36279870226887834</v>
      </c>
      <c r="S43" s="7">
        <f>Parameters!B$61*EXP(-Parameters!B$60*A43)+(1-Parameters!B$61)*P43^-Parameters!B$63</f>
        <v>0.53724345677395502</v>
      </c>
      <c r="T43" s="7">
        <f>1-S43/Parameters!$B$12</f>
        <v>0.73137827161302249</v>
      </c>
      <c r="U43" s="7">
        <f t="shared" si="0"/>
        <v>3.7227070423707351</v>
      </c>
      <c r="V43" s="7">
        <f>(Parameters!$B$19*(F43+Parameters!$B$20)^T43+Parameters!$B$18*G43^T43)^(1/T43)</f>
        <v>0.35177641518039243</v>
      </c>
      <c r="W43" s="7">
        <f>(Parameters!$B$10*H43^Parameters!$B$9+Parameters!$B$11*V43^Parameters!$B$9)^(Parameters!$B$7/Parameters!$B$9)*O43</f>
        <v>1.3498264264750408</v>
      </c>
      <c r="X43" s="7">
        <f>W43 - D43 - E43 - LN(1+EXP(Parameters!$B$21*C43))/Parameters!$B$21 - IF(C43&gt;0, 0,Parameters!$B$6*C43^2/F43)</f>
        <v>1.0481470786550646</v>
      </c>
      <c r="Y43" s="7">
        <f>EXP(-Parameters!$B$55*A43)</f>
        <v>0.5549373802387243</v>
      </c>
      <c r="Z43" s="7">
        <f>IF(X43&gt;0,X43^(1-Parameters!$B$52)/(1-Parameters!$B$52)*Y43*Parameters!$B$65,-10+X43*1000)</f>
        <v>-1.5596536121315288</v>
      </c>
      <c r="AB43" s="9"/>
      <c r="AC43">
        <f t="shared" si="6"/>
        <v>1.1189530695654433</v>
      </c>
      <c r="AD43">
        <f t="shared" si="7"/>
        <v>14.141973594796262</v>
      </c>
      <c r="AE43" s="23">
        <f t="shared" si="8"/>
        <v>1.9731249766627048</v>
      </c>
      <c r="AF43" s="23">
        <f t="shared" si="9"/>
        <v>26.031163265066699</v>
      </c>
      <c r="AG43" s="23">
        <f t="shared" si="10"/>
        <v>165.88749717984936</v>
      </c>
      <c r="AH43" s="23">
        <f t="shared" si="11"/>
        <v>62.977286697057686</v>
      </c>
      <c r="AI43" s="23">
        <f t="shared" si="12"/>
        <v>154.99189724028358</v>
      </c>
      <c r="AJ43" s="23">
        <f t="shared" si="13"/>
        <v>241.65464818836941</v>
      </c>
      <c r="AK43" s="23">
        <f t="shared" si="14"/>
        <v>187.64606217074999</v>
      </c>
      <c r="AL43" s="9">
        <f t="shared" si="23"/>
        <v>2.0245383244007265E-2</v>
      </c>
      <c r="AM43" s="9">
        <f t="shared" si="24"/>
        <v>2.0378072174106698E-2</v>
      </c>
      <c r="AN43" s="9">
        <f t="shared" ref="AN43:AO43" si="73">AVERAGE(AL41:AL45)</f>
        <v>2.1653270081636221E-2</v>
      </c>
      <c r="AO43" s="9">
        <f t="shared" si="73"/>
        <v>2.1740608786208249E-2</v>
      </c>
      <c r="AP43" s="23"/>
      <c r="AQ43" s="8">
        <f t="shared" si="1"/>
        <v>241.65464818836941</v>
      </c>
      <c r="AR43" s="32">
        <f>Parameters!$B$7*W43*(W43/O43)^(-Parameters!$B$9/Parameters!$B$7)*Parameters!$B$11*(V43)^(Parameters!$B$9-T43)*((1-2*Parameters!$B$5*C43/F43)*Parameters!$B$19*(F43+Parameters!$B$20)^(T43-1)-(1-2*Parameters!$B$5*D43/G43)*(Parameters!$B$18)*(G43)^(T43-1))</f>
        <v>0.2245995510823012</v>
      </c>
      <c r="AS43" s="32">
        <f>((C44-C42)/2-(F44-F42)/F43/2*C43)/(F43/2/Parameters!$B$5-C43)-((D44-D42)/D43-(G44-G42)/G43)/(G43/2/Parameters!$B$5/D43-1)</f>
        <v>7.4647330339057447E-2</v>
      </c>
      <c r="AT43" s="32">
        <f>+Parameters!$B$5*C43^2/F43^2-Parameters!$B$5*D43^2/G43^2</f>
        <v>-5.4199069137558726E-3</v>
      </c>
      <c r="AU43" s="30">
        <f>EXP(-Parameters!$B$42*'6states'!A43)*(Parameters!$B$37*EXP(-Parameters!$B$38*Parameters!$E$25*'6states'!I43/('6states'!F43+'6states'!I43))*(1/Parameters!$B$38/Parameters!$E$25+'6states'!I43/('6states'!F43+'6states'!I43))-Parameters!$B$37/Parameters!$B$38/Parameters!$E$25*EXP(-Parameters!$B$38*Parameters!$E$25)+Parameters!$B$39)</f>
        <v>0.53865620302096151</v>
      </c>
      <c r="AV43" s="30">
        <f>J43*K43*EXP(-Parameters!$B$42*'6states'!A43)*(Parameters!$B$37*EXP(-Parameters!$B$38*Parameters!$E$25*'6states'!I43/('6states'!F43+'6states'!I43))*(1/Parameters!$B$38/Parameters!$E$25+'6states'!I43/('6states'!F43+'6states'!I43))-Parameters!$B$37/Parameters!$B$38/Parameters!$E$25*EXP(-Parameters!$B$38*Parameters!$E$25)+Parameters!$B$39)</f>
        <v>96.433713759359591</v>
      </c>
      <c r="AW43" s="8">
        <f>1000*(AR43+AS43+AT43)/(EXP(-Parameters!$B$42*A43)*((C43&lt;0)*Parameters!$B$37*EXP(-Parameters!$B$38*AF43)+(C43&gt;=0)*Parameters!$B$41))</f>
        <v>476.54472594713263</v>
      </c>
      <c r="AX43" s="13">
        <f>1-W43/'6states,ExoDamages'!T43</f>
        <v>8.511438457404763E-2</v>
      </c>
      <c r="AY43" s="21">
        <f>-Y43*W43*X43^(-Parameters!B$52)*Parameters!B$46*Parameters!B$45*N43</f>
        <v>-1.6221086342783783E-5</v>
      </c>
      <c r="AZ43" s="7">
        <f>1000*EXP(-(Parameters!$B$54)*'6states'!A43)*AQ43*Parameters!B$46*Parameters!B$45*N43</f>
        <v>1.4184612463960267</v>
      </c>
      <c r="BA43" s="7">
        <f>SUM(AZ43:AZ$204)*EXP(Parameters!$B$54*A43)</f>
        <v>457.96515142634439</v>
      </c>
      <c r="BB43" s="13">
        <f t="shared" si="35"/>
        <v>0.22314261032175217</v>
      </c>
      <c r="BC43" s="30"/>
      <c r="BD43" s="30"/>
      <c r="BE43" s="30"/>
      <c r="BF43" s="5">
        <f t="shared" si="58"/>
        <v>-2.0576590883141367E-3</v>
      </c>
      <c r="BG43" s="2">
        <f>BF43/Parameters!$B$45</f>
        <v>-3.4294318138568949</v>
      </c>
      <c r="BH43" s="2">
        <f t="shared" si="27"/>
        <v>8.5130072911776544E-4</v>
      </c>
      <c r="BK43">
        <f>-EXP(-Parameters!B$42*'6states'!A43)*(-Parameters!B$37/Parameters!B$38/Parameters!E$25*(EXP(-Parameters!B$38*Parameters!E$25*'6states'!I43/('6states'!F43+'6states'!I43))-EXP(-Parameters!B$38*Parameters!E$25))+Parameters!B$37*'6states'!F43/('6states'!F43+'6states'!I43)*EXP(-Parameters!B$38*Parameters!E$25*'6states'!I43/('6states'!F43+'6states'!I43)))</f>
        <v>-0.18679006204743509</v>
      </c>
      <c r="BL43">
        <f>-J43*K43*EXP(-Parameters!B$42*'6states'!A43)*(-Parameters!B$37/Parameters!B$38/Parameters!E$25*(EXP(-Parameters!B$38*Parameters!E$25*'6states'!I43/('6states'!F43+'6states'!I43))-EXP(-Parameters!B$38*Parameters!E$25)) + Parameters!B$37*'6states'!F43/('6states'!F43+'6states'!I43)*EXP(-Parameters!B$38*Parameters!E$25*'6states'!I43/('6states'!F43+'6states'!I43)))</f>
        <v>-33.440363771090581</v>
      </c>
      <c r="BM43" s="7">
        <f t="shared" si="59"/>
        <v>7.0457958425186318E-2</v>
      </c>
      <c r="BS43">
        <f>EXP(-Parameters!$B$56*A43)*BF43*BL43</f>
        <v>3.2848882668830609E-3</v>
      </c>
      <c r="BT43">
        <f>-EXP((Parameters!$B$56)*F43)*SUM(BS43:BS51)</f>
        <v>-2.6931713891909036E-2</v>
      </c>
      <c r="BU43">
        <f>X43^-Parameters!B$52/(1-2*Parameters!B$5*'6states'!D43/'6states'!G43)</f>
        <v>1.1313943573194236</v>
      </c>
      <c r="BV43">
        <f t="shared" si="61"/>
        <v>0.99900647732356995</v>
      </c>
      <c r="BW43">
        <f>$X43^-Parameters!$B$52/(1-2*Parameters!$B$5*'6states'!$E43/'6states'!$H43)</f>
        <v>1.0754595676789056</v>
      </c>
      <c r="BX43">
        <f t="shared" si="62"/>
        <v>0.9994998257089549</v>
      </c>
      <c r="BY43" s="7">
        <f>($X43^-Parameters!$B$52*(1/(1+EXP(-C43)) + IF(C43&lt;0,2*Parameters!$B$6*C43/F43,0)) + BQ43*(1/(1+EXP((C43-Parameters!$B$22)*Parameters!$B$21))))/(1-IF(C43&gt;0,2*Parameters!$B$5*C43/F43,0))</f>
        <v>0.51498522543470715</v>
      </c>
      <c r="BZ43">
        <f t="shared" si="63"/>
        <v>1.5271176167586962</v>
      </c>
      <c r="CA43" s="7">
        <f t="shared" si="64"/>
        <v>0.17775826938153677</v>
      </c>
      <c r="CB43">
        <f>(1/$T43-1/Parameters!$B$13) * LN(Parameters!$B$18) / LN(P43)</f>
        <v>0.23498699555161839</v>
      </c>
      <c r="CC43">
        <f>(Parameters!$B$18*'6states'!T43^+Parameters!$B$19*Parameters!$B$25^'6states'!T43)^((1-'6states'!T43)/'6states'!T43)*Parameters!$B$18*Parameters!$B$26^('6states'!T43-1)</f>
        <v>0.28174893556017966</v>
      </c>
      <c r="CD43">
        <f t="shared" si="65"/>
        <v>0.24178027206959946</v>
      </c>
      <c r="CE43">
        <f t="shared" si="66"/>
        <v>0.15030734176902616</v>
      </c>
      <c r="CF43">
        <f t="shared" si="67"/>
        <v>0.17740679228174117</v>
      </c>
    </row>
    <row r="44" spans="1:84" ht="15" customHeight="1" x14ac:dyDescent="0.25">
      <c r="A44">
        <f>A43+Parameters!$B$65</f>
        <v>40</v>
      </c>
      <c r="B44">
        <v>2065</v>
      </c>
      <c r="C44" s="74">
        <v>5.8170500414814804E-3</v>
      </c>
      <c r="D44" s="69">
        <v>7.8102422145303593E-2</v>
      </c>
      <c r="E44" s="75">
        <v>0.21930986241824801</v>
      </c>
      <c r="F44" s="7">
        <f>MAX((1-Parameters!$B$4)^Parameters!B$65*F43 + C43*Parameters!B$65 - IF(C43&gt;0,Parameters!$B$5,0)*C43^2/F43*Parameters!B$65, 0.0001)</f>
        <v>0.14223963130611894</v>
      </c>
      <c r="G44" s="7">
        <f>(1-Parameters!$B$4)^Parameters!B$65*G43+D43*Parameters!B$65-Parameters!$B$5*D43^2/G43*Parameters!B$65</f>
        <v>0.94058463454475394</v>
      </c>
      <c r="H44" s="7">
        <f>(1-Parameters!$B$4)^Parameters!B$65*H43+E43*Parameters!B$65-Parameters!$B$5*E43^2/H43*Parameters!B$65</f>
        <v>3.3802614331552565</v>
      </c>
      <c r="I44" s="9">
        <f>I43 *(1-Parameters!$B$4)-C43*(C43&lt;0)*Parameters!B$65</f>
        <v>1.0328168275217417E-2</v>
      </c>
      <c r="J44" s="23">
        <f>J43*(1+Parameters!$B$51)^Parameters!B$65</f>
        <v>9.1621080938447808</v>
      </c>
      <c r="K44" s="23">
        <f>K43*(1+Parameters!$B$53)^Parameters!B$65</f>
        <v>19.98847303325255</v>
      </c>
      <c r="L44" s="23">
        <f>J44*K44*EXP(-Parameters!$B$42*'6states'!A44)*(Parameters!$B$37/Parameters!$B$38*('6states'!F44+'6states'!I44)/Parameters!$E$25*(EXP(-Parameters!$B$38*Parameters!$E$25*'6states'!I44/('6states'!F44+'6states'!I44))-EXP(-Parameters!$B$38*Parameters!$E$25))  +  Parameters!$B$39*'6states'!F44)</f>
        <v>13.543159624941598</v>
      </c>
      <c r="M44" s="8">
        <f>M43+L44*Parameters!B$65</f>
        <v>3202.35930271387</v>
      </c>
      <c r="N44" s="7">
        <f>M44*Parameters!$B$45</f>
        <v>1.9214155816283218</v>
      </c>
      <c r="O44" s="9">
        <f>EXP(-Parameters!$B$46/2*N44^2)</f>
        <v>0.96357691047061278</v>
      </c>
      <c r="P44" s="8">
        <f>MAX((Parameters!$B$62 + Parameters!$B$31*'6states'!A44 - '6states'!M44 + Parameters!$B$47/Parameters!$B$45)/Parameters!B$62,1)</f>
        <v>25.512813945722602</v>
      </c>
      <c r="Q44" s="7">
        <f>Parameters!B$61*EXP(-Parameters!B$60*A44)</f>
        <v>0.16979776282246956</v>
      </c>
      <c r="R44" s="7">
        <f>(1-Parameters!B$61)*P44^-Parameters!B$63</f>
        <v>0.36165474551722798</v>
      </c>
      <c r="S44" s="7">
        <f>Parameters!B$61*EXP(-Parameters!B$60*A44)+(1-Parameters!B$61)*P44^-Parameters!B$63</f>
        <v>0.53145250833969748</v>
      </c>
      <c r="T44" s="7">
        <f>1-S44/Parameters!$B$12</f>
        <v>0.73427374583015126</v>
      </c>
      <c r="U44" s="7">
        <f t="shared" si="0"/>
        <v>3.7632713527840314</v>
      </c>
      <c r="V44" s="7">
        <f>(Parameters!$B$19*(F44+Parameters!$B$20)^T44+Parameters!$B$18*G44^T44)^(1/T44)</f>
        <v>0.35270499611088174</v>
      </c>
      <c r="W44" s="7">
        <f>(Parameters!$B$10*H44^Parameters!$B$9+Parameters!$B$11*V44^Parameters!$B$9)^(Parameters!$B$7/Parameters!$B$9)*O44</f>
        <v>1.3488507215300549</v>
      </c>
      <c r="X44" s="7">
        <f>W44 - D44 - E44 - LN(1+EXP(Parameters!$B$21*C44))/Parameters!$B$21 - IF(C44&gt;0, 0,Parameters!$B$6*C44^2/F44)</f>
        <v>1.0450848907056849</v>
      </c>
      <c r="Y44" s="7">
        <f>EXP(-Parameters!$B$55*A44)</f>
        <v>0.54662077419459754</v>
      </c>
      <c r="Z44" s="7">
        <f>IF(X44&gt;0,X44^(1-Parameters!$B$52)/(1-Parameters!$B$52)*Y44*Parameters!$B$65,-10+X44*1000)</f>
        <v>-1.5378537621938244</v>
      </c>
      <c r="AB44" s="9"/>
      <c r="AC44">
        <f t="shared" si="6"/>
        <v>1.0653144790409055</v>
      </c>
      <c r="AD44">
        <f t="shared" si="7"/>
        <v>14.303408182193799</v>
      </c>
      <c r="AE44" s="23">
        <f t="shared" si="8"/>
        <v>1.8914651115426682</v>
      </c>
      <c r="AF44" s="23">
        <f t="shared" si="9"/>
        <v>26.049275430550892</v>
      </c>
      <c r="AG44" s="23">
        <f t="shared" si="10"/>
        <v>172.255425481733</v>
      </c>
      <c r="AH44" s="23">
        <f t="shared" si="11"/>
        <v>64.593176353575785</v>
      </c>
      <c r="AI44" s="23">
        <f t="shared" si="12"/>
        <v>158.96872470824738</v>
      </c>
      <c r="AJ44" s="23">
        <f t="shared" si="13"/>
        <v>247.02386836348737</v>
      </c>
      <c r="AK44" s="23">
        <f t="shared" si="14"/>
        <v>191.39324192784545</v>
      </c>
      <c r="AL44" s="9">
        <f t="shared" si="23"/>
        <v>2.1975331694288336E-2</v>
      </c>
      <c r="AM44" s="9">
        <f t="shared" si="24"/>
        <v>1.9772629370726769E-2</v>
      </c>
      <c r="AN44" s="9">
        <f t="shared" ref="AN44:AO44" si="74">AVERAGE(AL42:AL46)</f>
        <v>2.1632847471598105E-2</v>
      </c>
      <c r="AO44" s="9">
        <f t="shared" si="74"/>
        <v>2.0935509304451472E-2</v>
      </c>
      <c r="AP44" s="23"/>
      <c r="AQ44" s="8">
        <f t="shared" si="1"/>
        <v>247.02386836348737</v>
      </c>
      <c r="AR44" s="32">
        <f>Parameters!$B$7*W44*(W44/O44)^(-Parameters!$B$9/Parameters!$B$7)*Parameters!$B$11*(V44)^(Parameters!$B$9-T44)*((1-2*Parameters!$B$5*C44/F44)*Parameters!$B$19*(F44+Parameters!$B$20)^(T44-1)-(1-2*Parameters!$B$5*D44/G44)*(Parameters!$B$18)*(G44)^(T44-1))</f>
        <v>0.22239361320801387</v>
      </c>
      <c r="AS44" s="32">
        <f>((C45-C43)/2-(F45-F43)/F44/2*C44)/(F44/2/Parameters!$B$5-C44)-((D45-D43)/D44-(G45-G43)/G44)/(G44/2/Parameters!$B$5/D44-1)</f>
        <v>-2.4785124437617014E-3</v>
      </c>
      <c r="AT44" s="32">
        <f>+Parameters!$B$5*C44^2/F44^2-Parameters!$B$5*D44^2/G44^2</f>
        <v>-5.222490516080521E-3</v>
      </c>
      <c r="AU44" s="30">
        <f>EXP(-Parameters!$B$42*'6states'!A44)*(Parameters!$B$37*EXP(-Parameters!$B$38*Parameters!$E$25*'6states'!I44/('6states'!F44+'6states'!I44))*(1/Parameters!$B$38/Parameters!$E$25+'6states'!I44/('6states'!F44+'6states'!I44))-Parameters!$B$37/Parameters!$B$38/Parameters!$E$25*EXP(-Parameters!$B$38*Parameters!$E$25)+Parameters!$B$39)</f>
        <v>0.5350558976393357</v>
      </c>
      <c r="AV44" s="30">
        <f>J44*K44*EXP(-Parameters!$B$42*'6states'!A44)*(Parameters!$B$37*EXP(-Parameters!$B$38*Parameters!$E$25*'6states'!I44/('6states'!F44+'6states'!I44))*(1/Parameters!$B$38/Parameters!$E$25+'6states'!I44/('6states'!F44+'6states'!I44))-Parameters!$B$37/Parameters!$B$38/Parameters!$E$25*EXP(-Parameters!$B$38*Parameters!$E$25)+Parameters!$B$39)</f>
        <v>97.988291451287793</v>
      </c>
      <c r="AW44" s="8">
        <f>1000*(AR44+AS44+AT44)/(EXP(-Parameters!$B$42*A44)*((C44&lt;0)*Parameters!$B$37*EXP(-Parameters!$B$38*AF44)+(C44&gt;=0)*Parameters!$B$41))</f>
        <v>351.69973833731137</v>
      </c>
      <c r="AX44" s="13">
        <f>1-W44/'6states,ExoDamages'!T44</f>
        <v>8.5456222477416577E-2</v>
      </c>
      <c r="AY44" s="21">
        <f>-Y44*W44*X44^(-Parameters!B$52)*Parameters!B$46*Parameters!B$45*N44</f>
        <v>-1.6097707040279828E-5</v>
      </c>
      <c r="AZ44" s="7">
        <f>1000*EXP(-(Parameters!$B$54)*'6states'!A44)*AQ44*Parameters!B$46*Parameters!B$45*N44</f>
        <v>1.4059118190318587</v>
      </c>
      <c r="BA44" s="7">
        <f>SUM(AZ44:AZ$204)*EXP(Parameters!$B$54*A44)</f>
        <v>468.54996825174726</v>
      </c>
      <c r="BB44" s="13">
        <f t="shared" si="35"/>
        <v>0.2248057029328405</v>
      </c>
      <c r="BF44" s="5">
        <f t="shared" si="58"/>
        <v>-2.0592902990363335E-3</v>
      </c>
      <c r="BG44" s="2">
        <f>BF44/Parameters!$B$45</f>
        <v>-3.4321504983938893</v>
      </c>
      <c r="BH44" s="2">
        <f t="shared" si="27"/>
        <v>7.9212276334228449E-4</v>
      </c>
      <c r="BK44">
        <f>-EXP(-Parameters!B$42*'6states'!A44)*(-Parameters!B$37/Parameters!B$38/Parameters!E$25*(EXP(-Parameters!B$38*Parameters!E$25*'6states'!I44/('6states'!F44+'6states'!I44))-EXP(-Parameters!B$38*Parameters!E$25))+Parameters!B$37*'6states'!F44/('6states'!F44+'6states'!I44)*EXP(-Parameters!B$38*Parameters!E$25*'6states'!I44/('6states'!F44+'6states'!I44)))</f>
        <v>-0.20865244671852495</v>
      </c>
      <c r="BL44">
        <f>-J44*K44*EXP(-Parameters!B$42*'6states'!A44)*(-Parameters!B$37/Parameters!B$38/Parameters!E$25*(EXP(-Parameters!B$38*Parameters!E$25*'6states'!I44/('6states'!F44+'6states'!I44))-EXP(-Parameters!B$38*Parameters!E$25)) + Parameters!B$37*'6states'!F44/('6states'!F44+'6states'!I44)*EXP(-Parameters!B$38*Parameters!E$25*'6states'!I44/('6states'!F44+'6states'!I44)))</f>
        <v>-38.211889358260628</v>
      </c>
      <c r="BM44" s="7">
        <f t="shared" si="59"/>
        <v>6.7695596997263519E-2</v>
      </c>
      <c r="BS44">
        <f>EXP(-Parameters!$B$56*A44)*BF44*BL44</f>
        <v>3.4746998991968796E-3</v>
      </c>
      <c r="BT44">
        <f>-EXP((Parameters!$B$56)*F44)*SUM(BS44:BS52)</f>
        <v>-2.5967999737064124E-2</v>
      </c>
      <c r="BU44">
        <f>X44^-Parameters!B$52/(1-2*Parameters!B$5*'6states'!D44/'6states'!G44)</f>
        <v>1.1298397922464598</v>
      </c>
      <c r="BV44">
        <f t="shared" si="61"/>
        <v>0.99862597416815213</v>
      </c>
      <c r="BW44">
        <f>$X44^-Parameters!$B$52/(1-2*Parameters!$B$5*'6states'!$E44/'6states'!$H44)</f>
        <v>1.082694417925119</v>
      </c>
      <c r="BX44">
        <f t="shared" si="62"/>
        <v>1.0067272173344721</v>
      </c>
      <c r="BY44" s="7">
        <f>($X44^-Parameters!$B$52*(1/(1+EXP(-C44)) + IF(C44&lt;0,2*Parameters!$B$6*C44/F44,0)) + BQ44*(1/(1+EXP((C44-Parameters!$B$22)*Parameters!$B$21))))/(1-IF(C44&gt;0,2*Parameters!$B$5*C44/F44,0))</f>
        <v>0.51455968108930905</v>
      </c>
      <c r="BZ44">
        <f t="shared" si="63"/>
        <v>0.99917367659423839</v>
      </c>
      <c r="CA44" s="7">
        <f t="shared" si="64"/>
        <v>-4.2554434539809893E-4</v>
      </c>
      <c r="CB44">
        <f>(1/$T44-1/Parameters!$B$13) * LN(Parameters!$B$18) / LN(P44)</f>
        <v>0.23467881361464227</v>
      </c>
      <c r="CC44">
        <f>(Parameters!$B$18*'6states'!T44^+Parameters!$B$19*Parameters!$B$25^'6states'!T44)^((1-'6states'!T44)/'6states'!T44)*Parameters!$B$18*Parameters!$B$26^('6states'!T44-1)</f>
        <v>0.28282941345676305</v>
      </c>
      <c r="CD44">
        <f t="shared" si="65"/>
        <v>0.24060461543182837</v>
      </c>
      <c r="CE44">
        <f t="shared" si="66"/>
        <v>0.15012581490958643</v>
      </c>
      <c r="CF44">
        <f t="shared" si="67"/>
        <v>0.17802262654640222</v>
      </c>
    </row>
    <row r="45" spans="1:84" x14ac:dyDescent="0.25">
      <c r="A45">
        <f>A44+Parameters!$B$65</f>
        <v>41</v>
      </c>
      <c r="B45">
        <v>2066</v>
      </c>
      <c r="C45" s="74">
        <v>5.5745829504128402E-3</v>
      </c>
      <c r="D45" s="69">
        <v>8.0933824879071303E-2</v>
      </c>
      <c r="E45" s="75">
        <v>0.21504765500745401</v>
      </c>
      <c r="F45" s="7">
        <f>MAX((1-Parameters!$B$4)^Parameters!B$65*F44 + C44*Parameters!B$65 - IF(C44&gt;0,Parameters!$B$5,0)*C44^2/F44*Parameters!B$65, 0.0001)</f>
        <v>0.13887191372056404</v>
      </c>
      <c r="G45" s="7">
        <f>(1-Parameters!$B$4)^Parameters!B$65*G44+D44*Parameters!B$65-Parameters!$B$5*D44^2/G44*Parameters!B$65</f>
        <v>0.95303896742682881</v>
      </c>
      <c r="H45" s="7">
        <f>(1-Parameters!$B$4)^Parameters!B$65*H44+E44*Parameters!B$65-Parameters!$B$5*E44^2/H44*Parameters!B$65</f>
        <v>3.3727241248324704</v>
      </c>
      <c r="I45" s="9">
        <f>I44 *(1-Parameters!$B$4)-C44*(C44&lt;0)*Parameters!B$65</f>
        <v>9.6785264907062411E-3</v>
      </c>
      <c r="J45" s="23">
        <f>J44*(1+Parameters!$B$51)^Parameters!B$65</f>
        <v>9.1886782073169293</v>
      </c>
      <c r="K45" s="23">
        <f>K44*(1+Parameters!$B$53)^Parameters!B$65</f>
        <v>20.388242493917602</v>
      </c>
      <c r="L45" s="23">
        <f>J45*K45*EXP(-Parameters!$B$42*'6states'!A45)*(Parameters!$B$37/Parameters!$B$38*('6states'!F45+'6states'!I45)/Parameters!$E$25*(EXP(-Parameters!$B$38*Parameters!$E$25*'6states'!I45/('6states'!F45+'6states'!I45))-EXP(-Parameters!$B$38*Parameters!$E$25))  +  Parameters!$B$39*'6states'!F45)</f>
        <v>13.408063257634222</v>
      </c>
      <c r="M45" s="8">
        <f>M44+L45*Parameters!B$65</f>
        <v>3215.7673659715042</v>
      </c>
      <c r="N45" s="7">
        <f>M45*Parameters!$B$45</f>
        <v>1.9294604195829024</v>
      </c>
      <c r="O45" s="9">
        <f>EXP(-Parameters!$B$46/2*N45^2)</f>
        <v>0.96327695162364113</v>
      </c>
      <c r="P45" s="8">
        <f>MAX((Parameters!$B$62 + Parameters!$B$31*'6states'!A45 - '6states'!M45 + Parameters!$B$47/Parameters!$B$45)/Parameters!B$62,1)</f>
        <v>26.308652680569921</v>
      </c>
      <c r="Q45" s="7">
        <f>Parameters!B$61*EXP(-Parameters!B$60*A45)</f>
        <v>0.16527456122893386</v>
      </c>
      <c r="R45" s="7">
        <f>(1-Parameters!B$61)*P45^-Parameters!B$63</f>
        <v>0.36054555322934284</v>
      </c>
      <c r="S45" s="7">
        <f>Parameters!B$61*EXP(-Parameters!B$60*A45)+(1-Parameters!B$61)*P45^-Parameters!B$63</f>
        <v>0.5258201144582767</v>
      </c>
      <c r="T45" s="7">
        <f>1-S45/Parameters!$B$12</f>
        <v>0.73708994277086171</v>
      </c>
      <c r="U45" s="7">
        <f t="shared" si="0"/>
        <v>3.8035821472149074</v>
      </c>
      <c r="V45" s="7">
        <f>(Parameters!$B$19*(F45+Parameters!$B$20)^T45+Parameters!$B$18*G45^T45)^(1/T45)</f>
        <v>0.35309284044652978</v>
      </c>
      <c r="W45" s="7">
        <f>(Parameters!$B$10*H45^Parameters!$B$9+Parameters!$B$11*V45^Parameters!$B$9)^(Parameters!$B$7/Parameters!$B$9)*O45</f>
        <v>1.3479585042885409</v>
      </c>
      <c r="X45" s="7">
        <f>W45 - D45 - E45 - LN(1+EXP(Parameters!$B$21*C45))/Parameters!$B$21 - IF(C45&gt;0, 0,Parameters!$B$6*C45^2/F45)</f>
        <v>1.0458287637729924</v>
      </c>
      <c r="Y45" s="7">
        <f>EXP(-Parameters!$B$55*A45)</f>
        <v>0.53842880552138184</v>
      </c>
      <c r="Z45" s="7">
        <f>IF(X45&gt;0,X45^(1-Parameters!$B$52)/(1-Parameters!$B$52)*Y45*Parameters!$B$65,-10+X45*1000)</f>
        <v>-1.5144294210159646</v>
      </c>
      <c r="AB45" s="9"/>
      <c r="AC45">
        <f t="shared" si="6"/>
        <v>1.0443479416666512</v>
      </c>
      <c r="AD45">
        <f t="shared" si="7"/>
        <v>15.162223645341534</v>
      </c>
      <c r="AE45" s="23">
        <f t="shared" si="8"/>
        <v>1.8131848263530936</v>
      </c>
      <c r="AF45" s="23">
        <f t="shared" si="9"/>
        <v>26.016403117409752</v>
      </c>
      <c r="AG45" s="23">
        <f t="shared" si="10"/>
        <v>178.54327271004365</v>
      </c>
      <c r="AH45" s="23">
        <f t="shared" si="11"/>
        <v>66.148765641787762</v>
      </c>
      <c r="AI45" s="23">
        <f t="shared" si="12"/>
        <v>162.79714837893405</v>
      </c>
      <c r="AJ45" s="23">
        <f t="shared" si="13"/>
        <v>252.52789346358941</v>
      </c>
      <c r="AK45" s="23">
        <f t="shared" si="14"/>
        <v>195.9266058999475</v>
      </c>
      <c r="AL45" s="9">
        <f t="shared" si="23"/>
        <v>2.2036746767015281E-2</v>
      </c>
      <c r="AM45" s="9">
        <f t="shared" si="24"/>
        <v>2.3409959645290357E-2</v>
      </c>
      <c r="AN45" s="9">
        <f t="shared" ref="AN45:AO45" si="75">AVERAGE(AL43:AL47)</f>
        <v>2.1656823993066076E-2</v>
      </c>
      <c r="AO45" s="9">
        <f t="shared" si="75"/>
        <v>2.1587010190672905E-2</v>
      </c>
      <c r="AP45" s="23"/>
      <c r="AQ45" s="8">
        <f t="shared" si="1"/>
        <v>252.52789346358944</v>
      </c>
      <c r="AR45" s="32">
        <f>Parameters!$B$7*W45*(W45/O45)^(-Parameters!$B$9/Parameters!$B$7)*Parameters!$B$11*(V45)^(Parameters!$B$9-T45)*((1-2*Parameters!$B$5*C45/F45)*Parameters!$B$19*(F45+Parameters!$B$20)^(T45-1)-(1-2*Parameters!$B$5*D45/G45)*(Parameters!$B$18)*(G45)^(T45-1))</f>
        <v>0.2219386752052534</v>
      </c>
      <c r="AS45" s="32">
        <f>((C46-C44)/2-(F46-F44)/F45/2*C45)/(F45/2/Parameters!$B$5-C45)-((D46-D44)/D45-(G46-G44)/G45)/(G45/2/Parameters!$B$5/D45-1)</f>
        <v>1.8706432016135051E-3</v>
      </c>
      <c r="AT45" s="32">
        <f>+Parameters!$B$5*C45^2/F45^2-Parameters!$B$5*D45^2/G45^2</f>
        <v>-5.6003468849386302E-3</v>
      </c>
      <c r="AU45" s="30">
        <f>EXP(-Parameters!$B$42*'6states'!A45)*(Parameters!$B$37*EXP(-Parameters!$B$38*Parameters!$E$25*'6states'!I45/('6states'!F45+'6states'!I45))*(1/Parameters!$B$38/Parameters!$E$25+'6states'!I45/('6states'!F45+'6states'!I45))-Parameters!$B$37/Parameters!$B$38/Parameters!$E$25*EXP(-Parameters!$B$38*Parameters!$E$25)+Parameters!$B$39)</f>
        <v>0.53145797467935951</v>
      </c>
      <c r="AV45" s="30">
        <f>J45*K45*EXP(-Parameters!$B$42*'6states'!A45)*(Parameters!$B$37*EXP(-Parameters!$B$38*Parameters!$E$25*'6states'!I45/('6states'!F45+'6states'!I45))*(1/Parameters!$B$38/Parameters!$E$25+'6states'!I45/('6states'!F45+'6states'!I45))-Parameters!$B$37/Parameters!$B$38/Parameters!$E$25*EXP(-Parameters!$B$38*Parameters!$E$25)+Parameters!$B$39)</f>
        <v>99.56386816301881</v>
      </c>
      <c r="AW45" s="8">
        <f>1000*(AR45+AS45+AT45)/(EXP(-Parameters!$B$42*A45)*((C45&lt;0)*Parameters!$B$37*EXP(-Parameters!$B$38*AF45)+(C45&gt;=0)*Parameters!$B$41))</f>
        <v>361.05261612873994</v>
      </c>
      <c r="AX45" s="13">
        <f>1-W45/'6states,ExoDamages'!T45</f>
        <v>8.5711972033144623E-2</v>
      </c>
      <c r="AY45" s="21">
        <f>-Y45*W45*X45^(-Parameters!B$52)*Parameters!B$46*Parameters!B$45*N45</f>
        <v>-1.589703773480439E-5</v>
      </c>
      <c r="AZ45" s="7">
        <f>1000*EXP(-(Parameters!$B$54)*'6states'!A45)*AQ45*Parameters!B$46*Parameters!B$45*N45</f>
        <v>1.3934755368158156</v>
      </c>
      <c r="BA45" s="7">
        <f>SUM(AZ45:AZ$204)*EXP(Parameters!$B$54*A45)</f>
        <v>479.35952006074115</v>
      </c>
      <c r="BB45" s="13">
        <f t="shared" si="35"/>
        <v>0.22371316466904217</v>
      </c>
      <c r="BF45" s="5">
        <f t="shared" si="58"/>
        <v>-2.0607239789779842E-3</v>
      </c>
      <c r="BG45" s="2">
        <f>BF45/Parameters!$B$45</f>
        <v>-3.434539964963307</v>
      </c>
      <c r="BH45" s="2">
        <f t="shared" si="27"/>
        <v>6.9571662982326199E-4</v>
      </c>
      <c r="BK45">
        <f>-EXP(-Parameters!B$42*'6states'!A45)*(-Parameters!B$37/Parameters!B$38/Parameters!E$25*(EXP(-Parameters!B$38*Parameters!E$25*'6states'!I45/('6states'!F45+'6states'!I45))-EXP(-Parameters!B$38*Parameters!E$25))+Parameters!B$37*'6states'!F45/('6states'!F45+'6states'!I45)*EXP(-Parameters!B$38*Parameters!E$25*'6states'!I45/('6states'!F45+'6states'!I45)))</f>
        <v>-0.2308433456439202</v>
      </c>
      <c r="BL45">
        <f>-J45*K45*EXP(-Parameters!B$42*'6states'!A45)*(-Parameters!B$37/Parameters!B$38/Parameters!E$25*(EXP(-Parameters!B$38*Parameters!E$25*'6states'!I45/('6states'!F45+'6states'!I45))-EXP(-Parameters!B$38*Parameters!E$25)) + Parameters!B$37*'6states'!F45/('6states'!F45+'6states'!I45)*EXP(-Parameters!B$38*Parameters!E$25*'6states'!I45/('6states'!F45+'6states'!I45)))</f>
        <v>-43.246423098398346</v>
      </c>
      <c r="BM45" s="7">
        <f t="shared" si="59"/>
        <v>6.5153132343070269E-2</v>
      </c>
      <c r="BS45">
        <f>EXP(-Parameters!$B$56*A45)*BF45*BL45</f>
        <v>3.6399570939223114E-3</v>
      </c>
      <c r="BT45">
        <f>-EXP((Parameters!$B$56)*F45)*SUM(BS45:BS53)</f>
        <v>-2.4880607839995888E-2</v>
      </c>
      <c r="BU45">
        <f>X45^-Parameters!B$52/(1-2*Parameters!B$5*'6states'!D45/'6states'!G45)</f>
        <v>1.1338832448539178</v>
      </c>
      <c r="BV45">
        <f t="shared" si="61"/>
        <v>1.0035787840322197</v>
      </c>
      <c r="BW45">
        <f>$X45^-Parameters!$B$52/(1-2*Parameters!$B$5*'6states'!$E45/'6states'!$H45)</f>
        <v>1.078881012197866</v>
      </c>
      <c r="BX45">
        <f t="shared" si="62"/>
        <v>0.9964778559267341</v>
      </c>
      <c r="BY45" s="7">
        <f>($X45^-Parameters!$B$52*(1/(1+EXP(-C45)) + IF(C45&lt;0,2*Parameters!$B$6*C45/F45,0)) + BQ45*(1/(1+EXP((C45-Parameters!$B$22)*Parameters!$B$21))))/(1-IF(C45&gt;0,2*Parameters!$B$5*C45/F45,0))</f>
        <v>0.51316048110619972</v>
      </c>
      <c r="BZ45">
        <f t="shared" si="63"/>
        <v>0.99728078192961556</v>
      </c>
      <c r="CA45" s="7">
        <f t="shared" si="64"/>
        <v>-1.3991999831093338E-3</v>
      </c>
      <c r="CB45">
        <f>(1/$T45-1/Parameters!$B$13) * LN(Parameters!$B$18) / LN(P45)</f>
        <v>0.23436994206660056</v>
      </c>
      <c r="CC45">
        <f>(Parameters!$B$18*'6states'!T45^+Parameters!$B$19*Parameters!$B$25^'6states'!T45)^((1-'6states'!T45)/'6states'!T45)*Parameters!$B$18*Parameters!$B$26^('6states'!T45-1)</f>
        <v>0.28385896288829887</v>
      </c>
      <c r="CD45">
        <f t="shared" si="65"/>
        <v>0.23945562068062864</v>
      </c>
      <c r="CE45">
        <f t="shared" si="66"/>
        <v>0.14994384294064778</v>
      </c>
      <c r="CF45">
        <f t="shared" si="67"/>
        <v>0.17860900441919814</v>
      </c>
    </row>
    <row r="46" spans="1:84" x14ac:dyDescent="0.25">
      <c r="A46">
        <f>A45+Parameters!$B$65</f>
        <v>42</v>
      </c>
      <c r="B46">
        <v>2067</v>
      </c>
      <c r="C46" s="74">
        <v>5.3456482574631703E-3</v>
      </c>
      <c r="D46" s="69">
        <v>7.8998130754535295E-2</v>
      </c>
      <c r="E46" s="75">
        <v>0.22028878833930701</v>
      </c>
      <c r="F46" s="7">
        <f>MAX((1-Parameters!$B$4)^Parameters!B$65*F45 + C45*Parameters!B$65 - IF(C45&gt;0,Parameters!$B$5,0)*C45^2/F45*Parameters!B$65, 0.0001)</f>
        <v>0.13548767892746721</v>
      </c>
      <c r="G46" s="7">
        <f>(1-Parameters!$B$4)^Parameters!B$65*G45+D45*Parameters!B$65-Parameters!$B$5*D45^2/G45*Parameters!B$65</f>
        <v>0.9671535917432077</v>
      </c>
      <c r="H46" s="7">
        <f>(1-Parameters!$B$4)^Parameters!B$65*H45+E45*Parameters!B$65-Parameters!$B$5*E45^2/H45*Parameters!B$65</f>
        <v>3.3619158176182538</v>
      </c>
      <c r="I46" s="9">
        <f>I45 *(1-Parameters!$B$4)-C45*(C45&lt;0)*Parameters!B$65</f>
        <v>9.069747174440819E-3</v>
      </c>
      <c r="J46" s="23">
        <f>J45*(1+Parameters!$B$51)^Parameters!B$65</f>
        <v>9.215325374118148</v>
      </c>
      <c r="K46" s="23">
        <f>K45*(1+Parameters!$B$53)^Parameters!B$65</f>
        <v>20.796007343795953</v>
      </c>
      <c r="L46" s="23">
        <f>J46*K46*EXP(-Parameters!$B$42*'6states'!A46)*(Parameters!$B$37/Parameters!$B$38*('6states'!F46+'6states'!I46)/Parameters!$E$25*(EXP(-Parameters!$B$38*Parameters!$E$25*'6states'!I46/('6states'!F46+'6states'!I46))-EXP(-Parameters!$B$38*Parameters!$E$25))  +  Parameters!$B$39*'6states'!F46)</f>
        <v>13.265711319032564</v>
      </c>
      <c r="M46" s="8">
        <f>M45+L46*Parameters!B$65</f>
        <v>3229.0330772905368</v>
      </c>
      <c r="N46" s="7">
        <f>M46*Parameters!$B$45</f>
        <v>1.937419846374322</v>
      </c>
      <c r="O46" s="9">
        <f>EXP(-Parameters!$B$46/2*N46^2)</f>
        <v>0.96297903647866567</v>
      </c>
      <c r="P46" s="8">
        <f>MAX((Parameters!$B$62 + Parameters!$B$31*'6states'!A46 - '6states'!M46 + Parameters!$B$47/Parameters!$B$45)/Parameters!B$62,1)</f>
        <v>27.107338454189268</v>
      </c>
      <c r="Q46" s="7">
        <f>Parameters!B$61*EXP(-Parameters!B$60*A46)</f>
        <v>0.16087185211018509</v>
      </c>
      <c r="R46" s="7">
        <f>(1-Parameters!B$61)*P46^-Parameters!B$63</f>
        <v>0.35946889487899747</v>
      </c>
      <c r="S46" s="7">
        <f>Parameters!B$61*EXP(-Parameters!B$60*A46)+(1-Parameters!B$61)*P46^-Parameters!B$63</f>
        <v>0.52034074698918253</v>
      </c>
      <c r="T46" s="7">
        <f>1-S46/Parameters!$B$12</f>
        <v>0.73982962650540873</v>
      </c>
      <c r="U46" s="7">
        <f t="shared" si="0"/>
        <v>3.8436351786257061</v>
      </c>
      <c r="V46" s="7">
        <f>(Parameters!$B$19*(F46+Parameters!$B$20)^T46+Parameters!$B$18*G46^T46)^(1/T46)</f>
        <v>0.35384624338109649</v>
      </c>
      <c r="W46" s="7">
        <f>(Parameters!$B$10*H46^Parameters!$B$9+Parameters!$B$11*V46^Parameters!$B$9)^(Parameters!$B$7/Parameters!$B$9)*O46</f>
        <v>1.3469260277025183</v>
      </c>
      <c r="X46" s="7">
        <f>W46 - D46 - E46 - LN(1+EXP(Parameters!$B$21*C46))/Parameters!$B$21 - IF(C46&gt;0, 0,Parameters!$B$6*C46^2/F46)</f>
        <v>1.0416825233855957</v>
      </c>
      <c r="Y46" s="7">
        <f>EXP(-Parameters!$B$55*A46)</f>
        <v>0.53035960633280899</v>
      </c>
      <c r="Z46" s="7">
        <f>IF(X46&gt;0,X46^(1-Parameters!$B$52)/(1-Parameters!$B$52)*Y46*Parameters!$B$65,-10+X46*1000)</f>
        <v>-1.4938087979981489</v>
      </c>
      <c r="AB46" s="9"/>
      <c r="AC46">
        <f t="shared" si="6"/>
        <v>1.0244505852018464</v>
      </c>
      <c r="AD46">
        <f t="shared" si="7"/>
        <v>15.139357732403747</v>
      </c>
      <c r="AE46" s="23">
        <f t="shared" si="8"/>
        <v>1.7381442536022875</v>
      </c>
      <c r="AF46" s="23">
        <f t="shared" si="9"/>
        <v>25.965126263423993</v>
      </c>
      <c r="AG46" s="23">
        <f t="shared" si="10"/>
        <v>185.34722363337673</v>
      </c>
      <c r="AH46" s="23">
        <f t="shared" si="11"/>
        <v>67.811792629106932</v>
      </c>
      <c r="AI46" s="23">
        <f t="shared" si="12"/>
        <v>166.88998440672745</v>
      </c>
      <c r="AJ46" s="23">
        <f t="shared" si="13"/>
        <v>258.12756299051165</v>
      </c>
      <c r="AK46" s="23">
        <f t="shared" si="14"/>
        <v>199.63009522503398</v>
      </c>
      <c r="AL46" s="9">
        <f t="shared" si="23"/>
        <v>2.193218115018869E-2</v>
      </c>
      <c r="AM46" s="9">
        <f t="shared" si="24"/>
        <v>1.8726000783249042E-2</v>
      </c>
      <c r="AN46" s="9">
        <f t="shared" ref="AN46:AO46" si="76">AVERAGE(AL44:AL48)</f>
        <v>2.170420012362655E-2</v>
      </c>
      <c r="AO46" s="9">
        <f t="shared" si="76"/>
        <v>2.1199909353589418E-2</v>
      </c>
      <c r="AP46" s="23"/>
      <c r="AQ46" s="8">
        <f t="shared" si="1"/>
        <v>258.12756299051165</v>
      </c>
      <c r="AR46" s="32">
        <f>Parameters!$B$7*W46*(W46/O46)^(-Parameters!$B$9/Parameters!$B$7)*Parameters!$B$11*(V46)^(Parameters!$B$9-T46)*((1-2*Parameters!$B$5*C46/F46)*Parameters!$B$19*(F46+Parameters!$B$20)^(T46-1)-(1-2*Parameters!$B$5*D46/G46)*(Parameters!$B$18)*(G46)^(T46-1))</f>
        <v>0.21921436214043638</v>
      </c>
      <c r="AS46" s="32">
        <f>((C47-C45)/2-(F47-F45)/F46/2*C46)/(F46/2/Parameters!$B$5-C46)-((D47-D45)/D46-(G47-G45)/G46)/(G46/2/Parameters!$B$5/D46-1)</f>
        <v>-5.5765446100934334E-2</v>
      </c>
      <c r="AT46" s="32">
        <f>+Parameters!$B$5*C46^2/F46^2-Parameters!$B$5*D46^2/G46^2</f>
        <v>-5.1151091213929526E-3</v>
      </c>
      <c r="AU46" s="30">
        <f>EXP(-Parameters!$B$42*'6states'!A46)*(Parameters!$B$37*EXP(-Parameters!$B$38*Parameters!$E$25*'6states'!I46/('6states'!F46+'6states'!I46))*(1/Parameters!$B$38/Parameters!$E$25+'6states'!I46/('6states'!F46+'6states'!I46))-Parameters!$B$37/Parameters!$B$38/Parameters!$E$25*EXP(-Parameters!$B$38*Parameters!$E$25)+Parameters!$B$39)</f>
        <v>0.5279038729774822</v>
      </c>
      <c r="AV46" s="30">
        <f>J46*K46*EXP(-Parameters!$B$42*'6states'!A46)*(Parameters!$B$37*EXP(-Parameters!$B$38*Parameters!$E$25*'6states'!I46/('6states'!F46+'6states'!I46))*(1/Parameters!$B$38/Parameters!$E$25+'6states'!I46/('6states'!F46+'6states'!I46))-Parameters!$B$37/Parameters!$B$38/Parameters!$E$25*EXP(-Parameters!$B$38*Parameters!$E$25)+Parameters!$B$39)</f>
        <v>101.16854038180772</v>
      </c>
      <c r="AW46" s="8">
        <f>1000*(AR46+AS46+AT46)/(EXP(-Parameters!$B$42*A46)*((C46&lt;0)*Parameters!$B$37*EXP(-Parameters!$B$38*AF46)+(C46&gt;=0)*Parameters!$B$41))</f>
        <v>264.61502041922756</v>
      </c>
      <c r="AX46" s="13">
        <f>1-W46/'6states,ExoDamages'!T46</f>
        <v>8.6070426626798535E-2</v>
      </c>
      <c r="AY46" s="21">
        <f>-Y46*W46*X46^(-Parameters!B$52)*Parameters!B$46*Parameters!B$45*N46</f>
        <v>-1.5795830928211674E-5</v>
      </c>
      <c r="AZ46" s="7">
        <f>1000*EXP(-(Parameters!$B$54)*'6states'!A46)*AQ46*Parameters!B$46*Parameters!B$45*N46</f>
        <v>1.3809199631405646</v>
      </c>
      <c r="BA46" s="7">
        <f>SUM(AZ46:AZ$204)*EXP(Parameters!$B$54*A46)</f>
        <v>490.39775185097642</v>
      </c>
      <c r="BB46" s="13">
        <f t="shared" ref="BB46:BB69" si="77">(C46+D46+E46)/W46</f>
        <v>0.2261687435581923</v>
      </c>
      <c r="BF46" s="5">
        <f t="shared" si="58"/>
        <v>-2.06210295753424E-3</v>
      </c>
      <c r="BG46" s="2">
        <f>BF46/Parameters!$B$45</f>
        <v>-3.436838262557067</v>
      </c>
      <c r="BH46" s="2">
        <f t="shared" si="27"/>
        <v>6.6872439672216455E-4</v>
      </c>
      <c r="BK46">
        <f>-EXP(-Parameters!B$42*'6states'!A46)*(-Parameters!B$37/Parameters!B$38/Parameters!E$25*(EXP(-Parameters!B$38*Parameters!E$25*'6states'!I46/('6states'!F46+'6states'!I46))-EXP(-Parameters!B$38*Parameters!E$25))+Parameters!B$37*'6states'!F46/('6states'!F46+'6states'!I46)*EXP(-Parameters!B$38*Parameters!E$25*'6states'!I46/('6states'!F46+'6states'!I46)))</f>
        <v>-0.25393714984446547</v>
      </c>
      <c r="BL46">
        <f>-J46*K46*EXP(-Parameters!B$42*'6states'!A46)*(-Parameters!B$37/Parameters!B$38/Parameters!E$25*(EXP(-Parameters!B$38*Parameters!E$25*'6states'!I46/('6states'!F46+'6states'!I46))-EXP(-Parameters!B$38*Parameters!E$25)) + Parameters!B$37*'6states'!F46/('6states'!F46+'6states'!I46)*EXP(-Parameters!B$38*Parameters!E$25*'6states'!I46/('6states'!F46+'6states'!I46)))</f>
        <v>-48.665016707647439</v>
      </c>
      <c r="BM46" s="7">
        <f t="shared" si="59"/>
        <v>6.2741482184712941E-2</v>
      </c>
      <c r="BS46">
        <f>EXP(-Parameters!$B$56*A46)*BF46*BL46</f>
        <v>3.7912157440671748E-3</v>
      </c>
      <c r="BT46">
        <f>-EXP((Parameters!$B$56)*F46)*SUM(BS46:BS54)</f>
        <v>-2.3688829196977831E-2</v>
      </c>
      <c r="BU46">
        <f>X46^-Parameters!B$52/(1-2*Parameters!B$5*'6states'!D46/'6states'!G46)</f>
        <v>1.1311487397777651</v>
      </c>
      <c r="BV46">
        <f t="shared" si="61"/>
        <v>0.99758837156421254</v>
      </c>
      <c r="BW46">
        <f>$X46^-Parameters!$B$52/(1-2*Parameters!$B$5*'6states'!$E46/'6states'!$H46)</f>
        <v>1.0890861385245822</v>
      </c>
      <c r="BX46">
        <f t="shared" si="62"/>
        <v>1.0094589915026186</v>
      </c>
      <c r="BY46" s="7">
        <f>($X46^-Parameters!$B$52*(1/(1+EXP(-C46)) + IF(C46&lt;0,2*Parameters!$B$6*C46/F46,0)) + BQ46*(1/(1+EXP((C46-Parameters!$B$22)*Parameters!$B$21))))/(1-IF(C46&gt;0,2*Parameters!$B$5*C46/F46,0))</f>
        <v>0.51509139200923548</v>
      </c>
      <c r="BZ46">
        <f t="shared" si="63"/>
        <v>1.003762781769308</v>
      </c>
      <c r="CA46" s="7">
        <f t="shared" si="64"/>
        <v>1.9309109030357652E-3</v>
      </c>
      <c r="CB46">
        <f>(1/$T46-1/Parameters!$B$13) * LN(Parameters!$B$18) / LN(P46)</f>
        <v>0.23405954738437648</v>
      </c>
      <c r="CC46">
        <f>(Parameters!$B$18*'6states'!T46^+Parameters!$B$19*Parameters!$B$25^'6states'!T46)^((1-'6states'!T46)/'6states'!T46)*Parameters!$B$18*Parameters!$B$26^('6states'!T46-1)</f>
        <v>0.28484040789264164</v>
      </c>
      <c r="CD46">
        <f t="shared" si="65"/>
        <v>0.23833138520480621</v>
      </c>
      <c r="CE46">
        <f t="shared" si="66"/>
        <v>0.14976093436387239</v>
      </c>
      <c r="CF46">
        <f t="shared" si="67"/>
        <v>0.17916759505845969</v>
      </c>
    </row>
    <row r="47" spans="1:84" x14ac:dyDescent="0.25">
      <c r="A47">
        <f>A46+Parameters!$B$65</f>
        <v>43</v>
      </c>
      <c r="B47">
        <v>2068</v>
      </c>
      <c r="C47" s="74">
        <v>-1.8716645906879401E-3</v>
      </c>
      <c r="D47" s="69">
        <v>8.2330934385612203E-2</v>
      </c>
      <c r="E47" s="75">
        <v>0.21738494900101599</v>
      </c>
      <c r="F47" s="7">
        <f>MAX((1-Parameters!$B$4)^Parameters!B$65*F46 + C46*Parameters!B$65 - IF(C46&gt;0,Parameters!$B$5,0)*C46^2/F46*Parameters!B$65, 0.0001)</f>
        <v>0.13210024034310441</v>
      </c>
      <c r="G47" s="7">
        <f>(1-Parameters!$B$4)^Parameters!B$65*G46+D46*Parameters!B$65-Parameters!$B$5*D46^2/G46*Parameters!B$65</f>
        <v>0.97886511050286173</v>
      </c>
      <c r="H47" s="7">
        <f>(1-Parameters!$B$4)^Parameters!B$65*H46+E46*Parameters!B$65-Parameters!$B$5*E46^2/H46*Parameters!B$65</f>
        <v>3.3563057270293783</v>
      </c>
      <c r="I47" s="9">
        <f>I46 *(1-Parameters!$B$4)-C46*(C46&lt;0)*Parameters!B$65</f>
        <v>8.4992600771684919E-3</v>
      </c>
      <c r="J47" s="23">
        <f>J46*(1+Parameters!$B$51)^Parameters!B$65</f>
        <v>9.242049817703089</v>
      </c>
      <c r="K47" s="23">
        <f>K46*(1+Parameters!$B$53)^Parameters!B$65</f>
        <v>21.211927490671872</v>
      </c>
      <c r="L47" s="23">
        <f>J47*K47*EXP(-Parameters!$B$42*'6states'!A47)*(Parameters!$B$37/Parameters!$B$38*('6states'!F47+'6states'!I47)/Parameters!$E$25*(EXP(-Parameters!$B$38*Parameters!$E$25*'6states'!I47/('6states'!F47+'6states'!I47))-EXP(-Parameters!$B$38*Parameters!$E$25))  +  Parameters!$B$39*'6states'!F47)</f>
        <v>13.117151007321558</v>
      </c>
      <c r="M47" s="8">
        <f>M46+L47*Parameters!B$65</f>
        <v>3242.1502282978581</v>
      </c>
      <c r="N47" s="7">
        <f>M47*Parameters!$B$45</f>
        <v>1.9452901369787148</v>
      </c>
      <c r="O47" s="9">
        <f>EXP(-Parameters!$B$46/2*N47^2)</f>
        <v>0.96268334287534463</v>
      </c>
      <c r="P47" s="8">
        <f>MAX((Parameters!$B$62 + Parameters!$B$31*'6states'!A47 - '6states'!M47 + Parameters!$B$47/Parameters!$B$45)/Parameters!B$62,1)</f>
        <v>27.908995434042836</v>
      </c>
      <c r="Q47" s="7">
        <f>Parameters!B$61*EXP(-Parameters!B$60*A47)</f>
        <v>0.15658642569628925</v>
      </c>
      <c r="R47" s="7">
        <f>(1-Parameters!B$61)*P47^-Parameters!B$63</f>
        <v>0.35842276340077339</v>
      </c>
      <c r="S47" s="7">
        <f>Parameters!B$61*EXP(-Parameters!B$60*A47)+(1-Parameters!B$61)*P47^-Parameters!B$63</f>
        <v>0.51500918909706261</v>
      </c>
      <c r="T47" s="7">
        <f>1-S47/Parameters!$B$12</f>
        <v>0.74249540545146875</v>
      </c>
      <c r="U47" s="7">
        <f t="shared" si="0"/>
        <v>3.8834258540250337</v>
      </c>
      <c r="V47" s="7">
        <f>(Parameters!$B$19*(F47+Parameters!$B$20)^T47+Parameters!$B$18*G47^T47)^(1/T47)</f>
        <v>0.35402590290145464</v>
      </c>
      <c r="W47" s="7">
        <f>(Parameters!$B$10*H47^Parameters!$B$9+Parameters!$B$11*V47^Parameters!$B$9)^(Parameters!$B$7/Parameters!$B$9)*O47</f>
        <v>1.3461127928880661</v>
      </c>
      <c r="X47" s="7">
        <f>W47 - D47 - E47 - LN(1+EXP(Parameters!$B$21*C47))/Parameters!$B$21 - IF(C47&gt;0, 0,Parameters!$B$6*C47^2/F47)</f>
        <v>1.0447599806284888</v>
      </c>
      <c r="Y47" s="7">
        <f>EXP(-Parameters!$B$55*A47)</f>
        <v>0.52241133673581286</v>
      </c>
      <c r="Z47" s="7">
        <f>IF(X47&gt;0,X47^(1-Parameters!$B$52)/(1-Parameters!$B$52)*Y47*Parameters!$B$65,-10+X47*1000)</f>
        <v>-1.4699032952749742</v>
      </c>
      <c r="AB47" s="9"/>
      <c r="AC47">
        <f t="shared" si="6"/>
        <v>-0.36692429059142984</v>
      </c>
      <c r="AD47">
        <f t="shared" si="7"/>
        <v>16.140295565492725</v>
      </c>
      <c r="AE47" s="23">
        <f t="shared" si="8"/>
        <v>1.6662093143627075</v>
      </c>
      <c r="AF47" s="23">
        <f t="shared" si="9"/>
        <v>25.897154445303297</v>
      </c>
      <c r="AG47" s="23">
        <f t="shared" si="10"/>
        <v>191.89837113066798</v>
      </c>
      <c r="AH47" s="23">
        <f t="shared" si="11"/>
        <v>69.403836520389049</v>
      </c>
      <c r="AI47" s="23">
        <f t="shared" si="12"/>
        <v>170.80812563098485</v>
      </c>
      <c r="AJ47" s="23">
        <f t="shared" si="13"/>
        <v>263.89422765376918</v>
      </c>
      <c r="AK47" s="23">
        <f t="shared" si="14"/>
        <v>204.81651287185099</v>
      </c>
      <c r="AL47" s="9">
        <f t="shared" si="23"/>
        <v>2.2094477109830812E-2</v>
      </c>
      <c r="AM47" s="9">
        <f t="shared" si="24"/>
        <v>2.5648388979991665E-2</v>
      </c>
      <c r="AN47" s="9">
        <f t="shared" ref="AN47:AO47" si="78">AVERAGE(AL45:AL49)</f>
        <v>2.1717755485103039E-2</v>
      </c>
      <c r="AO47" s="9">
        <f t="shared" si="78"/>
        <v>2.1714420335811901E-2</v>
      </c>
      <c r="AP47" s="23"/>
      <c r="AQ47" s="8">
        <f t="shared" si="1"/>
        <v>263.89422765376918</v>
      </c>
      <c r="AR47" s="32">
        <f>Parameters!$B$7*W47*(W47/O47)^(-Parameters!$B$9/Parameters!$B$7)*Parameters!$B$11*(V47)^(Parameters!$B$9-T47)*((1-2*Parameters!$B$5*C47/F47)*Parameters!$B$19*(F47+Parameters!$B$20)^(T47-1)-(1-2*Parameters!$B$5*D47/G47)*(Parameters!$B$18)*(G47)^(T47-1))</f>
        <v>0.25275916063665088</v>
      </c>
      <c r="AS47" s="32">
        <f>((C48-C46)/2-(F48-F46)/F47/2*C47)/(F47/2/Parameters!$B$5-C47)-((D48-D46)/D47-(G48-G46)/G47)/(G47/2/Parameters!$B$5/D47-1)</f>
        <v>-4.8715669030906152E-3</v>
      </c>
      <c r="AT47" s="32">
        <f>+Parameters!$B$5*C47^2/F47^2-Parameters!$B$5*D47^2/G47^2</f>
        <v>-6.8735028873305468E-3</v>
      </c>
      <c r="AU47" s="30">
        <f>EXP(-Parameters!$B$42*'6states'!A47)*(Parameters!$B$37*EXP(-Parameters!$B$38*Parameters!$E$25*'6states'!I47/('6states'!F47+'6states'!I47))*(1/Parameters!$B$38/Parameters!$E$25+'6states'!I47/('6states'!F47+'6states'!I47))-Parameters!$B$37/Parameters!$B$38/Parameters!$E$25*EXP(-Parameters!$B$38*Parameters!$E$25)+Parameters!$B$39)</f>
        <v>0.52438770269478197</v>
      </c>
      <c r="AV47" s="30">
        <f>J47*K47*EXP(-Parameters!$B$42*'6states'!A47)*(Parameters!$B$37*EXP(-Parameters!$B$38*Parameters!$E$25*'6states'!I47/('6states'!F47+'6states'!I47))*(1/Parameters!$B$38/Parameters!$E$25+'6states'!I47/('6states'!F47+'6states'!I47))-Parameters!$B$37/Parameters!$B$38/Parameters!$E$25*EXP(-Parameters!$B$38*Parameters!$E$25)+Parameters!$B$39)</f>
        <v>102.8018517652412</v>
      </c>
      <c r="AW47" s="8">
        <f>1000*(AR47+AS47+AT47)/(EXP(-Parameters!$B$42*A47)*((C47&lt;0)*Parameters!$B$37*EXP(-Parameters!$B$38*AF47)+(C47&gt;=0)*Parameters!$B$41))</f>
        <v>9574928423.3539448</v>
      </c>
      <c r="AX47" s="13">
        <f>1-W47/'6states,ExoDamages'!T47</f>
        <v>8.6287482253569969E-2</v>
      </c>
      <c r="AY47" s="21">
        <f>-Y47*W47*X47^(-Parameters!B$52)*Parameters!B$46*Parameters!B$45*N47</f>
        <v>-1.5550824619208158E-5</v>
      </c>
      <c r="AZ47" s="7">
        <f>1000*EXP(-(Parameters!$B$54)*'6states'!A47)*AQ47*Parameters!B$46*Parameters!B$45*N47</f>
        <v>1.3686138221719373</v>
      </c>
      <c r="BA47" s="7">
        <f>SUM(AZ47:AZ$204)*EXP(Parameters!$B$54*A47)</f>
        <v>501.66968734927019</v>
      </c>
      <c r="BB47" s="13">
        <f t="shared" si="77"/>
        <v>0.22126245316851917</v>
      </c>
      <c r="BF47" s="5">
        <f t="shared" si="58"/>
        <v>-2.063240603816473E-3</v>
      </c>
      <c r="BG47" s="2">
        <f>BF47/Parameters!$B$45</f>
        <v>-3.4387343396941219</v>
      </c>
      <c r="BH47" s="2">
        <f t="shared" si="27"/>
        <v>5.5138808344923351E-4</v>
      </c>
      <c r="BK47">
        <f>-EXP(-Parameters!B$42*'6states'!A47)*(-Parameters!B$37/Parameters!B$38/Parameters!E$25*(EXP(-Parameters!B$38*Parameters!E$25*'6states'!I47/('6states'!F47+'6states'!I47))-EXP(-Parameters!B$38*Parameters!E$25))+Parameters!B$37*'6states'!F47/('6states'!F47+'6states'!I47)*EXP(-Parameters!B$38*Parameters!E$25*'6states'!I47/('6states'!F47+'6states'!I47)))</f>
        <v>-0.27787524327943369</v>
      </c>
      <c r="BL47">
        <f>-J47*K47*EXP(-Parameters!B$42*'6states'!A47)*(-Parameters!B$37/Parameters!B$38/Parameters!E$25*(EXP(-Parameters!B$38*Parameters!E$25*'6states'!I47/('6states'!F47+'6states'!I47))-EXP(-Parameters!B$38*Parameters!E$25)) + Parameters!B$37*'6states'!F47/('6states'!F47+'6states'!I47)*EXP(-Parameters!B$38*Parameters!E$25*'6states'!I47/('6states'!F47+'6states'!I47)))</f>
        <v>-54.475132467912715</v>
      </c>
      <c r="BM47" s="7">
        <f t="shared" si="59"/>
        <v>6.0450144216465447E-2</v>
      </c>
      <c r="BS47">
        <f>EXP(-Parameters!$B$56*A47)*BF47*BL47</f>
        <v>3.9275749248876011E-3</v>
      </c>
      <c r="BT47">
        <f>-EXP((Parameters!$B$56)*F47)*SUM(BS47:BS55)</f>
        <v>-2.2404817614819387E-2</v>
      </c>
      <c r="BU47">
        <f>X47^-Parameters!B$52/(1-2*Parameters!B$5*'6states'!D47/'6states'!G47)</f>
        <v>1.1332290745963176</v>
      </c>
      <c r="BV47">
        <f t="shared" si="61"/>
        <v>1.0018391346295989</v>
      </c>
      <c r="BW47">
        <f>$X47^-Parameters!$B$52/(1-2*Parameters!$B$5*'6states'!$E47/'6states'!$H47)</f>
        <v>1.0828741425669413</v>
      </c>
      <c r="BX47">
        <f t="shared" si="62"/>
        <v>0.99429613899405922</v>
      </c>
      <c r="BY47" s="7">
        <f>($X47^-Parameters!$B$52*(1/(1+EXP(-C47)) + IF(C47&lt;0,2*Parameters!$B$6*C47/F47,0)) + BQ47*(1/(1+EXP((C47-Parameters!$B$22)*Parameters!$B$21))))/(1-IF(C47&gt;0,2*Parameters!$B$5*C47/F47,0))</f>
        <v>0.3373066895775329</v>
      </c>
      <c r="BZ47">
        <f t="shared" si="63"/>
        <v>0.65484823627470956</v>
      </c>
      <c r="CA47" s="7">
        <f t="shared" si="64"/>
        <v>-0.17778470243170258</v>
      </c>
      <c r="CB47">
        <f>(1/$T47-1/Parameters!$B$13) * LN(Parameters!$B$18) / LN(P47)</f>
        <v>0.23374700325782033</v>
      </c>
      <c r="CC47">
        <f>(Parameters!$B$18*'6states'!T47^+Parameters!$B$19*Parameters!$B$25^'6states'!T47)^((1-'6states'!T47)/'6states'!T47)*Parameters!$B$18*Parameters!$B$26^('6states'!T47-1)</f>
        <v>0.28577638304624964</v>
      </c>
      <c r="CD47">
        <f t="shared" si="65"/>
        <v>0.23723029008630675</v>
      </c>
      <c r="CE47">
        <f t="shared" si="66"/>
        <v>0.14957671940144879</v>
      </c>
      <c r="CF47">
        <f t="shared" si="67"/>
        <v>0.17969995259132954</v>
      </c>
    </row>
    <row r="48" spans="1:84" x14ac:dyDescent="0.25">
      <c r="A48">
        <f>A47+Parameters!$B$65</f>
        <v>44</v>
      </c>
      <c r="B48">
        <v>2069</v>
      </c>
      <c r="C48" s="74">
        <v>4.7925917609378203E-3</v>
      </c>
      <c r="D48" s="69">
        <v>8.0896543913269697E-2</v>
      </c>
      <c r="E48" s="75">
        <v>0.21641048704768701</v>
      </c>
      <c r="F48" s="7">
        <f>MAX((1-Parameters!$B$4)^Parameters!B$65*F47 + C47*Parameters!B$65 - IF(C47&gt;0,Parameters!$B$5,0)*C47^2/F47*Parameters!B$65, 0.0001)</f>
        <v>0.12191947063483521</v>
      </c>
      <c r="G48" s="7">
        <f>(1-Parameters!$B$4)^Parameters!B$65*G47+D47*Parameters!B$65-Parameters!$B$5*D47^2/G47*Parameters!B$65</f>
        <v>0.99270069314468334</v>
      </c>
      <c r="H48" s="7">
        <f>(1-Parameters!$B$4)^Parameters!B$65*H47+E47*Parameters!B$65-Parameters!$B$5*E47^2/H47*Parameters!B$65</f>
        <v>3.3484992152080553</v>
      </c>
      <c r="I48" s="9">
        <f>I47 *(1-Parameters!$B$4)-C47*(C47&lt;0)*Parameters!B$65</f>
        <v>9.8363212090025343E-3</v>
      </c>
      <c r="J48" s="23">
        <f>J47*(1+Parameters!$B$51)^Parameters!B$65</f>
        <v>9.2688517621744264</v>
      </c>
      <c r="K48" s="23">
        <f>K47*(1+Parameters!$B$53)^Parameters!B$65</f>
        <v>21.63616604048531</v>
      </c>
      <c r="L48" s="23">
        <f>J48*K48*EXP(-Parameters!$B$42*'6states'!A48)*(Parameters!$B$37/Parameters!$B$38*('6states'!F48+'6states'!I48)/Parameters!$E$25*(EXP(-Parameters!$B$38*Parameters!$E$25*'6states'!I48/('6states'!F48+'6states'!I48))-EXP(-Parameters!$B$38*Parameters!$E$25))  +  Parameters!$B$39*'6states'!F48)</f>
        <v>12.179182970152914</v>
      </c>
      <c r="M48" s="8">
        <f>M47+L48*Parameters!B$65</f>
        <v>3254.329411268011</v>
      </c>
      <c r="N48" s="7">
        <f>M48*Parameters!$B$45</f>
        <v>1.9525976467608064</v>
      </c>
      <c r="O48" s="9">
        <f>EXP(-Parameters!$B$46/2*N48^2)</f>
        <v>0.96240780195993514</v>
      </c>
      <c r="P48" s="8">
        <f>MAX((Parameters!$B$62 + Parameters!$B$31*'6states'!A48 - '6states'!M48 + Parameters!$B$47/Parameters!$B$45)/Parameters!B$62,1)</f>
        <v>28.729411774639786</v>
      </c>
      <c r="Q48" s="7">
        <f>Parameters!B$61*EXP(-Parameters!B$60*A48)</f>
        <v>0.15241515772159842</v>
      </c>
      <c r="R48" s="7">
        <f>(1-Parameters!B$61)*P48^-Parameters!B$63</f>
        <v>0.35738583145958785</v>
      </c>
      <c r="S48" s="7">
        <f>Parameters!B$61*EXP(-Parameters!B$60*A48)+(1-Parameters!B$61)*P48^-Parameters!B$63</f>
        <v>0.50980098918118633</v>
      </c>
      <c r="T48" s="7">
        <f>1-S48/Parameters!$B$12</f>
        <v>0.74509950540940684</v>
      </c>
      <c r="U48" s="7">
        <f t="shared" si="0"/>
        <v>3.923099488708893</v>
      </c>
      <c r="V48" s="7">
        <f>(Parameters!$B$19*(F48+Parameters!$B$20)^T48+Parameters!$B$18*G48^T48)^(1/T48)</f>
        <v>0.34866159723002615</v>
      </c>
      <c r="W48" s="7">
        <f>(Parameters!$B$10*H48^Parameters!$B$9+Parameters!$B$11*V48^Parameters!$B$9)^(Parameters!$B$7/Parameters!$B$9)*O48</f>
        <v>1.3431328860004565</v>
      </c>
      <c r="X48" s="7">
        <f>W48 - D48 - E48 - LN(1+EXP(Parameters!$B$21*C48))/Parameters!$B$21 - IF(C48&gt;0, 0,Parameters!$B$6*C48^2/F48)</f>
        <v>1.0403230740184726</v>
      </c>
      <c r="Y48" s="7">
        <f>EXP(-Parameters!$B$55*A48)</f>
        <v>0.51458218441100756</v>
      </c>
      <c r="Z48" s="7">
        <f>IF(X48&gt;0,X48^(1-Parameters!$B$52)/(1-Parameters!$B$52)*Y48*Parameters!$B$65,-10+X48*1000)</f>
        <v>-1.4500327827155945</v>
      </c>
      <c r="AB48" s="9"/>
      <c r="AC48">
        <f t="shared" si="6"/>
        <v>0.96111792935120088</v>
      </c>
      <c r="AD48">
        <f t="shared" si="7"/>
        <v>16.223188340660137</v>
      </c>
      <c r="AE48" s="23">
        <f t="shared" si="8"/>
        <v>1.972599617159938</v>
      </c>
      <c r="AF48" s="23">
        <f t="shared" si="9"/>
        <v>24.450025165760756</v>
      </c>
      <c r="AG48" s="23">
        <f t="shared" si="10"/>
        <v>199.07859510112331</v>
      </c>
      <c r="AH48" s="23">
        <f t="shared" si="11"/>
        <v>69.921438981156086</v>
      </c>
      <c r="AI48" s="23">
        <f t="shared" si="12"/>
        <v>172.08198469379948</v>
      </c>
      <c r="AJ48" s="23">
        <f t="shared" si="13"/>
        <v>269.35511360634956</v>
      </c>
      <c r="AK48" s="23">
        <f t="shared" si="14"/>
        <v>208.62890240441723</v>
      </c>
      <c r="AL48" s="9">
        <f t="shared" si="23"/>
        <v>2.0482263896809627E-2</v>
      </c>
      <c r="AM48" s="9">
        <f t="shared" si="24"/>
        <v>1.8442567988689262E-2</v>
      </c>
      <c r="AN48" s="9">
        <f t="shared" ref="AN48:AO48" si="79">AVERAGE(AL46:AL50)</f>
        <v>2.1707995278027248E-2</v>
      </c>
      <c r="AO48" s="9">
        <f t="shared" si="79"/>
        <v>2.1178609613007281E-2</v>
      </c>
      <c r="AP48" s="23"/>
      <c r="AQ48" s="8">
        <f t="shared" si="1"/>
        <v>269.35511360634956</v>
      </c>
      <c r="AR48" s="32">
        <f>Parameters!$B$7*W48*(W48/O48)^(-Parameters!$B$9/Parameters!$B$7)*Parameters!$B$11*(V48)^(Parameters!$B$9-T48)*((1-2*Parameters!$B$5*C48/F48)*Parameters!$B$19*(F48+Parameters!$B$20)^(T48-1)-(1-2*Parameters!$B$5*D48/G48)*(Parameters!$B$18)*(G48)^(T48-1))</f>
        <v>0.23390975641627429</v>
      </c>
      <c r="AS48" s="32">
        <f>((C49-C47)/2-(F49-F47)/F48/2*C48)/(F48/2/Parameters!$B$5-C48)-((D49-D47)/D48-(G49-G47)/G48)/(G48/2/Parameters!$B$5/D48-1)</f>
        <v>6.644335058585614E-2</v>
      </c>
      <c r="AT48" s="32">
        <f>+Parameters!$B$5*C48^2/F48^2-Parameters!$B$5*D48^2/G48^2</f>
        <v>-5.0956083982559349E-3</v>
      </c>
      <c r="AU48" s="30">
        <f>EXP(-Parameters!$B$42*'6states'!A48)*(Parameters!$B$37*EXP(-Parameters!$B$38*Parameters!$E$25*'6states'!I48/('6states'!F48+'6states'!I48))*(1/Parameters!$B$38/Parameters!$E$25+'6states'!I48/('6states'!F48+'6states'!I48))-Parameters!$B$37/Parameters!$B$38/Parameters!$E$25*EXP(-Parameters!$B$38*Parameters!$E$25)+Parameters!$B$39)</f>
        <v>0.51005841219500025</v>
      </c>
      <c r="AV48" s="30">
        <f>J48*K48*EXP(-Parameters!$B$42*'6states'!A48)*(Parameters!$B$37*EXP(-Parameters!$B$38*Parameters!$E$25*'6states'!I48/('6states'!F48+'6states'!I48))*(1/Parameters!$B$38/Parameters!$E$25+'6states'!I48/('6states'!F48+'6states'!I48))-Parameters!$B$37/Parameters!$B$38/Parameters!$E$25*EXP(-Parameters!$B$38*Parameters!$E$25)+Parameters!$B$39)</f>
        <v>102.28834614552937</v>
      </c>
      <c r="AW48" s="8">
        <f>1000*(AR48+AS48+AT48)/(EXP(-Parameters!$B$42*A48)*((C48&lt;0)*Parameters!$B$37*EXP(-Parameters!$B$38*AF48)+(C48&gt;=0)*Parameters!$B$41))</f>
        <v>503.41675327226079</v>
      </c>
      <c r="AX48" s="13">
        <f>1-W48/'6states,ExoDamages'!T48</f>
        <v>8.7999721564779532E-2</v>
      </c>
      <c r="AY48" s="21">
        <f>-Y48*W48*X48^(-Parameters!B$52)*Parameters!B$46*Parameters!B$45*N48</f>
        <v>-1.5429671726705598E-5</v>
      </c>
      <c r="AZ48" s="7">
        <f>1000*EXP(-(Parameters!$B$54)*'6states'!A48)*AQ48*Parameters!B$46*Parameters!B$45*N48</f>
        <v>1.3538199088374772</v>
      </c>
      <c r="BA48" s="7">
        <f>SUM(AZ48:AZ$204)*EXP(Parameters!$B$54*A48)</f>
        <v>513.17879771789808</v>
      </c>
      <c r="BB48" s="13">
        <f t="shared" si="77"/>
        <v>0.22492161860579432</v>
      </c>
      <c r="BF48" s="5">
        <f t="shared" si="58"/>
        <v>-2.064411651647217E-3</v>
      </c>
      <c r="BG48" s="2">
        <f>BF48/Parameters!$B$45</f>
        <v>-3.4406860860786952</v>
      </c>
      <c r="BH48" s="2">
        <f t="shared" si="27"/>
        <v>5.6725499965548654E-4</v>
      </c>
      <c r="BK48">
        <f>-EXP(-Parameters!B$42*'6states'!A48)*(-Parameters!B$37/Parameters!B$38/Parameters!E$25*(EXP(-Parameters!B$38*Parameters!E$25*'6states'!I48/('6states'!F48+'6states'!I48))-EXP(-Parameters!B$38*Parameters!E$25))+Parameters!B$37*'6states'!F48/('6states'!F48+'6states'!I48)*EXP(-Parameters!B$38*Parameters!E$25*'6states'!I48/('6states'!F48+'6states'!I48)))</f>
        <v>-0.1479053536687156</v>
      </c>
      <c r="BL48">
        <f>-J48*K48*EXP(-Parameters!B$42*'6states'!A48)*(-Parameters!B$37/Parameters!B$38/Parameters!E$25*(EXP(-Parameters!B$38*Parameters!E$25*'6states'!I48/('6states'!F48+'6states'!I48))-EXP(-Parameters!B$38*Parameters!E$25)) + Parameters!B$37*'6states'!F48/('6states'!F48+'6states'!I48)*EXP(-Parameters!B$38*Parameters!E$25*'6states'!I48/('6states'!F48+'6states'!I48)))</f>
        <v>-29.661296924279654</v>
      </c>
      <c r="BM48" s="7">
        <f t="shared" si="59"/>
        <v>7.4655702579366962E-2</v>
      </c>
      <c r="BS48">
        <f>EXP(-Parameters!$B$56*A48)*BF48*BL48</f>
        <v>1.9791913129802159E-3</v>
      </c>
      <c r="BT48">
        <f>-EXP((Parameters!$B$56)*F48)*SUM(BS48:BS56)</f>
        <v>-1.8421929794067801E-2</v>
      </c>
      <c r="BU48">
        <f>X48^-Parameters!B$52/(1-2*Parameters!B$5*'6states'!D48/'6states'!G48)</f>
        <v>1.1326310912510518</v>
      </c>
      <c r="BV48">
        <f t="shared" si="61"/>
        <v>0.99947231909357881</v>
      </c>
      <c r="BW48">
        <f>$X48^-Parameters!$B$52/(1-2*Parameters!$B$5*'6states'!$E48/'6states'!$H48)</f>
        <v>1.0887633511494705</v>
      </c>
      <c r="BX48">
        <f t="shared" si="62"/>
        <v>1.0054384977450554</v>
      </c>
      <c r="BY48" s="7">
        <f>($X48^-Parameters!$B$52*(1/(1+EXP(-C48)) + IF(C48&lt;0,2*Parameters!$B$6*C48/F48,0)) + BQ48*(1/(1+EXP((C48-Parameters!$B$22)*Parameters!$B$21))))/(1-IF(C48&gt;0,2*Parameters!$B$5*C48/F48,0))</f>
        <v>0.51569518716314544</v>
      </c>
      <c r="BZ48">
        <f t="shared" si="63"/>
        <v>1.5288614281828774</v>
      </c>
      <c r="CA48" s="7">
        <f t="shared" si="64"/>
        <v>0.17838849758561254</v>
      </c>
      <c r="CB48">
        <f>(1/$T48-1/Parameters!$B$13) * LN(Parameters!$B$18) / LN(P48)</f>
        <v>0.23340012825058432</v>
      </c>
      <c r="CC48">
        <f>(Parameters!$B$18*'6states'!T48^+Parameters!$B$19*Parameters!$B$25^'6states'!T48)^((1-'6states'!T48)/'6states'!T48)*Parameters!$B$18*Parameters!$B$26^('6states'!T48-1)</f>
        <v>0.28667267514587352</v>
      </c>
      <c r="CD48">
        <f t="shared" si="65"/>
        <v>0.23611600399981561</v>
      </c>
      <c r="CE48">
        <f t="shared" si="66"/>
        <v>0.14937222292839936</v>
      </c>
      <c r="CF48">
        <f t="shared" si="67"/>
        <v>0.18020941584821715</v>
      </c>
    </row>
    <row r="49" spans="1:84" x14ac:dyDescent="0.25">
      <c r="A49">
        <f>A48+Parameters!$B$65</f>
        <v>45</v>
      </c>
      <c r="B49">
        <v>2070</v>
      </c>
      <c r="C49" s="74">
        <v>4.4885033976368701E-3</v>
      </c>
      <c r="D49" s="69">
        <v>8.2268902527819404E-2</v>
      </c>
      <c r="E49" s="75">
        <v>0.21476920323068499</v>
      </c>
      <c r="F49" s="7">
        <f>MAX((1-Parameters!$B$4)^Parameters!B$65*F48 + C48*Parameters!B$65 - IF(C48&gt;0,Parameters!$B$5,0)*C48^2/F48*Parameters!B$65, 0.0001)</f>
        <v>0.11885493337266147</v>
      </c>
      <c r="G49" s="7">
        <f>(1-Parameters!$B$4)^Parameters!B$65*G48+D48*Parameters!B$65-Parameters!$B$5*D48^2/G48*Parameters!B$65</f>
        <v>1.0045639929064729</v>
      </c>
      <c r="H49" s="7">
        <f>(1-Parameters!$B$4)^Parameters!B$65*H48+E48*Parameters!B$65-Parameters!$B$5*E48^2/H48*Parameters!B$65</f>
        <v>3.3403026868421977</v>
      </c>
      <c r="I49" s="9">
        <f>I48 *(1-Parameters!$B$4)-C48*(C48&lt;0)*Parameters!B$65</f>
        <v>9.2176166049562757E-3</v>
      </c>
      <c r="J49" s="23">
        <f>J48*(1+Parameters!$B$51)^Parameters!B$65</f>
        <v>9.2957314322847306</v>
      </c>
      <c r="K49" s="23">
        <f>K48*(1+Parameters!$B$53)^Parameters!B$65</f>
        <v>22.068889361295017</v>
      </c>
      <c r="L49" s="23">
        <f>J49*K49*EXP(-Parameters!$B$42*'6states'!A49)*(Parameters!$B$37/Parameters!$B$38*('6states'!F49+'6states'!I49)/Parameters!$E$25*(EXP(-Parameters!$B$38*Parameters!$E$25*'6states'!I49/('6states'!F49+'6states'!I49))-EXP(-Parameters!$B$38*Parameters!$E$25))  +  Parameters!$B$39*'6states'!F49)</f>
        <v>12.036619312507542</v>
      </c>
      <c r="M49" s="8">
        <f>M48+L49*Parameters!B$65</f>
        <v>3266.3660305805183</v>
      </c>
      <c r="N49" s="7">
        <f>M49*Parameters!$B$45</f>
        <v>1.9598196183483108</v>
      </c>
      <c r="O49" s="9">
        <f>EXP(-Parameters!$B$46/2*N49^2)</f>
        <v>0.96213454924981567</v>
      </c>
      <c r="P49" s="8">
        <f>MAX((Parameters!$B$62 + Parameters!$B$31*'6states'!A49 - '6states'!M49 + Parameters!$B$47/Parameters!$B$45)/Parameters!B$62,1)</f>
        <v>29.552679388389635</v>
      </c>
      <c r="Q49" s="7">
        <f>Parameters!B$61*EXP(-Parameters!B$60*A49)</f>
        <v>0.14835500714702263</v>
      </c>
      <c r="R49" s="7">
        <f>(1-Parameters!B$61)*P49^-Parameters!B$63</f>
        <v>0.35637753380354203</v>
      </c>
      <c r="S49" s="7">
        <f>Parameters!B$61*EXP(-Parameters!B$60*A49)+(1-Parameters!B$61)*P49^-Parameters!B$63</f>
        <v>0.50473254095056463</v>
      </c>
      <c r="T49" s="7">
        <f>1-S49/Parameters!$B$12</f>
        <v>0.74763372952471774</v>
      </c>
      <c r="U49" s="7">
        <f t="shared" si="0"/>
        <v>3.9624946634773996</v>
      </c>
      <c r="V49" s="7">
        <f>(Parameters!$B$19*(F49+Parameters!$B$20)^T49+Parameters!$B$18*G49^T49)^(1/T49)</f>
        <v>0.34912420114022941</v>
      </c>
      <c r="W49" s="7">
        <f>(Parameters!$B$10*H49^Parameters!$B$9+Parameters!$B$11*V49^Parameters!$B$9)^(Parameters!$B$7/Parameters!$B$9)*O49</f>
        <v>1.3422529899359457</v>
      </c>
      <c r="X49" s="7">
        <f>W49 - D49 - E49 - LN(1+EXP(Parameters!$B$21*C49))/Parameters!$B$21 - IF(C49&gt;0, 0,Parameters!$B$6*C49^2/F49)</f>
        <v>1.0399556488219908</v>
      </c>
      <c r="Y49" s="7">
        <f>EXP(-Parameters!$B$55*A49)</f>
        <v>0.50687036419945219</v>
      </c>
      <c r="Z49" s="7">
        <f>IF(X49&gt;0,X49^(1-Parameters!$B$52)/(1-Parameters!$B$52)*Y49*Parameters!$B$65,-10+X49*1000)</f>
        <v>-1.428478370390756</v>
      </c>
      <c r="AB49" s="9"/>
      <c r="AC49">
        <f t="shared" si="6"/>
        <v>0.92080062092664294</v>
      </c>
      <c r="AD49">
        <f t="shared" si="7"/>
        <v>16.877174821891085</v>
      </c>
      <c r="AE49" s="23">
        <f t="shared" si="8"/>
        <v>1.8909614945988589</v>
      </c>
      <c r="AF49" s="23">
        <f t="shared" si="9"/>
        <v>24.382669846559736</v>
      </c>
      <c r="AG49" s="23">
        <f t="shared" si="10"/>
        <v>206.08275553847821</v>
      </c>
      <c r="AH49" s="23">
        <f t="shared" si="11"/>
        <v>71.621596935783217</v>
      </c>
      <c r="AI49" s="23">
        <f t="shared" si="12"/>
        <v>176.26620285904684</v>
      </c>
      <c r="AJ49" s="23">
        <f t="shared" si="13"/>
        <v>275.35846073423261</v>
      </c>
      <c r="AK49" s="23">
        <f t="shared" si="14"/>
        <v>213.34322876431744</v>
      </c>
      <c r="AL49" s="9">
        <f t="shared" si="23"/>
        <v>2.2043108501670794E-2</v>
      </c>
      <c r="AM49" s="9">
        <f t="shared" si="24"/>
        <v>2.2345184281839181E-2</v>
      </c>
      <c r="AN49" s="9">
        <f t="shared" ref="AN49:AO49" si="80">AVERAGE(AL47:AL51)</f>
        <v>2.1728476122785167E-2</v>
      </c>
      <c r="AO49" s="9">
        <f t="shared" si="80"/>
        <v>2.1368972678459032E-2</v>
      </c>
      <c r="AP49" s="23"/>
      <c r="AQ49" s="8">
        <f t="shared" si="1"/>
        <v>275.35846073423261</v>
      </c>
      <c r="AR49" s="32">
        <f>Parameters!$B$7*W49*(W49/O49)^(-Parameters!$B$9/Parameters!$B$7)*Parameters!$B$11*(V49)^(Parameters!$B$9-T49)*((1-2*Parameters!$B$5*C49/F49)*Parameters!$B$19*(F49+Parameters!$B$20)^(T49-1)-(1-2*Parameters!$B$5*D49/G49)*(Parameters!$B$18)*(G49)^(T49-1))</f>
        <v>0.23330858479453273</v>
      </c>
      <c r="AS49" s="32">
        <f>((C50-C48)/2-(F50-F48)/F49/2*C49)/(F49/2/Parameters!$B$5-C49)-((D50-D48)/D49-(G50-G48)/G49)/(G49/2/Parameters!$B$5/D49-1)</f>
        <v>1.2684540751053764E-3</v>
      </c>
      <c r="AT49" s="32">
        <f>+Parameters!$B$5*C49^2/F49^2-Parameters!$B$5*D49^2/G49^2</f>
        <v>-5.2806514844610415E-3</v>
      </c>
      <c r="AU49" s="30">
        <f>EXP(-Parameters!$B$42*'6states'!A49)*(Parameters!$B$37*EXP(-Parameters!$B$38*Parameters!$E$25*'6states'!I49/('6states'!F49+'6states'!I49))*(1/Parameters!$B$38/Parameters!$E$25+'6states'!I49/('6states'!F49+'6states'!I49))-Parameters!$B$37/Parameters!$B$38/Parameters!$E$25*EXP(-Parameters!$B$38*Parameters!$E$25)+Parameters!$B$39)</f>
        <v>0.5064241252205065</v>
      </c>
      <c r="AV49" s="30">
        <f>J49*K49*EXP(-Parameters!$B$42*'6states'!A49)*(Parameters!$B$37*EXP(-Parameters!$B$38*Parameters!$E$25*'6states'!I49/('6states'!F49+'6states'!I49))*(1/Parameters!$B$38/Parameters!$E$25+'6states'!I49/('6states'!F49+'6states'!I49))-Parameters!$B$37/Parameters!$B$38/Parameters!$E$25*EXP(-Parameters!$B$38*Parameters!$E$25)+Parameters!$B$39)</f>
        <v>103.89112085796404</v>
      </c>
      <c r="AW49" s="8">
        <f>1000*(AR49+AS49+AT49)/(EXP(-Parameters!$B$42*A49)*((C49&lt;0)*Parameters!$B$37*EXP(-Parameters!$B$38*AF49)+(C49&gt;=0)*Parameters!$B$41))</f>
        <v>394.88158886225568</v>
      </c>
      <c r="AX49" s="13">
        <f>1-W49/'6states,ExoDamages'!T49</f>
        <v>8.8293259710776728E-2</v>
      </c>
      <c r="AY49" s="21">
        <f>-Y49*W49*X49^(-Parameters!B$52)*Parameters!B$46*Parameters!B$45*N49</f>
        <v>-1.5251925790669454E-5</v>
      </c>
      <c r="AZ49" s="7">
        <f>1000*EXP(-(Parameters!$B$54)*'6states'!A49)*AQ49*Parameters!B$46*Parameters!B$45*N49</f>
        <v>1.3412004783989762</v>
      </c>
      <c r="BA49" s="7">
        <f>SUM(AZ49:AZ$204)*EXP(Parameters!$B$54*A49)</f>
        <v>524.94177523251733</v>
      </c>
      <c r="BB49" s="13">
        <f t="shared" si="77"/>
        <v>0.22464215868167339</v>
      </c>
      <c r="BF49" s="5">
        <f t="shared" si="58"/>
        <v>-2.0653797488335911E-3</v>
      </c>
      <c r="BG49" s="2">
        <f>BF49/Parameters!$B$45</f>
        <v>-3.4422995813893187</v>
      </c>
      <c r="BH49" s="2">
        <f t="shared" si="27"/>
        <v>4.6872599913927449E-4</v>
      </c>
      <c r="BK49">
        <f>-EXP(-Parameters!B$42*'6states'!A49)*(-Parameters!B$37/Parameters!B$38/Parameters!E$25*(EXP(-Parameters!B$38*Parameters!E$25*'6states'!I49/('6states'!F49+'6states'!I49))-EXP(-Parameters!B$38*Parameters!E$25))+Parameters!B$37*'6states'!F49/('6states'!F49+'6states'!I49)*EXP(-Parameters!B$38*Parameters!E$25*'6states'!I49/('6states'!F49+'6states'!I49)))</f>
        <v>-0.1646532390882679</v>
      </c>
      <c r="BL49">
        <f>-J49*K49*EXP(-Parameters!B$42*'6states'!A49)*(-Parameters!B$37/Parameters!B$38/Parameters!E$25*(EXP(-Parameters!B$38*Parameters!E$25*'6states'!I49/('6states'!F49+'6states'!I49))-EXP(-Parameters!B$38*Parameters!E$25)) + Parameters!B$37*'6states'!F49/('6states'!F49+'6states'!I49)*EXP(-Parameters!B$38*Parameters!E$25*'6states'!I49/('6states'!F49+'6states'!I49)))</f>
        <v>-33.778030527922049</v>
      </c>
      <c r="BM49" s="7">
        <f t="shared" si="59"/>
        <v>7.1971836326887903E-2</v>
      </c>
      <c r="BS49">
        <f>EXP(-Parameters!$B$56*A49)*BF49*BL49</f>
        <v>2.0857420975725328E-3</v>
      </c>
      <c r="BT49">
        <f>-EXP((Parameters!$B$56)*F49)*SUM(BS49:BS57)</f>
        <v>-1.6419901767836153E-2</v>
      </c>
      <c r="BU49">
        <f>X49^-Parameters!B$52/(1-2*Parameters!B$5*'6states'!D49/'6states'!G49)</f>
        <v>1.1342656428211679</v>
      </c>
      <c r="BV49">
        <f t="shared" si="61"/>
        <v>1.0014431455950152</v>
      </c>
      <c r="BW49">
        <f>$X49^-Parameters!$B$52/(1-2*Parameters!$B$5*'6states'!$E49/'6states'!$H49)</f>
        <v>1.0884507461612212</v>
      </c>
      <c r="BX49">
        <f t="shared" si="62"/>
        <v>0.99971288068438446</v>
      </c>
      <c r="BY49" s="7">
        <f>($X49^-Parameters!$B$52*(1/(1+EXP(-C49)) + IF(C49&lt;0,2*Parameters!$B$6*C49/F49,0)) + BQ49*(1/(1+EXP((C49-Parameters!$B$22)*Parameters!$B$21))))/(1-IF(C49&gt;0,2*Parameters!$B$5*C49/F49,0))</f>
        <v>0.514138740669974</v>
      </c>
      <c r="BZ49">
        <f t="shared" si="63"/>
        <v>0.99698184793669786</v>
      </c>
      <c r="CA49" s="7">
        <f t="shared" si="64"/>
        <v>-1.5564464931714372E-3</v>
      </c>
      <c r="CB49">
        <f>(1/$T49-1/Parameters!$B$13) * LN(Parameters!$B$18) / LN(P49)</f>
        <v>0.23305318633375049</v>
      </c>
      <c r="CC49">
        <f>(Parameters!$B$18*'6states'!T49^+Parameters!$B$19*Parameters!$B$25^'6states'!T49)^((1-'6states'!T49)/'6states'!T49)*Parameters!$B$18*Parameters!$B$26^('6states'!T49-1)</f>
        <v>0.28752787214744902</v>
      </c>
      <c r="CD49">
        <f t="shared" si="65"/>
        <v>0.23502561513908998</v>
      </c>
      <c r="CE49">
        <f t="shared" si="66"/>
        <v>0.14916763782116871</v>
      </c>
      <c r="CF49">
        <f t="shared" si="67"/>
        <v>0.18069522516880254</v>
      </c>
    </row>
    <row r="50" spans="1:84" x14ac:dyDescent="0.25">
      <c r="A50">
        <f>A49+Parameters!$B$65</f>
        <v>46</v>
      </c>
      <c r="B50">
        <v>2071</v>
      </c>
      <c r="C50" s="74">
        <v>4.2394728456917096E-3</v>
      </c>
      <c r="D50" s="69">
        <v>8.1130065945598295E-2</v>
      </c>
      <c r="E50" s="75">
        <v>0.21719493059428199</v>
      </c>
      <c r="F50" s="7">
        <f>MAX((1-Parameters!$B$4)^Parameters!B$65*F49 + C49*Parameters!B$65 - IF(C49&gt;0,Parameters!$B$5,0)*C49^2/F49*Parameters!B$65, 0.0001)</f>
        <v>0.11569795513795443</v>
      </c>
      <c r="G50" s="7">
        <f>(1-Parameters!$B$4)^Parameters!B$65*G49+D49*Parameters!B$65-Parameters!$B$5*D49^2/G49*Parameters!B$65</f>
        <v>1.0169083975070889</v>
      </c>
      <c r="H50" s="7">
        <f>(1-Parameters!$B$4)^Parameters!B$65*H49+E49*Parameters!B$65-Parameters!$B$5*E49^2/H49*Parameters!B$65</f>
        <v>3.33115797954577</v>
      </c>
      <c r="I50" s="9">
        <f>I49 *(1-Parameters!$B$4)-C49*(C49&lt;0)*Parameters!B$65</f>
        <v>8.6378285205045268E-3</v>
      </c>
      <c r="J50" s="23">
        <f>J49*(1+Parameters!$B$51)^Parameters!B$65</f>
        <v>9.3226890534383546</v>
      </c>
      <c r="K50" s="23">
        <f>K49*(1+Parameters!$B$53)^Parameters!B$65</f>
        <v>22.510267148520917</v>
      </c>
      <c r="L50" s="23">
        <f>J50*K50*EXP(-Parameters!$B$42*'6states'!A50)*(Parameters!$B$37/Parameters!$B$38*('6states'!F50+'6states'!I50)/Parameters!$E$25*(EXP(-Parameters!$B$38*Parameters!$E$25*'6states'!I50/('6states'!F50+'6states'!I50))-EXP(-Parameters!$B$38*Parameters!$E$25))  +  Parameters!$B$39*'6states'!F50)</f>
        <v>11.878749661022669</v>
      </c>
      <c r="M50" s="8">
        <f>M49+L50*Parameters!B$65</f>
        <v>3278.2447802415409</v>
      </c>
      <c r="N50" s="7">
        <f>M50*Parameters!$B$45</f>
        <v>1.9669468681449243</v>
      </c>
      <c r="O50" s="9">
        <f>EXP(-Parameters!$B$46/2*N50^2)</f>
        <v>0.96186396790416606</v>
      </c>
      <c r="P50" s="8">
        <f>MAX((Parameters!$B$62 + Parameters!$B$31*'6states'!A50 - '6states'!M50 + Parameters!$B$47/Parameters!$B$45)/Parameters!B$62,1)</f>
        <v>30.37910439516919</v>
      </c>
      <c r="Q50" s="7">
        <f>Parameters!B$61*EXP(-Parameters!B$60*A50)</f>
        <v>0.14440301394297783</v>
      </c>
      <c r="R50" s="7">
        <f>(1-Parameters!B$61)*P50^-Parameters!B$63</f>
        <v>0.35539597726307981</v>
      </c>
      <c r="S50" s="7">
        <f>Parameters!B$61*EXP(-Parameters!B$60*A50)+(1-Parameters!B$61)*P50^-Parameters!B$63</f>
        <v>0.49979899120605764</v>
      </c>
      <c r="T50" s="7">
        <f>1-S50/Parameters!$B$12</f>
        <v>0.75010050439697118</v>
      </c>
      <c r="U50" s="7">
        <f t="shared" si="0"/>
        <v>4.0016087170841006</v>
      </c>
      <c r="V50" s="7">
        <f>(Parameters!$B$19*(F50+Parameters!$B$20)^T50+Parameters!$B$18*G50^T50)^(1/T50)</f>
        <v>0.34960765472870159</v>
      </c>
      <c r="W50" s="7">
        <f>(Parameters!$B$10*H50^Parameters!$B$9+Parameters!$B$11*V50^Parameters!$B$9)^(Parameters!$B$7/Parameters!$B$9)*O50</f>
        <v>1.3412996784512208</v>
      </c>
      <c r="X50" s="7">
        <f>W50 - D50 - E50 - LN(1+EXP(Parameters!$B$21*C50))/Parameters!$B$21 - IF(C50&gt;0, 0,Parameters!$B$6*C50^2/F50)</f>
        <v>1.0379115223257818</v>
      </c>
      <c r="Y50" s="7">
        <f>EXP(-Parameters!$B$55*A50)</f>
        <v>0.49927411769560981</v>
      </c>
      <c r="Z50" s="7">
        <f>IF(X50&gt;0,X50^(1-Parameters!$B$52)/(1-Parameters!$B$52)*Y50*Parameters!$B$65,-10+X50*1000)</f>
        <v>-1.4080396736152556</v>
      </c>
      <c r="AB50" s="9"/>
      <c r="AC50">
        <f t="shared" si="6"/>
        <v>0.88967975100338004</v>
      </c>
      <c r="AD50">
        <f t="shared" si="7"/>
        <v>17.025649059816278</v>
      </c>
      <c r="AE50" s="23">
        <f t="shared" si="8"/>
        <v>1.8127020521294313</v>
      </c>
      <c r="AF50" s="23">
        <f t="shared" si="9"/>
        <v>24.279935658354447</v>
      </c>
      <c r="AG50" s="23">
        <f t="shared" si="10"/>
        <v>213.40455354178334</v>
      </c>
      <c r="AH50" s="23">
        <f t="shared" si="11"/>
        <v>73.367341301406071</v>
      </c>
      <c r="AI50" s="23">
        <f t="shared" si="12"/>
        <v>180.56261265240593</v>
      </c>
      <c r="AJ50" s="23">
        <f t="shared" si="13"/>
        <v>281.48008193001959</v>
      </c>
      <c r="AK50" s="23">
        <f t="shared" si="14"/>
        <v>217.81218994827123</v>
      </c>
      <c r="AL50" s="9">
        <f t="shared" si="23"/>
        <v>2.1987945731636316E-2</v>
      </c>
      <c r="AM50" s="9">
        <f t="shared" si="24"/>
        <v>2.073090603126726E-2</v>
      </c>
      <c r="AN50" s="9">
        <f t="shared" ref="AN50:AO50" si="81">AVERAGE(AL48:AL52)</f>
        <v>2.1739141569223009E-2</v>
      </c>
      <c r="AO50" s="9">
        <f t="shared" si="81"/>
        <v>2.0777266515136006E-2</v>
      </c>
      <c r="AP50" s="23"/>
      <c r="AQ50" s="8">
        <f t="shared" si="1"/>
        <v>281.48008193001959</v>
      </c>
      <c r="AR50" s="32">
        <f>Parameters!$B$7*W50*(W50/O50)^(-Parameters!$B$9/Parameters!$B$7)*Parameters!$B$11*(V50)^(Parameters!$B$9-T50)*((1-2*Parameters!$B$5*C50/F50)*Parameters!$B$19*(F50+Parameters!$B$20)^(T50-1)-(1-2*Parameters!$B$5*D50/G50)*(Parameters!$B$18)*(G50)^(T50-1))</f>
        <v>0.23182915257245451</v>
      </c>
      <c r="AS50" s="32">
        <f>((C51-C49)/2-(F51-F49)/F50/2*C50)/(F50/2/Parameters!$B$5-C50)-((D51-D49)/D50-(G51-G49)/G50)/(G50/2/Parameters!$B$5/D50-1)</f>
        <v>6.1473704979330863E-3</v>
      </c>
      <c r="AT50" s="32">
        <f>+Parameters!$B$5*C50^2/F50^2-Parameters!$B$5*D50^2/G50^2</f>
        <v>-5.0223437216862649E-3</v>
      </c>
      <c r="AU50" s="30">
        <f>EXP(-Parameters!$B$42*'6states'!A50)*(Parameters!$B$37*EXP(-Parameters!$B$38*Parameters!$E$25*'6states'!I50/('6states'!F50+'6states'!I50))*(1/Parameters!$B$38/Parameters!$E$25+'6states'!I50/('6states'!F50+'6states'!I50))-Parameters!$B$37/Parameters!$B$38/Parameters!$E$25*EXP(-Parameters!$B$38*Parameters!$E$25)+Parameters!$B$39)</f>
        <v>0.50281653023407369</v>
      </c>
      <c r="AV50" s="30">
        <f>J50*K50*EXP(-Parameters!$B$42*'6states'!A50)*(Parameters!$B$37*EXP(-Parameters!$B$38*Parameters!$E$25*'6states'!I50/('6states'!F50+'6states'!I50))*(1/Parameters!$B$38/Parameters!$E$25+'6states'!I50/('6states'!F50+'6states'!I50))-Parameters!$B$37/Parameters!$B$38/Parameters!$E$25*EXP(-Parameters!$B$38*Parameters!$E$25)+Parameters!$B$39)</f>
        <v>105.51917695938104</v>
      </c>
      <c r="AW50" s="8">
        <f>1000*(AR50+AS50+AT50)/(EXP(-Parameters!$B$42*A50)*((C50&lt;0)*Parameters!$B$37*EXP(-Parameters!$B$38*AF50)+(C50&gt;=0)*Parameters!$B$41))</f>
        <v>405.21277083077052</v>
      </c>
      <c r="AX50" s="13">
        <f>1-W50/'6states,ExoDamages'!T50</f>
        <v>8.8643485913509235E-2</v>
      </c>
      <c r="AY50" s="21">
        <f>-Y50*W50*X50^(-Parameters!B$52)*Parameters!B$46*Parameters!B$45*N50</f>
        <v>-1.5107352404754864E-5</v>
      </c>
      <c r="AZ50" s="7">
        <f>1000*EXP(-(Parameters!$B$54)*'6states'!A50)*AQ50*Parameters!B$46*Parameters!B$45*N50</f>
        <v>1.3285433651916283</v>
      </c>
      <c r="BA50" s="7">
        <f>SUM(AZ50:AZ$204)*EXP(Parameters!$B$54*A50)</f>
        <v>536.9537062607701</v>
      </c>
      <c r="BB50" s="13">
        <f t="shared" si="77"/>
        <v>0.22557559227550014</v>
      </c>
      <c r="BF50" s="5">
        <f t="shared" si="58"/>
        <v>-2.0662554359361638E-3</v>
      </c>
      <c r="BG50" s="2">
        <f>BF50/Parameters!$B$45</f>
        <v>-3.4437590598936065</v>
      </c>
      <c r="BH50" s="2">
        <f t="shared" si="27"/>
        <v>4.2380389536689211E-4</v>
      </c>
      <c r="BK50">
        <f>-EXP(-Parameters!B$42*'6states'!A50)*(-Parameters!B$37/Parameters!B$38/Parameters!E$25*(EXP(-Parameters!B$38*Parameters!E$25*'6states'!I50/('6states'!F50+'6states'!I50))-EXP(-Parameters!B$38*Parameters!E$25))+Parameters!B$37*'6states'!F50/('6states'!F50+'6states'!I50)*EXP(-Parameters!B$38*Parameters!E$25*'6states'!I50/('6states'!F50+'6states'!I50)))</f>
        <v>-0.18182984932933632</v>
      </c>
      <c r="BL50">
        <f>-J50*K50*EXP(-Parameters!B$42*'6states'!A50)*(-Parameters!B$37/Parameters!B$38/Parameters!E$25*(EXP(-Parameters!B$38*Parameters!E$25*'6states'!I50/('6states'!F50+'6states'!I50))-EXP(-Parameters!B$38*Parameters!E$25)) + Parameters!B$37*'6states'!F50/('6states'!F50+'6states'!I50)*EXP(-Parameters!B$38*Parameters!E$25*'6states'!I50/('6states'!F50+'6states'!I50)))</f>
        <v>-38.158125069889842</v>
      </c>
      <c r="BM50" s="7">
        <f t="shared" si="59"/>
        <v>6.947178250978811E-2</v>
      </c>
      <c r="BS50">
        <f>EXP(-Parameters!$B$56*A50)*BF50*BL50</f>
        <v>2.1803310279485066E-3</v>
      </c>
      <c r="BT50">
        <f>-EXP((Parameters!$B$56)*F50)*SUM(BS50:BS58)</f>
        <v>-1.4311209017296793E-2</v>
      </c>
      <c r="BU50">
        <f>X50^-Parameters!B$52/(1-2*Parameters!B$5*'6states'!D50/'6states'!G50)</f>
        <v>1.1315609931027382</v>
      </c>
      <c r="BV50">
        <f t="shared" si="61"/>
        <v>0.99761550591296877</v>
      </c>
      <c r="BW50">
        <f>$X50^-Parameters!$B$52/(1-2*Parameters!$B$5*'6states'!$E50/'6states'!$H50)</f>
        <v>1.0936164836811799</v>
      </c>
      <c r="BX50">
        <f t="shared" si="62"/>
        <v>1.0047459543191801</v>
      </c>
      <c r="BY50" s="7">
        <f>($X50^-Parameters!$B$52*(1/(1+EXP(-C50)) + IF(C50&lt;0,2*Parameters!$B$6*C50/F50,0)) + BQ50*(1/(1+EXP((C50-Parameters!$B$22)*Parameters!$B$21))))/(1-IF(C50&gt;0,2*Parameters!$B$5*C50/F50,0))</f>
        <v>0.51419406686810587</v>
      </c>
      <c r="BZ50">
        <f t="shared" si="63"/>
        <v>1.0001076094714429</v>
      </c>
      <c r="CA50" s="7">
        <f t="shared" si="64"/>
        <v>5.5326198131866455E-5</v>
      </c>
      <c r="CB50">
        <f>(1/$T50-1/Parameters!$B$13) * LN(Parameters!$B$18) / LN(P50)</f>
        <v>0.23270526820961429</v>
      </c>
      <c r="CC50">
        <f>(Parameters!$B$18*'6states'!T50^+Parameters!$B$19*Parameters!$B$25^'6states'!T50)^((1-'6states'!T50)/'6states'!T50)*Parameters!$B$18*Parameters!$B$26^('6states'!T50-1)</f>
        <v>0.28834421810007288</v>
      </c>
      <c r="CD50">
        <f t="shared" si="65"/>
        <v>0.23395729526158054</v>
      </c>
      <c r="CE50">
        <f t="shared" si="66"/>
        <v>0.14896242765010204</v>
      </c>
      <c r="CF50">
        <f t="shared" si="67"/>
        <v>0.18115869591201184</v>
      </c>
    </row>
    <row r="51" spans="1:84" x14ac:dyDescent="0.25">
      <c r="A51">
        <f>A50+Parameters!$B$65</f>
        <v>47</v>
      </c>
      <c r="B51">
        <v>2072</v>
      </c>
      <c r="C51" s="74">
        <v>4.01861031847414E-3</v>
      </c>
      <c r="D51" s="69">
        <v>8.0534622274445494E-2</v>
      </c>
      <c r="E51" s="75">
        <v>0.220201894393588</v>
      </c>
      <c r="F51" s="7">
        <f>MAX((1-Parameters!$B$4)^Parameters!B$65*F50 + C50*Parameters!B$65 - IF(C50&gt;0,Parameters!$B$5,0)*C50^2/F50*Parameters!B$65, 0.0001)</f>
        <v>0.1125046813360738</v>
      </c>
      <c r="G51" s="7">
        <f>(1-Parameters!$B$4)^Parameters!B$65*G50+D50*Parameters!B$65-Parameters!$B$5*D50^2/G50*Parameters!B$65</f>
        <v>1.027602279712811</v>
      </c>
      <c r="H51" s="7">
        <f>(1-Parameters!$B$4)^Parameters!B$65*H50+E50*Parameters!B$65-Parameters!$B$5*E50^2/H50*Parameters!B$65</f>
        <v>3.3246617400909648</v>
      </c>
      <c r="I51" s="9">
        <f>I50 *(1-Parameters!$B$4)-C50*(C50&lt;0)*Parameters!B$65</f>
        <v>8.0945091065647932E-3</v>
      </c>
      <c r="J51" s="23">
        <f>J50*(1+Parameters!$B$51)^Parameters!B$65</f>
        <v>9.3497248516933258</v>
      </c>
      <c r="K51" s="23">
        <f>K50*(1+Parameters!$B$53)^Parameters!B$65</f>
        <v>22.960472491491338</v>
      </c>
      <c r="L51" s="23">
        <f>J51*K51*EXP(-Parameters!$B$42*'6states'!A51)*(Parameters!$B$37/Parameters!$B$38*('6states'!F51+'6states'!I51)/Parameters!$E$25*(EXP(-Parameters!$B$38*Parameters!$E$25*'6states'!I51/('6states'!F51+'6states'!I51))-EXP(-Parameters!$B$38*Parameters!$E$25))  +  Parameters!$B$39*'6states'!F51)</f>
        <v>11.710918607776897</v>
      </c>
      <c r="M51" s="8">
        <f>M50+L51*Parameters!B$65</f>
        <v>3289.9556988493177</v>
      </c>
      <c r="N51" s="7">
        <f>M51*Parameters!$B$45</f>
        <v>1.9739734193095906</v>
      </c>
      <c r="O51" s="9">
        <f>EXP(-Parameters!$B$46/2*N51^2)</f>
        <v>0.96159632289361319</v>
      </c>
      <c r="P51" s="8">
        <f>MAX((Parameters!$B$62 + Parameters!$B$31*'6states'!A51 - '6states'!M51 + Parameters!$B$47/Parameters!$B$45)/Parameters!B$62,1)</f>
        <v>31.208886023013648</v>
      </c>
      <c r="Q51" s="7">
        <f>Parameters!B$61*EXP(-Parameters!B$60*A51)</f>
        <v>0.14055629693139302</v>
      </c>
      <c r="R51" s="7">
        <f>(1-Parameters!B$61)*P51^-Parameters!B$63</f>
        <v>0.35443955091543883</v>
      </c>
      <c r="S51" s="7">
        <f>Parameters!B$61*EXP(-Parameters!B$60*A51)+(1-Parameters!B$61)*P51^-Parameters!B$63</f>
        <v>0.49499584784683182</v>
      </c>
      <c r="T51" s="7">
        <f>1-S51/Parameters!$B$12</f>
        <v>0.75250207607658415</v>
      </c>
      <c r="U51" s="7">
        <f t="shared" si="0"/>
        <v>4.0404379323579036</v>
      </c>
      <c r="V51" s="7">
        <f>(Parameters!$B$19*(F51+Parameters!$B$20)^T51+Parameters!$B$18*G51^T51)^(1/T51)</f>
        <v>0.34966528323168844</v>
      </c>
      <c r="W51" s="7">
        <f>(Parameters!$B$10*H51^Parameters!$B$9+Parameters!$B$11*V51^Parameters!$B$9)^(Parameters!$B$7/Parameters!$B$9)*O51</f>
        <v>1.3404095588037135</v>
      </c>
      <c r="X51" s="7">
        <f>W51 - D51 - E51 - LN(1+EXP(Parameters!$B$21*C51))/Parameters!$B$21 - IF(C51&gt;0, 0,Parameters!$B$6*C51^2/F51)</f>
        <v>1.0347811221875829</v>
      </c>
      <c r="Y51" s="7">
        <f>EXP(-Parameters!$B$55*A51)</f>
        <v>0.49179171284640477</v>
      </c>
      <c r="Z51" s="7">
        <f>IF(X51&gt;0,X51^(1-Parameters!$B$52)/(1-Parameters!$B$52)*Y51*Parameters!$B$65,-10+X51*1000)</f>
        <v>-1.3884050602012128</v>
      </c>
      <c r="AB51" s="9"/>
      <c r="AC51">
        <f t="shared" si="6"/>
        <v>0.86269155441526413</v>
      </c>
      <c r="AD51">
        <f t="shared" si="7"/>
        <v>17.288697576571114</v>
      </c>
      <c r="AE51" s="23">
        <f t="shared" si="8"/>
        <v>1.7376814595007439</v>
      </c>
      <c r="AF51" s="23">
        <f t="shared" si="9"/>
        <v>24.151841240895383</v>
      </c>
      <c r="AG51" s="23">
        <f t="shared" si="10"/>
        <v>220.59959482279885</v>
      </c>
      <c r="AH51" s="23">
        <f t="shared" si="11"/>
        <v>75.064080070031807</v>
      </c>
      <c r="AI51" s="23">
        <f t="shared" si="12"/>
        <v>184.73841594058936</v>
      </c>
      <c r="AJ51" s="23">
        <f t="shared" si="13"/>
        <v>287.75121601651637</v>
      </c>
      <c r="AK51" s="23">
        <f t="shared" si="14"/>
        <v>222.14070637198105</v>
      </c>
      <c r="AL51" s="9">
        <f t="shared" si="23"/>
        <v>2.2034585373978288E-2</v>
      </c>
      <c r="AM51" s="9">
        <f t="shared" si="24"/>
        <v>1.9677816110507784E-2</v>
      </c>
      <c r="AN51" s="9">
        <f t="shared" ref="AN51:AO51" si="82">AVERAGE(AL49:AL53)</f>
        <v>2.2064313175316742E-2</v>
      </c>
      <c r="AO51" s="9">
        <f t="shared" si="82"/>
        <v>2.1468283540429844E-2</v>
      </c>
      <c r="AP51" s="23"/>
      <c r="AQ51" s="8">
        <f t="shared" si="1"/>
        <v>287.75121601651637</v>
      </c>
      <c r="AR51" s="32">
        <f>Parameters!$B$7*W51*(W51/O51)^(-Parameters!$B$9/Parameters!$B$7)*Parameters!$B$11*(V51)^(Parameters!$B$9-T51)*((1-2*Parameters!$B$5*C51/F51)*Parameters!$B$19*(F51+Parameters!$B$20)^(T51-1)-(1-2*Parameters!$B$5*D51/G51)*(Parameters!$B$18)*(G51)^(T51-1))</f>
        <v>0.2318532667834336</v>
      </c>
      <c r="AS51" s="32">
        <f>((C52-C50)/2-(F52-F50)/F51/2*C51)/(F51/2/Parameters!$B$5-C51)-((D52-D50)/D51-(G52-G50)/G51)/(G51/2/Parameters!$B$5/D51-1)</f>
        <v>2.5908117966486786E-3</v>
      </c>
      <c r="AT51" s="32">
        <f>+Parameters!$B$5*C51^2/F51^2-Parameters!$B$5*D51^2/G51^2</f>
        <v>-4.8661929959559307E-3</v>
      </c>
      <c r="AU51" s="30">
        <f>EXP(-Parameters!$B$42*'6states'!A51)*(Parameters!$B$37*EXP(-Parameters!$B$38*Parameters!$E$25*'6states'!I51/('6states'!F51+'6states'!I51))*(1/Parameters!$B$38/Parameters!$E$25+'6states'!I51/('6states'!F51+'6states'!I51))-Parameters!$B$37/Parameters!$B$38/Parameters!$E$25*EXP(-Parameters!$B$38*Parameters!$E$25)+Parameters!$B$39)</f>
        <v>0.49924145232965816</v>
      </c>
      <c r="AV51" s="30">
        <f>J51*K51*EXP(-Parameters!$B$42*'6states'!A51)*(Parameters!$B$37*EXP(-Parameters!$B$38*Parameters!$E$25*'6states'!I51/('6states'!F51+'6states'!I51))*(1/Parameters!$B$38/Parameters!$E$25+'6states'!I51/('6states'!F51+'6states'!I51))-Parameters!$B$37/Parameters!$B$38/Parameters!$E$25*EXP(-Parameters!$B$38*Parameters!$E$25)+Parameters!$B$39)</f>
        <v>107.17420959152358</v>
      </c>
      <c r="AW51" s="8">
        <f>1000*(AR51+AS51+AT51)/(EXP(-Parameters!$B$42*A51)*((C51&lt;0)*Parameters!$B$37*EXP(-Parameters!$B$38*AF51)+(C51&gt;=0)*Parameters!$B$41))</f>
        <v>403.35329999724314</v>
      </c>
      <c r="AX51" s="13">
        <f>1-W51/'6states,ExoDamages'!T51</f>
        <v>8.8957568958970779E-2</v>
      </c>
      <c r="AY51" s="21">
        <f>-Y51*W51*X51^(-Parameters!B$52)*Parameters!B$46*Parameters!B$45*N51</f>
        <v>-1.4985176391575103E-5</v>
      </c>
      <c r="AZ51" s="7">
        <f>1000*EXP(-(Parameters!$B$54)*'6states'!A51)*AQ51*Parameters!B$46*Parameters!B$45*N51</f>
        <v>1.3159826663939063</v>
      </c>
      <c r="BA51" s="7">
        <f>SUM(AZ51:AZ$204)*EXP(Parameters!$B$54*A51)</f>
        <v>549.21982817743981</v>
      </c>
      <c r="BB51" s="13">
        <f t="shared" si="77"/>
        <v>0.2273597088180235</v>
      </c>
      <c r="BF51" s="5">
        <f t="shared" si="58"/>
        <v>-2.0669736409802174E-3</v>
      </c>
      <c r="BG51" s="2">
        <f>BF51/Parameters!$B$45</f>
        <v>-3.4449560683003626</v>
      </c>
      <c r="BH51" s="2">
        <f t="shared" si="27"/>
        <v>3.474669583657386E-4</v>
      </c>
      <c r="BK51">
        <f>-EXP(-Parameters!B$42*'6states'!A51)*(-Parameters!B$37/Parameters!B$38/Parameters!E$25*(EXP(-Parameters!B$38*Parameters!E$25*'6states'!I51/('6states'!F51+'6states'!I51))-EXP(-Parameters!B$38*Parameters!E$25))+Parameters!B$37*'6states'!F51/('6states'!F51+'6states'!I51)*EXP(-Parameters!B$38*Parameters!E$25*'6states'!I51/('6states'!F51+'6states'!I51)))</f>
        <v>-0.19950819401770756</v>
      </c>
      <c r="BL51">
        <f>-J51*K51*EXP(-Parameters!B$42*'6states'!A51)*(-Parameters!B$37/Parameters!B$38/Parameters!E$25*(EXP(-Parameters!B$38*Parameters!E$25*'6states'!I51/('6states'!F51+'6states'!I51))-EXP(-Parameters!B$38*Parameters!E$25)) + Parameters!B$37*'6states'!F51/('6states'!F51+'6states'!I51)*EXP(-Parameters!B$38*Parameters!E$25*'6states'!I51/('6states'!F51+'6states'!I51)))</f>
        <v>-42.829242045312235</v>
      </c>
      <c r="BM51" s="7">
        <f t="shared" si="59"/>
        <v>6.7119099861742762E-2</v>
      </c>
      <c r="BS51">
        <f>EXP(-Parameters!$B$56*A51)*BF51*BL51</f>
        <v>2.2643927534417799E-3</v>
      </c>
      <c r="BT51">
        <f>-EXP((Parameters!$B$56)*F51)*SUM(BS51:BS59)</f>
        <v>-1.2108096466323524E-2</v>
      </c>
      <c r="BU51">
        <f>X51^-Parameters!B$52/(1-2*Parameters!B$5*'6states'!D51/'6states'!G51)</f>
        <v>1.1323859278942021</v>
      </c>
      <c r="BV51">
        <f t="shared" si="61"/>
        <v>1.0007290237083923</v>
      </c>
      <c r="BW51">
        <f>$X51^-Parameters!$B$52/(1-2*Parameters!$B$5*'6states'!$E51/'6states'!$H51)</f>
        <v>1.1006972866474576</v>
      </c>
      <c r="BX51">
        <f t="shared" si="62"/>
        <v>1.0064746673737426</v>
      </c>
      <c r="BY51" s="7">
        <f>($X51^-Parameters!$B$52*(1/(1+EXP(-C51)) + IF(C51&lt;0,2*Parameters!$B$6*C51/F51,0)) + BQ51*(1/(1+EXP((C51-Parameters!$B$22)*Parameters!$B$21))))/(1-IF(C51&gt;0,2*Parameters!$B$5*C51/F51,0))</f>
        <v>0.51521184853578916</v>
      </c>
      <c r="BZ51">
        <f t="shared" si="63"/>
        <v>1.0019793726401445</v>
      </c>
      <c r="CA51" s="7">
        <f t="shared" si="64"/>
        <v>1.0177816676832929E-3</v>
      </c>
      <c r="CB51">
        <f>(1/$T51-1/Parameters!$B$13) * LN(Parameters!$B$18) / LN(P51)</f>
        <v>0.23235581121329807</v>
      </c>
      <c r="CC51">
        <f>(Parameters!$B$18*'6states'!T51^+Parameters!$B$19*Parameters!$B$25^'6states'!T51)^((1-'6states'!T51)/'6states'!T51)*Parameters!$B$18*Parameters!$B$26^('6states'!T51-1)</f>
        <v>0.28912379260643389</v>
      </c>
      <c r="CD51">
        <f t="shared" si="65"/>
        <v>0.23290964046906132</v>
      </c>
      <c r="CE51">
        <f t="shared" si="66"/>
        <v>0.14875625999355202</v>
      </c>
      <c r="CF51">
        <f t="shared" si="67"/>
        <v>0.18160104536884591</v>
      </c>
    </row>
    <row r="52" spans="1:84" x14ac:dyDescent="0.25">
      <c r="A52">
        <f>A51+Parameters!$B$65</f>
        <v>48</v>
      </c>
      <c r="B52">
        <v>2073</v>
      </c>
      <c r="C52" s="74">
        <v>3.8736291381008302E-3</v>
      </c>
      <c r="D52" s="69">
        <v>8.1027021436167607E-2</v>
      </c>
      <c r="E52" s="75">
        <v>0.219091506149203</v>
      </c>
      <c r="F52" s="7">
        <f>MAX((1-Parameters!$B$4)^Parameters!B$65*F51 + C51*Parameters!B$65 - IF(C51&gt;0,Parameters!$B$5,0)*C51^2/F51*Parameters!B$65, 0.0001)</f>
        <v>0.10930320447033116</v>
      </c>
      <c r="G52" s="7">
        <f>(1-Parameters!$B$4)^Parameters!B$65*G51+D51*Parameters!B$65-Parameters!$B$5*D51^2/G51*Parameters!B$65</f>
        <v>1.0371891080481395</v>
      </c>
      <c r="H52" s="7">
        <f>(1-Parameters!$B$4)^Parameters!B$65*H51+E51*Parameters!B$65-Parameters!$B$5*E51^2/H51*Parameters!B$65</f>
        <v>3.3211578072189112</v>
      </c>
      <c r="I52" s="9">
        <f>I51 *(1-Parameters!$B$4)-C51*(C51&lt;0)*Parameters!B$65</f>
        <v>7.5853644837618681E-3</v>
      </c>
      <c r="J52" s="23">
        <f>J51*(1+Parameters!$B$51)^Parameters!B$65</f>
        <v>9.376839053763236</v>
      </c>
      <c r="K52" s="23">
        <f>K51*(1+Parameters!$B$53)^Parameters!B$65</f>
        <v>23.419681941321166</v>
      </c>
      <c r="L52" s="23">
        <f>J52*K52*EXP(-Parameters!$B$42*'6states'!A52)*(Parameters!$B$37/Parameters!$B$38*('6states'!F52+'6states'!I52)/Parameters!$E$25*(EXP(-Parameters!$B$38*Parameters!$E$25*'6states'!I52/('6states'!F52+'6states'!I52))-EXP(-Parameters!$B$38*Parameters!$E$25))  +  Parameters!$B$39*'6states'!F52)</f>
        <v>11.535768289348985</v>
      </c>
      <c r="M52" s="8">
        <f>M51+L52*Parameters!B$65</f>
        <v>3301.4914671386668</v>
      </c>
      <c r="N52" s="7">
        <f>M52*Parameters!$B$45</f>
        <v>1.9808948802832</v>
      </c>
      <c r="O52" s="9">
        <f>EXP(-Parameters!$B$46/2*N52^2)</f>
        <v>0.96133182091853731</v>
      </c>
      <c r="P52" s="8">
        <f>MAX((Parameters!$B$62 + Parameters!$B$31*'6states'!A52 - '6states'!M52 + Parameters!$B$47/Parameters!$B$45)/Parameters!B$62,1)</f>
        <v>32.04217065722667</v>
      </c>
      <c r="Q52" s="7">
        <f>Parameters!B$61*EXP(-Parameters!B$60*A52)</f>
        <v>0.13681205168520402</v>
      </c>
      <c r="R52" s="7">
        <f>(1-Parameters!B$61)*P52^-Parameters!B$63</f>
        <v>0.35350683189883564</v>
      </c>
      <c r="S52" s="7">
        <f>Parameters!B$61*EXP(-Parameters!B$60*A52)+(1-Parameters!B$61)*P52^-Parameters!B$63</f>
        <v>0.49031888358403963</v>
      </c>
      <c r="T52" s="7">
        <f>1-S52/Parameters!$B$12</f>
        <v>0.75484055820798024</v>
      </c>
      <c r="U52" s="7">
        <f t="shared" si="0"/>
        <v>4.0789781241562251</v>
      </c>
      <c r="V52" s="7">
        <f>(Parameters!$B$19*(F52+Parameters!$B$20)^T52+Parameters!$B$18*G52^T52)^(1/T52)</f>
        <v>0.3494481926334701</v>
      </c>
      <c r="W52" s="7">
        <f>(Parameters!$B$10*H52^Parameters!$B$9+Parameters!$B$11*V52^Parameters!$B$9)^(Parameters!$B$7/Parameters!$B$9)*O52</f>
        <v>1.3396716975227414</v>
      </c>
      <c r="X52" s="7">
        <f>W52 - D52 - E52 - LN(1+EXP(Parameters!$B$21*C52))/Parameters!$B$21 - IF(C52&gt;0, 0,Parameters!$B$6*C52^2/F52)</f>
        <v>1.034772251828479</v>
      </c>
      <c r="Y52" s="7">
        <f>EXP(-Parameters!$B$55*A52)</f>
        <v>0.48442144355629069</v>
      </c>
      <c r="Z52" s="7">
        <f>IF(X52&gt;0,X52^(1-Parameters!$B$52)/(1-Parameters!$B$52)*Y52*Parameters!$B$65,-10+X52*1000)</f>
        <v>-1.3676017383975569</v>
      </c>
      <c r="AB52" s="9"/>
      <c r="AC52">
        <f t="shared" si="6"/>
        <v>0.85065898466341716</v>
      </c>
      <c r="AD52">
        <f t="shared" si="7"/>
        <v>17.793743625902355</v>
      </c>
      <c r="AE52" s="23">
        <f t="shared" si="8"/>
        <v>1.665765673484785</v>
      </c>
      <c r="AF52" s="23">
        <f t="shared" si="9"/>
        <v>24.003266606151172</v>
      </c>
      <c r="AG52" s="23">
        <f t="shared" si="10"/>
        <v>227.76941263632651</v>
      </c>
      <c r="AH52" s="23">
        <f t="shared" si="11"/>
        <v>76.739727563025227</v>
      </c>
      <c r="AI52" s="23">
        <f t="shared" si="12"/>
        <v>188.86231199368987</v>
      </c>
      <c r="AJ52" s="23">
        <f t="shared" si="13"/>
        <v>294.19537218674958</v>
      </c>
      <c r="AK52" s="23">
        <f t="shared" si="14"/>
        <v>227.23866475505105</v>
      </c>
      <c r="AL52" s="9">
        <f t="shared" si="23"/>
        <v>2.2147804342020017E-2</v>
      </c>
      <c r="AM52" s="9">
        <f t="shared" si="24"/>
        <v>2.2689858163376542E-2</v>
      </c>
      <c r="AN52" s="9">
        <f t="shared" ref="AN52:AO52" si="83">AVERAGE(AL50:AL54)</f>
        <v>2.2078422032373445E-2</v>
      </c>
      <c r="AO52" s="9">
        <f t="shared" si="83"/>
        <v>2.1651789536430856E-2</v>
      </c>
      <c r="AP52" s="23"/>
      <c r="AQ52" s="8">
        <f t="shared" si="1"/>
        <v>294.19537218674964</v>
      </c>
      <c r="AR52" s="32">
        <f>Parameters!$B$7*W52*(W52/O52)^(-Parameters!$B$9/Parameters!$B$7)*Parameters!$B$11*(V52)^(Parameters!$B$9-T52)*((1-2*Parameters!$B$5*C52/F52)*Parameters!$B$19*(F52+Parameters!$B$20)^(T52-1)-(1-2*Parameters!$B$5*D52/G52)*(Parameters!$B$18)*(G52)^(T52-1))</f>
        <v>0.23290646518010136</v>
      </c>
      <c r="AS52" s="32">
        <f>((C53-C51)/2-(F53-F51)/F52/2*C52)/(F52/2/Parameters!$B$5-C52)-((D53-D51)/D52-(G53-G51)/G52)/(G52/2/Parameters!$B$5/D52-1)</f>
        <v>-2.6974107244009601E-3</v>
      </c>
      <c r="AT52" s="32">
        <f>+Parameters!$B$5*C52^2/F52^2-Parameters!$B$5*D52^2/G52^2</f>
        <v>-4.8470627649944385E-3</v>
      </c>
      <c r="AU52" s="30">
        <f>EXP(-Parameters!$B$42*'6states'!A52)*(Parameters!$B$37*EXP(-Parameters!$B$38*Parameters!$E$25*'6states'!I52/('6states'!F52+'6states'!I52))*(1/Parameters!$B$38/Parameters!$E$25+'6states'!I52/('6states'!F52+'6states'!I52))-Parameters!$B$37/Parameters!$B$38/Parameters!$E$25*EXP(-Parameters!$B$38*Parameters!$E$25)+Parameters!$B$39)</f>
        <v>0.4956985521277687</v>
      </c>
      <c r="AV52" s="30">
        <f>J52*K52*EXP(-Parameters!$B$42*'6states'!A52)*(Parameters!$B$37*EXP(-Parameters!$B$38*Parameters!$E$25*'6states'!I52/('6states'!F52+'6states'!I52))*(1/Parameters!$B$38/Parameters!$E$25+'6states'!I52/('6states'!F52+'6states'!I52))-Parameters!$B$37/Parameters!$B$38/Parameters!$E$25*EXP(-Parameters!$B$38*Parameters!$E$25)+Parameters!$B$39)</f>
        <v>108.85668504106489</v>
      </c>
      <c r="AW52" s="8">
        <f>1000*(AR52+AS52+AT52)/(EXP(-Parameters!$B$42*A52)*((C52&lt;0)*Parameters!$B$37*EXP(-Parameters!$B$38*AF52)+(C52&gt;=0)*Parameters!$B$41))</f>
        <v>399.92557668349241</v>
      </c>
      <c r="AX52" s="13">
        <f>1-W52/'6states,ExoDamages'!T52</f>
        <v>8.9174843249498537E-2</v>
      </c>
      <c r="AY52" s="21">
        <f>-Y52*W52*X52^(-Parameters!B$52)*Parameters!B$46*Parameters!B$45*N52</f>
        <v>-1.4804373519497844E-5</v>
      </c>
      <c r="AZ52" s="7">
        <f>1000*EXP(-(Parameters!$B$54)*'6states'!A52)*AQ52*Parameters!B$46*Parameters!B$45*N52</f>
        <v>1.3036026392204398</v>
      </c>
      <c r="BA52" s="7">
        <f>SUM(AZ52:AZ$204)*EXP(Parameters!$B$54*A52)</f>
        <v>561.74480683208253</v>
      </c>
      <c r="BB52" s="13">
        <f t="shared" si="77"/>
        <v>0.22691541314607125</v>
      </c>
      <c r="BF52" s="5">
        <f t="shared" si="58"/>
        <v>-2.0674876065804788E-3</v>
      </c>
      <c r="BG52" s="2">
        <f>BF52/Parameters!$B$45</f>
        <v>-3.4458126776341316</v>
      </c>
      <c r="BH52" s="2">
        <f t="shared" si="27"/>
        <v>2.485942835281918E-4</v>
      </c>
      <c r="BK52">
        <f>-EXP(-Parameters!B$42*'6states'!A52)*(-Parameters!B$37/Parameters!B$38/Parameters!E$25*(EXP(-Parameters!B$38*Parameters!E$25*'6states'!I52/('6states'!F52+'6states'!I52))-EXP(-Parameters!B$38*Parameters!E$25))+Parameters!B$37*'6states'!F52/('6states'!F52+'6states'!I52)*EXP(-Parameters!B$38*Parameters!E$25*'6states'!I52/('6states'!F52+'6states'!I52)))</f>
        <v>-0.21768740911701956</v>
      </c>
      <c r="BL52">
        <f>-J52*K52*EXP(-Parameters!B$42*'6states'!A52)*(-Parameters!B$37/Parameters!B$38/Parameters!E$25*(EXP(-Parameters!B$38*Parameters!E$25*'6states'!I52/('6states'!F52+'6states'!I52))-EXP(-Parameters!B$38*Parameters!E$25)) + Parameters!B$37*'6states'!F52/('6states'!F52+'6states'!I52)*EXP(-Parameters!B$38*Parameters!E$25*'6states'!I52/('6states'!F52+'6states'!I52)))</f>
        <v>-47.804718472425336</v>
      </c>
      <c r="BM52" s="7">
        <f t="shared" si="59"/>
        <v>6.4893980238058646E-2</v>
      </c>
      <c r="BS52">
        <f>EXP(-Parameters!$B$56*A52)*BF52*BL52</f>
        <v>2.3383802783026389E-3</v>
      </c>
      <c r="BT52">
        <f>-EXP((Parameters!$B$56)*F52)*SUM(BS52:BS60)</f>
        <v>-9.8212925647277148E-3</v>
      </c>
      <c r="BU52">
        <f>X52^-Parameters!B$52/(1-2*Parameters!B$5*'6states'!D52/'6states'!G52)</f>
        <v>1.1317289267604904</v>
      </c>
      <c r="BV52">
        <f t="shared" si="61"/>
        <v>0.99941980810823616</v>
      </c>
      <c r="BW52">
        <f>$X52^-Parameters!$B$52/(1-2*Parameters!$B$5*'6states'!$E52/'6states'!$H52)</f>
        <v>1.100039350932257</v>
      </c>
      <c r="BX52">
        <f t="shared" si="62"/>
        <v>0.99940225553094209</v>
      </c>
      <c r="BY52" s="7">
        <f>($X52^-Parameters!$B$52*(1/(1+EXP(-C52)) + IF(C52&lt;0,2*Parameters!$B$6*C52/F52,0)) + BQ52*(1/(1+EXP((C52-Parameters!$B$22)*Parameters!$B$21))))/(1-IF(C52&gt;0,2*Parameters!$B$5*C52/F52,0))</f>
        <v>0.51486981331617476</v>
      </c>
      <c r="BZ52">
        <f t="shared" si="63"/>
        <v>0.99933612703087782</v>
      </c>
      <c r="CA52" s="7">
        <f t="shared" si="64"/>
        <v>-3.4203521961440053E-4</v>
      </c>
      <c r="CB52">
        <f>(1/$T52-1/Parameters!$B$13) * LN(Parameters!$B$18) / LN(P52)</f>
        <v>0.23200444894498484</v>
      </c>
      <c r="CC52">
        <f>(Parameters!$B$18*'6states'!T52^+Parameters!$B$19*Parameters!$B$25^'6states'!T52)^((1-'6states'!T52)/'6states'!T52)*Parameters!$B$18*Parameters!$B$26^('6states'!T52-1)</f>
        <v>0.28986853625747283</v>
      </c>
      <c r="CD52">
        <f t="shared" si="65"/>
        <v>0.2318814998476621</v>
      </c>
      <c r="CE52">
        <f t="shared" si="66"/>
        <v>0.148548917937534</v>
      </c>
      <c r="CF52">
        <f t="shared" si="67"/>
        <v>0.18202340776617876</v>
      </c>
    </row>
    <row r="53" spans="1:84" x14ac:dyDescent="0.25">
      <c r="A53">
        <f>A52+Parameters!$B$65</f>
        <v>49</v>
      </c>
      <c r="B53">
        <v>2074</v>
      </c>
      <c r="C53" s="74">
        <v>3.7512294812106E-3</v>
      </c>
      <c r="D53" s="69">
        <v>8.3018810876264296E-2</v>
      </c>
      <c r="E53" s="75">
        <v>0.21723024374493899</v>
      </c>
      <c r="F53" s="7">
        <f>MAX((1-Parameters!$B$4)^Parameters!B$65*F52 + C52*Parameters!B$65 - IF(C52&gt;0,Parameters!$B$5,0)*C52^2/F52*Parameters!B$65, 0.0001)</f>
        <v>0.10616438333916037</v>
      </c>
      <c r="G53" s="7">
        <f>(1-Parameters!$B$4)^Parameters!B$65*G52+D52*Parameters!B$65-Parameters!$B$5*D52^2/G52*Parameters!B$65</f>
        <v>1.0466469624047301</v>
      </c>
      <c r="H53" s="7">
        <f>(1-Parameters!$B$4)^Parameters!B$65*H52+E52*Parameters!B$65-Parameters!$B$5*E52^2/H52*Parameters!B$65</f>
        <v>3.3168953685767137</v>
      </c>
      <c r="I53" s="9">
        <f>I52 *(1-Parameters!$B$4)-C52*(C52&lt;0)*Parameters!B$65</f>
        <v>7.108245057733247E-3</v>
      </c>
      <c r="J53" s="23">
        <f>J52*(1+Parameters!$B$51)^Parameters!B$65</f>
        <v>9.4040318870191477</v>
      </c>
      <c r="K53" s="23">
        <f>K52*(1+Parameters!$B$53)^Parameters!B$65</f>
        <v>23.888075580147589</v>
      </c>
      <c r="L53" s="23">
        <f>J53*K53*EXP(-Parameters!$B$42*'6states'!A53)*(Parameters!$B$37/Parameters!$B$38*('6states'!F53+'6states'!I53)/Parameters!$E$25*(EXP(-Parameters!$B$38*Parameters!$E$25*'6states'!I53/('6states'!F53+'6states'!I53))-EXP(-Parameters!$B$38*Parameters!$E$25))  +  Parameters!$B$39*'6states'!F53)</f>
        <v>11.360845542751589</v>
      </c>
      <c r="M53" s="8">
        <f>M52+L53*Parameters!B$65</f>
        <v>3312.8523126814184</v>
      </c>
      <c r="N53" s="7">
        <f>M53*Parameters!$B$45</f>
        <v>1.9877113876088508</v>
      </c>
      <c r="O53" s="9">
        <f>EXP(-Parameters!$B$46/2*N53^2)</f>
        <v>0.96107049633650554</v>
      </c>
      <c r="P53" s="8">
        <f>MAX((Parameters!$B$62 + Parameters!$B$31*'6states'!A53 - '6states'!M53 + Parameters!$B$47/Parameters!$B$45)/Parameters!B$62,1)</f>
        <v>32.878953746371636</v>
      </c>
      <c r="Q53" s="7">
        <f>Parameters!B$61*EXP(-Parameters!B$60*A53)</f>
        <v>0.13316754848380194</v>
      </c>
      <c r="R53" s="7">
        <f>(1-Parameters!B$61)*P53^-Parameters!B$63</f>
        <v>0.35259666918929405</v>
      </c>
      <c r="S53" s="7">
        <f>Parameters!B$61*EXP(-Parameters!B$60*A53)+(1-Parameters!B$61)*P53^-Parameters!B$63</f>
        <v>0.48576421767309597</v>
      </c>
      <c r="T53" s="7">
        <f>1-S53/Parameters!$B$12</f>
        <v>0.75711789116345196</v>
      </c>
      <c r="U53" s="7">
        <f t="shared" si="0"/>
        <v>4.1172238037218634</v>
      </c>
      <c r="V53" s="7">
        <f>(Parameters!$B$19*(F53+Parameters!$B$20)^T53+Parameters!$B$18*G53^T53)^(1/T53)</f>
        <v>0.3492478601615116</v>
      </c>
      <c r="W53" s="7">
        <f>(Parameters!$B$10*H53^Parameters!$B$9+Parameters!$B$11*V53^Parameters!$B$9)^(Parameters!$B$7/Parameters!$B$9)*O53</f>
        <v>1.3388811113258621</v>
      </c>
      <c r="X53" s="7">
        <f>W53 - D53 - E53 - LN(1+EXP(Parameters!$B$21*C53))/Parameters!$B$21 - IF(C53&gt;0, 0,Parameters!$B$6*C53^2/F53)</f>
        <v>1.0339439613880901</v>
      </c>
      <c r="Y53" s="7">
        <f>EXP(-Parameters!$B$55*A53)</f>
        <v>0.47716162929823552</v>
      </c>
      <c r="Z53" s="7">
        <f>IF(X53&gt;0,X53^(1-Parameters!$B$52)/(1-Parameters!$B$52)*Y53*Parameters!$B$65,-10+X53*1000)</f>
        <v>-1.3474836928744958</v>
      </c>
      <c r="AB53" s="9"/>
      <c r="AC53">
        <f t="shared" si="6"/>
        <v>0.84269203763517964</v>
      </c>
      <c r="AD53">
        <f t="shared" si="7"/>
        <v>18.649696386154293</v>
      </c>
      <c r="AE53" s="23">
        <f t="shared" si="8"/>
        <v>1.5968261983743814</v>
      </c>
      <c r="AF53" s="23">
        <f t="shared" si="9"/>
        <v>23.849215562116854</v>
      </c>
      <c r="AG53" s="23">
        <f t="shared" si="10"/>
        <v>235.12319516876721</v>
      </c>
      <c r="AH53" s="23">
        <f t="shared" si="11"/>
        <v>78.456514695616818</v>
      </c>
      <c r="AI53" s="23">
        <f t="shared" si="12"/>
        <v>193.08745583194465</v>
      </c>
      <c r="AJ53" s="23">
        <f t="shared" si="13"/>
        <v>300.77190891833419</v>
      </c>
      <c r="AK53" s="23">
        <f t="shared" si="14"/>
        <v>232.26953935687604</v>
      </c>
      <c r="AL53" s="9">
        <f t="shared" si="23"/>
        <v>2.210812192727829E-2</v>
      </c>
      <c r="AM53" s="9">
        <f t="shared" si="24"/>
        <v>2.1897653115158455E-2</v>
      </c>
      <c r="AN53" s="9">
        <f t="shared" ref="AN53:AO53" si="84">AVERAGE(AL51:AL55)</f>
        <v>2.209225812601421E-2</v>
      </c>
      <c r="AO53" s="9">
        <f t="shared" si="84"/>
        <v>2.1137040187726087E-2</v>
      </c>
      <c r="AP53" s="23"/>
      <c r="AQ53" s="8">
        <f t="shared" si="1"/>
        <v>300.77190891833419</v>
      </c>
      <c r="AR53" s="32">
        <f>Parameters!$B$7*W53*(W53/O53)^(-Parameters!$B$9/Parameters!$B$7)*Parameters!$B$11*(V53)^(Parameters!$B$9-T53)*((1-2*Parameters!$B$5*C53/F53)*Parameters!$B$19*(F53+Parameters!$B$20)^(T53-1)-(1-2*Parameters!$B$5*D53/G53)*(Parameters!$B$18)*(G53)^(T53-1))</f>
        <v>0.23388973019447512</v>
      </c>
      <c r="AS53" s="32">
        <f>((C54-C52)/2-(F54-F52)/F53/2*C53)/(F53/2/Parameters!$B$5-C53)-((D54-D52)/D53-(G54-G52)/G53)/(G53/2/Parameters!$B$5/D53-1)</f>
        <v>-1.8665122817325365E-3</v>
      </c>
      <c r="AT53" s="32">
        <f>+Parameters!$B$5*C53^2/F53^2-Parameters!$B$5*D53^2/G53^2</f>
        <v>-5.0429735706126119E-3</v>
      </c>
      <c r="AU53" s="30">
        <f>EXP(-Parameters!$B$42*'6states'!A53)*(Parameters!$B$37*EXP(-Parameters!$B$38*Parameters!$E$25*'6states'!I53/('6states'!F53+'6states'!I53))*(1/Parameters!$B$38/Parameters!$E$25+'6states'!I53/('6states'!F53+'6states'!I53))-Parameters!$B$37/Parameters!$B$38/Parameters!$E$25*EXP(-Parameters!$B$38*Parameters!$E$25)+Parameters!$B$39)</f>
        <v>0.49220604358672931</v>
      </c>
      <c r="AV53" s="30">
        <f>J53*K53*EXP(-Parameters!$B$42*'6states'!A53)*(Parameters!$B$37*EXP(-Parameters!$B$38*Parameters!$E$25*'6states'!I53/('6states'!F53+'6states'!I53))*(1/Parameters!$B$38/Parameters!$E$25+'6states'!I53/('6states'!F53+'6states'!I53))-Parameters!$B$37/Parameters!$B$38/Parameters!$E$25*EXP(-Parameters!$B$38*Parameters!$E$25)+Parameters!$B$39)</f>
        <v>110.57124494356273</v>
      </c>
      <c r="AW53" s="8">
        <f>1000*(AR53+AS53+AT53)/(EXP(-Parameters!$B$42*A53)*((C53&lt;0)*Parameters!$B$37*EXP(-Parameters!$B$38*AF53)+(C53&gt;=0)*Parameters!$B$41))</f>
        <v>406.84549512953993</v>
      </c>
      <c r="AX53" s="13">
        <f>1-W53/'6states,ExoDamages'!T53</f>
        <v>8.9434405124126926E-2</v>
      </c>
      <c r="AY53" s="21">
        <f>-Y53*W53*X53^(-Parameters!B$52)*Parameters!B$46*Parameters!B$45*N53</f>
        <v>-1.4639869640390978E-5</v>
      </c>
      <c r="AZ53" s="7">
        <f>1000*EXP(-(Parameters!$B$54)*'6states'!A53)*AQ53*Parameters!B$46*Parameters!B$45*N53</f>
        <v>1.2912038917209596</v>
      </c>
      <c r="BA53" s="7">
        <f>SUM(AZ53:AZ$204)*EXP(Parameters!$B$54*A53)</f>
        <v>574.53289349870954</v>
      </c>
      <c r="BB53" s="13">
        <f t="shared" si="77"/>
        <v>0.22705547305941873</v>
      </c>
      <c r="BF53" s="5">
        <f t="shared" si="58"/>
        <v>-2.0679176547497113E-3</v>
      </c>
      <c r="BG53" s="2">
        <f>BF53/Parameters!$B$45</f>
        <v>-3.4465294245828524</v>
      </c>
      <c r="BH53" s="2">
        <f t="shared" si="27"/>
        <v>2.0796194096250886E-4</v>
      </c>
      <c r="BK53">
        <f>-EXP(-Parameters!B$42*'6states'!A53)*(-Parameters!B$37/Parameters!B$38/Parameters!E$25*(EXP(-Parameters!B$38*Parameters!E$25*'6states'!I53/('6states'!F53+'6states'!I53))-EXP(-Parameters!B$38*Parameters!E$25))+Parameters!B$37*'6states'!F53/('6states'!F53+'6states'!I53)*EXP(-Parameters!B$38*Parameters!E$25*'6states'!I53/('6states'!F53+'6states'!I53)))</f>
        <v>-0.23664597443960975</v>
      </c>
      <c r="BL53">
        <f>-J53*K53*EXP(-Parameters!B$42*'6states'!A53)*(-Parameters!B$37/Parameters!B$38/Parameters!E$25*(EXP(-Parameters!B$38*Parameters!E$25*'6states'!I53/('6states'!F53+'6states'!I53))-EXP(-Parameters!B$38*Parameters!E$25)) + Parameters!B$37*'6states'!F53/('6states'!F53+'6states'!I53)*EXP(-Parameters!B$38*Parameters!E$25*'6states'!I53/('6states'!F53+'6states'!I53)))</f>
        <v>-53.161151403171559</v>
      </c>
      <c r="BM53" s="7">
        <f t="shared" si="59"/>
        <v>6.2753422060860237E-2</v>
      </c>
      <c r="BS53">
        <f>EXP(-Parameters!$B$56*A53)*BF53*BL53</f>
        <v>2.4057700270498903E-3</v>
      </c>
      <c r="BT53">
        <f>-EXP((Parameters!$B$56)*F53)*SUM(BS53:BS61)</f>
        <v>-7.4610639467592834E-3</v>
      </c>
      <c r="BU53">
        <f>X53^-Parameters!B$52/(1-2*Parameters!B$5*'6states'!D53/'6states'!G53)</f>
        <v>1.1361769598878355</v>
      </c>
      <c r="BV53">
        <f t="shared" si="61"/>
        <v>1.0039302990514498</v>
      </c>
      <c r="BW53">
        <f>$X53^-Parameters!$B$52/(1-2*Parameters!$B$5*'6states'!$E53/'6states'!$H53)</f>
        <v>1.100021860172101</v>
      </c>
      <c r="BX53">
        <f t="shared" si="62"/>
        <v>0.99998409987775327</v>
      </c>
      <c r="BY53" s="7">
        <f>($X53^-Parameters!$B$52*(1/(1+EXP(-C53)) + IF(C53&lt;0,2*Parameters!$B$6*C53/F53,0)) + BQ53*(1/(1+EXP((C53-Parameters!$B$22)*Parameters!$B$21))))/(1-IF(C53&gt;0,2*Parameters!$B$5*C53/F53,0))</f>
        <v>0.51527861344000558</v>
      </c>
      <c r="BZ53">
        <f t="shared" si="63"/>
        <v>1.0007939873600238</v>
      </c>
      <c r="CA53" s="7">
        <f t="shared" si="64"/>
        <v>4.0880012383082143E-4</v>
      </c>
      <c r="CB53">
        <f>(1/$T53-1/Parameters!$B$13) * LN(Parameters!$B$18) / LN(P53)</f>
        <v>0.23165114689384239</v>
      </c>
      <c r="CC53">
        <f>(Parameters!$B$18*'6states'!T53^+Parameters!$B$19*Parameters!$B$25^'6states'!T53)^((1-'6states'!T53)/'6states'!T53)*Parameters!$B$18*Parameters!$B$26^('6states'!T53-1)</f>
        <v>0.2905802461920573</v>
      </c>
      <c r="CD53">
        <f t="shared" si="65"/>
        <v>0.23087211812214625</v>
      </c>
      <c r="CE53">
        <f t="shared" si="66"/>
        <v>0.14834038027565699</v>
      </c>
      <c r="CF53">
        <f t="shared" si="67"/>
        <v>0.18242683224470435</v>
      </c>
    </row>
    <row r="54" spans="1:84" s="4" customFormat="1" x14ac:dyDescent="0.25">
      <c r="A54">
        <f>A53+Parameters!$B$65</f>
        <v>50</v>
      </c>
      <c r="B54">
        <v>2075</v>
      </c>
      <c r="C54" s="74">
        <v>3.70497934428364E-3</v>
      </c>
      <c r="D54" s="69">
        <v>8.3664488938339901E-2</v>
      </c>
      <c r="E54" s="75">
        <v>0.215253102909259</v>
      </c>
      <c r="F54" s="7">
        <f>MAX((1-Parameters!$B$4)^Parameters!B$65*F53 + C53*Parameters!B$65 - IF(C53&gt;0,Parameters!$B$5,0)*C53^2/F53*Parameters!B$65, 0.0001)</f>
        <v>0.1031053265595037</v>
      </c>
      <c r="G54" s="7">
        <f>(1-Parameters!$B$4)^Parameters!B$65*G53+D53*Parameters!B$65-Parameters!$B$5*D53^2/G53*Parameters!B$65</f>
        <v>1.057246724526326</v>
      </c>
      <c r="H54" s="7">
        <f>(1-Parameters!$B$4)^Parameters!B$65*H53+E53*Parameters!B$65-Parameters!$B$5*E53^2/H53*Parameters!B$65</f>
        <v>3.3112660418524569</v>
      </c>
      <c r="I54" s="9">
        <f>I53 *(1-Parameters!$B$4)-C53*(C53&lt;0)*Parameters!B$65</f>
        <v>6.6611364436018261E-3</v>
      </c>
      <c r="J54" s="23">
        <f>J53*(1+Parameters!$B$51)^Parameters!B$65</f>
        <v>9.4313035794915017</v>
      </c>
      <c r="K54" s="23">
        <f>K53*(1+Parameters!$B$53)^Parameters!B$65</f>
        <v>24.365837091750542</v>
      </c>
      <c r="L54" s="23">
        <f>J54*K54*EXP(-Parameters!$B$42*'6states'!A54)*(Parameters!$B$37/Parameters!$B$38*('6states'!F54+'6states'!I54)/Parameters!$E$25*(EXP(-Parameters!$B$38*Parameters!$E$25*'6states'!I54/('6states'!F54+'6states'!I54))-EXP(-Parameters!$B$38*Parameters!$E$25))  +  Parameters!$B$39*'6states'!F54)</f>
        <v>11.188143721298518</v>
      </c>
      <c r="M54" s="8">
        <f>M53+L54*Parameters!B$65</f>
        <v>3324.0404564027172</v>
      </c>
      <c r="N54" s="7">
        <f>M54*Parameters!$B$45</f>
        <v>1.99442427384163</v>
      </c>
      <c r="O54" s="9">
        <f>EXP(-Parameters!$B$46/2*N54^2)</f>
        <v>0.96081233671879518</v>
      </c>
      <c r="P54" s="8">
        <f>MAX((Parameters!$B$62 + Parameters!$B$31*'6states'!A54 - '6states'!M54 + Parameters!$B$47/Parameters!$B$45)/Parameters!B$62,1)</f>
        <v>33.719190871945656</v>
      </c>
      <c r="Q54" s="7">
        <f>Parameters!B$61*EXP(-Parameters!B$60*A54)</f>
        <v>0.12962013032294575</v>
      </c>
      <c r="R54" s="7">
        <f>(1-Parameters!B$61)*P54^-Parameters!B$63</f>
        <v>0.35170803475110363</v>
      </c>
      <c r="S54" s="7">
        <f>Parameters!B$61*EXP(-Parameters!B$60*A54)+(1-Parameters!B$61)*P54^-Parameters!B$63</f>
        <v>0.48132816507404941</v>
      </c>
      <c r="T54" s="7">
        <f>1-S54/Parameters!$B$12</f>
        <v>0.75933591746297524</v>
      </c>
      <c r="U54" s="7">
        <f t="shared" si="0"/>
        <v>4.1551692693742774</v>
      </c>
      <c r="V54" s="7">
        <f>(Parameters!$B$19*(F54+Parameters!$B$20)^T54+Parameters!$B$18*G54^T54)^(1/T54)</f>
        <v>0.34937592456428879</v>
      </c>
      <c r="W54" s="7">
        <f>(Parameters!$B$10*H54^Parameters!$B$9+Parameters!$B$11*V54^Parameters!$B$9)^(Parameters!$B$7/Parameters!$B$9)*O54</f>
        <v>1.3380983924949768</v>
      </c>
      <c r="X54" s="7">
        <f>W54 - D54 - E54 - LN(1+EXP(Parameters!$B$21*C54))/Parameters!$B$21 - IF(C54&gt;0, 0,Parameters!$B$6*C54^2/F54)</f>
        <v>1.0345275639143241</v>
      </c>
      <c r="Y54" s="16">
        <f>EXP(-Parameters!$B$55*A54)</f>
        <v>0.4700106147305379</v>
      </c>
      <c r="Z54" s="7">
        <f>IF(X54&gt;0,X54^(1-Parameters!$B$52)/(1-Parameters!$B$52)*Y54*Parameters!$B$65,-10+X54*1000)</f>
        <v>-1.3270274257454509</v>
      </c>
      <c r="AA54"/>
      <c r="AB54" s="9"/>
      <c r="AC54">
        <f t="shared" si="6"/>
        <v>0.85141020566481362</v>
      </c>
      <c r="AD54">
        <f t="shared" si="7"/>
        <v>19.226233971786531</v>
      </c>
      <c r="AE54" s="23">
        <f t="shared" si="8"/>
        <v>1.5307398563931744</v>
      </c>
      <c r="AF54" s="23">
        <f t="shared" si="9"/>
        <v>23.693769690405141</v>
      </c>
      <c r="AG54" s="23">
        <f t="shared" si="10"/>
        <v>242.95699584836808</v>
      </c>
      <c r="AH54" s="23">
        <f t="shared" si="11"/>
        <v>80.287148765502778</v>
      </c>
      <c r="AI54" s="23">
        <f t="shared" si="12"/>
        <v>197.59278565044224</v>
      </c>
      <c r="AJ54" s="23">
        <f t="shared" si="13"/>
        <v>307.49716035844284</v>
      </c>
      <c r="AK54" s="23">
        <f t="shared" si="14"/>
        <v>237.73609623956432</v>
      </c>
      <c r="AL54" s="9">
        <f t="shared" si="23"/>
        <v>2.2113652786954319E-2</v>
      </c>
      <c r="AM54" s="9">
        <f t="shared" si="24"/>
        <v>2.3262714261844231E-2</v>
      </c>
      <c r="AN54" s="9">
        <f t="shared" ref="AN54:AO54" si="85">AVERAGE(AL52:AL56)</f>
        <v>2.2141873023313254E-2</v>
      </c>
      <c r="AO54" s="9">
        <f t="shared" si="85"/>
        <v>2.2313040469715339E-2</v>
      </c>
      <c r="AP54" s="23"/>
      <c r="AQ54" s="8">
        <f t="shared" si="1"/>
        <v>307.49716035844284</v>
      </c>
      <c r="AR54" s="32">
        <f>Parameters!$B$7*W54*(W54/O54)^(-Parameters!$B$9/Parameters!$B$7)*Parameters!$B$11*(V54)^(Parameters!$B$9-T54)*((1-2*Parameters!$B$5*C54/F54)*Parameters!$B$19*(F54+Parameters!$B$20)^(T54-1)-(1-2*Parameters!$B$5*D54/G54)*(Parameters!$B$18)*(G54)^(T54-1))</f>
        <v>0.23314705444266601</v>
      </c>
      <c r="AS54" s="32">
        <f>((C55-C53)/2-(F55-F53)/F54/2*C54)/(F54/2/Parameters!$B$5-C54)-((D55-D53)/D54-(G55-G53)/G54)/(G54/2/Parameters!$B$5/D54-1)</f>
        <v>1.4708375307152322E-3</v>
      </c>
      <c r="AT54" s="32">
        <f>+Parameters!$B$5*C54^2/F54^2-Parameters!$B$5*D54^2/G54^2</f>
        <v>-4.9709916975750829E-3</v>
      </c>
      <c r="AU54" s="30">
        <f>EXP(-Parameters!$B$42*'6states'!A54)*(Parameters!$B$37*EXP(-Parameters!$B$38*Parameters!$E$25*'6states'!I54/('6states'!F54+'6states'!I54))*(1/Parameters!$B$38/Parameters!$E$25+'6states'!I54/('6states'!F54+'6states'!I54))-Parameters!$B$37/Parameters!$B$38/Parameters!$E$25*EXP(-Parameters!$B$38*Parameters!$E$25)+Parameters!$B$39)</f>
        <v>0.48876564822255991</v>
      </c>
      <c r="AV54" s="30">
        <f>J54*K54*EXP(-Parameters!$B$42*'6states'!A54)*(Parameters!$B$37*EXP(-Parameters!$B$38*Parameters!$E$25*'6states'!I54/('6states'!F54+'6states'!I54))*(1/Parameters!$B$38/Parameters!$E$25+'6states'!I54/('6states'!F54+'6states'!I54))-Parameters!$B$37/Parameters!$B$38/Parameters!$E$25*EXP(-Parameters!$B$38*Parameters!$E$25)+Parameters!$B$39)</f>
        <v>112.31913120301799</v>
      </c>
      <c r="AW54" s="8">
        <f>1000*(AR54+AS54+AT54)/(EXP(-Parameters!$B$42*A54)*((C54&lt;0)*Parameters!$B$37*EXP(-Parameters!$B$38*AF54)+(C54&gt;=0)*Parameters!$B$41))</f>
        <v>415.76218380070776</v>
      </c>
      <c r="AX54" s="13">
        <f>1-W54/'6states,ExoDamages'!T54</f>
        <v>8.9694821838044003E-2</v>
      </c>
      <c r="AY54" s="21">
        <f>-Y54*W54*X54^(-Parameters!B$52)*Parameters!B$46*Parameters!B$45*N54</f>
        <v>-1.4449698467529574E-5</v>
      </c>
      <c r="AZ54" s="7">
        <f>1000*EXP(-(Parameters!$B$54)*'6states'!A54)*AQ54*Parameters!B$46*Parameters!B$45*N54</f>
        <v>1.2788486603698368</v>
      </c>
      <c r="BA54" s="7">
        <f>SUM(AZ54:AZ$204)*EXP(Parameters!$B$54*A54)</f>
        <v>587.58948036283255</v>
      </c>
      <c r="BB54" s="13">
        <f t="shared" si="77"/>
        <v>0.22615868376287476</v>
      </c>
      <c r="BC54" s="16"/>
      <c r="BD54" s="16"/>
      <c r="BE54" s="16"/>
      <c r="BF54" s="5">
        <f t="shared" si="58"/>
        <v>-2.0682322000576039E-3</v>
      </c>
      <c r="BG54" s="2">
        <f>BF54/Parameters!$B$45</f>
        <v>-3.4470536667626734</v>
      </c>
      <c r="BH54" s="2">
        <f t="shared" si="27"/>
        <v>1.5208413633815976E-4</v>
      </c>
      <c r="BI54"/>
      <c r="BJ54"/>
      <c r="BK54">
        <f>-EXP(-Parameters!B$42*'6states'!A54)*(-Parameters!B$37/Parameters!B$38/Parameters!E$25*(EXP(-Parameters!B$38*Parameters!E$25*'6states'!I54/('6states'!F54+'6states'!I54))-EXP(-Parameters!B$38*Parameters!E$25))+Parameters!B$37*'6states'!F54/('6states'!F54+'6states'!I54)*EXP(-Parameters!B$38*Parameters!E$25*'6states'!I54/('6states'!F54+'6states'!I54)))</f>
        <v>-0.25644917954469409</v>
      </c>
      <c r="BL54">
        <f>-J54*K54*EXP(-Parameters!B$42*'6states'!A54)*(-Parameters!B$37/Parameters!B$38/Parameters!E$25*(EXP(-Parameters!B$38*Parameters!E$25*'6states'!I54/('6states'!F54+'6states'!I54))-EXP(-Parameters!B$38*Parameters!E$25)) + Parameters!B$37*'6states'!F54/('6states'!F54+'6states'!I54)*EXP(-Parameters!B$38*Parameters!E$25*'6states'!I54/('6states'!F54+'6states'!I54)))</f>
        <v>-58.932433465681719</v>
      </c>
      <c r="BM54" s="7">
        <f t="shared" si="59"/>
        <v>6.0684623165942482E-2</v>
      </c>
      <c r="BN54"/>
      <c r="BO54"/>
      <c r="BP54"/>
      <c r="BQ54"/>
      <c r="BS54">
        <f>EXP(-Parameters!$B$56*A54)*BF54*BL54</f>
        <v>2.4672047383948663E-3</v>
      </c>
      <c r="BT54">
        <f>-EXP((Parameters!$B$56)*F54)*SUM(BS54:BS62)</f>
        <v>-5.0340881450769408E-3</v>
      </c>
      <c r="BU54">
        <f>X54^-Parameters!B$52/(1-2*Parameters!B$5*'6states'!D54/'6states'!G54)</f>
        <v>1.1348140159146252</v>
      </c>
      <c r="BV54">
        <f t="shared" si="61"/>
        <v>0.99880041224093741</v>
      </c>
      <c r="BW54">
        <f>$X54^-Parameters!$B$52/(1-2*Parameters!$B$5*'6states'!$E54/'6states'!$H54)</f>
        <v>1.0979567478275205</v>
      </c>
      <c r="BX54">
        <f t="shared" si="62"/>
        <v>0.99812266244940129</v>
      </c>
      <c r="BY54" s="7">
        <f>($X54^-Parameters!$B$52*(1/(1+EXP(-C54)) + IF(C54&lt;0,2*Parameters!$B$6*C54/F54,0)) + BQ54*(1/(1+EXP((C54-Parameters!$B$22)*Parameters!$B$21))))/(1-IF(C54&gt;0,2*Parameters!$B$5*C54/F54,0))</f>
        <v>0.51553977926192029</v>
      </c>
      <c r="BZ54">
        <f t="shared" si="63"/>
        <v>1.0005068438997908</v>
      </c>
      <c r="CA54" s="7">
        <f t="shared" si="64"/>
        <v>2.6116582191471061E-4</v>
      </c>
      <c r="CB54">
        <f>(1/$T54-1/Parameters!$B$13) * LN(Parameters!$B$18) / LN(P54)</f>
        <v>0.23129596704211233</v>
      </c>
      <c r="CC54">
        <f>(Parameters!$B$18*'6states'!T54^+Parameters!$B$19*Parameters!$B$25^'6states'!T54)^((1-'6states'!T54)/'6states'!T54)*Parameters!$B$18*Parameters!$B$26^('6states'!T54-1)</f>
        <v>0.29126060792180059</v>
      </c>
      <c r="CD54">
        <f t="shared" si="65"/>
        <v>0.22988087403840221</v>
      </c>
      <c r="CE54">
        <f t="shared" si="66"/>
        <v>0.14813068275294905</v>
      </c>
      <c r="CF54">
        <f t="shared" si="67"/>
        <v>0.18281230134200277</v>
      </c>
    </row>
    <row r="55" spans="1:84" x14ac:dyDescent="0.25">
      <c r="A55">
        <f>A54+Parameters!$B$65</f>
        <v>51</v>
      </c>
      <c r="B55">
        <v>2076</v>
      </c>
      <c r="C55" s="74">
        <v>3.64130045992076E-3</v>
      </c>
      <c r="D55" s="69">
        <v>8.4524232520106393E-2</v>
      </c>
      <c r="E55" s="75">
        <v>0.21827072376800599</v>
      </c>
      <c r="F55" s="7">
        <f>MAX((1-Parameters!$B$4)^Parameters!B$65*F54 + C54*Parameters!B$65 - IF(C54&gt;0,Parameters!$B$5,0)*C54^2/F54*Parameters!B$65, 0.0001)</f>
        <v>0.10019184640351515</v>
      </c>
      <c r="G55" s="7">
        <f>(1-Parameters!$B$4)^Parameters!B$65*G54+D54*Parameters!B$65-Parameters!$B$5*D54^2/G54*Parameters!B$65</f>
        <v>1.0677896629759087</v>
      </c>
      <c r="H55" s="7">
        <f>(1-Parameters!$B$4)^Parameters!B$65*H54+E54*Parameters!B$65-Parameters!$B$5*E54^2/H54*Parameters!B$65</f>
        <v>3.3042477062470343</v>
      </c>
      <c r="I55" s="9">
        <f>I54 *(1-Parameters!$B$4)-C54*(C54&lt;0)*Parameters!B$65</f>
        <v>6.2421509612992712E-3</v>
      </c>
      <c r="J55" s="23">
        <f>J54*(1+Parameters!$B$51)^Parameters!B$65</f>
        <v>9.4586543598720265</v>
      </c>
      <c r="K55" s="23">
        <f>K54*(1+Parameters!$B$53)^Parameters!B$65</f>
        <v>24.853153833585555</v>
      </c>
      <c r="L55" s="23">
        <f>J55*K55*EXP(-Parameters!$B$42*'6states'!A55)*(Parameters!$B$37/Parameters!$B$38*('6states'!F55+'6states'!I55)/Parameters!$E$25*(EXP(-Parameters!$B$38*Parameters!$E$25*'6states'!I55/('6states'!F55+'6states'!I55))-EXP(-Parameters!$B$38*Parameters!$E$25))  +  Parameters!$B$39*'6states'!F55)</f>
        <v>11.025338034924438</v>
      </c>
      <c r="M55" s="8">
        <f>M54+L55*Parameters!B$65</f>
        <v>3335.0657944376417</v>
      </c>
      <c r="N55" s="7">
        <f>M55*Parameters!$B$45</f>
        <v>2.001039476662585</v>
      </c>
      <c r="O55" s="9">
        <f>EXP(-Parameters!$B$46/2*N55^2)</f>
        <v>0.96055715044410017</v>
      </c>
      <c r="P55" s="8">
        <f>MAX((Parameters!$B$62 + Parameters!$B$31*'6states'!A55 - '6states'!M55 + Parameters!$B$47/Parameters!$B$45)/Parameters!B$62,1)</f>
        <v>34.562684111247172</v>
      </c>
      <c r="Q55" s="7">
        <f>Parameters!B$61*EXP(-Parameters!B$60*A55)</f>
        <v>0.12616721097768882</v>
      </c>
      <c r="R55" s="7">
        <f>(1-Parameters!B$61)*P55^-Parameters!B$63</f>
        <v>0.35084012585384028</v>
      </c>
      <c r="S55" s="7">
        <f>Parameters!B$61*EXP(-Parameters!B$60*A55)+(1-Parameters!B$61)*P55^-Parameters!B$63</f>
        <v>0.47700733683152907</v>
      </c>
      <c r="T55" s="7">
        <f>1-S55/Parameters!$B$12</f>
        <v>0.76149633158423546</v>
      </c>
      <c r="U55" s="7">
        <f t="shared" si="0"/>
        <v>4.1928076269954024</v>
      </c>
      <c r="V55" s="7">
        <f>(Parameters!$B$19*(F55+Parameters!$B$20)^T55+Parameters!$B$18*G55^T55)^(1/T55)</f>
        <v>0.34961418352417534</v>
      </c>
      <c r="W55" s="7">
        <f>(Parameters!$B$10*H55^Parameters!$B$9+Parameters!$B$11*V55^Parameters!$B$9)^(Parameters!$B$7/Parameters!$B$9)*O55</f>
        <v>1.3372405394664424</v>
      </c>
      <c r="X55" s="7">
        <f>W55 - D55 - E55 - LN(1+EXP(Parameters!$B$21*C55))/Parameters!$B$21 - IF(C55&gt;0, 0,Parameters!$B$6*C55^2/F55)</f>
        <v>1.0298401452402981</v>
      </c>
      <c r="Y55" s="7">
        <f>EXP(-Parameters!$B$55*A55)</f>
        <v>0.46296676931938507</v>
      </c>
      <c r="Z55" s="7">
        <f>IF(X55&gt;0,X55^(1-Parameters!$B$52)/(1-Parameters!$B$52)*Y55*Parameters!$B$65,-10+X55*1000)</f>
        <v>-1.30921911951756</v>
      </c>
      <c r="AB55" s="9"/>
      <c r="AC55">
        <f t="shared" si="6"/>
        <v>0.85598741511359233</v>
      </c>
      <c r="AD55">
        <f t="shared" si="7"/>
        <v>19.869736130184815</v>
      </c>
      <c r="AE55" s="23">
        <f t="shared" si="8"/>
        <v>1.467388567607427</v>
      </c>
      <c r="AF55" s="23">
        <f t="shared" si="9"/>
        <v>23.552837938638366</v>
      </c>
      <c r="AG55" s="23">
        <f t="shared" si="10"/>
        <v>251.01320903237198</v>
      </c>
      <c r="AH55" s="23">
        <f t="shared" si="11"/>
        <v>82.186390421739702</v>
      </c>
      <c r="AI55" s="23">
        <f t="shared" si="12"/>
        <v>202.26696396228257</v>
      </c>
      <c r="AJ55" s="23">
        <f t="shared" si="13"/>
        <v>314.35501831340093</v>
      </c>
      <c r="AK55" s="23">
        <f t="shared" si="14"/>
        <v>242.09213538056474</v>
      </c>
      <c r="AL55" s="9">
        <f t="shared" si="23"/>
        <v>2.2057126199840127E-2</v>
      </c>
      <c r="AM55" s="9">
        <f t="shared" si="24"/>
        <v>1.8157159287743418E-2</v>
      </c>
      <c r="AN55" s="9">
        <f t="shared" ref="AN55:AO55" si="86">AVERAGE(AL53:AL57)</f>
        <v>2.1976518352424888E-2</v>
      </c>
      <c r="AO55" s="9">
        <f t="shared" si="86"/>
        <v>2.1143068752598283E-2</v>
      </c>
      <c r="AP55" s="23"/>
      <c r="AQ55" s="8">
        <f t="shared" si="1"/>
        <v>314.35501831340093</v>
      </c>
      <c r="AR55" s="32">
        <f>Parameters!$B$7*W55*(W55/O55)^(-Parameters!$B$9/Parameters!$B$7)*Parameters!$B$11*(V55)^(Parameters!$B$9-T55)*((1-2*Parameters!$B$5*C55/F55)*Parameters!$B$19*(F55+Parameters!$B$20)^(T55-1)-(1-2*Parameters!$B$5*D55/G55)*(Parameters!$B$18)*(G55)^(T55-1))</f>
        <v>0.23195864534684499</v>
      </c>
      <c r="AS55" s="32">
        <f>((C56-C54)/2-(F56-F54)/F55/2*C55)/(F55/2/Parameters!$B$5-C55)-((D56-D54)/D55-(G56-G54)/G55)/(G55/2/Parameters!$B$5/D55-1)</f>
        <v>-4.3165176739596335E-2</v>
      </c>
      <c r="AT55" s="32">
        <f>+Parameters!$B$5*C55^2/F55^2-Parameters!$B$5*D55^2/G55^2</f>
        <v>-4.9451753835081831E-3</v>
      </c>
      <c r="AU55" s="30">
        <f>EXP(-Parameters!$B$42*'6states'!A55)*(Parameters!$B$37*EXP(-Parameters!$B$38*Parameters!$E$25*'6states'!I55/('6states'!F55+'6states'!I55))*(1/Parameters!$B$38/Parameters!$E$25+'6states'!I55/('6states'!F55+'6states'!I55))-Parameters!$B$37/Parameters!$B$38/Parameters!$E$25*EXP(-Parameters!$B$38*Parameters!$E$25)+Parameters!$B$39)</f>
        <v>0.4854006543273453</v>
      </c>
      <c r="AV55" s="30">
        <f>J55*K55*EXP(-Parameters!$B$42*'6states'!A55)*(Parameters!$B$37*EXP(-Parameters!$B$38*Parameters!$E$25*'6states'!I55/('6states'!F55+'6states'!I55))*(1/Parameters!$B$38/Parameters!$E$25+'6states'!I55/('6states'!F55+'6states'!I55))-Parameters!$B$37/Parameters!$B$38/Parameters!$E$25*EXP(-Parameters!$B$38*Parameters!$E$25)+Parameters!$B$39)</f>
        <v>114.10671982864947</v>
      </c>
      <c r="AW55" s="8">
        <f>1000*(AR55+AS55+AT55)/(EXP(-Parameters!$B$42*A55)*((C55&lt;0)*Parameters!$B$37*EXP(-Parameters!$B$38*AF55)+(C55&gt;=0)*Parameters!$B$41))</f>
        <v>336.19166683562185</v>
      </c>
      <c r="AX55" s="13">
        <f>1-W55/'6states,ExoDamages'!T55</f>
        <v>8.9988248103234358E-2</v>
      </c>
      <c r="AY55" s="21">
        <f>-Y55*W55*X55^(-Parameters!B$52)*Parameters!B$46*Parameters!B$45*N55</f>
        <v>-1.4358962598515764E-5</v>
      </c>
      <c r="AZ55" s="7">
        <f>1000*EXP(-(Parameters!$B$54)*'6states'!A55)*AQ55*Parameters!B$46*Parameters!B$45*N55</f>
        <v>1.2664638856701853</v>
      </c>
      <c r="BA55" s="7">
        <f>SUM(AZ55:AZ$204)*EXP(Parameters!$B$54*A55)</f>
        <v>600.91973225282231</v>
      </c>
      <c r="BB55" s="13">
        <f t="shared" si="77"/>
        <v>0.22915567372067625</v>
      </c>
      <c r="BF55" s="5">
        <f t="shared" si="58"/>
        <v>-2.0684883943071805E-3</v>
      </c>
      <c r="BG55" s="2">
        <f>BF55/Parameters!$B$45</f>
        <v>-3.4474806571786343</v>
      </c>
      <c r="BH55" s="2">
        <f t="shared" si="27"/>
        <v>1.238557829387199E-4</v>
      </c>
      <c r="BK55">
        <f>-EXP(-Parameters!B$42*'6states'!A55)*(-Parameters!B$37/Parameters!B$38/Parameters!E$25*(EXP(-Parameters!B$38*Parameters!E$25*'6states'!I55/('6states'!F55+'6states'!I55))-EXP(-Parameters!B$38*Parameters!E$25))+Parameters!B$37*'6states'!F55/('6states'!F55+'6states'!I55)*EXP(-Parameters!B$38*Parameters!E$25*'6states'!I55/('6states'!F55+'6states'!I55)))</f>
        <v>-0.2775167537392812</v>
      </c>
      <c r="BL55">
        <f>-J55*K55*EXP(-Parameters!B$42*'6states'!A55)*(-Parameters!B$37/Parameters!B$38/Parameters!E$25*(EXP(-Parameters!B$38*Parameters!E$25*'6states'!I55/('6states'!F55+'6states'!I55))-EXP(-Parameters!B$38*Parameters!E$25)) + Parameters!B$37*'6states'!F55/('6states'!F55+'6states'!I55)*EXP(-Parameters!B$38*Parameters!E$25*'6states'!I55/('6states'!F55+'6states'!I55)))</f>
        <v>-65.237914667764628</v>
      </c>
      <c r="BM55" s="7">
        <f t="shared" si="59"/>
        <v>5.8648092863632664E-2</v>
      </c>
      <c r="BS55">
        <f>EXP(-Parameters!$B$56*A55)*BF55*BL55</f>
        <v>2.5265605450177806E-3</v>
      </c>
      <c r="BT55">
        <f>-EXP((Parameters!$B$56)*F55)*SUM(BS55:BS63)</f>
        <v>-2.5463828792996043E-3</v>
      </c>
      <c r="BU55">
        <f>X55^-Parameters!B$52/(1-2*Parameters!B$5*'6states'!D55/'6states'!G55)</f>
        <v>1.1418572365479289</v>
      </c>
      <c r="BV55">
        <f t="shared" si="61"/>
        <v>1.006206497747234</v>
      </c>
      <c r="BW55">
        <f>$X55^-Parameters!$B$52/(1-2*Parameters!$B$5*'6states'!$E55/'6states'!$H55)</f>
        <v>1.107385109375975</v>
      </c>
      <c r="BX55">
        <f t="shared" si="62"/>
        <v>1.0085871884909037</v>
      </c>
      <c r="BY55" s="7">
        <f>($X55^-Parameters!$B$52*(1/(1+EXP(-C55)) + IF(C55&lt;0,2*Parameters!$B$6*C55/F55,0)) + BQ55*(1/(1+EXP((C55-Parameters!$B$22)*Parameters!$B$21))))/(1-IF(C55&gt;0,2*Parameters!$B$5*C55/F55,0))</f>
        <v>0.51915157539801216</v>
      </c>
      <c r="BZ55">
        <f t="shared" si="63"/>
        <v>1.0070058534401802</v>
      </c>
      <c r="CA55" s="7">
        <f t="shared" si="64"/>
        <v>3.6117961360918605E-3</v>
      </c>
      <c r="CB55">
        <f>(1/$T55-1/Parameters!$B$13) * LN(Parameters!$B$18) / LN(P55)</f>
        <v>0.2309392328182735</v>
      </c>
      <c r="CC55">
        <f>(Parameters!$B$18*'6states'!T55^+Parameters!$B$19*Parameters!$B$25^'6states'!T55)^((1-'6states'!T55)/'6states'!T55)*Parameters!$B$18*Parameters!$B$26^('6states'!T55-1)</f>
        <v>0.29191118662561971</v>
      </c>
      <c r="CD55">
        <f t="shared" si="65"/>
        <v>0.22890745614826025</v>
      </c>
      <c r="CE55">
        <f t="shared" si="66"/>
        <v>0.14792001556020451</v>
      </c>
      <c r="CF55">
        <f t="shared" si="67"/>
        <v>0.18318072643873984</v>
      </c>
    </row>
    <row r="56" spans="1:84" x14ac:dyDescent="0.25">
      <c r="A56">
        <f>A55+Parameters!$B$65</f>
        <v>52</v>
      </c>
      <c r="B56">
        <v>2077</v>
      </c>
      <c r="C56" s="74">
        <v>-2.6009598604790902E-4</v>
      </c>
      <c r="D56" s="69">
        <v>8.6566161621052407E-2</v>
      </c>
      <c r="E56" s="75">
        <v>0.21514298557783801</v>
      </c>
      <c r="F56" s="7">
        <f>MAX((1-Parameters!$B$4)^Parameters!B$65*F55 + C55*Parameters!B$65 - IF(C55&gt;0,Parameters!$B$5,0)*C55^2/F55*Parameters!B$65, 0.0001)</f>
        <v>9.7398742917665357E-2</v>
      </c>
      <c r="G56" s="7">
        <f>(1-Parameters!$B$4)^Parameters!B$65*G55+D55*Parameters!B$65-Parameters!$B$5*D55^2/G55*Parameters!B$65</f>
        <v>1.0784591455432397</v>
      </c>
      <c r="H56" s="7">
        <f>(1-Parameters!$B$4)^Parameters!B$65*H55+E55*Parameters!B$65-Parameters!$B$5*E55^2/H55*Parameters!B$65</f>
        <v>3.3002628057946195</v>
      </c>
      <c r="I56" s="9">
        <f>I55 *(1-Parameters!$B$4)-C55*(C55&lt;0)*Parameters!B$65</f>
        <v>5.8495196658335472E-3</v>
      </c>
      <c r="J56" s="23">
        <f>J55*(1+Parameters!$B$51)^Parameters!B$65</f>
        <v>9.4860844575156538</v>
      </c>
      <c r="K56" s="23">
        <f>K55*(1+Parameters!$B$53)^Parameters!B$65</f>
        <v>25.350216910257267</v>
      </c>
      <c r="L56" s="23">
        <f>J56*K56*EXP(-Parameters!$B$42*'6states'!A56)*(Parameters!$B$37/Parameters!$B$38*('6states'!F56+'6states'!I56)/Parameters!$E$25*(EXP(-Parameters!$B$38*Parameters!$E$25*'6states'!I56/('6states'!F56+'6states'!I56))-EXP(-Parameters!$B$38*Parameters!$E$25))  +  Parameters!$B$39*'6states'!F56)</f>
        <v>10.870039078672768</v>
      </c>
      <c r="M56" s="8">
        <f>M55+L56*Parameters!B$65</f>
        <v>3345.9358335163142</v>
      </c>
      <c r="N56" s="7">
        <f>M56*Parameters!$B$45</f>
        <v>2.0075615001097882</v>
      </c>
      <c r="O56" s="9">
        <f>EXP(-Parameters!$B$46/2*N56^2)</f>
        <v>0.96030479806656766</v>
      </c>
      <c r="P56" s="8">
        <f>MAX((Parameters!$B$62 + Parameters!$B$31*'6states'!A56 - '6states'!M56 + Parameters!$B$47/Parameters!$B$45)/Parameters!B$62,1)</f>
        <v>35.40928332967372</v>
      </c>
      <c r="Q56" s="7">
        <f>Parameters!B$61*EXP(-Parameters!B$60*A56)</f>
        <v>0.12280627311690613</v>
      </c>
      <c r="R56" s="7">
        <f>(1-Parameters!B$61)*P56^-Parameters!B$63</f>
        <v>0.34999213953191116</v>
      </c>
      <c r="S56" s="7">
        <f>Parameters!B$61*EXP(-Parameters!B$60*A56)+(1-Parameters!B$61)*P56^-Parameters!B$63</f>
        <v>0.47279841264881728</v>
      </c>
      <c r="T56" s="7">
        <f>1-S56/Parameters!$B$12</f>
        <v>0.76360079367559131</v>
      </c>
      <c r="U56" s="7">
        <f t="shared" si="0"/>
        <v>4.2301326453173793</v>
      </c>
      <c r="V56" s="7">
        <f>(Parameters!$B$19*(F56+Parameters!$B$20)^T56+Parameters!$B$18*G56^T56)^(1/T56)</f>
        <v>0.34998327713497124</v>
      </c>
      <c r="W56" s="7">
        <f>(Parameters!$B$10*H56^Parameters!$B$9+Parameters!$B$11*V56^Parameters!$B$9)^(Parameters!$B$7/Parameters!$B$9)*O56</f>
        <v>1.3366846698000252</v>
      </c>
      <c r="X56" s="7">
        <f>W56 - D56 - E56 - LN(1+EXP(Parameters!$B$21*C56))/Parameters!$B$21 - IF(C56&gt;0, 0,Parameters!$B$6*C56^2/F56)</f>
        <v>1.0327890709301064</v>
      </c>
      <c r="Y56" s="7">
        <f>EXP(-Parameters!$B$55*A56)</f>
        <v>0.45602848696706794</v>
      </c>
      <c r="Z56" s="7">
        <f>IF(X56&gt;0,X56^(1-Parameters!$B$52)/(1-Parameters!$B$52)*Y56*Parameters!$B$65,-10+X56*1000)</f>
        <v>-1.288308454114701</v>
      </c>
      <c r="AB56" s="9"/>
      <c r="AC56">
        <f t="shared" si="6"/>
        <v>-6.2546399820579815E-2</v>
      </c>
      <c r="AD56">
        <f t="shared" si="7"/>
        <v>20.816937000657735</v>
      </c>
      <c r="AE56" s="23">
        <f t="shared" si="8"/>
        <v>1.4066591389464111</v>
      </c>
      <c r="AF56" s="23">
        <f t="shared" si="9"/>
        <v>23.421894390281146</v>
      </c>
      <c r="AG56" s="23">
        <f t="shared" si="10"/>
        <v>259.34170662242951</v>
      </c>
      <c r="AH56" s="23">
        <f t="shared" si="11"/>
        <v>84.161983100225854</v>
      </c>
      <c r="AI56" s="23">
        <f t="shared" si="12"/>
        <v>207.12904795274591</v>
      </c>
      <c r="AJ56" s="23">
        <f t="shared" si="13"/>
        <v>321.43830845568021</v>
      </c>
      <c r="AK56" s="23">
        <f t="shared" si="14"/>
        <v>248.35922746159164</v>
      </c>
      <c r="AL56" s="9">
        <f t="shared" si="23"/>
        <v>2.2282659860473508E-2</v>
      </c>
      <c r="AM56" s="9">
        <f t="shared" si="24"/>
        <v>2.5557817520454051E-2</v>
      </c>
      <c r="AN56" s="9">
        <f t="shared" ref="AN56:AO56" si="87">AVERAGE(AL54:AL58)</f>
        <v>2.1892053095971066E-2</v>
      </c>
      <c r="AO56" s="9">
        <f t="shared" si="87"/>
        <v>2.1677423334504554E-2</v>
      </c>
      <c r="AP56" s="23"/>
      <c r="AQ56" s="8">
        <f t="shared" si="1"/>
        <v>321.43830845568021</v>
      </c>
      <c r="AR56" s="32">
        <f>Parameters!$B$7*W56*(W56/O56)^(-Parameters!$B$9/Parameters!$B$7)*Parameters!$B$11*(V56)^(Parameters!$B$9-T56)*((1-2*Parameters!$B$5*C56/F56)*Parameters!$B$19*(F56+Parameters!$B$20)^(T56-1)-(1-2*Parameters!$B$5*D56/G56)*(Parameters!$B$18)*(G56)^(T56-1))</f>
        <v>0.25676805733702762</v>
      </c>
      <c r="AS56" s="32">
        <f>((C57-C55)/2-(F57-F55)/F56/2*C56)/(F56/2/Parameters!$B$5-C56)-((D57-D55)/D56-(G57-G55)/G56)/(G56/2/Parameters!$B$5/D56-1)</f>
        <v>-3.4055463581751891E-2</v>
      </c>
      <c r="AT56" s="32">
        <f>+Parameters!$B$5*C56^2/F56^2-Parameters!$B$5*D56^2/G56^2</f>
        <v>-6.4358806356817526E-3</v>
      </c>
      <c r="AU56" s="30">
        <f>EXP(-Parameters!$B$42*'6states'!A56)*(Parameters!$B$37*EXP(-Parameters!$B$38*Parameters!$E$25*'6states'!I56/('6states'!F56+'6states'!I56))*(1/Parameters!$B$38/Parameters!$E$25+'6states'!I56/('6states'!F56+'6states'!I56))-Parameters!$B$37/Parameters!$B$38/Parameters!$E$25*EXP(-Parameters!$B$38*Parameters!$E$25)+Parameters!$B$39)</f>
        <v>0.48209931181173576</v>
      </c>
      <c r="AV56" s="30">
        <f>J56*K56*EXP(-Parameters!$B$42*'6states'!A56)*(Parameters!$B$37*EXP(-Parameters!$B$38*Parameters!$E$25*'6states'!I56/('6states'!F56+'6states'!I56))*(1/Parameters!$B$38/Parameters!$E$25+'6states'!I56/('6states'!F56+'6states'!I56))-Parameters!$B$37/Parameters!$B$38/Parameters!$E$25*EXP(-Parameters!$B$38*Parameters!$E$25)+Parameters!$B$39)</f>
        <v>115.93249387650675</v>
      </c>
      <c r="AW56" s="8">
        <f>1000*(AR56+AS56+AT56)/(EXP(-Parameters!$B$42*A56)*((C56&lt;0)*Parameters!$B$37*EXP(-Parameters!$B$38*AF56)+(C56&gt;=0)*Parameters!$B$41))</f>
        <v>1547107017.4350045</v>
      </c>
      <c r="AX56" s="13">
        <f>1-W56/'6states,ExoDamages'!T56</f>
        <v>9.0083059173930224E-2</v>
      </c>
      <c r="AY56" s="21">
        <f>-Y56*W56*X56^(-Parameters!B$52)*Parameters!B$46*Parameters!B$45*N56</f>
        <v>-1.4129324551135957E-5</v>
      </c>
      <c r="AZ56" s="7">
        <f>1000*EXP(-(Parameters!$B$54)*'6states'!A56)*AQ56*Parameters!B$46*Parameters!B$45*N56</f>
        <v>1.2544100125390576</v>
      </c>
      <c r="BA56" s="7">
        <f>SUM(AZ56:AZ$204)*EXP(Parameters!$B$54*A56)</f>
        <v>614.52936650894321</v>
      </c>
      <c r="BB56" s="13">
        <f t="shared" si="77"/>
        <v>0.22551994350166429</v>
      </c>
      <c r="BF56" s="5"/>
      <c r="BG56" s="5"/>
      <c r="BH56" s="5"/>
      <c r="BK56">
        <f>-EXP(-Parameters!B$42*'6states'!A56)*(-Parameters!B$37/Parameters!B$38/Parameters!E$25*(EXP(-Parameters!B$38*Parameters!E$25*'6states'!I56/('6states'!F56+'6states'!I56))-EXP(-Parameters!B$38*Parameters!E$25))+Parameters!B$37*'6states'!F56/('6states'!F56+'6states'!I56)*EXP(-Parameters!B$38*Parameters!E$25*'6states'!I56/('6states'!F56+'6states'!I56)))</f>
        <v>-0.29974574261447234</v>
      </c>
      <c r="BL56">
        <f>-J56*K56*EXP(-Parameters!B$42*'6states'!A56)*(-Parameters!B$37/Parameters!B$38/Parameters!E$25*(EXP(-Parameters!B$38*Parameters!E$25*'6states'!I56/('6states'!F56+'6states'!I56))-EXP(-Parameters!B$38*Parameters!E$25)) + Parameters!B$37*'6states'!F56/('6states'!F56+'6states'!I56)*EXP(-Parameters!B$38*Parameters!E$25*'6states'!I56/('6states'!F56+'6states'!I56)))</f>
        <v>-72.081147221657076</v>
      </c>
      <c r="BM56" s="7">
        <f t="shared" si="59"/>
        <v>5.6654896842481248E-2</v>
      </c>
      <c r="BS56">
        <f>EXP(-Parameters!$B$56*A56)*BF56*BL56</f>
        <v>0</v>
      </c>
      <c r="BT56">
        <f>-EXP((Parameters!$B$56)*F56)*SUM(BS56:BS64)</f>
        <v>0</v>
      </c>
      <c r="BU56">
        <f>X56^-Parameters!B$52/(1-2*Parameters!B$5*'6states'!D56/'6states'!G56)</f>
        <v>1.1404666892649213</v>
      </c>
      <c r="BV56">
        <f t="shared" si="61"/>
        <v>0.99878220565715248</v>
      </c>
      <c r="BW56">
        <f>$X56^-Parameters!$B$52/(1-2*Parameters!$B$5*'6states'!$E56/'6states'!$H56)</f>
        <v>1.1009166205770131</v>
      </c>
      <c r="BX56">
        <f t="shared" si="62"/>
        <v>0.9941587720981665</v>
      </c>
      <c r="BY56" s="7">
        <f>($X56^-Parameters!$B$52*(1/(1+EXP(-C56)) + IF(C56&lt;0,2*Parameters!$B$6*C56/F56,0)) + BQ56*(1/(1+EXP((C56-Parameters!$B$22)*Parameters!$B$21))))/(1-IF(C56&gt;0,2*Parameters!$B$5*C56/F56,0))</f>
        <v>0.45306157920079293</v>
      </c>
      <c r="BZ56">
        <f t="shared" si="63"/>
        <v>0.8726961463103512</v>
      </c>
      <c r="CA56" s="7">
        <f t="shared" si="64"/>
        <v>-6.6089996197219225E-2</v>
      </c>
      <c r="CB56">
        <f>(1/$T56-1/Parameters!$B$13) * LN(Parameters!$B$18) / LN(P56)</f>
        <v>0.23058117719075177</v>
      </c>
      <c r="CC56">
        <f>(Parameters!$B$18*'6states'!T56^+Parameters!$B$19*Parameters!$B$25^'6states'!T56)^((1-'6states'!T56)/'6states'!T56)*Parameters!$B$18*Parameters!$B$26^('6states'!T56-1)</f>
        <v>0.29253346774416256</v>
      </c>
      <c r="CD56">
        <f t="shared" si="65"/>
        <v>0.22795147816331957</v>
      </c>
      <c r="CE56">
        <f t="shared" si="66"/>
        <v>0.14770851563285836</v>
      </c>
      <c r="CF56">
        <f t="shared" si="67"/>
        <v>0.18353297108595967</v>
      </c>
    </row>
    <row r="57" spans="1:84" x14ac:dyDescent="0.25">
      <c r="A57">
        <f>A56+Parameters!$B$65</f>
        <v>53</v>
      </c>
      <c r="B57">
        <v>2078</v>
      </c>
      <c r="C57" s="74">
        <v>5.1873233823673703E-5</v>
      </c>
      <c r="D57" s="69">
        <v>8.50354201337222E-2</v>
      </c>
      <c r="E57" s="75">
        <v>0.220716603946883</v>
      </c>
      <c r="F57" s="7">
        <f>MAX((1-Parameters!$B$4)^Parameters!B$65*F56 + C56*Parameters!B$65 - IF(C56&gt;0,Parameters!$B$5,0)*C56^2/F56*Parameters!B$65, 0.0001)</f>
        <v>9.1012266002096304E-2</v>
      </c>
      <c r="G57" s="7">
        <f>(1-Parameters!$B$4)^Parameters!B$65*G56+D56*Parameters!B$65-Parameters!$B$5*D56^2/G56*Parameters!B$65</f>
        <v>1.0902417019063619</v>
      </c>
      <c r="H57" s="7">
        <f>(1-Parameters!$B$4)^Parameters!B$65*H56+E56*Parameters!B$65-Parameters!$B$5*E56^2/H56*Parameters!B$65</f>
        <v>3.293794164413212</v>
      </c>
      <c r="I57" s="9">
        <f>I56 *(1-Parameters!$B$4)-C56*(C56&lt;0)*Parameters!B$65</f>
        <v>5.7416808649005269E-3</v>
      </c>
      <c r="J57" s="23">
        <f>J56*(1+Parameters!$B$51)^Parameters!B$65</f>
        <v>9.5135941024424486</v>
      </c>
      <c r="K57" s="23">
        <f>K56*(1+Parameters!$B$53)^Parameters!B$65</f>
        <v>25.857221248462412</v>
      </c>
      <c r="L57" s="23">
        <f>J57*K57*EXP(-Parameters!$B$42*'6states'!A57)*(Parameters!$B$37/Parameters!$B$38*('6states'!F57+'6states'!I57)/Parameters!$E$25*(EXP(-Parameters!$B$38*Parameters!$E$25*'6states'!I57/('6states'!F57+'6states'!I57))-EXP(-Parameters!$B$38*Parameters!$E$25))  +  Parameters!$B$39*'6states'!F57)</f>
        <v>10.268099786290712</v>
      </c>
      <c r="M57" s="8">
        <f>M56+L57*Parameters!B$65</f>
        <v>3356.203933302605</v>
      </c>
      <c r="N57" s="7">
        <f>M57*Parameters!$B$45</f>
        <v>2.0137223599815628</v>
      </c>
      <c r="O57" s="9">
        <f>EXP(-Parameters!$B$46/2*N57^2)</f>
        <v>0.96006572692402747</v>
      </c>
      <c r="P57" s="8">
        <f>MAX((Parameters!$B$62 + Parameters!$B$31*'6states'!A57 - '6states'!M57 + Parameters!$B$47/Parameters!$B$45)/Parameters!B$62,1)</f>
        <v>36.267921333947903</v>
      </c>
      <c r="Q57" s="7">
        <f>Parameters!B$61*EXP(-Parameters!B$60*A57)</f>
        <v>0.11953486646804852</v>
      </c>
      <c r="R57" s="7">
        <f>(1-Parameters!B$61)*P57^-Parameters!B$63</f>
        <v>0.34915457565962021</v>
      </c>
      <c r="S57" s="7">
        <f>Parameters!B$61*EXP(-Parameters!B$60*A57)+(1-Parameters!B$61)*P57^-Parameters!B$63</f>
        <v>0.46868944212766872</v>
      </c>
      <c r="T57" s="7">
        <f>1-S57/Parameters!$B$12</f>
        <v>0.7656552789361657</v>
      </c>
      <c r="U57" s="7">
        <f t="shared" si="0"/>
        <v>4.2672179490981792</v>
      </c>
      <c r="V57" s="7">
        <f>(Parameters!$B$19*(F57+Parameters!$B$20)^T57+Parameters!$B$18*G57^T57)^(1/T57)</f>
        <v>0.34727247365749969</v>
      </c>
      <c r="W57" s="7">
        <f>(Parameters!$B$10*H57^Parameters!$B$9+Parameters!$B$11*V57^Parameters!$B$9)^(Parameters!$B$7/Parameters!$B$9)*O57</f>
        <v>1.3348447885268715</v>
      </c>
      <c r="X57" s="7">
        <f>W57 - D57 - E57 - LN(1+EXP(Parameters!$B$21*C57))/Parameters!$B$21 - IF(C57&gt;0, 0,Parameters!$B$6*C57^2/F57)</f>
        <v>1.0267562363222915</v>
      </c>
      <c r="Y57" s="7">
        <f>EXP(-Parameters!$B$55*A57)</f>
        <v>0.44919418564576791</v>
      </c>
      <c r="Z57" s="7">
        <f>IF(X57&gt;0,X57^(1-Parameters!$B$52)/(1-Parameters!$B$52)*Y57*Parameters!$B$65,-10+X57*1000)</f>
        <v>-1.2716058274447715</v>
      </c>
      <c r="AB57" s="9"/>
      <c r="AC57">
        <f t="shared" si="6"/>
        <v>1.2760561734713674E-2</v>
      </c>
      <c r="AD57">
        <f t="shared" si="7"/>
        <v>20.918297323473645</v>
      </c>
      <c r="AE57" s="23">
        <f t="shared" si="8"/>
        <v>1.4124254020220739</v>
      </c>
      <c r="AF57" s="23">
        <f t="shared" si="9"/>
        <v>22.38857216582306</v>
      </c>
      <c r="AG57" s="23">
        <f t="shared" si="10"/>
        <v>268.19412474312111</v>
      </c>
      <c r="AH57" s="23">
        <f t="shared" si="11"/>
        <v>85.427329515185761</v>
      </c>
      <c r="AI57" s="23">
        <f t="shared" si="12"/>
        <v>210.24316181516465</v>
      </c>
      <c r="AJ57" s="23">
        <f t="shared" si="13"/>
        <v>328.36528734949121</v>
      </c>
      <c r="AK57" s="23">
        <f t="shared" si="14"/>
        <v>252.57701080732369</v>
      </c>
      <c r="AL57" s="9">
        <f t="shared" si="23"/>
        <v>2.1321030987578204E-2</v>
      </c>
      <c r="AM57" s="9">
        <f t="shared" si="24"/>
        <v>1.6839999577791254E-2</v>
      </c>
      <c r="AN57" s="9">
        <f t="shared" ref="AN57:AO57" si="88">AVERAGE(AL55:AL59)</f>
        <v>2.1923120670473573E-2</v>
      </c>
      <c r="AO57" s="9">
        <f t="shared" si="88"/>
        <v>2.1228938321644721E-2</v>
      </c>
      <c r="AP57" s="23"/>
      <c r="AQ57" s="8">
        <f t="shared" si="1"/>
        <v>328.36528734949121</v>
      </c>
      <c r="AR57" s="32">
        <f>Parameters!$B$7*W57*(W57/O57)^(-Parameters!$B$9/Parameters!$B$7)*Parameters!$B$11*(V57)^(Parameters!$B$9-T57)*((1-2*Parameters!$B$5*C57/F57)*Parameters!$B$19*(F57+Parameters!$B$20)^(T57-1)-(1-2*Parameters!$B$5*D57/G57)*(Parameters!$B$18)*(G57)^(T57-1))</f>
        <v>0.26358132707254911</v>
      </c>
      <c r="AS57" s="32">
        <f>((C58-C56)/2-(F58-F56)/F57/2*C57)/(F57/2/Parameters!$B$5-C57)-((D58-D56)/D57-(G58-G56)/G57)/(G57/2/Parameters!$B$5/D57-1)</f>
        <v>4.1474610140761682E-2</v>
      </c>
      <c r="AT57" s="32">
        <f>+Parameters!$B$5*C57^2/F57^2-Parameters!$B$5*D57^2/G57^2</f>
        <v>-6.0831839925581015E-3</v>
      </c>
      <c r="AU57" s="30">
        <f>EXP(-Parameters!$B$42*'6states'!A57)*(Parameters!$B$37*EXP(-Parameters!$B$38*Parameters!$E$25*'6states'!I57/('6states'!F57+'6states'!I57))*(1/Parameters!$B$38/Parameters!$E$25+'6states'!I57/('6states'!F57+'6states'!I57))-Parameters!$B$37/Parameters!$B$38/Parameters!$E$25*EXP(-Parameters!$B$38*Parameters!$E$25)+Parameters!$B$39)</f>
        <v>0.47527916667001874</v>
      </c>
      <c r="AV57" s="30">
        <f>J57*K57*EXP(-Parameters!$B$42*'6states'!A57)*(Parameters!$B$37*EXP(-Parameters!$B$38*Parameters!$E$25*'6states'!I57/('6states'!F57+'6states'!I57))*(1/Parameters!$B$38/Parameters!$E$25+'6states'!I57/('6states'!F57+'6states'!I57))-Parameters!$B$37/Parameters!$B$38/Parameters!$E$25*EXP(-Parameters!$B$38*Parameters!$E$25)+Parameters!$B$39)</f>
        <v>116.91634973311034</v>
      </c>
      <c r="AW57" s="8">
        <f>1000*(AR57+AS57+AT57)/(EXP(-Parameters!$B$42*A57)*((C57&lt;0)*Parameters!$B$37*EXP(-Parameters!$B$38*AF57)+(C57&gt;=0)*Parameters!$B$41))</f>
        <v>557.75675982163295</v>
      </c>
      <c r="AX57" s="13">
        <f>1-W57/'6states,ExoDamages'!T57</f>
        <v>9.1068642587899706E-2</v>
      </c>
      <c r="AY57" s="21">
        <f>-Y57*W57*X57^(-Parameters!B$52)*Parameters!B$46*Parameters!B$45*N57</f>
        <v>-1.405176489950398E-5</v>
      </c>
      <c r="AZ57" s="7">
        <f>1000*EXP(-(Parameters!$B$54)*'6states'!A57)*AQ57*Parameters!B$46*Parameters!B$45*N57</f>
        <v>1.2410409605126393</v>
      </c>
      <c r="BA57" s="7">
        <f>SUM(AZ57:AZ$204)*EXP(Parameters!$B$54*A57)</f>
        <v>628.42195116080825</v>
      </c>
      <c r="BB57" s="13">
        <f t="shared" si="77"/>
        <v>0.22909322487741263</v>
      </c>
      <c r="BF57" s="5"/>
      <c r="BG57" s="5"/>
      <c r="BH57" s="5"/>
      <c r="BK57">
        <f>-EXP(-Parameters!B$42*'6states'!A57)*(-Parameters!B$37/Parameters!B$38/Parameters!E$25*(EXP(-Parameters!B$38*Parameters!E$25*'6states'!I57/('6states'!F57+'6states'!I57))-EXP(-Parameters!B$38*Parameters!E$25))+Parameters!B$37*'6states'!F57/('6states'!F57+'6states'!I57)*EXP(-Parameters!B$38*Parameters!E$25*'6states'!I57/('6states'!F57+'6states'!I57)))</f>
        <v>-0.26388801495614927</v>
      </c>
      <c r="BL57">
        <f>-J57*K57*EXP(-Parameters!B$42*'6states'!A57)*(-Parameters!B$37/Parameters!B$38/Parameters!E$25*(EXP(-Parameters!B$38*Parameters!E$25*'6states'!I57/('6states'!F57+'6states'!I57))-EXP(-Parameters!B$38*Parameters!E$25)) + Parameters!B$37*'6states'!F57/('6states'!F57+'6states'!I57)*EXP(-Parameters!B$38*Parameters!E$25*'6states'!I57/('6states'!F57+'6states'!I57)))</f>
        <v>-64.915160626870446</v>
      </c>
      <c r="BM57" s="7">
        <f t="shared" si="59"/>
        <v>5.9343117783022842E-2</v>
      </c>
      <c r="BS57">
        <f>EXP(-Parameters!$B$56*A57)*BF57*BL57</f>
        <v>0</v>
      </c>
      <c r="BT57">
        <f>-EXP((Parameters!$B$56)*F57)*SUM(BS57:BS65)</f>
        <v>0</v>
      </c>
      <c r="BU57">
        <f>X57^-Parameters!B$52/(1-2*Parameters!B$5*'6states'!D57/'6states'!G57)</f>
        <v>1.1433347186605785</v>
      </c>
      <c r="BV57">
        <f t="shared" si="61"/>
        <v>1.0025147857650325</v>
      </c>
      <c r="BW57">
        <f>$X57^-Parameters!$B$52/(1-2*Parameters!$B$5*'6states'!$E57/'6states'!$H57)</f>
        <v>1.1143228881655507</v>
      </c>
      <c r="BX57">
        <f t="shared" si="62"/>
        <v>1.0121773686925637</v>
      </c>
      <c r="BY57" s="7">
        <f>($X57^-Parameters!$B$52*(1/(1+EXP(-C57)) + IF(C57&lt;0,2*Parameters!$B$6*C57/F57,0)) + BQ57*(1/(1+EXP((C57-Parameters!$B$22)*Parameters!$B$21))))/(1-IF(C57&gt;0,2*Parameters!$B$5*C57/F57,0))</f>
        <v>0.48305400691125805</v>
      </c>
      <c r="BZ57">
        <f t="shared" si="63"/>
        <v>1.0661994507752615</v>
      </c>
      <c r="CA57" s="7">
        <f t="shared" si="64"/>
        <v>2.9992427710465119E-2</v>
      </c>
      <c r="CB57">
        <f>(1/$T57-1/Parameters!$B$13) * LN(Parameters!$B$18) / LN(P57)</f>
        <v>0.23020844230811288</v>
      </c>
      <c r="CC57">
        <f>(Parameters!$B$18*'6states'!T57^+Parameters!$B$19*Parameters!$B$25^'6states'!T57)^((1-'6states'!T57)/'6states'!T57)*Parameters!$B$18*Parameters!$B$26^('6states'!T57-1)</f>
        <v>0.29313011265563277</v>
      </c>
      <c r="CD57">
        <f t="shared" si="65"/>
        <v>0.22699792997729501</v>
      </c>
      <c r="CE57">
        <f t="shared" si="66"/>
        <v>0.14748828904394429</v>
      </c>
      <c r="CF57">
        <f t="shared" si="67"/>
        <v>0.18387056161382875</v>
      </c>
    </row>
    <row r="58" spans="1:84" x14ac:dyDescent="0.25">
      <c r="A58">
        <f>A57+Parameters!$B$65</f>
        <v>54</v>
      </c>
      <c r="B58">
        <v>2079</v>
      </c>
      <c r="C58" s="74">
        <v>3.3803864247774298E-3</v>
      </c>
      <c r="D58" s="69">
        <v>8.7628916932439196E-2</v>
      </c>
      <c r="E58" s="75">
        <v>0.21277375183946901</v>
      </c>
      <c r="F58" s="7">
        <f>MAX((1-Parameters!$B$4)^Parameters!B$65*F57 + C57*Parameters!B$65 - IF(C57&gt;0,Parameters!$B$5,0)*C57^2/F57*Parameters!B$65, 0.0001)</f>
        <v>8.5339438138786639E-2</v>
      </c>
      <c r="G58" s="7">
        <f>(1-Parameters!$B$4)^Parameters!B$65*G57+D57*Parameters!B$65-Parameters!$B$5*D57^2/G57*Parameters!B$65</f>
        <v>1.1000684239529042</v>
      </c>
      <c r="H58" s="7">
        <f>(1-Parameters!$B$4)^Parameters!B$65*H57+E57*Parameters!B$65-Parameters!$B$5*E57^2/H57*Parameters!B$65</f>
        <v>3.2925409321750641</v>
      </c>
      <c r="I58" s="9">
        <f>I57 *(1-Parameters!$B$4)-C57*(C57&lt;0)*Parameters!B$65</f>
        <v>5.3805291384982842E-3</v>
      </c>
      <c r="J58" s="23">
        <f>J57*(1+Parameters!$B$51)^Parameters!B$65</f>
        <v>9.5411835253395303</v>
      </c>
      <c r="K58" s="23">
        <f>K57*(1+Parameters!$B$53)^Parameters!B$65</f>
        <v>26.374365673431662</v>
      </c>
      <c r="L58" s="23">
        <f>J58*K58*EXP(-Parameters!$B$42*'6states'!A58)*(Parameters!$B$37/Parameters!$B$38*('6states'!F58+'6states'!I58)/Parameters!$E$25*(EXP(-Parameters!$B$38*Parameters!$E$25*'6states'!I58/('6states'!F58+'6states'!I58))-EXP(-Parameters!$B$38*Parameters!$E$25))  +  Parameters!$B$39*'6states'!F58)</f>
        <v>9.7513416880359145</v>
      </c>
      <c r="M58" s="8">
        <f>M57+L58*Parameters!B$65</f>
        <v>3365.9552749906411</v>
      </c>
      <c r="N58" s="7">
        <f>M58*Parameters!$B$45</f>
        <v>2.0195731649943847</v>
      </c>
      <c r="O58" s="9">
        <f>EXP(-Parameters!$B$46/2*N58^2)</f>
        <v>0.95983806458178611</v>
      </c>
      <c r="P58" s="8">
        <f>MAX((Parameters!$B$62 + Parameters!$B$31*'6states'!A58 - '6states'!M58 + Parameters!$B$47/Parameters!$B$45)/Parameters!B$62,1)</f>
        <v>37.136894500187182</v>
      </c>
      <c r="Q58" s="7">
        <f>Parameters!B$61*EXP(-Parameters!B$60*A58)</f>
        <v>0.11635060603078554</v>
      </c>
      <c r="R58" s="7">
        <f>(1-Parameters!B$61)*P58^-Parameters!B$63</f>
        <v>0.34832884998223429</v>
      </c>
      <c r="S58" s="7">
        <f>Parameters!B$61*EXP(-Parameters!B$60*A58)+(1-Parameters!B$61)*P58^-Parameters!B$63</f>
        <v>0.46467945601301985</v>
      </c>
      <c r="T58" s="7">
        <f>1-S58/Parameters!$B$12</f>
        <v>0.76766027199349007</v>
      </c>
      <c r="U58" s="7">
        <f t="shared" si="0"/>
        <v>4.3040422254948192</v>
      </c>
      <c r="V58" s="7">
        <f>(Parameters!$B$19*(F58+Parameters!$B$20)^T58+Parameters!$B$18*G58^T58)^(1/T58)</f>
        <v>0.34471967228095352</v>
      </c>
      <c r="W58" s="7">
        <f>(Parameters!$B$10*H58^Parameters!$B$9+Parameters!$B$11*V58^Parameters!$B$9)^(Parameters!$B$7/Parameters!$B$9)*O58</f>
        <v>1.3334937624539702</v>
      </c>
      <c r="X58" s="7">
        <f>W58 - D58 - E58 - LN(1+EXP(Parameters!$B$21*C58))/Parameters!$B$21 - IF(C58&gt;0, 0,Parameters!$B$6*C58^2/F58)</f>
        <v>1.0286790910050578</v>
      </c>
      <c r="Y58" s="7">
        <f>EXP(-Parameters!$B$55*A58)</f>
        <v>0.4424623070368317</v>
      </c>
      <c r="Z58" s="7">
        <f>IF(X58&gt;0,X58^(1-Parameters!$B$52)/(1-Parameters!$B$52)*Y58*Parameters!$B$65,-10+X58*1000)</f>
        <v>-1.2517288607696395</v>
      </c>
      <c r="AB58" s="9"/>
      <c r="AC58">
        <f t="shared" si="6"/>
        <v>0.85064944276077781</v>
      </c>
      <c r="AD58">
        <f t="shared" si="7"/>
        <v>22.051174034997445</v>
      </c>
      <c r="AE58" s="23">
        <f t="shared" si="8"/>
        <v>1.3539706821308299</v>
      </c>
      <c r="AF58" s="23">
        <f t="shared" si="9"/>
        <v>21.475043493897722</v>
      </c>
      <c r="AG58" s="23">
        <f t="shared" si="10"/>
        <v>276.82414796582844</v>
      </c>
      <c r="AH58" s="23">
        <f t="shared" si="11"/>
        <v>86.746176409041226</v>
      </c>
      <c r="AI58" s="23">
        <f t="shared" si="12"/>
        <v>213.48894442932203</v>
      </c>
      <c r="AJ58" s="23">
        <f t="shared" si="13"/>
        <v>335.56392181734947</v>
      </c>
      <c r="AK58" s="23">
        <f t="shared" si="14"/>
        <v>258.85954609486117</v>
      </c>
      <c r="AL58" s="9">
        <f t="shared" si="23"/>
        <v>2.1685795645009165E-2</v>
      </c>
      <c r="AM58" s="9">
        <f t="shared" si="24"/>
        <v>2.4569426024689811E-2</v>
      </c>
      <c r="AN58" s="9">
        <f t="shared" ref="AN58:AO58" si="89">AVERAGE(AL56:AL60)</f>
        <v>2.1851472586439335E-2</v>
      </c>
      <c r="AO58" s="9">
        <f t="shared" si="89"/>
        <v>2.1469952309328199E-2</v>
      </c>
      <c r="AP58" s="23"/>
      <c r="AQ58" s="8">
        <f t="shared" si="1"/>
        <v>335.56392181734947</v>
      </c>
      <c r="AR58" s="32">
        <f>Parameters!$B$7*W58*(W58/O58)^(-Parameters!$B$9/Parameters!$B$7)*Parameters!$B$11*(V58)^(Parameters!$B$9-T58)*((1-2*Parameters!$B$5*C58/F58)*Parameters!$B$19*(F58+Parameters!$B$20)^(T58-1)-(1-2*Parameters!$B$5*D58/G58)*(Parameters!$B$18)*(G58)^(T58-1))</f>
        <v>0.24692946476671002</v>
      </c>
      <c r="AS58" s="32">
        <f>((C59-C57)/2-(F59-F57)/F58/2*C58)/(F58/2/Parameters!$B$5-C58)-((D59-D57)/D58-(G59-G57)/G58)/(G58/2/Parameters!$B$5/D58-1)</f>
        <v>3.7272702006107901E-3</v>
      </c>
      <c r="AT58" s="32">
        <f>+Parameters!$B$5*C58^2/F58^2-Parameters!$B$5*D58^2/G58^2</f>
        <v>-4.7763118175714143E-3</v>
      </c>
      <c r="AU58" s="30">
        <f>EXP(-Parameters!$B$42*'6states'!A58)*(Parameters!$B$37*EXP(-Parameters!$B$38*Parameters!$E$25*'6states'!I58/('6states'!F58+'6states'!I58))*(1/Parameters!$B$38/Parameters!$E$25+'6states'!I58/('6states'!F58+'6states'!I58))-Parameters!$B$37/Parameters!$B$38/Parameters!$E$25*EXP(-Parameters!$B$38*Parameters!$E$25)+Parameters!$B$39)</f>
        <v>0.47057448433242982</v>
      </c>
      <c r="AV58" s="30">
        <f>J58*K58*EXP(-Parameters!$B$42*'6states'!A58)*(Parameters!$B$37*EXP(-Parameters!$B$38*Parameters!$E$25*'6states'!I58/('6states'!F58+'6states'!I58))*(1/Parameters!$B$38/Parameters!$E$25+'6states'!I58/('6states'!F58+'6states'!I58))-Parameters!$B$37/Parameters!$B$38/Parameters!$E$25*EXP(-Parameters!$B$38*Parameters!$E$25)+Parameters!$B$39)</f>
        <v>118.4166164970852</v>
      </c>
      <c r="AW58" s="8">
        <f>1000*(AR58+AS58+AT58)/(EXP(-Parameters!$B$42*A58)*((C58&lt;0)*Parameters!$B$37*EXP(-Parameters!$B$38*AF58)+(C58&gt;=0)*Parameters!$B$41))</f>
        <v>463.31901919526155</v>
      </c>
      <c r="AX58" s="13">
        <f>1-W58/'6states,ExoDamages'!T58</f>
        <v>9.1736174866905884E-2</v>
      </c>
      <c r="AY58" s="21">
        <f>-Y58*W58*X58^(-Parameters!B$52)*Parameters!B$46*Parameters!B$45*N58</f>
        <v>-1.383236006748278E-5</v>
      </c>
      <c r="AZ58" s="7">
        <f>1000*EXP(-(Parameters!$B$54)*'6states'!A58)*AQ58*Parameters!B$46*Parameters!B$45*N58</f>
        <v>1.2280623011014469</v>
      </c>
      <c r="BA58" s="7">
        <f>SUM(AZ58:AZ$204)*EXP(Parameters!$B$54*A58)</f>
        <v>642.61185377785102</v>
      </c>
      <c r="BB58" s="13">
        <f t="shared" si="77"/>
        <v>0.22780988089336615</v>
      </c>
      <c r="BF58" s="5"/>
      <c r="BG58" s="5"/>
      <c r="BH58" s="5"/>
      <c r="BK58">
        <f>-EXP(-Parameters!B$42*'6states'!A58)*(-Parameters!B$37/Parameters!B$38/Parameters!E$25*(EXP(-Parameters!B$38*Parameters!E$25*'6states'!I58/('6states'!F58+'6states'!I58))-EXP(-Parameters!B$38*Parameters!E$25))+Parameters!B$37*'6states'!F58/('6states'!F58+'6states'!I58)*EXP(-Parameters!B$38*Parameters!E$25*'6states'!I58/('6states'!F58+'6states'!I58)))</f>
        <v>-0.26164955770237192</v>
      </c>
      <c r="BL58">
        <f>-J58*K58*EXP(-Parameters!B$42*'6states'!A58)*(-Parameters!B$37/Parameters!B$38/Parameters!E$25*(EXP(-Parameters!B$38*Parameters!E$25*'6states'!I58/('6states'!F58+'6states'!I58))-EXP(-Parameters!B$38*Parameters!E$25)) + Parameters!B$37*'6states'!F58/('6states'!F58+'6states'!I58)*EXP(-Parameters!B$38*Parameters!E$25*'6states'!I58/('6states'!F58+'6states'!I58)))</f>
        <v>-65.842191539619961</v>
      </c>
      <c r="BM58" s="7">
        <f t="shared" si="59"/>
        <v>5.9309205018259495E-2</v>
      </c>
      <c r="BS58">
        <f>EXP(-Parameters!$B$56*A58)*BF58*BL58</f>
        <v>0</v>
      </c>
      <c r="BT58">
        <f>-EXP((Parameters!$B$56)*F58)*SUM(BS58:BS66)</f>
        <v>0</v>
      </c>
      <c r="BU58">
        <f>X58^-Parameters!B$52/(1-2*Parameters!B$5*'6states'!D58/'6states'!G58)</f>
        <v>1.1449565949177449</v>
      </c>
      <c r="BV58">
        <f t="shared" si="61"/>
        <v>1.0014185489434506</v>
      </c>
      <c r="BW58">
        <f>$X58^-Parameters!$B$52/(1-2*Parameters!$B$5*'6states'!$E58/'6states'!$H58)</f>
        <v>1.1054181816034687</v>
      </c>
      <c r="BX58">
        <f t="shared" si="62"/>
        <v>0.99200886326875926</v>
      </c>
      <c r="BY58" s="7">
        <f>($X58^-Parameters!$B$52*(1/(1+EXP(-C58)) + IF(C58&lt;0,2*Parameters!$B$6*C58/F58,0)) + BQ58*(1/(1+EXP((C58-Parameters!$B$22)*Parameters!$B$21))))/(1-IF(C58&gt;0,2*Parameters!$B$5*C58/F58,0))</f>
        <v>0.52356508285579195</v>
      </c>
      <c r="BZ58">
        <f t="shared" si="63"/>
        <v>1.0838644858854802</v>
      </c>
      <c r="CA58" s="7">
        <f t="shared" si="64"/>
        <v>4.0511075944533903E-2</v>
      </c>
      <c r="CB58">
        <f>(1/$T58-1/Parameters!$B$13) * LN(Parameters!$B$18) / LN(P58)</f>
        <v>0.22982472428306344</v>
      </c>
      <c r="CC58">
        <f>(Parameters!$B$18*'6states'!T58^+Parameters!$B$19*Parameters!$B$25^'6states'!T58)^((1-'6states'!T58)/'6states'!T58)*Parameters!$B$18*Parameters!$B$26^('6states'!T58-1)</f>
        <v>0.29370207981133184</v>
      </c>
      <c r="CD58">
        <f t="shared" si="65"/>
        <v>0.22605028761546866</v>
      </c>
      <c r="CE58">
        <f t="shared" si="66"/>
        <v>0.14726151373263752</v>
      </c>
      <c r="CF58">
        <f t="shared" si="67"/>
        <v>0.18419405805593569</v>
      </c>
    </row>
    <row r="59" spans="1:84" x14ac:dyDescent="0.25">
      <c r="A59">
        <f>A58+Parameters!$B$65</f>
        <v>55</v>
      </c>
      <c r="B59">
        <v>2080</v>
      </c>
      <c r="C59" s="74">
        <v>2.8035549778396101E-4</v>
      </c>
      <c r="D59" s="69">
        <v>8.8168432694927301E-2</v>
      </c>
      <c r="E59" s="75">
        <v>0.215344912641624</v>
      </c>
      <c r="F59" s="7">
        <f>MAX((1-Parameters!$B$4)^Parameters!B$65*F58 + C58*Parameters!B$65 - IF(C58&gt;0,Parameters!$B$5,0)*C58^2/F58*Parameters!B$65, 0.0001)</f>
        <v>8.3218073182646554E-2</v>
      </c>
      <c r="G59" s="7">
        <f>(1-Parameters!$B$4)^Parameters!B$65*G58+D58*Parameters!B$65-Parameters!$B$5*D58^2/G58*Parameters!B$65</f>
        <v>1.111522719326139</v>
      </c>
      <c r="H59" s="7">
        <f>(1-Parameters!$B$4)^Parameters!B$65*H58+E58*Parameters!B$65-Parameters!$B$5*E58^2/H58*Parameters!B$65</f>
        <v>3.284463789023377</v>
      </c>
      <c r="I59" s="9">
        <f>I58 *(1-Parameters!$B$4)-C58*(C58&lt;0)*Parameters!B$65</f>
        <v>5.042093855686742E-3</v>
      </c>
      <c r="J59" s="23">
        <f>J58*(1+Parameters!$B$51)^Parameters!B$65</f>
        <v>9.5688529575630135</v>
      </c>
      <c r="K59" s="23">
        <f>K58*(1+Parameters!$B$53)^Parameters!B$65</f>
        <v>26.901852986900295</v>
      </c>
      <c r="L59" s="23">
        <f>J59*K59*EXP(-Parameters!$B$42*'6states'!A59)*(Parameters!$B$37/Parameters!$B$38*('6states'!F59+'6states'!I59)/Parameters!$E$25*(EXP(-Parameters!$B$38*Parameters!$E$25*'6states'!I59/('6states'!F59+'6states'!I59))-EXP(-Parameters!$B$38*Parameters!$E$25))  +  Parameters!$B$39*'6states'!F59)</f>
        <v>9.644781843377217</v>
      </c>
      <c r="M59" s="8">
        <f>M58+L59*Parameters!B$65</f>
        <v>3375.6000568340182</v>
      </c>
      <c r="N59" s="7">
        <f>M59*Parameters!$B$45</f>
        <v>2.0253600341004105</v>
      </c>
      <c r="O59" s="9">
        <f>EXP(-Parameters!$B$46/2*N59^2)</f>
        <v>0.9596122936831406</v>
      </c>
      <c r="P59" s="8">
        <f>MAX((Parameters!$B$62 + Parameters!$B$31*'6states'!A59 - '6states'!M59 + Parameters!$B$47/Parameters!$B$45)/Parameters!B$62,1)</f>
        <v>38.007998863319635</v>
      </c>
      <c r="Q59" s="7">
        <f>Parameters!B$61*EXP(-Parameters!B$60*A59)</f>
        <v>0.1132511703382344</v>
      </c>
      <c r="R59" s="7">
        <f>(1-Parameters!B$61)*P59^-Parameters!B$63</f>
        <v>0.34752216078837173</v>
      </c>
      <c r="S59" s="7">
        <f>Parameters!B$61*EXP(-Parameters!B$60*A59)+(1-Parameters!B$61)*P59^-Parameters!B$63</f>
        <v>0.46077333112660612</v>
      </c>
      <c r="T59" s="7">
        <f>1-S59/Parameters!$B$12</f>
        <v>0.76961333443669688</v>
      </c>
      <c r="U59" s="7">
        <f t="shared" si="0"/>
        <v>4.3405289865842125</v>
      </c>
      <c r="V59" s="7">
        <f>(Parameters!$B$19*(F59+Parameters!$B$20)^T59+Parameters!$B$18*G59^T59)^(1/T59)</f>
        <v>0.34585083180417264</v>
      </c>
      <c r="W59" s="7">
        <f>(Parameters!$B$10*H59^Parameters!$B$9+Parameters!$B$11*V59^Parameters!$B$9)^(Parameters!$B$7/Parameters!$B$9)*O59</f>
        <v>1.3329212301705369</v>
      </c>
      <c r="X59" s="7">
        <f>W59 - D59 - E59 - LN(1+EXP(Parameters!$B$21*C59))/Parameters!$B$21 - IF(C59&gt;0, 0,Parameters!$B$6*C59^2/F59)</f>
        <v>1.0269542698813829</v>
      </c>
      <c r="Y59" s="7">
        <f>EXP(-Parameters!$B$55*A59)</f>
        <v>0.43583131617545234</v>
      </c>
      <c r="Z59" s="7">
        <f>IF(X59&gt;0,X59^(1-Parameters!$B$52)/(1-Parameters!$B$52)*Y59*Parameters!$B$65,-10+X59*1000)</f>
        <v>-1.2336941395346563</v>
      </c>
      <c r="AB59" s="9"/>
      <c r="AC59">
        <f t="shared" si="6"/>
        <v>7.2169077340229384E-2</v>
      </c>
      <c r="AD59">
        <f t="shared" si="7"/>
        <v>22.696306968912396</v>
      </c>
      <c r="AE59" s="23">
        <f t="shared" si="8"/>
        <v>1.2979351726790695</v>
      </c>
      <c r="AF59" s="23">
        <f t="shared" si="9"/>
        <v>21.421986039493589</v>
      </c>
      <c r="AG59" s="23">
        <f t="shared" si="10"/>
        <v>286.12804004394815</v>
      </c>
      <c r="AH59" s="23">
        <f t="shared" si="11"/>
        <v>89.028878070697615</v>
      </c>
      <c r="AI59" s="23">
        <f t="shared" si="12"/>
        <v>219.1068470086372</v>
      </c>
      <c r="AJ59" s="23">
        <f t="shared" si="13"/>
        <v>343.12041714530091</v>
      </c>
      <c r="AK59" s="23">
        <f t="shared" si="14"/>
        <v>264.35844031516035</v>
      </c>
      <c r="AL59" s="9">
        <f t="shared" si="23"/>
        <v>2.2268990659466859E-2</v>
      </c>
      <c r="AM59" s="9">
        <f t="shared" si="24"/>
        <v>2.1020289197545061E-2</v>
      </c>
      <c r="AN59" s="9">
        <f t="shared" ref="AN59:AO59" si="90">AVERAGE(AL57:AL61)</f>
        <v>2.1768163633127991E-2</v>
      </c>
      <c r="AO59" s="9">
        <f t="shared" si="90"/>
        <v>2.0561222615354958E-2</v>
      </c>
      <c r="AP59" s="23"/>
      <c r="AQ59" s="8">
        <f t="shared" si="1"/>
        <v>343.12041714530091</v>
      </c>
      <c r="AR59" s="32">
        <f>Parameters!$B$7*W59*(W59/O59)^(-Parameters!$B$9/Parameters!$B$7)*Parameters!$B$11*(V59)^(Parameters!$B$9-T59)*((1-2*Parameters!$B$5*C59/F59)*Parameters!$B$19*(F59+Parameters!$B$20)^(T59-1)-(1-2*Parameters!$B$5*D59/G59)*(Parameters!$B$18)*(G59)^(T59-1))</f>
        <v>0.26786687535542753</v>
      </c>
      <c r="AS59" s="32">
        <f>((C60-C58)/2-(F60-F58)/F59/2*C59)/(F59/2/Parameters!$B$5-C59)-((D60-D58)/D59-(G60-G58)/G59)/(G59/2/Parameters!$B$5/D59-1)</f>
        <v>-3.2254262235837362E-2</v>
      </c>
      <c r="AT59" s="32">
        <f>+Parameters!$B$5*C59^2/F59^2-Parameters!$B$5*D59^2/G59^2</f>
        <v>-6.2806625021196534E-3</v>
      </c>
      <c r="AU59" s="30">
        <f>EXP(-Parameters!$B$42*'6states'!A59)*(Parameters!$B$37*EXP(-Parameters!$B$38*Parameters!$E$25*'6states'!I59/('6states'!F59+'6states'!I59))*(1/Parameters!$B$38/Parameters!$E$25+'6states'!I59/('6states'!F59+'6states'!I59))-Parameters!$B$37/Parameters!$B$38/Parameters!$E$25*EXP(-Parameters!$B$38*Parameters!$E$25)+Parameters!$B$39)</f>
        <v>0.46749256121403954</v>
      </c>
      <c r="AV59" s="30">
        <f>J59*K59*EXP(-Parameters!$B$42*'6states'!A59)*(Parameters!$B$37*EXP(-Parameters!$B$38*Parameters!$E$25*'6states'!I59/('6states'!F59+'6states'!I59))*(1/Parameters!$B$38/Parameters!$E$25+'6states'!I59/('6states'!F59+'6states'!I59))-Parameters!$B$37/Parameters!$B$38/Parameters!$E$25*EXP(-Parameters!$B$38*Parameters!$E$25)+Parameters!$B$39)</f>
        <v>120.34187691313434</v>
      </c>
      <c r="AW59" s="8">
        <f>1000*(AR59+AS59+AT59)/(EXP(-Parameters!$B$42*A59)*((C59&lt;0)*Parameters!$B$37*EXP(-Parameters!$B$38*AF59)+(C59&gt;=0)*Parameters!$B$41))</f>
        <v>436.47933432756741</v>
      </c>
      <c r="AX59" s="13">
        <f>1-W59/'6states,ExoDamages'!T59</f>
        <v>9.1878780590284093E-2</v>
      </c>
      <c r="AY59" s="21">
        <f>-Y59*W59*X59^(-Parameters!B$52)*Parameters!B$46*Parameters!B$45*N59</f>
        <v>-1.3689212654019286E-5</v>
      </c>
      <c r="AZ59" s="7">
        <f>1000*EXP(-(Parameters!$B$54)*'6states'!A59)*AQ59*Parameters!B$46*Parameters!B$45*N59</f>
        <v>1.2158796998905423</v>
      </c>
      <c r="BA59" s="7">
        <f>SUM(AZ59:AZ$204)*EXP(Parameters!$B$54*A59)</f>
        <v>657.10307512590214</v>
      </c>
      <c r="BB59" s="13">
        <f t="shared" si="77"/>
        <v>0.2279157192173068</v>
      </c>
      <c r="BF59" s="5"/>
      <c r="BG59" s="5"/>
      <c r="BH59" s="5"/>
      <c r="BK59">
        <f>-EXP(-Parameters!B$42*'6states'!A59)*(-Parameters!B$37/Parameters!B$38/Parameters!E$25*(EXP(-Parameters!B$38*Parameters!E$25*'6states'!I59/('6states'!F59+'6states'!I59))-EXP(-Parameters!B$38*Parameters!E$25))+Parameters!B$37*'6states'!F59/('6states'!F59+'6states'!I59)*EXP(-Parameters!B$38*Parameters!E$25*'6states'!I59/('6states'!F59+'6states'!I59)))</f>
        <v>-0.2849427955278071</v>
      </c>
      <c r="BL59">
        <f>-J59*K59*EXP(-Parameters!B$42*'6states'!A59)*(-Parameters!B$37/Parameters!B$38/Parameters!E$25*(EXP(-Parameters!B$38*Parameters!E$25*'6states'!I59/('6states'!F59+'6states'!I59))-EXP(-Parameters!B$38*Parameters!E$25)) + Parameters!B$37*'6states'!F59/('6states'!F59+'6states'!I59)*EXP(-Parameters!B$38*Parameters!E$25*'6states'!I59/('6states'!F59+'6states'!I59)))</f>
        <v>-73.349938954412536</v>
      </c>
      <c r="BM59" s="7">
        <f t="shared" si="59"/>
        <v>5.7127626480662018E-2</v>
      </c>
      <c r="BS59">
        <f>EXP(-Parameters!$B$56*A59)*BF59*BL59</f>
        <v>0</v>
      </c>
      <c r="BT59">
        <f>-EXP((Parameters!$B$56)*F59)*SUM(BS59:BS67)</f>
        <v>0</v>
      </c>
      <c r="BU59">
        <f>X59^-Parameters!B$52/(1-2*Parameters!B$5*'6states'!D59/'6states'!G59)</f>
        <v>1.1466382458519628</v>
      </c>
      <c r="BV59">
        <f t="shared" si="61"/>
        <v>1.0014687464500247</v>
      </c>
      <c r="BW59">
        <f>$X59^-Parameters!$B$52/(1-2*Parameters!$B$5*'6states'!$E59/'6states'!$H59)</f>
        <v>1.1103270366647107</v>
      </c>
      <c r="BX59">
        <f t="shared" si="62"/>
        <v>1.0044407222017295</v>
      </c>
      <c r="BY59" s="7">
        <f>($X59^-Parameters!$B$52*(1/(1+EXP(-C59)) + IF(C59&lt;0,2*Parameters!$B$6*C59/F59,0)) + BQ59*(1/(1+EXP((C59-Parameters!$B$22)*Parameters!$B$21))))/(1-IF(C59&gt;0,2*Parameters!$B$5*C59/F59,0))</f>
        <v>0.48570547736256614</v>
      </c>
      <c r="BZ59">
        <f t="shared" si="63"/>
        <v>0.92768882659874841</v>
      </c>
      <c r="CA59" s="7">
        <f t="shared" si="64"/>
        <v>-3.7859605493225812E-2</v>
      </c>
      <c r="CB59">
        <f>(1/$T59-1/Parameters!$B$13) * LN(Parameters!$B$18) / LN(P59)</f>
        <v>0.22944247760719069</v>
      </c>
      <c r="CC59">
        <f>(Parameters!$B$18*'6states'!T59^+Parameters!$B$19*Parameters!$B$25^'6states'!T59)^((1-'6states'!T59)/'6states'!T59)*Parameters!$B$18*Parameters!$B$26^('6states'!T59-1)</f>
        <v>0.29424948205046403</v>
      </c>
      <c r="CD59">
        <f t="shared" si="65"/>
        <v>0.22512141015464254</v>
      </c>
      <c r="CE59">
        <f t="shared" si="66"/>
        <v>0.14703554800326146</v>
      </c>
      <c r="CF59">
        <f t="shared" si="67"/>
        <v>0.18450354084718401</v>
      </c>
    </row>
    <row r="60" spans="1:84" x14ac:dyDescent="0.25">
      <c r="A60">
        <f>A59+Parameters!$B$65</f>
        <v>56</v>
      </c>
      <c r="B60">
        <v>2081</v>
      </c>
      <c r="C60" s="74">
        <v>2.7659133463167401E-4</v>
      </c>
      <c r="D60" s="69">
        <v>8.7089209181178295E-2</v>
      </c>
      <c r="E60" s="75">
        <v>0.21851486546031201</v>
      </c>
      <c r="F60" s="7">
        <f>MAX((1-Parameters!$B$4)^Parameters!B$65*F59 + C59*Parameters!B$65 - IF(C59&gt;0,Parameters!$B$5,0)*C59^2/F59*Parameters!B$65, 0.0001)</f>
        <v>7.8263067380426252E-2</v>
      </c>
      <c r="G60" s="7">
        <f>(1-Parameters!$B$4)^Parameters!B$65*G59+D59*Parameters!B$65-Parameters!$B$5*D59^2/G59*Parameters!B$65</f>
        <v>1.122782658507256</v>
      </c>
      <c r="H60" s="7">
        <f>(1-Parameters!$B$4)^Parameters!B$65*H59+E59*Parameters!B$65-Parameters!$B$5*E59^2/H59*Parameters!B$65</f>
        <v>3.2790969027973373</v>
      </c>
      <c r="I60" s="9">
        <f>I59 *(1-Parameters!$B$4)-C59*(C59&lt;0)*Parameters!B$65</f>
        <v>4.724946152164046E-3</v>
      </c>
      <c r="J60" s="23">
        <f>J59*(1+Parameters!$B$51)^Parameters!B$65</f>
        <v>9.5966026311399446</v>
      </c>
      <c r="K60" s="23">
        <f>K59*(1+Parameters!$B$53)^Parameters!B$65</f>
        <v>27.4398900466383</v>
      </c>
      <c r="L60" s="23">
        <f>J60*K60*EXP(-Parameters!$B$42*'6states'!A60)*(Parameters!$B$37/Parameters!$B$38*('6states'!F60+'6states'!I60)/Parameters!$E$25*(EXP(-Parameters!$B$38*Parameters!$E$25*'6states'!I60/('6states'!F60+'6states'!I60))-EXP(-Parameters!$B$38*Parameters!$E$25))  +  Parameters!$B$39*'6states'!F60)</f>
        <v>9.1876867076198927</v>
      </c>
      <c r="M60" s="8">
        <f>M59+L60*Parameters!B$65</f>
        <v>3384.7877435416381</v>
      </c>
      <c r="N60" s="7">
        <f>M60*Parameters!$B$45</f>
        <v>2.0308726461249829</v>
      </c>
      <c r="O60" s="9">
        <f>EXP(-Parameters!$B$46/2*N60^2)</f>
        <v>0.95939667154126684</v>
      </c>
      <c r="P60" s="8">
        <f>MAX((Parameters!$B$62 + Parameters!$B$31*'6states'!A60 - '6states'!M60 + Parameters!$B$47/Parameters!$B$45)/Parameters!B$62,1)</f>
        <v>38.888245129167245</v>
      </c>
      <c r="Q60" s="7">
        <f>Parameters!B$61*EXP(-Parameters!B$60*A60)</f>
        <v>0.11023429976450796</v>
      </c>
      <c r="R60" s="7">
        <f>(1-Parameters!B$61)*P60^-Parameters!B$63</f>
        <v>0.34672740543415109</v>
      </c>
      <c r="S60" s="7">
        <f>Parameters!B$61*EXP(-Parameters!B$60*A60)+(1-Parameters!B$61)*P60^-Parameters!B$63</f>
        <v>0.45696170519865908</v>
      </c>
      <c r="T60" s="7">
        <f>1-S60/Parameters!$B$12</f>
        <v>0.7715191474006704</v>
      </c>
      <c r="U60" s="7">
        <f t="shared" si="0"/>
        <v>4.37673436799375</v>
      </c>
      <c r="V60" s="7">
        <f>(Parameters!$B$19*(F60+Parameters!$B$20)^T60+Parameters!$B$18*G60^T60)^(1/T60)</f>
        <v>0.34424677866175851</v>
      </c>
      <c r="W60" s="7">
        <f>(Parameters!$B$10*H60^Parameters!$B$9+Parameters!$B$11*V60^Parameters!$B$9)^(Parameters!$B$7/Parameters!$B$9)*O60</f>
        <v>1.3315895815466414</v>
      </c>
      <c r="X60" s="7">
        <f>W60 - D60 - E60 - LN(1+EXP(Parameters!$B$21*C60))/Parameters!$B$21 - IF(C60&gt;0, 0,Parameters!$B$6*C60^2/F60)</f>
        <v>1.0235338526048836</v>
      </c>
      <c r="Y60" s="7">
        <f>EXP(-Parameters!$B$55*A60)</f>
        <v>0.42929970110067539</v>
      </c>
      <c r="Z60" s="7">
        <f>IF(X60&gt;0,X60^(1-Parameters!$B$52)/(1-Parameters!$B$52)*Y60*Parameters!$B$65,-10+X60*1000)</f>
        <v>-1.2166250881040841</v>
      </c>
      <c r="AB60" s="9"/>
      <c r="AC60">
        <f t="shared" si="6"/>
        <v>7.2834718985041777E-2</v>
      </c>
      <c r="AD60">
        <f t="shared" si="7"/>
        <v>22.933177157511192</v>
      </c>
      <c r="AE60" s="23">
        <f t="shared" si="8"/>
        <v>1.2442187520827461</v>
      </c>
      <c r="AF60" s="23">
        <f t="shared" si="9"/>
        <v>20.608991699438317</v>
      </c>
      <c r="AG60" s="23">
        <f t="shared" si="10"/>
        <v>295.66204423054006</v>
      </c>
      <c r="AH60" s="23">
        <f t="shared" si="11"/>
        <v>90.650408186951893</v>
      </c>
      <c r="AI60" s="23">
        <f t="shared" si="12"/>
        <v>223.09755607743944</v>
      </c>
      <c r="AJ60" s="23">
        <f t="shared" si="13"/>
        <v>350.6471130214959</v>
      </c>
      <c r="AK60" s="23">
        <f t="shared" si="14"/>
        <v>269.52688386072407</v>
      </c>
      <c r="AL60" s="9">
        <f t="shared" si="23"/>
        <v>2.1698885779668942E-2</v>
      </c>
      <c r="AM60" s="9">
        <f t="shared" si="24"/>
        <v>1.9362229226160821E-2</v>
      </c>
      <c r="AN60" s="9">
        <f t="shared" ref="AN60:AO60" si="91">AVERAGE(AL58:AL62)</f>
        <v>2.2004581661655642E-2</v>
      </c>
      <c r="AO60" s="9">
        <f t="shared" si="91"/>
        <v>2.2253481637703132E-2</v>
      </c>
      <c r="AP60" s="23"/>
      <c r="AQ60" s="8">
        <f t="shared" si="1"/>
        <v>350.6471130214959</v>
      </c>
      <c r="AR60" s="32">
        <f>Parameters!$B$7*W60*(W60/O60)^(-Parameters!$B$9/Parameters!$B$7)*Parameters!$B$11*(V60)^(Parameters!$B$9-T60)*((1-2*Parameters!$B$5*C60/F60)*Parameters!$B$19*(F60+Parameters!$B$20)^(T60-1)-(1-2*Parameters!$B$5*D60/G60)*(Parameters!$B$18)*(G60)^(T60-1))</f>
        <v>0.27381480690738352</v>
      </c>
      <c r="AS60" s="32">
        <f>((C61-C59)/2-(F61-F59)/F60/2*C60)/(F60/2/Parameters!$B$5-C60)-((D61-D59)/D60-(G61-G59)/G60)/(G60/2/Parameters!$B$5/D60-1)</f>
        <v>3.9784054999889011E-2</v>
      </c>
      <c r="AT60" s="32">
        <f>+Parameters!$B$5*C60^2/F60^2-Parameters!$B$5*D60^2/G60^2</f>
        <v>-6.0039182659581631E-3</v>
      </c>
      <c r="AU60" s="30">
        <f>EXP(-Parameters!$B$42*'6states'!A60)*(Parameters!$B$37*EXP(-Parameters!$B$38*Parameters!$E$25*'6states'!I60/('6states'!F60+'6states'!I60))*(1/Parameters!$B$38/Parameters!$E$25+'6states'!I60/('6states'!F60+'6states'!I60))-Parameters!$B$37/Parameters!$B$38/Parameters!$E$25*EXP(-Parameters!$B$38*Parameters!$E$25)+Parameters!$B$39)</f>
        <v>0.46298486488685447</v>
      </c>
      <c r="AV60" s="30">
        <f>J60*K60*EXP(-Parameters!$B$42*'6states'!A60)*(Parameters!$B$37*EXP(-Parameters!$B$38*Parameters!$E$25*'6states'!I60/('6states'!F60+'6states'!I60))*(1/Parameters!$B$38/Parameters!$E$25+'6states'!I60/('6states'!F60+'6states'!I60))-Parameters!$B$37/Parameters!$B$38/Parameters!$E$25*EXP(-Parameters!$B$38*Parameters!$E$25)+Parameters!$B$39)</f>
        <v>121.91767530702664</v>
      </c>
      <c r="AW60" s="8">
        <f>1000*(AR60+AS60+AT60)/(EXP(-Parameters!$B$42*A60)*((C60&lt;0)*Parameters!$B$37*EXP(-Parameters!$B$38*AF60)+(C60&gt;=0)*Parameters!$B$41))</f>
        <v>591.3182163005805</v>
      </c>
      <c r="AX60" s="13">
        <f>1-W60/'6states,ExoDamages'!T60</f>
        <v>9.2551467121974706E-2</v>
      </c>
      <c r="AY60" s="21">
        <f>-Y60*W60*X60^(-Parameters!B$52)*Parameters!B$46*Parameters!B$45*N60</f>
        <v>-1.356822345763651E-5</v>
      </c>
      <c r="AZ60" s="7">
        <f>1000*EXP(-(Parameters!$B$54)*'6states'!A60)*AQ60*Parameters!B$46*Parameters!B$45*N60</f>
        <v>1.2029595710685743</v>
      </c>
      <c r="BA60" s="7">
        <f>SUM(AZ60:AZ$204)*EXP(Parameters!$B$54*A60)</f>
        <v>671.89654754747107</v>
      </c>
      <c r="BB60" s="13">
        <f t="shared" si="77"/>
        <v>0.22971091860064086</v>
      </c>
      <c r="BF60" s="5"/>
      <c r="BG60" s="5"/>
      <c r="BH60" s="5"/>
      <c r="BK60">
        <f>-EXP(-Parameters!B$42*'6states'!A60)*(-Parameters!B$37/Parameters!B$38/Parameters!E$25*(EXP(-Parameters!B$38*Parameters!E$25*'6states'!I60/('6states'!F60+'6states'!I60))-EXP(-Parameters!B$38*Parameters!E$25))+Parameters!B$37*'6states'!F60/('6states'!F60+'6states'!I60)*EXP(-Parameters!B$38*Parameters!E$25*'6states'!I60/('6states'!F60+'6states'!I60)))</f>
        <v>-0.28448737748595077</v>
      </c>
      <c r="BL60">
        <f>-J60*K60*EXP(-Parameters!B$42*'6states'!A60)*(-Parameters!B$37/Parameters!B$38/Parameters!E$25*(EXP(-Parameters!B$38*Parameters!E$25*'6states'!I60/('6states'!F60+'6states'!I60))-EXP(-Parameters!B$38*Parameters!E$25)) + Parameters!B$37*'6states'!F60/('6states'!F60+'6states'!I60)*EXP(-Parameters!B$38*Parameters!E$25*'6states'!I60/('6states'!F60+'6states'!I60)))</f>
        <v>-74.913981747018539</v>
      </c>
      <c r="BM60" s="7">
        <f t="shared" si="59"/>
        <v>5.6935284398734375E-2</v>
      </c>
      <c r="BS60">
        <f>EXP(-Parameters!$B$56*A60)*BF60*BL60</f>
        <v>0</v>
      </c>
      <c r="BT60">
        <f>-EXP((Parameters!$B$56)*F60)*SUM(BS60:BS68)</f>
        <v>0</v>
      </c>
      <c r="BU60">
        <f>X60^-Parameters!B$52/(1-2*Parameters!B$5*'6states'!D60/'6states'!G60)</f>
        <v>1.1470243818115713</v>
      </c>
      <c r="BV60">
        <f t="shared" si="61"/>
        <v>1.0003367548230711</v>
      </c>
      <c r="BW60">
        <f>$X60^-Parameters!$B$52/(1-2*Parameters!$B$5*'6states'!$E60/'6states'!$H60)</f>
        <v>1.1181032958908874</v>
      </c>
      <c r="BX60">
        <f t="shared" si="62"/>
        <v>1.0070035754956808</v>
      </c>
      <c r="BY60" s="7">
        <f>($X60^-Parameters!$B$52*(1/(1+EXP(-C60)) + IF(C60&lt;0,2*Parameters!$B$6*C60/F60,0)) + BQ60*(1/(1+EXP((C60-Parameters!$B$22)*Parameters!$B$21))))/(1-IF(C60&gt;0,2*Parameters!$B$5*C60/F60,0))</f>
        <v>0.48805939446458035</v>
      </c>
      <c r="BZ60">
        <f t="shared" si="63"/>
        <v>1.0048463878043876</v>
      </c>
      <c r="CA60" s="7">
        <f t="shared" si="64"/>
        <v>2.3539171020142136E-3</v>
      </c>
      <c r="CB60">
        <f>(1/$T60-1/Parameters!$B$13) * LN(Parameters!$B$18) / LN(P60)</f>
        <v>0.22905196202269587</v>
      </c>
      <c r="CC60">
        <f>(Parameters!$B$18*'6states'!T60^+Parameters!$B$19*Parameters!$B$25^'6states'!T60)^((1-'6states'!T60)/'6states'!T60)*Parameters!$B$18*Parameters!$B$26^('6states'!T60-1)</f>
        <v>0.29477439933194821</v>
      </c>
      <c r="CD60">
        <f t="shared" si="65"/>
        <v>0.22420029675786013</v>
      </c>
      <c r="CE60">
        <f t="shared" si="66"/>
        <v>0.1468046322600538</v>
      </c>
      <c r="CF60">
        <f t="shared" si="67"/>
        <v>0.18480020112984419</v>
      </c>
    </row>
    <row r="61" spans="1:84" x14ac:dyDescent="0.25">
      <c r="A61">
        <f>A60+Parameters!$B$65</f>
        <v>57</v>
      </c>
      <c r="B61">
        <v>2082</v>
      </c>
      <c r="C61" s="74">
        <v>2.7875291367491901E-3</v>
      </c>
      <c r="D61" s="69">
        <v>8.6435049566175204E-2</v>
      </c>
      <c r="E61" s="75">
        <v>0.21824775820780701</v>
      </c>
      <c r="F61" s="7">
        <f>MAX((1-Parameters!$B$4)^Parameters!B$65*F60 + C60*Parameters!B$65 - IF(C60&gt;0,Parameters!$B$5,0)*C60^2/F60*Parameters!B$65, 0.0001)</f>
        <v>7.3615934268932301E-2</v>
      </c>
      <c r="G61" s="7">
        <f>(1-Parameters!$B$4)^Parameters!B$65*G60+D60*Parameters!B$65-Parameters!$B$5*D60^2/G60*Parameters!B$65</f>
        <v>1.1324937195694604</v>
      </c>
      <c r="H61" s="7">
        <f>(1-Parameters!$B$4)^Parameters!B$65*H60+E60*Parameters!B$65-Parameters!$B$5*E60^2/H60*Parameters!B$65</f>
        <v>3.2767950191309141</v>
      </c>
      <c r="I61" s="9">
        <f>I60 *(1-Parameters!$B$4)-C60*(C60&lt;0)*Parameters!B$65</f>
        <v>4.4277470391929277E-3</v>
      </c>
      <c r="J61" s="23">
        <f>J60*(1+Parameters!$B$51)^Parameters!B$65</f>
        <v>9.6244327787702488</v>
      </c>
      <c r="K61" s="23">
        <f>K60*(1+Parameters!$B$53)^Parameters!B$65</f>
        <v>27.988687847571068</v>
      </c>
      <c r="L61" s="23">
        <f>J61*K61*EXP(-Parameters!$B$42*'6states'!A61)*(Parameters!$B$37/Parameters!$B$38*('6states'!F61+'6states'!I61)/Parameters!$E$25*(EXP(-Parameters!$B$38*Parameters!$E$25*'6states'!I61/('6states'!F61+'6states'!I61))-EXP(-Parameters!$B$38*Parameters!$E$25))  +  Parameters!$B$39*'6states'!F61)</f>
        <v>8.7538462050239527</v>
      </c>
      <c r="M61" s="8">
        <f>M60+L61*Parameters!B$65</f>
        <v>3393.5415897466619</v>
      </c>
      <c r="N61" s="7">
        <f>M61*Parameters!$B$45</f>
        <v>2.0361249538479971</v>
      </c>
      <c r="O61" s="9">
        <f>EXP(-Parameters!$B$46/2*N61^2)</f>
        <v>0.95919073105598207</v>
      </c>
      <c r="P61" s="8">
        <f>MAX((Parameters!$B$62 + Parameters!$B$31*'6states'!A61 - '6states'!M61 + Parameters!$B$47/Parameters!$B$45)/Parameters!B$62,1)</f>
        <v>39.777168205066765</v>
      </c>
      <c r="Q61" s="7">
        <f>Parameters!B$61*EXP(-Parameters!B$60*A61)</f>
        <v>0.10729779487734739</v>
      </c>
      <c r="R61" s="7">
        <f>(1-Parameters!B$61)*P61^-Parameters!B$63</f>
        <v>0.34594464958837123</v>
      </c>
      <c r="S61" s="7">
        <f>Parameters!B$61*EXP(-Parameters!B$60*A61)+(1-Parameters!B$61)*P61^-Parameters!B$63</f>
        <v>0.4532424444657186</v>
      </c>
      <c r="T61" s="7">
        <f>1-S61/Parameters!$B$12</f>
        <v>0.7733787777671407</v>
      </c>
      <c r="U61" s="7">
        <f t="shared" si="0"/>
        <v>4.412649398618429</v>
      </c>
      <c r="V61" s="7">
        <f>(Parameters!$B$19*(F61+Parameters!$B$20)^T61+Parameters!$B$18*G61^T61)^(1/T61)</f>
        <v>0.34253862989662109</v>
      </c>
      <c r="W61" s="7">
        <f>(Parameters!$B$10*H61^Parameters!$B$9+Parameters!$B$11*V61^Parameters!$B$9)^(Parameters!$B$7/Parameters!$B$9)*O61</f>
        <v>1.3304817402461682</v>
      </c>
      <c r="X61" s="7">
        <f>W61 - D61 - E61 - LN(1+EXP(Parameters!$B$21*C61))/Parameters!$B$21 - IF(C61&gt;0, 0,Parameters!$B$6*C61^2/F61)</f>
        <v>1.0218114050218585</v>
      </c>
      <c r="Y61" s="7">
        <f>EXP(-Parameters!$B$55*A61)</f>
        <v>0.42286597251064995</v>
      </c>
      <c r="Z61" s="7">
        <f>IF(X61&gt;0,X61^(1-Parameters!$B$52)/(1-Parameters!$B$52)*Y61*Parameters!$B$65,-10+X61*1000)</f>
        <v>-1.199098705276346</v>
      </c>
      <c r="AB61" s="9"/>
      <c r="AC61">
        <f t="shared" si="6"/>
        <v>0.75089134347331599</v>
      </c>
      <c r="AD61">
        <f t="shared" si="7"/>
        <v>23.28346263229308</v>
      </c>
      <c r="AE61" s="23">
        <f t="shared" si="8"/>
        <v>1.1927254423955183</v>
      </c>
      <c r="AF61" s="23">
        <f t="shared" si="9"/>
        <v>19.830310311556588</v>
      </c>
      <c r="AG61" s="23">
        <f t="shared" si="10"/>
        <v>305.06577289244615</v>
      </c>
      <c r="AH61" s="23">
        <f t="shared" si="11"/>
        <v>92.271427266421199</v>
      </c>
      <c r="AI61" s="23">
        <f t="shared" si="12"/>
        <v>227.0870074458069</v>
      </c>
      <c r="AJ61" s="23">
        <f t="shared" si="13"/>
        <v>358.3988444207788</v>
      </c>
      <c r="AK61" s="23">
        <f t="shared" si="14"/>
        <v>275.2506973211436</v>
      </c>
      <c r="AL61" s="9">
        <f t="shared" si="23"/>
        <v>2.1866115093916783E-2</v>
      </c>
      <c r="AM61" s="9">
        <f t="shared" si="24"/>
        <v>2.1014169050587839E-2</v>
      </c>
      <c r="AN61" s="9">
        <f t="shared" ref="AN61:AO61" si="92">AVERAGE(AL59:AL63)</f>
        <v>2.2131120246631043E-2</v>
      </c>
      <c r="AO61" s="9">
        <f t="shared" si="92"/>
        <v>2.1173791752265282E-2</v>
      </c>
      <c r="AP61" s="23"/>
      <c r="AQ61" s="8">
        <f t="shared" si="1"/>
        <v>358.39884442077874</v>
      </c>
      <c r="AR61" s="32">
        <f>Parameters!$B$7*W61*(W61/O61)^(-Parameters!$B$9/Parameters!$B$7)*Parameters!$B$11*(V61)^(Parameters!$B$9-T61)*((1-2*Parameters!$B$5*C61/F61)*Parameters!$B$19*(F61+Parameters!$B$20)^(T61-1)-(1-2*Parameters!$B$5*D61/G61)*(Parameters!$B$18)*(G61)^(T61-1))</f>
        <v>0.256569678814485</v>
      </c>
      <c r="AS61" s="32">
        <f>((C62-C60)/2-(F62-F60)/F61/2*C61)/(F61/2/Parameters!$B$5-C61)-((D62-D60)/D61-(G62-G60)/G61)/(G61/2/Parameters!$B$5/D61-1)</f>
        <v>3.8834451944532694E-2</v>
      </c>
      <c r="AT61" s="32">
        <f>+Parameters!$B$5*C61^2/F61^2-Parameters!$B$5*D61^2/G61^2</f>
        <v>-4.3913423404504824E-3</v>
      </c>
      <c r="AU61" s="30">
        <f>EXP(-Parameters!$B$42*'6states'!A61)*(Parameters!$B$37*EXP(-Parameters!$B$38*Parameters!$E$25*'6states'!I61/('6states'!F61+'6states'!I61))*(1/Parameters!$B$38/Parameters!$E$25+'6states'!I61/('6states'!F61+'6states'!I61))-Parameters!$B$37/Parameters!$B$38/Parameters!$E$25*EXP(-Parameters!$B$38*Parameters!$E$25)+Parameters!$B$39)</f>
        <v>0.45852778913921277</v>
      </c>
      <c r="AV61" s="30">
        <f>J61*K61*EXP(-Parameters!$B$42*'6states'!A61)*(Parameters!$B$37*EXP(-Parameters!$B$38*Parameters!$E$25*'6states'!I61/('6states'!F61+'6states'!I61))*(1/Parameters!$B$38/Parameters!$E$25+'6states'!I61/('6states'!F61+'6states'!I61))-Parameters!$B$37/Parameters!$B$38/Parameters!$E$25*EXP(-Parameters!$B$38*Parameters!$E$25)+Parameters!$B$39)</f>
        <v>123.51603542631307</v>
      </c>
      <c r="AW61" s="8">
        <f>1000*(AR61+AS61+AT61)/(EXP(-Parameters!$B$42*A61)*((C61&lt;0)*Parameters!$B$37*EXP(-Parameters!$B$38*AF61)+(C61&gt;=0)*Parameters!$B$41))</f>
        <v>565.06327883879362</v>
      </c>
      <c r="AX61" s="13">
        <f>1-W61/'6states,ExoDamages'!T61</f>
        <v>9.308395759326471E-2</v>
      </c>
      <c r="AY61" s="21">
        <f>-Y61*W61*X61^(-Parameters!B$52)*Parameters!B$46*Parameters!B$45*N61</f>
        <v>-1.3418775450755367E-5</v>
      </c>
      <c r="AZ61" s="7">
        <f>1000*EXP(-(Parameters!$B$54)*'6states'!A61)*AQ61*Parameters!B$46*Parameters!B$45*N61</f>
        <v>1.1902148513374755</v>
      </c>
      <c r="BA61" s="7">
        <f>SUM(AZ61:AZ$204)*EXP(Parameters!$B$54*A61)</f>
        <v>687.00393327588949</v>
      </c>
      <c r="BB61" s="13">
        <f t="shared" si="77"/>
        <v>0.23109699863587957</v>
      </c>
      <c r="BF61" s="5"/>
      <c r="BG61" s="5"/>
      <c r="BH61" s="5"/>
      <c r="BK61">
        <f>-EXP(-Parameters!B$42*'6states'!A61)*(-Parameters!B$37/Parameters!B$38/Parameters!E$25*(EXP(-Parameters!B$38*Parameters!E$25*'6states'!I61/('6states'!F61+'6states'!I61))-EXP(-Parameters!B$38*Parameters!E$25))+Parameters!B$37*'6states'!F61/('6states'!F61+'6states'!I61)*EXP(-Parameters!B$38*Parameters!E$25*'6states'!I61/('6states'!F61+'6states'!I61)))</f>
        <v>-0.28414094982157651</v>
      </c>
      <c r="BL61">
        <f>-J61*K61*EXP(-Parameters!B$42*'6states'!A61)*(-Parameters!B$37/Parameters!B$38/Parameters!E$25*(EXP(-Parameters!B$38*Parameters!E$25*'6states'!I61/('6states'!F61+'6states'!I61))-EXP(-Parameters!B$38*Parameters!E$25)) + Parameters!B$37*'6states'!F61/('6states'!F61+'6states'!I61)*EXP(-Parameters!B$38*Parameters!E$25*'6states'!I61/('6states'!F61+'6states'!I61)))</f>
        <v>-76.540537903085877</v>
      </c>
      <c r="BM61" s="7">
        <f t="shared" si="59"/>
        <v>5.6734215569761305E-2</v>
      </c>
      <c r="BS61">
        <f>EXP(-Parameters!$B$56*A61)*BF61*BL61</f>
        <v>0</v>
      </c>
      <c r="BT61">
        <f>-EXP((Parameters!$B$56)*F61)*SUM(BS61:BS69)</f>
        <v>0</v>
      </c>
      <c r="BU61">
        <f>X61^-Parameters!B$52/(1-2*Parameters!B$5*'6states'!D61/'6states'!G61)</f>
        <v>1.1462632429172384</v>
      </c>
      <c r="BV61">
        <f t="shared" si="61"/>
        <v>0.9993364230905617</v>
      </c>
      <c r="BW61">
        <f>$X61^-Parameters!$B$52/(1-2*Parameters!$B$5*'6states'!$E61/'6states'!$H61)</f>
        <v>1.1205587475798462</v>
      </c>
      <c r="BX61">
        <f t="shared" si="62"/>
        <v>1.0021960866209614</v>
      </c>
      <c r="BY61" s="7">
        <f>($X61^-Parameters!$B$52*(1/(1+EXP(-C61)) + IF(C61&lt;0,2*Parameters!$B$6*C61/F61,0)) + BQ61*(1/(1+EXP((C61-Parameters!$B$22)*Parameters!$B$21))))/(1-IF(C61&gt;0,2*Parameters!$B$5*C61/F61,0))</f>
        <v>0.52617027741583999</v>
      </c>
      <c r="BZ61">
        <f t="shared" si="63"/>
        <v>1.0780865677077454</v>
      </c>
      <c r="CA61" s="7">
        <f t="shared" si="64"/>
        <v>3.8110882951259639E-2</v>
      </c>
      <c r="CB61">
        <f>(1/$T61-1/Parameters!$B$13) * LN(Parameters!$B$18) / LN(P61)</f>
        <v>0.22865448589741436</v>
      </c>
      <c r="CC61">
        <f>(Parameters!$B$18*'6states'!T61^+Parameters!$B$19*Parameters!$B$25^'6states'!T61)^((1-'6states'!T61)/'6states'!T61)*Parameters!$B$18*Parameters!$B$26^('6states'!T61-1)</f>
        <v>0.29527782936720298</v>
      </c>
      <c r="CD61">
        <f t="shared" si="65"/>
        <v>0.2232878597827769</v>
      </c>
      <c r="CE61">
        <f t="shared" si="66"/>
        <v>0.14656953648471782</v>
      </c>
      <c r="CF61">
        <f t="shared" si="67"/>
        <v>0.18508461637776741</v>
      </c>
    </row>
    <row r="62" spans="1:84" x14ac:dyDescent="0.25">
      <c r="A62">
        <f>A61+Parameters!$B$65</f>
        <v>58</v>
      </c>
      <c r="B62">
        <v>2083</v>
      </c>
      <c r="C62" s="74">
        <v>2.6360422635329098E-3</v>
      </c>
      <c r="D62" s="69">
        <v>8.8253446918158104E-2</v>
      </c>
      <c r="E62" s="75">
        <v>0.213611388545554</v>
      </c>
      <c r="F62" s="7">
        <f>MAX((1-Parameters!$B$4)^Parameters!B$65*F61 + C61*Parameters!B$65 - IF(C61&gt;0,Parameters!$B$5,0)*C61^2/F61*Parameters!B$65, 0.0001)</f>
        <v>7.166746900983692E-2</v>
      </c>
      <c r="G62" s="7">
        <f>(1-Parameters!$B$4)^Parameters!B$65*G61+D61*Parameters!B$65-Parameters!$B$5*D61^2/G61*Parameters!B$65</f>
        <v>1.1410979523864009</v>
      </c>
      <c r="H62" s="7">
        <f>(1-Parameters!$B$4)^Parameters!B$65*H61+E61*Parameters!B$65-Parameters!$B$5*E61^2/H61*Parameters!B$65</f>
        <v>3.2743961901039094</v>
      </c>
      <c r="I62" s="9">
        <f>I61 *(1-Parameters!$B$4)-C61*(C61&lt;0)*Parameters!B$65</f>
        <v>4.1492417504276928E-3</v>
      </c>
      <c r="J62" s="23">
        <f>J61*(1+Parameters!$B$51)^Parameters!B$65</f>
        <v>9.6523436338286821</v>
      </c>
      <c r="K62" s="23">
        <f>K61*(1+Parameters!$B$53)^Parameters!B$65</f>
        <v>28.54846160452249</v>
      </c>
      <c r="L62" s="23">
        <f>J62*K62*EXP(-Parameters!$B$42*'6states'!A62)*(Parameters!$B$37/Parameters!$B$38*('6states'!F62+'6states'!I62)/Parameters!$E$25*(EXP(-Parameters!$B$38*Parameters!$E$25*'6states'!I62/('6states'!F62+'6states'!I62))-EXP(-Parameters!$B$38*Parameters!$E$25))  +  Parameters!$B$39*'6states'!F62)</f>
        <v>8.6441261506051816</v>
      </c>
      <c r="M62" s="8">
        <f>M61+L62*Parameters!B$65</f>
        <v>3402.1857158972671</v>
      </c>
      <c r="N62" s="7">
        <f>M62*Parameters!$B$45</f>
        <v>2.0413114295383599</v>
      </c>
      <c r="O62" s="9">
        <f>EXP(-Parameters!$B$46/2*N62^2)</f>
        <v>0.95898689339575061</v>
      </c>
      <c r="P62" s="8">
        <f>MAX((Parameters!$B$62 + Parameters!$B$31*'6states'!A62 - '6states'!M62 + Parameters!$B$47/Parameters!$B$45)/Parameters!B$62,1)</f>
        <v>40.668285682054666</v>
      </c>
      <c r="Q62" s="7">
        <f>Parameters!B$61*EXP(-Parameters!B$60*A62)</f>
        <v>0.10443951483463847</v>
      </c>
      <c r="R62" s="7">
        <f>(1-Parameters!B$61)*P62^-Parameters!B$63</f>
        <v>0.34517904095539037</v>
      </c>
      <c r="S62" s="7">
        <f>Parameters!B$61*EXP(-Parameters!B$60*A62)+(1-Parameters!B$61)*P62^-Parameters!B$63</f>
        <v>0.44961855579002885</v>
      </c>
      <c r="T62" s="7">
        <f>1-S62/Parameters!$B$12</f>
        <v>0.77519072210498563</v>
      </c>
      <c r="U62" s="7">
        <f t="shared" si="0"/>
        <v>4.448214990784316</v>
      </c>
      <c r="V62" s="7">
        <f>(Parameters!$B$19*(F62+Parameters!$B$20)^T62+Parameters!$B$18*G62^T62)^(1/T62)</f>
        <v>0.34313814970382117</v>
      </c>
      <c r="W62" s="7">
        <f>(Parameters!$B$10*H62^Parameters!$B$9+Parameters!$B$11*V62^Parameters!$B$9)^(Parameters!$B$7/Parameters!$B$9)*O62</f>
        <v>1.3302219101925401</v>
      </c>
      <c r="X62" s="7">
        <f>W62 - D62 - E62 - LN(1+EXP(Parameters!$B$21*C62))/Parameters!$B$21 - IF(C62&gt;0, 0,Parameters!$B$6*C62^2/F62)</f>
        <v>1.0244745057716311</v>
      </c>
      <c r="Y62" s="7">
        <f>EXP(-Parameters!$B$55*A62)</f>
        <v>0.41652866342304673</v>
      </c>
      <c r="Z62" s="7">
        <f>IF(X62&gt;0,X62^(1-Parameters!$B$52)/(1-Parameters!$B$52)*Y62*Parameters!$B$65,-10+X62*1000)</f>
        <v>-1.1800528117046982</v>
      </c>
      <c r="AB62" s="9"/>
      <c r="AC62">
        <f t="shared" si="6"/>
        <v>0.72638665056150542</v>
      </c>
      <c r="AD62">
        <f t="shared" si="7"/>
        <v>24.319081144575943</v>
      </c>
      <c r="AE62" s="23">
        <f t="shared" si="8"/>
        <v>1.1433632378199166</v>
      </c>
      <c r="AF62" s="23">
        <f t="shared" si="9"/>
        <v>19.748656343053359</v>
      </c>
      <c r="AG62" s="23">
        <f t="shared" si="10"/>
        <v>314.44045152965805</v>
      </c>
      <c r="AH62" s="23">
        <f t="shared" si="11"/>
        <v>94.554998108860673</v>
      </c>
      <c r="AI62" s="23">
        <f t="shared" si="12"/>
        <v>232.70704914520297</v>
      </c>
      <c r="AJ62" s="23">
        <f t="shared" si="13"/>
        <v>366.5553664353165</v>
      </c>
      <c r="AK62" s="23">
        <f t="shared" si="14"/>
        <v>282.30374570541034</v>
      </c>
      <c r="AL62" s="9">
        <f t="shared" si="23"/>
        <v>2.2503121130216464E-2</v>
      </c>
      <c r="AM62" s="9">
        <f t="shared" si="24"/>
        <v>2.5301294689532128E-2</v>
      </c>
      <c r="AN62" s="9">
        <f t="shared" ref="AN62:AO62" si="93">AVERAGE(AL60:AL64)</f>
        <v>2.2172556781969277E-2</v>
      </c>
      <c r="AO62" s="9">
        <f t="shared" si="93"/>
        <v>2.1238231108946515E-2</v>
      </c>
      <c r="AP62" s="23"/>
      <c r="AQ62" s="8">
        <f t="shared" si="1"/>
        <v>366.5553664353165</v>
      </c>
      <c r="AR62" s="32">
        <f>Parameters!$B$7*W62*(W62/O62)^(-Parameters!$B$9/Parameters!$B$7)*Parameters!$B$11*(V62)^(Parameters!$B$9-T62)*((1-2*Parameters!$B$5*C62/F62)*Parameters!$B$19*(F62+Parameters!$B$20)^(T62-1)-(1-2*Parameters!$B$5*D62/G62)*(Parameters!$B$18)*(G62)^(T62-1))</f>
        <v>0.25625327357887601</v>
      </c>
      <c r="AS62" s="32">
        <f>((C63-C61)/2-(F63-F61)/F62/2*C62)/(F62/2/Parameters!$B$5-C62)-((D63-D61)/D62-(G63-G61)/G62)/(G62/2/Parameters!$B$5/D62-1)</f>
        <v>1.0704799955202583E-3</v>
      </c>
      <c r="AT62" s="32">
        <f>+Parameters!$B$5*C62^2/F62^2-Parameters!$B$5*D62^2/G62^2</f>
        <v>-4.6287177058390184E-3</v>
      </c>
      <c r="AU62" s="30">
        <f>EXP(-Parameters!$B$42*'6states'!A62)*(Parameters!$B$37*EXP(-Parameters!$B$38*Parameters!$E$25*'6states'!I62/('6states'!F62+'6states'!I62))*(1/Parameters!$B$38/Parameters!$E$25+'6states'!I62/('6states'!F62+'6states'!I62))-Parameters!$B$37/Parameters!$B$38/Parameters!$E$25*EXP(-Parameters!$B$38*Parameters!$E$25)+Parameters!$B$39)</f>
        <v>0.45548587894131914</v>
      </c>
      <c r="AV62" s="30">
        <f>J62*K62*EXP(-Parameters!$B$42*'6states'!A62)*(Parameters!$B$37*EXP(-Parameters!$B$38*Parameters!$E$25*'6states'!I62/('6states'!F62+'6states'!I62))*(1/Parameters!$B$38/Parameters!$E$25+'6states'!I62/('6states'!F62+'6states'!I62))-Parameters!$B$37/Parameters!$B$38/Parameters!$E$25*EXP(-Parameters!$B$38*Parameters!$E$25)+Parameters!$B$39)</f>
        <v>125.51348912699918</v>
      </c>
      <c r="AW62" s="8">
        <f>1000*(AR62+AS62+AT62)/(EXP(-Parameters!$B$42*A62)*((C62&lt;0)*Parameters!$B$37*EXP(-Parameters!$B$38*AF62)+(C62&gt;=0)*Parameters!$B$41))</f>
        <v>495.59243236376579</v>
      </c>
      <c r="AX62" s="13">
        <f>1-W62/'6states,ExoDamages'!T62</f>
        <v>9.3043175082981877E-2</v>
      </c>
      <c r="AY62" s="21">
        <f>-Y62*W62*X62^(-Parameters!B$52)*Parameters!B$46*Parameters!B$45*N62</f>
        <v>-1.3202281996074512E-5</v>
      </c>
      <c r="AZ62" s="7">
        <f>1000*EXP(-(Parameters!$B$54)*'6states'!A62)*AQ62*Parameters!B$46*Parameters!B$45*N62</f>
        <v>1.1783096944579805</v>
      </c>
      <c r="BA62" s="7">
        <f>SUM(AZ62:AZ$204)*EXP(Parameters!$B$54*A62)</f>
        <v>702.43085106169247</v>
      </c>
      <c r="BB62" s="13">
        <f t="shared" si="77"/>
        <v>0.22890983481332874</v>
      </c>
      <c r="BF62" s="5"/>
      <c r="BG62" s="5"/>
      <c r="BH62" s="5"/>
      <c r="BK62">
        <f>-EXP(-Parameters!B$42*'6states'!A62)*(-Parameters!B$37/Parameters!B$38/Parameters!E$25*(EXP(-Parameters!B$38*Parameters!E$25*'6states'!I62/('6states'!F62+'6states'!I62))-EXP(-Parameters!B$38*Parameters!E$25))+Parameters!B$37*'6states'!F62/('6states'!F62+'6states'!I62)*EXP(-Parameters!B$38*Parameters!E$25*'6states'!I62/('6states'!F62+'6states'!I62)))</f>
        <v>-0.30708346228623123</v>
      </c>
      <c r="BL62">
        <f>-J62*K62*EXP(-Parameters!B$42*'6states'!A62)*(-Parameters!B$37/Parameters!B$38/Parameters!E$25*(EXP(-Parameters!B$38*Parameters!E$25*'6states'!I62/('6states'!F62+'6states'!I62))-EXP(-Parameters!B$38*Parameters!E$25)) + Parameters!B$37*'6states'!F62/('6states'!F62+'6states'!I62)*EXP(-Parameters!B$38*Parameters!E$25*'6states'!I62/('6states'!F62+'6states'!I62)))</f>
        <v>-84.619784249578686</v>
      </c>
      <c r="BM62" s="7">
        <f t="shared" si="59"/>
        <v>5.47272719802862E-2</v>
      </c>
      <c r="BS62">
        <f>EXP(-Parameters!$B$56*A62)*BF62*BL62</f>
        <v>0</v>
      </c>
      <c r="BT62">
        <f>-EXP((Parameters!$B$56)*F62)*SUM(BS62:BS70)</f>
        <v>0</v>
      </c>
      <c r="BU62">
        <f>X62^-Parameters!B$52/(1-2*Parameters!B$5*'6states'!D62/'6states'!G62)</f>
        <v>1.1449937985164484</v>
      </c>
      <c r="BV62">
        <f t="shared" si="61"/>
        <v>0.99889253676358047</v>
      </c>
      <c r="BW62">
        <f>$X62^-Parameters!$B$52/(1-2*Parameters!$B$5*'6states'!$E62/'6states'!$H62)</f>
        <v>1.1131168243423522</v>
      </c>
      <c r="BX62">
        <f t="shared" si="62"/>
        <v>0.9933587388848939</v>
      </c>
      <c r="BY62" s="7">
        <f>($X62^-Parameters!$B$52*(1/(1+EXP(-C62)) + IF(C62&lt;0,2*Parameters!$B$6*C62/F62,0)) + BQ62*(1/(1+EXP((C62-Parameters!$B$22)*Parameters!$B$21))))/(1-IF(C62&gt;0,2*Parameters!$B$5*C62/F62,0))</f>
        <v>0.52305776506006019</v>
      </c>
      <c r="BZ62">
        <f t="shared" si="63"/>
        <v>0.99408459107369929</v>
      </c>
      <c r="CA62" s="7">
        <f t="shared" si="64"/>
        <v>-3.1125123557798062E-3</v>
      </c>
      <c r="CB62">
        <f>(1/$T62-1/Parameters!$B$13) * LN(Parameters!$B$18) / LN(P62)</f>
        <v>0.22825898868317485</v>
      </c>
      <c r="CC62">
        <f>(Parameters!$B$18*'6states'!T62^+Parameters!$B$19*Parameters!$B$25^'6states'!T62)^((1-'6states'!T62)/'6states'!T62)*Parameters!$B$18*Parameters!$B$26^('6states'!T62-1)</f>
        <v>0.29576005116130571</v>
      </c>
      <c r="CD62">
        <f t="shared" si="65"/>
        <v>0.22239315831184195</v>
      </c>
      <c r="CE62">
        <f t="shared" si="66"/>
        <v>0.14633554688171535</v>
      </c>
      <c r="CF62">
        <f t="shared" si="67"/>
        <v>0.1853569568788962</v>
      </c>
    </row>
    <row r="63" spans="1:84" s="4" customFormat="1" x14ac:dyDescent="0.25">
      <c r="A63">
        <f>A62+Parameters!$B$65</f>
        <v>59</v>
      </c>
      <c r="B63">
        <v>2084</v>
      </c>
      <c r="C63" s="74">
        <v>2.4858225398460801E-3</v>
      </c>
      <c r="D63" s="69">
        <v>8.6185799659850307E-2</v>
      </c>
      <c r="E63" s="75">
        <v>0.21888376649389399</v>
      </c>
      <c r="F63" s="7">
        <f>MAX((1-Parameters!$B$4)^Parameters!B$65*F62 + C62*Parameters!B$65 - IF(C62&gt;0,Parameters!$B$5,0)*C62^2/F62*Parameters!B$65, 0.0001)</f>
        <v>6.9698669690952703E-2</v>
      </c>
      <c r="G63" s="7">
        <f>(1-Parameters!$B$4)^Parameters!B$65*G62+D62*Parameters!B$65-Parameters!$B$5*D62^2/G62*Parameters!B$65</f>
        <v>1.150750744488803</v>
      </c>
      <c r="H63" s="7">
        <f>(1-Parameters!$B$4)^Parameters!B$65*H62+E62*Parameters!B$65-Parameters!$B$5*E62^2/H62*Parameters!B$65</f>
        <v>3.2681127179521532</v>
      </c>
      <c r="I63" s="9">
        <f>I62 *(1-Parameters!$B$4)-C62*(C62&lt;0)*Parameters!B$65</f>
        <v>3.8882544443257913E-3</v>
      </c>
      <c r="J63" s="23">
        <f>J62*(1+Parameters!$B$51)^Parameters!B$65</f>
        <v>9.6803354303667835</v>
      </c>
      <c r="K63" s="23">
        <f>K62*(1+Parameters!$B$53)^Parameters!B$65</f>
        <v>29.119430836612942</v>
      </c>
      <c r="L63" s="23">
        <f>J63*K63*EXP(-Parameters!$B$42*'6states'!A63)*(Parameters!$B$37/Parameters!$B$38*('6states'!F63+'6states'!I63)/Parameters!$E$25*(EXP(-Parameters!$B$38*Parameters!$E$25*'6states'!I63/('6states'!F63+'6states'!I63))-EXP(-Parameters!$B$38*Parameters!$E$25))  +  Parameters!$B$39*'6states'!F63)</f>
        <v>8.5272246771957629</v>
      </c>
      <c r="M63" s="8">
        <f>M62+L63*Parameters!B$65</f>
        <v>3410.7129405744627</v>
      </c>
      <c r="N63" s="7">
        <f>M63*Parameters!$B$45</f>
        <v>2.0464277643446773</v>
      </c>
      <c r="O63" s="9">
        <f>EXP(-Parameters!$B$46/2*N63^2)</f>
        <v>0.95878534691094786</v>
      </c>
      <c r="P63" s="8">
        <f>MAX((Parameters!$B$62 + Parameters!$B$31*'6states'!A63 - '6states'!M63 + Parameters!$B$47/Parameters!$B$45)/Parameters!B$62,1)</f>
        <v>41.561741188510751</v>
      </c>
      <c r="Q63" s="7">
        <f>Parameters!B$61*EXP(-Parameters!B$60*A63)</f>
        <v>0.10165737582364309</v>
      </c>
      <c r="R63" s="7">
        <f>(1-Parameters!B$61)*P63^-Parameters!B$63</f>
        <v>0.34442972980692049</v>
      </c>
      <c r="S63" s="7">
        <f>Parameters!B$61*EXP(-Parameters!B$60*A63)+(1-Parameters!B$61)*P63^-Parameters!B$63</f>
        <v>0.44608710563056359</v>
      </c>
      <c r="T63" s="7">
        <f>1-S63/Parameters!$B$12</f>
        <v>0.77695644718471824</v>
      </c>
      <c r="U63" s="7">
        <f t="shared" si="0"/>
        <v>4.4834293005912222</v>
      </c>
      <c r="V63" s="7">
        <f>(Parameters!$B$19*(F63+Parameters!$B$20)^T63+Parameters!$B$18*G63^T63)^(1/T63)</f>
        <v>0.34395423994556623</v>
      </c>
      <c r="W63" s="7">
        <f>(Parameters!$B$10*H63^Parameters!$B$9+Parameters!$B$11*V63^Parameters!$B$9)^(Parameters!$B$7/Parameters!$B$9)*O63</f>
        <v>1.3297165992350752</v>
      </c>
      <c r="X63" s="7">
        <f>W63 - D63 - E63 - LN(1+EXP(Parameters!$B$21*C63))/Parameters!$B$21 - IF(C63&gt;0, 0,Parameters!$B$6*C63^2/F63)</f>
        <v>1.0208670855170119</v>
      </c>
      <c r="Y63" s="16">
        <f>EXP(-Parameters!$B$55*A63)</f>
        <v>0.41028632884056476</v>
      </c>
      <c r="Z63" s="7">
        <f>IF(X63&gt;0,X63^(1-Parameters!$B$52)/(1-Parameters!$B$52)*Y63*Parameters!$B$65,-10+X63*1000)</f>
        <v>-1.163803827455091</v>
      </c>
      <c r="AA63"/>
      <c r="AB63" s="9"/>
      <c r="AC63">
        <f t="shared" si="6"/>
        <v>0.70071821957913583</v>
      </c>
      <c r="AD63">
        <f t="shared" si="7"/>
        <v>24.294558087961427</v>
      </c>
      <c r="AE63" s="23">
        <f t="shared" si="8"/>
        <v>1.0960439403157611</v>
      </c>
      <c r="AF63" s="23">
        <f t="shared" si="9"/>
        <v>19.647069310065362</v>
      </c>
      <c r="AG63" s="23">
        <f t="shared" si="10"/>
        <v>324.38036100014108</v>
      </c>
      <c r="AH63" s="23">
        <f t="shared" si="11"/>
        <v>96.955836053476077</v>
      </c>
      <c r="AI63" s="23">
        <f t="shared" si="12"/>
        <v>238.61569411100442</v>
      </c>
      <c r="AJ63" s="23">
        <f t="shared" si="13"/>
        <v>374.82830452511655</v>
      </c>
      <c r="AK63" s="23">
        <f t="shared" si="14"/>
        <v>287.76799434553169</v>
      </c>
      <c r="AL63" s="9">
        <f t="shared" si="23"/>
        <v>2.2318488569886163E-2</v>
      </c>
      <c r="AM63" s="9">
        <f t="shared" si="24"/>
        <v>1.9170976597500555E-2</v>
      </c>
      <c r="AN63" s="9">
        <f t="shared" ref="AN63:AO63" si="94">AVERAGE(AL61:AL65)</f>
        <v>2.2240091017215489E-2</v>
      </c>
      <c r="AO63" s="9">
        <f t="shared" si="94"/>
        <v>2.1801033662339719E-2</v>
      </c>
      <c r="AP63" s="23"/>
      <c r="AQ63" s="25">
        <f t="shared" si="1"/>
        <v>374.82830452511655</v>
      </c>
      <c r="AR63" s="32">
        <f>Parameters!$B$7*W63*(W63/O63)^(-Parameters!$B$9/Parameters!$B$7)*Parameters!$B$11*(V63)^(Parameters!$B$9-T63)*((1-2*Parameters!$B$5*C63/F63)*Parameters!$B$19*(F63+Parameters!$B$20)^(T63-1)-(1-2*Parameters!$B$5*D63/G63)*(Parameters!$B$18)*(G63)^(T63-1))</f>
        <v>0.25398970639934482</v>
      </c>
      <c r="AS63" s="32">
        <f>((C64-C62)/2-(F64-F62)/F63/2*C63)/(F63/2/Parameters!$B$5-C63)-((D64-D62)/D63-(G64-G62)/G63)/(G63/2/Parameters!$B$5/D63-1)</f>
        <v>-2.6214207271253891E-2</v>
      </c>
      <c r="AT63" s="32">
        <f>+Parameters!$B$5*C63^2/F63^2-Parameters!$B$5*D63^2/G63^2</f>
        <v>-4.3372908572427652E-3</v>
      </c>
      <c r="AU63" s="30">
        <f>EXP(-Parameters!$B$42*'6states'!A63)*(Parameters!$B$37*EXP(-Parameters!$B$38*Parameters!$E$25*'6states'!I63/('6states'!F63+'6states'!I63))*(1/Parameters!$B$38/Parameters!$E$25+'6states'!I63/('6states'!F63+'6states'!I63))-Parameters!$B$37/Parameters!$B$38/Parameters!$E$25*EXP(-Parameters!$B$38*Parameters!$E$25)+Parameters!$B$39)</f>
        <v>0.45243883628878689</v>
      </c>
      <c r="AV63" s="30">
        <f>J63*K63*EXP(-Parameters!$B$42*'6states'!A63)*(Parameters!$B$37*EXP(-Parameters!$B$38*Parameters!$E$25*'6states'!I63/('6states'!F63+'6states'!I63))*(1/Parameters!$B$38/Parameters!$E$25+'6states'!I63/('6states'!F63+'6states'!I63))-Parameters!$B$37/Parameters!$B$38/Parameters!$E$25*EXP(-Parameters!$B$38*Parameters!$E$25)+Parameters!$B$39)</f>
        <v>127.53610957778396</v>
      </c>
      <c r="AW63" s="8">
        <f>1000*(AR63+AS63+AT63)/(EXP(-Parameters!$B$42*A63)*((C63&lt;0)*Parameters!$B$37*EXP(-Parameters!$B$38*AF63)+(C63&gt;=0)*Parameters!$B$41))</f>
        <v>442.61725523382091</v>
      </c>
      <c r="AX63" s="13">
        <f>1-W63/'6states,ExoDamages'!T63</f>
        <v>9.3174425027982566E-2</v>
      </c>
      <c r="AY63" s="21">
        <f>-Y63*W63*X63^(-Parameters!B$52)*Parameters!B$46*Parameters!B$45*N63</f>
        <v>-1.309427450757049E-5</v>
      </c>
      <c r="AZ63" s="7">
        <f>1000*EXP(-(Parameters!$B$54)*'6states'!A63)*AQ63*Parameters!B$46*Parameters!B$45*N63</f>
        <v>1.1662607584955422</v>
      </c>
      <c r="BA63" s="7">
        <f>SUM(AZ63:AZ$204)*EXP(Parameters!$B$54*A63)</f>
        <v>718.17767839317617</v>
      </c>
      <c r="BB63" s="13">
        <f t="shared" si="77"/>
        <v>0.23129393802447293</v>
      </c>
      <c r="BC63" s="16"/>
      <c r="BD63" s="16"/>
      <c r="BE63" s="16"/>
      <c r="BF63" s="5"/>
      <c r="BG63" s="5"/>
      <c r="BH63" s="5"/>
      <c r="BI63"/>
      <c r="BJ63"/>
      <c r="BK63">
        <f>-EXP(-Parameters!B$42*'6states'!A63)*(-Parameters!B$37/Parameters!B$38/Parameters!E$25*(EXP(-Parameters!B$38*Parameters!E$25*'6states'!I63/('6states'!F63+'6states'!I63))-EXP(-Parameters!B$38*Parameters!E$25))+Parameters!B$37*'6states'!F63/('6states'!F63+'6states'!I63)*EXP(-Parameters!B$38*Parameters!E$25*'6states'!I63/('6states'!F63+'6states'!I63)))</f>
        <v>-0.33016240008689623</v>
      </c>
      <c r="BL63">
        <f>-J63*K63*EXP(-Parameters!B$42*'6states'!A63)*(-Parameters!B$37/Parameters!B$38/Parameters!E$25*(EXP(-Parameters!B$38*Parameters!E$25*'6states'!I63/('6states'!F63+'6states'!I63))-EXP(-Parameters!B$38*Parameters!E$25)) + Parameters!B$37*'6states'!F63/('6states'!F63+'6states'!I63)*EXP(-Parameters!B$38*Parameters!E$25*'6states'!I63/('6states'!F63+'6states'!I63)))</f>
        <v>-93.06811144096767</v>
      </c>
      <c r="BM63" s="7">
        <f t="shared" si="59"/>
        <v>5.2838931508780287E-2</v>
      </c>
      <c r="BN63"/>
      <c r="BO63"/>
      <c r="BP63"/>
      <c r="BQ63"/>
      <c r="BS63">
        <f>EXP(-Parameters!$B$56*A63)*BF63*BL63</f>
        <v>0</v>
      </c>
      <c r="BT63">
        <f>-EXP((Parameters!$B$56)*F63)*SUM(BS63:BS71)</f>
        <v>0</v>
      </c>
      <c r="BU63">
        <f>X63^-Parameters!B$52/(1-2*Parameters!B$5*'6states'!D63/'6states'!G63)</f>
        <v>1.1438409896370643</v>
      </c>
      <c r="BV63">
        <f t="shared" si="61"/>
        <v>0.99899317456489467</v>
      </c>
      <c r="BW63">
        <f>$X63^-Parameters!$B$52/(1-2*Parameters!$B$5*'6states'!$E63/'6states'!$H63)</f>
        <v>1.1229209905599502</v>
      </c>
      <c r="BX63">
        <f t="shared" si="62"/>
        <v>1.0088078501763644</v>
      </c>
      <c r="BY63" s="7">
        <f>($X63^-Parameters!$B$52*(1/(1+EXP(-C63)) + IF(C63&lt;0,2*Parameters!$B$6*C63/F63,0)) + BQ63*(1/(1+EXP((C63-Parameters!$B$22)*Parameters!$B$21))))/(1-IF(C63&gt;0,2*Parameters!$B$5*C63/F63,0))</f>
        <v>0.52425174103056393</v>
      </c>
      <c r="BZ63">
        <f t="shared" si="63"/>
        <v>1.0022826847248252</v>
      </c>
      <c r="CA63" s="7">
        <f t="shared" si="64"/>
        <v>1.1939759705037467E-3</v>
      </c>
      <c r="CB63">
        <f>(1/$T63-1/Parameters!$B$13) * LN(Parameters!$B$18) / LN(P63)</f>
        <v>0.22786513866604521</v>
      </c>
      <c r="CC63">
        <f>(Parameters!$B$18*'6states'!T63^+Parameters!$B$19*Parameters!$B$25^'6states'!T63)^((1-'6states'!T63)/'6states'!T63)*Parameters!$B$18*Parameters!$B$26^('6states'!T63-1)</f>
        <v>0.29622212066141307</v>
      </c>
      <c r="CD63">
        <f t="shared" si="65"/>
        <v>0.22151532504520499</v>
      </c>
      <c r="CE63">
        <f t="shared" si="66"/>
        <v>0.14610246806262106</v>
      </c>
      <c r="CF63">
        <f t="shared" si="67"/>
        <v>0.18561783074266425</v>
      </c>
    </row>
    <row r="64" spans="1:84" s="38" customFormat="1" x14ac:dyDescent="0.25">
      <c r="A64" s="38">
        <f>A63+Parameters!$B$65</f>
        <v>60</v>
      </c>
      <c r="B64">
        <v>2085</v>
      </c>
      <c r="C64" s="74">
        <v>1.8867088123644199E-4</v>
      </c>
      <c r="D64" s="69">
        <v>8.4920161772296304E-2</v>
      </c>
      <c r="E64" s="75">
        <v>0.22261098611150601</v>
      </c>
      <c r="F64" s="7">
        <f>MAX((1-Parameters!$B$4)^Parameters!B$65*F63 + C63*Parameters!B$65 - IF(C63&gt;0,Parameters!$B$5,0)*C63^2/F63*Parameters!B$65, 0.0001)</f>
        <v>6.7711788351404942E-2</v>
      </c>
      <c r="G64" s="39">
        <f>(1-Parameters!$B$4)^Parameters!B$65*G63+D63*Parameters!B$65-Parameters!$B$5*D63^2/G63*Parameters!B$65</f>
        <v>1.1580994126897191</v>
      </c>
      <c r="H64" s="39">
        <f>(1-Parameters!$B$4)^Parameters!B$65*H63+E63*Parameters!B$65-Parameters!$B$5*E63^2/H63*Parameters!B$65</f>
        <v>3.2667723258197277</v>
      </c>
      <c r="I64" s="9">
        <f>I63 *(1-Parameters!$B$4)-C63*(C63&lt;0)*Parameters!B$65</f>
        <v>3.643683239777699E-3</v>
      </c>
      <c r="J64" s="41">
        <f>J63*(1+Parameters!$B$51)^Parameters!B$65</f>
        <v>9.7084084031148468</v>
      </c>
      <c r="K64" s="41">
        <f>K63*(1+Parameters!$B$53)^Parameters!B$65</f>
        <v>29.701819453345202</v>
      </c>
      <c r="L64" s="23">
        <f>J64*K64*EXP(-Parameters!$B$42*'6states'!A64)*(Parameters!$B$37/Parameters!$B$38*('6states'!F64+'6states'!I64)/Parameters!$E$25*(EXP(-Parameters!$B$38*Parameters!$E$25*'6states'!I64/('6states'!F64+'6states'!I64))-EXP(-Parameters!$B$38*Parameters!$E$25))  +  Parameters!$B$39*'6states'!F64)</f>
        <v>8.4031138380273678</v>
      </c>
      <c r="M64" s="37">
        <f>M63+L64*Parameters!B$65</f>
        <v>3419.11605441249</v>
      </c>
      <c r="N64" s="39">
        <f>M64*Parameters!$B$45</f>
        <v>2.0514696326474939</v>
      </c>
      <c r="O64" s="9">
        <f>EXP(-Parameters!$B$46/2*N64^2)</f>
        <v>0.95858628189677275</v>
      </c>
      <c r="P64" s="8">
        <f>MAX((Parameters!$B$62 + Parameters!$B$31*'6states'!A64 - '6states'!M64 + Parameters!$B$47/Parameters!$B$45)/Parameters!B$62,1)</f>
        <v>42.4576789117502</v>
      </c>
      <c r="Q64" s="7">
        <f>Parameters!B$61*EXP(-Parameters!B$60*A64)</f>
        <v>9.8949349541807355E-2</v>
      </c>
      <c r="R64" s="7">
        <f>(1-Parameters!B$61)*P64^-Parameters!B$63</f>
        <v>0.34369592223588996</v>
      </c>
      <c r="S64" s="7">
        <f>Parameters!B$61*EXP(-Parameters!B$60*A64)+(1-Parameters!B$61)*P64^-Parameters!B$63</f>
        <v>0.4426452717776973</v>
      </c>
      <c r="T64" s="39">
        <f>1-S64/Parameters!$B$12</f>
        <v>0.77867736411115129</v>
      </c>
      <c r="U64" s="39">
        <f t="shared" si="0"/>
        <v>4.5182906664016684</v>
      </c>
      <c r="V64" s="7">
        <f>(Parameters!$B$19*(F64+Parameters!$B$20)^T64+Parameters!$B$18*G64^T64)^(1/T64)</f>
        <v>0.34421046553926654</v>
      </c>
      <c r="W64" s="39">
        <f>(Parameters!$B$10*H64^Parameters!$B$9+Parameters!$B$11*V64^Parameters!$B$9)^(Parameters!$B$7/Parameters!$B$9)*O64</f>
        <v>1.3294210931574502</v>
      </c>
      <c r="X64" s="7">
        <f>W64 - D64 - E64 - LN(1+EXP(Parameters!$B$21*C64))/Parameters!$B$21 - IF(C64&gt;0, 0,Parameters!$B$6*C64^2/F64)</f>
        <v>1.0194837845330111</v>
      </c>
      <c r="Y64" s="39">
        <f>EXP(-Parameters!$B$55*A64)</f>
        <v>0.40413754542145147</v>
      </c>
      <c r="Z64" s="39">
        <f>IF(X64&gt;0,X64^(1-Parameters!$B$52)/(1-Parameters!$B$52)*Y64*Parameters!$B$65,-10+X64*1000)</f>
        <v>-1.1469065742250732</v>
      </c>
      <c r="AB64" s="40"/>
      <c r="AC64">
        <f t="shared" si="6"/>
        <v>5.4404643555641972E-2</v>
      </c>
      <c r="AD64">
        <f t="shared" si="7"/>
        <v>24.487356510088031</v>
      </c>
      <c r="AE64" s="23">
        <f t="shared" si="8"/>
        <v>1.0506830020120956</v>
      </c>
      <c r="AF64" s="23">
        <f t="shared" si="9"/>
        <v>19.52519480288365</v>
      </c>
      <c r="AG64" s="23">
        <f t="shared" si="10"/>
        <v>333.94652813659934</v>
      </c>
      <c r="AH64" s="23">
        <f t="shared" si="11"/>
        <v>99.255632681956783</v>
      </c>
      <c r="AI64" s="23">
        <f t="shared" si="12"/>
        <v>244.27566870517325</v>
      </c>
      <c r="AJ64" s="23">
        <f t="shared" si="13"/>
        <v>383.34840137807657</v>
      </c>
      <c r="AK64" s="23">
        <f t="shared" si="14"/>
        <v>293.97568689344899</v>
      </c>
      <c r="AL64" s="9">
        <f t="shared" si="23"/>
        <v>2.2476173336158034E-2</v>
      </c>
      <c r="AM64" s="9">
        <f t="shared" si="24"/>
        <v>2.1342485980951231E-2</v>
      </c>
      <c r="AN64" s="9">
        <f t="shared" ref="AN64:AO64" si="95">AVERAGE(AL62:AL66)</f>
        <v>2.2368357541285099E-2</v>
      </c>
      <c r="AO64" s="9">
        <f t="shared" si="95"/>
        <v>2.2606869205035095E-2</v>
      </c>
      <c r="AP64" s="23"/>
      <c r="AQ64" s="37">
        <f t="shared" si="1"/>
        <v>383.34840137807652</v>
      </c>
      <c r="AR64" s="42">
        <f>Parameters!$B$7*W64*(W64/O64)^(-Parameters!$B$9/Parameters!$B$7)*Parameters!$B$11*(V64)^(Parameters!$B$9-T64)*((1-2*Parameters!$B$5*C64/F64)*Parameters!$B$19*(F64+Parameters!$B$20)^(T64-1)-(1-2*Parameters!$B$5*D64/G64)*(Parameters!$B$18)*(G64)^(T64-1))</f>
        <v>0.27671267440024938</v>
      </c>
      <c r="AS64" s="42">
        <f>((C65-C63)/2-(F65-F63)/F64/2*C64)/(F64/2/Parameters!$B$5-C64)-((D65-D63)/D64-(G65-G63)/G64)/(G64/2/Parameters!$B$5/D64-1)</f>
        <v>-1.9845802896727533E-3</v>
      </c>
      <c r="AT64" s="42">
        <f>+Parameters!$B$5*C64^2/F64^2-Parameters!$B$5*D64^2/G64^2</f>
        <v>-5.3691111105487084E-3</v>
      </c>
      <c r="AU64" s="30">
        <f>EXP(-Parameters!$B$42*'6states'!A64)*(Parameters!$B$37*EXP(-Parameters!$B$38*Parameters!$E$25*'6states'!I64/('6states'!F64+'6states'!I64))*(1/Parameters!$B$38/Parameters!$E$25+'6states'!I64/('6states'!F64+'6states'!I64))-Parameters!$B$37/Parameters!$B$38/Parameters!$E$25*EXP(-Parameters!$B$38*Parameters!$E$25)+Parameters!$B$39)</f>
        <v>0.44938039498760929</v>
      </c>
      <c r="AV64" s="30">
        <f>J64*K64*EXP(-Parameters!$B$42*'6states'!A64)*(Parameters!$B$37*EXP(-Parameters!$B$38*Parameters!$E$25*'6states'!I64/('6states'!F64+'6states'!I64))*(1/Parameters!$B$38/Parameters!$E$25+'6states'!I64/('6states'!F64+'6states'!I64))-Parameters!$B$37/Parameters!$B$38/Parameters!$E$25*EXP(-Parameters!$B$38*Parameters!$E$25)+Parameters!$B$39)</f>
        <v>129.58215941948038</v>
      </c>
      <c r="AW64" s="37">
        <f>1000*(AR64+AS64+AT64)/(EXP(-Parameters!$B$42*A64)*((C64&lt;0)*Parameters!$B$37*EXP(-Parameters!$B$38*AF64)+(C64&gt;=0)*Parameters!$B$41))</f>
        <v>538.94606953840605</v>
      </c>
      <c r="AX64" s="43">
        <f>1-W64/'6states,ExoDamages'!T64</f>
        <v>9.3167268479328103E-2</v>
      </c>
      <c r="AY64" s="21">
        <f>-Y64*W64*X64^(-Parameters!B$52)*Parameters!B$46*Parameters!B$45*N64</f>
        <v>-1.2950625047569753E-5</v>
      </c>
      <c r="AZ64" s="39">
        <f>1000*EXP(-(Parameters!$B$54)*'6states'!A64)*AQ64*Parameters!B$46*Parameters!B$45*N64</f>
        <v>1.1544679430313127</v>
      </c>
      <c r="BA64" s="39">
        <f>SUM(AZ64:AZ$204)*EXP(Parameters!$B$54*A64)</f>
        <v>734.25213918805548</v>
      </c>
      <c r="BB64" s="43">
        <f t="shared" si="77"/>
        <v>0.2314690359201288</v>
      </c>
      <c r="BC64" s="39"/>
      <c r="BD64" s="39"/>
      <c r="BE64" s="39"/>
      <c r="BF64" s="5"/>
      <c r="BG64" s="5"/>
      <c r="BH64" s="5"/>
      <c r="BI64"/>
      <c r="BJ64"/>
      <c r="BK64">
        <f>-EXP(-Parameters!B$42*'6states'!A64)*(-Parameters!B$37/Parameters!B$38/Parameters!E$25*(EXP(-Parameters!B$38*Parameters!E$25*'6states'!I64/('6states'!F64+'6states'!I64))-EXP(-Parameters!B$38*Parameters!E$25))+Parameters!B$37*'6states'!F64/('6states'!F64+'6states'!I64)*EXP(-Parameters!B$38*Parameters!E$25*'6states'!I64/('6states'!F64+'6states'!I64)))</f>
        <v>-0.35322348795191472</v>
      </c>
      <c r="BL64">
        <f>-J64*K64*EXP(-Parameters!B$42*'6states'!A64)*(-Parameters!B$37/Parameters!B$38/Parameters!E$25*(EXP(-Parameters!B$38*Parameters!E$25*'6states'!I64/('6states'!F64+'6states'!I64))-EXP(-Parameters!B$38*Parameters!E$25)) + Parameters!B$37*'6states'!F64/('6states'!F64+'6states'!I64)*EXP(-Parameters!B$38*Parameters!E$25*'6states'!I64/('6states'!F64+'6states'!I64)))</f>
        <v>-101.85460433304389</v>
      </c>
      <c r="BM64" s="7">
        <f t="shared" si="59"/>
        <v>5.1063823958076779E-2</v>
      </c>
      <c r="BN64"/>
      <c r="BO64"/>
      <c r="BP64"/>
      <c r="BQ64"/>
      <c r="BS64">
        <f>EXP(-Parameters!$B$56*A64)*BF64*BL64</f>
        <v>0</v>
      </c>
      <c r="BT64">
        <f>-EXP((Parameters!$B$56)*F64)*SUM(BS64:BS72)</f>
        <v>0</v>
      </c>
      <c r="BU64">
        <f>X64^-Parameters!B$52/(1-2*Parameters!B$5*'6states'!D64/'6states'!G64)</f>
        <v>1.1417252049733886</v>
      </c>
      <c r="BV64">
        <f t="shared" si="61"/>
        <v>0.99815028077954526</v>
      </c>
      <c r="BW64">
        <f>$X64^-Parameters!$B$52/(1-2*Parameters!$B$5*'6states'!$E64/'6states'!$H64)</f>
        <v>1.1280221494425822</v>
      </c>
      <c r="BX64">
        <f t="shared" si="62"/>
        <v>1.0045427585070685</v>
      </c>
      <c r="BY64" s="7">
        <f>($X64^-Parameters!$B$52*(1/(1+EXP(-C64)) + IF(C64&lt;0,2*Parameters!$B$6*C64/F64,0)) + BQ64*(1/(1+EXP((C64-Parameters!$B$22)*Parameters!$B$21))))/(1-IF(C64&gt;0,2*Parameters!$B$5*C64/F64,0))</f>
        <v>0.48991927412126735</v>
      </c>
      <c r="BZ64">
        <f t="shared" si="63"/>
        <v>0.93451148709242915</v>
      </c>
      <c r="CA64" s="7">
        <f t="shared" si="64"/>
        <v>-3.4332466909296588E-2</v>
      </c>
      <c r="CB64">
        <f>(1/$T64-1/Parameters!$B$13) * LN(Parameters!$B$18) / LN(P64)</f>
        <v>0.22747264785461535</v>
      </c>
      <c r="CC64">
        <f>(Parameters!$B$18*'6states'!T64^+Parameters!$B$19*Parameters!$B$25^'6states'!T64)^((1-'6states'!T64)/'6states'!T64)*Parameters!$B$18*Parameters!$B$26^('6states'!T64-1)</f>
        <v>0.29666503349049828</v>
      </c>
      <c r="CD64">
        <f t="shared" si="65"/>
        <v>0.22065356072308367</v>
      </c>
      <c r="CE64">
        <f t="shared" si="66"/>
        <v>0.14587013030665896</v>
      </c>
      <c r="CF64">
        <f t="shared" si="67"/>
        <v>0.18586781077157344</v>
      </c>
    </row>
    <row r="65" spans="1:84" x14ac:dyDescent="0.25">
      <c r="A65">
        <f>A64+Parameters!$B$65</f>
        <v>61</v>
      </c>
      <c r="B65">
        <v>2086</v>
      </c>
      <c r="C65" s="74">
        <v>2.1778801227123699E-3</v>
      </c>
      <c r="D65" s="69">
        <v>8.5998221395092E-2</v>
      </c>
      <c r="E65" s="75">
        <v>0.22001747075391101</v>
      </c>
      <c r="F65" s="7">
        <f>MAX((1-Parameters!$B$4)^Parameters!B$65*F64 + C64*Parameters!B$65 - IF(C64&gt;0,Parameters!$B$5,0)*C64^2/F64*Parameters!B$65, 0.0001)</f>
        <v>6.3640862036265886E-2</v>
      </c>
      <c r="G65" s="7">
        <f>(1-Parameters!$B$4)^Parameters!B$65*G64+D64*Parameters!B$65-Parameters!$B$5*D64^2/G64*Parameters!B$65</f>
        <v>1.1639481655860373</v>
      </c>
      <c r="H65" s="7">
        <f>(1-Parameters!$B$4)^Parameters!B$65*H64+E64*Parameters!B$65-Parameters!$B$5*E64^2/H64*Parameters!B$65</f>
        <v>3.2687337260056175</v>
      </c>
      <c r="I65" s="9">
        <f>I64 *(1-Parameters!$B$4)-C64*(C64&lt;0)*Parameters!B$65</f>
        <v>3.4144955639956818E-3</v>
      </c>
      <c r="J65" s="23">
        <f>J64*(1+Parameters!$B$51)^Parameters!B$65</f>
        <v>9.7365627874838783</v>
      </c>
      <c r="K65" s="23">
        <f>K64*(1+Parameters!$B$53)^Parameters!B$65</f>
        <v>30.295855842412106</v>
      </c>
      <c r="L65" s="23">
        <f>J65*K65*EXP(-Parameters!$B$42*'6states'!A65)*(Parameters!$B$37/Parameters!$B$38*('6states'!F65+'6states'!I65)/Parameters!$E$25*(EXP(-Parameters!$B$38*Parameters!$E$25*'6states'!I65/('6states'!F65+'6states'!I65))-EXP(-Parameters!$B$38*Parameters!$E$25))  +  Parameters!$B$39*'6states'!F65)</f>
        <v>7.9998851832531246</v>
      </c>
      <c r="M65" s="8">
        <f>M64+L65*Parameters!B$65</f>
        <v>3427.1159395957429</v>
      </c>
      <c r="N65" s="7">
        <f>M65*Parameters!$B$45</f>
        <v>2.0562695637574455</v>
      </c>
      <c r="O65" s="9">
        <f>EXP(-Parameters!$B$46/2*N65^2)</f>
        <v>0.95839635253460176</v>
      </c>
      <c r="P65" s="8">
        <f>MAX((Parameters!$B$62 + Parameters!$B$31*'6states'!A65 - '6states'!M65 + Parameters!$B$47/Parameters!$B$45)/Parameters!B$62,1)</f>
        <v>43.361681208085145</v>
      </c>
      <c r="Q65" s="7">
        <f>Parameters!B$61*EXP(-Parameters!B$60*A65)</f>
        <v>9.6313461718039159E-2</v>
      </c>
      <c r="R65" s="7">
        <f>(1-Parameters!B$61)*P65^-Parameters!B$63</f>
        <v>0.34297257423114252</v>
      </c>
      <c r="S65" s="7">
        <f>Parameters!B$61*EXP(-Parameters!B$60*A65)+(1-Parameters!B$61)*P65^-Parameters!B$63</f>
        <v>0.4392860359491817</v>
      </c>
      <c r="T65" s="7">
        <f>1-S65/Parameters!$B$12</f>
        <v>0.78035698202540915</v>
      </c>
      <c r="U65" s="7">
        <f t="shared" si="0"/>
        <v>4.5528421946728299</v>
      </c>
      <c r="V65" s="7">
        <f>(Parameters!$B$19*(F65+Parameters!$B$20)^T65+Parameters!$B$18*G65^T65)^(1/T65)</f>
        <v>0.3420821873376324</v>
      </c>
      <c r="W65" s="7">
        <f>(Parameters!$B$10*H65^Parameters!$B$9+Parameters!$B$11*V65^Parameters!$B$9)^(Parameters!$B$7/Parameters!$B$9)*O65</f>
        <v>1.3285414757587695</v>
      </c>
      <c r="X65" s="7">
        <f>W65 - D65 - E65 - LN(1+EXP(Parameters!$B$21*C65))/Parameters!$B$21 - IF(C65&gt;0, 0,Parameters!$B$6*C65^2/F65)</f>
        <v>1.0189515608839734</v>
      </c>
      <c r="Y65" s="7">
        <f>EXP(-Parameters!$B$55*A65)</f>
        <v>0.39808091115496053</v>
      </c>
      <c r="Z65" s="7">
        <f>IF(X65&gt;0,X65^(1-Parameters!$B$52)/(1-Parameters!$B$52)*Y65*Parameters!$B$65,-10+X65*1000)</f>
        <v>-1.1299248753087636</v>
      </c>
      <c r="AC65">
        <f t="shared" si="6"/>
        <v>0.6424256395821033</v>
      </c>
      <c r="AD65">
        <f t="shared" si="7"/>
        <v>25.367540576043801</v>
      </c>
      <c r="AE65" s="23">
        <f t="shared" si="8"/>
        <v>1.0071993741410721</v>
      </c>
      <c r="AF65" s="23">
        <f t="shared" si="9"/>
        <v>18.772622547418365</v>
      </c>
      <c r="AG65" s="23">
        <f t="shared" si="10"/>
        <v>343.33852305229948</v>
      </c>
      <c r="AH65" s="23">
        <f t="shared" si="11"/>
        <v>100.90654930829135</v>
      </c>
      <c r="AI65" s="23">
        <f t="shared" si="12"/>
        <v>248.33870021257982</v>
      </c>
      <c r="AJ65" s="23">
        <f t="shared" si="13"/>
        <v>391.88984663339903</v>
      </c>
      <c r="AK65" s="23">
        <f t="shared" si="14"/>
        <v>300.56778671032549</v>
      </c>
      <c r="AL65" s="9">
        <f t="shared" si="23"/>
        <v>2.2036556955900011E-2</v>
      </c>
      <c r="AM65" s="9">
        <f t="shared" si="24"/>
        <v>2.2176241993126844E-2</v>
      </c>
      <c r="AN65" s="9">
        <f t="shared" ref="AN65:AO65" si="96">AVERAGE(AL63:AL67)</f>
        <v>2.2336469079120215E-2</v>
      </c>
      <c r="AO65" s="9">
        <f t="shared" si="96"/>
        <v>2.1734666361714616E-2</v>
      </c>
      <c r="AP65" s="23"/>
      <c r="AQ65" s="25">
        <f t="shared" si="1"/>
        <v>391.88984663339897</v>
      </c>
      <c r="AR65" s="32">
        <f>Parameters!$B$7*W65*(W65/O65)^(-Parameters!$B$9/Parameters!$B$7)*Parameters!$B$11*(V65)^(Parameters!$B$9-T65)*((1-2*Parameters!$B$5*C65/F65)*Parameters!$B$19*(F65+Parameters!$B$20)^(T65-1)-(1-2*Parameters!$B$5*D65/G65)*(Parameters!$B$18)*(G65)^(T65-1))</f>
        <v>0.26370926079644208</v>
      </c>
      <c r="AS65" s="32">
        <f>((C66-C64)/2-(F66-F64)/F65/2*C65)/(F65/2/Parameters!$B$5-C65)-((D66-D64)/D65-(G66-G64)/G65)/(G65/2/Parameters!$B$5/D65-1)</f>
        <v>2.6012293327709643E-2</v>
      </c>
      <c r="AT65" s="32">
        <f>+Parameters!$B$5*C65^2/F65^2-Parameters!$B$5*D65^2/G65^2</f>
        <v>-4.2878769494757406E-3</v>
      </c>
      <c r="AU65" s="30">
        <f>EXP(-Parameters!$B$42*'6states'!A65)*(Parameters!$B$37*EXP(-Parameters!$B$38*Parameters!$E$25*'6states'!I65/('6states'!F65+'6states'!I65))*(1/Parameters!$B$38/Parameters!$E$25+'6states'!I65/('6states'!F65+'6states'!I65))-Parameters!$B$37/Parameters!$B$38/Parameters!$E$25*EXP(-Parameters!$B$38*Parameters!$E$25)+Parameters!$B$39)</f>
        <v>0.44502691670962913</v>
      </c>
      <c r="AV65" s="30">
        <f>J65*K65*EXP(-Parameters!$B$42*'6states'!A65)*(Parameters!$B$37*EXP(-Parameters!$B$38*Parameters!$E$25*'6states'!I65/('6states'!F65+'6states'!I65))*(1/Parameters!$B$38/Parameters!$E$25+'6states'!I65/('6states'!F65+'6states'!I65))-Parameters!$B$37/Parameters!$B$38/Parameters!$E$25*EXP(-Parameters!$B$38*Parameters!$E$25)+Parameters!$B$39)</f>
        <v>131.27292848532645</v>
      </c>
      <c r="AW65" s="8">
        <f>1000*(AR65+AS65+AT65)/(EXP(-Parameters!$B$42*A65)*((C65&lt;0)*Parameters!$B$37*EXP(-Parameters!$B$38*AF65)+(C65&gt;=0)*Parameters!$B$41))</f>
        <v>576.84881213886104</v>
      </c>
      <c r="AX65" s="13">
        <f>1-W65/'6states,ExoDamages'!T65</f>
        <v>9.3556302410475745E-2</v>
      </c>
      <c r="AY65" s="21">
        <f>-Y65*W65*X65^(-Parameters!B$52)*Parameters!B$46*Parameters!B$45*N65</f>
        <v>-1.2786937647901907E-5</v>
      </c>
      <c r="AZ65" s="7">
        <f>1000*EXP(-(Parameters!$B$54)*'6states'!A65)*AQ65*Parameters!B$46*Parameters!B$45*N65</f>
        <v>1.1421508084005081</v>
      </c>
      <c r="BA65" s="7">
        <f>SUM(AZ65:AZ$204)*EXP(Parameters!$B$54*A65)</f>
        <v>750.6589031961654</v>
      </c>
      <c r="BB65" s="13">
        <f t="shared" si="77"/>
        <v>0.23197888654224882</v>
      </c>
      <c r="BF65" s="5"/>
      <c r="BG65" s="5"/>
      <c r="BH65" s="5"/>
      <c r="BK65">
        <f>-EXP(-Parameters!B$42*'6states'!A65)*(-Parameters!B$37/Parameters!B$38/Parameters!E$25*(EXP(-Parameters!B$38*Parameters!E$25*'6states'!I65/('6states'!F65+'6states'!I65))-EXP(-Parameters!B$38*Parameters!E$25))+Parameters!B$37*'6states'!F65/('6states'!F65+'6states'!I65)*EXP(-Parameters!B$38*Parameters!E$25*'6states'!I65/('6states'!F65+'6states'!I65)))</f>
        <v>-0.35190366145768692</v>
      </c>
      <c r="BL65">
        <f>-J65*K65*EXP(-Parameters!B$42*'6states'!A65)*(-Parameters!B$37/Parameters!B$38/Parameters!E$25*(EXP(-Parameters!B$38*Parameters!E$25*'6states'!I65/('6states'!F65+'6states'!I65))-EXP(-Parameters!B$38*Parameters!E$25)) + Parameters!B$37*'6states'!F65/('6states'!F65+'6states'!I65)*EXP(-Parameters!B$38*Parameters!E$25*'6states'!I65/('6states'!F65+'6states'!I65)))</f>
        <v>-103.80366321617581</v>
      </c>
      <c r="BM65" s="7">
        <f t="shared" si="59"/>
        <v>5.0920548129063478E-2</v>
      </c>
      <c r="BS65">
        <f>EXP(-Parameters!$B$56*A65)*BF65*BL65</f>
        <v>0</v>
      </c>
      <c r="BT65">
        <f>-EXP((Parameters!$B$56)*F65)*SUM(BS65:BS73)</f>
        <v>0</v>
      </c>
      <c r="BU65">
        <f>X65^-Parameters!B$52/(1-2*Parameters!B$5*'6states'!D65/'6states'!G65)</f>
        <v>1.1440258207203693</v>
      </c>
      <c r="BV65">
        <f t="shared" si="61"/>
        <v>1.0020150345608201</v>
      </c>
      <c r="BW65">
        <f>$X65^-Parameters!$B$52/(1-2*Parameters!$B$5*'6states'!$E65/'6states'!$H65)</f>
        <v>1.1266410281807278</v>
      </c>
      <c r="BX65">
        <f t="shared" si="62"/>
        <v>0.99877562576006429</v>
      </c>
      <c r="BY65" s="7">
        <f>($X65^-Parameters!$B$52*(1/(1+EXP(-C65)) + IF(C65&lt;0,2*Parameters!$B$6*C65/F65,0)) + BQ65*(1/(1+EXP((C65-Parameters!$B$22)*Parameters!$B$21))))/(1-IF(C65&gt;0,2*Parameters!$B$5*C65/F65,0))</f>
        <v>0.52387282862564799</v>
      </c>
      <c r="BZ65">
        <f t="shared" si="63"/>
        <v>1.0693043860445799</v>
      </c>
      <c r="CA65" s="7">
        <f t="shared" si="64"/>
        <v>3.3953554504380645E-2</v>
      </c>
      <c r="CB65">
        <f>(1/$T65-1/Parameters!$B$13) * LN(Parameters!$B$18) / LN(P65)</f>
        <v>0.22707482793643399</v>
      </c>
      <c r="CC65">
        <f>(Parameters!$B$18*'6states'!T65^+Parameters!$B$19*Parameters!$B$25^'6states'!T65)^((1-'6states'!T65)/'6states'!T65)*Parameters!$B$18*Parameters!$B$26^('6states'!T65-1)</f>
        <v>0.2970902689747883</v>
      </c>
      <c r="CD65">
        <f t="shared" si="65"/>
        <v>0.21980029644383889</v>
      </c>
      <c r="CE65">
        <f t="shared" si="66"/>
        <v>0.14563457343725827</v>
      </c>
      <c r="CF65">
        <f t="shared" si="67"/>
        <v>0.18610774150531495</v>
      </c>
    </row>
    <row r="66" spans="1:84" x14ac:dyDescent="0.25">
      <c r="A66">
        <f>A65+Parameters!$B$65</f>
        <v>62</v>
      </c>
      <c r="B66">
        <v>2087</v>
      </c>
      <c r="C66" s="74">
        <v>2.0399374261516E-3</v>
      </c>
      <c r="D66" s="69">
        <v>9.0122986496367297E-2</v>
      </c>
      <c r="E66" s="75">
        <v>0.213336930691609</v>
      </c>
      <c r="F66" s="7">
        <f>MAX((1-Parameters!$B$4)^Parameters!B$65*F65 + C65*Parameters!B$65 - IF(C65&gt;0,Parameters!$B$5,0)*C65^2/F65*Parameters!B$65, 0.0001)</f>
        <v>6.1741201805199632E-2</v>
      </c>
      <c r="G66" s="7">
        <f>(1-Parameters!$B$4)^Parameters!B$65*G65+D65*Parameters!B$65-Parameters!$B$5*D65^2/G65*Parameters!B$65</f>
        <v>1.1703800753403935</v>
      </c>
      <c r="H66" s="7">
        <f>(1-Parameters!$B$4)^Parameters!B$65*H65+E65*Parameters!B$65-Parameters!$B$5*E65^2/H65*Parameters!B$65</f>
        <v>3.2683385365009086</v>
      </c>
      <c r="I66" s="9">
        <f>I65 *(1-Parameters!$B$4)-C65*(C65&lt;0)*Parameters!B$65</f>
        <v>3.1997237930203536E-3</v>
      </c>
      <c r="J66" s="23">
        <f>J65*(1+Parameters!$B$51)^Parameters!B$65</f>
        <v>9.7647988195675808</v>
      </c>
      <c r="K66" s="23">
        <f>K65*(1+Parameters!$B$53)^Parameters!B$65</f>
        <v>30.901772959260349</v>
      </c>
      <c r="L66" s="23">
        <f>J66*K66*EXP(-Parameters!$B$42*'6states'!A66)*(Parameters!$B$37/Parameters!$B$38*('6states'!F66+'6states'!I66)/Parameters!$E$25*(EXP(-Parameters!$B$38*Parameters!$E$25*'6states'!I66/('6states'!F66+'6states'!I66))-EXP(-Parameters!$B$38*Parameters!$E$25))  +  Parameters!$B$39*'6states'!F66)</f>
        <v>7.8725744804031361</v>
      </c>
      <c r="M66" s="8">
        <f>M65+L66*Parameters!B$65</f>
        <v>3434.9885140761462</v>
      </c>
      <c r="N66" s="7">
        <f>M66*Parameters!$B$45</f>
        <v>2.0609931084456874</v>
      </c>
      <c r="O66" s="9">
        <f>EXP(-Parameters!$B$46/2*N66^2)</f>
        <v>0.95820904925752115</v>
      </c>
      <c r="P66" s="8">
        <f>MAX((Parameters!$B$62 + Parameters!$B$31*'6states'!A66 - '6states'!M66 + Parameters!$B$47/Parameters!$B$45)/Parameters!B$62,1)</f>
        <v>44.26822971847708</v>
      </c>
      <c r="Q66" s="7">
        <f>Parameters!B$61*EXP(-Parameters!B$60*A66)</f>
        <v>9.3747790673377282E-2</v>
      </c>
      <c r="R66" s="7">
        <f>(1-Parameters!B$61)*P66^-Parameters!B$63</f>
        <v>0.34226365895257488</v>
      </c>
      <c r="S66" s="7">
        <f>Parameters!B$61*EXP(-Parameters!B$60*A66)+(1-Parameters!B$61)*P66^-Parameters!B$63</f>
        <v>0.43601144962595217</v>
      </c>
      <c r="T66" s="7">
        <f>1-S66/Parameters!$B$12</f>
        <v>0.78199427518702391</v>
      </c>
      <c r="U66" s="7">
        <f t="shared" si="0"/>
        <v>4.5870355049523832</v>
      </c>
      <c r="V66" s="7">
        <f>(Parameters!$B$19*(F66+Parameters!$B$20)^T66+Parameters!$B$18*G66^T66)^(1/T66)</f>
        <v>0.34218683379297721</v>
      </c>
      <c r="W66" s="7">
        <f>(Parameters!$B$10*H66^Parameters!$B$9+Parameters!$B$11*V66^Parameters!$B$9)^(Parameters!$B$7/Parameters!$B$9)*O66</f>
        <v>1.3282877715560442</v>
      </c>
      <c r="X66" s="7">
        <f>W66 - D66 - E66 - LN(1+EXP(Parameters!$B$21*C66))/Parameters!$B$21 - IF(C66&gt;0, 0,Parameters!$B$6*C66^2/F66)</f>
        <v>1.0213437206760965</v>
      </c>
      <c r="Y66" s="7">
        <f>EXP(-Parameters!$B$55*A66)</f>
        <v>0.39211504504167288</v>
      </c>
      <c r="Z66" s="7">
        <f>IF(X66&gt;0,X66^(1-Parameters!$B$52)/(1-Parameters!$B$52)*Y66*Parameters!$B$65,-10+X66*1000)</f>
        <v>-1.1120781006527518</v>
      </c>
      <c r="AC66">
        <f t="shared" si="6"/>
        <v>0.61555029444138487</v>
      </c>
      <c r="AD66">
        <f t="shared" si="7"/>
        <v>27.194574775968224</v>
      </c>
      <c r="AE66" s="23">
        <f t="shared" si="8"/>
        <v>0.96551536222386625</v>
      </c>
      <c r="AF66" s="23">
        <f t="shared" si="9"/>
        <v>18.630382708381777</v>
      </c>
      <c r="AG66" s="23">
        <f t="shared" si="10"/>
        <v>353.16171503516011</v>
      </c>
      <c r="AH66" s="23">
        <f t="shared" si="11"/>
        <v>103.25473889294628</v>
      </c>
      <c r="AI66" s="23">
        <f t="shared" si="12"/>
        <v>254.11777355621666</v>
      </c>
      <c r="AJ66" s="23">
        <f t="shared" si="13"/>
        <v>400.81029859170354</v>
      </c>
      <c r="AK66" s="23">
        <f t="shared" si="14"/>
        <v>308.19005520873708</v>
      </c>
      <c r="AL66" s="9">
        <f t="shared" si="23"/>
        <v>2.2507447714264828E-2</v>
      </c>
      <c r="AM66" s="9">
        <f t="shared" si="24"/>
        <v>2.5043346764064722E-2</v>
      </c>
      <c r="AN66" s="9">
        <f t="shared" ref="AN66:AO66" si="97">AVERAGE(AL64:AL68)</f>
        <v>2.2354520937817667E-2</v>
      </c>
      <c r="AO66" s="9">
        <f t="shared" si="97"/>
        <v>2.2626751821217539E-2</v>
      </c>
      <c r="AP66" s="23"/>
      <c r="AQ66" s="25">
        <f t="shared" si="1"/>
        <v>400.81029859170349</v>
      </c>
      <c r="AR66" s="32">
        <f>Parameters!$B$7*W66*(W66/O66)^(-Parameters!$B$9/Parameters!$B$7)*Parameters!$B$11*(V66)^(Parameters!$B$9-T66)*((1-2*Parameters!$B$5*C66/F66)*Parameters!$B$19*(F66+Parameters!$B$20)^(T66-1)-(1-2*Parameters!$B$5*D66/G66)*(Parameters!$B$18)*(G66)^(T66-1))</f>
        <v>0.26569642064313004</v>
      </c>
      <c r="AS66" s="32">
        <f>((C67-C65)/2-(F67-F65)/F66/2*C66)/(F66/2/Parameters!$B$5-C66)-((D67-D65)/D66-(G67-G65)/G66)/(G66/2/Parameters!$B$5/D66-1)</f>
        <v>-5.4289204105827209E-3</v>
      </c>
      <c r="AT66" s="32">
        <f>+Parameters!$B$5*C66^2/F66^2-Parameters!$B$5*D66^2/G66^2</f>
        <v>-4.8378392945482738E-3</v>
      </c>
      <c r="AU66" s="30">
        <f>EXP(-Parameters!$B$42*'6states'!A66)*(Parameters!$B$37*EXP(-Parameters!$B$38*Parameters!$E$25*'6states'!I66/('6states'!F66+'6states'!I66))*(1/Parameters!$B$38/Parameters!$E$25+'6states'!I66/('6states'!F66+'6states'!I66))-Parameters!$B$37/Parameters!$B$38/Parameters!$E$25*EXP(-Parameters!$B$38*Parameters!$E$25)+Parameters!$B$39)</f>
        <v>0.4419705922892197</v>
      </c>
      <c r="AV66" s="30">
        <f>J66*K66*EXP(-Parameters!$B$42*'6states'!A66)*(Parameters!$B$37*EXP(-Parameters!$B$38*Parameters!$E$25*'6states'!I66/('6states'!F66+'6states'!I66))*(1/Parameters!$B$38/Parameters!$E$25+'6states'!I66/('6states'!F66+'6states'!I66))-Parameters!$B$37/Parameters!$B$38/Parameters!$E$25*EXP(-Parameters!$B$38*Parameters!$E$25)+Parameters!$B$39)</f>
        <v>133.36444771803721</v>
      </c>
      <c r="AW66" s="8">
        <f>1000*(AR66+AS66+AT66)/(EXP(-Parameters!$B$42*A66)*((C66&lt;0)*Parameters!$B$37*EXP(-Parameters!$B$38*AF66)+(C66&gt;=0)*Parameters!$B$41))</f>
        <v>521.40004210062398</v>
      </c>
      <c r="AX66" s="13">
        <f>1-W66/'6states,ExoDamages'!T66</f>
        <v>9.3523632159849823E-2</v>
      </c>
      <c r="AY66" s="21">
        <f>-Y66*W66*X66^(-Parameters!B$52)*Parameters!B$46*Parameters!B$45*N66</f>
        <v>-1.2581934838248484E-5</v>
      </c>
      <c r="AZ66" s="7">
        <f>1000*EXP(-(Parameters!$B$54)*'6states'!A66)*AQ66*Parameters!B$46*Parameters!B$45*N66</f>
        <v>1.1304492442012246</v>
      </c>
      <c r="BA66" s="7">
        <f>SUM(AZ66:AZ$204)*EXP(Parameters!$B$54*A66)</f>
        <v>767.40940413666476</v>
      </c>
      <c r="BB66" s="13">
        <f t="shared" si="77"/>
        <v>0.22999523232548105</v>
      </c>
      <c r="BF66" s="5"/>
      <c r="BG66" s="5"/>
      <c r="BH66" s="5"/>
      <c r="BK66">
        <f>-EXP(-Parameters!B$42*'6states'!A66)*(-Parameters!B$37/Parameters!B$38/Parameters!E$25*(EXP(-Parameters!B$38*Parameters!E$25*'6states'!I66/('6states'!F66+'6states'!I66))-EXP(-Parameters!B$38*Parameters!E$25))+Parameters!B$37*'6states'!F66/('6states'!F66+'6states'!I66)*EXP(-Parameters!B$38*Parameters!E$25*'6states'!I66/('6states'!F66+'6states'!I66)))</f>
        <v>-0.37441848564950664</v>
      </c>
      <c r="BL66">
        <f>-J66*K66*EXP(-Parameters!B$42*'6states'!A66)*(-Parameters!B$37/Parameters!B$38/Parameters!E$25*(EXP(-Parameters!B$38*Parameters!E$25*'6states'!I66/('6states'!F66+'6states'!I66))-EXP(-Parameters!B$38*Parameters!E$25)) + Parameters!B$37*'6states'!F66/('6states'!F66+'6states'!I66)*EXP(-Parameters!B$38*Parameters!E$25*'6states'!I66/('6states'!F66+'6states'!I66)))</f>
        <v>-112.98062682277754</v>
      </c>
      <c r="BM66" s="7">
        <f t="shared" si="59"/>
        <v>4.927129947017659E-2</v>
      </c>
      <c r="BS66">
        <f>EXP(-Parameters!$B$56*A66)*BF66*BL66</f>
        <v>0</v>
      </c>
      <c r="BT66">
        <f>-EXP((Parameters!$B$56)*F66)*SUM(BS66:BS74)</f>
        <v>0</v>
      </c>
      <c r="BU66">
        <f>X66^-Parameters!B$52/(1-2*Parameters!B$5*'6states'!D66/'6states'!G66)</f>
        <v>1.1488168706008288</v>
      </c>
      <c r="BV66">
        <f t="shared" si="61"/>
        <v>1.004187886141803</v>
      </c>
      <c r="BW66">
        <f>$X66^-Parameters!$B$52/(1-2*Parameters!$B$5*'6states'!$E66/'6states'!$H66)</f>
        <v>1.1178206025704911</v>
      </c>
      <c r="BX66">
        <f t="shared" si="62"/>
        <v>0.99217104171638448</v>
      </c>
      <c r="BY66" s="7">
        <f>($X66^-Parameters!$B$52*(1/(1+EXP(-C66)) + IF(C66&lt;0,2*Parameters!$B$6*C66/F66,0)) + BQ66*(1/(1+EXP((C66-Parameters!$B$22)*Parameters!$B$21))))/(1-IF(C66&gt;0,2*Parameters!$B$5*C66/F66,0))</f>
        <v>0.52086010635180924</v>
      </c>
      <c r="BZ66">
        <f t="shared" si="63"/>
        <v>0.99424913431425244</v>
      </c>
      <c r="CA66" s="7">
        <f t="shared" si="64"/>
        <v>-3.0127222738387527E-3</v>
      </c>
      <c r="CB66">
        <f>(1/$T66-1/Parameters!$B$13) * LN(Parameters!$B$18) / LN(P66)</f>
        <v>0.22667850559273839</v>
      </c>
      <c r="CC66">
        <f>(Parameters!$B$18*'6states'!T66^+Parameters!$B$19*Parameters!$B$25^'6states'!T66)^((1-'6states'!T66)/'6states'!T66)*Parameters!$B$18*Parameters!$B$26^('6states'!T66-1)</f>
        <v>0.29749811098611961</v>
      </c>
      <c r="CD66">
        <f t="shared" si="65"/>
        <v>0.21896234252534505</v>
      </c>
      <c r="CE66">
        <f t="shared" si="66"/>
        <v>0.14539983871383588</v>
      </c>
      <c r="CF66">
        <f t="shared" si="67"/>
        <v>0.18633779188463284</v>
      </c>
    </row>
    <row r="67" spans="1:84" x14ac:dyDescent="0.25">
      <c r="A67">
        <f>A66+Parameters!$B$65</f>
        <v>63</v>
      </c>
      <c r="B67">
        <v>2088</v>
      </c>
      <c r="C67" s="74">
        <v>1.92631294126334E-3</v>
      </c>
      <c r="D67" s="69">
        <v>8.8838901887250105E-2</v>
      </c>
      <c r="E67" s="75">
        <v>0.21601721476631899</v>
      </c>
      <c r="F67" s="7">
        <f>MAX((1-Parameters!$B$4)^Parameters!B$65*F66 + C66*Parameters!B$65 - IF(C66&gt;0,Parameters!$B$5,0)*C66^2/F66*Parameters!B$65, 0.0001)</f>
        <v>5.9830217837007565E-2</v>
      </c>
      <c r="G67" s="7">
        <f>(1-Parameters!$B$4)^Parameters!B$65*G66+D66*Parameters!B$65-Parameters!$B$5*D66^2/G66*Parameters!B$65</f>
        <v>1.1799463986322745</v>
      </c>
      <c r="H67" s="7">
        <f>(1-Parameters!$B$4)^Parameters!B$65*H66+E66*Parameters!B$65-Parameters!$B$5*E66^2/H66*Parameters!B$65</f>
        <v>3.2621716575277433</v>
      </c>
      <c r="I67" s="9">
        <f>I66 *(1-Parameters!$B$4)-C66*(C66&lt;0)*Parameters!B$65</f>
        <v>2.9984611664393736E-3</v>
      </c>
      <c r="J67" s="23">
        <f>J66*(1+Parameters!$B$51)^Parameters!B$65</f>
        <v>9.7931167361443254</v>
      </c>
      <c r="K67" s="23">
        <f>K66*(1+Parameters!$B$53)^Parameters!B$65</f>
        <v>31.519808418445557</v>
      </c>
      <c r="L67" s="23">
        <f>J67*K67*EXP(-Parameters!$B$42*'6states'!A67)*(Parameters!$B$37/Parameters!$B$38*('6states'!F67+'6states'!I67)/Parameters!$E$25*(EXP(-Parameters!$B$38*Parameters!$E$25*'6states'!I67/('6states'!F67+'6states'!I67))-EXP(-Parameters!$B$38*Parameters!$E$25))  +  Parameters!$B$39*'6states'!F67)</f>
        <v>7.7385002307141884</v>
      </c>
      <c r="M67" s="8">
        <f>M66+L67*Parameters!B$65</f>
        <v>3442.7270143068604</v>
      </c>
      <c r="N67" s="7">
        <f>M67*Parameters!$B$45</f>
        <v>2.0656362085841162</v>
      </c>
      <c r="O67" s="9">
        <f>EXP(-Parameters!$B$46/2*N67^2)</f>
        <v>0.9580245528025807</v>
      </c>
      <c r="P67" s="8">
        <f>MAX((Parameters!$B$62 + Parameters!$B$31*'6states'!A67 - '6states'!M67 + Parameters!$B$47/Parameters!$B$45)/Parameters!B$62,1)</f>
        <v>45.177459713862802</v>
      </c>
      <c r="Q67" s="7">
        <f>Parameters!B$61*EXP(-Parameters!B$60*A67)</f>
        <v>9.1250465920002147E-2</v>
      </c>
      <c r="R67" s="7">
        <f>(1-Parameters!B$61)*P67^-Parameters!B$63</f>
        <v>0.34156850871630035</v>
      </c>
      <c r="S67" s="7">
        <f>Parameters!B$61*EXP(-Parameters!B$60*A67)+(1-Parameters!B$61)*P67^-Parameters!B$63</f>
        <v>0.43281897463630248</v>
      </c>
      <c r="T67" s="7">
        <f>1-S67/Parameters!$B$12</f>
        <v>0.78359051268184876</v>
      </c>
      <c r="U67" s="7">
        <f t="shared" si="0"/>
        <v>4.6208695024995121</v>
      </c>
      <c r="V67" s="7">
        <f>(Parameters!$B$19*(F67+Parameters!$B$20)^T67+Parameters!$B$18*G67^T67)^(1/T67)</f>
        <v>0.3430003516904086</v>
      </c>
      <c r="W67" s="7">
        <f>(Parameters!$B$10*H67^Parameters!$B$9+Parameters!$B$11*V67^Parameters!$B$9)^(Parameters!$B$7/Parameters!$B$9)*O67</f>
        <v>1.3278166429304386</v>
      </c>
      <c r="X67" s="7">
        <f>W67 - D67 - E67 - LN(1+EXP(Parameters!$B$21*C67))/Parameters!$B$21 - IF(C67&gt;0, 0,Parameters!$B$6*C67^2/F67)</f>
        <v>1.0195496228882936</v>
      </c>
      <c r="Y67" s="7">
        <f>EXP(-Parameters!$B$55*A67)</f>
        <v>0.38623858677860945</v>
      </c>
      <c r="Z67" s="7">
        <f>IF(X67&gt;0,X67^(1-Parameters!$B$52)/(1-Parameters!$B$52)*Y67*Parameters!$B$65,-10+X67*1000)</f>
        <v>-1.096086139902948</v>
      </c>
      <c r="AC67">
        <f t="shared" si="6"/>
        <v>0.59460881441958169</v>
      </c>
      <c r="AD67">
        <f t="shared" si="7"/>
        <v>27.422540229040528</v>
      </c>
      <c r="AE67" s="23">
        <f t="shared" si="8"/>
        <v>0.92555648724987516</v>
      </c>
      <c r="AF67" s="23">
        <f t="shared" si="9"/>
        <v>18.468221924105819</v>
      </c>
      <c r="AG67" s="23">
        <f t="shared" si="10"/>
        <v>364.22250722629468</v>
      </c>
      <c r="AH67" s="23">
        <f t="shared" si="11"/>
        <v>105.8763755853582</v>
      </c>
      <c r="AI67" s="23">
        <f t="shared" si="12"/>
        <v>260.56982105051827</v>
      </c>
      <c r="AJ67" s="23">
        <f t="shared" si="13"/>
        <v>409.86667477905024</v>
      </c>
      <c r="AK67" s="23">
        <f t="shared" si="14"/>
        <v>314.7116854803208</v>
      </c>
      <c r="AL67" s="9">
        <f t="shared" si="23"/>
        <v>2.2343678819392032E-2</v>
      </c>
      <c r="AM67" s="9">
        <f t="shared" si="24"/>
        <v>2.0940280472929729E-2</v>
      </c>
      <c r="AN67" s="9">
        <f t="shared" ref="AN67:AO67" si="98">AVERAGE(AL65:AL69)</f>
        <v>2.2257839637363653E-2</v>
      </c>
      <c r="AO67" s="9">
        <f t="shared" si="98"/>
        <v>2.1781010096992227E-2</v>
      </c>
      <c r="AP67" s="23"/>
      <c r="AQ67" s="25">
        <f t="shared" si="1"/>
        <v>409.8666747790503</v>
      </c>
      <c r="AR67" s="32">
        <f>Parameters!$B$7*W67*(W67/O67)^(-Parameters!$B$9/Parameters!$B$7)*Parameters!$B$11*(V67)^(Parameters!$B$9-T67)*((1-2*Parameters!$B$5*C67/F67)*Parameters!$B$19*(F67+Parameters!$B$20)^(T67-1)-(1-2*Parameters!$B$5*D67/G67)*(Parameters!$B$18)*(G67)^(T67-1))</f>
        <v>0.2634549294767885</v>
      </c>
      <c r="AS67" s="32">
        <f>((C68-C66)/2-(F68-F66)/F67/2*C67)/(F67/2/Parameters!$B$5-C67)-((D68-D66)/D67-(G68-G66)/G67)/(G67/2/Parameters!$B$5/D67-1)</f>
        <v>-2.282494745359729E-2</v>
      </c>
      <c r="AT67" s="32">
        <f>+Parameters!$B$5*C67^2/F67^2-Parameters!$B$5*D67^2/G67^2</f>
        <v>-4.6320750900912359E-3</v>
      </c>
      <c r="AU67" s="30">
        <f>EXP(-Parameters!$B$42*'6states'!A67)*(Parameters!$B$37*EXP(-Parameters!$B$38*Parameters!$E$25*'6states'!I67/('6states'!F67+'6states'!I67))*(1/Parameters!$B$38/Parameters!$E$25+'6states'!I67/('6states'!F67+'6states'!I67))-Parameters!$B$37/Parameters!$B$38/Parameters!$E$25*EXP(-Parameters!$B$38*Parameters!$E$25)+Parameters!$B$39)</f>
        <v>0.43889294982176602</v>
      </c>
      <c r="AV67" s="30">
        <f>J67*K67*EXP(-Parameters!$B$42*'6states'!A67)*(Parameters!$B$37*EXP(-Parameters!$B$38*Parameters!$E$25*'6states'!I67/('6states'!F67+'6states'!I67))*(1/Parameters!$B$38/Parameters!$E$25+'6states'!I67/('6states'!F67+'6states'!I67))-Parameters!$B$37/Parameters!$B$38/Parameters!$E$25*EXP(-Parameters!$B$38*Parameters!$E$25)+Parameters!$B$39)</f>
        <v>135.47623076211113</v>
      </c>
      <c r="AW67" s="8">
        <f>1000*(AR67+AS67+AT67)/(EXP(-Parameters!$B$42*A67)*((C67&lt;0)*Parameters!$B$37*EXP(-Parameters!$B$38*AF67)+(C67&gt;=0)*Parameters!$B$41))</f>
        <v>486.57616490504216</v>
      </c>
      <c r="AX67" s="13">
        <f>1-W67/'6states,ExoDamages'!T67</f>
        <v>9.3644606776450479E-2</v>
      </c>
      <c r="AY67" s="21">
        <f>-Y67*W67*X67^(-Parameters!B$52)*Parameters!B$46*Parameters!B$45*N67</f>
        <v>-1.2446396025830016E-5</v>
      </c>
      <c r="AZ67" s="7">
        <f>1000*EXP(-(Parameters!$B$54)*'6states'!A67)*AQ67*Parameters!B$46*Parameters!B$45*N67</f>
        <v>1.1186349037138406</v>
      </c>
      <c r="BA67" s="7">
        <f>SUM(AZ67:AZ$204)*EXP(Parameters!$B$54*A67)</f>
        <v>784.50552231696247</v>
      </c>
      <c r="BB67" s="13">
        <f t="shared" si="77"/>
        <v>0.23104276575248808</v>
      </c>
      <c r="BF67" s="5"/>
      <c r="BG67" s="5"/>
      <c r="BH67" s="5"/>
      <c r="BK67">
        <f>-EXP(-Parameters!B$42*'6states'!A67)*(-Parameters!B$37/Parameters!B$38/Parameters!E$25*(EXP(-Parameters!B$38*Parameters!E$25*'6states'!I67/('6states'!F67+'6states'!I67))-EXP(-Parameters!B$38*Parameters!E$25))+Parameters!B$37*'6states'!F67/('6states'!F67+'6states'!I67)*EXP(-Parameters!B$38*Parameters!E$25*'6states'!I67/('6states'!F67+'6states'!I67)))</f>
        <v>-0.39659618032640659</v>
      </c>
      <c r="BL67">
        <f>-J67*K67*EXP(-Parameters!B$42*'6states'!A67)*(-Parameters!B$37/Parameters!B$38/Parameters!E$25*(EXP(-Parameters!B$38*Parameters!E$25*'6states'!I67/('6states'!F67+'6states'!I67))-EXP(-Parameters!B$38*Parameters!E$25)) + Parameters!B$37*'6states'!F67/('6states'!F67+'6states'!I67)*EXP(-Parameters!B$38*Parameters!E$25*'6states'!I67/('6states'!F67+'6states'!I67)))</f>
        <v>-122.42018393572178</v>
      </c>
      <c r="BM67" s="7">
        <f t="shared" si="59"/>
        <v>4.7724402518074117E-2</v>
      </c>
      <c r="BS67">
        <f>EXP(-Parameters!$B$56*A67)*BF67*BL67</f>
        <v>0</v>
      </c>
      <c r="BT67">
        <f>-EXP((Parameters!$B$56)*F67)*SUM(BS67:BS75)</f>
        <v>0</v>
      </c>
      <c r="BU67">
        <f>X67^-Parameters!B$52/(1-2*Parameters!B$5*'6states'!D67/'6states'!G67)</f>
        <v>1.1469034508330458</v>
      </c>
      <c r="BV67">
        <f t="shared" si="61"/>
        <v>0.99833444318520292</v>
      </c>
      <c r="BW67">
        <f>$X67^-Parameters!$B$52/(1-2*Parameters!$B$5*'6states'!$E67/'6states'!$H67)</f>
        <v>1.1229179360256261</v>
      </c>
      <c r="BX67">
        <f t="shared" si="62"/>
        <v>1.0045600639703842</v>
      </c>
      <c r="BY67" s="7">
        <f>($X67^-Parameters!$B$52*(1/(1+EXP(-C67)) + IF(C67&lt;0,2*Parameters!$B$6*C67/F67,0)) + BQ67*(1/(1+EXP((C67-Parameters!$B$22)*Parameters!$B$21))))/(1-IF(C67&gt;0,2*Parameters!$B$5*C67/F67,0))</f>
        <v>0.5211265156115038</v>
      </c>
      <c r="BZ67">
        <f t="shared" si="63"/>
        <v>1.0005114794864221</v>
      </c>
      <c r="CA67" s="7">
        <f t="shared" si="64"/>
        <v>2.6640925969456664E-4</v>
      </c>
      <c r="CB67">
        <f>(1/$T67-1/Parameters!$B$13) * LN(Parameters!$B$18) / LN(P67)</f>
        <v>0.226283463657069</v>
      </c>
      <c r="CC67">
        <f>(Parameters!$B$18*'6states'!T67^+Parameters!$B$19*Parameters!$B$25^'6states'!T67)^((1-'6states'!T67)/'6states'!T67)*Parameters!$B$18*Parameters!$B$26^('6states'!T67-1)</f>
        <v>0.29788940159323102</v>
      </c>
      <c r="CD67">
        <f t="shared" si="65"/>
        <v>0.21813902761808251</v>
      </c>
      <c r="CE67">
        <f t="shared" si="66"/>
        <v>0.14516579817292263</v>
      </c>
      <c r="CF67">
        <f t="shared" si="67"/>
        <v>0.18655844503631802</v>
      </c>
    </row>
    <row r="68" spans="1:84" x14ac:dyDescent="0.25">
      <c r="A68">
        <f>A67+Parameters!$B$65</f>
        <v>64</v>
      </c>
      <c r="B68">
        <v>2089</v>
      </c>
      <c r="C68" s="74">
        <v>3.3738199557776599E-4</v>
      </c>
      <c r="D68" s="69">
        <v>8.8734980209730002E-2</v>
      </c>
      <c r="E68" s="75">
        <v>0.21571234532573999</v>
      </c>
      <c r="F68" s="7">
        <f>MAX((1-Parameters!$B$4)^Parameters!B$65*F67 + C67*Parameters!B$65 - IF(C67&gt;0,Parameters!$B$5,0)*C67^2/F67*Parameters!B$65, 0.0001)</f>
        <v>5.7931189885158399E-2</v>
      </c>
      <c r="G68" s="7">
        <f>(1-Parameters!$B$4)^Parameters!B$65*G67+D67*Parameters!B$65-Parameters!$B$5*D67^2/G67*Parameters!B$65</f>
        <v>1.1878779355930507</v>
      </c>
      <c r="H68" s="7">
        <f>(1-Parameters!$B$4)^Parameters!B$65*H67+E67*Parameters!B$65-Parameters!$B$5*E67^2/H67*Parameters!B$65</f>
        <v>3.2586938662017406</v>
      </c>
      <c r="I68" s="9">
        <f>I67 *(1-Parameters!$B$4)-C67*(C67&lt;0)*Parameters!B$65</f>
        <v>2.8098579590703373E-3</v>
      </c>
      <c r="J68" s="23">
        <f>J67*(1+Parameters!$B$51)^Parameters!B$65</f>
        <v>9.821516774679143</v>
      </c>
      <c r="K68" s="23">
        <f>K67*(1+Parameters!$B$53)^Parameters!B$65</f>
        <v>32.150204586814468</v>
      </c>
      <c r="L68" s="23">
        <f>J68*K68*EXP(-Parameters!$B$42*'6states'!A68)*(Parameters!$B$37/Parameters!$B$38*('6states'!F68+'6states'!I68)/Parameters!$E$25*(EXP(-Parameters!$B$38*Parameters!$E$25*'6states'!I68/('6states'!F68+'6states'!I68))-EXP(-Parameters!$B$38*Parameters!$E$25))  +  Parameters!$B$39*'6states'!F68)</f>
        <v>7.6005948273028823</v>
      </c>
      <c r="M68" s="8">
        <f>M67+L68*Parameters!B$65</f>
        <v>3450.3276091341631</v>
      </c>
      <c r="N68" s="7">
        <f>M68*Parameters!$B$45</f>
        <v>2.0701965654804977</v>
      </c>
      <c r="O68" s="9">
        <f>EXP(-Parameters!$B$46/2*N68^2)</f>
        <v>0.95784297475421754</v>
      </c>
      <c r="P68" s="8">
        <f>MAX((Parameters!$B$62 + Parameters!$B$31*'6states'!A68 - '6states'!M68 + Parameters!$B$47/Parameters!$B$45)/Parameters!B$62,1)</f>
        <v>46.089447817316739</v>
      </c>
      <c r="Q68" s="7">
        <f>Parameters!B$61*EXP(-Parameters!B$60*A68)</f>
        <v>8.8819666797567476E-2</v>
      </c>
      <c r="R68" s="7">
        <f>(1-Parameters!B$61)*P68^-Parameters!B$63</f>
        <v>0.34088654039694816</v>
      </c>
      <c r="S68" s="7">
        <f>Parameters!B$61*EXP(-Parameters!B$60*A68)+(1-Parameters!B$61)*P68^-Parameters!B$63</f>
        <v>0.42970620719451563</v>
      </c>
      <c r="T68" s="7">
        <f>1-S68/Parameters!$B$12</f>
        <v>0.78514689640274216</v>
      </c>
      <c r="U68" s="7">
        <f t="shared" si="0"/>
        <v>4.6543428196154899</v>
      </c>
      <c r="V68" s="7">
        <f>(Parameters!$B$19*(F68+Parameters!$B$20)^T68+Parameters!$B$18*G68^T68)^(1/T68)</f>
        <v>0.34343702205501297</v>
      </c>
      <c r="W68" s="7">
        <f>(Parameters!$B$10*H68^Parameters!$B$9+Parameters!$B$11*V68^Parameters!$B$9)^(Parameters!$B$7/Parameters!$B$9)*O68</f>
        <v>1.3274320533333808</v>
      </c>
      <c r="X68" s="7">
        <f>W68 - D68 - E68 - LN(1+EXP(Parameters!$B$21*C68))/Parameters!$B$21 - IF(C68&gt;0, 0,Parameters!$B$6*C68^2/F68)</f>
        <v>1.0205012795211095</v>
      </c>
      <c r="Y68" s="7">
        <f>EXP(-Parameters!$B$55*A68)</f>
        <v>0.38045019644906247</v>
      </c>
      <c r="Z68" s="7">
        <f>IF(X68&gt;0,X68^(1-Parameters!$B$52)/(1-Parameters!$B$52)*Y68*Parameters!$B$65,-10+X68*1000)</f>
        <v>-1.0793070766369435</v>
      </c>
      <c r="AC68">
        <f t="shared" si="6"/>
        <v>0.10653301208816002</v>
      </c>
      <c r="AD68">
        <f t="shared" si="7"/>
        <v>28.019292206560142</v>
      </c>
      <c r="AE68" s="23">
        <f t="shared" si="8"/>
        <v>0.88725135260116428</v>
      </c>
      <c r="AF68" s="23">
        <f t="shared" si="9"/>
        <v>18.29257113068007</v>
      </c>
      <c r="AG68" s="23">
        <f t="shared" si="10"/>
        <v>375.08881958884467</v>
      </c>
      <c r="AH68" s="23">
        <f t="shared" si="11"/>
        <v>108.44497009821927</v>
      </c>
      <c r="AI68" s="23">
        <f t="shared" si="12"/>
        <v>266.89132770266053</v>
      </c>
      <c r="AJ68" s="23">
        <f t="shared" si="13"/>
        <v>419.15495443615077</v>
      </c>
      <c r="AK68" s="23">
        <f t="shared" si="14"/>
        <v>322.23733504518333</v>
      </c>
      <c r="AL68" s="9">
        <f t="shared" si="23"/>
        <v>2.2408747863373435E-2</v>
      </c>
      <c r="AM68" s="9">
        <f t="shared" si="24"/>
        <v>2.3631403895015168E-2</v>
      </c>
      <c r="AN68" s="9">
        <f t="shared" ref="AN68:AO68" si="99">AVERAGE(AL66:AL70)</f>
        <v>2.2372919980846007E-2</v>
      </c>
      <c r="AO68" s="9">
        <f t="shared" si="99"/>
        <v>2.2410192572918673E-2</v>
      </c>
      <c r="AP68" s="23"/>
      <c r="AQ68" s="25">
        <f t="shared" ref="AQ68:AQ131" si="100">W68*K68*J68</f>
        <v>419.15495443615083</v>
      </c>
      <c r="AR68" s="32">
        <f>Parameters!$B$7*W68*(W68/O68)^(-Parameters!$B$9/Parameters!$B$7)*Parameters!$B$11*(V68)^(Parameters!$B$9-T68)*((1-2*Parameters!$B$5*C68/F68)*Parameters!$B$19*(F68+Parameters!$B$20)^(T68-1)-(1-2*Parameters!$B$5*D68/G68)*(Parameters!$B$18)*(G68)^(T68-1))</f>
        <v>0.28128351841238064</v>
      </c>
      <c r="AS68" s="32">
        <f>((C69-C67)/2-(F69-F67)/F68/2*C68)/(F68/2/Parameters!$B$5-C68)-((D69-D67)/D68-(G69-G67)/G68)/(G68/2/Parameters!$B$5/D68-1)</f>
        <v>2.6359258457347417E-3</v>
      </c>
      <c r="AT68" s="32">
        <f>+Parameters!$B$5*C68^2/F68^2-Parameters!$B$5*D68^2/G68^2</f>
        <v>-5.5462355715281608E-3</v>
      </c>
      <c r="AU68" s="30">
        <f>EXP(-Parameters!$B$42*'6states'!A68)*(Parameters!$B$37*EXP(-Parameters!$B$38*Parameters!$E$25*'6states'!I68/('6states'!F68+'6states'!I68))*(1/Parameters!$B$38/Parameters!$E$25+'6states'!I68/('6states'!F68+'6states'!I68))-Parameters!$B$37/Parameters!$B$38/Parameters!$E$25*EXP(-Parameters!$B$38*Parameters!$E$25)+Parameters!$B$39)</f>
        <v>0.4358044032799494</v>
      </c>
      <c r="AV68" s="30">
        <f>J68*K68*EXP(-Parameters!$B$42*'6states'!A68)*(Parameters!$B$37*EXP(-Parameters!$B$38*Parameters!$E$25*'6states'!I68/('6states'!F68+'6states'!I68))*(1/Parameters!$B$38/Parameters!$E$25+'6states'!I68/('6states'!F68+'6states'!I68))-Parameters!$B$37/Parameters!$B$38/Parameters!$E$25*EXP(-Parameters!$B$38*Parameters!$E$25)+Parameters!$B$39)</f>
        <v>137.61124295678292</v>
      </c>
      <c r="AW68" s="8">
        <f>1000*(AR68+AS68+AT68)/(EXP(-Parameters!$B$42*A68)*((C68&lt;0)*Parameters!$B$37*EXP(-Parameters!$B$38*AF68)+(C68&gt;=0)*Parameters!$B$41))</f>
        <v>579.71302744091827</v>
      </c>
      <c r="AX68" s="13">
        <f>1-W68/'6states,ExoDamages'!T68</f>
        <v>9.3711726074913071E-2</v>
      </c>
      <c r="AY68" s="21">
        <f>-Y68*W68*X68^(-Parameters!B$52)*Parameters!B$46*Parameters!B$45*N68</f>
        <v>-1.226791355770879E-5</v>
      </c>
      <c r="AZ68" s="7">
        <f>1000*EXP(-(Parameters!$B$54)*'6states'!A68)*AQ68*Parameters!B$46*Parameters!B$45*N68</f>
        <v>1.1069662278725134</v>
      </c>
      <c r="BA68" s="7">
        <f>SUM(AZ68:AZ$204)*EXP(Parameters!$B$54*A68)</f>
        <v>801.9554563433212</v>
      </c>
      <c r="BB68" s="13">
        <f t="shared" si="77"/>
        <v>0.22960475209686829</v>
      </c>
      <c r="BF68" s="5"/>
      <c r="BG68" s="5"/>
      <c r="BH68" s="5"/>
      <c r="BK68">
        <f>-EXP(-Parameters!B$42*'6states'!A68)*(-Parameters!B$37/Parameters!B$38/Parameters!E$25*(EXP(-Parameters!B$38*Parameters!E$25*'6states'!I68/('6states'!F68+'6states'!I68))-EXP(-Parameters!B$38*Parameters!E$25))+Parameters!B$37*'6states'!F68/('6states'!F68+'6states'!I68)*EXP(-Parameters!B$38*Parameters!E$25*'6states'!I68/('6states'!F68+'6states'!I68)))</f>
        <v>-0.41858287132544014</v>
      </c>
      <c r="BL68">
        <f>-J68*K68*EXP(-Parameters!B$42*'6states'!A68)*(-Parameters!B$37/Parameters!B$38/Parameters!E$25*(EXP(-Parameters!B$38*Parameters!E$25*'6states'!I68/('6states'!F68+'6states'!I68))-EXP(-Parameters!B$38*Parameters!E$25)) + Parameters!B$37*'6states'!F68/('6states'!F68+'6states'!I68)*EXP(-Parameters!B$38*Parameters!E$25*'6states'!I68/('6states'!F68+'6states'!I68)))</f>
        <v>-132.17330703864206</v>
      </c>
      <c r="BM68" s="7">
        <f t="shared" ref="BM68:BM99" si="101">I68/(F68+I68)</f>
        <v>4.6259622755871074E-2</v>
      </c>
      <c r="BS68">
        <f>EXP(-Parameters!$B$56*A68)*BF68*BL68</f>
        <v>0</v>
      </c>
      <c r="BT68">
        <f>-EXP((Parameters!$B$56)*F68)*SUM(BS68:BS76)</f>
        <v>0</v>
      </c>
      <c r="BU68">
        <f>X68^-Parameters!B$52/(1-2*Parameters!B$5*'6states'!D68/'6states'!G68)</f>
        <v>1.1438702179465654</v>
      </c>
      <c r="BV68">
        <f t="shared" si="61"/>
        <v>0.99735528488969383</v>
      </c>
      <c r="BW68">
        <f>$X68^-Parameters!$B$52/(1-2*Parameters!$B$5*'6states'!$E68/'6states'!$H68)</f>
        <v>1.121445331979481</v>
      </c>
      <c r="BX68">
        <f t="shared" si="62"/>
        <v>0.99868859157120859</v>
      </c>
      <c r="BY68" s="7">
        <f>($X68^-Parameters!$B$52*(1/(1+EXP(-C68)) + IF(C68&lt;0,2*Parameters!$B$6*C68/F68,0)) + BQ68*(1/(1+EXP((C68-Parameters!$B$22)*Parameters!$B$21))))/(1-IF(C68&gt;0,2*Parameters!$B$5*C68/F68,0))</f>
        <v>0.49230378702544009</v>
      </c>
      <c r="BZ68">
        <f t="shared" si="63"/>
        <v>0.94469149482397308</v>
      </c>
      <c r="CA68" s="7">
        <f t="shared" si="64"/>
        <v>-2.8822728586063717E-2</v>
      </c>
      <c r="CB68">
        <f>(1/$T68-1/Parameters!$B$13) * LN(Parameters!$B$18) / LN(P68)</f>
        <v>0.2258895779750876</v>
      </c>
      <c r="CC68">
        <f>(Parameters!$B$18*'6states'!T68^+Parameters!$B$19*Parameters!$B$25^'6states'!T68)^((1-'6states'!T68)/'6states'!T68)*Parameters!$B$18*Parameters!$B$26^('6states'!T68-1)</f>
        <v>0.29826493109824653</v>
      </c>
      <c r="CD68">
        <f t="shared" si="65"/>
        <v>0.21732979582189832</v>
      </c>
      <c r="CE68">
        <f t="shared" si="66"/>
        <v>0.14493237883536414</v>
      </c>
      <c r="CF68">
        <f t="shared" si="67"/>
        <v>0.1867701540549408</v>
      </c>
    </row>
    <row r="69" spans="1:84" s="4" customFormat="1" x14ac:dyDescent="0.25">
      <c r="A69" s="4">
        <f>A68+Parameters!$B$65</f>
        <v>65</v>
      </c>
      <c r="B69">
        <v>2090</v>
      </c>
      <c r="C69" s="74">
        <v>1.7164317436153501E-3</v>
      </c>
      <c r="D69" s="69">
        <v>8.7067368401773093E-2</v>
      </c>
      <c r="E69" s="75">
        <v>0.22133228946919101</v>
      </c>
      <c r="F69" s="7">
        <f>MAX((1-Parameters!$B$4)^Parameters!B$65*F68 + C68*Parameters!B$65 - IF(C68&gt;0,Parameters!$B$5,0)*C68^2/F68*Parameters!B$65, 0.0001)</f>
        <v>5.4622735178113099E-2</v>
      </c>
      <c r="G69" s="16">
        <f>(1-Parameters!$B$4)^Parameters!B$65*G68+D68*Parameters!B$65-Parameters!$B$5*D68^2/G68*Parameters!B$65</f>
        <v>1.1952668534000583</v>
      </c>
      <c r="H69" s="16">
        <f>(1-Parameters!$B$4)^Parameters!B$65*H68+E68*Parameters!B$65-Parameters!$B$5*E68^2/H68*Parameters!B$65</f>
        <v>3.2551550831158833</v>
      </c>
      <c r="I69" s="9">
        <f>I68 *(1-Parameters!$B$4)-C68*(C68&lt;0)*Parameters!B$65</f>
        <v>2.6331178934448133E-3</v>
      </c>
      <c r="J69" s="44">
        <f>J68*(1+Parameters!$B$51)^Parameters!B$65</f>
        <v>9.8499991733257115</v>
      </c>
      <c r="K69" s="44">
        <f>K68*(1+Parameters!$B$53)^Parameters!B$65</f>
        <v>32.793208678550755</v>
      </c>
      <c r="L69" s="23">
        <f>J69*K69*EXP(-Parameters!$B$42*'6states'!A69)*(Parameters!$B$37/Parameters!$B$38*('6states'!F69+'6states'!I69)/Parameters!$E$25*(EXP(-Parameters!$B$38*Parameters!$E$25*'6states'!I69/('6states'!F69+'6states'!I69))-EXP(-Parameters!$B$38*Parameters!$E$25))  +  Parameters!$B$39*'6states'!F69)</f>
        <v>7.2602988600319263</v>
      </c>
      <c r="M69" s="25">
        <f>M68+L69*Parameters!B$65</f>
        <v>3457.5879079941951</v>
      </c>
      <c r="N69" s="16">
        <f>M69*Parameters!$B$45</f>
        <v>2.0745527447965171</v>
      </c>
      <c r="O69" s="9">
        <f>EXP(-Parameters!$B$46/2*N69^2)</f>
        <v>0.95766918466963047</v>
      </c>
      <c r="P69" s="8">
        <f>MAX((Parameters!$B$62 + Parameters!$B$31*'6states'!A69 - '6states'!M69 + Parameters!$B$47/Parameters!$B$45)/Parameters!B$62,1)</f>
        <v>47.008241840116099</v>
      </c>
      <c r="Q69" s="7">
        <f>Parameters!B$61*EXP(-Parameters!B$60*A69)</f>
        <v>8.6453621145858195E-2</v>
      </c>
      <c r="R69" s="7">
        <f>(1-Parameters!B$61)*P69^-Parameters!B$63</f>
        <v>0.34021433088552494</v>
      </c>
      <c r="S69" s="7">
        <f>Parameters!B$61*EXP(-Parameters!B$60*A69)+(1-Parameters!B$61)*P69^-Parameters!B$63</f>
        <v>0.42666795203138314</v>
      </c>
      <c r="T69" s="16">
        <f>1-S69/Parameters!$B$12</f>
        <v>0.7866660239843084</v>
      </c>
      <c r="U69" s="16">
        <f t="shared" ref="U69:U132" si="102">1/(1-T69)</f>
        <v>4.6874858786040061</v>
      </c>
      <c r="V69" s="7">
        <f>(Parameters!$B$19*(F69+Parameters!$B$20)^T69+Parameters!$B$18*G69^T69)^(1/T69)</f>
        <v>0.3423411063487376</v>
      </c>
      <c r="W69" s="16">
        <f>(Parameters!$B$10*H69^Parameters!$B$9+Parameters!$B$11*V69^Parameters!$B$9)^(Parameters!$B$7/Parameters!$B$9)*O69</f>
        <v>1.3264956633129834</v>
      </c>
      <c r="X69" s="7">
        <f>W69 - D69 - E69 - LN(1+EXP(Parameters!$B$21*C69))/Parameters!$B$21 - IF(C69&gt;0, 0,Parameters!$B$6*C69^2/F69)</f>
        <v>1.0148180182317514</v>
      </c>
      <c r="Y69" s="16">
        <f>EXP(-Parameters!$B$55*A69)</f>
        <v>0.37474855421707526</v>
      </c>
      <c r="Z69" s="16">
        <f>IF(X69&gt;0,X69^(1-Parameters!$B$52)/(1-Parameters!$B$52)*Y69*Parameters!$B$65,-10+X69*1000)</f>
        <v>-1.0652120295081731</v>
      </c>
      <c r="AC69">
        <f t="shared" ref="AC69:AC132" si="103">C69*$J69*$K69</f>
        <v>0.55442990132477177</v>
      </c>
      <c r="AD69">
        <f t="shared" ref="AD69:AD132" si="104">D69*$J69*$K69</f>
        <v>28.123898693416649</v>
      </c>
      <c r="AE69" s="23">
        <f t="shared" ref="AE69:AE132" si="105">I69*J69*K69</f>
        <v>0.85053151648438374</v>
      </c>
      <c r="AF69" s="23">
        <f t="shared" ref="AF69:AF132" si="106">F69*J69*K69</f>
        <v>17.643857839113171</v>
      </c>
      <c r="AG69" s="23">
        <f t="shared" ref="AG69:AG132" si="107">G69*J69*K69</f>
        <v>386.08682579566238</v>
      </c>
      <c r="AH69" s="23">
        <f t="shared" ref="AH69:AH132" si="108">V69*J69*K69</f>
        <v>110.58065461581127</v>
      </c>
      <c r="AI69" s="23">
        <f t="shared" ref="AI69:AI132" si="109">AH69/AH$4*100</f>
        <v>272.14740989750919</v>
      </c>
      <c r="AJ69" s="23">
        <f t="shared" ref="AJ69:AJ132" si="110">W69*J69*K69</f>
        <v>428.47544765704828</v>
      </c>
      <c r="AK69" s="23">
        <f t="shared" ref="AK69:AK132" si="111">X69*J69*K69</f>
        <v>327.79949205886879</v>
      </c>
      <c r="AL69" s="9">
        <f t="shared" si="23"/>
        <v>2.1992766833887956E-2</v>
      </c>
      <c r="AM69" s="9">
        <f t="shared" si="24"/>
        <v>1.7113777359824667E-2</v>
      </c>
      <c r="AN69" s="9">
        <f t="shared" ref="AN69:AO69" si="112">AVERAGE(AL67:AL71)</f>
        <v>2.2360474087640903E-2</v>
      </c>
      <c r="AO69" s="9">
        <f t="shared" si="112"/>
        <v>2.1954285218977708E-2</v>
      </c>
      <c r="AP69" s="23"/>
      <c r="AQ69" s="25">
        <f t="shared" si="100"/>
        <v>428.47544765704828</v>
      </c>
      <c r="AR69" s="42">
        <f>Parameters!$B$7*W69*(W69/O69)^(-Parameters!$B$9/Parameters!$B$7)*Parameters!$B$11*(V69)^(Parameters!$B$9-T69)*((1-2*Parameters!$B$5*C69/F69)*Parameters!$B$19*(F69+Parameters!$B$20)^(T69-1)-(1-2*Parameters!$B$5*D69/G69)*(Parameters!$B$18)*(G69)^(T69-1))</f>
        <v>0.26742288677589288</v>
      </c>
      <c r="AS69" s="42">
        <f>((C70-C68)/2-(F70-F68)/F69/2*C69)/(F69/2/Parameters!$B$5-C69)-((D70-D68)/D69-(G70-G68)/G69)/(G69/2/Parameters!$B$5/D69-1)</f>
        <v>2.6909737684246423E-2</v>
      </c>
      <c r="AT69" s="42">
        <f>+Parameters!$B$5*C69^2/F69^2-Parameters!$B$5*D69^2/G69^2</f>
        <v>-4.3187393694318187E-3</v>
      </c>
      <c r="AU69" s="30">
        <f>EXP(-Parameters!$B$42*'6states'!A69)*(Parameters!$B$37*EXP(-Parameters!$B$38*Parameters!$E$25*'6states'!I69/('6states'!F69+'6states'!I69))*(1/Parameters!$B$38/Parameters!$E$25+'6states'!I69/('6states'!F69+'6states'!I69))-Parameters!$B$37/Parameters!$B$38/Parameters!$E$25*EXP(-Parameters!$B$38*Parameters!$E$25)+Parameters!$B$39)</f>
        <v>0.43170659029775371</v>
      </c>
      <c r="AV69" s="30">
        <f>J69*K69*EXP(-Parameters!$B$42*'6states'!A69)*(Parameters!$B$37*EXP(-Parameters!$B$38*Parameters!$E$25*'6states'!I69/('6states'!F69+'6states'!I69))*(1/Parameters!$B$38/Parameters!$E$25+'6states'!I69/('6states'!F69+'6states'!I69))-Parameters!$B$37/Parameters!$B$38/Parameters!$E$25*EXP(-Parameters!$B$38*Parameters!$E$25)+Parameters!$B$39)</f>
        <v>139.44687468660302</v>
      </c>
      <c r="AW69" s="25">
        <f>1000*(AR69+AS69+AT69)/(EXP(-Parameters!$B$42*A69)*((C69&lt;0)*Parameters!$B$37*EXP(-Parameters!$B$38*AF69)+(C69&gt;=0)*Parameters!$B$41))</f>
        <v>610.02461671032324</v>
      </c>
      <c r="AX69" s="43">
        <f>1-W69/'6states,ExoDamages'!T69</f>
        <v>9.4165302708490994E-2</v>
      </c>
      <c r="AY69" s="21">
        <f>-Y69*W69*X69^(-Parameters!B$52)*Parameters!B$46*Parameters!B$45*N69</f>
        <v>-1.2192522353030734E-5</v>
      </c>
      <c r="AZ69" s="16">
        <f>1000*EXP(-(Parameters!$B$54)*'6states'!A69)*AQ69*Parameters!B$46*Parameters!B$45*N69</f>
        <v>1.0948506224801615</v>
      </c>
      <c r="BA69" s="16">
        <f>SUM(AZ69:AZ$204)*EXP(Parameters!$B$54*A69)</f>
        <v>819.76523151094466</v>
      </c>
      <c r="BB69" s="43">
        <f t="shared" si="77"/>
        <v>0.23378598075477339</v>
      </c>
      <c r="BC69" s="16"/>
      <c r="BD69" s="16"/>
      <c r="BE69" s="16"/>
      <c r="BF69" s="5"/>
      <c r="BG69" s="5"/>
      <c r="BH69" s="5"/>
      <c r="BI69"/>
      <c r="BJ69"/>
      <c r="BK69">
        <f>-EXP(-Parameters!B$42*'6states'!A69)*(-Parameters!B$37/Parameters!B$38/Parameters!E$25*(EXP(-Parameters!B$38*Parameters!E$25*'6states'!I69/('6states'!F69+'6states'!I69))-EXP(-Parameters!B$38*Parameters!E$25))+Parameters!B$37*'6states'!F69/('6states'!F69+'6states'!I69)*EXP(-Parameters!B$38*Parameters!E$25*'6states'!I69/('6states'!F69+'6states'!I69)))</f>
        <v>-0.41935053607912054</v>
      </c>
      <c r="BL69">
        <f>-J69*K69*EXP(-Parameters!B$42*'6states'!A69)*(-Parameters!B$37/Parameters!B$38/Parameters!E$25*(EXP(-Parameters!B$38*Parameters!E$25*'6states'!I69/('6states'!F69+'6states'!I69))-EXP(-Parameters!B$38*Parameters!E$25)) + Parameters!B$37*'6states'!F69/('6states'!F69+'6states'!I69)*EXP(-Parameters!B$38*Parameters!E$25*'6states'!I69/('6states'!F69+'6states'!I69)))</f>
        <v>-135.45570757688105</v>
      </c>
      <c r="BM69" s="7">
        <f t="shared" si="101"/>
        <v>4.5988623908091338E-2</v>
      </c>
      <c r="BN69"/>
      <c r="BO69"/>
      <c r="BP69"/>
      <c r="BQ69"/>
      <c r="BS69">
        <f>EXP(-Parameters!$B$56*A69)*BF69*BL69</f>
        <v>0</v>
      </c>
      <c r="BT69">
        <f>-EXP((Parameters!$B$56)*F69)*SUM(BS69:BS77)</f>
        <v>0</v>
      </c>
      <c r="BU69">
        <f>X69^-Parameters!B$52/(1-2*Parameters!B$5*'6states'!D69/'6states'!G69)</f>
        <v>1.1475164269386617</v>
      </c>
      <c r="BV69">
        <f t="shared" ref="BV69:BV100" si="113">BU69/BU68</f>
        <v>1.0031876072432779</v>
      </c>
      <c r="BW69">
        <f>$X69^-Parameters!$B$52/(1-2*Parameters!$B$5*'6states'!$E69/'6states'!$H69)</f>
        <v>1.134636082573905</v>
      </c>
      <c r="BX69">
        <f t="shared" ref="BX69:BX100" si="114">BW69/BW68</f>
        <v>1.0117622769637293</v>
      </c>
      <c r="BY69" s="7">
        <f>($X69^-Parameters!$B$52*(1/(1+EXP(-C69)) + IF(C69&lt;0,2*Parameters!$B$6*C69/F69,0)) + BQ69*(1/(1+EXP((C69-Parameters!$B$22)*Parameters!$B$21))))/(1-IF(C69&gt;0,2*Parameters!$B$5*C69/F69,0))</f>
        <v>0.52348945294949323</v>
      </c>
      <c r="BZ69">
        <f t="shared" ref="BZ69:BZ100" si="115">BY69/BY68</f>
        <v>1.0633463864100676</v>
      </c>
      <c r="CA69" s="7">
        <f t="shared" ref="CA69:CA100" si="116">BY69-BY68</f>
        <v>3.1185665924053141E-2</v>
      </c>
      <c r="CB69">
        <f>(1/$T69-1/Parameters!$B$13) * LN(Parameters!$B$18) / LN(P69)</f>
        <v>0.22549251408227799</v>
      </c>
      <c r="CC69">
        <f>(Parameters!$B$18*'6states'!T69^+Parameters!$B$19*Parameters!$B$25^'6states'!T69)^((1-'6states'!T69)/'6states'!T69)*Parameters!$B$18*Parameters!$B$26^('6states'!T69-1)</f>
        <v>0.29862578566043735</v>
      </c>
      <c r="CD69">
        <f t="shared" ref="CD69:CD100" si="117">(LN(CC69)-LN(CC$4))/ LN(P69)</f>
        <v>0.21652967056303529</v>
      </c>
      <c r="CE69">
        <f t="shared" ref="CE69:CE80" si="118">1-2^-CB69</f>
        <v>0.1446970115578512</v>
      </c>
      <c r="CF69">
        <f t="shared" ref="CF69:CF80" si="119">1-2^-CC69</f>
        <v>0.18697353799552541</v>
      </c>
    </row>
    <row r="70" spans="1:84" s="38" customFormat="1" x14ac:dyDescent="0.25">
      <c r="A70" s="38">
        <f>A69+Parameters!$B$65</f>
        <v>66</v>
      </c>
      <c r="B70">
        <v>2091</v>
      </c>
      <c r="C70" s="74">
        <v>1.63639843906241E-3</v>
      </c>
      <c r="D70" s="69">
        <v>9.0486813085818699E-2</v>
      </c>
      <c r="E70" s="75">
        <v>0.215181919336429</v>
      </c>
      <c r="F70" s="7">
        <f>MAX((1-Parameters!$B$4)^Parameters!B$65*F69 + C69*Parameters!B$65 - IF(C69&gt;0,Parameters!$B$5,0)*C69^2/F69*Parameters!B$65, 0.0001)</f>
        <v>5.2849460767607728E-2</v>
      </c>
      <c r="G70" s="39">
        <f>(1-Parameters!$B$4)^Parameters!B$65*G69+D69*Parameters!B$65-Parameters!$B$5*D69^2/G69*Parameters!B$65</f>
        <v>1.2008096487068265</v>
      </c>
      <c r="H70" s="39">
        <f>(1-Parameters!$B$4)^Parameters!B$65*H69+E69*Parameters!B$65-Parameters!$B$5*E69^2/H69*Parameters!B$65</f>
        <v>3.2566887634912156</v>
      </c>
      <c r="I70" s="9">
        <f>I69 *(1-Parameters!$B$4)-C69*(C69&lt;0)*Parameters!B$65</f>
        <v>2.4674947779471344E-3</v>
      </c>
      <c r="J70" s="41">
        <f>J69*(1+Parameters!$B$51)^Parameters!B$65</f>
        <v>9.8785641709283549</v>
      </c>
      <c r="K70" s="41">
        <f>K69*(1+Parameters!$B$53)^Parameters!B$65</f>
        <v>33.449072852121773</v>
      </c>
      <c r="L70" s="23">
        <f>J70*K70*EXP(-Parameters!$B$42*'6states'!A70)*(Parameters!$B$37/Parameters!$B$38*('6states'!F70+'6states'!I70)/Parameters!$E$25*(EXP(-Parameters!$B$38*Parameters!$E$25*'6states'!I70/('6states'!F70+'6states'!I70))-EXP(-Parameters!$B$38*Parameters!$E$25))  +  Parameters!$B$39*'6states'!F70)</f>
        <v>7.1257031124749677</v>
      </c>
      <c r="M70" s="37">
        <f>M69+L70*Parameters!B$65</f>
        <v>3464.7136111066702</v>
      </c>
      <c r="N70" s="39">
        <f>M70*Parameters!$B$45</f>
        <v>2.0788281666640018</v>
      </c>
      <c r="O70" s="9">
        <f>EXP(-Parameters!$B$46/2*N70^2)</f>
        <v>0.95749829195064629</v>
      </c>
      <c r="P70" s="8">
        <f>MAX((Parameters!$B$62 + Parameters!$B$31*'6states'!A70 - '6states'!M70 + Parameters!$B$47/Parameters!$B$45)/Parameters!B$62,1)</f>
        <v>47.929727777866603</v>
      </c>
      <c r="Q70" s="7">
        <f>Parameters!B$61*EXP(-Parameters!B$60*A70)</f>
        <v>8.415060401280719E-2</v>
      </c>
      <c r="R70" s="7">
        <f>(1-Parameters!B$61)*P70^-Parameters!B$63</f>
        <v>0.33955451383947788</v>
      </c>
      <c r="S70" s="7">
        <f>Parameters!B$61*EXP(-Parameters!B$60*A70)+(1-Parameters!B$61)*P70^-Parameters!B$63</f>
        <v>0.42370511785228504</v>
      </c>
      <c r="T70" s="39">
        <f>1-S70/Parameters!$B$12</f>
        <v>0.78814744107385748</v>
      </c>
      <c r="U70" s="39">
        <f t="shared" si="102"/>
        <v>4.7202639659812977</v>
      </c>
      <c r="V70" s="7">
        <f>(Parameters!$B$19*(F70+Parameters!$B$20)^T70+Parameters!$B$18*G70^T70)^(1/T70)</f>
        <v>0.3423233338240847</v>
      </c>
      <c r="W70" s="39">
        <f>(Parameters!$B$10*H70^Parameters!$B$9+Parameters!$B$11*V70^Parameters!$B$9)^(Parameters!$B$7/Parameters!$B$9)*O70</f>
        <v>1.3263809638908493</v>
      </c>
      <c r="X70" s="7">
        <f>W70 - D70 - E70 - LN(1+EXP(Parameters!$B$21*C70))/Parameters!$B$21 - IF(C70&gt;0, 0,Parameters!$B$6*C70^2/F70)</f>
        <v>1.0174841166095145</v>
      </c>
      <c r="Y70" s="39">
        <f>EXP(-Parameters!$B$55*A70)</f>
        <v>0.36913236002650052</v>
      </c>
      <c r="Z70" s="39">
        <f>IF(X70&gt;0,X70^(1-Parameters!$B$52)/(1-Parameters!$B$52)*Y70*Parameters!$B$65,-10+X70*1000)</f>
        <v>-1.0482850725469415</v>
      </c>
      <c r="AC70">
        <f t="shared" si="103"/>
        <v>0.54071319320528333</v>
      </c>
      <c r="AD70">
        <f t="shared" si="104"/>
        <v>29.899450206415544</v>
      </c>
      <c r="AE70" s="23">
        <f t="shared" si="105"/>
        <v>0.81533136964222663</v>
      </c>
      <c r="AF70" s="23">
        <f t="shared" si="106"/>
        <v>17.462984569457081</v>
      </c>
      <c r="AG70" s="23">
        <f t="shared" si="107"/>
        <v>396.78210641413324</v>
      </c>
      <c r="AH70" s="23">
        <f t="shared" si="108"/>
        <v>113.11349273026262</v>
      </c>
      <c r="AI70" s="23">
        <f t="shared" si="109"/>
        <v>278.38091733090675</v>
      </c>
      <c r="AJ70" s="23">
        <f t="shared" si="110"/>
        <v>438.27448699049387</v>
      </c>
      <c r="AK70" s="23">
        <f t="shared" si="111"/>
        <v>336.20606851886936</v>
      </c>
      <c r="AL70" s="9">
        <f t="shared" ref="AL70:AL133" si="120">LN(AJ70)-LN(AJ69)</f>
        <v>2.2611958673311783E-2</v>
      </c>
      <c r="AM70" s="9">
        <f t="shared" ref="AM70:AM133" si="121">LN(AK70)-LN(AK69)</f>
        <v>2.5322154372759087E-2</v>
      </c>
      <c r="AN70" s="9">
        <f t="shared" ref="AN70:AO70" si="122">AVERAGE(AL68:AL72)</f>
        <v>2.2329764122253692E-2</v>
      </c>
      <c r="AO70" s="9">
        <f t="shared" si="122"/>
        <v>2.2250556669877852E-2</v>
      </c>
      <c r="AP70" s="23"/>
      <c r="AQ70" s="37">
        <f t="shared" si="100"/>
        <v>438.27448699049387</v>
      </c>
      <c r="AR70" s="42">
        <f>Parameters!$B$7*W70*(W70/O70)^(-Parameters!$B$9/Parameters!$B$7)*Parameters!$B$11*(V70)^(Parameters!$B$9-T70)*((1-2*Parameters!$B$5*C70/F70)*Parameters!$B$19*(F70+Parameters!$B$20)^(T70-1)-(1-2*Parameters!$B$5*D70/G70)*(Parameters!$B$18)*(G70)^(T70-1))</f>
        <v>0.26966235384556947</v>
      </c>
      <c r="AS70" s="42">
        <f>((C71-C69)/2-(F71-F69)/F70/2*C70)/(F70/2/Parameters!$B$5-C70)-((D71-D69)/D70-(G71-G69)/G70)/(G70/2/Parameters!$B$5/D70-1)</f>
        <v>-2.4080225899670193E-2</v>
      </c>
      <c r="AT70" s="42">
        <f>+Parameters!$B$5*C70^2/F70^2-Parameters!$B$5*D70^2/G70^2</f>
        <v>-4.7196196857311997E-3</v>
      </c>
      <c r="AU70" s="30">
        <f>EXP(-Parameters!$B$42*'6states'!A70)*(Parameters!$B$37*EXP(-Parameters!$B$38*Parameters!$E$25*'6states'!I70/('6states'!F70+'6states'!I70))*(1/Parameters!$B$38/Parameters!$E$25+'6states'!I70/('6states'!F70+'6states'!I70))-Parameters!$B$37/Parameters!$B$38/Parameters!$E$25*EXP(-Parameters!$B$38*Parameters!$E$25)+Parameters!$B$39)</f>
        <v>0.42863618109353374</v>
      </c>
      <c r="AV70" s="30">
        <f>J70*K70*EXP(-Parameters!$B$42*'6states'!A70)*(Parameters!$B$37*EXP(-Parameters!$B$38*Parameters!$E$25*'6states'!I70/('6states'!F70+'6states'!I70))*(1/Parameters!$B$38/Parameters!$E$25+'6states'!I70/('6states'!F70+'6states'!I70))-Parameters!$B$37/Parameters!$B$38/Parameters!$E$25*EXP(-Parameters!$B$38*Parameters!$E$25)+Parameters!$B$39)</f>
        <v>141.63374436802636</v>
      </c>
      <c r="AW70" s="37">
        <f>1000*(AR70+AS70+AT70)/(EXP(-Parameters!$B$42*A70)*((C70&lt;0)*Parameters!$B$37*EXP(-Parameters!$B$38*AF70)+(C70&gt;=0)*Parameters!$B$41))</f>
        <v>511.72981245596674</v>
      </c>
      <c r="AX70" s="43">
        <f>1-W70/'6states,ExoDamages'!T70</f>
        <v>9.4062666059325672E-2</v>
      </c>
      <c r="AY70" s="21">
        <f>-Y70*W70*X70^(-Parameters!B$52)*Parameters!B$46*Parameters!B$45*N70</f>
        <v>-1.1990960936123185E-5</v>
      </c>
      <c r="AZ70" s="39">
        <f>1000*EXP(-(Parameters!$B$54)*'6states'!A70)*AQ70*Parameters!B$46*Parameters!B$45*N70</f>
        <v>1.083491462687443</v>
      </c>
      <c r="BA70" s="39">
        <f>SUM(AZ70:AZ$204)*EXP(Parameters!$B$54*A70)</f>
        <v>837.94690228748834</v>
      </c>
      <c r="BC70" s="39"/>
      <c r="BD70" s="39"/>
      <c r="BE70" s="39"/>
      <c r="BF70" s="5"/>
      <c r="BG70" s="5"/>
      <c r="BH70" s="5"/>
      <c r="BI70"/>
      <c r="BJ70"/>
      <c r="BK70">
        <f>-EXP(-Parameters!B$42*'6states'!A70)*(-Parameters!B$37/Parameters!B$38/Parameters!E$25*(EXP(-Parameters!B$38*Parameters!E$25*'6states'!I70/('6states'!F70+'6states'!I70))-EXP(-Parameters!B$38*Parameters!E$25))+Parameters!B$37*'6states'!F70/('6states'!F70+'6states'!I70)*EXP(-Parameters!B$38*Parameters!E$25*'6states'!I70/('6states'!F70+'6states'!I70)))</f>
        <v>-0.44100339722020315</v>
      </c>
      <c r="BL70">
        <f>-J70*K70*EXP(-Parameters!B$42*'6states'!A70)*(-Parameters!B$37/Parameters!B$38/Parameters!E$25*(EXP(-Parameters!B$38*Parameters!E$25*'6states'!I70/('6states'!F70+'6states'!I70))-EXP(-Parameters!B$38*Parameters!E$25)) + Parameters!B$37*'6states'!F70/('6states'!F70+'6states'!I70)*EXP(-Parameters!B$38*Parameters!E$25*'6states'!I70/('6states'!F70+'6states'!I70)))</f>
        <v>-145.72022890827239</v>
      </c>
      <c r="BM70" s="7">
        <f t="shared" si="101"/>
        <v>4.4606481929669685E-2</v>
      </c>
      <c r="BN70"/>
      <c r="BO70"/>
      <c r="BP70"/>
      <c r="BQ70"/>
      <c r="BS70">
        <f>EXP(-Parameters!$B$56*A70)*BF70*BL70</f>
        <v>0</v>
      </c>
      <c r="BT70">
        <f>-EXP((Parameters!$B$56)*F70)*SUM(BS70:BS78)</f>
        <v>0</v>
      </c>
      <c r="BU70">
        <f>X70^-Parameters!B$52/(1-2*Parameters!B$5*'6states'!D70/'6states'!G70)</f>
        <v>1.1502215736825121</v>
      </c>
      <c r="BV70">
        <f t="shared" si="113"/>
        <v>1.0023573926092433</v>
      </c>
      <c r="BW70">
        <f>$X70^-Parameters!$B$52/(1-2*Parameters!$B$5*'6states'!$E70/'6states'!$H70)</f>
        <v>1.1256201408347095</v>
      </c>
      <c r="BX70">
        <f t="shared" si="114"/>
        <v>0.99205389121881005</v>
      </c>
      <c r="BY70" s="7">
        <f>($X70^-Parameters!$B$52*(1/(1+EXP(-C70)) + IF(C70&lt;0,2*Parameters!$B$6*C70/F70,0)) + BQ70*(1/(1+EXP((C70-Parameters!$B$22)*Parameters!$B$21))))/(1-IF(C70&gt;0,2*Parameters!$B$5*C70/F70,0))</f>
        <v>0.52110608933572944</v>
      </c>
      <c r="BZ70">
        <f t="shared" si="115"/>
        <v>0.99544716020478496</v>
      </c>
      <c r="CA70" s="7">
        <f t="shared" si="116"/>
        <v>-2.3833636137637892E-3</v>
      </c>
      <c r="CB70">
        <f>(1/$T70-1/Parameters!$B$13) * LN(Parameters!$B$18) / LN(P70)</f>
        <v>0.22509685317482014</v>
      </c>
      <c r="CC70">
        <f>(Parameters!$B$18*'6states'!T70^+Parameters!$B$19*Parameters!$B$25^'6states'!T70)^((1-'6states'!T70)/'6states'!T70)*Parameters!$B$18*Parameters!$B$26^('6states'!T70-1)</f>
        <v>0.29897229134618081</v>
      </c>
      <c r="CD70">
        <f t="shared" si="117"/>
        <v>0.21574309837621061</v>
      </c>
      <c r="CE70">
        <f t="shared" si="118"/>
        <v>0.14446241148237871</v>
      </c>
      <c r="CF70">
        <f t="shared" si="119"/>
        <v>0.18716878678684901</v>
      </c>
    </row>
    <row r="71" spans="1:84" x14ac:dyDescent="0.25">
      <c r="A71">
        <f>A70+Parameters!$B$65</f>
        <v>67</v>
      </c>
      <c r="B71">
        <v>2092</v>
      </c>
      <c r="C71" s="74">
        <v>5.5105720807763702E-4</v>
      </c>
      <c r="D71" s="69">
        <v>8.9509176303408294E-2</v>
      </c>
      <c r="E71" s="75">
        <v>0.21638793917785701</v>
      </c>
      <c r="F71" s="7">
        <f>MAX((1-Parameters!$B$4)^Parameters!B$65*F70 + C70*Parameters!B$65 - IF(C70&gt;0,Parameters!$B$5,0)*C70^2/F70*Parameters!B$65, 0.0001)</f>
        <v>5.1110959682127796E-2</v>
      </c>
      <c r="G71" s="7">
        <f>(1-Parameters!$B$4)^Parameters!B$65*G70+D70*Parameters!B$65-Parameters!$B$5*D70^2/G70*Parameters!B$65</f>
        <v>1.2089469160085951</v>
      </c>
      <c r="H71" s="7">
        <f>(1-Parameters!$B$4)^Parameters!B$65*H70+E70*Parameters!B$65-Parameters!$B$5*E70^2/H70*Parameters!B$65</f>
        <v>3.2528070647507268</v>
      </c>
      <c r="I71" s="9">
        <f>I70 *(1-Parameters!$B$4)-C70*(C70&lt;0)*Parameters!B$65</f>
        <v>2.3122893564142596E-3</v>
      </c>
      <c r="J71" s="23">
        <f>J70*(1+Parameters!$B$51)^Parameters!B$65</f>
        <v>9.9072120070240466</v>
      </c>
      <c r="K71" s="23">
        <f>K70*(1+Parameters!$B$53)^Parameters!B$65</f>
        <v>34.118054309164208</v>
      </c>
      <c r="L71" s="23">
        <f>J71*K71*EXP(-Parameters!$B$42*'6states'!A71)*(Parameters!$B$37/Parameters!$B$38*('6states'!F71+'6states'!I71)/Parameters!$E$25*(EXP(-Parameters!$B$38*Parameters!$E$25*'6states'!I71/('6states'!F71+'6states'!I71))-EXP(-Parameters!$B$38*Parameters!$E$25))  +  Parameters!$B$39*'6states'!F71)</f>
        <v>6.9906156418815248</v>
      </c>
      <c r="M71" s="8">
        <f>M70+L71*Parameters!B$65</f>
        <v>3471.7042267485517</v>
      </c>
      <c r="N71" s="7">
        <f>M71*Parameters!$B$45</f>
        <v>2.083022536049131</v>
      </c>
      <c r="O71" s="9">
        <f>EXP(-Parameters!$B$46/2*N71^2)</f>
        <v>0.95733032681449526</v>
      </c>
      <c r="P71" s="8">
        <f>MAX((Parameters!$B$62 + Parameters!$B$31*'6states'!A71 - '6states'!M71 + Parameters!$B$47/Parameters!$B$45)/Parameters!B$62,1)</f>
        <v>48.853915465028969</v>
      </c>
      <c r="Q71" s="7">
        <f>Parameters!B$61*EXP(-Parameters!B$60*A71)</f>
        <v>8.1908936396928839E-2</v>
      </c>
      <c r="R71" s="7">
        <f>(1-Parameters!B$61)*P71^-Parameters!B$63</f>
        <v>0.3389066313211706</v>
      </c>
      <c r="S71" s="7">
        <f>Parameters!B$61*EXP(-Parameters!B$60*A71)+(1-Parameters!B$61)*P71^-Parameters!B$63</f>
        <v>0.42081556771809947</v>
      </c>
      <c r="T71" s="7">
        <f>1-S71/Parameters!$B$12</f>
        <v>0.78959221614095032</v>
      </c>
      <c r="U71" s="7">
        <f t="shared" si="102"/>
        <v>4.7526758832738389</v>
      </c>
      <c r="V71" s="7">
        <f>(Parameters!$B$19*(F71+Parameters!$B$20)^T71+Parameters!$B$18*G71^T71)^(1/T71)</f>
        <v>0.34293538308035831</v>
      </c>
      <c r="W71" s="7">
        <f>(Parameters!$B$10*H71^Parameters!$B$9+Parameters!$B$11*V71^Parameters!$B$9)^(Parameters!$B$7/Parameters!$B$9)*O71</f>
        <v>1.3260451506198403</v>
      </c>
      <c r="X71" s="7">
        <f>W71 - D71 - E71 - LN(1+EXP(Parameters!$B$21*C71))/Parameters!$B$21 - IF(C71&gt;0, 0,Parameters!$B$6*C71^2/F71)</f>
        <v>1.0175506414746378</v>
      </c>
      <c r="Y71" s="7">
        <f>EXP(-Parameters!$B$55*A71)</f>
        <v>0.3636003333045692</v>
      </c>
      <c r="Z71" s="7">
        <f>IF(X71&gt;0,X71^(1-Parameters!$B$52)/(1-Parameters!$B$52)*Y71*Parameters!$B$65,-10+X71*1000)</f>
        <v>-1.0325512504317262</v>
      </c>
      <c r="AC71">
        <f t="shared" si="103"/>
        <v>0.18626549049350249</v>
      </c>
      <c r="AD71">
        <f t="shared" si="104"/>
        <v>30.25542608540708</v>
      </c>
      <c r="AE71" s="23">
        <f t="shared" si="105"/>
        <v>0.7815880181259276</v>
      </c>
      <c r="AF71" s="23">
        <f t="shared" si="106"/>
        <v>17.276260677174349</v>
      </c>
      <c r="AG71" s="23">
        <f t="shared" si="107"/>
        <v>408.64194677083759</v>
      </c>
      <c r="AH71" s="23">
        <f t="shared" si="108"/>
        <v>115.91723400166585</v>
      </c>
      <c r="AI71" s="23">
        <f t="shared" si="109"/>
        <v>285.2811380583579</v>
      </c>
      <c r="AJ71" s="23">
        <f t="shared" si="110"/>
        <v>448.22288280808817</v>
      </c>
      <c r="AK71" s="23">
        <f t="shared" si="111"/>
        <v>343.94717382872614</v>
      </c>
      <c r="AL71" s="9">
        <f t="shared" si="120"/>
        <v>2.2445218248239307E-2</v>
      </c>
      <c r="AM71" s="9">
        <f t="shared" si="121"/>
        <v>2.2763809994359896E-2</v>
      </c>
      <c r="AN71" s="9">
        <f t="shared" ref="AN71:AO71" si="123">AVERAGE(AL69:AL73)</f>
        <v>2.2332165839338104E-2</v>
      </c>
      <c r="AO71" s="9">
        <f t="shared" si="123"/>
        <v>2.1467491663915438E-2</v>
      </c>
      <c r="AP71" s="23"/>
      <c r="AQ71" s="25">
        <f t="shared" si="100"/>
        <v>448.22288280808812</v>
      </c>
      <c r="AR71" s="32">
        <f>Parameters!$B$7*W71*(W71/O71)^(-Parameters!$B$9/Parameters!$B$7)*Parameters!$B$11*(V71)^(Parameters!$B$9-T71)*((1-2*Parameters!$B$5*C71/F71)*Parameters!$B$19*(F71+Parameters!$B$20)^(T71-1)-(1-2*Parameters!$B$5*D71/G71)*(Parameters!$B$18)*(G71)^(T71-1))</f>
        <v>0.28256331201003809</v>
      </c>
      <c r="AS71" s="32">
        <f>((C72-C70)/2-(F72-F70)/F71/2*C71)/(F71/2/Parameters!$B$5-C71)-((D72-D70)/D71-(G72-G70)/G71)/(G71/2/Parameters!$B$5/D71-1)</f>
        <v>3.3988728884008176E-3</v>
      </c>
      <c r="AT71" s="32">
        <f>+Parameters!$B$5*C71^2/F71^2-Parameters!$B$5*D71^2/G71^2</f>
        <v>-5.3655254843407493E-3</v>
      </c>
      <c r="AU71" s="30">
        <f>EXP(-Parameters!$B$42*'6states'!A71)*(Parameters!$B$37*EXP(-Parameters!$B$38*Parameters!$E$25*'6states'!I71/('6states'!F71+'6states'!I71))*(1/Parameters!$B$38/Parameters!$E$25+'6states'!I71/('6states'!F71+'6states'!I71))-Parameters!$B$37/Parameters!$B$38/Parameters!$E$25*EXP(-Parameters!$B$38*Parameters!$E$25)+Parameters!$B$39)</f>
        <v>0.42556528241001679</v>
      </c>
      <c r="AV71" s="30">
        <f>J71*K71*EXP(-Parameters!$B$42*'6states'!A71)*(Parameters!$B$37*EXP(-Parameters!$B$38*Parameters!$E$25*'6states'!I71/('6states'!F71+'6states'!I71))*(1/Parameters!$B$38/Parameters!$E$25+'6states'!I71/('6states'!F71+'6states'!I71))-Parameters!$B$37/Parameters!$B$38/Parameters!$E$25*EXP(-Parameters!$B$38*Parameters!$E$25)+Parameters!$B$39)</f>
        <v>143.84736267516496</v>
      </c>
      <c r="AW71" s="8">
        <f>1000*(AR71+AS71+AT71)/(EXP(-Parameters!$B$42*A71)*((C71&lt;0)*Parameters!$B$37*EXP(-Parameters!$B$38*AF71)+(C71&gt;=0)*Parameters!$B$41))</f>
        <v>602.13927513958993</v>
      </c>
      <c r="AX71" s="13">
        <f>1-W71/'6states,ExoDamages'!T71</f>
        <v>9.4115754411425723E-2</v>
      </c>
      <c r="AY71" s="21">
        <f>-Y71*W71*X71^(-Parameters!B$52)*Parameters!B$46*Parameters!B$45*N71</f>
        <v>-1.1831048015796653E-5</v>
      </c>
      <c r="AZ71" s="7">
        <f>1000*EXP(-(Parameters!$B$54)*'6states'!A71)*AQ71*Parameters!B$46*Parameters!B$45*N71</f>
        <v>1.072025134289859</v>
      </c>
      <c r="BA71" s="7">
        <f>SUM(AZ71:AZ$204)*EXP(Parameters!$B$54*A71)</f>
        <v>856.5007552612077</v>
      </c>
      <c r="BF71" s="5"/>
      <c r="BG71" s="5"/>
      <c r="BH71" s="5"/>
      <c r="BK71">
        <f>-EXP(-Parameters!B$42*'6states'!A71)*(-Parameters!B$37/Parameters!B$38/Parameters!E$25*(EXP(-Parameters!B$38*Parameters!E$25*'6states'!I71/('6states'!F71+'6states'!I71))-EXP(-Parameters!B$38*Parameters!E$25))+Parameters!B$37*'6states'!F71/('6states'!F71+'6states'!I71)*EXP(-Parameters!B$38*Parameters!E$25*'6states'!I71/('6states'!F71+'6states'!I71)))</f>
        <v>-0.46259807443848566</v>
      </c>
      <c r="BL71">
        <f>-J71*K71*EXP(-Parameters!B$42*'6states'!A71)*(-Parameters!B$37/Parameters!B$38/Parameters!E$25*(EXP(-Parameters!B$38*Parameters!E$25*'6states'!I71/('6states'!F71+'6states'!I71))-EXP(-Parameters!B$38*Parameters!E$25)) + Parameters!B$37*'6states'!F71/('6states'!F71+'6states'!I71)*EXP(-Parameters!B$38*Parameters!E$25*'6states'!I71/('6states'!F71+'6states'!I71)))</f>
        <v>-156.36499436641904</v>
      </c>
      <c r="BM71" s="7">
        <f t="shared" si="101"/>
        <v>4.3282454699564689E-2</v>
      </c>
      <c r="BS71">
        <f>EXP(-Parameters!$B$56*A71)*BF71*BL71</f>
        <v>0</v>
      </c>
      <c r="BT71">
        <f>-EXP((Parameters!$B$56)*F71)*SUM(BS71:BS79)</f>
        <v>0</v>
      </c>
      <c r="BU71">
        <f>X71^-Parameters!B$52/(1-2*Parameters!B$5*'6states'!D71/'6states'!G71)</f>
        <v>1.1465671247706779</v>
      </c>
      <c r="BV71">
        <f t="shared" si="113"/>
        <v>0.99682283049157716</v>
      </c>
      <c r="BW71">
        <f>$X71^-Parameters!$B$52/(1-2*Parameters!$B$5*'6states'!$E71/'6states'!$H71)</f>
        <v>1.1266882096678963</v>
      </c>
      <c r="BX71">
        <f t="shared" si="114"/>
        <v>1.0009488714659944</v>
      </c>
      <c r="BY71" s="7">
        <f>($X71^-Parameters!$B$52*(1/(1+EXP(-C71)) + IF(C71&lt;0,2*Parameters!$B$6*C71/F71,0)) + BQ71*(1/(1+EXP((C71-Parameters!$B$22)*Parameters!$B$21))))/(1-IF(C71&gt;0,2*Parameters!$B$5*C71/F71,0))</f>
        <v>0.49929384647442154</v>
      </c>
      <c r="BZ71">
        <f t="shared" si="115"/>
        <v>0.95814241416922863</v>
      </c>
      <c r="CA71" s="7">
        <f t="shared" si="116"/>
        <v>-2.1812242861307896E-2</v>
      </c>
      <c r="CB71">
        <f>(1/$T71-1/Parameters!$B$13) * LN(Parameters!$B$18) / LN(P71)</f>
        <v>0.22470255911794973</v>
      </c>
      <c r="CC71">
        <f>(Parameters!$B$18*'6states'!T71^+Parameters!$B$19*Parameters!$B$25^'6states'!T71)^((1-'6states'!T71)/'6states'!T71)*Parameters!$B$18*Parameters!$B$26^('6states'!T71-1)</f>
        <v>0.29930511603291726</v>
      </c>
      <c r="CD71">
        <f t="shared" si="117"/>
        <v>0.21496965844023255</v>
      </c>
      <c r="CE71">
        <f t="shared" si="118"/>
        <v>0.14422855784147048</v>
      </c>
      <c r="CF71">
        <f t="shared" si="119"/>
        <v>0.18735628246919711</v>
      </c>
    </row>
    <row r="72" spans="1:84" x14ac:dyDescent="0.25">
      <c r="A72">
        <f>A71+Parameters!$B$65</f>
        <v>68</v>
      </c>
      <c r="B72">
        <v>2093</v>
      </c>
      <c r="C72" s="74">
        <v>1.5086925812398499E-3</v>
      </c>
      <c r="D72" s="69">
        <v>8.9019732919787195E-2</v>
      </c>
      <c r="E72" s="75">
        <v>0.215933054589664</v>
      </c>
      <c r="F72" s="7">
        <f>MAX((1-Parameters!$B$4)^Parameters!B$65*F71 + C71*Parameters!B$65 - IF(C71&gt;0,Parameters!$B$5,0)*C71^2/F71*Parameters!B$65, 0.0001)</f>
        <v>4.8441196255512006E-2</v>
      </c>
      <c r="G72" s="7">
        <f>(1-Parameters!$B$4)^Parameters!B$65*G71+D71*Parameters!B$65-Parameters!$B$5*D71^2/G71*Parameters!B$65</f>
        <v>1.2157861646788757</v>
      </c>
      <c r="H72" s="7">
        <f>(1-Parameters!$B$4)^Parameters!B$65*H71+E71*Parameters!B$65-Parameters!$B$5*E71^2/H71*Parameters!B$65</f>
        <v>3.2501985678988952</v>
      </c>
      <c r="I72" s="9">
        <f>I71 *(1-Parameters!$B$4)-C71*(C71&lt;0)*Parameters!B$65</f>
        <v>2.1668463558958029E-3</v>
      </c>
      <c r="J72" s="23">
        <f>J71*(1+Parameters!$B$51)^Parameters!B$65</f>
        <v>9.9359429218444149</v>
      </c>
      <c r="K72" s="23">
        <f>K71*(1+Parameters!$B$53)^Parameters!B$65</f>
        <v>34.800415395347493</v>
      </c>
      <c r="L72" s="23">
        <f>J72*K72*EXP(-Parameters!$B$42*'6states'!A72)*(Parameters!$B$37/Parameters!$B$38*('6states'!F72+'6states'!I72)/Parameters!$E$25*(EXP(-Parameters!$B$38*Parameters!$E$25*'6states'!I72/('6states'!F72+'6states'!I72))-EXP(-Parameters!$B$38*Parameters!$E$25))  +  Parameters!$B$39*'6states'!F72)</f>
        <v>6.7140781281698745</v>
      </c>
      <c r="M72" s="8">
        <f>M71+L72*Parameters!B$65</f>
        <v>3478.4183048767218</v>
      </c>
      <c r="N72" s="7">
        <f>M72*Parameters!$B$45</f>
        <v>2.0870509829260331</v>
      </c>
      <c r="O72" s="9">
        <f>EXP(-Parameters!$B$46/2*N72^2)</f>
        <v>0.9571687151991638</v>
      </c>
      <c r="P72" s="8">
        <f>MAX((Parameters!$B$62 + Parameters!$B$31*'6states'!A72 - '6states'!M72 + Parameters!$B$47/Parameters!$B$45)/Parameters!B$62,1)</f>
        <v>49.783633902465574</v>
      </c>
      <c r="Q72" s="7">
        <f>Parameters!B$61*EXP(-Parameters!B$60*A72)</f>
        <v>7.9726984023252581E-2</v>
      </c>
      <c r="R72" s="7">
        <f>(1-Parameters!B$61)*P72^-Parameters!B$63</f>
        <v>0.33826833432986264</v>
      </c>
      <c r="S72" s="7">
        <f>Parameters!B$61*EXP(-Parameters!B$60*A72)+(1-Parameters!B$61)*P72^-Parameters!B$63</f>
        <v>0.41799531835311521</v>
      </c>
      <c r="T72" s="7">
        <f>1-S72/Parameters!$B$12</f>
        <v>0.79100234082344234</v>
      </c>
      <c r="U72" s="7">
        <f t="shared" si="102"/>
        <v>4.7847425848689387</v>
      </c>
      <c r="V72" s="7">
        <f>(Parameters!$B$19*(F72+Parameters!$B$20)^T72+Parameters!$B$18*G72^T72)^(1/T72)</f>
        <v>0.34229944350317759</v>
      </c>
      <c r="W72" s="7">
        <f>(Parameters!$B$10*H72^Parameters!$B$9+Parameters!$B$11*V72^Parameters!$B$9)^(Parameters!$B$7/Parameters!$B$9)*O72</f>
        <v>1.3253712912687732</v>
      </c>
      <c r="X72" s="7">
        <f>W72 - D72 - E72 - LN(1+EXP(Parameters!$B$21*C72))/Parameters!$B$21 - IF(C72&gt;0, 0,Parameters!$B$6*C72^2/F72)</f>
        <v>1.017269029880572</v>
      </c>
      <c r="Y72" s="7">
        <f>EXP(-Parameters!$B$55*A72)</f>
        <v>0.35815121266990152</v>
      </c>
      <c r="Z72" s="7">
        <f>IF(X72&gt;0,X72^(1-Parameters!$B$52)/(1-Parameters!$B$52)*Y72*Parameters!$B$65,-10+X72*1000)</f>
        <v>-1.0171753888544659</v>
      </c>
      <c r="AC72">
        <f t="shared" si="103"/>
        <v>0.52166808830253353</v>
      </c>
      <c r="AD72">
        <f t="shared" si="104"/>
        <v>30.780792900369363</v>
      </c>
      <c r="AE72" s="23">
        <f t="shared" si="105"/>
        <v>0.74924117091934539</v>
      </c>
      <c r="AF72" s="23">
        <f t="shared" si="106"/>
        <v>16.749751778413078</v>
      </c>
      <c r="AG72" s="23">
        <f t="shared" si="107"/>
        <v>420.38838939042165</v>
      </c>
      <c r="AH72" s="23">
        <f t="shared" si="108"/>
        <v>118.35856989008117</v>
      </c>
      <c r="AI72" s="23">
        <f t="shared" si="109"/>
        <v>291.28945154709959</v>
      </c>
      <c r="AJ72" s="23">
        <f t="shared" si="110"/>
        <v>458.28018007422202</v>
      </c>
      <c r="AK72" s="23">
        <f t="shared" si="111"/>
        <v>351.74613881315599</v>
      </c>
      <c r="AL72" s="9">
        <f t="shared" si="120"/>
        <v>2.2190128992455982E-2</v>
      </c>
      <c r="AM72" s="9">
        <f t="shared" si="121"/>
        <v>2.2421637727430443E-2</v>
      </c>
      <c r="AN72" s="9">
        <f t="shared" ref="AN72:AO72" si="124">AVERAGE(AL70:AL74)</f>
        <v>2.2413873963271415E-2</v>
      </c>
      <c r="AO72" s="9">
        <f t="shared" si="124"/>
        <v>2.2153529545211902E-2</v>
      </c>
      <c r="AP72" s="23"/>
      <c r="AQ72" s="25">
        <f t="shared" si="100"/>
        <v>458.28018007422207</v>
      </c>
      <c r="AR72" s="32">
        <f>Parameters!$B$7*W72*(W72/O72)^(-Parameters!$B$9/Parameters!$B$7)*Parameters!$B$11*(V72)^(Parameters!$B$9-T72)*((1-2*Parameters!$B$5*C72/F72)*Parameters!$B$19*(F72+Parameters!$B$20)^(T72-1)-(1-2*Parameters!$B$5*D72/G72)*(Parameters!$B$18)*(G72)^(T72-1))</f>
        <v>0.27102571911825485</v>
      </c>
      <c r="AS72" s="32">
        <f>((C73-C71)/2-(F73-F71)/F72/2*C72)/(F72/2/Parameters!$B$5-C72)-((D73-D71)/D72-(G73-G71)/G72)/(G72/2/Parameters!$B$5/D72-1)</f>
        <v>9.0852289761051298E-3</v>
      </c>
      <c r="AT72" s="32">
        <f>+Parameters!$B$5*C72^2/F72^2-Parameters!$B$5*D72^2/G72^2</f>
        <v>-4.3911526090215994E-3</v>
      </c>
      <c r="AU72" s="30">
        <f>EXP(-Parameters!$B$42*'6states'!A72)*(Parameters!$B$37*EXP(-Parameters!$B$38*Parameters!$E$25*'6states'!I72/('6states'!F72+'6states'!I72))*(1/Parameters!$B$38/Parameters!$E$25+'6states'!I72/('6states'!F72+'6states'!I72))-Parameters!$B$37/Parameters!$B$38/Parameters!$E$25*EXP(-Parameters!$B$38*Parameters!$E$25)+Parameters!$B$39)</f>
        <v>0.4217544841050635</v>
      </c>
      <c r="AV72" s="30">
        <f>J72*K72*EXP(-Parameters!$B$42*'6states'!A72)*(Parameters!$B$37*EXP(-Parameters!$B$38*Parameters!$E$25*'6states'!I72/('6states'!F72+'6states'!I72))*(1/Parameters!$B$38/Parameters!$E$25+'6states'!I72/('6states'!F72+'6states'!I72))-Parameters!$B$37/Parameters!$B$38/Parameters!$E$25*EXP(-Parameters!$B$38*Parameters!$E$25)+Parameters!$B$39)</f>
        <v>145.83213186830932</v>
      </c>
      <c r="AW72" s="8">
        <f>1000*(AR72+AS72+AT72)/(EXP(-Parameters!$B$42*A72)*((C72&lt;0)*Parameters!$B$37*EXP(-Parameters!$B$38*AF72)+(C72&gt;=0)*Parameters!$B$41))</f>
        <v>597.62031432864035</v>
      </c>
      <c r="AX72" s="13">
        <f>1-W72/'6states,ExoDamages'!T72</f>
        <v>9.4407657997427119E-2</v>
      </c>
      <c r="AY72" s="21">
        <f>-Y72*W72*X72^(-Parameters!B$52)*Parameters!B$46*Parameters!B$45*N72</f>
        <v>-1.1674707010636182E-5</v>
      </c>
      <c r="AZ72" s="7">
        <f>1000*EXP(-(Parameters!$B$54)*'6states'!A72)*AQ72*Parameters!B$46*Parameters!B$45*N72</f>
        <v>1.0603210216462542</v>
      </c>
      <c r="BA72" s="7">
        <f>SUM(AZ72:AZ$204)*EXP(Parameters!$B$54*A72)</f>
        <v>875.43560697146802</v>
      </c>
      <c r="BF72" s="5"/>
      <c r="BG72" s="5"/>
      <c r="BH72" s="5"/>
      <c r="BK72">
        <f>-EXP(-Parameters!B$42*'6states'!A72)*(-Parameters!B$37/Parameters!B$38/Parameters!E$25*(EXP(-Parameters!B$38*Parameters!E$25*'6states'!I72/('6states'!F72+'6states'!I72))-EXP(-Parameters!B$38*Parameters!E$25))+Parameters!B$37*'6states'!F72/('6states'!F72+'6states'!I72)*EXP(-Parameters!B$38*Parameters!E$25*'6states'!I72/('6states'!F72+'6states'!I72)))</f>
        <v>-0.46741263776640835</v>
      </c>
      <c r="BL72">
        <f>-J72*K72*EXP(-Parameters!B$42*'6states'!A72)*(-Parameters!B$37/Parameters!B$38/Parameters!E$25*(EXP(-Parameters!B$38*Parameters!E$25*'6states'!I72/('6states'!F72+'6states'!I72))-EXP(-Parameters!B$38*Parameters!E$25)) + Parameters!B$37*'6states'!F72/('6states'!F72+'6states'!I72)*EXP(-Parameters!B$38*Parameters!E$25*'6states'!I72/('6states'!F72+'6states'!I72)))</f>
        <v>-161.61957725785516</v>
      </c>
      <c r="BM72" s="7">
        <f t="shared" si="101"/>
        <v>4.2816245088431126E-2</v>
      </c>
      <c r="BS72">
        <f>EXP(-Parameters!$B$56*A72)*BF72*BL72</f>
        <v>0</v>
      </c>
      <c r="BT72">
        <f>-EXP((Parameters!$B$56)*F72)*SUM(BS72:BS80)</f>
        <v>0</v>
      </c>
      <c r="BU72">
        <f>X72^-Parameters!B$52/(1-2*Parameters!B$5*'6states'!D72/'6states'!G72)</f>
        <v>1.1447943451717442</v>
      </c>
      <c r="BV72">
        <f t="shared" si="113"/>
        <v>0.99845383705791468</v>
      </c>
      <c r="BW72">
        <f>$X72^-Parameters!$B$52/(1-2*Parameters!$B$5*'6states'!$E72/'6states'!$H72)</f>
        <v>1.1268842560078334</v>
      </c>
      <c r="BX72">
        <f t="shared" si="114"/>
        <v>1.0001740023000638</v>
      </c>
      <c r="BY72" s="7">
        <f>($X72^-Parameters!$B$52*(1/(1+EXP(-C72)) + IF(C72&lt;0,2*Parameters!$B$6*C72/F72,0)) + BQ72*(1/(1+EXP((C72-Parameters!$B$22)*Parameters!$B$21))))/(1-IF(C72&gt;0,2*Parameters!$B$5*C72/F72,0))</f>
        <v>0.52142328185881226</v>
      </c>
      <c r="BZ72">
        <f t="shared" si="115"/>
        <v>1.0443214662881377</v>
      </c>
      <c r="CA72" s="7">
        <f t="shared" si="116"/>
        <v>2.2129435384390717E-2</v>
      </c>
      <c r="CB72">
        <f>(1/$T72-1/Parameters!$B$13) * LN(Parameters!$B$18) / LN(P72)</f>
        <v>0.22430682020898415</v>
      </c>
      <c r="CC72">
        <f>(Parameters!$B$18*'6states'!T72^+Parameters!$B$19*Parameters!$B$25^'6states'!T72)^((1-'6states'!T72)/'6states'!T72)*Parameters!$B$18*Parameters!$B$26^('6states'!T72-1)</f>
        <v>0.29962510822602839</v>
      </c>
      <c r="CD72">
        <f t="shared" si="117"/>
        <v>0.21420603223490892</v>
      </c>
      <c r="CE72">
        <f t="shared" si="118"/>
        <v>0.14399378299308507</v>
      </c>
      <c r="CF72">
        <f t="shared" si="119"/>
        <v>0.18753650822830603</v>
      </c>
    </row>
    <row r="73" spans="1:84" x14ac:dyDescent="0.25">
      <c r="A73">
        <f>A72+Parameters!$B$65</f>
        <v>69</v>
      </c>
      <c r="B73">
        <v>2094</v>
      </c>
      <c r="C73" s="74">
        <v>7.1519661633510803E-4</v>
      </c>
      <c r="D73" s="69">
        <v>8.91260273819518E-2</v>
      </c>
      <c r="E73" s="75">
        <v>0.218950364635775</v>
      </c>
      <c r="F73" s="7">
        <f>MAX((1-Parameters!$B$4)^Parameters!B$65*F72 + C72*Parameters!B$65 - IF(C72&gt;0,Parameters!$B$5,0)*C72^2/F72*Parameters!B$65, 0.0001)</f>
        <v>4.6855949625825268E-2</v>
      </c>
      <c r="G73" s="7">
        <f>(1-Parameters!$B$4)^Parameters!B$65*G72+D72*Parameters!B$65-Parameters!$B$5*D72^2/G72*Parameters!B$65</f>
        <v>1.2218149325188077</v>
      </c>
      <c r="H73" s="7">
        <f>(1-Parameters!$B$4)^Parameters!B$65*H72+E72*Parameters!B$65-Parameters!$B$5*E72^2/H72*Parameters!B$65</f>
        <v>3.2473482139752541</v>
      </c>
      <c r="I73" s="9">
        <f>I72 *(1-Parameters!$B$4)-C72*(C72&lt;0)*Parameters!B$65</f>
        <v>2.0305517201099571E-3</v>
      </c>
      <c r="J73" s="23">
        <f>J72*(1+Parameters!$B$51)^Parameters!B$65</f>
        <v>9.9647571563177628</v>
      </c>
      <c r="K73" s="23">
        <f>K72*(1+Parameters!$B$53)^Parameters!B$65</f>
        <v>35.496423703254443</v>
      </c>
      <c r="L73" s="23">
        <f>J73*K73*EXP(-Parameters!$B$42*'6states'!A73)*(Parameters!$B$37/Parameters!$B$38*('6states'!F73+'6states'!I73)/Parameters!$E$25*(EXP(-Parameters!$B$38*Parameters!$E$25*'6states'!I73/('6states'!F73+'6states'!I73))-EXP(-Parameters!$B$38*Parameters!$E$25))  +  Parameters!$B$39*'6states'!F73)</f>
        <v>6.5883597476319657</v>
      </c>
      <c r="M73" s="8">
        <f>M72+L73*Parameters!B$65</f>
        <v>3485.0066646243536</v>
      </c>
      <c r="N73" s="7">
        <f>M73*Parameters!$B$45</f>
        <v>2.0910039987746121</v>
      </c>
      <c r="O73" s="9">
        <f>EXP(-Parameters!$B$46/2*N73^2)</f>
        <v>0.95700985276203576</v>
      </c>
      <c r="P73" s="8">
        <f>MAX((Parameters!$B$62 + Parameters!$B$31*'6states'!A73 - '6states'!M73 + Parameters!$B$47/Parameters!$B$45)/Parameters!B$62,1)</f>
        <v>50.71586670751293</v>
      </c>
      <c r="Q73" s="7">
        <f>Parameters!B$61*EXP(-Parameters!B$60*A73)</f>
        <v>7.7603156151864111E-2</v>
      </c>
      <c r="R73" s="7">
        <f>(1-Parameters!B$61)*P73^-Parameters!B$63</f>
        <v>0.33764134308793614</v>
      </c>
      <c r="S73" s="7">
        <f>Parameters!B$61*EXP(-Parameters!B$60*A73)+(1-Parameters!B$61)*P73^-Parameters!B$63</f>
        <v>0.41524449923980022</v>
      </c>
      <c r="T73" s="7">
        <f>1-S73/Parameters!$B$12</f>
        <v>0.79237775038009994</v>
      </c>
      <c r="U73" s="7">
        <f t="shared" si="102"/>
        <v>4.8164394800207031</v>
      </c>
      <c r="V73" s="7">
        <f>(Parameters!$B$19*(F73+Parameters!$B$20)^T73+Parameters!$B$18*G73^T73)^(1/T73)</f>
        <v>0.3425528846133532</v>
      </c>
      <c r="W73" s="7">
        <f>(Parameters!$B$10*H73^Parameters!$B$9+Parameters!$B$11*V73^Parameters!$B$9)^(Parameters!$B$7/Parameters!$B$9)*O73</f>
        <v>1.3250033212648473</v>
      </c>
      <c r="X73" s="7">
        <f>W73 - D73 - E73 - LN(1+EXP(Parameters!$B$21*C73))/Parameters!$B$21 - IF(C73&gt;0, 0,Parameters!$B$6*C73^2/F73)</f>
        <v>1.0142396955349871</v>
      </c>
      <c r="Y73" s="7">
        <f>EXP(-Parameters!$B$55*A73)</f>
        <v>0.35278375564489362</v>
      </c>
      <c r="Z73" s="7">
        <f>IF(X73&gt;0,X73^(1-Parameters!$B$52)/(1-Parameters!$B$52)*Y73*Parameters!$B$65,-10+X73*1000)</f>
        <v>-1.002977807207251</v>
      </c>
      <c r="AC73">
        <f t="shared" si="103"/>
        <v>0.25297451391763986</v>
      </c>
      <c r="AD73">
        <f t="shared" si="104"/>
        <v>31.52505610260776</v>
      </c>
      <c r="AE73" s="23">
        <f t="shared" si="105"/>
        <v>0.71823303221384116</v>
      </c>
      <c r="AF73" s="23">
        <f t="shared" si="106"/>
        <v>16.573569854794489</v>
      </c>
      <c r="AG73" s="23">
        <f t="shared" si="107"/>
        <v>432.17212105270215</v>
      </c>
      <c r="AH73" s="23">
        <f t="shared" si="108"/>
        <v>121.16549141438453</v>
      </c>
      <c r="AI73" s="23">
        <f t="shared" si="109"/>
        <v>298.1974991190616</v>
      </c>
      <c r="AJ73" s="23">
        <f t="shared" si="110"/>
        <v>468.67122058527423</v>
      </c>
      <c r="AK73" s="23">
        <f t="shared" si="111"/>
        <v>358.75001099518397</v>
      </c>
      <c r="AL73" s="9">
        <f t="shared" si="120"/>
        <v>2.2420756448795487E-2</v>
      </c>
      <c r="AM73" s="9">
        <f t="shared" si="121"/>
        <v>1.9716078865203102E-2</v>
      </c>
      <c r="AN73" s="9">
        <f t="shared" ref="AN73:AO73" si="125">AVERAGE(AL71:AL75)</f>
        <v>2.2397290398677681E-2</v>
      </c>
      <c r="AO73" s="9">
        <f t="shared" si="125"/>
        <v>2.3037170117798135E-2</v>
      </c>
      <c r="AP73" s="23"/>
      <c r="AQ73" s="25">
        <f t="shared" si="100"/>
        <v>468.67122058527423</v>
      </c>
      <c r="AR73" s="32">
        <f>Parameters!$B$7*W73*(W73/O73)^(-Parameters!$B$9/Parameters!$B$7)*Parameters!$B$11*(V73)^(Parameters!$B$9-T73)*((1-2*Parameters!$B$5*C73/F73)*Parameters!$B$19*(F73+Parameters!$B$20)^(T73-1)-(1-2*Parameters!$B$5*D73/G73)*(Parameters!$B$18)*(G73)^(T73-1))</f>
        <v>0.28221974451610454</v>
      </c>
      <c r="AS73" s="32">
        <f>((C74-C72)/2-(F74-F72)/F73/2*C73)/(F73/2/Parameters!$B$5-C73)-((D74-D72)/D73-(G74-G72)/G73)/(G73/2/Parameters!$B$5/D73-1)</f>
        <v>-1.4419976184627549E-2</v>
      </c>
      <c r="AT73" s="32">
        <f>+Parameters!$B$5*C73^2/F73^2-Parameters!$B$5*D73^2/G73^2</f>
        <v>-5.0880795541844688E-3</v>
      </c>
      <c r="AU73" s="30">
        <f>EXP(-Parameters!$B$42*'6states'!A73)*(Parameters!$B$37*EXP(-Parameters!$B$38*Parameters!$E$25*'6states'!I73/('6states'!F73+'6states'!I73))*(1/Parameters!$B$38/Parameters!$E$25+'6states'!I73/('6states'!F73+'6states'!I73))-Parameters!$B$37/Parameters!$B$38/Parameters!$E$25*EXP(-Parameters!$B$38*Parameters!$E$25)+Parameters!$B$39)</f>
        <v>0.41872908446302887</v>
      </c>
      <c r="AV73" s="30">
        <f>J73*K73*EXP(-Parameters!$B$42*'6states'!A73)*(Parameters!$B$37*EXP(-Parameters!$B$38*Parameters!$E$25*'6states'!I73/('6states'!F73+'6states'!I73))*(1/Parameters!$B$38/Parameters!$E$25+'6states'!I73/('6states'!F73+'6states'!I73))-Parameters!$B$37/Parameters!$B$38/Parameters!$E$25*EXP(-Parameters!$B$38*Parameters!$E$25)+Parameters!$B$39)</f>
        <v>148.11002203564709</v>
      </c>
      <c r="AW73" s="8">
        <f>1000*(AR73+AS73+AT73)/(EXP(-Parameters!$B$42*A73)*((C73&lt;0)*Parameters!$B$37*EXP(-Parameters!$B$38*AF73)+(C73&gt;=0)*Parameters!$B$41))</f>
        <v>575.14817349484974</v>
      </c>
      <c r="AX73" s="13">
        <f>1-W73/'6states,ExoDamages'!T73</f>
        <v>9.4494899749485328E-2</v>
      </c>
      <c r="AY73" s="21">
        <f>-Y73*W73*X73^(-Parameters!B$52)*Parameters!B$46*Parameters!B$45*N73</f>
        <v>-1.1564794016972367E-5</v>
      </c>
      <c r="AZ73" s="7">
        <f>1000*EXP(-(Parameters!$B$54)*'6states'!A73)*AQ73*Parameters!B$46*Parameters!B$45*N73</f>
        <v>1.0489448409714226</v>
      </c>
      <c r="BA73" s="7">
        <f>SUM(AZ73:AZ$204)*EXP(Parameters!$B$54*A73)</f>
        <v>894.76213613981747</v>
      </c>
      <c r="BF73" s="5"/>
      <c r="BG73" s="5"/>
      <c r="BH73" s="5"/>
      <c r="BK73">
        <f>-EXP(-Parameters!B$42*'6states'!A73)*(-Parameters!B$37/Parameters!B$38/Parameters!E$25*(EXP(-Parameters!B$38*Parameters!E$25*'6states'!I73/('6states'!F73+'6states'!I73))-EXP(-Parameters!B$38*Parameters!E$25))+Parameters!B$37*'6states'!F73/('6states'!F73+'6states'!I73)*EXP(-Parameters!B$38*Parameters!E$25*'6states'!I73/('6states'!F73+'6states'!I73)))</f>
        <v>-0.48936204293864644</v>
      </c>
      <c r="BL73">
        <f>-J73*K73*EXP(-Parameters!B$42*'6states'!A73)*(-Parameters!B$37/Parameters!B$38/Parameters!E$25*(EXP(-Parameters!B$38*Parameters!E$25*'6states'!I73/('6states'!F73+'6states'!I73))-EXP(-Parameters!B$38*Parameters!E$25)) + Parameters!B$37*'6states'!F73/('6states'!F73+'6states'!I73)*EXP(-Parameters!B$38*Parameters!E$25*'6states'!I73/('6states'!F73+'6states'!I73)))</f>
        <v>-173.09383477863403</v>
      </c>
      <c r="BM73" s="7">
        <f t="shared" si="101"/>
        <v>4.1536040915286156E-2</v>
      </c>
      <c r="BS73">
        <f>EXP(-Parameters!$B$56*A73)*BF73*BL73</f>
        <v>0</v>
      </c>
      <c r="BT73">
        <f>-EXP((Parameters!$B$56)*F73)*SUM(BS73:BS81)</f>
        <v>0</v>
      </c>
      <c r="BU73">
        <f>X73^-Parameters!B$52/(1-2*Parameters!B$5*'6states'!D73/'6states'!G73)</f>
        <v>1.1486745300121353</v>
      </c>
      <c r="BV73">
        <f t="shared" si="113"/>
        <v>1.0033894164980428</v>
      </c>
      <c r="BW73">
        <f>$X73^-Parameters!$B$52/(1-2*Parameters!$B$5*'6states'!$E73/'6states'!$H73)</f>
        <v>1.1340132439802477</v>
      </c>
      <c r="BX73">
        <f t="shared" si="114"/>
        <v>1.0063262823439116</v>
      </c>
      <c r="BY73" s="7">
        <f>($X73^-Parameters!$B$52*(1/(1+EXP(-C73)) + IF(C73&lt;0,2*Parameters!$B$6*C73/F73,0)) + BQ73*(1/(1+EXP((C73-Parameters!$B$22)*Parameters!$B$21))))/(1-IF(C73&gt;0,2*Parameters!$B$5*C73/F73,0))</f>
        <v>0.50617413891495566</v>
      </c>
      <c r="BZ73">
        <f t="shared" si="115"/>
        <v>0.97075477165213031</v>
      </c>
      <c r="CA73" s="7">
        <f t="shared" si="116"/>
        <v>-1.5249142943856597E-2</v>
      </c>
      <c r="CB73">
        <f>(1/$T73-1/Parameters!$B$13) * LN(Parameters!$B$18) / LN(P73)</f>
        <v>0.22391273385039234</v>
      </c>
      <c r="CC73">
        <f>(Parameters!$B$18*'6states'!T73^+Parameters!$B$19*Parameters!$B$25^'6states'!T73)^((1-'6states'!T73)/'6states'!T73)*Parameters!$B$18*Parameters!$B$26^('6states'!T73-1)</f>
        <v>0.29993262175144886</v>
      </c>
      <c r="CD73">
        <f t="shared" si="117"/>
        <v>0.2134551200450891</v>
      </c>
      <c r="CE73">
        <f t="shared" si="118"/>
        <v>0.14375992452573894</v>
      </c>
      <c r="CF73">
        <f t="shared" si="119"/>
        <v>0.18770966809931322</v>
      </c>
    </row>
    <row r="74" spans="1:84" s="4" customFormat="1" x14ac:dyDescent="0.25">
      <c r="A74" s="4">
        <f>A73+Parameters!$B$65</f>
        <v>70</v>
      </c>
      <c r="B74">
        <v>2095</v>
      </c>
      <c r="C74" s="74">
        <v>7.6119507471265695E-4</v>
      </c>
      <c r="D74" s="69">
        <v>8.9489705867315195E-2</v>
      </c>
      <c r="E74" s="75">
        <v>0.22035031051051901</v>
      </c>
      <c r="F74" s="7">
        <f>MAX((1-Parameters!$B$4)^Parameters!B$65*F73 + C73*Parameters!B$65 - IF(C73&gt;0,Parameters!$B$5,0)*C73^2/F73*Parameters!B$65, 0.0001)</f>
        <v>4.4612990441848216E-2</v>
      </c>
      <c r="G74" s="16">
        <f>(1-Parameters!$B$4)^Parameters!B$65*G73+D73*Parameters!B$65-Parameters!$B$5*D73^2/G73*Parameters!B$65</f>
        <v>1.2275874488076037</v>
      </c>
      <c r="H74" s="16">
        <f>(1-Parameters!$B$4)^Parameters!B$65*H73+E73*Parameters!B$65-Parameters!$B$5*E73^2/H73*Parameters!B$65</f>
        <v>3.2472777884451003</v>
      </c>
      <c r="I74" s="9">
        <f>I73 *(1-Parameters!$B$4)-C73*(C73&lt;0)*Parameters!B$65</f>
        <v>1.9028300169150409E-3</v>
      </c>
      <c r="J74" s="44">
        <f>J73*(1+Parameters!$B$51)^Parameters!B$65</f>
        <v>9.9936549520710827</v>
      </c>
      <c r="K74" s="44">
        <f>K73*(1+Parameters!$B$53)^Parameters!B$65</f>
        <v>36.20635217731953</v>
      </c>
      <c r="L74" s="23">
        <f>J74*K74*EXP(-Parameters!$B$42*'6states'!A74)*(Parameters!$B$37/Parameters!$B$38*('6states'!F74+'6states'!I74)/Parameters!$E$25*(EXP(-Parameters!$B$38*Parameters!$E$25*'6states'!I74/('6states'!F74+'6states'!I74))-EXP(-Parameters!$B$38*Parameters!$E$25))  +  Parameters!$B$39*'6states'!F74)</f>
        <v>6.3585693795912102</v>
      </c>
      <c r="M74" s="25">
        <f>M73+L74*Parameters!B$65</f>
        <v>3491.3652340039448</v>
      </c>
      <c r="N74" s="16">
        <f>M74*Parameters!$B$45</f>
        <v>2.0948191404023668</v>
      </c>
      <c r="O74" s="9">
        <f>EXP(-Parameters!$B$46/2*N74^2)</f>
        <v>0.9568562711719637</v>
      </c>
      <c r="P74" s="8">
        <f>MAX((Parameters!$B$62 + Parameters!$B$31*'6states'!A74 - '6states'!M74 + Parameters!$B$47/Parameters!$B$45)/Parameters!B$62,1)</f>
        <v>51.652695319921101</v>
      </c>
      <c r="Q74" s="7">
        <f>Parameters!B$61*EXP(-Parameters!B$60*A74)</f>
        <v>7.5535904418185432E-2</v>
      </c>
      <c r="R74" s="7">
        <f>(1-Parameters!B$61)*P74^-Parameters!B$63</f>
        <v>0.33702390433116547</v>
      </c>
      <c r="S74" s="7">
        <f>Parameters!B$61*EXP(-Parameters!B$60*A74)+(1-Parameters!B$61)*P74^-Parameters!B$63</f>
        <v>0.41255980874935089</v>
      </c>
      <c r="T74" s="16">
        <f>1-S74/Parameters!$B$12</f>
        <v>0.79372009562532453</v>
      </c>
      <c r="U74" s="16">
        <f t="shared" si="102"/>
        <v>4.8477819641784157</v>
      </c>
      <c r="V74" s="7">
        <f>(Parameters!$B$19*(F74+Parameters!$B$20)^T74+Parameters!$B$18*G74^T74)^(1/T74)</f>
        <v>0.34206981267151026</v>
      </c>
      <c r="W74" s="16">
        <f>(Parameters!$B$10*H74^Parameters!$B$9+Parameters!$B$11*V74^Parameters!$B$9)^(Parameters!$B$7/Parameters!$B$9)*O74</f>
        <v>1.3246096908443235</v>
      </c>
      <c r="X74" s="7">
        <f>W74 - D74 - E74 - LN(1+EXP(Parameters!$B$21*C74))/Parameters!$B$21 - IF(C74&gt;0, 0,Parameters!$B$6*C74^2/F74)</f>
        <v>1.0120569052023156</v>
      </c>
      <c r="Y74" s="16">
        <f>EXP(-Parameters!$B$55*A74)</f>
        <v>0.34749673837241518</v>
      </c>
      <c r="Z74" s="16">
        <f>IF(X74&gt;0,X74^(1-Parameters!$B$52)/(1-Parameters!$B$52)*Y74*Parameters!$B$65,-10+X74*1000)</f>
        <v>-0.98869186765482731</v>
      </c>
      <c r="AC74">
        <f t="shared" si="103"/>
        <v>0.27542609937079737</v>
      </c>
      <c r="AD74">
        <f t="shared" si="104"/>
        <v>32.380399505578602</v>
      </c>
      <c r="AE74" s="23">
        <f t="shared" si="105"/>
        <v>0.68850819814147657</v>
      </c>
      <c r="AF74" s="23">
        <f t="shared" si="106"/>
        <v>16.142487447522374</v>
      </c>
      <c r="AG74" s="23">
        <f t="shared" si="107"/>
        <v>444.18262005867484</v>
      </c>
      <c r="AH74" s="23">
        <f t="shared" si="108"/>
        <v>123.77241701436202</v>
      </c>
      <c r="AI74" s="23">
        <f t="shared" si="109"/>
        <v>304.61334149487567</v>
      </c>
      <c r="AJ74" s="23">
        <f t="shared" si="110"/>
        <v>479.28854568026475</v>
      </c>
      <c r="AK74" s="23">
        <f t="shared" si="111"/>
        <v>366.19638644716485</v>
      </c>
      <c r="AL74" s="9">
        <f t="shared" si="120"/>
        <v>2.2401307453554509E-2</v>
      </c>
      <c r="AM74" s="9">
        <f t="shared" si="121"/>
        <v>2.0543966766306987E-2</v>
      </c>
      <c r="AN74" s="9">
        <f t="shared" ref="AN74:AO74" si="126">AVERAGE(AL72:AL76)</f>
        <v>2.233824236464841E-2</v>
      </c>
      <c r="AO74" s="9">
        <f t="shared" si="126"/>
        <v>2.2730277007749676E-2</v>
      </c>
      <c r="AP74" s="23"/>
      <c r="AQ74" s="25">
        <f t="shared" si="100"/>
        <v>479.2885456802648</v>
      </c>
      <c r="AR74" s="42">
        <f>Parameters!$B$7*W74*(W74/O74)^(-Parameters!$B$9/Parameters!$B$7)*Parameters!$B$11*(V74)^(Parameters!$B$9-T74)*((1-2*Parameters!$B$5*C74/F74)*Parameters!$B$19*(F74+Parameters!$B$20)^(T74-1)-(1-2*Parameters!$B$5*D74/G74)*(Parameters!$B$18)*(G74)^(T74-1))</f>
        <v>0.28424776648215244</v>
      </c>
      <c r="AS74" s="42">
        <f>((C75-C73)/2-(F75-F73)/F74/2*C74)/(F74/2/Parameters!$B$5-C74)-((D75-D73)/D74-(G75-G73)/G74)/(G74/2/Parameters!$B$5/D74-1)</f>
        <v>6.1935721255753856E-3</v>
      </c>
      <c r="AT74" s="42">
        <f>+Parameters!$B$5*C74^2/F74^2-Parameters!$B$5*D74^2/G74^2</f>
        <v>-5.0231233090044175E-3</v>
      </c>
      <c r="AU74" s="30">
        <f>EXP(-Parameters!$B$42*'6states'!A74)*(Parameters!$B$37*EXP(-Parameters!$B$38*Parameters!$E$25*'6states'!I74/('6states'!F74+'6states'!I74))*(1/Parameters!$B$38/Parameters!$E$25+'6states'!I74/('6states'!F74+'6states'!I74))-Parameters!$B$37/Parameters!$B$38/Parameters!$E$25*EXP(-Parameters!$B$38*Parameters!$E$25)+Parameters!$B$39)</f>
        <v>0.4151424476853165</v>
      </c>
      <c r="AV74" s="30">
        <f>J74*K74*EXP(-Parameters!$B$42*'6states'!A74)*(Parameters!$B$37*EXP(-Parameters!$B$38*Parameters!$E$25*'6states'!I74/('6states'!F74+'6states'!I74))*(1/Parameters!$B$38/Parameters!$E$25+'6states'!I74/('6states'!F74+'6states'!I74))-Parameters!$B$37/Parameters!$B$38/Parameters!$E$25*EXP(-Parameters!$B$38*Parameters!$E$25)+Parameters!$B$39)</f>
        <v>150.21256554027832</v>
      </c>
      <c r="AW74" s="25">
        <f>1000*(AR74+AS74+AT74)/(EXP(-Parameters!$B$42*A74)*((C74&lt;0)*Parameters!$B$37*EXP(-Parameters!$B$38*AF74)+(C74&gt;=0)*Parameters!$B$41))</f>
        <v>631.13894532616803</v>
      </c>
      <c r="AX74" s="43">
        <f>1-W74/'6states,ExoDamages'!T74</f>
        <v>9.4606261777072764E-2</v>
      </c>
      <c r="AY74" s="21">
        <f>-Y74*W74*X74^(-Parameters!B$52)*Parameters!B$46*Parameters!B$45*N74</f>
        <v>-1.1442102742848331E-5</v>
      </c>
      <c r="AZ74" s="16">
        <f>1000*EXP(-(Parameters!$B$54)*'6states'!A74)*AQ74*Parameters!B$46*Parameters!B$45*N74</f>
        <v>1.0375985335022431</v>
      </c>
      <c r="BA74" s="16">
        <f>SUM(AZ74:AZ$204)*EXP(Parameters!$B$54*A74)</f>
        <v>914.48504706883853</v>
      </c>
      <c r="BC74" s="16"/>
      <c r="BD74" s="16"/>
      <c r="BE74" s="16"/>
      <c r="BF74" s="5"/>
      <c r="BG74" s="5"/>
      <c r="BH74" s="5"/>
      <c r="BI74"/>
      <c r="BJ74"/>
      <c r="BK74">
        <f>-EXP(-Parameters!B$42*'6states'!A74)*(-Parameters!B$37/Parameters!B$38/Parameters!E$25*(EXP(-Parameters!B$38*Parameters!E$25*'6states'!I74/('6states'!F74+'6states'!I74))-EXP(-Parameters!B$38*Parameters!E$25))+Parameters!B$37*'6states'!F74/('6states'!F74+'6states'!I74)*EXP(-Parameters!B$38*Parameters!E$25*'6states'!I74/('6states'!F74+'6states'!I74)))</f>
        <v>-0.49797863268473713</v>
      </c>
      <c r="BL74">
        <f>-J74*K74*EXP(-Parameters!B$42*'6states'!A74)*(-Parameters!B$37/Parameters!B$38/Parameters!E$25*(EXP(-Parameters!B$38*Parameters!E$25*'6states'!I74/('6states'!F74+'6states'!I74))-EXP(-Parameters!B$38*Parameters!E$25)) + Parameters!B$37*'6states'!F74/('6states'!F74+'6states'!I74)*EXP(-Parameters!B$38*Parameters!E$25*'6states'!I74/('6states'!F74+'6states'!I74)))</f>
        <v>-180.18549636850352</v>
      </c>
      <c r="BM74" s="7">
        <f t="shared" si="101"/>
        <v>4.0907157998038943E-2</v>
      </c>
      <c r="BN74"/>
      <c r="BO74"/>
      <c r="BP74"/>
      <c r="BQ74"/>
      <c r="BS74">
        <f>EXP(-Parameters!$B$56*A74)*BF74*BL74</f>
        <v>0</v>
      </c>
      <c r="BT74">
        <f>-EXP((Parameters!$B$56)*F74)*SUM(BS74:BS82)</f>
        <v>0</v>
      </c>
      <c r="BU74">
        <f>X74^-Parameters!B$52/(1-2*Parameters!B$5*'6states'!D74/'6states'!G74)</f>
        <v>1.1518942189327781</v>
      </c>
      <c r="BV74">
        <f t="shared" si="113"/>
        <v>1.0028029601392909</v>
      </c>
      <c r="BW74">
        <f>$X74^-Parameters!$B$52/(1-2*Parameters!$B$5*'6states'!$E74/'6states'!$H74)</f>
        <v>1.1384548077618069</v>
      </c>
      <c r="BX74">
        <f t="shared" si="114"/>
        <v>1.003916677168575</v>
      </c>
      <c r="BY74" s="7">
        <f>($X74^-Parameters!$B$52*(1/(1+EXP(-C74)) + IF(C74&lt;0,2*Parameters!$B$6*C74/F74,0)) + BQ74*(1/(1+EXP((C74-Parameters!$B$22)*Parameters!$B$21))))/(1-IF(C74&gt;0,2*Parameters!$B$5*C74/F74,0))</f>
        <v>0.50955069303989931</v>
      </c>
      <c r="BZ74">
        <f t="shared" si="115"/>
        <v>1.0066707361466187</v>
      </c>
      <c r="CA74" s="7">
        <f t="shared" si="116"/>
        <v>3.3765541249436426E-3</v>
      </c>
      <c r="CB74">
        <f>(1/$T74-1/Parameters!$B$13) * LN(Parameters!$B$18) / LN(P74)</f>
        <v>0.22351831520105775</v>
      </c>
      <c r="CC74">
        <f>(Parameters!$B$18*'6states'!T74^+Parameters!$B$19*Parameters!$B$25^'6states'!T74)^((1-'6states'!T74)/'6states'!T74)*Parameters!$B$18*Parameters!$B$26^('6states'!T74-1)</f>
        <v>0.30022837571422328</v>
      </c>
      <c r="CD74">
        <f t="shared" si="117"/>
        <v>0.21271449996199482</v>
      </c>
      <c r="CE74">
        <f t="shared" si="118"/>
        <v>0.14352580490033562</v>
      </c>
      <c r="CF74">
        <f t="shared" si="119"/>
        <v>0.18787617138304991</v>
      </c>
    </row>
    <row r="75" spans="1:84" s="38" customFormat="1" x14ac:dyDescent="0.25">
      <c r="A75" s="38">
        <f>A74+Parameters!$B$65</f>
        <v>71</v>
      </c>
      <c r="B75">
        <v>2096</v>
      </c>
      <c r="C75" s="74">
        <v>8.2367376953475496E-4</v>
      </c>
      <c r="D75" s="69">
        <v>8.8931524663626499E-2</v>
      </c>
      <c r="E75" s="75">
        <v>0.21349721747835901</v>
      </c>
      <c r="F75" s="7">
        <f>MAX((1-Parameters!$B$4)^Parameters!B$65*F74 + C74*Parameters!B$65 - IF(C74&gt;0,Parameters!$B$5,0)*C74^2/F74*Parameters!B$65, 0.0001)</f>
        <v>4.2555040766951491E-2</v>
      </c>
      <c r="G75" s="39">
        <f>(1-Parameters!$B$4)^Parameters!B$65*G74+D74*Parameters!B$65-Parameters!$B$5*D74^2/G74*Parameters!B$65</f>
        <v>1.2333382080416433</v>
      </c>
      <c r="H75" s="39">
        <f>(1-Parameters!$B$4)^Parameters!B$65*H74+E74*Parameters!B$65-Parameters!$B$5*E74^2/H74*Parameters!B$65</f>
        <v>3.2484220298607074</v>
      </c>
      <c r="I75" s="9">
        <f>I74 *(1-Parameters!$B$4)-C74*(C74&lt;0)*Parameters!B$65</f>
        <v>1.7831420088510849E-3</v>
      </c>
      <c r="J75" s="41">
        <f>J74*(1+Parameters!$B$51)^Parameters!B$65</f>
        <v>10.022636551432088</v>
      </c>
      <c r="K75" s="41">
        <f>K74*(1+Parameters!$B$53)^Parameters!B$65</f>
        <v>36.930479220865919</v>
      </c>
      <c r="L75" s="23">
        <f>J75*K75*EXP(-Parameters!$B$42*'6states'!A75)*(Parameters!$B$37/Parameters!$B$38*('6states'!F75+'6states'!I75)/Parameters!$E$25*(EXP(-Parameters!$B$38*Parameters!$E$25*'6states'!I75/('6states'!F75+'6states'!I75))-EXP(-Parameters!$B$38*Parameters!$E$25))  +  Parameters!$B$39*'6states'!F75)</f>
        <v>6.1486779340131106</v>
      </c>
      <c r="M75" s="37">
        <f>M74+L75*Parameters!B$65</f>
        <v>3497.5139119379578</v>
      </c>
      <c r="N75" s="39">
        <f>M75*Parameters!$B$45</f>
        <v>2.0985083471627743</v>
      </c>
      <c r="O75" s="9">
        <f>EXP(-Parameters!$B$46/2*N75^2)</f>
        <v>0.95670751644136953</v>
      </c>
      <c r="P75" s="8">
        <f>MAX((Parameters!$B$62 + Parameters!$B$31*'6states'!A75 - '6states'!M75 + Parameters!$B$47/Parameters!$B$45)/Parameters!B$62,1)</f>
        <v>52.59372176124085</v>
      </c>
      <c r="Q75" s="7">
        <f>Parameters!B$61*EXP(-Parameters!B$60*A75)</f>
        <v>7.3523721704148601E-2</v>
      </c>
      <c r="R75" s="7">
        <f>(1-Parameters!B$61)*P75^-Parameters!B$63</f>
        <v>0.33641597765589304</v>
      </c>
      <c r="S75" s="7">
        <f>Parameters!B$61*EXP(-Parameters!B$60*A75)+(1-Parameters!B$61)*P75^-Parameters!B$63</f>
        <v>0.40993969936004165</v>
      </c>
      <c r="T75" s="39">
        <f>1-S75/Parameters!$B$12</f>
        <v>0.79503015031997915</v>
      </c>
      <c r="U75" s="39">
        <f t="shared" si="102"/>
        <v>4.8787663237354346</v>
      </c>
      <c r="V75" s="7">
        <f>(Parameters!$B$19*(F75+Parameters!$B$20)^T75+Parameters!$B$18*G75^T75)^(1/T75)</f>
        <v>0.34175516509967785</v>
      </c>
      <c r="W75" s="39">
        <f>(Parameters!$B$10*H75^Parameters!$B$9+Parameters!$B$11*V75^Parameters!$B$9)^(Parameters!$B$7/Parameters!$B$9)*O75</f>
        <v>1.324385334796774</v>
      </c>
      <c r="X75" s="7">
        <f>W75 - D75 - E75 - LN(1+EXP(Parameters!$B$21*C75))/Parameters!$B$21 - IF(C75&gt;0, 0,Parameters!$B$6*C75^2/F75)</f>
        <v>1.0192088881896448</v>
      </c>
      <c r="Y75" s="39">
        <f>EXP(-Parameters!$B$55*A75)</f>
        <v>0.34228895533675241</v>
      </c>
      <c r="Z75" s="39">
        <f>IF(X75&gt;0,X75^(1-Parameters!$B$52)/(1-Parameters!$B$52)*Y75*Parameters!$B$65,-10+X75*1000)</f>
        <v>-0.97147744239249623</v>
      </c>
      <c r="AC75">
        <f t="shared" si="103"/>
        <v>0.30487524402648891</v>
      </c>
      <c r="AD75">
        <f t="shared" si="104"/>
        <v>32.917183096391916</v>
      </c>
      <c r="AE75" s="23">
        <f t="shared" si="105"/>
        <v>0.66001355778201631</v>
      </c>
      <c r="AF75" s="23">
        <f t="shared" si="106"/>
        <v>15.751355595200948</v>
      </c>
      <c r="AG75" s="23">
        <f t="shared" si="107"/>
        <v>456.50875510613503</v>
      </c>
      <c r="AH75" s="23">
        <f t="shared" si="108"/>
        <v>126.49752026937756</v>
      </c>
      <c r="AI75" s="23">
        <f t="shared" si="109"/>
        <v>311.32002807701235</v>
      </c>
      <c r="AJ75" s="23">
        <f t="shared" si="110"/>
        <v>490.20900879159592</v>
      </c>
      <c r="AK75" s="23">
        <f t="shared" si="111"/>
        <v>377.25076358361935</v>
      </c>
      <c r="AL75" s="9">
        <f t="shared" si="120"/>
        <v>2.2529040850343129E-2</v>
      </c>
      <c r="AM75" s="9">
        <f t="shared" si="121"/>
        <v>2.974035723569024E-2</v>
      </c>
      <c r="AN75" s="9">
        <f t="shared" ref="AN75:AO75" si="127">AVERAGE(AL73:AL77)</f>
        <v>2.2346139663464902E-2</v>
      </c>
      <c r="AO75" s="9">
        <f t="shared" si="127"/>
        <v>2.1985091049070961E-2</v>
      </c>
      <c r="AP75" s="23"/>
      <c r="AQ75" s="37">
        <f t="shared" si="100"/>
        <v>490.20900879159592</v>
      </c>
      <c r="AU75" s="39"/>
      <c r="AV75" s="39"/>
      <c r="AX75" s="43">
        <f>1-W75/'6states,ExoDamages'!T75</f>
        <v>9.4605605227728318E-2</v>
      </c>
      <c r="AY75" s="21">
        <f>-Y75*W75*X75^(-Parameters!B$52)*Parameters!B$46*Parameters!B$45*N75</f>
        <v>-1.118175403063236E-5</v>
      </c>
      <c r="AZ75" s="39">
        <f>1000*EXP(-(Parameters!$B$54)*'6states'!A75)*AQ75*Parameters!B$46*Parameters!B$45*N75</f>
        <v>1.0264410652120837</v>
      </c>
      <c r="BA75" s="39">
        <f>SUM(AZ75:AZ$204)*EXP(Parameters!$B$54*A75)</f>
        <v>934.61237772611889</v>
      </c>
      <c r="BC75" s="39"/>
      <c r="BD75" s="39"/>
      <c r="BE75" s="39"/>
      <c r="BF75" s="5"/>
      <c r="BG75" s="5"/>
      <c r="BH75" s="5"/>
      <c r="BI75"/>
      <c r="BJ75"/>
      <c r="BK75">
        <f>-EXP(-Parameters!B$42*'6states'!A75)*(-Parameters!B$37/Parameters!B$38/Parameters!E$25*(EXP(-Parameters!B$38*Parameters!E$25*'6states'!I75/('6states'!F75+'6states'!I75))-EXP(-Parameters!B$38*Parameters!E$25))+Parameters!B$37*'6states'!F75/('6states'!F75+'6states'!I75)*EXP(-Parameters!B$38*Parameters!E$25*'6states'!I75/('6states'!F75+'6states'!I75)))</f>
        <v>-0.50810740195276238</v>
      </c>
      <c r="BL75">
        <f>-J75*K75*EXP(-Parameters!B$42*'6states'!A75)*(-Parameters!B$37/Parameters!B$38/Parameters!E$25*(EXP(-Parameters!B$38*Parameters!E$25*'6states'!I75/('6states'!F75+'6states'!I75))-EXP(-Parameters!B$38*Parameters!E$25)) + Parameters!B$37*'6states'!F75/('6states'!F75+'6states'!I75)*EXP(-Parameters!B$38*Parameters!E$25*'6states'!I75/('6states'!F75+'6states'!I75)))</f>
        <v>-188.07126545927636</v>
      </c>
      <c r="BM75" s="7">
        <f t="shared" si="101"/>
        <v>4.0216849162889666E-2</v>
      </c>
      <c r="BN75"/>
      <c r="BO75"/>
      <c r="BP75"/>
      <c r="BQ75"/>
      <c r="BS75">
        <f>EXP(-Parameters!$B$56*A75)*BF75*BL75</f>
        <v>0</v>
      </c>
      <c r="BT75">
        <f>-EXP((Parameters!$B$56)*F75)*SUM(BS75:BS83)</f>
        <v>0</v>
      </c>
      <c r="BU75">
        <f>X75^-Parameters!B$52/(1-2*Parameters!B$5*'6states'!D75/'6states'!G75)</f>
        <v>1.1388823077360672</v>
      </c>
      <c r="BV75">
        <f t="shared" si="113"/>
        <v>0.98870390094607274</v>
      </c>
      <c r="BW75">
        <f>$X75^-Parameters!$B$52/(1-2*Parameters!$B$5*'6states'!$E75/'6states'!$H75)</f>
        <v>1.1221430248868098</v>
      </c>
      <c r="BX75">
        <f t="shared" si="114"/>
        <v>0.98567199790120275</v>
      </c>
      <c r="BY75" s="7">
        <f>($X75^-Parameters!$B$52*(1/(1+EXP(-C75)) + IF(C75&lt;0,2*Parameters!$B$6*C75/F75,0)) + BQ75*(1/(1+EXP((C75-Parameters!$B$22)*Parameters!$B$21))))/(1-IF(C75&gt;0,2*Parameters!$B$5*C75/F75,0))</f>
        <v>0.5071536123959054</v>
      </c>
      <c r="BZ75">
        <f t="shared" si="115"/>
        <v>0.99529569741198209</v>
      </c>
      <c r="CA75" s="7">
        <f t="shared" si="116"/>
        <v>-2.3970806439939096E-3</v>
      </c>
      <c r="CB75">
        <f>(1/$T75-1/Parameters!$B$13) * LN(Parameters!$B$18) / LN(P75)</f>
        <v>0.22312404712407757</v>
      </c>
      <c r="CC75">
        <f>(Parameters!$B$18*'6states'!T75^+Parameters!$B$19*Parameters!$B$25^'6states'!T75)^((1-'6states'!T75)/'6states'!T75)*Parameters!$B$18*Parameters!$B$26^('6states'!T75-1)</f>
        <v>0.30051286882710654</v>
      </c>
      <c r="CD75">
        <f t="shared" si="117"/>
        <v>0.21198435067139906</v>
      </c>
      <c r="CE75">
        <f t="shared" si="118"/>
        <v>0.1432917106738002</v>
      </c>
      <c r="CF75">
        <f t="shared" si="119"/>
        <v>0.1880363028388361</v>
      </c>
    </row>
    <row r="76" spans="1:84" x14ac:dyDescent="0.25">
      <c r="A76">
        <f>A75+Parameters!$B$65</f>
        <v>72</v>
      </c>
      <c r="B76">
        <v>2097</v>
      </c>
      <c r="C76" s="74">
        <v>8.4163753756159995E-4</v>
      </c>
      <c r="D76" s="69">
        <v>8.9631689964744396E-2</v>
      </c>
      <c r="E76" s="75">
        <v>0.213556997372125</v>
      </c>
      <c r="F76" s="7">
        <f>MAX((1-Parameters!$B$4)^Parameters!B$65*F75 + C75*Parameters!B$65 - IF(C75&gt;0,Parameters!$B$5,0)*C75^2/F75*Parameters!B$65, 0.0001)</f>
        <v>4.0686059860831812E-2</v>
      </c>
      <c r="G76" s="7">
        <f>(1-Parameters!$B$4)^Parameters!B$65*G75+D75*Parameters!B$65-Parameters!$B$5*D75^2/G75*Parameters!B$65</f>
        <v>1.2382802311871861</v>
      </c>
      <c r="H76" s="7">
        <f>(1-Parameters!$B$4)^Parameters!B$65*H75+E75*Parameters!B$65-Parameters!$B$5*E75^2/H75*Parameters!B$65</f>
        <v>3.2435617467188895</v>
      </c>
      <c r="I76" s="9">
        <f>I75 *(1-Parameters!$B$4)-C75*(C75&lt;0)*Parameters!B$65</f>
        <v>1.6709823764943519E-3</v>
      </c>
      <c r="J76" s="23">
        <f>J75*(1+Parameters!$B$51)^Parameters!B$65</f>
        <v>10.05170219743124</v>
      </c>
      <c r="K76" s="23">
        <f>K75*(1+Parameters!$B$53)^Parameters!B$65</f>
        <v>37.669088805283238</v>
      </c>
      <c r="L76" s="23">
        <f>J76*K76*EXP(-Parameters!$B$42*'6states'!A76)*(Parameters!$B$37/Parameters!$B$38*('6states'!F76+'6states'!I76)/Parameters!$E$25*(EXP(-Parameters!$B$38*Parameters!$E$25*'6states'!I76/('6states'!F76+'6states'!I76))-EXP(-Parameters!$B$38*Parameters!$E$25))  +  Parameters!$B$39*'6states'!F76)</f>
        <v>5.9603144897897264</v>
      </c>
      <c r="M76" s="8">
        <f>M75+L76*Parameters!B$65</f>
        <v>3503.4742264277475</v>
      </c>
      <c r="N76" s="7">
        <f>M76*Parameters!$B$45</f>
        <v>2.1020845358566485</v>
      </c>
      <c r="O76" s="9">
        <f>EXP(-Parameters!$B$46/2*N76^2)</f>
        <v>0.95656309107328918</v>
      </c>
      <c r="P76" s="8">
        <f>MAX((Parameters!$B$62 + Parameters!$B$31*'6states'!A76 - '6states'!M76 + Parameters!$B$47/Parameters!$B$45)/Parameters!B$62,1)</f>
        <v>53.538515471445052</v>
      </c>
      <c r="Q76" s="7">
        <f>Parameters!B$61*EXP(-Parameters!B$60*A76)</f>
        <v>7.1565141039439908E-2</v>
      </c>
      <c r="R76" s="7">
        <f>(1-Parameters!B$61)*P76^-Parameters!B$63</f>
        <v>0.33581753685890869</v>
      </c>
      <c r="S76" s="7">
        <f>Parameters!B$61*EXP(-Parameters!B$60*A76)+(1-Parameters!B$61)*P76^-Parameters!B$63</f>
        <v>0.40738267789834859</v>
      </c>
      <c r="T76" s="7">
        <f>1-S76/Parameters!$B$12</f>
        <v>0.79630866105082565</v>
      </c>
      <c r="U76" s="7">
        <f t="shared" si="102"/>
        <v>4.9093889075446793</v>
      </c>
      <c r="V76" s="7">
        <f>(Parameters!$B$19*(F76+Parameters!$B$20)^T76+Parameters!$B$18*G76^T76)^(1/T76)</f>
        <v>0.34143145828122606</v>
      </c>
      <c r="W76" s="7">
        <f>(Parameters!$B$10*H76^Parameters!$B$9+Parameters!$B$11*V76^Parameters!$B$9)^(Parameters!$B$7/Parameters!$B$9)*O76</f>
        <v>1.3236591717250545</v>
      </c>
      <c r="X76" s="7">
        <f>W76 - D76 - E76 - LN(1+EXP(Parameters!$B$21*C76))/Parameters!$B$21 - IF(C76&gt;0, 0,Parameters!$B$6*C76^2/F76)</f>
        <v>1.0177126820143729</v>
      </c>
      <c r="Y76" s="7">
        <f>EXP(-Parameters!$B$55*A76)</f>
        <v>0.33715921908873309</v>
      </c>
      <c r="Z76" s="7">
        <f>IF(X76&gt;0,X76^(1-Parameters!$B$52)/(1-Parameters!$B$52)*Y76*Parameters!$B$65,-10+X76*1000)</f>
        <v>-0.95741048580638877</v>
      </c>
      <c r="AC76">
        <f t="shared" si="103"/>
        <v>0.31867634338917972</v>
      </c>
      <c r="AD76">
        <f t="shared" si="104"/>
        <v>33.938005299183551</v>
      </c>
      <c r="AE76" s="23">
        <f t="shared" si="105"/>
        <v>0.63269819826686069</v>
      </c>
      <c r="AF76" s="23">
        <f t="shared" si="106"/>
        <v>15.405307159810695</v>
      </c>
      <c r="AG76" s="23">
        <f t="shared" si="107"/>
        <v>468.86052315241312</v>
      </c>
      <c r="AH76" s="23">
        <f t="shared" si="108"/>
        <v>129.27908248761159</v>
      </c>
      <c r="AI76" s="23">
        <f t="shared" si="109"/>
        <v>318.16566446604605</v>
      </c>
      <c r="AJ76" s="23">
        <f t="shared" si="110"/>
        <v>501.18827394627397</v>
      </c>
      <c r="AK76" s="23">
        <f t="shared" si="111"/>
        <v>385.34516540785597</v>
      </c>
      <c r="AL76" s="9">
        <f t="shared" si="120"/>
        <v>2.2149978078092936E-2</v>
      </c>
      <c r="AM76" s="9">
        <f t="shared" si="121"/>
        <v>2.1229344444117615E-2</v>
      </c>
      <c r="AN76" s="9">
        <f t="shared" ref="AN76:AO76" si="128">AVERAGE(AL74:AL78)</f>
        <v>2.2351350068240627E-2</v>
      </c>
      <c r="AO76" s="9">
        <f t="shared" si="128"/>
        <v>2.2451287111704056E-2</v>
      </c>
      <c r="AP76" s="23"/>
      <c r="AQ76" s="25">
        <f t="shared" si="100"/>
        <v>501.18827394627402</v>
      </c>
      <c r="AR76" s="4"/>
      <c r="AS76" s="4"/>
      <c r="AT76" s="4"/>
      <c r="AU76" s="16"/>
      <c r="AV76" s="16"/>
      <c r="AX76" s="13">
        <f>1-W76/'6states,ExoDamages'!T76</f>
        <v>9.4953646221926036E-2</v>
      </c>
      <c r="AY76" s="21">
        <f>-Y76*W76*X76^(-Parameters!B$52)*Parameters!B$46*Parameters!B$45*N76</f>
        <v>-1.1048789409171376E-5</v>
      </c>
      <c r="AZ76" s="7">
        <f>1000*EXP(-(Parameters!$B$54)*'6states'!A76)*AQ76*Parameters!B$46*Parameters!B$45*N76</f>
        <v>1.0149610401030216</v>
      </c>
      <c r="BA76" s="7">
        <f>SUM(AZ76:AZ$204)*EXP(Parameters!$B$54*A76)</f>
        <v>955.15038814170077</v>
      </c>
      <c r="BF76" s="5"/>
      <c r="BG76" s="5"/>
      <c r="BH76" s="5"/>
      <c r="BK76">
        <f>-EXP(-Parameters!B$42*'6states'!A76)*(-Parameters!B$37/Parameters!B$38/Parameters!E$25*(EXP(-Parameters!B$38*Parameters!E$25*'6states'!I76/('6states'!F76+'6states'!I76))-EXP(-Parameters!B$38*Parameters!E$25))+Parameters!B$37*'6states'!F76/('6states'!F76+'6states'!I76)*EXP(-Parameters!B$38*Parameters!E$25*'6states'!I76/('6states'!F76+'6states'!I76)))</f>
        <v>-0.52017865015198561</v>
      </c>
      <c r="BL76">
        <f>-J76*K76*EXP(-Parameters!B$42*'6states'!A76)*(-Parameters!B$37/Parameters!B$38/Parameters!E$25*(EXP(-Parameters!B$38*Parameters!E$25*'6states'!I76/('6states'!F76+'6states'!I76))-EXP(-Parameters!B$38*Parameters!E$25)) + Parameters!B$37*'6states'!F76/('6states'!F76+'6states'!I76)*EXP(-Parameters!B$38*Parameters!E$25*'6states'!I76/('6states'!F76+'6states'!I76)))</f>
        <v>-196.95964443294739</v>
      </c>
      <c r="BM76" s="7">
        <f t="shared" si="101"/>
        <v>3.9449930595527684E-2</v>
      </c>
      <c r="BS76">
        <f>EXP(-Parameters!$B$56*A76)*BF76*BL76</f>
        <v>0</v>
      </c>
      <c r="BT76">
        <f>-EXP((Parameters!$B$56)*F76)*SUM(BS76:BS84)</f>
        <v>0</v>
      </c>
      <c r="BU76">
        <f>X76^-Parameters!B$52/(1-2*Parameters!B$5*'6states'!D76/'6states'!G76)</f>
        <v>1.1418842090040262</v>
      </c>
      <c r="BV76">
        <f t="shared" si="113"/>
        <v>1.0026358309788184</v>
      </c>
      <c r="BW76">
        <f>$X76^-Parameters!$B$52/(1-2*Parameters!$B$5*'6states'!$E76/'6states'!$H76)</f>
        <v>1.1246735179555485</v>
      </c>
      <c r="BX76">
        <f t="shared" si="114"/>
        <v>1.0022550539571315</v>
      </c>
      <c r="BY76" s="7">
        <f>($X76^-Parameters!$B$52*(1/(1+EXP(-C76)) + IF(C76&lt;0,2*Parameters!$B$6*C76/F76,0)) + BQ76*(1/(1+EXP((C76-Parameters!$B$22)*Parameters!$B$21))))/(1-IF(C76&gt;0,2*Parameters!$B$5*C76/F76,0))</f>
        <v>0.50957573621515895</v>
      </c>
      <c r="BZ76">
        <f t="shared" si="115"/>
        <v>1.0047759175130606</v>
      </c>
      <c r="CA76" s="7">
        <f t="shared" si="116"/>
        <v>2.4221238192535521E-3</v>
      </c>
      <c r="CB76">
        <f>(1/$T76-1/Parameters!$B$13) * LN(Parameters!$B$18) / LN(P76)</f>
        <v>0.22273040295440277</v>
      </c>
      <c r="CC76">
        <f>(Parameters!$B$18*'6states'!T76^+Parameters!$B$19*Parameters!$B$25^'6states'!T76)^((1-'6states'!T76)/'6states'!T76)*Parameters!$B$18*Parameters!$B$26^('6states'!T76-1)</f>
        <v>0.30078657492625765</v>
      </c>
      <c r="CD76">
        <f t="shared" si="117"/>
        <v>0.21126484906969922</v>
      </c>
      <c r="CE76">
        <f t="shared" si="118"/>
        <v>0.14305792305679199</v>
      </c>
      <c r="CF76">
        <f t="shared" si="119"/>
        <v>0.18819033285194409</v>
      </c>
    </row>
    <row r="77" spans="1:84" x14ac:dyDescent="0.25">
      <c r="A77">
        <f>A76+Parameters!$B$65</f>
        <v>73</v>
      </c>
      <c r="B77">
        <v>2098</v>
      </c>
      <c r="C77" s="74">
        <v>8.3567849981226597E-4</v>
      </c>
      <c r="D77" s="69">
        <v>9.0101119342508307E-2</v>
      </c>
      <c r="E77" s="75">
        <v>0.21653599413967201</v>
      </c>
      <c r="F77" s="7">
        <f>MAX((1-Parameters!$B$4)^Parameters!B$65*F76 + C76*Parameters!B$65 - IF(C76&gt;0,Parameters!$B$5,0)*C76^2/F76*Parameters!B$65, 0.0001)</f>
        <v>3.8951134001066236E-2</v>
      </c>
      <c r="G77" s="7">
        <f>(1-Parameters!$B$4)^Parameters!B$65*G76+D76*Parameters!B$65-Parameters!$B$5*D76^2/G76*Parameters!B$65</f>
        <v>1.2435361933714282</v>
      </c>
      <c r="H77" s="7">
        <f>(1-Parameters!$B$4)^Parameters!B$65*H76+E76*Parameters!B$65-Parameters!$B$5*E76^2/H76*Parameters!B$65</f>
        <v>3.2390380587879872</v>
      </c>
      <c r="I77" s="9">
        <f>I76 *(1-Parameters!$B$4)-C76*(C76&lt;0)*Parameters!B$65</f>
        <v>1.5658775850128572E-3</v>
      </c>
      <c r="J77" s="23">
        <f>J76*(1+Parameters!$B$51)^Parameters!B$65</f>
        <v>10.08085213380379</v>
      </c>
      <c r="K77" s="23">
        <f>K76*(1+Parameters!$B$53)^Parameters!B$65</f>
        <v>38.4224705813889</v>
      </c>
      <c r="L77" s="23">
        <f>J77*K77*EXP(-Parameters!$B$42*'6states'!A77)*(Parameters!$B$37/Parameters!$B$38*('6states'!F77+'6states'!I77)/Parameters!$E$25*(EXP(-Parameters!$B$38*Parameters!$E$25*'6states'!I77/('6states'!F77+'6states'!I77))-EXP(-Parameters!$B$38*Parameters!$E$25))  +  Parameters!$B$39*'6states'!F77)</f>
        <v>5.7859494839943286</v>
      </c>
      <c r="M77" s="8">
        <f>M76+L77*Parameters!B$65</f>
        <v>3509.260175911742</v>
      </c>
      <c r="N77" s="7">
        <f>M77*Parameters!$B$45</f>
        <v>2.1055561055470449</v>
      </c>
      <c r="O77" s="9">
        <f>EXP(-Parameters!$B$46/2*N77^2)</f>
        <v>0.95642267645183088</v>
      </c>
      <c r="P77" s="8">
        <f>MAX((Parameters!$B$62 + Parameters!$B$31*'6states'!A77 - '6states'!M77 + Parameters!$B$47/Parameters!$B$45)/Parameters!B$62,1)</f>
        <v>54.486796481765168</v>
      </c>
      <c r="Q77" s="7">
        <f>Parameters!B$61*EXP(-Parameters!B$60*A77)</f>
        <v>6.9658734532013489E-2</v>
      </c>
      <c r="R77" s="7">
        <f>(1-Parameters!B$61)*P77^-Parameters!B$63</f>
        <v>0.33522845607481366</v>
      </c>
      <c r="S77" s="7">
        <f>Parameters!B$61*EXP(-Parameters!B$60*A77)+(1-Parameters!B$61)*P77^-Parameters!B$63</f>
        <v>0.40488719060682715</v>
      </c>
      <c r="T77" s="7">
        <f>1-S77/Parameters!$B$12</f>
        <v>0.7975564046965864</v>
      </c>
      <c r="U77" s="7">
        <f t="shared" si="102"/>
        <v>4.9396475028080973</v>
      </c>
      <c r="V77" s="7">
        <f>(Parameters!$B$19*(F77+Parameters!$B$20)^T77+Parameters!$B$18*G77^T77)^(1/T77)</f>
        <v>0.34130657959511124</v>
      </c>
      <c r="W77" s="7">
        <f>(Parameters!$B$10*H77^Parameters!$B$9+Parameters!$B$11*V77^Parameters!$B$9)^(Parameters!$B$7/Parameters!$B$9)*O77</f>
        <v>1.3230387659932443</v>
      </c>
      <c r="X77" s="7">
        <f>W77 - D77 - E77 - LN(1+EXP(Parameters!$B$21*C77))/Parameters!$B$21 - IF(C77&gt;0, 0,Parameters!$B$6*C77^2/F77)</f>
        <v>1.0136472025109351</v>
      </c>
      <c r="Y77" s="7">
        <f>EXP(-Parameters!$B$55*A77)</f>
        <v>0.33210635997497118</v>
      </c>
      <c r="Z77" s="7">
        <f>IF(X77&gt;0,X77^(1-Parameters!$B$52)/(1-Parameters!$B$52)*Y77*Parameters!$B$65,-10+X77*1000)</f>
        <v>-0.94438430130384388</v>
      </c>
      <c r="AC77">
        <f t="shared" si="103"/>
        <v>0.32368439337295984</v>
      </c>
      <c r="AD77">
        <f t="shared" si="104"/>
        <v>34.898978689958142</v>
      </c>
      <c r="AE77" s="23">
        <f t="shared" si="105"/>
        <v>0.60651331381035323</v>
      </c>
      <c r="AF77" s="23">
        <f t="shared" si="106"/>
        <v>15.086991209126879</v>
      </c>
      <c r="AG77" s="23">
        <f t="shared" si="107"/>
        <v>481.66042141705748</v>
      </c>
      <c r="AH77" s="23">
        <f t="shared" si="108"/>
        <v>132.19870224645197</v>
      </c>
      <c r="AI77" s="23">
        <f t="shared" si="109"/>
        <v>325.35107097331036</v>
      </c>
      <c r="AJ77" s="23">
        <f t="shared" si="110"/>
        <v>512.45425181530675</v>
      </c>
      <c r="AK77" s="23">
        <f t="shared" si="111"/>
        <v>392.61723247954501</v>
      </c>
      <c r="AL77" s="9">
        <f t="shared" si="120"/>
        <v>2.2229615486538457E-2</v>
      </c>
      <c r="AM77" s="9">
        <f t="shared" si="121"/>
        <v>1.8695707934036854E-2</v>
      </c>
      <c r="AN77" s="9">
        <f t="shared" ref="AN77:AO77" si="129">AVERAGE(AL75:AL79)</f>
        <v>2.2367076135452812E-2</v>
      </c>
      <c r="AO77" s="9">
        <f t="shared" si="129"/>
        <v>2.3430730039184233E-2</v>
      </c>
      <c r="AP77" s="23"/>
      <c r="AQ77" s="25">
        <f t="shared" si="100"/>
        <v>512.45425181530663</v>
      </c>
      <c r="AR77" s="4"/>
      <c r="AS77" s="4"/>
      <c r="AT77" s="4"/>
      <c r="AU77" s="16"/>
      <c r="AV77" s="16"/>
      <c r="AX77" s="13">
        <f>1-W77/'6states,ExoDamages'!T77</f>
        <v>9.523465548926402E-2</v>
      </c>
      <c r="AY77" s="21">
        <f>-Y77*W77*X77^(-Parameters!B$52)*Parameters!B$46*Parameters!B$45*N77</f>
        <v>-1.0955108241299976E-5</v>
      </c>
      <c r="AZ77" s="7">
        <f>1000*EXP(-(Parameters!$B$54)*'6states'!A77)*AQ77*Parameters!B$46*Parameters!B$45*N77</f>
        <v>1.0036365663165225</v>
      </c>
      <c r="BA77" s="7">
        <f>SUM(AZ77:AZ$204)*EXP(Parameters!$B$54*A77)</f>
        <v>976.11190617255397</v>
      </c>
      <c r="BF77" s="5"/>
      <c r="BG77" s="5"/>
      <c r="BH77" s="5"/>
      <c r="BK77">
        <f>-EXP(-Parameters!B$42*'6states'!A77)*(-Parameters!B$37/Parameters!B$38/Parameters!E$25*(EXP(-Parameters!B$38*Parameters!E$25*'6states'!I77/('6states'!F77+'6states'!I77))-EXP(-Parameters!B$38*Parameters!E$25))+Parameters!B$37*'6states'!F77/('6states'!F77+'6states'!I77)*EXP(-Parameters!B$38*Parameters!E$25*'6states'!I77/('6states'!F77+'6states'!I77)))</f>
        <v>-0.53336458717923152</v>
      </c>
      <c r="BL77">
        <f>-J77*K77*EXP(-Parameters!B$42*'6states'!A77)*(-Parameters!B$37/Parameters!B$38/Parameters!E$25*(EXP(-Parameters!B$38*Parameters!E$25*'6states'!I77/('6states'!F77+'6states'!I77))-EXP(-Parameters!B$38*Parameters!E$25)) + Parameters!B$37*'6states'!F77/('6states'!F77+'6states'!I77)*EXP(-Parameters!B$38*Parameters!E$25*'6states'!I77/('6states'!F77+'6states'!I77)))</f>
        <v>-206.58876934911265</v>
      </c>
      <c r="BM77" s="7">
        <f t="shared" si="101"/>
        <v>3.8647410648392048E-2</v>
      </c>
      <c r="BS77">
        <f>EXP(-Parameters!$B$56*A77)*BF77*BL77</f>
        <v>0</v>
      </c>
      <c r="BT77">
        <f>-EXP((Parameters!$B$56)*F77)*SUM(BS77:BS85)</f>
        <v>0</v>
      </c>
      <c r="BU77">
        <f>X77^-Parameters!B$52/(1-2*Parameters!B$5*'6states'!D77/'6states'!G77)</f>
        <v>1.1482634274155443</v>
      </c>
      <c r="BV77">
        <f t="shared" si="113"/>
        <v>1.0055865720545187</v>
      </c>
      <c r="BW77">
        <f>$X77^-Parameters!$B$52/(1-2*Parameters!$B$5*'6states'!$E77/'6states'!$H77)</f>
        <v>1.1334083829303507</v>
      </c>
      <c r="BX77">
        <f t="shared" si="114"/>
        <v>1.0077665783317105</v>
      </c>
      <c r="BY77" s="7">
        <f>($X77^-Parameters!$B$52*(1/(1+EXP(-C77)) + IF(C77&lt;0,2*Parameters!$B$6*C77/F77,0)) + BQ77*(1/(1+EXP((C77-Parameters!$B$22)*Parameters!$B$21))))/(1-IF(C77&gt;0,2*Parameters!$B$5*C77/F77,0))</f>
        <v>0.5131578968886269</v>
      </c>
      <c r="BZ77">
        <f t="shared" si="115"/>
        <v>1.0070296923869928</v>
      </c>
      <c r="CA77" s="7">
        <f t="shared" si="116"/>
        <v>3.582160673467949E-3</v>
      </c>
      <c r="CB77">
        <f>(1/$T77-1/Parameters!$B$13) * LN(Parameters!$B$18) / LN(P77)</f>
        <v>0.2223376857009691</v>
      </c>
      <c r="CC77">
        <f>(Parameters!$B$18*'6states'!T77^+Parameters!$B$19*Parameters!$B$25^'6states'!T77)^((1-'6states'!T77)/'6states'!T77)*Parameters!$B$18*Parameters!$B$26^('6states'!T77-1)</f>
        <v>0.30104995617315466</v>
      </c>
      <c r="CD77">
        <f t="shared" si="117"/>
        <v>0.21055600260291038</v>
      </c>
      <c r="CE77">
        <f t="shared" si="118"/>
        <v>0.14282462236759974</v>
      </c>
      <c r="CF77">
        <f t="shared" si="119"/>
        <v>0.18833852489546032</v>
      </c>
    </row>
    <row r="78" spans="1:84" x14ac:dyDescent="0.25">
      <c r="A78">
        <f>A77+Parameters!$B$65</f>
        <v>74</v>
      </c>
      <c r="B78">
        <v>2099</v>
      </c>
      <c r="C78" s="74">
        <v>8.3260833921296098E-4</v>
      </c>
      <c r="D78" s="69">
        <v>9.0584283954045705E-2</v>
      </c>
      <c r="E78" s="75">
        <v>0.21638173762271201</v>
      </c>
      <c r="F78" s="7">
        <f>MAX((1-Parameters!$B$4)^Parameters!B$65*F77 + C77*Parameters!B$65 - IF(C77&gt;0,Parameters!$B$5,0)*C77^2/F77*Parameters!B$65, 0.0001)</f>
        <v>3.731885707789985E-2</v>
      </c>
      <c r="G78" s="7">
        <f>(1-Parameters!$B$4)^Parameters!B$65*G77+D77*Parameters!B$65-Parameters!$B$5*D77^2/G77*Parameters!B$65</f>
        <v>1.2488905585074594</v>
      </c>
      <c r="H78" s="7">
        <f>(1-Parameters!$B$4)^Parameters!B$65*H77+E77*Parameters!B$65-Parameters!$B$5*E77^2/H77*Parameters!B$65</f>
        <v>3.2373627066604413</v>
      </c>
      <c r="I78" s="9">
        <f>I77 *(1-Parameters!$B$4)-C77*(C77&lt;0)*Parameters!B$65</f>
        <v>1.4673838849155484E-3</v>
      </c>
      <c r="J78" s="23">
        <f>J77*(1+Parameters!$B$51)^Parameters!B$65</f>
        <v>10.110086604991819</v>
      </c>
      <c r="K78" s="23">
        <f>K77*(1+Parameters!$B$53)^Parameters!B$65</f>
        <v>39.190919993016678</v>
      </c>
      <c r="L78" s="23">
        <f>J78*K78*EXP(-Parameters!$B$42*'6states'!A78)*(Parameters!$B$37/Parameters!$B$38*('6states'!F78+'6states'!I78)/Parameters!$E$25*(EXP(-Parameters!$B$38*Parameters!$E$25*'6states'!I78/('6states'!F78+'6states'!I78))-EXP(-Parameters!$B$38*Parameters!$E$25))  +  Parameters!$B$39*'6states'!F78)</f>
        <v>5.6213292951286764</v>
      </c>
      <c r="M78" s="8">
        <f>M77+L78*Parameters!B$65</f>
        <v>3514.8815052068708</v>
      </c>
      <c r="N78" s="7">
        <f>M78*Parameters!$B$45</f>
        <v>2.1089289031241223</v>
      </c>
      <c r="O78" s="9">
        <f>EXP(-Parameters!$B$46/2*N78^2)</f>
        <v>0.9562860547482892</v>
      </c>
      <c r="P78" s="8">
        <f>MAX((Parameters!$B$62 + Parameters!$B$31*'6states'!A78 - '6states'!M78 + Parameters!$B$47/Parameters!$B$45)/Parameters!B$62,1)</f>
        <v>55.438369895862586</v>
      </c>
      <c r="Q78" s="7">
        <f>Parameters!B$61*EXP(-Parameters!B$60*A78)</f>
        <v>6.780311232709485E-2</v>
      </c>
      <c r="R78" s="7">
        <f>(1-Parameters!B$61)*P78^-Parameters!B$63</f>
        <v>0.33464855891114637</v>
      </c>
      <c r="S78" s="7">
        <f>Parameters!B$61*EXP(-Parameters!B$60*A78)+(1-Parameters!B$61)*P78^-Parameters!B$63</f>
        <v>0.40245167123824122</v>
      </c>
      <c r="T78" s="7">
        <f>1-S78/Parameters!$B$12</f>
        <v>0.79877416438087945</v>
      </c>
      <c r="U78" s="7">
        <f t="shared" si="102"/>
        <v>4.9695407993871914</v>
      </c>
      <c r="V78" s="7">
        <f>(Parameters!$B$19*(F78+Parameters!$B$20)^T78+Parameters!$B$18*G78^T78)^(1/T78)</f>
        <v>0.34129921213270731</v>
      </c>
      <c r="W78" s="7">
        <f>(Parameters!$B$10*H78^Parameters!$B$9+Parameters!$B$11*V78^Parameters!$B$9)^(Parameters!$B$7/Parameters!$B$9)*O78</f>
        <v>1.3227059022978223</v>
      </c>
      <c r="X78" s="7">
        <f>W78 - D78 - E78 - LN(1+EXP(Parameters!$B$21*C78))/Parameters!$B$21 - IF(C78&gt;0, 0,Parameters!$B$6*C78^2/F78)</f>
        <v>1.0129871568767204</v>
      </c>
      <c r="Y78" s="7">
        <f>EXP(-Parameters!$B$55*A78)</f>
        <v>0.32712922587116899</v>
      </c>
      <c r="Z78" s="7">
        <f>IF(X78&gt;0,X78^(1-Parameters!$B$52)/(1-Parameters!$B$52)*Y78*Parameters!$B$65,-10+X78*1000)</f>
        <v>-0.93044332124016937</v>
      </c>
      <c r="AC78">
        <f t="shared" si="103"/>
        <v>0.32989906960533799</v>
      </c>
      <c r="AD78">
        <f t="shared" si="104"/>
        <v>35.891630662207319</v>
      </c>
      <c r="AE78" s="23">
        <f t="shared" si="105"/>
        <v>0.58141211850592289</v>
      </c>
      <c r="AF78" s="23">
        <f t="shared" si="106"/>
        <v>14.786611722351211</v>
      </c>
      <c r="AG78" s="23">
        <f t="shared" si="107"/>
        <v>494.8399071764764</v>
      </c>
      <c r="AH78" s="23">
        <f t="shared" si="108"/>
        <v>135.23080089018438</v>
      </c>
      <c r="AI78" s="23">
        <f t="shared" si="109"/>
        <v>332.81329657970082</v>
      </c>
      <c r="AJ78" s="23">
        <f t="shared" si="110"/>
        <v>524.08728807835121</v>
      </c>
      <c r="AK78" s="23">
        <f t="shared" si="111"/>
        <v>401.36941324858697</v>
      </c>
      <c r="AL78" s="9">
        <f t="shared" si="120"/>
        <v>2.2446808472674107E-2</v>
      </c>
      <c r="AM78" s="9">
        <f t="shared" si="121"/>
        <v>2.2047059178368578E-2</v>
      </c>
      <c r="AN78" s="9">
        <f t="shared" ref="AN78:AO78" si="130">AVERAGE(AL76:AL80)</f>
        <v>2.2326900175395535E-2</v>
      </c>
      <c r="AO78" s="9">
        <f t="shared" si="130"/>
        <v>2.1702482982165882E-2</v>
      </c>
      <c r="AP78" s="23"/>
      <c r="AQ78" s="25">
        <f t="shared" si="100"/>
        <v>524.08728807835121</v>
      </c>
      <c r="AR78" s="4"/>
      <c r="AS78" s="4"/>
      <c r="AT78" s="4"/>
      <c r="AU78" s="16"/>
      <c r="AV78" s="16"/>
      <c r="AX78" s="13">
        <f>1-W78/'6states,ExoDamages'!T78</f>
        <v>9.5323955959153106E-2</v>
      </c>
      <c r="AY78" s="21">
        <f>-Y78*W78*X78^(-Parameters!B$52)*Parameters!B$46*Parameters!B$45*N78</f>
        <v>-1.0815001056676941E-5</v>
      </c>
      <c r="AZ78" s="7">
        <f>1000*EXP(-(Parameters!$B$54)*'6states'!A78)*AQ78*Parameters!B$46*Parameters!B$45*N78</f>
        <v>0.99260483262946908</v>
      </c>
      <c r="BA78" s="7">
        <f>SUM(AZ78:AZ$204)*EXP(Parameters!$B$54*A78)</f>
        <v>997.50420872854704</v>
      </c>
      <c r="BF78" s="5"/>
      <c r="BG78" s="5"/>
      <c r="BH78" s="5"/>
      <c r="BK78">
        <f>-EXP(-Parameters!B$42*'6states'!A78)*(-Parameters!B$37/Parameters!B$38/Parameters!E$25*(EXP(-Parameters!B$38*Parameters!E$25*'6states'!I78/('6states'!F78+'6states'!I78))-EXP(-Parameters!B$38*Parameters!E$25))+Parameters!B$37*'6states'!F78/('6states'!F78+'6states'!I78)*EXP(-Parameters!B$38*Parameters!E$25*'6states'!I78/('6states'!F78+'6states'!I78)))</f>
        <v>-0.54717814383169672</v>
      </c>
      <c r="BL78">
        <f>-J78*K78*EXP(-Parameters!B$42*'6states'!A78)*(-Parameters!B$37/Parameters!B$38/Parameters!E$25*(EXP(-Parameters!B$38*Parameters!E$25*'6states'!I78/('6states'!F78+'6states'!I78))-EXP(-Parameters!B$38*Parameters!E$25)) + Parameters!B$37*'6states'!F78/('6states'!F78+'6states'!I78)*EXP(-Parameters!B$38*Parameters!E$25*'6states'!I78/('6states'!F78+'6states'!I78)))</f>
        <v>-216.80489139597913</v>
      </c>
      <c r="BM78" s="7">
        <f t="shared" si="101"/>
        <v>3.7832588270730806E-2</v>
      </c>
      <c r="BS78">
        <f>EXP(-Parameters!$B$56*A78)*BF78*BL78</f>
        <v>0</v>
      </c>
      <c r="BT78">
        <f>-EXP((Parameters!$B$56)*F78)*SUM(BS78:BS86)</f>
        <v>0</v>
      </c>
      <c r="BU78">
        <f>X78^-Parameters!B$52/(1-2*Parameters!B$5*'6states'!D78/'6states'!G78)</f>
        <v>1.1494785646423138</v>
      </c>
      <c r="BV78">
        <f t="shared" si="113"/>
        <v>1.0010582390745515</v>
      </c>
      <c r="BW78">
        <f>$X78^-Parameters!$B$52/(1-2*Parameters!$B$5*'6states'!$E78/'6states'!$H78)</f>
        <v>1.1343713018200097</v>
      </c>
      <c r="BX78">
        <f t="shared" si="114"/>
        <v>1.0008495780551485</v>
      </c>
      <c r="BY78" s="7">
        <f>($X78^-Parameters!$B$52*(1/(1+EXP(-C78)) + IF(C78&lt;0,2*Parameters!$B$6*C78/F78,0)) + BQ78*(1/(1+EXP((C78-Parameters!$B$22)*Parameters!$B$21))))/(1-IF(C78&gt;0,2*Parameters!$B$5*C78/F78,0))</f>
        <v>0.51452905274325178</v>
      </c>
      <c r="BZ78">
        <f t="shared" si="115"/>
        <v>1.0026719960131929</v>
      </c>
      <c r="CA78" s="7">
        <f t="shared" si="116"/>
        <v>1.3711558546248837E-3</v>
      </c>
      <c r="CB78">
        <f>(1/$T78-1/Parameters!$B$13) * LN(Parameters!$B$18) / LN(P78)</f>
        <v>0.22194610222772659</v>
      </c>
      <c r="CC78">
        <f>(Parameters!$B$18*'6states'!T78^+Parameters!$B$19*Parameters!$B$25^'6states'!T78)^((1-'6states'!T78)/'6states'!T78)*Parameters!$B$18*Parameters!$B$26^('6states'!T78-1)</f>
        <v>0.30130345835706834</v>
      </c>
      <c r="CD78">
        <f t="shared" si="117"/>
        <v>0.20985772734172145</v>
      </c>
      <c r="CE78">
        <f t="shared" si="118"/>
        <v>0.1425919319799358</v>
      </c>
      <c r="CF78">
        <f t="shared" si="119"/>
        <v>0.1884811329134094</v>
      </c>
    </row>
    <row r="79" spans="1:84" s="85" customFormat="1" x14ac:dyDescent="0.25">
      <c r="A79" s="85">
        <f>A78+Parameters!$B$65</f>
        <v>75</v>
      </c>
      <c r="B79" s="53">
        <v>2100</v>
      </c>
      <c r="C79" s="76">
        <v>8.4721895074924296E-4</v>
      </c>
      <c r="D79" s="77">
        <v>8.8445265048151797E-2</v>
      </c>
      <c r="E79" s="78">
        <v>0.21544138057256801</v>
      </c>
      <c r="F79" s="54">
        <f>MAX((1-Parameters!$B$4)^Parameters!B$65*F78 + C78*Parameters!B$65 - IF(C78&gt;0,Parameters!$B$5,0)*C78^2/F78*Parameters!B$65, 0.0001)</f>
        <v>3.5785533265179373E-2</v>
      </c>
      <c r="G79" s="86">
        <f>(1-Parameters!$B$4)^Parameters!B$65*G78+D78*Parameters!B$65-Parameters!$B$5*D78^2/G78*Parameters!B$65</f>
        <v>1.254349384893038</v>
      </c>
      <c r="H79" s="86">
        <f>(1-Parameters!$B$4)^Parameters!B$65*H78+E78*Parameters!B$65-Parameters!$B$5*E78^2/H78*Parameters!B$65</f>
        <v>3.2356516143550893</v>
      </c>
      <c r="I79" s="55">
        <f>I78 *(1-Parameters!$B$4)-C78*(C78&lt;0)*Parameters!B$65</f>
        <v>1.3750854385543604E-3</v>
      </c>
      <c r="J79" s="101">
        <f>J78*(1+Parameters!$B$51)^Parameters!B$65</f>
        <v>10.139405856146295</v>
      </c>
      <c r="K79" s="101">
        <f>K78*(1+Parameters!$B$53)^Parameters!B$65</f>
        <v>39.974738392877015</v>
      </c>
      <c r="L79" s="56">
        <f>J79*K79*EXP(-Parameters!$B$42*'6states'!A79)*(Parameters!$B$37/Parameters!$B$38*('6states'!F79+'6states'!I79)/Parameters!$E$25*(EXP(-Parameters!$B$38*Parameters!$E$25*'6states'!I79/('6states'!F79+'6states'!I79))-EXP(-Parameters!$B$38*Parameters!$E$25))  +  Parameters!$B$39*'6states'!F79)</f>
        <v>5.4664075533612388</v>
      </c>
      <c r="M79" s="84">
        <f>M78+L79*Parameters!B$65</f>
        <v>3520.3479127602318</v>
      </c>
      <c r="N79" s="86">
        <f>M79*Parameters!$B$45</f>
        <v>2.1122087476561391</v>
      </c>
      <c r="O79" s="55">
        <f>EXP(-Parameters!$B$46/2*N79^2)</f>
        <v>0.95615300733237962</v>
      </c>
      <c r="P79" s="57">
        <f>MAX((Parameters!$B$62 + Parameters!$B$31*'6states'!A79 - '6states'!M79 + Parameters!$B$47/Parameters!$B$45)/Parameters!B$62,1)</f>
        <v>56.393041744795362</v>
      </c>
      <c r="Q79" s="54">
        <f>Parameters!B$61*EXP(-Parameters!B$60*A79)</f>
        <v>6.5996921593915112E-2</v>
      </c>
      <c r="R79" s="54">
        <f>(1-Parameters!B$61)*P79^-Parameters!B$63</f>
        <v>0.33407767327807752</v>
      </c>
      <c r="S79" s="54">
        <f>Parameters!B$61*EXP(-Parameters!B$60*A79)+(1-Parameters!B$61)*P79^-Parameters!B$63</f>
        <v>0.40007459487199265</v>
      </c>
      <c r="T79" s="86">
        <f>1-S79/Parameters!$B$12</f>
        <v>0.7999627025640037</v>
      </c>
      <c r="U79" s="86">
        <f t="shared" si="102"/>
        <v>4.9990677379550119</v>
      </c>
      <c r="V79" s="54">
        <f>(Parameters!$B$19*(F79+Parameters!$B$20)^T79+Parameters!$B$18*G79^T79)^(1/T79)</f>
        <v>0.34140805087509429</v>
      </c>
      <c r="W79" s="86">
        <f>(Parameters!$B$10*H79^Parameters!$B$9+Parameters!$B$11*V79^Parameters!$B$9)^(Parameters!$B$7/Parameters!$B$9)*O79</f>
        <v>1.322416932391651</v>
      </c>
      <c r="X79" s="54">
        <f>W79 - D79 - E79 - LN(1+EXP(Parameters!$B$21*C79))/Parameters!$B$21 - IF(C79&gt;0, 0,Parameters!$B$6*C79^2/F79)</f>
        <v>1.0157693420861771</v>
      </c>
      <c r="Y79" s="86">
        <f>EXP(-Parameters!$B$55*A79)</f>
        <v>0.32222668191941661</v>
      </c>
      <c r="Z79" s="86">
        <f>IF(X79&gt;0,X79^(1-Parameters!$B$52)/(1-Parameters!$B$52)*Y79*Parameters!$B$65,-10+X79*1000)</f>
        <v>-0.91561978737879213</v>
      </c>
      <c r="AC79" s="53">
        <f t="shared" si="103"/>
        <v>0.34339486692400417</v>
      </c>
      <c r="AD79" s="53">
        <f t="shared" si="104"/>
        <v>35.848643369472576</v>
      </c>
      <c r="AE79" s="56">
        <f t="shared" si="105"/>
        <v>0.55734976273125159</v>
      </c>
      <c r="AF79" s="56">
        <f t="shared" si="106"/>
        <v>14.504595798445406</v>
      </c>
      <c r="AG79" s="56">
        <f t="shared" si="107"/>
        <v>508.41301380313359</v>
      </c>
      <c r="AH79" s="56">
        <f t="shared" si="108"/>
        <v>138.37954414659487</v>
      </c>
      <c r="AI79" s="56">
        <f t="shared" si="109"/>
        <v>340.56259345845012</v>
      </c>
      <c r="AJ79" s="56">
        <f t="shared" si="110"/>
        <v>536.0021587277821</v>
      </c>
      <c r="AK79" s="56">
        <f t="shared" si="111"/>
        <v>411.71172781568907</v>
      </c>
      <c r="AL79" s="55">
        <f t="shared" si="120"/>
        <v>2.2479937789615434E-2</v>
      </c>
      <c r="AM79" s="55">
        <f t="shared" si="121"/>
        <v>2.544118140370788E-2</v>
      </c>
      <c r="AN79" s="55">
        <f t="shared" ref="AN79:AO79" si="131">AVERAGE(AL77:AL81)</f>
        <v>2.2379212695185124E-2</v>
      </c>
      <c r="AO79" s="55">
        <f t="shared" si="131"/>
        <v>2.1353458335970112E-2</v>
      </c>
      <c r="AP79" s="56"/>
      <c r="AQ79" s="84">
        <f t="shared" si="100"/>
        <v>536.00215872778222</v>
      </c>
      <c r="AU79" s="86"/>
      <c r="AV79" s="86"/>
      <c r="AX79" s="102">
        <f>1-W79/'6states,ExoDamages'!T79</f>
        <v>9.5387826421936328E-2</v>
      </c>
      <c r="AY79" s="61">
        <f>-Y79*W79*X79^(-Parameters!B$52)*Parameters!B$46*Parameters!B$45*N79</f>
        <v>-1.062773358926612E-5</v>
      </c>
      <c r="AZ79" s="86">
        <f>1000*EXP(-(Parameters!$B$54)*'6states'!A79)*AQ79*Parameters!B$46*Parameters!B$45*N79</f>
        <v>0.98168116818297091</v>
      </c>
      <c r="BA79" s="86">
        <f>SUM(AZ79:AZ$204)*EXP(Parameters!$B$54*A79)</f>
        <v>1019.3326847869539</v>
      </c>
      <c r="BC79" s="86"/>
      <c r="BD79" s="86"/>
      <c r="BE79" s="86"/>
      <c r="BF79" s="62"/>
      <c r="BG79" s="62"/>
      <c r="BH79" s="62"/>
      <c r="BI79" s="53"/>
      <c r="BJ79" s="53"/>
      <c r="BK79" s="53">
        <f>-EXP(-Parameters!B$42*'6states'!A79)*(-Parameters!B$37/Parameters!B$38/Parameters!E$25*(EXP(-Parameters!B$38*Parameters!E$25*'6states'!I79/('6states'!F79+'6states'!I79))-EXP(-Parameters!B$38*Parameters!E$25))+Parameters!B$37*'6states'!F79/('6states'!F79+'6states'!I79)*EXP(-Parameters!B$38*Parameters!E$25*'6states'!I79/('6states'!F79+'6states'!I79)))</f>
        <v>-0.56169047116345072</v>
      </c>
      <c r="BL79" s="53">
        <f>-J79*K79*EXP(-Parameters!B$42*'6states'!A79)*(-Parameters!B$37/Parameters!B$38/Parameters!E$25*(EXP(-Parameters!B$38*Parameters!E$25*'6states'!I79/('6states'!F79+'6states'!I79))-EXP(-Parameters!B$38*Parameters!E$25)) + Parameters!B$37*'6states'!F79/('6states'!F79+'6states'!I79)*EXP(-Parameters!B$38*Parameters!E$25*'6states'!I79/('6states'!F79+'6states'!I79)))</f>
        <v>-227.66443600804533</v>
      </c>
      <c r="BM79" s="54">
        <f t="shared" si="101"/>
        <v>3.7003835956482559E-2</v>
      </c>
      <c r="BN79" s="53"/>
      <c r="BO79" s="53"/>
      <c r="BP79" s="53"/>
      <c r="BQ79" s="53"/>
      <c r="BS79" s="53">
        <f>EXP(-Parameters!$B$56*A79)*BF79*BL79</f>
        <v>0</v>
      </c>
      <c r="BT79" s="53">
        <f>-EXP((Parameters!$B$56)*F79)*SUM(BS79:BS87)</f>
        <v>0</v>
      </c>
      <c r="BU79" s="53">
        <f>X79^-Parameters!B$52/(1-2*Parameters!B$5*'6states'!D79/'6states'!G79)</f>
        <v>1.1398414355965145</v>
      </c>
      <c r="BV79" s="53">
        <f t="shared" si="113"/>
        <v>0.99161608633493914</v>
      </c>
      <c r="BW79" s="53">
        <f>$X79^-Parameters!$B$52/(1-2*Parameters!$B$5*'6states'!$E79/'6states'!$H79)</f>
        <v>1.129513152752514</v>
      </c>
      <c r="BX79" s="53">
        <f t="shared" si="114"/>
        <v>0.99571732019339598</v>
      </c>
      <c r="BY79" s="54">
        <f>($X79^-Parameters!$B$52*(1/(1+EXP(-C79)) + IF(C79&lt;0,2*Parameters!$B$6*C79/F79,0)) + BQ79*(1/(1+EXP((C79-Parameters!$B$22)*Parameters!$B$21))))/(1-IF(C79&gt;0,2*Parameters!$B$5*C79/F79,0))</f>
        <v>0.5140993896715621</v>
      </c>
      <c r="BZ79" s="53">
        <f t="shared" si="115"/>
        <v>0.99916493914308846</v>
      </c>
      <c r="CA79" s="54">
        <f t="shared" si="116"/>
        <v>-4.2966307168967877E-4</v>
      </c>
      <c r="CB79" s="53">
        <f>(1/$T79-1/Parameters!$B$13) * LN(Parameters!$B$18) / LN(P79)</f>
        <v>0.22155584366514372</v>
      </c>
      <c r="CC79" s="53">
        <f>(Parameters!$B$18*'6states'!T79^+Parameters!$B$19*Parameters!$B$25^'6states'!T79)^((1-'6states'!T79)/'6states'!T79)*Parameters!$B$18*Parameters!$B$26^('6states'!T79-1)</f>
        <v>0.30154750603038843</v>
      </c>
      <c r="CD79" s="53">
        <f t="shared" si="117"/>
        <v>0.2091699318662287</v>
      </c>
      <c r="CE79" s="53">
        <f t="shared" si="118"/>
        <v>0.14235996604673951</v>
      </c>
      <c r="CF79" s="53">
        <f t="shared" si="119"/>
        <v>0.18861839861100715</v>
      </c>
    </row>
    <row r="80" spans="1:84" x14ac:dyDescent="0.25">
      <c r="A80">
        <f>A79+Parameters!$B$65</f>
        <v>76</v>
      </c>
      <c r="B80">
        <v>2101</v>
      </c>
      <c r="C80" s="74">
        <v>8.4044855933449499E-4</v>
      </c>
      <c r="D80" s="69">
        <v>8.9169824964562702E-2</v>
      </c>
      <c r="E80" s="75">
        <v>0.215854302361772</v>
      </c>
      <c r="F80" s="7">
        <f>MAX((1-Parameters!$B$4)^Parameters!B$65*F79 + C79*Parameters!B$65 - IF(C79&gt;0,Parameters!$B$5,0)*C79^2/F79*Parameters!B$65, 0.0001)</f>
        <v>3.4361784348919261E-2</v>
      </c>
      <c r="G80" s="7">
        <f>(1-Parameters!$B$4)^Parameters!B$65*G79+D79*Parameters!B$65-Parameters!$B$5*D79^2/G79*Parameters!B$65</f>
        <v>1.2576597211417126</v>
      </c>
      <c r="H80" s="7">
        <f>(1-Parameters!$B$4)^Parameters!B$65*H79+E79*Parameters!B$65-Parameters!$B$5*E79^2/H79*Parameters!B$65</f>
        <v>3.2332256424983297</v>
      </c>
      <c r="I80" s="9">
        <f>I79 *(1-Parameters!$B$4)-C79*(C79&lt;0)*Parameters!B$65</f>
        <v>1.2885925644692913E-3</v>
      </c>
      <c r="J80" s="23">
        <f>J79*(1+Parameters!$B$51)^Parameters!B$65</f>
        <v>10.168810133129119</v>
      </c>
      <c r="K80" s="23">
        <f>K79*(1+Parameters!$B$53)^Parameters!B$65</f>
        <v>40.774233160734553</v>
      </c>
      <c r="L80" s="23">
        <f>J80*K80*EXP(-Parameters!$B$42*'6states'!A80)*(Parameters!$B$37/Parameters!$B$38*('6states'!F80+'6states'!I80)/Parameters!$E$25*(EXP(-Parameters!$B$38*Parameters!$E$25*'6states'!I80/('6states'!F80+'6states'!I80))-EXP(-Parameters!$B$38*Parameters!$E$25))  +  Parameters!$B$39*'6states'!F80)</f>
        <v>5.3234689675738434</v>
      </c>
      <c r="M80" s="8">
        <f>M79+L80*Parameters!B$65</f>
        <v>3525.6713817278055</v>
      </c>
      <c r="N80" s="7">
        <f>M80*Parameters!$B$45</f>
        <v>2.1154028290366833</v>
      </c>
      <c r="O80" s="9">
        <f>EXP(-Parameters!$B$46/2*N80^2)</f>
        <v>0.95602325802616261</v>
      </c>
      <c r="P80" s="8">
        <f>MAX((Parameters!$B$62 + Parameters!$B$31*'6states'!A80 - '6states'!M80 + Parameters!$B$47/Parameters!$B$45)/Parameters!B$62,1)</f>
        <v>57.350572365443895</v>
      </c>
      <c r="Q80" s="7">
        <f>Parameters!B$61*EXP(-Parameters!B$60*A80)</f>
        <v>6.4238845539437511E-2</v>
      </c>
      <c r="R80" s="7">
        <f>(1-Parameters!B$61)*P80^-Parameters!B$63</f>
        <v>0.33351565842345188</v>
      </c>
      <c r="S80" s="7">
        <f>Parameters!B$61*EXP(-Parameters!B$60*A80)+(1-Parameters!B$61)*P80^-Parameters!B$63</f>
        <v>0.39775450396288936</v>
      </c>
      <c r="T80" s="7">
        <f>1-S80/Parameters!$B$12</f>
        <v>0.80112274801855532</v>
      </c>
      <c r="U80" s="7">
        <f t="shared" si="102"/>
        <v>5.028227160405959</v>
      </c>
      <c r="V80" s="7">
        <f>(Parameters!$B$19*(F80+Parameters!$B$20)^T80+Parameters!$B$18*G80^T80)^(1/T80)</f>
        <v>0.34111720911174093</v>
      </c>
      <c r="W80" s="7">
        <f>(Parameters!$B$10*H80^Parameters!$B$9+Parameters!$B$11*V80^Parameters!$B$9)^(Parameters!$B$7/Parameters!$B$9)*O80</f>
        <v>1.321927372562985</v>
      </c>
      <c r="X80" s="7">
        <f>W80 - D80 - E80 - LN(1+EXP(Parameters!$B$21*C80))/Parameters!$B$21 - IF(C80&gt;0, 0,Parameters!$B$6*C80^2/F80)</f>
        <v>1.0141461119552295</v>
      </c>
      <c r="Y80" s="7">
        <f>EXP(-Parameters!$B$55*A80)</f>
        <v>0.31739761026942775</v>
      </c>
      <c r="Z80" s="7">
        <f>IF(X80&gt;0,X80^(1-Parameters!$B$52)/(1-Parameters!$B$52)*Y80*Parameters!$B$65,-10+X80*1000)</f>
        <v>-0.90240277618413556</v>
      </c>
      <c r="AC80">
        <f t="shared" si="103"/>
        <v>0.3484713497911141</v>
      </c>
      <c r="AD80">
        <f t="shared" si="104"/>
        <v>36.972077494717411</v>
      </c>
      <c r="AE80" s="23">
        <f t="shared" si="105"/>
        <v>0.53428325301309976</v>
      </c>
      <c r="AF80" s="23">
        <f t="shared" si="106"/>
        <v>14.247269794573393</v>
      </c>
      <c r="AG80" s="23">
        <f t="shared" si="107"/>
        <v>521.45770938223927</v>
      </c>
      <c r="AH80" s="23">
        <f t="shared" si="108"/>
        <v>141.43587132836825</v>
      </c>
      <c r="AI80" s="23">
        <f t="shared" si="109"/>
        <v>348.08444734156188</v>
      </c>
      <c r="AJ80" s="23">
        <f t="shared" si="110"/>
        <v>548.10471233077112</v>
      </c>
      <c r="AK80" s="23">
        <f t="shared" si="111"/>
        <v>420.49077316318784</v>
      </c>
      <c r="AL80" s="9">
        <f t="shared" si="120"/>
        <v>2.232816105005675E-2</v>
      </c>
      <c r="AM80" s="9">
        <f t="shared" si="121"/>
        <v>2.1099121950598487E-2</v>
      </c>
      <c r="AN80" s="9">
        <f t="shared" ref="AN80:AO80" si="132">AVERAGE(AL78:AL82)</f>
        <v>2.2449919785877091E-2</v>
      </c>
      <c r="AO80" s="9">
        <f t="shared" si="132"/>
        <v>2.2523896260734588E-2</v>
      </c>
      <c r="AP80" s="23"/>
      <c r="AQ80" s="25">
        <f t="shared" si="100"/>
        <v>548.10471233077112</v>
      </c>
      <c r="AR80" s="4"/>
      <c r="AS80" s="4"/>
      <c r="AT80" s="4"/>
      <c r="AU80" s="16"/>
      <c r="AV80" s="16"/>
      <c r="AX80" s="13">
        <f>1-W80/'6states,ExoDamages'!T80</f>
        <v>9.5593169858090632E-2</v>
      </c>
      <c r="AY80" s="21">
        <f>-Y80*W80*X80^(-Parameters!B$52)*Parameters!B$46*Parameters!B$45*N80</f>
        <v>-1.0503061805931118E-5</v>
      </c>
      <c r="AZ80" s="7">
        <f>1000*EXP(-(Parameters!$B$54)*'6states'!A80)*AQ80*Parameters!B$46*Parameters!B$45*N80</f>
        <v>0.97068867921397806</v>
      </c>
      <c r="BA80" s="7">
        <f>SUM(AZ80:AZ$204)*EXP(Parameters!$B$54*A80)</f>
        <v>1041.6051220208253</v>
      </c>
      <c r="BF80" s="5"/>
      <c r="BG80" s="5"/>
      <c r="BH80" s="5"/>
      <c r="BK80">
        <f>-EXP(-Parameters!B$42*'6states'!A80)*(-Parameters!B$37/Parameters!B$38/Parameters!E$25*(EXP(-Parameters!B$38*Parameters!E$25*'6states'!I80/('6states'!F80+'6states'!I80))-EXP(-Parameters!B$38*Parameters!E$25))+Parameters!B$37*'6states'!F80/('6states'!F80+'6states'!I80)*EXP(-Parameters!B$38*Parameters!E$25*'6states'!I80/('6states'!F80+'6states'!I80)))</f>
        <v>-0.57733804669051181</v>
      </c>
      <c r="BL80">
        <f>-J80*K80*EXP(-Parameters!B$42*'6states'!A80)*(-Parameters!B$37/Parameters!B$38/Parameters!E$25*(EXP(-Parameters!B$38*Parameters!E$25*'6states'!I80/('6states'!F80+'6states'!I80))-EXP(-Parameters!B$38*Parameters!E$25)) + Parameters!B$37*'6states'!F80/('6states'!F80+'6states'!I80)*EXP(-Parameters!B$38*Parameters!E$25*'6states'!I80/('6states'!F80+'6states'!I80)))</f>
        <v>-239.37903894477003</v>
      </c>
      <c r="BM80" s="7">
        <f t="shared" si="101"/>
        <v>3.6145271832606025E-2</v>
      </c>
      <c r="BS80">
        <f>EXP(-Parameters!$B$56*A80)*BF80*BL80</f>
        <v>0</v>
      </c>
      <c r="BT80">
        <f>-EXP((Parameters!$B$56)*F80)*SUM(BS80:BS88)</f>
        <v>0</v>
      </c>
      <c r="BU80">
        <f>X80^-Parameters!B$52/(1-2*Parameters!B$5*'6states'!D80/'6states'!G80)</f>
        <v>1.1433447007983146</v>
      </c>
      <c r="BV80">
        <f t="shared" si="113"/>
        <v>1.0030734671441091</v>
      </c>
      <c r="BW80">
        <f>$X80^-Parameters!$B$52/(1-2*Parameters!$B$5*'6states'!$E80/'6states'!$H80)</f>
        <v>1.1324186963111185</v>
      </c>
      <c r="BX80">
        <f t="shared" si="114"/>
        <v>1.00257238576773</v>
      </c>
      <c r="BY80" s="7">
        <f>($X80^-Parameters!$B$52*(1/(1+EXP(-C80)) + IF(C80&lt;0,2*Parameters!$B$6*C80/F80,0)) + BQ80*(1/(1+EXP((C80-Parameters!$B$22)*Parameters!$B$21))))/(1-IF(C80&gt;0,2*Parameters!$B$5*C80/F80,0))</f>
        <v>0.51605812619460389</v>
      </c>
      <c r="BZ80">
        <f t="shared" si="115"/>
        <v>1.003810034717787</v>
      </c>
      <c r="CA80" s="7">
        <f t="shared" si="116"/>
        <v>1.958736523041793E-3</v>
      </c>
      <c r="CB80">
        <f>(1/$T80-1/Parameters!$B$13) * LN(Parameters!$B$18) / LN(P80)</f>
        <v>0.22116712475752329</v>
      </c>
      <c r="CC80">
        <f>(Parameters!$B$18*'6states'!T80^+Parameters!$B$19*Parameters!$B$25^'6states'!T80)^((1-'6states'!T80)/'6states'!T80)*Parameters!$B$18*Parameters!$B$26^('6states'!T80-1)</f>
        <v>0.30178250086058978</v>
      </c>
      <c r="CD80">
        <f t="shared" si="117"/>
        <v>0.20849255788791327</v>
      </c>
      <c r="CE80">
        <f t="shared" si="118"/>
        <v>0.14212885288374177</v>
      </c>
      <c r="CF80">
        <f t="shared" si="119"/>
        <v>0.18875055055463363</v>
      </c>
    </row>
    <row r="81" spans="1:82" x14ac:dyDescent="0.25">
      <c r="A81">
        <f>A80+Parameters!$B$65</f>
        <v>77</v>
      </c>
      <c r="B81">
        <v>2102</v>
      </c>
      <c r="C81" s="74">
        <v>8.19267111891523E-4</v>
      </c>
      <c r="D81" s="69">
        <v>8.8983378765309804E-2</v>
      </c>
      <c r="E81" s="75">
        <v>0.218927902566388</v>
      </c>
      <c r="F81" s="7">
        <f>MAX((1-Parameters!$B$4)^Parameters!B$65*F80 + C80*Parameters!B$65 - IF(C80&gt;0,Parameters!$B$5,0)*C80^2/F80*Parameters!B$65, 0.0001)</f>
        <v>3.3020320296072887E-2</v>
      </c>
      <c r="G81" s="7">
        <f>(1-Parameters!$B$4)^Parameters!B$65*G80+D80*Parameters!B$65-Parameters!$B$5*D80^2/G80*Parameters!B$65</f>
        <v>1.2614004849268818</v>
      </c>
      <c r="H81" s="7">
        <f>(1-Parameters!$B$4)^Parameters!B$65*H80+E80*Parameters!B$65-Parameters!$B$5*E80^2/H80*Parameters!B$65</f>
        <v>3.231299341096574</v>
      </c>
      <c r="I81" s="9">
        <f>I80 *(1-Parameters!$B$4)-C80*(C80&lt;0)*Parameters!B$65</f>
        <v>1.207540092164173E-3</v>
      </c>
      <c r="J81" s="23">
        <f>J80*(1+Parameters!$B$51)^Parameters!B$65</f>
        <v>10.198299682515193</v>
      </c>
      <c r="K81" s="23">
        <f>K80*(1+Parameters!$B$53)^Parameters!B$65</f>
        <v>41.589717823949243</v>
      </c>
      <c r="L81" s="23">
        <f>J81*K81*EXP(-Parameters!$B$42*'6states'!A81)*(Parameters!$B$37/Parameters!$B$38*('6states'!F81+'6states'!I81)/Parameters!$E$25*(EXP(-Parameters!$B$38*Parameters!$E$25*'6states'!I81/('6states'!F81+'6states'!I81))-EXP(-Parameters!$B$38*Parameters!$E$25))  +  Parameters!$B$39*'6states'!F81)</f>
        <v>5.1886154342377262</v>
      </c>
      <c r="M81" s="8">
        <f>M80+L81*Parameters!B$65</f>
        <v>3530.8599971620433</v>
      </c>
      <c r="N81" s="7">
        <f>M81*Parameters!$B$45</f>
        <v>2.1185159982972257</v>
      </c>
      <c r="O81" s="9">
        <f>EXP(-Parameters!$B$46/2*N81^2)</f>
        <v>0.95589662382476015</v>
      </c>
      <c r="P81" s="8">
        <f>MAX((Parameters!$B$62 + Parameters!$B$31*'6states'!A81 - '6states'!M81 + Parameters!$B$47/Parameters!$B$45)/Parameters!B$62,1)</f>
        <v>58.310800056759142</v>
      </c>
      <c r="Q81" s="7">
        <f>Parameters!B$61*EXP(-Parameters!B$60*A81)</f>
        <v>6.2527602448356992E-2</v>
      </c>
      <c r="R81" s="7">
        <f>(1-Parameters!B$61)*P81^-Parameters!B$63</f>
        <v>0.33296233178969847</v>
      </c>
      <c r="S81" s="7">
        <f>Parameters!B$61*EXP(-Parameters!B$60*A81)+(1-Parameters!B$61)*P81^-Parameters!B$63</f>
        <v>0.39548993423805545</v>
      </c>
      <c r="T81" s="7">
        <f>1-S81/Parameters!$B$12</f>
        <v>0.80225503288097233</v>
      </c>
      <c r="U81" s="7">
        <f t="shared" si="102"/>
        <v>5.0570187174375709</v>
      </c>
      <c r="V81" s="7">
        <f>(Parameters!$B$19*(F81+Parameters!$B$20)^T81+Parameters!$B$18*G81^T81)^(1/T81)</f>
        <v>0.34100293467468235</v>
      </c>
      <c r="W81" s="7">
        <f>(Parameters!$B$10*H81^Parameters!$B$9+Parameters!$B$11*V81^Parameters!$B$9)^(Parameters!$B$7/Parameters!$B$9)*O81</f>
        <v>1.3215481795703403</v>
      </c>
      <c r="X81" s="7">
        <f>W81 - D81 - E81 - LN(1+EXP(Parameters!$B$21*C81))/Parameters!$B$21 - IF(C81&gt;0, 0,Parameters!$B$6*C81^2/F81)</f>
        <v>1.0108916672319634</v>
      </c>
      <c r="Y81" s="7">
        <f>EXP(-Parameters!$B$55*A81)</f>
        <v>0.31264090982365395</v>
      </c>
      <c r="Z81" s="7">
        <f>IF(X81&gt;0,X81^(1-Parameters!$B$52)/(1-Parameters!$B$52)*Y81*Parameters!$B$65,-10+X81*1000)</f>
        <v>-0.88987938440577907</v>
      </c>
      <c r="AC81">
        <f t="shared" si="103"/>
        <v>0.34748756259400704</v>
      </c>
      <c r="AD81">
        <f t="shared" si="104"/>
        <v>37.741802337393153</v>
      </c>
      <c r="AE81" s="23">
        <f t="shared" si="105"/>
        <v>0.51217137520861433</v>
      </c>
      <c r="AF81" s="23">
        <f t="shared" si="106"/>
        <v>14.005384140545178</v>
      </c>
      <c r="AG81" s="23">
        <f t="shared" si="107"/>
        <v>535.0159595081825</v>
      </c>
      <c r="AH81" s="23">
        <f t="shared" si="108"/>
        <v>144.6344871990886</v>
      </c>
      <c r="AI81" s="23">
        <f t="shared" si="109"/>
        <v>355.95648452110254</v>
      </c>
      <c r="AJ81" s="23">
        <f t="shared" si="110"/>
        <v>560.527267729806</v>
      </c>
      <c r="AK81" s="23">
        <f t="shared" si="111"/>
        <v>428.76404580919882</v>
      </c>
      <c r="AL81" s="9">
        <f t="shared" si="120"/>
        <v>2.2411540677040875E-2</v>
      </c>
      <c r="AM81" s="9">
        <f t="shared" si="121"/>
        <v>1.9484221213138753E-2</v>
      </c>
      <c r="AN81" s="9">
        <f t="shared" ref="AN81:AO81" si="133">AVERAGE(AL79:AL83)</f>
        <v>2.2455806386548361E-2</v>
      </c>
      <c r="AO81" s="9">
        <f t="shared" si="133"/>
        <v>2.1856658381963E-2</v>
      </c>
      <c r="AP81" s="23"/>
      <c r="AQ81" s="25">
        <f t="shared" si="100"/>
        <v>560.527267729806</v>
      </c>
      <c r="AR81" s="4"/>
      <c r="AS81" s="4"/>
      <c r="AT81" s="4"/>
      <c r="AU81" s="16"/>
      <c r="AV81" s="16"/>
      <c r="AX81" s="13">
        <f>1-W81/'6states,ExoDamages'!T81</f>
        <v>9.5727014932428856E-2</v>
      </c>
      <c r="AY81" s="21">
        <f>-Y81*W81*X81^(-Parameters!B$52)*Parameters!B$46*Parameters!B$45*N81</f>
        <v>-1.0402952846598955E-5</v>
      </c>
      <c r="AZ81" s="7">
        <f>1000*EXP(-(Parameters!$B$54)*'6states'!A81)*AQ81*Parameters!B$46*Parameters!B$45*N81</f>
        <v>0.9598604644168256</v>
      </c>
      <c r="BA81" s="7">
        <f>SUM(AZ81:AZ$204)*EXP(Parameters!$B$54*A81)</f>
        <v>1064.3320317098028</v>
      </c>
      <c r="BF81" s="5"/>
      <c r="BG81" s="5"/>
      <c r="BH81" s="5"/>
      <c r="BK81">
        <f>-EXP(-Parameters!B$42*'6states'!A81)*(-Parameters!B$37/Parameters!B$38/Parameters!E$25*(EXP(-Parameters!B$38*Parameters!E$25*'6states'!I81/('6states'!F81+'6states'!I81))-EXP(-Parameters!B$38*Parameters!E$25))+Parameters!B$37*'6states'!F81/('6states'!F81+'6states'!I81)*EXP(-Parameters!B$38*Parameters!E$25*'6states'!I81/('6states'!F81+'6states'!I81)))</f>
        <v>-0.59360905773207195</v>
      </c>
      <c r="BL81">
        <f>-J81*K81*EXP(-Parameters!B$42*'6states'!A81)*(-Parameters!B$37/Parameters!B$38/Parameters!E$25*(EXP(-Parameters!B$38*Parameters!E$25*'6states'!I81/('6states'!F81+'6states'!I81))-EXP(-Parameters!B$38*Parameters!E$25)) + Parameters!B$37*'6states'!F81/('6states'!F81+'6states'!I81)*EXP(-Parameters!B$38*Parameters!E$25*'6states'!I81/('6states'!F81+'6states'!I81)))</f>
        <v>-251.77596123540567</v>
      </c>
      <c r="BM81" s="7">
        <f t="shared" si="101"/>
        <v>3.527945008736693E-2</v>
      </c>
      <c r="BS81">
        <f>EXP(-Parameters!$B$56*A81)*BF81*BL81</f>
        <v>0</v>
      </c>
      <c r="BT81">
        <f>-EXP((Parameters!$B$56)*F81)*SUM(BS81:BS89)</f>
        <v>0</v>
      </c>
      <c r="BU81">
        <f>X81^-Parameters!B$52/(1-2*Parameters!B$5*'6states'!D81/'6states'!G81)</f>
        <v>1.1473592202614884</v>
      </c>
      <c r="BV81">
        <f t="shared" si="113"/>
        <v>1.0035112066031975</v>
      </c>
      <c r="BW81">
        <f>$X81^-Parameters!$B$52/(1-2*Parameters!$B$5*'6states'!$E81/'6states'!$H81)</f>
        <v>1.1399506805151502</v>
      </c>
      <c r="BX81">
        <f t="shared" si="114"/>
        <v>1.0066512361801931</v>
      </c>
      <c r="BY81" s="7">
        <f>($X81^-Parameters!$B$52*(1/(1+EXP(-C81)) + IF(C81&lt;0,2*Parameters!$B$6*C81/F81,0)) + BQ81*(1/(1+EXP((C81-Parameters!$B$22)*Parameters!$B$21))))/(1-IF(C81&gt;0,2*Parameters!$B$5*C81/F81,0))</f>
        <v>0.51868090633282893</v>
      </c>
      <c r="BZ81">
        <f t="shared" si="115"/>
        <v>1.0050823347314872</v>
      </c>
      <c r="CA81" s="7">
        <f t="shared" si="116"/>
        <v>2.6227801382250338E-3</v>
      </c>
      <c r="CC81">
        <f>(Parameters!$B$18*'6states'!T81^+Parameters!$B$19*Parameters!$B$25^'6states'!T81)^((1-'6states'!T81)/'6states'!T81)*Parameters!$B$18*Parameters!$B$26^('6states'!T81-1)</f>
        <v>0.30200883008642088</v>
      </c>
      <c r="CD81">
        <f t="shared" si="117"/>
        <v>0.20782547391465733</v>
      </c>
    </row>
    <row r="82" spans="1:82" x14ac:dyDescent="0.25">
      <c r="A82">
        <f>A81+Parameters!$B$65</f>
        <v>78</v>
      </c>
      <c r="B82">
        <v>2103</v>
      </c>
      <c r="C82" s="74">
        <v>8.0869322150126598E-4</v>
      </c>
      <c r="D82" s="69">
        <v>8.9546725412782704E-2</v>
      </c>
      <c r="E82" s="75">
        <v>0.216346805716367</v>
      </c>
      <c r="F82" s="7">
        <f>MAX((1-Parameters!$B$4)^Parameters!B$65*F81 + C81*Parameters!B$65 - IF(C81&gt;0,Parameters!$B$5,0)*C81^2/F81*Parameters!B$65, 0.0001)</f>
        <v>3.1742282426392252E-2</v>
      </c>
      <c r="G82" s="7">
        <f>(1-Parameters!$B$4)^Parameters!B$65*G81+D81*Parameters!B$65-Parameters!$B$5*D81^2/G81*Parameters!B$65</f>
        <v>1.2647645901773561</v>
      </c>
      <c r="H82" s="7">
        <f>(1-Parameters!$B$4)^Parameters!B$65*H81+E81*Parameters!B$65-Parameters!$B$5*E81^2/H81*Parameters!B$65</f>
        <v>3.2321456502252648</v>
      </c>
      <c r="I82" s="9">
        <f>I81 *(1-Parameters!$B$4)-C81*(C81&lt;0)*Parameters!B$65</f>
        <v>1.1315858203670465E-3</v>
      </c>
      <c r="J82" s="23">
        <f>J81*(1+Parameters!$B$51)^Parameters!B$65</f>
        <v>10.227874751594486</v>
      </c>
      <c r="K82" s="23">
        <f>K81*(1+Parameters!$B$53)^Parameters!B$65</f>
        <v>42.42151218042823</v>
      </c>
      <c r="L82" s="23">
        <f>J82*K82*EXP(-Parameters!$B$42*'6states'!A82)*(Parameters!$B$37/Parameters!$B$38*('6states'!F82+'6states'!I82)/Parameters!$E$25*(EXP(-Parameters!$B$38*Parameters!$E$25*'6states'!I82/('6states'!F82+'6states'!I82))-EXP(-Parameters!$B$38*Parameters!$E$25))  +  Parameters!$B$39*'6states'!F82)</f>
        <v>5.0591244472336312</v>
      </c>
      <c r="M82" s="8">
        <f>M81+L82*Parameters!B$65</f>
        <v>3535.9191216092768</v>
      </c>
      <c r="N82" s="7">
        <f>M82*Parameters!$B$45</f>
        <v>2.121551472965566</v>
      </c>
      <c r="O82" s="9">
        <f>EXP(-Parameters!$B$46/2*N82^2)</f>
        <v>0.95577298687494572</v>
      </c>
      <c r="P82" s="8">
        <f>MAX((Parameters!$B$62 + Parameters!$B$31*'6states'!A82 - '6states'!M82 + Parameters!$B$47/Parameters!$B$45)/Parameters!B$62,1)</f>
        <v>59.273617567814469</v>
      </c>
      <c r="Q82" s="7">
        <f>Parameters!B$61*EXP(-Parameters!B$60*A82)</f>
        <v>6.0861944748672944E-2</v>
      </c>
      <c r="R82" s="7">
        <f>(1-Parameters!B$61)*P82^-Parameters!B$63</f>
        <v>0.33241748619830241</v>
      </c>
      <c r="S82" s="7">
        <f>Parameters!B$61*EXP(-Parameters!B$60*A82)+(1-Parameters!B$61)*P82^-Parameters!B$63</f>
        <v>0.39327943094697537</v>
      </c>
      <c r="T82" s="7">
        <f>1-S82/Parameters!$B$12</f>
        <v>0.80336028452651231</v>
      </c>
      <c r="U82" s="7">
        <f t="shared" si="102"/>
        <v>5.0854426715992016</v>
      </c>
      <c r="V82" s="7">
        <f>(Parameters!$B$19*(F82+Parameters!$B$20)^T82+Parameters!$B$18*G82^T82)^(1/T82)</f>
        <v>0.34085692599488043</v>
      </c>
      <c r="W82" s="7">
        <f>(Parameters!$B$10*H82^Parameters!$B$9+Parameters!$B$11*V82^Parameters!$B$9)^(Parameters!$B$7/Parameters!$B$9)*O82</f>
        <v>1.3213958409799131</v>
      </c>
      <c r="X82" s="7">
        <f>W82 - D82 - E82 - LN(1+EXP(Parameters!$B$21*C82))/Parameters!$B$21 - IF(C82&gt;0, 0,Parameters!$B$6*C82^2/F82)</f>
        <v>1.0127630081207024</v>
      </c>
      <c r="Y82" s="7">
        <f>EXP(-Parameters!$B$55*A82)</f>
        <v>0.30795549598621846</v>
      </c>
      <c r="Z82" s="7">
        <f>IF(X82&gt;0,X82^(1-Parameters!$B$52)/(1-Parameters!$B$52)*Y82*Parameters!$B$65,-10+X82*1000)</f>
        <v>-0.87597593307485511</v>
      </c>
      <c r="AC82">
        <f t="shared" si="103"/>
        <v>0.35087736226191302</v>
      </c>
      <c r="AD82">
        <f t="shared" si="104"/>
        <v>38.852704556742502</v>
      </c>
      <c r="AE82" s="23">
        <f t="shared" si="105"/>
        <v>0.49097462086585658</v>
      </c>
      <c r="AF82" s="23">
        <f t="shared" si="106"/>
        <v>13.772402233407064</v>
      </c>
      <c r="AG82" s="23">
        <f t="shared" si="107"/>
        <v>548.75848032937358</v>
      </c>
      <c r="AH82" s="23">
        <f t="shared" si="108"/>
        <v>147.89165523084642</v>
      </c>
      <c r="AI82" s="23">
        <f t="shared" si="109"/>
        <v>363.97262302673511</v>
      </c>
      <c r="AJ82" s="23">
        <f t="shared" si="110"/>
        <v>573.32975578325454</v>
      </c>
      <c r="AK82" s="23">
        <f t="shared" si="111"/>
        <v>439.41955173823129</v>
      </c>
      <c r="AL82" s="9">
        <f t="shared" si="120"/>
        <v>2.2583150939998298E-2</v>
      </c>
      <c r="AM82" s="9">
        <f t="shared" si="121"/>
        <v>2.4547897557859244E-2</v>
      </c>
      <c r="AN82" s="9">
        <f t="shared" ref="AN82:AO82" si="134">AVERAGE(AL80:AL84)</f>
        <v>2.2497366305140432E-2</v>
      </c>
      <c r="AO82" s="9">
        <f t="shared" si="134"/>
        <v>2.2510435387382621E-2</v>
      </c>
      <c r="AP82" s="23"/>
      <c r="AQ82" s="25">
        <f t="shared" si="100"/>
        <v>573.32975578325454</v>
      </c>
      <c r="AR82" s="4"/>
      <c r="AS82" s="4"/>
      <c r="AT82" s="4"/>
      <c r="AU82" s="16"/>
      <c r="AV82" s="16"/>
      <c r="AX82" s="13">
        <f>1-W82/'6states,ExoDamages'!T82</f>
        <v>9.5709423067724897E-2</v>
      </c>
      <c r="AY82" s="21">
        <f>-Y82*W82*X82^(-Parameters!B$52)*Parameters!B$46*Parameters!B$45*N82</f>
        <v>-1.0234961304666161E-5</v>
      </c>
      <c r="AZ82" s="7">
        <f>1000*EXP(-(Parameters!$B$54)*'6states'!A82)*AQ82*Parameters!B$46*Parameters!B$45*N82</f>
        <v>0.94927912466500752</v>
      </c>
      <c r="BA82" s="7">
        <f>SUM(AZ82:AZ$204)*EXP(Parameters!$B$54*A82)</f>
        <v>1087.5207816832901</v>
      </c>
      <c r="BF82" s="5"/>
      <c r="BG82" s="5"/>
      <c r="BH82" s="5"/>
      <c r="BK82">
        <f>-EXP(-Parameters!B$42*'6states'!A82)*(-Parameters!B$37/Parameters!B$38/Parameters!E$25*(EXP(-Parameters!B$38*Parameters!E$25*'6states'!I82/('6states'!F82+'6states'!I82))-EXP(-Parameters!B$38*Parameters!E$25))+Parameters!B$37*'6states'!F82/('6states'!F82+'6states'!I82)*EXP(-Parameters!B$38*Parameters!E$25*'6states'!I82/('6states'!F82+'6states'!I82)))</f>
        <v>-0.61011389523352511</v>
      </c>
      <c r="BL82">
        <f>-J82*K82*EXP(-Parameters!B$42*'6states'!A82)*(-Parameters!B$37/Parameters!B$38/Parameters!E$25*(EXP(-Parameters!B$38*Parameters!E$25*'6states'!I82/('6states'!F82+'6states'!I82))-EXP(-Parameters!B$38*Parameters!E$25)) + Parameters!B$37*'6states'!F82/('6states'!F82+'6states'!I82)*EXP(-Parameters!B$38*Parameters!E$25*'6states'!I82/('6states'!F82+'6states'!I82)))</f>
        <v>-264.71738422818635</v>
      </c>
      <c r="BM82" s="7">
        <f t="shared" si="101"/>
        <v>3.4422046467823209E-2</v>
      </c>
      <c r="BS82">
        <f>EXP(-Parameters!$B$56*A82)*BF82*BL82</f>
        <v>0</v>
      </c>
      <c r="BT82">
        <f>-EXP((Parameters!$B$56)*F82)*SUM(BS82:BS90)</f>
        <v>0</v>
      </c>
      <c r="BU82">
        <f>X82^-Parameters!B$52/(1-2*Parameters!B$5*'6states'!D82/'6states'!G82)</f>
        <v>1.1451854841870597</v>
      </c>
      <c r="BV82">
        <f t="shared" si="113"/>
        <v>0.99810544419215685</v>
      </c>
      <c r="BW82">
        <f>$X82^-Parameters!$B$52/(1-2*Parameters!$B$5*'6states'!$E82/'6states'!$H82)</f>
        <v>1.1349646137519478</v>
      </c>
      <c r="BX82">
        <f t="shared" si="114"/>
        <v>0.99562606799712661</v>
      </c>
      <c r="BY82" s="7">
        <f>($X82^-Parameters!$B$52*(1/(1+EXP(-C82)) + IF(C82&lt;0,2*Parameters!$B$6*C82/F82,0)) + BQ82*(1/(1+EXP((C82-Parameters!$B$22)*Parameters!$B$21))))/(1-IF(C82&gt;0,2*Parameters!$B$5*C82/F82,0))</f>
        <v>0.51811074506291144</v>
      </c>
      <c r="BZ82">
        <f t="shared" si="115"/>
        <v>0.99890074752520075</v>
      </c>
      <c r="CA82" s="7">
        <f t="shared" si="116"/>
        <v>-5.7016126991749072E-4</v>
      </c>
      <c r="CC82">
        <f>(Parameters!$B$18*'6states'!T82^+Parameters!$B$19*Parameters!$B$25^'6states'!T82)^((1-'6states'!T82)/'6states'!T82)*Parameters!$B$18*Parameters!$B$26^('6states'!T82-1)</f>
        <v>0.30222686548884353</v>
      </c>
      <c r="CD82">
        <f t="shared" si="117"/>
        <v>0.20716850270993928</v>
      </c>
    </row>
    <row r="83" spans="1:82" x14ac:dyDescent="0.25">
      <c r="A83">
        <f>A82+Parameters!$B$65</f>
        <v>79</v>
      </c>
      <c r="B83">
        <v>2104</v>
      </c>
      <c r="C83" s="74">
        <v>7.7423000155657496E-4</v>
      </c>
      <c r="D83" s="69">
        <v>8.8553053481953997E-2</v>
      </c>
      <c r="E83" s="75">
        <v>0.221096591297366</v>
      </c>
      <c r="F83" s="7">
        <f>MAX((1-Parameters!$B$4)^Parameters!B$65*F82 + C82*Parameters!B$65 - IF(C82&gt;0,Parameters!$B$5,0)*C82^2/F82*Parameters!B$65, 0.0001)</f>
        <v>3.053378313110645E-2</v>
      </c>
      <c r="G83" s="7">
        <f>(1-Parameters!$B$4)^Parameters!B$65*G82+D82*Parameters!B$65-Parameters!$B$5*D82^2/G82*Parameters!B$65</f>
        <v>1.2684176161233067</v>
      </c>
      <c r="H83" s="7">
        <f>(1-Parameters!$B$4)^Parameters!B$65*H82+E82*Parameters!B$65-Parameters!$B$5*E82^2/H82*Parameters!B$65</f>
        <v>3.2307091111492321</v>
      </c>
      <c r="I83" s="9">
        <f>I82 *(1-Parameters!$B$4)-C82*(C82&lt;0)*Parameters!B$65</f>
        <v>1.0604090722659593E-3</v>
      </c>
      <c r="J83" s="23">
        <f>J82*(1+Parameters!$B$51)^Parameters!B$65</f>
        <v>10.257535588374109</v>
      </c>
      <c r="K83" s="23">
        <f>K82*(1+Parameters!$B$53)^Parameters!B$65</f>
        <v>43.269942424036799</v>
      </c>
      <c r="L83" s="23">
        <f>J83*K83*EXP(-Parameters!$B$42*'6states'!A83)*(Parameters!$B$37/Parameters!$B$38*('6states'!F83+'6states'!I83)/Parameters!$E$25*(EXP(-Parameters!$B$38*Parameters!$E$25*'6states'!I83/('6states'!F83+'6states'!I83))-EXP(-Parameters!$B$38*Parameters!$E$25))  +  Parameters!$B$39*'6states'!F83)</f>
        <v>4.9363785189181124</v>
      </c>
      <c r="M83" s="8">
        <f>M82+L83*Parameters!B$65</f>
        <v>3540.8555001281948</v>
      </c>
      <c r="N83" s="7">
        <f>M83*Parameters!$B$45</f>
        <v>2.1245133000769165</v>
      </c>
      <c r="O83" s="9">
        <f>EXP(-Parameters!$B$46/2*N83^2)</f>
        <v>0.95565219445337957</v>
      </c>
      <c r="P83" s="8">
        <f>MAX((Parameters!$B$62 + Parameters!$B$31*'6states'!A83 - '6states'!M83 + Parameters!$B$47/Parameters!$B$45)/Parameters!B$62,1)</f>
        <v>60.238889997436111</v>
      </c>
      <c r="Q83" s="7">
        <f>Parameters!B$61*EXP(-Parameters!B$60*A83)</f>
        <v>5.9240658102153877E-2</v>
      </c>
      <c r="R83" s="7">
        <f>(1-Parameters!B$61)*P83^-Parameters!B$63</f>
        <v>0.33188093753831549</v>
      </c>
      <c r="S83" s="7">
        <f>Parameters!B$61*EXP(-Parameters!B$60*A83)+(1-Parameters!B$61)*P83^-Parameters!B$63</f>
        <v>0.39112159564046939</v>
      </c>
      <c r="T83" s="7">
        <f>1-S83/Parameters!$B$12</f>
        <v>0.80443920217976528</v>
      </c>
      <c r="U83" s="7">
        <f t="shared" si="102"/>
        <v>5.1134992858805459</v>
      </c>
      <c r="V83" s="7">
        <f>(Parameters!$B$19*(F83+Parameters!$B$20)^T83+Parameters!$B$18*G83^T83)^(1/T83)</f>
        <v>0.34084236970711568</v>
      </c>
      <c r="W83" s="7">
        <f>(Parameters!$B$10*H83^Parameters!$B$9+Parameters!$B$11*V83^Parameters!$B$9)^(Parameters!$B$7/Parameters!$B$9)*O83</f>
        <v>1.3211022740638936</v>
      </c>
      <c r="X83" s="7">
        <f>W83 - D83 - E83 - LN(1+EXP(Parameters!$B$21*C83))/Parameters!$B$21 - IF(C83&gt;0, 0,Parameters!$B$6*C83^2/F83)</f>
        <v>1.008732595326574</v>
      </c>
      <c r="Y83" s="7">
        <f>EXP(-Parameters!$B$55*A83)</f>
        <v>0.30334030041561322</v>
      </c>
      <c r="Z83" s="7">
        <f>IF(X83&gt;0,X83^(1-Parameters!$B$52)/(1-Parameters!$B$52)*Y83*Parameters!$B$65,-10+X83*1000)</f>
        <v>-0.86405313272128736</v>
      </c>
      <c r="AC83">
        <f t="shared" si="103"/>
        <v>0.34363654669977578</v>
      </c>
      <c r="AD83">
        <f t="shared" si="104"/>
        <v>39.303650642677439</v>
      </c>
      <c r="AE83" s="23">
        <f t="shared" si="105"/>
        <v>0.47065511663197929</v>
      </c>
      <c r="AF83" s="23">
        <f t="shared" si="106"/>
        <v>13.55220512219659</v>
      </c>
      <c r="AG83" s="23">
        <f t="shared" si="107"/>
        <v>562.97824742189937</v>
      </c>
      <c r="AH83" s="23">
        <f t="shared" si="108"/>
        <v>151.28049114557962</v>
      </c>
      <c r="AI83" s="23">
        <f t="shared" si="109"/>
        <v>372.31280621670174</v>
      </c>
      <c r="AJ83" s="23">
        <f t="shared" si="110"/>
        <v>586.36196270335802</v>
      </c>
      <c r="AK83" s="23">
        <f t="shared" si="111"/>
        <v>447.71887540474836</v>
      </c>
      <c r="AL83" s="9">
        <f t="shared" si="120"/>
        <v>2.2476241476030445E-2</v>
      </c>
      <c r="AM83" s="9">
        <f t="shared" si="121"/>
        <v>1.8710869784510642E-2</v>
      </c>
      <c r="AN83" s="9">
        <f t="shared" ref="AN83:AO83" si="135">AVERAGE(AL81:AL85)</f>
        <v>2.2501673736188187E-2</v>
      </c>
      <c r="AO83" s="9">
        <f t="shared" si="135"/>
        <v>2.2537639891345586E-2</v>
      </c>
      <c r="AP83" s="23"/>
      <c r="AQ83" s="25">
        <f t="shared" si="100"/>
        <v>586.36196270335802</v>
      </c>
      <c r="AR83" s="4"/>
      <c r="AS83" s="4"/>
      <c r="AT83" s="4"/>
      <c r="AU83" s="16"/>
      <c r="AV83" s="16"/>
      <c r="AX83" s="13">
        <f>1-W83/'6states,ExoDamages'!T83</f>
        <v>9.5792044400449416E-2</v>
      </c>
      <c r="AY83" s="21">
        <f>-Y83*W83*X83^(-Parameters!B$52)*Parameters!B$46*Parameters!B$45*N83</f>
        <v>-1.0147887434723464E-5</v>
      </c>
      <c r="AZ83" s="7">
        <f>1000*EXP(-(Parameters!$B$54)*'6states'!A83)*AQ83*Parameters!B$46*Parameters!B$45*N83</f>
        <v>0.93867960745682189</v>
      </c>
      <c r="BA83" s="7">
        <f>SUM(AZ83:AZ$204)*EXP(Parameters!$B$54*A83)</f>
        <v>1111.1773921051624</v>
      </c>
      <c r="BF83" s="5"/>
      <c r="BG83" s="5"/>
      <c r="BH83" s="5"/>
      <c r="BK83">
        <f>-EXP(-Parameters!B$42*'6states'!A83)*(-Parameters!B$37/Parameters!B$38/Parameters!E$25*(EXP(-Parameters!B$38*Parameters!E$25*'6states'!I83/('6states'!F83+'6states'!I83))-EXP(-Parameters!B$38*Parameters!E$25))+Parameters!B$37*'6states'!F83/('6states'!F83+'6states'!I83)*EXP(-Parameters!B$38*Parameters!E$25*'6states'!I83/('6states'!F83+'6states'!I83)))</f>
        <v>-0.62711064893899882</v>
      </c>
      <c r="BL83">
        <f>-J83*K83*EXP(-Parameters!B$42*'6states'!A83)*(-Parameters!B$37/Parameters!B$38/Parameters!E$25*(EXP(-Parameters!B$38*Parameters!E$25*'6states'!I83/('6states'!F83+'6states'!I83))-EXP(-Parameters!B$38*Parameters!E$25)) + Parameters!B$37*'6states'!F83/('6states'!F83+'6states'!I83)*EXP(-Parameters!B$38*Parameters!E$25*'6states'!I83/('6states'!F83+'6states'!I83)))</f>
        <v>-278.33865565374379</v>
      </c>
      <c r="BM83" s="7">
        <f t="shared" si="101"/>
        <v>3.3563417777548676E-2</v>
      </c>
      <c r="BS83">
        <f>EXP(-Parameters!$B$56*A83)*BF83*BL83</f>
        <v>0</v>
      </c>
      <c r="BT83">
        <f>-EXP((Parameters!$B$56)*F83)*SUM(BS83:BS91)</f>
        <v>0</v>
      </c>
      <c r="BU83">
        <f>X83^-Parameters!B$52/(1-2*Parameters!B$5*'6states'!D83/'6states'!G83)</f>
        <v>1.1487244266758398</v>
      </c>
      <c r="BV83">
        <f t="shared" si="113"/>
        <v>1.0030902788566975</v>
      </c>
      <c r="BW83">
        <f>$X83^-Parameters!$B$52/(1-2*Parameters!$B$5*'6states'!$E83/'6states'!$H83)</f>
        <v>1.1450568609840845</v>
      </c>
      <c r="BX83">
        <f t="shared" si="114"/>
        <v>1.0088921250141658</v>
      </c>
      <c r="BY83" s="7">
        <f>($X83^-Parameters!$B$52*(1/(1+EXP(-C83)) + IF(C83&lt;0,2*Parameters!$B$6*C83/F83,0)) + BQ83*(1/(1+EXP((C83-Parameters!$B$22)*Parameters!$B$21))))/(1-IF(C83&gt;0,2*Parameters!$B$5*C83/F83,0))</f>
        <v>0.52076632195223604</v>
      </c>
      <c r="BZ83">
        <f t="shared" si="115"/>
        <v>1.0051255005124478</v>
      </c>
      <c r="CA83" s="7">
        <f t="shared" si="116"/>
        <v>2.6555768893246068E-3</v>
      </c>
      <c r="CC83">
        <f>(Parameters!$B$18*'6states'!T83^+Parameters!$B$19*Parameters!$B$25^'6states'!T83)^((1-'6states'!T83)/'6states'!T83)*Parameters!$B$18*Parameters!$B$26^('6states'!T83-1)</f>
        <v>0.30243695951416283</v>
      </c>
      <c r="CD83">
        <f t="shared" si="117"/>
        <v>0.20652149179894633</v>
      </c>
    </row>
    <row r="84" spans="1:82" s="4" customFormat="1" x14ac:dyDescent="0.25">
      <c r="A84" s="4">
        <f>A83+Parameters!$B$65</f>
        <v>80</v>
      </c>
      <c r="B84">
        <v>2105</v>
      </c>
      <c r="C84" s="74">
        <v>7.6572470305560903E-4</v>
      </c>
      <c r="D84" s="69">
        <v>9.1840667859948599E-2</v>
      </c>
      <c r="E84" s="75">
        <v>0.211717194588698</v>
      </c>
      <c r="F84" s="7">
        <f>MAX((1-Parameters!$B$4)^Parameters!B$65*F83 + C83*Parameters!B$65 - IF(C83&gt;0,Parameters!$B$5,0)*C83^2/F83*Parameters!B$65, 0.0001)</f>
        <v>2.9367806407395947E-2</v>
      </c>
      <c r="G84" s="16">
        <f>(1-Parameters!$B$4)^Parameters!B$65*G83+D83*Parameters!B$65-Parameters!$B$5*D83^2/G83*Parameters!B$65</f>
        <v>1.2710049764059319</v>
      </c>
      <c r="H84" s="16">
        <f>(1-Parameters!$B$4)^Parameters!B$65*H83+E83*Parameters!B$65-Parameters!$B$5*E83^2/H83*Parameters!B$65</f>
        <v>3.2334631479135316</v>
      </c>
      <c r="I84" s="9">
        <f>I83 *(1-Parameters!$B$4)-C83*(C83&lt;0)*Parameters!B$65</f>
        <v>9.9370934162043047E-4</v>
      </c>
      <c r="J84" s="44">
        <f>J83*(1+Parameters!$B$51)^Parameters!B$65</f>
        <v>10.287282441580393</v>
      </c>
      <c r="K84" s="44">
        <f>K83*(1+Parameters!$B$53)^Parameters!B$65</f>
        <v>44.135341272517536</v>
      </c>
      <c r="L84" s="23">
        <f>J84*K84*EXP(-Parameters!$B$42*'6states'!A84)*(Parameters!$B$37/Parameters!$B$38*('6states'!F84+'6states'!I84)/Parameters!$E$25*(EXP(-Parameters!$B$38*Parameters!$E$25*'6states'!I84/('6states'!F84+'6states'!I84))-EXP(-Parameters!$B$38*Parameters!$E$25))  +  Parameters!$B$39*'6states'!F84)</f>
        <v>4.8160743365102299</v>
      </c>
      <c r="M84" s="25">
        <f>M83+L84*Parameters!B$65</f>
        <v>3545.6715744647049</v>
      </c>
      <c r="N84" s="16">
        <f>M84*Parameters!$B$45</f>
        <v>2.1274029446788227</v>
      </c>
      <c r="O84" s="9">
        <f>EXP(-Parameters!$B$46/2*N84^2)</f>
        <v>0.95553419819305896</v>
      </c>
      <c r="P84" s="8">
        <f>MAX((Parameters!$B$62 + Parameters!$B$31*'6states'!A84 - '6states'!M84 + Parameters!$B$47/Parameters!$B$45)/Parameters!B$62,1)</f>
        <v>61.2065685107059</v>
      </c>
      <c r="Q84" s="7">
        <f>Parameters!B$61*EXP(-Parameters!B$60*A84)</f>
        <v>5.7662560519031257E-2</v>
      </c>
      <c r="R84" s="7">
        <f>(1-Parameters!B$61)*P84^-Parameters!B$63</f>
        <v>0.33135246149279329</v>
      </c>
      <c r="S84" s="7">
        <f>Parameters!B$61*EXP(-Parameters!B$60*A84)+(1-Parameters!B$61)*P84^-Parameters!B$63</f>
        <v>0.38901502201182453</v>
      </c>
      <c r="T84" s="16">
        <f>1-S84/Parameters!$B$12</f>
        <v>0.80549248899408776</v>
      </c>
      <c r="U84" s="16">
        <f t="shared" si="102"/>
        <v>5.141189637502503</v>
      </c>
      <c r="V84" s="7">
        <f>(Parameters!$B$19*(F84+Parameters!$B$20)^T84+Parameters!$B$18*G84^T84)^(1/T84)</f>
        <v>0.34061288942246476</v>
      </c>
      <c r="W84" s="16">
        <f>(Parameters!$B$10*H84^Parameters!$B$9+Parameters!$B$11*V84^Parameters!$B$9)^(Parameters!$B$7/Parameters!$B$9)*O84</f>
        <v>1.3210881475589458</v>
      </c>
      <c r="X84" s="7">
        <f>W84 - D84 - E84 - LN(1+EXP(Parameters!$B$21*C84))/Parameters!$B$21 - IF(C84&gt;0, 0,Parameters!$B$6*C84^2/F84)</f>
        <v>1.0148149927956505</v>
      </c>
      <c r="Y84" s="16">
        <f>EXP(-Parameters!$B$55*A84)</f>
        <v>0.29879427078110121</v>
      </c>
      <c r="Z84" s="16">
        <f>IF(X84&gt;0,X84^(1-Parameters!$B$52)/(1-Parameters!$B$52)*Y84*Parameters!$B$65,-10+X84*1000)</f>
        <v>-0.84931504100225552</v>
      </c>
      <c r="AC84">
        <f t="shared" si="103"/>
        <v>0.34766407071482636</v>
      </c>
      <c r="AD84">
        <f t="shared" si="104"/>
        <v>41.698668356843164</v>
      </c>
      <c r="AE84" s="23">
        <f t="shared" si="105"/>
        <v>0.45117655658292039</v>
      </c>
      <c r="AF84" s="23">
        <f t="shared" si="106"/>
        <v>13.333945062523009</v>
      </c>
      <c r="AG84" s="23">
        <f t="shared" si="107"/>
        <v>577.07784825638225</v>
      </c>
      <c r="AH84" s="23">
        <f t="shared" si="108"/>
        <v>154.64939710316909</v>
      </c>
      <c r="AI84" s="23">
        <f t="shared" si="109"/>
        <v>380.60394026480105</v>
      </c>
      <c r="AJ84" s="23">
        <f t="shared" si="110"/>
        <v>599.81724674761745</v>
      </c>
      <c r="AK84" s="23">
        <f t="shared" si="111"/>
        <v>460.7592128213613</v>
      </c>
      <c r="AL84" s="9">
        <f t="shared" si="120"/>
        <v>2.268773738257579E-2</v>
      </c>
      <c r="AM84" s="9">
        <f t="shared" si="121"/>
        <v>2.8710066430805981E-2</v>
      </c>
      <c r="AN84" s="9">
        <f t="shared" ref="AN84:AO84" si="136">AVERAGE(AL82:AL86)</f>
        <v>2.2503964615856555E-2</v>
      </c>
      <c r="AO84" s="9">
        <f t="shared" si="136"/>
        <v>2.2132200380856126E-2</v>
      </c>
      <c r="AP84" s="23"/>
      <c r="AQ84" s="25">
        <f t="shared" si="100"/>
        <v>599.81724674761745</v>
      </c>
      <c r="AU84" s="16"/>
      <c r="AV84" s="16"/>
      <c r="AX84" s="43">
        <f>1-W84/'6states,ExoDamages'!T84</f>
        <v>9.5686846719094554E-2</v>
      </c>
      <c r="AY84" s="21">
        <f>-Y84*W84*X84^(-Parameters!B$52)*Parameters!B$46*Parameters!B$45*N84</f>
        <v>-9.9283903753724548E-6</v>
      </c>
      <c r="AZ84" s="16">
        <f>1000*EXP(-(Parameters!$B$54)*'6states'!A84)*AQ84*Parameters!B$46*Parameters!B$45*N84</f>
        <v>0.92836147031185767</v>
      </c>
      <c r="BA84" s="16">
        <f>SUM(AZ84:AZ$204)*EXP(Parameters!$B$54*A84)</f>
        <v>1135.3120488188961</v>
      </c>
      <c r="BC84" s="16"/>
      <c r="BD84" s="16"/>
      <c r="BE84" s="16"/>
      <c r="BF84" s="5"/>
      <c r="BG84" s="5"/>
      <c r="BH84" s="5"/>
      <c r="BI84"/>
      <c r="BJ84"/>
      <c r="BK84">
        <f>-EXP(-Parameters!B$42*'6states'!A84)*(-Parameters!B$37/Parameters!B$38/Parameters!E$25*(EXP(-Parameters!B$38*Parameters!E$25*'6states'!I84/('6states'!F84+'6states'!I84))-EXP(-Parameters!B$38*Parameters!E$25))+Parameters!B$37*'6states'!F84/('6states'!F84+'6states'!I84)*EXP(-Parameters!B$38*Parameters!E$25*'6states'!I84/('6states'!F84+'6states'!I84)))</f>
        <v>-0.64389283715661638</v>
      </c>
      <c r="BL84">
        <f>-J84*K84*EXP(-Parameters!B$42*'6states'!A84)*(-Parameters!B$37/Parameters!B$38/Parameters!E$25*(EXP(-Parameters!B$38*Parameters!E$25*'6states'!I84/('6states'!F84+'6states'!I84))-EXP(-Parameters!B$38*Parameters!E$25)) + Parameters!B$37*'6states'!F84/('6states'!F84+'6states'!I84)*EXP(-Parameters!B$38*Parameters!E$25*'6states'!I84/('6states'!F84+'6states'!I84)))</f>
        <v>-292.34841709649118</v>
      </c>
      <c r="BM84" s="7">
        <f t="shared" si="101"/>
        <v>3.2729240194558591E-2</v>
      </c>
      <c r="BN84"/>
      <c r="BO84"/>
      <c r="BP84"/>
      <c r="BQ84"/>
      <c r="BS84">
        <f>EXP(-Parameters!$B$56*A84)*BF84*BL84</f>
        <v>0</v>
      </c>
      <c r="BT84">
        <f>-EXP((Parameters!$B$56)*F84)*SUM(BS84:BS92)</f>
        <v>0</v>
      </c>
      <c r="BU84">
        <f>X84^-Parameters!B$52/(1-2*Parameters!B$5*'6states'!D84/'6states'!G84)</f>
        <v>1.1459512412192738</v>
      </c>
      <c r="BV84">
        <f t="shared" si="113"/>
        <v>0.99758585663178501</v>
      </c>
      <c r="BW84">
        <f>$X84^-Parameters!$B$52/(1-2*Parameters!$B$5*'6states'!$E84/'6states'!$H84)</f>
        <v>1.128066935630216</v>
      </c>
      <c r="BX84">
        <f t="shared" si="114"/>
        <v>0.98516237408571394</v>
      </c>
      <c r="BY84" s="7">
        <f>($X84^-Parameters!$B$52*(1/(1+EXP(-C84)) + IF(C84&lt;0,2*Parameters!$B$6*C84/F84,0)) + BQ84*(1/(1+EXP((C84-Parameters!$B$22)*Parameters!$B$21))))/(1-IF(C84&gt;0,2*Parameters!$B$5*C84/F84,0))</f>
        <v>0.51733644862818517</v>
      </c>
      <c r="BZ84">
        <f t="shared" si="115"/>
        <v>0.99341379582459743</v>
      </c>
      <c r="CA84" s="7">
        <f t="shared" si="116"/>
        <v>-3.4298733240508694E-3</v>
      </c>
      <c r="CC84">
        <f>(Parameters!$B$18*'6states'!T84^+Parameters!$B$19*Parameters!$B$25^'6states'!T84)^((1-'6states'!T84)/'6states'!T84)*Parameters!$B$18*Parameters!$B$26^('6states'!T84-1)</f>
        <v>0.3026394523113175</v>
      </c>
      <c r="CD84">
        <f t="shared" si="117"/>
        <v>0.20588422283265398</v>
      </c>
    </row>
    <row r="85" spans="1:82" x14ac:dyDescent="0.25">
      <c r="A85">
        <f>A84+Parameters!$B$65</f>
        <v>81</v>
      </c>
      <c r="B85">
        <v>2106</v>
      </c>
      <c r="C85" s="74">
        <v>7.5694919820234997E-4</v>
      </c>
      <c r="D85" s="69">
        <v>9.2112866430313994E-2</v>
      </c>
      <c r="E85" s="75">
        <v>0.21247313560391301</v>
      </c>
      <c r="F85" s="7">
        <f>MAX((1-Parameters!$B$4)^Parameters!B$65*F84 + C84*Parameters!B$65 - IF(C84&gt;0,Parameters!$B$5,0)*C84^2/F84*Parameters!B$65, 0.0001)</f>
        <v>2.8266330880875483E-2</v>
      </c>
      <c r="G85" s="7">
        <f>(1-Parameters!$B$4)^Parameters!B$65*G84+D84*Parameters!B$65-Parameters!$B$5*D84^2/G84*Parameters!B$65</f>
        <v>1.2762631800711264</v>
      </c>
      <c r="H85" s="7">
        <f>(1-Parameters!$B$4)^Parameters!B$65*H84+E84*Parameters!B$65-Parameters!$B$5*E84^2/H84*Parameters!B$65</f>
        <v>3.2279329215546513</v>
      </c>
      <c r="I85" s="9">
        <f>I84 *(1-Parameters!$B$4)-C84*(C84&lt;0)*Parameters!B$65</f>
        <v>9.3120502403250542E-4</v>
      </c>
      <c r="J85" s="23">
        <f>J84*(1+Parameters!$B$51)^Parameters!B$65</f>
        <v>10.317115560660975</v>
      </c>
      <c r="K85" s="23">
        <f>K84*(1+Parameters!$B$53)^Parameters!B$65</f>
        <v>45.018048097967885</v>
      </c>
      <c r="L85" s="23">
        <f>J85*K85*EXP(-Parameters!$B$42*'6states'!A85)*(Parameters!$B$37/Parameters!$B$38*('6states'!F85+'6states'!I85)/Parameters!$E$25*(EXP(-Parameters!$B$38*Parameters!$E$25*'6states'!I85/('6states'!F85+'6states'!I85))-EXP(-Parameters!$B$38*Parameters!$E$25))  +  Parameters!$B$39*'6states'!F85)</f>
        <v>4.7022890666699784</v>
      </c>
      <c r="M85" s="8">
        <f>M84+L85*Parameters!B$65</f>
        <v>3550.3738635313748</v>
      </c>
      <c r="N85" s="7">
        <f>M85*Parameters!$B$45</f>
        <v>2.1302243181188247</v>
      </c>
      <c r="O85" s="9">
        <f>EXP(-Parameters!$B$46/2*N85^2)</f>
        <v>0.95541884907089902</v>
      </c>
      <c r="P85" s="8">
        <f>MAX((Parameters!$B$62 + Parameters!$B$31*'6states'!A85 - '6states'!M85 + Parameters!$B$47/Parameters!$B$45)/Parameters!B$62,1)</f>
        <v>62.1765227293725</v>
      </c>
      <c r="Q85" s="7">
        <f>Parameters!B$61*EXP(-Parameters!B$60*A85)</f>
        <v>5.6126501496276487E-2</v>
      </c>
      <c r="R85" s="7">
        <f>(1-Parameters!B$61)*P85^-Parameters!B$63</f>
        <v>0.33083188643283518</v>
      </c>
      <c r="S85" s="7">
        <f>Parameters!B$61*EXP(-Parameters!B$60*A85)+(1-Parameters!B$61)*P85^-Parameters!B$63</f>
        <v>0.38695838792911164</v>
      </c>
      <c r="T85" s="7">
        <f>1-S85/Parameters!$B$12</f>
        <v>0.80652080603544418</v>
      </c>
      <c r="U85" s="7">
        <f t="shared" si="102"/>
        <v>5.1685143994511042</v>
      </c>
      <c r="V85" s="7">
        <f>(Parameters!$B$19*(F85+Parameters!$B$20)^T85+Parameters!$B$18*G85^T85)^(1/T85)</f>
        <v>0.3410710323122918</v>
      </c>
      <c r="W85" s="7">
        <f>(Parameters!$B$10*H85^Parameters!$B$9+Parameters!$B$11*V85^Parameters!$B$9)^(Parameters!$B$7/Parameters!$B$9)*O85</f>
        <v>1.320627521901178</v>
      </c>
      <c r="X85" s="7">
        <f>W85 - D85 - E85 - LN(1+EXP(Parameters!$B$21*C85))/Parameters!$B$21 - IF(C85&gt;0, 0,Parameters!$B$6*C85^2/F85)</f>
        <v>1.0133311142213315</v>
      </c>
      <c r="Y85" s="7">
        <f>EXP(-Parameters!$B$55*A85)</f>
        <v>0.29431637052277015</v>
      </c>
      <c r="Z85" s="7">
        <f>IF(X85&gt;0,X85^(1-Parameters!$B$52)/(1-Parameters!$B$52)*Y85*Parameters!$B$65,-10+X85*1000)</f>
        <v>-0.83701529221278959</v>
      </c>
      <c r="AC85">
        <f t="shared" si="103"/>
        <v>0.35156990301811059</v>
      </c>
      <c r="AD85">
        <f t="shared" si="104"/>
        <v>42.782410754292975</v>
      </c>
      <c r="AE85" s="23">
        <f t="shared" si="105"/>
        <v>0.43250413735370397</v>
      </c>
      <c r="AF85" s="23">
        <f t="shared" si="106"/>
        <v>13.128478410529567</v>
      </c>
      <c r="AG85" s="23">
        <f t="shared" si="107"/>
        <v>592.76860786533859</v>
      </c>
      <c r="AH85" s="23">
        <f t="shared" si="108"/>
        <v>158.41262536123924</v>
      </c>
      <c r="AI85" s="23">
        <f t="shared" si="109"/>
        <v>389.86553151550493</v>
      </c>
      <c r="AJ85" s="23">
        <f t="shared" si="110"/>
        <v>613.37391056160243</v>
      </c>
      <c r="AK85" s="23">
        <f t="shared" si="111"/>
        <v>470.64812592190873</v>
      </c>
      <c r="AL85" s="9">
        <f t="shared" si="120"/>
        <v>2.2349698205295532E-2</v>
      </c>
      <c r="AM85" s="9">
        <f t="shared" si="121"/>
        <v>2.1235144470413303E-2</v>
      </c>
      <c r="AN85" s="9">
        <f t="shared" ref="AN85:AO85" si="137">AVERAGE(AL83:AL87)</f>
        <v>2.2530077394429783E-2</v>
      </c>
      <c r="AO85" s="9">
        <f t="shared" si="137"/>
        <v>2.1479515844694496E-2</v>
      </c>
      <c r="AP85" s="23"/>
      <c r="AQ85" s="25">
        <f t="shared" si="100"/>
        <v>613.37391056160243</v>
      </c>
      <c r="AR85" s="4"/>
      <c r="AS85" s="4"/>
      <c r="AT85" s="4"/>
      <c r="AU85" s="16"/>
      <c r="AV85" s="16"/>
      <c r="AX85" s="13">
        <f>1-W85/'6states,ExoDamages'!T85</f>
        <v>9.58976428914462E-2</v>
      </c>
      <c r="AY85" s="21">
        <f>-Y85*W85*X85^(-Parameters!B$52)*Parameters!B$46*Parameters!B$45*N85</f>
        <v>-9.8085102179673916E-6</v>
      </c>
      <c r="AZ85" s="7">
        <f>1000*EXP(-(Parameters!$B$54)*'6states'!A85)*AQ85*Parameters!B$46*Parameters!B$45*N85</f>
        <v>0.91781532321765857</v>
      </c>
      <c r="BA85" s="7">
        <f>SUM(AZ85:AZ$204)*EXP(Parameters!$B$54*A85)</f>
        <v>1159.9301629251731</v>
      </c>
      <c r="BF85" s="5"/>
      <c r="BG85" s="5"/>
      <c r="BH85" s="5"/>
      <c r="BK85">
        <f>-EXP(-Parameters!B$42*'6states'!A85)*(-Parameters!B$37/Parameters!B$38/Parameters!E$25*(EXP(-Parameters!B$38*Parameters!E$25*'6states'!I85/('6states'!F85+'6states'!I85))-EXP(-Parameters!B$38*Parameters!E$25))+Parameters!B$37*'6states'!F85/('6states'!F85+'6states'!I85)*EXP(-Parameters!B$38*Parameters!E$25*'6states'!I85/('6states'!F85+'6states'!I85)))</f>
        <v>-0.66117522060869283</v>
      </c>
      <c r="BL85">
        <f>-J85*K85*EXP(-Parameters!B$42*'6states'!A85)*(-Parameters!B$37/Parameters!B$38/Parameters!E$25*(EXP(-Parameters!B$38*Parameters!E$25*'6states'!I85/('6states'!F85+'6states'!I85))-EXP(-Parameters!B$38*Parameters!E$25)) + Parameters!B$37*'6states'!F85/('6states'!F85+'6states'!I85)*EXP(-Parameters!B$38*Parameters!E$25*'6states'!I85/('6states'!F85+'6states'!I85)))</f>
        <v>-307.08706573626216</v>
      </c>
      <c r="BM85" s="7">
        <f t="shared" si="101"/>
        <v>3.1893274386759929E-2</v>
      </c>
      <c r="BS85">
        <f>EXP(-Parameters!$B$56*A85)*BF85*BL85</f>
        <v>0</v>
      </c>
      <c r="BT85">
        <f>-EXP((Parameters!$B$56)*F85)*SUM(BS85:BS93)</f>
        <v>0</v>
      </c>
      <c r="BU85">
        <f>X85^-Parameters!B$52/(1-2*Parameters!B$5*'6states'!D85/'6states'!G85)</f>
        <v>1.1479906449326862</v>
      </c>
      <c r="BV85">
        <f t="shared" si="113"/>
        <v>1.0017796601112299</v>
      </c>
      <c r="BW85">
        <f>$X85^-Parameters!$B$52/(1-2*Parameters!$B$5*'6states'!$E85/'6states'!$H85)</f>
        <v>1.1311992585854205</v>
      </c>
      <c r="BX85">
        <f t="shared" si="114"/>
        <v>1.0027767172818114</v>
      </c>
      <c r="BY85" s="7">
        <f>($X85^-Parameters!$B$52*(1/(1+EXP(-C85)) + IF(C85&lt;0,2*Parameters!$B$6*C85/F85,0)) + BQ85*(1/(1+EXP((C85-Parameters!$B$22)*Parameters!$B$21))))/(1-IF(C85&gt;0,2*Parameters!$B$5*C85/F85,0))</f>
        <v>0.51913002066931935</v>
      </c>
      <c r="BZ85">
        <f t="shared" si="115"/>
        <v>1.0034669353877737</v>
      </c>
      <c r="CA85" s="7">
        <f t="shared" si="116"/>
        <v>1.7935720411341727E-3</v>
      </c>
      <c r="CC85">
        <f>(Parameters!$B$18*'6states'!T85^+Parameters!$B$19*Parameters!$B$25^'6states'!T85)^((1-'6states'!T85)/'6states'!T85)*Parameters!$B$18*Parameters!$B$26^('6states'!T85-1)</f>
        <v>0.30283466353166377</v>
      </c>
      <c r="CD85">
        <f t="shared" si="117"/>
        <v>0.20525654628456502</v>
      </c>
    </row>
    <row r="86" spans="1:82" x14ac:dyDescent="0.25">
      <c r="A86">
        <f>A85+Parameters!$B$65</f>
        <v>82</v>
      </c>
      <c r="B86">
        <v>2107</v>
      </c>
      <c r="C86" s="74">
        <v>7.4584913028242204E-4</v>
      </c>
      <c r="D86" s="69">
        <v>8.5854909299465404E-2</v>
      </c>
      <c r="E86" s="75">
        <v>0.22367095382133101</v>
      </c>
      <c r="F86" s="7">
        <f>MAX((1-Parameters!$B$4)^Parameters!B$65*F85 + C85*Parameters!B$65 - IF(C85&gt;0,Parameters!$B$5,0)*C85^2/F85*Parameters!B$65, 0.0001)</f>
        <v>2.7225057386887807E-2</v>
      </c>
      <c r="G86" s="7">
        <f>(1-Parameters!$B$4)^Parameters!B$65*G85+D85*Parameters!B$65-Parameters!$B$5*D85^2/G85*Parameters!B$65</f>
        <v>1.2814509494473378</v>
      </c>
      <c r="H86" s="7">
        <f>(1-Parameters!$B$4)^Parameters!B$65*H85+E85*Parameters!B$65-Parameters!$B$5*E85^2/H85*Parameters!B$65</f>
        <v>3.223383397492233</v>
      </c>
      <c r="I86" s="9">
        <f>I85 *(1-Parameters!$B$4)-C85*(C85&lt;0)*Parameters!B$65</f>
        <v>8.726322280208609E-4</v>
      </c>
      <c r="J86" s="23">
        <f>J85*(1+Parameters!$B$51)^Parameters!B$65</f>
        <v>10.347035195786891</v>
      </c>
      <c r="K86" s="23">
        <f>K85*(1+Parameters!$B$53)^Parameters!B$65</f>
        <v>45.918409059927242</v>
      </c>
      <c r="L86" s="23">
        <f>J86*K86*EXP(-Parameters!$B$42*'6states'!A86)*(Parameters!$B$37/Parameters!$B$38*('6states'!F86+'6states'!I86)/Parameters!$E$25*(EXP(-Parameters!$B$38*Parameters!$E$25*'6states'!I86/('6states'!F86+'6states'!I86))-EXP(-Parameters!$B$38*Parameters!$E$25))  +  Parameters!$B$39*'6states'!F86)</f>
        <v>4.5946325093253364</v>
      </c>
      <c r="M86" s="8">
        <f>M85+L86*Parameters!B$65</f>
        <v>3554.9684960407003</v>
      </c>
      <c r="N86" s="7">
        <f>M86*Parameters!$B$45</f>
        <v>2.1329810976244201</v>
      </c>
      <c r="O86" s="9">
        <f>EXP(-Parameters!$B$46/2*N86^2)</f>
        <v>0.95530600662029308</v>
      </c>
      <c r="P86" s="8">
        <f>MAX((Parameters!$B$62 + Parameters!$B$31*'6states'!A86 - '6states'!M86 + Parameters!$B$47/Parameters!$B$45)/Parameters!B$62,1)</f>
        <v>63.148630079186006</v>
      </c>
      <c r="Q86" s="7">
        <f>Parameters!B$61*EXP(-Parameters!B$60*A86)</f>
        <v>5.4631361178833215E-2</v>
      </c>
      <c r="R86" s="7">
        <f>(1-Parameters!B$61)*P86^-Parameters!B$63</f>
        <v>0.33031904250303157</v>
      </c>
      <c r="S86" s="7">
        <f>Parameters!B$61*EXP(-Parameters!B$60*A86)+(1-Parameters!B$61)*P86^-Parameters!B$63</f>
        <v>0.38495040368186478</v>
      </c>
      <c r="T86" s="7">
        <f>1-S86/Parameters!$B$12</f>
        <v>0.80752479815906764</v>
      </c>
      <c r="U86" s="7">
        <f t="shared" si="102"/>
        <v>5.1954744841698197</v>
      </c>
      <c r="V86" s="7">
        <f>(Parameters!$B$19*(F86+Parameters!$B$20)^T86+Parameters!$B$18*G86^T86)^(1/T86)</f>
        <v>0.34156860776135373</v>
      </c>
      <c r="W86" s="7">
        <f>(Parameters!$B$10*H86^Parameters!$B$9+Parameters!$B$11*V86^Parameters!$B$9)^(Parameters!$B$7/Parameters!$B$9)*O86</f>
        <v>1.3202638245100036</v>
      </c>
      <c r="X86" s="7">
        <f>W86 - D86 - E86 - LN(1+EXP(Parameters!$B$21*C86))/Parameters!$B$21 - IF(C86&gt;0, 0,Parameters!$B$6*C86^2/F86)</f>
        <v>1.0080337286855603</v>
      </c>
      <c r="Y86" s="7">
        <f>EXP(-Parameters!$B$55*A86)</f>
        <v>0.28990557861518201</v>
      </c>
      <c r="Z86" s="7">
        <f>IF(X86&gt;0,X86^(1-Parameters!$B$52)/(1-Parameters!$B$52)*Y86*Parameters!$B$65,-10+X86*1000)</f>
        <v>-0.82598518122161657</v>
      </c>
      <c r="AC86">
        <f t="shared" si="103"/>
        <v>0.35436738730060385</v>
      </c>
      <c r="AD86">
        <f t="shared" si="104"/>
        <v>40.791332536462839</v>
      </c>
      <c r="AE86" s="23">
        <f t="shared" si="105"/>
        <v>0.41460449595344279</v>
      </c>
      <c r="AF86" s="23">
        <f t="shared" si="106"/>
        <v>12.935152785721243</v>
      </c>
      <c r="AG86" s="23">
        <f t="shared" si="107"/>
        <v>608.84219941046365</v>
      </c>
      <c r="AH86" s="23">
        <f t="shared" si="108"/>
        <v>162.2858701604473</v>
      </c>
      <c r="AI86" s="23">
        <f t="shared" si="109"/>
        <v>399.3978818498893</v>
      </c>
      <c r="AJ86" s="23">
        <f t="shared" si="110"/>
        <v>627.28294911593503</v>
      </c>
      <c r="AK86" s="23">
        <f t="shared" si="111"/>
        <v>478.93637498769436</v>
      </c>
      <c r="AL86" s="9">
        <f t="shared" si="120"/>
        <v>2.2422995075382701E-2</v>
      </c>
      <c r="AM86" s="9">
        <f t="shared" si="121"/>
        <v>1.7457023660691462E-2</v>
      </c>
      <c r="AN86" s="9">
        <f t="shared" ref="AN86:AO86" si="138">AVERAGE(AL84:AL88)</f>
        <v>2.2591746417008805E-2</v>
      </c>
      <c r="AO86" s="9">
        <f t="shared" si="138"/>
        <v>2.3907328484444969E-2</v>
      </c>
      <c r="AP86" s="23"/>
      <c r="AQ86" s="25">
        <f t="shared" si="100"/>
        <v>627.28294911593503</v>
      </c>
      <c r="AR86" s="4"/>
      <c r="AS86" s="4"/>
      <c r="AT86" s="4"/>
      <c r="AU86" s="16"/>
      <c r="AV86" s="16"/>
      <c r="AX86" s="13">
        <f>1-W86/'6states,ExoDamages'!T86</f>
        <v>9.6044765164664425E-2</v>
      </c>
      <c r="AY86" s="21">
        <f>-Y86*W86*X86^(-Parameters!B$52)*Parameters!B$46*Parameters!B$45*N86</f>
        <v>-9.7400295539757996E-6</v>
      </c>
      <c r="AZ86" s="7">
        <f>1000*EXP(-(Parameters!$B$54)*'6states'!A86)*AQ86*Parameters!B$46*Parameters!B$45*N86</f>
        <v>0.90742641932850054</v>
      </c>
      <c r="BA86" s="7">
        <f>SUM(AZ86:AZ$204)*EXP(Parameters!$B$54*A86)</f>
        <v>1185.0458592321756</v>
      </c>
      <c r="BF86" s="5"/>
      <c r="BG86" s="5"/>
      <c r="BH86" s="5"/>
      <c r="BK86">
        <f>-EXP(-Parameters!B$42*'6states'!A86)*(-Parameters!B$37/Parameters!B$38/Parameters!E$25*(EXP(-Parameters!B$38*Parameters!E$25*'6states'!I86/('6states'!F86+'6states'!I86))-EXP(-Parameters!B$38*Parameters!E$25))+Parameters!B$37*'6states'!F86/('6states'!F86+'6states'!I86)*EXP(-Parameters!B$38*Parameters!E$25*'6states'!I86/('6states'!F86+'6states'!I86)))</f>
        <v>-0.67892767699332512</v>
      </c>
      <c r="BL86">
        <f>-J86*K86*EXP(-Parameters!B$42*'6states'!A86)*(-Parameters!B$37/Parameters!B$38/Parameters!E$25*(EXP(-Parameters!B$38*Parameters!E$25*'6states'!I86/('6states'!F86+'6states'!I86))-EXP(-Parameters!B$38*Parameters!E$25)) + Parameters!B$37*'6states'!F86/('6states'!F86+'6states'!I86)*EXP(-Parameters!B$38*Parameters!E$25*'6states'!I86/('6states'!F86+'6states'!I86)))</f>
        <v>-322.57170692294238</v>
      </c>
      <c r="BM86" s="7">
        <f t="shared" si="101"/>
        <v>3.1057081204208376E-2</v>
      </c>
      <c r="BS86">
        <f>EXP(-Parameters!$B$56*A86)*BF86*BL86</f>
        <v>0</v>
      </c>
      <c r="BT86">
        <f>-EXP((Parameters!$B$56)*F86)*SUM(BS86:BS94)</f>
        <v>0</v>
      </c>
      <c r="BU86">
        <f>X86^-Parameters!B$52/(1-2*Parameters!B$5*'6states'!D86/'6states'!G86)</f>
        <v>1.1423231239856519</v>
      </c>
      <c r="BV86">
        <f t="shared" si="113"/>
        <v>0.99506309483265298</v>
      </c>
      <c r="BW86">
        <f>$X86^-Parameters!$B$52/(1-2*Parameters!$B$5*'6states'!$E86/'6states'!$H86)</f>
        <v>1.1486684057198391</v>
      </c>
      <c r="BX86">
        <f t="shared" si="114"/>
        <v>1.0154430326945794</v>
      </c>
      <c r="BY86" s="7">
        <f>($X86^-Parameters!$B$52*(1/(1+EXP(-C86)) + IF(C86&lt;0,2*Parameters!$B$6*C86/F86,0)) + BQ86*(1/(1+EXP((C86-Parameters!$B$22)*Parameters!$B$21))))/(1-IF(C86&gt;0,2*Parameters!$B$5*C86/F86,0))</f>
        <v>0.52349546050728146</v>
      </c>
      <c r="BZ86">
        <f t="shared" si="115"/>
        <v>1.0084091454243653</v>
      </c>
      <c r="CA86" s="7">
        <f t="shared" si="116"/>
        <v>4.3654398379621151E-3</v>
      </c>
      <c r="CC86">
        <f>(Parameters!$B$18*'6states'!T86^+Parameters!$B$19*Parameters!$B$25^'6states'!T86)^((1-'6states'!T86)/'6states'!T86)*Parameters!$B$18*Parameters!$B$26^('6states'!T86-1)</f>
        <v>0.30302289814989203</v>
      </c>
      <c r="CD86">
        <f t="shared" si="117"/>
        <v>0.2046383081019745</v>
      </c>
    </row>
    <row r="87" spans="1:82" x14ac:dyDescent="0.25">
      <c r="A87">
        <f>A86+Parameters!$B$65</f>
        <v>83</v>
      </c>
      <c r="B87">
        <v>2108</v>
      </c>
      <c r="C87" s="74">
        <v>7.1227893006332301E-4</v>
      </c>
      <c r="D87" s="69">
        <v>9.0656958383178499E-2</v>
      </c>
      <c r="E87" s="75">
        <v>0.220332005465259</v>
      </c>
      <c r="F87" s="7">
        <f>MAX((1-Parameters!$B$4)^Parameters!B$65*F86 + C86*Parameters!B$65 - IF(C86&gt;0,Parameters!$B$5,0)*C86^2/F86*Parameters!B$65, 0.0001)</f>
        <v>2.6238017358772674E-2</v>
      </c>
      <c r="G87" s="7">
        <f>(1-Parameters!$B$4)^Parameters!B$65*G86+D86*Parameters!B$65-Parameters!$B$5*D86^2/G86*Parameters!B$65</f>
        <v>1.2809504694883629</v>
      </c>
      <c r="H87" s="7">
        <f>(1-Parameters!$B$4)^Parameters!B$65*H86+E86*Parameters!B$65-Parameters!$B$5*E86^2/H86*Parameters!B$65</f>
        <v>3.2287829817664622</v>
      </c>
      <c r="I87" s="9">
        <f>I86 *(1-Parameters!$B$4)-C86*(C86&lt;0)*Parameters!B$65</f>
        <v>8.177436608783488E-4</v>
      </c>
      <c r="J87" s="23">
        <f>J86*(1+Parameters!$B$51)^Parameters!B$65</f>
        <v>10.377041597854671</v>
      </c>
      <c r="K87" s="23">
        <f>K86*(1+Parameters!$B$53)^Parameters!B$65</f>
        <v>46.836777241125787</v>
      </c>
      <c r="L87" s="23">
        <f>J87*K87*EXP(-Parameters!$B$42*'6states'!A87)*(Parameters!$B$37/Parameters!$B$38*('6states'!F87+'6states'!I87)/Parameters!$E$25*(EXP(-Parameters!$B$38*Parameters!$E$25*'6states'!I87/('6states'!F87+'6states'!I87))-EXP(-Parameters!$B$38*Parameters!$E$25))  +  Parameters!$B$39*'6states'!F87)</f>
        <v>4.4923785090242454</v>
      </c>
      <c r="M87" s="8">
        <f>M86+L87*Parameters!B$65</f>
        <v>3559.4608745497244</v>
      </c>
      <c r="N87" s="7">
        <f>M87*Parameters!$B$45</f>
        <v>2.1356765247298344</v>
      </c>
      <c r="O87" s="9">
        <f>EXP(-Parameters!$B$46/2*N87^2)</f>
        <v>0.9551955472978797</v>
      </c>
      <c r="P87" s="8">
        <f>MAX((Parameters!$B$62 + Parameters!$B$31*'6states'!A87 - '6states'!M87 + Parameters!$B$47/Parameters!$B$45)/Parameters!B$62,1)</f>
        <v>64.122782509005518</v>
      </c>
      <c r="Q87" s="7">
        <f>Parameters!B$61*EXP(-Parameters!B$60*A87)</f>
        <v>5.3176049543193549E-2</v>
      </c>
      <c r="R87" s="7">
        <f>(1-Parameters!B$61)*P87^-Parameters!B$63</f>
        <v>0.32981375825114739</v>
      </c>
      <c r="S87" s="7">
        <f>Parameters!B$61*EXP(-Parameters!B$60*A87)+(1-Parameters!B$61)*P87^-Parameters!B$63</f>
        <v>0.38298980779434094</v>
      </c>
      <c r="T87" s="7">
        <f>1-S87/Parameters!$B$12</f>
        <v>0.8085050961028295</v>
      </c>
      <c r="U87" s="7">
        <f t="shared" si="102"/>
        <v>5.222071082042909</v>
      </c>
      <c r="V87" s="7">
        <f>(Parameters!$B$19*(F87+Parameters!$B$20)^T87+Parameters!$B$18*G87^T87)^(1/T87)</f>
        <v>0.34077520717261434</v>
      </c>
      <c r="W87" s="7">
        <f>(Parameters!$B$10*H87^Parameters!$B$9+Parameters!$B$11*V87^Parameters!$B$9)^(Parameters!$B$7/Parameters!$B$9)*O87</f>
        <v>1.3202840041371762</v>
      </c>
      <c r="X87" s="7">
        <f>W87 - D87 - E87 - LN(1+EXP(Parameters!$B$21*C87))/Parameters!$B$21 - IF(C87&gt;0, 0,Parameters!$B$6*C87^2/F87)</f>
        <v>1.0066094210104508</v>
      </c>
      <c r="Y87" s="7">
        <f>EXP(-Parameters!$B$55*A87)</f>
        <v>0.28556088933456458</v>
      </c>
      <c r="Z87" s="7">
        <f>IF(X87&gt;0,X87^(1-Parameters!$B$52)/(1-Parameters!$B$52)*Y87*Parameters!$B$65,-10+X87*1000)</f>
        <v>-0.81400924007881259</v>
      </c>
      <c r="AC87">
        <f t="shared" si="103"/>
        <v>0.34618692384101335</v>
      </c>
      <c r="AD87">
        <f t="shared" si="104"/>
        <v>44.061746350780318</v>
      </c>
      <c r="AE87" s="23">
        <f t="shared" si="105"/>
        <v>0.39744565015393191</v>
      </c>
      <c r="AF87" s="23">
        <f t="shared" si="106"/>
        <v>12.752389736297692</v>
      </c>
      <c r="AG87" s="23">
        <f t="shared" si="107"/>
        <v>622.57675175854877</v>
      </c>
      <c r="AH87" s="23">
        <f t="shared" si="108"/>
        <v>165.62601491228085</v>
      </c>
      <c r="AI87" s="23">
        <f t="shared" si="109"/>
        <v>407.61823238093314</v>
      </c>
      <c r="AJ87" s="23">
        <f t="shared" si="110"/>
        <v>641.69391890914255</v>
      </c>
      <c r="AK87" s="23">
        <f t="shared" si="111"/>
        <v>489.23954403369953</v>
      </c>
      <c r="AL87" s="9">
        <f t="shared" si="120"/>
        <v>2.271371483286444E-2</v>
      </c>
      <c r="AM87" s="9">
        <f t="shared" si="121"/>
        <v>2.1284474877051096E-2</v>
      </c>
      <c r="AN87" s="9">
        <f t="shared" ref="AN87:AO87" si="139">AVERAGE(AL85:AL89)</f>
        <v>2.2520071475684668E-2</v>
      </c>
      <c r="AO87" s="9">
        <f t="shared" si="139"/>
        <v>2.0616002878450956E-2</v>
      </c>
      <c r="AP87" s="23"/>
      <c r="AQ87" s="25">
        <f t="shared" si="100"/>
        <v>641.69391890914255</v>
      </c>
      <c r="AR87" s="4"/>
      <c r="AS87" s="4"/>
      <c r="AT87" s="4"/>
      <c r="AU87" s="16"/>
      <c r="AV87" s="16"/>
      <c r="AX87" s="13">
        <f>1-W87/'6states,ExoDamages'!T87</f>
        <v>9.5931552700970535E-2</v>
      </c>
      <c r="AY87" s="21">
        <f>-Y87*W87*X87^(-Parameters!B$52)*Parameters!B$46*Parameters!B$45*N87</f>
        <v>-9.6246851567372925E-6</v>
      </c>
      <c r="AZ87" s="7">
        <f>1000*EXP(-(Parameters!$B$54)*'6states'!A87)*AQ87*Parameters!B$46*Parameters!B$45*N87</f>
        <v>0.89738868909169789</v>
      </c>
      <c r="BA87" s="7">
        <f>SUM(AZ87:AZ$204)*EXP(Parameters!$B$54*A87)</f>
        <v>1210.6670751146605</v>
      </c>
      <c r="BF87" s="5"/>
      <c r="BG87" s="5"/>
      <c r="BH87" s="5"/>
      <c r="BK87">
        <f>-EXP(-Parameters!B$42*'6states'!A87)*(-Parameters!B$37/Parameters!B$38/Parameters!E$25*(EXP(-Parameters!B$38*Parameters!E$25*'6states'!I87/('6states'!F87+'6states'!I87))-EXP(-Parameters!B$38*Parameters!E$25))+Parameters!B$37*'6states'!F87/('6states'!F87+'6states'!I87)*EXP(-Parameters!B$38*Parameters!E$25*'6states'!I87/('6states'!F87+'6states'!I87)))</f>
        <v>-0.69704993248433389</v>
      </c>
      <c r="BL87">
        <f>-J87*K87*EXP(-Parameters!B$42*'6states'!A87)*(-Parameters!B$37/Parameters!B$38/Parameters!E$25*(EXP(-Parameters!B$38*Parameters!E$25*'6states'!I87/('6states'!F87+'6states'!I87))-EXP(-Parameters!B$38*Parameters!E$25)) + Parameters!B$37*'6states'!F87/('6states'!F87+'6states'!I87)*EXP(-Parameters!B$38*Parameters!E$25*'6states'!I87/('6states'!F87+'6states'!I87)))</f>
        <v>-338.78521700604665</v>
      </c>
      <c r="BM87" s="7">
        <f t="shared" si="101"/>
        <v>3.0224382167051551E-2</v>
      </c>
      <c r="BS87">
        <f>EXP(-Parameters!$B$56*A87)*BF87*BL87</f>
        <v>0</v>
      </c>
      <c r="BT87">
        <f>-EXP((Parameters!$B$56)*F87)*SUM(BS87:BS95)</f>
        <v>0</v>
      </c>
      <c r="BU87">
        <f>X87^-Parameters!B$52/(1-2*Parameters!B$5*'6states'!D87/'6states'!G87)</f>
        <v>1.1545714976370964</v>
      </c>
      <c r="BV87">
        <f t="shared" si="113"/>
        <v>1.010722337134093</v>
      </c>
      <c r="BW87">
        <f>$X87^-Parameters!$B$52/(1-2*Parameters!$B$5*'6states'!$E87/'6states'!$H87)</f>
        <v>1.1477973469845566</v>
      </c>
      <c r="BX87">
        <f t="shared" si="114"/>
        <v>0.99924167955613208</v>
      </c>
      <c r="BY87" s="7">
        <f>($X87^-Parameters!$B$52*(1/(1+EXP(-C87)) + IF(C87&lt;0,2*Parameters!$B$6*C87/F87,0)) + BQ87*(1/(1+EXP((C87-Parameters!$B$22)*Parameters!$B$21))))/(1-IF(C87&gt;0,2*Parameters!$B$5*C87/F87,0))</f>
        <v>0.52421085026977032</v>
      </c>
      <c r="BZ87">
        <f t="shared" si="115"/>
        <v>1.0013665634498448</v>
      </c>
      <c r="CA87" s="7">
        <f t="shared" si="116"/>
        <v>7.1538976248886055E-4</v>
      </c>
      <c r="CC87">
        <f>(Parameters!$B$18*'6states'!T87^+Parameters!$B$19*Parameters!$B$25^'6states'!T87)^((1-'6states'!T87)/'6states'!T87)*Parameters!$B$18*Parameters!$B$26^('6states'!T87-1)</f>
        <v>0.30320444750037906</v>
      </c>
      <c r="CD87">
        <f t="shared" si="117"/>
        <v>0.20402934557879276</v>
      </c>
    </row>
    <row r="88" spans="1:82" x14ac:dyDescent="0.25">
      <c r="A88">
        <f>A87+Parameters!$B$65</f>
        <v>84</v>
      </c>
      <c r="B88">
        <v>2109</v>
      </c>
      <c r="C88" s="74">
        <v>7.1584320206795197E-4</v>
      </c>
      <c r="D88" s="69">
        <v>9.1523559949426903E-2</v>
      </c>
      <c r="E88" s="75">
        <v>0.21133827370552299</v>
      </c>
      <c r="F88" s="7">
        <f>MAX((1-Parameters!$B$4)^Parameters!B$65*F87 + C87*Parameters!B$65 - IF(C87&gt;0,Parameters!$B$5,0)*C87^2/F87*Parameters!B$65, 0.0001)</f>
        <v>2.5280588883753213E-2</v>
      </c>
      <c r="G88" s="7">
        <f>(1-Parameters!$B$4)^Parameters!B$65*G87+D87*Parameters!B$65-Parameters!$B$5*D87^2/G87*Parameters!B$65</f>
        <v>1.2846195606747228</v>
      </c>
      <c r="H88" s="7">
        <f>(1-Parameters!$B$4)^Parameters!B$65*H87+E87*Parameters!B$65-Parameters!$B$5*E87^2/H87*Parameters!B$65</f>
        <v>3.2309890915348185</v>
      </c>
      <c r="I88" s="9">
        <f>I87 *(1-Parameters!$B$4)-C87*(C87&lt;0)*Parameters!B$65</f>
        <v>7.6630758460910075E-4</v>
      </c>
      <c r="J88" s="23">
        <f>J87*(1+Parameters!$B$51)^Parameters!B$65</f>
        <v>10.407135018488448</v>
      </c>
      <c r="K88" s="23">
        <f>K87*(1+Parameters!$B$53)^Parameters!B$65</f>
        <v>47.773512785948306</v>
      </c>
      <c r="L88" s="23">
        <f>J88*K88*EXP(-Parameters!$B$42*'6states'!A88)*(Parameters!$B$37/Parameters!$B$38*('6states'!F88+'6states'!I88)/Parameters!$E$25*(EXP(-Parameters!$B$38*Parameters!$E$25*'6states'!I88/('6states'!F88+'6states'!I88))-EXP(-Parameters!$B$38*Parameters!$E$25))  +  Parameters!$B$39*'6states'!F88)</f>
        <v>4.3913076612761808</v>
      </c>
      <c r="M88" s="8">
        <f>M87+L88*Parameters!B$65</f>
        <v>3563.8521822110006</v>
      </c>
      <c r="N88" s="7">
        <f>M88*Parameters!$B$45</f>
        <v>2.1383113093266002</v>
      </c>
      <c r="O88" s="9">
        <f>EXP(-Parameters!$B$46/2*N88^2)</f>
        <v>0.9550874506632101</v>
      </c>
      <c r="P88" s="8">
        <f>MAX((Parameters!$B$62 + Parameters!$B$31*'6states'!A88 - '6states'!M88 + Parameters!$B$47/Parameters!$B$45)/Parameters!B$62,1)</f>
        <v>65.09895635577999</v>
      </c>
      <c r="Q88" s="7">
        <f>Parameters!B$61*EXP(-Parameters!B$60*A88)</f>
        <v>5.1759505602722529E-2</v>
      </c>
      <c r="R88" s="7">
        <f>(1-Parameters!B$61)*P88^-Parameters!B$63</f>
        <v>0.3293158256397356</v>
      </c>
      <c r="S88" s="7">
        <f>Parameters!B$61*EXP(-Parameters!B$60*A88)+(1-Parameters!B$61)*P88^-Parameters!B$63</f>
        <v>0.38107533124245813</v>
      </c>
      <c r="T88" s="7">
        <f>1-S88/Parameters!$B$12</f>
        <v>0.80946233437877091</v>
      </c>
      <c r="U88" s="7">
        <f t="shared" si="102"/>
        <v>5.2483061379995366</v>
      </c>
      <c r="V88" s="7">
        <f>(Parameters!$B$19*(F88+Parameters!$B$20)^T88+Parameters!$B$18*G88^T88)^(1/T88)</f>
        <v>0.34098766272004721</v>
      </c>
      <c r="W88" s="7">
        <f>(Parameters!$B$10*H88^Parameters!$B$9+Parameters!$B$11*V88^Parameters!$B$9)^(Parameters!$B$7/Parameters!$B$9)*O88</f>
        <v>1.3203977596647396</v>
      </c>
      <c r="X88" s="7">
        <f>W88 - D88 - E88 - LN(1+EXP(Parameters!$B$21*C88))/Parameters!$B$21 - IF(C88&gt;0, 0,Parameters!$B$6*C88^2/F88)</f>
        <v>1.0148483344390402</v>
      </c>
      <c r="Y88" s="7">
        <f>EXP(-Parameters!$B$55*A88)</f>
        <v>0.28128131202949208</v>
      </c>
      <c r="Z88" s="7">
        <f>IF(X88&gt;0,X88^(1-Parameters!$B$52)/(1-Parameters!$B$52)*Y88*Parameters!$B$65,-10+X88*1000)</f>
        <v>-0.79952571170263176</v>
      </c>
      <c r="AC88">
        <f t="shared" si="103"/>
        <v>0.35590678723329672</v>
      </c>
      <c r="AD88">
        <f t="shared" si="104"/>
        <v>45.504177568012246</v>
      </c>
      <c r="AE88" s="23">
        <f t="shared" si="105"/>
        <v>0.38099694134532447</v>
      </c>
      <c r="AF88" s="23">
        <f t="shared" si="106"/>
        <v>12.569139642578184</v>
      </c>
      <c r="AG88" s="23">
        <f t="shared" si="107"/>
        <v>638.69408738673633</v>
      </c>
      <c r="AH88" s="23">
        <f t="shared" si="108"/>
        <v>169.53408675851728</v>
      </c>
      <c r="AI88" s="23">
        <f t="shared" si="109"/>
        <v>417.23629472955793</v>
      </c>
      <c r="AJ88" s="23">
        <f t="shared" si="110"/>
        <v>656.48248548669017</v>
      </c>
      <c r="AK88" s="23">
        <f t="shared" si="111"/>
        <v>504.56777293664186</v>
      </c>
      <c r="AL88" s="9">
        <f t="shared" si="120"/>
        <v>2.2784586588925571E-2</v>
      </c>
      <c r="AM88" s="9">
        <f t="shared" si="121"/>
        <v>3.0849932983262995E-2</v>
      </c>
      <c r="AN88" s="9">
        <f t="shared" ref="AN88:AO88" si="140">AVERAGE(AL86:AL90)</f>
        <v>2.2630560100632025E-2</v>
      </c>
      <c r="AO88" s="9">
        <f t="shared" si="140"/>
        <v>2.1703369843246813E-2</v>
      </c>
      <c r="AP88" s="23"/>
      <c r="AQ88" s="25">
        <f t="shared" si="100"/>
        <v>656.48248548669017</v>
      </c>
      <c r="AR88" s="4"/>
      <c r="AS88" s="4"/>
      <c r="AT88" s="4"/>
      <c r="AU88" s="16"/>
      <c r="AV88" s="16"/>
      <c r="AX88" s="13">
        <f>1-W88/'6states,ExoDamages'!T88</f>
        <v>9.5756677307887395E-2</v>
      </c>
      <c r="AY88" s="21">
        <f>-Y88*W88*X88^(-Parameters!B$52)*Parameters!B$46*Parameters!B$45*N88</f>
        <v>-9.3890652060326301E-6</v>
      </c>
      <c r="AZ88" s="7">
        <f>1000*EXP(-(Parameters!$B$54)*'6states'!A88)*AQ88*Parameters!B$46*Parameters!B$45*N88</f>
        <v>0.8874983088264714</v>
      </c>
      <c r="BA88" s="7">
        <f>SUM(AZ88:AZ$204)*EXP(Parameters!$B$54*A88)</f>
        <v>1236.7980131633874</v>
      </c>
      <c r="BF88" s="5"/>
      <c r="BG88" s="5"/>
      <c r="BH88" s="5"/>
      <c r="BK88">
        <f>-EXP(-Parameters!B$42*'6states'!A88)*(-Parameters!B$37/Parameters!B$38/Parameters!E$25*(EXP(-Parameters!B$38*Parameters!E$25*'6states'!I88/('6states'!F88+'6states'!I88))-EXP(-Parameters!B$38*Parameters!E$25))+Parameters!B$37*'6states'!F88/('6states'!F88+'6states'!I88)*EXP(-Parameters!B$38*Parameters!E$25*'6states'!I88/('6states'!F88+'6states'!I88)))</f>
        <v>-0.71476203201379929</v>
      </c>
      <c r="BL88">
        <f>-J88*K88*EXP(-Parameters!B$42*'6states'!A88)*(-Parameters!B$37/Parameters!B$38/Parameters!E$25*(EXP(-Parameters!B$38*Parameters!E$25*'6states'!I88/('6states'!F88+'6states'!I88))-EXP(-Parameters!B$38*Parameters!E$25)) + Parameters!B$37*'6states'!F88/('6states'!F88+'6states'!I88)*EXP(-Parameters!B$38*Parameters!E$25*'6states'!I88/('6states'!F88+'6states'!I88)))</f>
        <v>-355.36924526975673</v>
      </c>
      <c r="BM88" s="7">
        <f t="shared" si="101"/>
        <v>2.9420302934742765E-2</v>
      </c>
      <c r="BS88">
        <f>EXP(-Parameters!$B$56*A88)*BF88*BL88</f>
        <v>0</v>
      </c>
      <c r="BT88">
        <f>-EXP((Parameters!$B$56)*F88)*SUM(BS88:BS96)</f>
        <v>0</v>
      </c>
      <c r="BU88">
        <f>X88^-Parameters!B$52/(1-2*Parameters!B$5*'6states'!D88/'6states'!G88)</f>
        <v>1.1431939700384053</v>
      </c>
      <c r="BV88">
        <f t="shared" si="113"/>
        <v>0.99014567082075389</v>
      </c>
      <c r="BW88">
        <f>$X88^-Parameters!$B$52/(1-2*Parameters!$B$5*'6states'!$E88/'6states'!$H88)</f>
        <v>1.1278426364655734</v>
      </c>
      <c r="BX88">
        <f t="shared" si="114"/>
        <v>0.98261477901878114</v>
      </c>
      <c r="BY88" s="7">
        <f>($X88^-Parameters!$B$52*(1/(1+EXP(-C88)) + IF(C88&lt;0,2*Parameters!$B$6*C88/F88,0)) + BQ88*(1/(1+EXP((C88-Parameters!$B$22)*Parameters!$B$21))))/(1-IF(C88&gt;0,2*Parameters!$B$5*C88/F88,0))</f>
        <v>0.51975977394632822</v>
      </c>
      <c r="BZ88">
        <f t="shared" si="115"/>
        <v>0.99150899619656574</v>
      </c>
      <c r="CA88" s="7">
        <f t="shared" si="116"/>
        <v>-4.4510763234421047E-3</v>
      </c>
      <c r="CC88">
        <f>(Parameters!$B$18*'6states'!T88^+Parameters!$B$19*Parameters!$B$25^'6states'!T88)^((1-'6states'!T88)/'6states'!T88)*Parameters!$B$18*Parameters!$B$26^('6states'!T88-1)</f>
        <v>0.30337959312874213</v>
      </c>
      <c r="CD88">
        <f t="shared" si="117"/>
        <v>0.20342943879924827</v>
      </c>
    </row>
    <row r="89" spans="1:82" x14ac:dyDescent="0.25">
      <c r="A89">
        <f>A88+Parameters!$B$65</f>
        <v>85</v>
      </c>
      <c r="B89">
        <v>2110</v>
      </c>
      <c r="C89" s="74">
        <v>6.8212887161092596E-4</v>
      </c>
      <c r="D89" s="69">
        <v>9.0842895831958495E-2</v>
      </c>
      <c r="E89" s="75">
        <v>0.222095245774207</v>
      </c>
      <c r="F89" s="7">
        <f>MAX((1-Parameters!$B$4)^Parameters!B$65*F88 + C88*Parameters!B$65 - IF(C88&gt;0,Parameters!$B$5,0)*C88^2/F88*Parameters!B$65, 0.0001)</f>
        <v>2.4386013284217658E-2</v>
      </c>
      <c r="G89" s="7">
        <f>(1-Parameters!$B$4)^Parameters!B$65*G88+D88*Parameters!B$65-Parameters!$B$5*D88^2/G88*Parameters!B$65</f>
        <v>1.2888198944291336</v>
      </c>
      <c r="H89" s="7">
        <f>(1-Parameters!$B$4)^Parameters!B$65*H88+E88*Parameters!B$65-Parameters!$B$5*E88^2/H88*Parameters!B$65</f>
        <v>3.2252745621760632</v>
      </c>
      <c r="I89" s="9">
        <f>I88 *(1-Parameters!$B$4)-C88*(C88&lt;0)*Parameters!B$65</f>
        <v>7.181068375371883E-4</v>
      </c>
      <c r="J89" s="23">
        <f>J88*(1+Parameters!$B$51)^Parameters!B$65</f>
        <v>10.437315710042064</v>
      </c>
      <c r="K89" s="23">
        <f>K88*(1+Parameters!$B$53)^Parameters!B$65</f>
        <v>48.72898304166727</v>
      </c>
      <c r="L89" s="23">
        <f>J89*K89*EXP(-Parameters!$B$42*'6states'!A89)*(Parameters!$B$37/Parameters!$B$38*('6states'!F89+'6states'!I89)/Parameters!$E$25*(EXP(-Parameters!$B$38*Parameters!$E$25*'6states'!I89/('6states'!F89+'6states'!I89))-EXP(-Parameters!$B$38*Parameters!$E$25))  +  Parameters!$B$39*'6states'!F89)</f>
        <v>4.2977749177332063</v>
      </c>
      <c r="M89" s="8">
        <f>M88+L89*Parameters!B$65</f>
        <v>3568.1499571287336</v>
      </c>
      <c r="N89" s="7">
        <f>M89*Parameters!$B$45</f>
        <v>2.1408899742772398</v>
      </c>
      <c r="O89" s="9">
        <f>EXP(-Parameters!$B$46/2*N89^2)</f>
        <v>0.95498153925268536</v>
      </c>
      <c r="P89" s="8">
        <f>MAX((Parameters!$B$62 + Parameters!$B$31*'6states'!A89 - '6states'!M89 + Parameters!$B$47/Parameters!$B$45)/Parameters!B$62,1)</f>
        <v>66.077000857425332</v>
      </c>
      <c r="Q89" s="7">
        <f>Parameters!B$61*EXP(-Parameters!B$60*A89)</f>
        <v>5.0380696634151866E-2</v>
      </c>
      <c r="R89" s="7">
        <f>(1-Parameters!B$61)*P89^-Parameters!B$63</f>
        <v>0.32882510848040292</v>
      </c>
      <c r="S89" s="7">
        <f>Parameters!B$61*EXP(-Parameters!B$60*A89)+(1-Parameters!B$61)*P89^-Parameters!B$63</f>
        <v>0.37920580511455476</v>
      </c>
      <c r="T89" s="7">
        <f>1-S89/Parameters!$B$12</f>
        <v>0.81039709744272259</v>
      </c>
      <c r="U89" s="7">
        <f t="shared" si="102"/>
        <v>5.2741808617508301</v>
      </c>
      <c r="V89" s="7">
        <f>(Parameters!$B$19*(F89+Parameters!$B$20)^T89+Parameters!$B$18*G89^T89)^(1/T89)</f>
        <v>0.34138519219953428</v>
      </c>
      <c r="W89" s="7">
        <f>(Parameters!$B$10*H89^Parameters!$B$9+Parameters!$B$11*V89^Parameters!$B$9)^(Parameters!$B$7/Parameters!$B$9)*O89</f>
        <v>1.319910533373194</v>
      </c>
      <c r="X89" s="7">
        <f>W89 - D89 - E89 - LN(1+EXP(Parameters!$B$21*C89))/Parameters!$B$21 - IF(C89&gt;0, 0,Parameters!$B$6*C89^2/F89)</f>
        <v>1.0043034183480826</v>
      </c>
      <c r="Y89" s="7">
        <f>EXP(-Parameters!$B$55*A89)</f>
        <v>0.27706587089500223</v>
      </c>
      <c r="Z89" s="7">
        <f>IF(X89&gt;0,X89^(1-Parameters!$B$52)/(1-Parameters!$B$52)*Y89*Parameters!$B$65,-10+X89*1000)</f>
        <v>-0.79042789548975623</v>
      </c>
      <c r="AC89">
        <f t="shared" si="103"/>
        <v>0.34693059419337946</v>
      </c>
      <c r="AD89">
        <f t="shared" si="104"/>
        <v>46.202676856060272</v>
      </c>
      <c r="AE89" s="23">
        <f t="shared" si="105"/>
        <v>0.36522897975678481</v>
      </c>
      <c r="AF89" s="23">
        <f t="shared" si="106"/>
        <v>12.402720997164968</v>
      </c>
      <c r="AG89" s="23">
        <f t="shared" si="107"/>
        <v>655.49351506936864</v>
      </c>
      <c r="AH89" s="23">
        <f t="shared" si="108"/>
        <v>173.62843372822343</v>
      </c>
      <c r="AI89" s="23">
        <f t="shared" si="109"/>
        <v>427.31279433881167</v>
      </c>
      <c r="AJ89" s="23">
        <f t="shared" si="110"/>
        <v>671.3062072036887</v>
      </c>
      <c r="AK89" s="23">
        <f t="shared" si="111"/>
        <v>510.78849786126193</v>
      </c>
      <c r="AL89" s="9">
        <f t="shared" si="120"/>
        <v>2.2329362675955089E-2</v>
      </c>
      <c r="AM89" s="9">
        <f t="shared" si="121"/>
        <v>1.2253438400835925E-2</v>
      </c>
      <c r="AN89" s="9">
        <f t="shared" ref="AN89:AO89" si="141">AVERAGE(AL87:AL91)</f>
        <v>2.2682300239397969E-2</v>
      </c>
      <c r="AO89" s="9">
        <f t="shared" si="141"/>
        <v>2.2360878402879258E-2</v>
      </c>
      <c r="AP89" s="23"/>
      <c r="AQ89" s="25">
        <f t="shared" si="100"/>
        <v>671.3062072036887</v>
      </c>
      <c r="AR89" s="4"/>
      <c r="AS89" s="4"/>
      <c r="AT89" s="4"/>
      <c r="AU89" s="16"/>
      <c r="AV89" s="16"/>
      <c r="AX89" s="13">
        <f>1-W89/'6states,ExoDamages'!T89</f>
        <v>9.5995626250932387E-2</v>
      </c>
      <c r="AY89" s="21">
        <f>-Y89*W89*X89^(-Parameters!B$52)*Parameters!B$46*Parameters!B$45*N89</f>
        <v>-9.3875337880917799E-6</v>
      </c>
      <c r="AZ89" s="7">
        <f>1000*EXP(-(Parameters!$B$54)*'6states'!A89)*AQ89*Parameters!B$46*Parameters!B$45*N89</f>
        <v>0.87729313780429619</v>
      </c>
      <c r="BA89" s="7">
        <f>SUM(AZ89:AZ$204)*EXP(Parameters!$B$54*A89)</f>
        <v>1263.4463235933833</v>
      </c>
      <c r="BF89" s="5"/>
      <c r="BG89" s="5"/>
      <c r="BH89" s="5"/>
      <c r="BK89">
        <f>-EXP(-Parameters!B$42*'6states'!A89)*(-Parameters!B$37/Parameters!B$38/Parameters!E$25*(EXP(-Parameters!B$38*Parameters!E$25*'6states'!I89/('6states'!F89+'6states'!I89))-EXP(-Parameters!B$38*Parameters!E$25))+Parameters!B$37*'6states'!F89/('6states'!F89+'6states'!I89)*EXP(-Parameters!B$38*Parameters!E$25*'6states'!I89/('6states'!F89+'6states'!I89)))</f>
        <v>-0.73327832241434299</v>
      </c>
      <c r="BL89">
        <f>-J89*K89*EXP(-Parameters!B$42*'6states'!A89)*(-Parameters!B$37/Parameters!B$38/Parameters!E$25*(EXP(-Parameters!B$38*Parameters!E$25*'6states'!I89/('6states'!F89+'6states'!I89))-EXP(-Parameters!B$38*Parameters!E$25)) + Parameters!B$37*'6states'!F89/('6states'!F89+'6states'!I89)*EXP(-Parameters!B$38*Parameters!E$25*'6states'!I89/('6states'!F89+'6states'!I89)))</f>
        <v>-372.94519363114688</v>
      </c>
      <c r="BM89" s="7">
        <f t="shared" si="101"/>
        <v>2.8605138680598007E-2</v>
      </c>
      <c r="BS89">
        <f>EXP(-Parameters!$B$56*A89)*BF89*BL89</f>
        <v>0</v>
      </c>
      <c r="BT89">
        <f>-EXP((Parameters!$B$56)*F89)*SUM(BS89:BS97)</f>
        <v>0</v>
      </c>
      <c r="BU89">
        <f>X89^-Parameters!B$52/(1-2*Parameters!B$5*'6states'!D89/'6states'!G89)</f>
        <v>1.1573756277110214</v>
      </c>
      <c r="BV89">
        <f t="shared" si="113"/>
        <v>1.012405294328258</v>
      </c>
      <c r="BW89">
        <f>$X89^-Parameters!$B$52/(1-2*Parameters!$B$5*'6states'!$E89/'6states'!$H89)</f>
        <v>1.153014857452084</v>
      </c>
      <c r="BX89">
        <f t="shared" si="114"/>
        <v>1.0223189123842624</v>
      </c>
      <c r="BY89" s="7">
        <f>($X89^-Parameters!$B$52*(1/(1+EXP(-C89)) + IF(C89&lt;0,2*Parameters!$B$6*C89/F89,0)) + BQ89*(1/(1+EXP((C89-Parameters!$B$22)*Parameters!$B$21))))/(1-IF(C89&gt;0,2*Parameters!$B$5*C89/F89,0))</f>
        <v>0.52674788354339896</v>
      </c>
      <c r="BZ89">
        <f t="shared" si="115"/>
        <v>1.0134448834776359</v>
      </c>
      <c r="CA89" s="7">
        <f t="shared" si="116"/>
        <v>6.9881095970707463E-3</v>
      </c>
    </row>
    <row r="90" spans="1:82" x14ac:dyDescent="0.25">
      <c r="A90">
        <f>A89+Parameters!$B$65</f>
        <v>86</v>
      </c>
      <c r="B90">
        <v>2111</v>
      </c>
      <c r="C90" s="74">
        <v>6.7633821804465402E-4</v>
      </c>
      <c r="D90" s="69">
        <v>8.7392691749904203E-2</v>
      </c>
      <c r="E90" s="75">
        <v>0.22181895897707399</v>
      </c>
      <c r="F90" s="7">
        <f>MAX((1-Parameters!$B$4)^Parameters!B$65*F89 + C89*Parameters!B$65 - IF(C89&gt;0,Parameters!$B$5,0)*C89^2/F89*Parameters!B$65, 0.0001)</f>
        <v>2.3515181318922076E-2</v>
      </c>
      <c r="G90" s="7">
        <f>(1-Parameters!$B$4)^Parameters!B$65*G89+D89*Parameters!B$65-Parameters!$B$5*D89^2/G89*Parameters!B$65</f>
        <v>1.292192927392122</v>
      </c>
      <c r="H90" s="7">
        <f>(1-Parameters!$B$4)^Parameters!B$65*H89+E89*Parameters!B$65-Parameters!$B$5*E89^2/H89*Parameters!B$65</f>
        <v>3.2292063638402331</v>
      </c>
      <c r="I90" s="9">
        <f>I89 *(1-Parameters!$B$4)-C89*(C89&lt;0)*Parameters!B$65</f>
        <v>6.7293791745609924E-4</v>
      </c>
      <c r="J90" s="23">
        <f>J89*(1+Parameters!$B$51)^Parameters!B$65</f>
        <v>10.467583925601184</v>
      </c>
      <c r="K90" s="23">
        <f>K89*(1+Parameters!$B$53)^Parameters!B$65</f>
        <v>49.703562702500619</v>
      </c>
      <c r="L90" s="23">
        <f>J90*K90*EXP(-Parameters!$B$42*'6states'!A90)*(Parameters!$B$37/Parameters!$B$38*('6states'!F90+'6states'!I90)/Parameters!$E$25*(EXP(-Parameters!$B$38*Parameters!$E$25*'6states'!I90/('6states'!F90+'6states'!I90))-EXP(-Parameters!$B$38*Parameters!$E$25))  +  Parameters!$B$39*'6states'!F90)</f>
        <v>4.2047641796786435</v>
      </c>
      <c r="M90" s="8">
        <f>M89+L90*Parameters!B$65</f>
        <v>3572.3547213084121</v>
      </c>
      <c r="N90" s="7">
        <f>M90*Parameters!$B$45</f>
        <v>2.1434128327850472</v>
      </c>
      <c r="O90" s="9">
        <f>EXP(-Parameters!$B$46/2*N90^2)</f>
        <v>0.95487780778976372</v>
      </c>
      <c r="P90" s="8">
        <f>MAX((Parameters!$B$62 + Parameters!$B$31*'6states'!A90 - '6states'!M90 + Parameters!$B$47/Parameters!$B$45)/Parameters!B$62,1)</f>
        <v>67.056905573831756</v>
      </c>
      <c r="Q90" s="7">
        <f>Parameters!B$61*EXP(-Parameters!B$60*A90)</f>
        <v>4.9038617424679028E-2</v>
      </c>
      <c r="R90" s="7">
        <f>(1-Parameters!B$61)*P90^-Parameters!B$63</f>
        <v>0.32834140594592226</v>
      </c>
      <c r="S90" s="7">
        <f>Parameters!B$61*EXP(-Parameters!B$60*A90)+(1-Parameters!B$61)*P90^-Parameters!B$63</f>
        <v>0.37738002337060128</v>
      </c>
      <c r="T90" s="7">
        <f>1-S90/Parameters!$B$12</f>
        <v>0.81130998831469936</v>
      </c>
      <c r="U90" s="7">
        <f t="shared" si="102"/>
        <v>5.29969758901606</v>
      </c>
      <c r="V90" s="7">
        <f>(Parameters!$B$19*(F90+Parameters!$B$20)^T90+Parameters!$B$18*G90^T90)^(1/T90)</f>
        <v>0.34160534722701341</v>
      </c>
      <c r="W90" s="7">
        <f>(Parameters!$B$10*H90^Parameters!$B$9+Parameters!$B$11*V90^Parameters!$B$9)^(Parameters!$B$7/Parameters!$B$9)*O90</f>
        <v>1.3201794409534529</v>
      </c>
      <c r="X90" s="7">
        <f>W90 - D90 - E90 - LN(1+EXP(Parameters!$B$21*C90))/Parameters!$B$21 - IF(C90&gt;0, 0,Parameters!$B$6*C90^2/F90)</f>
        <v>1.0083020061082533</v>
      </c>
      <c r="Y90" s="7">
        <f>EXP(-Parameters!$B$55*A90)</f>
        <v>0.27291360475009885</v>
      </c>
      <c r="Z90" s="7">
        <f>IF(X90&gt;0,X90^(1-Parameters!$B$52)/(1-Parameters!$B$52)*Y90*Parameters!$B$65,-10+X90*1000)</f>
        <v>-0.77750004083744229</v>
      </c>
      <c r="AC90">
        <f t="shared" si="103"/>
        <v>0.35188268746088447</v>
      </c>
      <c r="AD90">
        <f t="shared" si="104"/>
        <v>45.468338794018315</v>
      </c>
      <c r="AE90" s="23">
        <f t="shared" si="105"/>
        <v>0.35011359194424391</v>
      </c>
      <c r="AF90" s="23">
        <f t="shared" si="106"/>
        <v>12.23438950789259</v>
      </c>
      <c r="AG90" s="23">
        <f t="shared" si="107"/>
        <v>672.29724400797761</v>
      </c>
      <c r="AH90" s="23">
        <f t="shared" si="108"/>
        <v>177.72913673394362</v>
      </c>
      <c r="AI90" s="23">
        <f t="shared" si="109"/>
        <v>437.404936636603</v>
      </c>
      <c r="AJ90" s="23">
        <f t="shared" si="110"/>
        <v>686.85796132644111</v>
      </c>
      <c r="AK90" s="23">
        <f t="shared" si="111"/>
        <v>524.59555029632827</v>
      </c>
      <c r="AL90" s="9">
        <f t="shared" si="120"/>
        <v>2.2902141330032322E-2</v>
      </c>
      <c r="AM90" s="9">
        <f t="shared" si="121"/>
        <v>2.6671979294392578E-2</v>
      </c>
      <c r="AN90" s="9">
        <f t="shared" ref="AN90:AO90" si="142">AVERAGE(AL88:AL92)</f>
        <v>2.2696297142339006E-2</v>
      </c>
      <c r="AO90" s="9">
        <f t="shared" si="142"/>
        <v>2.3508480168986524E-2</v>
      </c>
      <c r="AP90" s="23"/>
      <c r="AQ90" s="25">
        <f t="shared" si="100"/>
        <v>686.85796132644111</v>
      </c>
      <c r="AR90" s="4"/>
      <c r="AS90" s="4"/>
      <c r="AT90" s="4"/>
      <c r="AU90" s="16"/>
      <c r="AV90" s="16"/>
      <c r="AX90" s="13">
        <f>1-W90/'6states,ExoDamages'!T90</f>
        <v>9.5718916135579035E-2</v>
      </c>
      <c r="AY90" s="21">
        <f>-Y90*W90*X90^(-Parameters!B$52)*Parameters!B$46*Parameters!B$45*N90</f>
        <v>-9.2100912530344527E-6</v>
      </c>
      <c r="AZ90" s="7">
        <f>1000*EXP(-(Parameters!$B$54)*'6states'!A90)*AQ90*Parameters!B$46*Parameters!B$45*N90</f>
        <v>0.86767832310196491</v>
      </c>
      <c r="BA90" s="7">
        <f>SUM(AZ90:AZ$204)*EXP(Parameters!$B$54*A90)</f>
        <v>1290.6290456865831</v>
      </c>
      <c r="BF90" s="5"/>
      <c r="BG90" s="5"/>
      <c r="BH90" s="5"/>
      <c r="BK90">
        <f>-EXP(-Parameters!B$42*'6states'!A90)*(-Parameters!B$37/Parameters!B$38/Parameters!E$25*(EXP(-Parameters!B$38*Parameters!E$25*'6states'!I90/('6states'!F90+'6states'!I90))-EXP(-Parameters!B$38*Parameters!E$25))+Parameters!B$37*'6states'!F90/('6states'!F90+'6states'!I90)*EXP(-Parameters!B$38*Parameters!E$25*'6states'!I90/('6states'!F90+'6states'!I90)))</f>
        <v>-0.75125550966478649</v>
      </c>
      <c r="BL90">
        <f>-J90*K90*EXP(-Parameters!B$42*'6states'!A90)*(-Parameters!B$37/Parameters!B$38/Parameters!E$25*(EXP(-Parameters!B$38*Parameters!E$25*'6states'!I90/('6states'!F90+'6states'!I90))-EXP(-Parameters!B$38*Parameters!E$25)) + Parameters!B$37*'6states'!F90/('6states'!F90+'6states'!I90)*EXP(-Parameters!B$38*Parameters!E$25*'6states'!I90/('6states'!F90+'6states'!I90)))</f>
        <v>-390.86037230737725</v>
      </c>
      <c r="BM90" s="7">
        <f t="shared" si="101"/>
        <v>2.7821010425813582E-2</v>
      </c>
      <c r="BS90">
        <f>EXP(-Parameters!$B$56*A90)*BF90*BL90</f>
        <v>0</v>
      </c>
      <c r="BT90">
        <f>-EXP((Parameters!$B$56)*F90)*SUM(BS90:BS98)</f>
        <v>0</v>
      </c>
      <c r="BU90">
        <f>X90^-Parameters!B$52/(1-2*Parameters!B$5*'6states'!D90/'6states'!G90)</f>
        <v>1.1435848898611576</v>
      </c>
      <c r="BV90">
        <f t="shared" si="113"/>
        <v>0.98808447532532007</v>
      </c>
      <c r="BW90">
        <f>$X90^-Parameters!$B$52/(1-2*Parameters!$B$5*'6states'!$E90/'6states'!$H90)</f>
        <v>1.146395871160806</v>
      </c>
      <c r="BX90">
        <f t="shared" si="114"/>
        <v>0.99425940936623791</v>
      </c>
      <c r="BY90" s="7">
        <f>($X90^-Parameters!$B$52*(1/(1+EXP(-C90)) + IF(C90&lt;0,2*Parameters!$B$6*C90/F90,0)) + BQ90*(1/(1+EXP((C90-Parameters!$B$22)*Parameters!$B$21))))/(1-IF(C90&gt;0,2*Parameters!$B$5*C90/F90,0))</f>
        <v>0.52480622743631167</v>
      </c>
      <c r="BZ90">
        <f t="shared" si="115"/>
        <v>0.99631387962296891</v>
      </c>
      <c r="CA90" s="7">
        <f t="shared" si="116"/>
        <v>-1.9416561070872973E-3</v>
      </c>
    </row>
    <row r="91" spans="1:82" x14ac:dyDescent="0.25">
      <c r="A91">
        <f>A90+Parameters!$B$65</f>
        <v>87</v>
      </c>
      <c r="B91">
        <v>2112</v>
      </c>
      <c r="C91" s="74">
        <v>6.4297148833784097E-4</v>
      </c>
      <c r="D91" s="69">
        <v>9.2080811785484898E-2</v>
      </c>
      <c r="E91" s="75">
        <v>0.21909523673806999</v>
      </c>
      <c r="F91" s="7">
        <f>MAX((1-Parameters!$B$4)^Parameters!B$65*F90 + C90*Parameters!B$65 - IF(C90&gt;0,Parameters!$B$5,0)*C90^2/F90*Parameters!B$65, 0.0001)</f>
        <v>2.2692961948270696E-2</v>
      </c>
      <c r="G91" s="7">
        <f>(1-Parameters!$B$4)^Parameters!B$65*G90+D90*Parameters!B$65-Parameters!$B$5*D90^2/G90*Parameters!B$65</f>
        <v>1.2923962023701416</v>
      </c>
      <c r="H91" s="7">
        <f>(1-Parameters!$B$4)^Parameters!B$65*H90+E90*Parameters!B$65-Parameters!$B$5*E90^2/H90*Parameters!B$65</f>
        <v>3.2326711703171589</v>
      </c>
      <c r="I91" s="9">
        <f>I90 *(1-Parameters!$B$4)-C90*(C90&lt;0)*Parameters!B$65</f>
        <v>6.3061012244811066E-4</v>
      </c>
      <c r="J91" s="23">
        <f>J90*(1+Parameters!$B$51)^Parameters!B$65</f>
        <v>10.497939918985427</v>
      </c>
      <c r="K91" s="23">
        <f>K90*(1+Parameters!$B$53)^Parameters!B$65</f>
        <v>50.697633956550632</v>
      </c>
      <c r="L91" s="23">
        <f>J91*K91*EXP(-Parameters!$B$42*'6states'!A91)*(Parameters!$B$37/Parameters!$B$38*('6states'!F91+'6states'!I91)/Parameters!$E$25*(EXP(-Parameters!$B$38*Parameters!$E$25*'6states'!I91/('6states'!F91+'6states'!I91))-EXP(-Parameters!$B$38*Parameters!$E$25))  +  Parameters!$B$39*'6states'!F91)</f>
        <v>4.1171681557160884</v>
      </c>
      <c r="M91" s="8">
        <f>M90+L91*Parameters!B$65</f>
        <v>3576.4718894641283</v>
      </c>
      <c r="N91" s="7">
        <f>M91*Parameters!$B$45</f>
        <v>2.1458831336784767</v>
      </c>
      <c r="O91" s="9">
        <f>EXP(-Parameters!$B$46/2*N91^2)</f>
        <v>0.95477612988040417</v>
      </c>
      <c r="P91" s="8">
        <f>MAX((Parameters!$B$62 + Parameters!$B$31*'6states'!A91 - '6states'!M91 + Parameters!$B$47/Parameters!$B$45)/Parameters!B$62,1)</f>
        <v>68.038562210717444</v>
      </c>
      <c r="Q91" s="7">
        <f>Parameters!B$61*EXP(-Parameters!B$60*A91)</f>
        <v>4.773228953912257E-2</v>
      </c>
      <c r="R91" s="7">
        <f>(1-Parameters!B$61)*P91^-Parameters!B$63</f>
        <v>0.32786457264495267</v>
      </c>
      <c r="S91" s="7">
        <f>Parameters!B$61*EXP(-Parameters!B$60*A91)+(1-Parameters!B$61)*P91^-Parameters!B$63</f>
        <v>0.37559686218407523</v>
      </c>
      <c r="T91" s="7">
        <f>1-S91/Parameters!$B$12</f>
        <v>0.81220156890796236</v>
      </c>
      <c r="U91" s="7">
        <f t="shared" si="102"/>
        <v>5.3248581161464159</v>
      </c>
      <c r="V91" s="7">
        <f>(Parameters!$B$19*(F91+Parameters!$B$20)^T91+Parameters!$B$18*G91^T91)^(1/T91)</f>
        <v>0.34112053402610559</v>
      </c>
      <c r="W91" s="7">
        <f>(Parameters!$B$10*H91^Parameters!$B$9+Parameters!$B$11*V91^Parameters!$B$9)^(Parameters!$B$7/Parameters!$B$9)*O91</f>
        <v>1.320157348411958</v>
      </c>
      <c r="X91" s="7">
        <f>W91 - D91 - E91 - LN(1+EXP(Parameters!$B$21*C91))/Parameters!$B$21 - IF(C91&gt;0, 0,Parameters!$B$6*C91^2/F91)</f>
        <v>1.0063338445545484</v>
      </c>
      <c r="Y91" s="7">
        <f>EXP(-Parameters!$B$55*A91)</f>
        <v>0.26882356681858899</v>
      </c>
      <c r="Z91" s="7">
        <f>IF(X91&gt;0,X91^(1-Parameters!$B$52)/(1-Parameters!$B$52)*Y91*Parameters!$B$65,-10+X91*1000)</f>
        <v>-0.76637189072855338</v>
      </c>
      <c r="AC91">
        <f t="shared" si="103"/>
        <v>0.34220274544747653</v>
      </c>
      <c r="AD91">
        <f t="shared" si="104"/>
        <v>49.007315514850028</v>
      </c>
      <c r="AE91" s="23">
        <f t="shared" si="105"/>
        <v>0.33562377045142844</v>
      </c>
      <c r="AF91" s="23">
        <f t="shared" si="106"/>
        <v>12.077664440624492</v>
      </c>
      <c r="AG91" s="23">
        <f t="shared" si="107"/>
        <v>687.84003129011899</v>
      </c>
      <c r="AH91" s="23">
        <f t="shared" si="108"/>
        <v>181.55141462650232</v>
      </c>
      <c r="AI91" s="23">
        <f t="shared" si="109"/>
        <v>446.81185353343631</v>
      </c>
      <c r="AJ91" s="23">
        <f t="shared" si="110"/>
        <v>702.61508829433603</v>
      </c>
      <c r="AK91" s="23">
        <f t="shared" si="111"/>
        <v>535.59171859007176</v>
      </c>
      <c r="AL91" s="9">
        <f t="shared" si="120"/>
        <v>2.2681695769212418E-2</v>
      </c>
      <c r="AM91" s="9">
        <f t="shared" si="121"/>
        <v>2.0744566458853697E-2</v>
      </c>
      <c r="AN91" s="9">
        <f t="shared" ref="AN91:AO91" si="143">AVERAGE(AL89:AL93)</f>
        <v>2.2647474698349868E-2</v>
      </c>
      <c r="AO91" s="9">
        <f t="shared" si="143"/>
        <v>2.0819569198096487E-2</v>
      </c>
      <c r="AP91" s="23"/>
      <c r="AQ91" s="25">
        <f t="shared" si="100"/>
        <v>702.61508829433615</v>
      </c>
      <c r="AR91" s="4"/>
      <c r="AS91" s="4"/>
      <c r="AT91" s="4"/>
      <c r="AU91" s="16"/>
      <c r="AV91" s="16"/>
      <c r="AX91" s="13">
        <f>1-W91/'6states,ExoDamages'!T91</f>
        <v>9.5643572641885166E-2</v>
      </c>
      <c r="AY91" s="21">
        <f>-Y91*W91*X91^(-Parameters!B$52)*Parameters!B$46*Parameters!B$45*N91</f>
        <v>-9.1063555745863566E-6</v>
      </c>
      <c r="AZ91" s="7">
        <f>1000*EXP(-(Parameters!$B$54)*'6states'!A91)*AQ91*Parameters!B$46*Parameters!B$45*N91</f>
        <v>0.85795752261661384</v>
      </c>
      <c r="BA91" s="7">
        <f>SUM(AZ91:AZ$204)*EXP(Parameters!$B$54*A91)</f>
        <v>1318.3453021200128</v>
      </c>
      <c r="BF91" s="5"/>
      <c r="BG91" s="5"/>
      <c r="BH91" s="5"/>
      <c r="BK91">
        <f>-EXP(-Parameters!B$42*'6states'!A91)*(-Parameters!B$37/Parameters!B$38/Parameters!E$25*(EXP(-Parameters!B$38*Parameters!E$25*'6states'!I91/('6states'!F91+'6states'!I91))-EXP(-Parameters!B$38*Parameters!E$25))+Parameters!B$37*'6states'!F91/('6states'!F91+'6states'!I91)*EXP(-Parameters!B$38*Parameters!E$25*'6states'!I91/('6states'!F91+'6states'!I91)))</f>
        <v>-0.76965353016600724</v>
      </c>
      <c r="BL91">
        <f>-J91*K91*EXP(-Parameters!B$42*'6states'!A91)*(-Parameters!B$37/Parameters!B$38/Parameters!E$25*(EXP(-Parameters!B$38*Parameters!E$25*'6states'!I91/('6states'!F91+'6states'!I91))-EXP(-Parameters!B$38*Parameters!E$25)) + Parameters!B$37*'6states'!F91/('6states'!F91+'6states'!I91)*EXP(-Parameters!B$38*Parameters!E$25*'6states'!I91/('6states'!F91+'6states'!I91)))</f>
        <v>-409.62555236626849</v>
      </c>
      <c r="BM91" s="7">
        <f t="shared" si="101"/>
        <v>2.7037458950801098E-2</v>
      </c>
      <c r="BS91">
        <f>EXP(-Parameters!$B$56*A91)*BF91*BL91</f>
        <v>0</v>
      </c>
      <c r="BT91">
        <f>-EXP((Parameters!$B$56)*F91)*SUM(BS91:BS99)</f>
        <v>0</v>
      </c>
      <c r="BU91">
        <f>X91^-Parameters!B$52/(1-2*Parameters!B$5*'6states'!D91/'6states'!G91)</f>
        <v>1.1562777531903092</v>
      </c>
      <c r="BV91">
        <f t="shared" si="113"/>
        <v>1.0110991876874944</v>
      </c>
      <c r="BW91">
        <f>$X91^-Parameters!$B$52/(1-2*Parameters!$B$5*'6states'!$E91/'6states'!$H91)</f>
        <v>1.1469873008352895</v>
      </c>
      <c r="BX91">
        <f t="shared" si="114"/>
        <v>1.0005159035280584</v>
      </c>
      <c r="BY91" s="7">
        <f>($X91^-Parameters!$B$52*(1/(1+EXP(-C91)) + IF(C91&lt;0,2*Parameters!$B$6*C91/F91,0)) + BQ91*(1/(1+EXP((C91-Parameters!$B$22)*Parameters!$B$21))))/(1-IF(C91&gt;0,2*Parameters!$B$5*C91/F91,0))</f>
        <v>0.52570582089090634</v>
      </c>
      <c r="BZ91">
        <f t="shared" si="115"/>
        <v>1.0017141440165243</v>
      </c>
      <c r="CA91" s="7">
        <f t="shared" si="116"/>
        <v>8.9959345459467155E-4</v>
      </c>
    </row>
    <row r="92" spans="1:82" x14ac:dyDescent="0.25">
      <c r="A92">
        <f>A91+Parameters!$B$65</f>
        <v>88</v>
      </c>
      <c r="B92">
        <v>2113</v>
      </c>
      <c r="C92" s="74">
        <v>6.3464900275234603E-4</v>
      </c>
      <c r="D92" s="69">
        <v>9.2649625805453897E-2</v>
      </c>
      <c r="E92" s="75">
        <v>0.214282692010515</v>
      </c>
      <c r="F92" s="7">
        <f>MAX((1-Parameters!$B$4)^Parameters!B$65*F91 + C91*Parameters!B$65 - IF(C91&gt;0,Parameters!$B$5,0)*C91^2/F91*Parameters!B$65, 0.0001)</f>
        <v>2.1890328484619741E-2</v>
      </c>
      <c r="G92" s="7">
        <f>(1-Parameters!$B$4)^Parameters!B$65*G91+D91*Parameters!B$65-Parameters!$B$5*D91^2/G91*Parameters!B$65</f>
        <v>1.2966247074386854</v>
      </c>
      <c r="H92" s="7">
        <f>(1-Parameters!$B$4)^Parameters!B$65*H91+E91*Parameters!B$65-Parameters!$B$5*E91^2/H91*Parameters!B$65</f>
        <v>3.2335821465098689</v>
      </c>
      <c r="I92" s="9">
        <f>I91 *(1-Parameters!$B$4)-C91*(C91&lt;0)*Parameters!B$65</f>
        <v>5.9094474574612451E-4</v>
      </c>
      <c r="J92" s="23">
        <f>J91*(1+Parameters!$B$51)^Parameters!B$65</f>
        <v>10.528383944750484</v>
      </c>
      <c r="K92" s="23">
        <f>K91*(1+Parameters!$B$53)^Parameters!B$65</f>
        <v>51.711586635681648</v>
      </c>
      <c r="L92" s="23">
        <f>J92*K92*EXP(-Parameters!$B$42*'6states'!A92)*(Parameters!$B$37/Parameters!$B$38*('6states'!F92+'6states'!I92)/Parameters!$E$25*(EXP(-Parameters!$B$38*Parameters!$E$25*'6states'!I92/('6states'!F92+'6states'!I92))-EXP(-Parameters!$B$38*Parameters!$E$25))  +  Parameters!$B$39*'6states'!F92)</f>
        <v>4.0296227171594277</v>
      </c>
      <c r="M92" s="8">
        <f>M91+L92*Parameters!B$65</f>
        <v>3580.5015121812876</v>
      </c>
      <c r="N92" s="7">
        <f>M92*Parameters!$B$45</f>
        <v>2.1483009073087724</v>
      </c>
      <c r="O92" s="9">
        <f>EXP(-Parameters!$B$46/2*N92^2)</f>
        <v>0.95467651109388929</v>
      </c>
      <c r="P92" s="8">
        <f>MAX((Parameters!$B$62 + Parameters!$B$31*'6states'!A92 - '6states'!M92 + Parameters!$B$47/Parameters!$B$45)/Parameters!B$62,1)</f>
        <v>69.021969756374261</v>
      </c>
      <c r="Q92" s="7">
        <f>Parameters!B$61*EXP(-Parameters!B$60*A92)</f>
        <v>4.6460760606599448E-2</v>
      </c>
      <c r="R92" s="7">
        <f>(1-Parameters!B$61)*P92^-Parameters!B$63</f>
        <v>0.32739441717916584</v>
      </c>
      <c r="S92" s="7">
        <f>Parameters!B$61*EXP(-Parameters!B$60*A92)+(1-Parameters!B$61)*P92^-Parameters!B$63</f>
        <v>0.37385517778576527</v>
      </c>
      <c r="T92" s="7">
        <f>1-S92/Parameters!$B$12</f>
        <v>0.81307241110711737</v>
      </c>
      <c r="U92" s="7">
        <f t="shared" si="102"/>
        <v>5.3496651078779065</v>
      </c>
      <c r="V92" s="7">
        <f>(Parameters!$B$19*(F92+Parameters!$B$20)^T92+Parameters!$B$18*G92^T92)^(1/T92)</f>
        <v>0.34160145628205157</v>
      </c>
      <c r="W92" s="7">
        <f>(Parameters!$B$10*H92^Parameters!$B$9+Parameters!$B$11*V92^Parameters!$B$9)^(Parameters!$B$7/Parameters!$B$9)*O92</f>
        <v>1.3202699216282821</v>
      </c>
      <c r="X92" s="7">
        <f>W92 - D92 - E92 - LN(1+EXP(Parameters!$B$21*C92))/Parameters!$B$21 - IF(C92&gt;0, 0,Parameters!$B$6*C92^2/F92)</f>
        <v>1.0106947072419761</v>
      </c>
      <c r="Y92" s="7">
        <f>EXP(-Parameters!$B$55*A92)</f>
        <v>0.26479482451320413</v>
      </c>
      <c r="Z92" s="7">
        <f>IF(X92&gt;0,X92^(1-Parameters!$B$52)/(1-Parameters!$B$52)*Y92*Parameters!$B$65,-10+X92*1000)</f>
        <v>-0.75374501189763565</v>
      </c>
      <c r="AC92">
        <f t="shared" si="103"/>
        <v>0.3455279466984294</v>
      </c>
      <c r="AD92">
        <f t="shared" si="104"/>
        <v>50.442110250078642</v>
      </c>
      <c r="AE92" s="23">
        <f t="shared" si="105"/>
        <v>0.32173362555422214</v>
      </c>
      <c r="AF92" s="23">
        <f t="shared" si="106"/>
        <v>11.917958148586786</v>
      </c>
      <c r="AG92" s="23">
        <f t="shared" si="107"/>
        <v>705.93362765365896</v>
      </c>
      <c r="AH92" s="23">
        <f t="shared" si="108"/>
        <v>185.98130504648344</v>
      </c>
      <c r="AI92" s="23">
        <f t="shared" si="109"/>
        <v>457.71415111990103</v>
      </c>
      <c r="AJ92" s="23">
        <f t="shared" si="110"/>
        <v>718.80701479008223</v>
      </c>
      <c r="AK92" s="23">
        <f t="shared" si="111"/>
        <v>550.26205889834944</v>
      </c>
      <c r="AL92" s="9">
        <f t="shared" si="120"/>
        <v>2.278369934756963E-2</v>
      </c>
      <c r="AM92" s="9">
        <f t="shared" si="121"/>
        <v>2.7022483707587419E-2</v>
      </c>
      <c r="AN92" s="9">
        <f t="shared" ref="AN92:AO92" si="144">AVERAGE(AL90:AL94)</f>
        <v>2.2747901853604802E-2</v>
      </c>
      <c r="AO92" s="9">
        <f t="shared" si="144"/>
        <v>2.2877245039515159E-2</v>
      </c>
      <c r="AP92" s="23"/>
      <c r="AQ92" s="25">
        <f t="shared" si="100"/>
        <v>718.80701479008223</v>
      </c>
      <c r="AR92" s="4"/>
      <c r="AS92" s="4"/>
      <c r="AT92" s="4"/>
      <c r="AU92" s="16"/>
      <c r="AV92" s="16"/>
      <c r="AX92" s="13">
        <f>1-W92/'6states,ExoDamages'!T92</f>
        <v>9.5478014954508583E-2</v>
      </c>
      <c r="AY92" s="21">
        <f>-Y92*W92*X92^(-Parameters!B$52)*Parameters!B$46*Parameters!B$45*N92</f>
        <v>-8.9284825262379634E-6</v>
      </c>
      <c r="AZ92" s="7">
        <f>1000*EXP(-(Parameters!$B$54)*'6states'!A92)*AQ92*Parameters!B$46*Parameters!B$45*N92</f>
        <v>0.84841029669975043</v>
      </c>
      <c r="BA92" s="7">
        <f>SUM(AZ92:AZ$204)*EXP(Parameters!$B$54*A92)</f>
        <v>1346.6081286777685</v>
      </c>
      <c r="BF92" s="5"/>
      <c r="BG92" s="5"/>
      <c r="BH92" s="5"/>
      <c r="BK92">
        <f>-EXP(-Parameters!B$42*'6states'!A92)*(-Parameters!B$37/Parameters!B$38/Parameters!E$25*(EXP(-Parameters!B$38*Parameters!E$25*'6states'!I92/('6states'!F92+'6states'!I92))-EXP(-Parameters!B$38*Parameters!E$25))+Parameters!B$37*'6states'!F92/('6states'!F92+'6states'!I92)*EXP(-Parameters!B$38*Parameters!E$25*'6states'!I92/('6states'!F92+'6states'!I92)))</f>
        <v>-0.78739500296383225</v>
      </c>
      <c r="BL92">
        <f>-J92*K92*EXP(-Parameters!B$42*'6states'!A92)*(-Parameters!B$37/Parameters!B$38/Parameters!E$25*(EXP(-Parameters!B$38*Parameters!E$25*'6states'!I92/('6states'!F92+'6states'!I92))-EXP(-Parameters!B$38*Parameters!E$25)) + Parameters!B$37*'6states'!F92/('6states'!F92+'6states'!I92)*EXP(-Parameters!B$38*Parameters!E$25*'6states'!I92/('6states'!F92+'6states'!I92)))</f>
        <v>-428.68889328557435</v>
      </c>
      <c r="BM92" s="7">
        <f t="shared" si="101"/>
        <v>2.6286088856743429E-2</v>
      </c>
      <c r="BS92">
        <f>EXP(-Parameters!$B$56*A92)*BF92*BL92</f>
        <v>0</v>
      </c>
      <c r="BT92">
        <f>-EXP((Parameters!$B$56)*F92)*SUM(BS92:BS100)</f>
        <v>0</v>
      </c>
      <c r="BU92">
        <f>X92^-Parameters!B$52/(1-2*Parameters!B$5*'6states'!D92/'6states'!G92)</f>
        <v>1.1501011618164858</v>
      </c>
      <c r="BV92">
        <f t="shared" si="113"/>
        <v>0.99465821135381927</v>
      </c>
      <c r="BW92">
        <f>$X92^-Parameters!$B$52/(1-2*Parameters!$B$5*'6states'!$E92/'6states'!$H92)</f>
        <v>1.1363482540532279</v>
      </c>
      <c r="BX92">
        <f t="shared" si="114"/>
        <v>0.99072435520923918</v>
      </c>
      <c r="BY92" s="7">
        <f>($X92^-Parameters!$B$52*(1/(1+EXP(-C92)) + IF(C92&lt;0,2*Parameters!$B$6*C92/F92,0)) + BQ92*(1/(1+EXP((C92-Parameters!$B$22)*Parameters!$B$21))))/(1-IF(C92&gt;0,2*Parameters!$B$5*C92/F92,0))</f>
        <v>0.52337469497414812</v>
      </c>
      <c r="BZ92">
        <f t="shared" si="115"/>
        <v>0.99556572169429725</v>
      </c>
      <c r="CA92" s="7">
        <f t="shared" si="116"/>
        <v>-2.3311259167582143E-3</v>
      </c>
    </row>
    <row r="93" spans="1:82" x14ac:dyDescent="0.25">
      <c r="A93">
        <f>A92+Parameters!$B$65</f>
        <v>89</v>
      </c>
      <c r="B93">
        <v>2114</v>
      </c>
      <c r="C93" s="74">
        <v>6.1966267944583704E-4</v>
      </c>
      <c r="D93" s="69">
        <v>8.9120946256191796E-2</v>
      </c>
      <c r="E93" s="75">
        <v>0.222946566273897</v>
      </c>
      <c r="F93" s="7">
        <f>MAX((1-Parameters!$B$4)^Parameters!B$65*F92 + C92*Parameters!B$65 - IF(C92&gt;0,Parameters!$B$5,0)*C92^2/F92*Parameters!B$65, 0.0001)</f>
        <v>2.1129675948457077E-2</v>
      </c>
      <c r="G93" s="7">
        <f>(1-Parameters!$B$4)^Parameters!B$65*G92+D92*Parameters!B$65-Parameters!$B$5*D92^2/G92*Parameters!B$65</f>
        <v>1.3010964096282946</v>
      </c>
      <c r="H93" s="7">
        <f>(1-Parameters!$B$4)^Parameters!B$65*H92+E92*Parameters!B$65-Parameters!$B$5*E92^2/H92*Parameters!B$65</f>
        <v>3.2302724579175899</v>
      </c>
      <c r="I93" s="9">
        <f>I92 *(1-Parameters!$B$4)-C92*(C92&lt;0)*Parameters!B$65</f>
        <v>5.5377432123869335E-4</v>
      </c>
      <c r="J93" s="23">
        <f>J92*(1+Parameters!$B$51)^Parameters!B$65</f>
        <v>10.558916258190258</v>
      </c>
      <c r="K93" s="23">
        <f>K92*(1+Parameters!$B$53)^Parameters!B$65</f>
        <v>52.745818368395284</v>
      </c>
      <c r="L93" s="23">
        <f>J93*K93*EXP(-Parameters!$B$42*'6states'!A93)*(Parameters!$B$37/Parameters!$B$38*('6states'!F93+'6states'!I93)/Parameters!$E$25*(EXP(-Parameters!$B$38*Parameters!$E$25*'6states'!I93/('6states'!F93+'6states'!I93))-EXP(-Parameters!$B$38*Parameters!$E$25))  +  Parameters!$B$39*'6states'!F93)</f>
        <v>3.9466486053682734</v>
      </c>
      <c r="M93" s="8">
        <f>M92+L93*Parameters!B$65</f>
        <v>3584.448160786656</v>
      </c>
      <c r="N93" s="7">
        <f>M93*Parameters!$B$45</f>
        <v>2.1506688964719936</v>
      </c>
      <c r="O93" s="9">
        <f>EXP(-Parameters!$B$46/2*N93^2)</f>
        <v>0.95457884491682921</v>
      </c>
      <c r="P93" s="8">
        <f>MAX((Parameters!$B$62 + Parameters!$B$31*'6states'!A93 - '6states'!M93 + Parameters!$B$47/Parameters!$B$45)/Parameters!B$62,1)</f>
        <v>70.007036784266887</v>
      </c>
      <c r="Q93" s="7">
        <f>Parameters!B$61*EXP(-Parameters!B$60*A93)</f>
        <v>4.522310362620463E-2</v>
      </c>
      <c r="R93" s="7">
        <f>(1-Parameters!B$61)*P93^-Parameters!B$63</f>
        <v>0.3269307981908407</v>
      </c>
      <c r="S93" s="7">
        <f>Parameters!B$61*EXP(-Parameters!B$60*A93)+(1-Parameters!B$61)*P93^-Parameters!B$63</f>
        <v>0.37215390181704533</v>
      </c>
      <c r="T93" s="7">
        <f>1-S93/Parameters!$B$12</f>
        <v>0.81392304909147728</v>
      </c>
      <c r="U93" s="7">
        <f t="shared" si="102"/>
        <v>5.3741207340161647</v>
      </c>
      <c r="V93" s="7">
        <f>(Parameters!$B$19*(F93+Parameters!$B$20)^T93+Parameters!$B$18*G93^T93)^(1/T93)</f>
        <v>0.3421787418916607</v>
      </c>
      <c r="W93" s="7">
        <f>(Parameters!$B$10*H93^Parameters!$B$9+Parameters!$B$11*V93^Parameters!$B$9)^(Parameters!$B$7/Parameters!$B$9)*O93</f>
        <v>1.3200613934903265</v>
      </c>
      <c r="X93" s="7">
        <f>W93 - D93 - E93 - LN(1+EXP(Parameters!$B$21*C93))/Parameters!$B$21 - IF(C93&gt;0, 0,Parameters!$B$6*C93^2/F93)</f>
        <v>1.0053591803861814</v>
      </c>
      <c r="Y93" s="7">
        <f>EXP(-Parameters!$B$55*A93)</f>
        <v>0.26082645922295711</v>
      </c>
      <c r="Z93" s="7">
        <f>IF(X93&gt;0,X93^(1-Parameters!$B$52)/(1-Parameters!$B$52)*Y93*Parameters!$B$65,-10+X93*1000)</f>
        <v>-0.74382567427080792</v>
      </c>
      <c r="AC93">
        <f t="shared" si="103"/>
        <v>0.34511411419151555</v>
      </c>
      <c r="AD93">
        <f t="shared" si="104"/>
        <v>49.634902089990504</v>
      </c>
      <c r="AE93" s="23">
        <f t="shared" si="105"/>
        <v>0.30841833900213811</v>
      </c>
      <c r="AF93" s="23">
        <f t="shared" si="106"/>
        <v>11.767933813001111</v>
      </c>
      <c r="AG93" s="23">
        <f t="shared" si="107"/>
        <v>724.63091578823776</v>
      </c>
      <c r="AH93" s="23">
        <f t="shared" si="108"/>
        <v>190.57257653263218</v>
      </c>
      <c r="AI93" s="23">
        <f t="shared" si="109"/>
        <v>469.01361979670344</v>
      </c>
      <c r="AJ93" s="23">
        <f t="shared" si="110"/>
        <v>735.19324884992022</v>
      </c>
      <c r="AK93" s="23">
        <f t="shared" si="111"/>
        <v>559.92341396705365</v>
      </c>
      <c r="AL93" s="9">
        <f t="shared" si="120"/>
        <v>2.2540474368979879E-2</v>
      </c>
      <c r="AM93" s="9">
        <f t="shared" si="121"/>
        <v>1.7405378128812821E-2</v>
      </c>
      <c r="AN93" s="9">
        <f t="shared" ref="AN93:AO93" si="145">AVERAGE(AL91:AL95)</f>
        <v>2.2734481225148605E-2</v>
      </c>
      <c r="AO93" s="9">
        <f t="shared" si="145"/>
        <v>2.321678582104365E-2</v>
      </c>
      <c r="AP93" s="23"/>
      <c r="AQ93" s="25">
        <f t="shared" si="100"/>
        <v>735.19324884992022</v>
      </c>
      <c r="AR93" s="4"/>
      <c r="AS93" s="4"/>
      <c r="AT93" s="4"/>
      <c r="AU93" s="16"/>
      <c r="AV93" s="16"/>
      <c r="AX93" s="13">
        <f>1-W93/'6states,ExoDamages'!T93</f>
        <v>9.553437441005419E-2</v>
      </c>
      <c r="AY93" s="21">
        <f>-Y93*W93*X93^(-Parameters!B$52)*Parameters!B$46*Parameters!B$45*N93</f>
        <v>-8.8661066865143299E-6</v>
      </c>
      <c r="AZ93" s="7">
        <f>1000*EXP(-(Parameters!$B$54)*'6states'!A93)*AQ93*Parameters!B$46*Parameters!B$45*N93</f>
        <v>0.83874479948476244</v>
      </c>
      <c r="BA93" s="7">
        <f>SUM(AZ93:AZ$204)*EXP(Parameters!$B$54*A93)</f>
        <v>1375.4248821284134</v>
      </c>
      <c r="BF93" s="5"/>
      <c r="BG93" s="5"/>
      <c r="BH93" s="5"/>
      <c r="BK93">
        <f>-EXP(-Parameters!B$42*'6states'!A93)*(-Parameters!B$37/Parameters!B$38/Parameters!E$25*(EXP(-Parameters!B$38*Parameters!E$25*'6states'!I93/('6states'!F93+'6states'!I93))-EXP(-Parameters!B$38*Parameters!E$25))+Parameters!B$37*'6states'!F93/('6states'!F93+'6states'!I93)*EXP(-Parameters!B$38*Parameters!E$25*'6states'!I93/('6states'!F93+'6states'!I93)))</f>
        <v>-0.80539334196469148</v>
      </c>
      <c r="BL93">
        <f>-J93*K93*EXP(-Parameters!B$42*'6states'!A93)*(-Parameters!B$37/Parameters!B$38/Parameters!E$25*(EXP(-Parameters!B$38*Parameters!E$25*'6states'!I93/('6states'!F93+'6states'!I93))-EXP(-Parameters!B$38*Parameters!E$25)) + Parameters!B$37*'6states'!F93/('6states'!F93+'6states'!I93)*EXP(-Parameters!B$38*Parameters!E$25*'6states'!I93/('6states'!F93+'6states'!I93)))</f>
        <v>-448.55470404714583</v>
      </c>
      <c r="BM93" s="7">
        <f t="shared" si="101"/>
        <v>2.5539031581732822E-2</v>
      </c>
      <c r="BS93">
        <f>EXP(-Parameters!$B$56*A93)*BF93*BL93</f>
        <v>0</v>
      </c>
      <c r="BT93">
        <f>-EXP((Parameters!$B$56)*F93)*SUM(BS93:BS101)</f>
        <v>0</v>
      </c>
      <c r="BU93">
        <f>X93^-Parameters!B$52/(1-2*Parameters!B$5*'6states'!D93/'6states'!G93)</f>
        <v>1.150409086072598</v>
      </c>
      <c r="BV93">
        <f t="shared" si="113"/>
        <v>1.0002677366707688</v>
      </c>
      <c r="BW93">
        <f>$X93^-Parameters!$B$52/(1-2*Parameters!$B$5*'6states'!$E93/'6states'!$H93)</f>
        <v>1.1517999871058255</v>
      </c>
      <c r="BX93">
        <f t="shared" si="114"/>
        <v>1.0135977091507669</v>
      </c>
      <c r="BY93" s="7">
        <f>($X93^-Parameters!$B$52*(1/(1+EXP(-C93)) + IF(C93&lt;0,2*Parameters!$B$6*C93/F93,0)) + BQ93*(1/(1+EXP((C93-Parameters!$B$22)*Parameters!$B$21))))/(1-IF(C93&gt;0,2*Parameters!$B$5*C93/F93,0))</f>
        <v>0.52749853183429785</v>
      </c>
      <c r="BZ93">
        <f t="shared" si="115"/>
        <v>1.0078793203029301</v>
      </c>
      <c r="CA93" s="7">
        <f t="shared" si="116"/>
        <v>4.1238368601497211E-3</v>
      </c>
    </row>
    <row r="94" spans="1:82" x14ac:dyDescent="0.25">
      <c r="A94">
        <f>A93+Parameters!$B$65</f>
        <v>90</v>
      </c>
      <c r="B94">
        <v>2115</v>
      </c>
      <c r="C94" s="74">
        <v>5.9903884139408102E-4</v>
      </c>
      <c r="D94" s="69">
        <v>8.8282205819764703E-2</v>
      </c>
      <c r="E94" s="75">
        <v>0.22412966801195</v>
      </c>
      <c r="F94" s="7">
        <f>MAX((1-Parameters!$B$4)^Parameters!B$65*F93 + C93*Parameters!B$65 - IF(C93&gt;0,Parameters!$B$5,0)*C93^2/F93*Parameters!B$65, 0.0001)</f>
        <v>2.040210937822402E-2</v>
      </c>
      <c r="G94" s="7">
        <f>(1-Parameters!$B$4)^Parameters!B$65*G93+D93*Parameters!B$65-Parameters!$B$5*D93^2/G93*Parameters!B$65</f>
        <v>1.3022738916965602</v>
      </c>
      <c r="H94" s="7">
        <f>(1-Parameters!$B$4)^Parameters!B$65*H93+E93*Parameters!B$65-Parameters!$B$5*E93^2/H93*Parameters!B$65</f>
        <v>3.2346475865817821</v>
      </c>
      <c r="I94" s="9">
        <f>I93 *(1-Parameters!$B$4)-C93*(C93&lt;0)*Parameters!B$65</f>
        <v>5.1894191643277957E-4</v>
      </c>
      <c r="J94" s="23">
        <f>J93*(1+Parameters!$B$51)^Parameters!B$65</f>
        <v>10.589537115339009</v>
      </c>
      <c r="K94" s="23">
        <f>K93*(1+Parameters!$B$53)^Parameters!B$65</f>
        <v>53.800734735763193</v>
      </c>
      <c r="L94" s="23">
        <f>J94*K94*EXP(-Parameters!$B$42*'6states'!A94)*(Parameters!$B$37/Parameters!$B$38*('6states'!F94+'6states'!I94)/Parameters!$E$25*(EXP(-Parameters!$B$38*Parameters!$E$25*'6states'!I94/('6states'!F94+'6states'!I94))-EXP(-Parameters!$B$38*Parameters!$E$25))  +  Parameters!$B$39*'6states'!F94)</f>
        <v>3.8667285453679199</v>
      </c>
      <c r="M94" s="8">
        <f>M93+L94*Parameters!B$65</f>
        <v>3588.314889332024</v>
      </c>
      <c r="N94" s="7">
        <f>M94*Parameters!$B$45</f>
        <v>2.1529889335992141</v>
      </c>
      <c r="O94" s="9">
        <f>EXP(-Parameters!$B$46/2*N94^2)</f>
        <v>0.95448306184806353</v>
      </c>
      <c r="P94" s="8">
        <f>MAX((Parameters!$B$62 + Parameters!$B$31*'6states'!A94 - '6states'!M94 + Parameters!$B$47/Parameters!$B$45)/Parameters!B$62,1)</f>
        <v>70.993702213359526</v>
      </c>
      <c r="Q94" s="7">
        <f>Parameters!B$61*EXP(-Parameters!B$60*A94)</f>
        <v>4.4018416291186274E-2</v>
      </c>
      <c r="R94" s="7">
        <f>(1-Parameters!B$61)*P94^-Parameters!B$63</f>
        <v>0.32647356518700221</v>
      </c>
      <c r="S94" s="7">
        <f>Parameters!B$61*EXP(-Parameters!B$60*A94)+(1-Parameters!B$61)*P94^-Parameters!B$63</f>
        <v>0.37049198147818851</v>
      </c>
      <c r="T94" s="7">
        <f>1-S94/Parameters!$B$12</f>
        <v>0.8147540092609058</v>
      </c>
      <c r="U94" s="7">
        <f t="shared" si="102"/>
        <v>5.3982274920509825</v>
      </c>
      <c r="V94" s="7">
        <f>(Parameters!$B$19*(F94+Parameters!$B$20)^T94+Parameters!$B$18*G94^T94)^(1/T94)</f>
        <v>0.34200422558174071</v>
      </c>
      <c r="W94" s="7">
        <f>(Parameters!$B$10*H94^Parameters!$B$9+Parameters!$B$11*V94^Parameters!$B$9)^(Parameters!$B$7/Parameters!$B$9)*O94</f>
        <v>1.3202370631657017</v>
      </c>
      <c r="X94" s="7">
        <f>W94 - D94 - E94 - LN(1+EXP(Parameters!$B$21*C94))/Parameters!$B$21 - IF(C94&gt;0, 0,Parameters!$B$6*C94^2/F94)</f>
        <v>1.005201740598523</v>
      </c>
      <c r="Y94" s="7">
        <f>EXP(-Parameters!$B$55*A94)</f>
        <v>0.25691756610368538</v>
      </c>
      <c r="Z94" s="7">
        <f>IF(X94&gt;0,X94^(1-Parameters!$B$52)/(1-Parameters!$B$52)*Y94*Parameters!$B$65,-10+X94*1000)</f>
        <v>-0.73271844369563188</v>
      </c>
      <c r="AC94">
        <f t="shared" si="103"/>
        <v>0.34128733042128451</v>
      </c>
      <c r="AD94">
        <f t="shared" si="104"/>
        <v>50.29656887992838</v>
      </c>
      <c r="AE94" s="23">
        <f t="shared" si="105"/>
        <v>0.29565411967424832</v>
      </c>
      <c r="AF94" s="23">
        <f t="shared" si="106"/>
        <v>11.623589262514104</v>
      </c>
      <c r="AG94" s="23">
        <f t="shared" si="107"/>
        <v>741.93783317978955</v>
      </c>
      <c r="AH94" s="23">
        <f t="shared" si="108"/>
        <v>194.84831546140938</v>
      </c>
      <c r="AI94" s="23">
        <f t="shared" si="109"/>
        <v>479.53653882722875</v>
      </c>
      <c r="AJ94" s="23">
        <f t="shared" si="110"/>
        <v>752.1718988412681</v>
      </c>
      <c r="AK94" s="23">
        <f t="shared" si="111"/>
        <v>572.68843834120071</v>
      </c>
      <c r="AL94" s="9">
        <f t="shared" si="120"/>
        <v>2.2831498452229759E-2</v>
      </c>
      <c r="AM94" s="9">
        <f t="shared" si="121"/>
        <v>2.2541817607929282E-2</v>
      </c>
      <c r="AN94" s="9">
        <f t="shared" ref="AN94:AO94" si="146">AVERAGE(AL92:AL96)</f>
        <v>2.2701993382248809E-2</v>
      </c>
      <c r="AO94" s="9">
        <f t="shared" si="146"/>
        <v>2.4055525599287898E-2</v>
      </c>
      <c r="AP94" s="23"/>
      <c r="AQ94" s="25">
        <f t="shared" si="100"/>
        <v>752.1718988412681</v>
      </c>
      <c r="AR94" s="4"/>
      <c r="AS94" s="4"/>
      <c r="AT94" s="4"/>
      <c r="AU94" s="16"/>
      <c r="AV94" s="16"/>
      <c r="AX94" s="13">
        <f>1-W94/'6states,ExoDamages'!T94</f>
        <v>9.5329335453879893E-2</v>
      </c>
      <c r="AY94" s="21">
        <f>-Y94*W94*X94^(-Parameters!B$52)*Parameters!B$46*Parameters!B$45*N94</f>
        <v>-8.7456674990461929E-6</v>
      </c>
      <c r="AZ94" s="7">
        <f>1000*EXP(-(Parameters!$B$54)*'6states'!A94)*AQ94*Parameters!B$46*Parameters!B$45*N94</f>
        <v>0.82941128703035205</v>
      </c>
      <c r="BA94" s="7">
        <f>SUM(AZ94:AZ$204)*EXP(Parameters!$B$54*A94)</f>
        <v>1404.8096098164281</v>
      </c>
      <c r="BF94" s="5"/>
      <c r="BG94" s="5"/>
      <c r="BH94" s="5"/>
      <c r="BK94">
        <f>-EXP(-Parameters!B$42*'6states'!A94)*(-Parameters!B$37/Parameters!B$38/Parameters!E$25*(EXP(-Parameters!B$38*Parameters!E$25*'6states'!I94/('6states'!F94+'6states'!I94))-EXP(-Parameters!B$38*Parameters!E$25))+Parameters!B$37*'6states'!F94/('6states'!F94+'6states'!I94)*EXP(-Parameters!B$38*Parameters!E$25*'6states'!I94/('6states'!F94+'6states'!I94)))</f>
        <v>-0.82334263104356642</v>
      </c>
      <c r="BL94">
        <f>-J94*K94*EXP(-Parameters!B$42*'6states'!A94)*(-Parameters!B$37/Parameters!B$38/Parameters!E$25*(EXP(-Parameters!B$38*Parameters!E$25*'6states'!I94/('6states'!F94+'6states'!I94))-EXP(-Parameters!B$38*Parameters!E$25)) + Parameters!B$37*'6states'!F94/('6states'!F94+'6states'!I94)*EXP(-Parameters!B$38*Parameters!E$25*'6states'!I94/('6states'!F94+'6states'!I94)))</f>
        <v>-469.07877946104725</v>
      </c>
      <c r="BM94" s="7">
        <f t="shared" si="101"/>
        <v>2.4804772433463535E-2</v>
      </c>
      <c r="BS94">
        <f>EXP(-Parameters!$B$56*A94)*BF94*BL94</f>
        <v>0</v>
      </c>
      <c r="BT94">
        <f>-EXP((Parameters!$B$56)*F94)*SUM(BS94:BS102)</f>
        <v>0</v>
      </c>
      <c r="BU94">
        <f>X94^-Parameters!B$52/(1-2*Parameters!B$5*'6states'!D94/'6states'!G94)</f>
        <v>1.1487728083856326</v>
      </c>
      <c r="BV94">
        <f t="shared" si="113"/>
        <v>0.9985776558036833</v>
      </c>
      <c r="BW94">
        <f>$X94^-Parameters!$B$52/(1-2*Parameters!$B$5*'6states'!$E94/'6states'!$H94)</f>
        <v>1.1527721562967326</v>
      </c>
      <c r="BX94">
        <f t="shared" si="114"/>
        <v>1.0008440434118686</v>
      </c>
      <c r="BY94" s="7">
        <f>($X94^-Parameters!$B$52*(1/(1+EXP(-C94)) + IF(C94&lt;0,2*Parameters!$B$6*C94/F94,0)) + BQ94*(1/(1+EXP((C94-Parameters!$B$22)*Parameters!$B$21))))/(1-IF(C94&gt;0,2*Parameters!$B$5*C94/F94,0))</f>
        <v>0.52764382360921713</v>
      </c>
      <c r="BZ94">
        <f t="shared" si="115"/>
        <v>1.0002754354110031</v>
      </c>
      <c r="CA94" s="7">
        <f t="shared" si="116"/>
        <v>1.4529177491928724E-4</v>
      </c>
    </row>
    <row r="95" spans="1:82" x14ac:dyDescent="0.25">
      <c r="A95">
        <f>A94+Parameters!$B$65</f>
        <v>91</v>
      </c>
      <c r="B95">
        <v>2116</v>
      </c>
      <c r="C95" s="74">
        <v>5.8311985844872302E-4</v>
      </c>
      <c r="D95" s="69">
        <v>9.0149965681377106E-2</v>
      </c>
      <c r="E95" s="75">
        <v>0.21673398948663</v>
      </c>
      <c r="F95" s="7">
        <f>MAX((1-Parameters!$B$4)^Parameters!B$65*F94 + C94*Parameters!B$65 - IF(C94&gt;0,Parameters!$B$5,0)*C94^2/F94*Parameters!B$65, 0.0001)</f>
        <v>1.9700266793052347E-2</v>
      </c>
      <c r="G95" s="7">
        <f>(1-Parameters!$B$4)^Parameters!B$65*G94+D94*Parameters!B$65-Parameters!$B$5*D94^2/G94*Parameters!B$65</f>
        <v>1.3026583472258435</v>
      </c>
      <c r="H95" s="7">
        <f>(1-Parameters!$B$4)^Parameters!B$65*H94+E94*Parameters!B$65-Parameters!$B$5*E94^2/H94*Parameters!B$65</f>
        <v>3.2397879117943638</v>
      </c>
      <c r="I95" s="9">
        <f>I94 *(1-Parameters!$B$4)-C94*(C94&lt;0)*Parameters!B$65</f>
        <v>4.8630046988915775E-4</v>
      </c>
      <c r="J95" s="23">
        <f>J94*(1+Parameters!$B$51)^Parameters!B$65</f>
        <v>10.620246772973491</v>
      </c>
      <c r="K95" s="23">
        <f>K94*(1+Parameters!$B$53)^Parameters!B$65</f>
        <v>54.876749430478455</v>
      </c>
      <c r="L95" s="23">
        <f>J95*K95*EXP(-Parameters!$B$42*'6states'!A95)*(Parameters!$B$37/Parameters!$B$38*('6states'!F95+'6states'!I95)/Parameters!$E$25*(EXP(-Parameters!$B$38*Parameters!$E$25*'6states'!I95/('6states'!F95+'6states'!I95))-EXP(-Parameters!$B$38*Parameters!$E$25))  +  Parameters!$B$39*'6states'!F95)</f>
        <v>3.7885625535133509</v>
      </c>
      <c r="M95" s="8">
        <f>M94+L95*Parameters!B$65</f>
        <v>3592.1034518855372</v>
      </c>
      <c r="N95" s="7">
        <f>M95*Parameters!$B$45</f>
        <v>2.1552620711313222</v>
      </c>
      <c r="O95" s="9">
        <f>EXP(-Parameters!$B$46/2*N95^2)</f>
        <v>0.95438912421212874</v>
      </c>
      <c r="P95" s="8">
        <f>MAX((Parameters!$B$62 + Parameters!$B$31*'6states'!A95 - '6states'!M95 + Parameters!$B$47/Parameters!$B$45)/Parameters!B$62,1)</f>
        <v>71.981930962289255</v>
      </c>
      <c r="Q95" s="7">
        <f>Parameters!B$61*EXP(-Parameters!B$60*A95)</f>
        <v>4.2845820331124176E-2</v>
      </c>
      <c r="R95" s="7">
        <f>(1-Parameters!B$61)*P95^-Parameters!B$63</f>
        <v>0.32602256134631796</v>
      </c>
      <c r="S95" s="7">
        <f>Parameters!B$61*EXP(-Parameters!B$60*A95)+(1-Parameters!B$61)*P95^-Parameters!B$63</f>
        <v>0.36886838167744213</v>
      </c>
      <c r="T95" s="7">
        <f>1-S95/Parameters!$B$12</f>
        <v>0.81556580916127897</v>
      </c>
      <c r="U95" s="7">
        <f t="shared" si="102"/>
        <v>5.4219881652770807</v>
      </c>
      <c r="V95" s="7">
        <f>(Parameters!$B$19*(F95+Parameters!$B$20)^T95+Parameters!$B$18*G95^T95)^(1/T95)</f>
        <v>0.34166190757704434</v>
      </c>
      <c r="W95" s="7">
        <f>(Parameters!$B$10*H95^Parameters!$B$9+Parameters!$B$11*V95^Parameters!$B$9)^(Parameters!$B$7/Parameters!$B$9)*O95</f>
        <v>1.3204174301388609</v>
      </c>
      <c r="X95" s="7">
        <f>W95 - D95 - E95 - LN(1+EXP(Parameters!$B$21*C95))/Parameters!$B$21 - IF(C95&gt;0, 0,Parameters!$B$6*C95^2/F95)</f>
        <v>1.0109186895868203</v>
      </c>
      <c r="Y95" s="7">
        <f>EXP(-Parameters!$B$55*A95)</f>
        <v>0.2530672538717339</v>
      </c>
      <c r="Z95" s="7">
        <f>IF(X95&gt;0,X95^(1-Parameters!$B$52)/(1-Parameters!$B$52)*Y95*Parameters!$B$65,-10+X95*1000)</f>
        <v>-0.72030632621353763</v>
      </c>
      <c r="AC95">
        <f t="shared" si="103"/>
        <v>0.33984494813012056</v>
      </c>
      <c r="AD95">
        <f t="shared" si="104"/>
        <v>52.539816586633769</v>
      </c>
      <c r="AE95" s="23">
        <f t="shared" si="105"/>
        <v>0.28341816107034007</v>
      </c>
      <c r="AF95" s="23">
        <f t="shared" si="106"/>
        <v>11.481406522914952</v>
      </c>
      <c r="AG95" s="23">
        <f t="shared" si="107"/>
        <v>759.19530441298571</v>
      </c>
      <c r="AH95" s="23">
        <f t="shared" si="108"/>
        <v>199.12213857276663</v>
      </c>
      <c r="AI95" s="23">
        <f t="shared" si="109"/>
        <v>490.05474288522572</v>
      </c>
      <c r="AJ95" s="23">
        <f t="shared" si="110"/>
        <v>769.54538000030789</v>
      </c>
      <c r="AK95" s="23">
        <f t="shared" si="111"/>
        <v>589.16808379732652</v>
      </c>
      <c r="AL95" s="9">
        <f t="shared" si="120"/>
        <v>2.2835038187751344E-2</v>
      </c>
      <c r="AM95" s="9">
        <f t="shared" si="121"/>
        <v>2.8369683202035034E-2</v>
      </c>
      <c r="AN95" s="9">
        <f t="shared" ref="AN95:AO95" si="147">AVERAGE(AL93:AL97)</f>
        <v>2.2623040528307038E-2</v>
      </c>
      <c r="AO95" s="9">
        <f t="shared" si="147"/>
        <v>2.3050155803304405E-2</v>
      </c>
      <c r="AP95" s="23"/>
      <c r="AQ95" s="25">
        <f t="shared" si="100"/>
        <v>769.54538000030789</v>
      </c>
      <c r="AR95" s="4"/>
      <c r="AS95" s="4"/>
      <c r="AT95" s="4"/>
      <c r="AU95" s="16"/>
      <c r="AV95" s="16"/>
      <c r="AX95" s="13">
        <f>1-W95/'6states,ExoDamages'!T95</f>
        <v>9.5088626818325195E-2</v>
      </c>
      <c r="AY95" s="21">
        <f>-Y95*W95*X95^(-Parameters!B$52)*Parameters!B$46*Parameters!B$45*N95</f>
        <v>-8.5590919147865243E-6</v>
      </c>
      <c r="AZ95" s="7">
        <f>1000*EXP(-(Parameters!$B$54)*'6states'!A95)*AQ95*Parameters!B$46*Parameters!B$45*N95</f>
        <v>0.82016574107337181</v>
      </c>
      <c r="BA95" s="7">
        <f>SUM(AZ95:AZ$204)*EXP(Parameters!$B$54*A95)</f>
        <v>1434.7661508536496</v>
      </c>
      <c r="BF95" s="5"/>
      <c r="BG95" s="5"/>
      <c r="BH95" s="5"/>
      <c r="BK95">
        <f>-EXP(-Parameters!B$42*'6states'!A95)*(-Parameters!B$37/Parameters!B$38/Parameters!E$25*(EXP(-Parameters!B$38*Parameters!E$25*'6states'!I95/('6states'!F95+'6states'!I95))-EXP(-Parameters!B$38*Parameters!E$25))+Parameters!B$37*'6states'!F95/('6states'!F95+'6states'!I95)*EXP(-Parameters!B$38*Parameters!E$25*'6states'!I95/('6states'!F95+'6states'!I95)))</f>
        <v>-0.84096499979478301</v>
      </c>
      <c r="BL95">
        <f>-J95*K95*EXP(-Parameters!B$42*'6states'!A95)*(-Parameters!B$37/Parameters!B$38/Parameters!E$25*(EXP(-Parameters!B$38*Parameters!E$25*'6states'!I95/('6states'!F95+'6states'!I95))-EXP(-Parameters!B$38*Parameters!E$25)) + Parameters!B$37*'6states'!F95/('6states'!F95+'6states'!I95)*EXP(-Parameters!B$38*Parameters!E$25*'6states'!I95/('6states'!F95+'6states'!I95)))</f>
        <v>-490.11828802197567</v>
      </c>
      <c r="BM95" s="7">
        <f t="shared" si="101"/>
        <v>2.4090300423782702E-2</v>
      </c>
      <c r="BS95">
        <f>EXP(-Parameters!$B$56*A95)*BF95*BL95</f>
        <v>0</v>
      </c>
      <c r="BT95">
        <f>-EXP((Parameters!$B$56)*F95)*SUM(BS95:BS103)</f>
        <v>0</v>
      </c>
      <c r="BU95">
        <f>X95^-Parameters!B$52/(1-2*Parameters!B$5*'6states'!D95/'6states'!G95)</f>
        <v>1.1437524952624449</v>
      </c>
      <c r="BV95">
        <f t="shared" si="113"/>
        <v>0.99562984683608358</v>
      </c>
      <c r="BW95">
        <f>$X95^-Parameters!$B$52/(1-2*Parameters!$B$5*'6states'!$E95/'6states'!$H95)</f>
        <v>1.1376600165160979</v>
      </c>
      <c r="BX95">
        <f t="shared" si="114"/>
        <v>0.98689060999774469</v>
      </c>
      <c r="BY95" s="7">
        <f>($X95^-Parameters!$B$52*(1/(1+EXP(-C95)) + IF(C95&lt;0,2*Parameters!$B$6*C95/F95,0)) + BQ95*(1/(1+EXP((C95-Parameters!$B$22)*Parameters!$B$21))))/(1-IF(C95&gt;0,2*Parameters!$B$5*C95/F95,0))</f>
        <v>0.52388024089536889</v>
      </c>
      <c r="BZ95">
        <f t="shared" si="115"/>
        <v>0.99286719081045172</v>
      </c>
      <c r="CA95" s="7">
        <f t="shared" si="116"/>
        <v>-3.7635827138482458E-3</v>
      </c>
    </row>
    <row r="96" spans="1:82" x14ac:dyDescent="0.25">
      <c r="A96">
        <f>A95+Parameters!$B$65</f>
        <v>92</v>
      </c>
      <c r="B96">
        <v>2117</v>
      </c>
      <c r="C96" s="74">
        <v>5.7476349393810195E-4</v>
      </c>
      <c r="D96" s="69">
        <v>9.0127276800534506E-2</v>
      </c>
      <c r="E96" s="75">
        <v>0.21425782667559901</v>
      </c>
      <c r="F96" s="7">
        <f>MAX((1-Parameters!$B$4)^Parameters!B$65*F95 + C95*Parameters!B$65 - IF(C95&gt;0,Parameters!$B$5,0)*C95^2/F95*Parameters!B$65, 0.0001)</f>
        <v>1.902697976034803E-2</v>
      </c>
      <c r="G96" s="7">
        <f>(1-Parameters!$B$4)^Parameters!B$65*G95+D95*Parameters!B$65-Parameters!$B$5*D95^2/G95*Parameters!B$65</f>
        <v>1.3046323094565619</v>
      </c>
      <c r="H96" s="7">
        <f>(1-Parameters!$B$4)^Parameters!B$65*H95+E95*Parameters!B$65-Parameters!$B$5*E95^2/H95*Parameters!B$65</f>
        <v>3.2382402609928391</v>
      </c>
      <c r="I96" s="9">
        <f>I95 *(1-Parameters!$B$4)-C95*(C95&lt;0)*Parameters!B$65</f>
        <v>4.5571217033312975E-4</v>
      </c>
      <c r="J96" s="23">
        <f>J95*(1+Parameters!$B$51)^Parameters!B$65</f>
        <v>10.651045488615113</v>
      </c>
      <c r="K96" s="23">
        <f>K95*(1+Parameters!$B$53)^Parameters!B$65</f>
        <v>55.974284419088022</v>
      </c>
      <c r="L96" s="23">
        <f>J96*K96*EXP(-Parameters!$B$42*'6states'!A96)*(Parameters!$B$37/Parameters!$B$38*('6states'!F96+'6states'!I96)/Parameters!$E$25*(EXP(-Parameters!$B$38*Parameters!$E$25*'6states'!I96/('6states'!F96+'6states'!I96))-EXP(-Parameters!$B$38*Parameters!$E$25))  +  Parameters!$B$39*'6states'!F96)</f>
        <v>3.7128839322814886</v>
      </c>
      <c r="M96" s="8">
        <f>M95+L96*Parameters!B$65</f>
        <v>3595.8163358178185</v>
      </c>
      <c r="N96" s="7">
        <f>M96*Parameters!$B$45</f>
        <v>2.1574898014906911</v>
      </c>
      <c r="O96" s="9">
        <f>EXP(-Parameters!$B$46/2*N96^2)</f>
        <v>0.95429697583896</v>
      </c>
      <c r="P96" s="8">
        <f>MAX((Parameters!$B$62 + Parameters!$B$31*'6states'!A96 - '6states'!M96 + Parameters!$B$47/Parameters!$B$45)/Parameters!B$62,1)</f>
        <v>72.971673283643639</v>
      </c>
      <c r="Q96" s="7">
        <f>Parameters!B$61*EXP(-Parameters!B$60*A96)</f>
        <v>4.1704460871631696E-2</v>
      </c>
      <c r="R96" s="7">
        <f>(1-Parameters!B$61)*P96^-Parameters!B$63</f>
        <v>0.32557764228144692</v>
      </c>
      <c r="S96" s="7">
        <f>Parameters!B$61*EXP(-Parameters!B$60*A96)+(1-Parameters!B$61)*P96^-Parameters!B$63</f>
        <v>0.36728210315307863</v>
      </c>
      <c r="T96" s="7">
        <f>1-S96/Parameters!$B$12</f>
        <v>0.81635894842346068</v>
      </c>
      <c r="U96" s="7">
        <f t="shared" si="102"/>
        <v>5.4454055420348775</v>
      </c>
      <c r="V96" s="7">
        <f>(Parameters!$B$19*(F96+Parameters!$B$20)^T96+Parameters!$B$18*G96^T96)^(1/T96)</f>
        <v>0.34172067760392028</v>
      </c>
      <c r="W96" s="7">
        <f>(Parameters!$B$10*H96^Parameters!$B$9+Parameters!$B$11*V96^Parameters!$B$9)^(Parameters!$B$7/Parameters!$B$9)*O96</f>
        <v>1.3201808670532778</v>
      </c>
      <c r="X96" s="7">
        <f>W96 - D96 - E96 - LN(1+EXP(Parameters!$B$21*C96))/Parameters!$B$21 - IF(C96&gt;0, 0,Parameters!$B$6*C96^2/F96)</f>
        <v>1.013185518304534</v>
      </c>
      <c r="Y96" s="7">
        <f>EXP(-Parameters!$B$55*A96)</f>
        <v>0.24927464460072962</v>
      </c>
      <c r="Z96" s="7">
        <f>IF(X96&gt;0,X96^(1-Parameters!$B$52)/(1-Parameters!$B$52)*Y96*Parameters!$B$65,-10+X96*1000)</f>
        <v>-0.70895540944507196</v>
      </c>
      <c r="AC96">
        <f t="shared" si="103"/>
        <v>0.34266517220209547</v>
      </c>
      <c r="AD96">
        <f t="shared" si="104"/>
        <v>53.732498933356084</v>
      </c>
      <c r="AE96" s="23">
        <f t="shared" si="105"/>
        <v>0.27168860056134597</v>
      </c>
      <c r="AF96" s="23">
        <f t="shared" si="106"/>
        <v>11.343593260235121</v>
      </c>
      <c r="AG96" s="23">
        <f t="shared" si="107"/>
        <v>777.80175619242561</v>
      </c>
      <c r="AH96" s="23">
        <f t="shared" si="108"/>
        <v>203.72862241799666</v>
      </c>
      <c r="AI96" s="23">
        <f t="shared" si="109"/>
        <v>501.39165033589677</v>
      </c>
      <c r="AJ96" s="23">
        <f t="shared" si="110"/>
        <v>787.07156755408221</v>
      </c>
      <c r="AK96" s="23">
        <f t="shared" si="111"/>
        <v>604.04565314978367</v>
      </c>
      <c r="AL96" s="9">
        <f t="shared" si="120"/>
        <v>2.2519256554713429E-2</v>
      </c>
      <c r="AM96" s="9">
        <f t="shared" si="121"/>
        <v>2.4938265350074929E-2</v>
      </c>
      <c r="AN96" s="9">
        <f t="shared" ref="AN96:AO96" si="148">AVERAGE(AL94:AL98)</f>
        <v>2.2599418578316311E-2</v>
      </c>
      <c r="AO96" s="9">
        <f t="shared" si="148"/>
        <v>2.3297102712122708E-2</v>
      </c>
      <c r="AP96" s="23"/>
      <c r="AQ96" s="25">
        <f t="shared" si="100"/>
        <v>787.07156755408209</v>
      </c>
      <c r="AR96" s="4"/>
      <c r="AS96" s="4"/>
      <c r="AT96" s="4"/>
      <c r="AU96" s="16"/>
      <c r="AV96" s="16"/>
      <c r="AX96" s="13">
        <f>1-W96/'6states,ExoDamages'!T96</f>
        <v>9.5137370389756115E-2</v>
      </c>
      <c r="AY96" s="21">
        <f>-Y96*W96*X96^(-Parameters!B$52)*Parameters!B$46*Parameters!B$45*N96</f>
        <v>-8.4125466379760852E-6</v>
      </c>
      <c r="AZ96" s="7">
        <f>1000*EXP(-(Parameters!$B$54)*'6states'!A96)*AQ96*Parameters!B$46*Parameters!B$45*N96</f>
        <v>0.81074922535083005</v>
      </c>
      <c r="BA96" s="7">
        <f>SUM(AZ96:AZ$204)*EXP(Parameters!$B$54*A96)</f>
        <v>1465.3037695628061</v>
      </c>
      <c r="BF96" s="5"/>
      <c r="BG96" s="5"/>
      <c r="BH96" s="5"/>
      <c r="BK96">
        <f>-EXP(-Parameters!B$42*'6states'!A96)*(-Parameters!B$37/Parameters!B$38/Parameters!E$25*(EXP(-Parameters!B$38*Parameters!E$25*'6states'!I96/('6states'!F96+'6states'!I96))-EXP(-Parameters!B$38*Parameters!E$25))+Parameters!B$37*'6states'!F96/('6states'!F96+'6states'!I96)*EXP(-Parameters!B$38*Parameters!E$25*'6states'!I96/('6states'!F96+'6states'!I96)))</f>
        <v>-0.85840996833710725</v>
      </c>
      <c r="BL96">
        <f>-J96*K96*EXP(-Parameters!B$42*'6states'!A96)*(-Parameters!B$37/Parameters!B$38/Parameters!E$25*(EXP(-Parameters!B$38*Parameters!E$25*'6states'!I96/('6states'!F96+'6states'!I96))-EXP(-Parameters!B$38*Parameters!E$25)) + Parameters!B$37*'6states'!F96/('6states'!F96+'6states'!I96)*EXP(-Parameters!B$38*Parameters!E$25*'6states'!I96/('6states'!F96+'6states'!I96)))</f>
        <v>-511.77084613503274</v>
      </c>
      <c r="BM96" s="7">
        <f t="shared" si="101"/>
        <v>2.339061624310132E-2</v>
      </c>
      <c r="BS96">
        <f>EXP(-Parameters!$B$56*A96)*BF96*BL96</f>
        <v>0</v>
      </c>
      <c r="BT96">
        <f>-EXP((Parameters!$B$56)*F96)*SUM(BS96:BS104)</f>
        <v>0</v>
      </c>
      <c r="BU96">
        <f>X96^-Parameters!B$52/(1-2*Parameters!B$5*'6states'!D96/'6states'!G96)</f>
        <v>1.1399761624048561</v>
      </c>
      <c r="BV96">
        <f t="shared" si="113"/>
        <v>0.99669829541510879</v>
      </c>
      <c r="BW96">
        <f>$X96^-Parameters!$B$52/(1-2*Parameters!$B$5*'6states'!$E96/'6states'!$H96)</f>
        <v>1.1323096238309744</v>
      </c>
      <c r="BX96">
        <f t="shared" si="114"/>
        <v>0.99529701966541095</v>
      </c>
      <c r="BY96" s="7">
        <f>($X96^-Parameters!$B$52*(1/(1+EXP(-C96)) + IF(C96&lt;0,2*Parameters!$B$6*C96/F96,0)) + BQ96*(1/(1+EXP((C96-Parameters!$B$22)*Parameters!$B$21))))/(1-IF(C96&gt;0,2*Parameters!$B$5*C96/F96,0))</f>
        <v>0.52297255357896222</v>
      </c>
      <c r="BZ96">
        <f t="shared" si="115"/>
        <v>0.9982673763094112</v>
      </c>
      <c r="CA96" s="7">
        <f t="shared" si="116"/>
        <v>-9.07687316406669E-4</v>
      </c>
    </row>
    <row r="97" spans="1:79" x14ac:dyDescent="0.25">
      <c r="A97">
        <f>A96+Parameters!$B$65</f>
        <v>93</v>
      </c>
      <c r="B97">
        <v>2118</v>
      </c>
      <c r="C97" s="74">
        <v>5.7071053307984501E-4</v>
      </c>
      <c r="D97" s="69">
        <v>9.0037070393954394E-2</v>
      </c>
      <c r="E97" s="75">
        <v>0.21465351888709899</v>
      </c>
      <c r="F97" s="7">
        <f>MAX((1-Parameters!$B$4)^Parameters!B$65*F96 + C96*Parameters!B$65 - IF(C96&gt;0,Parameters!$B$5,0)*C96^2/F96*Parameters!B$65, 0.0001)</f>
        <v>1.8387583877784802E-2</v>
      </c>
      <c r="G97" s="7">
        <f>(1-Parameters!$B$4)^Parameters!B$65*G96+D96*Parameters!B$65-Parameters!$B$5*D96^2/G96*Parameters!B$65</f>
        <v>1.3064719953369524</v>
      </c>
      <c r="H97" s="7">
        <f>(1-Parameters!$B$4)^Parameters!B$65*H96+E96*Parameters!B$65-Parameters!$B$5*E96^2/H96*Parameters!B$65</f>
        <v>3.2346364286588316</v>
      </c>
      <c r="I97" s="9">
        <f>I96 *(1-Parameters!$B$4)-C96*(C96&lt;0)*Parameters!B$65</f>
        <v>4.2704787481917593E-4</v>
      </c>
      <c r="J97" s="23">
        <f>J96*(1+Parameters!$B$51)^Parameters!B$65</f>
        <v>10.681933520532095</v>
      </c>
      <c r="K97" s="23">
        <f>K96*(1+Parameters!$B$53)^Parameters!B$65</f>
        <v>57.09377010746978</v>
      </c>
      <c r="L97" s="23">
        <f>J97*K97*EXP(-Parameters!$B$42*'6states'!A97)*(Parameters!$B$37/Parameters!$B$38*('6states'!F97+'6states'!I97)/Parameters!$E$25*(EXP(-Parameters!$B$38*Parameters!$E$25*'6states'!I97/('6states'!F97+'6states'!I97))-EXP(-Parameters!$B$38*Parameters!$E$25))  +  Parameters!$B$39*'6states'!F97)</f>
        <v>3.6409927493033081</v>
      </c>
      <c r="M97" s="8">
        <f>M96+L97*Parameters!B$65</f>
        <v>3599.4573285671217</v>
      </c>
      <c r="N97" s="7">
        <f>M97*Parameters!$B$45</f>
        <v>2.159674397140273</v>
      </c>
      <c r="O97" s="9">
        <f>EXP(-Parameters!$B$46/2*N97^2)</f>
        <v>0.95420652790339922</v>
      </c>
      <c r="P97" s="8">
        <f>MAX((Parameters!$B$62 + Parameters!$B$31*'6states'!A97 - '6states'!M97 + Parameters!$B$47/Parameters!$B$45)/Parameters!B$62,1)</f>
        <v>73.962853428657567</v>
      </c>
      <c r="Q97" s="7">
        <f>Parameters!B$61*EXP(-Parameters!B$60*A97)</f>
        <v>4.0593505811114546E-2</v>
      </c>
      <c r="R97" s="7">
        <f>(1-Parameters!B$61)*P97^-Parameters!B$63</f>
        <v>0.32513868024918546</v>
      </c>
      <c r="S97" s="7">
        <f>Parameters!B$61*EXP(-Parameters!B$60*A97)+(1-Parameters!B$61)*P97^-Parameters!B$63</f>
        <v>0.3657321860603</v>
      </c>
      <c r="T97" s="7">
        <f>1-S97/Parameters!$B$12</f>
        <v>0.81713390696985</v>
      </c>
      <c r="U97" s="7">
        <f t="shared" si="102"/>
        <v>5.4684823382491432</v>
      </c>
      <c r="V97" s="7">
        <f>(Parameters!$B$19*(F97+Parameters!$B$20)^T97+Parameters!$B$18*G97^T97)^(1/T97)</f>
        <v>0.34177772212194313</v>
      </c>
      <c r="W97" s="7">
        <f>(Parameters!$B$10*H97^Parameters!$B$9+Parameters!$B$11*V97^Parameters!$B$9)^(Parameters!$B$7/Parameters!$B$9)*O97</f>
        <v>1.3197723404615123</v>
      </c>
      <c r="X97" s="7">
        <f>W97 - D97 - E97 - LN(1+EXP(Parameters!$B$21*C97))/Parameters!$B$21 - IF(C97&gt;0, 0,Parameters!$B$6*C97^2/F97)</f>
        <v>1.012473706057273</v>
      </c>
      <c r="Y97" s="7">
        <f>EXP(-Parameters!$B$55*A97)</f>
        <v>0.24553887352140147</v>
      </c>
      <c r="Z97" s="7">
        <f>IF(X97&gt;0,X97^(1-Parameters!$B$52)/(1-Parameters!$B$52)*Y97*Parameters!$B$65,-10+X97*1000)</f>
        <v>-0.69850239737239928</v>
      </c>
      <c r="AC97">
        <f t="shared" si="103"/>
        <v>0.3480602924616541</v>
      </c>
      <c r="AD97">
        <f t="shared" si="104"/>
        <v>54.9110752951986</v>
      </c>
      <c r="AE97" s="23">
        <f t="shared" si="105"/>
        <v>0.26044448032623752</v>
      </c>
      <c r="AF97" s="23">
        <f t="shared" si="106"/>
        <v>11.214069920222737</v>
      </c>
      <c r="AG97" s="23">
        <f t="shared" si="107"/>
        <v>796.78050155475478</v>
      </c>
      <c r="AH97" s="23">
        <f t="shared" si="108"/>
        <v>208.44061397759154</v>
      </c>
      <c r="AI97" s="23">
        <f t="shared" si="109"/>
        <v>512.98822030428721</v>
      </c>
      <c r="AJ97" s="23">
        <f t="shared" si="110"/>
        <v>804.89200773094728</v>
      </c>
      <c r="AK97" s="23">
        <f t="shared" si="111"/>
        <v>617.47921899791993</v>
      </c>
      <c r="AL97" s="9">
        <f t="shared" si="120"/>
        <v>2.2388935077860772E-2</v>
      </c>
      <c r="AM97" s="9">
        <f t="shared" si="121"/>
        <v>2.1995634727669966E-2</v>
      </c>
      <c r="AN97" s="9">
        <f t="shared" ref="AN97:AO97" si="149">AVERAGE(AL95:AL99)</f>
        <v>2.256173233880503E-2</v>
      </c>
      <c r="AO97" s="9">
        <f t="shared" si="149"/>
        <v>2.3279577213599544E-2</v>
      </c>
      <c r="AP97" s="23"/>
      <c r="AQ97" s="25">
        <f t="shared" si="100"/>
        <v>804.89200773094728</v>
      </c>
      <c r="AR97" s="4"/>
      <c r="AS97" s="4"/>
      <c r="AT97" s="4"/>
      <c r="AU97" s="16"/>
      <c r="AV97" s="16"/>
      <c r="AX97" s="13">
        <f>1-W97/'6states,ExoDamages'!T97</f>
        <v>9.5307539323169155E-2</v>
      </c>
      <c r="AY97" s="21">
        <f>-Y97*W97*X97^(-Parameters!B$52)*Parameters!B$46*Parameters!B$45*N97</f>
        <v>-8.3001664514378823E-6</v>
      </c>
      <c r="AZ97" s="7">
        <f>1000*EXP(-(Parameters!$B$54)*'6states'!A97)*AQ97*Parameters!B$46*Parameters!B$45*N97</f>
        <v>0.80131952576824073</v>
      </c>
      <c r="BA97" s="7">
        <f>SUM(AZ97:AZ$204)*EXP(Parameters!$B$54*A97)</f>
        <v>1496.4385684205272</v>
      </c>
      <c r="BF97" s="5"/>
      <c r="BG97" s="5"/>
      <c r="BH97" s="5"/>
      <c r="BK97">
        <f>-EXP(-Parameters!B$42*'6states'!A97)*(-Parameters!B$37/Parameters!B$38/Parameters!E$25*(EXP(-Parameters!B$38*Parameters!E$25*'6states'!I97/('6states'!F97+'6states'!I97))-EXP(-Parameters!B$38*Parameters!E$25))+Parameters!B$37*'6states'!F97/('6states'!F97+'6states'!I97)*EXP(-Parameters!B$38*Parameters!E$25*'6states'!I97/('6states'!F97+'6states'!I97)))</f>
        <v>-0.87595963174770608</v>
      </c>
      <c r="BL97">
        <f>-J97*K97*EXP(-Parameters!B$42*'6states'!A97)*(-Parameters!B$37/Parameters!B$38/Parameters!E$25*(EXP(-Parameters!B$38*Parameters!E$25*'6states'!I97/('6states'!F97+'6states'!I97))-EXP(-Parameters!B$38*Parameters!E$25)) + Parameters!B$37*'6states'!F97/('6states'!F97+'6states'!I97)*EXP(-Parameters!B$38*Parameters!E$25*'6states'!I97/('6states'!F97+'6states'!I97)))</f>
        <v>-534.22312702971317</v>
      </c>
      <c r="BM97" s="7">
        <f t="shared" si="101"/>
        <v>2.2697647258499851E-2</v>
      </c>
      <c r="BS97">
        <f>EXP(-Parameters!$B$56*A97)*BF97*BL97</f>
        <v>0</v>
      </c>
      <c r="BT97">
        <f>-EXP((Parameters!$B$56)*F97)*SUM(BS97:BS105)</f>
        <v>0</v>
      </c>
      <c r="BU97">
        <f>X97^-Parameters!B$52/(1-2*Parameters!B$5*'6states'!D97/'6states'!G97)</f>
        <v>1.1406180061775508</v>
      </c>
      <c r="BV97">
        <f t="shared" si="113"/>
        <v>1.0005630326263495</v>
      </c>
      <c r="BW97">
        <f>$X97^-Parameters!$B$52/(1-2*Parameters!$B$5*'6states'!$E97/'6states'!$H97)</f>
        <v>1.133896838566218</v>
      </c>
      <c r="BX97">
        <f t="shared" si="114"/>
        <v>1.0014017497527519</v>
      </c>
      <c r="BY97" s="7">
        <f>($X97^-Parameters!$B$52*(1/(1+EXP(-C97)) + IF(C97&lt;0,2*Parameters!$B$6*C97/F97,0)) + BQ97*(1/(1+EXP((C97-Parameters!$B$22)*Parameters!$B$21))))/(1-IF(C97&gt;0,2*Parameters!$B$5*C97/F97,0))</f>
        <v>0.52439438511904024</v>
      </c>
      <c r="BZ97">
        <f t="shared" si="115"/>
        <v>1.0027187498279742</v>
      </c>
      <c r="CA97" s="7">
        <f t="shared" si="116"/>
        <v>1.4218315400780224E-3</v>
      </c>
    </row>
    <row r="98" spans="1:79" x14ac:dyDescent="0.25">
      <c r="A98">
        <f>A97+Parameters!$B$65</f>
        <v>94</v>
      </c>
      <c r="B98">
        <v>2119</v>
      </c>
      <c r="C98" s="74">
        <v>5.6089924699348199E-4</v>
      </c>
      <c r="D98" s="69">
        <v>9.2103019128655497E-2</v>
      </c>
      <c r="E98" s="75">
        <v>0.21632921101158401</v>
      </c>
      <c r="F98" s="7">
        <f>MAX((1-Parameters!$B$4)^Parameters!B$65*F97 + C97*Parameters!B$65 - IF(C97&gt;0,Parameters!$B$5,0)*C97^2/F97*Parameters!B$65, 0.0001)</f>
        <v>1.778400177370577E-2</v>
      </c>
      <c r="G98" s="7">
        <f>(1-Parameters!$B$4)^Parameters!B$65*G97+D97*Parameters!B$65-Parameters!$B$5*D97^2/G97*Parameters!B$65</f>
        <v>1.3081269655025223</v>
      </c>
      <c r="H98" s="7">
        <f>(1-Parameters!$B$4)^Parameters!B$65*H97+E97*Parameters!B$65-Parameters!$B$5*E97^2/H97*Parameters!B$65</f>
        <v>3.2315867065689359</v>
      </c>
      <c r="I98" s="9">
        <f>I97 *(1-Parameters!$B$4)-C97*(C97&lt;0)*Parameters!B$65</f>
        <v>4.0018656349304977E-4</v>
      </c>
      <c r="J98" s="23">
        <f>J97*(1+Parameters!$B$51)^Parameters!B$65</f>
        <v>10.712911127741636</v>
      </c>
      <c r="K98" s="23">
        <f>K97*(1+Parameters!$B$53)^Parameters!B$65</f>
        <v>58.235645509619175</v>
      </c>
      <c r="L98" s="23">
        <f>J98*K98*EXP(-Parameters!$B$42*'6states'!A98)*(Parameters!$B$37/Parameters!$B$38*('6states'!F98+'6states'!I98)/Parameters!$E$25*(EXP(-Parameters!$B$38*Parameters!$E$25*'6states'!I98/('6states'!F98+'6states'!I98))-EXP(-Parameters!$B$38*Parameters!$E$25))  +  Parameters!$B$39*'6states'!F98)</f>
        <v>3.5735321003051017</v>
      </c>
      <c r="M98" s="8">
        <f>M97+L98*Parameters!B$65</f>
        <v>3603.0308606674271</v>
      </c>
      <c r="N98" s="7">
        <f>M98*Parameters!$B$45</f>
        <v>2.161818516400456</v>
      </c>
      <c r="O98" s="9">
        <f>EXP(-Parameters!$B$46/2*N98^2)</f>
        <v>0.95411767513424894</v>
      </c>
      <c r="P98" s="8">
        <f>MAX((Parameters!$B$62 + Parameters!$B$31*'6states'!A98 - '6states'!M98 + Parameters!$B$47/Parameters!$B$45)/Parameters!B$62,1)</f>
        <v>74.955382786651455</v>
      </c>
      <c r="Q98" s="7">
        <f>Parameters!B$61*EXP(-Parameters!B$60*A98)</f>
        <v>3.9512145214131843E-2</v>
      </c>
      <c r="R98" s="7">
        <f>(1-Parameters!B$61)*P98^-Parameters!B$63</f>
        <v>0.32470555737886114</v>
      </c>
      <c r="S98" s="7">
        <f>Parameters!B$61*EXP(-Parameters!B$60*A98)+(1-Parameters!B$61)*P98^-Parameters!B$63</f>
        <v>0.36421770259299296</v>
      </c>
      <c r="T98" s="7">
        <f>1-S98/Parameters!$B$12</f>
        <v>0.81789114870350355</v>
      </c>
      <c r="U98" s="7">
        <f t="shared" si="102"/>
        <v>5.4912212826595255</v>
      </c>
      <c r="V98" s="7">
        <f>(Parameters!$B$19*(F98+Parameters!$B$20)^T98+Parameters!$B$18*G98^T98)^(1/T98)</f>
        <v>0.34182336236528521</v>
      </c>
      <c r="W98" s="7">
        <f>(Parameters!$B$10*H98^Parameters!$B$9+Parameters!$B$11*V98^Parameters!$B$9)^(Parameters!$B$7/Parameters!$B$9)*O98</f>
        <v>1.3194080467556346</v>
      </c>
      <c r="X98" s="7">
        <f>W98 - D98 - E98 - LN(1+EXP(Parameters!$B$21*C98))/Parameters!$B$21 - IF(C98&gt;0, 0,Parameters!$B$6*C98^2/F98)</f>
        <v>1.0083730924839218</v>
      </c>
      <c r="Y98" s="7">
        <f>EXP(-Parameters!$B$55*A98)</f>
        <v>0.24185908882440066</v>
      </c>
      <c r="Z98" s="7">
        <f>IF(X98&gt;0,X98^(1-Parameters!$B$52)/(1-Parameters!$B$52)*Y98*Parameters!$B$65,-10+X98*1000)</f>
        <v>-0.68901223058695749</v>
      </c>
      <c r="AC98">
        <f t="shared" si="103"/>
        <v>0.34993006127895393</v>
      </c>
      <c r="AD98">
        <f t="shared" si="104"/>
        <v>57.460614005854808</v>
      </c>
      <c r="AE98" s="23">
        <f t="shared" si="105"/>
        <v>0.24966570990558704</v>
      </c>
      <c r="AF98" s="23">
        <f t="shared" si="106"/>
        <v>11.094963781490337</v>
      </c>
      <c r="AG98" s="23">
        <f t="shared" si="107"/>
        <v>816.10547999945709</v>
      </c>
      <c r="AH98" s="23">
        <f t="shared" si="108"/>
        <v>213.25446732227888</v>
      </c>
      <c r="AI98" s="23">
        <f t="shared" si="109"/>
        <v>524.83547988088048</v>
      </c>
      <c r="AJ98" s="23">
        <f t="shared" si="110"/>
        <v>823.14344532986934</v>
      </c>
      <c r="AK98" s="23">
        <f t="shared" si="111"/>
        <v>629.09704360691978</v>
      </c>
      <c r="AL98" s="9">
        <f t="shared" si="120"/>
        <v>2.2422364619026247E-2</v>
      </c>
      <c r="AM98" s="9">
        <f t="shared" si="121"/>
        <v>1.864011267290433E-2</v>
      </c>
      <c r="AN98" s="9">
        <f t="shared" ref="AN98:AO98" si="150">AVERAGE(AL96:AL100)</f>
        <v>2.2525720694958552E-2</v>
      </c>
      <c r="AO98" s="9">
        <f t="shared" si="150"/>
        <v>2.2499989266616893E-2</v>
      </c>
      <c r="AP98" s="23"/>
      <c r="AQ98" s="25">
        <f t="shared" si="100"/>
        <v>823.14344532986934</v>
      </c>
      <c r="AR98" s="4"/>
      <c r="AS98" s="4"/>
      <c r="AT98" s="4"/>
      <c r="AU98" s="16"/>
      <c r="AV98" s="16"/>
      <c r="AX98" s="13">
        <f>1-W98/'6states,ExoDamages'!T98</f>
        <v>9.54507367464279E-2</v>
      </c>
      <c r="AY98" s="21">
        <f>-Y98*W98*X98^(-Parameters!B$52)*Parameters!B$46*Parameters!B$45*N98</f>
        <v>-8.2265813297610444E-6</v>
      </c>
      <c r="AZ98" s="7">
        <f>1000*EXP(-(Parameters!$B$54)*'6states'!A98)*AQ98*Parameters!B$46*Parameters!B$45*N98</f>
        <v>0.79201033873187743</v>
      </c>
      <c r="BA98" s="7">
        <f>SUM(AZ98:AZ$204)*EXP(Parameters!$B$54*A98)</f>
        <v>1528.1834010006755</v>
      </c>
      <c r="BF98" s="5"/>
      <c r="BG98" s="5"/>
      <c r="BH98" s="5"/>
      <c r="BK98">
        <f>-EXP(-Parameters!B$42*'6states'!A98)*(-Parameters!B$37/Parameters!B$38/Parameters!E$25*(EXP(-Parameters!B$38*Parameters!E$25*'6states'!I98/('6states'!F98+'6states'!I98))-EXP(-Parameters!B$38*Parameters!E$25))+Parameters!B$37*'6states'!F98/('6states'!F98+'6states'!I98)*EXP(-Parameters!B$38*Parameters!E$25*'6states'!I98/('6states'!F98+'6states'!I98)))</f>
        <v>-0.89376177127438261</v>
      </c>
      <c r="BL98">
        <f>-J98*K98*EXP(-Parameters!B$42*'6states'!A98)*(-Parameters!B$37/Parameters!B$38/Parameters!E$25*(EXP(-Parameters!B$38*Parameters!E$25*'6states'!I98/('6states'!F98+'6states'!I98))-EXP(-Parameters!B$38*Parameters!E$25)) + Parameters!B$37*'6states'!F98/('6states'!F98+'6states'!I98)*EXP(-Parameters!B$38*Parameters!E$25*'6states'!I98/('6states'!F98+'6states'!I98)))</f>
        <v>-557.59410102125787</v>
      </c>
      <c r="BM98" s="7">
        <f t="shared" si="101"/>
        <v>2.200739214047848E-2</v>
      </c>
      <c r="BS98">
        <f>EXP(-Parameters!$B$56*A98)*BF98*BL98</f>
        <v>0</v>
      </c>
      <c r="BT98">
        <f>-EXP((Parameters!$B$56)*F98)*SUM(BS98:BS106)</f>
        <v>0</v>
      </c>
      <c r="BU98">
        <f>X98^-Parameters!B$52/(1-2*Parameters!B$5*'6states'!D98/'6states'!G98)</f>
        <v>1.1508678422064655</v>
      </c>
      <c r="BV98">
        <f t="shared" si="113"/>
        <v>1.0089862127139866</v>
      </c>
      <c r="BW98">
        <f>$X98^-Parameters!$B$52/(1-2*Parameters!$B$5*'6states'!$E98/'6states'!$H98)</f>
        <v>1.1416562451141492</v>
      </c>
      <c r="BX98">
        <f t="shared" si="114"/>
        <v>1.0068431327119165</v>
      </c>
      <c r="BY98" s="7">
        <f>($X98^-Parameters!$B$52*(1/(1+EXP(-C98)) + IF(C98&lt;0,2*Parameters!$B$6*C98/F98,0)) + BQ98*(1/(1+EXP((C98-Parameters!$B$22)*Parameters!$B$21))))/(1-IF(C98&gt;0,2*Parameters!$B$5*C98/F98,0))</f>
        <v>0.5278374061742277</v>
      </c>
      <c r="BZ98">
        <f t="shared" si="115"/>
        <v>1.0065657092312419</v>
      </c>
      <c r="CA98" s="7">
        <f t="shared" si="116"/>
        <v>3.4430210551874563E-3</v>
      </c>
    </row>
    <row r="99" spans="1:79" x14ac:dyDescent="0.25">
      <c r="A99">
        <f>A98+Parameters!$B$65</f>
        <v>95</v>
      </c>
      <c r="B99">
        <v>2120</v>
      </c>
      <c r="C99" s="74">
        <v>5.6234190655836196E-4</v>
      </c>
      <c r="D99" s="69">
        <v>9.2568811252432007E-2</v>
      </c>
      <c r="E99" s="75">
        <v>0.216035847631566</v>
      </c>
      <c r="F99" s="7">
        <f>MAX((1-Parameters!$B$4)^Parameters!B$65*F98 + C98*Parameters!B$65 - IF(C98&gt;0,Parameters!$B$5,0)*C98^2/F98*Parameters!B$65, 0.0001)</f>
        <v>1.7208596804527892E-2</v>
      </c>
      <c r="G99" s="7">
        <f>(1-Parameters!$B$4)^Parameters!B$65*G98+D98*Parameters!B$65-Parameters!$B$5*D98^2/G98*Parameters!B$65</f>
        <v>1.3114639798585956</v>
      </c>
      <c r="H99" s="7">
        <f>(1-Parameters!$B$4)^Parameters!B$65*H98+E98*Parameters!B$65-Parameters!$B$5*E98^2/H98*Parameters!B$65</f>
        <v>3.2301675813551869</v>
      </c>
      <c r="I99" s="9">
        <f>I98 *(1-Parameters!$B$4)-C98*(C98&lt;0)*Parameters!B$65</f>
        <v>3.7501482864933693E-4</v>
      </c>
      <c r="J99" s="23">
        <f>J98*(1+Parameters!$B$51)^Parameters!B$65</f>
        <v>10.743978570012086</v>
      </c>
      <c r="K99" s="23">
        <f>K98*(1+Parameters!$B$53)^Parameters!B$65</f>
        <v>59.40035841981156</v>
      </c>
      <c r="L99" s="23">
        <f>J99*K99*EXP(-Parameters!$B$42*'6states'!A99)*(Parameters!$B$37/Parameters!$B$38*('6states'!F99+'6states'!I99)/Parameters!$E$25*(EXP(-Parameters!$B$38*Parameters!$E$25*'6states'!I99/('6states'!F99+'6states'!I99))-EXP(-Parameters!$B$38*Parameters!$E$25))  +  Parameters!$B$39*'6states'!F99)</f>
        <v>3.5091060571680512</v>
      </c>
      <c r="M99" s="8">
        <f>M98+L99*Parameters!B$65</f>
        <v>3606.5399667245952</v>
      </c>
      <c r="N99" s="7">
        <f>M99*Parameters!$B$45</f>
        <v>2.1639239800347569</v>
      </c>
      <c r="O99" s="9">
        <f>EXP(-Parameters!$B$46/2*N99^2)</f>
        <v>0.95403034652678831</v>
      </c>
      <c r="P99" s="8">
        <f>MAX((Parameters!$B$62 + Parameters!$B$31*'6states'!A99 - '6states'!M99 + Parameters!$B$47/Parameters!$B$45)/Parameters!B$62,1)</f>
        <v>75.949200665508101</v>
      </c>
      <c r="Q99" s="7">
        <f>Parameters!B$61*EXP(-Parameters!B$60*A99)</f>
        <v>3.8459590720917251E-2</v>
      </c>
      <c r="R99" s="7">
        <f>(1-Parameters!B$61)*P99^-Parameters!B$63</f>
        <v>0.32427814767005236</v>
      </c>
      <c r="S99" s="7">
        <f>Parameters!B$61*EXP(-Parameters!B$60*A99)+(1-Parameters!B$61)*P99^-Parameters!B$63</f>
        <v>0.36273773839096962</v>
      </c>
      <c r="T99" s="7">
        <f>1-S99/Parameters!$B$12</f>
        <v>0.81863113080451522</v>
      </c>
      <c r="U99" s="7">
        <f t="shared" si="102"/>
        <v>5.5136253781357052</v>
      </c>
      <c r="V99" s="7">
        <f>(Parameters!$B$19*(F99+Parameters!$B$20)^T99+Parameters!$B$18*G99^T99)^(1/T99)</f>
        <v>0.3422939303497155</v>
      </c>
      <c r="W99" s="7">
        <f>(Parameters!$B$10*H99^Parameters!$B$9+Parameters!$B$11*V99^Parameters!$B$9)^(Parameters!$B$7/Parameters!$B$9)*O99</f>
        <v>1.319335002187378</v>
      </c>
      <c r="X99" s="7">
        <f>W99 - D99 - E99 - LN(1+EXP(Parameters!$B$21*C99))/Parameters!$B$21 - IF(C99&gt;0, 0,Parameters!$B$6*C99^2/F99)</f>
        <v>1.0081268372184227</v>
      </c>
      <c r="Y99" s="7">
        <f>EXP(-Parameters!$B$55*A99)</f>
        <v>0.23823445146607616</v>
      </c>
      <c r="Z99" s="7">
        <f>IF(X99&gt;0,X99^(1-Parameters!$B$52)/(1-Parameters!$B$52)*Y99*Parameters!$B$65,-10+X99*1000)</f>
        <v>-0.67874432222923842</v>
      </c>
      <c r="AC99">
        <f t="shared" si="103"/>
        <v>0.35888445544613284</v>
      </c>
      <c r="AD99">
        <f t="shared" si="104"/>
        <v>59.077061535297595</v>
      </c>
      <c r="AE99" s="23">
        <f t="shared" si="105"/>
        <v>0.23933303030489009</v>
      </c>
      <c r="AF99" s="23">
        <f t="shared" si="106"/>
        <v>10.982460707904037</v>
      </c>
      <c r="AG99" s="23">
        <f t="shared" si="107"/>
        <v>836.97129941697301</v>
      </c>
      <c r="AH99" s="23">
        <f t="shared" si="108"/>
        <v>218.45067807217561</v>
      </c>
      <c r="AI99" s="23">
        <f t="shared" si="109"/>
        <v>537.62375014188683</v>
      </c>
      <c r="AJ99" s="23">
        <f t="shared" si="110"/>
        <v>841.99455578347374</v>
      </c>
      <c r="AK99" s="23">
        <f t="shared" si="111"/>
        <v>643.38269436481482</v>
      </c>
      <c r="AL99" s="9">
        <f t="shared" si="120"/>
        <v>2.2643067254673355E-2</v>
      </c>
      <c r="AM99" s="9">
        <f t="shared" si="121"/>
        <v>2.2454190115313466E-2</v>
      </c>
      <c r="AN99" s="9">
        <f t="shared" ref="AN99:AO99" si="151">AVERAGE(AL97:AL101)</f>
        <v>2.2533745531550055E-2</v>
      </c>
      <c r="AO99" s="9">
        <f t="shared" si="151"/>
        <v>2.097353139940843E-2</v>
      </c>
      <c r="AP99" s="23"/>
      <c r="AQ99" s="25">
        <f t="shared" si="100"/>
        <v>841.99455578347374</v>
      </c>
      <c r="AR99" s="4"/>
      <c r="AS99" s="4"/>
      <c r="AT99" s="4"/>
      <c r="AU99" s="16"/>
      <c r="AV99" s="16"/>
      <c r="AX99" s="13">
        <f>1-W99/'6states,ExoDamages'!T99</f>
        <v>9.5397403240515488E-2</v>
      </c>
      <c r="AY99" s="21">
        <f>-Y99*W99*X99^(-Parameters!B$52)*Parameters!B$46*Parameters!B$45*N99</f>
        <v>-8.1134108746172324E-6</v>
      </c>
      <c r="AZ99" s="7">
        <f>1000*EXP(-(Parameters!$B$54)*'6states'!A99)*AQ99*Parameters!B$46*Parameters!B$45*N99</f>
        <v>0.78296732977759109</v>
      </c>
      <c r="BA99" s="7">
        <f>SUM(AZ99:AZ$204)*EXP(Parameters!$B$54*A99)</f>
        <v>1560.5478649324036</v>
      </c>
      <c r="BF99" s="5"/>
      <c r="BG99" s="5"/>
      <c r="BH99" s="5"/>
      <c r="BK99">
        <f>-EXP(-Parameters!B$42*'6states'!A99)*(-Parameters!B$37/Parameters!B$38/Parameters!E$25*(EXP(-Parameters!B$38*Parameters!E$25*'6states'!I99/('6states'!F99+'6states'!I99))-EXP(-Parameters!B$38*Parameters!E$25))+Parameters!B$37*'6states'!F99/('6states'!F99+'6states'!I99)*EXP(-Parameters!B$38*Parameters!E$25*'6states'!I99/('6states'!F99+'6states'!I99)))</f>
        <v>-0.91151217398728124</v>
      </c>
      <c r="BL99">
        <f>-J99*K99*EXP(-Parameters!B$42*'6states'!A99)*(-Parameters!B$37/Parameters!B$38/Parameters!E$25*(EXP(-Parameters!B$38*Parameters!E$25*'6states'!I99/('6states'!F99+'6states'!I99))-EXP(-Parameters!B$38*Parameters!E$25)) + Parameters!B$37*'6states'!F99/('6states'!F99+'6states'!I99)*EXP(-Parameters!B$38*Parameters!E$25*'6states'!I99/('6states'!F99+'6states'!I99)))</f>
        <v>-581.7235855603011</v>
      </c>
      <c r="BM99" s="7">
        <f t="shared" si="101"/>
        <v>2.132751999263615E-2</v>
      </c>
      <c r="BS99">
        <f>EXP(-Parameters!$B$56*A99)*BF99*BL99</f>
        <v>0</v>
      </c>
      <c r="BT99">
        <f>-EXP((Parameters!$B$56)*F99)*SUM(BS99:BS107)</f>
        <v>0</v>
      </c>
      <c r="BU99">
        <f>X99^-Parameters!B$52/(1-2*Parameters!B$5*'6states'!D99/'6states'!G99)</f>
        <v>1.1517192661246762</v>
      </c>
      <c r="BV99">
        <f t="shared" si="113"/>
        <v>1.0007398103300709</v>
      </c>
      <c r="BW99">
        <f>$X99^-Parameters!$B$52/(1-2*Parameters!$B$5*'6states'!$E99/'6states'!$H99)</f>
        <v>1.1418708158686857</v>
      </c>
      <c r="BX99">
        <f t="shared" si="114"/>
        <v>1.0001879469021036</v>
      </c>
      <c r="BY99" s="7">
        <f>($X99^-Parameters!$B$52*(1/(1+EXP(-C99)) + IF(C99&lt;0,2*Parameters!$B$6*C99/F99,0)) + BQ99*(1/(1+EXP((C99-Parameters!$B$22)*Parameters!$B$21))))/(1-IF(C99&gt;0,2*Parameters!$B$5*C99/F99,0))</f>
        <v>0.52929812371684548</v>
      </c>
      <c r="BZ99">
        <f t="shared" si="115"/>
        <v>1.00276736268694</v>
      </c>
      <c r="CA99" s="7">
        <f t="shared" si="116"/>
        <v>1.4607175426177843E-3</v>
      </c>
    </row>
    <row r="100" spans="1:79" x14ac:dyDescent="0.25">
      <c r="A100">
        <f>A99+Parameters!$B$65</f>
        <v>96</v>
      </c>
      <c r="B100">
        <v>2121</v>
      </c>
      <c r="C100" s="74">
        <v>5.8106728667609801E-4</v>
      </c>
      <c r="D100" s="69">
        <v>9.1023718818371499E-2</v>
      </c>
      <c r="E100" s="75">
        <v>0.21572414147358401</v>
      </c>
      <c r="F100" s="7">
        <f>MAX((1-Parameters!$B$4)^Parameters!B$65*F99 + C99*Parameters!B$65 - IF(C99&gt;0,Parameters!$B$5,0)*C99^2/F99*Parameters!B$65, 0.0001)</f>
        <v>1.6670141783513392E-2</v>
      </c>
      <c r="G100" s="7">
        <f>(1-Parameters!$B$4)^Parameters!B$65*G99+D99*Parameters!B$65-Parameters!$B$5*D99^2/G99*Parameters!B$65</f>
        <v>1.3150077989098521</v>
      </c>
      <c r="H100" s="7">
        <f>(1-Parameters!$B$4)^Parameters!B$65*H99+E99*Parameters!B$65-Parameters!$B$5*E99^2/H99*Parameters!B$65</f>
        <v>3.2285772608311691</v>
      </c>
      <c r="I100" s="9">
        <f>I99 *(1-Parameters!$B$4)-C99*(C99&lt;0)*Parameters!B$65</f>
        <v>3.5142639592729367E-4</v>
      </c>
      <c r="J100" s="23">
        <f>J99*(1+Parameters!$B$51)^Parameters!B$65</f>
        <v>10.775136107865119</v>
      </c>
      <c r="K100" s="23">
        <f>K99*(1+Parameters!$B$53)^Parameters!B$65</f>
        <v>60.588365588207793</v>
      </c>
      <c r="L100" s="23">
        <f>J100*K100*EXP(-Parameters!$B$42*'6states'!A100)*(Parameters!$B$37/Parameters!$B$38*('6states'!F100+'6states'!I100)/Parameters!$E$25*(EXP(-Parameters!$B$38*Parameters!$E$25*'6states'!I100/('6states'!F100+'6states'!I100))-EXP(-Parameters!$B$38*Parameters!$E$25))  +  Parameters!$B$39*'6states'!F100)</f>
        <v>3.4498365140105838</v>
      </c>
      <c r="M100" s="8">
        <f>M99+L100*Parameters!B$65</f>
        <v>3609.9898032386059</v>
      </c>
      <c r="N100" s="7">
        <f>M100*Parameters!$B$45</f>
        <v>2.1659938819431632</v>
      </c>
      <c r="O100" s="9">
        <f>EXP(-Parameters!$B$46/2*N100^2)</f>
        <v>0.95394441785182804</v>
      </c>
      <c r="P100" s="8">
        <f>MAX((Parameters!$B$62 + Parameters!$B$31*'6states'!A100 - '6states'!M100 + Parameters!$B$47/Parameters!$B$45)/Parameters!B$62,1)</f>
        <v>76.944203935227904</v>
      </c>
      <c r="Q100" s="7">
        <f>Parameters!B$61*EXP(-Parameters!B$60*A100)</f>
        <v>3.7435074972629871E-2</v>
      </c>
      <c r="R100" s="7">
        <f>(1-Parameters!B$61)*P100^-Parameters!B$63</f>
        <v>0.32385634729433427</v>
      </c>
      <c r="S100" s="7">
        <f>Parameters!B$61*EXP(-Parameters!B$60*A100)+(1-Parameters!B$61)*P100^-Parameters!B$63</f>
        <v>0.36129142226696415</v>
      </c>
      <c r="T100" s="7">
        <f>1-S100/Parameters!$B$12</f>
        <v>0.81935428886651795</v>
      </c>
      <c r="U100" s="7">
        <f t="shared" si="102"/>
        <v>5.5356974362988547</v>
      </c>
      <c r="V100" s="7">
        <f>(Parameters!$B$19*(F100+Parameters!$B$20)^T100+Parameters!$B$18*G100^T100)^(1/T100)</f>
        <v>0.3428487021646236</v>
      </c>
      <c r="W100" s="7">
        <f>(Parameters!$B$10*H100^Parameters!$B$9+Parameters!$B$11*V100^Parameters!$B$9)^(Parameters!$B$7/Parameters!$B$9)*O100</f>
        <v>1.3192776777468347</v>
      </c>
      <c r="X100" s="7">
        <f>W100 - D100 - E100 - LN(1+EXP(Parameters!$B$21*C100))/Parameters!$B$21 - IF(C100&gt;0, 0,Parameters!$B$6*C100^2/F100)</f>
        <v>1.0099161477388674</v>
      </c>
      <c r="Y100" s="7">
        <f>EXP(-Parameters!$B$55*A100)</f>
        <v>0.23466413497716049</v>
      </c>
      <c r="Z100" s="7">
        <f>IF(X100&gt;0,X100^(1-Parameters!$B$52)/(1-Parameters!$B$52)*Y100*Parameters!$B$65,-10+X100*1000)</f>
        <v>-0.66815744816056855</v>
      </c>
      <c r="AC100">
        <f t="shared" si="103"/>
        <v>0.37934854959429437</v>
      </c>
      <c r="AD100">
        <f t="shared" si="104"/>
        <v>59.424642385135456</v>
      </c>
      <c r="AE100" s="23">
        <f t="shared" si="105"/>
        <v>0.22942797958350952</v>
      </c>
      <c r="AF100" s="23">
        <f t="shared" si="106"/>
        <v>10.883066818786679</v>
      </c>
      <c r="AG100" s="23">
        <f t="shared" si="107"/>
        <v>858.50006128413793</v>
      </c>
      <c r="AH100" s="23">
        <f t="shared" si="108"/>
        <v>223.82805034580193</v>
      </c>
      <c r="AI100" s="23">
        <f t="shared" si="109"/>
        <v>550.85787270524543</v>
      </c>
      <c r="AJ100" s="23">
        <f t="shared" si="110"/>
        <v>861.28764265533925</v>
      </c>
      <c r="AK100" s="23">
        <f t="shared" si="111"/>
        <v>659.32162185229345</v>
      </c>
      <c r="AL100" s="9">
        <f t="shared" si="120"/>
        <v>2.2654979968518951E-2</v>
      </c>
      <c r="AM100" s="9">
        <f t="shared" si="121"/>
        <v>2.4471743467121776E-2</v>
      </c>
      <c r="AN100" s="9">
        <f t="shared" ref="AN100:AO100" si="152">AVERAGE(AL98:AL102)</f>
        <v>2.2628588009091465E-2</v>
      </c>
      <c r="AO100" s="9">
        <f t="shared" si="152"/>
        <v>2.3355273345943849E-2</v>
      </c>
      <c r="AP100" s="23"/>
      <c r="AQ100" s="25">
        <f t="shared" si="100"/>
        <v>861.28764265533925</v>
      </c>
      <c r="AR100" s="4"/>
      <c r="AS100" s="4"/>
      <c r="AT100" s="4"/>
      <c r="AU100" s="16"/>
      <c r="AV100" s="16"/>
      <c r="AX100" s="13">
        <f>1-W100/'6states,ExoDamages'!T100</f>
        <v>9.5336184008844471E-2</v>
      </c>
      <c r="AY100" s="21">
        <f>-Y100*W100*X100^(-Parameters!B$52)*Parameters!B$46*Parameters!B$45*N100</f>
        <v>-7.979988944312066E-6</v>
      </c>
      <c r="AZ100" s="7">
        <f>1000*EXP(-(Parameters!$B$54)*'6states'!A100)*AQ100*Parameters!B$46*Parameters!B$45*N100</f>
        <v>0.77402335198727013</v>
      </c>
      <c r="BA100" s="7">
        <f>SUM(AZ100:AZ$204)*EXP(Parameters!$B$54*A100)</f>
        <v>1593.5373154518593</v>
      </c>
      <c r="BF100" s="5"/>
      <c r="BG100" s="5"/>
      <c r="BH100" s="5"/>
      <c r="BK100">
        <f>-EXP(-Parameters!B$42*'6states'!A100)*(-Parameters!B$37/Parameters!B$38/Parameters!E$25*(EXP(-Parameters!B$38*Parameters!E$25*'6states'!I100/('6states'!F100+'6states'!I100))-EXP(-Parameters!B$38*Parameters!E$25))+Parameters!B$37*'6states'!F100/('6states'!F100+'6states'!I100)*EXP(-Parameters!B$38*Parameters!E$25*'6states'!I100/('6states'!F100+'6states'!I100)))</f>
        <v>-0.9296836233196899</v>
      </c>
      <c r="BL100">
        <f>-J100*K100*EXP(-Parameters!B$42*'6states'!A100)*(-Parameters!B$37/Parameters!B$38/Parameters!E$25*(EXP(-Parameters!B$38*Parameters!E$25*'6states'!I100/('6states'!F100+'6states'!I100))-EXP(-Parameters!B$38*Parameters!E$25)) + Parameters!B$37*'6states'!F100/('6states'!F100+'6states'!I100)*EXP(-Parameters!B$38*Parameters!E$25*'6states'!I100/('6states'!F100+'6states'!I100)))</f>
        <v>-606.94198791556198</v>
      </c>
      <c r="BM100" s="7">
        <f t="shared" ref="BM100:BM131" si="153">I100/(F100+I100)</f>
        <v>2.0645947084461946E-2</v>
      </c>
      <c r="BS100">
        <f>EXP(-Parameters!$B$56*A100)*BF100*BL100</f>
        <v>0</v>
      </c>
      <c r="BT100">
        <f>-EXP((Parameters!$B$56)*F100)*SUM(BS100:BS108)</f>
        <v>0</v>
      </c>
      <c r="BU100">
        <f>X100^-Parameters!B$52/(1-2*Parameters!B$5*'6states'!D100/'6states'!G100)</f>
        <v>1.145324196871071</v>
      </c>
      <c r="BV100">
        <f t="shared" si="113"/>
        <v>0.99444737147176199</v>
      </c>
      <c r="BW100">
        <f>$X100^-Parameters!$B$52/(1-2*Parameters!$B$5*'6states'!$E100/'6states'!$H100)</f>
        <v>1.1389732234168342</v>
      </c>
      <c r="BX100">
        <f t="shared" si="114"/>
        <v>0.99746241657849255</v>
      </c>
      <c r="BY100" s="7">
        <f>($X100^-Parameters!$B$52*(1/(1+EXP(-C100)) + IF(C100&lt;0,2*Parameters!$B$6*C100/F100,0)) + BQ100*(1/(1+EXP((C100-Parameters!$B$22)*Parameters!$B$21))))/(1-IF(C100&gt;0,2*Parameters!$B$5*C100/F100,0))</f>
        <v>0.53051086838980199</v>
      </c>
      <c r="BZ100">
        <f t="shared" si="115"/>
        <v>1.0022912317626225</v>
      </c>
      <c r="CA100" s="7">
        <f t="shared" si="116"/>
        <v>1.2127446729565117E-3</v>
      </c>
    </row>
    <row r="101" spans="1:79" x14ac:dyDescent="0.25">
      <c r="A101">
        <f>A100+Parameters!$B$65</f>
        <v>97</v>
      </c>
      <c r="B101">
        <v>2122</v>
      </c>
      <c r="C101" s="74">
        <v>5.9249608385239896E-4</v>
      </c>
      <c r="D101" s="69">
        <v>8.6782229483333195E-2</v>
      </c>
      <c r="E101" s="75">
        <v>0.22520725203677699</v>
      </c>
      <c r="F101" s="7">
        <f>MAX((1-Parameters!$B$4)^Parameters!B$65*F100 + C100*Parameters!B$65 - IF(C100&gt;0,Parameters!$B$5,0)*C100^2/F100*Parameters!B$65, 0.0001)</f>
        <v>1.6182403023635557E-2</v>
      </c>
      <c r="G101" s="7">
        <f>(1-Parameters!$B$4)^Parameters!B$65*G100+D100*Parameters!B$65-Parameters!$B$5*D100^2/G100*Parameters!B$65</f>
        <v>1.3170169429563852</v>
      </c>
      <c r="H101" s="7">
        <f>(1-Parameters!$B$4)^Parameters!B$65*H100+E100*Parameters!B$65-Parameters!$B$5*E100^2/H100*Parameters!B$65</f>
        <v>3.2268098329508703</v>
      </c>
      <c r="I101" s="9">
        <f>I100 *(1-Parameters!$B$4)-C100*(C100&lt;0)*Parameters!B$65</f>
        <v>3.2932167562346694E-4</v>
      </c>
      <c r="J101" s="23">
        <f>J100*(1+Parameters!$B$51)^Parameters!B$65</f>
        <v>10.806384002577927</v>
      </c>
      <c r="K101" s="23">
        <f>K100*(1+Parameters!$B$53)^Parameters!B$65</f>
        <v>61.800132899971949</v>
      </c>
      <c r="L101" s="23">
        <f>J101*K101*EXP(-Parameters!$B$42*'6states'!A101)*(Parameters!$B$37/Parameters!$B$38*('6states'!F101+'6states'!I101)/Parameters!$E$25*(EXP(-Parameters!$B$38*Parameters!$E$25*'6states'!I101/('6states'!F101+'6states'!I101))-EXP(-Parameters!$B$38*Parameters!$E$25))  +  Parameters!$B$39*'6states'!F101)</f>
        <v>3.3990769828482805</v>
      </c>
      <c r="M101" s="8">
        <f>M100+L101*Parameters!B$65</f>
        <v>3613.3888802214542</v>
      </c>
      <c r="N101" s="7">
        <f>M101*Parameters!$B$45</f>
        <v>2.1680333281328723</v>
      </c>
      <c r="O101" s="9">
        <f>EXP(-Parameters!$B$46/2*N101^2)</f>
        <v>0.95385968072625438</v>
      </c>
      <c r="P101" s="8">
        <f>MAX((Parameters!$B$62 + Parameters!$B$31*'6states'!A101 - '6states'!M101 + Parameters!$B$47/Parameters!$B$45)/Parameters!B$62,1)</f>
        <v>77.940222395570927</v>
      </c>
      <c r="Q101" s="7">
        <f>Parameters!B$61*EXP(-Parameters!B$60*A101)</f>
        <v>3.6437851051915653E-2</v>
      </c>
      <c r="R101" s="7">
        <f>(1-Parameters!B$61)*P101^-Parameters!B$63</f>
        <v>0.32344008336893687</v>
      </c>
      <c r="S101" s="7">
        <f>Parameters!B$61*EXP(-Parameters!B$60*A101)+(1-Parameters!B$61)*P101^-Parameters!B$63</f>
        <v>0.35987793442085253</v>
      </c>
      <c r="T101" s="7">
        <f>1-S101/Parameters!$B$12</f>
        <v>0.82006103278957376</v>
      </c>
      <c r="U101" s="7">
        <f t="shared" si="102"/>
        <v>5.5574399225631259</v>
      </c>
      <c r="V101" s="7">
        <f>(Parameters!$B$19*(F101+Parameters!$B$20)^T101+Parameters!$B$18*G101^T101)^(1/T101)</f>
        <v>0.3430879364474051</v>
      </c>
      <c r="W101" s="7">
        <f>(Parameters!$B$10*H101^Parameters!$B$9+Parameters!$B$11*V101^Parameters!$B$9)^(Parameters!$B$7/Parameters!$B$9)*O101</f>
        <v>1.3190942453738022</v>
      </c>
      <c r="X101" s="7">
        <f>W101 - D101 - E101 - LN(1+EXP(Parameters!$B$21*C101))/Parameters!$B$21 - IF(C101&gt;0, 0,Parameters!$B$6*C101^2/F101)</f>
        <v>1.0044848780683679</v>
      </c>
      <c r="Y101" s="7">
        <f>EXP(-Parameters!$B$55*A101)</f>
        <v>0.23114732527432291</v>
      </c>
      <c r="Z101" s="7">
        <f>IF(X101&gt;0,X101^(1-Parameters!$B$52)/(1-Parameters!$B$52)*Y101*Parameters!$B$65,-10+X101*1000)</f>
        <v>-0.6593873890976174</v>
      </c>
      <c r="AC101">
        <f t="shared" si="103"/>
        <v>0.39569019541579004</v>
      </c>
      <c r="AD101">
        <f t="shared" si="104"/>
        <v>57.956294191190736</v>
      </c>
      <c r="AE101" s="23">
        <f t="shared" si="105"/>
        <v>0.21993285986775801</v>
      </c>
      <c r="AF101" s="23">
        <f t="shared" si="106"/>
        <v>10.807190780208732</v>
      </c>
      <c r="AG101" s="23">
        <f t="shared" si="107"/>
        <v>879.5512843493176</v>
      </c>
      <c r="AH101" s="23">
        <f t="shared" si="108"/>
        <v>229.12646398434794</v>
      </c>
      <c r="AI101" s="23">
        <f t="shared" si="109"/>
        <v>563.89767205627732</v>
      </c>
      <c r="AJ101" s="23">
        <f t="shared" si="110"/>
        <v>880.93858161910032</v>
      </c>
      <c r="AK101" s="23">
        <f t="shared" si="111"/>
        <v>670.83113041147783</v>
      </c>
      <c r="AL101" s="9">
        <f t="shared" si="120"/>
        <v>2.2559380737670942E-2</v>
      </c>
      <c r="AM101" s="9">
        <f t="shared" si="121"/>
        <v>1.7305976014032609E-2</v>
      </c>
      <c r="AN101" s="9">
        <f t="shared" ref="AN101:AO101" si="154">AVERAGE(AL99:AL103)</f>
        <v>2.2591951828410294E-2</v>
      </c>
      <c r="AO101" s="9">
        <f t="shared" si="154"/>
        <v>2.0938033031841032E-2</v>
      </c>
      <c r="AP101" s="23"/>
      <c r="AQ101" s="25">
        <f t="shared" si="100"/>
        <v>880.93858161910032</v>
      </c>
      <c r="AR101" s="4"/>
      <c r="AS101" s="4"/>
      <c r="AT101" s="4"/>
      <c r="AU101" s="16"/>
      <c r="AV101" s="16"/>
      <c r="AX101" s="13">
        <f>1-W101/'6states,ExoDamages'!T101</f>
        <v>9.5364043758349948E-2</v>
      </c>
      <c r="AY101" s="21">
        <f>-Y101*W101*X101^(-Parameters!B$52)*Parameters!B$46*Parameters!B$45*N101</f>
        <v>-7.9241806152847665E-6</v>
      </c>
      <c r="AZ101" s="7">
        <f>1000*EXP(-(Parameters!$B$54)*'6states'!A101)*AQ101*Parameters!B$46*Parameters!B$45*N101</f>
        <v>0.76509694908394998</v>
      </c>
      <c r="BA101" s="7">
        <f>SUM(AZ101:AZ$204)*EXP(Parameters!$B$54*A101)</f>
        <v>1627.1615122890798</v>
      </c>
      <c r="BF101" s="5"/>
      <c r="BG101" s="5"/>
      <c r="BH101" s="5"/>
      <c r="BK101">
        <f>-EXP(-Parameters!B$42*'6states'!A101)*(-Parameters!B$37/Parameters!B$38/Parameters!E$25*(EXP(-Parameters!B$38*Parameters!E$25*'6states'!I101/('6states'!F101+'6states'!I101))-EXP(-Parameters!B$38*Parameters!E$25))+Parameters!B$37*'6states'!F101/('6states'!F101+'6states'!I101)*EXP(-Parameters!B$38*Parameters!E$25*'6states'!I101/('6states'!F101+'6states'!I101)))</f>
        <v>-0.94903047275605124</v>
      </c>
      <c r="BL101">
        <f>-J101*K101*EXP(-Parameters!B$42*'6states'!A101)*(-Parameters!B$37/Parameters!B$38/Parameters!E$25*(EXP(-Parameters!B$38*Parameters!E$25*'6states'!I101/('6states'!F101+'6states'!I101))-EXP(-Parameters!B$38*Parameters!E$25)) + Parameters!B$37*'6states'!F101/('6states'!F101+'6states'!I101)*EXP(-Parameters!B$38*Parameters!E$25*'6states'!I101/('6states'!F101+'6states'!I101)))</f>
        <v>-633.79668398606759</v>
      </c>
      <c r="BM101" s="7">
        <f t="shared" si="153"/>
        <v>1.9944716958504371E-2</v>
      </c>
    </row>
    <row r="102" spans="1:79" x14ac:dyDescent="0.25">
      <c r="A102">
        <f>A101+Parameters!$B$65</f>
        <v>98</v>
      </c>
      <c r="B102">
        <v>2123</v>
      </c>
      <c r="C102" s="74">
        <v>6.1419970817572602E-4</v>
      </c>
      <c r="D102" s="69">
        <v>8.9418804833744106E-2</v>
      </c>
      <c r="E102" s="75">
        <v>0.21145666536014601</v>
      </c>
      <c r="F102" s="7">
        <f>MAX((1-Parameters!$B$4)^Parameters!B$65*F101 + C101*Parameters!B$65 - IF(C101&gt;0,Parameters!$B$5,0)*C101^2/F101*Parameters!B$65, 0.0001)</f>
        <v>1.5735332540763102E-2</v>
      </c>
      <c r="G102" s="7">
        <f>(1-Parameters!$B$4)^Parameters!B$65*G101+D101*Parameters!B$65-Parameters!$B$5*D101^2/G101*Parameters!B$65</f>
        <v>1.3152404631678132</v>
      </c>
      <c r="H102" s="7">
        <f>(1-Parameters!$B$4)^Parameters!B$65*H101+E101*Parameters!B$65-Parameters!$B$5*E101^2/H101*Parameters!B$65</f>
        <v>3.2333329605096224</v>
      </c>
      <c r="I102" s="9">
        <f>I101 *(1-Parameters!$B$4)-C101*(C101&lt;0)*Parameters!B$65</f>
        <v>3.0860734222675087E-4</v>
      </c>
      <c r="J102" s="23">
        <f>J101*(1+Parameters!$B$51)^Parameters!B$65</f>
        <v>10.837722516185401</v>
      </c>
      <c r="K102" s="23">
        <f>K101*(1+Parameters!$B$53)^Parameters!B$65</f>
        <v>63.036135557971392</v>
      </c>
      <c r="L102" s="23">
        <f>J102*K102*EXP(-Parameters!$B$42*'6states'!A102)*(Parameters!$B$37/Parameters!$B$38*('6states'!F102+'6states'!I102)/Parameters!$E$25*(EXP(-Parameters!$B$38*Parameters!$E$25*'6states'!I102/('6states'!F102+'6states'!I102))-EXP(-Parameters!$B$38*Parameters!$E$25))  +  Parameters!$B$39*'6states'!F102)</f>
        <v>3.3549819174549649</v>
      </c>
      <c r="M102" s="8">
        <f>M101+L102*Parameters!B$65</f>
        <v>3616.7438621389092</v>
      </c>
      <c r="N102" s="7">
        <f>M102*Parameters!$B$45</f>
        <v>2.1700463172833455</v>
      </c>
      <c r="O102" s="9">
        <f>EXP(-Parameters!$B$46/2*N102^2)</f>
        <v>0.95377597205431563</v>
      </c>
      <c r="P102" s="8">
        <f>MAX((Parameters!$B$62 + Parameters!$B$31*'6states'!A102 - '6states'!M102 + Parameters!$B$47/Parameters!$B$45)/Parameters!B$62,1)</f>
        <v>78.937122757221829</v>
      </c>
      <c r="Q102" s="7">
        <f>Parameters!B$61*EXP(-Parameters!B$60*A102)</f>
        <v>3.5467191938371473E-2</v>
      </c>
      <c r="R102" s="7">
        <f>(1-Parameters!B$61)*P102^-Parameters!B$63</f>
        <v>0.32302926935420662</v>
      </c>
      <c r="S102" s="7">
        <f>Parameters!B$61*EXP(-Parameters!B$60*A102)+(1-Parameters!B$61)*P102^-Parameters!B$63</f>
        <v>0.35849646129257806</v>
      </c>
      <c r="T102" s="7">
        <f>1-S102/Parameters!$B$12</f>
        <v>0.82075176935371097</v>
      </c>
      <c r="U102" s="7">
        <f t="shared" si="102"/>
        <v>5.5788556260468889</v>
      </c>
      <c r="V102" s="7">
        <f>(Parameters!$B$19*(F102+Parameters!$B$20)^T102+Parameters!$B$18*G102^T102)^(1/T102)</f>
        <v>0.34246263436663565</v>
      </c>
      <c r="W102" s="7">
        <f>(Parameters!$B$10*H102^Parameters!$B$9+Parameters!$B$11*V102^Parameters!$B$9)^(Parameters!$B$7/Parameters!$B$9)*O102</f>
        <v>1.3193115405919074</v>
      </c>
      <c r="X102" s="7">
        <f>W102 - D102 - E102 - LN(1+EXP(Parameters!$B$21*C102))/Parameters!$B$21 - IF(C102&gt;0, 0,Parameters!$B$6*C102^2/F102)</f>
        <v>1.0158043533613073</v>
      </c>
      <c r="Y102" s="7">
        <f>EXP(-Parameters!$B$55*A102)</f>
        <v>0.22768322047454675</v>
      </c>
      <c r="Z102" s="7">
        <f>IF(X102&gt;0,X102^(1-Parameters!$B$52)/(1-Parameters!$B$52)*Y102*Parameters!$B$65,-10+X102*1000)</f>
        <v>-0.64696301932723888</v>
      </c>
      <c r="AC102">
        <f t="shared" si="103"/>
        <v>0.41960167570543011</v>
      </c>
      <c r="AD102">
        <f t="shared" si="104"/>
        <v>61.088079086291387</v>
      </c>
      <c r="AE102" s="23">
        <f t="shared" si="105"/>
        <v>0.2108307057291785</v>
      </c>
      <c r="AF102" s="23">
        <f t="shared" si="106"/>
        <v>10.749877953373021</v>
      </c>
      <c r="AG102" s="23">
        <f t="shared" si="107"/>
        <v>898.53038833243033</v>
      </c>
      <c r="AH102" s="23">
        <f t="shared" si="108"/>
        <v>233.95956288149773</v>
      </c>
      <c r="AI102" s="23">
        <f t="shared" si="109"/>
        <v>575.79229640271126</v>
      </c>
      <c r="AJ102" s="23">
        <f t="shared" si="110"/>
        <v>901.31161874712745</v>
      </c>
      <c r="AK102" s="23">
        <f t="shared" si="111"/>
        <v>693.96517644929861</v>
      </c>
      <c r="AL102" s="9">
        <f t="shared" si="120"/>
        <v>2.2863147465567835E-2</v>
      </c>
      <c r="AM102" s="9">
        <f t="shared" si="121"/>
        <v>3.3904344460347069E-2</v>
      </c>
      <c r="AN102" s="9">
        <f t="shared" ref="AN102:AO102" si="155">AVERAGE(AL100:AL104)</f>
        <v>2.2690015034595667E-2</v>
      </c>
      <c r="AO102" s="9">
        <f t="shared" si="155"/>
        <v>2.243189355193138E-2</v>
      </c>
      <c r="AP102" s="23"/>
      <c r="AQ102" s="25">
        <f t="shared" si="100"/>
        <v>901.31161874712745</v>
      </c>
      <c r="AR102" s="4"/>
      <c r="AS102" s="4"/>
      <c r="AT102" s="4"/>
      <c r="AU102" s="16"/>
      <c r="AV102" s="16"/>
      <c r="AX102" s="13">
        <f>1-W102/'6states,ExoDamages'!T102</f>
        <v>9.5119418631772867E-2</v>
      </c>
      <c r="AY102" s="21">
        <f>-Y102*W102*X102^(-Parameters!B$52)*Parameters!B$46*Parameters!B$45*N102</f>
        <v>-7.6966387731821325E-6</v>
      </c>
      <c r="AZ102" s="7">
        <f>1000*EXP(-(Parameters!$B$54)*'6states'!A102)*AQ102*Parameters!B$46*Parameters!B$45*N102</f>
        <v>0.75649336275778001</v>
      </c>
      <c r="BA102" s="7">
        <f>SUM(AZ102:AZ$204)*EXP(Parameters!$B$54*A102)</f>
        <v>1661.4327771921455</v>
      </c>
      <c r="BF102" s="5"/>
      <c r="BG102" s="5"/>
      <c r="BH102" s="5"/>
      <c r="BK102">
        <f>-EXP(-Parameters!B$42*'6states'!A102)*(-Parameters!B$37/Parameters!B$38/Parameters!E$25*(EXP(-Parameters!B$38*Parameters!E$25*'6states'!I102/('6states'!F102+'6states'!I102))-EXP(-Parameters!B$38*Parameters!E$25))+Parameters!B$37*'6states'!F102/('6states'!F102+'6states'!I102)*EXP(-Parameters!B$38*Parameters!E$25*'6states'!I102/('6states'!F102+'6states'!I102)))</f>
        <v>-0.96913252256453142</v>
      </c>
      <c r="BL102">
        <f>-J102*K102*EXP(-Parameters!B$42*'6states'!A102)*(-Parameters!B$37/Parameters!B$38/Parameters!E$25*(EXP(-Parameters!B$38*Parameters!E$25*'6states'!I102/('6states'!F102+'6states'!I102))-EXP(-Parameters!B$38*Parameters!E$25)) + Parameters!B$37*'6states'!F102/('6states'!F102+'6states'!I102)*EXP(-Parameters!B$38*Parameters!E$25*'6states'!I102/('6states'!F102+'6states'!I102)))</f>
        <v>-662.08046834884385</v>
      </c>
      <c r="BM102" s="7">
        <f t="shared" si="153"/>
        <v>1.9235134541606164E-2</v>
      </c>
    </row>
    <row r="103" spans="1:79" x14ac:dyDescent="0.25">
      <c r="A103">
        <f>A102+Parameters!$B$65</f>
        <v>99</v>
      </c>
      <c r="B103">
        <v>2124</v>
      </c>
      <c r="C103" s="74">
        <v>6.0396064010230304E-4</v>
      </c>
      <c r="D103" s="69">
        <v>9.0538008297488606E-2</v>
      </c>
      <c r="E103" s="75">
        <v>0.22600529763369201</v>
      </c>
      <c r="F103" s="7">
        <f>MAX((1-Parameters!$B$4)^Parameters!B$65*F102 + C102*Parameters!B$65 - IF(C102&gt;0,Parameters!$B$5,0)*C102^2/F102*Parameters!B$65, 0.0001)</f>
        <v>1.5335805678382232E-2</v>
      </c>
      <c r="G103" s="7">
        <f>(1-Parameters!$B$4)^Parameters!B$65*G102+D102*Parameters!B$65-Parameters!$B$5*D102^2/G102*Parameters!B$65</f>
        <v>1.3158513570785102</v>
      </c>
      <c r="H103" s="7">
        <f>(1-Parameters!$B$4)^Parameters!B$65*H102+E102*Parameters!B$65-Parameters!$B$5*E102^2/H102*Parameters!B$65</f>
        <v>3.2275839332265908</v>
      </c>
      <c r="I103" s="9">
        <f>I102 *(1-Parameters!$B$4)-C102*(C102&lt;0)*Parameters!B$65</f>
        <v>2.8919594040068827E-4</v>
      </c>
      <c r="J103" s="23">
        <f>J102*(1+Parameters!$B$51)^Parameters!B$65</f>
        <v>10.869151911482337</v>
      </c>
      <c r="K103" s="23">
        <f>K102*(1+Parameters!$B$53)^Parameters!B$65</f>
        <v>64.296858269130823</v>
      </c>
      <c r="L103" s="23">
        <f>J103*K103*EXP(-Parameters!$B$42*'6states'!A103)*(Parameters!$B$37/Parameters!$B$38*('6states'!F103+'6states'!I103)/Parameters!$E$25*(EXP(-Parameters!$B$38*Parameters!$E$25*'6states'!I103/('6states'!F103+'6states'!I103))-EXP(-Parameters!$B$38*Parameters!$E$25))  +  Parameters!$B$39*'6states'!F103)</f>
        <v>3.319469848662687</v>
      </c>
      <c r="M103" s="8">
        <f>M102+L103*Parameters!B$65</f>
        <v>3620.0633319875719</v>
      </c>
      <c r="N103" s="7">
        <f>M103*Parameters!$B$45</f>
        <v>2.1720379991925429</v>
      </c>
      <c r="O103" s="9">
        <f>EXP(-Parameters!$B$46/2*N103^2)</f>
        <v>0.95369308021099808</v>
      </c>
      <c r="P103" s="8">
        <f>MAX((Parameters!$B$62 + Parameters!$B$31*'6states'!A103 - '6states'!M103 + Parameters!$B$47/Parameters!$B$45)/Parameters!B$62,1)</f>
        <v>79.934733360248572</v>
      </c>
      <c r="Q103" s="7">
        <f>Parameters!B$61*EXP(-Parameters!B$60*A103)</f>
        <v>3.4522389978515207E-2</v>
      </c>
      <c r="R103" s="7">
        <f>(1-Parameters!B$61)*P103^-Parameters!B$63</f>
        <v>0.32262383645922976</v>
      </c>
      <c r="S103" s="7">
        <f>Parameters!B$61*EXP(-Parameters!B$60*A103)+(1-Parameters!B$61)*P103^-Parameters!B$63</f>
        <v>0.35714622643774496</v>
      </c>
      <c r="T103" s="7">
        <f>1-S103/Parameters!$B$12</f>
        <v>0.82142688678112752</v>
      </c>
      <c r="U103" s="7">
        <f t="shared" si="102"/>
        <v>5.5999471699545591</v>
      </c>
      <c r="V103" s="7">
        <f>(Parameters!$B$19*(F103+Parameters!$B$20)^T103+Parameters!$B$18*G103^T103)^(1/T103)</f>
        <v>0.34245324421421119</v>
      </c>
      <c r="W103" s="7">
        <f>(Parameters!$B$10*H103^Parameters!$B$9+Parameters!$B$11*V103^Parameters!$B$9)^(Parameters!$B$7/Parameters!$B$9)*O103</f>
        <v>1.3187057902354717</v>
      </c>
      <c r="X103" s="7">
        <f>W103 - D103 - E103 - LN(1+EXP(Parameters!$B$21*C103))/Parameters!$B$21 - IF(C103&gt;0, 0,Parameters!$B$6*C103^2/F103)</f>
        <v>0.99953635323547296</v>
      </c>
      <c r="Y103" s="7">
        <f>EXP(-Parameters!$B$55*A103)</f>
        <v>0.22427103071228871</v>
      </c>
      <c r="Z103" s="7">
        <f>IF(X103&gt;0,X103^(1-Parameters!$B$52)/(1-Parameters!$B$52)*Y103*Parameters!$B$65,-10+X103*1000)</f>
        <v>-0.64087838855581036</v>
      </c>
      <c r="AC103">
        <f t="shared" si="103"/>
        <v>0.42207929449895343</v>
      </c>
      <c r="AD103">
        <f t="shared" si="104"/>
        <v>63.272697143097588</v>
      </c>
      <c r="AE103" s="23">
        <f t="shared" si="105"/>
        <v>0.20210525387152364</v>
      </c>
      <c r="AF103" s="23">
        <f t="shared" si="106"/>
        <v>10.717463376766053</v>
      </c>
      <c r="AG103" s="23">
        <f t="shared" si="107"/>
        <v>919.58577361450511</v>
      </c>
      <c r="AH103" s="23">
        <f t="shared" si="108"/>
        <v>239.32424419632457</v>
      </c>
      <c r="AI103" s="23">
        <f t="shared" si="109"/>
        <v>588.99518555025782</v>
      </c>
      <c r="AJ103" s="23">
        <f t="shared" si="110"/>
        <v>921.58060084841338</v>
      </c>
      <c r="AK103" s="23">
        <f t="shared" si="111"/>
        <v>698.52829934120132</v>
      </c>
      <c r="AL103" s="9">
        <f t="shared" si="120"/>
        <v>2.2239183715620392E-2</v>
      </c>
      <c r="AM103" s="9">
        <f t="shared" si="121"/>
        <v>6.5539111023902308E-3</v>
      </c>
      <c r="AN103" s="9">
        <f t="shared" ref="AN103:AO103" si="156">AVERAGE(AL101:AL105)</f>
        <v>2.2706273869073888E-2</v>
      </c>
      <c r="AO103" s="9">
        <f t="shared" si="156"/>
        <v>2.2207318195421166E-2</v>
      </c>
      <c r="AP103" s="23"/>
      <c r="AQ103" s="25">
        <f t="shared" si="100"/>
        <v>921.58060084841338</v>
      </c>
      <c r="AR103" s="4"/>
      <c r="AS103" s="4"/>
      <c r="AT103" s="4"/>
      <c r="AU103" s="16"/>
      <c r="AV103" s="16"/>
      <c r="AX103" s="13">
        <f>1-W103/'6states,ExoDamages'!T103</f>
        <v>9.5441373472989199E-2</v>
      </c>
      <c r="AY103" s="21">
        <f>-Y103*W103*X103^(-Parameters!B$52)*Parameters!B$46*Parameters!B$45*N103</f>
        <v>-7.7518920589752052E-6</v>
      </c>
      <c r="AZ103" s="7">
        <f>1000*EXP(-(Parameters!$B$54)*'6states'!A103)*AQ103*Parameters!B$46*Parameters!B$45*N103</f>
        <v>0.74751197749065068</v>
      </c>
      <c r="BA103" s="7">
        <f>SUM(AZ103:AZ$204)*EXP(Parameters!$B$54*A103)</f>
        <v>1696.3539490298149</v>
      </c>
      <c r="BF103" s="5"/>
      <c r="BG103" s="5"/>
      <c r="BH103" s="5"/>
      <c r="BK103">
        <f>-EXP(-Parameters!B$42*'6states'!A103)*(-Parameters!B$37/Parameters!B$38/Parameters!E$25*(EXP(-Parameters!B$38*Parameters!E$25*'6states'!I103/('6states'!F103+'6states'!I103))-EXP(-Parameters!B$38*Parameters!E$25))+Parameters!B$37*'6states'!F103/('6states'!F103+'6states'!I103)*EXP(-Parameters!B$38*Parameters!E$25*'6states'!I103/('6states'!F103+'6states'!I103)))</f>
        <v>-0.99039474815757067</v>
      </c>
      <c r="BL103">
        <f>-J103*K103*EXP(-Parameters!B$42*'6states'!A103)*(-Parameters!B$37/Parameters!B$38/Parameters!E$25*(EXP(-Parameters!B$38*Parameters!E$25*'6states'!I103/('6states'!F103+'6states'!I103))-EXP(-Parameters!B$38*Parameters!E$25)) + Parameters!B$37*'6states'!F103/('6states'!F103+'6states'!I103)*EXP(-Parameters!B$38*Parameters!E$25*'6states'!I103/('6states'!F103+'6states'!I103)))</f>
        <v>-692.1396674243673</v>
      </c>
      <c r="BM103" s="7">
        <f t="shared" si="153"/>
        <v>1.8508538268120489E-2</v>
      </c>
    </row>
    <row r="104" spans="1:79" s="89" customFormat="1" x14ac:dyDescent="0.25">
      <c r="A104" s="89">
        <f>A103+Parameters!$B$65</f>
        <v>100</v>
      </c>
      <c r="B104" s="89">
        <v>2125</v>
      </c>
      <c r="C104" s="90">
        <v>6.0146646133614598E-4</v>
      </c>
      <c r="D104" s="91">
        <v>9.1287170868894901E-2</v>
      </c>
      <c r="E104" s="92">
        <v>0.218583330189831</v>
      </c>
      <c r="F104" s="93">
        <f>MAX((1-Parameters!$B$4)^Parameters!B$65*F103 + C103*Parameters!B$65 - IF(C103&gt;0,Parameters!$B$5,0)*C103^2/F103*Parameters!B$65, 0.0001)</f>
        <v>1.4951358729419894E-2</v>
      </c>
      <c r="G104" s="93">
        <f>(1-Parameters!$B$4)^Parameters!B$65*G103+D103*Parameters!B$65-Parameters!$B$5*D103^2/G103*Parameters!B$65</f>
        <v>1.3173927884796666</v>
      </c>
      <c r="H104" s="93">
        <f>(1-Parameters!$B$4)^Parameters!B$65*H103+E103*Parameters!B$65-Parameters!$B$5*E103^2/H103*Parameters!B$65</f>
        <v>3.2347486193483785</v>
      </c>
      <c r="I104" s="94">
        <f>I103 *(1-Parameters!$B$4)-C103*(C103&lt;0)*Parameters!B$65</f>
        <v>2.71005515749485E-4</v>
      </c>
      <c r="J104" s="64">
        <f>J103*(1+Parameters!$B$51)^Parameters!B$65</f>
        <v>10.900672452025635</v>
      </c>
      <c r="K104" s="64">
        <f>K103*(1+Parameters!$B$53)^Parameters!B$65</f>
        <v>65.582795434513443</v>
      </c>
      <c r="L104" s="64">
        <f>J104*K104*EXP(-Parameters!$B$42*'6states'!A104)*(Parameters!$B$37/Parameters!$B$38*('6states'!F104+'6states'!I104)/Parameters!$E$25*(EXP(-Parameters!$B$38*Parameters!$E$25*'6states'!I104/('6states'!F104+'6states'!I104))-EXP(-Parameters!$B$38*Parameters!$E$25))  +  Parameters!$B$39*'6states'!F104)</f>
        <v>3.2854013040734573</v>
      </c>
      <c r="M104" s="95">
        <f>M103+L104*Parameters!B$65</f>
        <v>3623.3487332916452</v>
      </c>
      <c r="N104" s="93">
        <f>M104*Parameters!$B$45</f>
        <v>2.1740092399749869</v>
      </c>
      <c r="O104" s="94">
        <f>EXP(-Parameters!$B$46/2*N104^2)</f>
        <v>0.95361097133344452</v>
      </c>
      <c r="P104" s="95">
        <f>MAX((Parameters!$B$62 + Parameters!$B$31*'6states'!A104 - '6states'!M104 + Parameters!$B$47/Parameters!$B$45)/Parameters!B$62,1)</f>
        <v>80.933025334167098</v>
      </c>
      <c r="Q104" s="93">
        <f>Parameters!B$61*EXP(-Parameters!B$60*A104)</f>
        <v>3.3602756369874878E-2</v>
      </c>
      <c r="R104" s="93">
        <f>(1-Parameters!B$61)*P104^-Parameters!B$63</f>
        <v>0.32222366039728162</v>
      </c>
      <c r="S104" s="93">
        <f>Parameters!B$61*EXP(-Parameters!B$60*A104)+(1-Parameters!B$61)*P104^-Parameters!B$63</f>
        <v>0.35582641676715648</v>
      </c>
      <c r="T104" s="93">
        <f>1-S104/Parameters!$B$12</f>
        <v>0.82208679161642173</v>
      </c>
      <c r="U104" s="93">
        <f t="shared" si="102"/>
        <v>5.6207181528873038</v>
      </c>
      <c r="V104" s="93">
        <f>(Parameters!$B$19*(F104+Parameters!$B$20)^T104+Parameters!$B$18*G104^T104)^(1/T104)</f>
        <v>0.34267708960113596</v>
      </c>
      <c r="W104" s="93">
        <f>(Parameters!$B$10*H104^Parameters!$B$9+Parameters!$B$11*V104^Parameters!$B$9)^(Parameters!$B$7/Parameters!$B$9)*O104</f>
        <v>1.3192794898704809</v>
      </c>
      <c r="X104" s="93">
        <f>W104 - D104 - E104 - LN(1+EXP(Parameters!$B$21*C104))/Parameters!$B$21 - IF(C104&gt;0, 0,Parameters!$B$6*C104^2/F104)</f>
        <v>1.0067842172717971</v>
      </c>
      <c r="Y104" s="93">
        <f>EXP(-Parameters!$B$55*A104)</f>
        <v>0.22090997795937814</v>
      </c>
      <c r="Z104" s="93">
        <f>IF(X104&gt;0,X104^(1-Parameters!$B$52)/(1-Parameters!$B$52)*Y104*Parameters!$B$65,-10+X104*1000)</f>
        <v>-0.62967949111653498</v>
      </c>
      <c r="AC104">
        <f t="shared" si="103"/>
        <v>0.42998631109337709</v>
      </c>
      <c r="AD104">
        <f t="shared" si="104"/>
        <v>65.260885477918166</v>
      </c>
      <c r="AE104" s="64">
        <f t="shared" si="105"/>
        <v>0.19374091407227098</v>
      </c>
      <c r="AF104" s="64">
        <f t="shared" si="106"/>
        <v>10.688675095225413</v>
      </c>
      <c r="AG104" s="64">
        <f t="shared" si="107"/>
        <v>941.79958782906658</v>
      </c>
      <c r="AH104" s="64">
        <f t="shared" si="108"/>
        <v>244.9786764942468</v>
      </c>
      <c r="AI104" s="64">
        <f t="shared" si="109"/>
        <v>602.9111739269473</v>
      </c>
      <c r="AJ104" s="64">
        <f t="shared" si="110"/>
        <v>943.14838418484135</v>
      </c>
      <c r="AK104" s="64">
        <f t="shared" si="111"/>
        <v>719.74658518788669</v>
      </c>
      <c r="AL104" s="94">
        <f t="shared" si="120"/>
        <v>2.3133383285600218E-2</v>
      </c>
      <c r="AM104" s="94">
        <f t="shared" si="121"/>
        <v>2.9923492715765221E-2</v>
      </c>
      <c r="AN104" s="9">
        <f t="shared" ref="AN104:AO104" si="157">AVERAGE(AL102:AL106)</f>
        <v>2.2734435691625345E-2</v>
      </c>
      <c r="AO104" s="9">
        <f t="shared" si="157"/>
        <v>2.2273643513731223E-2</v>
      </c>
      <c r="AP104" s="64"/>
      <c r="AQ104" s="96">
        <f t="shared" si="100"/>
        <v>943.14838418484146</v>
      </c>
      <c r="AR104" s="97"/>
      <c r="AS104" s="97"/>
      <c r="AT104" s="97"/>
      <c r="AU104" s="88"/>
      <c r="AV104" s="88"/>
      <c r="AX104" s="98">
        <f>1-W104/'6states,ExoDamages'!T104</f>
        <v>9.4956225969325514E-2</v>
      </c>
      <c r="AY104" s="99">
        <f>-Y104*W104*X104^(-Parameters!B$52)*Parameters!B$46*Parameters!B$45*N104</f>
        <v>-7.571757530204771E-6</v>
      </c>
      <c r="AZ104" s="93">
        <f>1000*EXP(-(Parameters!$B$54)*'6states'!A104)*AQ104*Parameters!B$46*Parameters!B$45*N104</f>
        <v>0.73929043442442077</v>
      </c>
      <c r="BA104" s="93">
        <f>SUM(AZ104:AZ$204)*EXP(Parameters!$B$54*A104)</f>
        <v>1731.9502884629867</v>
      </c>
      <c r="BC104" s="93"/>
      <c r="BD104" s="93"/>
      <c r="BE104" s="93"/>
      <c r="BF104" s="100"/>
      <c r="BG104" s="100"/>
      <c r="BH104" s="100"/>
      <c r="BK104" s="89">
        <f>-EXP(-Parameters!B$42*'6states'!A104)*(-Parameters!B$37/Parameters!B$38/Parameters!E$25*(EXP(-Parameters!B$38*Parameters!E$25*'6states'!I104/('6states'!F104+'6states'!I104))-EXP(-Parameters!B$38*Parameters!E$25))+Parameters!B$37*'6states'!F104/('6states'!F104+'6states'!I104)*EXP(-Parameters!B$38*Parameters!E$25*'6states'!I104/('6states'!F104+'6states'!I104)))</f>
        <v>-1.0111882858948016</v>
      </c>
      <c r="BL104" s="89">
        <f>-J104*K104*EXP(-Parameters!B$42*'6states'!A104)*(-Parameters!B$37/Parameters!B$38/Parameters!E$25*(EXP(-Parameters!B$38*Parameters!E$25*'6states'!I104/('6states'!F104+'6states'!I104))-EXP(-Parameters!B$38*Parameters!E$25)) + Parameters!B$37*'6states'!F104/('6states'!F104+'6states'!I104)*EXP(-Parameters!B$38*Parameters!E$25*'6states'!I104/('6states'!F104+'6states'!I104)))</f>
        <v>-722.89503874721061</v>
      </c>
      <c r="BM104" s="93">
        <f t="shared" si="153"/>
        <v>1.7803115953915313E-2</v>
      </c>
      <c r="BY104" s="93"/>
    </row>
    <row r="105" spans="1:79" x14ac:dyDescent="0.25">
      <c r="A105">
        <f>A104+Parameters!$B$65</f>
        <v>101</v>
      </c>
      <c r="B105">
        <v>2126</v>
      </c>
      <c r="C105" s="74">
        <v>6.0582255753798995E-4</v>
      </c>
      <c r="D105" s="69">
        <v>8.8984474976291403E-2</v>
      </c>
      <c r="E105" s="75">
        <v>0.220278516769289</v>
      </c>
      <c r="F105" s="7">
        <f>MAX((1-Parameters!$B$4)^Parameters!B$65*F104 + C104*Parameters!B$65 - IF(C104&gt;0,Parameters!$B$5,0)*C104^2/F104*Parameters!B$65, 0.0001)</f>
        <v>1.4588188805043312E-2</v>
      </c>
      <c r="G105" s="7">
        <f>(1-Parameters!$B$4)^Parameters!B$65*G104+D104*Parameters!B$65-Parameters!$B$5*D104^2/G104*Parameters!B$65</f>
        <v>1.3194903167130956</v>
      </c>
      <c r="H105" s="7">
        <f>(1-Parameters!$B$4)^Parameters!B$65*H104+E104*Parameters!B$65-Parameters!$B$5*E104^2/H104*Parameters!B$65</f>
        <v>3.2350958177210334</v>
      </c>
      <c r="I105" s="9">
        <f>I104 *(1-Parameters!$B$4)-C104*(C104&lt;0)*Parameters!B$65</f>
        <v>2.5395926880884243E-4</v>
      </c>
      <c r="J105" s="23">
        <f>J104*(1+Parameters!$B$51)^Parameters!B$65</f>
        <v>10.932284402136508</v>
      </c>
      <c r="K105" s="23">
        <f>K104*(1+Parameters!$B$53)^Parameters!B$65</f>
        <v>66.894451343203713</v>
      </c>
      <c r="L105" s="23">
        <f>J105*K105*EXP(-Parameters!$B$42*'6states'!A105)*(Parameters!$B$37/Parameters!$B$38*('6states'!F105+'6states'!I105)/Parameters!$E$25*(EXP(-Parameters!$B$38*Parameters!$E$25*'6states'!I105/('6states'!F105+'6states'!I105))-EXP(-Parameters!$B$38*Parameters!$E$25))  +  Parameters!$B$39*'6states'!F105)</f>
        <v>3.2543417514698931</v>
      </c>
      <c r="M105" s="8">
        <f>M104+L105*Parameters!B$65</f>
        <v>3626.603075043115</v>
      </c>
      <c r="N105" s="7">
        <f>M105*Parameters!$B$45</f>
        <v>2.1759618450258689</v>
      </c>
      <c r="O105" s="9">
        <f>EXP(-Parameters!$B$46/2*N105^2)</f>
        <v>0.95352957224467016</v>
      </c>
      <c r="P105" s="8">
        <f>MAX((Parameters!$B$62 + Parameters!$B$31*'6states'!A105 - '6states'!M105 + Parameters!$B$47/Parameters!$B$45)/Parameters!B$62,1)</f>
        <v>81.931938499137729</v>
      </c>
      <c r="Q105" s="8"/>
      <c r="R105" s="8"/>
      <c r="S105" s="7">
        <f>Parameters!B$61*EXP(-Parameters!B$60*A105)+(1-Parameters!B$61)*P105^-Parameters!B$63</f>
        <v>0.35453625422711105</v>
      </c>
      <c r="T105" s="7">
        <f>1-S105/Parameters!$B$12</f>
        <v>0.82273187288644445</v>
      </c>
      <c r="U105" s="7">
        <f t="shared" si="102"/>
        <v>5.6411720272726384</v>
      </c>
      <c r="V105" s="7">
        <f>(Parameters!$B$19*(F105+Parameters!$B$20)^T105+Parameters!$B$18*G105^T105)^(1/T105)</f>
        <v>0.343052133124439</v>
      </c>
      <c r="W105" s="7">
        <f>(Parameters!$B$10*H105^Parameters!$B$9+Parameters!$B$11*V105^Parameters!$B$9)^(Parameters!$B$7/Parameters!$B$9)*O105</f>
        <v>1.3193294172755723</v>
      </c>
      <c r="X105" s="7">
        <f>W105 - D105 - E105 - LN(1+EXP(Parameters!$B$21*C105))/Parameters!$B$21 - IF(C105&gt;0, 0,Parameters!$B$6*C105^2/F105)</f>
        <v>1.0074392792641307</v>
      </c>
      <c r="Y105" s="7">
        <f>EXP(-Parameters!$B$55*A105)</f>
        <v>0.21759929584761534</v>
      </c>
      <c r="Z105" s="7">
        <f>IF(X105&gt;0,X105^(1-Parameters!$B$52)/(1-Parameters!$B$52)*Y105*Parameters!$B$65,-10+X105*1000)</f>
        <v>-0.62010157357971274</v>
      </c>
      <c r="AC105">
        <f t="shared" si="103"/>
        <v>0.4430435899082395</v>
      </c>
      <c r="AD105">
        <f t="shared" si="104"/>
        <v>65.075162271625786</v>
      </c>
      <c r="AE105" s="23">
        <f t="shared" si="105"/>
        <v>0.18572274132675481</v>
      </c>
      <c r="AF105" s="23">
        <f t="shared" si="106"/>
        <v>10.668476203183115</v>
      </c>
      <c r="AG105" s="23">
        <f t="shared" si="107"/>
        <v>964.95536439161253</v>
      </c>
      <c r="AH105" s="23">
        <f t="shared" si="108"/>
        <v>250.87716971582049</v>
      </c>
      <c r="AI105" s="23">
        <f t="shared" si="109"/>
        <v>617.42781481794611</v>
      </c>
      <c r="AJ105" s="23">
        <f t="shared" si="110"/>
        <v>964.83769715798519</v>
      </c>
      <c r="AK105" s="23">
        <f t="shared" si="111"/>
        <v>736.74958013058267</v>
      </c>
      <c r="AL105" s="9">
        <f t="shared" si="120"/>
        <v>2.2736274140910062E-2</v>
      </c>
      <c r="AM105" s="9">
        <f t="shared" si="121"/>
        <v>2.3348866684570702E-2</v>
      </c>
      <c r="AN105" s="9">
        <f t="shared" ref="AN105:AO105" si="158">AVERAGE(AL103:AL107)</f>
        <v>2.2757398793235063E-2</v>
      </c>
      <c r="AO105" s="9">
        <f t="shared" si="158"/>
        <v>2.0590597003070775E-2</v>
      </c>
      <c r="AP105" s="23"/>
      <c r="AQ105" s="25">
        <f t="shared" si="100"/>
        <v>964.83769715798519</v>
      </c>
      <c r="AR105" s="4"/>
      <c r="AS105" s="4"/>
      <c r="AT105" s="4"/>
      <c r="AU105" s="16"/>
      <c r="AV105" s="16"/>
      <c r="AY105" s="21">
        <f>-Y105*W105*X105^(-Parameters!B$52)*Parameters!B$46*Parameters!B$45*N105</f>
        <v>-7.4587118211467034E-6</v>
      </c>
      <c r="AZ105" s="7">
        <f>1000*EXP(-(Parameters!$B$54)*'6states'!A105)*AQ105*Parameters!B$46*Parameters!B$45*N105</f>
        <v>0.73086216368793511</v>
      </c>
      <c r="BA105" s="93">
        <f>SUM(AZ105:AZ$204)*EXP(Parameters!$B$54*A105)</f>
        <v>1768.2098775154532</v>
      </c>
      <c r="BF105" s="5"/>
      <c r="BG105" s="5"/>
      <c r="BH105" s="5"/>
      <c r="BK105">
        <f>-EXP(-Parameters!B$42*'6states'!A105)*(-Parameters!B$37/Parameters!B$38/Parameters!E$25*(EXP(-Parameters!B$38*Parameters!E$25*'6states'!I105/('6states'!F105+'6states'!I105))-EXP(-Parameters!B$38*Parameters!E$25))+Parameters!B$37*'6states'!F105/('6states'!F105+'6states'!I105)*EXP(-Parameters!B$38*Parameters!E$25*'6states'!I105/('6states'!F105+'6states'!I105)))</f>
        <v>-1.0318329739598158</v>
      </c>
      <c r="BL105">
        <f>-J105*K105*EXP(-Parameters!B$42*'6states'!A105)*(-Parameters!B$37/Parameters!B$38/Parameters!E$25*(EXP(-Parameters!B$38*Parameters!E$25*'6states'!I105/('6states'!F105+'6states'!I105))-EXP(-Parameters!B$38*Parameters!E$25)) + Parameters!B$37*'6states'!F105/('6states'!F105+'6states'!I105)*EXP(-Parameters!B$38*Parameters!E$25*'6states'!I105/('6states'!F105+'6states'!I105)))</f>
        <v>-754.58891267875083</v>
      </c>
      <c r="BM105" s="7">
        <f t="shared" si="153"/>
        <v>1.7110681522996652E-2</v>
      </c>
    </row>
    <row r="106" spans="1:79" x14ac:dyDescent="0.25">
      <c r="A106">
        <f>A105+Parameters!$B$65</f>
        <v>102</v>
      </c>
      <c r="B106">
        <v>2127</v>
      </c>
      <c r="C106" s="74">
        <v>5.9345338644526497E-4</v>
      </c>
      <c r="D106" s="69">
        <v>9.1516036855825197E-2</v>
      </c>
      <c r="E106" s="75">
        <v>0.222841612736395</v>
      </c>
      <c r="F106" s="7">
        <f>MAX((1-Parameters!$B$4)^Parameters!B$65*F105 + C105*Parameters!B$65 - IF(C105&gt;0,Parameters!$B$5,0)*C105^2/F105*Parameters!B$65, 0.0001)</f>
        <v>1.4251255510961373E-2</v>
      </c>
      <c r="G106" s="7">
        <f>(1-Parameters!$B$4)^Parameters!B$65*G105+D105*Parameters!B$65-Parameters!$B$5*D105^2/G105*Parameters!B$65</f>
        <v>1.3194778694145672</v>
      </c>
      <c r="H106" s="7">
        <f>(1-Parameters!$B$4)^Parameters!B$65*H105+E105*Parameters!B$65-Parameters!$B$5*E105^2/H105*Parameters!B$65</f>
        <v>3.2368879859800357</v>
      </c>
      <c r="I106" s="9">
        <f>I105 *(1-Parameters!$B$4)-C105*(C105&lt;0)*Parameters!B$65</f>
        <v>2.3798523080076624E-4</v>
      </c>
      <c r="J106" s="23">
        <f>J105*(1+Parameters!$B$51)^Parameters!B$65</f>
        <v>10.963988026902703</v>
      </c>
      <c r="K106" s="23">
        <f>K105*(1+Parameters!$B$53)^Parameters!B$65</f>
        <v>68.232340370067789</v>
      </c>
      <c r="L106" s="23">
        <f>J106*K106*EXP(-Parameters!$B$42*'6states'!A106)*(Parameters!$B$37/Parameters!$B$38*('6states'!F106+'6states'!I106)/Parameters!$E$25*(EXP(-Parameters!$B$38*Parameters!$E$25*'6states'!I106/('6states'!F106+'6states'!I106))-EXP(-Parameters!$B$38*Parameters!$E$25))  +  Parameters!$B$39*'6states'!F106)</f>
        <v>3.2276484061532198</v>
      </c>
      <c r="M106" s="8">
        <f>M105+L106*Parameters!B$65</f>
        <v>3629.8307234492681</v>
      </c>
      <c r="N106" s="7">
        <f>M106*Parameters!$B$45</f>
        <v>2.1778984340695606</v>
      </c>
      <c r="O106" s="9">
        <f>EXP(-Parameters!$B$46/2*N106^2)</f>
        <v>0.95344877551433527</v>
      </c>
      <c r="P106" s="8">
        <f>MAX((Parameters!$B$62 + Parameters!$B$31*'6states'!A106 - '6states'!M106 + Parameters!$B$47/Parameters!$B$45)/Parameters!B$62,1)</f>
        <v>82.931385531014641</v>
      </c>
      <c r="Q106" s="8"/>
      <c r="R106" s="8"/>
      <c r="S106" s="7">
        <f>Parameters!B$61*EXP(-Parameters!B$60*A106)+(1-Parameters!B$61)*P106^-Parameters!B$63</f>
        <v>0.35327499267833362</v>
      </c>
      <c r="T106" s="7">
        <f>1-S106/Parameters!$B$12</f>
        <v>0.82336250366083319</v>
      </c>
      <c r="U106" s="7">
        <f t="shared" si="102"/>
        <v>5.6613121263894666</v>
      </c>
      <c r="V106" s="7">
        <f>(Parameters!$B$19*(F106+Parameters!$B$20)^T106+Parameters!$B$18*G106^T106)^(1/T106)</f>
        <v>0.34294589709744944</v>
      </c>
      <c r="W106" s="7">
        <f>(Parameters!$B$10*H106^Parameters!$B$9+Parameters!$B$11*V106^Parameters!$B$9)^(Parameters!$B$7/Parameters!$B$9)*O106</f>
        <v>1.3193317385614978</v>
      </c>
      <c r="X106" s="7">
        <f>W106 - D106 - E106 - LN(1+EXP(Parameters!$B$21*C106))/Parameters!$B$21 - IF(C106&gt;0, 0,Parameters!$B$6*C106^2/F106)</f>
        <v>1.0023536820703582</v>
      </c>
      <c r="Y106" s="7">
        <f>EXP(-Parameters!$B$55*A106)</f>
        <v>0.2143382294940287</v>
      </c>
      <c r="Z106" s="7">
        <f>IF(X106&gt;0,X106^(1-Parameters!$B$52)/(1-Parameters!$B$52)*Y106*Parameters!$B$65,-10+X106*1000)</f>
        <v>-0.61189125738060468</v>
      </c>
      <c r="AC106">
        <f t="shared" si="103"/>
        <v>0.44396162552705426</v>
      </c>
      <c r="AD106">
        <f t="shared" si="104"/>
        <v>68.463015650940747</v>
      </c>
      <c r="AE106" s="23">
        <f t="shared" si="105"/>
        <v>0.17803640914514218</v>
      </c>
      <c r="AF106" s="23">
        <f t="shared" si="106"/>
        <v>10.661343766771731</v>
      </c>
      <c r="AG106" s="23">
        <f t="shared" si="107"/>
        <v>987.09949784117441</v>
      </c>
      <c r="AH106" s="23">
        <f t="shared" si="108"/>
        <v>256.55733275904089</v>
      </c>
      <c r="AI106" s="23">
        <f t="shared" si="109"/>
        <v>631.40712851778517</v>
      </c>
      <c r="AJ106" s="23">
        <f t="shared" si="110"/>
        <v>986.99017756000296</v>
      </c>
      <c r="AK106" s="23">
        <f t="shared" si="111"/>
        <v>749.8593490392492</v>
      </c>
      <c r="AL106" s="9">
        <f t="shared" si="120"/>
        <v>2.270018985042821E-2</v>
      </c>
      <c r="AM106" s="9">
        <f t="shared" si="121"/>
        <v>1.7637602605582892E-2</v>
      </c>
      <c r="AN106" s="9">
        <f t="shared" ref="AN106:AO106" si="159">AVERAGE(AL104:AL108)</f>
        <v>2.2874174091911927E-2</v>
      </c>
      <c r="AO106" s="9">
        <f t="shared" si="159"/>
        <v>2.2337974760100111E-2</v>
      </c>
      <c r="AP106" s="23"/>
      <c r="AQ106" s="25">
        <f t="shared" si="100"/>
        <v>986.99017756000308</v>
      </c>
      <c r="AR106" s="4"/>
      <c r="AS106" s="4"/>
      <c r="AT106" s="4"/>
      <c r="AU106" s="16"/>
      <c r="AV106" s="16"/>
      <c r="AY106" s="21">
        <f>-Y106*W106*X106^(-Parameters!B$52)*Parameters!B$46*Parameters!B$45*N106</f>
        <v>-7.4038948626064703E-6</v>
      </c>
      <c r="AZ106" s="7">
        <f>1000*EXP(-(Parameters!$B$54)*'6states'!A106)*AQ106*Parameters!B$46*Parameters!B$45*N106</f>
        <v>0.72249801287317339</v>
      </c>
      <c r="BA106" s="93">
        <f>SUM(AZ106:AZ$204)*EXP(Parameters!$B$54*A106)</f>
        <v>1805.1522689755107</v>
      </c>
      <c r="BF106" s="5"/>
      <c r="BG106" s="5"/>
      <c r="BH106" s="5"/>
      <c r="BK106">
        <f>-EXP(-Parameters!B$42*'6states'!A106)*(-Parameters!B$37/Parameters!B$38/Parameters!E$25*(EXP(-Parameters!B$38*Parameters!E$25*'6states'!I106/('6states'!F106+'6states'!I106))-EXP(-Parameters!B$38*Parameters!E$25))+Parameters!B$37*'6states'!F106/('6states'!F106+'6states'!I106)*EXP(-Parameters!B$38*Parameters!E$25*'6states'!I106/('6states'!F106+'6states'!I106)))</f>
        <v>-1.0525901806430684</v>
      </c>
      <c r="BL106">
        <f>-J106*K106*EXP(-Parameters!B$42*'6states'!A106)*(-Parameters!B$37/Parameters!B$38/Parameters!E$25*(EXP(-Parameters!B$38*Parameters!E$25*'6states'!I106/('6states'!F106+'6states'!I106))-EXP(-Parameters!B$38*Parameters!E$25)) + Parameters!B$37*'6states'!F106/('6states'!F106+'6states'!I106)*EXP(-Parameters!B$38*Parameters!E$25*'6states'!I106/('6states'!F106+'6states'!I106)))</f>
        <v>-787.44120142486202</v>
      </c>
      <c r="BM106" s="7">
        <f t="shared" si="153"/>
        <v>1.6424962152421462E-2</v>
      </c>
    </row>
    <row r="107" spans="1:79" x14ac:dyDescent="0.25">
      <c r="A107">
        <f>A106+Parameters!$B$65</f>
        <v>103</v>
      </c>
      <c r="B107">
        <v>2128</v>
      </c>
      <c r="C107" s="74">
        <v>5.8283095115106601E-4</v>
      </c>
      <c r="D107" s="69">
        <v>9.1317849934078807E-2</v>
      </c>
      <c r="E107" s="75">
        <v>0.22061326933619399</v>
      </c>
      <c r="F107" s="7">
        <f>MAX((1-Parameters!$B$4)^Parameters!B$65*F106 + C106*Parameters!B$65 - IF(C106&gt;0,Parameters!$B$5,0)*C106^2/F106*Parameters!B$65, 0.0001)</f>
        <v>1.3923592231393507E-2</v>
      </c>
      <c r="G107" s="7">
        <f>(1-Parameters!$B$4)^Parameters!B$65*G106+D106*Parameters!B$65-Parameters!$B$5*D106^2/G106*Parameters!B$65</f>
        <v>1.3216514004461559</v>
      </c>
      <c r="H107" s="7">
        <f>(1-Parameters!$B$4)^Parameters!B$65*H106+E106*Parameters!B$65-Parameters!$B$5*E106^2/H106*Parameters!B$65</f>
        <v>3.2407879471729135</v>
      </c>
      <c r="I107" s="9">
        <f>I106 *(1-Parameters!$B$4)-C106*(C106&lt;0)*Parameters!B$65</f>
        <v>2.2301595978339807E-4</v>
      </c>
      <c r="J107" s="23">
        <f>J106*(1+Parameters!$B$51)^Parameters!B$65</f>
        <v>10.99578359218072</v>
      </c>
      <c r="K107" s="23">
        <f>K106*(1+Parameters!$B$53)^Parameters!B$65</f>
        <v>69.596987177469146</v>
      </c>
      <c r="L107" s="23">
        <f>J107*K107*EXP(-Parameters!$B$42*'6states'!A107)*(Parameters!$B$37/Parameters!$B$38*('6states'!F107+'6states'!I107)/Parameters!$E$25*(EXP(-Parameters!$B$38*Parameters!$E$25*'6states'!I107/('6states'!F107+'6states'!I107))-EXP(-Parameters!$B$38*Parameters!$E$25))  +  Parameters!$B$39*'6states'!F107)</f>
        <v>3.2014221864818007</v>
      </c>
      <c r="M107" s="8">
        <f>M106+L107*Parameters!B$65</f>
        <v>3633.0321456357501</v>
      </c>
      <c r="N107" s="7">
        <f>M107*Parameters!$B$45</f>
        <v>2.1798192873814499</v>
      </c>
      <c r="O107" s="9">
        <f>EXP(-Parameters!$B$46/2*N107^2)</f>
        <v>0.95336857106611783</v>
      </c>
      <c r="P107" s="8">
        <f>MAX((Parameters!$B$62 + Parameters!$B$31*'6states'!A107 - '6states'!M107 + Parameters!$B$47/Parameters!$B$45)/Parameters!B$62,1)</f>
        <v>83.931357087284994</v>
      </c>
      <c r="Q107" s="8"/>
      <c r="R107" s="8"/>
      <c r="S107" s="7">
        <f>Parameters!B$61*EXP(-Parameters!B$60*A107)+(1-Parameters!B$61)*P107^-Parameters!B$63</f>
        <v>0.3520418763667823</v>
      </c>
      <c r="T107" s="7">
        <f>1-S107/Parameters!$B$12</f>
        <v>0.82397906181660885</v>
      </c>
      <c r="U107" s="7">
        <f t="shared" si="102"/>
        <v>5.6811423136384418</v>
      </c>
      <c r="V107" s="7">
        <f>(Parameters!$B$19*(F107+Parameters!$B$20)^T107+Parameters!$B$18*G107^T107)^(1/T107)</f>
        <v>0.34336809114538014</v>
      </c>
      <c r="W107" s="7">
        <f>(Parameters!$B$10*H107^Parameters!$B$9+Parameters!$B$11*V107^Parameters!$B$9)^(Parameters!$B$7/Parameters!$B$9)*O107</f>
        <v>1.3197005862970816</v>
      </c>
      <c r="X107" s="7">
        <f>W107 - D107 - E107 - LN(1+EXP(Parameters!$B$21*C107))/Parameters!$B$21 - IF(C107&gt;0, 0,Parameters!$B$6*C107^2/F107)</f>
        <v>1.005154838696263</v>
      </c>
      <c r="Y107" s="7">
        <f>EXP(-Parameters!$B$55*A107)</f>
        <v>0.21112603532875074</v>
      </c>
      <c r="Z107" s="7">
        <f>IF(X107&gt;0,X107^(1-Parameters!$B$52)/(1-Parameters!$B$52)*Y107*Parameters!$B$65,-10+X107*1000)</f>
        <v>-0.60213269474366382</v>
      </c>
      <c r="AC107">
        <f t="shared" si="103"/>
        <v>0.44602502924930071</v>
      </c>
      <c r="AD107">
        <f t="shared" si="104"/>
        <v>69.883122382897938</v>
      </c>
      <c r="AE107" s="23">
        <f t="shared" si="105"/>
        <v>0.17066818395454231</v>
      </c>
      <c r="AF107" s="23">
        <f t="shared" si="106"/>
        <v>10.65535490179032</v>
      </c>
      <c r="AG107" s="23">
        <f t="shared" si="107"/>
        <v>1011.4246736161822</v>
      </c>
      <c r="AH107" s="23">
        <f t="shared" si="108"/>
        <v>262.77046988312577</v>
      </c>
      <c r="AI107" s="23">
        <f t="shared" si="109"/>
        <v>646.69813200779333</v>
      </c>
      <c r="AJ107" s="23">
        <f t="shared" si="110"/>
        <v>1009.9317674206852</v>
      </c>
      <c r="AK107" s="23">
        <f t="shared" si="111"/>
        <v>769.2182706566216</v>
      </c>
      <c r="AL107" s="9">
        <f t="shared" si="120"/>
        <v>2.2977962973616428E-2</v>
      </c>
      <c r="AM107" s="9">
        <f t="shared" si="121"/>
        <v>2.5489111907044837E-2</v>
      </c>
      <c r="AN107" s="9">
        <f t="shared" ref="AN107:AO107" si="160">AVERAGE(AL105:AL109)</f>
        <v>2.2892834903994165E-2</v>
      </c>
      <c r="AO107" s="9">
        <f t="shared" si="160"/>
        <v>2.2746600755940882E-2</v>
      </c>
      <c r="AP107" s="23"/>
      <c r="AQ107" s="25">
        <f t="shared" si="100"/>
        <v>1009.9317674206853</v>
      </c>
      <c r="AR107" s="4"/>
      <c r="AS107" s="4"/>
      <c r="AT107" s="4"/>
      <c r="AU107" s="16"/>
      <c r="AV107" s="16"/>
      <c r="AY107" s="21">
        <f>-Y107*W107*X107^(-Parameters!B$52)*Parameters!B$46*Parameters!B$45*N107</f>
        <v>-7.2739530640190101E-6</v>
      </c>
      <c r="AZ107" s="7">
        <f>1000*EXP(-(Parameters!$B$54)*'6states'!A107)*AQ107*Parameters!B$46*Parameters!B$45*N107</f>
        <v>0.71442228244715189</v>
      </c>
      <c r="BA107" s="93">
        <f>SUM(AZ107:AZ$204)*EXP(Parameters!$B$54*A107)</f>
        <v>1842.7883942627532</v>
      </c>
      <c r="BF107" s="5"/>
      <c r="BG107" s="5"/>
      <c r="BH107" s="5"/>
      <c r="BK107">
        <f>-EXP(-Parameters!B$42*'6states'!A107)*(-Parameters!B$37/Parameters!B$38/Parameters!E$25*(EXP(-Parameters!B$38*Parameters!E$25*'6states'!I107/('6states'!F107+'6states'!I107))-EXP(-Parameters!B$38*Parameters!E$25))+Parameters!B$37*'6states'!F107/('6states'!F107+'6states'!I107)*EXP(-Parameters!B$38*Parameters!E$25*'6states'!I107/('6states'!F107+'6states'!I107)))</f>
        <v>-1.0725760572305352</v>
      </c>
      <c r="BL107">
        <f>-J107*K107*EXP(-Parameters!B$42*'6states'!A107)*(-Parameters!B$37/Parameters!B$38/Parameters!E$25*(EXP(-Parameters!B$38*Parameters!E$25*'6states'!I107/('6states'!F107+'6states'!I107))-EXP(-Parameters!B$38*Parameters!E$25)) + Parameters!B$37*'6states'!F107/('6states'!F107+'6states'!I107)*EXP(-Parameters!B$38*Parameters!E$25*'6states'!I107/('6states'!F107+'6states'!I107)))</f>
        <v>-820.81393644853301</v>
      </c>
      <c r="BM107" s="7">
        <f t="shared" si="153"/>
        <v>1.5764624054725063E-2</v>
      </c>
    </row>
    <row r="108" spans="1:79" x14ac:dyDescent="0.25">
      <c r="A108">
        <f>A107+Parameters!$B$65</f>
        <v>104</v>
      </c>
      <c r="B108">
        <v>2129</v>
      </c>
      <c r="C108" s="74">
        <v>5.5742861735794797E-4</v>
      </c>
      <c r="D108" s="69">
        <v>9.4995118569599302E-2</v>
      </c>
      <c r="E108" s="75">
        <v>0.224532575399047</v>
      </c>
      <c r="F108" s="7">
        <f>MAX((1-Parameters!$B$4)^Parameters!B$65*F107 + C107*Parameters!B$65 - IF(C107&gt;0,Parameters!$B$5,0)*C107^2/F107*Parameters!B$65, 0.0001)</f>
        <v>1.36062323721054E-2</v>
      </c>
      <c r="G108" s="7">
        <f>(1-Parameters!$B$4)^Parameters!B$65*G107+D107*Parameters!B$65-Parameters!$B$5*D107^2/G107*Parameters!B$65</f>
        <v>1.3235278847030001</v>
      </c>
      <c r="H108" s="7">
        <f>(1-Parameters!$B$4)^Parameters!B$65*H107+E107*Parameters!B$65-Parameters!$B$5*E107^2/H107*Parameters!B$65</f>
        <v>3.2425376357425248</v>
      </c>
      <c r="I108" s="9">
        <f>I107 *(1-Parameters!$B$4)-C107*(C107&lt;0)*Parameters!B$65</f>
        <v>2.0898825591302234E-4</v>
      </c>
      <c r="J108" s="23">
        <f>J107*(1+Parameters!$B$51)^Parameters!B$65</f>
        <v>11.027671364598042</v>
      </c>
      <c r="K108" s="23">
        <f>K107*(1+Parameters!$B$53)^Parameters!B$65</f>
        <v>70.988926921018532</v>
      </c>
      <c r="L108" s="23">
        <f>J108*K108*EXP(-Parameters!$B$42*'6states'!A108)*(Parameters!$B$37/Parameters!$B$38*('6states'!F108+'6states'!I108)/Parameters!$E$25*(EXP(-Parameters!$B$38*Parameters!$E$25*'6states'!I108/('6states'!F108+'6states'!I108))-EXP(-Parameters!$B$38*Parameters!$E$25))  +  Parameters!$B$39*'6states'!F108)</f>
        <v>3.1759719424798445</v>
      </c>
      <c r="M108" s="8">
        <f>M107+L108*Parameters!B$65</f>
        <v>3636.20811757823</v>
      </c>
      <c r="N108" s="7">
        <f>M108*Parameters!$B$45</f>
        <v>2.1817248705469376</v>
      </c>
      <c r="O108" s="9">
        <f>EXP(-Parameters!$B$46/2*N108^2)</f>
        <v>0.95328894102573536</v>
      </c>
      <c r="P108" s="8">
        <f>MAX((Parameters!$B$62 + Parameters!$B$31*'6states'!A108 - '6states'!M108 + Parameters!$B$47/Parameters!$B$45)/Parameters!B$62,1)</f>
        <v>84.931837648435391</v>
      </c>
      <c r="Q108" s="8"/>
      <c r="R108" s="8"/>
      <c r="S108" s="7">
        <f>Parameters!B$61*EXP(-Parameters!B$60*A108)+(1-Parameters!B$61)*P108^-Parameters!B$63</f>
        <v>0.35083617305719089</v>
      </c>
      <c r="T108" s="7">
        <f>1-S108/Parameters!$B$12</f>
        <v>0.82458191347140453</v>
      </c>
      <c r="U108" s="7">
        <f t="shared" si="102"/>
        <v>5.7006664465980634</v>
      </c>
      <c r="V108" s="7">
        <f>(Parameters!$B$19*(F108+Parameters!$B$20)^T108+Parameters!$B$18*G108^T108)^(1/T108)</f>
        <v>0.34372565063439392</v>
      </c>
      <c r="W108" s="7">
        <f>(Parameters!$B$10*H108^Parameters!$B$9+Parameters!$B$11*V108^Parameters!$B$9)^(Parameters!$B$7/Parameters!$B$9)*O108</f>
        <v>1.3198650705678745</v>
      </c>
      <c r="X108" s="7">
        <f>W108 - D108 - E108 - LN(1+EXP(Parameters!$B$21*C108))/Parameters!$B$21 - IF(C108&gt;0, 0,Parameters!$B$6*C108^2/F108)</f>
        <v>0.99773653299103648</v>
      </c>
      <c r="Y108" s="7">
        <f>EXP(-Parameters!$B$55*A108)</f>
        <v>0.20796198092547327</v>
      </c>
      <c r="Z108" s="7">
        <f>IF(X108&gt;0,X108^(1-Parameters!$B$52)/(1-Parameters!$B$52)*Y108*Parameters!$B$65,-10+X108*1000)</f>
        <v>-0.59464852389643852</v>
      </c>
      <c r="AC108">
        <f t="shared" si="103"/>
        <v>0.43637884394032933</v>
      </c>
      <c r="AD108">
        <f t="shared" si="104"/>
        <v>74.366221486538819</v>
      </c>
      <c r="AE108" s="23">
        <f t="shared" si="105"/>
        <v>0.16360490056051133</v>
      </c>
      <c r="AF108" s="23">
        <f t="shared" si="106"/>
        <v>10.651537736014982</v>
      </c>
      <c r="AG108" s="23">
        <f t="shared" si="107"/>
        <v>1036.1139530061296</v>
      </c>
      <c r="AH108" s="23">
        <f t="shared" si="108"/>
        <v>269.08306711522243</v>
      </c>
      <c r="AI108" s="23">
        <f t="shared" si="109"/>
        <v>662.23391439586089</v>
      </c>
      <c r="AJ108" s="23">
        <f t="shared" si="110"/>
        <v>1033.2465462241989</v>
      </c>
      <c r="AK108" s="23">
        <f t="shared" si="111"/>
        <v>781.07061831035867</v>
      </c>
      <c r="AL108" s="9">
        <f t="shared" si="120"/>
        <v>2.2823060209004709E-2</v>
      </c>
      <c r="AM108" s="9">
        <f t="shared" si="121"/>
        <v>1.5290799887536899E-2</v>
      </c>
      <c r="AN108" s="9">
        <f t="shared" ref="AN108:AO108" si="161">AVERAGE(AL106:AL110)</f>
        <v>2.288707250799895E-2</v>
      </c>
      <c r="AO108" s="9">
        <f t="shared" si="161"/>
        <v>2.1406889268869557E-2</v>
      </c>
      <c r="AP108" s="23"/>
      <c r="AQ108" s="25">
        <f t="shared" si="100"/>
        <v>1033.2465462241989</v>
      </c>
      <c r="AR108" s="4"/>
      <c r="AS108" s="4"/>
      <c r="AT108" s="4"/>
      <c r="AU108" s="16"/>
      <c r="AV108" s="16"/>
      <c r="AY108" s="21">
        <f>-Y108*W108*X108^(-Parameters!B$52)*Parameters!B$46*Parameters!B$45*N108</f>
        <v>-7.2441817995812524E-6</v>
      </c>
      <c r="AZ108" s="7">
        <f>1000*EXP(-(Parameters!$B$54)*'6states'!A108)*AQ108*Parameters!B$46*Parameters!B$45*N108</f>
        <v>0.70632190595605737</v>
      </c>
      <c r="BA108" s="93">
        <f>SUM(AZ108:AZ$204)*EXP(Parameters!$B$54*A108)</f>
        <v>1881.1206767882989</v>
      </c>
      <c r="BF108" s="5"/>
      <c r="BG108" s="5"/>
      <c r="BH108" s="5"/>
      <c r="BK108">
        <f>-EXP(-Parameters!B$42*'6states'!A108)*(-Parameters!B$37/Parameters!B$38/Parameters!E$25*(EXP(-Parameters!B$38*Parameters!E$25*'6states'!I108/('6states'!F108+'6states'!I108))-EXP(-Parameters!B$38*Parameters!E$25))+Parameters!B$37*'6states'!F108/('6states'!F108+'6states'!I108)*EXP(-Parameters!B$38*Parameters!E$25*'6states'!I108/('6states'!F108+'6states'!I108)))</f>
        <v>-1.0918397202170289</v>
      </c>
      <c r="BL108">
        <f>-J108*K108*EXP(-Parameters!B$42*'6states'!A108)*(-Parameters!B$37/Parameters!B$38/Parameters!E$25*(EXP(-Parameters!B$38*Parameters!E$25*'6states'!I108/('6states'!F108+'6states'!I108))-EXP(-Parameters!B$38*Parameters!E$25)) + Parameters!B$37*'6states'!F108/('6states'!F108+'6states'!I108)*EXP(-Parameters!B$38*Parameters!E$25*'6states'!I108/('6states'!F108+'6states'!I108)))</f>
        <v>-854.73859798354738</v>
      </c>
      <c r="BM108" s="7">
        <f t="shared" si="153"/>
        <v>1.5127391848464344E-2</v>
      </c>
    </row>
    <row r="109" spans="1:79" x14ac:dyDescent="0.25">
      <c r="A109">
        <f>A108+Parameters!$B$65</f>
        <v>105</v>
      </c>
      <c r="B109">
        <v>2130</v>
      </c>
      <c r="C109" s="74">
        <v>5.4832129240788897E-4</v>
      </c>
      <c r="D109" s="69">
        <v>9.7637275572591997E-2</v>
      </c>
      <c r="E109" s="75">
        <v>0.213302561692779</v>
      </c>
      <c r="F109" s="7">
        <f>MAX((1-Parameters!$B$4)^Parameters!B$65*F108 + C108*Parameters!B$65 - IF(C108&gt;0,Parameters!$B$5,0)*C108^2/F108*Parameters!B$65, 0.0001)</f>
        <v>1.3284991889857328E-2</v>
      </c>
      <c r="G109" s="7">
        <f>(1-Parameters!$B$4)^Parameters!B$65*G108+D108*Parameters!B$65-Parameters!$B$5*D108^2/G108*Parameters!B$65</f>
        <v>1.3284549033076434</v>
      </c>
      <c r="H109" s="7">
        <f>(1-Parameters!$B$4)^Parameters!B$65*H108+E108*Parameters!B$65-Parameters!$B$5*E108^2/H108*Parameters!B$65</f>
        <v>3.2475666239980279</v>
      </c>
      <c r="I109" s="9">
        <f>I108 *(1-Parameters!$B$4)-C108*(C108&lt;0)*Parameters!B$65</f>
        <v>1.9584289461609325E-4</v>
      </c>
      <c r="J109" s="23">
        <f>J108*(1+Parameters!$B$51)^Parameters!B$65</f>
        <v>11.059651611555376</v>
      </c>
      <c r="K109" s="23">
        <f>K108*(1+Parameters!$B$53)^Parameters!B$65</f>
        <v>72.408705459438906</v>
      </c>
      <c r="L109" s="23">
        <f>J109*K109*EXP(-Parameters!$B$42*'6states'!A109)*(Parameters!$B$37/Parameters!$B$38*('6states'!F109+'6states'!I109)/Parameters!$E$25*(EXP(-Parameters!$B$38*Parameters!$E$25*'6states'!I109/('6states'!F109+'6states'!I109))-EXP(-Parameters!$B$38*Parameters!$E$25))  +  Parameters!$B$39*'6states'!F109)</f>
        <v>3.1478185476667182</v>
      </c>
      <c r="M109" s="8">
        <f>M108+L109*Parameters!B$65</f>
        <v>3639.3559361258967</v>
      </c>
      <c r="N109" s="7">
        <f>M109*Parameters!$B$45</f>
        <v>2.1836135616755379</v>
      </c>
      <c r="O109" s="9">
        <f>EXP(-Parameters!$B$46/2*N109^2)</f>
        <v>0.953209954777956</v>
      </c>
      <c r="P109" s="8">
        <f>MAX((Parameters!$B$62 + Parameters!$B$31*'6states'!A109 - '6states'!M109 + Parameters!$B$47/Parameters!$B$45)/Parameters!B$62,1)</f>
        <v>85.932881277482068</v>
      </c>
      <c r="Q109" s="8"/>
      <c r="R109" s="8"/>
      <c r="S109" s="7">
        <f>Parameters!B$61*EXP(-Parameters!B$60*A109)+(1-Parameters!B$61)*P109^-Parameters!B$63</f>
        <v>0.34965714499748929</v>
      </c>
      <c r="T109" s="7">
        <f>1-S109/Parameters!$B$12</f>
        <v>0.82517142750125538</v>
      </c>
      <c r="U109" s="7">
        <f t="shared" si="102"/>
        <v>5.7198888357175175</v>
      </c>
      <c r="V109" s="7">
        <f>(Parameters!$B$19*(F109+Parameters!$B$20)^T109+Parameters!$B$18*G109^T109)^(1/T109)</f>
        <v>0.34480618955100967</v>
      </c>
      <c r="W109" s="7">
        <f>(Parameters!$B$10*H109^Parameters!$B$9+Parameters!$B$11*V109^Parameters!$B$9)^(Parameters!$B$7/Parameters!$B$9)*O109</f>
        <v>1.3205624826385347</v>
      </c>
      <c r="X109" s="7">
        <f>W109 - D109 - E109 - LN(1+EXP(Parameters!$B$21*C109))/Parameters!$B$21 - IF(C109&gt;0, 0,Parameters!$B$6*C109^2/F109)</f>
        <v>1.0070267322049009</v>
      </c>
      <c r="Y109" s="7">
        <f>EXP(-Parameters!$B$55*A109)</f>
        <v>0.2048453448344438</v>
      </c>
      <c r="Z109" s="7">
        <f>IF(X109&gt;0,X109^(1-Parameters!$B$52)/(1-Parameters!$B$52)*Y109*Parameters!$B$65,-10+X109*1000)</f>
        <v>-0.58383981017914799</v>
      </c>
      <c r="AC109">
        <f t="shared" si="103"/>
        <v>0.43910394649939094</v>
      </c>
      <c r="AD109">
        <f t="shared" si="104"/>
        <v>78.189400307805542</v>
      </c>
      <c r="AE109" s="23">
        <f t="shared" si="105"/>
        <v>0.15683393862410877</v>
      </c>
      <c r="AF109" s="23">
        <f t="shared" si="106"/>
        <v>10.638821524569387</v>
      </c>
      <c r="AG109" s="23">
        <f t="shared" si="107"/>
        <v>1063.8466878191587</v>
      </c>
      <c r="AH109" s="23">
        <f t="shared" si="108"/>
        <v>276.12598800310064</v>
      </c>
      <c r="AI109" s="23">
        <f t="shared" si="109"/>
        <v>679.56707890287453</v>
      </c>
      <c r="AJ109" s="23">
        <f t="shared" si="110"/>
        <v>1057.5263185188523</v>
      </c>
      <c r="AK109" s="23">
        <f t="shared" si="111"/>
        <v>806.4421689694633</v>
      </c>
      <c r="AL109" s="9">
        <f t="shared" si="120"/>
        <v>2.322668734601141E-2</v>
      </c>
      <c r="AM109" s="9">
        <f t="shared" si="121"/>
        <v>3.1966622694969082E-2</v>
      </c>
      <c r="AN109" s="9">
        <f t="shared" ref="AN109:AO109" si="162">AVERAGE(AL107:AL111)</f>
        <v>2.2956592592193736E-2</v>
      </c>
      <c r="AO109" s="9">
        <f t="shared" si="162"/>
        <v>2.2537114492676126E-2</v>
      </c>
      <c r="AP109" s="23"/>
      <c r="AQ109" s="25">
        <f t="shared" si="100"/>
        <v>1057.5263185188523</v>
      </c>
      <c r="AR109" s="4"/>
      <c r="AS109" s="4"/>
      <c r="AT109" s="4"/>
      <c r="AU109" s="16"/>
      <c r="AV109" s="16"/>
      <c r="AY109" s="21">
        <f>-Y109*W109*X109^(-Parameters!B$52)*Parameters!B$46*Parameters!B$45*N109</f>
        <v>-7.0567185318414494E-6</v>
      </c>
      <c r="AZ109" s="7">
        <f>1000*EXP(-(Parameters!$B$54)*'6states'!A109)*AQ109*Parameters!B$46*Parameters!B$45*N109</f>
        <v>0.69858935245823905</v>
      </c>
      <c r="BA109" s="93">
        <f>SUM(AZ109:AZ$204)*EXP(Parameters!$B$54*A109)</f>
        <v>1920.162911726376</v>
      </c>
      <c r="BF109" s="5"/>
      <c r="BG109" s="5"/>
      <c r="BH109" s="5"/>
      <c r="BK109">
        <f>-EXP(-Parameters!B$42*'6states'!A109)*(-Parameters!B$37/Parameters!B$38/Parameters!E$25*(EXP(-Parameters!B$38*Parameters!E$25*'6states'!I109/('6states'!F109+'6states'!I109))-EXP(-Parameters!B$38*Parameters!E$25))+Parameters!B$37*'6states'!F109/('6states'!F109+'6states'!I109)*EXP(-Parameters!B$38*Parameters!E$25*'6states'!I109/('6states'!F109+'6states'!I109)))</f>
        <v>-1.1096395269418888</v>
      </c>
      <c r="BL109">
        <f>-J109*K109*EXP(-Parameters!B$42*'6states'!A109)*(-Parameters!B$37/Parameters!B$38/Parameters!E$25*(EXP(-Parameters!B$38*Parameters!E$25*'6states'!I109/('6states'!F109+'6states'!I109))-EXP(-Parameters!B$38*Parameters!E$25)) + Parameters!B$37*'6states'!F109/('6states'!F109+'6states'!I109)*EXP(-Parameters!B$38*Parameters!E$25*'6states'!I109/('6states'!F109+'6states'!I109)))</f>
        <v>-888.61603993565859</v>
      </c>
      <c r="BM109" s="7">
        <f t="shared" si="153"/>
        <v>1.4527504991134208E-2</v>
      </c>
    </row>
    <row r="110" spans="1:79" x14ac:dyDescent="0.25">
      <c r="A110">
        <f>A109+Parameters!$B$65</f>
        <v>106</v>
      </c>
      <c r="B110">
        <v>2131</v>
      </c>
      <c r="C110" s="74">
        <v>5.6323367374379698E-4</v>
      </c>
      <c r="D110" s="69">
        <v>9.5975332331070404E-2</v>
      </c>
      <c r="E110" s="75">
        <v>0.221040593990151</v>
      </c>
      <c r="F110" s="7">
        <f>MAX((1-Parameters!$B$4)^Parameters!B$65*F109 + C109*Parameters!B$65 - IF(C109&gt;0,Parameters!$B$5,0)*C109^2/F109*Parameters!B$65, 0.0001)</f>
        <v>1.2975055922295285E-2</v>
      </c>
      <c r="G110" s="7">
        <f>(1-Parameters!$B$4)^Parameters!B$65*G109+D109*Parameters!B$65-Parameters!$B$5*D109^2/G109*Parameters!B$65</f>
        <v>1.3353563314413817</v>
      </c>
      <c r="H110" s="7">
        <f>(1-Parameters!$B$4)^Parameters!B$65*H109+E109*Parameters!B$65-Parameters!$B$5*E109^2/H109*Parameters!B$65</f>
        <v>3.2425873760863748</v>
      </c>
      <c r="I110" s="9">
        <f>I109 *(1-Parameters!$B$4)-C109*(C109&lt;0)*Parameters!B$65</f>
        <v>1.8352437654474098E-4</v>
      </c>
      <c r="J110" s="23">
        <f>J109*(1+Parameters!$B$51)^Parameters!B$65</f>
        <v>11.091724601228885</v>
      </c>
      <c r="K110" s="23">
        <f>K109*(1+Parameters!$B$53)^Parameters!B$65</f>
        <v>73.85687956862769</v>
      </c>
      <c r="L110" s="23">
        <f>J110*K110*EXP(-Parameters!$B$42*'6states'!A110)*(Parameters!$B$37/Parameters!$B$38*('6states'!F110+'6states'!I110)/Parameters!$E$25*(EXP(-Parameters!$B$38*Parameters!$E$25*'6states'!I110/('6states'!F110+'6states'!I110))-EXP(-Parameters!$B$38*Parameters!$E$25))  +  Parameters!$B$39*'6states'!F110)</f>
        <v>3.120732761245427</v>
      </c>
      <c r="M110" s="8">
        <f>M109+L110*Parameters!B$65</f>
        <v>3642.4766688871423</v>
      </c>
      <c r="N110" s="7">
        <f>M110*Parameters!$B$45</f>
        <v>2.185486001332285</v>
      </c>
      <c r="O110" s="9">
        <f>EXP(-Parameters!$B$46/2*N110^2)</f>
        <v>0.95313158717740321</v>
      </c>
      <c r="P110" s="8">
        <f>MAX((Parameters!$B$62 + Parameters!$B$31*'6states'!A110 - '6states'!M110 + Parameters!$B$47/Parameters!$B$45)/Parameters!B$62,1)</f>
        <v>86.934466622257162</v>
      </c>
      <c r="Q110" s="8"/>
      <c r="R110" s="8"/>
      <c r="S110" s="7">
        <f>Parameters!B$61*EXP(-Parameters!B$60*A110)+(1-Parameters!B$61)*P110^-Parameters!B$63</f>
        <v>0.34850410330374976</v>
      </c>
      <c r="T110" s="7">
        <f>1-S110/Parameters!$B$12</f>
        <v>0.82574794834812515</v>
      </c>
      <c r="U110" s="7">
        <f t="shared" si="102"/>
        <v>5.7388133483663379</v>
      </c>
      <c r="V110" s="7">
        <f>(Parameters!$B$19*(F110+Parameters!$B$20)^T110+Parameters!$B$18*G110^T110)^(1/T110)</f>
        <v>0.34636977640293071</v>
      </c>
      <c r="W110" s="7">
        <f>(Parameters!$B$10*H110^Parameters!$B$9+Parameters!$B$11*V110^Parameters!$B$9)^(Parameters!$B$7/Parameters!$B$9)*O110</f>
        <v>1.3205744096862018</v>
      </c>
      <c r="X110" s="7">
        <f>W110 - D110 - E110 - LN(1+EXP(Parameters!$B$21*C110))/Parameters!$B$21 - IF(C110&gt;0, 0,Parameters!$B$6*C110^2/F110)</f>
        <v>1.0009544938449149</v>
      </c>
      <c r="Y110" s="7">
        <f>EXP(-Parameters!$B$55*A110)</f>
        <v>0.20177541641796462</v>
      </c>
      <c r="Z110" s="7">
        <f>IF(X110&gt;0,X110^(1-Parameters!$B$52)/(1-Parameters!$B$52)*Y110*Parameters!$B$65,-10+X110*1000)</f>
        <v>-0.57630872036460012</v>
      </c>
      <c r="AC110">
        <f t="shared" si="103"/>
        <v>0.46140112019999291</v>
      </c>
      <c r="AD110">
        <f t="shared" si="104"/>
        <v>78.62300837727598</v>
      </c>
      <c r="AE110" s="23">
        <f t="shared" si="105"/>
        <v>0.15034320011247618</v>
      </c>
      <c r="AF110" s="23">
        <f t="shared" si="106"/>
        <v>10.629167992409169</v>
      </c>
      <c r="AG110" s="23">
        <f t="shared" si="107"/>
        <v>1093.9241311652704</v>
      </c>
      <c r="AH110" s="23">
        <f t="shared" si="108"/>
        <v>283.74617904757935</v>
      </c>
      <c r="AI110" s="23">
        <f t="shared" si="109"/>
        <v>698.32094921485725</v>
      </c>
      <c r="AJ110" s="23">
        <f t="shared" si="110"/>
        <v>1081.8147783788618</v>
      </c>
      <c r="AK110" s="23">
        <f t="shared" si="111"/>
        <v>819.98208959953354</v>
      </c>
      <c r="AL110" s="9">
        <f t="shared" si="120"/>
        <v>2.2707462160934E-2</v>
      </c>
      <c r="AM110" s="9">
        <f t="shared" si="121"/>
        <v>1.6650309249214068E-2</v>
      </c>
      <c r="AN110" s="9">
        <f t="shared" ref="AN110:AO110" si="163">AVERAGE(AL108:AL112)</f>
        <v>2.2967094413231769E-2</v>
      </c>
      <c r="AO110" s="9">
        <f t="shared" si="163"/>
        <v>2.2308679229768556E-2</v>
      </c>
      <c r="AP110" s="23"/>
      <c r="AQ110" s="25">
        <f t="shared" si="100"/>
        <v>1081.8147783788615</v>
      </c>
      <c r="AR110" s="4"/>
      <c r="AS110" s="4"/>
      <c r="AT110" s="4"/>
      <c r="AU110" s="16"/>
      <c r="AV110" s="16"/>
      <c r="AY110" s="21">
        <f>-Y110*W110*X110^(-Parameters!B$52)*Parameters!B$46*Parameters!B$45*N110</f>
        <v>-7.0140218718934753E-6</v>
      </c>
      <c r="AZ110" s="7">
        <f>1000*EXP(-(Parameters!$B$54)*'6states'!A110)*AQ110*Parameters!B$46*Parameters!B$45*N110</f>
        <v>0.69057713920946118</v>
      </c>
      <c r="BA110" s="93">
        <f>SUM(AZ110:AZ$204)*EXP(Parameters!$B$54*A110)</f>
        <v>1959.9132536189736</v>
      </c>
      <c r="BF110" s="5"/>
      <c r="BG110" s="5"/>
      <c r="BH110" s="5"/>
      <c r="BK110">
        <f>-EXP(-Parameters!B$42*'6states'!A110)*(-Parameters!B$37/Parameters!B$38/Parameters!E$25*(EXP(-Parameters!B$38*Parameters!E$25*'6states'!I110/('6states'!F110+'6states'!I110))-EXP(-Parameters!B$38*Parameters!E$25))+Parameters!B$37*'6states'!F110/('6states'!F110+'6states'!I110)*EXP(-Parameters!B$38*Parameters!E$25*'6states'!I110/('6states'!F110+'6states'!I110)))</f>
        <v>-1.1267697397930707</v>
      </c>
      <c r="BL110">
        <f>-J110*K110*EXP(-Parameters!B$42*'6states'!A110)*(-Parameters!B$37/Parameters!B$38/Parameters!E$25*(EXP(-Parameters!B$38*Parameters!E$25*'6states'!I110/('6states'!F110+'6states'!I110))-EXP(-Parameters!B$38*Parameters!E$25)) + Parameters!B$37*'6states'!F110/('6states'!F110+'6states'!I110)*EXP(-Parameters!B$38*Parameters!E$25*'6states'!I110/('6states'!F110+'6states'!I110)))</f>
        <v>-923.04996022745888</v>
      </c>
      <c r="BM110" s="7">
        <f t="shared" si="153"/>
        <v>1.3947125934316736E-2</v>
      </c>
    </row>
    <row r="111" spans="1:79" x14ac:dyDescent="0.25">
      <c r="A111">
        <f>A110+Parameters!$B$65</f>
        <v>107</v>
      </c>
      <c r="B111">
        <v>2132</v>
      </c>
      <c r="C111" s="74">
        <v>5.9484317411898904E-4</v>
      </c>
      <c r="D111" s="69">
        <v>9.3756531498528098E-2</v>
      </c>
      <c r="E111" s="75">
        <v>0.22311262089784101</v>
      </c>
      <c r="F111" s="7">
        <f>MAX((1-Parameters!$B$4)^Parameters!B$65*F110 + C110*Parameters!B$65 - IF(C110&gt;0,Parameters!$B$5,0)*C110^2/F110*Parameters!B$65, 0.0001)</f>
        <v>1.2697709190937262E-2</v>
      </c>
      <c r="G111" s="7">
        <f>(1-Parameters!$B$4)^Parameters!B$65*G110+D110*Parameters!B$65-Parameters!$B$5*D110^2/G110*Parameters!B$65</f>
        <v>1.3404397681666895</v>
      </c>
      <c r="H111" s="7">
        <f>(1-Parameters!$B$4)^Parameters!B$65*H110+E110*Parameters!B$65-Parameters!$B$5*E110^2/H110*Parameters!B$65</f>
        <v>3.2446013358806272</v>
      </c>
      <c r="I111" s="9">
        <f>I110 *(1-Parameters!$B$4)-C110*(C110&lt;0)*Parameters!B$65</f>
        <v>1.7198069326007678E-4</v>
      </c>
      <c r="J111" s="23">
        <f>J110*(1+Parameters!$B$51)^Parameters!B$65</f>
        <v>11.123890602572446</v>
      </c>
      <c r="K111" s="23">
        <f>K110*(1+Parameters!$B$53)^Parameters!B$65</f>
        <v>75.334017160000244</v>
      </c>
      <c r="L111" s="23">
        <f>J111*K111*EXP(-Parameters!$B$42*'6states'!A111)*(Parameters!$B$37/Parameters!$B$38*('6states'!F111+'6states'!I111)/Parameters!$E$25*(EXP(-Parameters!$B$38*Parameters!$E$25*'6states'!I111/('6states'!F111+'6states'!I111))-EXP(-Parameters!$B$38*Parameters!$E$25))  +  Parameters!$B$39*'6states'!F111)</f>
        <v>3.1002702791267214</v>
      </c>
      <c r="M111" s="8">
        <f>M110+L111*Parameters!B$65</f>
        <v>3645.5769391662689</v>
      </c>
      <c r="N111" s="7">
        <f>M111*Parameters!$B$45</f>
        <v>2.1873461634997611</v>
      </c>
      <c r="O111" s="9">
        <f>EXP(-Parameters!$B$46/2*N111^2)</f>
        <v>0.95305367330512603</v>
      </c>
      <c r="P111" s="8">
        <f>MAX((Parameters!$B$62 + Parameters!$B$31*'6states'!A111 - '6states'!M111 + Parameters!$B$47/Parameters!$B$45)/Parameters!B$62,1)</f>
        <v>87.93646121667463</v>
      </c>
      <c r="Q111" s="8"/>
      <c r="R111" s="8"/>
      <c r="S111" s="7">
        <f>Parameters!B$61*EXP(-Parameters!B$60*A111)+(1-Parameters!B$61)*P111^-Parameters!B$63</f>
        <v>0.3473764185214151</v>
      </c>
      <c r="T111" s="7">
        <f>1-S111/Parameters!$B$12</f>
        <v>0.82631179073929251</v>
      </c>
      <c r="U111" s="7">
        <f t="shared" si="102"/>
        <v>5.7574432038676351</v>
      </c>
      <c r="V111" s="7">
        <f>(Parameters!$B$19*(F111+Parameters!$B$20)^T111+Parameters!$B$18*G111^T111)^(1/T111)</f>
        <v>0.3475298283176273</v>
      </c>
      <c r="W111" s="7">
        <f>(Parameters!$B$10*H111^Parameters!$B$9+Parameters!$B$11*V111^Parameters!$B$9)^(Parameters!$B$7/Parameters!$B$9)*O111</f>
        <v>1.3210358459802782</v>
      </c>
      <c r="X111" s="7">
        <f>W111 - D111 - E111 - LN(1+EXP(Parameters!$B$21*C111))/Parameters!$B$21 - IF(C111&gt;0, 0,Parameters!$B$6*C111^2/F111)</f>
        <v>1.0015455300241038</v>
      </c>
      <c r="Y111" s="7">
        <f>EXP(-Parameters!$B$55*A111)</f>
        <v>0.19875149568835732</v>
      </c>
      <c r="Z111" s="7">
        <f>IF(X111&gt;0,X111^(1-Parameters!$B$52)/(1-Parameters!$B$52)*Y111*Parameters!$B$65,-10+X111*1000)</f>
        <v>-0.5675545599175531</v>
      </c>
      <c r="AC111">
        <f t="shared" si="103"/>
        <v>0.49848296125299962</v>
      </c>
      <c r="AD111">
        <f t="shared" si="104"/>
        <v>78.568663963264385</v>
      </c>
      <c r="AE111" s="23">
        <f t="shared" si="105"/>
        <v>0.14412108768264698</v>
      </c>
      <c r="AF111" s="23">
        <f t="shared" si="106"/>
        <v>10.640773827492389</v>
      </c>
      <c r="AG111" s="23">
        <f t="shared" si="107"/>
        <v>1123.2983987866278</v>
      </c>
      <c r="AH111" s="23">
        <f t="shared" si="108"/>
        <v>291.23255587507833</v>
      </c>
      <c r="AI111" s="23">
        <f t="shared" si="109"/>
        <v>716.74549255111333</v>
      </c>
      <c r="AJ111" s="23">
        <f t="shared" si="110"/>
        <v>1107.037769074047</v>
      </c>
      <c r="AK111" s="23">
        <f t="shared" si="111"/>
        <v>839.30253108402053</v>
      </c>
      <c r="AL111" s="9">
        <f t="shared" si="120"/>
        <v>2.3047790271402135E-2</v>
      </c>
      <c r="AM111" s="9">
        <f t="shared" si="121"/>
        <v>2.3288728724615737E-2</v>
      </c>
      <c r="AN111" s="9">
        <f t="shared" ref="AN111:AO111" si="164">AVERAGE(AL109:AL113)</f>
        <v>2.2991246369218742E-2</v>
      </c>
      <c r="AO111" s="9">
        <f t="shared" si="164"/>
        <v>2.6526777952987857E-2</v>
      </c>
      <c r="AP111" s="23"/>
      <c r="AQ111" s="25">
        <f t="shared" si="100"/>
        <v>1107.0377690740472</v>
      </c>
      <c r="AR111" s="4"/>
      <c r="AS111" s="4"/>
      <c r="AT111" s="4"/>
      <c r="AU111" s="16"/>
      <c r="AV111" s="16"/>
      <c r="AY111" s="21">
        <f>-Y111*W111*X111^(-Parameters!B$52)*Parameters!B$46*Parameters!B$45*N111</f>
        <v>-6.911692264793216E-6</v>
      </c>
      <c r="AZ111" s="7">
        <f>1000*EXP(-(Parameters!$B$54)*'6states'!A111)*AQ111*Parameters!B$46*Parameters!B$45*N111</f>
        <v>0.68288485165872703</v>
      </c>
      <c r="BA111" s="93">
        <f>SUM(AZ111:AZ$204)*EXP(Parameters!$B$54*A111)</f>
        <v>2000.3958352259108</v>
      </c>
      <c r="BF111" s="5"/>
      <c r="BG111" s="5"/>
      <c r="BH111" s="5"/>
      <c r="BK111">
        <f>-EXP(-Parameters!B$42*'6states'!A111)*(-Parameters!B$37/Parameters!B$38/Parameters!E$25*(EXP(-Parameters!B$38*Parameters!E$25*'6states'!I111/('6states'!F111+'6states'!I111))-EXP(-Parameters!B$38*Parameters!E$25))+Parameters!B$37*'6states'!F111/('6states'!F111+'6states'!I111)*EXP(-Parameters!B$38*Parameters!E$25*'6states'!I111/('6states'!F111+'6states'!I111)))</f>
        <v>-1.1443392817868727</v>
      </c>
      <c r="BL111">
        <f>-J111*K111*EXP(-Parameters!B$42*'6states'!A111)*(-Parameters!B$37/Parameters!B$38/Parameters!E$25*(EXP(-Parameters!B$38*Parameters!E$25*'6states'!I111/('6states'!F111+'6states'!I111))-EXP(-Parameters!B$38*Parameters!E$25)) + Parameters!B$37*'6states'!F111/('6states'!F111+'6states'!I111)*EXP(-Parameters!B$38*Parameters!E$25*'6states'!I111/('6states'!F111+'6states'!I111)))</f>
        <v>-958.96474681433392</v>
      </c>
      <c r="BM111" s="7">
        <f t="shared" si="153"/>
        <v>1.3363235230030792E-2</v>
      </c>
    </row>
    <row r="112" spans="1:79" x14ac:dyDescent="0.25">
      <c r="A112">
        <f>A111+Parameters!$B$65</f>
        <v>108</v>
      </c>
      <c r="B112">
        <v>2133</v>
      </c>
      <c r="C112" s="74">
        <v>6.5895682051014099E-4</v>
      </c>
      <c r="D112" s="69">
        <v>9.6706779738791299E-2</v>
      </c>
      <c r="E112" s="75">
        <v>0.21891360739698401</v>
      </c>
      <c r="F112" s="7">
        <f>MAX((1-Parameters!$B$4)^Parameters!B$65*F111 + C111*Parameters!B$65 - IF(C111&gt;0,Parameters!$B$5,0)*C111^2/F111*Parameters!B$65, 0.0001)</f>
        <v>1.2466000138977029E-2</v>
      </c>
      <c r="G112" s="7">
        <f>(1-Parameters!$B$4)^Parameters!B$65*G111+D111*Parameters!B$65-Parameters!$B$5*D111^2/G111*Parameters!B$65</f>
        <v>1.3433248745886279</v>
      </c>
      <c r="H112" s="7">
        <f>(1-Parameters!$B$4)^Parameters!B$65*H111+E111*Parameters!B$65-Parameters!$B$5*E111^2/H111*Parameters!B$65</f>
        <v>3.2482863577196501</v>
      </c>
      <c r="I112" s="9">
        <f>I111 *(1-Parameters!$B$4)-C111*(C111&lt;0)*Parameters!B$65</f>
        <v>1.6116310765401794E-4</v>
      </c>
      <c r="J112" s="23">
        <f>J111*(1+Parameters!$B$51)^Parameters!B$65</f>
        <v>11.156149885319905</v>
      </c>
      <c r="K112" s="23">
        <f>K111*(1+Parameters!$B$53)^Parameters!B$65</f>
        <v>76.840697503200246</v>
      </c>
      <c r="L112" s="23">
        <f>J112*K112*EXP(-Parameters!$B$42*'6states'!A112)*(Parameters!$B$37/Parameters!$B$38*('6states'!F112+'6states'!I112)/Parameters!$E$25*(EXP(-Parameters!$B$38*Parameters!$E$25*'6states'!I112/('6states'!F112+'6states'!I112))-EXP(-Parameters!$B$38*Parameters!$E$25))  +  Parameters!$B$39*'6states'!F112)</f>
        <v>3.0901495511283743</v>
      </c>
      <c r="M112" s="8">
        <f>M111+L112*Parameters!B$65</f>
        <v>3648.6670887173973</v>
      </c>
      <c r="N112" s="7">
        <f>M112*Parameters!$B$45</f>
        <v>2.189200253230438</v>
      </c>
      <c r="O112" s="9">
        <f>EXP(-Parameters!$B$46/2*N112^2)</f>
        <v>0.95297595416262615</v>
      </c>
      <c r="P112" s="8">
        <f>MAX((Parameters!$B$62 + Parameters!$B$31*'6states'!A112 - '6states'!M112 + Parameters!$B$47/Parameters!$B$45)/Parameters!B$62,1)</f>
        <v>88.938658225652077</v>
      </c>
      <c r="Q112" s="8"/>
      <c r="R112" s="8"/>
      <c r="S112" s="7">
        <f>Parameters!B$61*EXP(-Parameters!B$60*A112)+(1-Parameters!B$61)*P112^-Parameters!B$63</f>
        <v>0.34627350436931958</v>
      </c>
      <c r="T112" s="7">
        <f>1-S112/Parameters!$B$12</f>
        <v>0.82686324781534015</v>
      </c>
      <c r="U112" s="7">
        <f t="shared" si="102"/>
        <v>5.7757812098349008</v>
      </c>
      <c r="V112" s="7">
        <f>(Parameters!$B$19*(F112+Parameters!$B$20)^T112+Parameters!$B$18*G112^T112)^(1/T112)</f>
        <v>0.34820874152258846</v>
      </c>
      <c r="W112" s="7">
        <f>(Parameters!$B$10*H112^Parameters!$B$9+Parameters!$B$11*V112^Parameters!$B$9)^(Parameters!$B$7/Parameters!$B$9)*O112</f>
        <v>1.3214745577607676</v>
      </c>
      <c r="X112" s="7">
        <f>W112 - D112 - E112 - LN(1+EXP(Parameters!$B$21*C112))/Parameters!$B$21 - IF(C112&gt;0, 0,Parameters!$B$6*C112^2/F112)</f>
        <v>1.0031979446554937</v>
      </c>
      <c r="Y112" s="7">
        <f>EXP(-Parameters!$B$55*A112)</f>
        <v>0.19577289314835553</v>
      </c>
      <c r="Z112" s="7">
        <f>IF(X112&gt;0,X112^(1-Parameters!$B$52)/(1-Parameters!$B$52)*Y112*Parameters!$B$65,-10+X112*1000)</f>
        <v>-0.55872640047178912</v>
      </c>
      <c r="AC112">
        <f t="shared" si="103"/>
        <v>0.56488832170300696</v>
      </c>
      <c r="AD112">
        <f t="shared" si="104"/>
        <v>82.901532852572515</v>
      </c>
      <c r="AE112" s="23">
        <f t="shared" si="105"/>
        <v>0.13815648395996563</v>
      </c>
      <c r="AF112" s="23">
        <f t="shared" si="106"/>
        <v>10.686432976601711</v>
      </c>
      <c r="AG112" s="23">
        <f t="shared" si="107"/>
        <v>1151.5603303427595</v>
      </c>
      <c r="AH112" s="23">
        <f t="shared" si="108"/>
        <v>298.50066875206443</v>
      </c>
      <c r="AI112" s="23">
        <f t="shared" si="109"/>
        <v>734.63287168796705</v>
      </c>
      <c r="AJ112" s="23">
        <f t="shared" si="110"/>
        <v>1132.8292262439909</v>
      </c>
      <c r="AK112" s="23">
        <f t="shared" si="111"/>
        <v>859.98776498531868</v>
      </c>
      <c r="AL112" s="9">
        <f t="shared" si="120"/>
        <v>2.3030472078806596E-2</v>
      </c>
      <c r="AM112" s="9">
        <f t="shared" si="121"/>
        <v>2.4346935592507002E-2</v>
      </c>
      <c r="AN112" s="9">
        <f t="shared" ref="AN112:AO112" si="165">AVERAGE(AL110:AL114)</f>
        <v>2.2737158677118074E-2</v>
      </c>
      <c r="AO112" s="9">
        <f t="shared" si="165"/>
        <v>2.3026358384205282E-2</v>
      </c>
      <c r="AP112" s="23"/>
      <c r="AQ112" s="25">
        <f t="shared" si="100"/>
        <v>1132.8292262439909</v>
      </c>
      <c r="AR112" s="4"/>
      <c r="AS112" s="4"/>
      <c r="AT112" s="4"/>
      <c r="AU112" s="16"/>
      <c r="AV112" s="16"/>
      <c r="AY112" s="21">
        <f>-Y112*W112*X112^(-Parameters!B$52)*Parameters!B$46*Parameters!B$45*N112</f>
        <v>-6.8009911080635589E-6</v>
      </c>
      <c r="AZ112" s="7">
        <f>1000*EXP(-(Parameters!$B$54)*'6states'!A112)*AQ112*Parameters!B$46*Parameters!B$45*N112</f>
        <v>0.67526419201120158</v>
      </c>
      <c r="BA112" s="93">
        <f>SUM(AZ112:AZ$204)*EXP(Parameters!$B$54*A112)</f>
        <v>2041.6103150231531</v>
      </c>
      <c r="BF112" s="5"/>
      <c r="BG112" s="5"/>
      <c r="BH112" s="5"/>
      <c r="BK112">
        <f>-EXP(-Parameters!B$42*'6states'!A112)*(-Parameters!B$37/Parameters!B$38/Parameters!E$25*(EXP(-Parameters!B$38*Parameters!E$25*'6states'!I112/('6states'!F112+'6states'!I112))-EXP(-Parameters!B$38*Parameters!E$25))+Parameters!B$37*'6states'!F112/('6states'!F112+'6states'!I112)*EXP(-Parameters!B$38*Parameters!E$25*'6states'!I112/('6states'!F112+'6states'!I112)))</f>
        <v>-1.1630007737123764</v>
      </c>
      <c r="BL112">
        <f>-J112*K112*EXP(-Parameters!B$42*'6states'!A112)*(-Parameters!B$37/Parameters!B$38/Parameters!E$25*(EXP(-Parameters!B$38*Parameters!E$25*'6states'!I112/('6states'!F112+'6states'!I112))-EXP(-Parameters!B$38*Parameters!E$25)) + Parameters!B$37*'6states'!F112/('6states'!F112+'6states'!I112)*EXP(-Parameters!B$38*Parameters!E$25*'6states'!I112/('6states'!F112+'6states'!I112)))</f>
        <v>-996.97815509836221</v>
      </c>
      <c r="BM112" s="7">
        <f t="shared" si="153"/>
        <v>1.2763207737653711E-2</v>
      </c>
    </row>
    <row r="113" spans="1:65" x14ac:dyDescent="0.25">
      <c r="A113">
        <f>A112+Parameters!$B$65</f>
        <v>109</v>
      </c>
      <c r="B113">
        <v>2134</v>
      </c>
      <c r="C113" s="74">
        <v>7.8081552218017098E-4</v>
      </c>
      <c r="D113" s="69">
        <v>4.02903825361337E-2</v>
      </c>
      <c r="E113" s="75">
        <v>0.26176587777761701</v>
      </c>
      <c r="F113" s="7">
        <f>MAX((1-Parameters!$B$4)^Parameters!B$65*F112 + C112*Parameters!B$65 - IF(C112&gt;0,Parameters!$B$5,0)*C112^2/F112*Parameters!B$65, 0.0001)</f>
        <v>1.2306012878961794E-2</v>
      </c>
      <c r="G113" s="7">
        <f>(1-Parameters!$B$4)^Parameters!B$65*G112+D112*Parameters!B$65-Parameters!$B$5*D112^2/G112*Parameters!B$65</f>
        <v>1.3485745394648807</v>
      </c>
      <c r="H113" s="7">
        <f>(1-Parameters!$B$4)^Parameters!B$65*H112+E112*Parameters!B$65-Parameters!$B$5*E112^2/H112*Parameters!B$65</f>
        <v>3.2481293841389638</v>
      </c>
      <c r="I113" s="9">
        <f>I112 *(1-Parameters!$B$4)-C112*(C112&lt;0)*Parameters!B$65</f>
        <v>1.5102594818258022E-4</v>
      </c>
      <c r="J113" s="23">
        <f>J112*(1+Parameters!$B$51)^Parameters!B$65</f>
        <v>11.188502719987332</v>
      </c>
      <c r="K113" s="23">
        <f>K112*(1+Parameters!$B$53)^Parameters!B$65</f>
        <v>78.377511453264248</v>
      </c>
      <c r="L113" s="23">
        <f>J113*K113*EXP(-Parameters!$B$42*'6states'!A113)*(Parameters!$B$37/Parameters!$B$38*('6states'!F113+'6states'!I113)/Parameters!$E$25*(EXP(-Parameters!$B$38*Parameters!$E$25*'6states'!I113/('6states'!F113+'6states'!I113))-EXP(-Parameters!$B$38*Parameters!$E$25))  +  Parameters!$B$39*'6states'!F113)</f>
        <v>3.0977362600795173</v>
      </c>
      <c r="M113" s="8">
        <f>M112+L113*Parameters!B$65</f>
        <v>3651.764824977477</v>
      </c>
      <c r="N113" s="7">
        <f>M113*Parameters!$B$45</f>
        <v>2.1910588949864862</v>
      </c>
      <c r="O113" s="9">
        <f>EXP(-Parameters!$B$46/2*N113^2)</f>
        <v>0.95289798448611696</v>
      </c>
      <c r="P113" s="8">
        <f>MAX((Parameters!$B$62 + Parameters!$B$31*'6states'!A113 - '6states'!M113 + Parameters!$B$47/Parameters!$B$45)/Parameters!B$62,1)</f>
        <v>89.940703500450468</v>
      </c>
      <c r="Q113" s="8"/>
      <c r="R113" s="8"/>
      <c r="S113" s="7">
        <f>Parameters!B$61*EXP(-Parameters!B$60*A113)+(1-Parameters!B$61)*P113^-Parameters!B$63</f>
        <v>0.3451948415317348</v>
      </c>
      <c r="T113" s="7">
        <f>1-S113/Parameters!$B$12</f>
        <v>0.82740257923413263</v>
      </c>
      <c r="U113" s="7">
        <f t="shared" si="102"/>
        <v>5.7938293374414007</v>
      </c>
      <c r="V113" s="7">
        <f>(Parameters!$B$19*(F113+Parameters!$B$20)^T113+Parameters!$B$18*G113^T113)^(1/T113)</f>
        <v>0.34953290375603646</v>
      </c>
      <c r="W113" s="7">
        <f>(Parameters!$B$10*H113^Parameters!$B$9+Parameters!$B$11*V113^Parameters!$B$9)^(Parameters!$B$7/Parameters!$B$9)*O113</f>
        <v>1.3217988736386885</v>
      </c>
      <c r="X113" s="7">
        <f>W113 - D113 - E113 - LN(1+EXP(Parameters!$B$21*C113))/Parameters!$B$21 - IF(C113&gt;0, 0,Parameters!$B$6*C113^2/F113)</f>
        <v>1.0170189043090347</v>
      </c>
      <c r="Y113" s="7">
        <f>EXP(-Parameters!$B$55*A113)</f>
        <v>0.19283892963388949</v>
      </c>
      <c r="Z113" s="7">
        <f>IF(X113&gt;0,X113^(1-Parameters!$B$52)/(1-Parameters!$B$52)*Y113*Parameters!$B$65,-10+X113*1000)</f>
        <v>-0.54772366929607097</v>
      </c>
      <c r="AC113">
        <f t="shared" si="103"/>
        <v>0.6847182134818911</v>
      </c>
      <c r="AD113">
        <f t="shared" si="104"/>
        <v>35.331724289514952</v>
      </c>
      <c r="AE113" s="23">
        <f t="shared" si="105"/>
        <v>0.13243873167409109</v>
      </c>
      <c r="AF113" s="23">
        <f t="shared" si="106"/>
        <v>10.791474956902242</v>
      </c>
      <c r="AG113" s="23">
        <f t="shared" si="107"/>
        <v>1182.6014252781297</v>
      </c>
      <c r="AH113" s="23">
        <f t="shared" si="108"/>
        <v>306.51484072027193</v>
      </c>
      <c r="AI113" s="23">
        <f t="shared" si="109"/>
        <v>754.35635904837784</v>
      </c>
      <c r="AJ113" s="23">
        <f t="shared" si="110"/>
        <v>1159.1211209700039</v>
      </c>
      <c r="AK113" s="23">
        <f t="shared" si="111"/>
        <v>891.8513367810674</v>
      </c>
      <c r="AL113" s="9">
        <f t="shared" si="120"/>
        <v>2.2943819988939573E-2</v>
      </c>
      <c r="AM113" s="9">
        <f t="shared" si="121"/>
        <v>3.6381293503633394E-2</v>
      </c>
      <c r="AN113" s="9">
        <f t="shared" ref="AN113:AO113" si="166">AVERAGE(AL111:AL115)</f>
        <v>2.2737949366981168E-2</v>
      </c>
      <c r="AO113" s="9">
        <f t="shared" si="166"/>
        <v>2.3049937375272833E-2</v>
      </c>
      <c r="AP113" s="23"/>
      <c r="AQ113" s="25">
        <f t="shared" si="100"/>
        <v>1159.1211209700039</v>
      </c>
      <c r="AR113" s="4"/>
      <c r="AS113" s="4"/>
      <c r="AT113" s="4"/>
      <c r="AU113" s="16"/>
      <c r="AV113" s="16"/>
      <c r="AY113" s="21">
        <f>-Y113*W113*X113^(-Parameters!B$52)*Parameters!B$46*Parameters!B$45*N113</f>
        <v>-6.5836580259132183E-6</v>
      </c>
      <c r="AZ113" s="7">
        <f>1000*EXP(-(Parameters!$B$54)*'6states'!A113)*AQ113*Parameters!B$46*Parameters!B$45*N113</f>
        <v>0.66767162582346518</v>
      </c>
      <c r="BA113" s="93">
        <f>SUM(AZ113:AZ$204)*EXP(Parameters!$B$54*A113)</f>
        <v>2083.5662079173835</v>
      </c>
      <c r="BF113" s="5"/>
      <c r="BG113" s="5"/>
      <c r="BH113" s="5"/>
      <c r="BK113">
        <f>-EXP(-Parameters!B$42*'6states'!A113)*(-Parameters!B$37/Parameters!B$38/Parameters!E$25*(EXP(-Parameters!B$38*Parameters!E$25*'6states'!I113/('6states'!F113+'6states'!I113))-EXP(-Parameters!B$38*Parameters!E$25))+Parameters!B$37*'6states'!F113/('6states'!F113+'6states'!I113)*EXP(-Parameters!B$38*Parameters!E$25*'6states'!I113/('6states'!F113+'6states'!I113)))</f>
        <v>-1.1840012983886308</v>
      </c>
      <c r="BL113">
        <f>-J113*K113*EXP(-Parameters!B$42*'6states'!A113)*(-Parameters!B$37/Parameters!B$38/Parameters!E$25*(EXP(-Parameters!B$38*Parameters!E$25*'6states'!I113/('6states'!F113+'6states'!I113))-EXP(-Parameters!B$38*Parameters!E$25)) + Parameters!B$37*'6states'!F113/('6states'!F113+'6states'!I113)*EXP(-Parameters!B$38*Parameters!E$25*'6states'!I113/('6states'!F113+'6states'!I113)))</f>
        <v>-1038.2827066875782</v>
      </c>
      <c r="BM113" s="7">
        <f t="shared" si="153"/>
        <v>1.2123743875108487E-2</v>
      </c>
    </row>
    <row r="114" spans="1:65" x14ac:dyDescent="0.25">
      <c r="A114">
        <f>A113+Parameters!$B$65</f>
        <v>110</v>
      </c>
      <c r="B114">
        <v>2135</v>
      </c>
      <c r="C114" s="74">
        <v>6.7657225995488299E-4</v>
      </c>
      <c r="D114" s="69">
        <v>9.9849309537628397E-2</v>
      </c>
      <c r="E114" s="75">
        <v>0.209623752593003</v>
      </c>
      <c r="F114" s="7">
        <f>MAX((1-Parameters!$B$4)^Parameters!B$65*F113 + C113*Parameters!B$65 - IF(C113&gt;0,Parameters!$B$5,0)*C113^2/F113*Parameters!B$65, 0.0001)</f>
        <v>1.2263237509304969E-2</v>
      </c>
      <c r="G114" s="7">
        <f>(1-Parameters!$B$4)^Parameters!B$65*G113+D113*Parameters!B$65-Parameters!$B$5*D113^2/G113*Parameters!B$65</f>
        <v>1.3028358569578999</v>
      </c>
      <c r="H114" s="7">
        <f>(1-Parameters!$B$4)^Parameters!B$65*H113+E113*Parameters!B$65-Parameters!$B$5*E113^2/H113*Parameters!B$65</f>
        <v>3.2844922816200017</v>
      </c>
      <c r="I114" s="9">
        <f>I113 *(1-Parameters!$B$4)-C113*(C113&lt;0)*Parameters!B$65</f>
        <v>1.4152641604189592E-4</v>
      </c>
      <c r="J114" s="23">
        <f>J113*(1+Parameters!$B$51)^Parameters!B$65</f>
        <v>11.220949377875295</v>
      </c>
      <c r="K114" s="23">
        <f>K113*(1+Parameters!$B$53)^Parameters!B$65</f>
        <v>79.945061682329538</v>
      </c>
      <c r="L114" s="23">
        <f>J114*K114*EXP(-Parameters!$B$42*'6states'!A114)*(Parameters!$B$37/Parameters!$B$38*('6states'!F114+'6states'!I114)/Parameters!$E$25*(EXP(-Parameters!$B$38*Parameters!$E$25*'6states'!I114/('6states'!F114+'6states'!I114))-EXP(-Parameters!$B$38*Parameters!$E$25))  +  Parameters!$B$39*'6states'!F114)</f>
        <v>3.1360040552879651</v>
      </c>
      <c r="M114" s="8">
        <f>M113+L114*Parameters!B$65</f>
        <v>3654.9008290327652</v>
      </c>
      <c r="N114" s="7">
        <f>M114*Parameters!$B$45</f>
        <v>2.1929404974196589</v>
      </c>
      <c r="O114" s="9">
        <f>EXP(-Parameters!$B$46/2*N114^2)</f>
        <v>0.95281899072003529</v>
      </c>
      <c r="P114" s="8">
        <f>MAX((Parameters!$B$62 + Parameters!$B$31*'6states'!A114 - '6states'!M114 + Parameters!$B$47/Parameters!$B$45)/Parameters!B$62,1)</f>
        <v>90.941983419344695</v>
      </c>
      <c r="Q114" s="8"/>
      <c r="R114" s="8"/>
      <c r="S114" s="7">
        <f>Parameters!B$61*EXP(-Parameters!B$60*A114)+(1-Parameters!B$61)*P114^-Parameters!B$63</f>
        <v>0.34414001343115458</v>
      </c>
      <c r="T114" s="7">
        <f>1-S114/Parameters!$B$12</f>
        <v>0.82792999328442274</v>
      </c>
      <c r="U114" s="7">
        <f t="shared" si="102"/>
        <v>5.8115880802686766</v>
      </c>
      <c r="V114" s="7">
        <f>(Parameters!$B$19*(F114+Parameters!$B$20)^T114+Parameters!$B$18*G114^T114)^(1/T114)</f>
        <v>0.33870140950742333</v>
      </c>
      <c r="W114" s="7">
        <f>(Parameters!$B$10*H114^Parameters!$B$9+Parameters!$B$11*V114^Parameters!$B$9)^(Parameters!$B$7/Parameters!$B$9)*O114</f>
        <v>1.3208182228933976</v>
      </c>
      <c r="X114" s="7">
        <f>W114 - D114 - E114 - LN(1+EXP(Parameters!$B$21*C114))/Parameters!$B$21 - IF(C114&gt;0, 0,Parameters!$B$6*C114^2/F114)</f>
        <v>1.0086792477902573</v>
      </c>
      <c r="Y114" s="7">
        <f>EXP(-Parameters!$B$55*A114)</f>
        <v>0.18994893615922709</v>
      </c>
      <c r="Z114" s="7">
        <f>IF(X114&gt;0,X114^(1-Parameters!$B$52)/(1-Parameters!$B$52)*Y114*Parameters!$B$65,-10+X114*1000)</f>
        <v>-0.54107222548527734</v>
      </c>
      <c r="AC114">
        <f t="shared" si="103"/>
        <v>0.60692556656377117</v>
      </c>
      <c r="AD114">
        <f t="shared" si="104"/>
        <v>89.570770705508437</v>
      </c>
      <c r="AE114" s="23">
        <f t="shared" si="105"/>
        <v>0.12695761461709298</v>
      </c>
      <c r="AF114" s="23">
        <f t="shared" si="106"/>
        <v>11.000853587667539</v>
      </c>
      <c r="AG114" s="23">
        <f t="shared" si="107"/>
        <v>1168.7212695898868</v>
      </c>
      <c r="AH114" s="23">
        <f t="shared" si="108"/>
        <v>303.83531372532025</v>
      </c>
      <c r="AI114" s="23">
        <f t="shared" si="109"/>
        <v>747.76183911213673</v>
      </c>
      <c r="AJ114" s="23">
        <f t="shared" si="110"/>
        <v>1184.8525216076489</v>
      </c>
      <c r="AK114" s="23">
        <f t="shared" si="111"/>
        <v>904.84529174613874</v>
      </c>
      <c r="AL114" s="9">
        <f t="shared" si="120"/>
        <v>2.1956248885508067E-2</v>
      </c>
      <c r="AM114" s="9">
        <f t="shared" si="121"/>
        <v>1.4464524851056204E-2</v>
      </c>
      <c r="AN114" s="9">
        <f t="shared" ref="AN114:AO114" si="167">AVERAGE(AL112:AL116)</f>
        <v>2.2725464040519582E-2</v>
      </c>
      <c r="AO114" s="9">
        <f t="shared" si="167"/>
        <v>2.2706908293059769E-2</v>
      </c>
      <c r="AP114" s="23"/>
      <c r="AQ114" s="25">
        <f t="shared" si="100"/>
        <v>1184.8525216076489</v>
      </c>
      <c r="AR114" s="4"/>
      <c r="AS114" s="4"/>
      <c r="AT114" s="4"/>
      <c r="AU114" s="16"/>
      <c r="AV114" s="16"/>
      <c r="AY114" s="21">
        <f>-Y114*W114*X114^(-Parameters!B$52)*Parameters!B$46*Parameters!B$45*N114</f>
        <v>-6.5582415346301674E-6</v>
      </c>
      <c r="AZ114" s="7">
        <f>1000*EXP(-(Parameters!$B$54)*'6states'!A114)*AQ114*Parameters!B$46*Parameters!B$45*N114</f>
        <v>0.65951922255144235</v>
      </c>
      <c r="BA114" s="93">
        <f>SUM(AZ114:AZ$204)*EXP(Parameters!$B$54*A114)</f>
        <v>2126.2750430823962</v>
      </c>
      <c r="BF114" s="5"/>
      <c r="BG114" s="5"/>
      <c r="BH114" s="5"/>
      <c r="BK114">
        <f>-EXP(-Parameters!B$42*'6states'!A114)*(-Parameters!B$37/Parameters!B$38/Parameters!E$25*(EXP(-Parameters!B$38*Parameters!E$25*'6states'!I114/('6states'!F114+'6states'!I114))-EXP(-Parameters!B$38*Parameters!E$25))+Parameters!B$37*'6states'!F114/('6states'!F114+'6states'!I114)*EXP(-Parameters!B$38*Parameters!E$25*'6states'!I114/('6states'!F114+'6states'!I114)))</f>
        <v>-1.2093434433482699</v>
      </c>
      <c r="BL114">
        <f>-J114*K114*EXP(-Parameters!B$42*'6states'!A114)*(-Parameters!B$37/Parameters!B$38/Parameters!E$25*(EXP(-Parameters!B$38*Parameters!E$25*'6states'!I114/('6states'!F114+'6states'!I114))-EXP(-Parameters!B$38*Parameters!E$25)) + Parameters!B$37*'6states'!F114/('6states'!F114+'6states'!I114)*EXP(-Parameters!B$38*Parameters!E$25*'6states'!I114/('6states'!F114+'6states'!I114)))</f>
        <v>-1084.8530127044758</v>
      </c>
      <c r="BM114" s="7">
        <f t="shared" si="153"/>
        <v>1.1409037438649886E-2</v>
      </c>
    </row>
    <row r="115" spans="1:65" x14ac:dyDescent="0.25">
      <c r="A115">
        <f>A114+Parameters!$B$65</f>
        <v>111</v>
      </c>
      <c r="B115">
        <v>2136</v>
      </c>
      <c r="C115" s="74">
        <v>5.9165339640836504E-4</v>
      </c>
      <c r="D115" s="69">
        <v>0.101115617966861</v>
      </c>
      <c r="E115" s="75">
        <v>0.21438507592870701</v>
      </c>
      <c r="F115" s="7">
        <f>MAX((1-Parameters!$B$4)^Parameters!B$65*F114 + C114*Parameters!B$65 - IF(C114&gt;0,Parameters!$B$5,0)*C114^2/F114*Parameters!B$65, 0.0001)</f>
        <v>1.2131125117168507E-2</v>
      </c>
      <c r="G115" s="7">
        <f>(1-Parameters!$B$4)^Parameters!B$65*G114+D114*Parameters!B$65-Parameters!$B$5*D114^2/G114*Parameters!B$65</f>
        <v>1.313084342350469</v>
      </c>
      <c r="H115" s="7">
        <f>(1-Parameters!$B$4)^Parameters!B$65*H114+E114*Parameters!B$65-Parameters!$B$5*E114^2/H114*Parameters!B$65</f>
        <v>3.2741428060021112</v>
      </c>
      <c r="I115" s="9">
        <f>I114 *(1-Parameters!$B$4)-C114*(C114&lt;0)*Parameters!B$65</f>
        <v>1.3262440447286066E-4</v>
      </c>
      <c r="J115" s="23">
        <f>J114*(1+Parameters!$B$51)^Parameters!B$65</f>
        <v>11.253490131071132</v>
      </c>
      <c r="K115" s="23">
        <f>K114*(1+Parameters!$B$53)^Parameters!B$65</f>
        <v>81.543962915976124</v>
      </c>
      <c r="L115" s="23">
        <f>J115*K115*EXP(-Parameters!$B$42*'6states'!A115)*(Parameters!$B$37/Parameters!$B$38*('6states'!F115+'6states'!I115)/Parameters!$E$25*(EXP(-Parameters!$B$38*Parameters!$E$25*'6states'!I115/('6states'!F115+'6states'!I115))-EXP(-Parameters!$B$38*Parameters!$E$25))  +  Parameters!$B$39*'6states'!F115)</f>
        <v>3.1500758885178066</v>
      </c>
      <c r="M115" s="8">
        <f>M114+L115*Parameters!B$65</f>
        <v>3658.0509049212828</v>
      </c>
      <c r="N115" s="7">
        <f>M115*Parameters!$B$45</f>
        <v>2.1948305429527695</v>
      </c>
      <c r="O115" s="9">
        <f>EXP(-Parameters!$B$46/2*N115^2)</f>
        <v>0.95273958083039023</v>
      </c>
      <c r="P115" s="8">
        <f>MAX((Parameters!$B$62 + Parameters!$B$31*'6states'!A115 - '6states'!M115 + Parameters!$B$47/Parameters!$B$45)/Parameters!B$62,1)</f>
        <v>91.942981901574342</v>
      </c>
      <c r="Q115" s="8"/>
      <c r="R115" s="8"/>
      <c r="S115" s="7">
        <f>Parameters!B$61*EXP(-Parameters!B$60*A115)+(1-Parameters!B$61)*P115^-Parameters!B$63</f>
        <v>0.34310823104935301</v>
      </c>
      <c r="T115" s="7">
        <f>1-S115/Parameters!$B$12</f>
        <v>0.82844588447532352</v>
      </c>
      <c r="U115" s="7">
        <f t="shared" si="102"/>
        <v>5.8290644729893364</v>
      </c>
      <c r="V115" s="7">
        <f>(Parameters!$B$19*(F115+Parameters!$B$20)^T115+Parameters!$B$18*G115^T115)^(1/T115)</f>
        <v>0.34124739886220357</v>
      </c>
      <c r="W115" s="7">
        <f>(Parameters!$B$10*H115^Parameters!$B$9+Parameters!$B$11*V115^Parameters!$B$9)^(Parameters!$B$7/Parameters!$B$9)*O115</f>
        <v>1.320835374096242</v>
      </c>
      <c r="X115" s="7">
        <f>W115 - D115 - E115 - LN(1+EXP(Parameters!$B$21*C115))/Parameters!$B$21 - IF(C115&gt;0, 0,Parameters!$B$6*C115^2/F115)</f>
        <v>1.0027152530810446</v>
      </c>
      <c r="Y115" s="7">
        <f>EXP(-Parameters!$B$55*A115)</f>
        <v>0.18710225376443562</v>
      </c>
      <c r="Z115" s="7">
        <f>IF(X115&gt;0,X115^(1-Parameters!$B$52)/(1-Parameters!$B$52)*Y115*Parameters!$B$65,-10+X115*1000)</f>
        <v>-0.53407076706665446</v>
      </c>
      <c r="AC115">
        <f t="shared" si="103"/>
        <v>0.54293321346330015</v>
      </c>
      <c r="AD115">
        <f t="shared" si="104"/>
        <v>92.789169685055612</v>
      </c>
      <c r="AE115" s="23">
        <f t="shared" si="105"/>
        <v>0.12170333938961678</v>
      </c>
      <c r="AF115" s="23">
        <f t="shared" si="106"/>
        <v>11.132177695205284</v>
      </c>
      <c r="AG115" s="23">
        <f t="shared" si="107"/>
        <v>1204.9573379760029</v>
      </c>
      <c r="AH115" s="23">
        <f t="shared" si="108"/>
        <v>313.14710263637255</v>
      </c>
      <c r="AI115" s="23">
        <f t="shared" si="109"/>
        <v>770.6788605609579</v>
      </c>
      <c r="AJ115" s="23">
        <f t="shared" si="110"/>
        <v>1212.0701046717322</v>
      </c>
      <c r="AK115" s="23">
        <f t="shared" si="111"/>
        <v>920.1458452681685</v>
      </c>
      <c r="AL115" s="9">
        <f t="shared" si="120"/>
        <v>2.2711415610249475E-2</v>
      </c>
      <c r="AM115" s="9">
        <f t="shared" si="121"/>
        <v>1.6768204204551829E-2</v>
      </c>
      <c r="AN115" s="9">
        <f t="shared" ref="AN115:AO115" si="168">AVERAGE(AL113:AL117)</f>
        <v>2.2719722952586174E-2</v>
      </c>
      <c r="AO115" s="9">
        <f t="shared" si="168"/>
        <v>2.2639557831065991E-2</v>
      </c>
      <c r="AP115" s="23"/>
      <c r="AQ115" s="25">
        <f t="shared" si="100"/>
        <v>1212.0701046717322</v>
      </c>
      <c r="AR115" s="4"/>
      <c r="AS115" s="4"/>
      <c r="AT115" s="4"/>
      <c r="AU115" s="16"/>
      <c r="AV115" s="16"/>
      <c r="AY115" s="21">
        <f>-Y115*W115*X115^(-Parameters!B$52)*Parameters!B$46*Parameters!B$45*N115</f>
        <v>-6.5175778068910975E-6</v>
      </c>
      <c r="AZ115" s="7">
        <f>1000*EXP(-(Parameters!$B$54)*'6states'!A115)*AQ115*Parameters!B$46*Parameters!B$45*N115</f>
        <v>0.65196054125817393</v>
      </c>
      <c r="BA115" s="93">
        <f>SUM(AZ115:AZ$204)*EXP(Parameters!$B$54*A115)</f>
        <v>2169.7775101727507</v>
      </c>
      <c r="BF115" s="5"/>
      <c r="BG115" s="5"/>
      <c r="BH115" s="5"/>
      <c r="BK115">
        <f>-EXP(-Parameters!B$42*'6states'!A115)*(-Parameters!B$37/Parameters!B$38/Parameters!E$25*(EXP(-Parameters!B$38*Parameters!E$25*'6states'!I115/('6states'!F115+'6states'!I115))-EXP(-Parameters!B$38*Parameters!E$25))+Parameters!B$37*'6states'!F115/('6states'!F115+'6states'!I115)*EXP(-Parameters!B$38*Parameters!E$25*'6states'!I115/('6states'!F115+'6states'!I115)))</f>
        <v>-1.2287775076436582</v>
      </c>
      <c r="BL115">
        <f>-J115*K115*EXP(-Parameters!B$42*'6states'!A115)*(-Parameters!B$37/Parameters!B$38/Parameters!E$25*(EXP(-Parameters!B$38*Parameters!E$25*'6states'!I115/('6states'!F115+'6states'!I115))-EXP(-Parameters!B$38*Parameters!E$25)) + Parameters!B$37*'6states'!F115/('6states'!F115+'6states'!I115)*EXP(-Parameters!B$38*Parameters!E$25*'6states'!I115/('6states'!F115+'6states'!I115)))</f>
        <v>-1127.592818542576</v>
      </c>
      <c r="BM115" s="7">
        <f t="shared" si="153"/>
        <v>1.081434387083848E-2</v>
      </c>
    </row>
    <row r="116" spans="1:65" x14ac:dyDescent="0.25">
      <c r="A116">
        <f>A115+Parameters!$B$65</f>
        <v>112</v>
      </c>
      <c r="B116">
        <v>2137</v>
      </c>
      <c r="C116" s="74">
        <v>5.13306802808467E-4</v>
      </c>
      <c r="D116" s="69">
        <v>9.2847622322432502E-2</v>
      </c>
      <c r="E116" s="75">
        <v>0.22420179694944101</v>
      </c>
      <c r="F116" s="7">
        <f>MAX((1-Parameters!$B$4)^Parameters!B$65*F115 + C115*Parameters!B$65 - IF(C115&gt;0,Parameters!$B$5,0)*C115^2/F115*Parameters!B$65, 0.0001)</f>
        <v>1.1930874908976019E-2</v>
      </c>
      <c r="G116" s="7">
        <f>(1-Parameters!$B$4)^Parameters!B$65*G115+D115*Parameters!B$65-Parameters!$B$5*D115^2/G115*Parameters!B$65</f>
        <v>1.323820427032127</v>
      </c>
      <c r="H116" s="7">
        <f>(1-Parameters!$B$4)^Parameters!B$65*H115+E115*Parameters!B$65-Parameters!$B$5*E115^2/H115*Parameters!B$65</f>
        <v>3.2685467441083609</v>
      </c>
      <c r="I116" s="9">
        <f>I115 *(1-Parameters!$B$4)-C115*(C115&lt;0)*Parameters!B$65</f>
        <v>1.2428232943151774E-4</v>
      </c>
      <c r="J116" s="23">
        <f>J115*(1+Parameters!$B$51)^Parameters!B$65</f>
        <v>11.286125252451237</v>
      </c>
      <c r="K116" s="23">
        <f>K115*(1+Parameters!$B$53)^Parameters!B$65</f>
        <v>83.174842174295648</v>
      </c>
      <c r="L116" s="23">
        <f>J116*K116*EXP(-Parameters!$B$42*'6states'!A116)*(Parameters!$B$37/Parameters!$B$38*('6states'!F116+'6states'!I116)/Parameters!$E$25*(EXP(-Parameters!$B$38*Parameters!$E$25*'6states'!I116/('6states'!F116+'6states'!I116))-EXP(-Parameters!$B$38*Parameters!$E$25))  +  Parameters!$B$39*'6states'!F116)</f>
        <v>3.1447731739363456</v>
      </c>
      <c r="M116" s="8">
        <f>M115+L116*Parameters!B$65</f>
        <v>3661.1956780952191</v>
      </c>
      <c r="N116" s="7">
        <f>M116*Parameters!$B$45</f>
        <v>2.1967174068571311</v>
      </c>
      <c r="O116" s="9">
        <f>EXP(-Parameters!$B$46/2*N116^2)</f>
        <v>0.95266024298680396</v>
      </c>
      <c r="P116" s="8">
        <f>MAX((Parameters!$B$62 + Parameters!$B$31*'6states'!A116 - '6states'!M116 + Parameters!$B$47/Parameters!$B$45)/Parameters!B$62,1)</f>
        <v>92.944086438095624</v>
      </c>
      <c r="Q116" s="8"/>
      <c r="R116" s="8"/>
      <c r="S116" s="7">
        <f>Parameters!B$61*EXP(-Parameters!B$60*A116)+(1-Parameters!B$61)*P116^-Parameters!B$63</f>
        <v>0.34209876370491504</v>
      </c>
      <c r="T116" s="7">
        <f>1-S116/Parameters!$B$12</f>
        <v>0.82895061814754245</v>
      </c>
      <c r="U116" s="7">
        <f t="shared" si="102"/>
        <v>5.8462649158391713</v>
      </c>
      <c r="V116" s="7">
        <f>(Parameters!$B$19*(F116+Parameters!$B$20)^T116+Parameters!$B$18*G116^T116)^(1/T116)</f>
        <v>0.34383383015074293</v>
      </c>
      <c r="W116" s="7">
        <f>(Parameters!$B$10*H116^Parameters!$B$9+Parameters!$B$11*V116^Parameters!$B$9)^(Parameters!$B$7/Parameters!$B$9)*O116</f>
        <v>1.321214420035441</v>
      </c>
      <c r="X116" s="7">
        <f>W116 - D116 - E116 - LN(1+EXP(Parameters!$B$21*C116))/Parameters!$B$21 - IF(C116&gt;0, 0,Parameters!$B$6*C116^2/F116)</f>
        <v>1.0015879858623378</v>
      </c>
      <c r="Y116" s="7">
        <f>EXP(-Parameters!$B$55*A116)</f>
        <v>0.18429823336512921</v>
      </c>
      <c r="Z116" s="7">
        <f>IF(X116&gt;0,X116^(1-Parameters!$B$52)/(1-Parameters!$B$52)*Y116*Parameters!$B$65,-10+X116*1000)</f>
        <v>-0.52627403136715012</v>
      </c>
      <c r="AC116">
        <f t="shared" si="103"/>
        <v>0.48185222769202524</v>
      </c>
      <c r="AD116">
        <f t="shared" si="104"/>
        <v>87.158076626281456</v>
      </c>
      <c r="AE116" s="23">
        <f t="shared" si="105"/>
        <v>0.11666651790250375</v>
      </c>
      <c r="AF116" s="23">
        <f t="shared" si="106"/>
        <v>11.199771017548953</v>
      </c>
      <c r="AG116" s="23">
        <f t="shared" si="107"/>
        <v>1242.6989440614454</v>
      </c>
      <c r="AH116" s="23">
        <f t="shared" si="108"/>
        <v>322.76427296023377</v>
      </c>
      <c r="AI116" s="23">
        <f t="shared" si="109"/>
        <v>794.34744891644584</v>
      </c>
      <c r="AJ116" s="23">
        <f t="shared" si="110"/>
        <v>1240.2526287781416</v>
      </c>
      <c r="AK116" s="23">
        <f t="shared" si="111"/>
        <v>940.21236339900565</v>
      </c>
      <c r="AL116" s="9">
        <f t="shared" si="120"/>
        <v>2.2985363639094203E-2</v>
      </c>
      <c r="AM116" s="9">
        <f t="shared" si="121"/>
        <v>2.1573583313550415E-2</v>
      </c>
      <c r="AN116" s="9">
        <f t="shared" ref="AN116:AO116" si="169">AVERAGE(AL114:AL118)</f>
        <v>2.2713709430425232E-2</v>
      </c>
      <c r="AO116" s="9">
        <f t="shared" si="169"/>
        <v>2.012960152184089E-2</v>
      </c>
      <c r="AP116" s="23"/>
      <c r="AQ116" s="25">
        <f t="shared" si="100"/>
        <v>1240.2526287781416</v>
      </c>
      <c r="AR116" s="4"/>
      <c r="AS116" s="4"/>
      <c r="AT116" s="4"/>
      <c r="AU116" s="16"/>
      <c r="AV116" s="16"/>
      <c r="AY116" s="21">
        <f>-Y116*W116*X116^(-Parameters!B$52)*Parameters!B$46*Parameters!B$45*N116</f>
        <v>-6.4370322158756169E-6</v>
      </c>
      <c r="AZ116" s="7">
        <f>1000*EXP(-(Parameters!$B$54)*'6states'!A116)*AQ116*Parameters!B$46*Parameters!B$45*N116</f>
        <v>0.64466365800687508</v>
      </c>
      <c r="BA116" s="93">
        <f>SUM(AZ116:AZ$204)*EXP(Parameters!$B$54*A116)</f>
        <v>2214.059879086321</v>
      </c>
      <c r="BF116" s="5"/>
      <c r="BG116" s="5"/>
      <c r="BH116" s="5"/>
      <c r="BK116">
        <f>-EXP(-Parameters!B$42*'6states'!A116)*(-Parameters!B$37/Parameters!B$38/Parameters!E$25*(EXP(-Parameters!B$38*Parameters!E$25*'6states'!I116/('6states'!F116+'6states'!I116))-EXP(-Parameters!B$38*Parameters!E$25))+Parameters!B$37*'6states'!F116/('6states'!F116+'6states'!I116)*EXP(-Parameters!B$38*Parameters!E$25*'6states'!I116/('6states'!F116+'6states'!I116)))</f>
        <v>-1.2436409179102468</v>
      </c>
      <c r="BL116">
        <f>-J116*K116*EXP(-Parameters!B$42*'6states'!A116)*(-Parameters!B$37/Parameters!B$38/Parameters!E$25*(EXP(-Parameters!B$38*Parameters!E$25*'6states'!I116/('6states'!F116+'6states'!I116))-EXP(-Parameters!B$38*Parameters!E$25)) + Parameters!B$37*'6states'!F116/('6states'!F116+'6states'!I116)*EXP(-Parameters!B$38*Parameters!E$25*'6states'!I116/('6states'!F116+'6states'!I116)))</f>
        <v>-1167.4327000252313</v>
      </c>
      <c r="BM116" s="7">
        <f t="shared" si="153"/>
        <v>1.0309473943280991E-2</v>
      </c>
    </row>
    <row r="117" spans="1:65" x14ac:dyDescent="0.25">
      <c r="A117">
        <f>A116+Parameters!$B$65</f>
        <v>113</v>
      </c>
      <c r="B117">
        <v>2138</v>
      </c>
      <c r="C117" s="74">
        <v>4.1658049900216798E-4</v>
      </c>
      <c r="D117" s="69">
        <v>9.7218411137543995E-2</v>
      </c>
      <c r="E117" s="75">
        <v>0.21896887367328799</v>
      </c>
      <c r="F117" s="7">
        <f>MAX((1-Parameters!$B$4)^Parameters!B$65*F116 + C116*Parameters!B$65 - IF(C116&gt;0,Parameters!$B$5,0)*C116^2/F116*Parameters!B$65, 0.0001)</f>
        <v>1.1671645476142229E-2</v>
      </c>
      <c r="G117" s="7">
        <f>(1-Parameters!$B$4)^Parameters!B$65*G116+D116*Parameters!B$65-Parameters!$B$5*D116^2/G116*Parameters!B$65</f>
        <v>1.3268877729345798</v>
      </c>
      <c r="H117" s="7">
        <f>(1-Parameters!$B$4)^Parameters!B$65*H116+E116*Parameters!B$65-Parameters!$B$5*E116^2/H116*Parameters!B$65</f>
        <v>3.2717781144191314</v>
      </c>
      <c r="I117" s="9">
        <f>I116 *(1-Parameters!$B$4)-C116*(C116&lt;0)*Parameters!B$65</f>
        <v>1.1646497091027527E-4</v>
      </c>
      <c r="J117" s="23">
        <f>J116*(1+Parameters!$B$51)^Parameters!B$65</f>
        <v>11.318855015683344</v>
      </c>
      <c r="K117" s="23">
        <f>K116*(1+Parameters!$B$53)^Parameters!B$65</f>
        <v>84.838339017781564</v>
      </c>
      <c r="L117" s="23">
        <f>J117*K117*EXP(-Parameters!$B$42*'6states'!A117)*(Parameters!$B$37/Parameters!$B$38*('6states'!F117+'6states'!I117)/Parameters!$E$25*(EXP(-Parameters!$B$38*Parameters!$E$25*'6states'!I117/('6states'!F117+'6states'!I117))-EXP(-Parameters!$B$38*Parameters!$E$25))  +  Parameters!$B$39*'6states'!F117)</f>
        <v>3.1218670026368427</v>
      </c>
      <c r="M117" s="8">
        <f>M116+L117*Parameters!B$65</f>
        <v>3664.3175450978561</v>
      </c>
      <c r="N117" s="7">
        <f>M117*Parameters!$B$45</f>
        <v>2.1985905270587134</v>
      </c>
      <c r="O117" s="9">
        <f>EXP(-Parameters!$B$46/2*N117^2)</f>
        <v>0.95258142214097208</v>
      </c>
      <c r="P117" s="8">
        <f>MAX((Parameters!$B$62 + Parameters!$B$31*'6states'!A117 - '6states'!M117 + Parameters!$B$47/Parameters!$B$45)/Parameters!B$62,1)</f>
        <v>93.945649098042892</v>
      </c>
      <c r="Q117" s="8"/>
      <c r="R117" s="8"/>
      <c r="S117" s="7">
        <f>Parameters!B$61*EXP(-Parameters!B$60*A117)+(1-Parameters!B$61)*P117^-Parameters!B$63</f>
        <v>0.34111091552640016</v>
      </c>
      <c r="T117" s="7">
        <f>1-S117/Parameters!$B$12</f>
        <v>0.82944454223679998</v>
      </c>
      <c r="U117" s="7">
        <f t="shared" si="102"/>
        <v>5.8631955442223642</v>
      </c>
      <c r="V117" s="7">
        <f>(Parameters!$B$19*(F117+Parameters!$B$20)^T117+Parameters!$B$18*G117^T117)^(1/T117)</f>
        <v>0.34450189642484291</v>
      </c>
      <c r="W117" s="7">
        <f>(Parameters!$B$10*H117^Parameters!$B$9+Parameters!$B$11*V117^Parameters!$B$9)^(Parameters!$B$7/Parameters!$B$9)*O117</f>
        <v>1.3216152530283825</v>
      </c>
      <c r="X117" s="7">
        <f>W117 - D117 - E117 - LN(1+EXP(Parameters!$B$21*C117))/Parameters!$B$21 - IF(C117&gt;0, 0,Parameters!$B$6*C117^2/F117)</f>
        <v>1.0029026838726203</v>
      </c>
      <c r="Y117" s="7">
        <f>EXP(-Parameters!$B$55*A117)</f>
        <v>0.18153623560446847</v>
      </c>
      <c r="Z117" s="7">
        <f>IF(X117&gt;0,X117^(1-Parameters!$B$52)/(1-Parameters!$B$52)*Y117*Parameters!$B$65,-10+X117*1000)</f>
        <v>-0.51814904666885242</v>
      </c>
      <c r="AC117">
        <f t="shared" si="103"/>
        <v>0.40003094682780738</v>
      </c>
      <c r="AD117">
        <f t="shared" si="104"/>
        <v>93.356201621536741</v>
      </c>
      <c r="AE117" s="23">
        <f t="shared" si="105"/>
        <v>0.11183815060259937</v>
      </c>
      <c r="AF117" s="23">
        <f t="shared" si="106"/>
        <v>11.207964371936121</v>
      </c>
      <c r="AG117" s="23">
        <f t="shared" si="107"/>
        <v>1274.1743154388469</v>
      </c>
      <c r="AH117" s="23">
        <f t="shared" si="108"/>
        <v>330.81582104996215</v>
      </c>
      <c r="AI117" s="23">
        <f t="shared" si="109"/>
        <v>814.16292175749288</v>
      </c>
      <c r="AJ117" s="23">
        <f t="shared" si="110"/>
        <v>1269.1112576737892</v>
      </c>
      <c r="AK117" s="23">
        <f t="shared" si="111"/>
        <v>963.06022765512489</v>
      </c>
      <c r="AL117" s="9">
        <f t="shared" si="120"/>
        <v>2.3001766639139554E-2</v>
      </c>
      <c r="AM117" s="9">
        <f t="shared" si="121"/>
        <v>2.4010183282538122E-2</v>
      </c>
      <c r="AN117" s="9">
        <f t="shared" ref="AN117:AO117" si="170">AVERAGE(AL115:AL119)</f>
        <v>2.288629939311395E-2</v>
      </c>
      <c r="AO117" s="9">
        <f t="shared" si="170"/>
        <v>2.3011413622609923E-2</v>
      </c>
      <c r="AP117" s="23"/>
      <c r="AQ117" s="25">
        <f t="shared" si="100"/>
        <v>1269.1112576737892</v>
      </c>
      <c r="AR117" s="4"/>
      <c r="AS117" s="4"/>
      <c r="AT117" s="4"/>
      <c r="AU117" s="16"/>
      <c r="AV117" s="16"/>
      <c r="AY117" s="21">
        <f>-Y117*W117*X117^(-Parameters!B$52)*Parameters!B$46*Parameters!B$45*N117</f>
        <v>-6.3366636700669075E-6</v>
      </c>
      <c r="AZ117" s="7">
        <f>1000*EXP(-(Parameters!$B$54)*'6states'!A117)*AQ117*Parameters!B$46*Parameters!B$45*N117</f>
        <v>0.63745444407280605</v>
      </c>
      <c r="BA117" s="93">
        <f>SUM(AZ117:AZ$204)*EXP(Parameters!$B$54*A117)</f>
        <v>2259.1222977726343</v>
      </c>
      <c r="BF117" s="5"/>
      <c r="BG117" s="5"/>
      <c r="BH117" s="5"/>
      <c r="BK117">
        <f>-EXP(-Parameters!B$42*'6states'!A117)*(-Parameters!B$37/Parameters!B$38/Parameters!E$25*(EXP(-Parameters!B$38*Parameters!E$25*'6states'!I117/('6states'!F117+'6states'!I117))-EXP(-Parameters!B$38*Parameters!E$25))+Parameters!B$37*'6states'!F117/('6states'!F117+'6states'!I117)*EXP(-Parameters!B$38*Parameters!E$25*'6states'!I117/('6states'!F117+'6states'!I117)))</f>
        <v>-1.2545581593844897</v>
      </c>
      <c r="BL117">
        <f>-J117*K117*EXP(-Parameters!B$42*'6states'!A117)*(-Parameters!B$37/Parameters!B$38/Parameters!E$25*(EXP(-Parameters!B$38*Parameters!E$25*'6states'!I117/('6states'!F117+'6states'!I117))-EXP(-Parameters!B$38*Parameters!E$25)) + Parameters!B$37*'6states'!F117/('6states'!F117+'6states'!I117)*EXP(-Parameters!B$38*Parameters!E$25*'6states'!I117/('6states'!F117+'6states'!I117)))</f>
        <v>-1204.7181506365157</v>
      </c>
      <c r="BM117" s="7">
        <f t="shared" si="153"/>
        <v>9.8798676372595512E-3</v>
      </c>
    </row>
    <row r="118" spans="1:65" x14ac:dyDescent="0.25">
      <c r="A118">
        <f>A117+Parameters!$B$65</f>
        <v>114</v>
      </c>
      <c r="B118">
        <v>2139</v>
      </c>
      <c r="C118" s="74">
        <v>3.0820587142323699E-4</v>
      </c>
      <c r="D118" s="69">
        <v>9.1479975328663393E-2</v>
      </c>
      <c r="E118" s="75">
        <v>0.223912028269524</v>
      </c>
      <c r="F118" s="7">
        <f>MAX((1-Parameters!$B$4)^Parameters!B$65*F117 + C117*Parameters!B$65 - IF(C117&gt;0,Parameters!$B$5,0)*C117^2/F117*Parameters!B$65, 0.0001)</f>
        <v>1.1339211021698974E-2</v>
      </c>
      <c r="G118" s="7">
        <f>(1-Parameters!$B$4)^Parameters!B$65*G117+D117*Parameters!B$65-Parameters!$B$5*D117^2/G117*Parameters!B$65</f>
        <v>1.3335219447692228</v>
      </c>
      <c r="H118" s="7">
        <f>(1-Parameters!$B$4)^Parameters!B$65*H117+E117*Parameters!B$65-Parameters!$B$5*E117^2/H117*Parameters!B$65</f>
        <v>3.2702973099355934</v>
      </c>
      <c r="I118" s="9">
        <f>I117 *(1-Parameters!$B$4)-C117*(C117&lt;0)*Parameters!B$65</f>
        <v>1.0913932424001896E-4</v>
      </c>
      <c r="J118" s="23">
        <f>J117*(1+Parameters!$B$51)^Parameters!B$65</f>
        <v>11.351679695228825</v>
      </c>
      <c r="K118" s="23">
        <f>K117*(1+Parameters!$B$53)^Parameters!B$65</f>
        <v>86.535105798137195</v>
      </c>
      <c r="L118" s="23">
        <f>J118*K118*EXP(-Parameters!$B$42*'6states'!A118)*(Parameters!$B$37/Parameters!$B$38*('6states'!F118+'6states'!I118)/Parameters!$E$25*(EXP(-Parameters!$B$38*Parameters!$E$25*'6states'!I118/('6states'!F118+'6states'!I118))-EXP(-Parameters!$B$38*Parameters!$E$25))  +  Parameters!$B$39*'6states'!F118)</f>
        <v>3.0766364899753129</v>
      </c>
      <c r="M118" s="8">
        <f>M117+L118*Parameters!B$65</f>
        <v>3667.3941815878316</v>
      </c>
      <c r="N118" s="7">
        <f>M118*Parameters!$B$45</f>
        <v>2.2004365089526989</v>
      </c>
      <c r="O118" s="9">
        <f>EXP(-Parameters!$B$46/2*N118^2)</f>
        <v>0.952503683934667</v>
      </c>
      <c r="P118" s="8">
        <f>MAX((Parameters!$B$62 + Parameters!$B$31*'6states'!A118 - '6states'!M118 + Parameters!$B$47/Parameters!$B$45)/Parameters!B$62,1)</f>
        <v>94.948116368243376</v>
      </c>
      <c r="Q118" s="8"/>
      <c r="R118" s="8"/>
      <c r="S118" s="7">
        <f>Parameters!B$61*EXP(-Parameters!B$60*A118)+(1-Parameters!B$61)*P118^-Parameters!B$63</f>
        <v>0.34014398055212713</v>
      </c>
      <c r="T118" s="7">
        <f>1-S118/Parameters!$B$12</f>
        <v>0.82992800972393643</v>
      </c>
      <c r="U118" s="7">
        <f t="shared" si="102"/>
        <v>5.8798629825921607</v>
      </c>
      <c r="V118" s="7">
        <f>(Parameters!$B$19*(F118+Parameters!$B$20)^T118+Parameters!$B$18*G118^T118)^(1/T118)</f>
        <v>0.34594614521402484</v>
      </c>
      <c r="W118" s="7">
        <f>(Parameters!$B$10*H118^Parameters!$B$9+Parameters!$B$11*V118^Parameters!$B$9)^(Parameters!$B$7/Parameters!$B$9)*O118</f>
        <v>1.3218998564677404</v>
      </c>
      <c r="X118" s="7">
        <f>W118 - D118 - E118 - LN(1+EXP(Parameters!$B$21*C118))/Parameters!$B$21 - IF(C118&gt;0, 0,Parameters!$B$6*C118^2/F118)</f>
        <v>1.0040396984429294</v>
      </c>
      <c r="Y118" s="7">
        <f>EXP(-Parameters!$B$55*A118)</f>
        <v>0.17881563070737777</v>
      </c>
      <c r="Z118" s="7">
        <f>IF(X118&gt;0,X118^(1-Parameters!$B$52)/(1-Parameters!$B$52)*Y118*Parameters!$B$65,-10+X118*1000)</f>
        <v>-0.51018140431609638</v>
      </c>
      <c r="AC118">
        <f t="shared" si="103"/>
        <v>0.30275642282139431</v>
      </c>
      <c r="AD118">
        <f t="shared" si="104"/>
        <v>89.86249990112097</v>
      </c>
      <c r="AE118" s="23">
        <f t="shared" si="105"/>
        <v>0.10720961039277982</v>
      </c>
      <c r="AF118" s="23">
        <f t="shared" si="106"/>
        <v>11.138720202485015</v>
      </c>
      <c r="AG118" s="23">
        <f t="shared" si="107"/>
        <v>1309.9436811109358</v>
      </c>
      <c r="AH118" s="23">
        <f t="shared" si="108"/>
        <v>339.82940341204727</v>
      </c>
      <c r="AI118" s="23">
        <f t="shared" si="109"/>
        <v>836.346034185809</v>
      </c>
      <c r="AJ118" s="23">
        <f t="shared" si="110"/>
        <v>1298.5270852374613</v>
      </c>
      <c r="AK118" s="23">
        <f t="shared" si="111"/>
        <v>986.28707515380074</v>
      </c>
      <c r="AL118" s="9">
        <f t="shared" si="120"/>
        <v>2.2913752378134866E-2</v>
      </c>
      <c r="AM118" s="9">
        <f t="shared" si="121"/>
        <v>2.3831511957507878E-2</v>
      </c>
      <c r="AN118" s="9">
        <f t="shared" ref="AN118:AO118" si="171">AVERAGE(AL116:AL120)</f>
        <v>2.2840307043634135E-2</v>
      </c>
      <c r="AO118" s="9">
        <f t="shared" si="171"/>
        <v>2.2366433395126072E-2</v>
      </c>
      <c r="AP118" s="23"/>
      <c r="AQ118" s="25">
        <f t="shared" si="100"/>
        <v>1298.5270852374611</v>
      </c>
      <c r="AR118" s="4"/>
      <c r="AS118" s="4"/>
      <c r="AT118" s="4"/>
      <c r="AU118" s="16"/>
      <c r="AV118" s="16"/>
      <c r="AY118" s="21">
        <f>-Y118*W118*X118^(-Parameters!B$52)*Parameters!B$46*Parameters!B$45*N118</f>
        <v>-6.238734299110975E-6</v>
      </c>
      <c r="AZ118" s="7">
        <f>1000*EXP(-(Parameters!$B$54)*'6states'!A118)*AQ118*Parameters!B$46*Parameters!B$45*N118</f>
        <v>0.63026214429429883</v>
      </c>
      <c r="BA118" s="93">
        <f>SUM(AZ118:AZ$204)*EXP(Parameters!$B$54*A118)</f>
        <v>2304.9729541508059</v>
      </c>
      <c r="BF118" s="5"/>
      <c r="BG118" s="5"/>
      <c r="BH118" s="5"/>
      <c r="BK118">
        <f>-EXP(-Parameters!B$42*'6states'!A118)*(-Parameters!B$37/Parameters!B$38/Parameters!E$25*(EXP(-Parameters!B$38*Parameters!E$25*'6states'!I118/('6states'!F118+'6states'!I118))-EXP(-Parameters!B$38*Parameters!E$25))+Parameters!B$37*'6states'!F118/('6states'!F118+'6states'!I118)*EXP(-Parameters!B$38*Parameters!E$25*'6states'!I118/('6states'!F118+'6states'!I118)))</f>
        <v>-1.2610010177896047</v>
      </c>
      <c r="BL118">
        <f>-J118*K118*EXP(-Parameters!B$42*'6states'!A118)*(-Parameters!B$37/Parameters!B$38/Parameters!E$25*(EXP(-Parameters!B$38*Parameters!E$25*'6states'!I118/('6states'!F118+'6states'!I118))-EXP(-Parameters!B$38*Parameters!E$25)) + Parameters!B$37*'6states'!F118/('6states'!F118+'6states'!I118)*EXP(-Parameters!B$38*Parameters!E$25*'6states'!I118/('6states'!F118+'6states'!I118)))</f>
        <v>-1238.705010897902</v>
      </c>
      <c r="BM118" s="7">
        <f t="shared" si="153"/>
        <v>9.5331922016811191E-3</v>
      </c>
    </row>
    <row r="119" spans="1:65" x14ac:dyDescent="0.25">
      <c r="A119">
        <f>A118+Parameters!$B$65</f>
        <v>115</v>
      </c>
      <c r="B119">
        <v>2140</v>
      </c>
      <c r="C119" s="79">
        <v>3.1027405864429301E-4</v>
      </c>
      <c r="D119" s="70">
        <v>9.3505325287878693E-2</v>
      </c>
      <c r="E119" s="80">
        <v>0.215825966043169</v>
      </c>
      <c r="F119" s="7">
        <f>MAX((1-Parameters!$B$4)^Parameters!B$65*F118 + C118*Parameters!B$65 - IF(C118&gt;0,Parameters!$B$5,0)*C118^2/F118*Parameters!B$65, 0.0001)</f>
        <v>1.0925803318039867E-2</v>
      </c>
      <c r="G119" s="7">
        <f>(1-Parameters!$B$4)^Parameters!B$65*G118+D118*Parameters!B$65-Parameters!$B$5*D118^2/G118*Parameters!B$65</f>
        <v>1.3348478380879132</v>
      </c>
      <c r="H119" s="7">
        <f>(1-Parameters!$B$4)^Parameters!B$65*H118+E118*Parameters!B$65-Parameters!$B$5*E118^2/H118*Parameters!B$65</f>
        <v>3.2731767388244499</v>
      </c>
      <c r="I119" s="9">
        <f>I118 *(1-Parameters!$B$4)-C118*(C118&lt;0)*Parameters!B$65</f>
        <v>1.0227446074532177E-4</v>
      </c>
      <c r="J119" s="23">
        <f>J118*(1+Parameters!$B$51)^Parameters!B$65</f>
        <v>11.384599566344987</v>
      </c>
      <c r="K119" s="23">
        <f>K118*(1+Parameters!$B$53)^Parameters!B$65</f>
        <v>88.265807914099938</v>
      </c>
      <c r="L119" s="23">
        <f>J119*K119*EXP(-Parameters!$B$42*'6states'!A119)*(Parameters!$B$37/Parameters!$B$38*('6states'!F119+'6states'!I119)/Parameters!$E$25*(EXP(-Parameters!$B$38*Parameters!$E$25*'6states'!I119/('6states'!F119+'6states'!I119))-EXP(-Parameters!$B$38*Parameters!$E$25))  +  Parameters!$B$39*'6states'!F119)</f>
        <v>3.0059927666001642</v>
      </c>
      <c r="M119" s="8">
        <f>M118+L119*Parameters!B$65</f>
        <v>3670.4001743544318</v>
      </c>
      <c r="N119" s="7">
        <f>M119*Parameters!$B$45</f>
        <v>2.2022401046126587</v>
      </c>
      <c r="O119" s="9">
        <f>EXP(-Parameters!$B$46/2*N119^2)</f>
        <v>0.95242767382395299</v>
      </c>
      <c r="P119" s="8">
        <f>MAX((Parameters!$B$62 + Parameters!$B$31*'6states'!A119 - '6states'!M119 + Parameters!$B$47/Parameters!$B$45)/Parameters!B$62,1)</f>
        <v>95.95199651291135</v>
      </c>
      <c r="Q119" s="8"/>
      <c r="R119" s="8"/>
      <c r="S119" s="7">
        <f>Parameters!B$61*EXP(-Parameters!B$60*A119)+(1-Parameters!B$61)*P119^-Parameters!B$63</f>
        <v>0.33919725455298899</v>
      </c>
      <c r="T119" s="7">
        <f>1-S119/Parameters!$B$12</f>
        <v>0.83040137272350556</v>
      </c>
      <c r="U119" s="7">
        <f t="shared" si="102"/>
        <v>5.8962741388803401</v>
      </c>
      <c r="V119" s="7">
        <f>(Parameters!$B$19*(F119+Parameters!$B$20)^T119+Parameters!$B$18*G119^T119)^(1/T119)</f>
        <v>0.34601414293872251</v>
      </c>
      <c r="W119" s="7">
        <f>(Parameters!$B$10*H119^Parameters!$B$9+Parameters!$B$11*V119^Parameters!$B$9)^(Parameters!$B$7/Parameters!$B$9)*O119</f>
        <v>1.3220595096942738</v>
      </c>
      <c r="X119" s="7">
        <f>W119 - D119 - E119 - LN(1+EXP(Parameters!$B$21*C119))/Parameters!$B$21 - IF(C119&gt;0, 0,Parameters!$B$6*C119^2/F119)</f>
        <v>1.010258981909905</v>
      </c>
      <c r="Y119" s="7">
        <f>EXP(-Parameters!$B$55*A119)</f>
        <v>0.17613579833694784</v>
      </c>
      <c r="Z119" s="7">
        <f>IF(X119&gt;0,X119^(1-Parameters!$B$52)/(1-Parameters!$B$52)*Y119*Parameters!$B$65,-10+X119*1000)</f>
        <v>-0.50145057739286802</v>
      </c>
      <c r="AC119">
        <f t="shared" si="103"/>
        <v>0.31178536588625688</v>
      </c>
      <c r="AD119">
        <f t="shared" si="104"/>
        <v>93.960778366641449</v>
      </c>
      <c r="AE119" s="23">
        <f t="shared" si="105"/>
        <v>0.1027726272174649</v>
      </c>
      <c r="AF119" s="23">
        <f t="shared" si="106"/>
        <v>10.979021578538262</v>
      </c>
      <c r="AG119" s="23">
        <f t="shared" si="107"/>
        <v>1341.3497197258328</v>
      </c>
      <c r="AH119" s="23">
        <f t="shared" si="108"/>
        <v>347.6995357889341</v>
      </c>
      <c r="AI119" s="23">
        <f t="shared" si="109"/>
        <v>855.71502914574694</v>
      </c>
      <c r="AJ119" s="23">
        <f t="shared" si="110"/>
        <v>1328.4991009383448</v>
      </c>
      <c r="AK119" s="23">
        <f t="shared" si="111"/>
        <v>1015.179830666294</v>
      </c>
      <c r="AL119" s="9">
        <f t="shared" si="120"/>
        <v>2.2819198698951659E-2</v>
      </c>
      <c r="AM119" s="9">
        <f t="shared" si="121"/>
        <v>2.8873585354901365E-2</v>
      </c>
      <c r="AN119" s="9">
        <f t="shared" ref="AN119:AO119" si="172">AVERAGE(AL117:AL121)</f>
        <v>2.2829488396527965E-2</v>
      </c>
      <c r="AO119" s="9">
        <f t="shared" si="172"/>
        <v>2.3786145112324596E-2</v>
      </c>
      <c r="AP119" s="23"/>
      <c r="AQ119" s="25">
        <f t="shared" si="100"/>
        <v>1328.499100938345</v>
      </c>
      <c r="AR119" s="4"/>
      <c r="AS119" s="4"/>
      <c r="AT119" s="4"/>
      <c r="AU119" s="16"/>
      <c r="AV119" s="16"/>
      <c r="AY119" s="21">
        <f>-Y119*W119*X119^(-Parameters!B$52)*Parameters!B$46*Parameters!B$45*N119</f>
        <v>-6.0999523037140906E-6</v>
      </c>
      <c r="AZ119" s="7">
        <f>1000*EXP(-(Parameters!$B$54)*'6states'!A119)*AQ119*Parameters!B$46*Parameters!B$45*N119</f>
        <v>0.6230796448324003</v>
      </c>
      <c r="BA119" s="93">
        <f>SUM(AZ119:AZ$204)*EXP(Parameters!$B$54*A119)</f>
        <v>2351.6237814875772</v>
      </c>
      <c r="BF119" s="5"/>
      <c r="BG119" s="5"/>
      <c r="BH119" s="5"/>
      <c r="BK119">
        <f>-EXP(-Parameters!B$42*'6states'!A119)*(-Parameters!B$37/Parameters!B$38/Parameters!E$25*(EXP(-Parameters!B$38*Parameters!E$25*'6states'!I119/('6states'!F119+'6states'!I119))-EXP(-Parameters!B$38*Parameters!E$25))+Parameters!B$37*'6states'!F119/('6states'!F119+'6states'!I119)*EXP(-Parameters!B$38*Parameters!E$25*'6states'!I119/('6states'!F119+'6states'!I119)))</f>
        <v>-1.2626488834441834</v>
      </c>
      <c r="BL119">
        <f>-J119*K119*EXP(-Parameters!B$42*'6states'!A119)*(-Parameters!B$37/Parameters!B$38/Parameters!E$25*(EXP(-Parameters!B$38*Parameters!E$25*'6states'!I119/('6states'!F119+'6states'!I119))-EXP(-Parameters!B$38*Parameters!E$25)) + Parameters!B$37*'6states'!F119/('6states'!F119+'6states'!I119)*EXP(-Parameters!B$38*Parameters!E$25*'6states'!I119/('6states'!F119+'6states'!I119)))</f>
        <v>-1268.7990927460651</v>
      </c>
      <c r="BM119" s="7">
        <f t="shared" si="153"/>
        <v>9.2740061139274937E-3</v>
      </c>
    </row>
    <row r="120" spans="1:65" x14ac:dyDescent="0.25">
      <c r="A120">
        <f>A119+Parameters!$B$65</f>
        <v>116</v>
      </c>
      <c r="B120">
        <v>2141</v>
      </c>
      <c r="C120" s="74">
        <v>1.02577751592135E-4</v>
      </c>
      <c r="D120" s="69">
        <v>9.4637861197805803E-2</v>
      </c>
      <c r="E120" s="75">
        <v>0.22372050817695299</v>
      </c>
      <c r="F120" s="7">
        <f>MAX((1-Parameters!$B$4)^Parameters!B$65*F119 + C119*Parameters!B$65 - IF(C119&gt;0,Parameters!$B$5,0)*C119^2/F119*Parameters!B$65, 0.0001)</f>
        <v>1.0540033097340458E-2</v>
      </c>
      <c r="G120" s="7">
        <f>(1-Parameters!$B$4)^Parameters!B$65*G119+D119*Parameters!B$65-Parameters!$B$5*D119^2/G119*Parameters!B$65</f>
        <v>1.3378412399654083</v>
      </c>
      <c r="H120" s="7">
        <f>(1-Parameters!$B$4)^Parameters!B$65*H119+E119*Parameters!B$65-Parameters!$B$5*E119^2/H119*Parameters!B$65</f>
        <v>3.2688888056754553</v>
      </c>
      <c r="I120" s="9">
        <f>I119 *(1-Parameters!$B$4)-C119*(C119&lt;0)*Parameters!B$65</f>
        <v>9.584139716444103E-5</v>
      </c>
      <c r="J120" s="23">
        <f>J119*(1+Parameters!$B$51)^Parameters!B$65</f>
        <v>11.417614905087387</v>
      </c>
      <c r="K120" s="23">
        <f>K119*(1+Parameters!$B$53)^Parameters!B$65</f>
        <v>90.031124072381942</v>
      </c>
      <c r="L120" s="23">
        <f>J120*K120*EXP(-Parameters!$B$42*'6states'!A120)*(Parameters!$B$37/Parameters!$B$38*('6states'!F120+'6states'!I120)/Parameters!$E$25*(EXP(-Parameters!$B$38*Parameters!$E$25*'6states'!I120/('6states'!F120+'6states'!I120))-EXP(-Parameters!$B$38*Parameters!$E$25))  +  Parameters!$B$39*'6states'!F120)</f>
        <v>2.9405621539842404</v>
      </c>
      <c r="M120" s="8">
        <f>M119+L120*Parameters!B$65</f>
        <v>3673.3407365084158</v>
      </c>
      <c r="N120" s="7">
        <f>M120*Parameters!$B$45</f>
        <v>2.2040044419050493</v>
      </c>
      <c r="O120" s="9">
        <f>EXP(-Parameters!$B$46/2*N120^2)</f>
        <v>0.95235326382256258</v>
      </c>
      <c r="P120" s="8">
        <f>MAX((Parameters!$B$62 + Parameters!$B$31*'6states'!A120 - '6states'!M120 + Parameters!$B$47/Parameters!$B$45)/Parameters!B$62,1)</f>
        <v>96.957185269831697</v>
      </c>
      <c r="Q120" s="8"/>
      <c r="R120" s="8"/>
      <c r="S120" s="7">
        <f>Parameters!B$61*EXP(-Parameters!B$60*A120)+(1-Parameters!B$61)*P120^-Parameters!B$63</f>
        <v>0.33827025547725326</v>
      </c>
      <c r="T120" s="7">
        <f>1-S120/Parameters!$B$12</f>
        <v>0.8308648722613734</v>
      </c>
      <c r="U120" s="7">
        <f t="shared" si="102"/>
        <v>5.9124323454874057</v>
      </c>
      <c r="V120" s="7">
        <f>(Parameters!$B$19*(F120+Parameters!$B$20)^T120+Parameters!$B$18*G120^T120)^(1/T120)</f>
        <v>0.34651192101055345</v>
      </c>
      <c r="W120" s="7">
        <f>(Parameters!$B$10*H120^Parameters!$B$9+Parameters!$B$11*V120^Parameters!$B$9)^(Parameters!$B$7/Parameters!$B$9)*O120</f>
        <v>1.3217726849073577</v>
      </c>
      <c r="X120" s="7">
        <f>W120 - D120 - E120 - LN(1+EXP(Parameters!$B$21*C120))/Parameters!$B$21 - IF(C120&gt;0, 0,Parameters!$B$6*C120^2/F120)</f>
        <v>1.0010521414881879</v>
      </c>
      <c r="Y120" s="7">
        <f>EXP(-Parameters!$B$55*A120)</f>
        <v>0.17349612745298973</v>
      </c>
      <c r="Z120" s="7">
        <f>IF(X120&gt;0,X120^(1-Parameters!$B$52)/(1-Parameters!$B$52)*Y120*Parameters!$B$65,-10+X120*1000)</f>
        <v>-0.49552080835461421</v>
      </c>
      <c r="AC120">
        <f t="shared" si="103"/>
        <v>0.105443846199753</v>
      </c>
      <c r="AD120">
        <f t="shared" si="104"/>
        <v>97.282109677086467</v>
      </c>
      <c r="AE120" s="23">
        <f t="shared" si="105"/>
        <v>9.8519273286076001E-2</v>
      </c>
      <c r="AF120" s="23">
        <f t="shared" si="106"/>
        <v>10.834529043639979</v>
      </c>
      <c r="AG120" s="23">
        <f t="shared" si="107"/>
        <v>1375.2214662249967</v>
      </c>
      <c r="AH120" s="23">
        <f t="shared" si="108"/>
        <v>356.19370807323514</v>
      </c>
      <c r="AI120" s="23">
        <f t="shared" si="109"/>
        <v>876.61983382814924</v>
      </c>
      <c r="AJ120" s="23">
        <f t="shared" si="110"/>
        <v>1358.7039444242628</v>
      </c>
      <c r="AK120" s="23">
        <f t="shared" si="111"/>
        <v>1029.0222431928128</v>
      </c>
      <c r="AL120" s="9">
        <f t="shared" si="120"/>
        <v>2.2481453862850387E-2</v>
      </c>
      <c r="AM120" s="9">
        <f t="shared" si="121"/>
        <v>1.3543303067132584E-2</v>
      </c>
      <c r="AN120" s="9">
        <f t="shared" ref="AN120:AO120" si="173">AVERAGE(AL118:AL122)</f>
        <v>2.2774565643329046E-2</v>
      </c>
      <c r="AO120" s="9">
        <f t="shared" si="173"/>
        <v>2.4013376058125858E-2</v>
      </c>
      <c r="AP120" s="23"/>
      <c r="AQ120" s="25">
        <f t="shared" si="100"/>
        <v>1358.7039444242628</v>
      </c>
      <c r="AR120" s="4"/>
      <c r="AS120" s="4"/>
      <c r="AT120" s="4"/>
      <c r="AU120" s="16"/>
      <c r="AV120" s="16"/>
      <c r="AY120" s="21">
        <f>-Y120*W120*X120^(-Parameters!B$52)*Parameters!B$46*Parameters!B$45*N120</f>
        <v>-6.0868105932871972E-6</v>
      </c>
      <c r="AZ120" s="7">
        <f>1000*EXP(-(Parameters!$B$54)*'6states'!A120)*AQ120*Parameters!B$46*Parameters!B$45*N120</f>
        <v>0.61575960779675665</v>
      </c>
      <c r="BA120" s="93">
        <f>SUM(AZ120:AZ$204)*EXP(Parameters!$B$54*A120)</f>
        <v>2399.0874115382594</v>
      </c>
      <c r="BF120" s="5"/>
      <c r="BG120" s="5"/>
      <c r="BH120" s="5"/>
      <c r="BK120">
        <f>-EXP(-Parameters!B$42*'6states'!A120)*(-Parameters!B$37/Parameters!B$38/Parameters!E$25*(EXP(-Parameters!B$38*Parameters!E$25*'6states'!I120/('6states'!F120+'6states'!I120))-EXP(-Parameters!B$38*Parameters!E$25))+Parameters!B$37*'6states'!F120/('6states'!F120+'6states'!I120)*EXP(-Parameters!B$38*Parameters!E$25*'6states'!I120/('6states'!F120+'6states'!I120)))</f>
        <v>-1.2645015557533767</v>
      </c>
      <c r="BL120">
        <f>-J120*K120*EXP(-Parameters!B$42*'6states'!A120)*(-Parameters!B$37/Parameters!B$38/Parameters!E$25*(EXP(-Parameters!B$38*Parameters!E$25*'6states'!I120/('6states'!F120+'6states'!I120))-EXP(-Parameters!B$38*Parameters!E$25)) + Parameters!B$37*'6states'!F120/('6states'!F120+'6states'!I120)*EXP(-Parameters!B$38*Parameters!E$25*'6states'!I120/('6states'!F120+'6states'!I120)))</f>
        <v>-1299.832619595365</v>
      </c>
      <c r="BM120" s="7">
        <f t="shared" si="153"/>
        <v>9.0111440496931563E-3</v>
      </c>
    </row>
    <row r="121" spans="1:65" x14ac:dyDescent="0.25">
      <c r="A121">
        <f>A120+Parameters!$B$65</f>
        <v>117</v>
      </c>
      <c r="B121">
        <v>2142</v>
      </c>
      <c r="C121" s="74">
        <v>6.2340299989136004E-4</v>
      </c>
      <c r="D121" s="69">
        <v>9.6449653438667904E-2</v>
      </c>
      <c r="E121" s="75">
        <v>0.215944049085009</v>
      </c>
      <c r="F121" s="7">
        <f>MAX((1-Parameters!$B$4)^Parameters!B$65*F120 + C120*Parameters!B$65 - IF(C120&gt;0,Parameters!$B$5,0)*C120^2/F120*Parameters!B$65, 0.0001)</f>
        <v>9.9786444595121194E-3</v>
      </c>
      <c r="G121" s="7">
        <f>(1-Parameters!$B$4)^Parameters!B$65*G120+D120*Parameters!B$65-Parameters!$B$5*D120^2/G120*Parameters!B$65</f>
        <v>1.3416342775964882</v>
      </c>
      <c r="H121" s="7">
        <f>(1-Parameters!$B$4)^Parameters!B$65*H120+E120*Parameters!B$65-Parameters!$B$5*E120^2/H120*Parameters!B$65</f>
        <v>3.2716849298150716</v>
      </c>
      <c r="I121" s="9">
        <f>I120 *(1-Parameters!$B$4)-C120*(C120&lt;0)*Parameters!B$65</f>
        <v>8.9812973282797699E-5</v>
      </c>
      <c r="J121" s="23">
        <f>J120*(1+Parameters!$B$51)^Parameters!B$65</f>
        <v>11.450725988312138</v>
      </c>
      <c r="K121" s="23">
        <f>K120*(1+Parameters!$B$53)^Parameters!B$65</f>
        <v>91.831746553829589</v>
      </c>
      <c r="L121" s="23">
        <f>J121*K121*EXP(-Parameters!$B$42*'6states'!A121)*(Parameters!$B$37/Parameters!$B$38*('6states'!F121+'6states'!I121)/Parameters!$E$25*(EXP(-Parameters!$B$38*Parameters!$E$25*'6states'!I121/('6states'!F121+'6states'!I121))-EXP(-Parameters!$B$38*Parameters!$E$25))  +  Parameters!$B$39*'6states'!F121)</f>
        <v>2.8207358837814689</v>
      </c>
      <c r="M121" s="8">
        <f>M120+L121*Parameters!B$65</f>
        <v>3676.1614723921971</v>
      </c>
      <c r="N121" s="7">
        <f>M121*Parameters!$B$45</f>
        <v>2.2056968834353179</v>
      </c>
      <c r="O121" s="9">
        <f>EXP(-Parameters!$B$46/2*N121^2)</f>
        <v>0.95228183545936729</v>
      </c>
      <c r="P121" s="8">
        <f>MAX((Parameters!$B$62 + Parameters!$B$31*'6states'!A121 - '6states'!M121 + Parameters!$B$47/Parameters!$B$45)/Parameters!B$62,1)</f>
        <v>97.964770552156082</v>
      </c>
      <c r="Q121" s="8"/>
      <c r="R121" s="8"/>
      <c r="S121" s="7">
        <f>Parameters!B$61*EXP(-Parameters!B$60*A121)+(1-Parameters!B$61)*P121^-Parameters!B$63</f>
        <v>0.33736212897574758</v>
      </c>
      <c r="T121" s="7">
        <f>1-S121/Parameters!$B$12</f>
        <v>0.83131893551212621</v>
      </c>
      <c r="U121" s="7">
        <f t="shared" si="102"/>
        <v>5.9283476959080277</v>
      </c>
      <c r="V121" s="7">
        <f>(Parameters!$B$19*(F121+Parameters!$B$20)^T121+Parameters!$B$18*G121^T121)^(1/T121)</f>
        <v>0.34700161034620808</v>
      </c>
      <c r="W121" s="7">
        <f>(Parameters!$B$10*H121^Parameters!$B$9+Parameters!$B$11*V121^Parameters!$B$9)^(Parameters!$B$7/Parameters!$B$9)*O121</f>
        <v>1.322080482285555</v>
      </c>
      <c r="X121" s="7">
        <f>W121 - D121 - E121 - LN(1+EXP(Parameters!$B$21*C121))/Parameters!$B$21 - IF(C121&gt;0, 0,Parameters!$B$6*C121^2/F121)</f>
        <v>1.007050035176108</v>
      </c>
      <c r="Y121" s="7">
        <f>EXP(-Parameters!$B$55*A121)</f>
        <v>0.17089601617270908</v>
      </c>
      <c r="Z121" s="7">
        <f>IF(X121&gt;0,X121^(1-Parameters!$B$52)/(1-Parameters!$B$52)*Y121*Parameters!$B$65,-10+X121*1000)</f>
        <v>-0.4870752109987691</v>
      </c>
      <c r="AC121">
        <f t="shared" si="103"/>
        <v>0.65553329449937436</v>
      </c>
      <c r="AD121">
        <f t="shared" si="104"/>
        <v>101.42068466624514</v>
      </c>
      <c r="AE121" s="23">
        <f t="shared" si="105"/>
        <v>9.4441948908036741E-2</v>
      </c>
      <c r="AF121" s="23">
        <f t="shared" si="106"/>
        <v>10.492945459553228</v>
      </c>
      <c r="AG121" s="23">
        <f t="shared" si="107"/>
        <v>1410.7823320699151</v>
      </c>
      <c r="AH121" s="23">
        <f t="shared" si="108"/>
        <v>364.88613122888273</v>
      </c>
      <c r="AI121" s="23">
        <f t="shared" si="109"/>
        <v>898.01254899846072</v>
      </c>
      <c r="AJ121" s="23">
        <f t="shared" si="110"/>
        <v>1390.2207308867701</v>
      </c>
      <c r="AK121" s="23">
        <f t="shared" si="111"/>
        <v>1058.9535619811736</v>
      </c>
      <c r="AL121" s="9">
        <f t="shared" si="120"/>
        <v>2.2931270403563353E-2</v>
      </c>
      <c r="AM121" s="9">
        <f t="shared" si="121"/>
        <v>2.8672141899543035E-2</v>
      </c>
      <c r="AN121" s="9">
        <f t="shared" ref="AN121:AO121" si="174">AVERAGE(AL119:AL123)</f>
        <v>2.2685166284940016E-2</v>
      </c>
      <c r="AO121" s="9">
        <f t="shared" si="174"/>
        <v>2.2246863299030296E-2</v>
      </c>
      <c r="AP121" s="23"/>
      <c r="AQ121" s="25">
        <f t="shared" si="100"/>
        <v>1390.2207308867701</v>
      </c>
      <c r="AR121" s="4"/>
      <c r="AS121" s="4"/>
      <c r="AT121" s="4"/>
      <c r="AU121" s="16"/>
      <c r="AV121" s="16"/>
      <c r="AY121" s="21">
        <f>-Y121*W121*X121^(-Parameters!B$52)*Parameters!B$46*Parameters!B$45*N121</f>
        <v>-5.9533861654630527E-6</v>
      </c>
      <c r="AZ121" s="7">
        <f>1000*EXP(-(Parameters!$B$54)*'6states'!A121)*AQ121*Parameters!B$46*Parameters!B$45*N121</f>
        <v>0.60877912055393968</v>
      </c>
      <c r="BA121" s="93">
        <f>SUM(AZ121:AZ$204)*EXP(Parameters!$B$54*A121)</f>
        <v>2447.3857862792574</v>
      </c>
      <c r="BF121" s="5"/>
      <c r="BG121" s="5"/>
      <c r="BH121" s="5"/>
      <c r="BK121">
        <f>-EXP(-Parameters!B$42*'6states'!A121)*(-Parameters!B$37/Parameters!B$38/Parameters!E$25*(EXP(-Parameters!B$38*Parameters!E$25*'6states'!I121/('6states'!F121+'6states'!I121))-EXP(-Parameters!B$38*Parameters!E$25))+Parameters!B$37*'6states'!F121/('6states'!F121+'6states'!I121)*EXP(-Parameters!B$38*Parameters!E$25*'6states'!I121/('6states'!F121+'6states'!I121)))</f>
        <v>-1.2568940722474875</v>
      </c>
      <c r="BL121">
        <f>-J121*K121*EXP(-Parameters!B$42*'6states'!A121)*(-Parameters!B$37/Parameters!B$38/Parameters!E$25*(EXP(-Parameters!B$38*Parameters!E$25*'6states'!I121/('6states'!F121+'6states'!I121))-EXP(-Parameters!B$38*Parameters!E$25)) + Parameters!B$37*'6states'!F121/('6states'!F121+'6states'!I121)*EXP(-Parameters!B$38*Parameters!E$25*'6states'!I121/('6states'!F121+'6states'!I121)))</f>
        <v>-1321.6746024012025</v>
      </c>
      <c r="BM121" s="7">
        <f t="shared" si="153"/>
        <v>8.9202317119859327E-3</v>
      </c>
    </row>
    <row r="122" spans="1:65" x14ac:dyDescent="0.25">
      <c r="A122">
        <f>A121+Parameters!$B$65</f>
        <v>118</v>
      </c>
      <c r="B122">
        <v>2143</v>
      </c>
      <c r="C122" s="74">
        <v>1.2989378060768099E-4</v>
      </c>
      <c r="D122" s="69">
        <v>9.5777731606454503E-2</v>
      </c>
      <c r="E122" s="75">
        <v>0.214446434141567</v>
      </c>
      <c r="F122" s="7">
        <f>MAX((1-Parameters!$B$4)^Parameters!B$65*F121 + C121*Parameters!B$65 - IF(C121&gt;0,Parameters!$B$5,0)*C121^2/F121*Parameters!B$65, 0.0001)</f>
        <v>9.9354444209399755E-3</v>
      </c>
      <c r="G122" s="7">
        <f>(1-Parameters!$B$4)^Parameters!B$65*G121+D121*Parameters!B$65-Parameters!$B$5*D121^2/G121*Parameters!B$65</f>
        <v>1.3467614006446624</v>
      </c>
      <c r="H122" s="7">
        <f>(1-Parameters!$B$4)^Parameters!B$65*H121+E121*Parameters!B$65-Parameters!$B$5*E121^2/H121*Parameters!B$65</f>
        <v>3.267586841839345</v>
      </c>
      <c r="I122" s="9">
        <f>I121 *(1-Parameters!$B$4)-C121*(C121&lt;0)*Parameters!B$65</f>
        <v>8.4163737263309729E-5</v>
      </c>
      <c r="J122" s="23">
        <f>J121*(1+Parameters!$B$51)^Parameters!B$65</f>
        <v>11.483933093678242</v>
      </c>
      <c r="K122" s="23">
        <f>K121*(1+Parameters!$B$53)^Parameters!B$65</f>
        <v>93.668381484906178</v>
      </c>
      <c r="L122" s="23">
        <f>J122*K122*EXP(-Parameters!$B$42*'6states'!A122)*(Parameters!$B$37/Parameters!$B$38*('6states'!F122+'6states'!I122)/Parameters!$E$25*(EXP(-Parameters!$B$38*Parameters!$E$25*'6states'!I122/('6states'!F122+'6states'!I122))-EXP(-Parameters!$B$38*Parameters!$E$25))  +  Parameters!$B$39*'6states'!F122)</f>
        <v>2.8515373702896918</v>
      </c>
      <c r="M122" s="8">
        <f>M121+L122*Parameters!B$65</f>
        <v>3679.0130097624869</v>
      </c>
      <c r="N122" s="7">
        <f>M122*Parameters!$B$45</f>
        <v>2.2074078058574922</v>
      </c>
      <c r="O122" s="9">
        <f>EXP(-Parameters!$B$46/2*N122^2)</f>
        <v>0.95220957684445573</v>
      </c>
      <c r="P122" s="8">
        <f>MAX((Parameters!$B$62 + Parameters!$B$31*'6states'!A122 - '6states'!M122 + Parameters!$B$47/Parameters!$B$45)/Parameters!B$62,1)</f>
        <v>98.971739804750271</v>
      </c>
      <c r="Q122" s="8"/>
      <c r="R122" s="8"/>
      <c r="S122" s="7">
        <f>Parameters!B$61*EXP(-Parameters!B$60*A122)+(1-Parameters!B$61)*P122^-Parameters!B$63</f>
        <v>0.33647335841989806</v>
      </c>
      <c r="T122" s="7">
        <f>1-S122/Parameters!$B$12</f>
        <v>0.831763320790051</v>
      </c>
      <c r="U122" s="7">
        <f t="shared" si="102"/>
        <v>5.9440070066531785</v>
      </c>
      <c r="V122" s="7">
        <f>(Parameters!$B$19*(F122+Parameters!$B$20)^T122+Parameters!$B$18*G122^T122)^(1/T122)</f>
        <v>0.3483940605239858</v>
      </c>
      <c r="W122" s="7">
        <f>(Parameters!$B$10*H122^Parameters!$B$9+Parameters!$B$11*V122^Parameters!$B$9)^(Parameters!$B$7/Parameters!$B$9)*O122</f>
        <v>1.3221184562412049</v>
      </c>
      <c r="X122" s="7">
        <f>W122 - D122 - E122 - LN(1+EXP(Parameters!$B$21*C122))/Parameters!$B$21 - IF(C122&gt;0, 0,Parameters!$B$6*C122^2/F122)</f>
        <v>1.0095182203262578</v>
      </c>
      <c r="Y122" s="7">
        <f>EXP(-Parameters!$B$55*A122)</f>
        <v>0.16833487163346803</v>
      </c>
      <c r="Z122" s="7">
        <f>IF(X122&gt;0,X122^(1-Parameters!$B$52)/(1-Parameters!$B$52)*Y122*Parameters!$B$65,-10+X122*1000)</f>
        <v>-0.47936474567672149</v>
      </c>
      <c r="AC122">
        <f t="shared" si="103"/>
        <v>0.13972432714815808</v>
      </c>
      <c r="AD122">
        <f t="shared" si="104"/>
        <v>103.02632691019993</v>
      </c>
      <c r="AE122" s="23">
        <f t="shared" si="105"/>
        <v>9.0533368914007303E-2</v>
      </c>
      <c r="AF122" s="23">
        <f t="shared" si="106"/>
        <v>10.687373022320591</v>
      </c>
      <c r="AG122" s="23">
        <f t="shared" si="107"/>
        <v>1448.6862238811384</v>
      </c>
      <c r="AH122" s="23">
        <f t="shared" si="108"/>
        <v>374.76101982245359</v>
      </c>
      <c r="AI122" s="23">
        <f t="shared" si="109"/>
        <v>922.31540163668785</v>
      </c>
      <c r="AJ122" s="23">
        <f t="shared" si="110"/>
        <v>1422.1782663052315</v>
      </c>
      <c r="AK122" s="23">
        <f t="shared" si="111"/>
        <v>1085.919998778998</v>
      </c>
      <c r="AL122" s="9">
        <f t="shared" si="120"/>
        <v>2.2727152873144973E-2</v>
      </c>
      <c r="AM122" s="9">
        <f t="shared" si="121"/>
        <v>2.5146338011544422E-2</v>
      </c>
      <c r="AN122" s="9">
        <f t="shared" ref="AN122:AO122" si="175">AVERAGE(AL120:AL124)</f>
        <v>2.2693780700068091E-2</v>
      </c>
      <c r="AO122" s="9">
        <f t="shared" si="175"/>
        <v>2.269308810470605E-2</v>
      </c>
      <c r="AP122" s="23"/>
      <c r="AQ122" s="25">
        <f t="shared" si="100"/>
        <v>1422.1782663052313</v>
      </c>
      <c r="AR122" s="4"/>
      <c r="AS122" s="4"/>
      <c r="AT122" s="4"/>
      <c r="AU122" s="16"/>
      <c r="AV122" s="16"/>
      <c r="AY122" s="21">
        <f>-Y122*W122*X122^(-Parameters!B$52)*Parameters!B$46*Parameters!B$45*N122</f>
        <v>-5.8495199088690993E-6</v>
      </c>
      <c r="AZ122" s="7">
        <f>1000*EXP(-(Parameters!$B$54)*'6states'!A122)*AQ122*Parameters!B$46*Parameters!B$45*N122</f>
        <v>0.6017596093012012</v>
      </c>
      <c r="BA122" s="93">
        <f>SUM(AZ122:AZ$204)*EXP(Parameters!$B$54*A122)</f>
        <v>2496.5124962072159</v>
      </c>
      <c r="BF122" s="5"/>
      <c r="BG122" s="5"/>
      <c r="BH122" s="5"/>
      <c r="BK122">
        <f>-EXP(-Parameters!B$42*'6states'!A122)*(-Parameters!B$37/Parameters!B$38/Parameters!E$25*(EXP(-Parameters!B$38*Parameters!E$25*'6states'!I122/('6states'!F122+'6states'!I122))-EXP(-Parameters!B$38*Parameters!E$25))+Parameters!B$37*'6states'!F122/('6states'!F122+'6states'!I122)*EXP(-Parameters!B$38*Parameters!E$25*'6states'!I122/('6states'!F122+'6states'!I122)))</f>
        <v>-1.2729543551410201</v>
      </c>
      <c r="BL122">
        <f>-J122*K122*EXP(-Parameters!B$42*'6states'!A122)*(-Parameters!B$37/Parameters!B$38/Parameters!E$25*(EXP(-Parameters!B$38*Parameters!E$25*'6states'!I122/('6states'!F122+'6states'!I122))-EXP(-Parameters!B$38*Parameters!E$25)) + Parameters!B$37*'6states'!F122/('6states'!F122+'6states'!I122)*EXP(-Parameters!B$38*Parameters!E$25*'6states'!I122/('6states'!F122+'6states'!I122)))</f>
        <v>-1369.2933559274584</v>
      </c>
      <c r="BM122" s="7">
        <f t="shared" si="153"/>
        <v>8.3999030635148082E-3</v>
      </c>
    </row>
    <row r="123" spans="1:65" x14ac:dyDescent="0.25">
      <c r="A123">
        <f>A122+Parameters!$B$65</f>
        <v>119</v>
      </c>
      <c r="B123">
        <v>2144</v>
      </c>
      <c r="C123" s="74">
        <v>-2.9092760633441298E-5</v>
      </c>
      <c r="D123" s="69">
        <v>9.1046327028041801E-2</v>
      </c>
      <c r="E123" s="75">
        <v>0.226694139606895</v>
      </c>
      <c r="F123" s="7">
        <f>MAX((1-Parameters!$B$4)^Parameters!B$65*F122 + C122*Parameters!B$65 - IF(C122&gt;0,Parameters!$B$5,0)*C122^2/F122*Parameters!B$65, 0.0001)</f>
        <v>9.4387005452034045E-3</v>
      </c>
      <c r="G123" s="7">
        <f>(1-Parameters!$B$4)^Parameters!B$65*G122+D122*Parameters!B$65-Parameters!$B$5*D122^2/G122*Parameters!B$65</f>
        <v>1.3510164080236244</v>
      </c>
      <c r="H123" s="7">
        <f>(1-Parameters!$B$4)^Parameters!B$65*H122+E122*Parameters!B$65-Parameters!$B$5*E122^2/H122*Parameters!B$65</f>
        <v>3.2624282913495657</v>
      </c>
      <c r="I123" s="9">
        <f>I122 *(1-Parameters!$B$4)-C122*(C122&lt;0)*Parameters!B$65</f>
        <v>7.8869838189447557E-5</v>
      </c>
      <c r="J123" s="23">
        <f>J122*(1+Parameters!$B$51)^Parameters!B$65</f>
        <v>11.517236499649908</v>
      </c>
      <c r="K123" s="23">
        <f>K122*(1+Parameters!$B$53)^Parameters!B$65</f>
        <v>95.541749114604301</v>
      </c>
      <c r="L123" s="23">
        <f>J123*K123*EXP(-Parameters!$B$42*'6states'!A123)*(Parameters!$B$37/Parameters!$B$38*('6states'!F123+'6states'!I123)/Parameters!$E$25*(EXP(-Parameters!$B$38*Parameters!$E$25*'6states'!I123/('6states'!F123+'6states'!I123))-EXP(-Parameters!$B$38*Parameters!$E$25))  +  Parameters!$B$39*'6states'!F123)</f>
        <v>2.7450973372624436</v>
      </c>
      <c r="M123" s="8">
        <f>M122+L123*Parameters!B$65</f>
        <v>3681.7581070997494</v>
      </c>
      <c r="N123" s="7">
        <f>M123*Parameters!$B$45</f>
        <v>2.2090548642598495</v>
      </c>
      <c r="O123" s="9">
        <f>EXP(-Parameters!$B$46/2*N123^2)</f>
        <v>0.95213996770014075</v>
      </c>
      <c r="P123" s="8">
        <f>MAX((Parameters!$B$62 + Parameters!$B$31*'6states'!A123 - '6states'!M123 + Parameters!$B$47/Parameters!$B$45)/Parameters!B$62,1)</f>
        <v>99.980837858005017</v>
      </c>
      <c r="Q123" s="8"/>
      <c r="R123" s="8"/>
      <c r="S123" s="7">
        <f>Parameters!B$61*EXP(-Parameters!B$60*A123)+(1-Parameters!B$61)*P123^-Parameters!B$63</f>
        <v>0.33560258055216841</v>
      </c>
      <c r="T123" s="7">
        <f>1-S123/Parameters!$B$12</f>
        <v>0.83219870972391585</v>
      </c>
      <c r="U123" s="7">
        <f t="shared" si="102"/>
        <v>5.9594297418970728</v>
      </c>
      <c r="V123" s="7">
        <f>(Parameters!$B$19*(F123+Parameters!$B$20)^T123+Parameters!$B$18*G123^T123)^(1/T123)</f>
        <v>0.34906124597397892</v>
      </c>
      <c r="W123" s="7">
        <f>(Parameters!$B$10*H123^Parameters!$B$9+Parameters!$B$11*V123^Parameters!$B$9)^(Parameters!$B$7/Parameters!$B$9)*O123</f>
        <v>1.321812190161612</v>
      </c>
      <c r="X123" s="7">
        <f>W123 - D123 - E123 - LN(1+EXP(Parameters!$B$21*C123))/Parameters!$B$21 - IF(C123&gt;0, 0,Parameters!$B$6*C123^2/F123)</f>
        <v>1.0017752992048194</v>
      </c>
      <c r="Y123" s="7">
        <f>EXP(-Parameters!$B$55*A123)</f>
        <v>0.16581210985760431</v>
      </c>
      <c r="Z123" s="7">
        <f>IF(X123&gt;0,X123^(1-Parameters!$B$52)/(1-Parameters!$B$52)*Y123*Parameters!$B$65,-10+X123*1000)</f>
        <v>-0.47345487145768439</v>
      </c>
      <c r="AC123">
        <f t="shared" si="103"/>
        <v>-3.2013002344286993E-2</v>
      </c>
      <c r="AD123">
        <f t="shared" si="104"/>
        <v>100.18527692545948</v>
      </c>
      <c r="AE123" s="23">
        <f t="shared" si="105"/>
        <v>8.6786549639090119E-2</v>
      </c>
      <c r="AF123" s="23">
        <f t="shared" si="106"/>
        <v>10.386128236084062</v>
      </c>
      <c r="AG123" s="23">
        <f t="shared" si="107"/>
        <v>1486.6272741238497</v>
      </c>
      <c r="AH123" s="23">
        <f t="shared" si="108"/>
        <v>384.09893878616521</v>
      </c>
      <c r="AI123" s="23">
        <f t="shared" si="109"/>
        <v>945.29673113447507</v>
      </c>
      <c r="AJ123" s="23">
        <f t="shared" si="110"/>
        <v>1454.4916268176598</v>
      </c>
      <c r="AK123" s="23">
        <f t="shared" si="111"/>
        <v>1102.3304184144465</v>
      </c>
      <c r="AL123" s="9">
        <f t="shared" si="120"/>
        <v>2.2466755586189713E-2</v>
      </c>
      <c r="AM123" s="9">
        <f t="shared" si="121"/>
        <v>1.4998948162030068E-2</v>
      </c>
      <c r="AN123" s="9">
        <f t="shared" ref="AN123:AO123" si="176">AVERAGE(AL121:AL125)</f>
        <v>2.2643175706507E-2</v>
      </c>
      <c r="AO123" s="9">
        <f t="shared" si="176"/>
        <v>2.526835589305243E-2</v>
      </c>
      <c r="AP123" s="23"/>
      <c r="AQ123" s="25">
        <f t="shared" si="100"/>
        <v>1454.4916268176601</v>
      </c>
      <c r="AR123" s="4"/>
      <c r="AS123" s="4"/>
      <c r="AT123" s="4"/>
      <c r="AU123" s="16"/>
      <c r="AV123" s="16"/>
      <c r="AY123" s="21">
        <f>-Y123*W123*X123^(-Parameters!B$52)*Parameters!B$46*Parameters!B$45*N123</f>
        <v>-5.8250529496457447E-6</v>
      </c>
      <c r="AZ123" s="7">
        <f>1000*EXP(-(Parameters!$B$54)*'6states'!A123)*AQ123*Parameters!B$46*Parameters!B$45*N123</f>
        <v>0.59464861811025105</v>
      </c>
      <c r="BA123" s="93">
        <f>SUM(AZ123:AZ$204)*EXP(Parameters!$B$54*A123)</f>
        <v>2546.4833189637247</v>
      </c>
      <c r="BF123" s="5"/>
      <c r="BG123" s="5"/>
      <c r="BH123" s="5"/>
      <c r="BK123">
        <f>-EXP(-Parameters!B$42*'6states'!A123)*(-Parameters!B$37/Parameters!B$38/Parameters!E$25*(EXP(-Parameters!B$38*Parameters!E$25*'6states'!I123/('6states'!F123+'6states'!I123))-EXP(-Parameters!B$38*Parameters!E$25))+Parameters!B$37*'6states'!F123/('6states'!F123+'6states'!I123)*EXP(-Parameters!B$38*Parameters!E$25*'6states'!I123/('6states'!F123+'6states'!I123)))</f>
        <v>-1.2665233972661918</v>
      </c>
      <c r="BL123">
        <f>-J123*K123*EXP(-Parameters!B$42*'6states'!A123)*(-Parameters!B$37/Parameters!B$38/Parameters!E$25*(EXP(-Parameters!B$38*Parameters!E$25*'6states'!I123/('6states'!F123+'6states'!I123))-EXP(-Parameters!B$38*Parameters!E$25)) + Parameters!B$37*'6states'!F123/('6states'!F123+'6states'!I123)*EXP(-Parameters!B$38*Parameters!E$25*'6states'!I123/('6states'!F123+'6states'!I123)))</f>
        <v>-1393.6531151729666</v>
      </c>
      <c r="BM123" s="7">
        <f t="shared" si="153"/>
        <v>8.2867617482574162E-3</v>
      </c>
    </row>
    <row r="124" spans="1:65" x14ac:dyDescent="0.25">
      <c r="A124">
        <f>A123+Parameters!$B$65</f>
        <v>120</v>
      </c>
      <c r="B124">
        <v>2145</v>
      </c>
      <c r="C124" s="74">
        <v>-6.3495754705484295E-4</v>
      </c>
      <c r="D124" s="69">
        <v>9.3313148173510302E-2</v>
      </c>
      <c r="E124" s="75">
        <v>0.21624686028196299</v>
      </c>
      <c r="F124" s="7">
        <f>MAX((1-Parameters!$B$4)^Parameters!B$65*F123 + C123*Parameters!B$65 - IF(C123&gt;0,Parameters!$B$5,0)*C123^2/F123*Parameters!B$65, 0.0001)</f>
        <v>8.8159135202766688E-3</v>
      </c>
      <c r="G124" s="7">
        <f>(1-Parameters!$B$4)^Parameters!B$65*G123+D123*Parameters!B$65-Parameters!$B$5*D123^2/G123*Parameters!B$65</f>
        <v>1.3509481012915259</v>
      </c>
      <c r="H124" s="7">
        <f>(1-Parameters!$B$4)^Parameters!B$65*H123+E123*Parameters!B$65-Parameters!$B$5*E123^2/H123*Parameters!B$65</f>
        <v>3.2681635496690595</v>
      </c>
      <c r="I124" s="9">
        <f>I123 *(1-Parameters!$B$4)-C123*(C123&lt;0)*Parameters!B$65</f>
        <v>1.0300168600077261E-4</v>
      </c>
      <c r="J124" s="23">
        <f>J123*(1+Parameters!$B$51)^Parameters!B$65</f>
        <v>11.550636485498892</v>
      </c>
      <c r="K124" s="23">
        <f>K123*(1+Parameters!$B$53)^Parameters!B$65</f>
        <v>97.452584096896388</v>
      </c>
      <c r="L124" s="23">
        <f>J124*K124*EXP(-Parameters!$B$42*'6states'!A124)*(Parameters!$B$37/Parameters!$B$38*('6states'!F124+'6states'!I124)/Parameters!$E$25*(EXP(-Parameters!$B$38*Parameters!$E$25*'6states'!I124/('6states'!F124+'6states'!I124))-EXP(-Parameters!$B$38*Parameters!$E$25))  +  Parameters!$B$39*'6states'!F124)</f>
        <v>2.5581429903689363</v>
      </c>
      <c r="M124" s="8">
        <f>M123+L124*Parameters!B$65</f>
        <v>3684.3162500901185</v>
      </c>
      <c r="N124" s="7">
        <f>M124*Parameters!$B$45</f>
        <v>2.210589750054071</v>
      </c>
      <c r="O124" s="9">
        <f>EXP(-Parameters!$B$46/2*N124^2)</f>
        <v>0.95207505712323892</v>
      </c>
      <c r="P124" s="8">
        <f>MAX((Parameters!$B$62 + Parameters!$B$31*'6states'!A124 - '6states'!M124 + Parameters!$B$47/Parameters!$B$45)/Parameters!B$62,1)</f>
        <v>100.99367499819763</v>
      </c>
      <c r="Q124" s="8"/>
      <c r="R124" s="8"/>
      <c r="S124" s="7">
        <f>Parameters!B$61*EXP(-Parameters!B$60*A124)+(1-Parameters!B$61)*P124^-Parameters!B$63</f>
        <v>0.33474883794731414</v>
      </c>
      <c r="T124" s="7">
        <f>1-S124/Parameters!$B$12</f>
        <v>0.83262558102634299</v>
      </c>
      <c r="U124" s="7">
        <f t="shared" si="102"/>
        <v>5.9746286567088225</v>
      </c>
      <c r="V124" s="7">
        <f>(Parameters!$B$19*(F124+Parameters!$B$20)^T124+Parameters!$B$18*G124^T124)^(1/T124)</f>
        <v>0.34853432197072121</v>
      </c>
      <c r="W124" s="7">
        <f>(Parameters!$B$10*H124^Parameters!$B$9+Parameters!$B$11*V124^Parameters!$B$9)^(Parameters!$B$7/Parameters!$B$9)*O124</f>
        <v>1.3220287740972538</v>
      </c>
      <c r="X124" s="7">
        <f>W124 - D124 - E124 - LN(1+EXP(Parameters!$B$21*C124))/Parameters!$B$21 - IF(C124&gt;0, 0,Parameters!$B$6*C124^2/F124)</f>
        <v>1.0102319967198443</v>
      </c>
      <c r="Y124" s="7">
        <f>EXP(-Parameters!$B$55*A124)</f>
        <v>0.16332715561927577</v>
      </c>
      <c r="Z124" s="7">
        <f>IF(X124&gt;0,X124^(1-Parameters!$B$52)/(1-Parameters!$B$52)*Y124*Parameters!$B$65,-10+X124*1000)</f>
        <v>-0.4649893034601259</v>
      </c>
      <c r="AC124">
        <f t="shared" si="103"/>
        <v>-0.71473321545051915</v>
      </c>
      <c r="AD124">
        <f t="shared" si="104"/>
        <v>105.03695364708094</v>
      </c>
      <c r="AE124" s="23">
        <f t="shared" si="105"/>
        <v>0.11594275329685669</v>
      </c>
      <c r="AF124" s="23">
        <f t="shared" si="106"/>
        <v>9.9235393715807163</v>
      </c>
      <c r="AG124" s="23">
        <f t="shared" si="107"/>
        <v>1520.6803743360613</v>
      </c>
      <c r="AH124" s="23">
        <f t="shared" si="108"/>
        <v>392.32395581792156</v>
      </c>
      <c r="AI124" s="23">
        <f t="shared" si="109"/>
        <v>965.53912424864393</v>
      </c>
      <c r="AJ124" s="23">
        <f t="shared" si="110"/>
        <v>1488.1276409917605</v>
      </c>
      <c r="AK124" s="23">
        <f t="shared" si="111"/>
        <v>1137.1569118528921</v>
      </c>
      <c r="AL124" s="9">
        <f t="shared" si="120"/>
        <v>2.286227077459202E-2</v>
      </c>
      <c r="AM124" s="9">
        <f t="shared" si="121"/>
        <v>3.1104709383280138E-2</v>
      </c>
      <c r="AN124" s="9">
        <f t="shared" ref="AN124:AO124" si="177">AVERAGE(AL122:AL126)</f>
        <v>2.2539635216023868E-2</v>
      </c>
      <c r="AO124" s="9">
        <f t="shared" si="177"/>
        <v>2.1490212679147903E-2</v>
      </c>
      <c r="AP124" s="23"/>
      <c r="AQ124" s="25">
        <f t="shared" si="100"/>
        <v>1488.1276409917602</v>
      </c>
      <c r="AR124" s="4"/>
      <c r="AS124" s="4"/>
      <c r="AT124" s="4"/>
      <c r="AU124" s="16"/>
      <c r="AV124" s="16"/>
      <c r="AY124" s="21">
        <f>-Y124*W124*X124^(-Parameters!B$52)*Parameters!B$46*Parameters!B$45*N124</f>
        <v>-5.6778805901393492E-6</v>
      </c>
      <c r="AZ124" s="7">
        <f>1000*EXP(-(Parameters!$B$54)*'6states'!A124)*AQ124*Parameters!B$46*Parameters!B$45*N124</f>
        <v>0.58782396181621177</v>
      </c>
      <c r="BA124" s="93">
        <f>SUM(AZ124:AZ$204)*EXP(Parameters!$B$54*A124)</f>
        <v>2597.3183848402273</v>
      </c>
      <c r="BF124" s="5"/>
      <c r="BG124" s="5"/>
      <c r="BH124" s="5"/>
      <c r="BK124">
        <f>-EXP(-Parameters!B$42*'6states'!A124)*(-Parameters!B$37/Parameters!B$38/Parameters!E$25*(EXP(-Parameters!B$38*Parameters!E$25*'6states'!I124/('6states'!F124+'6states'!I124))-EXP(-Parameters!B$38*Parameters!E$25))+Parameters!B$37*'6states'!F124/('6states'!F124+'6states'!I124)*EXP(-Parameters!B$38*Parameters!E$25*'6states'!I124/('6states'!F124+'6states'!I124)))</f>
        <v>-1.0876136795963989</v>
      </c>
      <c r="BL124">
        <f>-J124*K124*EXP(-Parameters!B$42*'6states'!A124)*(-Parameters!B$37/Parameters!B$38/Parameters!E$25*(EXP(-Parameters!B$38*Parameters!E$25*'6states'!I124/('6states'!F124+'6states'!I124))-EXP(-Parameters!B$38*Parameters!E$25)) + Parameters!B$37*'6states'!F124/('6states'!F124+'6states'!I124)*EXP(-Parameters!B$38*Parameters!E$25*'6states'!I124/('6states'!F124+'6states'!I124)))</f>
        <v>-1224.2607808845569</v>
      </c>
      <c r="BM124" s="7">
        <f t="shared" si="153"/>
        <v>1.154867869225581E-2</v>
      </c>
    </row>
    <row r="125" spans="1:65" x14ac:dyDescent="0.25">
      <c r="A125">
        <f>A124+Parameters!$B$65</f>
        <v>121</v>
      </c>
      <c r="B125">
        <v>2146</v>
      </c>
      <c r="C125" s="74">
        <v>9.7865250379386795E-4</v>
      </c>
      <c r="D125" s="69">
        <v>9.3488772616465599E-2</v>
      </c>
      <c r="E125" s="75">
        <v>0.21108490035062899</v>
      </c>
      <c r="F125" s="7">
        <f>MAX((1-Parameters!$B$4)^Parameters!B$65*F124 + C124*Parameters!B$65 - IF(C124&gt;0,Parameters!$B$5,0)*C124^2/F124*Parameters!B$65, 0.0001)</f>
        <v>7.6264350127964245E-3</v>
      </c>
      <c r="G125" s="7">
        <f>(1-Parameters!$B$4)^Parameters!B$65*G124+D124*Parameters!B$65-Parameters!$B$5*D124^2/G124*Parameters!B$65</f>
        <v>1.3528412562862591</v>
      </c>
      <c r="H125" s="7">
        <f>(1-Parameters!$B$4)^Parameters!B$65*H124+E124*Parameters!B$65-Parameters!$B$5*E124^2/H124*Parameters!B$65</f>
        <v>3.2645343656321519</v>
      </c>
      <c r="I125" s="9">
        <f>I124 *(1-Parameters!$B$4)-C124*(C124&lt;0)*Parameters!B$65</f>
        <v>7.3148042700616693E-4</v>
      </c>
      <c r="J125" s="23">
        <f>J124*(1+Parameters!$B$51)^Parameters!B$65</f>
        <v>11.584133331306838</v>
      </c>
      <c r="K125" s="23">
        <f>K124*(1+Parameters!$B$53)^Parameters!B$65</f>
        <v>99.401635778834319</v>
      </c>
      <c r="L125" s="23">
        <f>J125*K125*EXP(-Parameters!$B$42*'6states'!A125)*(Parameters!$B$37/Parameters!$B$38*('6states'!F125+'6states'!I125)/Parameters!$E$25*(EXP(-Parameters!$B$38*Parameters!$E$25*'6states'!I125/('6states'!F125+'6states'!I125))-EXP(-Parameters!$B$38*Parameters!$E$25))  +  Parameters!$B$39*'6states'!F125)</f>
        <v>2.0184002831522645</v>
      </c>
      <c r="M125" s="8">
        <f>M124+L125*Parameters!B$65</f>
        <v>3686.334650373271</v>
      </c>
      <c r="N125" s="7">
        <f>M125*Parameters!$B$45</f>
        <v>2.2118007902239625</v>
      </c>
      <c r="O125" s="9">
        <f>EXP(-Parameters!$B$46/2*N125^2)</f>
        <v>0.95202381333797859</v>
      </c>
      <c r="P125" s="8">
        <f>MAX((Parameters!$B$62 + Parameters!$B$31*'6states'!A125 - '6states'!M125 + Parameters!$B$47/Parameters!$B$45)/Parameters!B$62,1)</f>
        <v>102.0173069925346</v>
      </c>
      <c r="Q125" s="8"/>
      <c r="R125" s="8"/>
      <c r="S125" s="7">
        <f>Parameters!B$61*EXP(-Parameters!B$60*A125)+(1-Parameters!B$61)*P125^-Parameters!B$63</f>
        <v>0.3339095266787806</v>
      </c>
      <c r="T125" s="7">
        <f>1-S125/Parameters!$B$12</f>
        <v>0.8330452366606097</v>
      </c>
      <c r="U125" s="7">
        <f t="shared" si="102"/>
        <v>5.9896464167792089</v>
      </c>
      <c r="V125" s="7">
        <f>(Parameters!$B$19*(F125+Parameters!$B$20)^T125+Parameters!$B$18*G125^T125)^(1/T125)</f>
        <v>0.34782974196795746</v>
      </c>
      <c r="W125" s="7">
        <f>(Parameters!$B$10*H125^Parameters!$B$9+Parameters!$B$11*V125^Parameters!$B$9)^(Parameters!$B$7/Parameters!$B$9)*O125</f>
        <v>1.3214075645691314</v>
      </c>
      <c r="X125" s="7">
        <f>W125 - D125 - E125 - LN(1+EXP(Parameters!$B$21*C125))/Parameters!$B$21 - IF(C125&gt;0, 0,Parameters!$B$6*C125^2/F125)</f>
        <v>1.013998286980786</v>
      </c>
      <c r="Y125" s="7">
        <f>EXP(-Parameters!$B$55*A125)</f>
        <v>0.16087944231330067</v>
      </c>
      <c r="Z125" s="7">
        <f>IF(X125&gt;0,X125^(1-Parameters!$B$52)/(1-Parameters!$B$52)*Y125*Parameters!$B$65,-10+X125*1000)</f>
        <v>-0.45742456137554183</v>
      </c>
      <c r="AC125">
        <f t="shared" si="103"/>
        <v>1.1269005488078658</v>
      </c>
      <c r="AD125">
        <f t="shared" si="104"/>
        <v>107.65062037899726</v>
      </c>
      <c r="AE125" s="23">
        <f t="shared" si="105"/>
        <v>0.84228640037187685</v>
      </c>
      <c r="AF125" s="23">
        <f t="shared" si="106"/>
        <v>8.7817011329876529</v>
      </c>
      <c r="AG125" s="23">
        <f t="shared" si="107"/>
        <v>1557.7720878952707</v>
      </c>
      <c r="AH125" s="23">
        <f t="shared" si="108"/>
        <v>400.51961814420451</v>
      </c>
      <c r="AI125" s="23">
        <f t="shared" si="109"/>
        <v>985.70927319776752</v>
      </c>
      <c r="AJ125" s="23">
        <f t="shared" si="110"/>
        <v>1521.5767639066555</v>
      </c>
      <c r="AK125" s="23">
        <f t="shared" si="111"/>
        <v>1167.6005749325334</v>
      </c>
      <c r="AL125" s="9">
        <f t="shared" si="120"/>
        <v>2.2228428895044949E-2</v>
      </c>
      <c r="AM125" s="9">
        <f t="shared" si="121"/>
        <v>2.6419642008864486E-2</v>
      </c>
      <c r="AN125" s="9">
        <f t="shared" ref="AN125:AO125" si="178">AVERAGE(AL123:AL127)</f>
        <v>2.2504236637148445E-2</v>
      </c>
      <c r="AO125" s="9">
        <f t="shared" si="178"/>
        <v>2.0505286079914243E-2</v>
      </c>
      <c r="AP125" s="23"/>
      <c r="AQ125" s="25">
        <f t="shared" si="100"/>
        <v>1521.5767639066555</v>
      </c>
      <c r="AR125" s="4"/>
      <c r="AS125" s="4"/>
      <c r="AT125" s="4"/>
      <c r="AU125" s="16"/>
      <c r="AV125" s="16"/>
      <c r="AY125" s="21">
        <f>-Y125*W125*X125^(-Parameters!B$52)*Parameters!B$46*Parameters!B$45*N125</f>
        <v>-5.5651952872761836E-6</v>
      </c>
      <c r="AZ125" s="7">
        <f>1000*EXP(-(Parameters!$B$54)*'6states'!A125)*AQ125*Parameters!B$46*Parameters!B$45*N125</f>
        <v>0.58062414271477059</v>
      </c>
      <c r="BA125" s="93">
        <f>SUM(AZ125:AZ$204)*EXP(Parameters!$B$54*A125)</f>
        <v>2649.0127998387256</v>
      </c>
      <c r="BF125" s="5"/>
      <c r="BG125" s="5"/>
      <c r="BH125" s="5"/>
      <c r="BK125">
        <f>-EXP(-Parameters!B$42*'6states'!A125)*(-Parameters!B$37/Parameters!B$38/Parameters!E$25*(EXP(-Parameters!B$38*Parameters!E$25*'6states'!I125/('6states'!F125+'6states'!I125))-EXP(-Parameters!B$38*Parameters!E$25))+Parameters!B$37*'6states'!F125/('6states'!F125+'6states'!I125)*EXP(-Parameters!B$38*Parameters!E$25*'6states'!I125/('6states'!F125+'6states'!I125)))</f>
        <v>-3.9031829853154856E-2</v>
      </c>
      <c r="BL125">
        <f>-J125*K125*EXP(-Parameters!B$42*'6states'!A125)*(-Parameters!B$37/Parameters!B$38/Parameters!E$25*(EXP(-Parameters!B$38*Parameters!E$25*'6states'!I125/('6states'!F125+'6states'!I125))-EXP(-Parameters!B$38*Parameters!E$25)) + Parameters!B$37*'6states'!F125/('6states'!F125+'6states'!I125)*EXP(-Parameters!B$38*Parameters!E$25*'6states'!I125/('6states'!F125+'6states'!I125)))</f>
        <v>-44.944441782943557</v>
      </c>
      <c r="BM125" s="7">
        <f t="shared" si="153"/>
        <v>8.7519481654799336E-2</v>
      </c>
    </row>
    <row r="126" spans="1:65" x14ac:dyDescent="0.25">
      <c r="A126">
        <f>A125+Parameters!$B$65</f>
        <v>122</v>
      </c>
      <c r="B126">
        <v>2147</v>
      </c>
      <c r="C126" s="74">
        <v>-1.1872028141576201E-3</v>
      </c>
      <c r="D126" s="69">
        <v>8.9970815507911306E-2</v>
      </c>
      <c r="E126" s="75">
        <v>0.227425292425083</v>
      </c>
      <c r="F126" s="7">
        <f>MAX((1-Parameters!$B$4)^Parameters!B$65*F125 + C125*Parameters!B$65 - IF(C125&gt;0,Parameters!$B$5,0)*C125^2/F125*Parameters!B$65, 0.0001)</f>
        <v>7.9998004253591069E-3</v>
      </c>
      <c r="G126" s="7">
        <f>(1-Parameters!$B$4)^Parameters!B$65*G125+D125*Parameters!B$65-Parameters!$B$5*D125^2/G125*Parameters!B$65</f>
        <v>1.3547757254247152</v>
      </c>
      <c r="H126" s="7">
        <f>(1-Parameters!$B$4)^Parameters!B$65*H125+E125*Parameters!B$65-Parameters!$B$5*E125^2/H125*Parameters!B$65</f>
        <v>3.2566312977271794</v>
      </c>
      <c r="I126" s="9">
        <f>I125 *(1-Parameters!$B$4)-C125*(C125&lt;0)*Parameters!B$65</f>
        <v>6.8547030814747909E-4</v>
      </c>
      <c r="J126" s="23">
        <f>J125*(1+Parameters!$B$51)^Parameters!B$65</f>
        <v>11.617727317967626</v>
      </c>
      <c r="K126" s="23">
        <f>K125*(1+Parameters!$B$53)^Parameters!B$65</f>
        <v>101.38966849441101</v>
      </c>
      <c r="L126" s="23">
        <f>J126*K126*EXP(-Parameters!$B$42*'6states'!A126)*(Parameters!$B$37/Parameters!$B$38*('6states'!F126+'6states'!I126)/Parameters!$E$25*(EXP(-Parameters!$B$38*Parameters!$E$25*'6states'!I126/('6states'!F126+'6states'!I126))-EXP(-Parameters!$B$38*Parameters!$E$25))  +  Parameters!$B$39*'6states'!F126)</f>
        <v>2.1487892463220524</v>
      </c>
      <c r="M126" s="8">
        <f>M125+L126*Parameters!B$65</f>
        <v>3688.4834396195929</v>
      </c>
      <c r="N126" s="7">
        <f>M126*Parameters!$B$45</f>
        <v>2.2130900637717557</v>
      </c>
      <c r="O126" s="9">
        <f>EXP(-Parameters!$B$46/2*N126^2)</f>
        <v>0.95196923138656298</v>
      </c>
      <c r="P126" s="8">
        <f>MAX((Parameters!$B$62 + Parameters!$B$31*'6states'!A126 - '6states'!M126 + Parameters!$B$47/Parameters!$B$45)/Parameters!B$62,1)</f>
        <v>103.03833120760815</v>
      </c>
      <c r="Q126" s="8"/>
      <c r="R126" s="8"/>
      <c r="S126" s="7">
        <f>Parameters!B$61*EXP(-Parameters!B$60*A126)+(1-Parameters!B$61)*P126^-Parameters!B$63</f>
        <v>0.33308839431845799</v>
      </c>
      <c r="T126" s="7">
        <f>1-S126/Parameters!$B$12</f>
        <v>0.83345580284077103</v>
      </c>
      <c r="U126" s="7">
        <f t="shared" si="102"/>
        <v>6.0044121443866558</v>
      </c>
      <c r="V126" s="7">
        <f>(Parameters!$B$19*(F126+Parameters!$B$20)^T126+Parameters!$B$18*G126^T126)^(1/T126)</f>
        <v>0.34891474927700544</v>
      </c>
      <c r="W126" s="7">
        <f>(Parameters!$B$10*H126^Parameters!$B$9+Parameters!$B$11*V126^Parameters!$B$9)^(Parameters!$B$7/Parameters!$B$9)*O126</f>
        <v>1.3210311987723016</v>
      </c>
      <c r="X126" s="7">
        <f>W126 - D126 - E126 - LN(1+EXP(Parameters!$B$21*C126))/Parameters!$B$21 - IF(C126&gt;0, 0,Parameters!$B$6*C126^2/F126)</f>
        <v>1.0009846957161181</v>
      </c>
      <c r="Y126" s="7">
        <f>EXP(-Parameters!$B$55*A126)</f>
        <v>0.15846841182596355</v>
      </c>
      <c r="Z126" s="7">
        <f>IF(X126&gt;0,X126^(1-Parameters!$B$52)/(1-Parameters!$B$52)*Y126*Parameters!$B$65,-10+X126*1000)</f>
        <v>-0.4526109514022737</v>
      </c>
      <c r="AC126">
        <f t="shared" si="103"/>
        <v>-1.3984269962839411</v>
      </c>
      <c r="AD126">
        <f t="shared" si="104"/>
        <v>105.97820000386281</v>
      </c>
      <c r="AE126" s="23">
        <f t="shared" si="105"/>
        <v>0.80742748638501793</v>
      </c>
      <c r="AF126" s="23">
        <f t="shared" si="106"/>
        <v>9.423105088951262</v>
      </c>
      <c r="AG126" s="23">
        <f t="shared" si="107"/>
        <v>1595.8140645820179</v>
      </c>
      <c r="AH126" s="23">
        <f t="shared" si="108"/>
        <v>410.99279665776334</v>
      </c>
      <c r="AI126" s="23">
        <f t="shared" si="109"/>
        <v>1011.4845628789677</v>
      </c>
      <c r="AJ126" s="23">
        <f t="shared" si="110"/>
        <v>1556.0657953858727</v>
      </c>
      <c r="AK126" s="23">
        <f t="shared" si="111"/>
        <v>1179.0774117644903</v>
      </c>
      <c r="AL126" s="9">
        <f t="shared" si="120"/>
        <v>2.2413567951147684E-2</v>
      </c>
      <c r="AM126" s="9">
        <f t="shared" si="121"/>
        <v>9.781425830020396E-3</v>
      </c>
      <c r="AN126" s="9">
        <f t="shared" ref="AN126:AO126" si="179">AVERAGE(AL124:AL128)</f>
        <v>2.2674821128503629E-2</v>
      </c>
      <c r="AO126" s="9">
        <f t="shared" si="179"/>
        <v>2.2154617215687723E-2</v>
      </c>
      <c r="AP126" s="23"/>
      <c r="AQ126" s="25">
        <f t="shared" si="100"/>
        <v>1556.0657953858729</v>
      </c>
      <c r="AR126" s="4"/>
      <c r="AS126" s="4"/>
      <c r="AT126" s="4"/>
      <c r="AU126" s="16"/>
      <c r="AV126" s="16"/>
      <c r="AY126" s="21">
        <f>-Y126*W126*X126^(-Parameters!B$52)*Parameters!B$46*Parameters!B$45*N126</f>
        <v>-5.5798835488075796E-6</v>
      </c>
      <c r="AZ126" s="7">
        <f>1000*EXP(-(Parameters!$B$54)*'6states'!A126)*AQ126*Parameters!B$46*Parameters!B$45*N126</f>
        <v>0.57363880457439409</v>
      </c>
      <c r="BA126" s="93">
        <f>SUM(AZ126:AZ$204)*EXP(Parameters!$B$54*A126)</f>
        <v>2701.6072919545277</v>
      </c>
      <c r="BF126" s="5"/>
      <c r="BG126" s="5"/>
      <c r="BH126" s="5"/>
      <c r="BK126">
        <f>-EXP(-Parameters!B$42*'6states'!A126)*(-Parameters!B$37/Parameters!B$38/Parameters!E$25*(EXP(-Parameters!B$38*Parameters!E$25*'6states'!I126/('6states'!F126+'6states'!I126))-EXP(-Parameters!B$38*Parameters!E$25))+Parameters!B$37*'6states'!F126/('6states'!F126+'6states'!I126)*EXP(-Parameters!B$38*Parameters!E$25*'6states'!I126/('6states'!F126+'6states'!I126)))</f>
        <v>-5.6265698418887379E-2</v>
      </c>
      <c r="BL126">
        <f>-J126*K126*EXP(-Parameters!B$42*'6states'!A126)*(-Parameters!B$37/Parameters!B$38/Parameters!E$25*(EXP(-Parameters!B$38*Parameters!E$25*'6states'!I126/('6states'!F126+'6states'!I126))-EXP(-Parameters!B$38*Parameters!E$25)) + Parameters!B$37*'6states'!F126/('6states'!F126+'6states'!I126)*EXP(-Parameters!B$38*Parameters!E$25*'6states'!I126/('6states'!F126+'6states'!I126)))</f>
        <v>-66.27635202294617</v>
      </c>
      <c r="BM126" s="7">
        <f t="shared" si="153"/>
        <v>7.8923309264618366E-2</v>
      </c>
    </row>
    <row r="127" spans="1:65" x14ac:dyDescent="0.25">
      <c r="A127">
        <f>A126+Parameters!$B$65</f>
        <v>123</v>
      </c>
      <c r="B127">
        <v>2148</v>
      </c>
      <c r="C127" s="74">
        <v>1.2705465989175399E-3</v>
      </c>
      <c r="D127" s="69">
        <v>9.2268368303164303E-2</v>
      </c>
      <c r="E127" s="75">
        <v>0.22705243927407401</v>
      </c>
      <c r="F127" s="7">
        <f>MAX((1-Parameters!$B$4)^Parameters!B$65*F126 + C126*Parameters!B$65 - IF(C126&gt;0,Parameters!$B$5,0)*C126^2/F126*Parameters!B$65, 0.0001)</f>
        <v>6.3094101644463997E-3</v>
      </c>
      <c r="G127" s="7">
        <f>(1-Parameters!$B$4)^Parameters!B$65*G126+D126*Parameters!B$65-Parameters!$B$5*D126^2/G126*Parameters!B$65</f>
        <v>1.3535561753476419</v>
      </c>
      <c r="H127" s="7">
        <f>(1-Parameters!$B$4)^Parameters!B$65*H126+E126*Parameters!B$65-Parameters!$B$5*E126^2/H126*Parameters!B$65</f>
        <v>3.2633323447691427</v>
      </c>
      <c r="I127" s="9">
        <f>I126 *(1-Parameters!$B$4)-C126*(C126&lt;0)*Parameters!B$65</f>
        <v>1.8295570399226228E-3</v>
      </c>
      <c r="J127" s="23">
        <f>J126*(1+Parameters!$B$51)^Parameters!B$65</f>
        <v>11.65141872718973</v>
      </c>
      <c r="K127" s="23">
        <f>K126*(1+Parameters!$B$53)^Parameters!B$65</f>
        <v>103.41746186429923</v>
      </c>
      <c r="L127" s="23">
        <f>J127*K127*EXP(-Parameters!$B$42*'6states'!A127)*(Parameters!$B$37/Parameters!$B$38*('6states'!F127+'6states'!I127)/Parameters!$E$25*(EXP(-Parameters!$B$38*Parameters!$E$25*'6states'!I127/('6states'!F127+'6states'!I127))-EXP(-Parameters!$B$38*Parameters!$E$25))  +  Parameters!$B$39*'6states'!F127)</f>
        <v>1.7043993532689394</v>
      </c>
      <c r="M127" s="8">
        <f>M126+L127*Parameters!B$65</f>
        <v>3690.1878389728618</v>
      </c>
      <c r="N127" s="7">
        <f>M127*Parameters!$B$45</f>
        <v>2.2141127033837167</v>
      </c>
      <c r="O127" s="9">
        <f>EXP(-Parameters!$B$46/2*N127^2)</f>
        <v>0.95192591710477481</v>
      </c>
      <c r="P127" s="8">
        <f>MAX((Parameters!$B$62 + Parameters!$B$31*'6states'!A127 - '6states'!M127 + Parameters!$B$47/Parameters!$B$45)/Parameters!B$62,1)</f>
        <v>104.06824322054277</v>
      </c>
      <c r="Q127" s="8"/>
      <c r="R127" s="8"/>
      <c r="S127" s="7">
        <f>Parameters!B$61*EXP(-Parameters!B$60*A127)+(1-Parameters!B$61)*P127^-Parameters!B$63</f>
        <v>0.33228150140406898</v>
      </c>
      <c r="T127" s="7">
        <f>1-S127/Parameters!$B$12</f>
        <v>0.83385924929796551</v>
      </c>
      <c r="U127" s="7">
        <f t="shared" si="102"/>
        <v>6.0189929067640504</v>
      </c>
      <c r="V127" s="7">
        <f>(Parameters!$B$19*(F127+Parameters!$B$20)^T127+Parameters!$B$18*G127^T127)^(1/T127)</f>
        <v>0.34686477778917596</v>
      </c>
      <c r="W127" s="7">
        <f>(Parameters!$B$10*H127^Parameters!$B$9+Parameters!$B$11*V127^Parameters!$B$9)^(Parameters!$B$7/Parameters!$B$9)*O127</f>
        <v>1.3208353434292972</v>
      </c>
      <c r="X127" s="7">
        <f>W127 - D127 - E127 - LN(1+EXP(Parameters!$B$21*C127))/Parameters!$B$21 - IF(C127&gt;0, 0,Parameters!$B$6*C127^2/F127)</f>
        <v>0.99850859907385214</v>
      </c>
      <c r="Y127" s="7">
        <f>EXP(-Parameters!$B$55*A127)</f>
        <v>0.15609351440775748</v>
      </c>
      <c r="Z127" s="7">
        <f>IF(X127&gt;0,X127^(1-Parameters!$B$52)/(1-Parameters!$B$52)*Y127*Parameters!$B$65,-10+X127*1000)</f>
        <v>-0.4462145023792764</v>
      </c>
      <c r="AC127">
        <f t="shared" si="103"/>
        <v>1.5309580228075383</v>
      </c>
      <c r="AD127">
        <f t="shared" si="104"/>
        <v>111.17970708468133</v>
      </c>
      <c r="AE127" s="23">
        <f t="shared" si="105"/>
        <v>2.2045433287058351</v>
      </c>
      <c r="AF127" s="23">
        <f t="shared" si="106"/>
        <v>7.6025878300505809</v>
      </c>
      <c r="AG127" s="23">
        <f t="shared" si="107"/>
        <v>1630.9812546305909</v>
      </c>
      <c r="AH127" s="23">
        <f t="shared" si="108"/>
        <v>417.95823532809897</v>
      </c>
      <c r="AI127" s="23">
        <f t="shared" si="109"/>
        <v>1028.6270377496196</v>
      </c>
      <c r="AJ127" s="23">
        <f t="shared" si="110"/>
        <v>1591.5539560324873</v>
      </c>
      <c r="AK127" s="23">
        <f t="shared" si="111"/>
        <v>1203.1630731976345</v>
      </c>
      <c r="AL127" s="9">
        <f t="shared" si="120"/>
        <v>2.2550159978767859E-2</v>
      </c>
      <c r="AM127" s="9">
        <f t="shared" si="121"/>
        <v>2.0221705015376124E-2</v>
      </c>
      <c r="AN127" s="9">
        <f t="shared" ref="AN127:AO127" si="180">AVERAGE(AL125:AL129)</f>
        <v>2.2418047882434421E-2</v>
      </c>
      <c r="AO127" s="9">
        <f t="shared" si="180"/>
        <v>2.1359271942058732E-2</v>
      </c>
      <c r="AP127" s="23"/>
      <c r="AQ127" s="25">
        <f t="shared" si="100"/>
        <v>1591.5539560324871</v>
      </c>
      <c r="AR127" s="4"/>
      <c r="AS127" s="4"/>
      <c r="AT127" s="4"/>
      <c r="AU127" s="16"/>
      <c r="AV127" s="16"/>
      <c r="AY127" s="21">
        <f>-Y127*W127*X127^(-Parameters!B$52)*Parameters!B$46*Parameters!B$45*N127</f>
        <v>-5.5163984667025414E-6</v>
      </c>
      <c r="AZ127" s="7">
        <f>1000*EXP(-(Parameters!$B$54)*'6states'!A127)*AQ127*Parameters!B$46*Parameters!B$45*N127</f>
        <v>0.56674647967074632</v>
      </c>
      <c r="BA127" s="93">
        <f>SUM(AZ127:AZ$204)*EXP(Parameters!$B$54*A127)</f>
        <v>2755.1027368377954</v>
      </c>
      <c r="BF127" s="5"/>
      <c r="BG127" s="5"/>
      <c r="BH127" s="5"/>
      <c r="BK127">
        <f>-EXP(-Parameters!B$42*'6states'!A127)*(-Parameters!B$37/Parameters!B$38/Parameters!E$25*(EXP(-Parameters!B$38*Parameters!E$25*'6states'!I127/('6states'!F127+'6states'!I127))-EXP(-Parameters!B$38*Parameters!E$25))+Parameters!B$37*'6states'!F127/('6states'!F127+'6states'!I127)*EXP(-Parameters!B$38*Parameters!E$25*'6states'!I127/('6states'!F127+'6states'!I127)))</f>
        <v>-9.354940315598846E-5</v>
      </c>
      <c r="BL127">
        <f>-J127*K127*EXP(-Parameters!B$42*'6states'!A127)*(-Parameters!B$37/Parameters!B$38/Parameters!E$25*(EXP(-Parameters!B$38*Parameters!E$25*'6states'!I127/('6states'!F127+'6states'!I127))-EXP(-Parameters!B$38*Parameters!E$25)) + Parameters!B$37*'6states'!F127/('6states'!F127+'6states'!I127)*EXP(-Parameters!B$38*Parameters!E$25*'6states'!I127/('6states'!F127+'6states'!I127)))</f>
        <v>-0.11272330303550918</v>
      </c>
      <c r="BM127" s="7">
        <f t="shared" si="153"/>
        <v>0.22478982824018642</v>
      </c>
    </row>
    <row r="128" spans="1:65" x14ac:dyDescent="0.25">
      <c r="A128">
        <f>A127+Parameters!$B$65</f>
        <v>124</v>
      </c>
      <c r="B128">
        <v>2149</v>
      </c>
      <c r="C128" s="74">
        <v>9.4135561459058898E-3</v>
      </c>
      <c r="D128" s="69">
        <v>8.8765846393914202E-2</v>
      </c>
      <c r="E128" s="75">
        <v>0.22422942652944799</v>
      </c>
      <c r="F128" s="7">
        <f>MAX((1-Parameters!$B$4)^Parameters!B$65*F127 + C127*Parameters!B$65 - IF(C127&gt;0,Parameters!$B$5,0)*C127^2/F127*Parameters!B$65, 0.0001)</f>
        <v>6.9272407321843777E-3</v>
      </c>
      <c r="G128" s="7">
        <f>(1-Parameters!$B$4)^Parameters!B$65*G127+D127*Parameters!B$65-Parameters!$B$5*D127^2/G127*Parameters!B$65</f>
        <v>1.354396167968998</v>
      </c>
      <c r="H128" s="7">
        <f>(1-Parameters!$B$4)^Parameters!B$65*H127+E127*Parameters!B$65-Parameters!$B$5*E127^2/H127*Parameters!B$65</f>
        <v>3.2693235822751396</v>
      </c>
      <c r="I128" s="9">
        <f>I127 *(1-Parameters!$B$4)-C127*(C127&lt;0)*Parameters!B$65</f>
        <v>1.71447790211149E-3</v>
      </c>
      <c r="J128" s="23">
        <f>J127*(1+Parameters!$B$51)^Parameters!B$65</f>
        <v>11.685207841498579</v>
      </c>
      <c r="K128" s="23">
        <f>K127*(1+Parameters!$B$53)^Parameters!B$65</f>
        <v>105.48581110158521</v>
      </c>
      <c r="L128" s="23">
        <f>J128*K128*EXP(-Parameters!$B$42*'6states'!A128)*(Parameters!$B$37/Parameters!$B$38*('6states'!F128+'6states'!I128)/Parameters!$E$25*(EXP(-Parameters!$B$38*Parameters!$E$25*'6states'!I128/('6states'!F128+'6states'!I128))-EXP(-Parameters!$B$38*Parameters!$E$25))  +  Parameters!$B$39*'6states'!F128)</f>
        <v>1.8952747080609997</v>
      </c>
      <c r="M128" s="8">
        <f>M127+L128*Parameters!B$65</f>
        <v>3692.0831136809229</v>
      </c>
      <c r="N128" s="7">
        <f>M128*Parameters!$B$45</f>
        <v>2.2152498682085535</v>
      </c>
      <c r="O128" s="9">
        <f>EXP(-Parameters!$B$46/2*N128^2)</f>
        <v>0.95187773088360528</v>
      </c>
      <c r="P128" s="8">
        <f>MAX((Parameters!$B$62 + Parameters!$B$31*'6states'!A128 - '6states'!M128 + Parameters!$B$47/Parameters!$B$45)/Parameters!B$62,1)</f>
        <v>105.09433772638154</v>
      </c>
      <c r="Q128" s="8"/>
      <c r="R128" s="8"/>
      <c r="S128" s="7">
        <f>Parameters!B$61*EXP(-Parameters!B$60*A128)+(1-Parameters!B$61)*P128^-Parameters!B$63</f>
        <v>0.33149229954605752</v>
      </c>
      <c r="T128" s="7">
        <f>1-S128/Parameters!$B$12</f>
        <v>0.83425385022697118</v>
      </c>
      <c r="U128" s="7">
        <f t="shared" si="102"/>
        <v>6.0333226525586889</v>
      </c>
      <c r="V128" s="7">
        <f>(Parameters!$B$19*(F128+Parameters!$B$20)^T128+Parameters!$B$18*G128^T128)^(1/T128)</f>
        <v>0.34796444457398257</v>
      </c>
      <c r="W128" s="7">
        <f>(Parameters!$B$10*H128^Parameters!$B$9+Parameters!$B$11*V128^Parameters!$B$9)^(Parameters!$B$7/Parameters!$B$9)*O128</f>
        <v>1.3216561642023921</v>
      </c>
      <c r="X128" s="7">
        <f>W128 - D128 - E128 - LN(1+EXP(Parameters!$B$21*C128))/Parameters!$B$21 - IF(C128&gt;0, 0,Parameters!$B$6*C128^2/F128)</f>
        <v>0.99905510595496794</v>
      </c>
      <c r="Y128" s="7">
        <f>EXP(-Parameters!$B$55*A128)</f>
        <v>0.15375420854803312</v>
      </c>
      <c r="Z128" s="7">
        <f>IF(X128&gt;0,X128^(1-Parameters!$B$52)/(1-Parameters!$B$52)*Y128*Parameters!$B$65,-10+X128*1000)</f>
        <v>-0.43944311287436616</v>
      </c>
      <c r="AC128">
        <f t="shared" si="103"/>
        <v>11.603371720015517</v>
      </c>
      <c r="AD128">
        <f t="shared" si="104"/>
        <v>109.41487954032569</v>
      </c>
      <c r="AE128" s="23">
        <f t="shared" si="105"/>
        <v>2.1133059701995935</v>
      </c>
      <c r="AF128" s="23">
        <f t="shared" si="106"/>
        <v>8.5386805967610968</v>
      </c>
      <c r="AG128" s="23">
        <f t="shared" si="107"/>
        <v>1669.4607170260319</v>
      </c>
      <c r="AH128" s="23">
        <f t="shared" si="108"/>
        <v>428.90919575559735</v>
      </c>
      <c r="AI128" s="23">
        <f t="shared" si="109"/>
        <v>1055.578185096216</v>
      </c>
      <c r="AJ128" s="23">
        <f t="shared" si="110"/>
        <v>1629.104614833572</v>
      </c>
      <c r="AK128" s="23">
        <f t="shared" si="111"/>
        <v>1231.458928326115</v>
      </c>
      <c r="AL128" s="9">
        <f t="shared" si="120"/>
        <v>2.3319678042965641E-2</v>
      </c>
      <c r="AM128" s="9">
        <f t="shared" si="121"/>
        <v>2.3245603840897466E-2</v>
      </c>
      <c r="AN128" s="9">
        <f t="shared" ref="AN128:AO128" si="181">AVERAGE(AL126:AL130)</f>
        <v>2.2407859119593886E-2</v>
      </c>
      <c r="AO128" s="9">
        <f t="shared" si="181"/>
        <v>2.1026996822908296E-2</v>
      </c>
      <c r="AP128" s="23"/>
      <c r="AQ128" s="25">
        <f t="shared" si="100"/>
        <v>1629.104614833572</v>
      </c>
      <c r="AR128" s="4"/>
      <c r="AS128" s="4"/>
      <c r="AT128" s="4"/>
      <c r="AU128" s="16"/>
      <c r="AV128" s="16"/>
      <c r="AY128" s="21">
        <f>-Y128*W128*X128^(-Parameters!B$52)*Parameters!B$46*Parameters!B$45*N128</f>
        <v>-5.435878938736731E-6</v>
      </c>
      <c r="AZ128" s="7">
        <f>1000*EXP(-(Parameters!$B$54)*'6states'!A128)*AQ128*Parameters!B$46*Parameters!B$45*N128</f>
        <v>0.5603968663119786</v>
      </c>
      <c r="BA128" s="93">
        <f>SUM(AZ128:AZ$204)*EXP(Parameters!$B$54*A128)</f>
        <v>2809.5078739453224</v>
      </c>
      <c r="BF128" s="5"/>
      <c r="BG128" s="5"/>
      <c r="BH128" s="5"/>
      <c r="BK128">
        <f>-EXP(-Parameters!B$42*'6states'!A128)*(-Parameters!B$37/Parameters!B$38/Parameters!E$25*(EXP(-Parameters!B$38*Parameters!E$25*'6states'!I128/('6states'!F128+'6states'!I128))-EXP(-Parameters!B$38*Parameters!E$25))+Parameters!B$37*'6states'!F128/('6states'!F128+'6states'!I128)*EXP(-Parameters!B$38*Parameters!E$25*'6states'!I128/('6states'!F128+'6states'!I128)))</f>
        <v>-2.9502294777194831E-4</v>
      </c>
      <c r="BL128">
        <f>-J128*K128*EXP(-Parameters!B$42*'6states'!A128)*(-Parameters!B$37/Parameters!B$38/Parameters!E$25*(EXP(-Parameters!B$38*Parameters!E$25*'6states'!I128/('6states'!F128+'6states'!I128))-EXP(-Parameters!B$38*Parameters!E$25)) + Parameters!B$37*'6states'!F128/('6states'!F128+'6states'!I128)*EXP(-Parameters!B$38*Parameters!E$25*'6states'!I128/('6states'!F128+'6states'!I128)))</f>
        <v>-0.36365225594596073</v>
      </c>
      <c r="BM128" s="7">
        <f t="shared" si="153"/>
        <v>0.19839547833776316</v>
      </c>
    </row>
    <row r="129" spans="1:65" x14ac:dyDescent="0.25">
      <c r="A129">
        <f>A128+Parameters!$B$65</f>
        <v>125</v>
      </c>
      <c r="B129">
        <v>2150</v>
      </c>
      <c r="C129" s="74">
        <v>4.17399881121588E-3</v>
      </c>
      <c r="D129" s="69">
        <v>9.0937961226639705E-2</v>
      </c>
      <c r="E129" s="75">
        <v>0.22073632282876701</v>
      </c>
      <c r="F129" s="7">
        <f>MAX((1-Parameters!$B$4)^Parameters!B$65*F128 + C128*Parameters!B$65 - IF(C128&gt;0,Parameters!$B$5,0)*C128^2/F128*Parameters!B$65, 0.0001)</f>
        <v>3.1128170762400077E-3</v>
      </c>
      <c r="G129" s="7">
        <f>(1-Parameters!$B$4)^Parameters!B$65*G128+D128*Parameters!B$65-Parameters!$B$5*D128^2/G128*Parameters!B$65</f>
        <v>1.3521528656137243</v>
      </c>
      <c r="H129" s="7">
        <f>(1-Parameters!$B$4)^Parameters!B$65*H128+E128*Parameters!B$65-Parameters!$B$5*E128^2/H128*Parameters!B$65</f>
        <v>3.2725335835128289</v>
      </c>
      <c r="I129" s="9">
        <f>I128 *(1-Parameters!$B$4)-C128*(C128&lt;0)*Parameters!B$65</f>
        <v>1.6066372420686773E-3</v>
      </c>
      <c r="J129" s="23">
        <f>J128*(1+Parameters!$B$51)^Parameters!B$65</f>
        <v>11.719094944238924</v>
      </c>
      <c r="K129" s="23">
        <f>K128*(1+Parameters!$B$53)^Parameters!B$65</f>
        <v>107.59552732361692</v>
      </c>
      <c r="L129" s="23">
        <f>J129*K129*EXP(-Parameters!$B$42*'6states'!A129)*(Parameters!$B$37/Parameters!$B$38*('6states'!F129+'6states'!I129)/Parameters!$E$25*(EXP(-Parameters!$B$38*Parameters!$E$25*'6states'!I129/('6states'!F129+'6states'!I129))-EXP(-Parameters!$B$38*Parameters!$E$25))  +  Parameters!$B$39*'6states'!F129)</f>
        <v>0.86249915131552513</v>
      </c>
      <c r="M129" s="8">
        <f>M128+L129*Parameters!B$65</f>
        <v>3692.9456128322386</v>
      </c>
      <c r="N129" s="7">
        <f>M129*Parameters!$B$45</f>
        <v>2.215767367699343</v>
      </c>
      <c r="O129" s="9">
        <f>EXP(-Parameters!$B$46/2*N129^2)</f>
        <v>0.95185579497689921</v>
      </c>
      <c r="P129" s="8">
        <f>MAX((Parameters!$B$62 + Parameters!$B$31*'6states'!A129 - '6states'!M129 + Parameters!$B$47/Parameters!$B$45)/Parameters!B$62,1)</f>
        <v>106.14108774335524</v>
      </c>
      <c r="Q129" s="8"/>
      <c r="R129" s="8"/>
      <c r="S129" s="7">
        <f>Parameters!B$61*EXP(-Parameters!B$60*A129)+(1-Parameters!B$61)*P129^-Parameters!B$63</f>
        <v>0.33071310066793547</v>
      </c>
      <c r="T129" s="7">
        <f>1-S129/Parameters!$B$12</f>
        <v>0.83464344966603221</v>
      </c>
      <c r="U129" s="7">
        <f t="shared" si="102"/>
        <v>6.0475378688072361</v>
      </c>
      <c r="V129" s="7">
        <f>(Parameters!$B$19*(F129+Parameters!$B$20)^T129+Parameters!$B$18*G129^T129)^(1/T129)</f>
        <v>0.34313911176874229</v>
      </c>
      <c r="W129" s="7">
        <f>(Parameters!$B$10*H129^Parameters!$B$9+Parameters!$B$11*V129^Parameters!$B$9)^(Parameters!$B$7/Parameters!$B$9)*O129</f>
        <v>1.3201767037868501</v>
      </c>
      <c r="X129" s="7">
        <f>W129 - D129 - E129 - LN(1+EXP(Parameters!$B$21*C129))/Parameters!$B$21 - IF(C129&gt;0, 0,Parameters!$B$6*C129^2/F129)</f>
        <v>1.0034902887899937</v>
      </c>
      <c r="Y129" s="7">
        <f>EXP(-Parameters!$B$55*A129)</f>
        <v>0.15144996085152654</v>
      </c>
      <c r="Z129" s="7">
        <f>IF(X129&gt;0,X129^(1-Parameters!$B$52)/(1-Parameters!$B$52)*Y129*Parameters!$B$65,-10+X129*1000)</f>
        <v>-0.43218681172808021</v>
      </c>
      <c r="AC129">
        <f t="shared" si="103"/>
        <v>5.2630877650082715</v>
      </c>
      <c r="AD129">
        <f t="shared" si="104"/>
        <v>114.66569415895553</v>
      </c>
      <c r="AE129" s="23">
        <f t="shared" si="105"/>
        <v>2.0258445663225055</v>
      </c>
      <c r="AF129" s="23">
        <f t="shared" si="106"/>
        <v>3.9250201568445711</v>
      </c>
      <c r="AG129" s="23">
        <f t="shared" si="107"/>
        <v>1704.9595664258084</v>
      </c>
      <c r="AH129" s="23">
        <f t="shared" si="108"/>
        <v>432.67172381388303</v>
      </c>
      <c r="AI129" s="23">
        <f t="shared" si="109"/>
        <v>1064.8380531019416</v>
      </c>
      <c r="AJ129" s="23">
        <f t="shared" si="110"/>
        <v>1664.6401140985274</v>
      </c>
      <c r="AK129" s="23">
        <f t="shared" si="111"/>
        <v>1265.3231829016147</v>
      </c>
      <c r="AL129" s="9">
        <f t="shared" si="120"/>
        <v>2.1578404544245977E-2</v>
      </c>
      <c r="AM129" s="9">
        <f t="shared" si="121"/>
        <v>2.7127983015135193E-2</v>
      </c>
      <c r="AN129" s="9">
        <f t="shared" ref="AN129:AO129" si="182">AVERAGE(AL127:AL131)</f>
        <v>2.2354020777929407E-2</v>
      </c>
      <c r="AO129" s="9">
        <f t="shared" si="182"/>
        <v>2.3128983861824003E-2</v>
      </c>
      <c r="AP129" s="23"/>
      <c r="AQ129" s="25">
        <f t="shared" si="100"/>
        <v>1664.6401140985276</v>
      </c>
      <c r="AR129" s="4"/>
      <c r="AS129" s="4"/>
      <c r="AT129" s="4"/>
      <c r="AU129" s="16"/>
      <c r="AV129" s="16"/>
      <c r="AY129" s="21">
        <f>-Y129*W129*X129^(-Parameters!B$52)*Parameters!B$46*Parameters!B$45*N129</f>
        <v>-5.3177744763780006E-6</v>
      </c>
      <c r="AZ129" s="7">
        <f>1000*EXP(-(Parameters!$B$54)*'6states'!A129)*AQ129*Parameters!B$46*Parameters!B$45*N129</f>
        <v>0.55299956093962144</v>
      </c>
      <c r="BA129" s="93">
        <f>SUM(AZ129:AZ$204)*EXP(Parameters!$B$54*A129)</f>
        <v>2864.7948964038846</v>
      </c>
      <c r="BF129" s="5"/>
      <c r="BG129" s="5"/>
      <c r="BH129" s="5"/>
      <c r="BK129">
        <f>-EXP(-Parameters!B$42*'6states'!A129)*(-Parameters!B$37/Parameters!B$38/Parameters!E$25*(EXP(-Parameters!B$38*Parameters!E$25*'6states'!I129/('6states'!F129+'6states'!I129))-EXP(-Parameters!B$38*Parameters!E$25))+Parameters!B$37*'6states'!F129/('6states'!F129+'6states'!I129)*EXP(-Parameters!B$38*Parameters!E$25*'6states'!I129/('6states'!F129+'6states'!I129)))</f>
        <v>-5.6369267636358562E-7</v>
      </c>
      <c r="BL129">
        <f>-J129*K129*EXP(-Parameters!B$42*'6states'!A129)*(-Parameters!B$37/Parameters!B$38/Parameters!E$25*(EXP(-Parameters!B$38*Parameters!E$25*'6states'!I129/('6states'!F129+'6states'!I129))-EXP(-Parameters!B$38*Parameters!E$25)) + Parameters!B$37*'6states'!F129/('6states'!F129+'6states'!I129)*EXP(-Parameters!B$38*Parameters!E$25*'6states'!I129/('6states'!F129+'6states'!I129)))</f>
        <v>-7.1077260976261283E-4</v>
      </c>
      <c r="BM129" s="7">
        <f t="shared" si="153"/>
        <v>0.34042860333150748</v>
      </c>
    </row>
    <row r="130" spans="1:65" x14ac:dyDescent="0.25">
      <c r="A130">
        <f>A129+Parameters!$B$65</f>
        <v>126</v>
      </c>
      <c r="B130">
        <v>2151</v>
      </c>
      <c r="C130" s="74">
        <v>3.5290604368646899E-3</v>
      </c>
      <c r="D130" s="69">
        <v>9.4212367050181503E-2</v>
      </c>
      <c r="E130" s="75">
        <v>0.21519558494577901</v>
      </c>
      <c r="F130" s="7">
        <f>MAX((1-Parameters!$B$4)^Parameters!B$65*F129 + C129*Parameters!B$65 - IF(C129&gt;0,Parameters!$B$5,0)*C129^2/F129*Parameters!B$65, 0.0001)</f>
        <v>1.494074659546824E-3</v>
      </c>
      <c r="G130" s="7">
        <f>(1-Parameters!$B$4)^Parameters!B$65*G129+D129*Parameters!B$65-Parameters!$B$5*D129^2/G129*Parameters!B$65</f>
        <v>1.3519244516287012</v>
      </c>
      <c r="H130" s="7">
        <f>(1-Parameters!$B$4)^Parameters!B$65*H129+E129*Parameters!B$65-Parameters!$B$5*E129^2/H129*Parameters!B$65</f>
        <v>3.2725386137038384</v>
      </c>
      <c r="I130" s="9">
        <f>I129 *(1-Parameters!$B$4)-C129*(C129&lt;0)*Parameters!B$65</f>
        <v>1.5055797595425577E-3</v>
      </c>
      <c r="J130" s="23">
        <f>J129*(1+Parameters!$B$51)^Parameters!B$65</f>
        <v>11.753080319577215</v>
      </c>
      <c r="K130" s="23">
        <f>K129*(1+Parameters!$B$53)^Parameters!B$65</f>
        <v>109.74743787008926</v>
      </c>
      <c r="L130" s="23">
        <f>J130*K130*EXP(-Parameters!$B$42*'6states'!A130)*(Parameters!$B$37/Parameters!$B$38*('6states'!F130+'6states'!I130)/Parameters!$E$25*(EXP(-Parameters!$B$38*Parameters!$E$25*'6states'!I130/('6states'!F130+'6states'!I130))-EXP(-Parameters!$B$38*Parameters!$E$25))  +  Parameters!$B$39*'6states'!F130)</f>
        <v>0.41926843950285375</v>
      </c>
      <c r="M130" s="8">
        <f>M129+L130*Parameters!B$65</f>
        <v>3693.3648812717415</v>
      </c>
      <c r="N130" s="7">
        <f>M130*Parameters!$B$45</f>
        <v>2.2160189287630447</v>
      </c>
      <c r="O130" s="9">
        <f>EXP(-Parameters!$B$46/2*N130^2)</f>
        <v>0.95184513007119942</v>
      </c>
      <c r="P130" s="8">
        <f>MAX((Parameters!$B$62 + Parameters!$B$31*'6states'!A130 - '6states'!M130 + Parameters!$B$47/Parameters!$B$45)/Parameters!B$62,1)</f>
        <v>107.19670237456518</v>
      </c>
      <c r="Q130" s="8"/>
      <c r="R130" s="8"/>
      <c r="S130" s="7">
        <f>Parameters!B$61*EXP(-Parameters!B$60*A130)+(1-Parameters!B$61)*P130^-Parameters!B$63</f>
        <v>0.32994713933777331</v>
      </c>
      <c r="T130" s="7">
        <f>1-S130/Parameters!$B$12</f>
        <v>0.83502643033111335</v>
      </c>
      <c r="U130" s="7">
        <f t="shared" si="102"/>
        <v>6.0615770271993812</v>
      </c>
      <c r="V130" s="7">
        <f>(Parameters!$B$19*(F130+Parameters!$B$20)^T130+Parameters!$B$18*G130^T130)^(1/T130)</f>
        <v>0.34131545384137768</v>
      </c>
      <c r="W130" s="7">
        <f>(Parameters!$B$10*H130^Parameters!$B$9+Parameters!$B$11*V130^Parameters!$B$9)^(Parameters!$B$7/Parameters!$B$9)*O130</f>
        <v>1.3194891430080558</v>
      </c>
      <c r="X130" s="7">
        <f>W130 - D130 - E130 - LN(1+EXP(Parameters!$B$21*C130))/Parameters!$B$21 - IF(C130&gt;0, 0,Parameters!$B$6*C130^2/F130)</f>
        <v>1.0055594445465761</v>
      </c>
      <c r="Y130" s="7">
        <f>EXP(-Parameters!$B$55*A130)</f>
        <v>0.14918024591673743</v>
      </c>
      <c r="Z130" s="7">
        <f>IF(X130&gt;0,X130^(1-Parameters!$B$52)/(1-Parameters!$B$52)*Y130*Parameters!$B$65,-10+X130*1000)</f>
        <v>-0.42540301352688381</v>
      </c>
      <c r="AC130">
        <f t="shared" si="103"/>
        <v>4.5520307813808705</v>
      </c>
      <c r="AD130">
        <f t="shared" si="104"/>
        <v>121.52174848560755</v>
      </c>
      <c r="AE130" s="23">
        <f t="shared" si="105"/>
        <v>1.9420028451965288</v>
      </c>
      <c r="AF130" s="23">
        <f t="shared" si="106"/>
        <v>1.9271627566629435</v>
      </c>
      <c r="AG130" s="23">
        <f t="shared" si="107"/>
        <v>1743.8074037016718</v>
      </c>
      <c r="AH130" s="23">
        <f t="shared" si="108"/>
        <v>440.25271877385637</v>
      </c>
      <c r="AI130" s="23">
        <f t="shared" si="109"/>
        <v>1083.4954588658231</v>
      </c>
      <c r="AJ130" s="23">
        <f t="shared" si="110"/>
        <v>1701.9700575053737</v>
      </c>
      <c r="AK130" s="23">
        <f t="shared" si="111"/>
        <v>1297.0414154059918</v>
      </c>
      <c r="AL130" s="9">
        <f t="shared" si="120"/>
        <v>2.2177485080842274E-2</v>
      </c>
      <c r="AM130" s="9">
        <f t="shared" si="121"/>
        <v>2.4758266413112295E-2</v>
      </c>
      <c r="AN130" s="9">
        <f t="shared" ref="AN130:AO130" si="183">AVERAGE(AL128:AL132)</f>
        <v>2.239306844491349E-2</v>
      </c>
      <c r="AO130" s="9">
        <f t="shared" si="183"/>
        <v>2.3689714650700289E-2</v>
      </c>
      <c r="AP130" s="23"/>
      <c r="AQ130" s="25">
        <f t="shared" si="100"/>
        <v>1701.9700575053739</v>
      </c>
      <c r="AR130" s="4"/>
      <c r="AS130" s="4"/>
      <c r="AT130" s="4"/>
      <c r="AU130" s="16"/>
      <c r="AV130" s="16"/>
      <c r="AY130" s="21">
        <f>-Y130*W130*X130^(-Parameters!B$52)*Parameters!B$46*Parameters!B$45*N130</f>
        <v>-5.22140585333421E-6</v>
      </c>
      <c r="AZ130" s="7">
        <f>1000*EXP(-(Parameters!$B$54)*'6states'!A130)*AQ130*Parameters!B$46*Parameters!B$45*N130</f>
        <v>0.54596136788468363</v>
      </c>
      <c r="BA130" s="93">
        <f>SUM(AZ130:AZ$204)*EXP(Parameters!$B$54*A130)</f>
        <v>2921.0629145084899</v>
      </c>
      <c r="BF130" s="5"/>
      <c r="BG130" s="5"/>
      <c r="BH130" s="5"/>
      <c r="BK130">
        <f>-EXP(-Parameters!B$42*'6states'!A130)*(-Parameters!B$37/Parameters!B$38/Parameters!E$25*(EXP(-Parameters!B$38*Parameters!E$25*'6states'!I130/('6states'!F130+'6states'!I130))-EXP(-Parameters!B$38*Parameters!E$25))+Parameters!B$37*'6states'!F130/('6states'!F130+'6states'!I130)*EXP(-Parameters!B$38*Parameters!E$25*'6states'!I130/('6states'!F130+'6states'!I130)))</f>
        <v>-4.2926412598182797E-10</v>
      </c>
      <c r="BL130">
        <f>-J130*K130*EXP(-Parameters!B$42*'6states'!A130)*(-Parameters!B$37/Parameters!B$38/Parameters!E$25*(EXP(-Parameters!B$38*Parameters!E$25*'6states'!I130/('6states'!F130+'6states'!I130))-EXP(-Parameters!B$38*Parameters!E$25)) + Parameters!B$37*'6states'!F130/('6states'!F130+'6states'!I130)*EXP(-Parameters!B$38*Parameters!E$25*'6states'!I130/('6states'!F130+'6states'!I130)))</f>
        <v>-5.5369511227408805E-7</v>
      </c>
      <c r="BM130" s="7">
        <f t="shared" si="153"/>
        <v>0.50191773757712166</v>
      </c>
    </row>
    <row r="131" spans="1:65" x14ac:dyDescent="0.25">
      <c r="A131">
        <f>A130+Parameters!$B$65</f>
        <v>127</v>
      </c>
      <c r="B131">
        <v>2152</v>
      </c>
      <c r="C131" s="74">
        <v>2.5464540226528098E-3</v>
      </c>
      <c r="D131" s="69">
        <v>9.0519073071090805E-2</v>
      </c>
      <c r="E131" s="75">
        <v>0.22127610899689501</v>
      </c>
      <c r="F131" s="7">
        <f>MAX((1-Parameters!$B$4)^Parameters!B$65*F130 + C130*Parameters!B$65 - IF(C130&gt;0,Parameters!$B$5,0)*C130^2/F130*Parameters!B$65, 0.0001)</f>
        <v>1E-4</v>
      </c>
      <c r="G131" s="7">
        <f>(1-Parameters!$B$4)^Parameters!B$65*G130+D130*Parameters!B$65-Parameters!$B$5*D130^2/G130*Parameters!B$65</f>
        <v>1.3545353371558997</v>
      </c>
      <c r="H131" s="7">
        <f>(1-Parameters!$B$4)^Parameters!B$65*H130+E130*Parameters!B$65-Parameters!$B$5*E130^2/H130*Parameters!B$65</f>
        <v>3.267740689178686</v>
      </c>
      <c r="I131" s="9">
        <f>I130 *(1-Parameters!$B$4)-C130*(C130&lt;0)*Parameters!B$65</f>
        <v>1.4108787926673308E-3</v>
      </c>
      <c r="J131" s="23">
        <f>J130*(1+Parameters!$B$51)^Parameters!B$65</f>
        <v>11.787164252503988</v>
      </c>
      <c r="K131" s="23">
        <f>K130*(1+Parameters!$B$53)^Parameters!B$65</f>
        <v>111.94238662749105</v>
      </c>
      <c r="L131" s="23">
        <f>J131*K131*EXP(-Parameters!$B$42*'6states'!A131)*(Parameters!$B$37/Parameters!$B$38*('6states'!F131+'6states'!I131)/Parameters!$E$25*(EXP(-Parameters!$B$38*Parameters!$E$25*'6states'!I131/('6states'!F131+'6states'!I131))-EXP(-Parameters!$B$38*Parameters!$E$25))  +  Parameters!$B$39*'6states'!F131)</f>
        <v>2.8420697379031485E-2</v>
      </c>
      <c r="M131" s="8">
        <f>M130+L131*Parameters!B$65</f>
        <v>3693.3933019691203</v>
      </c>
      <c r="N131" s="7">
        <f>M131*Parameters!$B$45</f>
        <v>2.2160359811814718</v>
      </c>
      <c r="O131" s="9">
        <f>EXP(-Parameters!$B$46/2*N131^2)</f>
        <v>0.95184440709616247</v>
      </c>
      <c r="P131" s="8">
        <f>MAX((Parameters!$B$62 + Parameters!$B$31*'6states'!A131 - '6states'!M131 + Parameters!$B$47/Parameters!$B$45)/Parameters!B$62,1)</f>
        <v>108.26013396061761</v>
      </c>
      <c r="Q131" s="8"/>
      <c r="R131" s="8"/>
      <c r="S131" s="7">
        <f>Parameters!B$61*EXP(-Parameters!B$60*A131)+(1-Parameters!B$61)*P131^-Parameters!B$63</f>
        <v>0.32919440106053738</v>
      </c>
      <c r="T131" s="7">
        <f>1-S131/Parameters!$B$12</f>
        <v>0.83540279946973128</v>
      </c>
      <c r="U131" s="7">
        <f t="shared" si="102"/>
        <v>6.0754374726811005</v>
      </c>
      <c r="V131" s="7">
        <f>(Parameters!$B$19*(F131+Parameters!$B$20)^T131+Parameters!$B$18*G131^T131)^(1/T131)</f>
        <v>0.34041597898021186</v>
      </c>
      <c r="W131" s="7">
        <f>(Parameters!$B$10*H131^Parameters!$B$9+Parameters!$B$11*V131^Parameters!$B$9)^(Parameters!$B$7/Parameters!$B$9)*O131</f>
        <v>1.3187582770405615</v>
      </c>
      <c r="X131" s="7">
        <f>W131 - D131 - E131 - LN(1+EXP(Parameters!$B$21*C131))/Parameters!$B$21 - IF(C131&gt;0, 0,Parameters!$B$6*C131^2/F131)</f>
        <v>1.0031419039554479</v>
      </c>
      <c r="Y131" s="7">
        <f>EXP(-Parameters!$B$55*A131)</f>
        <v>0.14694454621613023</v>
      </c>
      <c r="Z131" s="7">
        <f>IF(X131&gt;0,X131^(1-Parameters!$B$52)/(1-Parameters!$B$52)*Y131*Parameters!$B$65,-10+X131*1000)</f>
        <v>-0.4193808516991237</v>
      </c>
      <c r="AC131">
        <f t="shared" si="103"/>
        <v>3.3600035520039464</v>
      </c>
      <c r="AD131">
        <f t="shared" si="104"/>
        <v>119.43840506734243</v>
      </c>
      <c r="AE131" s="23">
        <f t="shared" si="105"/>
        <v>1.8616310024206595</v>
      </c>
      <c r="AF131" s="23">
        <f t="shared" si="106"/>
        <v>0.13194832979955431</v>
      </c>
      <c r="AG131" s="23">
        <f t="shared" si="107"/>
        <v>1787.2867539219712</v>
      </c>
      <c r="AH131" s="23">
        <f t="shared" si="108"/>
        <v>449.17319863519134</v>
      </c>
      <c r="AI131" s="23">
        <f t="shared" si="109"/>
        <v>1105.4494389515773</v>
      </c>
      <c r="AJ131" s="23">
        <f t="shared" si="110"/>
        <v>1740.0795206484001</v>
      </c>
      <c r="AK131" s="23">
        <f t="shared" si="111"/>
        <v>1323.6289877886627</v>
      </c>
      <c r="AL131" s="9">
        <f t="shared" si="120"/>
        <v>2.2144376242825281E-2</v>
      </c>
      <c r="AM131" s="9">
        <f t="shared" si="121"/>
        <v>2.0291361024598942E-2</v>
      </c>
      <c r="AN131" s="9">
        <f t="shared" ref="AN131:AO131" si="184">AVERAGE(AL129:AL133)</f>
        <v>2.2287816771866354E-2</v>
      </c>
      <c r="AO131" s="9">
        <f t="shared" si="184"/>
        <v>2.3955896617460403E-2</v>
      </c>
      <c r="AP131" s="23"/>
      <c r="AQ131" s="25">
        <f t="shared" si="100"/>
        <v>1740.0795206483999</v>
      </c>
      <c r="AR131" s="4"/>
      <c r="AS131" s="4"/>
      <c r="AT131" s="4"/>
      <c r="AU131" s="16"/>
      <c r="AV131" s="16"/>
      <c r="AY131" s="21">
        <f>-Y131*W131*X131^(-Parameters!B$52)*Parameters!B$46*Parameters!B$45*N131</f>
        <v>-5.1570766112560582E-6</v>
      </c>
      <c r="AZ131" s="7">
        <f>1000*EXP(-(Parameters!$B$54)*'6states'!A131)*AQ131*Parameters!B$46*Parameters!B$45*N131</f>
        <v>0.53893786702805468</v>
      </c>
      <c r="BA131" s="93">
        <f>SUM(AZ131:AZ$204)*EXP(Parameters!$B$54*A131)</f>
        <v>2978.3024908270781</v>
      </c>
      <c r="BF131" s="5"/>
      <c r="BG131" s="5"/>
      <c r="BH131" s="5"/>
      <c r="BK131">
        <f>-EXP(-Parameters!B$42*'6states'!A131)*(-Parameters!B$37/Parameters!B$38/Parameters!E$25*(EXP(-Parameters!B$38*Parameters!E$25*'6states'!I131/('6states'!F131+'6states'!I131))-EXP(-Parameters!B$38*Parameters!E$25))+Parameters!B$37*'6states'!F131/('6states'!F131+'6states'!I131)*EXP(-Parameters!B$38*Parameters!E$25*'6states'!I131/('6states'!F131+'6states'!I131)))</f>
        <v>-4.0600636464715195E-19</v>
      </c>
      <c r="BL131">
        <f>-J131*K131*EXP(-Parameters!B$42*'6states'!A131)*(-Parameters!B$37/Parameters!B$38/Parameters!E$25*(EXP(-Parameters!B$38*Parameters!E$25*'6states'!I131/('6states'!F131+'6states'!I131))-EXP(-Parameters!B$38*Parameters!E$25)) + Parameters!B$37*'6states'!F131/('6states'!F131+'6states'!I131)*EXP(-Parameters!B$38*Parameters!E$25*'6states'!I131/('6states'!F131+'6states'!I131)))</f>
        <v>-5.3571861703180505E-16</v>
      </c>
      <c r="BM131" s="7">
        <f t="shared" si="153"/>
        <v>0.93381335386708397</v>
      </c>
    </row>
    <row r="132" spans="1:65" x14ac:dyDescent="0.25">
      <c r="A132">
        <f>A131+Parameters!$B$65</f>
        <v>128</v>
      </c>
      <c r="B132">
        <v>2153</v>
      </c>
      <c r="C132" s="74">
        <v>1.3883842897379501E-3</v>
      </c>
      <c r="D132" s="69">
        <v>9.5031426306090197E-2</v>
      </c>
      <c r="E132" s="75">
        <v>0.217242426599599</v>
      </c>
      <c r="F132" s="7">
        <f>MAX((1-Parameters!$B$4)^Parameters!B$65*F131 + C131*Parameters!B$65 - IF(C131&gt;0,Parameters!$B$5,0)*C131^2/F131*Parameters!B$65, 0.0001)</f>
        <v>1E-4</v>
      </c>
      <c r="G132" s="7">
        <f>(1-Parameters!$B$4)^Parameters!B$65*G131+D131*Parameters!B$65-Parameters!$B$5*D131^2/G131*Parameters!B$65</f>
        <v>1.3538050501576797</v>
      </c>
      <c r="H132" s="7">
        <f>(1-Parameters!$B$4)^Parameters!B$65*H131+E131*Parameters!B$65-Parameters!$B$5*E131^2/H131*Parameters!B$65</f>
        <v>3.2684921261243436</v>
      </c>
      <c r="I132" s="9">
        <f>I131 *(1-Parameters!$B$4)-C131*(C131&lt;0)*Parameters!B$65</f>
        <v>1.3221345166085558E-3</v>
      </c>
      <c r="J132" s="23">
        <f>J131*(1+Parameters!$B$51)^Parameters!B$65</f>
        <v>11.821347028836248</v>
      </c>
      <c r="K132" s="23">
        <f>K131*(1+Parameters!$B$53)^Parameters!B$65</f>
        <v>114.18123436004088</v>
      </c>
      <c r="L132" s="23">
        <f>J132*K132*EXP(-Parameters!$B$42*'6states'!A132)*(Parameters!$B$37/Parameters!$B$38*('6states'!F132+'6states'!I132)/Parameters!$E$25*(EXP(-Parameters!$B$38*Parameters!$E$25*'6states'!I132/('6states'!F132+'6states'!I132))-EXP(-Parameters!$B$38*Parameters!$E$25))  +  Parameters!$B$39*'6states'!F132)</f>
        <v>2.878389677751185E-2</v>
      </c>
      <c r="M132" s="8">
        <f>M131+L132*Parameters!B$65</f>
        <v>3693.4220858658978</v>
      </c>
      <c r="N132" s="7">
        <f>M132*Parameters!$B$45</f>
        <v>2.2160532515195386</v>
      </c>
      <c r="O132" s="9">
        <f>EXP(-Parameters!$B$46/2*N132^2)</f>
        <v>0.95184367487682908</v>
      </c>
      <c r="P132" s="8">
        <f>MAX((Parameters!$B$62 + Parameters!$B$31*'6states'!A132 - '6states'!M132 + Parameters!$B$47/Parameters!$B$45)/Parameters!B$62,1)</f>
        <v>109.32355828268206</v>
      </c>
      <c r="Q132" s="8"/>
      <c r="R132" s="8"/>
      <c r="S132" s="7">
        <f>Parameters!B$61*EXP(-Parameters!B$60*A132)+(1-Parameters!B$61)*P132^-Parameters!B$63</f>
        <v>0.3284568045897458</v>
      </c>
      <c r="T132" s="7">
        <f>1-S132/Parameters!$B$12</f>
        <v>0.8357715977051271</v>
      </c>
      <c r="U132" s="7">
        <f t="shared" si="102"/>
        <v>6.0890807316294477</v>
      </c>
      <c r="V132" s="7">
        <f>(Parameters!$B$19*(F132+Parameters!$B$20)^T132+Parameters!$B$18*G132^T132)^(1/T132)</f>
        <v>0.3404195098828251</v>
      </c>
      <c r="W132" s="7">
        <f>(Parameters!$B$10*H132^Parameters!$B$9+Parameters!$B$11*V132^Parameters!$B$9)^(Parameters!$B$7/Parameters!$B$9)*O132</f>
        <v>1.3188202178092752</v>
      </c>
      <c r="X132" s="7">
        <f>W132 - D132 - E132 - LN(1+EXP(Parameters!$B$21*C132))/Parameters!$B$21 - IF(C132&gt;0, 0,Parameters!$B$6*C132^2/F132)</f>
        <v>1.0034699132999978</v>
      </c>
      <c r="Y132" s="7">
        <f>EXP(-Parameters!$B$55*A132)</f>
        <v>0.14474235197813023</v>
      </c>
      <c r="Z132" s="7">
        <f>IF(X132&gt;0,X132^(1-Parameters!$B$52)/(1-Parameters!$B$52)*Y132*Parameters!$B$65,-10+X132*1000)</f>
        <v>-0.41304850683023769</v>
      </c>
      <c r="AC132">
        <f t="shared" si="103"/>
        <v>1.8740077868883049</v>
      </c>
      <c r="AD132">
        <f t="shared" si="104"/>
        <v>128.27113805092722</v>
      </c>
      <c r="AE132" s="23">
        <f t="shared" si="105"/>
        <v>1.7845854334075537</v>
      </c>
      <c r="AF132" s="23">
        <f t="shared" si="106"/>
        <v>0.13497759955509245</v>
      </c>
      <c r="AG132" s="23">
        <f t="shared" si="107"/>
        <v>1827.3335593584513</v>
      </c>
      <c r="AH132" s="23">
        <f t="shared" si="108"/>
        <v>459.49008285704809</v>
      </c>
      <c r="AI132" s="23">
        <f t="shared" si="109"/>
        <v>1130.8400764816733</v>
      </c>
      <c r="AJ132" s="23">
        <f t="shared" si="110"/>
        <v>1780.1118724462015</v>
      </c>
      <c r="AK132" s="23">
        <f t="shared" si="111"/>
        <v>1354.4596012299044</v>
      </c>
      <c r="AL132" s="9">
        <f t="shared" si="120"/>
        <v>2.274539831368827E-2</v>
      </c>
      <c r="AM132" s="9">
        <f t="shared" si="121"/>
        <v>2.3025358959757547E-2</v>
      </c>
      <c r="AN132" s="9">
        <f t="shared" ref="AN132:AO132" si="185">AVERAGE(AL130:AL134)</f>
        <v>2.2514094023522446E-2</v>
      </c>
      <c r="AO132" s="9">
        <f t="shared" si="185"/>
        <v>2.2538152744781215E-2</v>
      </c>
      <c r="AP132" s="23"/>
      <c r="AQ132" s="25">
        <f t="shared" ref="AQ132:AQ195" si="186">W132*K132*J132</f>
        <v>1780.1118724462015</v>
      </c>
      <c r="AR132" s="4"/>
      <c r="AS132" s="4"/>
      <c r="AT132" s="4"/>
      <c r="AU132" s="16"/>
      <c r="AV132" s="16"/>
      <c r="AY132" s="21">
        <f>-Y132*W132*X132^(-Parameters!B$52)*Parameters!B$46*Parameters!B$45*N132</f>
        <v>-5.0778263106587111E-6</v>
      </c>
      <c r="AZ132" s="7">
        <f>1000*EXP(-(Parameters!$B$54)*'6states'!A132)*AQ132*Parameters!B$46*Parameters!B$45*N132</f>
        <v>0.53232461475230031</v>
      </c>
      <c r="BA132" s="93">
        <f>SUM(AZ132:AZ$204)*EXP(Parameters!$B$54*A132)</f>
        <v>3036.5316155789938</v>
      </c>
      <c r="BF132" s="5"/>
      <c r="BG132" s="5"/>
      <c r="BH132" s="5"/>
      <c r="BK132">
        <f>-EXP(-Parameters!B$42*'6states'!A132)*(-Parameters!B$37/Parameters!B$38/Parameters!E$25*(EXP(-Parameters!B$38*Parameters!E$25*'6states'!I132/('6states'!F132+'6states'!I132))-EXP(-Parameters!B$38*Parameters!E$25))+Parameters!B$37*'6states'!F132/('6states'!F132+'6states'!I132)*EXP(-Parameters!B$38*Parameters!E$25*'6states'!I132/('6states'!F132+'6states'!I132)))</f>
        <v>-5.216913395075287E-19</v>
      </c>
      <c r="BL132">
        <f>-J132*K132*EXP(-Parameters!B$42*'6states'!A132)*(-Parameters!B$37/Parameters!B$38/Parameters!E$25*(EXP(-Parameters!B$38*Parameters!E$25*'6states'!I132/('6states'!F132+'6states'!I132))-EXP(-Parameters!B$38*Parameters!E$25)) + Parameters!B$37*'6states'!F132/('6states'!F132+'6states'!I132)*EXP(-Parameters!B$38*Parameters!E$25*'6states'!I132/('6states'!F132+'6states'!I132)))</f>
        <v>-7.0416644715406991E-16</v>
      </c>
      <c r="BM132" s="7">
        <f t="shared" ref="BM132:BM142" si="187">I132/(F132+I132)</f>
        <v>0.9296831637006634</v>
      </c>
    </row>
    <row r="133" spans="1:65" x14ac:dyDescent="0.25">
      <c r="A133">
        <f>A132+Parameters!$B$65</f>
        <v>129</v>
      </c>
      <c r="B133">
        <v>2154</v>
      </c>
      <c r="C133" s="74">
        <v>4.7012783484687298E-4</v>
      </c>
      <c r="D133" s="69">
        <v>9.2648719975360699E-2</v>
      </c>
      <c r="E133" s="75">
        <v>0.21838665745848199</v>
      </c>
      <c r="F133" s="7">
        <f>MAX((1-Parameters!$B$4)^Parameters!B$65*F132 + C132*Parameters!B$65 - IF(C132&gt;0,Parameters!$B$5,0)*C132^2/F132*Parameters!B$65, 0.0001)</f>
        <v>1E-4</v>
      </c>
      <c r="G133" s="7">
        <f>(1-Parameters!$B$4)^Parameters!B$65*G132+D132*Parameters!B$65-Parameters!$B$5*D132^2/G132*Parameters!B$65</f>
        <v>1.357011331970956</v>
      </c>
      <c r="H133" s="7">
        <f>(1-Parameters!$B$4)^Parameters!B$65*H132+E132*Parameters!B$65-Parameters!$B$5*E132^2/H132*Parameters!B$65</f>
        <v>3.2657072406993</v>
      </c>
      <c r="I133" s="9">
        <f>I132 *(1-Parameters!$B$4)-C132*(C132&lt;0)*Parameters!B$65</f>
        <v>1.2389722555138777E-3</v>
      </c>
      <c r="J133" s="23">
        <f>J132*(1+Parameters!$B$51)^Parameters!B$65</f>
        <v>11.855628935219872</v>
      </c>
      <c r="K133" s="23">
        <f>K132*(1+Parameters!$B$53)^Parameters!B$65</f>
        <v>116.46485904724169</v>
      </c>
      <c r="L133" s="23">
        <f>J133*K133*EXP(-Parameters!$B$42*'6states'!A133)*(Parameters!$B$37/Parameters!$B$38*('6states'!F133+'6states'!I133)/Parameters!$E$25*(EXP(-Parameters!$B$38*Parameters!$E$25*'6states'!I133/('6states'!F133+'6states'!I133))-EXP(-Parameters!$B$38*Parameters!$E$25))  +  Parameters!$B$39*'6states'!F133)</f>
        <v>2.9151737645597867E-2</v>
      </c>
      <c r="M133" s="8">
        <f>M132+L133*Parameters!B$65</f>
        <v>3693.4512376035432</v>
      </c>
      <c r="N133" s="7">
        <f>M133*Parameters!$B$45</f>
        <v>2.2160707425621258</v>
      </c>
      <c r="O133" s="9">
        <f>EXP(-Parameters!$B$46/2*N133^2)</f>
        <v>0.95184293329493153</v>
      </c>
      <c r="P133" s="8">
        <f>MAX((Parameters!$B$62 + Parameters!$B$31*'6states'!A133 - '6states'!M133 + Parameters!$B$47/Parameters!$B$45)/Parameters!B$62,1)</f>
        <v>110.38697524792914</v>
      </c>
      <c r="Q133" s="8"/>
      <c r="R133" s="8"/>
      <c r="S133" s="7">
        <f>Parameters!B$61*EXP(-Parameters!B$60*A133)+(1-Parameters!B$61)*P133^-Parameters!B$63</f>
        <v>0.32773396757654677</v>
      </c>
      <c r="T133" s="7">
        <f>1-S133/Parameters!$B$12</f>
        <v>0.83613301621172664</v>
      </c>
      <c r="U133" s="7">
        <f t="shared" ref="U133:U196" si="188">1/(1-T133)</f>
        <v>6.1025105660824517</v>
      </c>
      <c r="V133" s="7">
        <f>(Parameters!$B$19*(F133+Parameters!$B$20)^T133+Parameters!$B$18*G133^T133)^(1/T133)</f>
        <v>0.34137319233826735</v>
      </c>
      <c r="W133" s="7">
        <f>(Parameters!$B$10*H133^Parameters!$B$9+Parameters!$B$11*V133^Parameters!$B$9)^(Parameters!$B$7/Parameters!$B$9)*O133</f>
        <v>1.3189454975284196</v>
      </c>
      <c r="X133" s="7">
        <f>W133 - D133 - E133 - LN(1+EXP(Parameters!$B$21*C133))/Parameters!$B$21 - IF(C133&gt;0, 0,Parameters!$B$6*C133^2/F133)</f>
        <v>1.0053562841789196</v>
      </c>
      <c r="Y133" s="7">
        <f>EXP(-Parameters!$B$55*A133)</f>
        <v>0.14257316107088844</v>
      </c>
      <c r="Z133" s="7">
        <f>IF(X133&gt;0,X133^(1-Parameters!$B$52)/(1-Parameters!$B$52)*Y133*Parameters!$B$65,-10+X133*1000)</f>
        <v>-0.40659097588920667</v>
      </c>
      <c r="AC133">
        <f t="shared" ref="AC133:AC196" si="189">C133*$J133*$K133</f>
        <v>0.64913566161673597</v>
      </c>
      <c r="AD133">
        <f t="shared" ref="AD133:AD196" si="190">D133*$J133*$K133</f>
        <v>127.92603135004418</v>
      </c>
      <c r="AE133" s="23">
        <f t="shared" ref="AE133:AE196" si="191">I133*J133*K133</f>
        <v>1.7107284767976765</v>
      </c>
      <c r="AF133" s="23">
        <f t="shared" ref="AF133:AF196" si="192">F133*J133*K133</f>
        <v>0.13807641528567827</v>
      </c>
      <c r="AG133" s="23">
        <f t="shared" ref="AG133:AG196" si="193">G133*J133*K133</f>
        <v>1873.7126022059313</v>
      </c>
      <c r="AH133" s="23">
        <f t="shared" ref="AH133:AH196" si="194">V133*J133*K133</f>
        <v>471.3558667269632</v>
      </c>
      <c r="AI133" s="23">
        <f t="shared" ref="AI133:AI196" si="195">AH133/AH$4*100</f>
        <v>1160.0426739687325</v>
      </c>
      <c r="AJ133" s="23">
        <f t="shared" ref="AJ133:AJ196" si="196">W133*J133*K133</f>
        <v>1821.1526625590959</v>
      </c>
      <c r="AK133" s="23">
        <f t="shared" ref="AK133:AK196" si="197">X133*J133*K133</f>
        <v>1388.1599180435487</v>
      </c>
      <c r="AL133" s="9">
        <f t="shared" si="120"/>
        <v>2.2793419677729965E-2</v>
      </c>
      <c r="AM133" s="9">
        <f t="shared" si="121"/>
        <v>2.4576513674698042E-2</v>
      </c>
      <c r="AN133" s="9">
        <f t="shared" ref="AN133:AO133" si="198">AVERAGE(AL131:AL135)</f>
        <v>2.2633624917915186E-2</v>
      </c>
      <c r="AO133" s="9">
        <f t="shared" si="198"/>
        <v>2.1975444384069575E-2</v>
      </c>
      <c r="AP133" s="23"/>
      <c r="AQ133" s="25">
        <f t="shared" si="186"/>
        <v>1821.1526625590959</v>
      </c>
      <c r="AR133" s="4"/>
      <c r="AS133" s="4"/>
      <c r="AT133" s="4"/>
      <c r="AU133" s="16"/>
      <c r="AV133" s="16"/>
      <c r="AY133" s="21">
        <f>-Y133*W133*X133^(-Parameters!B$52)*Parameters!B$46*Parameters!B$45*N133</f>
        <v>-4.989575061517442E-6</v>
      </c>
      <c r="AZ133" s="7">
        <f>1000*EXP(-(Parameters!$B$54)*'6states'!A133)*AQ133*Parameters!B$46*Parameters!B$45*N133</f>
        <v>0.52581781524466109</v>
      </c>
      <c r="BA133" s="93">
        <f>SUM(AZ133:AZ$204)*EXP(Parameters!$B$54*A133)</f>
        <v>3095.7323914120248</v>
      </c>
      <c r="BF133" s="5"/>
      <c r="BG133" s="5"/>
      <c r="BH133" s="5"/>
      <c r="BK133">
        <f>-EXP(-Parameters!B$42*'6states'!A133)*(-Parameters!B$37/Parameters!B$38/Parameters!E$25*(EXP(-Parameters!B$38*Parameters!E$25*'6states'!I133/('6states'!F133+'6states'!I133))-EXP(-Parameters!B$38*Parameters!E$25))+Parameters!B$37*'6states'!F133/('6states'!F133+'6states'!I133)*EXP(-Parameters!B$38*Parameters!E$25*'6states'!I133/('6states'!F133+'6states'!I133)))</f>
        <v>-6.7608116096403306E-19</v>
      </c>
      <c r="BL133">
        <f>-J133*K133*EXP(-Parameters!B$42*'6states'!A133)*(-Parameters!B$37/Parameters!B$38/Parameters!E$25*(EXP(-Parameters!B$38*Parameters!E$25*'6states'!I133/('6states'!F133+'6states'!I133))-EXP(-Parameters!B$38*Parameters!E$25)) + Parameters!B$37*'6states'!F133/('6states'!F133+'6states'!I133)*EXP(-Parameters!B$38*Parameters!E$25*'6states'!I133/('6states'!F133+'6states'!I133)))</f>
        <v>-9.3350863148093302E-16</v>
      </c>
      <c r="BM133" s="7">
        <f t="shared" si="187"/>
        <v>0.92531585356739032</v>
      </c>
    </row>
    <row r="134" spans="1:65" x14ac:dyDescent="0.25">
      <c r="A134">
        <f>A133+Parameters!$B$65</f>
        <v>130</v>
      </c>
      <c r="B134">
        <v>2155</v>
      </c>
      <c r="C134" s="74">
        <v>2.7579681999726499E-3</v>
      </c>
      <c r="D134" s="69">
        <v>9.1614498158119506E-2</v>
      </c>
      <c r="E134" s="75">
        <v>0.22069262650006799</v>
      </c>
      <c r="F134" s="7">
        <f>MAX((1-Parameters!$B$4)^Parameters!B$65*F133 + C133*Parameters!B$65 - IF(C133&gt;0,Parameters!$B$5,0)*C133^2/F133*Parameters!B$65, 0.0001)</f>
        <v>1E-4</v>
      </c>
      <c r="G134" s="7">
        <f>(1-Parameters!$B$4)^Parameters!B$65*G133+D133*Parameters!B$65-Parameters!$B$5*D133^2/G133*Parameters!B$65</f>
        <v>1.357978531698427</v>
      </c>
      <c r="H134" s="7">
        <f>(1-Parameters!$B$4)^Parameters!B$65*H133+E133*Parameters!B$65-Parameters!$B$5*E133^2/H133*Parameters!B$65</f>
        <v>3.2640768074993272</v>
      </c>
      <c r="I134" s="9">
        <f>I133 *(1-Parameters!$B$4)-C133*(C133&lt;0)*Parameters!B$65</f>
        <v>1.1610409006420548E-3</v>
      </c>
      <c r="J134" s="23">
        <f>J133*(1+Parameters!$B$51)^Parameters!B$65</f>
        <v>11.890010259132008</v>
      </c>
      <c r="K134" s="23">
        <f>K133*(1+Parameters!$B$53)^Parameters!B$65</f>
        <v>118.79415622818652</v>
      </c>
      <c r="L134" s="23">
        <f>J134*K134*EXP(-Parameters!$B$42*'6states'!A134)*(Parameters!$B$37/Parameters!$B$38*('6states'!F134+'6states'!I134)/Parameters!$E$25*(EXP(-Parameters!$B$38*Parameters!$E$25*'6states'!I134/('6states'!F134+'6states'!I134))-EXP(-Parameters!$B$38*Parameters!$E$25))  +  Parameters!$B$39*'6states'!F134)</f>
        <v>2.9524279298476171E-2</v>
      </c>
      <c r="M134" s="8">
        <f>M133+L134*Parameters!B$65</f>
        <v>3693.4807618828418</v>
      </c>
      <c r="N134" s="7">
        <f>M134*Parameters!$B$45</f>
        <v>2.2160884571297048</v>
      </c>
      <c r="O134" s="9">
        <f>EXP(-Parameters!$B$46/2*N134^2)</f>
        <v>0.95184218223068695</v>
      </c>
      <c r="P134" s="8">
        <f>MAX((Parameters!$B$62 + Parameters!$B$31*'6states'!A134 - '6states'!M134 + Parameters!$B$47/Parameters!$B$45)/Parameters!B$62,1)</f>
        <v>111.45038476234316</v>
      </c>
      <c r="Q134" s="8"/>
      <c r="R134" s="8"/>
      <c r="S134" s="7">
        <f>Parameters!B$61*EXP(-Parameters!B$60*A134)+(1-Parameters!B$61)*P134^-Parameters!B$63</f>
        <v>0.32702551806537622</v>
      </c>
      <c r="T134" s="7">
        <f>1-S134/Parameters!$B$12</f>
        <v>0.83648724096731186</v>
      </c>
      <c r="U134" s="7">
        <f t="shared" si="188"/>
        <v>6.1157306984226727</v>
      </c>
      <c r="V134" s="7">
        <f>(Parameters!$B$19*(F134+Parameters!$B$20)^T134+Parameters!$B$18*G134^T134)^(1/T134)</f>
        <v>0.34178130285700059</v>
      </c>
      <c r="W134" s="7">
        <f>(Parameters!$B$10*H134^Parameters!$B$9+Parameters!$B$11*V134^Parameters!$B$9)^(Parameters!$B$7/Parameters!$B$9)*O134</f>
        <v>1.3189604813544709</v>
      </c>
      <c r="X134" s="7">
        <f>W134 - D134 - E134 - LN(1+EXP(Parameters!$B$21*C134))/Parameters!$B$21 - IF(C134&gt;0, 0,Parameters!$B$6*C134^2/F134)</f>
        <v>1.0026864255425434</v>
      </c>
      <c r="Y134" s="7">
        <f>EXP(-Parameters!$B$55*A134)</f>
        <v>0.14043647888778818</v>
      </c>
      <c r="Z134" s="7">
        <f>IF(X134&gt;0,X134^(1-Parameters!$B$52)/(1-Parameters!$B$52)*Y134*Parameters!$B$65,-10+X134*1000)</f>
        <v>-0.40087049307776601</v>
      </c>
      <c r="AC134">
        <f t="shared" si="189"/>
        <v>3.8955300682694673</v>
      </c>
      <c r="AD134">
        <f t="shared" si="190"/>
        <v>129.40215636565767</v>
      </c>
      <c r="AE134" s="23">
        <f t="shared" si="191"/>
        <v>1.6399281684925302</v>
      </c>
      <c r="AF134" s="23">
        <f t="shared" si="192"/>
        <v>0.14124637362780684</v>
      </c>
      <c r="AG134" s="23">
        <f t="shared" si="193"/>
        <v>1918.0954306681654</v>
      </c>
      <c r="AH134" s="23">
        <f t="shared" si="194"/>
        <v>482.75369602338509</v>
      </c>
      <c r="AI134" s="23">
        <f t="shared" si="195"/>
        <v>1188.0935996234234</v>
      </c>
      <c r="AJ134" s="23">
        <f t="shared" si="196"/>
        <v>1862.9838494970554</v>
      </c>
      <c r="AK134" s="23">
        <f t="shared" si="197"/>
        <v>1416.2582149371219</v>
      </c>
      <c r="AL134" s="9">
        <f t="shared" ref="AL134:AL197" si="199">LN(AJ134)-LN(AJ133)</f>
        <v>2.2709790802526442E-2</v>
      </c>
      <c r="AM134" s="9">
        <f t="shared" ref="AM134:AM197" si="200">LN(AK134)-LN(AK133)</f>
        <v>2.0039263651739248E-2</v>
      </c>
      <c r="AN134" s="9">
        <f t="shared" ref="AN134:AO134" si="201">AVERAGE(AL132:AL136)</f>
        <v>2.2787077785540434E-2</v>
      </c>
      <c r="AO134" s="9">
        <f t="shared" si="201"/>
        <v>2.1841261773020371E-2</v>
      </c>
      <c r="AP134" s="23"/>
      <c r="AQ134" s="25">
        <f t="shared" si="186"/>
        <v>1862.9838494970554</v>
      </c>
      <c r="AR134" s="4"/>
      <c r="AS134" s="4"/>
      <c r="AT134" s="4"/>
      <c r="AU134" s="16"/>
      <c r="AV134" s="16"/>
      <c r="AY134" s="21">
        <f>-Y134*W134*X134^(-Parameters!B$52)*Parameters!B$46*Parameters!B$45*N134</f>
        <v>-4.9325691461290147E-6</v>
      </c>
      <c r="AZ134" s="7">
        <f>1000*EXP(-(Parameters!$B$54)*'6states'!A134)*AQ134*Parameters!B$46*Parameters!B$45*N134</f>
        <v>0.51934716886009591</v>
      </c>
      <c r="BA134" s="93">
        <f>SUM(AZ134:AZ$204)*EXP(Parameters!$B$54*A134)</f>
        <v>3155.9115924725829</v>
      </c>
      <c r="BF134" s="5"/>
      <c r="BG134" s="5"/>
      <c r="BH134" s="5"/>
      <c r="BK134">
        <f>-EXP(-Parameters!B$42*'6states'!A134)*(-Parameters!B$37/Parameters!B$38/Parameters!E$25*(EXP(-Parameters!B$38*Parameters!E$25*'6states'!I134/('6states'!F134+'6states'!I134))-EXP(-Parameters!B$38*Parameters!E$25))+Parameters!B$37*'6states'!F134/('6states'!F134+'6states'!I134)*EXP(-Parameters!B$38*Parameters!E$25*'6states'!I134/('6states'!F134+'6states'!I134)))</f>
        <v>-8.8408854810737056E-19</v>
      </c>
      <c r="BL134">
        <f>-J134*K134*EXP(-Parameters!B$42*'6states'!A134)*(-Parameters!B$37/Parameters!B$38/Parameters!E$25*(EXP(-Parameters!B$38*Parameters!E$25*'6states'!I134/('6states'!F134+'6states'!I134))-EXP(-Parameters!B$38*Parameters!E$25)) + Parameters!B$37*'6states'!F134/('6states'!F134+'6states'!I134)*EXP(-Parameters!B$38*Parameters!E$25*'6states'!I134/('6states'!F134+'6states'!I134)))</f>
        <v>-1.2487430138603894E-15</v>
      </c>
      <c r="BM134" s="7">
        <f t="shared" si="187"/>
        <v>0.92070043093044374</v>
      </c>
    </row>
    <row r="135" spans="1:65" x14ac:dyDescent="0.25">
      <c r="A135">
        <f>A134+Parameters!$B$65</f>
        <v>131</v>
      </c>
      <c r="B135">
        <v>2156</v>
      </c>
      <c r="C135" s="74">
        <v>4.5664610393625799E-4</v>
      </c>
      <c r="D135" s="69">
        <v>9.6073924194067295E-2</v>
      </c>
      <c r="E135" s="75">
        <v>0.21851013041516801</v>
      </c>
      <c r="F135" s="7">
        <f>MAX((1-Parameters!$B$4)^Parameters!B$65*F134 + C134*Parameters!B$65 - IF(C134&gt;0,Parameters!$B$5,0)*C134^2/F134*Parameters!B$65, 0.0001)</f>
        <v>1E-4</v>
      </c>
      <c r="G135" s="7">
        <f>(1-Parameters!$B$4)^Parameters!B$65*G134+D134*Parameters!B$65-Parameters!$B$5*D134^2/G134*Parameters!B$65</f>
        <v>1.3579955108745436</v>
      </c>
      <c r="H135" s="7">
        <f>(1-Parameters!$B$4)^Parameters!B$65*H134+E134*Parameters!B$65-Parameters!$B$5*E134^2/H134*Parameters!B$65</f>
        <v>3.2645374068208541</v>
      </c>
      <c r="I135" s="9">
        <f>I134 *(1-Parameters!$B$4)-C134*(C134&lt;0)*Parameters!B$65</f>
        <v>1.0880114279916695E-3</v>
      </c>
      <c r="J135" s="23">
        <f>J134*(1+Parameters!$B$51)^Parameters!B$65</f>
        <v>11.924491288883489</v>
      </c>
      <c r="K135" s="23">
        <f>K134*(1+Parameters!$B$53)^Parameters!B$65</f>
        <v>121.17003935275025</v>
      </c>
      <c r="L135" s="23">
        <f>J135*K135*EXP(-Parameters!$B$42*'6states'!A135)*(Parameters!$B$37/Parameters!$B$38*('6states'!F135+'6states'!I135)/Parameters!$E$25*(EXP(-Parameters!$B$38*Parameters!$E$25*'6states'!I135/('6states'!F135+'6states'!I135))-EXP(-Parameters!$B$38*Parameters!$E$25))  +  Parameters!$B$39*'6states'!F135)</f>
        <v>2.9901581809345736E-2</v>
      </c>
      <c r="M135" s="8">
        <f>M134+L135*Parameters!B$65</f>
        <v>3693.5106634646513</v>
      </c>
      <c r="N135" s="7">
        <f>M135*Parameters!$B$45</f>
        <v>2.2161063980787907</v>
      </c>
      <c r="O135" s="9">
        <f>EXP(-Parameters!$B$46/2*N135^2)</f>
        <v>0.95184142156277818</v>
      </c>
      <c r="P135" s="8">
        <f>MAX((Parameters!$B$62 + Parameters!$B$31*'6states'!A135 - '6states'!M135 + Parameters!$B$47/Parameters!$B$45)/Parameters!B$62,1)</f>
        <v>112.513786730707</v>
      </c>
      <c r="Q135" s="8"/>
      <c r="R135" s="8"/>
      <c r="S135" s="7">
        <f>Parameters!B$61*EXP(-Parameters!B$60*A135)+(1-Parameters!B$61)*P135^-Parameters!B$63</f>
        <v>0.32633109419243028</v>
      </c>
      <c r="T135" s="7">
        <f>1-S135/Parameters!$B$12</f>
        <v>0.83683445290378489</v>
      </c>
      <c r="U135" s="7">
        <f t="shared" si="188"/>
        <v>6.1287448103877109</v>
      </c>
      <c r="V135" s="7">
        <f>(Parameters!$B$19*(F135+Parameters!$B$20)^T135+Parameters!$B$18*G135^T135)^(1/T135)</f>
        <v>0.34195569062477732</v>
      </c>
      <c r="W135" s="7">
        <f>(Parameters!$B$10*H135^Parameters!$B$9+Parameters!$B$11*V135^Parameters!$B$9)^(Parameters!$B$7/Parameters!$B$9)*O135</f>
        <v>1.3190616615654318</v>
      </c>
      <c r="X135" s="7">
        <f>W135 - D135 - E135 - LN(1+EXP(Parameters!$B$21*C135))/Parameters!$B$21 - IF(C135&gt;0, 0,Parameters!$B$6*C135^2/F135)</f>
        <v>1.0019309796971034</v>
      </c>
      <c r="Y135" s="7">
        <f>EXP(-Parameters!$B$55*A135)</f>
        <v>0.13833181823466795</v>
      </c>
      <c r="Z135" s="7">
        <f>IF(X135&gt;0,X135^(1-Parameters!$B$52)/(1-Parameters!$B$52)*Y135*Parameters!$B$65,-10+X135*1000)</f>
        <v>-0.39496699808843472</v>
      </c>
      <c r="AC135">
        <f t="shared" si="189"/>
        <v>0.65980388171684135</v>
      </c>
      <c r="AD135">
        <f t="shared" si="190"/>
        <v>138.81635596712238</v>
      </c>
      <c r="AE135" s="23">
        <f t="shared" si="191"/>
        <v>1.5720580058674787</v>
      </c>
      <c r="AF135" s="23">
        <f t="shared" si="192"/>
        <v>0.14448910787355398</v>
      </c>
      <c r="AG135" s="23">
        <f t="shared" si="193"/>
        <v>1962.1555986255401</v>
      </c>
      <c r="AH135" s="23">
        <f t="shared" si="194"/>
        <v>494.08872670659105</v>
      </c>
      <c r="AI135" s="23">
        <f t="shared" si="195"/>
        <v>1215.989973109914</v>
      </c>
      <c r="AJ135" s="23">
        <f t="shared" si="196"/>
        <v>1905.9004270979706</v>
      </c>
      <c r="AK135" s="23">
        <f t="shared" si="197"/>
        <v>1447.6811340731042</v>
      </c>
      <c r="AL135" s="9">
        <f t="shared" si="199"/>
        <v>2.2775139552805967E-2</v>
      </c>
      <c r="AM135" s="9">
        <f t="shared" si="200"/>
        <v>2.19447246095541E-2</v>
      </c>
      <c r="AN135" s="9">
        <f t="shared" ref="AN135:AO135" si="202">AVERAGE(AL133:AL137)</f>
        <v>2.2855306925863593E-2</v>
      </c>
      <c r="AO135" s="9">
        <f t="shared" si="202"/>
        <v>2.2172783601368096E-2</v>
      </c>
      <c r="AP135" s="23"/>
      <c r="AQ135" s="25">
        <f t="shared" si="186"/>
        <v>1905.9004270979704</v>
      </c>
      <c r="AR135" s="4"/>
      <c r="AS135" s="4"/>
      <c r="AT135" s="4"/>
      <c r="AU135" s="16"/>
      <c r="AV135" s="16"/>
      <c r="AY135" s="21">
        <f>-Y135*W135*X135^(-Parameters!B$52)*Parameters!B$46*Parameters!B$45*N135</f>
        <v>-4.8640055466204795E-6</v>
      </c>
      <c r="AZ135" s="7">
        <f>1000*EXP(-(Parameters!$B$54)*'6states'!A135)*AQ135*Parameters!B$46*Parameters!B$45*N135</f>
        <v>0.51298972392662978</v>
      </c>
      <c r="BA135" s="93">
        <f>SUM(AZ135:AZ$204)*EXP(Parameters!$B$54*A135)</f>
        <v>3217.0822693916621</v>
      </c>
      <c r="BF135" s="5"/>
      <c r="BG135" s="5"/>
      <c r="BH135" s="5"/>
      <c r="BK135">
        <f>-EXP(-Parameters!B$42*'6states'!A135)*(-Parameters!B$37/Parameters!B$38/Parameters!E$25*(EXP(-Parameters!B$38*Parameters!E$25*'6states'!I135/('6states'!F135+'6states'!I135))-EXP(-Parameters!B$38*Parameters!E$25))+Parameters!B$37*'6states'!F135/('6states'!F135+'6states'!I135)*EXP(-Parameters!B$38*Parameters!E$25*'6states'!I135/('6states'!F135+'6states'!I135)))</f>
        <v>-1.1671236293514453E-18</v>
      </c>
      <c r="BL135">
        <f>-J135*K135*EXP(-Parameters!B$42*'6states'!A135)*(-Parameters!B$37/Parameters!B$38/Parameters!E$25*(EXP(-Parameters!B$38*Parameters!E$25*'6states'!I135/('6states'!F135+'6states'!I135))-EXP(-Parameters!B$38*Parameters!E$25)) + Parameters!B$37*'6states'!F135/('6states'!F135+'6states'!I135)*EXP(-Parameters!B$38*Parameters!E$25*'6states'!I135/('6states'!F135+'6states'!I135)))</f>
        <v>-1.6863665198313483E-15</v>
      </c>
      <c r="BM135" s="7">
        <f t="shared" si="187"/>
        <v>0.9158257255411677</v>
      </c>
    </row>
    <row r="136" spans="1:65" x14ac:dyDescent="0.25">
      <c r="A136">
        <f>A135+Parameters!$B$65</f>
        <v>132</v>
      </c>
      <c r="B136">
        <v>2157</v>
      </c>
      <c r="C136" s="74">
        <v>2.2804909305951701E-4</v>
      </c>
      <c r="D136" s="69">
        <v>9.5592189957810103E-2</v>
      </c>
      <c r="E136" s="75">
        <v>0.22247247894219299</v>
      </c>
      <c r="F136" s="7">
        <f>MAX((1-Parameters!$B$4)^Parameters!B$65*F135 + C135*Parameters!B$65 - IF(C135&gt;0,Parameters!$B$5,0)*C135^2/F135*Parameters!B$65, 0.0001)</f>
        <v>1E-4</v>
      </c>
      <c r="G136" s="7">
        <f>(1-Parameters!$B$4)^Parameters!B$65*G135+D135*Parameters!B$65-Parameters!$B$5*D135^2/G135*Parameters!B$65</f>
        <v>1.3618545885521915</v>
      </c>
      <c r="H136" s="7">
        <f>(1-Parameters!$B$4)^Parameters!B$65*H135+E135*Parameters!B$65-Parameters!$B$5*E135^2/H135*Parameters!B$65</f>
        <v>3.263082271278523</v>
      </c>
      <c r="I136" s="9">
        <f>I135 *(1-Parameters!$B$4)-C135*(C135&lt;0)*Parameters!B$65</f>
        <v>1.0195755091709936E-3</v>
      </c>
      <c r="J136" s="23">
        <f>J135*(1+Parameters!$B$51)^Parameters!B$65</f>
        <v>11.959072313621251</v>
      </c>
      <c r="K136" s="23">
        <f>K135*(1+Parameters!$B$53)^Parameters!B$65</f>
        <v>123.59344013980525</v>
      </c>
      <c r="L136" s="23">
        <f>J136*K136*EXP(-Parameters!$B$42*'6states'!A136)*(Parameters!$B$37/Parameters!$B$38*('6states'!F136+'6states'!I136)/Parameters!$E$25*(EXP(-Parameters!$B$38*Parameters!$E$25*'6states'!I136/('6states'!F136+'6states'!I136))-EXP(-Parameters!$B$38*Parameters!$E$25))  +  Parameters!$B$39*'6states'!F136)</f>
        <v>3.0283706019104861E-2</v>
      </c>
      <c r="M136" s="8">
        <f>M135+L136*Parameters!B$65</f>
        <v>3693.5409471706703</v>
      </c>
      <c r="N136" s="7">
        <f>M136*Parameters!$B$45</f>
        <v>2.2161245683024018</v>
      </c>
      <c r="O136" s="9">
        <f>EXP(-Parameters!$B$46/2*N136^2)</f>
        <v>0.9518406511683345</v>
      </c>
      <c r="P136" s="8">
        <f>MAX((Parameters!$B$62 + Parameters!$B$31*'6states'!A136 - '6states'!M136 + Parameters!$B$47/Parameters!$B$45)/Parameters!B$62,1)</f>
        <v>113.5771810565866</v>
      </c>
      <c r="Q136" s="8"/>
      <c r="R136" s="8"/>
      <c r="S136" s="7">
        <f>Parameters!B$61*EXP(-Parameters!B$60*A136)+(1-Parameters!B$61)*P136^-Parameters!B$63</f>
        <v>0.32565034389383751</v>
      </c>
      <c r="T136" s="7">
        <f>1-S136/Parameters!$B$12</f>
        <v>0.8371748280530813</v>
      </c>
      <c r="U136" s="7">
        <f t="shared" si="188"/>
        <v>6.1415565421665992</v>
      </c>
      <c r="V136" s="7">
        <f>(Parameters!$B$19*(F136+Parameters!$B$20)^T136+Parameters!$B$18*G136^T136)^(1/T136)</f>
        <v>0.34305935320841552</v>
      </c>
      <c r="W136" s="7">
        <f>(Parameters!$B$10*H136^Parameters!$B$9+Parameters!$B$11*V136^Parameters!$B$9)^(Parameters!$B$7/Parameters!$B$9)*O136</f>
        <v>1.3193429289136218</v>
      </c>
      <c r="X136" s="7">
        <f>W136 - D136 - E136 - LN(1+EXP(Parameters!$B$21*C136))/Parameters!$B$21 - IF(C136&gt;0, 0,Parameters!$B$6*C136^2/F136)</f>
        <v>0.99885179500586563</v>
      </c>
      <c r="Y136" s="7">
        <f>EXP(-Parameters!$B$55*A136)</f>
        <v>0.13625869921873399</v>
      </c>
      <c r="Z136" s="7">
        <f>IF(X136&gt;0,X136^(1-Parameters!$B$52)/(1-Parameters!$B$52)*Y136*Parameters!$B$65,-10+X136*1000)</f>
        <v>-0.38946714348150224</v>
      </c>
      <c r="AC136">
        <f t="shared" si="189"/>
        <v>0.33707090112095867</v>
      </c>
      <c r="AD136">
        <f t="shared" si="190"/>
        <v>141.29126837086645</v>
      </c>
      <c r="AE136" s="23">
        <f t="shared" si="191"/>
        <v>1.506996721742871</v>
      </c>
      <c r="AF136" s="23">
        <f t="shared" si="192"/>
        <v>0.14780628881211505</v>
      </c>
      <c r="AG136" s="23">
        <f t="shared" si="193"/>
        <v>2012.906726356493</v>
      </c>
      <c r="AH136" s="23">
        <f t="shared" si="194"/>
        <v>507.06329840020447</v>
      </c>
      <c r="AI136" s="23">
        <f t="shared" si="195"/>
        <v>1247.9213818469495</v>
      </c>
      <c r="AJ136" s="23">
        <f t="shared" si="196"/>
        <v>1950.0718199322855</v>
      </c>
      <c r="AK136" s="23">
        <f t="shared" si="197"/>
        <v>1476.365768931365</v>
      </c>
      <c r="AL136" s="9">
        <f t="shared" si="199"/>
        <v>2.291164058095152E-2</v>
      </c>
      <c r="AM136" s="9">
        <f t="shared" si="200"/>
        <v>1.9620447969352917E-2</v>
      </c>
      <c r="AN136" s="9">
        <f t="shared" ref="AN136:AO136" si="203">AVERAGE(AL134:AL138)</f>
        <v>2.2884971082635808E-2</v>
      </c>
      <c r="AO136" s="9">
        <f t="shared" si="203"/>
        <v>1.5148284786393873E-2</v>
      </c>
      <c r="AP136" s="23"/>
      <c r="AQ136" s="25">
        <f t="shared" si="186"/>
        <v>1950.0718199322853</v>
      </c>
      <c r="AR136" s="4"/>
      <c r="AS136" s="4"/>
      <c r="AT136" s="4"/>
      <c r="AU136" s="16"/>
      <c r="AV136" s="16"/>
      <c r="AY136" s="21">
        <f>-Y136*W136*X136^(-Parameters!B$52)*Parameters!B$46*Parameters!B$45*N136</f>
        <v>-4.8121259436674491E-6</v>
      </c>
      <c r="AZ136" s="7">
        <f>1000*EXP(-(Parameters!$B$54)*'6states'!A136)*AQ136*Parameters!B$46*Parameters!B$45*N136</f>
        <v>0.50677932546711513</v>
      </c>
      <c r="BA136" s="93">
        <f>SUM(AZ136:AZ$204)*EXP(Parameters!$B$54*A136)</f>
        <v>3279.2497723464003</v>
      </c>
      <c r="BF136" s="5"/>
      <c r="BG136" s="5"/>
      <c r="BH136" s="5"/>
      <c r="BK136">
        <f>-EXP(-Parameters!B$42*'6states'!A136)*(-Parameters!B$37/Parameters!B$38/Parameters!E$25*(EXP(-Parameters!B$38*Parameters!E$25*'6states'!I136/('6states'!F136+'6states'!I136))-EXP(-Parameters!B$38*Parameters!E$25))+Parameters!B$37*'6states'!F136/('6states'!F136+'6states'!I136)*EXP(-Parameters!B$38*Parameters!E$25*'6states'!I136/('6states'!F136+'6states'!I136)))</f>
        <v>-1.556247837846449E-18</v>
      </c>
      <c r="BL136">
        <f>-J136*K136*EXP(-Parameters!B$42*'6states'!A136)*(-Parameters!B$37/Parameters!B$38/Parameters!E$25*(EXP(-Parameters!B$38*Parameters!E$25*'6states'!I136/('6states'!F136+'6states'!I136))-EXP(-Parameters!B$38*Parameters!E$25)) + Parameters!B$37*'6states'!F136/('6states'!F136+'6states'!I136)*EXP(-Parameters!B$38*Parameters!E$25*'6states'!I136/('6states'!F136+'6states'!I136)))</f>
        <v>-2.3002321738396179E-15</v>
      </c>
      <c r="BM136" s="7">
        <f t="shared" si="187"/>
        <v>0.91068043273468302</v>
      </c>
    </row>
    <row r="137" spans="1:65" x14ac:dyDescent="0.25">
      <c r="A137">
        <f>A136+Parameters!$B$65</f>
        <v>133</v>
      </c>
      <c r="B137">
        <v>2158</v>
      </c>
      <c r="C137" s="74">
        <v>-1.1765296185792099E-4</v>
      </c>
      <c r="D137" s="69">
        <v>9.0436758948433393E-2</v>
      </c>
      <c r="E137" s="75">
        <v>0.22563800786125801</v>
      </c>
      <c r="F137" s="7">
        <f>MAX((1-Parameters!$B$4)^Parameters!B$65*F136 + C136*Parameters!B$65 - IF(C136&gt;0,Parameters!$B$5,0)*C136^2/F136*Parameters!B$65, 0.0001)</f>
        <v>1E-4</v>
      </c>
      <c r="G137" s="7">
        <f>(1-Parameters!$B$4)^Parameters!B$65*G136+D136*Parameters!B$65-Parameters!$B$5*D136^2/G136*Parameters!B$65</f>
        <v>1.3650762552331002</v>
      </c>
      <c r="H137" s="7">
        <f>(1-Parameters!$B$4)^Parameters!B$65*H136+E136*Parameters!B$65-Parameters!$B$5*E136^2/H136*Parameters!B$65</f>
        <v>3.2651390065228734</v>
      </c>
      <c r="I137" s="9">
        <f>I136 *(1-Parameters!$B$4)-C136*(C136&lt;0)*Parameters!B$65</f>
        <v>9.5544420964413816E-4</v>
      </c>
      <c r="J137" s="23">
        <f>J136*(1+Parameters!$B$51)^Parameters!B$65</f>
        <v>11.99375362333075</v>
      </c>
      <c r="K137" s="23">
        <f>K136*(1+Parameters!$B$53)^Parameters!B$65</f>
        <v>126.06530894260136</v>
      </c>
      <c r="L137" s="23">
        <f>J137*K137*EXP(-Parameters!$B$42*'6states'!A137)*(Parameters!$B$37/Parameters!$B$38*('6states'!F137+'6states'!I137)/Parameters!$E$25*(EXP(-Parameters!$B$38*Parameters!$E$25*'6states'!I137/('6states'!F137+'6states'!I137))-EXP(-Parameters!$B$38*Parameters!$E$25))  +  Parameters!$B$39*'6states'!F137)</f>
        <v>3.0670713546161885E-2</v>
      </c>
      <c r="M137" s="8">
        <f>M136+L137*Parameters!B$65</f>
        <v>3693.5716178842163</v>
      </c>
      <c r="N137" s="7">
        <f>M137*Parameters!$B$45</f>
        <v>2.2161429707305293</v>
      </c>
      <c r="O137" s="9">
        <f>EXP(-Parameters!$B$46/2*N137^2)</f>
        <v>0.95183987092291122</v>
      </c>
      <c r="P137" s="8">
        <f>MAX((Parameters!$B$62 + Parameters!$B$31*'6states'!A137 - '6states'!M137 + Parameters!$B$47/Parameters!$B$45)/Parameters!B$62,1)</f>
        <v>114.64056764231569</v>
      </c>
      <c r="Q137" s="8"/>
      <c r="R137" s="8"/>
      <c r="S137" s="7">
        <f>Parameters!B$61*EXP(-Parameters!B$60*A137)+(1-Parameters!B$61)*P137^-Parameters!B$63</f>
        <v>0.3249829246231572</v>
      </c>
      <c r="T137" s="7">
        <f>1-S137/Parameters!$B$12</f>
        <v>0.83750853768842137</v>
      </c>
      <c r="U137" s="7">
        <f t="shared" si="188"/>
        <v>6.1541694915791476</v>
      </c>
      <c r="V137" s="7">
        <f>(Parameters!$B$19*(F137+Parameters!$B$20)^T137+Parameters!$B$18*G137^T137)^(1/T137)</f>
        <v>0.34400591978126888</v>
      </c>
      <c r="W137" s="7">
        <f>(Parameters!$B$10*H137^Parameters!$B$9+Parameters!$B$11*V137^Parameters!$B$9)^(Parameters!$B$7/Parameters!$B$9)*O137</f>
        <v>1.3198550832373648</v>
      </c>
      <c r="X137" s="7">
        <f>W137 - D137 - E137 - LN(1+EXP(Parameters!$B$21*C137))/Parameters!$B$21 - IF(C137&gt;0, 0,Parameters!$B$6*C137^2/F137)</f>
        <v>1.0008360222787525</v>
      </c>
      <c r="Y137" s="7">
        <f>EXP(-Parameters!$B$55*A137)</f>
        <v>0.13421664913913783</v>
      </c>
      <c r="Z137" s="7">
        <f>IF(X137&gt;0,X137^(1-Parameters!$B$52)/(1-Parameters!$B$52)*Y137*Parameters!$B$65,-10+X137*1000)</f>
        <v>-0.38336399556796125</v>
      </c>
      <c r="AC137">
        <f t="shared" si="189"/>
        <v>-0.17789083782550275</v>
      </c>
      <c r="AD137">
        <f t="shared" si="190"/>
        <v>136.74004092636221</v>
      </c>
      <c r="AE137" s="23">
        <f t="shared" si="191"/>
        <v>1.4446280677096115</v>
      </c>
      <c r="AF137" s="23">
        <f t="shared" si="192"/>
        <v>0.15119962559066358</v>
      </c>
      <c r="AG137" s="23">
        <f t="shared" si="193"/>
        <v>2063.990186939498</v>
      </c>
      <c r="AH137" s="23">
        <f t="shared" si="194"/>
        <v>520.13566271899697</v>
      </c>
      <c r="AI137" s="23">
        <f t="shared" si="195"/>
        <v>1280.0934656798418</v>
      </c>
      <c r="AJ137" s="23">
        <f t="shared" si="196"/>
        <v>1995.6159441942364</v>
      </c>
      <c r="AK137" s="23">
        <f t="shared" si="197"/>
        <v>1513.2603184619638</v>
      </c>
      <c r="AL137" s="9">
        <f t="shared" si="199"/>
        <v>2.3086544015304078E-2</v>
      </c>
      <c r="AM137" s="9">
        <f t="shared" si="200"/>
        <v>2.4682968101496172E-2</v>
      </c>
      <c r="AN137" s="9">
        <f t="shared" ref="AN137:AO137" si="204">AVERAGE(AL135:AL139)</f>
        <v>2.29787046500892E-2</v>
      </c>
      <c r="AO137" s="9">
        <f t="shared" si="204"/>
        <v>2.1487932217413609E-2</v>
      </c>
      <c r="AP137" s="23"/>
      <c r="AQ137" s="25">
        <f t="shared" si="186"/>
        <v>1995.6159441942364</v>
      </c>
      <c r="AR137" s="4"/>
      <c r="AS137" s="4"/>
      <c r="AT137" s="4"/>
      <c r="AU137" s="16"/>
      <c r="AV137" s="16"/>
      <c r="AY137" s="21">
        <f>-Y137*W137*X137^(-Parameters!B$52)*Parameters!B$46*Parameters!B$45*N137</f>
        <v>-4.729200979700203E-6</v>
      </c>
      <c r="AZ137" s="7">
        <f>1000*EXP(-(Parameters!$B$54)*'6states'!A137)*AQ137*Parameters!B$46*Parameters!B$45*N137</f>
        <v>0.50073173631008261</v>
      </c>
      <c r="BA137" s="93">
        <f>SUM(AZ137:AZ$204)*EXP(Parameters!$B$54*A137)</f>
        <v>3342.4149515969166</v>
      </c>
      <c r="BF137" s="5"/>
      <c r="BG137" s="5"/>
      <c r="BH137" s="5"/>
      <c r="BK137">
        <f>-EXP(-Parameters!B$42*'6states'!A137)*(-Parameters!B$37/Parameters!B$38/Parameters!E$25*(EXP(-Parameters!B$38*Parameters!E$25*'6states'!I137/('6states'!F137+'6states'!I137))-EXP(-Parameters!B$38*Parameters!E$25))+Parameters!B$37*'6states'!F137/('6states'!F137+'6states'!I137)*EXP(-Parameters!B$38*Parameters!E$25*'6states'!I137/('6states'!F137+'6states'!I137)))</f>
        <v>-2.0970132728590272E-18</v>
      </c>
      <c r="BL137">
        <f>-J137*K137*EXP(-Parameters!B$42*'6states'!A137)*(-Parameters!B$37/Parameters!B$38/Parameters!E$25*(EXP(-Parameters!B$38*Parameters!E$25*'6states'!I137/('6states'!F137+'6states'!I137))-EXP(-Parameters!B$38*Parameters!E$25)) + Parameters!B$37*'6states'!F137/('6states'!F137+'6states'!I137)*EXP(-Parameters!B$38*Parameters!E$25*'6states'!I137/('6states'!F137+'6states'!I137)))</f>
        <v>-3.170676217149369E-15</v>
      </c>
      <c r="BM137" s="7">
        <f t="shared" si="187"/>
        <v>0.9052531634678096</v>
      </c>
    </row>
    <row r="138" spans="1:65" x14ac:dyDescent="0.25">
      <c r="A138">
        <f>A137+Parameters!$B$65</f>
        <v>134</v>
      </c>
      <c r="B138">
        <v>2159</v>
      </c>
      <c r="C138" s="74">
        <v>-7.6462040902376899E-4</v>
      </c>
      <c r="D138" s="69">
        <v>8.8748319786785906E-2</v>
      </c>
      <c r="E138" s="75">
        <v>0.23213486365549399</v>
      </c>
      <c r="F138" s="7">
        <f>MAX((1-Parameters!$B$4)^Parameters!B$65*F137 + C137*Parameters!B$65 - IF(C137&gt;0,Parameters!$B$5,0)*C137^2/F137*Parameters!B$65, 0.0001)</f>
        <v>1E-4</v>
      </c>
      <c r="G138" s="7">
        <f>(1-Parameters!$B$4)^Parameters!B$65*G137+D137*Parameters!B$65-Parameters!$B$5*D137^2/G137*Parameters!B$65</f>
        <v>1.3636582521680352</v>
      </c>
      <c r="H138" s="7">
        <f>(1-Parameters!$B$4)^Parameters!B$65*H137+E137*Parameters!B$65-Parameters!$B$5*E137^2/H137*Parameters!B$65</f>
        <v>3.2698070164796538</v>
      </c>
      <c r="I138" s="9">
        <f>I137 *(1-Parameters!$B$4)-C137*(C137&lt;0)*Parameters!B$65</f>
        <v>1.0129997307154429E-3</v>
      </c>
      <c r="J138" s="23">
        <f>J137*(1+Parameters!$B$51)^Parameters!B$65</f>
        <v>12.028535508838408</v>
      </c>
      <c r="K138" s="23">
        <f>K137*(1+Parameters!$B$53)^Parameters!B$65</f>
        <v>128.58661512145341</v>
      </c>
      <c r="L138" s="23">
        <f>J138*K138*EXP(-Parameters!$B$42*'6states'!A138)*(Parameters!$B$37/Parameters!$B$38*('6states'!F138+'6states'!I138)/Parameters!$E$25*(EXP(-Parameters!$B$38*Parameters!$E$25*'6states'!I138/('6states'!F138+'6states'!I138))-EXP(-Parameters!$B$38*Parameters!$E$25))  +  Parameters!$B$39*'6states'!F138)</f>
        <v>3.1062666796371298E-2</v>
      </c>
      <c r="M138" s="8">
        <f>M137+L138*Parameters!B$65</f>
        <v>3693.6026805510128</v>
      </c>
      <c r="N138" s="7">
        <f>M138*Parameters!$B$45</f>
        <v>2.2161616083306073</v>
      </c>
      <c r="O138" s="9">
        <f>EXP(-Parameters!$B$46/2*N138^2)</f>
        <v>0.9518390807004693</v>
      </c>
      <c r="P138" s="8">
        <f>MAX((Parameters!$B$62 + Parameters!$B$31*'6states'!A138 - '6states'!M138 + Parameters!$B$47/Parameters!$B$45)/Parameters!B$62,1)</f>
        <v>115.70394638897974</v>
      </c>
      <c r="Q138" s="8"/>
      <c r="R138" s="8"/>
      <c r="S138" s="7">
        <f>Parameters!B$61*EXP(-Parameters!B$60*A138)+(1-Parameters!B$61)*P138^-Parameters!B$63</f>
        <v>0.32432850307785244</v>
      </c>
      <c r="T138" s="7">
        <f>1-S138/Parameters!$B$12</f>
        <v>0.83783574846107378</v>
      </c>
      <c r="U138" s="7">
        <f t="shared" si="188"/>
        <v>6.166587213335105</v>
      </c>
      <c r="V138" s="7">
        <f>(Parameters!$B$19*(F138+Parameters!$B$20)^T138+Parameters!$B$18*G138^T138)^(1/T138)</f>
        <v>0.34382267911922804</v>
      </c>
      <c r="W138" s="7">
        <f>(Parameters!$B$10*H138^Parameters!$B$9+Parameters!$B$11*V138^Parameters!$B$9)^(Parameters!$B$7/Parameters!$B$9)*O138</f>
        <v>1.3201762563188641</v>
      </c>
      <c r="X138" s="7">
        <f>W138 - D138 - E138 - LN(1+EXP(Parameters!$B$21*C138))/Parameters!$B$21 - IF(C138&gt;0, 0,Parameters!$B$6*C138^2/F138)</f>
        <v>0.96811079771952913</v>
      </c>
      <c r="Y138" s="7">
        <f>EXP(-Parameters!$B$55*A138)</f>
        <v>0.13220520237919381</v>
      </c>
      <c r="Z138" s="7">
        <f>IF(X138&gt;0,X138^(1-Parameters!$B$52)/(1-Parameters!$B$52)*Y138*Parameters!$B$65,-10+X138*1000)</f>
        <v>-0.38203814579048917</v>
      </c>
      <c r="AC138">
        <f t="shared" si="189"/>
        <v>-1.1826450127990984</v>
      </c>
      <c r="AD138">
        <f t="shared" si="190"/>
        <v>137.26779530270053</v>
      </c>
      <c r="AE138" s="23">
        <f t="shared" si="191"/>
        <v>1.5668154621023285</v>
      </c>
      <c r="AF138" s="23">
        <f t="shared" si="192"/>
        <v>0.154670866594974</v>
      </c>
      <c r="AG138" s="23">
        <f t="shared" si="193"/>
        <v>2109.1820360221759</v>
      </c>
      <c r="AH138" s="23">
        <f t="shared" si="194"/>
        <v>531.79351734376678</v>
      </c>
      <c r="AI138" s="23">
        <f t="shared" si="195"/>
        <v>1308.7843334642253</v>
      </c>
      <c r="AJ138" s="23">
        <f t="shared" si="196"/>
        <v>2041.9280562294725</v>
      </c>
      <c r="AK138" s="23">
        <f t="shared" si="197"/>
        <v>1497.3853604323117</v>
      </c>
      <c r="AL138" s="9">
        <f t="shared" si="199"/>
        <v>2.2941740461591031E-2</v>
      </c>
      <c r="AM138" s="9">
        <f t="shared" si="200"/>
        <v>-1.0545980400173072E-2</v>
      </c>
      <c r="AN138" s="9">
        <f t="shared" ref="AN138:AO138" si="205">AVERAGE(AL136:AL140)</f>
        <v>2.3009859701582158E-2</v>
      </c>
      <c r="AO138" s="9">
        <f t="shared" si="205"/>
        <v>2.1558229420481467E-2</v>
      </c>
      <c r="AP138" s="23"/>
      <c r="AQ138" s="25">
        <f t="shared" si="186"/>
        <v>2041.9280562294723</v>
      </c>
      <c r="AR138" s="4"/>
      <c r="AS138" s="4"/>
      <c r="AT138" s="4"/>
      <c r="AU138" s="16"/>
      <c r="AV138" s="16"/>
      <c r="AY138" s="21">
        <f>-Y138*W138*X138^(-Parameters!B$52)*Parameters!B$46*Parameters!B$45*N138</f>
        <v>-4.8733809511456844E-6</v>
      </c>
      <c r="AZ138" s="7">
        <f>1000*EXP(-(Parameters!$B$54)*'6states'!A138)*AQ138*Parameters!B$46*Parameters!B$45*N138</f>
        <v>0.49468473049365635</v>
      </c>
      <c r="BA138" s="93">
        <f>SUM(AZ138:AZ$204)*EXP(Parameters!$B$54*A138)</f>
        <v>3406.5754223793779</v>
      </c>
      <c r="BF138" s="5"/>
      <c r="BG138" s="5"/>
      <c r="BH138" s="5"/>
      <c r="BK138">
        <f>-EXP(-Parameters!B$42*'6states'!A138)*(-Parameters!B$37/Parameters!B$38/Parameters!E$25*(EXP(-Parameters!B$38*Parameters!E$25*'6states'!I138/('6states'!F138+'6states'!I138))-EXP(-Parameters!B$38*Parameters!E$25))+Parameters!B$37*'6states'!F138/('6states'!F138+'6states'!I138)*EXP(-Parameters!B$38*Parameters!E$25*'6states'!I138/('6states'!F138+'6states'!I138)))</f>
        <v>-1.5722350616704909E-18</v>
      </c>
      <c r="BL138">
        <f>-J138*K138*EXP(-Parameters!B$42*'6states'!A138)*(-Parameters!B$37/Parameters!B$38/Parameters!E$25*(EXP(-Parameters!B$38*Parameters!E$25*'6states'!I138/('6states'!F138+'6states'!I138))-EXP(-Parameters!B$38*Parameters!E$25)) + Parameters!B$37*'6states'!F138/('6states'!F138+'6states'!I138)*EXP(-Parameters!B$38*Parameters!E$25*'6states'!I138/('6states'!F138+'6states'!I138)))</f>
        <v>-2.4317895947957723E-15</v>
      </c>
      <c r="BM138" s="7">
        <f t="shared" si="187"/>
        <v>0.91015271860333746</v>
      </c>
    </row>
    <row r="139" spans="1:65" x14ac:dyDescent="0.25">
      <c r="A139">
        <f>A138+Parameters!$B$65</f>
        <v>135</v>
      </c>
      <c r="B139">
        <v>2160</v>
      </c>
      <c r="C139" s="74">
        <v>7.5246778437223502E-3</v>
      </c>
      <c r="D139" s="69">
        <v>9.4635609252426894E-2</v>
      </c>
      <c r="E139" s="75">
        <v>0.221682162960501</v>
      </c>
      <c r="F139" s="7">
        <f>MAX((1-Parameters!$B$4)^Parameters!B$65*F138 + C138*Parameters!B$65 - IF(C138&gt;0,Parameters!$B$5,0)*C138^2/F138*Parameters!B$65, 0.0001)</f>
        <v>1E-4</v>
      </c>
      <c r="G139" s="7">
        <f>(1-Parameters!$B$4)^Parameters!B$65*G138+D138*Parameters!B$65-Parameters!$B$5*D138^2/G138*Parameters!B$65</f>
        <v>1.3608566334771268</v>
      </c>
      <c r="H139" s="7">
        <f>(1-Parameters!$B$4)^Parameters!B$65*H138+E138*Parameters!B$65-Parameters!$B$5*E138^2/H138*Parameters!B$65</f>
        <v>3.2797909651890622</v>
      </c>
      <c r="I139" s="9">
        <f>I138 *(1-Parameters!$B$4)-C138*(C138&lt;0)*Parameters!B$65</f>
        <v>1.7139024566772106E-3</v>
      </c>
      <c r="J139" s="23">
        <f>J138*(1+Parameters!$B$51)^Parameters!B$65</f>
        <v>12.063418261814038</v>
      </c>
      <c r="K139" s="23">
        <f>K138*(1+Parameters!$B$53)^Parameters!B$65</f>
        <v>131.15834742388247</v>
      </c>
      <c r="L139" s="23">
        <f>J139*K139*EXP(-Parameters!$B$42*'6states'!A139)*(Parameters!$B$37/Parameters!$B$38*('6states'!F139+'6states'!I139)/Parameters!$E$25*(EXP(-Parameters!$B$38*Parameters!$E$25*'6states'!I139/('6states'!F139+'6states'!I139))-EXP(-Parameters!$B$38*Parameters!$E$25))  +  Parameters!$B$39*'6states'!F139)</f>
        <v>3.1459628973096829E-2</v>
      </c>
      <c r="M139" s="8">
        <f>M138+L139*Parameters!B$65</f>
        <v>3693.6341401799859</v>
      </c>
      <c r="N139" s="7">
        <f>M139*Parameters!$B$45</f>
        <v>2.2161804841079915</v>
      </c>
      <c r="O139" s="9">
        <f>EXP(-Parameters!$B$46/2*N139^2)</f>
        <v>0.95183828037335549</v>
      </c>
      <c r="P139" s="8">
        <f>MAX((Parameters!$B$62 + Parameters!$B$31*'6states'!A139 - '6states'!M139 + Parameters!$B$47/Parameters!$B$45)/Parameters!B$62,1)</f>
        <v>116.76731719640028</v>
      </c>
      <c r="Q139" s="8"/>
      <c r="R139" s="8"/>
      <c r="S139" s="7">
        <f>Parameters!B$61*EXP(-Parameters!B$60*A139)+(1-Parameters!B$61)*P139^-Parameters!B$63</f>
        <v>0.32368675493440069</v>
      </c>
      <c r="T139" s="7">
        <f>1-S139/Parameters!$B$12</f>
        <v>0.83815662253279966</v>
      </c>
      <c r="U139" s="7">
        <f t="shared" si="188"/>
        <v>6.1788132183701059</v>
      </c>
      <c r="V139" s="7">
        <f>(Parameters!$B$19*(F139+Parameters!$B$20)^T139+Parameters!$B$18*G139^T139)^(1/T139)</f>
        <v>0.34329955276371676</v>
      </c>
      <c r="W139" s="7">
        <f>(Parameters!$B$10*H139^Parameters!$B$9+Parameters!$B$11*V139^Parameters!$B$9)^(Parameters!$B$7/Parameters!$B$9)*O139</f>
        <v>1.3208101303191055</v>
      </c>
      <c r="X139" s="7">
        <f>W139 - D139 - E139 - LN(1+EXP(Parameters!$B$21*C139))/Parameters!$B$21 - IF(C139&gt;0, 0,Parameters!$B$6*C139^2/F139)</f>
        <v>0.99663600355470172</v>
      </c>
      <c r="Y139" s="7">
        <f>EXP(-Parameters!$B$55*A139)</f>
        <v>0.13022390030021183</v>
      </c>
      <c r="Z139" s="7">
        <f>IF(X139&gt;0,X139^(1-Parameters!$B$52)/(1-Parameters!$B$52)*Y139*Parameters!$B$65,-10+X139*1000)</f>
        <v>-0.37250735666910284</v>
      </c>
      <c r="AC139">
        <f t="shared" si="189"/>
        <v>11.905680754894732</v>
      </c>
      <c r="AD139">
        <f t="shared" si="190"/>
        <v>149.7341647316284</v>
      </c>
      <c r="AE139" s="23">
        <f t="shared" si="191"/>
        <v>2.7117673232020416</v>
      </c>
      <c r="AF139" s="23">
        <f t="shared" si="192"/>
        <v>0.1582218003502614</v>
      </c>
      <c r="AG139" s="23">
        <f t="shared" si="193"/>
        <v>2153.1718656734679</v>
      </c>
      <c r="AH139" s="23">
        <f t="shared" si="194"/>
        <v>543.17473297714821</v>
      </c>
      <c r="AI139" s="23">
        <f t="shared" si="195"/>
        <v>1336.7943716293178</v>
      </c>
      <c r="AJ139" s="23">
        <f t="shared" si="196"/>
        <v>2089.8095673995226</v>
      </c>
      <c r="AK139" s="23">
        <f t="shared" si="197"/>
        <v>1576.8954277631442</v>
      </c>
      <c r="AL139" s="9">
        <f t="shared" si="199"/>
        <v>2.3178458639793398E-2</v>
      </c>
      <c r="AM139" s="9">
        <f t="shared" si="200"/>
        <v>5.1737500806837922E-2</v>
      </c>
      <c r="AN139" s="9">
        <f t="shared" ref="AN139:AO139" si="206">AVERAGE(AL137:AL141)</f>
        <v>2.304857665791964E-2</v>
      </c>
      <c r="AO139" s="9">
        <f t="shared" si="206"/>
        <v>2.1551411814908938E-2</v>
      </c>
      <c r="AP139" s="23"/>
      <c r="AQ139" s="25">
        <f t="shared" si="186"/>
        <v>2089.8095673995222</v>
      </c>
      <c r="AR139" s="4"/>
      <c r="AS139" s="4"/>
      <c r="AT139" s="4"/>
      <c r="AU139" s="16"/>
      <c r="AV139" s="16"/>
      <c r="AY139" s="21">
        <f>-Y139*W139*X139^(-Parameters!B$52)*Parameters!B$46*Parameters!B$45*N139</f>
        <v>-4.6180555375864795E-6</v>
      </c>
      <c r="AZ139" s="7">
        <f>1000*EXP(-(Parameters!$B$54)*'6states'!A139)*AQ139*Parameters!B$46*Parameters!B$45*N139</f>
        <v>0.48882650327755295</v>
      </c>
      <c r="BA139" s="93">
        <f>SUM(AZ139:AZ$204)*EXP(Parameters!$B$54*A139)</f>
        <v>3471.745453641141</v>
      </c>
      <c r="BF139" s="5"/>
      <c r="BG139" s="5"/>
      <c r="BH139" s="5"/>
      <c r="BK139">
        <f>-EXP(-Parameters!B$42*'6states'!A139)*(-Parameters!B$37/Parameters!B$38/Parameters!E$25*(EXP(-Parameters!B$38*Parameters!E$25*'6states'!I139/('6states'!F139+'6states'!I139))-EXP(-Parameters!B$38*Parameters!E$25))+Parameters!B$37*'6states'!F139/('6states'!F139+'6states'!I139)*EXP(-Parameters!B$38*Parameters!E$25*'6states'!I139/('6states'!F139+'6states'!I139)))</f>
        <v>-1.7984164783029059E-19</v>
      </c>
      <c r="BL139">
        <f>-J139*K139*EXP(-Parameters!B$42*'6states'!A139)*(-Parameters!B$37/Parameters!B$38/Parameters!E$25*(EXP(-Parameters!B$38*Parameters!E$25*'6states'!I139/('6states'!F139+'6states'!I139))-EXP(-Parameters!B$38*Parameters!E$25)) + Parameters!B$37*'6states'!F139/('6states'!F139+'6states'!I139)*EXP(-Parameters!B$38*Parameters!E$25*'6states'!I139/('6states'!F139+'6states'!I139)))</f>
        <v>-2.8454869297666259E-16</v>
      </c>
      <c r="BM139" s="7">
        <f t="shared" si="187"/>
        <v>0.94487024391422647</v>
      </c>
    </row>
    <row r="140" spans="1:65" x14ac:dyDescent="0.25">
      <c r="A140">
        <f>A139+Parameters!$B$65</f>
        <v>136</v>
      </c>
      <c r="B140">
        <v>2161</v>
      </c>
      <c r="C140" s="74">
        <v>4.2055951953774897E-3</v>
      </c>
      <c r="D140" s="69">
        <v>9.3780702519410897E-2</v>
      </c>
      <c r="E140" s="75">
        <v>0.22606458512993599</v>
      </c>
      <c r="F140" s="7">
        <f>MAX((1-Parameters!$B$4)^Parameters!B$65*F139 + C139*Parameters!B$65 - IF(C139&gt;0,Parameters!$B$5,0)*C139^2/F139*Parameters!B$65, 0.0001)</f>
        <v>1E-4</v>
      </c>
      <c r="G140" s="7">
        <f>(1-Parameters!$B$4)^Parameters!B$65*G139+D139*Parameters!B$65-Parameters!$B$5*D139^2/G139*Parameters!B$65</f>
        <v>1.3633132862411468</v>
      </c>
      <c r="H140" s="7">
        <f>(1-Parameters!$B$4)^Parameters!B$65*H139+E139*Parameters!B$65-Parameters!$B$5*E139^2/H139*Parameters!B$65</f>
        <v>3.280190705261484</v>
      </c>
      <c r="I140" s="9">
        <f>I139 *(1-Parameters!$B$4)-C139*(C139&lt;0)*Parameters!B$65</f>
        <v>1.606097992152214E-3</v>
      </c>
      <c r="J140" s="23">
        <f>J139*(1+Parameters!$B$51)^Parameters!B$65</f>
        <v>12.098402174773296</v>
      </c>
      <c r="K140" s="23">
        <f>K139*(1+Parameters!$B$53)^Parameters!B$65</f>
        <v>133.78151437236014</v>
      </c>
      <c r="L140" s="23">
        <f>J140*K140*EXP(-Parameters!$B$42*'6states'!A140)*(Parameters!$B$37/Parameters!$B$38*('6states'!F140+'6states'!I140)/Parameters!$E$25*(EXP(-Parameters!$B$38*Parameters!$E$25*'6states'!I140/('6states'!F140+'6states'!I140))-EXP(-Parameters!$B$38*Parameters!$E$25))  +  Parameters!$B$39*'6states'!F140)</f>
        <v>3.1861664087403145E-2</v>
      </c>
      <c r="M140" s="8">
        <f>M139+L140*Parameters!B$65</f>
        <v>3693.6660018440734</v>
      </c>
      <c r="N140" s="7">
        <f>M140*Parameters!$B$45</f>
        <v>2.2161996011064438</v>
      </c>
      <c r="O140" s="9">
        <f>EXP(-Parameters!$B$46/2*N140^2)</f>
        <v>0.95183746981228123</v>
      </c>
      <c r="P140" s="8">
        <f>MAX((Parameters!$B$62 + Parameters!$B$31*'6states'!A140 - '6states'!M140 + Parameters!$B$47/Parameters!$B$45)/Parameters!B$62,1)</f>
        <v>117.83067996311854</v>
      </c>
      <c r="Q140" s="8"/>
      <c r="R140" s="8"/>
      <c r="S140" s="7">
        <f>Parameters!B$61*EXP(-Parameters!B$60*A140)+(1-Parameters!B$61)*P140^-Parameters!B$63</f>
        <v>0.32305736459172074</v>
      </c>
      <c r="T140" s="7">
        <f>1-S140/Parameters!$B$12</f>
        <v>0.83847131770413963</v>
      </c>
      <c r="U140" s="7">
        <f t="shared" si="188"/>
        <v>6.1908509732554649</v>
      </c>
      <c r="V140" s="7">
        <f>(Parameters!$B$19*(F140+Parameters!$B$20)^T140+Parameters!$B$18*G140^T140)^(1/T140)</f>
        <v>0.34405173758083346</v>
      </c>
      <c r="W140" s="7">
        <f>(Parameters!$B$10*H140^Parameters!$B$9+Parameters!$B$11*V140^Parameters!$B$9)^(Parameters!$B$7/Parameters!$B$9)*O140</f>
        <v>1.3211172337694936</v>
      </c>
      <c r="X140" s="7">
        <f>W140 - D140 - E140 - LN(1+EXP(Parameters!$B$21*C140))/Parameters!$B$21 - IF(C140&gt;0, 0,Parameters!$B$6*C140^2/F140)</f>
        <v>0.9962352174447664</v>
      </c>
      <c r="Y140" s="7">
        <f>EXP(-Parameters!$B$55*A140)</f>
        <v>0.12827229113692101</v>
      </c>
      <c r="Z140" s="7">
        <f>IF(X140&gt;0,X140^(1-Parameters!$B$52)/(1-Parameters!$B$52)*Y140*Parameters!$B$65,-10+X140*1000)</f>
        <v>-0.36697640850879537</v>
      </c>
      <c r="AC140">
        <f t="shared" si="189"/>
        <v>6.806934832468265</v>
      </c>
      <c r="AD140">
        <f t="shared" si="190"/>
        <v>151.78805874953545</v>
      </c>
      <c r="AE140" s="23">
        <f t="shared" si="191"/>
        <v>2.5995379629391433</v>
      </c>
      <c r="AF140" s="23">
        <f t="shared" si="192"/>
        <v>0.16185425644270271</v>
      </c>
      <c r="AG140" s="23">
        <f t="shared" si="193"/>
        <v>2206.5805824301829</v>
      </c>
      <c r="AH140" s="23">
        <f t="shared" si="194"/>
        <v>556.86238163965663</v>
      </c>
      <c r="AI140" s="23">
        <f t="shared" si="195"/>
        <v>1370.480717075822</v>
      </c>
      <c r="AJ140" s="23">
        <f t="shared" si="196"/>
        <v>2138.284475454016</v>
      </c>
      <c r="AK140" s="23">
        <f t="shared" si="197"/>
        <v>1612.4491036155689</v>
      </c>
      <c r="AL140" s="9">
        <f t="shared" si="199"/>
        <v>2.2930914810270764E-2</v>
      </c>
      <c r="AM140" s="9">
        <f t="shared" si="200"/>
        <v>2.2296210624893398E-2</v>
      </c>
      <c r="AN140" s="9">
        <f t="shared" ref="AN140:AO140" si="207">AVERAGE(AL138:AL142)</f>
        <v>2.3091385719831336E-2</v>
      </c>
      <c r="AO140" s="9">
        <f t="shared" si="207"/>
        <v>2.1233042373879664E-2</v>
      </c>
      <c r="AP140" s="23"/>
      <c r="AQ140" s="25">
        <f t="shared" si="186"/>
        <v>2138.284475454016</v>
      </c>
      <c r="AR140" s="4"/>
      <c r="AS140" s="4"/>
      <c r="AT140" s="4"/>
      <c r="AU140" s="16"/>
      <c r="AV140" s="16"/>
      <c r="AY140" s="21">
        <f>-Y140*W140*X140^(-Parameters!B$52)*Parameters!B$46*Parameters!B$45*N140</f>
        <v>-4.5524149225063804E-6</v>
      </c>
      <c r="AZ140" s="7">
        <f>1000*EXP(-(Parameters!$B$54)*'6states'!A140)*AQ140*Parameters!B$46*Parameters!B$45*N140</f>
        <v>0.48291814554540152</v>
      </c>
      <c r="BA140" s="93">
        <f>SUM(AZ140:AZ$204)*EXP(Parameters!$B$54*A140)</f>
        <v>3537.9176384369935</v>
      </c>
      <c r="BF140" s="5"/>
      <c r="BG140" s="5"/>
      <c r="BH140" s="5"/>
      <c r="BK140">
        <f>-EXP(-Parameters!B$42*'6states'!A140)*(-Parameters!B$37/Parameters!B$38/Parameters!E$25*(EXP(-Parameters!B$38*Parameters!E$25*'6states'!I140/('6states'!F140+'6states'!I140))-EXP(-Parameters!B$38*Parameters!E$25))+Parameters!B$37*'6states'!F140/('6states'!F140+'6states'!I140)*EXP(-Parameters!B$38*Parameters!E$25*'6states'!I140/('6states'!F140+'6states'!I140)))</f>
        <v>-2.2586810672325787E-19</v>
      </c>
      <c r="BL140">
        <f>-J140*K140*EXP(-Parameters!B$42*'6states'!A140)*(-Parameters!B$37/Parameters!B$38/Parameters!E$25*(EXP(-Parameters!B$38*Parameters!E$25*'6states'!I140/('6states'!F140+'6states'!I140))-EXP(-Parameters!B$38*Parameters!E$25)) + Parameters!B$37*'6states'!F140/('6states'!F140+'6states'!I140)*EXP(-Parameters!B$38*Parameters!E$25*'6states'!I140/('6states'!F140+'6states'!I140)))</f>
        <v>-3.6557714467813922E-16</v>
      </c>
      <c r="BM140" s="7">
        <f t="shared" si="187"/>
        <v>0.94138671960228282</v>
      </c>
    </row>
    <row r="141" spans="1:65" x14ac:dyDescent="0.25">
      <c r="A141">
        <f>A140+Parameters!$B$65</f>
        <v>137</v>
      </c>
      <c r="B141">
        <v>2162</v>
      </c>
      <c r="C141" s="74">
        <v>3.9246376012892102E-3</v>
      </c>
      <c r="D141" s="69">
        <v>9.6790241038732502E-2</v>
      </c>
      <c r="E141" s="75">
        <v>0.226905000855991</v>
      </c>
      <c r="F141" s="7">
        <f>MAX((1-Parameters!$B$4)^Parameters!B$65*F140 + C140*Parameters!B$65 - IF(C140&gt;0,Parameters!$B$5,0)*C140^2/F140*Parameters!B$65, 0.0001)</f>
        <v>1E-4</v>
      </c>
      <c r="G141" s="7">
        <f>(1-Parameters!$B$4)^Parameters!B$65*G140+D140*Parameters!B$65-Parameters!$B$5*D140^2/G140*Parameters!B$65</f>
        <v>1.3648905198603225</v>
      </c>
      <c r="H141" s="7">
        <f>(1-Parameters!$B$4)^Parameters!B$65*H140+E140*Parameters!B$65-Parameters!$B$5*E140^2/H140*Parameters!B$65</f>
        <v>3.2843513482401852</v>
      </c>
      <c r="I141" s="9">
        <f>I140 *(1-Parameters!$B$4)-C140*(C140&lt;0)*Parameters!B$65</f>
        <v>1.5050744284458399E-3</v>
      </c>
      <c r="J141" s="23">
        <f>J140*(1+Parameters!$B$51)^Parameters!B$65</f>
        <v>12.133487541080138</v>
      </c>
      <c r="K141" s="23">
        <f>K140*(1+Parameters!$B$53)^Parameters!B$65</f>
        <v>136.45714465980734</v>
      </c>
      <c r="L141" s="23">
        <f>J141*K141*EXP(-Parameters!$B$42*'6states'!A141)*(Parameters!$B$37/Parameters!$B$38*('6states'!F141+'6states'!I141)/Parameters!$E$25*(EXP(-Parameters!$B$38*Parameters!$E$25*'6states'!I141/('6states'!F141+'6states'!I141))-EXP(-Parameters!$B$38*Parameters!$E$25))  +  Parameters!$B$39*'6states'!F141)</f>
        <v>3.2268836968377769E-2</v>
      </c>
      <c r="M141" s="8">
        <f>M140+L141*Parameters!B$65</f>
        <v>3693.6982706810418</v>
      </c>
      <c r="N141" s="7">
        <f>M141*Parameters!$B$45</f>
        <v>2.2162189624086248</v>
      </c>
      <c r="O141" s="9">
        <f>EXP(-Parameters!$B$46/2*N141^2)</f>
        <v>0.95183664888630148</v>
      </c>
      <c r="P141" s="8">
        <f>MAX((Parameters!$B$62 + Parameters!$B$31*'6states'!A141 - '6states'!M141 + Parameters!$B$47/Parameters!$B$45)/Parameters!B$62,1)</f>
        <v>118.89403458637916</v>
      </c>
      <c r="Q141" s="8"/>
      <c r="R141" s="8"/>
      <c r="S141" s="7">
        <f>Parameters!B$61*EXP(-Parameters!B$60*A141)+(1-Parameters!B$61)*P141^-Parameters!B$63</f>
        <v>0.32244002492261242</v>
      </c>
      <c r="T141" s="7">
        <f>1-S141/Parameters!$B$12</f>
        <v>0.83877998753869376</v>
      </c>
      <c r="U141" s="7">
        <f t="shared" si="188"/>
        <v>6.2027038996787445</v>
      </c>
      <c r="V141" s="7">
        <f>(Parameters!$B$19*(F141+Parameters!$B$20)^T141+Parameters!$B$18*G141^T141)^(1/T141)</f>
        <v>0.3445875179515635</v>
      </c>
      <c r="W141" s="7">
        <f>(Parameters!$B$10*H141^Parameters!$B$9+Parameters!$B$11*V141^Parameters!$B$9)^(Parameters!$B$7/Parameters!$B$9)*O141</f>
        <v>1.3216547669198806</v>
      </c>
      <c r="X141" s="7">
        <f>W141 - D141 - E141 - LN(1+EXP(Parameters!$B$21*C141))/Parameters!$B$21 - IF(C141&gt;0, 0,Parameters!$B$6*C141^2/F141)</f>
        <v>0.99313968250643447</v>
      </c>
      <c r="Y141" s="7">
        <f>EXP(-Parameters!$B$55*A141)</f>
        <v>0.12634992989446087</v>
      </c>
      <c r="Z141" s="7">
        <f>IF(X141&gt;0,X141^(1-Parameters!$B$52)/(1-Parameters!$B$52)*Y141*Parameters!$B$65,-10+X141*1000)</f>
        <v>-0.36187063593399416</v>
      </c>
      <c r="AC141">
        <f t="shared" si="189"/>
        <v>6.4980266547067114</v>
      </c>
      <c r="AD141">
        <f t="shared" si="190"/>
        <v>160.25570513276639</v>
      </c>
      <c r="AE141" s="23">
        <f t="shared" si="191"/>
        <v>2.4919533335118342</v>
      </c>
      <c r="AF141" s="23">
        <f t="shared" si="192"/>
        <v>0.16557010646211426</v>
      </c>
      <c r="AG141" s="23">
        <f t="shared" si="193"/>
        <v>2259.8506868240406</v>
      </c>
      <c r="AH141" s="23">
        <f t="shared" si="194"/>
        <v>570.53392032756074</v>
      </c>
      <c r="AI141" s="23">
        <f t="shared" si="195"/>
        <v>1404.1274146483167</v>
      </c>
      <c r="AJ141" s="23">
        <f t="shared" si="196"/>
        <v>2188.2652046508542</v>
      </c>
      <c r="AK141" s="23">
        <f t="shared" si="197"/>
        <v>1644.3424296434068</v>
      </c>
      <c r="AL141" s="9">
        <f t="shared" si="199"/>
        <v>2.3105225362638926E-2</v>
      </c>
      <c r="AM141" s="9">
        <f t="shared" si="200"/>
        <v>1.9586359941490272E-2</v>
      </c>
      <c r="AN141" s="9">
        <f t="shared" ref="AN141:AO141" si="208">AVERAGE(AL139:AL143)</f>
        <v>2.315735145403135E-2</v>
      </c>
      <c r="AO141" s="9">
        <f t="shared" si="208"/>
        <v>2.8827681212960598E-2</v>
      </c>
      <c r="AP141" s="23"/>
      <c r="AQ141" s="25">
        <f t="shared" si="186"/>
        <v>2188.2652046508542</v>
      </c>
      <c r="AR141" s="4"/>
      <c r="AS141" s="4"/>
      <c r="AT141" s="4"/>
      <c r="AU141" s="16"/>
      <c r="AV141" s="16"/>
      <c r="AY141" s="21">
        <f>-Y141*W141*X141^(-Parameters!B$52)*Parameters!B$46*Parameters!B$45*N141</f>
        <v>-4.5049404425448097E-6</v>
      </c>
      <c r="AZ141" s="7">
        <f>1000*EXP(-(Parameters!$B$54)*'6states'!A141)*AQ141*Parameters!B$46*Parameters!B$45*N141</f>
        <v>0.47716442116736907</v>
      </c>
      <c r="BA141" s="93">
        <f>SUM(AZ141:AZ$204)*EXP(Parameters!$B$54*A141)</f>
        <v>3605.1113214494753</v>
      </c>
      <c r="BF141" s="5"/>
      <c r="BG141" s="5"/>
      <c r="BH141" s="5"/>
      <c r="BK141">
        <f>-EXP(-Parameters!B$42*'6states'!A141)*(-Parameters!B$37/Parameters!B$38/Parameters!E$25*(EXP(-Parameters!B$38*Parameters!E$25*'6states'!I141/('6states'!F141+'6states'!I141))-EXP(-Parameters!B$38*Parameters!E$25))+Parameters!B$37*'6states'!F141/('6states'!F141+'6states'!I141)*EXP(-Parameters!B$38*Parameters!E$25*'6states'!I141/('6states'!F141+'6states'!I141)))</f>
        <v>-2.8572023970965114E-19</v>
      </c>
      <c r="BL141">
        <f>-J141*K141*EXP(-Parameters!B$42*'6states'!A141)*(-Parameters!B$37/Parameters!B$38/Parameters!E$25*(EXP(-Parameters!B$38*Parameters!E$25*'6states'!I141/('6states'!F141+'6states'!I141))-EXP(-Parameters!B$38*Parameters!E$25)) + Parameters!B$37*'6states'!F141/('6states'!F141+'6states'!I141)*EXP(-Parameters!B$38*Parameters!E$25*'6states'!I141/('6states'!F141+'6states'!I141)))</f>
        <v>-4.7306730507107746E-16</v>
      </c>
      <c r="BM141" s="7">
        <f t="shared" si="187"/>
        <v>0.93769759319084789</v>
      </c>
    </row>
    <row r="142" spans="1:65" x14ac:dyDescent="0.25">
      <c r="A142">
        <f>A141+Parameters!$B$65</f>
        <v>138</v>
      </c>
      <c r="B142">
        <v>2163</v>
      </c>
      <c r="C142" s="74">
        <v>3.8402419748675598E-3</v>
      </c>
      <c r="D142" s="69">
        <v>9.1658320932590506E-2</v>
      </c>
      <c r="E142" s="75">
        <v>0.232507259147329</v>
      </c>
      <c r="F142" s="7">
        <f>MAX((1-Parameters!$B$4)^Parameters!B$65*F141 + C141*Parameters!B$65 - IF(C141&gt;0,Parameters!$B$5,0)*C141^2/F141*Parameters!B$65, 0.0001)</f>
        <v>1E-4</v>
      </c>
      <c r="G142" s="7">
        <f>(1-Parameters!$B$4)^Parameters!B$65*G141+D141*Parameters!B$65-Parameters!$B$5*D141^2/G141*Parameters!B$65</f>
        <v>1.3689653360560028</v>
      </c>
      <c r="H142" s="7">
        <f>(1-Parameters!$B$4)^Parameters!B$65*H141+E141*Parameters!B$65-Parameters!$B$5*E141^2/H141*Parameters!B$65</f>
        <v>3.288994531253814</v>
      </c>
      <c r="I142" s="9">
        <f>I141 *(1-Parameters!$B$4)-C141*(C141&lt;0)*Parameters!B$65</f>
        <v>1.4104052468965967E-3</v>
      </c>
      <c r="J142" s="23">
        <f>J141*(1+Parameters!$B$51)^Parameters!B$65</f>
        <v>12.168674654949269</v>
      </c>
      <c r="K142" s="23">
        <f>K141*(1+Parameters!$B$53)^Parameters!B$65</f>
        <v>139.1862875530035</v>
      </c>
      <c r="L142" s="23">
        <f>J142*K142*EXP(-Parameters!$B$42*'6states'!A142)*(Parameters!$B$37/Parameters!$B$38*('6states'!F142+'6states'!I142)/Parameters!$E$25*(EXP(-Parameters!$B$38*Parameters!$E$25*'6states'!I142/('6states'!F142+'6states'!I142))-EXP(-Parameters!$B$38*Parameters!$E$25))  +  Parameters!$B$39*'6states'!F142)</f>
        <v>3.2681213273584919E-2</v>
      </c>
      <c r="M142" s="8">
        <f>M141+L142*Parameters!B$65</f>
        <v>3693.7309518943152</v>
      </c>
      <c r="N142" s="7">
        <f>M142*Parameters!$B$45</f>
        <v>2.2162385711365888</v>
      </c>
      <c r="O142" s="9">
        <f>EXP(-Parameters!$B$46/2*N142^2)</f>
        <v>0.95183581746279389</v>
      </c>
      <c r="P142" s="8">
        <f>MAX((Parameters!$B$62 + Parameters!$B$31*'6states'!A142 - '6states'!M142 + Parameters!$B$47/Parameters!$B$45)/Parameters!B$62,1)</f>
        <v>119.95738096211372</v>
      </c>
      <c r="Q142" s="8"/>
      <c r="R142" s="8"/>
      <c r="S142" s="7">
        <f>Parameters!B$61*EXP(-Parameters!B$60*A142)+(1-Parameters!B$61)*P142^-Parameters!B$63</f>
        <v>0.32183443703291648</v>
      </c>
      <c r="T142" s="7">
        <f>1-S142/Parameters!$B$12</f>
        <v>0.83908278148354176</v>
      </c>
      <c r="U142" s="7">
        <f t="shared" si="188"/>
        <v>6.2143753739922021</v>
      </c>
      <c r="V142" s="7">
        <f>(Parameters!$B$19*(F142+Parameters!$B$20)^T142+Parameters!$B$18*G142^T142)^(1/T142)</f>
        <v>0.34572887650857842</v>
      </c>
      <c r="W142" s="7">
        <f>(Parameters!$B$10*H142^Parameters!$B$9+Parameters!$B$11*V142^Parameters!$B$9)^(Parameters!$B$7/Parameters!$B$9)*O142</f>
        <v>1.3224508527835697</v>
      </c>
      <c r="X142" s="7">
        <f>W142 - D142 - E142 - LN(1+EXP(Parameters!$B$21*C142))/Parameters!$B$21 - IF(C142&gt;0, 0,Parameters!$B$6*C142^2/F142)</f>
        <v>0.99352975559713774</v>
      </c>
      <c r="Y142" s="7">
        <f>EXP(-Parameters!$B$55*A142)</f>
        <v>0.12445637824691602</v>
      </c>
      <c r="Z142" s="7">
        <f>IF(X142&gt;0,X142^(1-Parameters!$B$52)/(1-Parameters!$B$52)*Y142*Parameters!$B$65,-10+X142*1000)</f>
        <v>-0.35639845015942762</v>
      </c>
      <c r="AC142">
        <f t="shared" si="189"/>
        <v>6.5042664105989099</v>
      </c>
      <c r="AD142">
        <f t="shared" si="190"/>
        <v>155.24285761037333</v>
      </c>
      <c r="AE142" s="23">
        <f t="shared" si="191"/>
        <v>2.3888212078194297</v>
      </c>
      <c r="AF142" s="23">
        <f t="shared" si="192"/>
        <v>0.16937126496627147</v>
      </c>
      <c r="AG142" s="23">
        <f t="shared" si="193"/>
        <v>2318.633906627821</v>
      </c>
      <c r="AH142" s="23">
        <f t="shared" si="194"/>
        <v>585.56537149625785</v>
      </c>
      <c r="AI142" s="23">
        <f t="shared" si="195"/>
        <v>1441.1209603708874</v>
      </c>
      <c r="AJ142" s="23">
        <f t="shared" si="196"/>
        <v>2239.8517379167761</v>
      </c>
      <c r="AK142" s="23">
        <f t="shared" si="197"/>
        <v>1682.7539148711774</v>
      </c>
      <c r="AL142" s="9">
        <f t="shared" si="199"/>
        <v>2.3300589324862564E-2</v>
      </c>
      <c r="AM142" s="9">
        <f t="shared" si="200"/>
        <v>2.3091120896349793E-2</v>
      </c>
      <c r="AN142" s="9">
        <f t="shared" ref="AN142:AO142" si="209">AVERAGE(AL140:AL144)</f>
        <v>2.3132609512610182E-2</v>
      </c>
      <c r="AO142" s="9">
        <f t="shared" si="209"/>
        <v>2.3896086155410501E-2</v>
      </c>
      <c r="AP142" s="23"/>
      <c r="AQ142" s="25">
        <f t="shared" si="186"/>
        <v>2239.8517379167765</v>
      </c>
      <c r="AR142" s="4"/>
      <c r="AS142" s="4"/>
      <c r="AT142" s="4"/>
      <c r="AU142" s="16"/>
      <c r="AV142" s="16"/>
      <c r="AY142" s="21">
        <f>-Y142*W142*X142^(-Parameters!B$52)*Parameters!B$46*Parameters!B$45*N142</f>
        <v>-4.4377857416827576E-6</v>
      </c>
      <c r="AZ142" s="7">
        <f>1000*EXP(-(Parameters!$B$54)*'6states'!A142)*AQ142*Parameters!B$46*Parameters!B$45*N142</f>
        <v>0.47157142115601697</v>
      </c>
      <c r="BA142" s="93">
        <f>SUM(AZ142:AZ$204)*EXP(Parameters!$B$54*A142)</f>
        <v>3673.3212793774915</v>
      </c>
      <c r="BF142" s="5"/>
      <c r="BG142" s="5"/>
      <c r="BH142" s="5"/>
      <c r="BK142">
        <f>-EXP(-Parameters!B$42*'6states'!A142)*(-Parameters!B$37/Parameters!B$38/Parameters!E$25*(EXP(-Parameters!B$38*Parameters!E$25*'6states'!I142/('6states'!F142+'6states'!I142))-EXP(-Parameters!B$38*Parameters!E$25))+Parameters!B$37*'6states'!F142/('6states'!F142+'6states'!I142)*EXP(-Parameters!B$38*Parameters!E$25*'6states'!I142/('6states'!F142+'6states'!I142)))</f>
        <v>-3.6419697591255623E-19</v>
      </c>
      <c r="BL142">
        <f>-J142*K142*EXP(-Parameters!B$42*'6states'!A142)*(-Parameters!B$37/Parameters!B$38/Parameters!E$25*(EXP(-Parameters!B$38*Parameters!E$25*'6states'!I142/('6states'!F142+'6states'!I142))-EXP(-Parameters!B$38*Parameters!E$25)) + Parameters!B$37*'6states'!F142/('6states'!F142+'6states'!I142)*EXP(-Parameters!B$38*Parameters!E$25*'6states'!I142/('6states'!F142+'6states'!I142)))</f>
        <v>-6.1684502507200344E-16</v>
      </c>
      <c r="BM142" s="7">
        <f t="shared" si="187"/>
        <v>0.93379260287563992</v>
      </c>
    </row>
    <row r="143" spans="1:65" x14ac:dyDescent="0.25">
      <c r="A143">
        <f>A142+Parameters!$B$65</f>
        <v>139</v>
      </c>
      <c r="B143">
        <v>2164</v>
      </c>
      <c r="C143" s="74">
        <v>3.8169338698629202E-3</v>
      </c>
      <c r="D143" s="69">
        <v>9.9509403762284301E-2</v>
      </c>
      <c r="E143" s="75">
        <v>0.22072272516373001</v>
      </c>
      <c r="F143" s="7">
        <f>MAX((1-Parameters!$B$4)^Parameters!B$65*F142 + C142*Parameters!B$65 - IF(C142&gt;0,Parameters!$B$5,0)*C142^2/F142*Parameters!B$65, 0.0001)</f>
        <v>1E-4</v>
      </c>
      <c r="G143" s="7">
        <f>(1-Parameters!$B$4)^Parameters!B$65*G142+D142*Parameters!B$65-Parameters!$B$5*D142^2/G142*Parameters!B$65</f>
        <v>1.3683788048989072</v>
      </c>
      <c r="H143" s="7">
        <f>(1-Parameters!$B$4)^Parameters!B$65*H142+E142*Parameters!B$65-Parameters!$B$5*E142^2/H142*Parameters!B$65</f>
        <v>3.2981875140315657</v>
      </c>
      <c r="I143" s="9">
        <f>I142 *(1-Parameters!$B$4)-C142*(C142&lt;0)*Parameters!B$65</f>
        <v>1.3216907568668007E-3</v>
      </c>
      <c r="J143" s="23">
        <f>J142*(1+Parameters!$B$51)^Parameters!B$65</f>
        <v>12.20396381144862</v>
      </c>
      <c r="K143" s="23">
        <f>K142*(1+Parameters!$B$53)^Parameters!B$65</f>
        <v>141.97001330406357</v>
      </c>
      <c r="L143" s="23">
        <f>J143*K143*EXP(-Parameters!$B$42*'6states'!A143)*(Parameters!$B$37/Parameters!$B$38*('6states'!F143+'6states'!I143)/Parameters!$E$25*(EXP(-Parameters!$B$38*Parameters!$E$25*'6states'!I143/('6states'!F143+'6states'!I143))-EXP(-Parameters!$B$38*Parameters!$E$25))  +  Parameters!$B$39*'6states'!F143)</f>
        <v>3.3098859499652966E-2</v>
      </c>
      <c r="M143" s="8">
        <f>M142+L143*Parameters!B$65</f>
        <v>3693.7640507538149</v>
      </c>
      <c r="N143" s="7">
        <f>M143*Parameters!$B$45</f>
        <v>2.2162584304522888</v>
      </c>
      <c r="O143" s="9">
        <f>EXP(-Parameters!$B$46/2*N143^2)</f>
        <v>0.95183497540743678</v>
      </c>
      <c r="P143" s="8">
        <f>MAX((Parameters!$B$62 + Parameters!$B$31*'6states'!A143 - '6states'!M143 + Parameters!$B$47/Parameters!$B$45)/Parameters!B$62,1)</f>
        <v>121.02071898492369</v>
      </c>
      <c r="Q143" s="8"/>
      <c r="R143" s="8"/>
      <c r="S143" s="7">
        <f>Parameters!B$61*EXP(-Parameters!B$60*A143)+(1-Parameters!B$61)*P143^-Parameters!B$63</f>
        <v>0.3212403100281172</v>
      </c>
      <c r="T143" s="7">
        <f>1-S143/Parameters!$B$12</f>
        <v>0.83937984498594143</v>
      </c>
      <c r="U143" s="7">
        <f t="shared" si="188"/>
        <v>6.2258687268261763</v>
      </c>
      <c r="V143" s="7">
        <f>(Parameters!$B$19*(F143+Parameters!$B$20)^T143+Parameters!$B$18*G143^T143)^(1/T143)</f>
        <v>0.34573285772870227</v>
      </c>
      <c r="W143" s="7">
        <f>(Parameters!$B$10*H143^Parameters!$B$9+Parameters!$B$11*V143^Parameters!$B$9)^(Parameters!$B$7/Parameters!$B$9)*O143</f>
        <v>1.3232090178245148</v>
      </c>
      <c r="X143" s="7">
        <f>W143 - D143 - E143 - LN(1+EXP(Parameters!$B$21*C143))/Parameters!$B$21 - IF(C143&gt;0, 0,Parameters!$B$6*C143^2/F143)</f>
        <v>0.9982390684846324</v>
      </c>
      <c r="Y143" s="7">
        <f>EXP(-Parameters!$B$55*A143)</f>
        <v>0.12259120443737162</v>
      </c>
      <c r="Z143" s="7">
        <f>IF(X143&gt;0,X143^(1-Parameters!$B$52)/(1-Parameters!$B$52)*Y143*Parameters!$B$65,-10+X143*1000)</f>
        <v>-0.35047671577154355</v>
      </c>
      <c r="AC143">
        <f t="shared" si="189"/>
        <v>6.6132078082685917</v>
      </c>
      <c r="AD143">
        <f t="shared" si="190"/>
        <v>172.40968494445633</v>
      </c>
      <c r="AE143" s="23">
        <f t="shared" si="191"/>
        <v>2.2899573142832201</v>
      </c>
      <c r="AF143" s="23">
        <f t="shared" si="192"/>
        <v>0.17325969046736711</v>
      </c>
      <c r="AG143" s="23">
        <f t="shared" si="193"/>
        <v>2370.8488817889038</v>
      </c>
      <c r="AH143" s="23">
        <f t="shared" si="194"/>
        <v>599.0156791447323</v>
      </c>
      <c r="AI143" s="23">
        <f t="shared" si="195"/>
        <v>1474.2231915122607</v>
      </c>
      <c r="AJ143" s="23">
        <f t="shared" si="196"/>
        <v>2292.5878485190424</v>
      </c>
      <c r="AK143" s="23">
        <f t="shared" si="197"/>
        <v>1729.5459201808028</v>
      </c>
      <c r="AL143" s="9">
        <f t="shared" si="199"/>
        <v>2.3271569132591097E-2</v>
      </c>
      <c r="AM143" s="9">
        <f t="shared" si="200"/>
        <v>2.7427213795231609E-2</v>
      </c>
      <c r="AN143" s="9">
        <f t="shared" ref="AN143:AO143" si="210">AVERAGE(AL141:AL145)</f>
        <v>2.3109119306364258E-2</v>
      </c>
      <c r="AO143" s="9">
        <f t="shared" si="210"/>
        <v>2.3207961072881388E-2</v>
      </c>
      <c r="AP143" s="23"/>
      <c r="AQ143" s="25">
        <f t="shared" si="186"/>
        <v>2292.5878485190428</v>
      </c>
      <c r="AR143" s="4"/>
      <c r="AS143" s="4"/>
      <c r="AT143" s="4"/>
      <c r="AU143" s="16"/>
      <c r="AV143" s="16"/>
      <c r="AY143" s="21">
        <f>-Y143*W143*X143^(-Parameters!B$52)*Parameters!B$46*Parameters!B$45*N143</f>
        <v>-4.3459908965223648E-6</v>
      </c>
      <c r="AZ143" s="7">
        <f>1000*EXP(-(Parameters!$B$54)*'6states'!A143)*AQ143*Parameters!B$46*Parameters!B$45*N143</f>
        <v>0.46603050669134011</v>
      </c>
      <c r="BA143" s="93">
        <f>SUM(AZ143:AZ$204)*EXP(Parameters!$B$54*A143)</f>
        <v>3742.5393328974519</v>
      </c>
      <c r="BF143" s="5"/>
      <c r="BG143" s="5"/>
      <c r="BH143" s="5"/>
      <c r="BK143">
        <f>-EXP(-Parameters!B$42*'6states'!A143)*(-Parameters!B$37/Parameters!B$38/Parameters!E$25*(EXP(-Parameters!B$38*Parameters!E$25*'6states'!I143/('6states'!F143+'6states'!I143))-EXP(-Parameters!B$38*Parameters!E$25))+Parameters!B$37*'6states'!F143/('6states'!F143+'6states'!I143)*EXP(-Parameters!B$38*Parameters!E$25*'6states'!I143/('6states'!F143+'6states'!I143)))</f>
        <v>-4.6798910178108464E-19</v>
      </c>
      <c r="BL143">
        <f>-J143*K143*EXP(-Parameters!B$42*'6states'!A143)*(-Parameters!B$37/Parameters!B$38/Parameters!E$25*(EXP(-Parameters!B$38*Parameters!E$25*'6states'!I143/('6states'!F143+'6states'!I143))-EXP(-Parameters!B$38*Parameters!E$25)) + Parameters!B$37*'6states'!F143/('6states'!F143+'6states'!I143)*EXP(-Parameters!B$38*Parameters!E$25*'6states'!I143/('6states'!F143+'6states'!I143)))</f>
        <v>-8.1083646916691883E-16</v>
      </c>
    </row>
    <row r="144" spans="1:65" x14ac:dyDescent="0.25">
      <c r="A144">
        <f>A143+Parameters!$B$65</f>
        <v>140</v>
      </c>
      <c r="B144">
        <v>2165</v>
      </c>
      <c r="C144" s="74">
        <v>3.7965119183893999E-3</v>
      </c>
      <c r="D144" s="69">
        <v>9.7679159227874401E-2</v>
      </c>
      <c r="E144" s="75">
        <v>0.21865704403851999</v>
      </c>
      <c r="F144" s="7">
        <f>MAX((1-Parameters!$B$4)^Parameters!B$65*F143 + C143*Parameters!B$65 - IF(C143&gt;0,Parameters!$B$5,0)*C143^2/F143*Parameters!B$65, 0.0001)</f>
        <v>1E-4</v>
      </c>
      <c r="G144" s="7">
        <f>(1-Parameters!$B$4)^Parameters!B$65*G143+D143*Parameters!B$65-Parameters!$B$5*D143^2/G143*Parameters!B$65</f>
        <v>1.3745807927559359</v>
      </c>
      <c r="H144" s="7">
        <f>(1-Parameters!$B$4)^Parameters!B$65*H143+E143*Parameters!B$65-Parameters!$B$5*E143^2/H143*Parameters!B$65</f>
        <v>3.2966829432960485</v>
      </c>
      <c r="I144" s="9">
        <f>I143 *(1-Parameters!$B$4)-C143*(C143&lt;0)*Parameters!B$65</f>
        <v>1.2385564082598791E-3</v>
      </c>
      <c r="J144" s="23">
        <f>J143*(1+Parameters!$B$51)^Parameters!B$65</f>
        <v>12.239355306501819</v>
      </c>
      <c r="K144" s="23">
        <f>K143*(1+Parameters!$B$53)^Parameters!B$65</f>
        <v>144.80941357014484</v>
      </c>
      <c r="L144" s="23">
        <f>J144*K144*EXP(-Parameters!$B$42*'6states'!A144)*(Parameters!$B$37/Parameters!$B$38*('6states'!F144+'6states'!I144)/Parameters!$E$25*(EXP(-Parameters!$B$38*Parameters!$E$25*'6states'!I144/('6states'!F144+'6states'!I144))-EXP(-Parameters!$B$38*Parameters!$E$25))  +  Parameters!$B$39*'6states'!F144)</f>
        <v>3.3521842992997125E-2</v>
      </c>
      <c r="M144" s="8">
        <f>M143+L144*Parameters!B$65</f>
        <v>3693.7975725968081</v>
      </c>
      <c r="N144" s="7">
        <f>M144*Parameters!$B$45</f>
        <v>2.2162785435580847</v>
      </c>
      <c r="O144" s="9">
        <f>EXP(-Parameters!$B$46/2*N144^2)</f>
        <v>0.95183412258418787</v>
      </c>
      <c r="P144" s="8">
        <f>MAX((Parameters!$B$62 + Parameters!$B$31*'6states'!A144 - '6states'!M144 + Parameters!$B$47/Parameters!$B$45)/Parameters!B$62,1)</f>
        <v>122.08404854806383</v>
      </c>
      <c r="Q144" s="8"/>
      <c r="R144" s="8"/>
      <c r="S144" s="7">
        <f>Parameters!B$61*EXP(-Parameters!B$60*A144)+(1-Parameters!B$61)*P144^-Parameters!B$63</f>
        <v>0.32065736078712209</v>
      </c>
      <c r="T144" s="7">
        <f>1-S144/Parameters!$B$12</f>
        <v>0.83967131960643893</v>
      </c>
      <c r="U144" s="7">
        <f t="shared" si="188"/>
        <v>6.2371872427645876</v>
      </c>
      <c r="V144" s="7">
        <f>(Parameters!$B$19*(F144+Parameters!$B$20)^T144+Parameters!$B$18*G144^T144)^(1/T144)</f>
        <v>0.3473883373141175</v>
      </c>
      <c r="W144" s="7">
        <f>(Parameters!$B$10*H144^Parameters!$B$9+Parameters!$B$11*V144^Parameters!$B$9)^(Parameters!$B$7/Parameters!$B$9)*O144</f>
        <v>1.3236805857185276</v>
      </c>
      <c r="X144" s="7">
        <f>W144 - D144 - E144 - LN(1+EXP(Parameters!$B$21*C144))/Parameters!$B$21 - IF(C144&gt;0, 0,Parameters!$B$6*C144^2/F144)</f>
        <v>1.0026220428903685</v>
      </c>
      <c r="Y144" s="7">
        <f>EXP(-Parameters!$B$55*A144)</f>
        <v>0.12075398317946676</v>
      </c>
      <c r="Z144" s="7">
        <f>IF(X144&gt;0,X144^(1-Parameters!$B$52)/(1-Parameters!$B$52)*Y144*Parameters!$B$65,-10+X144*1000)</f>
        <v>-0.34469531762404637</v>
      </c>
      <c r="AC144">
        <f t="shared" si="189"/>
        <v>6.7288385000788802</v>
      </c>
      <c r="AD144">
        <f t="shared" si="190"/>
        <v>173.12398891314163</v>
      </c>
      <c r="AE144" s="23">
        <f t="shared" si="191"/>
        <v>2.1951850075987793</v>
      </c>
      <c r="AF144" s="23">
        <f t="shared" si="192"/>
        <v>0.17723738644111689</v>
      </c>
      <c r="AG144" s="23">
        <f t="shared" si="193"/>
        <v>2436.2710716022061</v>
      </c>
      <c r="AH144" s="23">
        <f t="shared" si="194"/>
        <v>615.7020098567931</v>
      </c>
      <c r="AI144" s="23">
        <f t="shared" si="195"/>
        <v>1515.2895217827572</v>
      </c>
      <c r="AJ144" s="23">
        <f t="shared" si="196"/>
        <v>2346.0568749559861</v>
      </c>
      <c r="AK144" s="23">
        <f t="shared" si="197"/>
        <v>1777.0211047014229</v>
      </c>
      <c r="AL144" s="9">
        <f t="shared" si="199"/>
        <v>2.3054748932687552E-2</v>
      </c>
      <c r="AM144" s="9">
        <f t="shared" si="200"/>
        <v>2.7079525519087433E-2</v>
      </c>
      <c r="AN144" s="9">
        <f t="shared" ref="AN144:AO144" si="211">AVERAGE(AL142:AL146)</f>
        <v>2.3091487788079769E-2</v>
      </c>
      <c r="AO144" s="9">
        <f t="shared" si="211"/>
        <v>2.1997010905083769E-2</v>
      </c>
      <c r="AP144" s="23"/>
      <c r="AQ144" s="25">
        <f t="shared" si="186"/>
        <v>2346.0568749559861</v>
      </c>
      <c r="AR144" s="4"/>
      <c r="AS144" s="4"/>
      <c r="AT144" s="4"/>
      <c r="AU144" s="16"/>
      <c r="AV144" s="16"/>
      <c r="AY144" s="21">
        <f>-Y144*W144*X144^(-Parameters!B$52)*Parameters!B$46*Parameters!B$45*N144</f>
        <v>-4.2571703500003124E-6</v>
      </c>
      <c r="AZ144" s="7">
        <f>1000*EXP(-(Parameters!$B$54)*'6states'!A144)*AQ144*Parameters!B$46*Parameters!B$45*N144</f>
        <v>0.46045490334104539</v>
      </c>
      <c r="BA144" s="93">
        <f>SUM(AZ144:AZ$204)*EXP(Parameters!$B$54*A144)</f>
        <v>3812.769638419722</v>
      </c>
      <c r="BF144" s="5"/>
      <c r="BG144" s="5"/>
      <c r="BH144" s="5"/>
      <c r="BK144">
        <f>-EXP(-Parameters!B$42*'6states'!A144)*(-Parameters!B$37/Parameters!B$38/Parameters!E$25*(EXP(-Parameters!B$38*Parameters!E$25*'6states'!I144/('6states'!F144+'6states'!I144))-EXP(-Parameters!B$38*Parameters!E$25))+Parameters!B$37*'6states'!F144/('6states'!F144+'6states'!I144)*EXP(-Parameters!B$38*Parameters!E$25*'6states'!I144/('6states'!F144+'6states'!I144)))</f>
        <v>-6.0651371002635039E-19</v>
      </c>
      <c r="BL144">
        <f>-J144*K144*EXP(-Parameters!B$42*'6states'!A144)*(-Parameters!B$37/Parameters!B$38/Parameters!E$25*(EXP(-Parameters!B$38*Parameters!E$25*'6states'!I144/('6states'!F144+'6states'!I144))-EXP(-Parameters!B$38*Parameters!E$25)) + Parameters!B$37*'6states'!F144/('6states'!F144+'6states'!I144)*EXP(-Parameters!B$38*Parameters!E$25*'6states'!I144/('6states'!F144+'6states'!I144)))</f>
        <v>-1.0749690480577578E-15</v>
      </c>
    </row>
    <row r="145" spans="1:64" x14ac:dyDescent="0.25">
      <c r="A145">
        <f>A144+Parameters!$B$65</f>
        <v>141</v>
      </c>
      <c r="B145">
        <v>2166</v>
      </c>
      <c r="C145" s="74">
        <v>3.76612528540478E-3</v>
      </c>
      <c r="D145" s="69">
        <v>9.2715182431773999E-2</v>
      </c>
      <c r="E145" s="75">
        <v>0.22764181672810599</v>
      </c>
      <c r="F145" s="7">
        <f>MAX((1-Parameters!$B$4)^Parameters!B$65*F144 + C144*Parameters!B$65 - IF(C144&gt;0,Parameters!$B$5,0)*C144^2/F144*Parameters!B$65, 0.0001)</f>
        <v>1E-4</v>
      </c>
      <c r="G145" s="7">
        <f>(1-Parameters!$B$4)^Parameters!B$65*G144+D144*Parameters!B$65-Parameters!$B$5*D144^2/G144*Parameters!B$65</f>
        <v>1.3788576361615987</v>
      </c>
      <c r="H145" s="7">
        <f>(1-Parameters!$B$4)^Parameters!B$65*H144+E144*Parameters!B$65-Parameters!$B$5*E144^2/H144*Parameters!B$65</f>
        <v>3.2934759001146645</v>
      </c>
      <c r="I145" s="9">
        <f>I144 *(1-Parameters!$B$4)-C144*(C144&lt;0)*Parameters!B$65</f>
        <v>1.1606512101803327E-3</v>
      </c>
      <c r="J145" s="23">
        <f>J144*(1+Parameters!$B$51)^Parameters!B$65</f>
        <v>12.274849436890673</v>
      </c>
      <c r="K145" s="23">
        <f>K144*(1+Parameters!$B$53)^Parameters!B$65</f>
        <v>147.70560184154775</v>
      </c>
      <c r="L145" s="23">
        <f>J145*K145*EXP(-Parameters!$B$42*'6states'!A145)*(Parameters!$B$37/Parameters!$B$38*('6states'!F145+'6states'!I145)/Parameters!$E$25*(EXP(-Parameters!$B$38*Parameters!$E$25*'6states'!I145/('6states'!F145+'6states'!I145))-EXP(-Parameters!$B$38*Parameters!$E$25))  +  Parameters!$B$39*'6states'!F145)</f>
        <v>3.3950231960679263E-2</v>
      </c>
      <c r="M145" s="8">
        <f>M144+L145*Parameters!B$65</f>
        <v>3693.8315228287688</v>
      </c>
      <c r="N145" s="7">
        <f>M145*Parameters!$B$45</f>
        <v>2.2162989136972611</v>
      </c>
      <c r="O145" s="9">
        <f>EXP(-Parameters!$B$46/2*N145^2)</f>
        <v>0.95183325885526171</v>
      </c>
      <c r="P145" s="8">
        <f>MAX((Parameters!$B$62 + Parameters!$B$31*'6states'!A145 - '6states'!M145 + Parameters!$B$47/Parameters!$B$45)/Parameters!B$62,1)</f>
        <v>123.14736954342465</v>
      </c>
      <c r="Q145" s="8"/>
      <c r="R145" s="8"/>
      <c r="S145" s="7">
        <f>Parameters!B$61*EXP(-Parameters!B$60*A145)+(1-Parameters!B$61)*P145^-Parameters!B$63</f>
        <v>0.32008531374296517</v>
      </c>
      <c r="T145" s="7">
        <f>1-S145/Parameters!$B$12</f>
        <v>0.83995734312851744</v>
      </c>
      <c r="U145" s="7">
        <f t="shared" si="188"/>
        <v>6.2483341600797084</v>
      </c>
      <c r="V145" s="7">
        <f>(Parameters!$B$19*(F145+Parameters!$B$20)^T145+Parameters!$B$18*G145^T145)^(1/T145)</f>
        <v>0.34857309246329615</v>
      </c>
      <c r="W145" s="7">
        <f>(Parameters!$B$10*H145^Parameters!$B$9+Parameters!$B$11*V145^Parameters!$B$9)^(Parameters!$B$7/Parameters!$B$9)*O145</f>
        <v>1.3238328619164668</v>
      </c>
      <c r="X145" s="7">
        <f>W145 - D145 - E145 - LN(1+EXP(Parameters!$B$21*C145))/Parameters!$B$21 - IF(C145&gt;0, 0,Parameters!$B$6*C145^2/F145)</f>
        <v>0.99877651520566901</v>
      </c>
      <c r="Y145" s="7">
        <f>EXP(-Parameters!$B$55*A145)</f>
        <v>0.11894429556042277</v>
      </c>
      <c r="Z145" s="7">
        <f>IF(X145&gt;0,X145^(1-Parameters!$B$52)/(1-Parameters!$B$52)*Y145*Parameters!$B$65,-10+X145*1000)</f>
        <v>-0.33998649129405883</v>
      </c>
      <c r="AC145">
        <f t="shared" si="189"/>
        <v>6.8282262633012341</v>
      </c>
      <c r="AD145">
        <f t="shared" si="190"/>
        <v>168.09856170766275</v>
      </c>
      <c r="AE145" s="23">
        <f t="shared" si="191"/>
        <v>2.1043349531145288</v>
      </c>
      <c r="AF145" s="23">
        <f t="shared" si="192"/>
        <v>0.18130640235903203</v>
      </c>
      <c r="AG145" s="23">
        <f t="shared" si="193"/>
        <v>2499.9571737773863</v>
      </c>
      <c r="AH145" s="23">
        <f t="shared" si="194"/>
        <v>631.98533353682444</v>
      </c>
      <c r="AI145" s="23">
        <f t="shared" si="195"/>
        <v>1555.364021065109</v>
      </c>
      <c r="AJ145" s="23">
        <f t="shared" si="196"/>
        <v>2400.193735187358</v>
      </c>
      <c r="AK145" s="23">
        <f t="shared" si="197"/>
        <v>1810.8457673263088</v>
      </c>
      <c r="AL145" s="9">
        <f t="shared" si="199"/>
        <v>2.2813463779041143E-2</v>
      </c>
      <c r="AM145" s="9">
        <f t="shared" si="200"/>
        <v>1.8855585212247838E-2</v>
      </c>
      <c r="AN145" s="9">
        <f t="shared" ref="AN145:AO145" si="212">AVERAGE(AL143:AL147)</f>
        <v>2.3136326114899221E-2</v>
      </c>
      <c r="AO145" s="9">
        <f t="shared" si="212"/>
        <v>2.3561250196482496E-2</v>
      </c>
      <c r="AP145" s="23"/>
      <c r="AQ145" s="25">
        <f t="shared" si="186"/>
        <v>2400.193735187358</v>
      </c>
      <c r="AR145" s="4"/>
      <c r="AS145" s="4"/>
      <c r="AT145" s="4"/>
      <c r="AU145" s="16"/>
      <c r="AV145" s="16"/>
      <c r="AY145" s="21">
        <f>-Y145*W145*X145^(-Parameters!B$52)*Parameters!B$46*Parameters!B$45*N145</f>
        <v>-4.2157047079525635E-6</v>
      </c>
      <c r="AZ145" s="7">
        <f>1000*EXP(-(Parameters!$B$54)*'6states'!A145)*AQ145*Parameters!B$46*Parameters!B$45*N145</f>
        <v>0.45483630091788346</v>
      </c>
      <c r="BA145" s="93">
        <f>SUM(AZ145:AZ$204)*EXP(Parameters!$B$54*A145)</f>
        <v>3884.0280338903799</v>
      </c>
      <c r="BF145" s="5"/>
      <c r="BG145" s="5"/>
      <c r="BH145" s="5"/>
      <c r="BK145">
        <f>-EXP(-Parameters!B$42*'6states'!A145)*(-Parameters!B$37/Parameters!B$38/Parameters!E$25*(EXP(-Parameters!B$38*Parameters!E$25*'6states'!I145/('6states'!F145+'6states'!I145))-EXP(-Parameters!B$38*Parameters!E$25))+Parameters!B$37*'6states'!F145/('6states'!F145+'6states'!I145)*EXP(-Parameters!B$38*Parameters!E$25*'6states'!I145/('6states'!F145+'6states'!I145)))</f>
        <v>-7.931554517275865E-19</v>
      </c>
      <c r="BL145">
        <f>-J145*K145*EXP(-Parameters!B$42*'6states'!A145)*(-Parameters!B$37/Parameters!B$38/Parameters!E$25*(EXP(-Parameters!B$38*Parameters!E$25*'6states'!I145/('6states'!F145+'6states'!I145))-EXP(-Parameters!B$38*Parameters!E$25)) + Parameters!B$37*'6states'!F145/('6states'!F145+'6states'!I145)*EXP(-Parameters!B$38*Parameters!E$25*'6states'!I145/('6states'!F145+'6states'!I145)))</f>
        <v>-1.4380416146418158E-15</v>
      </c>
    </row>
    <row r="146" spans="1:64" x14ac:dyDescent="0.25">
      <c r="A146">
        <f>A145+Parameters!$B$65</f>
        <v>142</v>
      </c>
      <c r="B146">
        <v>2167</v>
      </c>
      <c r="C146" s="74">
        <v>3.6946876569578101E-3</v>
      </c>
      <c r="D146" s="69">
        <v>9.6743307686607397E-2</v>
      </c>
      <c r="E146" s="75">
        <v>0.23320320256586999</v>
      </c>
      <c r="F146" s="7">
        <f>MAX((1-Parameters!$B$4)^Parameters!B$65*F145 + C145*Parameters!B$65 - IF(C145&gt;0,Parameters!$B$5,0)*C145^2/F145*Parameters!B$65, 0.0001)</f>
        <v>1E-4</v>
      </c>
      <c r="G146" s="7">
        <f>(1-Parameters!$B$4)^Parameters!B$65*G145+D145*Parameters!B$65-Parameters!$B$5*D145^2/G145*Parameters!B$65</f>
        <v>1.378608450957433</v>
      </c>
      <c r="H146" s="7">
        <f>(1-Parameters!$B$4)^Parameters!B$65*H145+E145*Parameters!B$65-Parameters!$B$5*E145^2/H145*Parameters!B$65</f>
        <v>3.2982237041252871</v>
      </c>
      <c r="I146" s="9">
        <f>I145 *(1-Parameters!$B$4)-C145*(C145&lt;0)*Parameters!B$65</f>
        <v>1.0876462490599899E-3</v>
      </c>
      <c r="J146" s="23">
        <f>J145*(1+Parameters!$B$51)^Parameters!B$65</f>
        <v>12.310446500257655</v>
      </c>
      <c r="K146" s="23">
        <f>K145*(1+Parameters!$B$53)^Parameters!B$65</f>
        <v>150.65971387837871</v>
      </c>
      <c r="L146" s="23">
        <f>J146*K146*EXP(-Parameters!$B$42*'6states'!A146)*(Parameters!$B$37/Parameters!$B$38*('6states'!F146+'6states'!I146)/Parameters!$E$25*(EXP(-Parameters!$B$38*Parameters!$E$25*'6states'!I146/('6states'!F146+'6states'!I146))-EXP(-Parameters!$B$38*Parameters!$E$25))  +  Parameters!$B$39*'6states'!F146)</f>
        <v>3.4384095481406418E-2</v>
      </c>
      <c r="M146" s="8">
        <f>M145+L146*Parameters!B$65</f>
        <v>3693.8659069242503</v>
      </c>
      <c r="N146" s="7">
        <f>M146*Parameters!$B$45</f>
        <v>2.2163195441545498</v>
      </c>
      <c r="O146" s="9">
        <f>EXP(-Parameters!$B$46/2*N146^2)</f>
        <v>0.95183238408110749</v>
      </c>
      <c r="P146" s="8">
        <f>MAX((Parameters!$B$62 + Parameters!$B$31*'6states'!A146 - '6states'!M146 + Parameters!$B$47/Parameters!$B$45)/Parameters!B$62,1)</f>
        <v>124.210681861515</v>
      </c>
      <c r="Q146" s="8"/>
      <c r="R146" s="8"/>
      <c r="S146" s="7">
        <f>Parameters!B$61*EXP(-Parameters!B$60*A146)+(1-Parameters!B$61)*P146^-Parameters!B$63</f>
        <v>0.31952390067019065</v>
      </c>
      <c r="T146" s="7">
        <f>1-S146/Parameters!$B$12</f>
        <v>0.84023804966490467</v>
      </c>
      <c r="U146" s="7">
        <f t="shared" si="188"/>
        <v>6.2593126705234479</v>
      </c>
      <c r="V146" s="7">
        <f>(Parameters!$B$19*(F146+Parameters!$B$20)^T146+Parameters!$B$18*G146^T146)^(1/T146)</f>
        <v>0.34865213660436567</v>
      </c>
      <c r="W146" s="7">
        <f>(Parameters!$B$10*H146^Parameters!$B$9+Parameters!$B$11*V146^Parameters!$B$9)^(Parameters!$B$7/Parameters!$B$9)*O146</f>
        <v>1.3242547517400156</v>
      </c>
      <c r="X146" s="7">
        <f>W146 - D146 - E146 - LN(1+EXP(Parameters!$B$21*C146))/Parameters!$B$21 - IF(C146&gt;0, 0,Parameters!$B$6*C146^2/F146)</f>
        <v>0.9896627453359047</v>
      </c>
      <c r="Y146" s="7">
        <f>EXP(-Parameters!$B$55*A146)</f>
        <v>0.11716172894552528</v>
      </c>
      <c r="Z146" s="7">
        <f>IF(X146&gt;0,X146^(1-Parameters!$B$52)/(1-Parameters!$B$52)*Y146*Parameters!$B$65,-10+X146*1000)</f>
        <v>-0.33596744748673019</v>
      </c>
      <c r="AC146">
        <f t="shared" si="189"/>
        <v>6.8524941448044805</v>
      </c>
      <c r="AD146">
        <f t="shared" si="190"/>
        <v>179.42868545953127</v>
      </c>
      <c r="AE146" s="23">
        <f t="shared" si="191"/>
        <v>2.0172448242726366</v>
      </c>
      <c r="AF146" s="23">
        <f t="shared" si="192"/>
        <v>0.18546883474439069</v>
      </c>
      <c r="AG146" s="23">
        <f t="shared" si="193"/>
        <v>2556.8890296784457</v>
      </c>
      <c r="AH146" s="23">
        <f t="shared" si="194"/>
        <v>646.64105507153829</v>
      </c>
      <c r="AI146" s="23">
        <f t="shared" si="195"/>
        <v>1591.4328675528493</v>
      </c>
      <c r="AJ146" s="23">
        <f t="shared" si="196"/>
        <v>2456.0798570994307</v>
      </c>
      <c r="AK146" s="23">
        <f t="shared" si="197"/>
        <v>1835.515961673849</v>
      </c>
      <c r="AL146" s="9">
        <f t="shared" si="199"/>
        <v>2.3017067771216482E-2</v>
      </c>
      <c r="AM146" s="9">
        <f t="shared" si="200"/>
        <v>1.3531609102502173E-2</v>
      </c>
      <c r="AN146" s="9">
        <f t="shared" ref="AN146:AO146" si="213">AVERAGE(AL144:AL148)</f>
        <v>2.3105508161300393E-2</v>
      </c>
      <c r="AO146" s="9">
        <f t="shared" si="213"/>
        <v>2.1762184487198865E-2</v>
      </c>
      <c r="AP146" s="23"/>
      <c r="AQ146" s="25">
        <f t="shared" si="186"/>
        <v>2456.0798570994307</v>
      </c>
      <c r="AR146" s="4"/>
      <c r="AS146" s="4"/>
      <c r="AT146" s="4"/>
      <c r="AU146" s="16"/>
      <c r="AV146" s="16"/>
      <c r="AY146" s="21">
        <f>-Y146*W146*X146^(-Parameters!B$52)*Parameters!B$46*Parameters!B$45*N146</f>
        <v>-4.2056124151795158E-6</v>
      </c>
      <c r="AZ146" s="7">
        <f>1000*EXP(-(Parameters!$B$54)*'6states'!A146)*AQ146*Parameters!B$46*Parameters!B$45*N146</f>
        <v>0.44937779682114454</v>
      </c>
      <c r="BA146" s="93">
        <f>SUM(AZ146:AZ$204)*EXP(Parameters!$B$54*A146)</f>
        <v>3956.3327235726447</v>
      </c>
      <c r="BF146" s="5"/>
      <c r="BG146" s="5"/>
      <c r="BH146" s="5"/>
      <c r="BK146">
        <f>-EXP(-Parameters!B$42*'6states'!A146)*(-Parameters!B$37/Parameters!B$38/Parameters!E$25*(EXP(-Parameters!B$38*Parameters!E$25*'6states'!I146/('6states'!F146+'6states'!I146))-EXP(-Parameters!B$38*Parameters!E$25))+Parameters!B$37*'6states'!F146/('6states'!F146+'6states'!I146)*EXP(-Parameters!B$38*Parameters!E$25*'6states'!I146/('6states'!F146+'6states'!I146)))</f>
        <v>-1.0471316359235085E-18</v>
      </c>
      <c r="BL146">
        <f>-J146*K146*EXP(-Parameters!B$42*'6states'!A146)*(-Parameters!B$37/Parameters!B$38/Parameters!E$25*(EXP(-Parameters!B$38*Parameters!E$25*'6states'!I146/('6states'!F146+'6states'!I146))-EXP(-Parameters!B$38*Parameters!E$25)) + Parameters!B$37*'6states'!F146/('6states'!F146+'6states'!I146)*EXP(-Parameters!B$38*Parameters!E$25*'6states'!I146/('6states'!F146+'6states'!I146)))</f>
        <v>-1.9421028433872066E-15</v>
      </c>
    </row>
    <row r="147" spans="1:64" x14ac:dyDescent="0.25">
      <c r="A147">
        <f>A146+Parameters!$B$65</f>
        <v>143</v>
      </c>
      <c r="B147">
        <v>2168</v>
      </c>
      <c r="C147" s="74">
        <v>3.1893733661980798E-3</v>
      </c>
      <c r="D147" s="69">
        <v>9.8278050340412704E-2</v>
      </c>
      <c r="E147" s="75">
        <v>0.22497334117678999</v>
      </c>
      <c r="F147" s="7">
        <f>MAX((1-Parameters!$B$4)^Parameters!B$65*F146 + C146*Parameters!B$65 - IF(C146&gt;0,Parameters!$B$5,0)*C146^2/F146*Parameters!B$65, 0.0001)</f>
        <v>1E-4</v>
      </c>
      <c r="G147" s="7">
        <f>(1-Parameters!$B$4)^Parameters!B$65*G146+D146*Parameters!B$65-Parameters!$B$5*D146^2/G146*Parameters!B$65</f>
        <v>1.3818483633814145</v>
      </c>
      <c r="H147" s="7">
        <f>(1-Parameters!$B$4)^Parameters!B$65*H146+E146*Parameters!B$65-Parameters!$B$5*E146^2/H146*Parameters!B$65</f>
        <v>3.3074798409546866</v>
      </c>
      <c r="I147" s="9">
        <f>I146 *(1-Parameters!$B$4)-C146*(C146&lt;0)*Parameters!B$65</f>
        <v>1.0192332999941166E-3</v>
      </c>
      <c r="J147" s="23">
        <f>J146*(1+Parameters!$B$51)^Parameters!B$65</f>
        <v>12.346146795108401</v>
      </c>
      <c r="K147" s="23">
        <f>K146*(1+Parameters!$B$53)^Parameters!B$65</f>
        <v>153.67290815594629</v>
      </c>
      <c r="L147" s="23">
        <f>J147*K147*EXP(-Parameters!$B$42*'6states'!A147)*(Parameters!$B$37/Parameters!$B$38*('6states'!F147+'6states'!I147)/Parameters!$E$25*(EXP(-Parameters!$B$38*Parameters!$E$25*'6states'!I147/('6states'!F147+'6states'!I147))-EXP(-Parameters!$B$38*Parameters!$E$25))  +  Parameters!$B$39*'6states'!F147)</f>
        <v>3.48235035166699E-2</v>
      </c>
      <c r="M147" s="8">
        <f>M146+L147*Parameters!B$65</f>
        <v>3693.900730427767</v>
      </c>
      <c r="N147" s="7">
        <f>M147*Parameters!$B$45</f>
        <v>2.2163404382566601</v>
      </c>
      <c r="O147" s="9">
        <f>EXP(-Parameters!$B$46/2*N147^2)</f>
        <v>0.95183149812038603</v>
      </c>
      <c r="P147" s="8">
        <f>MAX((Parameters!$B$62 + Parameters!$B$31*'6states'!A147 - '6states'!M147 + Parameters!$B$47/Parameters!$B$45)/Parameters!B$62,1)</f>
        <v>125.27398539144465</v>
      </c>
      <c r="Q147" s="8"/>
      <c r="R147" s="8"/>
      <c r="S147" s="7">
        <f>Parameters!B$61*EXP(-Parameters!B$60*A147)+(1-Parameters!B$61)*P147^-Parameters!B$63</f>
        <v>0.31897286047868556</v>
      </c>
      <c r="T147" s="7">
        <f>1-S147/Parameters!$B$12</f>
        <v>0.84051356976065716</v>
      </c>
      <c r="U147" s="7">
        <f t="shared" si="188"/>
        <v>6.2701259191724983</v>
      </c>
      <c r="V147" s="7">
        <f>(Parameters!$B$19*(F147+Parameters!$B$20)^T147+Parameters!$B$18*G147^T147)^(1/T147)</f>
        <v>0.34957996694882515</v>
      </c>
      <c r="W147" s="7">
        <f>(Parameters!$B$10*H147^Parameters!$B$9+Parameters!$B$11*V147^Parameters!$B$9)^(Parameters!$B$7/Parameters!$B$9)*O147</f>
        <v>1.325349502645166</v>
      </c>
      <c r="X147" s="7">
        <f>W147 - D147 - E147 - LN(1+EXP(Parameters!$B$21*C147))/Parameters!$B$21 - IF(C147&gt;0, 0,Parameters!$B$6*C147^2/F147)</f>
        <v>0.99782520008822517</v>
      </c>
      <c r="Y147" s="7">
        <f>EXP(-Parameters!$B$55*A147)</f>
        <v>0.11540587688403768</v>
      </c>
      <c r="Z147" s="7">
        <f>IF(X147&gt;0,X147^(1-Parameters!$B$52)/(1-Parameters!$B$52)*Y147*Parameters!$B$65,-10+X147*1000)</f>
        <v>-0.3299824305742256</v>
      </c>
      <c r="AC147">
        <f t="shared" si="189"/>
        <v>6.051096928816091</v>
      </c>
      <c r="AD147">
        <f t="shared" si="190"/>
        <v>186.4598277792135</v>
      </c>
      <c r="AE147" s="23">
        <f t="shared" si="191"/>
        <v>1.9337590125716406</v>
      </c>
      <c r="AF147" s="23">
        <f t="shared" si="192"/>
        <v>0.18972682825245241</v>
      </c>
      <c r="AG147" s="23">
        <f t="shared" si="193"/>
        <v>2621.7370711019807</v>
      </c>
      <c r="AH147" s="23">
        <f t="shared" si="194"/>
        <v>663.24698349797734</v>
      </c>
      <c r="AI147" s="23">
        <f t="shared" si="195"/>
        <v>1632.3013216771262</v>
      </c>
      <c r="AJ147" s="23">
        <f t="shared" si="196"/>
        <v>2514.543574628326</v>
      </c>
      <c r="AK147" s="23">
        <f t="shared" si="197"/>
        <v>1893.1421036310765</v>
      </c>
      <c r="AL147" s="9">
        <f t="shared" si="199"/>
        <v>2.3524780958959823E-2</v>
      </c>
      <c r="AM147" s="9">
        <f t="shared" si="200"/>
        <v>3.0912317353343433E-2</v>
      </c>
      <c r="AN147" s="9">
        <f t="shared" ref="AN147:AO147" si="214">AVERAGE(AL145:AL149)</f>
        <v>2.3140161997736008E-2</v>
      </c>
      <c r="AO147" s="9">
        <f t="shared" si="214"/>
        <v>2.0766023359831111E-2</v>
      </c>
      <c r="AP147" s="23"/>
      <c r="AQ147" s="25">
        <f t="shared" si="186"/>
        <v>2514.5435746283265</v>
      </c>
      <c r="AR147" s="4"/>
      <c r="AS147" s="4"/>
      <c r="AT147" s="4"/>
      <c r="AU147" s="16"/>
      <c r="AV147" s="16"/>
      <c r="AY147" s="21">
        <f>-Y147*W147*X147^(-Parameters!B$52)*Parameters!B$46*Parameters!B$45*N147</f>
        <v>-4.1003279285918067E-6</v>
      </c>
      <c r="AZ147" s="7">
        <f>1000*EXP(-(Parameters!$B$54)*'6states'!A147)*AQ147*Parameters!B$46*Parameters!B$45*N147</f>
        <v>0.44421032737001787</v>
      </c>
      <c r="BA147" s="93">
        <f>SUM(AZ147:AZ$204)*EXP(Parameters!$B$54*A147)</f>
        <v>4029.6726230377608</v>
      </c>
      <c r="BF147" s="5"/>
      <c r="BG147" s="5"/>
      <c r="BH147" s="5"/>
      <c r="BK147">
        <f>-EXP(-Parameters!B$42*'6states'!A147)*(-Parameters!B$37/Parameters!B$38/Parameters!E$25*(EXP(-Parameters!B$38*Parameters!E$25*'6states'!I147/('6states'!F147+'6states'!I147))-EXP(-Parameters!B$38*Parameters!E$25))+Parameters!B$37*'6states'!F147/('6states'!F147+'6states'!I147)*EXP(-Parameters!B$38*Parameters!E$25*'6states'!I147/('6states'!F147+'6states'!I147)))</f>
        <v>-1.3963239226390038E-18</v>
      </c>
      <c r="BL147">
        <f>-J147*K147*EXP(-Parameters!B$42*'6states'!A147)*(-Parameters!B$37/Parameters!B$38/Parameters!E$25*(EXP(-Parameters!B$38*Parameters!E$25*'6states'!I147/('6states'!F147+'6states'!I147))-EXP(-Parameters!B$38*Parameters!E$25)) + Parameters!B$37*'6states'!F147/('6states'!F147+'6states'!I147)*EXP(-Parameters!B$38*Parameters!E$25*'6states'!I147/('6states'!F147+'6states'!I147)))</f>
        <v>-2.6492010905532088E-15</v>
      </c>
    </row>
    <row r="148" spans="1:64" x14ac:dyDescent="0.25">
      <c r="A148">
        <f>A147+Parameters!$B$65</f>
        <v>144</v>
      </c>
      <c r="B148">
        <v>2169</v>
      </c>
      <c r="C148" s="74">
        <v>5.7713918422092796E-3</v>
      </c>
      <c r="D148" s="69">
        <v>9.0615379771488105E-2</v>
      </c>
      <c r="E148" s="75">
        <v>0.235397907251192</v>
      </c>
      <c r="F148" s="7">
        <f>MAX((1-Parameters!$B$4)^Parameters!B$65*F147 + C147*Parameters!B$65 - IF(C147&gt;0,Parameters!$B$5,0)*C147^2/F147*Parameters!B$65, 0.0001)</f>
        <v>1E-4</v>
      </c>
      <c r="G148" s="7">
        <f>(1-Parameters!$B$4)^Parameters!B$65*G147+D147*Parameters!B$65-Parameters!$B$5*D147^2/G147*Parameters!B$65</f>
        <v>1.3862185459785343</v>
      </c>
      <c r="H148" s="7">
        <f>(1-Parameters!$B$4)^Parameters!B$65*H147+E147*Parameters!B$65-Parameters!$B$5*E147^2/H147*Parameters!B$65</f>
        <v>3.3091101112538452</v>
      </c>
      <c r="I148" s="9">
        <f>I147 *(1-Parameters!$B$4)-C147*(C147&lt;0)*Parameters!B$65</f>
        <v>9.5512352542448668E-4</v>
      </c>
      <c r="J148" s="23">
        <f>J147*(1+Parameters!$B$51)^Parameters!B$65</f>
        <v>12.381950620814214</v>
      </c>
      <c r="K148" s="23">
        <f>K147*(1+Parameters!$B$53)^Parameters!B$65</f>
        <v>156.7463663190652</v>
      </c>
      <c r="L148" s="23">
        <f>J148*K148*EXP(-Parameters!$B$42*'6states'!A148)*(Parameters!$B$37/Parameters!$B$38*('6states'!F148+'6states'!I148)/Parameters!$E$25*(EXP(-Parameters!$B$38*Parameters!$E$25*'6states'!I148/('6states'!F148+'6states'!I148))-EXP(-Parameters!$B$38*Parameters!$E$25))  +  Parameters!$B$39*'6states'!F148)</f>
        <v>3.5268526922026748E-2</v>
      </c>
      <c r="M148" s="8">
        <f>M147+L148*Parameters!B$65</f>
        <v>3693.9359989546892</v>
      </c>
      <c r="N148" s="7">
        <f>M148*Parameters!$B$45</f>
        <v>2.2163615993728132</v>
      </c>
      <c r="O148" s="9">
        <f>EXP(-Parameters!$B$46/2*N148^2)</f>
        <v>0.95183060082994764</v>
      </c>
      <c r="P148" s="8">
        <f>MAX((Parameters!$B$62 + Parameters!$B$31*'6states'!A148 - '6states'!M148 + Parameters!$B$47/Parameters!$B$45)/Parameters!B$62,1)</f>
        <v>126.33728002090622</v>
      </c>
      <c r="Q148" s="8"/>
      <c r="R148" s="8"/>
      <c r="S148" s="7">
        <f>Parameters!B$61*EXP(-Parameters!B$60*A148)+(1-Parameters!B$61)*P148^-Parameters!B$63</f>
        <v>0.31843193901373856</v>
      </c>
      <c r="T148" s="7">
        <f>1-S148/Parameters!$B$12</f>
        <v>0.84078403049313066</v>
      </c>
      <c r="U148" s="7">
        <f t="shared" si="188"/>
        <v>6.2807770043246522</v>
      </c>
      <c r="V148" s="7">
        <f>(Parameters!$B$19*(F148+Parameters!$B$20)^T148+Parameters!$B$18*G148^T148)^(1/T148)</f>
        <v>0.35078187236239755</v>
      </c>
      <c r="W148" s="7">
        <f>(Parameters!$B$10*H148^Parameters!$B$9+Parameters!$B$11*V148^Parameters!$B$9)^(Parameters!$B$7/Parameters!$B$9)*O148</f>
        <v>1.3259050053543904</v>
      </c>
      <c r="X148" s="7">
        <f>W148 - D148 - E148 - LN(1+EXP(Parameters!$B$21*C148))/Parameters!$B$21 - IF(C148&gt;0, 0,Parameters!$B$6*C148^2/F148)</f>
        <v>0.99357700281792394</v>
      </c>
      <c r="Y148" s="7">
        <f>EXP(-Parameters!$B$55*A148)</f>
        <v>0.11367633901652432</v>
      </c>
      <c r="Z148" s="7">
        <f>IF(X148&gt;0,X148^(1-Parameters!$B$52)/(1-Parameters!$B$52)*Y148*Parameters!$B$65,-10+X148*1000)</f>
        <v>-0.32552286441652567</v>
      </c>
      <c r="AC148">
        <f t="shared" si="189"/>
        <v>11.201266003169163</v>
      </c>
      <c r="AD148">
        <f t="shared" si="190"/>
        <v>175.86866401538407</v>
      </c>
      <c r="AE148" s="23">
        <f t="shared" si="191"/>
        <v>1.8537283495325756</v>
      </c>
      <c r="AF148" s="23">
        <f t="shared" si="192"/>
        <v>0.19408257677547217</v>
      </c>
      <c r="AG148" s="23">
        <f t="shared" si="193"/>
        <v>2690.4086737746229</v>
      </c>
      <c r="AH148" s="23">
        <f t="shared" si="194"/>
        <v>680.80649674218898</v>
      </c>
      <c r="AI148" s="23">
        <f t="shared" si="195"/>
        <v>1675.5166206376548</v>
      </c>
      <c r="AJ148" s="23">
        <f t="shared" si="196"/>
        <v>2573.3505999867634</v>
      </c>
      <c r="AK148" s="23">
        <f t="shared" si="197"/>
        <v>1928.3598493175323</v>
      </c>
      <c r="AL148" s="9">
        <f t="shared" si="199"/>
        <v>2.311747936459696E-2</v>
      </c>
      <c r="AM148" s="9">
        <f t="shared" si="200"/>
        <v>1.8431885248813451E-2</v>
      </c>
      <c r="AN148" s="9">
        <f t="shared" ref="AN148:AO148" si="215">AVERAGE(AL146:AL150)</f>
        <v>2.3195932486387783E-2</v>
      </c>
      <c r="AO148" s="9">
        <f t="shared" si="215"/>
        <v>2.1752844575106955E-2</v>
      </c>
      <c r="AP148" s="23"/>
      <c r="AQ148" s="25">
        <f t="shared" si="186"/>
        <v>2573.350599986763</v>
      </c>
      <c r="AR148" s="4"/>
      <c r="AS148" s="4"/>
      <c r="AT148" s="4"/>
      <c r="AU148" s="16"/>
      <c r="AV148" s="16"/>
      <c r="AY148" s="21">
        <f>-Y148*W148*X148^(-Parameters!B$52)*Parameters!B$46*Parameters!B$45*N148</f>
        <v>-4.0639499134120005E-6</v>
      </c>
      <c r="AZ148" s="7">
        <f>1000*EXP(-(Parameters!$B$54)*'6states'!A148)*AQ148*Parameters!B$46*Parameters!B$45*N148</f>
        <v>0.43892352170170473</v>
      </c>
      <c r="BA148" s="93">
        <f>SUM(AZ148:AZ$204)*EXP(Parameters!$B$54*A148)</f>
        <v>4104.0133183562821</v>
      </c>
      <c r="BF148" s="5"/>
      <c r="BG148" s="5"/>
      <c r="BH148" s="5"/>
      <c r="BK148">
        <f>-EXP(-Parameters!B$42*'6states'!A148)*(-Parameters!B$37/Parameters!B$38/Parameters!E$25*(EXP(-Parameters!B$38*Parameters!E$25*'6states'!I148/('6states'!F148+'6states'!I148))-EXP(-Parameters!B$38*Parameters!E$25))+Parameters!B$37*'6states'!F148/('6states'!F148+'6states'!I148)*EXP(-Parameters!B$38*Parameters!E$25*'6states'!I148/('6states'!F148+'6states'!I148)))</f>
        <v>-1.8816235363475001E-18</v>
      </c>
      <c r="BL148">
        <f>-J148*K148*EXP(-Parameters!B$42*'6states'!A148)*(-Parameters!B$37/Parameters!B$38/Parameters!E$25*(EXP(-Parameters!B$38*Parameters!E$25*'6states'!I148/('6states'!F148+'6states'!I148))-EXP(-Parameters!B$38*Parameters!E$25)) + Parameters!B$37*'6states'!F148/('6states'!F148+'6states'!I148)*EXP(-Parameters!B$38*Parameters!E$25*'6states'!I148/('6states'!F148+'6states'!I148)))</f>
        <v>-3.6519034445569917E-15</v>
      </c>
    </row>
    <row r="149" spans="1:64" x14ac:dyDescent="0.25">
      <c r="A149">
        <f>A148+Parameters!$B$65</f>
        <v>145</v>
      </c>
      <c r="B149">
        <v>2170</v>
      </c>
      <c r="C149" s="74">
        <v>9.6327151734242507E-3</v>
      </c>
      <c r="D149" s="69">
        <v>9.6195056996907793E-2</v>
      </c>
      <c r="E149" s="75">
        <v>0.22761795742293101</v>
      </c>
      <c r="F149" s="7">
        <f>MAX((1-Parameters!$B$4)^Parameters!B$65*F148 + C148*Parameters!B$65 - IF(C148&gt;0,Parameters!$B$5,0)*C148^2/F148*Parameters!B$65, 0.0001)</f>
        <v>1E-4</v>
      </c>
      <c r="G149" s="7">
        <f>(1-Parameters!$B$4)^Parameters!B$65*G148+D148*Parameters!B$65-Parameters!$B$5*D148^2/G148*Parameters!B$65</f>
        <v>1.3837173646966379</v>
      </c>
      <c r="H149" s="7">
        <f>(1-Parameters!$B$4)^Parameters!B$65*H148+E148*Parameters!B$65-Parameters!$B$5*E148^2/H148*Parameters!B$65</f>
        <v>3.319619652256995</v>
      </c>
      <c r="I149" s="9">
        <f>I148 *(1-Parameters!$B$4)-C148*(C148&lt;0)*Parameters!B$65</f>
        <v>8.9504625567528653E-4</v>
      </c>
      <c r="J149" s="23">
        <f>J148*(1+Parameters!$B$51)^Parameters!B$65</f>
        <v>12.417858277614574</v>
      </c>
      <c r="K149" s="23">
        <f>K148*(1+Parameters!$B$53)^Parameters!B$65</f>
        <v>159.8812936454465</v>
      </c>
      <c r="L149" s="23">
        <f>J149*K149*EXP(-Parameters!$B$42*'6states'!A149)*(Parameters!$B$37/Parameters!$B$38*('6states'!F149+'6states'!I149)/Parameters!$E$25*(EXP(-Parameters!$B$38*Parameters!$E$25*'6states'!I149/('6states'!F149+'6states'!I149))-EXP(-Parameters!$B$38*Parameters!$E$25))  +  Parameters!$B$39*'6states'!F149)</f>
        <v>3.5719237458525378E-2</v>
      </c>
      <c r="M149" s="8">
        <f>M148+L149*Parameters!B$65</f>
        <v>3693.9717181921478</v>
      </c>
      <c r="N149" s="7">
        <f>M149*Parameters!$B$45</f>
        <v>2.2163830309152885</v>
      </c>
      <c r="O149" s="9">
        <f>EXP(-Parameters!$B$46/2*N149^2)</f>
        <v>0.95182969206480794</v>
      </c>
      <c r="P149" s="8">
        <f>MAX((Parameters!$B$62 + Parameters!$B$31*'6states'!A149 - '6states'!M149 + Parameters!$B$47/Parameters!$B$45)/Parameters!B$62,1)</f>
        <v>127.40056563615704</v>
      </c>
      <c r="Q149" s="8"/>
      <c r="R149" s="8"/>
      <c r="S149" s="7">
        <f>Parameters!B$61*EXP(-Parameters!B$60*A149)+(1-Parameters!B$61)*P149^-Parameters!B$63</f>
        <v>0.31790088886211187</v>
      </c>
      <c r="T149" s="7">
        <f>1-S149/Parameters!$B$12</f>
        <v>0.84104955556894412</v>
      </c>
      <c r="U149" s="7">
        <f t="shared" si="188"/>
        <v>6.2912689774437593</v>
      </c>
      <c r="V149" s="7">
        <f>(Parameters!$B$19*(F149+Parameters!$B$20)^T149+Parameters!$B$18*G149^T149)^(1/T149)</f>
        <v>0.35030400393246386</v>
      </c>
      <c r="W149" s="7">
        <f>(Parameters!$B$10*H149^Parameters!$B$9+Parameters!$B$11*V149^Parameters!$B$9)^(Parameters!$B$7/Parameters!$B$9)*O149</f>
        <v>1.3266073743119928</v>
      </c>
      <c r="X149" s="7">
        <f>W149 - D149 - E149 - LN(1+EXP(Parameters!$B$21*C149))/Parameters!$B$21 - IF(C149&gt;0, 0,Parameters!$B$6*C149^2/F149)</f>
        <v>0.99298132286660745</v>
      </c>
      <c r="Y149" s="7">
        <f>EXP(-Parameters!$B$55*A149)</f>
        <v>0.11197272098356298</v>
      </c>
      <c r="Z149" s="7">
        <f>IF(X149&gt;0,X149^(1-Parameters!$B$52)/(1-Parameters!$B$52)*Y149*Parameters!$B$65,-10+X149*1000)</f>
        <v>-0.32071170420810918</v>
      </c>
      <c r="AC149">
        <f t="shared" si="189"/>
        <v>19.124631316213694</v>
      </c>
      <c r="AD149">
        <f t="shared" si="190"/>
        <v>190.98405448378338</v>
      </c>
      <c r="AE149" s="23">
        <f t="shared" si="191"/>
        <v>1.7770098401718306</v>
      </c>
      <c r="AF149" s="23">
        <f t="shared" si="192"/>
        <v>0.19853832457308343</v>
      </c>
      <c r="AG149" s="23">
        <f t="shared" si="193"/>
        <v>2747.2092726955275</v>
      </c>
      <c r="AH149" s="23">
        <f t="shared" si="194"/>
        <v>695.48770031994206</v>
      </c>
      <c r="AI149" s="23">
        <f t="shared" si="195"/>
        <v>1711.6481803733507</v>
      </c>
      <c r="AJ149" s="23">
        <f t="shared" si="196"/>
        <v>2633.824054622004</v>
      </c>
      <c r="AK149" s="23">
        <f t="shared" si="197"/>
        <v>1971.4484817430025</v>
      </c>
      <c r="AL149" s="9">
        <f t="shared" si="199"/>
        <v>2.3228018114865634E-2</v>
      </c>
      <c r="AM149" s="9">
        <f t="shared" si="200"/>
        <v>2.2098719882248652E-2</v>
      </c>
      <c r="AN149" s="9">
        <f t="shared" ref="AN149:AO149" si="216">AVERAGE(AL147:AL151)</f>
        <v>2.3200620600157863E-2</v>
      </c>
      <c r="AO149" s="9">
        <f t="shared" si="216"/>
        <v>2.4273827259879609E-2</v>
      </c>
      <c r="AP149" s="23"/>
      <c r="AQ149" s="25">
        <f t="shared" si="186"/>
        <v>2633.824054622004</v>
      </c>
      <c r="AR149" s="4"/>
      <c r="AS149" s="4"/>
      <c r="AT149" s="4"/>
      <c r="AU149" s="16"/>
      <c r="AV149" s="16"/>
      <c r="AY149" s="21">
        <f>-Y149*W149*X149^(-Parameters!B$52)*Parameters!B$46*Parameters!B$45*N149</f>
        <v>-4.0084484743082165E-6</v>
      </c>
      <c r="AZ149" s="7">
        <f>1000*EXP(-(Parameters!$B$54)*'6states'!A149)*AQ149*Parameters!B$46*Parameters!B$45*N149</f>
        <v>0.43374763353367612</v>
      </c>
      <c r="BA149" s="93">
        <f>SUM(AZ149:AZ$204)*EXP(Parameters!$B$54*A149)</f>
        <v>4179.3810179411612</v>
      </c>
      <c r="BF149" s="5"/>
      <c r="BG149" s="5"/>
      <c r="BH149" s="5"/>
      <c r="BK149">
        <f>-EXP(-Parameters!B$42*'6states'!A149)*(-Parameters!B$37/Parameters!B$38/Parameters!E$25*(EXP(-Parameters!B$38*Parameters!E$25*'6states'!I149/('6states'!F149+'6states'!I149))-EXP(-Parameters!B$38*Parameters!E$25))+Parameters!B$37*'6states'!F149/('6states'!F149+'6states'!I149)*EXP(-Parameters!B$38*Parameters!E$25*'6states'!I149/('6states'!F149+'6states'!I149)))</f>
        <v>-2.5636720909927233E-18</v>
      </c>
      <c r="BL149">
        <f>-J149*K149*EXP(-Parameters!B$42*'6states'!A149)*(-Parameters!B$37/Parameters!B$38/Parameters!E$25*(EXP(-Parameters!B$38*Parameters!E$25*'6states'!I149/('6states'!F149+'6states'!I149))-EXP(-Parameters!B$38*Parameters!E$25)) + Parameters!B$37*'6states'!F149/('6states'!F149+'6states'!I149)*EXP(-Parameters!B$38*Parameters!E$25*'6states'!I149/('6states'!F149+'6states'!I149)))</f>
        <v>-5.0898716170046878E-15</v>
      </c>
    </row>
    <row r="150" spans="1:64" x14ac:dyDescent="0.25">
      <c r="A150">
        <f>A149+Parameters!$B$65</f>
        <v>146</v>
      </c>
      <c r="B150">
        <v>2171</v>
      </c>
      <c r="C150" s="74">
        <v>9.63389348519577E-3</v>
      </c>
      <c r="D150" s="69">
        <v>9.6666380803325E-2</v>
      </c>
      <c r="E150" s="75">
        <v>0.22658395895775499</v>
      </c>
      <c r="F150" s="7">
        <f>MAX((1-Parameters!$B$4)^Parameters!B$65*F149 + C149*Parameters!B$65 - IF(C149&gt;0,Parameters!$B$5,0)*C149^2/F149*Parameters!B$65, 0.0001)</f>
        <v>1E-4</v>
      </c>
      <c r="G150" s="7">
        <f>(1-Parameters!$B$4)^Parameters!B$65*G149+D149*Parameters!B$65-Parameters!$B$5*D149^2/G149*Parameters!B$65</f>
        <v>1.3861891868171781</v>
      </c>
      <c r="H150" s="7">
        <f>(1-Parameters!$B$4)^Parameters!B$65*H149+E149*Parameters!B$65-Parameters!$B$5*E149^2/H149*Parameters!B$65</f>
        <v>3.3228263435828205</v>
      </c>
      <c r="I150" s="9">
        <f>I149 *(1-Parameters!$B$4)-C149*(C149&lt;0)*Parameters!B$65</f>
        <v>8.387478461933111E-4</v>
      </c>
      <c r="J150" s="23">
        <f>J149*(1+Parameters!$B$51)^Parameters!B$65</f>
        <v>12.453870066619654</v>
      </c>
      <c r="K150" s="23">
        <f>K149*(1+Parameters!$B$53)^Parameters!B$65</f>
        <v>163.07891951835543</v>
      </c>
      <c r="L150" s="23">
        <f>J150*K150*EXP(-Parameters!$B$42*'6states'!A150)*(Parameters!$B$37/Parameters!$B$38*('6states'!F150+'6states'!I150)/Parameters!$E$25*(EXP(-Parameters!$B$38*Parameters!$E$25*'6states'!I150/('6states'!F150+'6states'!I150))-EXP(-Parameters!$B$38*Parameters!$E$25))  +  Parameters!$B$39*'6states'!F150)</f>
        <v>3.6175707804277174E-2</v>
      </c>
      <c r="M150" s="8">
        <f>M149+L150*Parameters!B$65</f>
        <v>3694.0078938999523</v>
      </c>
      <c r="N150" s="7">
        <f>M150*Parameters!$B$45</f>
        <v>2.216404736339971</v>
      </c>
      <c r="O150" s="9">
        <f>EXP(-Parameters!$B$46/2*N150^2)</f>
        <v>0.95182877167812474</v>
      </c>
      <c r="P150" s="8">
        <f>MAX((Parameters!$B$62 + Parameters!$B$31*'6states'!A150 - '6states'!M150 + Parameters!$B$47/Parameters!$B$45)/Parameters!B$62,1)</f>
        <v>128.46384212200098</v>
      </c>
      <c r="Q150" s="8"/>
      <c r="R150" s="8"/>
      <c r="S150" s="7">
        <f>Parameters!B$61*EXP(-Parameters!B$60*A150)+(1-Parameters!B$61)*P150^-Parameters!B$63</f>
        <v>0.31737946916392318</v>
      </c>
      <c r="T150" s="7">
        <f>1-S150/Parameters!$B$12</f>
        <v>0.84131026541803844</v>
      </c>
      <c r="U150" s="7">
        <f t="shared" si="188"/>
        <v>6.3016048431507752</v>
      </c>
      <c r="V150" s="7">
        <f>(Parameters!$B$19*(F150+Parameters!$B$20)^T150+Parameters!$B$18*G150^T150)^(1/T150)</f>
        <v>0.35103827578859326</v>
      </c>
      <c r="W150" s="7">
        <f>(Parameters!$B$10*H150^Parameters!$B$9+Parameters!$B$11*V150^Parameters!$B$9)^(Parameters!$B$7/Parameters!$B$9)*O150</f>
        <v>1.3271300090600575</v>
      </c>
      <c r="X150" s="7">
        <f>W150 - D150 - E150 - LN(1+EXP(Parameters!$B$21*C150))/Parameters!$B$21 - IF(C150&gt;0, 0,Parameters!$B$6*C150^2/F150)</f>
        <v>0.99406551600042548</v>
      </c>
      <c r="Y150" s="7">
        <f>EXP(-Parameters!$B$55*A150)</f>
        <v>0.11029463433582516</v>
      </c>
      <c r="Z150" s="7">
        <f>IF(X150&gt;0,X150^(1-Parameters!$B$52)/(1-Parameters!$B$52)*Y150*Parameters!$B$65,-10+X150*1000)</f>
        <v>-0.31578470261404151</v>
      </c>
      <c r="AC150">
        <f t="shared" si="189"/>
        <v>19.566087710376266</v>
      </c>
      <c r="AD150">
        <f t="shared" si="190"/>
        <v>196.32590793628177</v>
      </c>
      <c r="AE150" s="23">
        <f t="shared" si="191"/>
        <v>1.7034664075045063</v>
      </c>
      <c r="AF150" s="23">
        <f t="shared" si="192"/>
        <v>0.20309636742863224</v>
      </c>
      <c r="AG150" s="23">
        <f t="shared" si="193"/>
        <v>2815.2998841141853</v>
      </c>
      <c r="AH150" s="23">
        <f t="shared" si="194"/>
        <v>712.94598641073674</v>
      </c>
      <c r="AI150" s="23">
        <f t="shared" si="195"/>
        <v>1754.6143516025459</v>
      </c>
      <c r="AJ150" s="23">
        <f t="shared" si="196"/>
        <v>2695.352839456255</v>
      </c>
      <c r="AK150" s="23">
        <f t="shared" si="197"/>
        <v>2018.910952857553</v>
      </c>
      <c r="AL150" s="9">
        <f t="shared" si="199"/>
        <v>2.3092316222300013E-2</v>
      </c>
      <c r="AM150" s="9">
        <f t="shared" si="200"/>
        <v>2.3789691288627068E-2</v>
      </c>
      <c r="AN150" s="9">
        <f t="shared" ref="AN150:AO150" si="217">AVERAGE(AL148:AL152)</f>
        <v>2.3067885981541813E-2</v>
      </c>
      <c r="AO150" s="9">
        <f t="shared" si="217"/>
        <v>2.0780467417781345E-2</v>
      </c>
      <c r="AP150" s="23"/>
      <c r="AQ150" s="25">
        <f t="shared" si="186"/>
        <v>2695.352839456255</v>
      </c>
      <c r="AR150" s="4"/>
      <c r="AS150" s="4"/>
      <c r="AT150" s="4"/>
      <c r="AU150" s="16"/>
      <c r="AV150" s="16"/>
      <c r="AY150" s="21">
        <f>-Y150*W150*X150^(-Parameters!B$52)*Parameters!B$46*Parameters!B$45*N150</f>
        <v>-3.9441549719604868E-6</v>
      </c>
      <c r="AZ150" s="7">
        <f>1000*EXP(-(Parameters!$B$54)*'6states'!A150)*AQ150*Parameters!B$46*Parameters!B$45*N150</f>
        <v>0.42857467122775122</v>
      </c>
      <c r="BA150" s="93">
        <f>SUM(AZ150:AZ$204)*EXP(Parameters!$B$54*A150)</f>
        <v>4255.7662355966486</v>
      </c>
      <c r="BF150" s="5"/>
      <c r="BG150" s="5"/>
      <c r="BH150" s="5"/>
      <c r="BK150">
        <f>-EXP(-Parameters!B$42*'6states'!A150)*(-Parameters!B$37/Parameters!B$38/Parameters!E$25*(EXP(-Parameters!B$38*Parameters!E$25*'6states'!I150/('6states'!F150+'6states'!I150))-EXP(-Parameters!B$38*Parameters!E$25))+Parameters!B$37*'6states'!F150/('6states'!F150+'6states'!I150)*EXP(-Parameters!B$38*Parameters!E$25*'6states'!I150/('6states'!F150+'6states'!I150)))</f>
        <v>-3.5334362087625647E-18</v>
      </c>
      <c r="BL150">
        <f>-J150*K150*EXP(-Parameters!B$42*'6states'!A150)*(-Parameters!B$37/Parameters!B$38/Parameters!E$25*(EXP(-Parameters!B$38*Parameters!E$25*'6states'!I150/('6states'!F150+'6states'!I150))-EXP(-Parameters!B$38*Parameters!E$25)) + Parameters!B$37*'6states'!F150/('6states'!F150+'6states'!I150)*EXP(-Parameters!B$38*Parameters!E$25*'6states'!I150/('6states'!F150+'6states'!I150)))</f>
        <v>-7.1762805854047509E-15</v>
      </c>
    </row>
    <row r="151" spans="1:64" x14ac:dyDescent="0.25">
      <c r="A151">
        <f>A150+Parameters!$B$65</f>
        <v>147</v>
      </c>
      <c r="B151">
        <v>2172</v>
      </c>
      <c r="C151" s="74">
        <v>9.63381159334511E-3</v>
      </c>
      <c r="D151" s="69">
        <v>0.100278648792877</v>
      </c>
      <c r="E151" s="75">
        <v>0.220002257376438</v>
      </c>
      <c r="F151" s="7">
        <f>MAX((1-Parameters!$B$4)^Parameters!B$65*F150 + C150*Parameters!B$65 - IF(C150&gt;0,Parameters!$B$5,0)*C150^2/F150*Parameters!B$65, 0.0001)</f>
        <v>1E-4</v>
      </c>
      <c r="G151" s="7">
        <f>(1-Parameters!$B$4)^Parameters!B$65*G150+D150*Parameters!B$65-Parameters!$B$5*D150^2/G150*Parameters!B$65</f>
        <v>1.388923204380607</v>
      </c>
      <c r="H151" s="7">
        <f>(1-Parameters!$B$4)^Parameters!B$65*H150+E150*Parameters!B$65-Parameters!$B$5*E150^2/H150*Parameters!B$65</f>
        <v>3.3249537360059782</v>
      </c>
      <c r="I151" s="9">
        <f>I150 *(1-Parameters!$B$4)-C150*(C150&lt;0)*Parameters!B$65</f>
        <v>7.8599060666775182E-4</v>
      </c>
      <c r="J151" s="23">
        <f>J150*(1+Parameters!$B$51)^Parameters!B$65</f>
        <v>12.489986289812849</v>
      </c>
      <c r="K151" s="23">
        <f>K150*(1+Parameters!$B$53)^Parameters!B$65</f>
        <v>166.34049790872254</v>
      </c>
      <c r="L151" s="23">
        <f>J151*K151*EXP(-Parameters!$B$42*'6states'!A151)*(Parameters!$B$37/Parameters!$B$38*('6states'!F151+'6states'!I151)/Parameters!$E$25*(EXP(-Parameters!$B$38*Parameters!$E$25*'6states'!I151/('6states'!F151+'6states'!I151))-EXP(-Parameters!$B$38*Parameters!$E$25))  +  Parameters!$B$39*'6states'!F151)</f>
        <v>3.6638011566176007E-2</v>
      </c>
      <c r="M151" s="8">
        <f>M150+L151*Parameters!B$65</f>
        <v>3694.0445319115183</v>
      </c>
      <c r="N151" s="7">
        <f>M151*Parameters!$B$45</f>
        <v>2.2164267191469107</v>
      </c>
      <c r="O151" s="9">
        <f>EXP(-Parameters!$B$46/2*N151^2)</f>
        <v>0.951827839521174</v>
      </c>
      <c r="P151" s="8">
        <f>MAX((Parameters!$B$62 + Parameters!$B$31*'6states'!A151 - '6states'!M151 + Parameters!$B$47/Parameters!$B$45)/Parameters!B$62,1)</f>
        <v>129.52710936176965</v>
      </c>
      <c r="Q151" s="8"/>
      <c r="R151" s="8"/>
      <c r="S151" s="7">
        <f>Parameters!B$61*EXP(-Parameters!B$60*A151)+(1-Parameters!B$61)*P151^-Parameters!B$63</f>
        <v>0.31686744543014023</v>
      </c>
      <c r="T151" s="7">
        <f>1-S151/Parameters!$B$12</f>
        <v>0.84156627728492994</v>
      </c>
      <c r="U151" s="7">
        <f t="shared" si="188"/>
        <v>6.3117875592585628</v>
      </c>
      <c r="V151" s="7">
        <f>(Parameters!$B$19*(F151+Parameters!$B$20)^T151+Parameters!$B$18*G151^T151)^(1/T151)</f>
        <v>0.35183476750685821</v>
      </c>
      <c r="W151" s="7">
        <f>(Parameters!$B$10*H151^Parameters!$B$9+Parameters!$B$11*V151^Parameters!$B$9)^(Parameters!$B$7/Parameters!$B$9)*O151</f>
        <v>1.3275840686063167</v>
      </c>
      <c r="X151" s="7">
        <f>W151 - D151 - E151 - LN(1+EXP(Parameters!$B$21*C151))/Parameters!$B$21 - IF(C151&gt;0, 0,Parameters!$B$6*C151^2/F151)</f>
        <v>0.99748908671932079</v>
      </c>
      <c r="Y151" s="7">
        <f>EXP(-Parameters!$B$55*A151)</f>
        <v>0.1086416964455041</v>
      </c>
      <c r="Z151" s="7">
        <f>IF(X151&gt;0,X151^(1-Parameters!$B$52)/(1-Parameters!$B$52)*Y151*Parameters!$B$65,-10+X151*1000)</f>
        <v>-0.31067810011930136</v>
      </c>
      <c r="AC151">
        <f t="shared" si="189"/>
        <v>20.015115814296983</v>
      </c>
      <c r="AD151">
        <f t="shared" si="190"/>
        <v>208.33797192765445</v>
      </c>
      <c r="AE151" s="23">
        <f t="shared" si="191"/>
        <v>1.6329666476217795</v>
      </c>
      <c r="AF151" s="23">
        <f t="shared" si="192"/>
        <v>0.20775905383205873</v>
      </c>
      <c r="AG151" s="23">
        <f t="shared" si="193"/>
        <v>2885.6137078750603</v>
      </c>
      <c r="AH151" s="23">
        <f t="shared" si="194"/>
        <v>730.96858402447231</v>
      </c>
      <c r="AI151" s="23">
        <f t="shared" si="195"/>
        <v>1798.9693364526886</v>
      </c>
      <c r="AJ151" s="23">
        <f t="shared" si="196"/>
        <v>2758.1760997616329</v>
      </c>
      <c r="AK151" s="23">
        <f t="shared" si="197"/>
        <v>2072.3738886461047</v>
      </c>
      <c r="AL151" s="9">
        <f t="shared" si="199"/>
        <v>2.3040508340066879E-2</v>
      </c>
      <c r="AM151" s="9">
        <f t="shared" si="200"/>
        <v>2.6136522526365447E-2</v>
      </c>
      <c r="AN151" s="9">
        <f t="shared" ref="AN151:AO151" si="218">AVERAGE(AL149:AL153)</f>
        <v>2.3116110991089657E-2</v>
      </c>
      <c r="AO151" s="9">
        <f t="shared" si="218"/>
        <v>2.1879532662795142E-2</v>
      </c>
      <c r="AP151" s="23"/>
      <c r="AQ151" s="25">
        <f t="shared" si="186"/>
        <v>2758.1760997616334</v>
      </c>
      <c r="AR151" s="4"/>
      <c r="AS151" s="4"/>
      <c r="AT151" s="4"/>
      <c r="AU151" s="16"/>
      <c r="AV151" s="16"/>
      <c r="AY151" s="21">
        <f>-Y151*W151*X151^(-Parameters!B$52)*Parameters!B$46*Parameters!B$45*N151</f>
        <v>-3.8684166958651139E-6</v>
      </c>
      <c r="AZ151" s="7">
        <f>1000*EXP(-(Parameters!$B$54)*'6states'!A151)*AQ151*Parameters!B$46*Parameters!B$45*N151</f>
        <v>0.42344151749874193</v>
      </c>
      <c r="BA151" s="93">
        <f>SUM(AZ151:AZ$204)*EXP(Parameters!$B$54*A151)</f>
        <v>4333.1760622875381</v>
      </c>
      <c r="BF151" s="5"/>
      <c r="BG151" s="5"/>
      <c r="BH151" s="5"/>
      <c r="BK151">
        <f>-EXP(-Parameters!B$42*'6states'!A151)*(-Parameters!B$37/Parameters!B$38/Parameters!E$25*(EXP(-Parameters!B$38*Parameters!E$25*'6states'!I151/('6states'!F151+'6states'!I151))-EXP(-Parameters!B$38*Parameters!E$25))+Parameters!B$37*'6states'!F151/('6states'!F151+'6states'!I151)*EXP(-Parameters!B$38*Parameters!E$25*'6states'!I151/('6states'!F151+'6states'!I151)))</f>
        <v>-4.9289868386551372E-18</v>
      </c>
      <c r="BL151">
        <f>-J151*K151*EXP(-Parameters!B$42*'6states'!A151)*(-Parameters!B$37/Parameters!B$38/Parameters!E$25*(EXP(-Parameters!B$38*Parameters!E$25*'6states'!I151/('6states'!F151+'6states'!I151))-EXP(-Parameters!B$38*Parameters!E$25)) + Parameters!B$37*'6states'!F151/('6states'!F151+'6states'!I151)*EXP(-Parameters!B$38*Parameters!E$25*'6states'!I151/('6states'!F151+'6states'!I151)))</f>
        <v>-1.0240416419496615E-14</v>
      </c>
    </row>
    <row r="152" spans="1:64" x14ac:dyDescent="0.25">
      <c r="A152">
        <f>A151+Parameters!$B$65</f>
        <v>148</v>
      </c>
      <c r="B152">
        <v>2173</v>
      </c>
      <c r="C152" s="74">
        <v>9.6338037405315803E-3</v>
      </c>
      <c r="D152" s="69">
        <v>9.6828620362972795E-2</v>
      </c>
      <c r="E152" s="75">
        <v>0.23285538851229501</v>
      </c>
      <c r="F152" s="7">
        <f>MAX((1-Parameters!$B$4)^Parameters!B$65*F151 + C151*Parameters!B$65 - IF(C151&gt;0,Parameters!$B$5,0)*C151^2/F151*Parameters!B$65, 0.0001)</f>
        <v>1E-4</v>
      </c>
      <c r="G152" s="7">
        <f>(1-Parameters!$B$4)^Parameters!B$65*G151+D151*Parameters!B$65-Parameters!$B$5*D151^2/G151*Parameters!B$65</f>
        <v>1.3945985811671175</v>
      </c>
      <c r="H152" s="7">
        <f>(1-Parameters!$B$4)^Parameters!B$65*H151+E151*Parameters!B$65-Parameters!$B$5*E151^2/H151*Parameters!B$65</f>
        <v>3.3212595111438197</v>
      </c>
      <c r="I152" s="9">
        <f>I151 *(1-Parameters!$B$4)-C151*(C151&lt;0)*Parameters!B$65</f>
        <v>7.3655179750835027E-4</v>
      </c>
      <c r="J152" s="23">
        <f>J151*(1+Parameters!$B$51)^Parameters!B$65</f>
        <v>12.526207250053305</v>
      </c>
      <c r="K152" s="23">
        <f>K151*(1+Parameters!$B$53)^Parameters!B$65</f>
        <v>169.667307866897</v>
      </c>
      <c r="L152" s="23">
        <f>J152*K152*EXP(-Parameters!$B$42*'6states'!A152)*(Parameters!$B$37/Parameters!$B$38*('6states'!F152+'6states'!I152)/Parameters!$E$25*(EXP(-Parameters!$B$38*Parameters!$E$25*'6states'!I152/('6states'!F152+'6states'!I152))-EXP(-Parameters!$B$38*Parameters!$E$25))  +  Parameters!$B$39*'6states'!F152)</f>
        <v>3.7106223291767562E-2</v>
      </c>
      <c r="M152" s="8">
        <f>M151+L152*Parameters!B$65</f>
        <v>3694.08163813481</v>
      </c>
      <c r="N152" s="7">
        <f>M152*Parameters!$B$45</f>
        <v>2.2164489828808858</v>
      </c>
      <c r="O152" s="9">
        <f>EXP(-Parameters!$B$46/2*N152^2)</f>
        <v>0.9518268954433261</v>
      </c>
      <c r="P152" s="8">
        <f>MAX((Parameters!$B$62 + Parameters!$B$31*'6states'!A152 - '6states'!M152 + Parameters!$B$47/Parameters!$B$45)/Parameters!B$62,1)</f>
        <v>130.59036723730381</v>
      </c>
      <c r="Q152" s="8"/>
      <c r="R152" s="8"/>
      <c r="S152" s="7">
        <f>Parameters!B$61*EXP(-Parameters!B$60*A152)+(1-Parameters!B$61)*P152^-Parameters!B$63</f>
        <v>0.31636458936550205</v>
      </c>
      <c r="T152" s="7">
        <f>1-S152/Parameters!$B$12</f>
        <v>0.84181770531724898</v>
      </c>
      <c r="U152" s="7">
        <f t="shared" si="188"/>
        <v>6.3218200368479351</v>
      </c>
      <c r="V152" s="7">
        <f>(Parameters!$B$19*(F152+Parameters!$B$20)^T152+Parameters!$B$18*G152^T152)^(1/T152)</f>
        <v>0.35334871749222579</v>
      </c>
      <c r="W152" s="7">
        <f>(Parameters!$B$10*H152^Parameters!$B$9+Parameters!$B$11*V152^Parameters!$B$9)^(Parameters!$B$7/Parameters!$B$9)*O152</f>
        <v>1.3278000541749613</v>
      </c>
      <c r="X152" s="7">
        <f>W152 - D152 - E152 - LN(1+EXP(Parameters!$B$21*C152))/Parameters!$B$21 - IF(C152&gt;0, 0,Parameters!$B$6*C152^2/F152)</f>
        <v>0.98830197702143008</v>
      </c>
      <c r="Y152" s="7">
        <f>EXP(-Parameters!$B$55*A152)</f>
        <v>0.10701353041907032</v>
      </c>
      <c r="Z152" s="7">
        <f>IF(X152&gt;0,X152^(1-Parameters!$B$52)/(1-Parameters!$B$52)*Y152*Parameters!$B$65,-10+X152*1000)</f>
        <v>-0.3070147670567015</v>
      </c>
      <c r="AC152">
        <f t="shared" si="189"/>
        <v>20.474606153672337</v>
      </c>
      <c r="AD152">
        <f t="shared" si="190"/>
        <v>205.78869154188644</v>
      </c>
      <c r="AE152" s="23">
        <f t="shared" si="191"/>
        <v>1.5653845949046459</v>
      </c>
      <c r="AF152" s="23">
        <f t="shared" si="192"/>
        <v>0.21252878618993515</v>
      </c>
      <c r="AG152" s="23">
        <f t="shared" si="193"/>
        <v>2963.9234367765321</v>
      </c>
      <c r="AH152" s="23">
        <f t="shared" si="194"/>
        <v>750.96774030393055</v>
      </c>
      <c r="AI152" s="23">
        <f t="shared" si="195"/>
        <v>1848.1887826614277</v>
      </c>
      <c r="AJ152" s="23">
        <f t="shared" si="196"/>
        <v>2821.9573381673467</v>
      </c>
      <c r="AK152" s="23">
        <f t="shared" si="197"/>
        <v>2100.4261956547771</v>
      </c>
      <c r="AL152" s="9">
        <f t="shared" si="199"/>
        <v>2.2861107865879582E-2</v>
      </c>
      <c r="AM152" s="9">
        <f t="shared" si="200"/>
        <v>1.3445518142852109E-2</v>
      </c>
      <c r="AN152" s="9">
        <f t="shared" ref="AN152:AO152" si="219">AVERAGE(AL150:AL154)</f>
        <v>2.3130905411165515E-2</v>
      </c>
      <c r="AO152" s="9">
        <f t="shared" si="219"/>
        <v>2.3330909552963065E-2</v>
      </c>
      <c r="AP152" s="23"/>
      <c r="AQ152" s="25">
        <f t="shared" si="186"/>
        <v>2821.9573381673467</v>
      </c>
      <c r="AR152" s="4"/>
      <c r="AS152" s="4"/>
      <c r="AT152" s="4"/>
      <c r="AU152" s="16"/>
      <c r="AV152" s="16"/>
      <c r="AY152" s="21">
        <f>-Y152*W152*X152^(-Parameters!B$52)*Parameters!B$46*Parameters!B$45*N152</f>
        <v>-3.8590052949368631E-6</v>
      </c>
      <c r="AZ152" s="7">
        <f>1000*EXP(-(Parameters!$B$54)*'6states'!A152)*AQ152*Parameters!B$46*Parameters!B$45*N152</f>
        <v>0.41829484888782248</v>
      </c>
      <c r="BA152" s="93">
        <f>SUM(AZ152:AZ$204)*EXP(Parameters!$B$54*A152)</f>
        <v>4411.6112199454765</v>
      </c>
      <c r="BF152" s="5"/>
      <c r="BG152" s="5"/>
      <c r="BH152" s="5"/>
      <c r="BK152">
        <f>-EXP(-Parameters!B$42*'6states'!A152)*(-Parameters!B$37/Parameters!B$38/Parameters!E$25*(EXP(-Parameters!B$38*Parameters!E$25*'6states'!I152/('6states'!F152+'6states'!I152))-EXP(-Parameters!B$38*Parameters!E$25))+Parameters!B$37*'6states'!F152/('6states'!F152+'6states'!I152)*EXP(-Parameters!B$38*Parameters!E$25*'6states'!I152/('6states'!F152+'6states'!I152)))</f>
        <v>-6.9624359534246062E-18</v>
      </c>
      <c r="BL152">
        <f>-J152*K152*EXP(-Parameters!B$42*'6states'!A152)*(-Parameters!B$37/Parameters!B$38/Parameters!E$25*(EXP(-Parameters!B$38*Parameters!E$25*'6states'!I152/('6states'!F152+'6states'!I152))-EXP(-Parameters!B$38*Parameters!E$25)) + Parameters!B$37*'6states'!F152/('6states'!F152+'6states'!I152)*EXP(-Parameters!B$38*Parameters!E$25*'6states'!I152/('6states'!F152+'6states'!I152)))</f>
        <v>-1.479718062106495E-14</v>
      </c>
    </row>
    <row r="153" spans="1:64" x14ac:dyDescent="0.25">
      <c r="A153">
        <f>A152+Parameters!$B$65</f>
        <v>149</v>
      </c>
      <c r="B153">
        <v>2174</v>
      </c>
      <c r="C153" s="74">
        <v>9.6337464809599892E-3</v>
      </c>
      <c r="D153" s="69">
        <v>9.9900795738306694E-2</v>
      </c>
      <c r="E153" s="75">
        <v>0.229444982689432</v>
      </c>
      <c r="F153" s="7">
        <f>MAX((1-Parameters!$B$4)^Parameters!B$65*F152 + C152*Parameters!B$65 - IF(C152&gt;0,Parameters!$B$5,0)*C152^2/F152*Parameters!B$65, 0.0001)</f>
        <v>1E-4</v>
      </c>
      <c r="G153" s="7">
        <f>(1-Parameters!$B$4)^Parameters!B$65*G152+D152*Parameters!B$65-Parameters!$B$5*D152^2/G152*Parameters!B$65</f>
        <v>1.3969840257351664</v>
      </c>
      <c r="H153" s="7">
        <f>(1-Parameters!$B$4)^Parameters!B$65*H152+E152*Parameters!B$65-Parameters!$B$5*E152^2/H152*Parameters!B$65</f>
        <v>3.3288820530152221</v>
      </c>
      <c r="I153" s="9">
        <f>I152 *(1-Parameters!$B$4)-C152*(C152&lt;0)*Parameters!B$65</f>
        <v>6.9022268944507502E-4</v>
      </c>
      <c r="J153" s="23">
        <f>J152*(1+Parameters!$B$51)^Parameters!B$65</f>
        <v>12.56253325107846</v>
      </c>
      <c r="K153" s="23">
        <f>K152*(1+Parameters!$B$53)^Parameters!B$65</f>
        <v>173.06065402423494</v>
      </c>
      <c r="L153" s="23">
        <f>J153*K153*EXP(-Parameters!$B$42*'6states'!A153)*(Parameters!$B$37/Parameters!$B$38*('6states'!F153+'6states'!I153)/Parameters!$E$25*(EXP(-Parameters!$B$38*Parameters!$E$25*'6states'!I153/('6states'!F153+'6states'!I153))-EXP(-Parameters!$B$38*Parameters!$E$25))  +  Parameters!$B$39*'6states'!F153)</f>
        <v>3.758041848127025E-2</v>
      </c>
      <c r="M153" s="8">
        <f>M152+L153*Parameters!B$65</f>
        <v>3694.1192185532914</v>
      </c>
      <c r="N153" s="7">
        <f>M153*Parameters!$B$45</f>
        <v>2.2164715311319747</v>
      </c>
      <c r="O153" s="9">
        <f>EXP(-Parameters!$B$46/2*N153^2)</f>
        <v>0.95182593929202053</v>
      </c>
      <c r="P153" s="8">
        <f>MAX((Parameters!$B$62 + Parameters!$B$31*'6states'!A153 - '6states'!M153 + Parameters!$B$47/Parameters!$B$45)/Parameters!B$62,1)</f>
        <v>131.65361562893418</v>
      </c>
      <c r="Q153" s="8"/>
      <c r="R153" s="8"/>
      <c r="S153" s="7">
        <f>Parameters!B$61*EXP(-Parameters!B$60*A153)+(1-Parameters!B$61)*P153^-Parameters!B$63</f>
        <v>0.31587067869668578</v>
      </c>
      <c r="T153" s="7">
        <f>1-S153/Parameters!$B$12</f>
        <v>0.84206466065165708</v>
      </c>
      <c r="U153" s="7">
        <f t="shared" si="188"/>
        <v>6.3317051403827698</v>
      </c>
      <c r="V153" s="7">
        <f>(Parameters!$B$19*(F153+Parameters!$B$20)^T153+Parameters!$B$18*G153^T153)^(1/T153)</f>
        <v>0.3540567122153227</v>
      </c>
      <c r="W153" s="7">
        <f>(Parameters!$B$10*H153^Parameters!$B$9+Parameters!$B$11*V153^Parameters!$B$9)^(Parameters!$B$7/Parameters!$B$9)*O153</f>
        <v>1.3286769226644544</v>
      </c>
      <c r="X153" s="7">
        <f>W153 - D153 - E153 - LN(1+EXP(Parameters!$B$21*C153))/Parameters!$B$21 - IF(C153&gt;0, 0,Parameters!$B$6*C153^2/F153)</f>
        <v>0.98951713020367926</v>
      </c>
      <c r="Y153" s="7">
        <f>EXP(-Parameters!$B$55*A153)</f>
        <v>0.10540976501133419</v>
      </c>
      <c r="Z153" s="7">
        <f>IF(X153&gt;0,X153^(1-Parameters!$B$52)/(1-Parameters!$B$52)*Y153*Parameters!$B$65,-10+X153*1000)</f>
        <v>-0.3022836376795886</v>
      </c>
      <c r="AC153">
        <f t="shared" si="189"/>
        <v>20.944537674846305</v>
      </c>
      <c r="AD153">
        <f t="shared" si="190"/>
        <v>217.19234404013378</v>
      </c>
      <c r="AE153" s="23">
        <f t="shared" si="191"/>
        <v>1.5005994969545384</v>
      </c>
      <c r="AF153" s="23">
        <f t="shared" si="192"/>
        <v>0.21740802206328366</v>
      </c>
      <c r="AG153" s="23">
        <f t="shared" si="193"/>
        <v>3037.1553388908587</v>
      </c>
      <c r="AH153" s="23">
        <f t="shared" si="194"/>
        <v>769.74769500962555</v>
      </c>
      <c r="AI153" s="23">
        <f t="shared" si="195"/>
        <v>1894.4076809750993</v>
      </c>
      <c r="AJ153" s="23">
        <f t="shared" si="196"/>
        <v>2888.6502171760953</v>
      </c>
      <c r="AK153" s="23">
        <f t="shared" si="197"/>
        <v>2151.2896207531862</v>
      </c>
      <c r="AL153" s="9">
        <f t="shared" si="199"/>
        <v>2.335860441233617E-2</v>
      </c>
      <c r="AM153" s="9">
        <f t="shared" si="200"/>
        <v>2.3927211473882437E-2</v>
      </c>
      <c r="AN153" s="9">
        <f t="shared" ref="AN153:AO153" si="220">AVERAGE(AL151:AL155)</f>
        <v>2.3103219279517619E-2</v>
      </c>
      <c r="AO153" s="9">
        <f t="shared" si="220"/>
        <v>2.0371983992671795E-2</v>
      </c>
      <c r="AP153" s="23"/>
      <c r="AQ153" s="25">
        <f t="shared" si="186"/>
        <v>2888.6502171760953</v>
      </c>
      <c r="AR153" s="4"/>
      <c r="AS153" s="4"/>
      <c r="AT153" s="4"/>
      <c r="AU153" s="16"/>
      <c r="AV153" s="16"/>
      <c r="AY153" s="21">
        <f>-Y153*W153*X153^(-Parameters!B$52)*Parameters!B$46*Parameters!B$45*N153</f>
        <v>-3.797416424869875E-6</v>
      </c>
      <c r="AZ153" s="7">
        <f>1000*EXP(-(Parameters!$B$54)*'6states'!A153)*AQ153*Parameters!B$46*Parameters!B$45*N153</f>
        <v>0.4134164099207186</v>
      </c>
      <c r="BA153" s="93">
        <f>SUM(AZ153:AZ$204)*EXP(Parameters!$B$54*A153)</f>
        <v>4491.0817704685896</v>
      </c>
      <c r="BF153" s="5"/>
      <c r="BG153" s="5"/>
      <c r="BH153" s="5"/>
      <c r="BK153">
        <f>-EXP(-Parameters!B$42*'6states'!A153)*(-Parameters!B$37/Parameters!B$38/Parameters!E$25*(EXP(-Parameters!B$38*Parameters!E$25*'6states'!I153/('6states'!F153+'6states'!I153))-EXP(-Parameters!B$38*Parameters!E$25))+Parameters!B$37*'6states'!F153/('6states'!F153+'6states'!I153)*EXP(-Parameters!B$38*Parameters!E$25*'6states'!I153/('6states'!F153+'6states'!I153)))</f>
        <v>-9.9636958368511179E-18</v>
      </c>
      <c r="BL153">
        <f>-J153*K153*EXP(-Parameters!B$42*'6states'!A153)*(-Parameters!B$37/Parameters!B$38/Parameters!E$25*(EXP(-Parameters!B$38*Parameters!E$25*'6states'!I153/('6states'!F153+'6states'!I153))-EXP(-Parameters!B$38*Parameters!E$25)) + Parameters!B$37*'6states'!F153/('6states'!F153+'6states'!I153)*EXP(-Parameters!B$38*Parameters!E$25*'6states'!I153/('6states'!F153+'6states'!I153)))</f>
        <v>-2.1661874043299754E-14</v>
      </c>
    </row>
    <row r="154" spans="1:64" x14ac:dyDescent="0.25">
      <c r="A154">
        <f>A153+Parameters!$B$65</f>
        <v>150</v>
      </c>
      <c r="B154">
        <v>2175</v>
      </c>
      <c r="C154" s="74">
        <v>9.6336799055020406E-3</v>
      </c>
      <c r="D154" s="69">
        <v>9.4099694811588905E-2</v>
      </c>
      <c r="E154" s="75">
        <v>0.22943896166298999</v>
      </c>
      <c r="F154" s="7">
        <f>MAX((1-Parameters!$B$4)^Parameters!B$65*F153 + C153*Parameters!B$65 - IF(C153&gt;0,Parameters!$B$5,0)*C153^2/F153*Parameters!B$65, 0.0001)</f>
        <v>1E-4</v>
      </c>
      <c r="G154" s="7">
        <f>(1-Parameters!$B$4)^Parameters!B$65*G153+D153*Parameters!B$65-Parameters!$B$5*D153^2/G153*Parameters!B$65</f>
        <v>1.4018704438562979</v>
      </c>
      <c r="H154" s="7">
        <f>(1-Parameters!$B$4)^Parameters!B$65*H153+E153*Parameters!B$65-Parameters!$B$5*E153^2/H153*Parameters!B$65</f>
        <v>3.3331257359554174</v>
      </c>
      <c r="I154" s="9">
        <f>I153 *(1-Parameters!$B$4)-C153*(C153&lt;0)*Parameters!B$65</f>
        <v>6.4680768227897984E-4</v>
      </c>
      <c r="J154" s="23">
        <f>J153*(1+Parameters!$B$51)^Parameters!B$65</f>
        <v>12.598964597506585</v>
      </c>
      <c r="K154" s="23">
        <f>K153*(1+Parameters!$B$53)^Parameters!B$65</f>
        <v>176.52186710471963</v>
      </c>
      <c r="L154" s="23">
        <f>J154*K154*EXP(-Parameters!$B$42*'6states'!A154)*(Parameters!$B$37/Parameters!$B$38*('6states'!F154+'6states'!I154)/Parameters!$E$25*(EXP(-Parameters!$B$38*Parameters!$E$25*'6states'!I154/('6states'!F154+'6states'!I154))-EXP(-Parameters!$B$38*Parameters!$E$25))  +  Parameters!$B$39*'6states'!F154)</f>
        <v>3.8060673599749774E-2</v>
      </c>
      <c r="M154" s="8">
        <f>M153+L154*Parameters!B$65</f>
        <v>3694.1572792268912</v>
      </c>
      <c r="N154" s="7">
        <f>M154*Parameters!$B$45</f>
        <v>2.2164943675361344</v>
      </c>
      <c r="O154" s="9">
        <f>EXP(-Parameters!$B$46/2*N154^2)</f>
        <v>0.95182497091274176</v>
      </c>
      <c r="P154" s="8">
        <f>MAX((Parameters!$B$62 + Parameters!$B$31*'6states'!A154 - '6states'!M154 + Parameters!$B$47/Parameters!$B$45)/Parameters!B$62,1)</f>
        <v>132.71685441546219</v>
      </c>
      <c r="Q154" s="8"/>
      <c r="R154" s="8"/>
      <c r="S154" s="7">
        <f>Parameters!B$61*EXP(-Parameters!B$60*A154)+(1-Parameters!B$61)*P154^-Parameters!B$63</f>
        <v>0.31538549700554563</v>
      </c>
      <c r="T154" s="7">
        <f>1-S154/Parameters!$B$12</f>
        <v>0.84230725149722718</v>
      </c>
      <c r="U154" s="7">
        <f t="shared" si="188"/>
        <v>6.3414456878619019</v>
      </c>
      <c r="V154" s="7">
        <f>(Parameters!$B$19*(F154+Parameters!$B$20)^T154+Parameters!$B$18*G154^T154)^(1/T154)</f>
        <v>0.35537495402362507</v>
      </c>
      <c r="W154" s="7">
        <f>(Parameters!$B$10*H154^Parameters!$B$9+Parameters!$B$11*V154^Parameters!$B$9)^(Parameters!$B$7/Parameters!$B$9)*O154</f>
        <v>1.329479100708377</v>
      </c>
      <c r="X154" s="7">
        <f>W154 - D154 - E154 - LN(1+EXP(Parameters!$B$21*C154))/Parameters!$B$21 - IF(C154&gt;0, 0,Parameters!$B$6*C154^2/F154)</f>
        <v>0.99612649327139247</v>
      </c>
      <c r="Y154" s="7">
        <f>EXP(-Parameters!$B$55*A154)</f>
        <v>0.10383003454079688</v>
      </c>
      <c r="Z154" s="7">
        <f>IF(X154&gt;0,X154^(1-Parameters!$B$52)/(1-Parameters!$B$52)*Y154*Parameters!$B$65,-10+X154*1000)</f>
        <v>-0.29706048264689944</v>
      </c>
      <c r="AC154">
        <f t="shared" si="189"/>
        <v>21.42523430744933</v>
      </c>
      <c r="AD154">
        <f t="shared" si="190"/>
        <v>209.2770394464026</v>
      </c>
      <c r="AE154" s="23">
        <f t="shared" si="191"/>
        <v>1.4384955988386869</v>
      </c>
      <c r="AF154" s="23">
        <f t="shared" si="192"/>
        <v>0.22239927543381249</v>
      </c>
      <c r="AG154" s="23">
        <f t="shared" si="193"/>
        <v>3117.7497096571774</v>
      </c>
      <c r="AH154" s="23">
        <f t="shared" si="194"/>
        <v>790.35132282178654</v>
      </c>
      <c r="AI154" s="23">
        <f t="shared" si="195"/>
        <v>1945.1147776463297</v>
      </c>
      <c r="AJ154" s="23">
        <f t="shared" si="196"/>
        <v>2956.7518870193967</v>
      </c>
      <c r="AK154" s="23">
        <f t="shared" si="197"/>
        <v>2215.3781034398216</v>
      </c>
      <c r="AL154" s="9">
        <f t="shared" si="199"/>
        <v>2.3301990215244928E-2</v>
      </c>
      <c r="AM154" s="9">
        <f t="shared" si="200"/>
        <v>2.9355604333088259E-2</v>
      </c>
      <c r="AN154" s="9">
        <f t="shared" ref="AN154:AO154" si="221">AVERAGE(AL152:AL156)</f>
        <v>2.3232644392389545E-2</v>
      </c>
      <c r="AO154" s="9">
        <f t="shared" si="221"/>
        <v>1.943788630163077E-2</v>
      </c>
      <c r="AP154" s="23"/>
      <c r="AQ154" s="25">
        <f t="shared" si="186"/>
        <v>2956.7518870193967</v>
      </c>
      <c r="AR154" s="4"/>
      <c r="AS154" s="4"/>
      <c r="AT154" s="4"/>
      <c r="AU154" s="16"/>
      <c r="AV154" s="16"/>
      <c r="AY154" s="21">
        <f>-Y154*W154*X154^(-Parameters!B$52)*Parameters!B$46*Parameters!B$45*N154</f>
        <v>-3.7093164906166752E-6</v>
      </c>
      <c r="AZ154" s="7">
        <f>1000*EXP(-(Parameters!$B$54)*'6states'!A154)*AQ154*Parameters!B$46*Parameters!B$45*N154</f>
        <v>0.40857178808433209</v>
      </c>
      <c r="BA154" s="93">
        <f>SUM(AZ154:AZ$204)*EXP(Parameters!$B$54*A154)</f>
        <v>4571.5440453722376</v>
      </c>
      <c r="BF154" s="5"/>
      <c r="BG154" s="5"/>
      <c r="BH154" s="5"/>
      <c r="BK154">
        <f>-EXP(-Parameters!B$42*'6states'!A154)*(-Parameters!B$37/Parameters!B$38/Parameters!E$25*(EXP(-Parameters!B$38*Parameters!E$25*'6states'!I154/('6states'!F154+'6states'!I154))-EXP(-Parameters!B$38*Parameters!E$25))+Parameters!B$37*'6states'!F154/('6states'!F154+'6states'!I154)*EXP(-Parameters!B$38*Parameters!E$25*'6states'!I154/('6states'!F154+'6states'!I154)))</f>
        <v>-1.4452430445381755E-17</v>
      </c>
      <c r="BL154">
        <f>-J154*K154*EXP(-Parameters!B$42*'6states'!A154)*(-Parameters!B$37/Parameters!B$38/Parameters!E$25*(EXP(-Parameters!B$38*Parameters!E$25*'6states'!I154/('6states'!F154+'6states'!I154))-EXP(-Parameters!B$38*Parameters!E$25)) + Parameters!B$37*'6states'!F154/('6states'!F154+'6states'!I154)*EXP(-Parameters!B$38*Parameters!E$25*'6states'!I154/('6states'!F154+'6states'!I154)))</f>
        <v>-3.2142100593104746E-14</v>
      </c>
    </row>
    <row r="155" spans="1:64" x14ac:dyDescent="0.25">
      <c r="A155">
        <f>A154+Parameters!$B$65</f>
        <v>151</v>
      </c>
      <c r="B155">
        <v>2176</v>
      </c>
      <c r="C155" s="74">
        <v>9.6336906529164608E-3</v>
      </c>
      <c r="D155" s="69">
        <v>9.9003002453794398E-2</v>
      </c>
      <c r="E155" s="75">
        <v>0.23843249465944499</v>
      </c>
      <c r="F155" s="7">
        <f>MAX((1-Parameters!$B$4)^Parameters!B$65*F154 + C154*Parameters!B$65 - IF(C154&gt;0,Parameters!$B$5,0)*C154^2/F154*Parameters!B$65, 0.0001)</f>
        <v>1E-4</v>
      </c>
      <c r="G155" s="7">
        <f>(1-Parameters!$B$4)^Parameters!B$65*G154+D154*Parameters!B$65-Parameters!$B$5*D154^2/G154*Parameters!B$65</f>
        <v>1.4014761033769751</v>
      </c>
      <c r="H155" s="7">
        <f>(1-Parameters!$B$4)^Parameters!B$65*H154+E154*Parameters!B$65-Parameters!$B$5*E154^2/H154*Parameters!B$65</f>
        <v>3.33711743407172</v>
      </c>
      <c r="I155" s="9">
        <f>I154 *(1-Parameters!$B$4)-C154*(C154&lt;0)*Parameters!B$65</f>
        <v>6.0612347906363205E-4</v>
      </c>
      <c r="J155" s="23">
        <f>J154*(1+Parameters!$B$51)^Parameters!B$65</f>
        <v>12.635501594839353</v>
      </c>
      <c r="K155" s="23">
        <f>K154*(1+Parameters!$B$53)^Parameters!B$65</f>
        <v>180.05230444681402</v>
      </c>
      <c r="L155" s="23">
        <f>J155*K155*EXP(-Parameters!$B$42*'6states'!A155)*(Parameters!$B$37/Parameters!$B$38*('6states'!F155+'6states'!I155)/Parameters!$E$25*(EXP(-Parameters!$B$38*Parameters!$E$25*'6states'!I155/('6states'!F155+'6states'!I155))-EXP(-Parameters!$B$38*Parameters!$E$25))  +  Parameters!$B$39*'6states'!F155)</f>
        <v>3.854706608944939E-2</v>
      </c>
      <c r="M155" s="8">
        <f>M154+L155*Parameters!B$65</f>
        <v>3694.1958262929807</v>
      </c>
      <c r="N155" s="7">
        <f>M155*Parameters!$B$45</f>
        <v>2.216517495775788</v>
      </c>
      <c r="O155" s="9">
        <f>EXP(-Parameters!$B$46/2*N155^2)</f>
        <v>0.95182399014899377</v>
      </c>
      <c r="P155" s="8">
        <f>MAX((Parameters!$B$62 + Parameters!$B$31*'6states'!A155 - '6states'!M155 + Parameters!$B$47/Parameters!$B$45)/Parameters!B$62,1)</f>
        <v>133.78008347414041</v>
      </c>
      <c r="Q155" s="8"/>
      <c r="R155" s="8"/>
      <c r="S155" s="7">
        <f>Parameters!B$61*EXP(-Parameters!B$60*A155)+(1-Parameters!B$61)*P155^-Parameters!B$63</f>
        <v>0.31490883356725913</v>
      </c>
      <c r="T155" s="7">
        <f>1-S155/Parameters!$B$12</f>
        <v>0.84254558321637041</v>
      </c>
      <c r="U155" s="7">
        <f t="shared" si="188"/>
        <v>6.3510444510056399</v>
      </c>
      <c r="V155" s="7">
        <f>(Parameters!$B$19*(F155+Parameters!$B$20)^T155+Parameters!$B$18*G155^T155)^(1/T155)</f>
        <v>0.35539920717385826</v>
      </c>
      <c r="W155" s="7">
        <f>(Parameters!$B$10*H155^Parameters!$B$9+Parameters!$B$11*V155^Parameters!$B$9)^(Parameters!$B$7/Parameters!$B$9)*O155</f>
        <v>1.3298187663820813</v>
      </c>
      <c r="X155" s="7">
        <f>W155 - D155 - E155 - LN(1+EXP(Parameters!$B$21*C155))/Parameters!$B$21 - IF(C155&gt;0, 0,Parameters!$B$6*C155^2/F155)</f>
        <v>0.9825693081248178</v>
      </c>
      <c r="Y155" s="7">
        <f>EXP(-Parameters!$B$55*A155)</f>
        <v>0.10227397880626984</v>
      </c>
      <c r="Z155" s="7">
        <f>IF(X155&gt;0,X155^(1-Parameters!$B$52)/(1-Parameters!$B$52)*Y155*Parameters!$B$65,-10+X155*1000)</f>
        <v>-0.29401533968236604</v>
      </c>
      <c r="AC155">
        <f t="shared" si="189"/>
        <v>21.917139287597607</v>
      </c>
      <c r="AD155">
        <f t="shared" si="190"/>
        <v>225.23689755527752</v>
      </c>
      <c r="AE155" s="23">
        <f t="shared" si="191"/>
        <v>1.3789619362647052</v>
      </c>
      <c r="AF155" s="23">
        <f t="shared" si="192"/>
        <v>0.22750511799922193</v>
      </c>
      <c r="AG155" s="23">
        <f t="shared" si="193"/>
        <v>3188.4298627186849</v>
      </c>
      <c r="AH155" s="23">
        <f t="shared" si="194"/>
        <v>808.55138564918536</v>
      </c>
      <c r="AI155" s="23">
        <f t="shared" si="195"/>
        <v>1989.9065178983387</v>
      </c>
      <c r="AJ155" s="23">
        <f t="shared" si="196"/>
        <v>3025.4057536333517</v>
      </c>
      <c r="AK155" s="23">
        <f t="shared" si="197"/>
        <v>2235.3954638735049</v>
      </c>
      <c r="AL155" s="9">
        <f t="shared" si="199"/>
        <v>2.2953885564060528E-2</v>
      </c>
      <c r="AM155" s="9">
        <f t="shared" si="200"/>
        <v>8.995063487170718E-3</v>
      </c>
      <c r="AN155" s="9">
        <f t="shared" ref="AN155:AO155" si="222">AVERAGE(AL153:AL157)</f>
        <v>2.3413024463590837E-2</v>
      </c>
      <c r="AO155" s="9">
        <f t="shared" si="222"/>
        <v>2.1287994418674037E-2</v>
      </c>
      <c r="AP155" s="23"/>
      <c r="AQ155" s="25">
        <f t="shared" si="186"/>
        <v>3025.4057536333512</v>
      </c>
      <c r="AR155" s="4"/>
      <c r="AS155" s="4"/>
      <c r="AT155" s="4"/>
      <c r="AU155" s="16"/>
      <c r="AV155" s="16"/>
      <c r="AY155" s="21">
        <f>-Y155*W155*X155^(-Parameters!B$52)*Parameters!B$46*Parameters!B$45*N155</f>
        <v>-3.7229376978609499E-6</v>
      </c>
      <c r="AZ155" s="7">
        <f>1000*EXP(-(Parameters!$B$54)*'6states'!A155)*AQ155*Parameters!B$46*Parameters!B$45*N155</f>
        <v>0.4036434564654815</v>
      </c>
      <c r="BA155" s="93">
        <f>SUM(AZ155:AZ$204)*EXP(Parameters!$B$54*A155)</f>
        <v>4652.994420540399</v>
      </c>
      <c r="BF155" s="5"/>
      <c r="BG155" s="5"/>
      <c r="BH155" s="5"/>
      <c r="BK155">
        <f>-EXP(-Parameters!B$42*'6states'!A155)*(-Parameters!B$37/Parameters!B$38/Parameters!E$25*(EXP(-Parameters!B$38*Parameters!E$25*'6states'!I155/('6states'!F155+'6states'!I155))-EXP(-Parameters!B$38*Parameters!E$25))+Parameters!B$37*'6states'!F155/('6states'!F155+'6states'!I155)*EXP(-Parameters!B$38*Parameters!E$25*'6states'!I155/('6states'!F155+'6states'!I155)))</f>
        <v>-2.1257819785227414E-17</v>
      </c>
      <c r="BL155">
        <f>-J155*K155*EXP(-Parameters!B$42*'6states'!A155)*(-Parameters!B$37/Parameters!B$38/Parameters!E$25*(EXP(-Parameters!B$38*Parameters!E$25*'6states'!I155/('6states'!F155+'6states'!I155))-EXP(-Parameters!B$38*Parameters!E$25)) + Parameters!B$37*'6states'!F155/('6states'!F155+'6states'!I155)*EXP(-Parameters!B$38*Parameters!E$25*'6states'!I155/('6states'!F155+'6states'!I155)))</f>
        <v>-4.8362627986443579E-14</v>
      </c>
    </row>
    <row r="156" spans="1:64" x14ac:dyDescent="0.25">
      <c r="A156">
        <f>A155+Parameters!$B$65</f>
        <v>152</v>
      </c>
      <c r="B156">
        <v>2177</v>
      </c>
      <c r="C156" s="74">
        <v>9.6336617044682094E-3</v>
      </c>
      <c r="D156" s="69">
        <v>9.8858961030526105E-2</v>
      </c>
      <c r="E156" s="75">
        <v>0.24110284468346099</v>
      </c>
      <c r="F156" s="7">
        <f>MAX((1-Parameters!$B$4)^Parameters!B$65*F155 + C155*Parameters!B$65 - IF(C155&gt;0,Parameters!$B$5,0)*C155^2/F155*Parameters!B$65, 0.0001)</f>
        <v>1E-4</v>
      </c>
      <c r="G156" s="7">
        <f>(1-Parameters!$B$4)^Parameters!B$65*G155+D155*Parameters!B$65-Parameters!$B$5*D155^2/G155*Parameters!B$65</f>
        <v>1.4053324939463876</v>
      </c>
      <c r="H156" s="7">
        <f>(1-Parameters!$B$4)^Parameters!B$65*H155+E155*Parameters!B$65-Parameters!$B$5*E155^2/H155*Parameters!B$65</f>
        <v>3.3486095651904995</v>
      </c>
      <c r="I156" s="9">
        <f>I155 *(1-Parameters!$B$4)-C155*(C155&lt;0)*Parameters!B$65</f>
        <v>5.6799831223052963E-4</v>
      </c>
      <c r="J156" s="23">
        <f>J155*(1+Parameters!$B$51)^Parameters!B$65</f>
        <v>12.672144549464386</v>
      </c>
      <c r="K156" s="23">
        <f>K155*(1+Parameters!$B$53)^Parameters!B$65</f>
        <v>183.65335053575029</v>
      </c>
      <c r="L156" s="23">
        <f>J156*K156*EXP(-Parameters!$B$42*'6states'!A156)*(Parameters!$B$37/Parameters!$B$38*('6states'!F156+'6states'!I156)/Parameters!$E$25*(EXP(-Parameters!$B$38*Parameters!$E$25*'6states'!I156/('6states'!F156+'6states'!I156))-EXP(-Parameters!$B$38*Parameters!$E$25))  +  Parameters!$B$39*'6states'!F156)</f>
        <v>3.9039674382277553E-2</v>
      </c>
      <c r="M156" s="8">
        <f>M155+L156*Parameters!B$65</f>
        <v>3694.234865967363</v>
      </c>
      <c r="N156" s="7">
        <f>M156*Parameters!$B$45</f>
        <v>2.2165409195804178</v>
      </c>
      <c r="O156" s="9">
        <f>EXP(-Parameters!$B$46/2*N156^2)</f>
        <v>0.951822996842275</v>
      </c>
      <c r="P156" s="8">
        <f>MAX((Parameters!$B$62 + Parameters!$B$31*'6states'!A156 - '6states'!M156 + Parameters!$B$47/Parameters!$B$45)/Parameters!B$62,1)</f>
        <v>134.84330268065276</v>
      </c>
      <c r="Q156" s="8"/>
      <c r="R156" s="8"/>
      <c r="S156" s="7">
        <f>Parameters!B$61*EXP(-Parameters!B$60*A156)+(1-Parameters!B$61)*P156^-Parameters!B$63</f>
        <v>0.3144404831932186</v>
      </c>
      <c r="T156" s="7">
        <f>1-S156/Parameters!$B$12</f>
        <v>0.8427797584033907</v>
      </c>
      <c r="U156" s="7">
        <f t="shared" si="188"/>
        <v>6.3605041554748922</v>
      </c>
      <c r="V156" s="7">
        <f>(Parameters!$B$19*(F156+Parameters!$B$20)^T156+Parameters!$B$18*G156^T156)^(1/T156)</f>
        <v>0.35646223599037596</v>
      </c>
      <c r="W156" s="7">
        <f>(Parameters!$B$10*H156^Parameters!$B$9+Parameters!$B$11*V156^Parameters!$B$9)^(Parameters!$B$7/Parameters!$B$9)*O156</f>
        <v>1.3311348785992096</v>
      </c>
      <c r="X156" s="7">
        <f>W156 - D156 - E156 - LN(1+EXP(Parameters!$B$21*C156))/Parameters!$B$21 - IF(C156&gt;0, 0,Parameters!$B$6*C156^2/F156)</f>
        <v>0.98135913916565587</v>
      </c>
      <c r="Y156" s="7">
        <f>EXP(-Parameters!$B$55*A156)</f>
        <v>0.10074124300474355</v>
      </c>
      <c r="Z156" s="7">
        <f>IF(X156&gt;0,X156^(1-Parameters!$B$52)/(1-Parameters!$B$52)*Y156*Parameters!$B$65,-10+X156*1000)</f>
        <v>-0.28973400573904395</v>
      </c>
      <c r="AC156">
        <f t="shared" si="189"/>
        <v>22.420245600165373</v>
      </c>
      <c r="AD156">
        <f t="shared" si="190"/>
        <v>230.0726612658155</v>
      </c>
      <c r="AE156" s="23">
        <f t="shared" si="191"/>
        <v>1.3218921373148695</v>
      </c>
      <c r="AF156" s="23">
        <f t="shared" si="192"/>
        <v>0.23272818049824803</v>
      </c>
      <c r="AG156" s="23">
        <f t="shared" si="193"/>
        <v>3270.6047431120796</v>
      </c>
      <c r="AH156" s="23">
        <f t="shared" si="194"/>
        <v>829.58807598377302</v>
      </c>
      <c r="AI156" s="23">
        <f t="shared" si="195"/>
        <v>2041.6794144078103</v>
      </c>
      <c r="AJ156" s="23">
        <f t="shared" si="196"/>
        <v>3097.9259829415037</v>
      </c>
      <c r="AK156" s="23">
        <f t="shared" si="197"/>
        <v>2283.8992687335008</v>
      </c>
      <c r="AL156" s="9">
        <f t="shared" si="199"/>
        <v>2.3687633904426519E-2</v>
      </c>
      <c r="AM156" s="9">
        <f t="shared" si="200"/>
        <v>2.1466034071160323E-2</v>
      </c>
      <c r="AN156" s="9">
        <f t="shared" ref="AN156:AO156" si="223">AVERAGE(AL154:AL158)</f>
        <v>2.3496492532092361E-2</v>
      </c>
      <c r="AO156" s="9">
        <f t="shared" si="223"/>
        <v>2.330264959635784E-2</v>
      </c>
      <c r="AP156" s="23"/>
      <c r="AQ156" s="25">
        <f t="shared" si="186"/>
        <v>3097.9259829415037</v>
      </c>
      <c r="AR156" s="4"/>
      <c r="AS156" s="4"/>
      <c r="AT156" s="4"/>
      <c r="AU156" s="16"/>
      <c r="AV156" s="16"/>
      <c r="AY156" s="21">
        <f>-Y156*W156*X156^(-Parameters!B$52)*Parameters!B$46*Parameters!B$45*N156</f>
        <v>-3.6769241235953573E-6</v>
      </c>
      <c r="AZ156" s="7">
        <f>1000*EXP(-(Parameters!$B$54)*'6states'!A156)*AQ156*Parameters!B$46*Parameters!B$45*N156</f>
        <v>0.39906733278017392</v>
      </c>
      <c r="BA156" s="93">
        <f>SUM(AZ156:AZ$204)*EXP(Parameters!$B$54*A156)</f>
        <v>4735.4528560837362</v>
      </c>
      <c r="BF156" s="5"/>
      <c r="BG156" s="5"/>
      <c r="BH156" s="5"/>
      <c r="BK156">
        <f>-EXP(-Parameters!B$42*'6states'!A156)*(-Parameters!B$37/Parameters!B$38/Parameters!E$25*(EXP(-Parameters!B$38*Parameters!E$25*'6states'!I156/('6states'!F156+'6states'!I156))-EXP(-Parameters!B$38*Parameters!E$25))+Parameters!B$37*'6states'!F156/('6states'!F156+'6states'!I156)*EXP(-Parameters!B$38*Parameters!E$25*'6states'!I156/('6states'!F156+'6states'!I156)))</f>
        <v>-3.1720397233664593E-17</v>
      </c>
    </row>
    <row r="157" spans="1:64" x14ac:dyDescent="0.25">
      <c r="A157">
        <f>A156+Parameters!$B$65</f>
        <v>153</v>
      </c>
      <c r="B157">
        <v>2178</v>
      </c>
      <c r="C157" s="74">
        <v>9.6336367741885805E-3</v>
      </c>
      <c r="D157" s="69">
        <v>0.101821530657902</v>
      </c>
      <c r="E157" s="75">
        <v>0.23956047737246799</v>
      </c>
      <c r="F157" s="7">
        <f>MAX((1-Parameters!$B$4)^Parameters!B$65*F156 + C156*Parameters!B$65 - IF(C156&gt;0,Parameters!$B$5,0)*C156^2/F156*Parameters!B$65, 0.0001)</f>
        <v>1E-4</v>
      </c>
      <c r="G157" s="7">
        <f>(1-Parameters!$B$4)^Parameters!B$65*G156+D156*Parameters!B$65-Parameters!$B$5*D156^2/G156*Parameters!B$65</f>
        <v>1.4088417479292861</v>
      </c>
      <c r="H157" s="7">
        <f>(1-Parameters!$B$4)^Parameters!B$65*H156+E156*Parameters!B$65-Parameters!$B$5*E156^2/H156*Parameters!B$65</f>
        <v>3.3617252505723978</v>
      </c>
      <c r="I157" s="9">
        <f>I156 *(1-Parameters!$B$4)-C156*(C156&lt;0)*Parameters!B$65</f>
        <v>5.3227121839122932E-4</v>
      </c>
      <c r="J157" s="23">
        <f>J156*(1+Parameters!$B$51)^Parameters!B$65</f>
        <v>12.708893768657832</v>
      </c>
      <c r="K157" s="23">
        <f>K156*(1+Parameters!$B$53)^Parameters!B$65</f>
        <v>187.32641754646531</v>
      </c>
      <c r="L157" s="23">
        <f>J157*K157*EXP(-Parameters!$B$42*'6states'!A157)*(Parameters!$B$37/Parameters!$B$38*('6states'!F157+'6states'!I157)/Parameters!$E$25*(EXP(-Parameters!$B$38*Parameters!$E$25*'6states'!I157/('6states'!F157+'6states'!I157))-EXP(-Parameters!$B$38*Parameters!$E$25))  +  Parameters!$B$39*'6states'!F157)</f>
        <v>3.9538577912455325E-2</v>
      </c>
      <c r="M157" s="8">
        <f>M156+L157*Parameters!B$65</f>
        <v>3694.2744045452755</v>
      </c>
      <c r="N157" s="7">
        <f>M157*Parameters!$B$45</f>
        <v>2.2165646427271652</v>
      </c>
      <c r="O157" s="9">
        <f>EXP(-Parameters!$B$46/2*N157^2)</f>
        <v>0.95182199083205188</v>
      </c>
      <c r="P157" s="8">
        <f>MAX((Parameters!$B$62 + Parameters!$B$31*'6states'!A157 - '6states'!M157 + Parameters!$B$47/Parameters!$B$45)/Parameters!B$62,1)</f>
        <v>135.90651190909449</v>
      </c>
      <c r="Q157" s="8"/>
      <c r="R157" s="8"/>
      <c r="S157" s="7">
        <f>Parameters!B$61*EXP(-Parameters!B$60*A157)+(1-Parameters!B$61)*P157^-Parameters!B$63</f>
        <v>0.31398024607851716</v>
      </c>
      <c r="T157" s="7">
        <f>1-S157/Parameters!$B$12</f>
        <v>0.84300987696074148</v>
      </c>
      <c r="U157" s="7">
        <f t="shared" si="188"/>
        <v>6.3698274811207707</v>
      </c>
      <c r="V157" s="7">
        <f>(Parameters!$B$19*(F157+Parameters!$B$20)^T157+Parameters!$B$18*G157^T157)^(1/T157)</f>
        <v>0.35743884220478023</v>
      </c>
      <c r="W157" s="7">
        <f>(Parameters!$B$10*H157^Parameters!$B$9+Parameters!$B$11*V157^Parameters!$B$9)^(Parameters!$B$7/Parameters!$B$9)*O157</f>
        <v>1.3325527298305593</v>
      </c>
      <c r="X157" s="7">
        <f>W157 - D157 - E157 - LN(1+EXP(Parameters!$B$21*C157))/Parameters!$B$21 - IF(C157&gt;0, 0,Parameters!$B$6*C157^2/F157)</f>
        <v>0.98135681169843803</v>
      </c>
      <c r="Y157" s="7">
        <f>EXP(-Parameters!$B$55*A157)</f>
        <v>9.9231477650487412E-2</v>
      </c>
      <c r="Z157" s="7">
        <f>IF(X157&gt;0,X157^(1-Parameters!$B$52)/(1-Parameters!$B$52)*Y157*Parameters!$B$65,-10+X157*1000)</f>
        <v>-0.28539212464726615</v>
      </c>
      <c r="AC157">
        <f t="shared" si="189"/>
        <v>22.934910246849547</v>
      </c>
      <c r="AD157">
        <f t="shared" si="190"/>
        <v>242.40769312506242</v>
      </c>
      <c r="AE157" s="23">
        <f t="shared" si="191"/>
        <v>1.267184232385834</v>
      </c>
      <c r="AF157" s="23">
        <f t="shared" si="192"/>
        <v>0.23807115406612683</v>
      </c>
      <c r="AG157" s="23">
        <f t="shared" si="193"/>
        <v>3354.0458082606447</v>
      </c>
      <c r="AH157" s="23">
        <f t="shared" si="194"/>
        <v>850.95877671752226</v>
      </c>
      <c r="AI157" s="23">
        <f t="shared" si="195"/>
        <v>2094.274335938986</v>
      </c>
      <c r="AJ157" s="23">
        <f t="shared" si="196"/>
        <v>3172.4236624472896</v>
      </c>
      <c r="AK157" s="23">
        <f t="shared" si="197"/>
        <v>2336.3274871170183</v>
      </c>
      <c r="AL157" s="9">
        <f t="shared" si="199"/>
        <v>2.3763008221886039E-2</v>
      </c>
      <c r="AM157" s="9">
        <f t="shared" si="200"/>
        <v>2.2696058728068458E-2</v>
      </c>
      <c r="AN157" s="9">
        <f t="shared" ref="AN157:AO157" si="224">AVERAGE(AL155:AL159)</f>
        <v>2.3473954313804411E-2</v>
      </c>
      <c r="AO157" s="9">
        <f t="shared" si="224"/>
        <v>2.1172039245336192E-2</v>
      </c>
      <c r="AP157" s="23"/>
      <c r="AQ157" s="25">
        <f t="shared" si="186"/>
        <v>3172.4236624472892</v>
      </c>
      <c r="AR157" s="4"/>
      <c r="AS157" s="4"/>
      <c r="AT157" s="4"/>
      <c r="AU157" s="16"/>
      <c r="AV157" s="16"/>
      <c r="AY157" s="21">
        <f>-Y157*W157*X157^(-Parameters!B$52)*Parameters!B$46*Parameters!B$45*N157</f>
        <v>-3.6257278305667576E-6</v>
      </c>
      <c r="AZ157" s="7">
        <f>1000*EXP(-(Parameters!$B$54)*'6states'!A157)*AQ157*Parameters!B$46*Parameters!B$45*N157</f>
        <v>0.39457288159004217</v>
      </c>
      <c r="BA157" s="93">
        <f>SUM(AZ157:AZ$204)*EXP(Parameters!$B$54*A157)</f>
        <v>4818.8482663913992</v>
      </c>
      <c r="BF157" s="5"/>
      <c r="BG157" s="5"/>
      <c r="BH157" s="5"/>
      <c r="BK157">
        <f>-EXP(-Parameters!B$42*'6states'!A157)*(-Parameters!B$37/Parameters!B$38/Parameters!E$25*(EXP(-Parameters!B$38*Parameters!E$25*'6states'!I157/('6states'!F157+'6states'!I157))-EXP(-Parameters!B$38*Parameters!E$25))+Parameters!B$37*'6states'!F157/('6states'!F157+'6states'!I157)*EXP(-Parameters!B$38*Parameters!E$25*'6states'!I157/('6states'!F157+'6states'!I157)))</f>
        <v>-4.8036488519798626E-17</v>
      </c>
    </row>
    <row r="158" spans="1:64" x14ac:dyDescent="0.25">
      <c r="A158">
        <f>A157+Parameters!$B$65</f>
        <v>154</v>
      </c>
      <c r="B158">
        <v>2179</v>
      </c>
      <c r="C158" s="74">
        <v>9.6336096943370406E-3</v>
      </c>
      <c r="D158" s="69">
        <v>0.10415279914970201</v>
      </c>
      <c r="E158" s="75">
        <v>0.22751158815533101</v>
      </c>
      <c r="F158" s="7">
        <f>MAX((1-Parameters!$B$4)^Parameters!B$65*F157 + C157*Parameters!B$65 - IF(C157&gt;0,Parameters!$B$5,0)*C157^2/F157*Parameters!B$65, 0.0001)</f>
        <v>1E-4</v>
      </c>
      <c r="G158" s="7">
        <f>(1-Parameters!$B$4)^Parameters!B$65*G157+D157*Parameters!B$65-Parameters!$B$5*D157^2/G157*Parameters!B$65</f>
        <v>1.4146881626795169</v>
      </c>
      <c r="H158" s="7">
        <f>(1-Parameters!$B$4)^Parameters!B$65*H157+E157*Parameters!B$65-Parameters!$B$5*E157^2/H157*Parameters!B$65</f>
        <v>3.3727618495811429</v>
      </c>
      <c r="I158" s="9">
        <f>I157 *(1-Parameters!$B$4)-C157*(C157&lt;0)*Parameters!B$65</f>
        <v>4.9879135875442098E-4</v>
      </c>
      <c r="J158" s="23">
        <f>J157*(1+Parameters!$B$51)^Parameters!B$65</f>
        <v>12.745749560586939</v>
      </c>
      <c r="K158" s="23">
        <f>K157*(1+Parameters!$B$53)^Parameters!B$65</f>
        <v>191.07294589739462</v>
      </c>
      <c r="L158" s="23">
        <f>J158*K158*EXP(-Parameters!$B$42*'6states'!A158)*(Parameters!$B$37/Parameters!$B$38*('6states'!F158+'6states'!I158)/Parameters!$E$25*(EXP(-Parameters!$B$38*Parameters!$E$25*'6states'!I158/('6states'!F158+'6states'!I158))-EXP(-Parameters!$B$38*Parameters!$E$25))  +  Parameters!$B$39*'6states'!F158)</f>
        <v>4.0043857129325192E-2</v>
      </c>
      <c r="M158" s="8">
        <f>M157+L158*Parameters!B$65</f>
        <v>3694.3144484024047</v>
      </c>
      <c r="N158" s="7">
        <f>M158*Parameters!$B$45</f>
        <v>2.2165886690414425</v>
      </c>
      <c r="O158" s="9">
        <f>EXP(-Parameters!$B$46/2*N158^2)</f>
        <v>0.95182097195573345</v>
      </c>
      <c r="P158" s="8">
        <f>MAX((Parameters!$B$62 + Parameters!$B$31*'6states'!A158 - '6states'!M158 + Parameters!$B$47/Parameters!$B$45)/Parameters!B$62,1)</f>
        <v>136.96971103195193</v>
      </c>
      <c r="Q158" s="8"/>
      <c r="R158" s="8"/>
      <c r="S158" s="7">
        <f>Parameters!B$61*EXP(-Parameters!B$60*A158)+(1-Parameters!B$61)*P158^-Parameters!B$63</f>
        <v>0.31352792765387888</v>
      </c>
      <c r="T158" s="7">
        <f>1-S158/Parameters!$B$12</f>
        <v>0.84323603617306053</v>
      </c>
      <c r="U158" s="7">
        <f t="shared" si="188"/>
        <v>6.3790170622628306</v>
      </c>
      <c r="V158" s="7">
        <f>(Parameters!$B$19*(F158+Parameters!$B$20)^T158+Parameters!$B$18*G158^T158)^(1/T158)</f>
        <v>0.35898678001306783</v>
      </c>
      <c r="W158" s="7">
        <f>(Parameters!$B$10*H158^Parameters!$B$9+Parameters!$B$11*V158^Parameters!$B$9)^(Parameters!$B$7/Parameters!$B$9)*O158</f>
        <v>1.3339893483641461</v>
      </c>
      <c r="X158" s="7">
        <f>W158 - D158 - E158 - LN(1+EXP(Parameters!$B$21*C158))/Parameters!$B$21 - IF(C158&gt;0, 0,Parameters!$B$6*C158^2/F158)</f>
        <v>0.99251107661157323</v>
      </c>
      <c r="Y158" s="7">
        <f>EXP(-Parameters!$B$55*A158)</f>
        <v>9.7744338495362112E-2</v>
      </c>
      <c r="Z158" s="7">
        <f>IF(X158&gt;0,X158^(1-Parameters!$B$52)/(1-Parameters!$B$52)*Y158*Parameters!$B$65,-10+X158*1000)</f>
        <v>-0.28000526054122976</v>
      </c>
      <c r="AC158">
        <f t="shared" si="189"/>
        <v>23.461383966895099</v>
      </c>
      <c r="AD158">
        <f t="shared" si="190"/>
        <v>253.65038543283273</v>
      </c>
      <c r="AE158" s="23">
        <f t="shared" si="191"/>
        <v>1.2147404719941912</v>
      </c>
      <c r="AF158" s="23">
        <f t="shared" si="192"/>
        <v>0.24353679162117695</v>
      </c>
      <c r="AG158" s="23">
        <f t="shared" si="193"/>
        <v>3445.2861628342716</v>
      </c>
      <c r="AH158" s="23">
        <f t="shared" si="194"/>
        <v>874.26488638799788</v>
      </c>
      <c r="AI158" s="23">
        <f t="shared" si="195"/>
        <v>2151.6324462128273</v>
      </c>
      <c r="AJ158" s="23">
        <f t="shared" si="196"/>
        <v>3248.754859574286</v>
      </c>
      <c r="AK158" s="23">
        <f t="shared" si="197"/>
        <v>2417.1296324646269</v>
      </c>
      <c r="AL158" s="9">
        <f t="shared" si="199"/>
        <v>2.3775944754843792E-2</v>
      </c>
      <c r="AM158" s="9">
        <f t="shared" si="200"/>
        <v>3.4000487362301435E-2</v>
      </c>
      <c r="AN158" s="9">
        <f t="shared" ref="AN158:AO158" si="225">AVERAGE(AL156:AL160)</f>
        <v>2.3564663248731677E-2</v>
      </c>
      <c r="AO158" s="9">
        <f t="shared" si="225"/>
        <v>2.3245825757328299E-2</v>
      </c>
      <c r="AP158" s="23"/>
      <c r="AQ158" s="25">
        <f t="shared" si="186"/>
        <v>3248.7548595742865</v>
      </c>
      <c r="AR158" s="4"/>
      <c r="AS158" s="4"/>
      <c r="AT158" s="4"/>
      <c r="AU158" s="16"/>
      <c r="AV158" s="16"/>
      <c r="AY158" s="21">
        <f>-Y158*W158*X158^(-Parameters!B$52)*Parameters!B$46*Parameters!B$45*N158</f>
        <v>-3.5211429050210244E-6</v>
      </c>
      <c r="AZ158" s="7">
        <f>1000*EXP(-(Parameters!$B$54)*'6states'!A158)*AQ158*Parameters!B$46*Parameters!B$45*N158</f>
        <v>0.39013414891835224</v>
      </c>
      <c r="BA158" s="93">
        <f>SUM(AZ158:AZ$204)*EXP(Parameters!$B$54*A158)</f>
        <v>4903.159319878775</v>
      </c>
      <c r="BF158" s="5"/>
      <c r="BG158" s="5"/>
      <c r="BH158" s="5"/>
      <c r="BK158">
        <f>-EXP(-Parameters!B$42*'6states'!A158)*(-Parameters!B$37/Parameters!B$38/Parameters!E$25*(EXP(-Parameters!B$38*Parameters!E$25*'6states'!I158/('6states'!F158+'6states'!I158))-EXP(-Parameters!B$38*Parameters!E$25))+Parameters!B$37*'6states'!F158/('6states'!F158+'6states'!I158)*EXP(-Parameters!B$38*Parameters!E$25*'6states'!I158/('6states'!F158+'6states'!I158)))</f>
        <v>-7.3853457883735607E-17</v>
      </c>
    </row>
    <row r="159" spans="1:64" x14ac:dyDescent="0.25">
      <c r="A159">
        <f>A158+Parameters!$B$65</f>
        <v>155</v>
      </c>
      <c r="B159">
        <v>2180</v>
      </c>
      <c r="C159" s="74">
        <v>9.6336088916951796E-3</v>
      </c>
      <c r="D159" s="69">
        <v>0.10216700951259899</v>
      </c>
      <c r="E159" s="75">
        <v>0.23411039274993001</v>
      </c>
      <c r="F159" s="7">
        <f>MAX((1-Parameters!$B$4)^Parameters!B$65*F158 + C158*Parameters!B$65 - IF(C158&gt;0,Parameters!$B$5,0)*C158^2/F158*Parameters!B$65, 0.0001)</f>
        <v>1E-4</v>
      </c>
      <c r="G159" s="7">
        <f>(1-Parameters!$B$4)^Parameters!B$65*G158+D158*Parameters!B$65-Parameters!$B$5*D158^2/G158*Parameters!B$65</f>
        <v>1.422189092838964</v>
      </c>
      <c r="H159" s="7">
        <f>(1-Parameters!$B$4)^Parameters!B$65*H158+E158*Parameters!B$65-Parameters!$B$5*E158^2/H158*Parameters!B$65</f>
        <v>3.3727797925174317</v>
      </c>
      <c r="I159" s="9">
        <f>I158 *(1-Parameters!$B$4)-C158*(C158&lt;0)*Parameters!B$65</f>
        <v>4.6741738228876794E-4</v>
      </c>
      <c r="J159" s="23">
        <f>J158*(1+Parameters!$B$51)^Parameters!B$65</f>
        <v>12.782712234312639</v>
      </c>
      <c r="K159" s="23">
        <f>K158*(1+Parameters!$B$53)^Parameters!B$65</f>
        <v>194.89440481534251</v>
      </c>
      <c r="L159" s="23">
        <f>J159*K159*EXP(-Parameters!$B$42*'6states'!A159)*(Parameters!$B$37/Parameters!$B$38*('6states'!F159+'6states'!I159)/Parameters!$E$25*(EXP(-Parameters!$B$38*Parameters!$E$25*'6states'!I159/('6states'!F159+'6states'!I159))-EXP(-Parameters!$B$38*Parameters!$E$25))  +  Parameters!$B$39*'6states'!F159)</f>
        <v>4.0555593510323881E-2</v>
      </c>
      <c r="M159" s="8">
        <f>M158+L159*Parameters!B$65</f>
        <v>3694.355003995915</v>
      </c>
      <c r="N159" s="7">
        <f>M159*Parameters!$B$45</f>
        <v>2.216613002397549</v>
      </c>
      <c r="O159" s="9">
        <f>EXP(-Parameters!$B$46/2*N159^2)</f>
        <v>0.95181994004864412</v>
      </c>
      <c r="P159" s="8">
        <f>MAX((Parameters!$B$62 + Parameters!$B$31*'6states'!A159 - '6states'!M159 + Parameters!$B$47/Parameters!$B$45)/Parameters!B$62,1)</f>
        <v>138.03289992008169</v>
      </c>
      <c r="Q159" s="8"/>
      <c r="R159" s="8"/>
      <c r="S159" s="7">
        <f>Parameters!B$61*EXP(-Parameters!B$60*A159)+(1-Parameters!B$61)*P159^-Parameters!B$63</f>
        <v>0.31308333844189218</v>
      </c>
      <c r="T159" s="7">
        <f>1-S159/Parameters!$B$12</f>
        <v>0.84345833077905397</v>
      </c>
      <c r="U159" s="7">
        <f t="shared" si="188"/>
        <v>6.3880754879940627</v>
      </c>
      <c r="V159" s="7">
        <f>(Parameters!$B$19*(F159+Parameters!$B$20)^T159+Parameters!$B$18*G159^T159)^(1/T159)</f>
        <v>0.36093931132714785</v>
      </c>
      <c r="W159" s="7">
        <f>(Parameters!$B$10*H159^Parameters!$B$9+Parameters!$B$11*V159^Parameters!$B$9)^(Parameters!$B$7/Parameters!$B$9)*O159</f>
        <v>1.3346443227422657</v>
      </c>
      <c r="X159" s="7">
        <f>W159 - D159 - E159 - LN(1+EXP(Parameters!$B$21*C159))/Parameters!$B$21 - IF(C159&gt;0, 0,Parameters!$B$6*C159^2/F159)</f>
        <v>0.988553036792583</v>
      </c>
      <c r="Y159" s="7">
        <f>EXP(-Parameters!$B$55*A159)</f>
        <v>9.6279486450325927E-2</v>
      </c>
      <c r="Z159" s="7">
        <f>IF(X159&gt;0,X159^(1-Parameters!$B$52)/(1-Parameters!$B$52)*Y159*Parameters!$B$65,-10+X159*1000)</f>
        <v>-0.27619494749348467</v>
      </c>
      <c r="AC159">
        <f t="shared" si="189"/>
        <v>24.000008420402185</v>
      </c>
      <c r="AD159">
        <f t="shared" si="190"/>
        <v>254.52653477592216</v>
      </c>
      <c r="AE159" s="23">
        <f t="shared" si="191"/>
        <v>1.1644671521223442</v>
      </c>
      <c r="AF159" s="23">
        <f t="shared" si="192"/>
        <v>0.2491279092832159</v>
      </c>
      <c r="AG159" s="23">
        <f t="shared" si="193"/>
        <v>3543.069953043645</v>
      </c>
      <c r="AH159" s="23">
        <f t="shared" si="194"/>
        <v>899.200560090561</v>
      </c>
      <c r="AI159" s="23">
        <f t="shared" si="195"/>
        <v>2213.0010376339856</v>
      </c>
      <c r="AJ159" s="23">
        <f t="shared" si="196"/>
        <v>3324.9714976149426</v>
      </c>
      <c r="AK159" s="23">
        <f t="shared" si="197"/>
        <v>2462.7615127171016</v>
      </c>
      <c r="AL159" s="9">
        <f t="shared" si="199"/>
        <v>2.3189299123805185E-2</v>
      </c>
      <c r="AM159" s="9">
        <f t="shared" si="200"/>
        <v>1.8702552577980036E-2</v>
      </c>
      <c r="AN159" s="9">
        <f t="shared" ref="AN159:AO159" si="226">AVERAGE(AL157:AL161)</f>
        <v>2.3544593376049149E-2</v>
      </c>
      <c r="AO159" s="9">
        <f t="shared" si="226"/>
        <v>2.2321983166556692E-2</v>
      </c>
      <c r="AP159" s="23"/>
      <c r="AQ159" s="25">
        <f t="shared" si="186"/>
        <v>3324.9714976149426</v>
      </c>
      <c r="AR159" s="4"/>
      <c r="AS159" s="4"/>
      <c r="AT159" s="4"/>
      <c r="AU159" s="16"/>
      <c r="AV159" s="16"/>
      <c r="AY159" s="21">
        <f>-Y159*W159*X159^(-Parameters!B$52)*Parameters!B$46*Parameters!B$45*N159</f>
        <v>-3.4888839759252227E-6</v>
      </c>
      <c r="AZ159" s="7">
        <f>1000*EXP(-(Parameters!$B$54)*'6states'!A159)*AQ159*Parameters!B$46*Parameters!B$45*N159</f>
        <v>0.38551917349850512</v>
      </c>
      <c r="BA159" s="93">
        <f>SUM(AZ159:AZ$204)*EXP(Parameters!$B$54*A159)</f>
        <v>4988.367905241952</v>
      </c>
      <c r="BF159" s="5"/>
      <c r="BG159" s="5"/>
      <c r="BH159" s="5"/>
      <c r="BK159">
        <f>-EXP(-Parameters!B$42*'6states'!A159)*(-Parameters!B$37/Parameters!B$38/Parameters!E$25*(EXP(-Parameters!B$38*Parameters!E$25*'6states'!I159/('6states'!F159+'6states'!I159))-EXP(-Parameters!B$38*Parameters!E$25))+Parameters!B$37*'6states'!F159/('6states'!F159+'6states'!I159)*EXP(-Parameters!B$38*Parameters!E$25*'6states'!I159/('6states'!F159+'6states'!I159)))</f>
        <v>-1.1531148209697476E-16</v>
      </c>
    </row>
    <row r="160" spans="1:64" x14ac:dyDescent="0.25">
      <c r="A160">
        <f>A159+Parameters!$B$65</f>
        <v>156</v>
      </c>
      <c r="B160">
        <v>2181</v>
      </c>
      <c r="C160" s="74">
        <v>9.6336118158661093E-3</v>
      </c>
      <c r="D160" s="69">
        <v>0.104096176269996</v>
      </c>
      <c r="E160" s="75">
        <v>0.23641859707697099</v>
      </c>
      <c r="F160" s="7">
        <f>MAX((1-Parameters!$B$4)^Parameters!B$65*F159 + C159*Parameters!B$65 - IF(C159&gt;0,Parameters!$B$5,0)*C159^2/F159*Parameters!B$65, 0.0001)</f>
        <v>1E-4</v>
      </c>
      <c r="G160" s="7">
        <f>(1-Parameters!$B$4)^Parameters!B$65*G159+D159*Parameters!B$65-Parameters!$B$5*D159^2/G159*Parameters!B$65</f>
        <v>1.427560949907279</v>
      </c>
      <c r="H160" s="7">
        <f>(1-Parameters!$B$4)^Parameters!B$65*H159+E159*Parameters!B$65-Parameters!$B$5*E159^2/H159*Parameters!B$65</f>
        <v>3.3784923350237959</v>
      </c>
      <c r="I160" s="9">
        <f>I159 *(1-Parameters!$B$4)-C159*(C159&lt;0)*Parameters!B$65</f>
        <v>4.3801682894280448E-4</v>
      </c>
      <c r="J160" s="23">
        <f>J159*(1+Parameters!$B$51)^Parameters!B$65</f>
        <v>12.819782099792144</v>
      </c>
      <c r="K160" s="23">
        <f>K159*(1+Parameters!$B$53)^Parameters!B$65</f>
        <v>198.79229291164935</v>
      </c>
      <c r="L160" s="23">
        <f>J160*K160*EXP(-Parameters!$B$42*'6states'!A160)*(Parameters!$B$37/Parameters!$B$38*('6states'!F160+'6states'!I160)/Parameters!$E$25*(EXP(-Parameters!$B$38*Parameters!$E$25*'6states'!I160/('6states'!F160+'6states'!I160))-EXP(-Parameters!$B$38*Parameters!$E$25))  +  Parameters!$B$39*'6states'!F160)</f>
        <v>4.1073869574120674E-2</v>
      </c>
      <c r="M160" s="8">
        <f>M159+L160*Parameters!B$65</f>
        <v>3694.3960778654891</v>
      </c>
      <c r="N160" s="7">
        <f>M160*Parameters!$B$45</f>
        <v>2.2166376467192932</v>
      </c>
      <c r="O160" s="9">
        <f>EXP(-Parameters!$B$46/2*N160^2)</f>
        <v>0.95181889494399785</v>
      </c>
      <c r="P160" s="8">
        <f>MAX((Parameters!$B$62 + Parameters!$B$31*'6states'!A160 - '6states'!M160 + Parameters!$B$47/Parameters!$B$45)/Parameters!B$62,1)</f>
        <v>139.09607844269024</v>
      </c>
      <c r="Q160" s="8"/>
      <c r="R160" s="8"/>
      <c r="S160" s="7">
        <f>Parameters!B$61*EXP(-Parameters!B$60*A160)+(1-Parameters!B$61)*P160^-Parameters!B$63</f>
        <v>0.31264629391740917</v>
      </c>
      <c r="T160" s="7">
        <f>1-S160/Parameters!$B$12</f>
        <v>0.84367685304129547</v>
      </c>
      <c r="U160" s="7">
        <f t="shared" si="188"/>
        <v>6.3970053025107498</v>
      </c>
      <c r="V160" s="7">
        <f>(Parameters!$B$19*(F160+Parameters!$B$20)^T160+Parameters!$B$18*G160^T160)^(1/T160)</f>
        <v>0.36236904992072427</v>
      </c>
      <c r="W160" s="7">
        <f>(Parameters!$B$10*H160^Parameters!$B$9+Parameters!$B$11*V160^Parameters!$B$9)^(Parameters!$B$7/Parameters!$B$9)*O160</f>
        <v>1.33559092087016</v>
      </c>
      <c r="X160" s="7">
        <f>W160 - D160 - E160 - LN(1+EXP(Parameters!$B$21*C160))/Parameters!$B$21 - IF(C160&gt;0, 0,Parameters!$B$6*C160^2/F160)</f>
        <v>0.98526226106581427</v>
      </c>
      <c r="Y160" s="7">
        <f>EXP(-Parameters!$B$55*A160)</f>
        <v>9.4836587508117826E-2</v>
      </c>
      <c r="Z160" s="7">
        <f>IF(X160&gt;0,X160^(1-Parameters!$B$52)/(1-Parameters!$B$52)*Y160*Parameters!$B$65,-10+X160*1000)</f>
        <v>-0.27237342203873571</v>
      </c>
      <c r="AC160">
        <f t="shared" si="189"/>
        <v>24.551008065891008</v>
      </c>
      <c r="AD160">
        <f t="shared" si="190"/>
        <v>265.28638604931336</v>
      </c>
      <c r="AE160" s="23">
        <f t="shared" si="191"/>
        <v>1.1162744467926207</v>
      </c>
      <c r="AF160" s="23">
        <f t="shared" si="192"/>
        <v>0.25484738782453997</v>
      </c>
      <c r="AG160" s="23">
        <f t="shared" si="193"/>
        <v>3638.1017904418895</v>
      </c>
      <c r="AH160" s="23">
        <f t="shared" si="194"/>
        <v>923.48805800756872</v>
      </c>
      <c r="AI160" s="23">
        <f t="shared" si="195"/>
        <v>2272.7744190990265</v>
      </c>
      <c r="AJ160" s="23">
        <f t="shared" si="196"/>
        <v>3403.7185738593203</v>
      </c>
      <c r="AK160" s="23">
        <f t="shared" si="197"/>
        <v>2510.9151355472268</v>
      </c>
      <c r="AL160" s="9">
        <f t="shared" si="199"/>
        <v>2.3407430238696847E-2</v>
      </c>
      <c r="AM160" s="9">
        <f t="shared" si="200"/>
        <v>1.9363996047131238E-2</v>
      </c>
      <c r="AN160" s="9">
        <f t="shared" ref="AN160:AO160" si="227">AVERAGE(AL158:AL162)</f>
        <v>2.3573506892038409E-2</v>
      </c>
      <c r="AO160" s="9">
        <f t="shared" si="227"/>
        <v>2.350874155290068E-2</v>
      </c>
      <c r="AP160" s="23"/>
      <c r="AQ160" s="25">
        <f t="shared" si="186"/>
        <v>3403.7185738593207</v>
      </c>
      <c r="AR160" s="4"/>
      <c r="AS160" s="4"/>
      <c r="AT160" s="4"/>
      <c r="AU160" s="16"/>
      <c r="AV160" s="16"/>
      <c r="AY160" s="21">
        <f>-Y160*W160*X160^(-Parameters!B$52)*Parameters!B$46*Parameters!B$45*N160</f>
        <v>-3.4545890672104133E-6</v>
      </c>
      <c r="AZ160" s="7">
        <f>1000*EXP(-(Parameters!$B$54)*'6states'!A160)*AQ160*Parameters!B$46*Parameters!B$45*N160</f>
        <v>0.38104195099107968</v>
      </c>
      <c r="BA160" s="93">
        <f>SUM(AZ160:AZ$204)*EXP(Parameters!$B$54*A160)</f>
        <v>5074.509198526227</v>
      </c>
      <c r="BF160" s="5"/>
      <c r="BG160" s="5"/>
      <c r="BH160" s="5"/>
      <c r="BK160">
        <f>-EXP(-Parameters!B$42*'6states'!A160)*(-Parameters!B$37/Parameters!B$38/Parameters!E$25*(EXP(-Parameters!B$38*Parameters!E$25*'6states'!I160/('6states'!F160+'6states'!I160))-EXP(-Parameters!B$38*Parameters!E$25))+Parameters!B$37*'6states'!F160/('6states'!F160+'6states'!I160)*EXP(-Parameters!B$38*Parameters!E$25*'6states'!I160/('6states'!F160+'6states'!I160)))</f>
        <v>-1.8289002267442321E-16</v>
      </c>
    </row>
    <row r="161" spans="1:63" x14ac:dyDescent="0.25">
      <c r="A161">
        <f>A160+Parameters!$B$65</f>
        <v>157</v>
      </c>
      <c r="B161">
        <v>2182</v>
      </c>
      <c r="C161" s="74">
        <v>9.6336161973594996E-3</v>
      </c>
      <c r="D161" s="69">
        <v>0.1026513413241</v>
      </c>
      <c r="E161" s="75">
        <v>0.244799635447079</v>
      </c>
      <c r="F161" s="7">
        <f>MAX((1-Parameters!$B$4)^Parameters!B$65*F160 + C160*Parameters!B$65 - IF(C160&gt;0,Parameters!$B$5,0)*C160^2/F160*Parameters!B$65, 0.0001)</f>
        <v>1E-4</v>
      </c>
      <c r="G161" s="7">
        <f>(1-Parameters!$B$4)^Parameters!B$65*G160+D160*Parameters!B$65-Parameters!$B$5*D160^2/G160*Parameters!B$65</f>
        <v>1.4342729636057194</v>
      </c>
      <c r="H161" s="7">
        <f>(1-Parameters!$B$4)^Parameters!B$65*H160+E160*Parameters!B$65-Parameters!$B$5*E160^2/H160*Parameters!B$65</f>
        <v>3.3858597713749794</v>
      </c>
      <c r="I161" s="9">
        <f>I160 *(1-Parameters!$B$4)-C160*(C160&lt;0)*Parameters!B$65</f>
        <v>4.104655704023021E-4</v>
      </c>
      <c r="J161" s="23">
        <f>J160*(1+Parameters!$B$51)^Parameters!B$65</f>
        <v>12.85695946788154</v>
      </c>
      <c r="K161" s="23">
        <f>K160*(1+Parameters!$B$53)^Parameters!B$65</f>
        <v>202.76813876988234</v>
      </c>
      <c r="L161" s="23">
        <f>J161*K161*EXP(-Parameters!$B$42*'6states'!A161)*(Parameters!$B$37/Parameters!$B$38*('6states'!F161+'6states'!I161)/Parameters!$E$25*(EXP(-Parameters!$B$38*Parameters!$E$25*'6states'!I161/('6states'!F161+'6states'!I161))-EXP(-Parameters!$B$38*Parameters!$E$25))  +  Parameters!$B$39*'6states'!F161)</f>
        <v>4.1598768893923721E-2</v>
      </c>
      <c r="M161" s="8">
        <f>M160+L161*Parameters!B$65</f>
        <v>3694.437676634383</v>
      </c>
      <c r="N161" s="7">
        <f>M161*Parameters!$B$45</f>
        <v>2.2166626059806296</v>
      </c>
      <c r="O161" s="9">
        <f>EXP(-Parameters!$B$46/2*N161^2)</f>
        <v>0.95181783647286999</v>
      </c>
      <c r="P161" s="8">
        <f>MAX((Parameters!$B$62 + Parameters!$B$31*'6states'!A161 - '6states'!M161 + Parameters!$B$47/Parameters!$B$45)/Parameters!B$62,1)</f>
        <v>140.15924646731233</v>
      </c>
      <c r="Q161" s="8"/>
      <c r="R161" s="8"/>
      <c r="S161" s="7">
        <f>Parameters!B$61*EXP(-Parameters!B$60*A161)+(1-Parameters!B$61)*P161^-Parameters!B$63</f>
        <v>0.31221661437197945</v>
      </c>
      <c r="T161" s="7">
        <f>1-S161/Parameters!$B$12</f>
        <v>0.84389169281401033</v>
      </c>
      <c r="U161" s="7">
        <f t="shared" si="188"/>
        <v>6.4058090054655814</v>
      </c>
      <c r="V161" s="7">
        <f>(Parameters!$B$19*(F161+Parameters!$B$20)^T161+Parameters!$B$18*G161^T161)^(1/T161)</f>
        <v>0.36412649863369784</v>
      </c>
      <c r="W161" s="7">
        <f>(Parameters!$B$10*H161^Parameters!$B$9+Parameters!$B$11*V161^Parameters!$B$9)^(Parameters!$B$7/Parameters!$B$9)*O161</f>
        <v>1.3367785941358685</v>
      </c>
      <c r="X161" s="7">
        <f>W161 - D161 - E161 - LN(1+EXP(Parameters!$B$21*C161))/Parameters!$B$21 - IF(C161&gt;0, 0,Parameters!$B$6*C161^2/F161)</f>
        <v>0.97951372675648518</v>
      </c>
      <c r="Y161" s="7">
        <f>EXP(-Parameters!$B$55*A161)</f>
        <v>9.3415312667098696E-2</v>
      </c>
      <c r="Z161" s="7">
        <f>IF(X161&gt;0,X161^(1-Parameters!$B$52)/(1-Parameters!$B$52)*Y161*Parameters!$B$65,-10+X161*1000)</f>
        <v>-0.26884152057866922</v>
      </c>
      <c r="AC161">
        <f t="shared" si="189"/>
        <v>25.114661531540996</v>
      </c>
      <c r="AD161">
        <f t="shared" si="190"/>
        <v>267.61017257674058</v>
      </c>
      <c r="AE161" s="23">
        <f t="shared" si="191"/>
        <v>1.0700762475704881</v>
      </c>
      <c r="AF161" s="23">
        <f t="shared" si="192"/>
        <v>0.2606981741542157</v>
      </c>
      <c r="AG161" s="23">
        <f t="shared" si="193"/>
        <v>3739.1234285076689</v>
      </c>
      <c r="AH161" s="23">
        <f t="shared" si="194"/>
        <v>949.27113354972539</v>
      </c>
      <c r="AI161" s="23">
        <f t="shared" si="195"/>
        <v>2336.2285309630602</v>
      </c>
      <c r="AJ161" s="23">
        <f t="shared" si="196"/>
        <v>3484.9573873966024</v>
      </c>
      <c r="AK161" s="23">
        <f t="shared" si="197"/>
        <v>2553.5744012440696</v>
      </c>
      <c r="AL161" s="9">
        <f t="shared" si="199"/>
        <v>2.3587284541013886E-2</v>
      </c>
      <c r="AM161" s="9">
        <f t="shared" si="200"/>
        <v>1.6846821117302291E-2</v>
      </c>
      <c r="AN161" s="9">
        <f t="shared" ref="AN161:AO161" si="228">AVERAGE(AL159:AL163)</f>
        <v>2.3541876768744176E-2</v>
      </c>
      <c r="AO161" s="9">
        <f t="shared" si="228"/>
        <v>2.0465381704216235E-2</v>
      </c>
      <c r="AP161" s="23"/>
      <c r="AQ161" s="25">
        <f t="shared" si="186"/>
        <v>3484.9573873966024</v>
      </c>
      <c r="AR161" s="4"/>
      <c r="AS161" s="4"/>
      <c r="AT161" s="4"/>
      <c r="AU161" s="16"/>
      <c r="AV161" s="16"/>
      <c r="AY161" s="21">
        <f>-Y161*W161*X161^(-Parameters!B$52)*Parameters!B$46*Parameters!B$45*N161</f>
        <v>-3.4328928360057942E-6</v>
      </c>
      <c r="AZ161" s="7">
        <f>1000*EXP(-(Parameters!$B$54)*'6states'!A161)*AQ161*Parameters!B$46*Parameters!B$45*N161</f>
        <v>0.37668452035804401</v>
      </c>
      <c r="BA161" s="93">
        <f>SUM(AZ161:AZ$204)*EXP(Parameters!$B$54*A161)</f>
        <v>5161.5463977406807</v>
      </c>
      <c r="BF161" s="5"/>
      <c r="BG161" s="5"/>
      <c r="BH161" s="5"/>
      <c r="BK161">
        <f>-EXP(-Parameters!B$42*'6states'!A161)*(-Parameters!B$37/Parameters!B$38/Parameters!E$25*(EXP(-Parameters!B$38*Parameters!E$25*'6states'!I161/('6states'!F161+'6states'!I161))-EXP(-Parameters!B$38*Parameters!E$25))+Parameters!B$37*'6states'!F161/('6states'!F161+'6states'!I161)*EXP(-Parameters!B$38*Parameters!E$25*'6states'!I161/('6states'!F161+'6states'!I161)))</f>
        <v>-2.9472205509950687E-16</v>
      </c>
    </row>
    <row r="162" spans="1:63" x14ac:dyDescent="0.25">
      <c r="A162">
        <f>A161+Parameters!$B$65</f>
        <v>158</v>
      </c>
      <c r="B162">
        <v>2183</v>
      </c>
      <c r="C162" s="74">
        <v>9.6336409951288896E-3</v>
      </c>
      <c r="D162" s="69">
        <v>9.8886418905043696E-2</v>
      </c>
      <c r="E162" s="75">
        <v>0.244354699479226</v>
      </c>
      <c r="F162" s="7">
        <f>MAX((1-Parameters!$B$4)^Parameters!B$65*F161 + C161*Parameters!B$65 - IF(C161&gt;0,Parameters!$B$5,0)*C161^2/F161*Parameters!B$65, 0.0001)</f>
        <v>1E-4</v>
      </c>
      <c r="G162" s="7">
        <f>(1-Parameters!$B$4)^Parameters!B$65*G161+D161*Parameters!B$65-Parameters!$B$5*D161^2/G161*Parameters!B$65</f>
        <v>1.4393617485802583</v>
      </c>
      <c r="H162" s="7">
        <f>(1-Parameters!$B$4)^Parameters!B$65*H161+E161*Parameters!B$65-Parameters!$B$5*E161^2/H161*Parameters!B$65</f>
        <v>3.3999896708400845</v>
      </c>
      <c r="I162" s="9">
        <f>I161 *(1-Parameters!$B$4)-C161*(C161&lt;0)*Parameters!B$65</f>
        <v>3.846472860239973E-4</v>
      </c>
      <c r="J162" s="23">
        <f>J161*(1+Parameters!$B$51)^Parameters!B$65</f>
        <v>12.894244650338395</v>
      </c>
      <c r="K162" s="23">
        <f>K161*(1+Parameters!$B$53)^Parameters!B$65</f>
        <v>206.82350154527998</v>
      </c>
      <c r="L162" s="23">
        <f>J162*K162*EXP(-Parameters!$B$42*'6states'!A162)*(Parameters!$B$37/Parameters!$B$38*('6states'!F162+'6states'!I162)/Parameters!$E$25*(EXP(-Parameters!$B$38*Parameters!$E$25*'6states'!I162/('6states'!F162+'6states'!I162))-EXP(-Parameters!$B$38*Parameters!$E$25))  +  Parameters!$B$39*'6states'!F162)</f>
        <v>4.2130376110956484E-2</v>
      </c>
      <c r="M162" s="8">
        <f>M161+L162*Parameters!B$65</f>
        <v>3694.4798070104939</v>
      </c>
      <c r="N162" s="7">
        <f>M162*Parameters!$B$45</f>
        <v>2.216687884206296</v>
      </c>
      <c r="O162" s="9">
        <f>EXP(-Parameters!$B$46/2*N162^2)</f>
        <v>0.95181676446417063</v>
      </c>
      <c r="P162" s="8">
        <f>MAX((Parameters!$B$62 + Parameters!$B$31*'6states'!A162 - '6states'!M162 + Parameters!$B$47/Parameters!$B$45)/Parameters!B$62,1)</f>
        <v>141.22240385979015</v>
      </c>
      <c r="Q162" s="8"/>
      <c r="R162" s="8"/>
      <c r="S162" s="7">
        <f>Parameters!B$61*EXP(-Parameters!B$60*A162)+(1-Parameters!B$61)*P162^-Parameters!B$63</f>
        <v>0.31179412478219087</v>
      </c>
      <c r="T162" s="7">
        <f>1-S162/Parameters!$B$12</f>
        <v>0.84410293760890454</v>
      </c>
      <c r="U162" s="7">
        <f t="shared" si="188"/>
        <v>6.4144890523422591</v>
      </c>
      <c r="V162" s="7">
        <f>(Parameters!$B$19*(F162+Parameters!$B$20)^T162+Parameters!$B$18*G162^T162)^(1/T162)</f>
        <v>0.36548485437666511</v>
      </c>
      <c r="W162" s="7">
        <f>(Parameters!$B$10*H162^Parameters!$B$9+Parameters!$B$11*V162^Parameters!$B$9)^(Parameters!$B$7/Parameters!$B$9)*O162</f>
        <v>1.3383959314161795</v>
      </c>
      <c r="X162" s="7">
        <f>W162 - D162 - E162 - LN(1+EXP(Parameters!$B$21*C162))/Parameters!$B$21 - IF(C162&gt;0, 0,Parameters!$B$6*C162^2/F162)</f>
        <v>0.98534089893143173</v>
      </c>
      <c r="Y162" s="7">
        <f>EXP(-Parameters!$B$55*A162)</f>
        <v>9.2015337856234475E-2</v>
      </c>
      <c r="Z162" s="7">
        <f>IF(X162&gt;0,X162^(1-Parameters!$B$52)/(1-Parameters!$B$52)*Y162*Parameters!$B$65,-10+X162*1000)</f>
        <v>-0.2642633294550859</v>
      </c>
      <c r="AC162">
        <f t="shared" si="189"/>
        <v>25.691310062487592</v>
      </c>
      <c r="AD162">
        <f t="shared" si="190"/>
        <v>263.71354821537255</v>
      </c>
      <c r="AE162" s="23">
        <f t="shared" si="191"/>
        <v>1.0257900097100983</v>
      </c>
      <c r="AF162" s="23">
        <f t="shared" si="192"/>
        <v>0.2666832828364481</v>
      </c>
      <c r="AG162" s="23">
        <f t="shared" si="193"/>
        <v>3838.5371630059358</v>
      </c>
      <c r="AH162" s="23">
        <f t="shared" si="194"/>
        <v>974.6870079217025</v>
      </c>
      <c r="AI162" s="23">
        <f t="shared" si="195"/>
        <v>2398.7789327909859</v>
      </c>
      <c r="AJ162" s="23">
        <f t="shared" si="196"/>
        <v>3569.2782072501245</v>
      </c>
      <c r="AK162" s="23">
        <f t="shared" si="197"/>
        <v>2627.7394564005108</v>
      </c>
      <c r="AL162" s="9">
        <f t="shared" si="199"/>
        <v>2.3907575801832337E-2</v>
      </c>
      <c r="AM162" s="9">
        <f t="shared" si="200"/>
        <v>2.8629850659788403E-2</v>
      </c>
      <c r="AN162" s="9">
        <f t="shared" ref="AN162:AO162" si="229">AVERAGE(AL160:AL164)</f>
        <v>2.3669037097287671E-2</v>
      </c>
      <c r="AO162" s="9">
        <f t="shared" si="229"/>
        <v>2.0734689023720599E-2</v>
      </c>
      <c r="AP162" s="23"/>
      <c r="AQ162" s="25">
        <f t="shared" si="186"/>
        <v>3569.2782072501245</v>
      </c>
      <c r="AR162" s="4"/>
      <c r="AS162" s="4"/>
      <c r="AT162" s="4"/>
      <c r="AU162" s="16"/>
      <c r="AV162" s="16"/>
      <c r="AY162" s="21">
        <f>-Y162*W162*X162^(-Parameters!B$52)*Parameters!B$46*Parameters!B$45*N162</f>
        <v>-3.3585738345448523E-6</v>
      </c>
      <c r="AZ162" s="7">
        <f>1000*EXP(-(Parameters!$B$54)*'6states'!A162)*AQ162*Parameters!B$46*Parameters!B$45*N162</f>
        <v>0.37249626114110257</v>
      </c>
      <c r="BA162" s="93">
        <f>SUM(AZ162:AZ$204)*EXP(Parameters!$B$54*A162)</f>
        <v>5249.4424543277801</v>
      </c>
      <c r="BF162" s="5"/>
      <c r="BG162" s="5"/>
      <c r="BH162" s="5"/>
      <c r="BK162">
        <f>-EXP(-Parameters!B$42*'6states'!A162)*(-Parameters!B$37/Parameters!B$38/Parameters!E$25*(EXP(-Parameters!B$38*Parameters!E$25*'6states'!I162/('6states'!F162+'6states'!I162))-EXP(-Parameters!B$38*Parameters!E$25))+Parameters!B$37*'6states'!F162/('6states'!F162+'6states'!I162)*EXP(-Parameters!B$38*Parameters!E$25*'6states'!I162/('6states'!F162+'6states'!I162)))</f>
        <v>-4.8261754652155461E-16</v>
      </c>
    </row>
    <row r="163" spans="1:63" x14ac:dyDescent="0.25">
      <c r="A163">
        <f>A162+Parameters!$B$65</f>
        <v>159</v>
      </c>
      <c r="B163">
        <v>2184</v>
      </c>
      <c r="C163" s="74">
        <v>9.6336578719039001E-3</v>
      </c>
      <c r="D163" s="69">
        <v>0.10252532063806501</v>
      </c>
      <c r="E163" s="75">
        <v>0.24579663548577599</v>
      </c>
      <c r="F163" s="7">
        <f>MAX((1-Parameters!$B$4)^Parameters!B$65*F162 + C162*Parameters!B$65 - IF(C162&gt;0,Parameters!$B$5,0)*C162^2/F162*Parameters!B$65, 0.0001)</f>
        <v>1E-4</v>
      </c>
      <c r="G163" s="7">
        <f>(1-Parameters!$B$4)^Parameters!B$65*G162+D162*Parameters!B$65-Parameters!$B$5*D162^2/G162*Parameters!B$65</f>
        <v>1.4409186607896378</v>
      </c>
      <c r="H163" s="7">
        <f>(1-Parameters!$B$4)^Parameters!B$65*H162+E162*Parameters!B$65-Parameters!$B$5*E162^2/H162*Parameters!B$65</f>
        <v>3.4129234316252233</v>
      </c>
      <c r="I163" s="9">
        <f>I162 *(1-Parameters!$B$4)-C162*(C162&lt;0)*Parameters!B$65</f>
        <v>3.6045297173308786E-4</v>
      </c>
      <c r="J163" s="23">
        <f>J162*(1+Parameters!$B$51)^Parameters!B$65</f>
        <v>12.931637959824375</v>
      </c>
      <c r="K163" s="23">
        <f>K162*(1+Parameters!$B$53)^Parameters!B$65</f>
        <v>210.95997157618558</v>
      </c>
      <c r="L163" s="23">
        <f>J163*K163*EXP(-Parameters!$B$42*'6states'!A163)*(Parameters!$B$37/Parameters!$B$38*('6states'!F163+'6states'!I163)/Parameters!$E$25*(EXP(-Parameters!$B$38*Parameters!$E$25*'6states'!I163/('6states'!F163+'6states'!I163))-EXP(-Parameters!$B$38*Parameters!$E$25))  +  Parameters!$B$39*'6states'!F163)</f>
        <v>4.2668776948106293E-2</v>
      </c>
      <c r="M163" s="8">
        <f>M162+L163*Parameters!B$65</f>
        <v>3694.5224757874421</v>
      </c>
      <c r="N163" s="7">
        <f>M163*Parameters!$B$45</f>
        <v>2.2167134854724653</v>
      </c>
      <c r="O163" s="9">
        <f>EXP(-Parameters!$B$46/2*N163^2)</f>
        <v>0.95181567874461603</v>
      </c>
      <c r="P163" s="8">
        <f>MAX((Parameters!$B$62 + Parameters!$B$31*'6states'!A163 - '6states'!M163 + Parameters!$B$47/Parameters!$B$45)/Parameters!B$62,1)</f>
        <v>142.28555048425119</v>
      </c>
      <c r="Q163" s="8"/>
      <c r="R163" s="8"/>
      <c r="S163" s="7">
        <f>Parameters!B$61*EXP(-Parameters!B$60*A163)+(1-Parameters!B$61)*P163^-Parameters!B$63</f>
        <v>0.31137865468179493</v>
      </c>
      <c r="T163" s="7">
        <f>1-S163/Parameters!$B$12</f>
        <v>0.84431067265910253</v>
      </c>
      <c r="U163" s="7">
        <f t="shared" si="188"/>
        <v>6.4230478548500587</v>
      </c>
      <c r="V163" s="7">
        <f>(Parameters!$B$19*(F163+Parameters!$B$20)^T163+Parameters!$B$18*G163^T163)^(1/T163)</f>
        <v>0.36597527860654228</v>
      </c>
      <c r="W163" s="7">
        <f>(Parameters!$B$10*H163^Parameters!$B$9+Parameters!$B$11*V163^Parameters!$B$9)^(Parameters!$B$7/Parameters!$B$9)*O163</f>
        <v>1.3396269698914798</v>
      </c>
      <c r="X163" s="7">
        <f>W163 - D163 - E163 - LN(1+EXP(Parameters!$B$21*C163))/Parameters!$B$21 - IF(C163&gt;0, 0,Parameters!$B$6*C163^2/F163)</f>
        <v>0.98149108367887028</v>
      </c>
      <c r="Y163" s="7">
        <f>EXP(-Parameters!$B$55*A163)</f>
        <v>9.0636343861203325E-2</v>
      </c>
      <c r="Z163" s="7">
        <f>IF(X163&gt;0,X163^(1-Parameters!$B$52)/(1-Parameters!$B$52)*Y163*Parameters!$B$65,-10+X163*1000)</f>
        <v>-0.26065983051095215</v>
      </c>
      <c r="AC163">
        <f t="shared" si="189"/>
        <v>26.281177199722862</v>
      </c>
      <c r="AD163">
        <f t="shared" si="190"/>
        <v>279.69501875354416</v>
      </c>
      <c r="AE163" s="23">
        <f t="shared" si="191"/>
        <v>0.98333660466725736</v>
      </c>
      <c r="AF163" s="23">
        <f t="shared" si="192"/>
        <v>0.27280579764380725</v>
      </c>
      <c r="AG163" s="23">
        <f t="shared" si="193"/>
        <v>3930.9096459656371</v>
      </c>
      <c r="AH163" s="23">
        <f t="shared" si="194"/>
        <v>998.40177798172363</v>
      </c>
      <c r="AI163" s="23">
        <f t="shared" si="195"/>
        <v>2457.1427873962284</v>
      </c>
      <c r="AJ163" s="23">
        <f t="shared" si="196"/>
        <v>3654.5800406640174</v>
      </c>
      <c r="AK163" s="23">
        <f t="shared" si="197"/>
        <v>2677.56457963299</v>
      </c>
      <c r="AL163" s="9">
        <f t="shared" si="199"/>
        <v>2.3617794138372616E-2</v>
      </c>
      <c r="AM163" s="9">
        <f t="shared" si="200"/>
        <v>1.8783688118879205E-2</v>
      </c>
      <c r="AN163" s="9">
        <f t="shared" ref="AN163:AO163" si="230">AVERAGE(AL161:AL165)</f>
        <v>2.3782111301310138E-2</v>
      </c>
      <c r="AO163" s="9">
        <f t="shared" si="230"/>
        <v>2.2121357312757616E-2</v>
      </c>
      <c r="AP163" s="23"/>
      <c r="AQ163" s="25">
        <f t="shared" si="186"/>
        <v>3654.5800406640174</v>
      </c>
      <c r="AR163" s="4"/>
      <c r="AS163" s="4"/>
      <c r="AT163" s="4"/>
      <c r="AU163" s="16"/>
      <c r="AV163" s="16"/>
      <c r="AY163" s="21">
        <f>-Y163*W163*X163^(-Parameters!B$52)*Parameters!B$46*Parameters!B$45*N163</f>
        <v>-3.3288677959126773E-6</v>
      </c>
      <c r="AZ163" s="7">
        <f>1000*EXP(-(Parameters!$B$54)*'6states'!A163)*AQ163*Parameters!B$46*Parameters!B$45*N163</f>
        <v>0.36824789679250236</v>
      </c>
      <c r="BA163" s="93">
        <f>SUM(AZ163:AZ$204)*EXP(Parameters!$B$54*A163)</f>
        <v>5338.1426492460596</v>
      </c>
      <c r="BF163" s="5"/>
      <c r="BG163" s="5"/>
      <c r="BH163" s="5"/>
      <c r="BK163">
        <f>-EXP(-Parameters!B$42*'6states'!A163)*(-Parameters!B$37/Parameters!B$38/Parameters!E$25*(EXP(-Parameters!B$38*Parameters!E$25*'6states'!I163/('6states'!F163+'6states'!I163))-EXP(-Parameters!B$38*Parameters!E$25))+Parameters!B$37*'6states'!F163/('6states'!F163+'6states'!I163)*EXP(-Parameters!B$38*Parameters!E$25*'6states'!I163/('6states'!F163+'6states'!I163)))</f>
        <v>-8.0314666907248442E-16</v>
      </c>
    </row>
    <row r="164" spans="1:63" x14ac:dyDescent="0.25">
      <c r="A164">
        <f>A163+Parameters!$B$65</f>
        <v>160</v>
      </c>
      <c r="B164">
        <v>2185</v>
      </c>
      <c r="C164" s="74">
        <v>9.6336816856259708E-3</v>
      </c>
      <c r="D164" s="69">
        <v>0.100410798321973</v>
      </c>
      <c r="E164" s="75">
        <v>0.25201816710140801</v>
      </c>
      <c r="F164" s="7">
        <f>MAX((1-Parameters!$B$4)^Parameters!B$65*F163 + C163*Parameters!B$65 - IF(C163&gt;0,Parameters!$B$5,0)*C163^2/F163*Parameters!B$65, 0.0001)</f>
        <v>1E-4</v>
      </c>
      <c r="G164" s="7">
        <f>(1-Parameters!$B$4)^Parameters!B$65*G163+D163*Parameters!B$65-Parameters!$B$5*D163^2/G163*Parameters!B$65</f>
        <v>1.4455152394835515</v>
      </c>
      <c r="H164" s="7">
        <f>(1-Parameters!$B$4)^Parameters!B$65*H163+E163*Parameters!B$65-Parameters!$B$5*E163^2/H163*Parameters!B$65</f>
        <v>3.4263450615392945</v>
      </c>
      <c r="I164" s="9">
        <f>I163 *(1-Parameters!$B$4)-C163*(C163&lt;0)*Parameters!B$65</f>
        <v>3.3778047981107665E-4</v>
      </c>
      <c r="J164" s="23">
        <f>J163*(1+Parameters!$B$51)^Parameters!B$65</f>
        <v>12.969139709907864</v>
      </c>
      <c r="K164" s="23">
        <f>K163*(1+Parameters!$B$53)^Parameters!B$65</f>
        <v>215.1791710077093</v>
      </c>
      <c r="L164" s="23">
        <f>J164*K164*EXP(-Parameters!$B$42*'6states'!A164)*(Parameters!$B$37/Parameters!$B$38*('6states'!F164+'6states'!I164)/Parameters!$E$25*(EXP(-Parameters!$B$38*Parameters!$E$25*'6states'!I164/('6states'!F164+'6states'!I164))-EXP(-Parameters!$B$38*Parameters!$E$25))  +  Parameters!$B$39*'6states'!F164)</f>
        <v>4.3214058223747347E-2</v>
      </c>
      <c r="M164" s="8">
        <f>M163+L164*Parameters!B$65</f>
        <v>3694.5656898456659</v>
      </c>
      <c r="N164" s="7">
        <f>M164*Parameters!$B$45</f>
        <v>2.2167394139073995</v>
      </c>
      <c r="O164" s="9">
        <f>EXP(-Parameters!$B$46/2*N164^2)</f>
        <v>0.95181457913870104</v>
      </c>
      <c r="P164" s="8">
        <f>MAX((Parameters!$B$62 + Parameters!$B$31*'6states'!A164 - '6states'!M164 + Parameters!$B$47/Parameters!$B$45)/Parameters!B$62,1)</f>
        <v>143.34868620308669</v>
      </c>
      <c r="Q164" s="8"/>
      <c r="R164" s="8"/>
      <c r="S164" s="7">
        <f>Parameters!B$61*EXP(-Parameters!B$60*A164)+(1-Parameters!B$61)*P164^-Parameters!B$63</f>
        <v>0.31097003803749984</v>
      </c>
      <c r="T164" s="7">
        <f>1-S164/Parameters!$B$12</f>
        <v>0.84451498098125011</v>
      </c>
      <c r="U164" s="7">
        <f t="shared" si="188"/>
        <v>6.4314877813367364</v>
      </c>
      <c r="V164" s="7">
        <f>(Parameters!$B$19*(F164+Parameters!$B$20)^T164+Parameters!$B$18*G164^T164)^(1/T164)</f>
        <v>0.36721048929003008</v>
      </c>
      <c r="W164" s="7">
        <f>(Parameters!$B$10*H164^Parameters!$B$9+Parameters!$B$11*V164^Parameters!$B$9)^(Parameters!$B$7/Parameters!$B$9)*O164</f>
        <v>1.3411371384609911</v>
      </c>
      <c r="X164" s="7">
        <f>W164 - D164 - E164 - LN(1+EXP(Parameters!$B$21*C164))/Parameters!$B$21 - IF(C164&gt;0, 0,Parameters!$B$6*C164^2/F164)</f>
        <v>0.97889422038879481</v>
      </c>
      <c r="Y164" s="7">
        <f>EXP(-Parameters!$B$55*A164)</f>
        <v>8.9278016251610026E-2</v>
      </c>
      <c r="Z164" s="7">
        <f>IF(X164&gt;0,X164^(1-Parameters!$B$52)/(1-Parameters!$B$52)*Y164*Parameters!$B$65,-10+X164*1000)</f>
        <v>-0.25699162461138852</v>
      </c>
      <c r="AC164">
        <f t="shared" si="189"/>
        <v>26.884606922559936</v>
      </c>
      <c r="AD164">
        <f t="shared" si="190"/>
        <v>280.21528339414692</v>
      </c>
      <c r="AE164" s="23">
        <f t="shared" si="191"/>
        <v>0.9426401787163079</v>
      </c>
      <c r="AF164" s="23">
        <f t="shared" si="192"/>
        <v>0.27906887314611378</v>
      </c>
      <c r="AG164" s="23">
        <f t="shared" si="193"/>
        <v>4033.983089982095</v>
      </c>
      <c r="AH164" s="23">
        <f t="shared" si="194"/>
        <v>1024.7701745360177</v>
      </c>
      <c r="AI164" s="23">
        <f t="shared" si="195"/>
        <v>2522.0374188336468</v>
      </c>
      <c r="AJ164" s="23">
        <f t="shared" si="196"/>
        <v>3742.6962996471239</v>
      </c>
      <c r="AK164" s="23">
        <f t="shared" si="197"/>
        <v>2731.789070131445</v>
      </c>
      <c r="AL164" s="9">
        <f t="shared" si="199"/>
        <v>2.3825100766522667E-2</v>
      </c>
      <c r="AM164" s="9">
        <f t="shared" si="200"/>
        <v>2.0049089175501855E-2</v>
      </c>
      <c r="AN164" s="9">
        <f t="shared" ref="AN164:AO164" si="231">AVERAGE(AL162:AL166)</f>
        <v>2.3821811774440604E-2</v>
      </c>
      <c r="AO164" s="9">
        <f t="shared" si="231"/>
        <v>2.3743045916932992E-2</v>
      </c>
      <c r="AP164" s="23"/>
      <c r="AQ164" s="25">
        <f t="shared" si="186"/>
        <v>3742.6962996471234</v>
      </c>
      <c r="AR164" s="4"/>
      <c r="AS164" s="4"/>
      <c r="AT164" s="4"/>
      <c r="AU164" s="16"/>
      <c r="AV164" s="16"/>
      <c r="AY164" s="21">
        <f>-Y164*W164*X164^(-Parameters!B$52)*Parameters!B$46*Parameters!B$45*N164</f>
        <v>-3.2944763169953133E-6</v>
      </c>
      <c r="AZ164" s="7">
        <f>1000*EXP(-(Parameters!$B$54)*'6states'!A164)*AQ164*Parameters!B$46*Parameters!B$45*N164</f>
        <v>0.36412351662274733</v>
      </c>
      <c r="BA164" s="93">
        <f>SUM(AZ164:AZ$204)*EXP(Parameters!$B$54*A164)</f>
        <v>5427.6484780930314</v>
      </c>
      <c r="BF164" s="5"/>
      <c r="BG164" s="5"/>
      <c r="BH164" s="5"/>
      <c r="BK164">
        <f>-EXP(-Parameters!B$42*'6states'!A164)*(-Parameters!B$37/Parameters!B$38/Parameters!E$25*(EXP(-Parameters!B$38*Parameters!E$25*'6states'!I164/('6states'!F164+'6states'!I164))-EXP(-Parameters!B$38*Parameters!E$25))+Parameters!B$37*'6states'!F164/('6states'!F164+'6states'!I164)*EXP(-Parameters!B$38*Parameters!E$25*'6states'!I164/('6states'!F164+'6states'!I164)))</f>
        <v>-1.3582811606804837E-15</v>
      </c>
    </row>
    <row r="165" spans="1:63" x14ac:dyDescent="0.25">
      <c r="A165">
        <f>A164+Parameters!$B$65</f>
        <v>161</v>
      </c>
      <c r="B165">
        <v>2186</v>
      </c>
      <c r="C165" s="74">
        <v>9.6337339239413802E-3</v>
      </c>
      <c r="D165" s="69">
        <v>0.11102676170956401</v>
      </c>
      <c r="E165" s="75">
        <v>0.23958305344188699</v>
      </c>
      <c r="F165" s="7">
        <f>MAX((1-Parameters!$B$4)^Parameters!B$65*F164 + C164*Parameters!B$65 - IF(C164&gt;0,Parameters!$B$5,0)*C164^2/F164*Parameters!B$65, 0.0001)</f>
        <v>1E-4</v>
      </c>
      <c r="G165" s="7">
        <f>(1-Parameters!$B$4)^Parameters!B$65*G164+D164*Parameters!B$65-Parameters!$B$5*D164^2/G164*Parameters!B$65</f>
        <v>1.4480282263532247</v>
      </c>
      <c r="H165" s="7">
        <f>(1-Parameters!$B$4)^Parameters!B$65*H164+E164*Parameters!B$65-Parameters!$B$5*E164^2/H164*Parameters!B$65</f>
        <v>3.4443094166679269</v>
      </c>
      <c r="I165" s="9">
        <f>I164 *(1-Parameters!$B$4)-C164*(C164&lt;0)*Parameters!B$65</f>
        <v>3.1653408763095993E-4</v>
      </c>
      <c r="J165" s="23">
        <f>J164*(1+Parameters!$B$51)^Parameters!B$65</f>
        <v>13.006750215066596</v>
      </c>
      <c r="K165" s="23">
        <f>K164*(1+Parameters!$B$53)^Parameters!B$65</f>
        <v>219.48275442786348</v>
      </c>
      <c r="L165" s="23">
        <f>J165*K165*EXP(-Parameters!$B$42*'6states'!A165)*(Parameters!$B$37/Parameters!$B$38*('6states'!F165+'6states'!I165)/Parameters!$E$25*(EXP(-Parameters!$B$38*Parameters!$E$25*'6states'!I165/('6states'!F165+'6states'!I165))-EXP(-Parameters!$B$38*Parameters!$E$25))  +  Parameters!$B$39*'6states'!F165)</f>
        <v>4.3766307865740421E-2</v>
      </c>
      <c r="M165" s="8">
        <f>M164+L165*Parameters!B$65</f>
        <v>3694.6094561535315</v>
      </c>
      <c r="N165" s="7">
        <f>M165*Parameters!$B$45</f>
        <v>2.2167656736921186</v>
      </c>
      <c r="O165" s="9">
        <f>EXP(-Parameters!$B$46/2*N165^2)</f>
        <v>0.95181346546866996</v>
      </c>
      <c r="P165" s="8">
        <f>MAX((Parameters!$B$62 + Parameters!$B$31*'6states'!A165 - '6states'!M165 + Parameters!$B$47/Parameters!$B$45)/Parameters!B$62,1)</f>
        <v>144.41181087692937</v>
      </c>
      <c r="Q165" s="8"/>
      <c r="R165" s="8"/>
      <c r="S165" s="7">
        <f>Parameters!B$61*EXP(-Parameters!B$60*A165)+(1-Parameters!B$61)*P165^-Parameters!B$63</f>
        <v>0.31056811312831523</v>
      </c>
      <c r="T165" s="7">
        <f>1-S165/Parameters!$B$12</f>
        <v>0.84471594343584244</v>
      </c>
      <c r="U165" s="7">
        <f t="shared" si="188"/>
        <v>6.4398111572184327</v>
      </c>
      <c r="V165" s="7">
        <f>(Parameters!$B$19*(F165+Parameters!$B$20)^T165+Parameters!$B$18*G165^T165)^(1/T165)</f>
        <v>0.36793291106206016</v>
      </c>
      <c r="W165" s="7">
        <f>(Parameters!$B$10*H165^Parameters!$B$9+Parameters!$B$11*V165^Parameters!$B$9)^(Parameters!$B$7/Parameters!$B$9)*O165</f>
        <v>1.3428473340171432</v>
      </c>
      <c r="X165" s="7">
        <f>W165 - D165 - E165 - LN(1+EXP(Parameters!$B$21*C165))/Parameters!$B$21 - IF(C165&gt;0, 0,Parameters!$B$6*C165^2/F165)</f>
        <v>0.98242351672862238</v>
      </c>
      <c r="Y165" s="7">
        <f>EXP(-Parameters!$B$55*A165)</f>
        <v>8.7940045309291504E-2</v>
      </c>
      <c r="Z165" s="7">
        <f>IF(X165&gt;0,X165^(1-Parameters!$B$52)/(1-Parameters!$B$52)*Y165*Parameters!$B$65,-10+X165*1000)</f>
        <v>-0.25282154340927199</v>
      </c>
      <c r="AC165">
        <f t="shared" si="189"/>
        <v>27.501972856003626</v>
      </c>
      <c r="AD165">
        <f t="shared" si="190"/>
        <v>316.95446552017438</v>
      </c>
      <c r="AE165" s="23">
        <f t="shared" si="191"/>
        <v>0.90362801741829635</v>
      </c>
      <c r="AF165" s="23">
        <f t="shared" si="192"/>
        <v>0.2854757363358022</v>
      </c>
      <c r="AG165" s="23">
        <f t="shared" si="193"/>
        <v>4133.7692415321253</v>
      </c>
      <c r="AH165" s="23">
        <f t="shared" si="194"/>
        <v>1050.3591870761686</v>
      </c>
      <c r="AI165" s="23">
        <f t="shared" si="195"/>
        <v>2585.0139268750559</v>
      </c>
      <c r="AJ165" s="23">
        <f t="shared" si="196"/>
        <v>3833.5033146511287</v>
      </c>
      <c r="AK165" s="23">
        <f t="shared" si="197"/>
        <v>2804.5807683171179</v>
      </c>
      <c r="AL165" s="9">
        <f t="shared" si="199"/>
        <v>2.3972801258809184E-2</v>
      </c>
      <c r="AM165" s="9">
        <f t="shared" si="200"/>
        <v>2.6297337492316331E-2</v>
      </c>
      <c r="AN165" s="9">
        <f t="shared" ref="AN165:AO165" si="232">AVERAGE(AL163:AL167)</f>
        <v>2.3778303468851902E-2</v>
      </c>
      <c r="AO165" s="9">
        <f t="shared" si="232"/>
        <v>1.9069050220513084E-2</v>
      </c>
      <c r="AP165" s="23"/>
      <c r="AQ165" s="25">
        <f t="shared" si="186"/>
        <v>3833.5033146511291</v>
      </c>
      <c r="AR165" s="4"/>
      <c r="AS165" s="4"/>
      <c r="AT165" s="4"/>
      <c r="AU165" s="16"/>
      <c r="AV165" s="16"/>
      <c r="AY165" s="21">
        <f>-Y165*W165*X165^(-Parameters!B$52)*Parameters!B$46*Parameters!B$45*N165</f>
        <v>-3.233531601601843E-6</v>
      </c>
      <c r="AZ165" s="7">
        <f>1000*EXP(-(Parameters!$B$54)*'6states'!A165)*AQ165*Parameters!B$46*Parameters!B$45*N165</f>
        <v>0.36009856612877089</v>
      </c>
      <c r="BA165" s="93">
        <f>SUM(AZ165:AZ$204)*EXP(Parameters!$B$54*A165)</f>
        <v>5517.9107225672597</v>
      </c>
      <c r="BF165" s="5"/>
      <c r="BG165" s="5"/>
      <c r="BH165" s="5"/>
      <c r="BK165">
        <f>-EXP(-Parameters!B$42*'6states'!A165)*(-Parameters!B$37/Parameters!B$38/Parameters!E$25*(EXP(-Parameters!B$38*Parameters!E$25*'6states'!I165/('6states'!F165+'6states'!I165))-EXP(-Parameters!B$38*Parameters!E$25))+Parameters!B$37*'6states'!F165/('6states'!F165+'6states'!I165)*EXP(-Parameters!B$38*Parameters!E$25*'6states'!I165/('6states'!F165+'6states'!I165)))</f>
        <v>-2.334293085806797E-15</v>
      </c>
    </row>
    <row r="166" spans="1:63" x14ac:dyDescent="0.25">
      <c r="A166">
        <f>A165+Parameters!$B$65</f>
        <v>162</v>
      </c>
      <c r="B166">
        <v>2187</v>
      </c>
      <c r="C166" s="74">
        <v>9.6337933781510503E-3</v>
      </c>
      <c r="D166" s="69">
        <v>0.105354971378084</v>
      </c>
      <c r="E166" s="75">
        <v>0.24449606506483501</v>
      </c>
      <c r="F166" s="7">
        <f>MAX((1-Parameters!$B$4)^Parameters!B$65*F165 + C165*Parameters!B$65 - IF(C165&gt;0,Parameters!$B$5,0)*C165^2/F165*Parameters!B$65, 0.0001)</f>
        <v>1E-4</v>
      </c>
      <c r="G166" s="7">
        <f>(1-Parameters!$B$4)^Parameters!B$65*G165+D165*Parameters!B$65-Parameters!$B$5*D165^2/G165*Parameters!B$65</f>
        <v>1.459461097205865</v>
      </c>
      <c r="H166" s="7">
        <f>(1-Parameters!$B$4)^Parameters!B$65*H165+E165*Parameters!B$65-Parameters!$B$5*E165^2/H165*Parameters!B$65</f>
        <v>3.4505802269036683</v>
      </c>
      <c r="I166" s="9">
        <f>I165 *(1-Parameters!$B$4)-C165*(C165&lt;0)*Parameters!B$65</f>
        <v>2.9662409351897257E-4</v>
      </c>
      <c r="J166" s="23">
        <f>J165*(1+Parameters!$B$51)^Parameters!B$65</f>
        <v>13.044469790690288</v>
      </c>
      <c r="K166" s="23">
        <f>K165*(1+Parameters!$B$53)^Parameters!B$65</f>
        <v>223.87240951642076</v>
      </c>
      <c r="L166" s="23">
        <f>J166*K166*EXP(-Parameters!$B$42*'6states'!A166)*(Parameters!$B$37/Parameters!$B$38*('6states'!F166+'6states'!I166)/Parameters!$E$25*(EXP(-Parameters!$B$38*Parameters!$E$25*'6states'!I166/('6states'!F166+'6states'!I166))-EXP(-Parameters!$B$38*Parameters!$E$25))  +  Parameters!$B$39*'6states'!F166)</f>
        <v>4.4325614925611379E-2</v>
      </c>
      <c r="M166" s="8">
        <f>M165+L166*Parameters!B$65</f>
        <v>3694.6537817684571</v>
      </c>
      <c r="N166" s="7">
        <f>M166*Parameters!$B$45</f>
        <v>2.2167922690610742</v>
      </c>
      <c r="O166" s="9">
        <f>EXP(-Parameters!$B$46/2*N166^2)</f>
        <v>0.95181233755448813</v>
      </c>
      <c r="P166" s="8">
        <f>MAX((Parameters!$B$62 + Parameters!$B$31*'6states'!A166 - '6states'!M166 + Parameters!$B$47/Parameters!$B$45)/Parameters!B$62,1)</f>
        <v>145.47492436463085</v>
      </c>
      <c r="Q166" s="8"/>
      <c r="R166" s="8"/>
      <c r="S166" s="7">
        <f>Parameters!B$61*EXP(-Parameters!B$60*A166)+(1-Parameters!B$61)*P166^-Parameters!B$63</f>
        <v>0.31017272242834137</v>
      </c>
      <c r="T166" s="7">
        <f>1-S166/Parameters!$B$12</f>
        <v>0.84491363878582937</v>
      </c>
      <c r="U166" s="7">
        <f t="shared" si="188"/>
        <v>6.4480202654250389</v>
      </c>
      <c r="V166" s="7">
        <f>(Parameters!$B$19*(F166+Parameters!$B$20)^T166+Parameters!$B$18*G166^T166)^(1/T166)</f>
        <v>0.37084541046542702</v>
      </c>
      <c r="W166" s="7">
        <f>(Parameters!$B$10*H166^Parameters!$B$9+Parameters!$B$11*V166^Parameters!$B$9)^(Parameters!$B$7/Parameters!$B$9)*O166</f>
        <v>1.3443082819338874</v>
      </c>
      <c r="X166" s="7">
        <f>W166 - D166 - E166 - LN(1+EXP(Parameters!$B$21*C166))/Parameters!$B$21 - IF(C166&gt;0, 0,Parameters!$B$6*C166^2/F166)</f>
        <v>0.98464318702957732</v>
      </c>
      <c r="Y166" s="7">
        <f>EXP(-Parameters!$B$55*A166)</f>
        <v>8.6622125957696541E-2</v>
      </c>
      <c r="Z166" s="7">
        <f>IF(X166&gt;0,X166^(1-Parameters!$B$52)/(1-Parameters!$B$52)*Y166*Parameters!$B$65,-10+X166*1000)</f>
        <v>-0.2488359853403172</v>
      </c>
      <c r="AC166">
        <f t="shared" si="189"/>
        <v>28.133536772774931</v>
      </c>
      <c r="AD166">
        <f t="shared" si="190"/>
        <v>307.6677945140691</v>
      </c>
      <c r="AE166" s="23">
        <f t="shared" si="191"/>
        <v>0.86623041569827208</v>
      </c>
      <c r="AF166" s="23">
        <f t="shared" si="192"/>
        <v>0.29202968829059955</v>
      </c>
      <c r="AG166" s="23">
        <f t="shared" si="193"/>
        <v>4262.0596928928517</v>
      </c>
      <c r="AH166" s="23">
        <f t="shared" si="194"/>
        <v>1082.9786962221808</v>
      </c>
      <c r="AI166" s="23">
        <f t="shared" si="195"/>
        <v>2665.2930223195322</v>
      </c>
      <c r="AJ166" s="23">
        <f t="shared" si="196"/>
        <v>3925.7792853962455</v>
      </c>
      <c r="AK166" s="23">
        <f t="shared" si="197"/>
        <v>2875.4504298570996</v>
      </c>
      <c r="AL166" s="9">
        <f t="shared" si="199"/>
        <v>2.3785786906666218E-2</v>
      </c>
      <c r="AM166" s="9">
        <f t="shared" si="200"/>
        <v>2.4955264138179167E-2</v>
      </c>
      <c r="AN166" s="9">
        <f t="shared" ref="AN166:AO166" si="233">AVERAGE(AL164:AL168)</f>
        <v>2.3971214974736199E-2</v>
      </c>
      <c r="AO166" s="9">
        <f t="shared" si="233"/>
        <v>1.9325350879837267E-2</v>
      </c>
      <c r="AP166" s="23"/>
      <c r="AQ166" s="25">
        <f t="shared" si="186"/>
        <v>3925.779285396246</v>
      </c>
      <c r="AR166" s="4"/>
      <c r="AS166" s="4"/>
      <c r="AT166" s="4"/>
      <c r="AU166" s="16"/>
      <c r="AV166" s="16"/>
      <c r="AY166" s="21">
        <f>-Y166*W166*X166^(-Parameters!B$52)*Parameters!B$46*Parameters!B$45*N166</f>
        <v>-3.1788755807668597E-6</v>
      </c>
      <c r="AZ166" s="7">
        <f>1000*EXP(-(Parameters!$B$54)*'6states'!A166)*AQ166*Parameters!B$46*Parameters!B$45*N166</f>
        <v>0.35605156753452938</v>
      </c>
      <c r="BA166" s="93">
        <f>SUM(AZ166:AZ$204)*EXP(Parameters!$B$54*A166)</f>
        <v>5608.8818264275633</v>
      </c>
      <c r="BF166" s="5"/>
      <c r="BG166" s="5"/>
      <c r="BH166" s="5"/>
      <c r="BK166">
        <f>-EXP(-Parameters!B$42*'6states'!A166)*(-Parameters!B$37/Parameters!B$38/Parameters!E$25*(EXP(-Parameters!B$38*Parameters!E$25*'6states'!I166/('6states'!F166+'6states'!I166))-EXP(-Parameters!B$38*Parameters!E$25))+Parameters!B$37*'6states'!F166/('6states'!F166+'6states'!I166)*EXP(-Parameters!B$38*Parameters!E$25*'6states'!I166/('6states'!F166+'6states'!I166)))</f>
        <v>-4.0759023404144401E-15</v>
      </c>
    </row>
    <row r="167" spans="1:63" x14ac:dyDescent="0.25">
      <c r="A167">
        <f>A166+Parameters!$B$65</f>
        <v>163</v>
      </c>
      <c r="B167">
        <v>2188</v>
      </c>
      <c r="C167" s="74">
        <v>9.6337644242904998E-3</v>
      </c>
      <c r="D167" s="69">
        <v>0.105132483105553</v>
      </c>
      <c r="E167" s="75">
        <v>0.263074170614435</v>
      </c>
      <c r="F167" s="7">
        <f>MAX((1-Parameters!$B$4)^Parameters!B$65*F166 + C166*Parameters!B$65 - IF(C166&gt;0,Parameters!$B$5,0)*C166^2/F166*Parameters!B$65, 0.0001)</f>
        <v>1E-4</v>
      </c>
      <c r="G167" s="7">
        <f>(1-Parameters!$B$4)^Parameters!B$65*G166+D166*Parameters!B$65-Parameters!$B$5*D166^2/G166*Parameters!B$65</f>
        <v>1.4654106446636979</v>
      </c>
      <c r="H167" s="7">
        <f>(1-Parameters!$B$4)^Parameters!B$65*H166+E166*Parameters!B$65-Parameters!$B$5*E166^2/H166*Parameters!B$65</f>
        <v>3.4607106583334781</v>
      </c>
      <c r="I167" s="9">
        <f>I166 *(1-Parameters!$B$4)-C166*(C166&lt;0)*Parameters!B$65</f>
        <v>2.779664380366292E-4</v>
      </c>
      <c r="J167" s="23">
        <f>J166*(1+Parameters!$B$51)^Parameters!B$65</f>
        <v>13.082298753083288</v>
      </c>
      <c r="K167" s="23">
        <f>K166*(1+Parameters!$B$53)^Parameters!B$65</f>
        <v>228.34985770674919</v>
      </c>
      <c r="L167" s="23">
        <f>J167*K167*EXP(-Parameters!$B$42*'6states'!A167)*(Parameters!$B$37/Parameters!$B$38*('6states'!F167+'6states'!I167)/Parameters!$E$25*(EXP(-Parameters!$B$38*Parameters!$E$25*'6states'!I167/('6states'!F167+'6states'!I167))-EXP(-Parameters!$B$38*Parameters!$E$25))  +  Parameters!$B$39*'6states'!F167)</f>
        <v>4.4892069592911005E-2</v>
      </c>
      <c r="M167" s="8">
        <f>M166+L167*Parameters!B$65</f>
        <v>3694.6986738380501</v>
      </c>
      <c r="N167" s="7">
        <f>M167*Parameters!$B$45</f>
        <v>2.2168192043028299</v>
      </c>
      <c r="O167" s="9">
        <f>EXP(-Parameters!$B$46/2*N167^2)</f>
        <v>0.95181119521381219</v>
      </c>
      <c r="P167" s="8">
        <f>MAX((Parameters!$B$62 + Parameters!$B$31*'6states'!A167 - '6states'!M167 + Parameters!$B$47/Parameters!$B$45)/Parameters!B$62,1)</f>
        <v>146.53802652323901</v>
      </c>
      <c r="Q167" s="8"/>
      <c r="R167" s="8"/>
      <c r="S167" s="7">
        <f>Parameters!B$61*EXP(-Parameters!B$60*A167)+(1-Parameters!B$61)*P167^-Parameters!B$63</f>
        <v>0.30978371249289549</v>
      </c>
      <c r="T167" s="7">
        <f>1-S167/Parameters!$B$12</f>
        <v>0.84510814375355225</v>
      </c>
      <c r="U167" s="7">
        <f t="shared" si="188"/>
        <v>6.456117346859763</v>
      </c>
      <c r="V167" s="7">
        <f>(Parameters!$B$19*(F167+Parameters!$B$20)^T167+Parameters!$B$18*G167^T167)^(1/T167)</f>
        <v>0.37241037463478094</v>
      </c>
      <c r="W167" s="7">
        <f>(Parameters!$B$10*H167^Parameters!$B$9+Parameters!$B$11*V167^Parameters!$B$9)^(Parameters!$B$7/Parameters!$B$9)*O167</f>
        <v>1.3456419643559636</v>
      </c>
      <c r="X167" s="7">
        <f>W167 - D167 - E167 - LN(1+EXP(Parameters!$B$21*C167))/Parameters!$B$21 - IF(C167&gt;0, 0,Parameters!$B$6*C167^2/F167)</f>
        <v>0.96762127960421396</v>
      </c>
      <c r="Y167" s="7">
        <f>EXP(-Parameters!$B$55*A167)</f>
        <v>8.5323957692323968E-2</v>
      </c>
      <c r="Z167" s="7">
        <f>IF(X167&gt;0,X167^(1-Parameters!$B$52)/(1-Parameters!$B$52)*Y167*Parameters!$B$65,-10+X167*1000)</f>
        <v>-0.24660737114912595</v>
      </c>
      <c r="AC167">
        <f t="shared" si="189"/>
        <v>28.779340014947866</v>
      </c>
      <c r="AD167">
        <f t="shared" si="190"/>
        <v>314.06658338890225</v>
      </c>
      <c r="AE167" s="23">
        <f t="shared" si="191"/>
        <v>0.83038055329957317</v>
      </c>
      <c r="AF167" s="23">
        <f t="shared" si="192"/>
        <v>0.2987341058743751</v>
      </c>
      <c r="AG167" s="23">
        <f t="shared" si="193"/>
        <v>4377.6813867240135</v>
      </c>
      <c r="AH167" s="23">
        <f t="shared" si="194"/>
        <v>1112.5168028486235</v>
      </c>
      <c r="AI167" s="23">
        <f t="shared" si="195"/>
        <v>2737.9885515655078</v>
      </c>
      <c r="AJ167" s="23">
        <f t="shared" si="196"/>
        <v>4019.8914904891653</v>
      </c>
      <c r="AK167" s="23">
        <f t="shared" si="197"/>
        <v>2890.6147778758354</v>
      </c>
      <c r="AL167" s="9">
        <f t="shared" si="199"/>
        <v>2.3690034273888827E-2</v>
      </c>
      <c r="AM167" s="9">
        <f t="shared" si="200"/>
        <v>5.2598721776888624E-3</v>
      </c>
      <c r="AN167" s="9">
        <f t="shared" ref="AN167:AO167" si="234">AVERAGE(AL165:AL169)</f>
        <v>2.4149948128770759E-2</v>
      </c>
      <c r="AO167" s="9">
        <f t="shared" si="234"/>
        <v>2.1406238724188321E-2</v>
      </c>
      <c r="AP167" s="23"/>
      <c r="AQ167" s="25">
        <f t="shared" si="186"/>
        <v>4019.8914904891653</v>
      </c>
      <c r="AR167" s="4"/>
      <c r="AS167" s="4"/>
      <c r="AT167" s="4"/>
      <c r="AU167" s="16"/>
      <c r="AV167" s="16"/>
      <c r="AY167" s="21">
        <f>-Y167*W167*X167^(-Parameters!B$52)*Parameters!B$46*Parameters!B$45*N167</f>
        <v>-3.2090448914449629E-6</v>
      </c>
      <c r="AZ167" s="7">
        <f>1000*EXP(-(Parameters!$B$54)*'6states'!A167)*AQ167*Parameters!B$46*Parameters!B$45*N167</f>
        <v>0.35201639729425732</v>
      </c>
      <c r="BA167" s="93">
        <f>SUM(AZ167:AZ$204)*EXP(Parameters!$B$54*A167)</f>
        <v>5700.5463616962506</v>
      </c>
      <c r="BF167" s="5"/>
      <c r="BG167" s="5"/>
      <c r="BH167" s="5"/>
      <c r="BK167">
        <f>-EXP(-Parameters!B$42*'6states'!A167)*(-Parameters!B$37/Parameters!B$38/Parameters!E$25*(EXP(-Parameters!B$38*Parameters!E$25*'6states'!I167/('6states'!F167+'6states'!I167))-EXP(-Parameters!B$38*Parameters!E$25))+Parameters!B$37*'6states'!F167/('6states'!F167+'6states'!I167)*EXP(-Parameters!B$38*Parameters!E$25*'6states'!I167/('6states'!F167+'6states'!I167)))</f>
        <v>-7.2291743875482896E-15</v>
      </c>
    </row>
    <row r="168" spans="1:63" x14ac:dyDescent="0.25">
      <c r="A168">
        <f>A167+Parameters!$B$65</f>
        <v>164</v>
      </c>
      <c r="B168">
        <v>2189</v>
      </c>
      <c r="C168" s="74">
        <v>9.6338047142270396E-3</v>
      </c>
      <c r="D168" s="69">
        <v>0.10576281968697</v>
      </c>
      <c r="E168" s="75">
        <v>0.26752589512631197</v>
      </c>
      <c r="F168" s="7">
        <f>MAX((1-Parameters!$B$4)^Parameters!B$65*F167 + C167*Parameters!B$65 - IF(C167&gt;0,Parameters!$B$5,0)*C167^2/F167*Parameters!B$65, 0.0001)</f>
        <v>1E-4</v>
      </c>
      <c r="G168" s="7">
        <f>(1-Parameters!$B$4)^Parameters!B$65*G167+D167*Parameters!B$65-Parameters!$B$5*D167^2/G167*Parameters!B$65</f>
        <v>1.4708263124025749</v>
      </c>
      <c r="H168" s="7">
        <f>(1-Parameters!$B$4)^Parameters!B$65*H167+E167*Parameters!B$65-Parameters!$B$5*E167^2/H167*Parameters!B$65</f>
        <v>3.4861079183220531</v>
      </c>
      <c r="I168" s="9">
        <f>I167 *(1-Parameters!$B$4)-C167*(C167&lt;0)*Parameters!B$65</f>
        <v>2.6048234908412524E-4</v>
      </c>
      <c r="J168" s="23">
        <f>J167*(1+Parameters!$B$51)^Parameters!B$65</f>
        <v>13.120237419467228</v>
      </c>
      <c r="K168" s="23">
        <f>K167*(1+Parameters!$B$53)^Parameters!B$65</f>
        <v>232.91685486088417</v>
      </c>
      <c r="L168" s="23">
        <f>J168*K168*EXP(-Parameters!$B$42*'6states'!A168)*(Parameters!$B$37/Parameters!$B$38*('6states'!F168+'6states'!I168)/Parameters!$E$25*(EXP(-Parameters!$B$38*Parameters!$E$25*'6states'!I168/('6states'!F168+'6states'!I168))-EXP(-Parameters!$B$38*Parameters!$E$25))  +  Parameters!$B$39*'6states'!F168)</f>
        <v>4.5465763209758286E-2</v>
      </c>
      <c r="M168" s="8">
        <f>M167+L168*Parameters!B$65</f>
        <v>3694.74413960126</v>
      </c>
      <c r="N168" s="7">
        <f>M168*Parameters!$B$45</f>
        <v>2.2168464837607558</v>
      </c>
      <c r="O168" s="9">
        <f>EXP(-Parameters!$B$46/2*N168^2)</f>
        <v>0.95181003826196042</v>
      </c>
      <c r="P168" s="8">
        <f>MAX((Parameters!$B$62 + Parameters!$B$31*'6states'!A168 - '6states'!M168 + Parameters!$B$47/Parameters!$B$45)/Parameters!B$62,1)</f>
        <v>147.60111720797482</v>
      </c>
      <c r="Q168" s="8"/>
      <c r="R168" s="8"/>
      <c r="S168" s="7">
        <f>Parameters!B$61*EXP(-Parameters!B$60*A168)+(1-Parameters!B$61)*P168^-Parameters!B$63</f>
        <v>0.30940093384787315</v>
      </c>
      <c r="T168" s="7">
        <f>1-S168/Parameters!$B$12</f>
        <v>0.84529953307606343</v>
      </c>
      <c r="U168" s="7">
        <f t="shared" si="188"/>
        <v>6.464104600871579</v>
      </c>
      <c r="V168" s="7">
        <f>(Parameters!$B$19*(F168+Parameters!$B$20)^T168+Parameters!$B$18*G168^T168)^(1/T168)</f>
        <v>0.37384331002597337</v>
      </c>
      <c r="W168" s="7">
        <f>(Parameters!$B$10*H168^Parameters!$B$9+Parameters!$B$11*V168^Parameters!$B$9)^(Parameters!$B$7/Parameters!$B$9)*O168</f>
        <v>1.3481794373095386</v>
      </c>
      <c r="X168" s="7">
        <f>W168 - D168 - E168 - LN(1+EXP(Parameters!$B$21*C168))/Parameters!$B$21 - IF(C168&gt;0, 0,Parameters!$B$6*C168^2/F168)</f>
        <v>0.96507665329555625</v>
      </c>
      <c r="Y168" s="7">
        <f>EXP(-Parameters!$B$55*A168)</f>
        <v>8.4045244512203479E-2</v>
      </c>
      <c r="Z168" s="7">
        <f>IF(X168&gt;0,X168^(1-Parameters!$B$52)/(1-Parameters!$B$52)*Y168*Parameters!$B$65,-10+X168*1000)</f>
        <v>-0.24313555201782919</v>
      </c>
      <c r="AC168">
        <f t="shared" si="189"/>
        <v>29.440179226012585</v>
      </c>
      <c r="AD168">
        <f t="shared" si="190"/>
        <v>323.20318497162646</v>
      </c>
      <c r="AE168" s="23">
        <f t="shared" si="191"/>
        <v>0.79601437539256892</v>
      </c>
      <c r="AF168" s="23">
        <f t="shared" si="192"/>
        <v>0.30559244347703901</v>
      </c>
      <c r="AG168" s="23">
        <f t="shared" si="193"/>
        <v>4494.7340673742556</v>
      </c>
      <c r="AH168" s="23">
        <f t="shared" si="194"/>
        <v>1142.4369058838142</v>
      </c>
      <c r="AI168" s="23">
        <f t="shared" si="195"/>
        <v>2811.6242030561211</v>
      </c>
      <c r="AJ168" s="23">
        <f t="shared" si="196"/>
        <v>4119.9344849292138</v>
      </c>
      <c r="AK168" s="23">
        <f t="shared" si="197"/>
        <v>2949.2013262323226</v>
      </c>
      <c r="AL168" s="9">
        <f t="shared" si="199"/>
        <v>2.45823516677941E-2</v>
      </c>
      <c r="AM168" s="9">
        <f t="shared" si="200"/>
        <v>2.0065191415500117E-2</v>
      </c>
      <c r="AN168" s="9">
        <f t="shared" ref="AN168:AO168" si="235">AVERAGE(AL166:AL170)</f>
        <v>2.4224774995664687E-2</v>
      </c>
      <c r="AO168" s="9">
        <f t="shared" si="235"/>
        <v>1.7317211923828246E-2</v>
      </c>
      <c r="AP168" s="23"/>
      <c r="AQ168" s="25">
        <f t="shared" si="186"/>
        <v>4119.9344849292138</v>
      </c>
      <c r="AR168" s="4"/>
      <c r="AS168" s="4"/>
      <c r="AT168" s="4"/>
      <c r="AU168" s="16"/>
      <c r="AV168" s="16"/>
      <c r="AY168" s="21">
        <f>-Y168*W168*X168^(-Parameters!B$52)*Parameters!B$46*Parameters!B$45*N168</f>
        <v>-3.178230040376834E-6</v>
      </c>
      <c r="AZ168" s="7">
        <f>1000*EXP(-(Parameters!$B$54)*'6states'!A168)*AQ168*Parameters!B$46*Parameters!B$45*N168</f>
        <v>0.34833770120723695</v>
      </c>
      <c r="BA168" s="93">
        <f>SUM(AZ168:AZ$204)*EXP(Parameters!$B$54*A168)</f>
        <v>5792.8781765117774</v>
      </c>
    </row>
    <row r="169" spans="1:63" x14ac:dyDescent="0.25">
      <c r="A169">
        <f>A168+Parameters!$B$65</f>
        <v>165</v>
      </c>
      <c r="B169">
        <v>2190</v>
      </c>
      <c r="C169" s="74">
        <v>9.6339102884912403E-3</v>
      </c>
      <c r="D169" s="69">
        <v>0.110131732433932</v>
      </c>
      <c r="E169" s="75">
        <v>0.25837005153416798</v>
      </c>
      <c r="F169" s="7">
        <f>MAX((1-Parameters!$B$4)^Parameters!B$65*F168 + C168*Parameters!B$65 - IF(C168&gt;0,Parameters!$B$5,0)*C168^2/F168*Parameters!B$65, 0.0001)</f>
        <v>1E-4</v>
      </c>
      <c r="G169" s="7">
        <f>(1-Parameters!$B$4)^Parameters!B$65*G168+D168*Parameters!B$65-Parameters!$B$5*D168^2/G168*Parameters!B$65</f>
        <v>1.4764690619076486</v>
      </c>
      <c r="H169" s="7">
        <f>(1-Parameters!$B$4)^Parameters!B$65*H168+E168*Parameters!B$65-Parameters!$B$5*E168^2/H168*Parameters!B$65</f>
        <v>3.5138275367483818</v>
      </c>
      <c r="I169" s="9">
        <f>I168 *(1-Parameters!$B$4)-C168*(C168&lt;0)*Parameters!B$65</f>
        <v>2.4409800932673377E-4</v>
      </c>
      <c r="J169" s="23">
        <f>J168*(1+Parameters!$B$51)^Parameters!B$65</f>
        <v>13.158286107983683</v>
      </c>
      <c r="K169" s="23">
        <f>K168*(1+Parameters!$B$53)^Parameters!B$65</f>
        <v>237.57519195810187</v>
      </c>
      <c r="L169" s="23">
        <f>J169*K169*EXP(-Parameters!$B$42*'6states'!A169)*(Parameters!$B$37/Parameters!$B$38*('6states'!F169+'6states'!I169)/Parameters!$E$25*(EXP(-Parameters!$B$38*Parameters!$E$25*'6states'!I169/('6states'!F169+'6states'!I169))-EXP(-Parameters!$B$38*Parameters!$E$25))  +  Parameters!$B$39*'6states'!F169)</f>
        <v>4.6046788285569559E-2</v>
      </c>
      <c r="M169" s="8">
        <f>M168+L169*Parameters!B$65</f>
        <v>3694.7901863895454</v>
      </c>
      <c r="N169" s="7">
        <f>M169*Parameters!$B$45</f>
        <v>2.216874111833727</v>
      </c>
      <c r="O169" s="9">
        <f>EXP(-Parameters!$B$46/2*N169^2)</f>
        <v>0.95180886651188312</v>
      </c>
      <c r="P169" s="8">
        <f>MAX((Parameters!$B$62 + Parameters!$B$31*'6states'!A169 - '6states'!M169 + Parameters!$B$47/Parameters!$B$45)/Parameters!B$62,1)</f>
        <v>148.6641962722091</v>
      </c>
      <c r="Q169" s="8"/>
      <c r="R169" s="8"/>
      <c r="S169" s="7">
        <f>Parameters!B$61*EXP(-Parameters!B$60*A169)+(1-Parameters!B$61)*P169^-Parameters!B$63</f>
        <v>0.30902424088224612</v>
      </c>
      <c r="T169" s="7">
        <f>1-S169/Parameters!$B$12</f>
        <v>0.84548787955887694</v>
      </c>
      <c r="U169" s="7">
        <f t="shared" si="188"/>
        <v>6.4719841857393359</v>
      </c>
      <c r="V169" s="7">
        <f>(Parameters!$B$19*(F169+Parameters!$B$20)^T169+Parameters!$B$18*G169^T169)^(1/T169)</f>
        <v>0.37533123173299943</v>
      </c>
      <c r="W169" s="7">
        <f>(Parameters!$B$10*H169^Parameters!$B$9+Parameters!$B$11*V169^Parameters!$B$9)^(Parameters!$B$7/Parameters!$B$9)*O169</f>
        <v>1.3509059662594756</v>
      </c>
      <c r="X169" s="7">
        <f>W169 - D169 - E169 - LN(1+EXP(Parameters!$B$21*C169))/Parameters!$B$21 - IF(C169&gt;0, 0,Parameters!$B$6*C169^2/F169)</f>
        <v>0.97259001307408055</v>
      </c>
      <c r="Y169" s="7">
        <f>EXP(-Parameters!$B$55*A169)</f>
        <v>8.2785694852402933E-2</v>
      </c>
      <c r="Z169" s="7">
        <f>IF(X169&gt;0,X169^(1-Parameters!$B$52)/(1-Parameters!$B$52)*Y169*Parameters!$B$65,-10+X169*1000)</f>
        <v>-0.23884261747902202</v>
      </c>
      <c r="AC169">
        <f t="shared" si="189"/>
        <v>30.116396894527096</v>
      </c>
      <c r="AD169">
        <f t="shared" si="190"/>
        <v>344.2808647101898</v>
      </c>
      <c r="AE169" s="23">
        <f t="shared" si="191"/>
        <v>0.76307047812453532</v>
      </c>
      <c r="AF169" s="23">
        <f t="shared" si="192"/>
        <v>0.31260823479438488</v>
      </c>
      <c r="AG169" s="23">
        <f t="shared" si="193"/>
        <v>4615.563871714714</v>
      </c>
      <c r="AH169" s="23">
        <f t="shared" si="194"/>
        <v>1173.3163381525517</v>
      </c>
      <c r="AI169" s="23">
        <f t="shared" si="195"/>
        <v>2887.6208368275479</v>
      </c>
      <c r="AJ169" s="23">
        <f t="shared" si="196"/>
        <v>4223.0432948557745</v>
      </c>
      <c r="AK169" s="23">
        <f t="shared" si="197"/>
        <v>3040.3964716573601</v>
      </c>
      <c r="AL169" s="9">
        <f t="shared" si="199"/>
        <v>2.4718766536695469E-2</v>
      </c>
      <c r="AM169" s="9">
        <f t="shared" si="200"/>
        <v>3.0453528397257124E-2</v>
      </c>
      <c r="AN169" s="9">
        <f t="shared" ref="AN169:AO169" si="236">AVERAGE(AL167:AL171)</f>
        <v>2.4501472791772727E-2</v>
      </c>
      <c r="AO169" s="9">
        <f t="shared" si="236"/>
        <v>1.8022643837539931E-2</v>
      </c>
      <c r="AP169" s="23"/>
      <c r="AQ169" s="25">
        <f t="shared" si="186"/>
        <v>4223.0432948557755</v>
      </c>
      <c r="AR169" s="4"/>
      <c r="AS169" s="4"/>
      <c r="AT169" s="4"/>
      <c r="AU169" s="16"/>
      <c r="AV169" s="16"/>
      <c r="AY169" s="21">
        <f>-Y169*W169*X169^(-Parameters!B$52)*Parameters!B$46*Parameters!B$45*N169</f>
        <v>-3.1042988209032624E-6</v>
      </c>
      <c r="AZ169" s="7">
        <f>1000*EXP(-(Parameters!$B$54)*'6states'!A169)*AQ169*Parameters!B$46*Parameters!B$45*N169</f>
        <v>0.34474452802320515</v>
      </c>
      <c r="BA169" s="93">
        <f>SUM(AZ169:AZ$204)*EXP(Parameters!$B$54*A169)</f>
        <v>5885.7368023112876</v>
      </c>
    </row>
    <row r="170" spans="1:63" x14ac:dyDescent="0.25">
      <c r="A170">
        <f>A169+Parameters!$B$65</f>
        <v>166</v>
      </c>
      <c r="B170">
        <v>2191</v>
      </c>
      <c r="C170" s="74">
        <v>9.6338762153274204E-3</v>
      </c>
      <c r="D170" s="69">
        <v>0.11356014703741001</v>
      </c>
      <c r="E170" s="75">
        <v>0.27341771681050703</v>
      </c>
      <c r="F170" s="7">
        <f>MAX((1-Parameters!$B$4)^Parameters!B$65*F169 + C169*Parameters!B$65 - IF(C169&gt;0,Parameters!$B$5,0)*C169^2/F169*Parameters!B$65, 0.0001)</f>
        <v>1E-4</v>
      </c>
      <c r="G170" s="7">
        <f>(1-Parameters!$B$4)^Parameters!B$65*G169+D169*Parameters!B$65-Parameters!$B$5*D169^2/G169*Parameters!B$65</f>
        <v>1.4855160223210098</v>
      </c>
      <c r="H170" s="7">
        <f>(1-Parameters!$B$4)^Parameters!B$65*H169+E169*Parameters!B$65-Parameters!$B$5*E169^2/H169*Parameters!B$65</f>
        <v>3.5321800103939323</v>
      </c>
      <c r="I170" s="9">
        <f>I169 *(1-Parameters!$B$4)-C169*(C169&lt;0)*Parameters!B$65</f>
        <v>2.2874424454008221E-4</v>
      </c>
      <c r="J170" s="23">
        <f>J169*(1+Parameters!$B$51)^Parameters!B$65</f>
        <v>13.196445137696834</v>
      </c>
      <c r="K170" s="23">
        <f>K169*(1+Parameters!$B$53)^Parameters!B$65</f>
        <v>242.32669579726391</v>
      </c>
      <c r="L170" s="23">
        <f>J170*K170*EXP(-Parameters!$B$42*'6states'!A170)*(Parameters!$B$37/Parameters!$B$38*('6states'!F170+'6states'!I170)/Parameters!$E$25*(EXP(-Parameters!$B$38*Parameters!$E$25*'6states'!I170/('6states'!F170+'6states'!I170))-EXP(-Parameters!$B$38*Parameters!$E$25))  +  Parameters!$B$39*'6states'!F170)</f>
        <v>4.6635238511975888E-2</v>
      </c>
      <c r="M170" s="8">
        <f>M169+L170*Parameters!B$65</f>
        <v>3694.8368216280574</v>
      </c>
      <c r="N170" s="7">
        <f>M170*Parameters!$B$45</f>
        <v>2.2169020929768344</v>
      </c>
      <c r="O170" s="9">
        <f>EXP(-Parameters!$B$46/2*N170^2)</f>
        <v>0.95180767977413139</v>
      </c>
      <c r="P170" s="8">
        <f>MAX((Parameters!$B$62 + Parameters!$B$31*'6states'!A170 - '6states'!M170 + Parameters!$B$47/Parameters!$B$45)/Parameters!B$62,1)</f>
        <v>149.72726356743885</v>
      </c>
      <c r="Q170" s="8"/>
      <c r="R170" s="8"/>
      <c r="S170" s="7">
        <f>Parameters!B$61*EXP(-Parameters!B$60*A170)+(1-Parameters!B$61)*P170^-Parameters!B$63</f>
        <v>0.30865349174360218</v>
      </c>
      <c r="T170" s="7">
        <f>1-S170/Parameters!$B$12</f>
        <v>0.84567325412819894</v>
      </c>
      <c r="U170" s="7">
        <f t="shared" si="188"/>
        <v>6.479758219166353</v>
      </c>
      <c r="V170" s="7">
        <f>(Parameters!$B$19*(F170+Parameters!$B$20)^T170+Parameters!$B$18*G170^T170)^(1/T170)</f>
        <v>0.37765561821199173</v>
      </c>
      <c r="W170" s="7">
        <f>(Parameters!$B$10*H170^Parameters!$B$9+Parameters!$B$11*V170^Parameters!$B$9)^(Parameters!$B$7/Parameters!$B$9)*O170</f>
        <v>1.3531347783487975</v>
      </c>
      <c r="X170" s="7">
        <f>W170 - D170 - E170 - LN(1+EXP(Parameters!$B$21*C170))/Parameters!$B$21 - IF(C170&gt;0, 0,Parameters!$B$6*C170^2/F170)</f>
        <v>0.95634277756307873</v>
      </c>
      <c r="Y170" s="7">
        <f>EXP(-Parameters!$B$55*A170)</f>
        <v>8.1545021517547445E-2</v>
      </c>
      <c r="Z170" s="7">
        <f>IF(X170&gt;0,X170^(1-Parameters!$B$52)/(1-Parameters!$B$52)*Y170*Parameters!$B$65,-10+X170*1000)</f>
        <v>-0.23665443813297773</v>
      </c>
      <c r="AC170">
        <f t="shared" si="189"/>
        <v>30.807700173532478</v>
      </c>
      <c r="AD170">
        <f t="shared" si="190"/>
        <v>363.14842368689159</v>
      </c>
      <c r="AE170" s="23">
        <f t="shared" si="191"/>
        <v>0.73148999890617139</v>
      </c>
      <c r="AF170" s="23">
        <f t="shared" si="192"/>
        <v>0.31978509464879434</v>
      </c>
      <c r="AG170" s="23">
        <f t="shared" si="193"/>
        <v>4750.4588180022456</v>
      </c>
      <c r="AH170" s="23">
        <f t="shared" si="194"/>
        <v>1207.6863761457071</v>
      </c>
      <c r="AI170" s="23">
        <f t="shared" si="195"/>
        <v>2972.2081170386632</v>
      </c>
      <c r="AJ170" s="23">
        <f t="shared" si="196"/>
        <v>4327.1233316684556</v>
      </c>
      <c r="AK170" s="23">
        <f t="shared" si="197"/>
        <v>3058.241656397</v>
      </c>
      <c r="AL170" s="9">
        <f t="shared" si="199"/>
        <v>2.4346935593278829E-2</v>
      </c>
      <c r="AM170" s="9">
        <f t="shared" si="200"/>
        <v>5.8522034905159614E-3</v>
      </c>
      <c r="AN170" s="9">
        <f t="shared" ref="AN170:AO170" si="237">AVERAGE(AL168:AL172)</f>
        <v>2.4743935617830816E-2</v>
      </c>
      <c r="AO170" s="9">
        <f t="shared" si="237"/>
        <v>2.1565495576388115E-2</v>
      </c>
      <c r="AP170" s="23"/>
      <c r="AQ170" s="25">
        <f t="shared" si="186"/>
        <v>4327.1233316684556</v>
      </c>
      <c r="AR170" s="4"/>
      <c r="AS170" s="4"/>
      <c r="AT170" s="4"/>
      <c r="AU170" s="16"/>
      <c r="AV170" s="16"/>
      <c r="AY170" s="21">
        <f>-Y170*W170*X170^(-Parameters!B$52)*Parameters!B$46*Parameters!B$45*N170</f>
        <v>-3.1333145335011697E-6</v>
      </c>
      <c r="AZ170" s="7">
        <f>1000*EXP(-(Parameters!$B$54)*'6states'!A170)*AQ170*Parameters!B$46*Parameters!B$45*N170</f>
        <v>0.34106163257736233</v>
      </c>
      <c r="BA170" s="93">
        <f>SUM(AZ170:AZ$204)*EXP(Parameters!$B$54*A170)</f>
        <v>5979.0560777416376</v>
      </c>
    </row>
    <row r="171" spans="1:63" x14ac:dyDescent="0.25">
      <c r="A171">
        <f>A170+Parameters!$B$65</f>
        <v>167</v>
      </c>
      <c r="B171">
        <v>2192</v>
      </c>
      <c r="C171" s="74">
        <v>9.6339834437454298E-3</v>
      </c>
      <c r="D171" s="69">
        <v>0.112389424874539</v>
      </c>
      <c r="E171" s="75">
        <v>0.27238835011381102</v>
      </c>
      <c r="F171" s="7">
        <f>MAX((1-Parameters!$B$4)^Parameters!B$65*F170 + C170*Parameters!B$65 - IF(C170&gt;0,Parameters!$B$5,0)*C170^2/F170*Parameters!B$65, 0.0001)</f>
        <v>1E-4</v>
      </c>
      <c r="G171" s="7">
        <f>(1-Parameters!$B$4)^Parameters!B$65*G170+D170*Parameters!B$65-Parameters!$B$5*D170^2/G170*Parameters!B$65</f>
        <v>1.4969561156918545</v>
      </c>
      <c r="H171" s="7">
        <f>(1-Parameters!$B$4)^Parameters!B$65*H170+E170*Parameters!B$65-Parameters!$B$5*E170^2/H170*Parameters!B$65</f>
        <v>3.5622589845013186</v>
      </c>
      <c r="I171" s="9">
        <f>I170 *(1-Parameters!$B$4)-C170*(C170&lt;0)*Parameters!B$65</f>
        <v>2.1435623155851105E-4</v>
      </c>
      <c r="J171" s="23">
        <f>J170*(1+Parameters!$B$51)^Parameters!B$65</f>
        <v>13.234714828596154</v>
      </c>
      <c r="K171" s="23">
        <f>K170*(1+Parameters!$B$53)^Parameters!B$65</f>
        <v>247.1732297132092</v>
      </c>
      <c r="L171" s="23">
        <f>J171*K171*EXP(-Parameters!$B$42*'6states'!A171)*(Parameters!$B$37/Parameters!$B$38*('6states'!F171+'6states'!I171)/Parameters!$E$25*(EXP(-Parameters!$B$38*Parameters!$E$25*'6states'!I171/('6states'!F171+'6states'!I171))-EXP(-Parameters!$B$38*Parameters!$E$25))  +  Parameters!$B$39*'6states'!F171)</f>
        <v>4.7231208777931306E-2</v>
      </c>
      <c r="M171" s="8">
        <f>M170+L171*Parameters!B$65</f>
        <v>3694.8840528368355</v>
      </c>
      <c r="N171" s="7">
        <f>M171*Parameters!$B$45</f>
        <v>2.2169304317021012</v>
      </c>
      <c r="O171" s="9">
        <f>EXP(-Parameters!$B$46/2*N171^2)</f>
        <v>0.95180647785682693</v>
      </c>
      <c r="P171" s="8">
        <f>MAX((Parameters!$B$62 + Parameters!$B$31*'6states'!A171 - '6states'!M171 + Parameters!$B$47/Parameters!$B$45)/Parameters!B$62,1)</f>
        <v>150.79031894326329</v>
      </c>
      <c r="Q171" s="8"/>
      <c r="R171" s="8"/>
      <c r="S171" s="7">
        <f>Parameters!B$61*EXP(-Parameters!B$60*A171)+(1-Parameters!B$61)*P171^-Parameters!B$63</f>
        <v>0.30828854823663371</v>
      </c>
      <c r="T171" s="7">
        <f>1-S171/Parameters!$B$12</f>
        <v>0.84585572588168312</v>
      </c>
      <c r="U171" s="7">
        <f t="shared" si="188"/>
        <v>6.4874287787843983</v>
      </c>
      <c r="V171" s="7">
        <f>(Parameters!$B$19*(F171+Parameters!$B$20)^T171+Parameters!$B$18*G171^T171)^(1/T171)</f>
        <v>0.38056840487929527</v>
      </c>
      <c r="W171" s="7">
        <f>(Parameters!$B$10*H171^Parameters!$B$9+Parameters!$B$11*V171^Parameters!$B$9)^(Parameters!$B$7/Parameters!$B$9)*O171</f>
        <v>1.3564822991986671</v>
      </c>
      <c r="X171" s="7">
        <f>W171 - D171 - E171 - LN(1+EXP(Parameters!$B$21*C171))/Parameters!$B$21 - IF(C171&gt;0, 0,Parameters!$B$6*C171^2/F171)</f>
        <v>0.96189028568872914</v>
      </c>
      <c r="Y171" s="7">
        <f>EXP(-Parameters!$B$55*A171)</f>
        <v>8.0322941616334922E-2</v>
      </c>
      <c r="Z171" s="7">
        <f>IF(X171&gt;0,X171^(1-Parameters!$B$52)/(1-Parameters!$B$52)*Y171*Parameters!$B$65,-10+X171*1000)</f>
        <v>-0.23263637507178014</v>
      </c>
      <c r="AC171">
        <f t="shared" si="189"/>
        <v>31.515334126924088</v>
      </c>
      <c r="AD171">
        <f t="shared" si="190"/>
        <v>367.65584017621069</v>
      </c>
      <c r="AE171" s="23">
        <f t="shared" si="191"/>
        <v>0.70121651123872264</v>
      </c>
      <c r="AF171" s="23">
        <f t="shared" si="192"/>
        <v>0.32712672085174133</v>
      </c>
      <c r="AG171" s="23">
        <f t="shared" si="193"/>
        <v>4896.9434538523628</v>
      </c>
      <c r="AH171" s="23">
        <f t="shared" si="194"/>
        <v>1244.9409434794168</v>
      </c>
      <c r="AI171" s="23">
        <f t="shared" si="195"/>
        <v>3063.8944435660865</v>
      </c>
      <c r="AJ171" s="23">
        <f t="shared" si="196"/>
        <v>4437.4160643029063</v>
      </c>
      <c r="AK171" s="23">
        <f t="shared" si="197"/>
        <v>3146.6001497649859</v>
      </c>
      <c r="AL171" s="9">
        <f t="shared" si="199"/>
        <v>2.516927588720641E-2</v>
      </c>
      <c r="AM171" s="9">
        <f t="shared" si="200"/>
        <v>2.8482423706737592E-2</v>
      </c>
      <c r="AN171" s="9">
        <f t="shared" ref="AN171:AO171" si="238">AVERAGE(AL169:AL173)</f>
        <v>2.4806695334664751E-2</v>
      </c>
      <c r="AO171" s="9">
        <f t="shared" si="238"/>
        <v>2.0276107896185815E-2</v>
      </c>
      <c r="AP171" s="23"/>
      <c r="AQ171" s="25">
        <f t="shared" si="186"/>
        <v>4437.4160643029063</v>
      </c>
      <c r="AR171" s="4"/>
      <c r="AS171" s="4"/>
      <c r="AT171" s="4"/>
      <c r="AU171" s="16"/>
      <c r="AV171" s="16"/>
      <c r="AY171" s="21">
        <f>-Y171*W171*X171^(-Parameters!B$52)*Parameters!B$46*Parameters!B$45*N171</f>
        <v>-3.0699664650942591E-6</v>
      </c>
      <c r="AZ171" s="7">
        <f>1000*EXP(-(Parameters!$B$54)*'6states'!A171)*AQ171*Parameters!B$46*Parameters!B$45*N171</f>
        <v>0.33769572241213608</v>
      </c>
      <c r="BA171" s="93">
        <f>SUM(AZ171:AZ$204)*EXP(Parameters!$B$54*A171)</f>
        <v>6072.8254742959307</v>
      </c>
    </row>
    <row r="172" spans="1:63" x14ac:dyDescent="0.25">
      <c r="A172">
        <f>A171+Parameters!$B$65</f>
        <v>168</v>
      </c>
      <c r="B172">
        <v>2193</v>
      </c>
      <c r="C172" s="74">
        <v>9.6340656993065092E-3</v>
      </c>
      <c r="D172" s="69">
        <v>0.115539321619452</v>
      </c>
      <c r="E172" s="75">
        <v>0.27196601784692198</v>
      </c>
      <c r="F172" s="7">
        <f>MAX((1-Parameters!$B$4)^Parameters!B$65*F171 + C171*Parameters!B$65 - IF(C171&gt;0,Parameters!$B$5,0)*C171^2/F171*Parameters!B$65, 0.0001)</f>
        <v>1E-4</v>
      </c>
      <c r="G172" s="7">
        <f>(1-Parameters!$B$4)^Parameters!B$65*G171+D171*Parameters!B$65-Parameters!$B$5*D171^2/G171*Parameters!B$65</f>
        <v>1.5067489560521086</v>
      </c>
      <c r="H172" s="7">
        <f>(1-Parameters!$B$4)^Parameters!B$65*H171+E171*Parameters!B$65-Parameters!$B$5*E171^2/H171*Parameters!B$65</f>
        <v>3.5897530527160315</v>
      </c>
      <c r="I172" s="9">
        <f>I171 *(1-Parameters!$B$4)-C171*(C171&lt;0)*Parameters!B$65</f>
        <v>2.0087322459348071E-4</v>
      </c>
      <c r="J172" s="23">
        <f>J171*(1+Parameters!$B$51)^Parameters!B$65</f>
        <v>13.273095501599082</v>
      </c>
      <c r="K172" s="23">
        <f>K171*(1+Parameters!$B$53)^Parameters!B$65</f>
        <v>252.11669430747338</v>
      </c>
      <c r="L172" s="23">
        <f>J172*K172*EXP(-Parameters!$B$42*'6states'!A172)*(Parameters!$B$37/Parameters!$B$38*('6states'!F172+'6states'!I172)/Parameters!$E$25*(EXP(-Parameters!$B$38*Parameters!$E$25*'6states'!I172/('6states'!F172+'6states'!I172))-EXP(-Parameters!$B$38*Parameters!$E$25))  +  Parameters!$B$39*'6states'!F172)</f>
        <v>4.7834795185013955E-2</v>
      </c>
      <c r="M172" s="8">
        <f>M171+L172*Parameters!B$65</f>
        <v>3694.9318876320203</v>
      </c>
      <c r="N172" s="7">
        <f>M172*Parameters!$B$45</f>
        <v>2.2169591325792122</v>
      </c>
      <c r="O172" s="9">
        <f>EXP(-Parameters!$B$46/2*N172^2)</f>
        <v>0.9518052605656302</v>
      </c>
      <c r="P172" s="8">
        <f>MAX((Parameters!$B$62 + Parameters!$B$31*'6states'!A172 - '6states'!M172 + Parameters!$B$47/Parameters!$B$45)/Parameters!B$62,1)</f>
        <v>151.8533622473596</v>
      </c>
      <c r="Q172" s="8"/>
      <c r="R172" s="8"/>
      <c r="S172" s="7">
        <f>Parameters!B$61*EXP(-Parameters!B$60*A172)+(1-Parameters!B$61)*P172^-Parameters!B$63</f>
        <v>0.3079292757244867</v>
      </c>
      <c r="T172" s="7">
        <f>1-S172/Parameters!$B$12</f>
        <v>0.84603536213775665</v>
      </c>
      <c r="U172" s="7">
        <f t="shared" si="188"/>
        <v>6.494997902665995</v>
      </c>
      <c r="V172" s="7">
        <f>(Parameters!$B$19*(F172+Parameters!$B$20)^T172+Parameters!$B$18*G172^T172)^(1/T172)</f>
        <v>0.38307581598614437</v>
      </c>
      <c r="W172" s="7">
        <f>(Parameters!$B$10*H172^Parameters!$B$9+Parameters!$B$11*V172^Parameters!$B$9)^(Parameters!$B$7/Parameters!$B$9)*O172</f>
        <v>1.3594751717605127</v>
      </c>
      <c r="X172" s="7">
        <f>W172 - D172 - E172 - LN(1+EXP(Parameters!$B$21*C172))/Parameters!$B$21 - IF(C172&gt;0, 0,Parameters!$B$6*C172^2/F172)</f>
        <v>0.96215551584690395</v>
      </c>
      <c r="Y172" s="7">
        <f>EXP(-Parameters!$B$55*A172)</f>
        <v>7.9119176497032498E-2</v>
      </c>
      <c r="Z172" s="7">
        <f>IF(X172&gt;0,X172^(1-Parameters!$B$52)/(1-Parameters!$B$52)*Y172*Parameters!$B$65,-10+X172*1000)</f>
        <v>-0.22912784373270176</v>
      </c>
      <c r="AC172">
        <f t="shared" si="189"/>
        <v>32.239138425266482</v>
      </c>
      <c r="AD172">
        <f t="shared" si="190"/>
        <v>386.63719965279319</v>
      </c>
      <c r="AE172" s="23">
        <f t="shared" si="191"/>
        <v>0.6721959238937959</v>
      </c>
      <c r="AF172" s="23">
        <f t="shared" si="192"/>
        <v>0.33463689610905561</v>
      </c>
      <c r="AG172" s="23">
        <f t="shared" si="193"/>
        <v>5042.1379386883737</v>
      </c>
      <c r="AH172" s="23">
        <f t="shared" si="194"/>
        <v>1281.9130203604709</v>
      </c>
      <c r="AI172" s="23">
        <f t="shared" si="195"/>
        <v>3154.8855395825481</v>
      </c>
      <c r="AJ172" s="23">
        <f t="shared" si="196"/>
        <v>4549.3055181526315</v>
      </c>
      <c r="AK172" s="23">
        <f t="shared" si="197"/>
        <v>3219.7273539721518</v>
      </c>
      <c r="AL172" s="9">
        <f t="shared" si="199"/>
        <v>2.4902348404179264E-2</v>
      </c>
      <c r="AM172" s="9">
        <f t="shared" si="200"/>
        <v>2.2974130871929788E-2</v>
      </c>
      <c r="AN172" s="9">
        <f t="shared" ref="AN172:AO172" si="239">AVERAGE(AL170:AL174)</f>
        <v>2.4928095265439865E-2</v>
      </c>
      <c r="AO172" s="9">
        <f t="shared" si="239"/>
        <v>1.7815137620468491E-2</v>
      </c>
      <c r="AP172" s="23"/>
      <c r="AQ172" s="25">
        <f t="shared" si="186"/>
        <v>4549.3055181526315</v>
      </c>
      <c r="AR172" s="4"/>
      <c r="AS172" s="4"/>
      <c r="AT172" s="4"/>
      <c r="AU172" s="16"/>
      <c r="AV172" s="16"/>
      <c r="AY172" s="21">
        <f>-Y172*W172*X172^(-Parameters!B$52)*Parameters!B$46*Parameters!B$45*N172</f>
        <v>-3.0295415566158382E-6</v>
      </c>
      <c r="AZ172" s="7">
        <f>1000*EXP(-(Parameters!$B$54)*'6states'!A172)*AQ172*Parameters!B$46*Parameters!B$45*N172</f>
        <v>0.33427384592638598</v>
      </c>
      <c r="BA172" s="93">
        <f>SUM(AZ172:AZ$204)*EXP(Parameters!$B$54*A172)</f>
        <v>6166.8889416993507</v>
      </c>
    </row>
    <row r="173" spans="1:63" x14ac:dyDescent="0.25">
      <c r="A173">
        <f>A172+Parameters!$B$65</f>
        <v>169</v>
      </c>
      <c r="B173">
        <v>2194</v>
      </c>
      <c r="C173" s="74">
        <v>9.6340812512446007E-3</v>
      </c>
      <c r="D173" s="69">
        <v>0.116086125968689</v>
      </c>
      <c r="E173" s="75">
        <v>0.28310722771401198</v>
      </c>
      <c r="F173" s="7">
        <f>MAX((1-Parameters!$B$4)^Parameters!B$65*F172 + C172*Parameters!B$65 - IF(C172&gt;0,Parameters!$B$5,0)*C172^2/F172*Parameters!B$65, 0.0001)</f>
        <v>1E-4</v>
      </c>
      <c r="G173" s="7">
        <f>(1-Parameters!$B$4)^Parameters!B$65*G172+D172*Parameters!B$65-Parameters!$B$5*D172^2/G172*Parameters!B$65</f>
        <v>1.5186540742331174</v>
      </c>
      <c r="H173" s="7">
        <f>(1-Parameters!$B$4)^Parameters!B$65*H172+E172*Parameters!B$65-Parameters!$B$5*E172^2/H172*Parameters!B$65</f>
        <v>3.6153189787227005</v>
      </c>
      <c r="I173" s="9">
        <f>I172 *(1-Parameters!$B$4)-C172*(C172&lt;0)*Parameters!B$65</f>
        <v>1.8823829876655077E-4</v>
      </c>
      <c r="J173" s="23">
        <f>J172*(1+Parameters!$B$51)^Parameters!B$65</f>
        <v>13.311587478553719</v>
      </c>
      <c r="K173" s="23">
        <f>K172*(1+Parameters!$B$53)^Parameters!B$65</f>
        <v>257.15902819362287</v>
      </c>
      <c r="L173" s="23">
        <f>J173*K173*EXP(-Parameters!$B$42*'6states'!A173)*(Parameters!$B$37/Parameters!$B$38*('6states'!F173+'6states'!I173)/Parameters!$E$25*(EXP(-Parameters!$B$38*Parameters!$E$25*'6states'!I173/('6states'!F173+'6states'!I173))-EXP(-Parameters!$B$38*Parameters!$E$25))  +  Parameters!$B$39*'6states'!F173)</f>
        <v>4.8446095062923307E-2</v>
      </c>
      <c r="M173" s="8">
        <f>M172+L173*Parameters!B$65</f>
        <v>3694.9803337270832</v>
      </c>
      <c r="N173" s="7">
        <f>M173*Parameters!$B$45</f>
        <v>2.2169882002362495</v>
      </c>
      <c r="O173" s="9">
        <f>EXP(-Parameters!$B$46/2*N173^2)</f>
        <v>0.9518040277037092</v>
      </c>
      <c r="P173" s="8">
        <f>MAX((Parameters!$B$62 + Parameters!$B$31*'6states'!A173 - '6states'!M173 + Parameters!$B$47/Parameters!$B$45)/Parameters!B$62,1)</f>
        <v>152.91639332545836</v>
      </c>
      <c r="Q173" s="8"/>
      <c r="R173" s="8"/>
      <c r="S173" s="7">
        <f>Parameters!B$61*EXP(-Parameters!B$60*A173)+(1-Parameters!B$61)*P173^-Parameters!B$63</f>
        <v>0.30757554303288498</v>
      </c>
      <c r="T173" s="7">
        <f>1-S173/Parameters!$B$12</f>
        <v>0.84621222848355748</v>
      </c>
      <c r="U173" s="7">
        <f t="shared" si="188"/>
        <v>6.502467589843989</v>
      </c>
      <c r="V173" s="7">
        <f>(Parameters!$B$19*(F173+Parameters!$B$20)^T173+Parameters!$B$18*G173^T173)^(1/T173)</f>
        <v>0.38610289491057459</v>
      </c>
      <c r="W173" s="7">
        <f>(Parameters!$B$10*H173^Parameters!$B$9+Parameters!$B$11*V173^Parameters!$B$9)^(Parameters!$B$7/Parameters!$B$9)*O173</f>
        <v>1.3624662028428856</v>
      </c>
      <c r="X173" s="7">
        <f>W173 - D173 - E173 - LN(1+EXP(Parameters!$B$21*C173))/Parameters!$B$21 - IF(C173&gt;0, 0,Parameters!$B$6*C173^2/F173)</f>
        <v>0.95345851797965098</v>
      </c>
      <c r="Y173" s="7">
        <f>EXP(-Parameters!$B$55*A173)</f>
        <v>7.79334516839401E-2</v>
      </c>
      <c r="Z173" s="7">
        <f>IF(X173&gt;0,X173^(1-Parameters!$B$52)/(1-Parameters!$B$52)*Y173*Parameters!$B$65,-10+X173*1000)</f>
        <v>-0.22641241455729025</v>
      </c>
      <c r="AC173">
        <f t="shared" si="189"/>
        <v>32.979337802548912</v>
      </c>
      <c r="AD173">
        <f t="shared" si="190"/>
        <v>397.38543434186352</v>
      </c>
      <c r="AE173" s="23">
        <f t="shared" si="191"/>
        <v>0.64437638426572452</v>
      </c>
      <c r="AF173" s="23">
        <f t="shared" si="192"/>
        <v>0.34231948996992728</v>
      </c>
      <c r="AG173" s="23">
        <f t="shared" si="193"/>
        <v>5198.6488813223286</v>
      </c>
      <c r="AH173" s="23">
        <f t="shared" si="194"/>
        <v>1321.7054606170034</v>
      </c>
      <c r="AI173" s="23">
        <f t="shared" si="195"/>
        <v>3252.8177645900882</v>
      </c>
      <c r="AJ173" s="23">
        <f t="shared" si="196"/>
        <v>4663.9873565844009</v>
      </c>
      <c r="AK173" s="23">
        <f t="shared" si="197"/>
        <v>3263.8743358227689</v>
      </c>
      <c r="AL173" s="9">
        <f t="shared" si="199"/>
        <v>2.4896150251963789E-2</v>
      </c>
      <c r="AM173" s="9">
        <f t="shared" si="200"/>
        <v>1.3618253014488602E-2</v>
      </c>
      <c r="AN173" s="9">
        <f t="shared" ref="AN173:AO173" si="240">AVERAGE(AL171:AL175)</f>
        <v>2.5164841612705401E-2</v>
      </c>
      <c r="AO173" s="9">
        <f t="shared" si="240"/>
        <v>2.3469160027124403E-2</v>
      </c>
      <c r="AP173" s="23"/>
      <c r="AQ173" s="25">
        <f t="shared" si="186"/>
        <v>4663.9873565844009</v>
      </c>
      <c r="AR173" s="4"/>
      <c r="AS173" s="4"/>
      <c r="AT173" s="4"/>
      <c r="AU173" s="16"/>
      <c r="AV173" s="16"/>
      <c r="AY173" s="21">
        <f>-Y173*W173*X173^(-Parameters!B$52)*Parameters!B$46*Parameters!B$45*N173</f>
        <v>-3.0276307330583686E-6</v>
      </c>
      <c r="AZ173" s="7">
        <f>1000*EXP(-(Parameters!$B$54)*'6states'!A173)*AQ173*Parameters!B$46*Parameters!B$45*N173</f>
        <v>0.33088464718001609</v>
      </c>
      <c r="BA173" s="93">
        <f>SUM(AZ173:AZ$204)*EXP(Parameters!$B$54*A173)</f>
        <v>6261.2126706379477</v>
      </c>
    </row>
    <row r="174" spans="1:63" x14ac:dyDescent="0.25">
      <c r="A174">
        <f>A173+Parameters!$B$65</f>
        <v>170</v>
      </c>
      <c r="B174">
        <v>2195</v>
      </c>
      <c r="C174" s="74">
        <v>9.6341329683398095E-3</v>
      </c>
      <c r="D174" s="69">
        <v>0.11422186471968</v>
      </c>
      <c r="E174" s="75">
        <v>0.29288395043127002</v>
      </c>
      <c r="F174" s="7">
        <f>MAX((1-Parameters!$B$4)^Parameters!B$65*F173 + C173*Parameters!B$65 - IF(C173&gt;0,Parameters!$B$5,0)*C173^2/F173*Parameters!B$65, 0.0001)</f>
        <v>1E-4</v>
      </c>
      <c r="G174" s="7">
        <f>(1-Parameters!$B$4)^Parameters!B$65*G173+D173*Parameters!B$65-Parameters!$B$5*D173^2/G173*Parameters!B$65</f>
        <v>1.5303432195231055</v>
      </c>
      <c r="H174" s="7">
        <f>(1-Parameters!$B$4)^Parameters!B$65*H173+E173*Parameters!B$65-Parameters!$B$5*E173^2/H173*Parameters!B$65</f>
        <v>3.6488531735754761</v>
      </c>
      <c r="I174" s="9">
        <f>I173 *(1-Parameters!$B$4)-C173*(C173&lt;0)*Parameters!B$65</f>
        <v>1.7639810977413474E-4</v>
      </c>
      <c r="J174" s="23">
        <f>J173*(1+Parameters!$B$51)^Parameters!B$65</f>
        <v>13.350191082241523</v>
      </c>
      <c r="K174" s="23">
        <f>K173*(1+Parameters!$B$53)^Parameters!B$65</f>
        <v>262.30220875749535</v>
      </c>
      <c r="L174" s="23">
        <f>J174*K174*EXP(-Parameters!$B$42*'6states'!A174)*(Parameters!$B$37/Parameters!$B$38*('6states'!F174+'6states'!I174)/Parameters!$E$25*(EXP(-Parameters!$B$38*Parameters!$E$25*'6states'!I174/('6states'!F174+'6states'!I174))-EXP(-Parameters!$B$38*Parameters!$E$25))  +  Parameters!$B$39*'6states'!F174)</f>
        <v>4.9065206985175594E-2</v>
      </c>
      <c r="M174" s="8">
        <f>M173+L174*Parameters!B$65</f>
        <v>3695.0293989340685</v>
      </c>
      <c r="N174" s="7">
        <f>M174*Parameters!$B$45</f>
        <v>2.2170176393604408</v>
      </c>
      <c r="O174" s="9">
        <f>EXP(-Parameters!$B$46/2*N174^2)</f>
        <v>0.95180277907170718</v>
      </c>
      <c r="P174" s="8">
        <f>MAX((Parameters!$B$62 + Parameters!$B$31*'6states'!A174 - '6states'!M174 + Parameters!$B$47/Parameters!$B$45)/Parameters!B$62,1)</f>
        <v>153.97941202131864</v>
      </c>
      <c r="Q174" s="8"/>
      <c r="R174" s="8"/>
      <c r="S174" s="7">
        <f>Parameters!B$61*EXP(-Parameters!B$60*A174)+(1-Parameters!B$61)*P174^-Parameters!B$63</f>
        <v>0.30722722235694505</v>
      </c>
      <c r="T174" s="7">
        <f>1-S174/Parameters!$B$12</f>
        <v>0.8463863888215275</v>
      </c>
      <c r="U174" s="7">
        <f t="shared" si="188"/>
        <v>6.509839800837522</v>
      </c>
      <c r="V174" s="7">
        <f>(Parameters!$B$19*(F174+Parameters!$B$20)^T174+Parameters!$B$18*G174^T174)^(1/T174)</f>
        <v>0.38907682694009338</v>
      </c>
      <c r="W174" s="7">
        <f>(Parameters!$B$10*H174^Parameters!$B$9+Parameters!$B$11*V174^Parameters!$B$9)^(Parameters!$B$7/Parameters!$B$9)*O174</f>
        <v>1.3660505656503368</v>
      </c>
      <c r="X174" s="7">
        <f>W174 - D174 - E174 - LN(1+EXP(Parameters!$B$21*C174))/Parameters!$B$21 - IF(C174&gt;0, 0,Parameters!$B$6*C174^2/F174)</f>
        <v>0.94913037032407033</v>
      </c>
      <c r="Y174" s="7">
        <f>EXP(-Parameters!$B$55*A174)</f>
        <v>7.6765496814806045E-2</v>
      </c>
      <c r="Z174" s="7">
        <f>IF(X174&gt;0,X174^(1-Parameters!$B$52)/(1-Parameters!$B$52)*Y174*Parameters!$B$65,-10+X174*1000)</f>
        <v>-0.22337469166440124</v>
      </c>
      <c r="AC174">
        <f t="shared" si="189"/>
        <v>33.736658541947811</v>
      </c>
      <c r="AD174">
        <f t="shared" si="190"/>
        <v>399.9803677960283</v>
      </c>
      <c r="AE174" s="23">
        <f t="shared" si="191"/>
        <v>0.61770818572379771</v>
      </c>
      <c r="AF174" s="23">
        <f t="shared" si="192"/>
        <v>0.3501784608206569</v>
      </c>
      <c r="AG174" s="23">
        <f t="shared" si="193"/>
        <v>5358.9323313992973</v>
      </c>
      <c r="AH174" s="23">
        <f t="shared" si="194"/>
        <v>1362.4632439886698</v>
      </c>
      <c r="AI174" s="23">
        <f t="shared" si="195"/>
        <v>3353.1257724988855</v>
      </c>
      <c r="AJ174" s="23">
        <f t="shared" si="196"/>
        <v>4783.6148448262256</v>
      </c>
      <c r="AK174" s="23">
        <f t="shared" si="197"/>
        <v>3323.6501219822298</v>
      </c>
      <c r="AL174" s="9">
        <f t="shared" si="199"/>
        <v>2.5325766190571031E-2</v>
      </c>
      <c r="AM174" s="9">
        <f t="shared" si="200"/>
        <v>1.8148677018670512E-2</v>
      </c>
      <c r="AN174" s="9">
        <f t="shared" ref="AN174:AO174" si="241">AVERAGE(AL172:AL176)</f>
        <v>2.5134852163433762E-2</v>
      </c>
      <c r="AO174" s="9">
        <f t="shared" si="241"/>
        <v>2.042971599112171E-2</v>
      </c>
      <c r="AP174" s="23"/>
      <c r="AQ174" s="25">
        <f t="shared" si="186"/>
        <v>4783.6148448262256</v>
      </c>
      <c r="AR174" s="4"/>
      <c r="AS174" s="4"/>
      <c r="AT174" s="4"/>
      <c r="AU174" s="16"/>
      <c r="AV174" s="16"/>
      <c r="AY174" s="21">
        <f>-Y174*W174*X174^(-Parameters!B$52)*Parameters!B$46*Parameters!B$45*N174</f>
        <v>-3.0085648138330751E-6</v>
      </c>
      <c r="AZ174" s="7">
        <f>1000*EXP(-(Parameters!$B$54)*'6states'!A174)*AQ174*Parameters!B$46*Parameters!B$45*N174</f>
        <v>0.327670608584957</v>
      </c>
      <c r="BA174" s="93">
        <f>SUM(AZ174:AZ$204)*EXP(Parameters!$B$54*A174)</f>
        <v>6355.7285301953034</v>
      </c>
    </row>
    <row r="175" spans="1:63" x14ac:dyDescent="0.25">
      <c r="A175">
        <f>A174+Parameters!$B$65</f>
        <v>171</v>
      </c>
      <c r="B175">
        <v>2196</v>
      </c>
      <c r="C175" s="74">
        <v>9.6343297393322799E-3</v>
      </c>
      <c r="D175" s="69">
        <v>0.122667921187981</v>
      </c>
      <c r="E175" s="75">
        <v>0.277407244480604</v>
      </c>
      <c r="F175" s="7">
        <f>MAX((1-Parameters!$B$4)^Parameters!B$65*F174 + C174*Parameters!B$65 - IF(C174&gt;0,Parameters!$B$5,0)*C174^2/F174*Parameters!B$65, 0.0001)</f>
        <v>1E-4</v>
      </c>
      <c r="G175" s="7">
        <f>(1-Parameters!$B$4)^Parameters!B$65*G174+D174*Parameters!B$65-Parameters!$B$5*D174^2/G174*Parameters!B$65</f>
        <v>1.5397811961721741</v>
      </c>
      <c r="H175" s="7">
        <f>(1-Parameters!$B$4)^Parameters!B$65*H174+E174*Parameters!B$65-Parameters!$B$5*E174^2/H174*Parameters!B$65</f>
        <v>3.6887152267312886</v>
      </c>
      <c r="I175" s="9">
        <f>I174 *(1-Parameters!$B$4)-C174*(C174&lt;0)*Parameters!B$65</f>
        <v>1.6530266866934167E-4</v>
      </c>
      <c r="J175" s="23">
        <f>J174*(1+Parameters!$B$51)^Parameters!B$65</f>
        <v>13.388906636380021</v>
      </c>
      <c r="K175" s="23">
        <f>K174*(1+Parameters!$B$53)^Parameters!B$65</f>
        <v>267.54825293264525</v>
      </c>
      <c r="L175" s="23">
        <f>J175*K175*EXP(-Parameters!$B$42*'6states'!A175)*(Parameters!$B$37/Parameters!$B$38*('6states'!F175+'6states'!I175)/Parameters!$E$25*(EXP(-Parameters!$B$38*Parameters!$E$25*'6states'!I175/('6states'!F175+'6states'!I175))-EXP(-Parameters!$B$38*Parameters!$E$25))  +  Parameters!$B$39*'6states'!F175)</f>
        <v>4.9692230785000784E-2</v>
      </c>
      <c r="M175" s="8">
        <f>M174+L175*Parameters!B$65</f>
        <v>3695.0790911648533</v>
      </c>
      <c r="N175" s="7">
        <f>M175*Parameters!$B$45</f>
        <v>2.2170474546989118</v>
      </c>
      <c r="O175" s="9">
        <f>EXP(-Parameters!$B$46/2*N175^2)</f>
        <v>0.95180151446771011</v>
      </c>
      <c r="P175" s="8">
        <f>MAX((Parameters!$B$62 + Parameters!$B$31*'6states'!A175 - '6states'!M175 + Parameters!$B$47/Parameters!$B$45)/Parameters!B$62,1)</f>
        <v>155.04241817670297</v>
      </c>
      <c r="Q175" s="8"/>
      <c r="R175" s="8"/>
      <c r="S175" s="7">
        <f>Parameters!B$61*EXP(-Parameters!B$60*A175)+(1-Parameters!B$61)*P175^-Parameters!B$63</f>
        <v>0.30688418917060295</v>
      </c>
      <c r="T175" s="7">
        <f>1-S175/Parameters!$B$12</f>
        <v>0.84655790541469855</v>
      </c>
      <c r="U175" s="7">
        <f t="shared" si="188"/>
        <v>6.5171164581833869</v>
      </c>
      <c r="V175" s="7">
        <f>(Parameters!$B$19*(F175+Parameters!$B$20)^T175+Parameters!$B$18*G175^T175)^(1/T175)</f>
        <v>0.39149640718951889</v>
      </c>
      <c r="W175" s="7">
        <f>(Parameters!$B$10*H175^Parameters!$B$9+Parameters!$B$11*V175^Parameters!$B$9)^(Parameters!$B$7/Parameters!$B$9)*O175</f>
        <v>1.3699250286074538</v>
      </c>
      <c r="X175" s="7">
        <f>W175 - D175 - E175 - LN(1+EXP(Parameters!$B$21*C175))/Parameters!$B$21 - IF(C175&gt;0, 0,Parameters!$B$6*C175^2/F175)</f>
        <v>0.96003529634993212</v>
      </c>
      <c r="Y175" s="7">
        <f>EXP(-Parameters!$B$55*A175)</f>
        <v>7.5615045579180543E-2</v>
      </c>
      <c r="Z175" s="7">
        <f>IF(X175&gt;0,X175^(1-Parameters!$B$52)/(1-Parameters!$B$52)*Y175*Parameters!$B$65,-10+X175*1000)</f>
        <v>-0.21914908099064576</v>
      </c>
      <c r="AC175">
        <f t="shared" si="189"/>
        <v>34.511889617588082</v>
      </c>
      <c r="AD175">
        <f t="shared" si="190"/>
        <v>439.41839963970381</v>
      </c>
      <c r="AE175" s="23">
        <f t="shared" si="191"/>
        <v>0.59214367879881613</v>
      </c>
      <c r="AF175" s="23">
        <f t="shared" si="192"/>
        <v>0.35821785792417743</v>
      </c>
      <c r="AG175" s="23">
        <f t="shared" si="193"/>
        <v>5515.7712176472396</v>
      </c>
      <c r="AH175" s="23">
        <f t="shared" si="194"/>
        <v>1402.4100436844101</v>
      </c>
      <c r="AI175" s="23">
        <f t="shared" si="195"/>
        <v>3451.437887838234</v>
      </c>
      <c r="AJ175" s="23">
        <f t="shared" si="196"/>
        <v>4907.3160926447963</v>
      </c>
      <c r="AK175" s="23">
        <f t="shared" si="197"/>
        <v>3439.0178739007556</v>
      </c>
      <c r="AL175" s="9">
        <f t="shared" si="199"/>
        <v>2.5530667329606516E-2</v>
      </c>
      <c r="AM175" s="9">
        <f t="shared" si="200"/>
        <v>3.4122315523795521E-2</v>
      </c>
      <c r="AN175" s="9">
        <f t="shared" ref="AN175:AO175" si="242">AVERAGE(AL173:AL177)</f>
        <v>2.5243356839853348E-2</v>
      </c>
      <c r="AO175" s="9">
        <f t="shared" si="242"/>
        <v>1.851202129901388E-2</v>
      </c>
      <c r="AP175" s="23"/>
      <c r="AQ175" s="25">
        <f t="shared" si="186"/>
        <v>4907.3160926447963</v>
      </c>
      <c r="AR175" s="4"/>
      <c r="AS175" s="4"/>
      <c r="AT175" s="4"/>
      <c r="AU175" s="16"/>
      <c r="AV175" s="16"/>
      <c r="AY175" s="21">
        <f>-Y175*W175*X175^(-Parameters!B$52)*Parameters!B$46*Parameters!B$45*N175</f>
        <v>-2.926439801320751E-6</v>
      </c>
      <c r="AZ175" s="7">
        <f>1000*EXP(-(Parameters!$B$54)*'6states'!A175)*AQ175*Parameters!B$46*Parameters!B$45*N175</f>
        <v>0.32455433920900395</v>
      </c>
      <c r="BA175" s="93">
        <f>SUM(AZ175:AZ$204)*EXP(Parameters!$B$54*A175)</f>
        <v>6450.3063216711389</v>
      </c>
    </row>
    <row r="176" spans="1:63" x14ac:dyDescent="0.25">
      <c r="A176">
        <f>A175+Parameters!$B$65</f>
        <v>172</v>
      </c>
      <c r="B176">
        <v>2197</v>
      </c>
      <c r="C176" s="74">
        <v>9.6343456628402002E-3</v>
      </c>
      <c r="D176" s="69">
        <v>0.125665696284567</v>
      </c>
      <c r="E176" s="75">
        <v>0.286587232728297</v>
      </c>
      <c r="F176" s="7">
        <f>MAX((1-Parameters!$B$4)^Parameters!B$65*F175 + C175*Parameters!B$65 - IF(C175&gt;0,Parameters!$B$5,0)*C175^2/F175*Parameters!B$65, 0.0001)</f>
        <v>1E-4</v>
      </c>
      <c r="G176" s="7">
        <f>(1-Parameters!$B$4)^Parameters!B$65*G175+D175*Parameters!B$65-Parameters!$B$5*D175^2/G175*Parameters!B$65</f>
        <v>1.555824440422358</v>
      </c>
      <c r="H176" s="7">
        <f>(1-Parameters!$B$4)^Parameters!B$65*H175+E175*Parameters!B$65-Parameters!$B$5*E175^2/H175*Parameters!B$65</f>
        <v>3.7132400659681997</v>
      </c>
      <c r="I176" s="9">
        <f>I175 *(1-Parameters!$B$4)-C175*(C175&lt;0)*Parameters!B$65</f>
        <v>1.549051308100401E-4</v>
      </c>
      <c r="J176" s="23">
        <f>J175*(1+Parameters!$B$51)^Parameters!B$65</f>
        <v>13.427734465625521</v>
      </c>
      <c r="K176" s="23">
        <f>K175*(1+Parameters!$B$53)^Parameters!B$65</f>
        <v>272.89921799129814</v>
      </c>
      <c r="L176" s="23">
        <f>J176*K176*EXP(-Parameters!$B$42*'6states'!A176)*(Parameters!$B$37/Parameters!$B$38*('6states'!F176+'6states'!I176)/Parameters!$E$25*(EXP(-Parameters!$B$38*Parameters!$E$25*'6states'!I176/('6states'!F176+'6states'!I176))-EXP(-Parameters!$B$38*Parameters!$E$25))  +  Parameters!$B$39*'6states'!F176)</f>
        <v>5.032726757144438E-2</v>
      </c>
      <c r="M176" s="8">
        <f>M175+L176*Parameters!B$65</f>
        <v>3695.1294184324247</v>
      </c>
      <c r="N176" s="7">
        <f>M176*Parameters!$B$45</f>
        <v>2.2170776510594545</v>
      </c>
      <c r="O176" s="9">
        <f>EXP(-Parameters!$B$46/2*N176^2)</f>
        <v>0.951800233687214</v>
      </c>
      <c r="P176" s="8">
        <f>MAX((Parameters!$B$62 + Parameters!$B$31*'6states'!A176 - '6states'!M176 + Parameters!$B$47/Parameters!$B$45)/Parameters!B$62,1)</f>
        <v>156.1054116313515</v>
      </c>
      <c r="Q176" s="8"/>
      <c r="R176" s="8"/>
      <c r="S176" s="7">
        <f>Parameters!B$61*EXP(-Parameters!B$60*A176)+(1-Parameters!B$61)*P176^-Parameters!B$63</f>
        <v>0.30654632213857436</v>
      </c>
      <c r="T176" s="7">
        <f>1-S176/Parameters!$B$12</f>
        <v>0.84672683893071277</v>
      </c>
      <c r="U176" s="7">
        <f t="shared" si="188"/>
        <v>6.5242994469719937</v>
      </c>
      <c r="V176" s="7">
        <f>(Parameters!$B$19*(F176+Parameters!$B$20)^T176+Parameters!$B$18*G176^T176)^(1/T176)</f>
        <v>0.39554264766337438</v>
      </c>
      <c r="W176" s="7">
        <f>(Parameters!$B$10*H176^Parameters!$B$9+Parameters!$B$11*V176^Parameters!$B$9)^(Parameters!$B$7/Parameters!$B$9)*O176</f>
        <v>1.3731081776388294</v>
      </c>
      <c r="X176" s="7">
        <f>W176 - D176 - E176 - LN(1+EXP(Parameters!$B$21*C176))/Parameters!$B$21 - IF(C176&gt;0, 0,Parameters!$B$6*C176^2/F176)</f>
        <v>0.95104066695165612</v>
      </c>
      <c r="Y176" s="7">
        <f>EXP(-Parameters!$B$55*A176)</f>
        <v>7.4481835657693174E-2</v>
      </c>
      <c r="Z176" s="7">
        <f>IF(X176&gt;0,X176^(1-Parameters!$B$52)/(1-Parameters!$B$52)*Y176*Parameters!$B$65,-10+X176*1000)</f>
        <v>-0.21657715600854691</v>
      </c>
      <c r="AC176">
        <f t="shared" si="189"/>
        <v>35.304271929821446</v>
      </c>
      <c r="AD176">
        <f t="shared" si="190"/>
        <v>460.49166898718244</v>
      </c>
      <c r="AE176" s="23">
        <f t="shared" si="191"/>
        <v>0.56763718604528612</v>
      </c>
      <c r="AF176" s="23">
        <f t="shared" si="192"/>
        <v>0.36644182350640064</v>
      </c>
      <c r="AG176" s="23">
        <f t="shared" si="193"/>
        <v>5701.1914500419425</v>
      </c>
      <c r="AH176" s="23">
        <f t="shared" si="194"/>
        <v>1449.4336908431665</v>
      </c>
      <c r="AI176" s="23">
        <f t="shared" si="195"/>
        <v>3567.1666635689585</v>
      </c>
      <c r="AJ176" s="23">
        <f t="shared" si="196"/>
        <v>5031.6426448552338</v>
      </c>
      <c r="AK176" s="23">
        <f t="shared" si="197"/>
        <v>3485.0107622650835</v>
      </c>
      <c r="AL176" s="9">
        <f t="shared" si="199"/>
        <v>2.5019328640848215E-2</v>
      </c>
      <c r="AM176" s="9">
        <f t="shared" si="200"/>
        <v>1.3285203526724132E-2</v>
      </c>
      <c r="AN176" s="9">
        <f t="shared" ref="AN176:AO176" si="243">AVERAGE(AL174:AL178)</f>
        <v>2.5435088752487546E-2</v>
      </c>
      <c r="AO176" s="9">
        <f t="shared" si="243"/>
        <v>2.010717843805061E-2</v>
      </c>
      <c r="AP176" s="23"/>
      <c r="AQ176" s="25">
        <f t="shared" si="186"/>
        <v>5031.6426448552329</v>
      </c>
      <c r="AR176" s="4"/>
      <c r="AS176" s="4"/>
      <c r="AT176" s="4"/>
      <c r="AU176" s="16"/>
      <c r="AV176" s="16"/>
      <c r="AY176" s="21">
        <f>-Y176*W176*X176^(-Parameters!B$52)*Parameters!B$46*Parameters!B$45*N176</f>
        <v>-2.926271168647576E-6</v>
      </c>
      <c r="AZ176" s="7">
        <f>1000*EXP(-(Parameters!$B$54)*'6states'!A176)*AQ176*Parameters!B$46*Parameters!B$45*N176</f>
        <v>0.32130342501825543</v>
      </c>
      <c r="BA176" s="93">
        <f>SUM(AZ176:AZ$204)*EXP(Parameters!$B$54*A176)</f>
        <v>6544.8353328644143</v>
      </c>
    </row>
    <row r="177" spans="1:53" x14ac:dyDescent="0.25">
      <c r="A177">
        <f>A176+Parameters!$B$65</f>
        <v>173</v>
      </c>
      <c r="B177">
        <v>2198</v>
      </c>
      <c r="C177" s="74">
        <v>9.6343627150263095E-3</v>
      </c>
      <c r="D177" s="69">
        <v>0.12696611636740401</v>
      </c>
      <c r="E177" s="75">
        <v>0.29787885374947898</v>
      </c>
      <c r="F177" s="7">
        <f>MAX((1-Parameters!$B$4)^Parameters!B$65*F176 + C176*Parameters!B$65 - IF(C176&gt;0,Parameters!$B$5,0)*C176^2/F176*Parameters!B$65, 0.0001)</f>
        <v>1E-4</v>
      </c>
      <c r="G177" s="7">
        <f>(1-Parameters!$B$4)^Parameters!B$65*G176+D176*Parameters!B$65-Parameters!$B$5*D176^2/G176*Parameters!B$65</f>
        <v>1.5734786192626413</v>
      </c>
      <c r="H177" s="7">
        <f>(1-Parameters!$B$4)^Parameters!B$65*H176+E176*Parameters!B$65-Parameters!$B$5*E176^2/H176*Parameters!B$65</f>
        <v>3.7441457449777804</v>
      </c>
      <c r="I177" s="9">
        <f>I176 *(1-Parameters!$B$4)-C176*(C176&lt;0)*Parameters!B$65</f>
        <v>1.4516159808208859E-4</v>
      </c>
      <c r="J177" s="23">
        <f>J176*(1+Parameters!$B$51)^Parameters!B$65</f>
        <v>13.466674895575833</v>
      </c>
      <c r="K177" s="23">
        <f>K176*(1+Parameters!$B$53)^Parameters!B$65</f>
        <v>278.3572023511241</v>
      </c>
      <c r="L177" s="23">
        <f>J177*K177*EXP(-Parameters!$B$42*'6states'!A177)*(Parameters!$B$37/Parameters!$B$38*('6states'!F177+'6states'!I177)/Parameters!$E$25*(EXP(-Parameters!$B$38*Parameters!$E$25*'6states'!I177/('6states'!F177+'6states'!I177))-EXP(-Parameters!$B$38*Parameters!$E$25))  +  Parameters!$B$39*'6states'!F177)</f>
        <v>5.0970419745678334E-2</v>
      </c>
      <c r="M177" s="8">
        <f>M176+L177*Parameters!B$65</f>
        <v>3695.1803888521704</v>
      </c>
      <c r="N177" s="7">
        <f>M177*Parameters!$B$45</f>
        <v>2.2171082333113019</v>
      </c>
      <c r="O177" s="9">
        <f>EXP(-Parameters!$B$46/2*N177^2)</f>
        <v>0.95179893652309089</v>
      </c>
      <c r="P177" s="8">
        <f>MAX((Parameters!$B$62 + Parameters!$B$31*'6states'!A177 - '6states'!M177 + Parameters!$B$47/Parameters!$B$45)/Parameters!B$62,1)</f>
        <v>157.16839222295661</v>
      </c>
      <c r="Q177" s="8"/>
      <c r="R177" s="8"/>
      <c r="S177" s="7">
        <f>Parameters!B$61*EXP(-Parameters!B$60*A177)+(1-Parameters!B$61)*P177^-Parameters!B$63</f>
        <v>0.30621350303077338</v>
      </c>
      <c r="T177" s="7">
        <f>1-S177/Parameters!$B$12</f>
        <v>0.84689324848461334</v>
      </c>
      <c r="U177" s="7">
        <f t="shared" si="188"/>
        <v>6.5313906153870924</v>
      </c>
      <c r="V177" s="7">
        <f>(Parameters!$B$19*(F177+Parameters!$B$20)^T177+Parameters!$B$18*G177^T177)^(1/T177)</f>
        <v>0.39998622966382102</v>
      </c>
      <c r="W177" s="7">
        <f>(Parameters!$B$10*H177^Parameters!$B$9+Parameters!$B$11*V177^Parameters!$B$9)^(Parameters!$B$7/Parameters!$B$9)*O177</f>
        <v>1.3768845221351294</v>
      </c>
      <c r="X177" s="7">
        <f>W177 - D177 - E177 - LN(1+EXP(Parameters!$B$21*C177))/Parameters!$B$21 - IF(C177&gt;0, 0,Parameters!$B$6*C177^2/F177)</f>
        <v>0.94222495418929009</v>
      </c>
      <c r="Y177" s="7">
        <f>EXP(-Parameters!$B$55*A177)</f>
        <v>7.3365608662240192E-2</v>
      </c>
      <c r="Z177" s="7">
        <f>IF(X177&gt;0,X177^(1-Parameters!$B$52)/(1-Parameters!$B$52)*Y177*Parameters!$B$65,-10+X177*1000)</f>
        <v>-0.21402788992790245</v>
      </c>
      <c r="AC177">
        <f t="shared" si="189"/>
        <v>36.114851325689443</v>
      </c>
      <c r="AD177">
        <f t="shared" si="190"/>
        <v>475.938321157183</v>
      </c>
      <c r="AE177" s="23">
        <f t="shared" si="191"/>
        <v>0.5441449204271317</v>
      </c>
      <c r="AF177" s="23">
        <f t="shared" si="192"/>
        <v>0.37485459489046058</v>
      </c>
      <c r="AG177" s="23">
        <f t="shared" si="193"/>
        <v>5898.2569039249856</v>
      </c>
      <c r="AH177" s="23">
        <f t="shared" si="194"/>
        <v>1499.3667608239434</v>
      </c>
      <c r="AI177" s="23">
        <f t="shared" si="195"/>
        <v>3690.0557503691052</v>
      </c>
      <c r="AJ177" s="23">
        <f t="shared" si="196"/>
        <v>5161.3148975590921</v>
      </c>
      <c r="AK177" s="23">
        <f t="shared" si="197"/>
        <v>3531.9735349830908</v>
      </c>
      <c r="AL177" s="9">
        <f t="shared" si="199"/>
        <v>2.544487178627719E-2</v>
      </c>
      <c r="AM177" s="9">
        <f t="shared" si="200"/>
        <v>1.3385657411390639E-2</v>
      </c>
      <c r="AN177" s="9">
        <f t="shared" ref="AN177:AO177" si="244">AVERAGE(AL175:AL179)</f>
        <v>2.5549247917979655E-2</v>
      </c>
      <c r="AO177" s="9">
        <f t="shared" si="244"/>
        <v>1.8633176740675949E-2</v>
      </c>
      <c r="AP177" s="23"/>
      <c r="AQ177" s="25">
        <f t="shared" si="186"/>
        <v>5161.3148975590921</v>
      </c>
      <c r="AR177" s="4"/>
      <c r="AS177" s="4"/>
      <c r="AT177" s="4"/>
      <c r="AU177" s="16"/>
      <c r="AV177" s="16"/>
      <c r="AY177" s="21">
        <f>-Y177*W177*X177^(-Parameters!B$52)*Parameters!B$46*Parameters!B$45*N177</f>
        <v>-2.9269515436696606E-6</v>
      </c>
      <c r="AZ177" s="7">
        <f>1000*EXP(-(Parameters!$B$54)*'6states'!A177)*AQ177*Parameters!B$46*Parameters!B$45*N177</f>
        <v>0.31822051682146901</v>
      </c>
      <c r="BA177" s="93">
        <f>SUM(AZ177:AZ$204)*EXP(Parameters!$B$54*A177)</f>
        <v>6639.2963884704732</v>
      </c>
    </row>
    <row r="178" spans="1:53" x14ac:dyDescent="0.25">
      <c r="A178">
        <f>A177+Parameters!$B$65</f>
        <v>174</v>
      </c>
      <c r="B178">
        <v>2199</v>
      </c>
      <c r="C178" s="74">
        <v>9.6344613573929906E-3</v>
      </c>
      <c r="D178" s="69">
        <v>0.12616050027723499</v>
      </c>
      <c r="E178" s="75">
        <v>0.304077223349704</v>
      </c>
      <c r="F178" s="7">
        <f>MAX((1-Parameters!$B$4)^Parameters!B$65*F177 + C177*Parameters!B$65 - IF(C177&gt;0,Parameters!$B$5,0)*C177^2/F177*Parameters!B$65, 0.0001)</f>
        <v>1E-4</v>
      </c>
      <c r="G178" s="7">
        <f>(1-Parameters!$B$4)^Parameters!B$65*G177+D177*Parameters!B$65-Parameters!$B$5*D177^2/G177*Parameters!B$65</f>
        <v>1.5912278629521979</v>
      </c>
      <c r="H178" s="7">
        <f>(1-Parameters!$B$4)^Parameters!B$65*H177+E177*Parameters!B$65-Parameters!$B$5*E177^2/H177*Parameters!B$65</f>
        <v>3.7828190179258323</v>
      </c>
      <c r="I178" s="9">
        <f>I177 *(1-Parameters!$B$4)-C177*(C177&lt;0)*Parameters!B$65</f>
        <v>1.3603093356272524E-4</v>
      </c>
      <c r="J178" s="23">
        <f>J177*(1+Parameters!$B$51)^Parameters!B$65</f>
        <v>13.505728252773002</v>
      </c>
      <c r="K178" s="23">
        <f>K177*(1+Parameters!$B$53)^Parameters!B$65</f>
        <v>283.92434639814661</v>
      </c>
      <c r="L178" s="23">
        <f>J178*K178*EXP(-Parameters!$B$42*'6states'!A178)*(Parameters!$B$37/Parameters!$B$38*('6states'!F178+'6states'!I178)/Parameters!$E$25*(EXP(-Parameters!$B$38*Parameters!$E$25*'6states'!I178/('6states'!F178+'6states'!I178))-EXP(-Parameters!$B$38*Parameters!$E$25))  +  Parameters!$B$39*'6states'!F178)</f>
        <v>5.1621791017526689E-2</v>
      </c>
      <c r="M178" s="8">
        <f>M177+L178*Parameters!B$65</f>
        <v>3695.232010643188</v>
      </c>
      <c r="N178" s="7">
        <f>M178*Parameters!$B$45</f>
        <v>2.2171392063859128</v>
      </c>
      <c r="O178" s="9">
        <f>EXP(-Parameters!$B$46/2*N178^2)</f>
        <v>0.95179762276555602</v>
      </c>
      <c r="P178" s="8">
        <f>MAX((Parameters!$B$62 + Parameters!$B$31*'6states'!A178 - '6states'!M178 + Parameters!$B$47/Parameters!$B$45)/Parameters!B$62,1)</f>
        <v>158.23135978713626</v>
      </c>
      <c r="Q178" s="8"/>
      <c r="R178" s="8"/>
      <c r="S178" s="7">
        <f>Parameters!B$61*EXP(-Parameters!B$60*A178)+(1-Parameters!B$61)*P178^-Parameters!B$63</f>
        <v>0.30588561663911762</v>
      </c>
      <c r="T178" s="7">
        <f>1-S178/Parameters!$B$12</f>
        <v>0.84705719168044125</v>
      </c>
      <c r="U178" s="7">
        <f t="shared" si="188"/>
        <v>6.5383917752484288</v>
      </c>
      <c r="V178" s="7">
        <f>(Parameters!$B$19*(F178+Parameters!$B$20)^T178+Parameters!$B$18*G178^T178)^(1/T178)</f>
        <v>0.40445387024498969</v>
      </c>
      <c r="W178" s="7">
        <f>(Parameters!$B$10*H178^Parameters!$B$9+Parameters!$B$11*V178^Parameters!$B$9)^(Parameters!$B$7/Parameters!$B$9)*O178</f>
        <v>1.3812373580735298</v>
      </c>
      <c r="X178" s="7">
        <f>W178 - D178 - E178 - LN(1+EXP(Parameters!$B$21*C178))/Parameters!$B$21 - IF(C178&gt;0, 0,Parameters!$B$6*C178^2/F178)</f>
        <v>0.94118494316720824</v>
      </c>
      <c r="Y178" s="7">
        <f>EXP(-Parameters!$B$55*A178)</f>
        <v>7.226611007706836E-2</v>
      </c>
      <c r="Z178" s="7">
        <f>IF(X178&gt;0,X178^(1-Parameters!$B$52)/(1-Parameters!$B$52)*Y178*Parameters!$B$65,-10+X178*1000)</f>
        <v>-0.21090185232294925</v>
      </c>
      <c r="AC178">
        <f t="shared" si="189"/>
        <v>36.944354336943697</v>
      </c>
      <c r="AD178">
        <f t="shared" si="190"/>
        <v>483.77569359305227</v>
      </c>
      <c r="AE178" s="23">
        <f t="shared" si="191"/>
        <v>0.52162490708110021</v>
      </c>
      <c r="AF178" s="23">
        <f t="shared" si="192"/>
        <v>0.38346050667995574</v>
      </c>
      <c r="AG178" s="23">
        <f t="shared" si="193"/>
        <v>6101.7304257091291</v>
      </c>
      <c r="AH178" s="23">
        <f t="shared" si="194"/>
        <v>1550.9208601281282</v>
      </c>
      <c r="AI178" s="23">
        <f t="shared" si="195"/>
        <v>3816.9343137487326</v>
      </c>
      <c r="AJ178" s="23">
        <f t="shared" si="196"/>
        <v>5296.499771721592</v>
      </c>
      <c r="AK178" s="23">
        <f t="shared" si="197"/>
        <v>3609.0725518644299</v>
      </c>
      <c r="AL178" s="9">
        <f t="shared" si="199"/>
        <v>2.5854809815134772E-2</v>
      </c>
      <c r="AM178" s="9">
        <f t="shared" si="200"/>
        <v>2.1594038709672247E-2</v>
      </c>
      <c r="AN178" s="9">
        <f t="shared" ref="AN178:AO178" si="245">AVERAGE(AL176:AL180)</f>
        <v>2.5721309920899316E-2</v>
      </c>
      <c r="AO178" s="9">
        <f t="shared" si="245"/>
        <v>1.7370271630066013E-2</v>
      </c>
      <c r="AP178" s="23"/>
      <c r="AQ178" s="25">
        <f t="shared" si="186"/>
        <v>5296.499771721592</v>
      </c>
      <c r="AR178" s="4"/>
      <c r="AS178" s="4"/>
      <c r="AT178" s="4"/>
      <c r="AU178" s="16"/>
      <c r="AV178" s="16"/>
      <c r="AY178" s="21">
        <f>-Y178*W178*X178^(-Parameters!B$52)*Parameters!B$46*Parameters!B$45*N178</f>
        <v>-2.8965568275879854E-6</v>
      </c>
      <c r="AZ178" s="7">
        <f>1000*EXP(-(Parameters!$B$54)*'6states'!A178)*AQ178*Parameters!B$46*Parameters!B$45*N178</f>
        <v>0.31529647016652212</v>
      </c>
      <c r="BA178" s="93">
        <f>SUM(AZ178:AZ$204)*EXP(Parameters!$B$54*A178)</f>
        <v>6733.5389010665276</v>
      </c>
    </row>
    <row r="179" spans="1:53" x14ac:dyDescent="0.25">
      <c r="A179">
        <f>A178+Parameters!$B$65</f>
        <v>175</v>
      </c>
      <c r="B179">
        <v>2200</v>
      </c>
      <c r="C179" s="74">
        <v>9.63445303239387E-3</v>
      </c>
      <c r="D179" s="69">
        <v>0.127269762938546</v>
      </c>
      <c r="E179" s="75">
        <v>0.31854452180237403</v>
      </c>
      <c r="F179" s="7">
        <f>MAX((1-Parameters!$B$4)^Parameters!B$65*F178 + C178*Parameters!B$65 - IF(C178&gt;0,Parameters!$B$5,0)*C178^2/F178*Parameters!B$65, 0.0001)</f>
        <v>1E-4</v>
      </c>
      <c r="G179" s="7">
        <f>(1-Parameters!$B$4)^Parameters!B$65*G178+D178*Parameters!B$65-Parameters!$B$5*D178^2/G178*Parameters!B$65</f>
        <v>1.607297495451615</v>
      </c>
      <c r="H179" s="7">
        <f>(1-Parameters!$B$4)^Parameters!B$65*H178+E178*Parameters!B$65-Parameters!$B$5*E178^2/H178*Parameters!B$65</f>
        <v>3.8245140539188496</v>
      </c>
      <c r="I179" s="9">
        <f>I178 *(1-Parameters!$B$4)-C178*(C178&lt;0)*Parameters!B$65</f>
        <v>1.2747458784162982E-4</v>
      </c>
      <c r="J179" s="23">
        <f>J178*(1+Parameters!$B$51)^Parameters!B$65</f>
        <v>13.544894864706043</v>
      </c>
      <c r="K179" s="23">
        <f>K178*(1+Parameters!$B$53)^Parameters!B$65</f>
        <v>289.60283332610953</v>
      </c>
      <c r="L179" s="23">
        <f>J179*K179*EXP(-Parameters!$B$42*'6states'!A179)*(Parameters!$B$37/Parameters!$B$38*('6states'!F179+'6states'!I179)/Parameters!$E$25*(EXP(-Parameters!$B$38*Parameters!$E$25*'6states'!I179/('6states'!F179+'6states'!I179))-EXP(-Parameters!$B$38*Parameters!$E$25))  +  Parameters!$B$39*'6states'!F179)</f>
        <v>5.2281486422215549E-2</v>
      </c>
      <c r="M179" s="8">
        <f>M178+L179*Parameters!B$65</f>
        <v>3695.2842921296101</v>
      </c>
      <c r="N179" s="7">
        <f>M179*Parameters!$B$45</f>
        <v>2.2171705752777657</v>
      </c>
      <c r="O179" s="9">
        <f>EXP(-Parameters!$B$46/2*N179^2)</f>
        <v>0.95179629220213291</v>
      </c>
      <c r="P179" s="8">
        <f>MAX((Parameters!$B$62 + Parameters!$B$31*'6states'!A179 - '6states'!M179 + Parameters!$B$47/Parameters!$B$45)/Parameters!B$62,1)</f>
        <v>159.2943141574078</v>
      </c>
      <c r="Q179" s="8"/>
      <c r="R179" s="8"/>
      <c r="S179" s="7">
        <f>Parameters!B$61*EXP(-Parameters!B$60*A179)+(1-Parameters!B$61)*P179^-Parameters!B$63</f>
        <v>0.30556255069664812</v>
      </c>
      <c r="T179" s="7">
        <f>1-S179/Parameters!$B$12</f>
        <v>0.84721872465167591</v>
      </c>
      <c r="U179" s="7">
        <f t="shared" si="188"/>
        <v>6.5453047025567281</v>
      </c>
      <c r="V179" s="7">
        <f>(Parameters!$B$19*(F179+Parameters!$B$20)^T179+Parameters!$B$18*G179^T179)^(1/T179)</f>
        <v>0.40850818700914965</v>
      </c>
      <c r="W179" s="7">
        <f>(Parameters!$B$10*H179^Parameters!$B$9+Parameters!$B$11*V179^Parameters!$B$9)^(Parameters!$B$7/Parameters!$B$9)*O179</f>
        <v>1.3856618081447507</v>
      </c>
      <c r="X179" s="7">
        <f>W179 - D179 - E179 - LN(1+EXP(Parameters!$B$21*C179))/Parameters!$B$21 - IF(C179&gt;0, 0,Parameters!$B$6*C179^2/F179)</f>
        <v>0.93003284001127506</v>
      </c>
      <c r="Y179" s="7">
        <f>EXP(-Parameters!$B$55*A179)</f>
        <v>7.1183089200741873E-2</v>
      </c>
      <c r="Z179" s="7">
        <f>IF(X179&gt;0,X179^(1-Parameters!$B$52)/(1-Parameters!$B$52)*Y179*Parameters!$B$65,-10+X179*1000)</f>
        <v>-0.20860964682168939</v>
      </c>
      <c r="AC179">
        <f t="shared" si="189"/>
        <v>37.792490167837286</v>
      </c>
      <c r="AD179">
        <f t="shared" si="190"/>
        <v>499.23345397459286</v>
      </c>
      <c r="AE179" s="23">
        <f t="shared" si="191"/>
        <v>0.50003690831807213</v>
      </c>
      <c r="AF179" s="23">
        <f t="shared" si="192"/>
        <v>0.39226399299231413</v>
      </c>
      <c r="AG179" s="23">
        <f t="shared" si="193"/>
        <v>6304.8493349239643</v>
      </c>
      <c r="AH179" s="23">
        <f t="shared" si="194"/>
        <v>1602.4305260626002</v>
      </c>
      <c r="AI179" s="23">
        <f t="shared" si="195"/>
        <v>3943.7035232226299</v>
      </c>
      <c r="AJ179" s="23">
        <f t="shared" si="196"/>
        <v>5435.4523379980974</v>
      </c>
      <c r="AK179" s="23">
        <f t="shared" si="197"/>
        <v>3648.183954368048</v>
      </c>
      <c r="AL179" s="9">
        <f t="shared" si="199"/>
        <v>2.5896562018031588E-2</v>
      </c>
      <c r="AM179" s="9">
        <f t="shared" si="200"/>
        <v>1.0778668531797209E-2</v>
      </c>
      <c r="AN179" s="9">
        <f t="shared" ref="AN179:AO179" si="246">AVERAGE(AL177:AL181)</f>
        <v>2.5949418359767405E-2</v>
      </c>
      <c r="AO179" s="9">
        <f t="shared" si="246"/>
        <v>1.8885991783796997E-2</v>
      </c>
      <c r="AP179" s="23"/>
      <c r="AQ179" s="25">
        <f t="shared" si="186"/>
        <v>5435.4523379980974</v>
      </c>
      <c r="AR179" s="4"/>
      <c r="AS179" s="4"/>
      <c r="AT179" s="4"/>
      <c r="AU179" s="16"/>
      <c r="AV179" s="16"/>
      <c r="AY179" s="21">
        <f>-Y179*W179*X179^(-Parameters!B$52)*Parameters!B$46*Parameters!B$45*N179</f>
        <v>-2.9087594637291738E-6</v>
      </c>
      <c r="AZ179" s="7">
        <f>1000*EXP(-(Parameters!$B$54)*'6states'!A179)*AQ179*Parameters!B$46*Parameters!B$45*N179</f>
        <v>0.3124123911687321</v>
      </c>
      <c r="BA179" s="93">
        <f>SUM(AZ179:AZ$204)*EXP(Parameters!$B$54*A179)</f>
        <v>6827.402272734952</v>
      </c>
    </row>
    <row r="180" spans="1:53" x14ac:dyDescent="0.25">
      <c r="A180">
        <f>A179+Parameters!$B$65</f>
        <v>176</v>
      </c>
      <c r="B180">
        <v>2201</v>
      </c>
      <c r="C180" s="74">
        <v>9.6346237802793794E-3</v>
      </c>
      <c r="D180" s="69">
        <v>0.13720553994162701</v>
      </c>
      <c r="E180" s="75">
        <v>0.30897063022462501</v>
      </c>
      <c r="F180" s="7">
        <f>MAX((1-Parameters!$B$4)^Parameters!B$65*F179 + C179*Parameters!B$65 - IF(C179&gt;0,Parameters!$B$5,0)*C179^2/F179*Parameters!B$65, 0.0001)</f>
        <v>1E-4</v>
      </c>
      <c r="G180" s="7">
        <f>(1-Parameters!$B$4)^Parameters!B$65*G179+D179*Parameters!B$65-Parameters!$B$5*D179^2/G179*Parameters!B$65</f>
        <v>1.6233907135439356</v>
      </c>
      <c r="H180" s="7">
        <f>(1-Parameters!$B$4)^Parameters!B$65*H179+E179*Parameters!B$65-Parameters!$B$5*E179^2/H179*Parameters!B$65</f>
        <v>3.8759650063533777</v>
      </c>
      <c r="I180" s="9">
        <f>I179 *(1-Parameters!$B$4)-C179*(C179&lt;0)*Parameters!B$65</f>
        <v>1.194564362663913E-4</v>
      </c>
      <c r="J180" s="23">
        <f>J179*(1+Parameters!$B$51)^Parameters!B$65</f>
        <v>13.584175059813688</v>
      </c>
      <c r="K180" s="23">
        <f>K179*(1+Parameters!$B$53)^Parameters!B$65</f>
        <v>295.3948899926317</v>
      </c>
      <c r="L180" s="23">
        <f>J180*K180*EXP(-Parameters!$B$42*'6states'!A180)*(Parameters!$B$37/Parameters!$B$38*('6states'!F180+'6states'!I180)/Parameters!$E$25*(EXP(-Parameters!$B$38*Parameters!$E$25*'6states'!I180/('6states'!F180+'6states'!I180))-EXP(-Parameters!$B$38*Parameters!$E$25))  +  Parameters!$B$39*'6states'!F180)</f>
        <v>5.2949612337362173E-2</v>
      </c>
      <c r="M180" s="8">
        <f>M179+L180*Parameters!B$65</f>
        <v>3695.3372417419473</v>
      </c>
      <c r="N180" s="7">
        <f>M180*Parameters!$B$45</f>
        <v>2.2172023450451683</v>
      </c>
      <c r="O180" s="9">
        <f>EXP(-Parameters!$B$46/2*N180^2)</f>
        <v>0.95179494461761871</v>
      </c>
      <c r="P180" s="8">
        <f>MAX((Parameters!$B$62 + Parameters!$B$31*'6states'!A180 - '6states'!M180 + Parameters!$B$47/Parameters!$B$45)/Parameters!B$62,1)</f>
        <v>160.35725516516106</v>
      </c>
      <c r="Q180" s="8"/>
      <c r="R180" s="8"/>
      <c r="S180" s="7">
        <f>Parameters!B$61*EXP(-Parameters!B$60*A180)+(1-Parameters!B$61)*P180^-Parameters!B$63</f>
        <v>0.30524419579889817</v>
      </c>
      <c r="T180" s="7">
        <f>1-S180/Parameters!$B$12</f>
        <v>0.84737790210055097</v>
      </c>
      <c r="U180" s="7">
        <f t="shared" si="188"/>
        <v>6.5521311380402016</v>
      </c>
      <c r="V180" s="7">
        <f>(Parameters!$B$19*(F180+Parameters!$B$20)^T180+Parameters!$B$18*G180^T180)^(1/T180)</f>
        <v>0.41256876711899726</v>
      </c>
      <c r="W180" s="7">
        <f>(Parameters!$B$10*H180^Parameters!$B$9+Parameters!$B$11*V180^Parameters!$B$9)^(Parameters!$B$7/Parameters!$B$9)*O180</f>
        <v>1.3907878877290123</v>
      </c>
      <c r="X180" s="7">
        <f>W180 - D180 - E180 - LN(1+EXP(Parameters!$B$21*C180))/Parameters!$B$21 - IF(C180&gt;0, 0,Parameters!$B$6*C180^2/F180)</f>
        <v>0.93479687240913711</v>
      </c>
      <c r="Y180" s="7">
        <f>EXP(-Parameters!$B$55*A180)</f>
        <v>7.0116299088978581E-2</v>
      </c>
      <c r="Z180" s="7">
        <f>IF(X180&gt;0,X180^(1-Parameters!$B$52)/(1-Parameters!$B$52)*Y180*Parameters!$B$65,-10+X180*1000)</f>
        <v>-0.20511617197715459</v>
      </c>
      <c r="AC180">
        <f t="shared" si="189"/>
        <v>38.660815316450162</v>
      </c>
      <c r="AD180">
        <f t="shared" si="190"/>
        <v>550.56410722902683</v>
      </c>
      <c r="AE180" s="23">
        <f t="shared" si="191"/>
        <v>0.47934235172827216</v>
      </c>
      <c r="AF180" s="23">
        <f t="shared" si="192"/>
        <v>0.40126958974343163</v>
      </c>
      <c r="AG180" s="23">
        <f t="shared" si="193"/>
        <v>6514.1732561707167</v>
      </c>
      <c r="AH180" s="23">
        <f t="shared" si="194"/>
        <v>1655.512999227934</v>
      </c>
      <c r="AI180" s="23">
        <f t="shared" si="195"/>
        <v>4074.3435310349378</v>
      </c>
      <c r="AJ180" s="23">
        <f t="shared" si="196"/>
        <v>5580.8088512915456</v>
      </c>
      <c r="AK180" s="23">
        <f t="shared" si="197"/>
        <v>3751.0555748505735</v>
      </c>
      <c r="AL180" s="9">
        <f t="shared" si="199"/>
        <v>2.6390977344204813E-2</v>
      </c>
      <c r="AM180" s="9">
        <f t="shared" si="200"/>
        <v>2.7807789970745844E-2</v>
      </c>
      <c r="AN180" s="9">
        <f t="shared" ref="AN180:AO180" si="247">AVERAGE(AL178:AL182)</f>
        <v>2.6104486001715797E-2</v>
      </c>
      <c r="AO180" s="9">
        <f t="shared" si="247"/>
        <v>1.8055994308029354E-2</v>
      </c>
      <c r="AP180" s="23"/>
      <c r="AQ180" s="25">
        <f t="shared" si="186"/>
        <v>5580.8088512915456</v>
      </c>
      <c r="AR180" s="4"/>
      <c r="AS180" s="4"/>
      <c r="AT180" s="4"/>
      <c r="AU180" s="16"/>
      <c r="AV180" s="16"/>
      <c r="AY180" s="21">
        <f>-Y180*W180*X180^(-Parameters!B$52)*Parameters!B$46*Parameters!B$45*N180</f>
        <v>-2.856039656070511E-6</v>
      </c>
      <c r="AZ180" s="7">
        <f>1000*EXP(-(Parameters!$B$54)*'6states'!A180)*AQ180*Parameters!B$46*Parameters!B$45*N180</f>
        <v>0.30970783577001643</v>
      </c>
      <c r="BA180" s="93">
        <f>SUM(AZ180:AZ$204)*EXP(Parameters!$B$54*A180)</f>
        <v>6920.7684843270654</v>
      </c>
    </row>
    <row r="181" spans="1:53" x14ac:dyDescent="0.25">
      <c r="A181">
        <f>A180+Parameters!$B$65</f>
        <v>177</v>
      </c>
      <c r="B181">
        <v>2202</v>
      </c>
      <c r="C181" s="74">
        <v>9.6347279147274596E-3</v>
      </c>
      <c r="D181" s="69">
        <v>0.13429338332357399</v>
      </c>
      <c r="E181" s="75">
        <v>0.31841858966119602</v>
      </c>
      <c r="F181" s="7">
        <f>MAX((1-Parameters!$B$4)^Parameters!B$65*F180 + C180*Parameters!B$65 - IF(C180&gt;0,Parameters!$B$5,0)*C180^2/F180*Parameters!B$65, 0.0001)</f>
        <v>1E-4</v>
      </c>
      <c r="G181" s="7">
        <f>(1-Parameters!$B$4)^Parameters!B$65*G180+D180*Parameters!B$65-Parameters!$B$5*D180^2/G180*Parameters!B$65</f>
        <v>1.6468886563769638</v>
      </c>
      <c r="H181" s="7">
        <f>(1-Parameters!$B$4)^Parameters!B$65*H180+E180*Parameters!B$65-Parameters!$B$5*E180^2/H180*Parameters!B$65</f>
        <v>3.9165079969623413</v>
      </c>
      <c r="I181" s="9">
        <f>I180 *(1-Parameters!$B$4)-C180*(C180&lt;0)*Parameters!B$65</f>
        <v>1.119426264252353E-4</v>
      </c>
      <c r="J181" s="23">
        <f>J180*(1+Parameters!$B$51)^Parameters!B$65</f>
        <v>13.623569167487148</v>
      </c>
      <c r="K181" s="23">
        <f>K180*(1+Parameters!$B$53)^Parameters!B$65</f>
        <v>301.30278779248437</v>
      </c>
      <c r="L181" s="23">
        <f>J181*K181*EXP(-Parameters!$B$42*'6states'!A181)*(Parameters!$B$37/Parameters!$B$38*('6states'!F181+'6states'!I181)/Parameters!$E$25*(EXP(-Parameters!$B$38*Parameters!$E$25*'6states'!I181/('6states'!F181+'6states'!I181))-EXP(-Parameters!$B$38*Parameters!$E$25))  +  Parameters!$B$39*'6states'!F181)</f>
        <v>5.3626276500231058E-2</v>
      </c>
      <c r="M181" s="8">
        <f>M180+L181*Parameters!B$65</f>
        <v>3695.3908680184477</v>
      </c>
      <c r="N181" s="7">
        <f>M181*Parameters!$B$45</f>
        <v>2.2172345208110684</v>
      </c>
      <c r="O181" s="9">
        <f>EXP(-Parameters!$B$46/2*N181^2)</f>
        <v>0.95179357979404944</v>
      </c>
      <c r="P181" s="8">
        <f>MAX((Parameters!$B$62 + Parameters!$B$31*'6states'!A181 - '6states'!M181 + Parameters!$B$47/Parameters!$B$45)/Parameters!B$62,1)</f>
        <v>161.42018263963104</v>
      </c>
      <c r="Q181" s="8"/>
      <c r="R181" s="8"/>
      <c r="S181" s="7">
        <f>Parameters!B$61*EXP(-Parameters!B$60*A181)+(1-Parameters!B$61)*P181^-Parameters!B$63</f>
        <v>0.30493044532744312</v>
      </c>
      <c r="T181" s="7">
        <f>1-S181/Parameters!$B$12</f>
        <v>0.84753477733627847</v>
      </c>
      <c r="U181" s="7">
        <f t="shared" si="188"/>
        <v>6.5588727877019384</v>
      </c>
      <c r="V181" s="7">
        <f>(Parameters!$B$19*(F181+Parameters!$B$20)^T181+Parameters!$B$18*G181^T181)^(1/T181)</f>
        <v>0.4184554861187571</v>
      </c>
      <c r="W181" s="7">
        <f>(Parameters!$B$10*H181^Parameters!$B$9+Parameters!$B$11*V181^Parameters!$B$9)^(Parameters!$B$7/Parameters!$B$9)*O181</f>
        <v>1.3956103586818511</v>
      </c>
      <c r="X181" s="7">
        <f>W181 - D181 - E181 - LN(1+EXP(Parameters!$B$21*C181))/Parameters!$B$21 - IF(C181&gt;0, 0,Parameters!$B$6*C181^2/F181)</f>
        <v>0.93308344188960946</v>
      </c>
      <c r="Y181" s="7">
        <f>EXP(-Parameters!$B$55*A181)</f>
        <v>6.9065496498343315E-2</v>
      </c>
      <c r="Z181" s="7">
        <f>IF(X181&gt;0,X181^(1-Parameters!$B$52)/(1-Parameters!$B$52)*Y181*Parameters!$B$65,-10+X181*1000)</f>
        <v>-0.20217196160711481</v>
      </c>
      <c r="AC181">
        <f t="shared" si="189"/>
        <v>39.548817767584772</v>
      </c>
      <c r="AD181">
        <f t="shared" si="190"/>
        <v>551.25008110897693</v>
      </c>
      <c r="AE181" s="23">
        <f t="shared" si="191"/>
        <v>0.45950426126192112</v>
      </c>
      <c r="AF181" s="23">
        <f t="shared" si="192"/>
        <v>0.41048193698476132</v>
      </c>
      <c r="AG181" s="23">
        <f t="shared" si="193"/>
        <v>6760.1804566784704</v>
      </c>
      <c r="AH181" s="23">
        <f t="shared" si="194"/>
        <v>1717.684184839273</v>
      </c>
      <c r="AI181" s="23">
        <f t="shared" si="195"/>
        <v>4227.3515521320014</v>
      </c>
      <c r="AJ181" s="23">
        <f t="shared" si="196"/>
        <v>5728.7284330772372</v>
      </c>
      <c r="AK181" s="23">
        <f t="shared" si="197"/>
        <v>3830.1389859525484</v>
      </c>
      <c r="AL181" s="9">
        <f t="shared" si="199"/>
        <v>2.615987083518867E-2</v>
      </c>
      <c r="AM181" s="9">
        <f t="shared" si="200"/>
        <v>2.086380429537904E-2</v>
      </c>
      <c r="AN181" s="9">
        <f t="shared" ref="AN181:AO181" si="248">AVERAGE(AL179:AL183)</f>
        <v>2.6282042996036738E-2</v>
      </c>
      <c r="AO181" s="9">
        <f t="shared" si="248"/>
        <v>1.9471579453868414E-2</v>
      </c>
      <c r="AP181" s="23"/>
      <c r="AQ181" s="25">
        <f t="shared" si="186"/>
        <v>5728.7284330772372</v>
      </c>
      <c r="AR181" s="4"/>
      <c r="AS181" s="4"/>
      <c r="AT181" s="4"/>
      <c r="AU181" s="16"/>
      <c r="AV181" s="16"/>
      <c r="AY181" s="21">
        <f>-Y181*W181*X181^(-Parameters!B$52)*Parameters!B$46*Parameters!B$45*N181</f>
        <v>-2.8300337206547793E-6</v>
      </c>
      <c r="AZ181" s="7">
        <f>1000*EXP(-(Parameters!$B$54)*'6states'!A181)*AQ181*Parameters!B$46*Parameters!B$45*N181</f>
        <v>0.30695580219382684</v>
      </c>
      <c r="BA181" s="93">
        <f>SUM(AZ181:AZ$204)*EXP(Parameters!$B$54*A181)</f>
        <v>7013.4422835817149</v>
      </c>
    </row>
    <row r="182" spans="1:53" x14ac:dyDescent="0.25">
      <c r="A182">
        <f>A181+Parameters!$B$65</f>
        <v>178</v>
      </c>
      <c r="B182">
        <v>2203</v>
      </c>
      <c r="C182" s="74">
        <v>9.6347008899058707E-3</v>
      </c>
      <c r="D182" s="69">
        <v>0.13358684918125799</v>
      </c>
      <c r="E182" s="75">
        <v>0.33652654467647303</v>
      </c>
      <c r="F182" s="7">
        <f>MAX((1-Parameters!$B$4)^Parameters!B$65*F181 + C181*Parameters!B$65 - IF(C181&gt;0,Parameters!$B$5,0)*C181^2/F181*Parameters!B$65, 0.0001)</f>
        <v>1E-4</v>
      </c>
      <c r="G182" s="7">
        <f>(1-Parameters!$B$4)^Parameters!B$65*G181+D181*Parameters!B$65-Parameters!$B$5*D181^2/G181*Parameters!B$65</f>
        <v>1.6666419647664368</v>
      </c>
      <c r="H182" s="7">
        <f>(1-Parameters!$B$4)^Parameters!B$65*H181+E181*Parameters!B$65-Parameters!$B$5*E181^2/H181*Parameters!B$65</f>
        <v>3.9626902746673851</v>
      </c>
      <c r="I182" s="9">
        <f>I181 *(1-Parameters!$B$4)-C181*(C181&lt;0)*Parameters!B$65</f>
        <v>1.04901435223088E-4</v>
      </c>
      <c r="J182" s="23">
        <f>J181*(1+Parameters!$B$51)^Parameters!B$65</f>
        <v>13.663077518072859</v>
      </c>
      <c r="K182" s="23">
        <f>K181*(1+Parameters!$B$53)^Parameters!B$65</f>
        <v>307.32884354833408</v>
      </c>
      <c r="L182" s="23">
        <f>J182*K182*EXP(-Parameters!$B$42*'6states'!A182)*(Parameters!$B$37/Parameters!$B$38*('6states'!F182+'6states'!I182)/Parameters!$E$25*(EXP(-Parameters!$B$38*Parameters!$E$25*'6states'!I182/('6states'!F182+'6states'!I182))-EXP(-Parameters!$B$38*Parameters!$E$25))  +  Parameters!$B$39*'6states'!F182)</f>
        <v>5.4311588025307035E-2</v>
      </c>
      <c r="M182" s="8">
        <f>M181+L182*Parameters!B$65</f>
        <v>3695.4451796064732</v>
      </c>
      <c r="N182" s="7">
        <f>M182*Parameters!$B$45</f>
        <v>2.2172671077638837</v>
      </c>
      <c r="O182" s="9">
        <f>EXP(-Parameters!$B$46/2*N182^2)</f>
        <v>0.95179219751066435</v>
      </c>
      <c r="P182" s="8">
        <f>MAX((Parameters!$B$62 + Parameters!$B$31*'6states'!A182 - '6states'!M182 + Parameters!$B$47/Parameters!$B$45)/Parameters!B$62,1)</f>
        <v>162.48309640787053</v>
      </c>
      <c r="Q182" s="8"/>
      <c r="R182" s="8"/>
      <c r="S182" s="7">
        <f>Parameters!B$61*EXP(-Parameters!B$60*A182)+(1-Parameters!B$61)*P182^-Parameters!B$63</f>
        <v>0.30462119537556887</v>
      </c>
      <c r="T182" s="7">
        <f>1-S182/Parameters!$B$12</f>
        <v>0.84768940231221557</v>
      </c>
      <c r="U182" s="7">
        <f t="shared" si="188"/>
        <v>6.5655313233676695</v>
      </c>
      <c r="V182" s="7">
        <f>(Parameters!$B$19*(F182+Parameters!$B$20)^T182+Parameters!$B$18*G182^T182)^(1/T182)</f>
        <v>0.4234199070707732</v>
      </c>
      <c r="W182" s="7">
        <f>(Parameters!$B$10*H182^Parameters!$B$9+Parameters!$B$11*V182^Parameters!$B$9)^(Parameters!$B$7/Parameters!$B$9)*O182</f>
        <v>1.4005340557545001</v>
      </c>
      <c r="X182" s="7">
        <f>W182 - D182 - E182 - LN(1+EXP(Parameters!$B$21*C182))/Parameters!$B$21 - IF(C182&gt;0, 0,Parameters!$B$6*C182^2/F182)</f>
        <v>0.92060574369181725</v>
      </c>
      <c r="Y182" s="7">
        <f>EXP(-Parameters!$B$55*A182)</f>
        <v>6.8030441830784896E-2</v>
      </c>
      <c r="Z182" s="7">
        <f>IF(X182&gt;0,X182^(1-Parameters!$B$52)/(1-Parameters!$B$52)*Y182*Parameters!$B$65,-10+X182*1000)</f>
        <v>-0.20008266306289463</v>
      </c>
      <c r="AC182">
        <f t="shared" si="189"/>
        <v>40.456666047104747</v>
      </c>
      <c r="AD182">
        <f t="shared" si="190"/>
        <v>560.93890276067555</v>
      </c>
      <c r="AE182" s="23">
        <f t="shared" si="191"/>
        <v>0.44048719116218726</v>
      </c>
      <c r="AF182" s="23">
        <f t="shared" si="192"/>
        <v>0.41990578129405742</v>
      </c>
      <c r="AG182" s="23">
        <f t="shared" si="193"/>
        <v>6998.3259635271361</v>
      </c>
      <c r="AH182" s="23">
        <f t="shared" si="194"/>
        <v>1777.9646689401022</v>
      </c>
      <c r="AI182" s="23">
        <f t="shared" si="195"/>
        <v>4375.7064128660513</v>
      </c>
      <c r="AJ182" s="23">
        <f t="shared" si="196"/>
        <v>5880.9234691052834</v>
      </c>
      <c r="AK182" s="23">
        <f t="shared" si="197"/>
        <v>3865.6767406870931</v>
      </c>
      <c r="AL182" s="9">
        <f t="shared" si="199"/>
        <v>2.622020999601915E-2</v>
      </c>
      <c r="AM182" s="9">
        <f t="shared" si="200"/>
        <v>9.2356700325524343E-3</v>
      </c>
      <c r="AN182" s="9">
        <f t="shared" ref="AN182:AO182" si="249">AVERAGE(AL180:AL184)</f>
        <v>2.6398157423845346E-2</v>
      </c>
      <c r="AO182" s="9">
        <f t="shared" si="249"/>
        <v>1.7612380825633166E-2</v>
      </c>
      <c r="AP182" s="23"/>
      <c r="AQ182" s="25">
        <f t="shared" si="186"/>
        <v>5880.9234691052834</v>
      </c>
      <c r="AR182" s="4"/>
      <c r="AS182" s="4"/>
      <c r="AT182" s="4"/>
      <c r="AU182" s="16"/>
      <c r="AV182" s="16"/>
      <c r="AY182" s="21">
        <f>-Y182*W182*X182^(-Parameters!B$52)*Parameters!B$46*Parameters!B$45*N182</f>
        <v>-2.84880563245729E-6</v>
      </c>
      <c r="AZ182" s="7">
        <f>1000*EXP(-(Parameters!$B$54)*'6states'!A182)*AQ182*Parameters!B$46*Parameters!B$45*N182</f>
        <v>0.30424663670642171</v>
      </c>
      <c r="BA182" s="93">
        <f>SUM(AZ182:AZ$204)*EXP(Parameters!$B$54*A182)</f>
        <v>7105.3278064638462</v>
      </c>
    </row>
    <row r="183" spans="1:53" x14ac:dyDescent="0.25">
      <c r="A183">
        <f>A182+Parameters!$B$65</f>
        <v>179</v>
      </c>
      <c r="B183">
        <v>2204</v>
      </c>
      <c r="C183" s="74">
        <v>9.6349021118282193E-3</v>
      </c>
      <c r="D183" s="69">
        <v>0.141381749331386</v>
      </c>
      <c r="E183" s="75">
        <v>0.328891184811405</v>
      </c>
      <c r="F183" s="7">
        <f>MAX((1-Parameters!$B$4)^Parameters!B$65*F182 + C182*Parameters!B$65 - IF(C182&gt;0,Parameters!$B$5,0)*C182^2/F182*Parameters!B$65, 0.0001)</f>
        <v>1E-4</v>
      </c>
      <c r="G183" s="7">
        <f>(1-Parameters!$B$4)^Parameters!B$65*G182+D182*Parameters!B$65-Parameters!$B$5*D182^2/G182*Parameters!B$65</f>
        <v>1.6846896079031122</v>
      </c>
      <c r="H183" s="7">
        <f>(1-Parameters!$B$4)^Parameters!B$65*H182+E182*Parameters!B$65-Parameters!$B$5*E182^2/H182*Parameters!B$65</f>
        <v>4.0213845026714576</v>
      </c>
      <c r="I183" s="9">
        <f>I182 *(1-Parameters!$B$4)-C182*(C182&lt;0)*Parameters!B$65</f>
        <v>9.8303134947555772E-5</v>
      </c>
      <c r="J183" s="23">
        <f>J182*(1+Parameters!$B$51)^Parameters!B$65</f>
        <v>13.702700442875269</v>
      </c>
      <c r="K183" s="23">
        <f>K182*(1+Parameters!$B$53)^Parameters!B$65</f>
        <v>313.47542041930075</v>
      </c>
      <c r="L183" s="23">
        <f>J183*K183*EXP(-Parameters!$B$42*'6states'!A183)*(Parameters!$B$37/Parameters!$B$38*('6states'!F183+'6states'!I183)/Parameters!$E$25*(EXP(-Parameters!$B$38*Parameters!$E$25*'6states'!I183/('6states'!F183+'6states'!I183))-EXP(-Parameters!$B$38*Parameters!$E$25))  +  Parameters!$B$39*'6states'!F183)</f>
        <v>5.5005657422280765E-2</v>
      </c>
      <c r="M183" s="8">
        <f>M182+L183*Parameters!B$65</f>
        <v>3695.5001852638957</v>
      </c>
      <c r="N183" s="7">
        <f>M183*Parameters!$B$45</f>
        <v>2.217300111158337</v>
      </c>
      <c r="O183" s="9">
        <f>EXP(-Parameters!$B$46/2*N183^2)</f>
        <v>0.95179079754386942</v>
      </c>
      <c r="P183" s="8">
        <f>MAX((Parameters!$B$62 + Parameters!$B$31*'6states'!A183 - '6states'!M183 + Parameters!$B$47/Parameters!$B$45)/Parameters!B$62,1)</f>
        <v>163.5459962947221</v>
      </c>
      <c r="Q183" s="8"/>
      <c r="R183" s="8"/>
      <c r="S183" s="7">
        <f>Parameters!B$61*EXP(-Parameters!B$60*A183)+(1-Parameters!B$61)*P183^-Parameters!B$63</f>
        <v>0.304316344675997</v>
      </c>
      <c r="T183" s="7">
        <f>1-S183/Parameters!$B$12</f>
        <v>0.84784182766200145</v>
      </c>
      <c r="U183" s="7">
        <f t="shared" si="188"/>
        <v>6.5721083832331848</v>
      </c>
      <c r="V183" s="7">
        <f>(Parameters!$B$19*(F183+Parameters!$B$20)^T183+Parameters!$B$18*G183^T183)^(1/T183)</f>
        <v>0.42796439893670168</v>
      </c>
      <c r="W183" s="7">
        <f>(Parameters!$B$10*H183^Parameters!$B$9+Parameters!$B$11*V183^Parameters!$B$9)^(Parameters!$B$7/Parameters!$B$9)*O183</f>
        <v>1.406209514201848</v>
      </c>
      <c r="X183" s="7">
        <f>W183 - D183 - E183 - LN(1+EXP(Parameters!$B$21*C183))/Parameters!$B$21 - IF(C183&gt;0, 0,Parameters!$B$6*C183^2/F183)</f>
        <v>0.92612147122212107</v>
      </c>
      <c r="Y183" s="7">
        <f>EXP(-Parameters!$B$55*A183)</f>
        <v>6.701089907900426E-2</v>
      </c>
      <c r="Z183" s="7">
        <f>IF(X183&gt;0,X183^(1-Parameters!$B$52)/(1-Parameters!$B$52)*Y183*Parameters!$B$65,-10+X183*1000)</f>
        <v>-0.19667249031423481</v>
      </c>
      <c r="AC183">
        <f t="shared" si="189"/>
        <v>41.386334526888923</v>
      </c>
      <c r="AD183">
        <f t="shared" si="190"/>
        <v>607.29961819147309</v>
      </c>
      <c r="AE183" s="23">
        <f t="shared" si="191"/>
        <v>0.42225716263239438</v>
      </c>
      <c r="AF183" s="23">
        <f t="shared" si="192"/>
        <v>0.42954597822100637</v>
      </c>
      <c r="AG183" s="23">
        <f t="shared" si="193"/>
        <v>7236.516456255059</v>
      </c>
      <c r="AH183" s="23">
        <f t="shared" si="194"/>
        <v>1838.3038638503053</v>
      </c>
      <c r="AI183" s="23">
        <f t="shared" si="195"/>
        <v>4524.2057653718266</v>
      </c>
      <c r="AJ183" s="23">
        <f t="shared" si="196"/>
        <v>6040.316413615189</v>
      </c>
      <c r="AK183" s="23">
        <f t="shared" si="197"/>
        <v>3978.1175330758356</v>
      </c>
      <c r="AL183" s="9">
        <f t="shared" si="199"/>
        <v>2.674259478673946E-2</v>
      </c>
      <c r="AM183" s="9">
        <f t="shared" si="200"/>
        <v>2.8671964438867548E-2</v>
      </c>
      <c r="AN183" s="9">
        <f t="shared" ref="AN183:AO183" si="250">AVERAGE(AL181:AL185)</f>
        <v>2.6573385181299612E-2</v>
      </c>
      <c r="AO183" s="9">
        <f t="shared" si="250"/>
        <v>1.4990225643193255E-2</v>
      </c>
      <c r="AP183" s="23"/>
      <c r="AQ183" s="25">
        <f t="shared" si="186"/>
        <v>6040.316413615189</v>
      </c>
      <c r="AR183" s="4"/>
      <c r="AS183" s="4"/>
      <c r="AT183" s="4"/>
      <c r="AU183" s="16"/>
      <c r="AV183" s="16"/>
      <c r="AY183" s="21">
        <f>-Y183*W183*X183^(-Parameters!B$52)*Parameters!B$46*Parameters!B$45*N183</f>
        <v>-2.7948951937959759E-6</v>
      </c>
      <c r="AZ183" s="7">
        <f>1000*EXP(-(Parameters!$B$54)*'6states'!A183)*AQ183*Parameters!B$46*Parameters!B$45*N183</f>
        <v>0.30171901091506187</v>
      </c>
      <c r="BA183" s="93">
        <f>SUM(AZ183:AZ$204)*EXP(Parameters!$B$54*A183)</f>
        <v>7196.2783332762992</v>
      </c>
    </row>
    <row r="184" spans="1:53" x14ac:dyDescent="0.25">
      <c r="A184">
        <f>A183+Parameters!$B$65</f>
        <v>180</v>
      </c>
      <c r="B184">
        <v>2205</v>
      </c>
      <c r="C184" s="74">
        <v>9.6347761649426406E-3</v>
      </c>
      <c r="D184" s="69">
        <v>0.142568659090408</v>
      </c>
      <c r="E184" s="75">
        <v>0.35246950052889098</v>
      </c>
      <c r="F184" s="7">
        <f>MAX((1-Parameters!$B$4)^Parameters!B$65*F183 + C183*Parameters!B$65 - IF(C183&gt;0,Parameters!$B$5,0)*C183^2/F183*Parameters!B$65, 0.0001)</f>
        <v>1E-4</v>
      </c>
      <c r="G184" s="7">
        <f>(1-Parameters!$B$4)^Parameters!B$65*G183+D183*Parameters!B$65-Parameters!$B$5*D183^2/G183*Parameters!B$65</f>
        <v>1.7082394065126556</v>
      </c>
      <c r="H184" s="7">
        <f>(1-Parameters!$B$4)^Parameters!B$65*H183+E183*Parameters!B$65-Parameters!$B$5*E183^2/H183*Parameters!B$65</f>
        <v>4.0704320524308617</v>
      </c>
      <c r="I184" s="9">
        <f>I183 *(1-Parameters!$B$4)-C183*(C183&lt;0)*Parameters!B$65</f>
        <v>9.2119867759354515E-5</v>
      </c>
      <c r="J184" s="23">
        <f>J183*(1+Parameters!$B$51)^Parameters!B$65</f>
        <v>13.742438274159605</v>
      </c>
      <c r="K184" s="23">
        <f>K183*(1+Parameters!$B$53)^Parameters!B$65</f>
        <v>319.74492882768675</v>
      </c>
      <c r="L184" s="23">
        <f>J184*K184*EXP(-Parameters!$B$42*'6states'!A184)*(Parameters!$B$37/Parameters!$B$38*('6states'!F184+'6states'!I184)/Parameters!$E$25*(EXP(-Parameters!$B$38*Parameters!$E$25*'6states'!I184/('6states'!F184+'6states'!I184))-EXP(-Parameters!$B$38*Parameters!$E$25))  +  Parameters!$B$39*'6states'!F184)</f>
        <v>5.5708596614623747E-2</v>
      </c>
      <c r="M184" s="8">
        <f>M183+L184*Parameters!B$65</f>
        <v>3695.5558938605104</v>
      </c>
      <c r="N184" s="7">
        <f>M184*Parameters!$B$45</f>
        <v>2.217333536316306</v>
      </c>
      <c r="O184" s="9">
        <f>EXP(-Parameters!$B$46/2*N184^2)</f>
        <v>0.95178937966720134</v>
      </c>
      <c r="P184" s="8">
        <f>MAX((Parameters!$B$62 + Parameters!$B$31*'6states'!A184 - '6states'!M184 + Parameters!$B$47/Parameters!$B$45)/Parameters!B$62,1)</f>
        <v>164.60888212278979</v>
      </c>
      <c r="Q184" s="8"/>
      <c r="R184" s="8"/>
      <c r="S184" s="7">
        <f>Parameters!B$61*EXP(-Parameters!B$60*A184)+(1-Parameters!B$61)*P184^-Parameters!B$63</f>
        <v>0.30401579453060606</v>
      </c>
      <c r="T184" s="7">
        <f>1-S184/Parameters!$B$12</f>
        <v>0.84799210273469694</v>
      </c>
      <c r="U184" s="7">
        <f t="shared" si="188"/>
        <v>6.5786055724109902</v>
      </c>
      <c r="V184" s="7">
        <f>(Parameters!$B$19*(F184+Parameters!$B$20)^T184+Parameters!$B$18*G184^T184)^(1/T184)</f>
        <v>0.43386685480255788</v>
      </c>
      <c r="W184" s="7">
        <f>(Parameters!$B$10*H184^Parameters!$B$9+Parameters!$B$11*V184^Parameters!$B$9)^(Parameters!$B$7/Parameters!$B$9)*O184</f>
        <v>1.4115332153750675</v>
      </c>
      <c r="X184" s="7">
        <f>W184 - D184 - E184 - LN(1+EXP(Parameters!$B$21*C184))/Parameters!$B$21 - IF(C184&gt;0, 0,Parameters!$B$6*C184^2/F184)</f>
        <v>0.90668006623743702</v>
      </c>
      <c r="Y184" s="7">
        <f>EXP(-Parameters!$B$55*A184)</f>
        <v>6.6006635772641528E-2</v>
      </c>
      <c r="Z184" s="7">
        <f>IF(X184&gt;0,X184^(1-Parameters!$B$52)/(1-Parameters!$B$52)*Y184*Parameters!$B$65,-10+X184*1000)</f>
        <v>-0.1951689070849367</v>
      </c>
      <c r="AC184">
        <f t="shared" si="189"/>
        <v>42.335928574902539</v>
      </c>
      <c r="AD184">
        <f t="shared" si="190"/>
        <v>626.4573732634376</v>
      </c>
      <c r="AE184" s="23">
        <f t="shared" si="191"/>
        <v>0.40478160312432321</v>
      </c>
      <c r="AF184" s="23">
        <f t="shared" si="192"/>
        <v>0.43940749478900415</v>
      </c>
      <c r="AG184" s="23">
        <f t="shared" si="193"/>
        <v>7506.1319811558124</v>
      </c>
      <c r="AH184" s="23">
        <f t="shared" si="194"/>
        <v>1906.4434774077656</v>
      </c>
      <c r="AI184" s="23">
        <f t="shared" si="195"/>
        <v>4691.9025420413727</v>
      </c>
      <c r="AJ184" s="23">
        <f t="shared" si="196"/>
        <v>6202.3827397942614</v>
      </c>
      <c r="AK184" s="23">
        <f t="shared" si="197"/>
        <v>3984.0201648052052</v>
      </c>
      <c r="AL184" s="9">
        <f t="shared" si="199"/>
        <v>2.6477134157074644E-2</v>
      </c>
      <c r="AM184" s="9">
        <f t="shared" si="200"/>
        <v>1.4826753906209689E-3</v>
      </c>
      <c r="AN184" s="9">
        <f t="shared" ref="AN184:AO184" si="251">AVERAGE(AL182:AL186)</f>
        <v>2.6845533336833684E-2</v>
      </c>
      <c r="AO184" s="9">
        <f t="shared" si="251"/>
        <v>1.7281145215996573E-2</v>
      </c>
      <c r="AP184" s="23"/>
      <c r="AQ184" s="25">
        <f t="shared" si="186"/>
        <v>6202.3827397942614</v>
      </c>
      <c r="AR184" s="4"/>
      <c r="AS184" s="4"/>
      <c r="AT184" s="4"/>
      <c r="AU184" s="16"/>
      <c r="AV184" s="16"/>
      <c r="AY184" s="21">
        <f>-Y184*W184*X184^(-Parameters!B$52)*Parameters!B$46*Parameters!B$45*N184</f>
        <v>-2.8437672105956226E-6</v>
      </c>
      <c r="AZ184" s="7">
        <f>1000*EXP(-(Parameters!$B$54)*'6states'!A184)*AQ184*Parameters!B$46*Parameters!B$45*N184</f>
        <v>0.29913302244587131</v>
      </c>
      <c r="BA184" s="93">
        <f>SUM(AZ184:AZ$204)*EXP(Parameters!$B$54*A184)</f>
        <v>7286.0609550436257</v>
      </c>
    </row>
    <row r="185" spans="1:53" x14ac:dyDescent="0.25">
      <c r="A185">
        <f>A184+Parameters!$B$65</f>
        <v>181</v>
      </c>
      <c r="B185">
        <v>2206</v>
      </c>
      <c r="C185" s="74">
        <v>9.6348172890776806E-3</v>
      </c>
      <c r="D185" s="69">
        <v>0.15147155609190999</v>
      </c>
      <c r="E185" s="75">
        <v>0.35725594799078603</v>
      </c>
      <c r="F185" s="7">
        <f>MAX((1-Parameters!$B$4)^Parameters!B$65*F184 + C184*Parameters!B$65 - IF(C184&gt;0,Parameters!$B$5,0)*C184^2/F184*Parameters!B$65, 0.0001)</f>
        <v>1E-4</v>
      </c>
      <c r="G185" s="7">
        <f>(1-Parameters!$B$4)^Parameters!B$65*G184+D184*Parameters!B$65-Parameters!$B$5*D184^2/G184*Parameters!B$65</f>
        <v>1.7314611102534647</v>
      </c>
      <c r="H185" s="7">
        <f>(1-Parameters!$B$4)^Parameters!B$65*H184+E184*Parameters!B$65-Parameters!$B$5*E184^2/H184*Parameters!B$65</f>
        <v>4.1363501085535175</v>
      </c>
      <c r="I185" s="9">
        <f>I184 *(1-Parameters!$B$4)-C184*(C184&lt;0)*Parameters!B$65</f>
        <v>8.6325528077291122E-5</v>
      </c>
      <c r="J185" s="23">
        <f>J184*(1+Parameters!$B$51)^Parameters!B$65</f>
        <v>13.782291345154666</v>
      </c>
      <c r="K185" s="23">
        <f>K184*(1+Parameters!$B$53)^Parameters!B$65</f>
        <v>326.13982740424046</v>
      </c>
      <c r="L185" s="23">
        <f>J185*K185*EXP(-Parameters!$B$42*'6states'!A185)*(Parameters!$B$37/Parameters!$B$38*('6states'!F185+'6states'!I185)/Parameters!$E$25*(EXP(-Parameters!$B$38*Parameters!$E$25*'6states'!I185/('6states'!F185+'6states'!I185))-EXP(-Parameters!$B$38*Parameters!$E$25))  +  Parameters!$B$39*'6states'!F185)</f>
        <v>5.6420518959084329E-2</v>
      </c>
      <c r="M185" s="8">
        <f>M184+L185*Parameters!B$65</f>
        <v>3695.6123143794694</v>
      </c>
      <c r="N185" s="7">
        <f>M185*Parameters!$B$45</f>
        <v>2.2173673886276815</v>
      </c>
      <c r="O185" s="9">
        <f>EXP(-Parameters!$B$46/2*N185^2)</f>
        <v>0.95178794365129005</v>
      </c>
      <c r="P185" s="8">
        <f>MAX((Parameters!$B$62 + Parameters!$B$31*'6states'!A185 - '6states'!M185 + Parameters!$B$47/Parameters!$B$45)/Parameters!B$62,1)</f>
        <v>165.67175371241063</v>
      </c>
      <c r="Q185" s="8"/>
      <c r="R185" s="8"/>
      <c r="S185" s="7">
        <f>Parameters!B$61*EXP(-Parameters!B$60*A185)+(1-Parameters!B$61)*P185^-Parameters!B$63</f>
        <v>0.30371944874209278</v>
      </c>
      <c r="T185" s="7">
        <f>1-S185/Parameters!$B$12</f>
        <v>0.84814027562895355</v>
      </c>
      <c r="U185" s="7">
        <f t="shared" si="188"/>
        <v>6.585024463475583</v>
      </c>
      <c r="V185" s="7">
        <f>(Parameters!$B$19*(F185+Parameters!$B$20)^T185+Parameters!$B$18*G185^T185)^(1/T185)</f>
        <v>0.43968944393145826</v>
      </c>
      <c r="W185" s="7">
        <f>(Parameters!$B$10*H185^Parameters!$B$9+Parameters!$B$11*V185^Parameters!$B$9)^(Parameters!$B$7/Parameters!$B$9)*O185</f>
        <v>1.4179968208723126</v>
      </c>
      <c r="X185" s="7">
        <f>W185 - D185 - E185 - LN(1+EXP(Parameters!$B$21*C185))/Parameters!$B$21 - IF(C185&gt;0, 0,Parameters!$B$6*C185^2/F185)</f>
        <v>0.89945428831144036</v>
      </c>
      <c r="Y185" s="7">
        <f>EXP(-Parameters!$B$55*A185)</f>
        <v>6.5017422925269325E-2</v>
      </c>
      <c r="Z185" s="7">
        <f>IF(X185&gt;0,X185^(1-Parameters!$B$52)/(1-Parameters!$B$52)*Y185*Parameters!$B$65,-10+X185*1000)</f>
        <v>-0.19278312830176753</v>
      </c>
      <c r="AC185">
        <f t="shared" si="189"/>
        <v>43.308061674225399</v>
      </c>
      <c r="AD185">
        <f t="shared" si="190"/>
        <v>680.85769520049701</v>
      </c>
      <c r="AE185" s="23">
        <f t="shared" si="191"/>
        <v>0.38802928813913062</v>
      </c>
      <c r="AF185" s="23">
        <f t="shared" si="192"/>
        <v>0.44949541205437005</v>
      </c>
      <c r="AG185" s="23">
        <f t="shared" si="193"/>
        <v>7782.8382520949808</v>
      </c>
      <c r="AH185" s="23">
        <f t="shared" si="194"/>
        <v>1976.3838777592764</v>
      </c>
      <c r="AI185" s="23">
        <f t="shared" si="195"/>
        <v>4864.0311921112097</v>
      </c>
      <c r="AJ185" s="23">
        <f t="shared" si="196"/>
        <v>6373.8306528978692</v>
      </c>
      <c r="AK185" s="23">
        <f t="shared" si="197"/>
        <v>4043.0057594862096</v>
      </c>
      <c r="AL185" s="9">
        <f t="shared" si="199"/>
        <v>2.7267116131476143E-2</v>
      </c>
      <c r="AM185" s="9">
        <f t="shared" si="200"/>
        <v>1.4697014058546287E-2</v>
      </c>
      <c r="AN185" s="9">
        <f t="shared" ref="AN185:AO185" si="252">AVERAGE(AL183:AL187)</f>
        <v>2.7022838577302012E-2</v>
      </c>
      <c r="AO185" s="9">
        <f t="shared" si="252"/>
        <v>1.6088777165195012E-2</v>
      </c>
      <c r="AP185" s="23"/>
      <c r="AQ185" s="25">
        <f t="shared" si="186"/>
        <v>6373.8306528978683</v>
      </c>
      <c r="AR185" s="4"/>
      <c r="AS185" s="4"/>
      <c r="AT185" s="4"/>
      <c r="AU185" s="16"/>
      <c r="AV185" s="16"/>
      <c r="AY185" s="21">
        <f>-Y185*W185*X185^(-Parameters!B$52)*Parameters!B$46*Parameters!B$45*N185</f>
        <v>-2.8445802597607689E-6</v>
      </c>
      <c r="AZ185" s="7">
        <f>1000*EXP(-(Parameters!$B$54)*'6states'!A185)*AQ185*Parameters!B$46*Parameters!B$45*N185</f>
        <v>0.29680363209067606</v>
      </c>
      <c r="BA185" s="93">
        <f>SUM(AZ185:AZ$204)*EXP(Parameters!$B$54*A185)</f>
        <v>7374.5597434599058</v>
      </c>
    </row>
    <row r="186" spans="1:53" x14ac:dyDescent="0.25">
      <c r="A186">
        <f>A185+Parameters!$B$65</f>
        <v>182</v>
      </c>
      <c r="B186">
        <v>2207</v>
      </c>
      <c r="C186" s="74">
        <v>9.6350739856455505E-3</v>
      </c>
      <c r="D186" s="69">
        <v>0.157841841034223</v>
      </c>
      <c r="E186" s="75">
        <v>0.349045292546875</v>
      </c>
      <c r="F186" s="7">
        <f>MAX((1-Parameters!$B$4)^Parameters!B$65*F185 + C185*Parameters!B$65 - IF(C185&gt;0,Parameters!$B$5,0)*C185^2/F185*Parameters!B$65, 0.0001)</f>
        <v>1E-4</v>
      </c>
      <c r="G186" s="7">
        <f>(1-Parameters!$B$4)^Parameters!B$65*G185+D185*Parameters!B$65-Parameters!$B$5*D185^2/G185*Parameters!B$65</f>
        <v>1.760772738754232</v>
      </c>
      <c r="H186" s="7">
        <f>(1-Parameters!$B$4)^Parameters!B$65*H185+E185*Parameters!B$65-Parameters!$B$5*E185^2/H185*Parameters!B$65</f>
        <v>4.2025734912503694</v>
      </c>
      <c r="I186" s="9">
        <f>I185 *(1-Parameters!$B$4)-C185*(C185&lt;0)*Parameters!B$65</f>
        <v>8.089565236122952E-5</v>
      </c>
      <c r="J186" s="23">
        <f>J185*(1+Parameters!$B$51)^Parameters!B$65</f>
        <v>13.822259990055613</v>
      </c>
      <c r="K186" s="23">
        <f>K185*(1+Parameters!$B$53)^Parameters!B$65</f>
        <v>332.6626239523253</v>
      </c>
      <c r="L186" s="23">
        <f>J186*K186*EXP(-Parameters!$B$42*'6states'!A186)*(Parameters!$B$37/Parameters!$B$38*('6states'!F186+'6states'!I186)/Parameters!$E$25*(EXP(-Parameters!$B$38*Parameters!$E$25*'6states'!I186/('6states'!F186+'6states'!I186))-EXP(-Parameters!$B$38*Parameters!$E$25))  +  Parameters!$B$39*'6states'!F186)</f>
        <v>5.7141539266715509E-2</v>
      </c>
      <c r="M186" s="8">
        <f>M185+L186*Parameters!B$65</f>
        <v>3695.6694559187363</v>
      </c>
      <c r="N186" s="7">
        <f>M186*Parameters!$B$45</f>
        <v>2.2174016735512416</v>
      </c>
      <c r="O186" s="9">
        <f>EXP(-Parameters!$B$46/2*N186^2)</f>
        <v>0.95178648926382148</v>
      </c>
      <c r="P186" s="8">
        <f>MAX((Parameters!$B$62 + Parameters!$B$31*'6states'!A186 - '6states'!M186 + Parameters!$B$47/Parameters!$B$45)/Parameters!B$62,1)</f>
        <v>166.73461088162526</v>
      </c>
      <c r="Q186" s="8"/>
      <c r="R186" s="8"/>
      <c r="S186" s="7">
        <f>Parameters!B$61*EXP(-Parameters!B$60*A186)+(1-Parameters!B$61)*P186^-Parameters!B$63</f>
        <v>0.3034272135475154</v>
      </c>
      <c r="T186" s="7">
        <f>1-S186/Parameters!$B$12</f>
        <v>0.84828639322624233</v>
      </c>
      <c r="U186" s="7">
        <f t="shared" si="188"/>
        <v>6.5913665970069921</v>
      </c>
      <c r="V186" s="7">
        <f>(Parameters!$B$19*(F186+Parameters!$B$20)^T186+Parameters!$B$18*G186^T186)^(1/T186)</f>
        <v>0.44701594553533613</v>
      </c>
      <c r="W186" s="7">
        <f>(Parameters!$B$10*H186^Parameters!$B$9+Parameters!$B$11*V186^Parameters!$B$9)^(Parameters!$B$7/Parameters!$B$9)*O186</f>
        <v>1.4248511716687113</v>
      </c>
      <c r="X186" s="7">
        <f>W186 - D186 - E186 - LN(1+EXP(Parameters!$B$21*C186))/Parameters!$B$21 - IF(C186&gt;0, 0,Parameters!$B$6*C186^2/F186)</f>
        <v>0.90814876642178222</v>
      </c>
      <c r="Y186" s="7">
        <f>EXP(-Parameters!$B$55*A186)</f>
        <v>6.4043034982180613E-2</v>
      </c>
      <c r="Z186" s="7">
        <f>IF(X186&gt;0,X186^(1-Parameters!$B$52)/(1-Parameters!$B$52)*Y186*Parameters!$B$65,-10+X186*1000)</f>
        <v>-0.18925567514539107</v>
      </c>
      <c r="AC186">
        <f t="shared" si="189"/>
        <v>44.303508483280297</v>
      </c>
      <c r="AD186">
        <f t="shared" si="190"/>
        <v>725.78034727023942</v>
      </c>
      <c r="AE186" s="23">
        <f t="shared" si="191"/>
        <v>0.37197028543690003</v>
      </c>
      <c r="AF186" s="23">
        <f t="shared" si="192"/>
        <v>0.45981492772431426</v>
      </c>
      <c r="AG186" s="23">
        <f t="shared" si="193"/>
        <v>8096.2958960921997</v>
      </c>
      <c r="AH186" s="23">
        <f t="shared" si="194"/>
        <v>2055.4460468794659</v>
      </c>
      <c r="AI186" s="23">
        <f t="shared" si="195"/>
        <v>5058.609209592596</v>
      </c>
      <c r="AJ186" s="23">
        <f t="shared" si="196"/>
        <v>6551.6783851875298</v>
      </c>
      <c r="AK186" s="23">
        <f t="shared" si="197"/>
        <v>4175.8035939515694</v>
      </c>
      <c r="AL186" s="9">
        <f t="shared" si="199"/>
        <v>2.7520611612859014E-2</v>
      </c>
      <c r="AM186" s="9">
        <f t="shared" si="200"/>
        <v>3.2318402159395632E-2</v>
      </c>
      <c r="AN186" s="9">
        <f t="shared" ref="AN186:AO186" si="253">AVERAGE(AL184:AL188)</f>
        <v>2.722601962269593E-2</v>
      </c>
      <c r="AO186" s="9">
        <f t="shared" si="253"/>
        <v>1.3453955940112649E-2</v>
      </c>
      <c r="AP186" s="23"/>
      <c r="AQ186" s="25">
        <f t="shared" si="186"/>
        <v>6551.6783851875298</v>
      </c>
      <c r="AR186" s="4"/>
      <c r="AS186" s="4"/>
      <c r="AT186" s="4"/>
      <c r="AU186" s="16"/>
      <c r="AV186" s="16"/>
      <c r="AY186" s="21">
        <f>-Y186*W186*X186^(-Parameters!B$52)*Parameters!B$46*Parameters!B$45*N186</f>
        <v>-2.7792085746592783E-6</v>
      </c>
      <c r="AZ186" s="7">
        <f>1000*EXP(-(Parameters!$B$54)*'6states'!A186)*AQ186*Parameters!B$46*Parameters!B$45*N186</f>
        <v>0.29456710037314182</v>
      </c>
      <c r="BA186" s="93">
        <f>SUM(AZ186:AZ$204)*EXP(Parameters!$B$54*A186)</f>
        <v>7461.4688271053574</v>
      </c>
    </row>
    <row r="187" spans="1:53" x14ac:dyDescent="0.25">
      <c r="A187">
        <f>A186+Parameters!$B$65</f>
        <v>183</v>
      </c>
      <c r="B187">
        <v>2208</v>
      </c>
      <c r="C187" s="74">
        <v>9.6349682924369E-3</v>
      </c>
      <c r="D187" s="69">
        <v>0.15752611447978199</v>
      </c>
      <c r="E187" s="75">
        <v>0.37312636589070602</v>
      </c>
      <c r="F187" s="7">
        <f>MAX((1-Parameters!$B$4)^Parameters!B$65*F186 + C186*Parameters!B$65 - IF(C186&gt;0,Parameters!$B$5,0)*C186^2/F186*Parameters!B$65, 0.0001)</f>
        <v>1E-4</v>
      </c>
      <c r="G187" s="7">
        <f>(1-Parameters!$B$4)^Parameters!B$65*G186+D186*Parameters!B$65-Parameters!$B$5*D186^2/G186*Parameters!B$65</f>
        <v>1.7937124785451437</v>
      </c>
      <c r="H187" s="7">
        <f>(1-Parameters!$B$4)^Parameters!B$65*H186+E186*Parameters!B$65-Parameters!$B$5*E186^2/H186*Parameters!B$65</f>
        <v>4.2582869086425461</v>
      </c>
      <c r="I187" s="9">
        <f>I186 *(1-Parameters!$B$4)-C186*(C186&lt;0)*Parameters!B$65</f>
        <v>7.5807315827708185E-5</v>
      </c>
      <c r="J187" s="23">
        <f>J186*(1+Parameters!$B$51)^Parameters!B$65</f>
        <v>13.862344544026774</v>
      </c>
      <c r="K187" s="23">
        <f>K186*(1+Parameters!$B$53)^Parameters!B$65</f>
        <v>339.31587643137181</v>
      </c>
      <c r="L187" s="23">
        <f>J187*K187*EXP(-Parameters!$B$42*'6states'!A187)*(Parameters!$B$37/Parameters!$B$38*('6states'!F187+'6states'!I187)/Parameters!$E$25*(EXP(-Parameters!$B$38*Parameters!$E$25*'6states'!I187/('6states'!F187+'6states'!I187))-EXP(-Parameters!$B$38*Parameters!$E$25))  +  Parameters!$B$39*'6states'!F187)</f>
        <v>5.7871773826544688E-2</v>
      </c>
      <c r="M187" s="8">
        <f>M186+L187*Parameters!B$65</f>
        <v>3695.727327692563</v>
      </c>
      <c r="N187" s="7">
        <f>M187*Parameters!$B$45</f>
        <v>2.2174363966155375</v>
      </c>
      <c r="O187" s="9">
        <f>EXP(-Parameters!$B$46/2*N187^2)</f>
        <v>0.95178501626949918</v>
      </c>
      <c r="P187" s="8">
        <f>MAX((Parameters!$B$62 + Parameters!$B$31*'6states'!A187 - '6states'!M187 + Parameters!$B$47/Parameters!$B$45)/Parameters!B$62,1)</f>
        <v>167.79745344614875</v>
      </c>
      <c r="Q187" s="8"/>
      <c r="R187" s="8"/>
      <c r="S187" s="7">
        <f>Parameters!B$61*EXP(-Parameters!B$60*A187)+(1-Parameters!B$61)*P187^-Parameters!B$63</f>
        <v>0.30313899755366619</v>
      </c>
      <c r="T187" s="7">
        <f>1-S187/Parameters!$B$12</f>
        <v>0.84843050122316688</v>
      </c>
      <c r="U187" s="7">
        <f t="shared" si="188"/>
        <v>6.5976334821320037</v>
      </c>
      <c r="V187" s="7">
        <f>(Parameters!$B$19*(F187+Parameters!$B$20)^T187+Parameters!$B$18*G187^T187)^(1/T187)</f>
        <v>0.45523944968763214</v>
      </c>
      <c r="W187" s="7">
        <f>(Parameters!$B$10*H187^Parameters!$B$9+Parameters!$B$11*V187^Parameters!$B$9)^(Parameters!$B$7/Parameters!$B$9)*O187</f>
        <v>1.4311462163855462</v>
      </c>
      <c r="X187" s="7">
        <f>W187 - D187 - E187 - LN(1+EXP(Parameters!$B$21*C187))/Parameters!$B$21 - IF(C187&gt;0, 0,Parameters!$B$6*C187^2/F187)</f>
        <v>0.89067856448034455</v>
      </c>
      <c r="Y187" s="7">
        <f>EXP(-Parameters!$B$55*A187)</f>
        <v>6.3083249768959085E-2</v>
      </c>
      <c r="Z187" s="7">
        <f>IF(X187&gt;0,X187^(1-Parameters!$B$52)/(1-Parameters!$B$52)*Y187*Parameters!$B$65,-10+X187*1000)</f>
        <v>-0.18769109310568391</v>
      </c>
      <c r="AC187">
        <f t="shared" si="189"/>
        <v>45.320131280457716</v>
      </c>
      <c r="AD187">
        <f t="shared" si="190"/>
        <v>740.95772519854233</v>
      </c>
      <c r="AE187" s="23">
        <f t="shared" si="191"/>
        <v>0.3565759015551378</v>
      </c>
      <c r="AF187" s="23">
        <f t="shared" si="192"/>
        <v>0.47037135883500902</v>
      </c>
      <c r="AG187" s="23">
        <f t="shared" si="193"/>
        <v>8437.1097589259116</v>
      </c>
      <c r="AH187" s="23">
        <f t="shared" si="194"/>
        <v>2141.3159854487326</v>
      </c>
      <c r="AI187" s="23">
        <f t="shared" si="195"/>
        <v>5269.9416659872131</v>
      </c>
      <c r="AJ187" s="23">
        <f t="shared" si="196"/>
        <v>6731.7019049285127</v>
      </c>
      <c r="AK187" s="23">
        <f t="shared" si="197"/>
        <v>4189.4968665983488</v>
      </c>
      <c r="AL187" s="9">
        <f t="shared" si="199"/>
        <v>2.7106736198360792E-2</v>
      </c>
      <c r="AM187" s="9">
        <f t="shared" si="200"/>
        <v>3.2738297785446235E-3</v>
      </c>
      <c r="AN187" s="9">
        <f t="shared" ref="AN187:AO187" si="254">AVERAGE(AL185:AL189)</f>
        <v>2.7518269919426786E-2</v>
      </c>
      <c r="AO187" s="9">
        <f t="shared" si="254"/>
        <v>1.5850644828680059E-2</v>
      </c>
      <c r="AP187" s="23"/>
      <c r="AQ187" s="25">
        <f t="shared" si="186"/>
        <v>6731.7019049285118</v>
      </c>
      <c r="AR187" s="4"/>
      <c r="AS187" s="4"/>
      <c r="AT187" s="4"/>
      <c r="AU187" s="16"/>
      <c r="AV187" s="16"/>
      <c r="AY187" s="21">
        <f>-Y187*W187*X187^(-Parameters!B$52)*Parameters!B$46*Parameters!B$45*N187</f>
        <v>-2.8227550543773054E-6</v>
      </c>
      <c r="AZ187" s="7">
        <f>1000*EXP(-(Parameters!$B$54)*'6states'!A187)*AQ187*Parameters!B$46*Parameters!B$45*N187</f>
        <v>0.29222650909436704</v>
      </c>
      <c r="BA187" s="93">
        <f>SUM(AZ187:AZ$204)*EXP(Parameters!$B$54*A187)</f>
        <v>7546.5539792704994</v>
      </c>
    </row>
    <row r="188" spans="1:53" x14ac:dyDescent="0.25">
      <c r="A188">
        <f>A187+Parameters!$B$65</f>
        <v>184</v>
      </c>
      <c r="B188">
        <v>2209</v>
      </c>
      <c r="C188" s="74">
        <v>9.6350174301578998E-3</v>
      </c>
      <c r="D188" s="69">
        <v>0.15899739517362199</v>
      </c>
      <c r="E188" s="75">
        <v>0.38530545128992499</v>
      </c>
      <c r="F188" s="7">
        <f>MAX((1-Parameters!$B$4)^Parameters!B$65*F187 + C187*Parameters!B$65 - IF(C187&gt;0,Parameters!$B$5,0)*C187^2/F187*Parameters!B$65, 0.0001)</f>
        <v>1E-4</v>
      </c>
      <c r="G188" s="7">
        <f>(1-Parameters!$B$4)^Parameters!B$65*G187+D187*Parameters!B$65-Parameters!$B$5*D187^2/G187*Parameters!B$65</f>
        <v>1.824579934113115</v>
      </c>
      <c r="H188" s="7">
        <f>(1-Parameters!$B$4)^Parameters!B$65*H187+E187*Parameters!B$65-Parameters!$B$5*E187^2/H187*Parameters!B$65</f>
        <v>4.3308723580549211</v>
      </c>
      <c r="I188" s="9">
        <f>I187 *(1-Parameters!$B$4)-C187*(C187&lt;0)*Parameters!B$65</f>
        <v>7.1039035662145338E-5</v>
      </c>
      <c r="J188" s="23">
        <f>J187*(1+Parameters!$B$51)^Parameters!B$65</f>
        <v>13.90254534320445</v>
      </c>
      <c r="K188" s="23">
        <f>K187*(1+Parameters!$B$53)^Parameters!B$65</f>
        <v>346.10219395999923</v>
      </c>
      <c r="L188" s="23">
        <f>J188*K188*EXP(-Parameters!$B$42*'6states'!A188)*(Parameters!$B$37/Parameters!$B$38*('6states'!F188+'6states'!I188)/Parameters!$E$25*(EXP(-Parameters!$B$38*Parameters!$E$25*'6states'!I188/('6states'!F188+'6states'!I188))-EXP(-Parameters!$B$38*Parameters!$E$25))  +  Parameters!$B$39*'6states'!F188)</f>
        <v>5.8611340433870326E-2</v>
      </c>
      <c r="M188" s="8">
        <f>M187+L188*Parameters!B$65</f>
        <v>3695.7859390329968</v>
      </c>
      <c r="N188" s="7">
        <f>M188*Parameters!$B$45</f>
        <v>2.2174715634197977</v>
      </c>
      <c r="O188" s="9">
        <f>EXP(-Parameters!$B$46/2*N188^2)</f>
        <v>0.95178352443000525</v>
      </c>
      <c r="P188" s="8">
        <f>MAX((Parameters!$B$62 + Parameters!$B$31*'6states'!A188 - '6states'!M188 + Parameters!$B$47/Parameters!$B$45)/Parameters!B$62,1)</f>
        <v>168.8602812193401</v>
      </c>
      <c r="Q188" s="8"/>
      <c r="R188" s="8"/>
      <c r="S188" s="7">
        <f>Parameters!B$61*EXP(-Parameters!B$60*A188)+(1-Parameters!B$61)*P188^-Parameters!B$63</f>
        <v>0.30285471167421973</v>
      </c>
      <c r="T188" s="7">
        <f>1-S188/Parameters!$B$12</f>
        <v>0.84857264416289013</v>
      </c>
      <c r="U188" s="7">
        <f t="shared" si="188"/>
        <v>6.6038265970628069</v>
      </c>
      <c r="V188" s="7">
        <f>(Parameters!$B$19*(F188+Parameters!$B$20)^T188+Parameters!$B$18*G188^T188)^(1/T188)</f>
        <v>0.4629531829004998</v>
      </c>
      <c r="W188" s="7">
        <f>(Parameters!$B$10*H188^Parameters!$B$9+Parameters!$B$11*V188^Parameters!$B$9)^(Parameters!$B$7/Parameters!$B$9)*O188</f>
        <v>1.4384062685500472</v>
      </c>
      <c r="X188" s="7">
        <f>W188 - D188 - E188 - LN(1+EXP(Parameters!$B$21*C188))/Parameters!$B$21 - IF(C188&gt;0, 0,Parameters!$B$6*C188^2/F188)</f>
        <v>0.88428820399995234</v>
      </c>
      <c r="Y188" s="7">
        <f>EXP(-Parameters!$B$55*A188)</f>
        <v>6.2137848440820063E-2</v>
      </c>
      <c r="Z188" s="7">
        <f>IF(X188&gt;0,X188^(1-Parameters!$B$52)/(1-Parameters!$B$52)*Y188*Parameters!$B$65,-10+X188*1000)</f>
        <v>-0.18534476584235104</v>
      </c>
      <c r="AC188">
        <f t="shared" si="189"/>
        <v>46.360827290437584</v>
      </c>
      <c r="AD188">
        <f t="shared" si="190"/>
        <v>765.04799609407053</v>
      </c>
      <c r="AE188" s="23">
        <f t="shared" si="191"/>
        <v>0.34181863054065936</v>
      </c>
      <c r="AF188" s="23">
        <f t="shared" si="192"/>
        <v>0.48117014449114304</v>
      </c>
      <c r="AG188" s="23">
        <f t="shared" si="193"/>
        <v>8779.3339053284781</v>
      </c>
      <c r="AH188" s="23">
        <f t="shared" si="194"/>
        <v>2227.5924990886806</v>
      </c>
      <c r="AI188" s="23">
        <f t="shared" si="195"/>
        <v>5482.2747345847447</v>
      </c>
      <c r="AJ188" s="23">
        <f t="shared" si="196"/>
        <v>6921.1815207519212</v>
      </c>
      <c r="AK188" s="23">
        <f t="shared" si="197"/>
        <v>4254.930828904704</v>
      </c>
      <c r="AL188" s="9">
        <f t="shared" si="199"/>
        <v>2.7758500013709053E-2</v>
      </c>
      <c r="AM188" s="9">
        <f t="shared" si="200"/>
        <v>1.5497858313455737E-2</v>
      </c>
      <c r="AN188" s="9">
        <f t="shared" ref="AN188:AO188" si="255">AVERAGE(AL186:AL190)</f>
        <v>2.7698512972502344E-2</v>
      </c>
      <c r="AO188" s="9">
        <f t="shared" si="255"/>
        <v>1.4244591622532355E-2</v>
      </c>
      <c r="AP188" s="23"/>
      <c r="AQ188" s="25">
        <f t="shared" si="186"/>
        <v>6921.1815207519212</v>
      </c>
      <c r="AR188" s="4"/>
      <c r="AS188" s="4"/>
      <c r="AT188" s="4"/>
      <c r="AU188" s="16"/>
      <c r="AV188" s="16"/>
      <c r="AY188" s="21">
        <f>-Y188*W188*X188^(-Parameters!B$52)*Parameters!B$46*Parameters!B$45*N188</f>
        <v>-2.8218990454806068E-6</v>
      </c>
      <c r="AZ188" s="7">
        <f>1000*EXP(-(Parameters!$B$54)*'6states'!A188)*AQ188*Parameters!B$46*Parameters!B$45*N188</f>
        <v>0.29009358468637597</v>
      </c>
      <c r="BA188" s="93">
        <f>SUM(AZ188:AZ$204)*EXP(Parameters!$B$54*A188)</f>
        <v>7629.6895898921694</v>
      </c>
    </row>
    <row r="189" spans="1:53" x14ac:dyDescent="0.25">
      <c r="A189">
        <f>A188+Parameters!$B$65</f>
        <v>185</v>
      </c>
      <c r="B189">
        <v>2210</v>
      </c>
      <c r="C189" s="74">
        <v>9.6350412298999797E-3</v>
      </c>
      <c r="D189" s="69">
        <v>0.161348346637049</v>
      </c>
      <c r="E189" s="75">
        <v>0.39863789617170498</v>
      </c>
      <c r="F189" s="7">
        <f>MAX((1-Parameters!$B$4)^Parameters!B$65*F188 + C188*Parameters!B$65 - IF(C188&gt;0,Parameters!$B$5,0)*C188^2/F188*Parameters!B$65, 0.0001)</f>
        <v>1E-4</v>
      </c>
      <c r="G189" s="7">
        <f>(1-Parameters!$B$4)^Parameters!B$65*G188+D188*Parameters!B$65-Parameters!$B$5*D188^2/G188*Parameters!B$65</f>
        <v>1.8549559134437146</v>
      </c>
      <c r="H189" s="7">
        <f>(1-Parameters!$B$4)^Parameters!B$65*H188+E188*Parameters!B$65-Parameters!$B$5*E188^2/H188*Parameters!B$65</f>
        <v>4.4094864029734886</v>
      </c>
      <c r="I189" s="9">
        <f>I188 *(1-Parameters!$B$4)-C188*(C188&lt;0)*Parameters!B$65</f>
        <v>6.6570680318996404E-5</v>
      </c>
      <c r="J189" s="23">
        <f>J188*(1+Parameters!$B$51)^Parameters!B$65</f>
        <v>13.942862724699742</v>
      </c>
      <c r="K189" s="23">
        <f>K188*(1+Parameters!$B$53)^Parameters!B$65</f>
        <v>353.0242378391992</v>
      </c>
      <c r="L189" s="23">
        <f>J189*K189*EXP(-Parameters!$B$42*'6states'!A189)*(Parameters!$B$37/Parameters!$B$38*('6states'!F189+'6states'!I189)/Parameters!$E$25*(EXP(-Parameters!$B$38*Parameters!$E$25*'6states'!I189/('6states'!F189+'6states'!I189))-EXP(-Parameters!$B$38*Parameters!$E$25))  +  Parameters!$B$39*'6states'!F189)</f>
        <v>5.9360358426664615E-2</v>
      </c>
      <c r="M189" s="8">
        <f>M188+L189*Parameters!B$65</f>
        <v>3695.8452993914234</v>
      </c>
      <c r="N189" s="7">
        <f>M189*Parameters!$B$45</f>
        <v>2.217507179634854</v>
      </c>
      <c r="O189" s="9">
        <f>EXP(-Parameters!$B$46/2*N189^2)</f>
        <v>0.95178201350396063</v>
      </c>
      <c r="P189" s="8">
        <f>MAX((Parameters!$B$62 + Parameters!$B$31*'6states'!A189 - '6states'!M189 + Parameters!$B$47/Parameters!$B$45)/Parameters!B$62,1)</f>
        <v>169.92309401217153</v>
      </c>
      <c r="Q189" s="8"/>
      <c r="R189" s="8"/>
      <c r="S189" s="7">
        <f>Parameters!B$61*EXP(-Parameters!B$60*A189)+(1-Parameters!B$61)*P189^-Parameters!B$63</f>
        <v>0.30257426906860652</v>
      </c>
      <c r="T189" s="7">
        <f>1-S189/Parameters!$B$12</f>
        <v>0.8487128654656968</v>
      </c>
      <c r="U189" s="7">
        <f t="shared" si="188"/>
        <v>6.6099473896325112</v>
      </c>
      <c r="V189" s="7">
        <f>(Parameters!$B$19*(F189+Parameters!$B$20)^T189+Parameters!$B$18*G189^T189)^(1/T189)</f>
        <v>0.47054717397480478</v>
      </c>
      <c r="W189" s="7">
        <f>(Parameters!$B$10*H189^Parameters!$B$9+Parameters!$B$11*V189^Parameters!$B$9)^(Parameters!$B$7/Parameters!$B$9)*O189</f>
        <v>1.4459632347947973</v>
      </c>
      <c r="X189" s="7">
        <f>W189 - D189 - E189 - LN(1+EXP(Parameters!$B$21*C189))/Parameters!$B$21 - IF(C189&gt;0, 0,Parameters!$B$6*C189^2/F189)</f>
        <v>0.87616175135220875</v>
      </c>
      <c r="Y189" s="7">
        <f>EXP(-Parameters!$B$55*A189)</f>
        <v>6.1206615432710852E-2</v>
      </c>
      <c r="Z189" s="7">
        <f>IF(X189&gt;0,X189^(1-Parameters!$B$52)/(1-Parameters!$B$52)*Y189*Parameters!$B$65,-10+X189*1000)</f>
        <v>-0.18315796891191707</v>
      </c>
      <c r="AC189">
        <f t="shared" si="189"/>
        <v>47.425296309711904</v>
      </c>
      <c r="AD189">
        <f t="shared" si="190"/>
        <v>794.18374719540168</v>
      </c>
      <c r="AE189" s="23">
        <f t="shared" si="191"/>
        <v>0.32767210480325937</v>
      </c>
      <c r="AF189" s="23">
        <f t="shared" si="192"/>
        <v>0.49221684866837073</v>
      </c>
      <c r="AG189" s="23">
        <f t="shared" si="193"/>
        <v>9130.4055413402421</v>
      </c>
      <c r="AH189" s="23">
        <f t="shared" si="194"/>
        <v>2316.1124712368596</v>
      </c>
      <c r="AI189" s="23">
        <f t="shared" si="195"/>
        <v>5700.1291253732934</v>
      </c>
      <c r="AJ189" s="23">
        <f t="shared" si="196"/>
        <v>7117.2746672101848</v>
      </c>
      <c r="AK189" s="23">
        <f t="shared" si="197"/>
        <v>4312.6157617434474</v>
      </c>
      <c r="AL189" s="9">
        <f t="shared" si="199"/>
        <v>2.7938385640728924E-2</v>
      </c>
      <c r="AM189" s="9">
        <f t="shared" si="200"/>
        <v>1.3466119833458023E-2</v>
      </c>
      <c r="AN189" s="9">
        <f t="shared" ref="AN189:AO189" si="256">AVERAGE(AL187:AL191)</f>
        <v>2.7914578969312841E-2</v>
      </c>
      <c r="AO189" s="9">
        <f t="shared" si="256"/>
        <v>1.1205166334121585E-2</v>
      </c>
      <c r="AP189" s="23"/>
      <c r="AQ189" s="25">
        <f t="shared" si="186"/>
        <v>7117.2746672101839</v>
      </c>
      <c r="AR189" s="4"/>
      <c r="AS189" s="4"/>
      <c r="AT189" s="4"/>
      <c r="AU189" s="16"/>
      <c r="AV189" s="16"/>
      <c r="AY189" s="21">
        <f>-Y189*W189*X189^(-Parameters!B$52)*Parameters!B$46*Parameters!B$45*N189</f>
        <v>-2.8293010849359488E-6</v>
      </c>
      <c r="AZ189" s="7">
        <f>1000*EXP(-(Parameters!$B$54)*'6states'!A189)*AQ189*Parameters!B$46*Parameters!B$45*N189</f>
        <v>0.2880280939691256</v>
      </c>
      <c r="BA189" s="93">
        <f>SUM(AZ189:AZ$204)*EXP(Parameters!$B$54*A189)</f>
        <v>7710.5439051240428</v>
      </c>
    </row>
    <row r="190" spans="1:53" x14ac:dyDescent="0.25">
      <c r="A190">
        <f>A189+Parameters!$B$65</f>
        <v>186</v>
      </c>
      <c r="B190">
        <v>2211</v>
      </c>
      <c r="C190" s="74">
        <v>9.6349786587376501E-3</v>
      </c>
      <c r="D190" s="69">
        <v>0.17038498094031901</v>
      </c>
      <c r="E190" s="75">
        <v>0.41146662075476098</v>
      </c>
      <c r="F190" s="7">
        <f>MAX((1-Parameters!$B$4)^Parameters!B$65*F189 + C189*Parameters!B$65 - IF(C189&gt;0,Parameters!$B$5,0)*C189^2/F189*Parameters!B$65, 0.0001)</f>
        <v>1E-4</v>
      </c>
      <c r="G190" s="7">
        <f>(1-Parameters!$B$4)^Parameters!B$65*G189+D189*Parameters!B$65-Parameters!$B$5*D189^2/G189*Parameters!B$65</f>
        <v>1.8855930815385507</v>
      </c>
      <c r="H190" s="7">
        <f>(1-Parameters!$B$4)^Parameters!B$65*H189+E189*Parameters!B$65-Parameters!$B$5*E189^2/H189*Parameters!B$65</f>
        <v>4.4947289010795517</v>
      </c>
      <c r="I190" s="9">
        <f>I189 *(1-Parameters!$B$4)-C189*(C189&lt;0)*Parameters!B$65</f>
        <v>6.2383384526931539E-5</v>
      </c>
      <c r="J190" s="23">
        <f>J189*(1+Parameters!$B$51)^Parameters!B$65</f>
        <v>13.98329702660137</v>
      </c>
      <c r="K190" s="23">
        <f>K189*(1+Parameters!$B$53)^Parameters!B$65</f>
        <v>360.08472259598318</v>
      </c>
      <c r="L190" s="23">
        <f>J190*K190*EXP(-Parameters!$B$42*'6states'!A190)*(Parameters!$B$37/Parameters!$B$38*('6states'!F190+'6states'!I190)/Parameters!$E$25*(EXP(-Parameters!$B$38*Parameters!$E$25*'6states'!I190/('6states'!F190+'6states'!I190))-EXP(-Parameters!$B$38*Parameters!$E$25))  +  Parameters!$B$39*'6states'!F190)</f>
        <v>6.0118948736053363E-2</v>
      </c>
      <c r="M190" s="8">
        <f>M189+L190*Parameters!B$65</f>
        <v>3695.9054183401595</v>
      </c>
      <c r="N190" s="7">
        <f>M190*Parameters!$B$45</f>
        <v>2.2175432510040953</v>
      </c>
      <c r="O190" s="9">
        <f>EXP(-Parameters!$B$46/2*N190^2)</f>
        <v>0.95178048324688369</v>
      </c>
      <c r="P190" s="8">
        <f>MAX((Parameters!$B$62 + Parameters!$B$31*'6states'!A190 - '6states'!M190 + Parameters!$B$47/Parameters!$B$45)/Parameters!B$62,1)</f>
        <v>170.98589163319681</v>
      </c>
      <c r="Q190" s="8"/>
      <c r="R190" s="8"/>
      <c r="S190" s="7">
        <f>Parameters!B$61*EXP(-Parameters!B$60*A190)+(1-Parameters!B$61)*P190^-Parameters!B$63</f>
        <v>0.30229758508256221</v>
      </c>
      <c r="T190" s="7">
        <f>1-S190/Parameters!$B$12</f>
        <v>0.84885120745871889</v>
      </c>
      <c r="U190" s="7">
        <f t="shared" si="188"/>
        <v>6.6159972778273062</v>
      </c>
      <c r="V190" s="7">
        <f>(Parameters!$B$19*(F190+Parameters!$B$20)^T190+Parameters!$B$18*G190^T190)^(1/T190)</f>
        <v>0.47820720018885549</v>
      </c>
      <c r="W190" s="7">
        <f>(Parameters!$B$10*H190^Parameters!$B$9+Parameters!$B$11*V190^Parameters!$B$9)^(Parameters!$B$7/Parameters!$B$9)*O190</f>
        <v>1.4538941814945843</v>
      </c>
      <c r="X190" s="7">
        <f>W190 - D190 - E190 - LN(1+EXP(Parameters!$B$21*C190))/Parameters!$B$21 - IF(C190&gt;0, 0,Parameters!$B$6*C190^2/F190)</f>
        <v>0.86222739844402241</v>
      </c>
      <c r="Y190" s="7">
        <f>EXP(-Parameters!$B$55*A190)</f>
        <v>6.0289338410158787E-2</v>
      </c>
      <c r="Z190" s="7">
        <f>IF(X190&gt;0,X190^(1-Parameters!$B$52)/(1-Parameters!$B$52)*Y190*Parameters!$B$65,-10+X190*1000)</f>
        <v>-0.18142821891622415</v>
      </c>
      <c r="AC190">
        <f t="shared" si="189"/>
        <v>48.513771205848798</v>
      </c>
      <c r="AD190">
        <f t="shared" si="190"/>
        <v>857.91762234526175</v>
      </c>
      <c r="AE190" s="23">
        <f t="shared" si="191"/>
        <v>0.31411104800335515</v>
      </c>
      <c r="AF190" s="23">
        <f t="shared" si="192"/>
        <v>0.50351716308009908</v>
      </c>
      <c r="AG190" s="23">
        <f t="shared" si="193"/>
        <v>9494.2847913975311</v>
      </c>
      <c r="AH190" s="23">
        <f t="shared" si="194"/>
        <v>2407.8553280356955</v>
      </c>
      <c r="AI190" s="23">
        <f t="shared" si="195"/>
        <v>5925.9152806564744</v>
      </c>
      <c r="AJ190" s="23">
        <f t="shared" si="196"/>
        <v>7320.6067368481581</v>
      </c>
      <c r="AK190" s="23">
        <f t="shared" si="197"/>
        <v>4341.4629359446844</v>
      </c>
      <c r="AL190" s="9">
        <f t="shared" si="199"/>
        <v>2.816833139685393E-2</v>
      </c>
      <c r="AM190" s="9">
        <f t="shared" si="200"/>
        <v>6.6667480278077562E-3</v>
      </c>
      <c r="AN190" s="9">
        <f t="shared" ref="AN190:AO190" si="257">AVERAGE(AL188:AL192)</f>
        <v>2.8224609103535768E-2</v>
      </c>
      <c r="AO190" s="9">
        <f t="shared" si="257"/>
        <v>1.476622525358522E-2</v>
      </c>
      <c r="AP190" s="23"/>
      <c r="AQ190" s="25">
        <f t="shared" si="186"/>
        <v>7320.6067368481572</v>
      </c>
      <c r="AR190" s="4"/>
      <c r="AS190" s="4"/>
      <c r="AT190" s="4"/>
      <c r="AU190" s="16"/>
      <c r="AV190" s="16"/>
      <c r="AY190" s="21">
        <f>-Y190*W190*X190^(-Parameters!B$52)*Parameters!B$46*Parameters!B$45*N190</f>
        <v>-2.863540090851231E-6</v>
      </c>
      <c r="AZ190" s="7">
        <f>1000*EXP(-(Parameters!$B$54)*'6states'!A190)*AQ190*Parameters!B$46*Parameters!B$45*N190</f>
        <v>0.28604313518630731</v>
      </c>
      <c r="BA190" s="93">
        <f>SUM(AZ190:AZ$204)*EXP(Parameters!$B$54*A190)</f>
        <v>7788.8520384373378</v>
      </c>
    </row>
    <row r="191" spans="1:53" x14ac:dyDescent="0.25">
      <c r="A191">
        <f>A190+Parameters!$B$65</f>
        <v>187</v>
      </c>
      <c r="B191">
        <v>2212</v>
      </c>
      <c r="C191" s="74">
        <v>9.6350488046862397E-3</v>
      </c>
      <c r="D191" s="69">
        <v>0.168494377135049</v>
      </c>
      <c r="E191" s="75">
        <v>0.42675955208813199</v>
      </c>
      <c r="F191" s="7">
        <f>MAX((1-Parameters!$B$4)^Parameters!B$65*F190 + C190*Parameters!B$65 - IF(C190&gt;0,Parameters!$B$5,0)*C190^2/F190*Parameters!B$65, 0.0001)</f>
        <v>1E-4</v>
      </c>
      <c r="G191" s="7">
        <f>(1-Parameters!$B$4)^Parameters!B$65*G190+D190*Parameters!B$65-Parameters!$B$5*D190^2/G190*Parameters!B$65</f>
        <v>1.9219780186554414</v>
      </c>
      <c r="H191" s="7">
        <f>(1-Parameters!$B$4)^Parameters!B$65*H190+E190*Parameters!B$65-Parameters!$B$5*E190^2/H190*Parameters!B$65</f>
        <v>4.5858096675963331</v>
      </c>
      <c r="I191" s="9">
        <f>I190 *(1-Parameters!$B$4)-C190*(C190&lt;0)*Parameters!B$65</f>
        <v>5.8459469640187549E-5</v>
      </c>
      <c r="J191" s="23">
        <f>J190*(1+Parameters!$B$51)^Parameters!B$65</f>
        <v>14.023848587978513</v>
      </c>
      <c r="K191" s="23">
        <f>K190*(1+Parameters!$B$53)^Parameters!B$65</f>
        <v>367.28641704790283</v>
      </c>
      <c r="L191" s="23">
        <f>J191*K191*EXP(-Parameters!$B$42*'6states'!A191)*(Parameters!$B$37/Parameters!$B$38*('6states'!F191+'6states'!I191)/Parameters!$E$25*(EXP(-Parameters!$B$38*Parameters!$E$25*'6states'!I191/('6states'!F191+'6states'!I191))-EXP(-Parameters!$B$38*Parameters!$E$25))  +  Parameters!$B$39*'6states'!F191)</f>
        <v>6.0887233960883087E-2</v>
      </c>
      <c r="M191" s="8">
        <f>M190+L191*Parameters!B$65</f>
        <v>3695.9663055741203</v>
      </c>
      <c r="N191" s="7">
        <f>M191*Parameters!$B$45</f>
        <v>2.2175797833444721</v>
      </c>
      <c r="O191" s="9">
        <f>EXP(-Parameters!$B$46/2*N191^2)</f>
        <v>0.95177893341114728</v>
      </c>
      <c r="P191" s="8">
        <f>MAX((Parameters!$B$62 + Parameters!$B$31*'6states'!A191 - '6states'!M191 + Parameters!$B$47/Parameters!$B$45)/Parameters!B$62,1)</f>
        <v>172.04867388851758</v>
      </c>
      <c r="Q191" s="8"/>
      <c r="R191" s="8"/>
      <c r="S191" s="7">
        <f>Parameters!B$61*EXP(-Parameters!B$60*A191)+(1-Parameters!B$61)*P191^-Parameters!B$63</f>
        <v>0.30202457719030507</v>
      </c>
      <c r="T191" s="7">
        <f>1-S191/Parameters!$B$12</f>
        <v>0.84898771140484741</v>
      </c>
      <c r="U191" s="7">
        <f t="shared" si="188"/>
        <v>6.6219776503148724</v>
      </c>
      <c r="V191" s="7">
        <f>(Parameters!$B$19*(F191+Parameters!$B$20)^T191+Parameters!$B$18*G191^T191)^(1/T191)</f>
        <v>0.48728827378332229</v>
      </c>
      <c r="W191" s="7">
        <f>(Parameters!$B$10*H191^Parameters!$B$9+Parameters!$B$11*V191^Parameters!$B$9)^(Parameters!$B$7/Parameters!$B$9)*O191</f>
        <v>1.4625011846455258</v>
      </c>
      <c r="X191" s="7">
        <f>W191 - D191 - E191 - LN(1+EXP(Parameters!$B$21*C191))/Parameters!$B$21 - IF(C191&gt;0, 0,Parameters!$B$6*C191^2/F191)</f>
        <v>0.85743200761234339</v>
      </c>
      <c r="Y191" s="7">
        <f>EXP(-Parameters!$B$55*A191)</f>
        <v>5.9385808220855908E-2</v>
      </c>
      <c r="Z191" s="7">
        <f>IF(X191&gt;0,X191^(1-Parameters!$B$52)/(1-Parameters!$B$52)*Y191*Parameters!$B$65,-10+X191*1000)</f>
        <v>-0.17905841467241074</v>
      </c>
      <c r="AC191">
        <f t="shared" si="189"/>
        <v>49.627911670777237</v>
      </c>
      <c r="AD191">
        <f t="shared" si="190"/>
        <v>867.87563145645561</v>
      </c>
      <c r="AE191" s="23">
        <f t="shared" si="191"/>
        <v>0.30111122988942529</v>
      </c>
      <c r="AF191" s="23">
        <f t="shared" si="192"/>
        <v>0.51507691011009193</v>
      </c>
      <c r="AG191" s="23">
        <f t="shared" si="193"/>
        <v>9899.6649914856134</v>
      </c>
      <c r="AH191" s="23">
        <f t="shared" si="194"/>
        <v>2509.9093839319416</v>
      </c>
      <c r="AI191" s="23">
        <f t="shared" si="195"/>
        <v>6177.0780819456586</v>
      </c>
      <c r="AJ191" s="23">
        <f t="shared" si="196"/>
        <v>7533.0059121956656</v>
      </c>
      <c r="AK191" s="23">
        <f t="shared" si="197"/>
        <v>4416.434291104586</v>
      </c>
      <c r="AL191" s="9">
        <f t="shared" si="199"/>
        <v>2.8600941596911511E-2</v>
      </c>
      <c r="AM191" s="9">
        <f t="shared" si="200"/>
        <v>1.7121275717341788E-2</v>
      </c>
      <c r="AN191" s="9">
        <f t="shared" ref="AN191:AO191" si="258">AVERAGE(AL189:AL193)</f>
        <v>2.839256894620128E-2</v>
      </c>
      <c r="AO191" s="9">
        <f t="shared" si="258"/>
        <v>1.4893971755386204E-2</v>
      </c>
      <c r="AP191" s="23"/>
      <c r="AQ191" s="25">
        <f t="shared" si="186"/>
        <v>7533.0059121956647</v>
      </c>
      <c r="AR191" s="4"/>
      <c r="AS191" s="4"/>
      <c r="AT191" s="4"/>
      <c r="AU191" s="16"/>
      <c r="AV191" s="16"/>
      <c r="AY191" s="21">
        <f>-Y191*W191*X191^(-Parameters!B$52)*Parameters!B$46*Parameters!B$45*N191</f>
        <v>-2.858813839948964E-6</v>
      </c>
      <c r="AZ191" s="7">
        <f>1000*EXP(-(Parameters!$B$54)*'6states'!A191)*AQ191*Parameters!B$46*Parameters!B$45*N191</f>
        <v>0.28419483380693827</v>
      </c>
      <c r="BA191" s="93">
        <f>SUM(AZ191:AZ$204)*EXP(Parameters!$B$54*A191)</f>
        <v>7864.3223053243437</v>
      </c>
    </row>
    <row r="192" spans="1:53" x14ac:dyDescent="0.25">
      <c r="A192">
        <f>A191+Parameters!$B$65</f>
        <v>188</v>
      </c>
      <c r="B192">
        <v>2213</v>
      </c>
      <c r="C192" s="74">
        <v>9.6351723969179091E-3</v>
      </c>
      <c r="D192" s="69">
        <v>0.17738220445122399</v>
      </c>
      <c r="E192" s="75">
        <v>0.427999191966485</v>
      </c>
      <c r="F192" s="7">
        <f>MAX((1-Parameters!$B$4)^Parameters!B$65*F191 + C191*Parameters!B$65 - IF(C191&gt;0,Parameters!$B$5,0)*C191^2/F191*Parameters!B$65, 0.0001)</f>
        <v>1E-4</v>
      </c>
      <c r="G192" s="7">
        <f>(1-Parameters!$B$4)^Parameters!B$65*G191+D191*Parameters!B$65-Parameters!$B$5*D191^2/G191*Parameters!B$65</f>
        <v>1.9548085529113808</v>
      </c>
      <c r="H192" s="7">
        <f>(1-Parameters!$B$4)^Parameters!B$65*H191+E191*Parameters!B$65-Parameters!$B$5*E191^2/H191*Parameters!B$65</f>
        <v>4.6844071657141857</v>
      </c>
      <c r="I192" s="9">
        <f>I191 *(1-Parameters!$B$4)-C191*(C191&lt;0)*Parameters!B$65</f>
        <v>5.4782368999819752E-5</v>
      </c>
      <c r="J192" s="23">
        <f>J191*(1+Parameters!$B$51)^Parameters!B$65</f>
        <v>14.064517748883649</v>
      </c>
      <c r="K192" s="23">
        <f>K191*(1+Parameters!$B$53)^Parameters!B$65</f>
        <v>374.63214538886092</v>
      </c>
      <c r="L192" s="23">
        <f>J192*K192*EXP(-Parameters!$B$42*'6states'!A192)*(Parameters!$B$37/Parameters!$B$38*('6states'!F192+'6states'!I192)/Parameters!$E$25*(EXP(-Parameters!$B$38*Parameters!$E$25*'6states'!I192/('6states'!F192+'6states'!I192))-EXP(-Parameters!$B$38*Parameters!$E$25))  +  Parameters!$B$39*'6states'!F192)</f>
        <v>6.1665338482734977E-2</v>
      </c>
      <c r="M192" s="8">
        <f>M191+L192*Parameters!B$65</f>
        <v>3696.027970912603</v>
      </c>
      <c r="N192" s="7">
        <f>M192*Parameters!$B$45</f>
        <v>2.2176167825475614</v>
      </c>
      <c r="O192" s="9">
        <f>EXP(-Parameters!$B$46/2*N192^2)</f>
        <v>0.95177736374593269</v>
      </c>
      <c r="P192" s="8">
        <f>MAX((Parameters!$B$62 + Parameters!$B$31*'6states'!A192 - '6states'!M192 + Parameters!$B$47/Parameters!$B$45)/Parameters!B$62,1)</f>
        <v>173.11144058174796</v>
      </c>
      <c r="Q192" s="8"/>
      <c r="R192" s="8"/>
      <c r="S192" s="7">
        <f>Parameters!B$61*EXP(-Parameters!B$60*A192)+(1-Parameters!B$61)*P192^-Parameters!B$63</f>
        <v>0.30175516493829463</v>
      </c>
      <c r="T192" s="7">
        <f>1-S192/Parameters!$B$12</f>
        <v>0.84912241753085271</v>
      </c>
      <c r="U192" s="7">
        <f t="shared" si="188"/>
        <v>6.6278898669687285</v>
      </c>
      <c r="V192" s="7">
        <f>(Parameters!$B$19*(F192+Parameters!$B$20)^T192+Parameters!$B$18*G192^T192)^(1/T192)</f>
        <v>0.49549333895967757</v>
      </c>
      <c r="W192" s="7">
        <f>(Parameters!$B$10*H192^Parameters!$B$9+Parameters!$B$11*V192^Parameters!$B$9)^(Parameters!$B$7/Parameters!$B$9)*O192</f>
        <v>1.4712414476581743</v>
      </c>
      <c r="X192" s="7">
        <f>W192 - D192 - E192 - LN(1+EXP(Parameters!$B$21*C192))/Parameters!$B$21 - IF(C192&gt;0, 0,Parameters!$B$6*C192^2/F192)</f>
        <v>0.85604468634209219</v>
      </c>
      <c r="Y192" s="7">
        <f>EXP(-Parameters!$B$55*A192)</f>
        <v>5.8495818846969333E-2</v>
      </c>
      <c r="Z192" s="7">
        <f>IF(X192&gt;0,X192^(1-Parameters!$B$52)/(1-Parameters!$B$52)*Y192*Parameters!$B$65,-10+X192*1000)</f>
        <v>-0.17647493388993263</v>
      </c>
      <c r="AC192">
        <f t="shared" si="189"/>
        <v>50.76792047691206</v>
      </c>
      <c r="AD192">
        <f t="shared" si="190"/>
        <v>934.6304641606323</v>
      </c>
      <c r="AE192" s="23">
        <f t="shared" si="191"/>
        <v>0.28864942300454799</v>
      </c>
      <c r="AF192" s="23">
        <f t="shared" si="192"/>
        <v>0.52690204581239941</v>
      </c>
      <c r="AG192" s="23">
        <f t="shared" si="193"/>
        <v>10299.926257005825</v>
      </c>
      <c r="AH192" s="23">
        <f t="shared" si="194"/>
        <v>2610.7645398427076</v>
      </c>
      <c r="AI192" s="23">
        <f t="shared" si="195"/>
        <v>6425.290299094172</v>
      </c>
      <c r="AJ192" s="23">
        <f t="shared" si="196"/>
        <v>7752.0012865508816</v>
      </c>
      <c r="AK192" s="23">
        <f t="shared" si="197"/>
        <v>4510.5169654048213</v>
      </c>
      <c r="AL192" s="9">
        <f t="shared" si="199"/>
        <v>2.8656886869475429E-2</v>
      </c>
      <c r="AM192" s="9">
        <f t="shared" si="200"/>
        <v>2.107912437586279E-2</v>
      </c>
      <c r="AN192" s="9">
        <f t="shared" ref="AN192:AO192" si="259">AVERAGE(AL190:AL194)</f>
        <v>2.8542133349401411E-2</v>
      </c>
      <c r="AO192" s="9">
        <f t="shared" si="259"/>
        <v>1.4570444516668602E-2</v>
      </c>
      <c r="AP192" s="23"/>
      <c r="AQ192" s="25">
        <f t="shared" si="186"/>
        <v>7752.0012865508816</v>
      </c>
      <c r="AR192" s="4"/>
      <c r="AS192" s="4"/>
      <c r="AT192" s="4"/>
      <c r="AU192" s="16"/>
      <c r="AV192" s="16"/>
      <c r="AY192" s="21">
        <f>-Y192*W192*X192^(-Parameters!B$52)*Parameters!B$46*Parameters!B$45*N192</f>
        <v>-2.8390457763995656E-6</v>
      </c>
      <c r="AZ192" s="7">
        <f>1000*EXP(-(Parameters!$B$54)*'6states'!A192)*AQ192*Parameters!B$46*Parameters!B$45*N192</f>
        <v>0.28237433187827676</v>
      </c>
      <c r="BA192" s="93">
        <f>SUM(AZ192:AZ$204)*EXP(Parameters!$B$54*A192)</f>
        <v>7936.6019479995803</v>
      </c>
    </row>
    <row r="193" spans="1:53" x14ac:dyDescent="0.25">
      <c r="A193">
        <f>A192+Parameters!$B$65</f>
        <v>189</v>
      </c>
      <c r="B193">
        <v>2214</v>
      </c>
      <c r="C193" s="74">
        <v>9.6352330303768295E-3</v>
      </c>
      <c r="D193" s="69">
        <v>0.18850669183788399</v>
      </c>
      <c r="E193" s="75">
        <v>0.43117927340969497</v>
      </c>
      <c r="F193" s="7">
        <f>MAX((1-Parameters!$B$4)^Parameters!B$65*F192 + C192*Parameters!B$65 - IF(C192&gt;0,Parameters!$B$5,0)*C192^2/F192*Parameters!B$65, 0.0001)</f>
        <v>1E-4</v>
      </c>
      <c r="G193" s="7">
        <f>(1-Parameters!$B$4)^Parameters!B$65*G192+D192*Parameters!B$65-Parameters!$B$5*D192^2/G192*Parameters!B$65</f>
        <v>1.9931373771474321</v>
      </c>
      <c r="H193" s="7">
        <f>(1-Parameters!$B$4)^Parameters!B$65*H192+E192*Parameters!B$65-Parameters!$B$5*E192^2/H192*Parameters!B$65</f>
        <v>4.7786522395818372</v>
      </c>
      <c r="I193" s="9">
        <f>I192 *(1-Parameters!$B$4)-C192*(C192&lt;0)*Parameters!B$65</f>
        <v>5.1336557989731092E-5</v>
      </c>
      <c r="J193" s="23">
        <f>J192*(1+Parameters!$B$51)^Parameters!B$65</f>
        <v>14.105304850355409</v>
      </c>
      <c r="K193" s="23">
        <f>K192*(1+Parameters!$B$53)^Parameters!B$65</f>
        <v>382.12478829663814</v>
      </c>
      <c r="L193" s="23">
        <f>J193*K193*EXP(-Parameters!$B$42*'6states'!A193)*(Parameters!$B$37/Parameters!$B$38*('6states'!F193+'6states'!I193)/Parameters!$E$25*(EXP(-Parameters!$B$38*Parameters!$E$25*'6states'!I193/('6states'!F193+'6states'!I193))-EXP(-Parameters!$B$38*Parameters!$E$25))  +  Parameters!$B$39*'6states'!F193)</f>
        <v>6.2453388647400659E-2</v>
      </c>
      <c r="M193" s="8">
        <f>M192+L193*Parameters!B$65</f>
        <v>3696.0904243012506</v>
      </c>
      <c r="N193" s="7">
        <f>M193*Parameters!$B$45</f>
        <v>2.2176542545807503</v>
      </c>
      <c r="O193" s="9">
        <f>EXP(-Parameters!$B$46/2*N193^2)</f>
        <v>0.95177577399717861</v>
      </c>
      <c r="P193" s="8">
        <f>MAX((Parameters!$B$62 + Parameters!$B$31*'6states'!A193 - '6states'!M193 + Parameters!$B$47/Parameters!$B$45)/Parameters!B$62,1)</f>
        <v>174.17419151397502</v>
      </c>
      <c r="Q193" s="8"/>
      <c r="R193" s="8"/>
      <c r="S193" s="7">
        <f>Parameters!B$61*EXP(-Parameters!B$60*A193)+(1-Parameters!B$61)*P193^-Parameters!B$63</f>
        <v>0.30148926989052788</v>
      </c>
      <c r="T193" s="7">
        <f>1-S193/Parameters!$B$12</f>
        <v>0.84925536505473609</v>
      </c>
      <c r="U193" s="7">
        <f t="shared" si="188"/>
        <v>6.6337352593882013</v>
      </c>
      <c r="V193" s="7">
        <f>(Parameters!$B$19*(F193+Parameters!$B$20)^T193+Parameters!$B$18*G193^T193)^(1/T193)</f>
        <v>0.50505834543216788</v>
      </c>
      <c r="W193" s="7">
        <f>(Parameters!$B$10*H193^Parameters!$B$9+Parameters!$B$11*V193^Parameters!$B$9)^(Parameters!$B$7/Parameters!$B$9)*O193</f>
        <v>1.4799472354502508</v>
      </c>
      <c r="X193" s="7">
        <f>W193 - D193 - E193 - LN(1+EXP(Parameters!$B$21*C193))/Parameters!$B$21 - IF(C193&gt;0, 0,Parameters!$B$6*C193^2/F193)</f>
        <v>0.85044584786150279</v>
      </c>
      <c r="Y193" s="7">
        <f>EXP(-Parameters!$B$55*A193)</f>
        <v>5.7619167358166093E-2</v>
      </c>
      <c r="Z193" s="7">
        <f>IF(X193&gt;0,X193^(1-Parameters!$B$52)/(1-Parameters!$B$52)*Y193*Parameters!$B$65,-10+X193*1000)</f>
        <v>-0.17422986533547458</v>
      </c>
      <c r="AC193">
        <f t="shared" si="189"/>
        <v>51.933777208753909</v>
      </c>
      <c r="AD193">
        <f t="shared" si="190"/>
        <v>1016.0485486343258</v>
      </c>
      <c r="AE193" s="23">
        <f t="shared" si="191"/>
        <v>0.2767033611846853</v>
      </c>
      <c r="AF193" s="23">
        <f t="shared" si="192"/>
        <v>0.53899866298016041</v>
      </c>
      <c r="AG193" s="23">
        <f t="shared" si="193"/>
        <v>10742.983814182497</v>
      </c>
      <c r="AH193" s="23">
        <f t="shared" si="194"/>
        <v>2722.2577291491052</v>
      </c>
      <c r="AI193" s="23">
        <f t="shared" si="195"/>
        <v>6699.6835263396388</v>
      </c>
      <c r="AJ193" s="23">
        <f t="shared" si="196"/>
        <v>7976.8958118886976</v>
      </c>
      <c r="AK193" s="23">
        <f t="shared" si="197"/>
        <v>4583.8917493437893</v>
      </c>
      <c r="AL193" s="9">
        <f t="shared" si="199"/>
        <v>2.8598299227036605E-2</v>
      </c>
      <c r="AM193" s="9">
        <f t="shared" si="200"/>
        <v>1.6136590822460661E-2</v>
      </c>
      <c r="AN193" s="9">
        <f t="shared" ref="AN193:AO193" si="260">AVERAGE(AL191:AL195)</f>
        <v>2.8683357154271859E-2</v>
      </c>
      <c r="AO193" s="9">
        <f t="shared" si="260"/>
        <v>1.4006630841141643E-2</v>
      </c>
      <c r="AP193" s="23"/>
      <c r="AQ193" s="25">
        <f t="shared" si="186"/>
        <v>7976.8958118886985</v>
      </c>
      <c r="AR193" s="4"/>
      <c r="AS193" s="4"/>
      <c r="AT193" s="4"/>
      <c r="AU193" s="16"/>
      <c r="AV193" s="16"/>
      <c r="AY193" s="21">
        <f>-Y193*W193*X193^(-Parameters!B$52)*Parameters!B$46*Parameters!B$45*N193</f>
        <v>-2.8381239446991478E-6</v>
      </c>
      <c r="AZ193" s="7">
        <f>1000*EXP(-(Parameters!$B$54)*'6states'!A193)*AQ193*Parameters!B$46*Parameters!B$45*N193</f>
        <v>0.28054911431264035</v>
      </c>
      <c r="BA193" s="93">
        <f>SUM(AZ193:AZ$204)*EXP(Parameters!$B$54*A193)</f>
        <v>8005.3940341267107</v>
      </c>
    </row>
    <row r="194" spans="1:53" x14ac:dyDescent="0.25">
      <c r="A194">
        <f>A193+Parameters!$B$65</f>
        <v>190</v>
      </c>
      <c r="B194">
        <v>2215</v>
      </c>
      <c r="C194" s="74">
        <v>9.6352364812749593E-3</v>
      </c>
      <c r="D194" s="69">
        <v>0.19516143892954199</v>
      </c>
      <c r="E194" s="75">
        <v>0.44259011600902598</v>
      </c>
      <c r="F194" s="7">
        <f>MAX((1-Parameters!$B$4)^Parameters!B$65*F193 + C193*Parameters!B$65 - IF(C193&gt;0,Parameters!$B$5,0)*C193^2/F193*Parameters!B$65, 0.0001)</f>
        <v>1E-4</v>
      </c>
      <c r="G194" s="7">
        <f>(1-Parameters!$B$4)^Parameters!B$65*G193+D193*Parameters!B$65-Parameters!$B$5*D193^2/G193*Parameters!B$65</f>
        <v>2.0384471661811561</v>
      </c>
      <c r="H194" s="7">
        <f>(1-Parameters!$B$4)^Parameters!B$65*H193+E193*Parameters!B$65-Parameters!$B$5*E193^2/H193*Parameters!B$65</f>
        <v>4.8703488475758965</v>
      </c>
      <c r="I194" s="9">
        <f>I193 *(1-Parameters!$B$4)-C193*(C193&lt;0)*Parameters!B$65</f>
        <v>4.8107488492177005E-5</v>
      </c>
      <c r="J194" s="23">
        <f>J193*(1+Parameters!$B$51)^Parameters!B$65</f>
        <v>14.146210234421439</v>
      </c>
      <c r="K194" s="23">
        <f>K193*(1+Parameters!$B$53)^Parameters!B$65</f>
        <v>389.76728406257092</v>
      </c>
      <c r="L194" s="23">
        <f>J194*K194*EXP(-Parameters!$B$42*'6states'!A194)*(Parameters!$B$37/Parameters!$B$38*('6states'!F194+'6states'!I194)/Parameters!$E$25*(EXP(-Parameters!$B$38*Parameters!$E$25*'6states'!I194/('6states'!F194+'6states'!I194))-EXP(-Parameters!$B$38*Parameters!$E$25))  +  Parameters!$B$39*'6states'!F194)</f>
        <v>6.3251513052983488E-2</v>
      </c>
      <c r="M194" s="8">
        <f>M193+L194*Parameters!B$65</f>
        <v>3696.1536758143034</v>
      </c>
      <c r="N194" s="7">
        <f>M194*Parameters!$B$45</f>
        <v>2.2176922054885817</v>
      </c>
      <c r="O194" s="9">
        <f>EXP(-Parameters!$B$46/2*N194^2)</f>
        <v>0.95177416390752356</v>
      </c>
      <c r="P194" s="8">
        <f>MAX((Parameters!$B$62 + Parameters!$B$31*'6states'!A194 - '6states'!M194 + Parameters!$B$47/Parameters!$B$45)/Parameters!B$62,1)</f>
        <v>175.23692648371394</v>
      </c>
      <c r="Q194" s="8"/>
      <c r="R194" s="8"/>
      <c r="S194" s="7">
        <f>Parameters!B$61*EXP(-Parameters!B$60*A194)+(1-Parameters!B$61)*P194^-Parameters!B$63</f>
        <v>0.30122681557532816</v>
      </c>
      <c r="T194" s="7">
        <f>1-S194/Parameters!$B$12</f>
        <v>0.84938659221233592</v>
      </c>
      <c r="U194" s="7">
        <f t="shared" si="188"/>
        <v>6.6395151314138481</v>
      </c>
      <c r="V194" s="7">
        <f>(Parameters!$B$19*(F194+Parameters!$B$20)^T194+Parameters!$B$18*G194^T194)^(1/T194)</f>
        <v>0.51635015212277124</v>
      </c>
      <c r="W194" s="7">
        <f>(Parameters!$B$10*H194^Parameters!$B$9+Parameters!$B$11*V194^Parameters!$B$9)^(Parameters!$B$7/Parameters!$B$9)*O194</f>
        <v>1.4888354134948434</v>
      </c>
      <c r="X194" s="7">
        <f>W194 - D194 - E194 - LN(1+EXP(Parameters!$B$21*C194))/Parameters!$B$21 - IF(C194&gt;0, 0,Parameters!$B$6*C194^2/F194)</f>
        <v>0.84126843294580023</v>
      </c>
      <c r="Y194" s="7">
        <f>EXP(-Parameters!$B$55*A194)</f>
        <v>5.6755653865342197E-2</v>
      </c>
      <c r="Z194" s="7">
        <f>IF(X194&gt;0,X194^(1-Parameters!$B$52)/(1-Parameters!$B$52)*Y194*Parameters!$B$65,-10+X194*1000)</f>
        <v>-0.17227171589229803</v>
      </c>
      <c r="AC194">
        <f t="shared" si="189"/>
        <v>53.126091893232818</v>
      </c>
      <c r="AD194">
        <f t="shared" si="190"/>
        <v>1076.0674695152318</v>
      </c>
      <c r="AE194" s="23">
        <f t="shared" si="191"/>
        <v>0.26525169977456026</v>
      </c>
      <c r="AF194" s="23">
        <f t="shared" si="192"/>
        <v>0.55137299428485886</v>
      </c>
      <c r="AG194" s="23">
        <f t="shared" si="193"/>
        <v>11239.447177087894</v>
      </c>
      <c r="AH194" s="23">
        <f t="shared" si="194"/>
        <v>2847.0152947537476</v>
      </c>
      <c r="AI194" s="23">
        <f t="shared" si="195"/>
        <v>7006.7213935179661</v>
      </c>
      <c r="AJ194" s="23">
        <f t="shared" si="196"/>
        <v>8209.0363993598785</v>
      </c>
      <c r="AK194" s="23">
        <f t="shared" si="197"/>
        <v>4638.5269487065689</v>
      </c>
      <c r="AL194" s="9">
        <f t="shared" si="199"/>
        <v>2.8686207656729579E-2</v>
      </c>
      <c r="AM194" s="9">
        <f t="shared" si="200"/>
        <v>1.1848483639870011E-2</v>
      </c>
      <c r="AN194" s="9">
        <f t="shared" ref="AN194:AO194" si="261">AVERAGE(AL192:AL196)</f>
        <v>2.88141361445561E-2</v>
      </c>
      <c r="AO194" s="9">
        <f t="shared" si="261"/>
        <v>1.2898181068047876E-2</v>
      </c>
      <c r="AP194" s="23"/>
      <c r="AQ194" s="25">
        <f t="shared" si="186"/>
        <v>8209.0363993598785</v>
      </c>
      <c r="AR194" s="4"/>
      <c r="AS194" s="4"/>
      <c r="AT194" s="4"/>
      <c r="AU194" s="16"/>
      <c r="AV194" s="16"/>
      <c r="AY194" s="21">
        <f>-Y194*W194*X194^(-Parameters!B$52)*Parameters!B$46*Parameters!B$45*N194</f>
        <v>-2.8539259405466615E-6</v>
      </c>
      <c r="AZ194" s="7">
        <f>1000*EXP(-(Parameters!$B$54)*'6states'!A194)*AQ194*Parameters!B$46*Parameters!B$45*N194</f>
        <v>0.27876025903783974</v>
      </c>
      <c r="BA194" s="93">
        <f>SUM(AZ194:AZ$204)*EXP(Parameters!$B$54*A194)</f>
        <v>8070.4103188600911</v>
      </c>
    </row>
    <row r="195" spans="1:53" x14ac:dyDescent="0.25">
      <c r="A195">
        <f>A194+Parameters!$B$65</f>
        <v>191</v>
      </c>
      <c r="B195">
        <v>2216</v>
      </c>
      <c r="C195" s="74">
        <v>9.6351336154620604E-3</v>
      </c>
      <c r="D195" s="69">
        <v>0.18976815829938701</v>
      </c>
      <c r="E195" s="75">
        <v>0.472917028095449</v>
      </c>
      <c r="F195" s="7">
        <f>MAX((1-Parameters!$B$4)^Parameters!B$65*F194 + C194*Parameters!B$65 - IF(C194&gt;0,Parameters!$B$5,0)*C194^2/F194*Parameters!B$65, 0.0001)</f>
        <v>1E-4</v>
      </c>
      <c r="G195" s="7">
        <f>(1-Parameters!$B$4)^Parameters!B$65*G194+D194*Parameters!B$65-Parameters!$B$5*D194^2/G194*Parameters!B$65</f>
        <v>2.0867054736315671</v>
      </c>
      <c r="H195" s="7">
        <f>(1-Parameters!$B$4)^Parameters!B$65*H194+E194*Parameters!B$65-Parameters!$B$5*E194^2/H194*Parameters!B$65</f>
        <v>4.9663739019558015</v>
      </c>
      <c r="I195" s="9">
        <f>I194 *(1-Parameters!$B$4)-C194*(C194&lt;0)*Parameters!B$65</f>
        <v>4.5081527466019075E-5</v>
      </c>
      <c r="J195" s="23">
        <f>J194*(1+Parameters!$B$51)^Parameters!B$65</f>
        <v>14.18723424410126</v>
      </c>
      <c r="K195" s="23">
        <f>K194*(1+Parameters!$B$53)^Parameters!B$65</f>
        <v>397.56262974382236</v>
      </c>
      <c r="L195" s="23">
        <f>J195*K195*EXP(-Parameters!$B$42*'6states'!A195)*(Parameters!$B$37/Parameters!$B$38*('6states'!F195+'6states'!I195)/Parameters!$E$25*(EXP(-Parameters!$B$38*Parameters!$E$25*'6states'!I195/('6states'!F195+'6states'!I195))-EXP(-Parameters!$B$38*Parameters!$E$25))  +  Parameters!$B$39*'6states'!F195)</f>
        <v>6.4059843004690253E-2</v>
      </c>
      <c r="M195" s="8">
        <f>M194+L195*Parameters!B$65</f>
        <v>3696.2177356573079</v>
      </c>
      <c r="N195" s="7">
        <f>M195*Parameters!$B$45</f>
        <v>2.2177306413943847</v>
      </c>
      <c r="O195" s="9">
        <f>EXP(-Parameters!$B$46/2*N195^2)</f>
        <v>0.95177253321623589</v>
      </c>
      <c r="P195" s="8">
        <f>MAX((Parameters!$B$62 + Parameters!$B$31*'6states'!A195 - '6states'!M195 + Parameters!$B$47/Parameters!$B$45)/Parameters!B$62,1)</f>
        <v>176.29964528685386</v>
      </c>
      <c r="Q195" s="8"/>
      <c r="R195" s="8"/>
      <c r="S195" s="7">
        <f>Parameters!B$61*EXP(-Parameters!B$60*A195)+(1-Parameters!B$61)*P195^-Parameters!B$63</f>
        <v>0.3009677274335868</v>
      </c>
      <c r="T195" s="7">
        <f>1-S195/Parameters!$B$12</f>
        <v>0.84951613628320666</v>
      </c>
      <c r="U195" s="7">
        <f t="shared" si="188"/>
        <v>6.6452307596379478</v>
      </c>
      <c r="V195" s="7">
        <f>(Parameters!$B$19*(F195+Parameters!$B$20)^T195+Parameters!$B$18*G195^T195)^(1/T195)</f>
        <v>0.5283729834400176</v>
      </c>
      <c r="W195" s="7">
        <f>(Parameters!$B$10*H195^Parameters!$B$9+Parameters!$B$11*V195^Parameters!$B$9)^(Parameters!$B$7/Parameters!$B$9)*O195</f>
        <v>1.4980589438407439</v>
      </c>
      <c r="X195" s="7">
        <f>W195 - D195 - E195 - LN(1+EXP(Parameters!$B$21*C195))/Parameters!$B$21 - IF(C195&gt;0, 0,Parameters!$B$6*C195^2/F195)</f>
        <v>0.82555842928819778</v>
      </c>
      <c r="Y195" s="7">
        <f>EXP(-Parameters!$B$55*A195)</f>
        <v>5.5905081475045089E-2</v>
      </c>
      <c r="Z195" s="7">
        <f>IF(X195&gt;0,X195^(1-Parameters!$B$52)/(1-Parameters!$B$52)*Y195*Parameters!$B$65,-10+X195*1000)</f>
        <v>-0.17081322987791753</v>
      </c>
      <c r="AC195">
        <f t="shared" si="189"/>
        <v>54.345180515417113</v>
      </c>
      <c r="AD195">
        <f t="shared" si="190"/>
        <v>1070.3520294008781</v>
      </c>
      <c r="AE195" s="23">
        <f t="shared" si="191"/>
        <v>0.25427397749004144</v>
      </c>
      <c r="AF195" s="23">
        <f t="shared" si="192"/>
        <v>0.56403141548765079</v>
      </c>
      <c r="AG195" s="23">
        <f t="shared" si="193"/>
        <v>11769.674419982413</v>
      </c>
      <c r="AH195" s="23">
        <f t="shared" si="194"/>
        <v>2980.1896175510615</v>
      </c>
      <c r="AI195" s="23">
        <f t="shared" si="195"/>
        <v>7334.4735409443174</v>
      </c>
      <c r="AJ195" s="23">
        <f t="shared" si="196"/>
        <v>8449.5230657842985</v>
      </c>
      <c r="AK195" s="23">
        <f t="shared" si="197"/>
        <v>4656.4088943918377</v>
      </c>
      <c r="AL195" s="9">
        <f t="shared" si="199"/>
        <v>2.8874450421206177E-2</v>
      </c>
      <c r="AM195" s="9">
        <f t="shared" si="200"/>
        <v>3.8476796501729638E-3</v>
      </c>
      <c r="AN195" s="9">
        <f t="shared" ref="AN195:AO195" si="262">AVERAGE(AL193:AL197)</f>
        <v>2.8963157435270403E-2</v>
      </c>
      <c r="AO195" s="9">
        <f t="shared" si="262"/>
        <v>9.181117178632547E-3</v>
      </c>
      <c r="AP195" s="23"/>
      <c r="AQ195" s="25">
        <f t="shared" si="186"/>
        <v>8449.5230657842967</v>
      </c>
      <c r="AR195" s="4"/>
      <c r="AS195" s="4"/>
      <c r="AT195" s="4"/>
      <c r="AU195" s="16"/>
      <c r="AV195" s="16"/>
      <c r="AY195" s="21">
        <f>-Y195*W195*X195^(-Parameters!B$52)*Parameters!B$46*Parameters!B$45*N195</f>
        <v>-2.901527824330565E-6</v>
      </c>
      <c r="AZ195" s="7">
        <f>1000*EXP(-(Parameters!$B$54)*'6states'!A195)*AQ195*Parameters!B$46*Parameters!B$45*N195</f>
        <v>0.27703501539851833</v>
      </c>
      <c r="BA195" s="93">
        <f>SUM(AZ195:AZ$204)*EXP(Parameters!$B$54*A195)</f>
        <v>8131.31493689948</v>
      </c>
    </row>
    <row r="196" spans="1:53" x14ac:dyDescent="0.25">
      <c r="A196">
        <f>A195+Parameters!$B$65</f>
        <v>192</v>
      </c>
      <c r="B196">
        <v>2217</v>
      </c>
      <c r="C196" s="74">
        <v>9.6351333527950993E-3</v>
      </c>
      <c r="D196" s="69">
        <v>0.20184463652385301</v>
      </c>
      <c r="E196" s="75">
        <v>0.479823571071754</v>
      </c>
      <c r="F196" s="7">
        <f>MAX((1-Parameters!$B$4)^Parameters!B$65*F195 + C195*Parameters!B$65 - IF(C195&gt;0,Parameters!$B$5,0)*C195^2/F195*Parameters!B$65, 0.0001)</f>
        <v>1E-4</v>
      </c>
      <c r="G196" s="7">
        <f>(1-Parameters!$B$4)^Parameters!B$65*G195+D195*Parameters!B$65-Parameters!$B$5*D195^2/G195*Parameters!B$65</f>
        <v>2.127962053718754</v>
      </c>
      <c r="H196" s="7">
        <f>(1-Parameters!$B$4)^Parameters!B$65*H195+E195*Parameters!B$65-Parameters!$B$5*E195^2/H195*Parameters!B$65</f>
        <v>5.0818730519825186</v>
      </c>
      <c r="I196" s="9">
        <f>I195 *(1-Parameters!$B$4)-C195*(C195&lt;0)*Parameters!B$65</f>
        <v>4.2245899388406476E-5</v>
      </c>
      <c r="J196" s="23">
        <f>J195*(1+Parameters!$B$51)^Parameters!B$65</f>
        <v>14.228377223409153</v>
      </c>
      <c r="K196" s="23">
        <f>K195*(1+Parameters!$B$53)^Parameters!B$65</f>
        <v>405.51388233869881</v>
      </c>
      <c r="L196" s="23">
        <f>J196*K196*EXP(-Parameters!$B$42*'6states'!A196)*(Parameters!$B$37/Parameters!$B$38*('6states'!F196+'6states'!I196)/Parameters!$E$25*(EXP(-Parameters!$B$38*Parameters!$E$25*'6states'!I196/('6states'!F196+'6states'!I196))-EXP(-Parameters!$B$38*Parameters!$E$25))  +  Parameters!$B$39*'6states'!F196)</f>
        <v>6.4878513223109058E-2</v>
      </c>
      <c r="M196" s="8">
        <f>M195+L196*Parameters!B$65</f>
        <v>3696.2826141705309</v>
      </c>
      <c r="N196" s="7">
        <f>M196*Parameters!$B$45</f>
        <v>2.2177695685023182</v>
      </c>
      <c r="O196" s="9">
        <f>EXP(-Parameters!$B$46/2*N196^2)</f>
        <v>0.95177088165912616</v>
      </c>
      <c r="P196" s="8">
        <f>MAX((Parameters!$B$62 + Parameters!$B$31*'6states'!A196 - '6states'!M196 + Parameters!$B$47/Parameters!$B$45)/Parameters!B$62,1)</f>
        <v>177.36234771658943</v>
      </c>
      <c r="Q196" s="8"/>
      <c r="R196" s="8"/>
      <c r="S196" s="7">
        <f>Parameters!B$61*EXP(-Parameters!B$60*A196)+(1-Parameters!B$61)*P196^-Parameters!B$63</f>
        <v>0.30071193276841557</v>
      </c>
      <c r="T196" s="7">
        <f>1-S196/Parameters!$B$12</f>
        <v>0.84964403361579222</v>
      </c>
      <c r="U196" s="7">
        <f t="shared" si="188"/>
        <v>6.6508833939098819</v>
      </c>
      <c r="V196" s="7">
        <f>(Parameters!$B$19*(F196+Parameters!$B$20)^T196+Parameters!$B$18*G196^T196)^(1/T196)</f>
        <v>0.53866810045900104</v>
      </c>
      <c r="W196" s="7">
        <f>(Parameters!$B$10*H196^Parameters!$B$9+Parameters!$B$11*V196^Parameters!$B$9)^(Parameters!$B$7/Parameters!$B$9)*O196</f>
        <v>1.5079130953084425</v>
      </c>
      <c r="X196" s="7">
        <f>W196 - D196 - E196 - LN(1+EXP(Parameters!$B$21*C196))/Parameters!$B$21 - IF(C196&gt;0, 0,Parameters!$B$6*C196^2/F196)</f>
        <v>0.81642955980397003</v>
      </c>
      <c r="Y196" s="7">
        <f>EXP(-Parameters!$B$55*A196)</f>
        <v>5.5067256244579005E-2</v>
      </c>
      <c r="Z196" s="7">
        <f>IF(X196&gt;0,X196^(1-Parameters!$B$52)/(1-Parameters!$B$52)*Y196*Parameters!$B$65,-10+X196*1000)</f>
        <v>-0.16890940868239643</v>
      </c>
      <c r="AC196">
        <f t="shared" si="189"/>
        <v>55.592835654153042</v>
      </c>
      <c r="AD196">
        <f t="shared" si="190"/>
        <v>1164.6040895414937</v>
      </c>
      <c r="AE196" s="23">
        <f t="shared" si="191"/>
        <v>0.24375057985889304</v>
      </c>
      <c r="AF196" s="23">
        <f t="shared" si="192"/>
        <v>0.57698044872441612</v>
      </c>
      <c r="AG196" s="23">
        <f t="shared" si="193"/>
        <v>12277.925006231768</v>
      </c>
      <c r="AH196" s="23">
        <f t="shared" si="194"/>
        <v>3108.0096231636326</v>
      </c>
      <c r="AI196" s="23">
        <f t="shared" si="195"/>
        <v>7649.0483061363166</v>
      </c>
      <c r="AJ196" s="23">
        <f t="shared" si="196"/>
        <v>8700.363743684884</v>
      </c>
      <c r="AK196" s="23">
        <f t="shared" si="197"/>
        <v>4710.6389376757215</v>
      </c>
      <c r="AL196" s="9">
        <f t="shared" si="199"/>
        <v>2.9254836548332719E-2</v>
      </c>
      <c r="AM196" s="9">
        <f t="shared" si="200"/>
        <v>1.1579026851872953E-2</v>
      </c>
      <c r="AN196" s="9">
        <f t="shared" ref="AN196:AO196" si="263">AVERAGE(AL194:AL198)</f>
        <v>2.9194730327923323E-2</v>
      </c>
      <c r="AO196" s="9">
        <f t="shared" si="263"/>
        <v>7.2444952201305311E-3</v>
      </c>
      <c r="AP196" s="23"/>
      <c r="AQ196" s="25">
        <f t="shared" ref="AQ196:AQ204" si="264">W196*K196*J196</f>
        <v>8700.363743684884</v>
      </c>
      <c r="AR196" s="4"/>
      <c r="AS196" s="4"/>
      <c r="AT196" s="4"/>
      <c r="AU196" s="16"/>
      <c r="AV196" s="16"/>
      <c r="AY196" s="21">
        <f>-Y196*W196*X196^(-Parameters!B$52)*Parameters!B$46*Parameters!B$45*N196</f>
        <v>-2.920405824751524E-6</v>
      </c>
      <c r="AZ196" s="7">
        <f>1000*EXP(-(Parameters!$B$54)*'6states'!A196)*AQ196*Parameters!B$46*Parameters!B$45*N196</f>
        <v>0.27542525819003688</v>
      </c>
      <c r="BA196" s="93">
        <f>SUM(AZ196:AZ$204)*EXP(Parameters!$B$54*A196)</f>
        <v>8187.7295377450464</v>
      </c>
    </row>
    <row r="197" spans="1:53" x14ac:dyDescent="0.25">
      <c r="A197">
        <f>A196+Parameters!$B$65</f>
        <v>193</v>
      </c>
      <c r="B197">
        <v>2218</v>
      </c>
      <c r="C197" s="74">
        <v>9.6350157902011999E-3</v>
      </c>
      <c r="D197" s="69">
        <v>0.21203442762525601</v>
      </c>
      <c r="E197" s="75">
        <v>0.49610636451893603</v>
      </c>
      <c r="F197" s="7">
        <f>MAX((1-Parameters!$B$4)^Parameters!B$65*F196 + C196*Parameters!B$65 - IF(C196&gt;0,Parameters!$B$5,0)*C196^2/F196*Parameters!B$65, 0.0001)</f>
        <v>1E-4</v>
      </c>
      <c r="G197" s="7">
        <f>(1-Parameters!$B$4)^Parameters!B$65*G196+D196*Parameters!B$65-Parameters!$B$5*D196^2/G196*Parameters!B$65</f>
        <v>2.1768122079845669</v>
      </c>
      <c r="H197" s="7">
        <f>(1-Parameters!$B$4)^Parameters!B$65*H196+E196*Parameters!B$65-Parameters!$B$5*E196^2/H196*Parameters!B$65</f>
        <v>5.1967425163399703</v>
      </c>
      <c r="I197" s="9">
        <f>I196 *(1-Parameters!$B$4)-C196*(C196&lt;0)*Parameters!B$65</f>
        <v>3.9588632316875713E-5</v>
      </c>
      <c r="J197" s="23">
        <f>J196*(1+Parameters!$B$51)^Parameters!B$65</f>
        <v>14.269639517357037</v>
      </c>
      <c r="K197" s="23">
        <f>K196*(1+Parameters!$B$53)^Parameters!B$65</f>
        <v>413.62415998547277</v>
      </c>
      <c r="L197" s="23">
        <f>J197*K197*EXP(-Parameters!$B$42*'6states'!A197)*(Parameters!$B$37/Parameters!$B$38*('6states'!F197+'6states'!I197)/Parameters!$E$25*(EXP(-Parameters!$B$38*Parameters!$E$25*'6states'!I197/('6states'!F197+'6states'!I197))-EXP(-Parameters!$B$38*Parameters!$E$25))  +  Parameters!$B$39*'6states'!F197)</f>
        <v>6.5707662926805008E-2</v>
      </c>
      <c r="M197" s="8">
        <f>M196+L197*Parameters!B$65</f>
        <v>3696.3483218334577</v>
      </c>
      <c r="N197" s="7">
        <f>M197*Parameters!$B$45</f>
        <v>2.2178089931000744</v>
      </c>
      <c r="O197" s="9">
        <f>EXP(-Parameters!$B$46/2*N197^2)</f>
        <v>0.95176920896843198</v>
      </c>
      <c r="P197" s="8">
        <f>MAX((Parameters!$B$62 + Parameters!$B$31*'6states'!A197 - '6states'!M197 + Parameters!$B$47/Parameters!$B$45)/Parameters!B$62,1)</f>
        <v>178.42503356333089</v>
      </c>
      <c r="Q197" s="8"/>
      <c r="R197" s="8"/>
      <c r="S197" s="7">
        <f>Parameters!B$61*EXP(-Parameters!B$60*A197)+(1-Parameters!B$61)*P197^-Parameters!B$63</f>
        <v>0.30045936069617196</v>
      </c>
      <c r="T197" s="7">
        <f>1-S197/Parameters!$B$12</f>
        <v>0.84977031965191396</v>
      </c>
      <c r="U197" s="7">
        <f t="shared" ref="U197:U204" si="265">1/(1-T197)</f>
        <v>6.6564742578362299</v>
      </c>
      <c r="V197" s="7">
        <f>(Parameters!$B$19*(F197+Parameters!$B$20)^T197+Parameters!$B$18*G197^T197)^(1/T197)</f>
        <v>0.55084220434645093</v>
      </c>
      <c r="W197" s="7">
        <f>(Parameters!$B$10*H197^Parameters!$B$9+Parameters!$B$11*V197^Parameters!$B$9)^(Parameters!$B$7/Parameters!$B$9)*O197</f>
        <v>1.5180554425632538</v>
      </c>
      <c r="X197" s="7">
        <f>W197 - D197 - E197 - LN(1+EXP(Parameters!$B$21*C197))/Parameters!$B$21 - IF(C197&gt;0, 0,Parameters!$B$6*C197^2/F197)</f>
        <v>0.80009943388616811</v>
      </c>
      <c r="Y197" s="7">
        <f>EXP(-Parameters!$B$55*A197)</f>
        <v>5.4241987137783339E-2</v>
      </c>
      <c r="Z197" s="7">
        <f>IF(X197&gt;0,X197^(1-Parameters!$B$52)/(1-Parameters!$B$52)*Y197*Parameters!$B$65,-10+X197*1000)</f>
        <v>-0.16755876856252522</v>
      </c>
      <c r="AC197">
        <f t="shared" ref="AC197:AC204" si="266">C197*$J197*$K197</f>
        <v>56.868442089205239</v>
      </c>
      <c r="AD197">
        <f t="shared" ref="AD197:AD204" si="267">D197*$J197*$K197</f>
        <v>1251.4839446955232</v>
      </c>
      <c r="AE197" s="23">
        <f t="shared" ref="AE197:AE204" si="268">I197*J197*K197</f>
        <v>0.23366270417456914</v>
      </c>
      <c r="AF197" s="23">
        <f t="shared" ref="AF197:AF204" si="269">F197*J197*K197</f>
        <v>0.59022676586623113</v>
      </c>
      <c r="AG197" s="23">
        <f t="shared" ref="AG197:AG204" si="270">G197*J197*K197</f>
        <v>12848.128294168606</v>
      </c>
      <c r="AH197" s="23">
        <f t="shared" ref="AH197:AH204" si="271">V197*J197*K197</f>
        <v>3251.2181277403133</v>
      </c>
      <c r="AI197" s="23">
        <f t="shared" ref="AI197:AI204" si="272">AH197/AH$4*100</f>
        <v>8001.49533885868</v>
      </c>
      <c r="AJ197" s="23">
        <f t="shared" ref="AJ197:AJ204" si="273">W197*J197*K197</f>
        <v>8959.969542697394</v>
      </c>
      <c r="AK197" s="23">
        <f t="shared" ref="AK197:AK204" si="274">X197*J197*K197</f>
        <v>4722.401012340355</v>
      </c>
      <c r="AL197" s="9">
        <f t="shared" si="199"/>
        <v>2.9401993323046938E-2</v>
      </c>
      <c r="AM197" s="9">
        <f t="shared" si="200"/>
        <v>2.4938049287861475E-3</v>
      </c>
      <c r="AN197" s="9">
        <f t="shared" ref="AN197:AO197" si="275">AVERAGE(AL195:AL199)</f>
        <v>2.9447120345807321E-2</v>
      </c>
      <c r="AO197" s="9">
        <f t="shared" si="275"/>
        <v>7.1188930487096512E-3</v>
      </c>
      <c r="AP197" s="23"/>
      <c r="AQ197" s="25">
        <f t="shared" si="264"/>
        <v>8959.969542697394</v>
      </c>
      <c r="AR197" s="4"/>
      <c r="AS197" s="4"/>
      <c r="AT197" s="4"/>
      <c r="AU197" s="16"/>
      <c r="AV197" s="16"/>
      <c r="AY197" s="21">
        <f>-Y197*W197*X197^(-Parameters!B$52)*Parameters!B$46*Parameters!B$45*N197</f>
        <v>-2.9761192047988118E-6</v>
      </c>
      <c r="AZ197" s="7">
        <f>1000*EXP(-(Parameters!$B$54)*'6states'!A197)*AQ197*Parameters!B$46*Parameters!B$45*N197</f>
        <v>0.27386521423416454</v>
      </c>
      <c r="BA197" s="93">
        <f>SUM(AZ197:AZ$204)*EXP(Parameters!$B$54*A197)</f>
        <v>8239.2066146343041</v>
      </c>
    </row>
    <row r="198" spans="1:53" x14ac:dyDescent="0.25">
      <c r="A198">
        <f>A197+Parameters!$B$65</f>
        <v>194</v>
      </c>
      <c r="B198">
        <v>2219</v>
      </c>
      <c r="C198" s="74">
        <v>9.6349514665531998E-3</v>
      </c>
      <c r="D198" s="69">
        <v>0.20685789507856001</v>
      </c>
      <c r="E198" s="75">
        <v>0.52492745760182402</v>
      </c>
      <c r="F198" s="7">
        <f>MAX((1-Parameters!$B$4)^Parameters!B$65*F197 + C197*Parameters!B$65 - IF(C197&gt;0,Parameters!$B$5,0)*C197^2/F197*Parameters!B$65, 0.0001)</f>
        <v>1E-4</v>
      </c>
      <c r="G198" s="7">
        <f>(1-Parameters!$B$4)^Parameters!B$65*G197+D197*Parameters!B$65-Parameters!$B$5*D197^2/G197*Parameters!B$65</f>
        <v>2.2312717361317467</v>
      </c>
      <c r="H198" s="7">
        <f>(1-Parameters!$B$4)^Parameters!B$65*H197+E197*Parameters!B$65-Parameters!$B$5*E197^2/H197*Parameters!B$65</f>
        <v>5.3186130454803759</v>
      </c>
      <c r="I198" s="9">
        <f>I197 *(1-Parameters!$B$4)-C197*(C197&lt;0)*Parameters!B$65</f>
        <v>3.7098507344144231E-5</v>
      </c>
      <c r="J198" s="23">
        <f>J197*(1+Parameters!$B$51)^Parameters!B$65</f>
        <v>14.311021471957371</v>
      </c>
      <c r="K198" s="23">
        <f>K197*(1+Parameters!$B$53)^Parameters!B$65</f>
        <v>421.89664318518226</v>
      </c>
      <c r="L198" s="23">
        <f>J198*K198*EXP(-Parameters!$B$42*'6states'!A198)*(Parameters!$B$37/Parameters!$B$38*('6states'!F198+'6states'!I198)/Parameters!$E$25*(EXP(-Parameters!$B$38*Parameters!$E$25*'6states'!I198/('6states'!F198+'6states'!I198))-EXP(-Parameters!$B$38*Parameters!$E$25))  +  Parameters!$B$39*'6states'!F198)</f>
        <v>6.6547437450711358E-2</v>
      </c>
      <c r="M198" s="8">
        <f>M197+L198*Parameters!B$65</f>
        <v>3696.4148692709086</v>
      </c>
      <c r="N198" s="7">
        <f>M198*Parameters!$B$45</f>
        <v>2.217848921562545</v>
      </c>
      <c r="O198" s="9">
        <f>EXP(-Parameters!$B$46/2*N198^2)</f>
        <v>0.9517675148726612</v>
      </c>
      <c r="P198" s="8">
        <f>MAX((Parameters!$B$62 + Parameters!$B$31*'6states'!A198 - '6states'!M198 + Parameters!$B$47/Parameters!$B$45)/Parameters!B$62,1)</f>
        <v>179.48770261458188</v>
      </c>
      <c r="Q198" s="8"/>
      <c r="R198" s="8"/>
      <c r="S198" s="7">
        <f>Parameters!B$61*EXP(-Parameters!B$60*A198)+(1-Parameters!B$61)*P198^-Parameters!B$63</f>
        <v>0.30020994209882096</v>
      </c>
      <c r="T198" s="7">
        <f>1-S198/Parameters!$B$12</f>
        <v>0.84989502895058955</v>
      </c>
      <c r="U198" s="7">
        <f t="shared" si="265"/>
        <v>6.6620045492752356</v>
      </c>
      <c r="V198" s="7">
        <f>(Parameters!$B$19*(F198+Parameters!$B$20)^T198+Parameters!$B$18*G198^T198)^(1/T198)</f>
        <v>0.56440548844953686</v>
      </c>
      <c r="W198" s="7">
        <f>(Parameters!$B$10*H198^Parameters!$B$9+Parameters!$B$11*V198^Parameters!$B$9)^(Parameters!$B$7/Parameters!$B$9)*O198</f>
        <v>1.5288073704731695</v>
      </c>
      <c r="X198" s="7">
        <f>W198 - D198 - E198 - LN(1+EXP(Parameters!$B$21*C198))/Parameters!$B$21 - IF(C198&gt;0, 0,Parameters!$B$6*C198^2/F198)</f>
        <v>0.78720686219848013</v>
      </c>
      <c r="Y198" s="7">
        <f>EXP(-Parameters!$B$55*A198)</f>
        <v>5.3429085981473647E-2</v>
      </c>
      <c r="Z198" s="7">
        <f>IF(X198&gt;0,X198^(1-Parameters!$B$52)/(1-Parameters!$B$52)*Y198*Parameters!$B$65,-10+X198*1000)</f>
        <v>-0.16598872744638227</v>
      </c>
      <c r="AC198">
        <f t="shared" si="266"/>
        <v>58.173639411173546</v>
      </c>
      <c r="AD198">
        <f t="shared" si="267"/>
        <v>1248.9607902466621</v>
      </c>
      <c r="AE198" s="23">
        <f t="shared" si="268"/>
        <v>0.22399232590043103</v>
      </c>
      <c r="AF198" s="23">
        <f t="shared" si="269"/>
        <v>0.60377719195698809</v>
      </c>
      <c r="AG198" s="23">
        <f t="shared" si="270"/>
        <v>13471.909833346197</v>
      </c>
      <c r="AH198" s="23">
        <f t="shared" si="271"/>
        <v>3407.7516094117364</v>
      </c>
      <c r="AI198" s="23">
        <f t="shared" si="272"/>
        <v>8386.7361546878328</v>
      </c>
      <c r="AJ198" s="23">
        <f t="shared" si="273"/>
        <v>9230.5902118743707</v>
      </c>
      <c r="AK198" s="23">
        <f t="shared" si="274"/>
        <v>4752.9754874746995</v>
      </c>
      <c r="AL198" s="9">
        <f t="shared" ref="AL198:AL204" si="276">LN(AJ198)-LN(AJ197)</f>
        <v>2.9756163690301207E-2</v>
      </c>
      <c r="AM198" s="9">
        <f t="shared" ref="AM198:AM204" si="277">LN(AK198)-LN(AK197)</f>
        <v>6.4534810299505807E-3</v>
      </c>
      <c r="AN198" s="9">
        <f t="shared" ref="AN198:AO198" si="278">AVERAGE(AL196:AL200)</f>
        <v>2.9678058767296279E-2</v>
      </c>
      <c r="AO198" s="9">
        <f t="shared" si="278"/>
        <v>1.1280977088809152E-2</v>
      </c>
      <c r="AP198" s="23"/>
      <c r="AQ198" s="25">
        <f t="shared" si="264"/>
        <v>9230.5902118743707</v>
      </c>
      <c r="AR198" s="4"/>
      <c r="AS198" s="4"/>
      <c r="AT198" s="4"/>
      <c r="AU198" s="16"/>
      <c r="AV198" s="16"/>
      <c r="AY198" s="21">
        <f>-Y198*W198*X198^(-Parameters!B$52)*Parameters!B$46*Parameters!B$45*N198</f>
        <v>-3.0177954756880562E-6</v>
      </c>
      <c r="AZ198" s="7">
        <f>1000*EXP(-(Parameters!$B$54)*'6states'!A198)*AQ198*Parameters!B$46*Parameters!B$45*N198</f>
        <v>0.27241053100181167</v>
      </c>
      <c r="BA198" s="93">
        <f>SUM(AZ198:AZ$204)*EXP(Parameters!$B$54*A198)</f>
        <v>8285.3266698252137</v>
      </c>
    </row>
    <row r="199" spans="1:53" x14ac:dyDescent="0.25">
      <c r="A199">
        <f>A198+Parameters!$B$65</f>
        <v>195</v>
      </c>
      <c r="B199">
        <v>2220</v>
      </c>
      <c r="C199" s="74">
        <v>9.6349467467152401E-3</v>
      </c>
      <c r="D199" s="69">
        <v>0.22320428894560401</v>
      </c>
      <c r="E199" s="75">
        <v>0.52868864814152905</v>
      </c>
      <c r="F199" s="7">
        <f>MAX((1-Parameters!$B$4)^Parameters!B$65*F198 + C198*Parameters!B$65 - IF(C198&gt;0,Parameters!$B$5,0)*C198^2/F198*Parameters!B$65, 0.0001)</f>
        <v>1E-4</v>
      </c>
      <c r="G199" s="7">
        <f>(1-Parameters!$B$4)^Parameters!B$65*G198+D198*Parameters!B$65-Parameters!$B$5*D198^2/G198*Parameters!B$65</f>
        <v>2.2786051501955598</v>
      </c>
      <c r="H199" s="7">
        <f>(1-Parameters!$B$4)^Parameters!B$65*H198+E198*Parameters!B$65-Parameters!$B$5*E198^2/H198*Parameters!B$65</f>
        <v>5.4571913418373121</v>
      </c>
      <c r="I199" s="9">
        <f>I198 *(1-Parameters!$B$4)-C198*(C198&lt;0)*Parameters!B$65</f>
        <v>3.4765011232197562E-5</v>
      </c>
      <c r="J199" s="23">
        <f>J198*(1+Parameters!$B$51)^Parameters!B$65</f>
        <v>14.352523434226047</v>
      </c>
      <c r="K199" s="23">
        <f>K198*(1+Parameters!$B$53)^Parameters!B$65</f>
        <v>430.33457604888594</v>
      </c>
      <c r="L199" s="23">
        <f>J199*K199*EXP(-Parameters!$B$42*'6states'!A199)*(Parameters!$B$37/Parameters!$B$38*('6states'!F199+'6states'!I199)/Parameters!$E$25*(EXP(-Parameters!$B$38*Parameters!$E$25*'6states'!I199/('6states'!F199+'6states'!I199))-EXP(-Parameters!$B$38*Parameters!$E$25))  +  Parameters!$B$39*'6states'!F199)</f>
        <v>6.7397990606509819E-2</v>
      </c>
      <c r="M199" s="8">
        <f>M198+L199*Parameters!B$65</f>
        <v>3696.4822672615151</v>
      </c>
      <c r="N199" s="7">
        <f>M199*Parameters!$B$45</f>
        <v>2.2178893603569088</v>
      </c>
      <c r="O199" s="9">
        <f>EXP(-Parameters!$B$46/2*N199^2)</f>
        <v>0.9517657990963756</v>
      </c>
      <c r="P199" s="8">
        <f>MAX((Parameters!$B$62 + Parameters!$B$31*'6states'!A199 - '6states'!M199 + Parameters!$B$47/Parameters!$B$45)/Parameters!B$62,1)</f>
        <v>180.55035465476968</v>
      </c>
      <c r="Q199" s="8"/>
      <c r="R199" s="8"/>
      <c r="S199" s="7">
        <f>Parameters!B$61*EXP(-Parameters!B$60*A199)+(1-Parameters!B$61)*P199^-Parameters!B$63</f>
        <v>0.2999636095775966</v>
      </c>
      <c r="T199" s="7">
        <f>1-S199/Parameters!$B$12</f>
        <v>0.8500181952112017</v>
      </c>
      <c r="U199" s="7">
        <f t="shared" si="265"/>
        <v>6.6674754408255197</v>
      </c>
      <c r="V199" s="7">
        <f>(Parameters!$B$19*(F199+Parameters!$B$20)^T199+Parameters!$B$18*G199^T199)^(1/T199)</f>
        <v>0.57620998426370429</v>
      </c>
      <c r="W199" s="7">
        <f>(Parameters!$B$10*H199^Parameters!$B$9+Parameters!$B$11*V199^Parameters!$B$9)^(Parameters!$B$7/Parameters!$B$9)*O199</f>
        <v>1.539931080272398</v>
      </c>
      <c r="X199" s="7">
        <f>W199 - D199 - E199 - LN(1+EXP(Parameters!$B$21*C199))/Parameters!$B$21 - IF(C199&gt;0, 0,Parameters!$B$6*C199^2/F199)</f>
        <v>0.77822299206241163</v>
      </c>
      <c r="Y199" s="7">
        <f>EXP(-Parameters!$B$55*A199)</f>
        <v>5.2628367422535426E-2</v>
      </c>
      <c r="Z199" s="7">
        <f>IF(X199&gt;0,X199^(1-Parameters!$B$52)/(1-Parameters!$B$52)*Y199*Parameters!$B$65,-10+X199*1000)</f>
        <v>-0.16415927807314543</v>
      </c>
      <c r="AC199">
        <f t="shared" si="266"/>
        <v>59.509160673229047</v>
      </c>
      <c r="AD199">
        <f t="shared" si="267"/>
        <v>1378.5960880734654</v>
      </c>
      <c r="AE199" s="23">
        <f t="shared" si="268"/>
        <v>0.21472216646436243</v>
      </c>
      <c r="AF199" s="23">
        <f t="shared" si="269"/>
        <v>0.61763870872993665</v>
      </c>
      <c r="AG199" s="23">
        <f t="shared" si="270"/>
        <v>14073.547426721687</v>
      </c>
      <c r="AH199" s="23">
        <f t="shared" si="271"/>
        <v>3558.8959063793145</v>
      </c>
      <c r="AI199" s="23">
        <f t="shared" si="272"/>
        <v>8758.7137766635387</v>
      </c>
      <c r="AJ199" s="23">
        <f t="shared" si="273"/>
        <v>9511.2104395254028</v>
      </c>
      <c r="AK199" s="23">
        <f t="shared" si="274"/>
        <v>4806.6064392137559</v>
      </c>
      <c r="AL199" s="9">
        <f t="shared" si="276"/>
        <v>2.9948157746149562E-2</v>
      </c>
      <c r="AM199" s="9">
        <f t="shared" si="277"/>
        <v>1.1220472782765611E-2</v>
      </c>
      <c r="AN199" s="9">
        <f t="shared" ref="AN199:AO199" si="279">AVERAGE(AL197:AL201)</f>
        <v>2.9781943540079327E-2</v>
      </c>
      <c r="AO199" s="9">
        <f t="shared" si="279"/>
        <v>1.0589062161953322E-2</v>
      </c>
      <c r="AP199" s="23"/>
      <c r="AQ199" s="25">
        <f t="shared" si="264"/>
        <v>9511.2104395254028</v>
      </c>
      <c r="AR199" s="4"/>
      <c r="AS199" s="4"/>
      <c r="AT199" s="4"/>
      <c r="AU199" s="16"/>
      <c r="AV199" s="16"/>
      <c r="AY199" s="21">
        <f>-Y199*W199*X199^(-Parameters!B$52)*Parameters!B$46*Parameters!B$45*N199</f>
        <v>-3.0410102922784437E-6</v>
      </c>
      <c r="AZ199" s="7">
        <f>1000*EXP(-(Parameters!$B$54)*'6states'!A199)*AQ199*Parameters!B$46*Parameters!B$45*N199</f>
        <v>0.27101566523759008</v>
      </c>
      <c r="BA199" s="93">
        <f>SUM(AZ199:AZ$204)*EXP(Parameters!$B$54*A199)</f>
        <v>8325.5928769658258</v>
      </c>
    </row>
    <row r="200" spans="1:53" x14ac:dyDescent="0.25">
      <c r="A200">
        <f>A199+Parameters!$B$65</f>
        <v>196</v>
      </c>
      <c r="B200">
        <v>2221</v>
      </c>
      <c r="C200" s="74">
        <v>9.6351134552836292E-3</v>
      </c>
      <c r="D200" s="69">
        <v>0.23365266483205899</v>
      </c>
      <c r="E200" s="75">
        <v>0.52804382938854999</v>
      </c>
      <c r="F200" s="7">
        <f>MAX((1-Parameters!$B$4)^Parameters!B$65*F199 + C199*Parameters!B$65 - IF(C199&gt;0,Parameters!$B$5,0)*C199^2/F199*Parameters!B$65, 0.0001)</f>
        <v>1E-4</v>
      </c>
      <c r="G200" s="7">
        <f>(1-Parameters!$B$4)^Parameters!B$65*G199+D199*Parameters!B$65-Parameters!$B$5*D199^2/G199*Parameters!B$65</f>
        <v>2.3366208541203162</v>
      </c>
      <c r="H200" s="7">
        <f>(1-Parameters!$B$4)^Parameters!B$65*H199+E199*Parameters!B$65-Parameters!$B$5*E199^2/H199*Parameters!B$65</f>
        <v>5.5914036906148317</v>
      </c>
      <c r="I200" s="9">
        <f>I199 *(1-Parameters!$B$4)-C199*(C199&lt;0)*Parameters!B$65</f>
        <v>3.2578292025692336E-5</v>
      </c>
      <c r="J200" s="23">
        <f>J199*(1+Parameters!$B$51)^Parameters!B$65</f>
        <v>14.394145752185301</v>
      </c>
      <c r="K200" s="23">
        <f>K199*(1+Parameters!$B$53)^Parameters!B$65</f>
        <v>438.94126756986367</v>
      </c>
      <c r="L200" s="23">
        <f>J200*K200*EXP(-Parameters!$B$42*'6states'!A200)*(Parameters!$B$37/Parameters!$B$38*('6states'!F200+'6states'!I200)/Parameters!$E$25*(EXP(-Parameters!$B$38*Parameters!$E$25*'6states'!I200/('6states'!F200+'6states'!I200))-EXP(-Parameters!$B$38*Parameters!$E$25))  +  Parameters!$B$39*'6states'!F200)</f>
        <v>6.8259488034956364E-2</v>
      </c>
      <c r="M200" s="8">
        <f>M199+L200*Parameters!B$65</f>
        <v>3696.55052674955</v>
      </c>
      <c r="N200" s="7">
        <f>M200*Parameters!$B$45</f>
        <v>2.2179303160497299</v>
      </c>
      <c r="O200" s="9">
        <f>EXP(-Parameters!$B$46/2*N200^2)</f>
        <v>0.95176406135988845</v>
      </c>
      <c r="P200" s="8">
        <f>MAX((Parameters!$B$62 + Parameters!$B$31*'6states'!A200 - '6states'!M200 + Parameters!$B$47/Parameters!$B$45)/Parameters!B$62,1)</f>
        <v>181.61298946500901</v>
      </c>
      <c r="Q200" s="8"/>
      <c r="R200" s="8"/>
      <c r="S200" s="7">
        <f>Parameters!B$61*EXP(-Parameters!B$60*A200)+(1-Parameters!B$61)*P200^-Parameters!B$63</f>
        <v>0.2997202974079311</v>
      </c>
      <c r="T200" s="7">
        <f>1-S200/Parameters!$B$12</f>
        <v>0.85013985129603442</v>
      </c>
      <c r="U200" s="7">
        <f t="shared" si="265"/>
        <v>6.6728880803088257</v>
      </c>
      <c r="V200" s="7">
        <f>(Parameters!$B$19*(F200+Parameters!$B$20)^T200+Parameters!$B$18*G200^T200)^(1/T200)</f>
        <v>0.59065812522551986</v>
      </c>
      <c r="W200" s="7">
        <f>(Parameters!$B$10*H200^Parameters!$B$9+Parameters!$B$11*V200^Parameters!$B$9)^(Parameters!$B$7/Parameters!$B$9)*O200</f>
        <v>1.5512613504415704</v>
      </c>
      <c r="X200" s="7">
        <f>W200 - D200 - E200 - LN(1+EXP(Parameters!$B$21*C200))/Parameters!$B$21 - IF(C200&gt;0, 0,Parameters!$B$6*C200^2/F200)</f>
        <v>0.77974954716253408</v>
      </c>
      <c r="Y200" s="7">
        <f>EXP(-Parameters!$B$55*A200)</f>
        <v>5.1839648885661067E-2</v>
      </c>
      <c r="Z200" s="7">
        <f>IF(X200&gt;0,X200^(1-Parameters!$B$52)/(1-Parameters!$B$52)*Y200*Parameters!$B$65,-10+X200*1000)</f>
        <v>-0.16158822526372871</v>
      </c>
      <c r="AC200">
        <f t="shared" si="266"/>
        <v>60.876425279471526</v>
      </c>
      <c r="AD200">
        <f t="shared" si="267"/>
        <v>1476.2606644967143</v>
      </c>
      <c r="AE200" s="23">
        <f t="shared" si="268"/>
        <v>0.20583566238623824</v>
      </c>
      <c r="AF200" s="23">
        <f t="shared" si="269"/>
        <v>0.63181845820495852</v>
      </c>
      <c r="AG200" s="23">
        <f t="shared" si="270"/>
        <v>14763.201854598512</v>
      </c>
      <c r="AH200" s="23">
        <f t="shared" si="271"/>
        <v>3731.8870600621922</v>
      </c>
      <c r="AI200" s="23">
        <f t="shared" si="272"/>
        <v>9184.458176292419</v>
      </c>
      <c r="AJ200" s="23">
        <f t="shared" si="273"/>
        <v>9801.1555470893491</v>
      </c>
      <c r="AK200" s="23">
        <f t="shared" si="274"/>
        <v>4926.6015667424681</v>
      </c>
      <c r="AL200" s="9">
        <f t="shared" si="276"/>
        <v>3.0029142528650965E-2</v>
      </c>
      <c r="AM200" s="9">
        <f t="shared" si="277"/>
        <v>2.4658099850670467E-2</v>
      </c>
      <c r="AN200" s="9">
        <f t="shared" ref="AN200:AO200" si="280">AVERAGE(AL198:AL202)</f>
        <v>2.9878794050603473E-2</v>
      </c>
      <c r="AO200" s="9">
        <f t="shared" si="280"/>
        <v>1.165570112340184E-2</v>
      </c>
      <c r="AP200" s="23"/>
      <c r="AQ200" s="25">
        <f t="shared" si="264"/>
        <v>9801.1555470893472</v>
      </c>
      <c r="AR200" s="4"/>
      <c r="AS200" s="4"/>
      <c r="AT200" s="4"/>
      <c r="AU200" s="16"/>
      <c r="AV200" s="16"/>
      <c r="AY200" s="21">
        <f>-Y200*W200*X200^(-Parameters!B$52)*Parameters!B$46*Parameters!B$45*N200</f>
        <v>-3.0095585818651103E-6</v>
      </c>
      <c r="AZ200" s="7">
        <f>1000*EXP(-(Parameters!$B$54)*'6states'!A200)*AQ200*Parameters!B$46*Parameters!B$45*N200</f>
        <v>0.26964984121810009</v>
      </c>
      <c r="BA200" s="93">
        <f>SUM(AZ200:AZ$204)*EXP(Parameters!$B$54*A200)</f>
        <v>8359.5187665272369</v>
      </c>
    </row>
    <row r="201" spans="1:53" x14ac:dyDescent="0.25">
      <c r="A201">
        <f>A200+Parameters!$B$65</f>
        <v>197</v>
      </c>
      <c r="B201">
        <v>2222</v>
      </c>
      <c r="C201" s="74">
        <v>9.6350686546092107E-3</v>
      </c>
      <c r="D201" s="69">
        <v>0.23550213459636099</v>
      </c>
      <c r="E201" s="75">
        <v>0.54849527554157695</v>
      </c>
      <c r="F201" s="7">
        <f>MAX((1-Parameters!$B$4)^Parameters!B$65*F200 + C200*Parameters!B$65 - IF(C200&gt;0,Parameters!$B$5,0)*C200^2/F200*Parameters!B$65, 0.0001)</f>
        <v>1E-4</v>
      </c>
      <c r="G201" s="7">
        <f>(1-Parameters!$B$4)^Parameters!B$65*G200+D200*Parameters!B$65-Parameters!$B$5*D200^2/G200*Parameters!B$65</f>
        <v>2.3999357427650176</v>
      </c>
      <c r="H201" s="7">
        <f>(1-Parameters!$B$4)^Parameters!B$65*H200+E200*Parameters!B$65-Parameters!$B$5*E200^2/H200*Parameters!B$65</f>
        <v>5.7178805557756895</v>
      </c>
      <c r="I201" s="9">
        <f>I200 *(1-Parameters!$B$4)-C200*(C200&lt;0)*Parameters!B$65</f>
        <v>3.0529117457276292E-5</v>
      </c>
      <c r="J201" s="23">
        <f>J200*(1+Parameters!$B$51)^Parameters!B$65</f>
        <v>14.435888774866637</v>
      </c>
      <c r="K201" s="23">
        <f>K200*(1+Parameters!$B$53)^Parameters!B$65</f>
        <v>447.72009292126097</v>
      </c>
      <c r="L201" s="23">
        <f>J201*K201*EXP(-Parameters!$B$42*'6states'!A201)*(Parameters!$B$37/Parameters!$B$38*('6states'!F201+'6states'!I201)/Parameters!$E$25*(EXP(-Parameters!$B$38*Parameters!$E$25*'6states'!I201/('6states'!F201+'6states'!I201))-EXP(-Parameters!$B$38*Parameters!$E$25))  +  Parameters!$B$39*'6states'!F201)</f>
        <v>6.9132111835013874E-2</v>
      </c>
      <c r="M201" s="8">
        <f>M200+L201*Parameters!B$65</f>
        <v>3696.6196588613852</v>
      </c>
      <c r="N201" s="7">
        <f>M201*Parameters!$B$45</f>
        <v>2.217971795316831</v>
      </c>
      <c r="O201" s="9">
        <f>EXP(-Parameters!$B$46/2*N201^2)</f>
        <v>0.9517623013788451</v>
      </c>
      <c r="P201" s="8">
        <f>MAX((Parameters!$B$62 + Parameters!$B$31*'6states'!A201 - '6states'!M201 + Parameters!$B$47/Parameters!$B$45)/Parameters!B$62,1)</f>
        <v>182.67560682277232</v>
      </c>
      <c r="Q201" s="8"/>
      <c r="R201" s="8"/>
      <c r="S201" s="7">
        <f>Parameters!B$61*EXP(-Parameters!B$60*A201)+(1-Parameters!B$61)*P201^-Parameters!B$63</f>
        <v>0.29947994149561963</v>
      </c>
      <c r="T201" s="7">
        <f>1-S201/Parameters!$B$12</f>
        <v>0.85026002925219024</v>
      </c>
      <c r="U201" s="7">
        <f t="shared" si="265"/>
        <v>6.678243591246507</v>
      </c>
      <c r="V201" s="7">
        <f>(Parameters!$B$19*(F201+Parameters!$B$20)^T201+Parameters!$B$18*G201^T201)^(1/T201)</f>
        <v>0.60641968722882722</v>
      </c>
      <c r="W201" s="7">
        <f>(Parameters!$B$10*H201^Parameters!$B$9+Parameters!$B$11*V201^Parameters!$B$9)^(Parameters!$B$7/Parameters!$B$9)*O201</f>
        <v>1.5622767375933446</v>
      </c>
      <c r="X201" s="7">
        <f>W201 - D201 - E201 - LN(1+EXP(Parameters!$B$21*C201))/Parameters!$B$21 - IF(C201&gt;0, 0,Parameters!$B$6*C201^2/F201)</f>
        <v>0.7684640608400708</v>
      </c>
      <c r="Y201" s="7">
        <f>EXP(-Parameters!$B$55*A201)</f>
        <v>5.1062750531719887E-2</v>
      </c>
      <c r="Z201" s="7">
        <f>IF(X201&gt;0,X201^(1-Parameters!$B$52)/(1-Parameters!$B$52)*Y201*Parameters!$B$65,-10+X201*1000)</f>
        <v>-0.15998081828560834</v>
      </c>
      <c r="AC201">
        <f t="shared" si="266"/>
        <v>62.273736693640323</v>
      </c>
      <c r="AD201">
        <f t="shared" si="267"/>
        <v>1522.106219100818</v>
      </c>
      <c r="AE201" s="23">
        <f t="shared" si="268"/>
        <v>0.19731693568308586</v>
      </c>
      <c r="AF201" s="23">
        <f t="shared" si="269"/>
        <v>0.64632374636842793</v>
      </c>
      <c r="AG201" s="23">
        <f t="shared" si="270"/>
        <v>15511.354603073818</v>
      </c>
      <c r="AH201" s="23">
        <f t="shared" si="271"/>
        <v>3919.434441213059</v>
      </c>
      <c r="AI201" s="23">
        <f t="shared" si="272"/>
        <v>9646.0265599360027</v>
      </c>
      <c r="AJ201" s="23">
        <f t="shared" si="273"/>
        <v>10097.365539055758</v>
      </c>
      <c r="AK201" s="23">
        <f t="shared" si="274"/>
        <v>4966.7657075165007</v>
      </c>
      <c r="AL201" s="9">
        <f t="shared" si="276"/>
        <v>2.9774260412247955E-2</v>
      </c>
      <c r="AM201" s="9">
        <f t="shared" si="277"/>
        <v>8.1194522175938033E-3</v>
      </c>
      <c r="AN201" s="9">
        <f t="shared" ref="AN201:AO201" si="281">AVERAGE(AL199:AL203)</f>
        <v>2.9924857008806781E-2</v>
      </c>
      <c r="AO201" s="9">
        <f t="shared" si="281"/>
        <v>8.6834108377559002E-3</v>
      </c>
      <c r="AP201" s="23"/>
      <c r="AQ201" s="25">
        <f t="shared" si="264"/>
        <v>10097.36553905576</v>
      </c>
      <c r="AR201" s="4"/>
      <c r="AS201" s="4"/>
      <c r="AT201" s="4"/>
      <c r="AU201" s="16"/>
      <c r="AV201" s="16"/>
      <c r="AY201" s="21">
        <f>-Y201*W201*X201^(-Parameters!B$52)*Parameters!B$46*Parameters!B$45*N201</f>
        <v>-3.0449045970102753E-6</v>
      </c>
      <c r="AZ201" s="7">
        <f>1000*EXP(-(Parameters!$B$54)*'6states'!A201)*AQ201*Parameters!B$46*Parameters!B$45*N201</f>
        <v>0.26822258985986625</v>
      </c>
      <c r="BA201" s="93">
        <f>SUM(AZ201:AZ$204)*EXP(Parameters!$B$54*A201)</f>
        <v>8386.6191605148288</v>
      </c>
    </row>
    <row r="202" spans="1:53" x14ac:dyDescent="0.25">
      <c r="A202">
        <f>A201+Parameters!$B$65</f>
        <v>198</v>
      </c>
      <c r="B202">
        <v>2223</v>
      </c>
      <c r="C202" s="74">
        <v>9.6350205406592303E-3</v>
      </c>
      <c r="D202" s="69">
        <v>0.247272155138894</v>
      </c>
      <c r="E202" s="75">
        <v>0.55933871475979702</v>
      </c>
      <c r="F202" s="7">
        <f>MAX((1-Parameters!$B$4)^Parameters!B$65*F201 + C201*Parameters!B$65 - IF(C201&gt;0,Parameters!$B$5,0)*C201^2/F201*Parameters!B$65, 0.0001)</f>
        <v>1E-4</v>
      </c>
      <c r="G202" s="7">
        <f>(1-Parameters!$B$4)^Parameters!B$65*G201+D201*Parameters!B$65-Parameters!$B$5*D201^2/G201*Parameters!B$65</f>
        <v>2.4613724439954519</v>
      </c>
      <c r="H202" s="7">
        <f>(1-Parameters!$B$4)^Parameters!B$65*H201+E201*Parameters!B$65-Parameters!$B$5*E201^2/H201*Parameters!B$65</f>
        <v>5.8541060076213709</v>
      </c>
      <c r="I202" s="9">
        <f>I201 *(1-Parameters!$B$4)-C201*(C201&lt;0)*Parameters!B$65</f>
        <v>2.8608835969213613E-5</v>
      </c>
      <c r="J202" s="23">
        <f>J201*(1+Parameters!$B$51)^Parameters!B$65</f>
        <v>14.477752852313749</v>
      </c>
      <c r="K202" s="23">
        <f>K201*(1+Parameters!$B$53)^Parameters!B$65</f>
        <v>456.6744947796862</v>
      </c>
      <c r="L202" s="23">
        <f>J202*K202*EXP(-Parameters!$B$42*'6states'!A202)*(Parameters!$B$37/Parameters!$B$38*('6states'!F202+'6states'!I202)/Parameters!$E$25*(EXP(-Parameters!$B$38*Parameters!$E$25*'6states'!I202/('6states'!F202+'6states'!I202))-EXP(-Parameters!$B$38*Parameters!$E$25))  +  Parameters!$B$39*'6states'!F202)</f>
        <v>7.0016066770041643E-2</v>
      </c>
      <c r="M202" s="8">
        <f>M201+L202*Parameters!B$65</f>
        <v>3696.6896749281555</v>
      </c>
      <c r="N202" s="7">
        <f>M202*Parameters!$B$45</f>
        <v>2.2180138049568932</v>
      </c>
      <c r="O202" s="9">
        <f>EXP(-Parameters!$B$46/2*N202^2)</f>
        <v>0.95176051886364454</v>
      </c>
      <c r="P202" s="8">
        <f>MAX((Parameters!$B$62 + Parameters!$B$31*'6states'!A202 - '6states'!M202 + Parameters!$B$47/Parameters!$B$45)/Parameters!B$62,1)</f>
        <v>183.73820650143691</v>
      </c>
      <c r="Q202" s="8"/>
      <c r="R202" s="8"/>
      <c r="S202" s="7">
        <f>Parameters!B$61*EXP(-Parameters!B$60*A202)+(1-Parameters!B$61)*P202^-Parameters!B$63</f>
        <v>0.29924247933419029</v>
      </c>
      <c r="T202" s="7">
        <f>1-S202/Parameters!$B$12</f>
        <v>0.85037876033290483</v>
      </c>
      <c r="U202" s="7">
        <f t="shared" si="265"/>
        <v>6.6835430733295871</v>
      </c>
      <c r="V202" s="7">
        <f>(Parameters!$B$19*(F202+Parameters!$B$20)^T202+Parameters!$B$18*G202^T202)^(1/T202)</f>
        <v>0.62172012151899647</v>
      </c>
      <c r="W202" s="7">
        <f>(Parameters!$B$10*H202^Parameters!$B$9+Parameters!$B$11*V202^Parameters!$B$9)^(Parameters!$B$7/Parameters!$B$9)*O202</f>
        <v>1.5735465486324267</v>
      </c>
      <c r="X202" s="7">
        <f>W202 - D202 - E202 - LN(1+EXP(Parameters!$B$21*C202))/Parameters!$B$21 - IF(C202&gt;0, 0,Parameters!$B$6*C202^2/F202)</f>
        <v>0.75712045770037628</v>
      </c>
      <c r="Y202" s="7">
        <f>EXP(-Parameters!$B$55*A202)</f>
        <v>5.0297495216752343E-2</v>
      </c>
      <c r="Z202" s="7">
        <f>IF(X202&gt;0,X202^(1-Parameters!$B$52)/(1-Parameters!$B$52)*Y202*Parameters!$B$65,-10+X202*1000)</f>
        <v>-0.15840561437950917</v>
      </c>
      <c r="AC202">
        <f t="shared" si="266"/>
        <v>63.703099029476377</v>
      </c>
      <c r="AD202">
        <f t="shared" si="267"/>
        <v>1634.8696424229163</v>
      </c>
      <c r="AE202" s="23">
        <f t="shared" si="268"/>
        <v>0.18915076549906001</v>
      </c>
      <c r="AF202" s="23">
        <f t="shared" si="269"/>
        <v>0.66116204693755432</v>
      </c>
      <c r="AG202" s="23">
        <f t="shared" si="270"/>
        <v>16273.660433477233</v>
      </c>
      <c r="AH202" s="23">
        <f t="shared" si="271"/>
        <v>4110.5774816576468</v>
      </c>
      <c r="AI202" s="23">
        <f t="shared" si="272"/>
        <v>10116.444134851421</v>
      </c>
      <c r="AJ202" s="23">
        <f t="shared" si="273"/>
        <v>10403.69257045339</v>
      </c>
      <c r="AK202" s="23">
        <f t="shared" si="274"/>
        <v>5005.7931159147874</v>
      </c>
      <c r="AL202" s="9">
        <f t="shared" si="276"/>
        <v>2.9886245875667683E-2</v>
      </c>
      <c r="AM202" s="9">
        <f t="shared" si="277"/>
        <v>7.8269997360287391E-3</v>
      </c>
      <c r="AN202" s="9">
        <f t="shared" ref="AN202:AO202" si="282">AVERAGE(AL200:AL204)</f>
        <v>3.0013055473878225E-2</v>
      </c>
      <c r="AO202" s="9">
        <f t="shared" si="282"/>
        <v>0.16526727835252472</v>
      </c>
      <c r="AP202" s="23"/>
      <c r="AQ202" s="25">
        <f t="shared" si="264"/>
        <v>10403.69257045339</v>
      </c>
      <c r="AR202" s="4"/>
      <c r="AS202" s="4"/>
      <c r="AT202" s="4"/>
      <c r="AU202" s="16"/>
      <c r="AV202" s="16"/>
      <c r="AY202" s="21">
        <f>-Y202*W202*X202^(-Parameters!B$52)*Parameters!B$46*Parameters!B$45*N202</f>
        <v>-3.0822281380926261E-6</v>
      </c>
      <c r="AZ202" s="7">
        <f>1000*EXP(-(Parameters!$B$54)*'6states'!A202)*AQ202*Parameters!B$46*Parameters!B$45*N202</f>
        <v>0.26683283634582244</v>
      </c>
      <c r="BA202" s="93">
        <f>SUM(AZ202:AZ$204)*EXP(Parameters!$B$54*A202)</f>
        <v>8406.4763030278264</v>
      </c>
    </row>
    <row r="203" spans="1:53" x14ac:dyDescent="0.25">
      <c r="A203">
        <f>A202+Parameters!$B$65</f>
        <v>199</v>
      </c>
      <c r="B203">
        <v>2224</v>
      </c>
      <c r="C203" s="74">
        <v>9.63477608375902E-3</v>
      </c>
      <c r="D203" s="69">
        <v>0.25882887100602198</v>
      </c>
      <c r="E203" s="75">
        <v>0.58248096821624995</v>
      </c>
      <c r="F203" s="7">
        <f>MAX((1-Parameters!$B$4)^Parameters!B$65*F202 + C202*Parameters!B$65 - IF(C202&gt;0,Parameters!$B$5,0)*C202^2/F202*Parameters!B$65, 0.0001)</f>
        <v>1E-4</v>
      </c>
      <c r="G203" s="7">
        <f>(1-Parameters!$B$4)^Parameters!B$65*G202+D202*Parameters!B$65-Parameters!$B$5*D202^2/G202*Parameters!B$65</f>
        <v>2.5289830425248199</v>
      </c>
      <c r="H203" s="7">
        <f>(1-Parameters!$B$4)^Parameters!B$65*H202+E202*Parameters!B$65-Parameters!$B$5*E202^2/H202*Parameters!B$65</f>
        <v>5.9917786576986787</v>
      </c>
      <c r="I203" s="9">
        <f>I202 *(1-Parameters!$B$4)-C202*(C202&lt;0)*Parameters!B$65</f>
        <v>2.6809340186750077E-5</v>
      </c>
      <c r="J203" s="23">
        <f>J202*(1+Parameters!$B$51)^Parameters!B$65</f>
        <v>14.519738335585458</v>
      </c>
      <c r="K203" s="23">
        <f>K202*(1+Parameters!$B$53)^Parameters!B$65</f>
        <v>465.80798467527995</v>
      </c>
      <c r="L203" s="23">
        <f>J203*K203*EXP(-Parameters!$B$42*'6states'!A203)*(Parameters!$B$37/Parameters!$B$38*('6states'!F203+'6states'!I203)/Parameters!$E$25*(EXP(-Parameters!$B$38*Parameters!$E$25*'6states'!I203/('6states'!F203+'6states'!I203))-EXP(-Parameters!$B$38*Parameters!$E$25))  +  Parameters!$B$39*'6states'!F203)</f>
        <v>7.0911588334610545E-2</v>
      </c>
      <c r="M203" s="8">
        <f>M202+L203*Parameters!B$65</f>
        <v>3696.7605865164901</v>
      </c>
      <c r="N203" s="7">
        <f>M203*Parameters!$B$45</f>
        <v>2.2180563519098939</v>
      </c>
      <c r="O203" s="9">
        <f>EXP(-Parameters!$B$46/2*N203^2)</f>
        <v>0.95175871351865626</v>
      </c>
      <c r="P203" s="8">
        <f>MAX((Parameters!$B$62 + Parameters!$B$31*'6states'!A203 - '6states'!M203 + Parameters!$B$47/Parameters!$B$45)/Parameters!B$62,1)</f>
        <v>184.80078826967022</v>
      </c>
      <c r="Q203" s="8"/>
      <c r="R203" s="8"/>
      <c r="S203" s="7">
        <f>Parameters!B$61*EXP(-Parameters!B$60*A203)+(1-Parameters!B$61)*P203^-Parameters!B$63</f>
        <v>0.29900784996345292</v>
      </c>
      <c r="T203" s="7">
        <f>1-S203/Parameters!$B$12</f>
        <v>0.85049607501827351</v>
      </c>
      <c r="U203" s="7">
        <f t="shared" si="265"/>
        <v>6.6887876028821829</v>
      </c>
      <c r="V203" s="7">
        <f>(Parameters!$B$19*(F203+Parameters!$B$20)^T203+Parameters!$B$18*G203^T203)^(1/T203)</f>
        <v>0.63855075171458742</v>
      </c>
      <c r="W203" s="7">
        <f>(Parameters!$B$10*H203^Parameters!$B$9+Parameters!$B$11*V203^Parameters!$B$9)^(Parameters!$B$7/Parameters!$B$9)*O203</f>
        <v>1.5850565232015292</v>
      </c>
      <c r="X203" s="7">
        <f>W203 - D203 - E203 - LN(1+EXP(Parameters!$B$21*C203))/Parameters!$B$21 - IF(C203&gt;0, 0,Parameters!$B$6*C203^2/F203)</f>
        <v>0.7339316945378368</v>
      </c>
      <c r="Y203" s="7">
        <f>EXP(-Parameters!$B$55*A203)</f>
        <v>4.9543708451578718E-2</v>
      </c>
      <c r="Z203" s="7">
        <f>IF(X203&gt;0,X203^(1-Parameters!$B$52)/(1-Parameters!$B$52)*Y203*Parameters!$B$65,-10+X203*1000)</f>
        <v>-0.15773969325589185</v>
      </c>
      <c r="AC203">
        <f t="shared" si="266"/>
        <v>65.1639414147389</v>
      </c>
      <c r="AD203">
        <f t="shared" si="267"/>
        <v>1750.5657879387911</v>
      </c>
      <c r="AE203" s="23">
        <f t="shared" si="268"/>
        <v>0.18132256090954135</v>
      </c>
      <c r="AF203" s="23">
        <f t="shared" si="269"/>
        <v>0.6763410052111466</v>
      </c>
      <c r="AG203" s="23">
        <f t="shared" si="270"/>
        <v>17104.549331431805</v>
      </c>
      <c r="AH203" s="23">
        <f t="shared" si="271"/>
        <v>4318.7805729297734</v>
      </c>
      <c r="AI203" s="23">
        <f t="shared" si="272"/>
        <v>10628.847793694133</v>
      </c>
      <c r="AJ203" s="23">
        <f t="shared" si="273"/>
        <v>10720.387222186075</v>
      </c>
      <c r="AK203" s="23">
        <f t="shared" si="274"/>
        <v>4963.8810004004072</v>
      </c>
      <c r="AL203" s="9">
        <f t="shared" si="276"/>
        <v>2.9986478481317747E-2</v>
      </c>
      <c r="AM203" s="9">
        <f t="shared" si="277"/>
        <v>-8.4079703982791187E-3</v>
      </c>
      <c r="AN203" s="9">
        <f t="shared" ref="AN203:AO203" si="283">AVERAGE(AL201:AL205)</f>
        <v>3.000903371018504E-2</v>
      </c>
      <c r="AO203" s="9">
        <f t="shared" si="283"/>
        <v>0.20041957297798829</v>
      </c>
      <c r="AP203" s="23"/>
      <c r="AQ203" s="25">
        <f t="shared" si="264"/>
        <v>10720.387222186073</v>
      </c>
      <c r="AR203" s="4"/>
      <c r="AS203" s="4"/>
      <c r="AT203" s="4"/>
      <c r="AU203" s="16"/>
      <c r="AV203" s="16"/>
      <c r="AY203" s="21">
        <f>-Y203*W203*X203^(-Parameters!B$52)*Parameters!B$46*Parameters!B$45*N203</f>
        <v>-3.1894663944418793E-6</v>
      </c>
      <c r="AZ203" s="7">
        <f>1000*EXP(-(Parameters!$B$54)*'6states'!A203)*AQ203*Parameters!B$46*Parameters!B$45*N203</f>
        <v>0.26547695594513926</v>
      </c>
      <c r="BA203" s="93">
        <f>SUM(AZ203:AZ$204)*EXP(Parameters!$B$54*A203)</f>
        <v>8418.5507748728651</v>
      </c>
    </row>
    <row r="204" spans="1:53" ht="15.75" thickBot="1" x14ac:dyDescent="0.3">
      <c r="A204">
        <f>A203+Parameters!$B$65</f>
        <v>200</v>
      </c>
      <c r="B204">
        <v>2225</v>
      </c>
      <c r="C204" s="81">
        <v>9.7101401958932399E-3</v>
      </c>
      <c r="D204" s="82">
        <v>3.6967977105659602E-16</v>
      </c>
      <c r="E204" s="83">
        <v>2.7147460053515698E-20</v>
      </c>
      <c r="F204" s="7">
        <f>MAX((1-Parameters!$B$4)^Parameters!B$65*F203 + C203*Parameters!B$65 - IF(C203&gt;0,Parameters!$B$5,0)*C203^2/F203*Parameters!B$65, 0.0001)</f>
        <v>1E-4</v>
      </c>
      <c r="G204" s="7">
        <f>(1-Parameters!$B$4)^Parameters!B$65*G203+D203*Parameters!B$65-Parameters!$B$5*D203^2/G203*Parameters!B$65</f>
        <v>2.6022490289629716</v>
      </c>
      <c r="H204" s="7">
        <f>(1-Parameters!$B$4)^Parameters!B$65*H203+E203*Parameters!B$65-Parameters!$B$5*E203^2/H203*Parameters!B$65</f>
        <v>6.140751813127455</v>
      </c>
      <c r="I204" s="9">
        <f>I203 *(1-Parameters!$B$4)-C203*(C203&lt;0)*Parameters!B$65</f>
        <v>2.5123032689003498E-5</v>
      </c>
      <c r="J204" s="23">
        <f>J203*(1+Parameters!$B$51)^Parameters!B$65</f>
        <v>14.561845576758655</v>
      </c>
      <c r="K204" s="23">
        <f>K203*(1+Parameters!$B$53)^Parameters!B$65</f>
        <v>475.12414436878555</v>
      </c>
      <c r="L204" s="23">
        <f>J204*K204*EXP(-Parameters!$B$42*'6states'!A204)*(Parameters!$B$37/Parameters!$B$38*('6states'!F204+'6states'!I204)/Parameters!$E$25*(EXP(-Parameters!$B$38*Parameters!$E$25*'6states'!I204/('6states'!F204+'6states'!I204))-EXP(-Parameters!$B$38*Parameters!$E$25))  +  Parameters!$B$39*'6states'!F204)</f>
        <v>7.1818952904082869E-2</v>
      </c>
      <c r="M204" s="8">
        <f>M203+L204*Parameters!B$65</f>
        <v>3696.832405469394</v>
      </c>
      <c r="N204" s="7">
        <f>M204*Parameters!$B$45</f>
        <v>2.2180994432816363</v>
      </c>
      <c r="O204" s="9">
        <f>EXP(-Parameters!$B$46/2*N204^2)</f>
        <v>0.95175688504117806</v>
      </c>
      <c r="P204" s="8">
        <f>MAX((Parameters!$B$62 + Parameters!$B$31*'6states'!A204 - '6states'!M204 + Parameters!$B$47/Parameters!$B$45)/Parameters!B$62,1)</f>
        <v>185.86335189061211</v>
      </c>
      <c r="Q204" s="8"/>
      <c r="R204" s="8"/>
      <c r="S204" s="7">
        <f>Parameters!B$61*EXP(-Parameters!B$60*A204)+(1-Parameters!B$61)*P204^-Parameters!B$63</f>
        <v>0.29877599392919807</v>
      </c>
      <c r="T204" s="7">
        <f>1-S204/Parameters!$B$12</f>
        <v>0.85061200303540097</v>
      </c>
      <c r="U204" s="7">
        <f t="shared" si="265"/>
        <v>6.6939782333179902</v>
      </c>
      <c r="V204" s="7">
        <f>(Parameters!$B$19*(F204+Parameters!$B$20)^T204+Parameters!$B$18*G204^T204)^(1/T204)</f>
        <v>0.65678378971324303</v>
      </c>
      <c r="W204" s="7">
        <f>(Parameters!$B$10*H204^Parameters!$B$9+Parameters!$B$11*V204^Parameters!$B$9)^(Parameters!$B$7/Parameters!$B$9)*O204</f>
        <v>1.5972937447758953</v>
      </c>
      <c r="X204" s="7">
        <f>W204 - D204 - E204 - LN(1+EXP(Parameters!$B$21*C204))/Parameters!$B$21 - IF(C204&gt;0, 0,Parameters!$B$6*C204^2/F204)</f>
        <v>1.5874073153324575</v>
      </c>
      <c r="Y204" s="7">
        <f>EXP(-Parameters!$B$55*A204)</f>
        <v>4.8801218362012941E-2</v>
      </c>
      <c r="Z204" s="7">
        <f>IF(X204&gt;0,X204^(1-Parameters!$B$52)/(1-Parameters!$B$52)*Y204*Parameters!$B$65/Parameters!$B$55,-10+X204*1000)</f>
        <v>-7.8549738023551221</v>
      </c>
      <c r="AC204">
        <f t="shared" si="266"/>
        <v>67.181395690195259</v>
      </c>
      <c r="AD204">
        <f t="shared" si="267"/>
        <v>2.5576976724309105E-12</v>
      </c>
      <c r="AE204" s="23">
        <f t="shared" si="268"/>
        <v>0.17381833485076603</v>
      </c>
      <c r="AF204" s="23">
        <f t="shared" si="269"/>
        <v>0.69186844200878406</v>
      </c>
      <c r="AG204" s="23">
        <f t="shared" si="270"/>
        <v>18004.139813874823</v>
      </c>
      <c r="AH204" s="23">
        <f t="shared" si="271"/>
        <v>4544.0797732552628</v>
      </c>
      <c r="AI204" s="23">
        <f t="shared" si="272"/>
        <v>11183.326278503129</v>
      </c>
      <c r="AJ204" s="23">
        <f t="shared" si="273"/>
        <v>11051.171346284749</v>
      </c>
      <c r="AK204" s="23">
        <f t="shared" si="274"/>
        <v>10982.770260924139</v>
      </c>
      <c r="AL204" s="9">
        <f t="shared" si="276"/>
        <v>3.0389150071506776E-2</v>
      </c>
      <c r="AM204" s="9">
        <f t="shared" si="277"/>
        <v>0.79413981035660974</v>
      </c>
      <c r="AN204" s="9">
        <f t="shared" ref="AN204:AO204" si="284">AVERAGE(AL202:AL206)</f>
        <v>3.0087291476164069E-2</v>
      </c>
      <c r="AO204" s="9">
        <f t="shared" si="284"/>
        <v>0.26451961323145312</v>
      </c>
      <c r="AP204" s="23"/>
      <c r="AQ204" s="25">
        <f t="shared" si="264"/>
        <v>11051.171346284751</v>
      </c>
      <c r="AR204" s="4"/>
      <c r="AS204" s="4"/>
      <c r="AT204" s="4"/>
      <c r="AU204" s="16"/>
      <c r="AV204" s="16"/>
      <c r="AY204" s="21">
        <f>-Y204*W204*X204^(-Parameters!B$52)*Parameters!B$46*Parameters!B$45*N204</f>
        <v>-1.1174149222765607E-6</v>
      </c>
      <c r="AZ204" s="7">
        <f>EXP(-(Parameters!B$55+Parameters!B$53)*'6states'!A204)*AQ204*Parameters!B$46*Parameters!B$45*1000*N204/Parameters!$B$54</f>
        <v>7.5280458204134195</v>
      </c>
      <c r="BA204" s="93">
        <f>SUM(AZ204:AZ$204)*EXP(Parameters!$B$54*A204)</f>
        <v>8422.2769216609195</v>
      </c>
    </row>
    <row r="205" spans="1:53" x14ac:dyDescent="0.25">
      <c r="C205" s="9"/>
      <c r="D205" s="9"/>
      <c r="E205" s="9"/>
      <c r="F205" s="7"/>
      <c r="G205" s="7"/>
      <c r="H205" s="7"/>
      <c r="I205" s="9"/>
      <c r="J205" s="23"/>
      <c r="K205" s="23"/>
      <c r="L205" s="23"/>
      <c r="M205" s="8"/>
      <c r="N205" s="7"/>
      <c r="O205" s="9"/>
      <c r="P205" s="8"/>
      <c r="Q205" s="8"/>
      <c r="R205" s="8"/>
      <c r="S205" s="7"/>
      <c r="T205" s="7"/>
      <c r="U205" s="7"/>
      <c r="V205" s="7"/>
      <c r="W205" s="7"/>
      <c r="Y205" s="7"/>
      <c r="Z205" s="7"/>
      <c r="AF205" s="23"/>
      <c r="AG205" s="23"/>
      <c r="AH205" s="23"/>
      <c r="AI205" s="23"/>
      <c r="AJ205" s="9"/>
      <c r="AK205" s="9"/>
      <c r="AL205" s="9"/>
      <c r="AM205" s="9"/>
      <c r="AN205" s="9"/>
      <c r="AO205" s="9"/>
      <c r="AP205" s="9"/>
      <c r="AQ205" s="25"/>
      <c r="AY205" s="21"/>
      <c r="AZ205" s="7"/>
    </row>
    <row r="206" spans="1:53" x14ac:dyDescent="0.25">
      <c r="C206" s="9"/>
      <c r="D206" s="9"/>
      <c r="E206" s="9"/>
      <c r="F206" s="7"/>
      <c r="G206" s="7"/>
      <c r="H206" s="7"/>
      <c r="I206" s="9"/>
      <c r="J206" s="23"/>
      <c r="K206" s="23"/>
      <c r="L206" s="23"/>
      <c r="M206" s="8"/>
      <c r="N206" s="7"/>
      <c r="O206" s="9"/>
      <c r="P206" s="8"/>
      <c r="Q206" s="8"/>
      <c r="R206" s="8"/>
      <c r="S206" s="7"/>
      <c r="T206" s="7"/>
      <c r="U206" s="7"/>
      <c r="V206" s="7"/>
      <c r="W206" s="7"/>
      <c r="Y206" s="7"/>
      <c r="Z206" s="7"/>
      <c r="AF206" s="23"/>
      <c r="AG206" s="23"/>
      <c r="AH206" s="23"/>
      <c r="AI206" s="23"/>
      <c r="AJ206" s="9"/>
      <c r="AK206" s="9"/>
      <c r="AL206" s="9"/>
      <c r="AM206" s="9"/>
      <c r="AN206" s="9"/>
      <c r="AO206" s="9"/>
      <c r="AP206" s="9"/>
      <c r="AQ206" s="25"/>
      <c r="AY206" s="21"/>
      <c r="AZ206" s="7"/>
    </row>
    <row r="207" spans="1:53" x14ac:dyDescent="0.25">
      <c r="C207" s="9"/>
      <c r="D207" s="9"/>
      <c r="E207" s="9"/>
      <c r="F207" s="7"/>
      <c r="G207" s="7"/>
      <c r="H207" s="7"/>
      <c r="I207" s="9"/>
      <c r="J207" s="23"/>
      <c r="K207" s="23"/>
      <c r="L207" s="23"/>
      <c r="M207" s="8"/>
      <c r="N207" s="7"/>
      <c r="O207" s="9"/>
      <c r="P207" s="8"/>
      <c r="Q207" s="8"/>
      <c r="R207" s="8"/>
      <c r="S207" s="7"/>
      <c r="T207" s="7"/>
      <c r="U207" s="7"/>
      <c r="V207" s="7"/>
      <c r="W207" s="7"/>
      <c r="Y207" s="7"/>
      <c r="Z207" s="7"/>
      <c r="AF207" s="23"/>
      <c r="AG207" s="23"/>
      <c r="AH207" s="23"/>
      <c r="AI207" s="23"/>
      <c r="AJ207" s="9"/>
      <c r="AK207" s="9"/>
      <c r="AL207" s="9"/>
      <c r="AM207" s="9"/>
      <c r="AN207" s="9"/>
      <c r="AO207" s="9"/>
      <c r="AP207" s="9"/>
      <c r="AQ207" s="25"/>
      <c r="AY207" s="21"/>
      <c r="AZ207" s="7"/>
    </row>
    <row r="208" spans="1:53" x14ac:dyDescent="0.25">
      <c r="C208" s="9"/>
      <c r="D208" s="9"/>
      <c r="E208" s="9"/>
      <c r="F208" s="7"/>
      <c r="G208" s="7"/>
      <c r="H208" s="7"/>
      <c r="I208" s="9"/>
      <c r="J208" s="23"/>
      <c r="K208" s="23"/>
      <c r="L208" s="23"/>
      <c r="M208" s="8"/>
      <c r="N208" s="7"/>
      <c r="O208" s="9"/>
      <c r="P208" s="8"/>
      <c r="Q208" s="8"/>
      <c r="R208" s="8"/>
      <c r="S208" s="7"/>
      <c r="T208" s="7"/>
      <c r="U208" s="7"/>
      <c r="V208" s="7"/>
      <c r="W208" s="7"/>
      <c r="Y208" s="7"/>
      <c r="Z208" s="7"/>
      <c r="AF208" s="23"/>
      <c r="AG208" s="23"/>
      <c r="AH208" s="23"/>
      <c r="AI208" s="23"/>
      <c r="AJ208" s="9"/>
      <c r="AK208" s="9"/>
      <c r="AL208" s="9"/>
      <c r="AM208" s="9"/>
      <c r="AN208" s="9"/>
      <c r="AO208" s="9"/>
      <c r="AP208" s="9"/>
      <c r="AQ208" s="25"/>
      <c r="AY208" s="21"/>
      <c r="AZ208" s="7"/>
    </row>
    <row r="209" spans="3:52" x14ac:dyDescent="0.25">
      <c r="C209" s="9"/>
      <c r="D209" s="9"/>
      <c r="E209" s="9"/>
      <c r="F209" s="7"/>
      <c r="G209" s="7"/>
      <c r="H209" s="7"/>
      <c r="I209" s="9"/>
      <c r="J209" s="23"/>
      <c r="K209" s="23"/>
      <c r="L209" s="23"/>
      <c r="M209" s="8"/>
      <c r="N209" s="7"/>
      <c r="O209" s="9"/>
      <c r="P209" s="8"/>
      <c r="Q209" s="8"/>
      <c r="R209" s="8"/>
      <c r="S209" s="7"/>
      <c r="T209" s="7"/>
      <c r="U209" s="7"/>
      <c r="V209" s="7"/>
      <c r="W209" s="7"/>
      <c r="Y209" s="7"/>
      <c r="Z209" s="7"/>
      <c r="AF209" s="23"/>
      <c r="AG209" s="23"/>
      <c r="AH209" s="23"/>
      <c r="AI209" s="23"/>
      <c r="AJ209" s="9"/>
      <c r="AK209" s="9"/>
      <c r="AL209" s="9"/>
      <c r="AM209" s="9"/>
      <c r="AN209" s="9"/>
      <c r="AO209" s="9"/>
      <c r="AP209" s="9"/>
      <c r="AQ209" s="25"/>
      <c r="AY209" s="21"/>
      <c r="AZ209" s="7"/>
    </row>
    <row r="210" spans="3:52" x14ac:dyDescent="0.25">
      <c r="C210" s="9"/>
      <c r="D210" s="9"/>
      <c r="E210" s="9"/>
      <c r="F210" s="7"/>
      <c r="G210" s="7"/>
      <c r="H210" s="7"/>
      <c r="I210" s="9"/>
      <c r="J210" s="23"/>
      <c r="K210" s="23"/>
      <c r="L210" s="23"/>
      <c r="M210" s="8"/>
      <c r="N210" s="7"/>
      <c r="O210" s="9"/>
      <c r="P210" s="8"/>
      <c r="Q210" s="8"/>
      <c r="R210" s="8"/>
      <c r="S210" s="7"/>
      <c r="T210" s="7"/>
      <c r="U210" s="7"/>
      <c r="V210" s="7"/>
      <c r="W210" s="7"/>
      <c r="Y210" s="7"/>
      <c r="Z210" s="7"/>
      <c r="AF210" s="23"/>
      <c r="AG210" s="23"/>
      <c r="AH210" s="23"/>
      <c r="AI210" s="23"/>
      <c r="AJ210" s="9"/>
      <c r="AK210" s="9"/>
      <c r="AL210" s="9"/>
      <c r="AM210" s="9"/>
      <c r="AN210" s="9"/>
      <c r="AO210" s="9"/>
      <c r="AP210" s="9"/>
      <c r="AQ210" s="25"/>
      <c r="AY210" s="21"/>
      <c r="AZ210" s="7"/>
    </row>
    <row r="211" spans="3:52" x14ac:dyDescent="0.25">
      <c r="C211" s="9"/>
      <c r="D211" s="9"/>
      <c r="E211" s="9"/>
      <c r="F211" s="7"/>
      <c r="G211" s="7"/>
      <c r="H211" s="7"/>
      <c r="I211" s="9"/>
      <c r="J211" s="23"/>
      <c r="K211" s="23"/>
      <c r="L211" s="23"/>
      <c r="M211" s="8"/>
      <c r="N211" s="7"/>
      <c r="O211" s="9"/>
      <c r="P211" s="8"/>
      <c r="Q211" s="8"/>
      <c r="R211" s="8"/>
      <c r="S211" s="7"/>
      <c r="T211" s="7"/>
      <c r="U211" s="7"/>
      <c r="V211" s="7"/>
      <c r="W211" s="7"/>
      <c r="Y211" s="7"/>
      <c r="Z211" s="7"/>
      <c r="AF211" s="23"/>
      <c r="AG211" s="23"/>
      <c r="AH211" s="23"/>
      <c r="AI211" s="23"/>
      <c r="AJ211" s="9"/>
      <c r="AK211" s="9"/>
      <c r="AL211" s="9"/>
      <c r="AM211" s="9"/>
      <c r="AN211" s="9"/>
      <c r="AO211" s="9"/>
      <c r="AP211" s="9"/>
      <c r="AQ211" s="25"/>
      <c r="AY211" s="21"/>
      <c r="AZ211" s="7"/>
    </row>
    <row r="212" spans="3:52" x14ac:dyDescent="0.25">
      <c r="C212" s="9"/>
      <c r="D212" s="9"/>
      <c r="E212" s="9"/>
      <c r="F212" s="7"/>
      <c r="G212" s="7"/>
      <c r="H212" s="7"/>
      <c r="I212" s="9"/>
      <c r="J212" s="23"/>
      <c r="K212" s="23"/>
      <c r="L212" s="23"/>
      <c r="M212" s="8"/>
      <c r="N212" s="7"/>
      <c r="O212" s="9"/>
      <c r="P212" s="8"/>
      <c r="Q212" s="8"/>
      <c r="R212" s="8"/>
      <c r="S212" s="7"/>
      <c r="T212" s="7"/>
      <c r="U212" s="7"/>
      <c r="V212" s="7"/>
      <c r="W212" s="7"/>
      <c r="Y212" s="7"/>
      <c r="Z212" s="7"/>
      <c r="AF212" s="23"/>
      <c r="AG212" s="23"/>
      <c r="AH212" s="23"/>
      <c r="AI212" s="23"/>
      <c r="AJ212" s="9"/>
      <c r="AK212" s="9"/>
      <c r="AL212" s="9"/>
      <c r="AM212" s="9"/>
      <c r="AN212" s="9"/>
      <c r="AO212" s="9"/>
      <c r="AP212" s="9"/>
      <c r="AQ212" s="25"/>
      <c r="AY212" s="21"/>
      <c r="AZ212" s="7"/>
    </row>
    <row r="213" spans="3:52" x14ac:dyDescent="0.25">
      <c r="C213" s="9"/>
      <c r="D213" s="9"/>
      <c r="E213" s="9"/>
      <c r="F213" s="7"/>
      <c r="G213" s="7"/>
      <c r="H213" s="7"/>
      <c r="I213" s="9"/>
      <c r="J213" s="23"/>
      <c r="K213" s="23"/>
      <c r="L213" s="23"/>
      <c r="M213" s="8"/>
      <c r="N213" s="7"/>
      <c r="O213" s="9"/>
      <c r="P213" s="8"/>
      <c r="Q213" s="8"/>
      <c r="R213" s="8"/>
      <c r="S213" s="7"/>
      <c r="T213" s="7"/>
      <c r="U213" s="7"/>
      <c r="V213" s="7"/>
      <c r="W213" s="7"/>
      <c r="Y213" s="7"/>
      <c r="Z213" s="7"/>
      <c r="AF213" s="23"/>
      <c r="AG213" s="23"/>
      <c r="AH213" s="23"/>
      <c r="AI213" s="23"/>
      <c r="AJ213" s="9"/>
      <c r="AK213" s="9"/>
      <c r="AL213" s="9"/>
      <c r="AM213" s="9"/>
      <c r="AN213" s="9"/>
      <c r="AO213" s="9"/>
      <c r="AP213" s="9"/>
      <c r="AQ213" s="25"/>
      <c r="AY213" s="21"/>
      <c r="AZ213" s="7"/>
    </row>
    <row r="214" spans="3:52" x14ac:dyDescent="0.25">
      <c r="C214" s="9"/>
      <c r="D214" s="9"/>
      <c r="E214" s="9"/>
      <c r="F214" s="7"/>
      <c r="G214" s="7"/>
      <c r="H214" s="7"/>
      <c r="I214" s="9"/>
      <c r="J214" s="23"/>
      <c r="K214" s="23"/>
      <c r="L214" s="23"/>
      <c r="M214" s="8"/>
      <c r="N214" s="7"/>
      <c r="O214" s="9"/>
      <c r="P214" s="8"/>
      <c r="Q214" s="8"/>
      <c r="R214" s="8"/>
      <c r="S214" s="7"/>
      <c r="T214" s="7"/>
      <c r="U214" s="7"/>
      <c r="V214" s="7"/>
      <c r="W214" s="7"/>
      <c r="Y214" s="7"/>
      <c r="Z214" s="7"/>
      <c r="AF214" s="23"/>
      <c r="AG214" s="23"/>
      <c r="AH214" s="23"/>
      <c r="AI214" s="23"/>
      <c r="AJ214" s="9"/>
      <c r="AK214" s="9"/>
      <c r="AL214" s="9"/>
      <c r="AM214" s="9"/>
      <c r="AN214" s="9"/>
      <c r="AO214" s="9"/>
      <c r="AP214" s="9"/>
      <c r="AQ214" s="25"/>
      <c r="AY214" s="21"/>
      <c r="AZ214" s="7"/>
    </row>
    <row r="215" spans="3:52" x14ac:dyDescent="0.25">
      <c r="C215" s="9"/>
      <c r="D215" s="9"/>
      <c r="E215" s="9"/>
      <c r="F215" s="7"/>
      <c r="G215" s="7"/>
      <c r="H215" s="7"/>
      <c r="I215" s="9"/>
      <c r="J215" s="23"/>
      <c r="K215" s="23"/>
      <c r="L215" s="23"/>
      <c r="M215" s="8"/>
      <c r="N215" s="7"/>
      <c r="O215" s="9"/>
      <c r="P215" s="8"/>
      <c r="Q215" s="8"/>
      <c r="R215" s="8"/>
      <c r="S215" s="7"/>
      <c r="T215" s="7"/>
      <c r="U215" s="7"/>
      <c r="V215" s="7"/>
      <c r="W215" s="7"/>
      <c r="Y215" s="7"/>
      <c r="Z215" s="7"/>
      <c r="AF215" s="23"/>
      <c r="AG215" s="23"/>
      <c r="AH215" s="23"/>
      <c r="AI215" s="23"/>
      <c r="AJ215" s="9"/>
      <c r="AK215" s="9"/>
      <c r="AL215" s="9"/>
      <c r="AM215" s="9"/>
      <c r="AN215" s="9"/>
      <c r="AO215" s="9"/>
      <c r="AP215" s="9"/>
      <c r="AQ215" s="25"/>
      <c r="AY215" s="21"/>
      <c r="AZ215" s="7"/>
    </row>
    <row r="216" spans="3:52" x14ac:dyDescent="0.25">
      <c r="C216" s="9"/>
      <c r="D216" s="9"/>
      <c r="E216" s="9"/>
      <c r="F216" s="7"/>
      <c r="G216" s="7"/>
      <c r="H216" s="7"/>
      <c r="I216" s="9"/>
      <c r="J216" s="23"/>
      <c r="K216" s="23"/>
      <c r="L216" s="23"/>
      <c r="M216" s="8"/>
      <c r="N216" s="7"/>
      <c r="O216" s="9"/>
      <c r="P216" s="8"/>
      <c r="Q216" s="8"/>
      <c r="R216" s="8"/>
      <c r="S216" s="7"/>
      <c r="T216" s="7"/>
      <c r="U216" s="7"/>
      <c r="V216" s="7"/>
      <c r="W216" s="7"/>
      <c r="Y216" s="7"/>
      <c r="Z216" s="7"/>
      <c r="AF216" s="23"/>
      <c r="AG216" s="23"/>
      <c r="AH216" s="23"/>
      <c r="AI216" s="23"/>
      <c r="AJ216" s="9"/>
      <c r="AK216" s="9"/>
      <c r="AL216" s="9"/>
      <c r="AM216" s="9"/>
      <c r="AN216" s="9"/>
      <c r="AO216" s="9"/>
      <c r="AP216" s="9"/>
      <c r="AQ216" s="25"/>
      <c r="AY216" s="21"/>
      <c r="AZ216" s="7"/>
    </row>
    <row r="217" spans="3:52" x14ac:dyDescent="0.25">
      <c r="C217" s="9"/>
      <c r="D217" s="9"/>
      <c r="E217" s="9"/>
      <c r="F217" s="7"/>
      <c r="G217" s="7"/>
      <c r="H217" s="7"/>
      <c r="I217" s="9"/>
      <c r="J217" s="23"/>
      <c r="K217" s="23"/>
      <c r="L217" s="23"/>
      <c r="M217" s="8"/>
      <c r="N217" s="7"/>
      <c r="O217" s="9"/>
      <c r="P217" s="8"/>
      <c r="Q217" s="8"/>
      <c r="R217" s="8"/>
      <c r="S217" s="7"/>
      <c r="T217" s="7"/>
      <c r="U217" s="7"/>
      <c r="V217" s="7"/>
      <c r="W217" s="7"/>
      <c r="Y217" s="7"/>
      <c r="Z217" s="7"/>
      <c r="AF217" s="23"/>
      <c r="AG217" s="23"/>
      <c r="AH217" s="23"/>
      <c r="AI217" s="23"/>
      <c r="AJ217" s="9"/>
      <c r="AK217" s="9"/>
      <c r="AL217" s="9"/>
      <c r="AM217" s="9"/>
      <c r="AN217" s="9"/>
      <c r="AO217" s="9"/>
      <c r="AP217" s="9"/>
      <c r="AQ217" s="25"/>
      <c r="AY217" s="21"/>
      <c r="AZ217" s="7"/>
    </row>
    <row r="218" spans="3:52" x14ac:dyDescent="0.25">
      <c r="C218" s="9"/>
      <c r="D218" s="9"/>
      <c r="E218" s="9"/>
      <c r="F218" s="7"/>
      <c r="G218" s="7"/>
      <c r="H218" s="7"/>
      <c r="I218" s="9"/>
      <c r="J218" s="23"/>
      <c r="K218" s="23"/>
      <c r="L218" s="23"/>
      <c r="M218" s="8"/>
      <c r="N218" s="7"/>
      <c r="O218" s="9"/>
      <c r="P218" s="8"/>
      <c r="Q218" s="8"/>
      <c r="R218" s="8"/>
      <c r="S218" s="7"/>
      <c r="T218" s="7"/>
      <c r="U218" s="7"/>
      <c r="V218" s="7"/>
      <c r="W218" s="7"/>
      <c r="Y218" s="7"/>
      <c r="Z218" s="7"/>
      <c r="AF218" s="23"/>
      <c r="AG218" s="23"/>
      <c r="AH218" s="23"/>
      <c r="AI218" s="23"/>
      <c r="AJ218" s="9"/>
      <c r="AK218" s="9"/>
      <c r="AL218" s="9"/>
      <c r="AM218" s="9"/>
      <c r="AN218" s="9"/>
      <c r="AO218" s="9"/>
      <c r="AP218" s="9"/>
      <c r="AQ218" s="25"/>
      <c r="AY218" s="21"/>
      <c r="AZ218" s="7"/>
    </row>
    <row r="219" spans="3:52" x14ac:dyDescent="0.25">
      <c r="C219" s="9"/>
      <c r="D219" s="9"/>
      <c r="E219" s="9"/>
      <c r="F219" s="7"/>
      <c r="G219" s="7"/>
      <c r="H219" s="7"/>
      <c r="I219" s="9"/>
      <c r="J219" s="23"/>
      <c r="K219" s="23"/>
      <c r="L219" s="23"/>
      <c r="M219" s="8"/>
      <c r="N219" s="7"/>
      <c r="O219" s="9"/>
      <c r="P219" s="8"/>
      <c r="Q219" s="8"/>
      <c r="R219" s="8"/>
      <c r="S219" s="7"/>
      <c r="T219" s="7"/>
      <c r="U219" s="7"/>
      <c r="V219" s="7"/>
      <c r="W219" s="7"/>
      <c r="Y219" s="7"/>
      <c r="Z219" s="7"/>
      <c r="AF219" s="23"/>
      <c r="AG219" s="23"/>
      <c r="AH219" s="23"/>
      <c r="AI219" s="23"/>
      <c r="AJ219" s="9"/>
      <c r="AK219" s="9"/>
      <c r="AL219" s="9"/>
      <c r="AM219" s="9"/>
      <c r="AN219" s="9"/>
      <c r="AO219" s="9"/>
      <c r="AP219" s="9"/>
      <c r="AQ219" s="25"/>
      <c r="AY219" s="21"/>
      <c r="AZ219" s="7"/>
    </row>
    <row r="220" spans="3:52" x14ac:dyDescent="0.25">
      <c r="C220" s="9"/>
      <c r="D220" s="9"/>
      <c r="E220" s="9"/>
      <c r="F220" s="7"/>
      <c r="G220" s="7"/>
      <c r="H220" s="7"/>
      <c r="I220" s="9"/>
      <c r="J220" s="23"/>
      <c r="K220" s="23"/>
      <c r="L220" s="23"/>
      <c r="M220" s="8"/>
      <c r="N220" s="7"/>
      <c r="O220" s="9"/>
      <c r="P220" s="8"/>
      <c r="Q220" s="8"/>
      <c r="R220" s="8"/>
      <c r="S220" s="7"/>
      <c r="T220" s="7"/>
      <c r="U220" s="7"/>
      <c r="V220" s="7"/>
      <c r="W220" s="7"/>
      <c r="Y220" s="7"/>
      <c r="Z220" s="7"/>
      <c r="AF220" s="23"/>
      <c r="AG220" s="23"/>
      <c r="AH220" s="23"/>
      <c r="AI220" s="23"/>
      <c r="AJ220" s="9"/>
      <c r="AK220" s="9"/>
      <c r="AL220" s="9"/>
      <c r="AM220" s="9"/>
      <c r="AN220" s="9"/>
      <c r="AO220" s="9"/>
      <c r="AP220" s="9"/>
      <c r="AQ220" s="25"/>
      <c r="AY220" s="21"/>
      <c r="AZ220" s="7"/>
    </row>
    <row r="221" spans="3:52" x14ac:dyDescent="0.25">
      <c r="C221" s="9"/>
      <c r="D221" s="9"/>
      <c r="E221" s="9"/>
      <c r="F221" s="7"/>
      <c r="G221" s="7"/>
      <c r="H221" s="7"/>
      <c r="I221" s="9"/>
      <c r="J221" s="23"/>
      <c r="K221" s="23"/>
      <c r="L221" s="23"/>
      <c r="M221" s="8"/>
      <c r="N221" s="7"/>
      <c r="O221" s="9"/>
      <c r="P221" s="8"/>
      <c r="Q221" s="8"/>
      <c r="R221" s="8"/>
      <c r="S221" s="7"/>
      <c r="T221" s="7"/>
      <c r="U221" s="7"/>
      <c r="V221" s="7"/>
      <c r="W221" s="7"/>
      <c r="Y221" s="7"/>
      <c r="Z221" s="7"/>
      <c r="AF221" s="23"/>
      <c r="AG221" s="23"/>
      <c r="AH221" s="23"/>
      <c r="AI221" s="23"/>
      <c r="AJ221" s="9"/>
      <c r="AK221" s="9"/>
      <c r="AL221" s="9"/>
      <c r="AM221" s="9"/>
      <c r="AN221" s="9"/>
      <c r="AO221" s="9"/>
      <c r="AP221" s="9"/>
      <c r="AQ221" s="25"/>
      <c r="AY221" s="21"/>
      <c r="AZ221" s="7"/>
    </row>
    <row r="222" spans="3:52" x14ac:dyDescent="0.25">
      <c r="C222" s="9"/>
      <c r="D222" s="9"/>
      <c r="E222" s="9"/>
      <c r="F222" s="7"/>
      <c r="G222" s="7"/>
      <c r="H222" s="7"/>
      <c r="I222" s="9"/>
      <c r="J222" s="23"/>
      <c r="K222" s="23"/>
      <c r="L222" s="23"/>
      <c r="M222" s="8"/>
      <c r="N222" s="7"/>
      <c r="O222" s="9"/>
      <c r="P222" s="8"/>
      <c r="Q222" s="8"/>
      <c r="R222" s="8"/>
      <c r="S222" s="7"/>
      <c r="T222" s="7"/>
      <c r="U222" s="7"/>
      <c r="V222" s="7"/>
      <c r="W222" s="7"/>
      <c r="Y222" s="7"/>
      <c r="Z222" s="7"/>
      <c r="AF222" s="23"/>
      <c r="AG222" s="23"/>
      <c r="AH222" s="23"/>
      <c r="AI222" s="23"/>
      <c r="AJ222" s="9"/>
      <c r="AK222" s="9"/>
      <c r="AL222" s="9"/>
      <c r="AM222" s="9"/>
      <c r="AN222" s="9"/>
      <c r="AO222" s="9"/>
      <c r="AP222" s="9"/>
      <c r="AQ222" s="25"/>
      <c r="AY222" s="21"/>
      <c r="AZ222" s="7"/>
    </row>
    <row r="223" spans="3:52" x14ac:dyDescent="0.25">
      <c r="C223" s="9"/>
      <c r="D223" s="9"/>
      <c r="E223" s="9"/>
      <c r="F223" s="7"/>
      <c r="G223" s="7"/>
      <c r="H223" s="7"/>
      <c r="I223" s="9"/>
      <c r="J223" s="23"/>
      <c r="K223" s="23"/>
      <c r="L223" s="23"/>
      <c r="M223" s="8"/>
      <c r="N223" s="7"/>
      <c r="O223" s="9"/>
      <c r="P223" s="8"/>
      <c r="Q223" s="8"/>
      <c r="R223" s="8"/>
      <c r="S223" s="7"/>
      <c r="T223" s="7"/>
      <c r="U223" s="7"/>
      <c r="V223" s="7"/>
      <c r="W223" s="7"/>
      <c r="Y223" s="7"/>
      <c r="Z223" s="7"/>
      <c r="AF223" s="23"/>
      <c r="AG223" s="23"/>
      <c r="AH223" s="23"/>
      <c r="AI223" s="23"/>
      <c r="AJ223" s="9"/>
      <c r="AK223" s="9"/>
      <c r="AL223" s="9"/>
      <c r="AM223" s="9"/>
      <c r="AN223" s="9"/>
      <c r="AO223" s="9"/>
      <c r="AP223" s="9"/>
      <c r="AQ223" s="25"/>
      <c r="AY223" s="21"/>
      <c r="AZ223" s="7"/>
    </row>
    <row r="224" spans="3:52" x14ac:dyDescent="0.25">
      <c r="C224" s="9"/>
      <c r="D224" s="9"/>
      <c r="E224" s="9"/>
      <c r="F224" s="7"/>
      <c r="G224" s="7"/>
      <c r="H224" s="7"/>
      <c r="I224" s="9"/>
      <c r="J224" s="23"/>
      <c r="K224" s="23"/>
      <c r="L224" s="23"/>
      <c r="M224" s="8"/>
      <c r="N224" s="7"/>
      <c r="O224" s="9"/>
      <c r="P224" s="8"/>
      <c r="Q224" s="8"/>
      <c r="R224" s="8"/>
      <c r="S224" s="7"/>
      <c r="T224" s="7"/>
      <c r="U224" s="7"/>
      <c r="V224" s="7"/>
      <c r="W224" s="7"/>
      <c r="Y224" s="7"/>
      <c r="Z224" s="7"/>
      <c r="AF224" s="23"/>
      <c r="AG224" s="23"/>
      <c r="AH224" s="23"/>
      <c r="AI224" s="23"/>
      <c r="AJ224" s="9"/>
      <c r="AK224" s="9"/>
      <c r="AL224" s="9"/>
      <c r="AM224" s="9"/>
      <c r="AN224" s="9"/>
      <c r="AO224" s="9"/>
      <c r="AP224" s="9"/>
      <c r="AQ224" s="25"/>
      <c r="AY224" s="21"/>
      <c r="AZ224" s="7"/>
    </row>
    <row r="225" spans="3:52" x14ac:dyDescent="0.25">
      <c r="C225" s="9"/>
      <c r="D225" s="9"/>
      <c r="E225" s="9"/>
      <c r="F225" s="7"/>
      <c r="G225" s="7"/>
      <c r="H225" s="7"/>
      <c r="I225" s="9"/>
      <c r="J225" s="23"/>
      <c r="K225" s="23"/>
      <c r="L225" s="23"/>
      <c r="M225" s="8"/>
      <c r="N225" s="7"/>
      <c r="O225" s="9"/>
      <c r="P225" s="8"/>
      <c r="Q225" s="8"/>
      <c r="R225" s="8"/>
      <c r="S225" s="7"/>
      <c r="T225" s="7"/>
      <c r="U225" s="7"/>
      <c r="V225" s="7"/>
      <c r="W225" s="7"/>
      <c r="Y225" s="7"/>
      <c r="Z225" s="7"/>
      <c r="AF225" s="23"/>
      <c r="AG225" s="23"/>
      <c r="AH225" s="23"/>
      <c r="AI225" s="23"/>
      <c r="AJ225" s="9"/>
      <c r="AK225" s="9"/>
      <c r="AL225" s="9"/>
      <c r="AM225" s="9"/>
      <c r="AN225" s="9"/>
      <c r="AO225" s="9"/>
      <c r="AP225" s="9"/>
      <c r="AQ225" s="25"/>
      <c r="AY225" s="21"/>
      <c r="AZ225" s="7"/>
    </row>
    <row r="226" spans="3:52" x14ac:dyDescent="0.25">
      <c r="C226" s="9"/>
      <c r="D226" s="9"/>
      <c r="E226" s="9"/>
      <c r="F226" s="7"/>
      <c r="G226" s="7"/>
      <c r="H226" s="7"/>
      <c r="I226" s="9"/>
      <c r="J226" s="23"/>
      <c r="K226" s="23"/>
      <c r="L226" s="23"/>
      <c r="M226" s="8"/>
      <c r="N226" s="7"/>
      <c r="O226" s="9"/>
      <c r="P226" s="8"/>
      <c r="Q226" s="8"/>
      <c r="R226" s="8"/>
      <c r="S226" s="7"/>
      <c r="T226" s="7"/>
      <c r="U226" s="7"/>
      <c r="V226" s="7"/>
      <c r="W226" s="7"/>
      <c r="Y226" s="7"/>
      <c r="Z226" s="7"/>
      <c r="AF226" s="23"/>
      <c r="AG226" s="23"/>
      <c r="AH226" s="23"/>
      <c r="AI226" s="23"/>
      <c r="AJ226" s="9"/>
      <c r="AK226" s="9"/>
      <c r="AL226" s="9"/>
      <c r="AM226" s="9"/>
      <c r="AN226" s="9"/>
      <c r="AO226" s="9"/>
      <c r="AP226" s="9"/>
      <c r="AQ226" s="25"/>
      <c r="AY226" s="21"/>
      <c r="AZ226" s="7"/>
    </row>
    <row r="227" spans="3:52" x14ac:dyDescent="0.25">
      <c r="C227" s="9"/>
      <c r="D227" s="9"/>
      <c r="E227" s="9"/>
      <c r="F227" s="7"/>
      <c r="G227" s="7"/>
      <c r="H227" s="7"/>
      <c r="I227" s="9"/>
      <c r="J227" s="23"/>
      <c r="K227" s="23"/>
      <c r="L227" s="23"/>
      <c r="M227" s="8"/>
      <c r="N227" s="7"/>
      <c r="O227" s="9"/>
      <c r="P227" s="8"/>
      <c r="Q227" s="8"/>
      <c r="R227" s="8"/>
      <c r="S227" s="7"/>
      <c r="T227" s="7"/>
      <c r="U227" s="7"/>
      <c r="V227" s="7"/>
      <c r="W227" s="7"/>
      <c r="Y227" s="7"/>
      <c r="Z227" s="7"/>
      <c r="AF227" s="23"/>
      <c r="AG227" s="23"/>
      <c r="AH227" s="23"/>
      <c r="AI227" s="23"/>
      <c r="AJ227" s="9"/>
      <c r="AK227" s="9"/>
      <c r="AL227" s="9"/>
      <c r="AM227" s="9"/>
      <c r="AN227" s="9"/>
      <c r="AO227" s="9"/>
      <c r="AP227" s="9"/>
      <c r="AQ227" s="25"/>
      <c r="AY227" s="21"/>
      <c r="AZ227" s="7"/>
    </row>
    <row r="228" spans="3:52" x14ac:dyDescent="0.25">
      <c r="C228" s="9"/>
      <c r="D228" s="9"/>
      <c r="E228" s="9"/>
      <c r="F228" s="7"/>
      <c r="G228" s="7"/>
      <c r="H228" s="7"/>
      <c r="I228" s="9"/>
      <c r="J228" s="23"/>
      <c r="K228" s="23"/>
      <c r="L228" s="23"/>
      <c r="M228" s="8"/>
      <c r="N228" s="7"/>
      <c r="O228" s="9"/>
      <c r="P228" s="8"/>
      <c r="Q228" s="8"/>
      <c r="R228" s="8"/>
      <c r="S228" s="7"/>
      <c r="T228" s="7"/>
      <c r="U228" s="7"/>
      <c r="V228" s="7"/>
      <c r="W228" s="7"/>
      <c r="Y228" s="7"/>
      <c r="Z228" s="7"/>
      <c r="AF228" s="23"/>
      <c r="AG228" s="23"/>
      <c r="AH228" s="23"/>
      <c r="AI228" s="23"/>
      <c r="AJ228" s="9"/>
      <c r="AK228" s="9"/>
      <c r="AL228" s="9"/>
      <c r="AM228" s="9"/>
      <c r="AN228" s="9"/>
      <c r="AO228" s="9"/>
      <c r="AP228" s="9"/>
      <c r="AQ228" s="25"/>
      <c r="AY228" s="21"/>
      <c r="AZ228" s="7"/>
    </row>
    <row r="229" spans="3:52" x14ac:dyDescent="0.25">
      <c r="C229" s="9"/>
      <c r="D229" s="9"/>
      <c r="E229" s="9"/>
      <c r="F229" s="7"/>
      <c r="G229" s="7"/>
      <c r="H229" s="7"/>
      <c r="I229" s="9"/>
      <c r="J229" s="23"/>
      <c r="K229" s="23"/>
      <c r="L229" s="23"/>
      <c r="M229" s="8"/>
      <c r="N229" s="7"/>
      <c r="O229" s="9"/>
      <c r="P229" s="8"/>
      <c r="Q229" s="8"/>
      <c r="R229" s="8"/>
      <c r="S229" s="7"/>
      <c r="T229" s="7"/>
      <c r="U229" s="7"/>
      <c r="V229" s="7"/>
      <c r="W229" s="7"/>
      <c r="Y229" s="7"/>
      <c r="Z229" s="7"/>
      <c r="AF229" s="23"/>
      <c r="AG229" s="23"/>
      <c r="AH229" s="23"/>
      <c r="AI229" s="23"/>
      <c r="AJ229" s="9"/>
      <c r="AK229" s="9"/>
      <c r="AL229" s="9"/>
      <c r="AM229" s="9"/>
      <c r="AN229" s="9"/>
      <c r="AO229" s="9"/>
      <c r="AP229" s="9"/>
      <c r="AQ229" s="25"/>
      <c r="AY229" s="21"/>
      <c r="AZ229" s="7"/>
    </row>
    <row r="230" spans="3:52" x14ac:dyDescent="0.25">
      <c r="C230" s="9"/>
      <c r="D230" s="9"/>
      <c r="E230" s="9"/>
      <c r="F230" s="7"/>
      <c r="G230" s="7"/>
      <c r="H230" s="7"/>
      <c r="I230" s="9"/>
      <c r="J230" s="23"/>
      <c r="K230" s="23"/>
      <c r="L230" s="23"/>
      <c r="M230" s="8"/>
      <c r="N230" s="7"/>
      <c r="O230" s="9"/>
      <c r="P230" s="8"/>
      <c r="Q230" s="8"/>
      <c r="R230" s="8"/>
      <c r="S230" s="7"/>
      <c r="T230" s="7"/>
      <c r="U230" s="7"/>
      <c r="V230" s="7"/>
      <c r="W230" s="7"/>
      <c r="Y230" s="7"/>
      <c r="Z230" s="7"/>
      <c r="AF230" s="23"/>
      <c r="AG230" s="23"/>
      <c r="AH230" s="23"/>
      <c r="AI230" s="23"/>
      <c r="AJ230" s="9"/>
      <c r="AK230" s="9"/>
      <c r="AL230" s="9"/>
      <c r="AM230" s="9"/>
      <c r="AN230" s="9"/>
      <c r="AO230" s="9"/>
      <c r="AP230" s="9"/>
      <c r="AQ230" s="25"/>
      <c r="AY230" s="21"/>
      <c r="AZ230" s="7"/>
    </row>
    <row r="231" spans="3:52" x14ac:dyDescent="0.25">
      <c r="C231" s="9"/>
      <c r="D231" s="9"/>
      <c r="E231" s="9"/>
      <c r="F231" s="7"/>
      <c r="G231" s="7"/>
      <c r="H231" s="7"/>
      <c r="I231" s="9"/>
      <c r="J231" s="23"/>
      <c r="K231" s="23"/>
      <c r="L231" s="23"/>
      <c r="M231" s="8"/>
      <c r="N231" s="7"/>
      <c r="O231" s="9"/>
      <c r="P231" s="8"/>
      <c r="Q231" s="8"/>
      <c r="R231" s="8"/>
      <c r="S231" s="7"/>
      <c r="T231" s="7"/>
      <c r="U231" s="7"/>
      <c r="V231" s="7"/>
      <c r="W231" s="7"/>
      <c r="Y231" s="7"/>
      <c r="Z231" s="7"/>
      <c r="AF231" s="23"/>
      <c r="AG231" s="23"/>
      <c r="AH231" s="23"/>
      <c r="AI231" s="23"/>
      <c r="AJ231" s="9"/>
      <c r="AK231" s="9"/>
      <c r="AL231" s="9"/>
      <c r="AM231" s="9"/>
      <c r="AN231" s="9"/>
      <c r="AO231" s="9"/>
      <c r="AP231" s="9"/>
      <c r="AQ231" s="25"/>
      <c r="AY231" s="21"/>
      <c r="AZ231" s="7"/>
    </row>
    <row r="232" spans="3:52" x14ac:dyDescent="0.25">
      <c r="C232" s="9"/>
      <c r="D232" s="9"/>
      <c r="E232" s="9"/>
      <c r="F232" s="7"/>
      <c r="G232" s="7"/>
      <c r="H232" s="7"/>
      <c r="I232" s="9"/>
      <c r="J232" s="23"/>
      <c r="K232" s="23"/>
      <c r="L232" s="23"/>
      <c r="M232" s="8"/>
      <c r="N232" s="7"/>
      <c r="O232" s="9"/>
      <c r="P232" s="8"/>
      <c r="Q232" s="8"/>
      <c r="R232" s="8"/>
      <c r="S232" s="7"/>
      <c r="T232" s="7"/>
      <c r="U232" s="7"/>
      <c r="V232" s="7"/>
      <c r="W232" s="7"/>
      <c r="Y232" s="7"/>
      <c r="Z232" s="7"/>
      <c r="AF232" s="23"/>
      <c r="AG232" s="23"/>
      <c r="AH232" s="23"/>
      <c r="AI232" s="23"/>
      <c r="AJ232" s="9"/>
      <c r="AK232" s="9"/>
      <c r="AL232" s="9"/>
      <c r="AM232" s="9"/>
      <c r="AN232" s="9"/>
      <c r="AO232" s="9"/>
      <c r="AP232" s="9"/>
      <c r="AQ232" s="25"/>
      <c r="AY232" s="21"/>
      <c r="AZ232" s="7"/>
    </row>
    <row r="233" spans="3:52" x14ac:dyDescent="0.25">
      <c r="C233" s="9"/>
      <c r="D233" s="9"/>
      <c r="E233" s="9"/>
      <c r="F233" s="7"/>
      <c r="G233" s="7"/>
      <c r="H233" s="7"/>
      <c r="I233" s="9"/>
      <c r="J233" s="23"/>
      <c r="K233" s="23"/>
      <c r="L233" s="23"/>
      <c r="M233" s="8"/>
      <c r="N233" s="7"/>
      <c r="O233" s="9"/>
      <c r="P233" s="8"/>
      <c r="Q233" s="8"/>
      <c r="R233" s="8"/>
      <c r="S233" s="7"/>
      <c r="T233" s="7"/>
      <c r="U233" s="7"/>
      <c r="V233" s="7"/>
      <c r="W233" s="7"/>
      <c r="Y233" s="7"/>
      <c r="Z233" s="7"/>
      <c r="AF233" s="23"/>
      <c r="AG233" s="23"/>
      <c r="AH233" s="23"/>
      <c r="AI233" s="23"/>
      <c r="AJ233" s="9"/>
      <c r="AK233" s="9"/>
      <c r="AL233" s="9"/>
      <c r="AM233" s="9"/>
      <c r="AN233" s="9"/>
      <c r="AO233" s="9"/>
      <c r="AP233" s="9"/>
      <c r="AQ233" s="25"/>
      <c r="AY233" s="21"/>
      <c r="AZ233" s="7"/>
    </row>
    <row r="234" spans="3:52" x14ac:dyDescent="0.25">
      <c r="C234" s="9"/>
      <c r="D234" s="9"/>
      <c r="E234" s="9"/>
      <c r="F234" s="7"/>
      <c r="G234" s="7"/>
      <c r="H234" s="7"/>
      <c r="I234" s="9"/>
      <c r="J234" s="23"/>
      <c r="K234" s="23"/>
      <c r="L234" s="23"/>
      <c r="M234" s="8"/>
      <c r="N234" s="7"/>
      <c r="O234" s="9"/>
      <c r="P234" s="8"/>
      <c r="Q234" s="8"/>
      <c r="R234" s="8"/>
      <c r="S234" s="7"/>
      <c r="T234" s="7"/>
      <c r="U234" s="7"/>
      <c r="V234" s="7"/>
      <c r="W234" s="7"/>
      <c r="Y234" s="7"/>
      <c r="Z234" s="7"/>
      <c r="AF234" s="23"/>
      <c r="AG234" s="23"/>
      <c r="AH234" s="23"/>
      <c r="AI234" s="23"/>
      <c r="AJ234" s="9"/>
      <c r="AK234" s="9"/>
      <c r="AL234" s="9"/>
      <c r="AM234" s="9"/>
      <c r="AN234" s="9"/>
      <c r="AO234" s="9"/>
      <c r="AP234" s="9"/>
      <c r="AQ234" s="25"/>
      <c r="AY234" s="21"/>
      <c r="AZ234" s="7"/>
    </row>
    <row r="235" spans="3:52" x14ac:dyDescent="0.25">
      <c r="C235" s="9"/>
      <c r="D235" s="9"/>
      <c r="E235" s="9"/>
      <c r="F235" s="7"/>
      <c r="G235" s="7"/>
      <c r="H235" s="7"/>
      <c r="I235" s="9"/>
      <c r="J235" s="23"/>
      <c r="K235" s="23"/>
      <c r="L235" s="23"/>
      <c r="M235" s="8"/>
      <c r="N235" s="7"/>
      <c r="O235" s="9"/>
      <c r="P235" s="8"/>
      <c r="Q235" s="8"/>
      <c r="R235" s="8"/>
      <c r="S235" s="7"/>
      <c r="T235" s="7"/>
      <c r="U235" s="7"/>
      <c r="V235" s="7"/>
      <c r="W235" s="7"/>
      <c r="Y235" s="7"/>
      <c r="Z235" s="7"/>
      <c r="AF235" s="23"/>
      <c r="AG235" s="23"/>
      <c r="AH235" s="23"/>
      <c r="AI235" s="23"/>
      <c r="AJ235" s="9"/>
      <c r="AK235" s="9"/>
      <c r="AL235" s="9"/>
      <c r="AM235" s="9"/>
      <c r="AN235" s="9"/>
      <c r="AO235" s="9"/>
      <c r="AP235" s="9"/>
      <c r="AQ235" s="25"/>
      <c r="AY235" s="21"/>
      <c r="AZ235" s="7"/>
    </row>
    <row r="236" spans="3:52" x14ac:dyDescent="0.25">
      <c r="C236" s="9"/>
      <c r="D236" s="9"/>
      <c r="E236" s="9"/>
      <c r="F236" s="7"/>
      <c r="G236" s="7"/>
      <c r="H236" s="7"/>
      <c r="I236" s="9"/>
      <c r="J236" s="23"/>
      <c r="K236" s="23"/>
      <c r="L236" s="23"/>
      <c r="M236" s="8"/>
      <c r="N236" s="7"/>
      <c r="O236" s="9"/>
      <c r="P236" s="8"/>
      <c r="Q236" s="8"/>
      <c r="R236" s="8"/>
      <c r="S236" s="7"/>
      <c r="T236" s="7"/>
      <c r="U236" s="7"/>
      <c r="V236" s="7"/>
      <c r="W236" s="7"/>
      <c r="Y236" s="7"/>
      <c r="Z236" s="7"/>
      <c r="AF236" s="23"/>
      <c r="AG236" s="23"/>
      <c r="AH236" s="23"/>
      <c r="AI236" s="23"/>
      <c r="AJ236" s="9"/>
      <c r="AK236" s="9"/>
      <c r="AL236" s="9"/>
      <c r="AM236" s="9"/>
      <c r="AN236" s="9"/>
      <c r="AO236" s="9"/>
      <c r="AP236" s="9"/>
      <c r="AQ236" s="25"/>
      <c r="AY236" s="21"/>
      <c r="AZ236" s="7"/>
    </row>
    <row r="237" spans="3:52" x14ac:dyDescent="0.25">
      <c r="C237" s="9"/>
      <c r="D237" s="9"/>
      <c r="E237" s="9"/>
      <c r="F237" s="7"/>
      <c r="G237" s="7"/>
      <c r="H237" s="7"/>
      <c r="I237" s="9"/>
      <c r="J237" s="23"/>
      <c r="K237" s="23"/>
      <c r="L237" s="23"/>
      <c r="M237" s="8"/>
      <c r="N237" s="7"/>
      <c r="O237" s="9"/>
      <c r="P237" s="8"/>
      <c r="Q237" s="8"/>
      <c r="R237" s="8"/>
      <c r="S237" s="7"/>
      <c r="T237" s="7"/>
      <c r="U237" s="7"/>
      <c r="V237" s="7"/>
      <c r="W237" s="7"/>
      <c r="Y237" s="7"/>
      <c r="Z237" s="7"/>
      <c r="AF237" s="23"/>
      <c r="AG237" s="23"/>
      <c r="AH237" s="23"/>
      <c r="AI237" s="23"/>
      <c r="AJ237" s="9"/>
      <c r="AK237" s="9"/>
      <c r="AL237" s="9"/>
      <c r="AM237" s="9"/>
      <c r="AN237" s="9"/>
      <c r="AO237" s="9"/>
      <c r="AP237" s="9"/>
      <c r="AQ237" s="25"/>
      <c r="AY237" s="21"/>
      <c r="AZ237" s="7"/>
    </row>
    <row r="238" spans="3:52" x14ac:dyDescent="0.25">
      <c r="C238" s="9"/>
      <c r="D238" s="9"/>
      <c r="E238" s="9"/>
      <c r="F238" s="7"/>
      <c r="G238" s="7"/>
      <c r="H238" s="7"/>
      <c r="I238" s="9"/>
      <c r="J238" s="23"/>
      <c r="K238" s="23"/>
      <c r="L238" s="23"/>
      <c r="M238" s="8"/>
      <c r="N238" s="7"/>
      <c r="O238" s="9"/>
      <c r="P238" s="8"/>
      <c r="Q238" s="8"/>
      <c r="R238" s="8"/>
      <c r="S238" s="7"/>
      <c r="T238" s="7"/>
      <c r="U238" s="7"/>
      <c r="V238" s="7"/>
      <c r="W238" s="7"/>
      <c r="Y238" s="7"/>
      <c r="Z238" s="7"/>
      <c r="AF238" s="23"/>
      <c r="AG238" s="23"/>
      <c r="AH238" s="23"/>
      <c r="AI238" s="23"/>
      <c r="AJ238" s="9"/>
      <c r="AK238" s="9"/>
      <c r="AL238" s="9"/>
      <c r="AM238" s="9"/>
      <c r="AN238" s="9"/>
      <c r="AO238" s="9"/>
      <c r="AP238" s="9"/>
      <c r="AQ238" s="25"/>
      <c r="AY238" s="21"/>
      <c r="AZ238" s="7"/>
    </row>
    <row r="239" spans="3:52" x14ac:dyDescent="0.25">
      <c r="C239" s="9"/>
      <c r="D239" s="9"/>
      <c r="E239" s="9"/>
      <c r="F239" s="7"/>
      <c r="G239" s="7"/>
      <c r="H239" s="7"/>
      <c r="I239" s="9"/>
      <c r="J239" s="23"/>
      <c r="K239" s="23"/>
      <c r="L239" s="23"/>
      <c r="M239" s="8"/>
      <c r="N239" s="7"/>
      <c r="O239" s="9"/>
      <c r="P239" s="8"/>
      <c r="Q239" s="8"/>
      <c r="R239" s="8"/>
      <c r="S239" s="7"/>
      <c r="T239" s="7"/>
      <c r="U239" s="7"/>
      <c r="V239" s="7"/>
      <c r="W239" s="7"/>
      <c r="Y239" s="7"/>
      <c r="Z239" s="7"/>
      <c r="AF239" s="23"/>
      <c r="AG239" s="23"/>
      <c r="AH239" s="23"/>
      <c r="AI239" s="23"/>
      <c r="AJ239" s="9"/>
      <c r="AK239" s="9"/>
      <c r="AL239" s="9"/>
      <c r="AM239" s="9"/>
      <c r="AN239" s="9"/>
      <c r="AO239" s="9"/>
      <c r="AP239" s="9"/>
      <c r="AQ239" s="25"/>
      <c r="AY239" s="21"/>
      <c r="AZ239" s="7"/>
    </row>
    <row r="240" spans="3:52" x14ac:dyDescent="0.25">
      <c r="C240" s="9"/>
      <c r="D240" s="9"/>
      <c r="E240" s="9"/>
      <c r="F240" s="7"/>
      <c r="G240" s="7"/>
      <c r="H240" s="7"/>
      <c r="I240" s="9"/>
      <c r="J240" s="23"/>
      <c r="K240" s="23"/>
      <c r="L240" s="23"/>
      <c r="M240" s="8"/>
      <c r="N240" s="7"/>
      <c r="O240" s="9"/>
      <c r="P240" s="8"/>
      <c r="Q240" s="8"/>
      <c r="R240" s="8"/>
      <c r="S240" s="7"/>
      <c r="T240" s="7"/>
      <c r="U240" s="7"/>
      <c r="V240" s="7"/>
      <c r="W240" s="7"/>
      <c r="Y240" s="7"/>
      <c r="Z240" s="7"/>
      <c r="AF240" s="23"/>
      <c r="AG240" s="23"/>
      <c r="AH240" s="23"/>
      <c r="AI240" s="23"/>
      <c r="AJ240" s="9"/>
      <c r="AK240" s="9"/>
      <c r="AL240" s="9"/>
      <c r="AM240" s="9"/>
      <c r="AN240" s="9"/>
      <c r="AO240" s="9"/>
      <c r="AP240" s="9"/>
      <c r="AQ240" s="25"/>
      <c r="AY240" s="21"/>
      <c r="AZ240" s="7"/>
    </row>
    <row r="241" spans="3:52" x14ac:dyDescent="0.25">
      <c r="C241" s="9"/>
      <c r="D241" s="9"/>
      <c r="E241" s="9"/>
      <c r="F241" s="7"/>
      <c r="G241" s="7"/>
      <c r="H241" s="7"/>
      <c r="I241" s="9"/>
      <c r="J241" s="23"/>
      <c r="K241" s="23"/>
      <c r="L241" s="23"/>
      <c r="M241" s="8"/>
      <c r="N241" s="7"/>
      <c r="O241" s="9"/>
      <c r="P241" s="8"/>
      <c r="Q241" s="8"/>
      <c r="R241" s="8"/>
      <c r="S241" s="7"/>
      <c r="T241" s="7"/>
      <c r="U241" s="7"/>
      <c r="V241" s="7"/>
      <c r="W241" s="7"/>
      <c r="Y241" s="7"/>
      <c r="Z241" s="7"/>
      <c r="AF241" s="23"/>
      <c r="AG241" s="23"/>
      <c r="AH241" s="23"/>
      <c r="AI241" s="23"/>
      <c r="AJ241" s="9"/>
      <c r="AK241" s="9"/>
      <c r="AL241" s="9"/>
      <c r="AM241" s="9"/>
      <c r="AN241" s="9"/>
      <c r="AO241" s="9"/>
      <c r="AP241" s="9"/>
      <c r="AQ241" s="25"/>
      <c r="AY241" s="21"/>
      <c r="AZ241" s="7"/>
    </row>
    <row r="242" spans="3:52" x14ac:dyDescent="0.25">
      <c r="C242" s="9"/>
      <c r="D242" s="9"/>
      <c r="E242" s="9"/>
      <c r="F242" s="7"/>
      <c r="G242" s="7"/>
      <c r="H242" s="7"/>
      <c r="I242" s="9"/>
      <c r="J242" s="23"/>
      <c r="K242" s="23"/>
      <c r="L242" s="23"/>
      <c r="M242" s="8"/>
      <c r="N242" s="7"/>
      <c r="O242" s="9"/>
      <c r="P242" s="8"/>
      <c r="Q242" s="8"/>
      <c r="R242" s="8"/>
      <c r="S242" s="7"/>
      <c r="T242" s="7"/>
      <c r="U242" s="7"/>
      <c r="V242" s="7"/>
      <c r="W242" s="7"/>
      <c r="Y242" s="7"/>
      <c r="Z242" s="7"/>
      <c r="AF242" s="23"/>
      <c r="AG242" s="23"/>
      <c r="AH242" s="23"/>
      <c r="AI242" s="23"/>
      <c r="AJ242" s="9"/>
      <c r="AK242" s="9"/>
      <c r="AL242" s="9"/>
      <c r="AM242" s="9"/>
      <c r="AN242" s="9"/>
      <c r="AO242" s="9"/>
      <c r="AP242" s="9"/>
      <c r="AQ242" s="25"/>
      <c r="AY242" s="21"/>
      <c r="AZ242" s="7"/>
    </row>
    <row r="243" spans="3:52" x14ac:dyDescent="0.25">
      <c r="C243" s="9"/>
      <c r="D243" s="9"/>
      <c r="E243" s="9"/>
      <c r="F243" s="7"/>
      <c r="G243" s="7"/>
      <c r="H243" s="7"/>
      <c r="I243" s="9"/>
      <c r="J243" s="23"/>
      <c r="K243" s="23"/>
      <c r="L243" s="23"/>
      <c r="M243" s="8"/>
      <c r="N243" s="7"/>
      <c r="O243" s="9"/>
      <c r="P243" s="8"/>
      <c r="Q243" s="8"/>
      <c r="R243" s="8"/>
      <c r="S243" s="7"/>
      <c r="T243" s="7"/>
      <c r="U243" s="7"/>
      <c r="V243" s="7"/>
      <c r="W243" s="7"/>
      <c r="Y243" s="7"/>
      <c r="Z243" s="7"/>
      <c r="AF243" s="23"/>
      <c r="AG243" s="23"/>
      <c r="AH243" s="23"/>
      <c r="AI243" s="23"/>
      <c r="AJ243" s="9"/>
      <c r="AK243" s="9"/>
      <c r="AL243" s="9"/>
      <c r="AM243" s="9"/>
      <c r="AN243" s="9"/>
      <c r="AO243" s="9"/>
      <c r="AP243" s="9"/>
      <c r="AQ243" s="25"/>
      <c r="AY243" s="21"/>
      <c r="AZ243" s="7"/>
    </row>
    <row r="244" spans="3:52" x14ac:dyDescent="0.25">
      <c r="C244" s="9"/>
      <c r="D244" s="9"/>
      <c r="E244" s="9"/>
      <c r="F244" s="7"/>
      <c r="G244" s="7"/>
      <c r="H244" s="7"/>
      <c r="I244" s="9"/>
      <c r="J244" s="23"/>
      <c r="K244" s="23"/>
      <c r="L244" s="23"/>
      <c r="M244" s="8"/>
      <c r="N244" s="7"/>
      <c r="O244" s="9"/>
      <c r="P244" s="8"/>
      <c r="Q244" s="8"/>
      <c r="R244" s="8"/>
      <c r="S244" s="7"/>
      <c r="T244" s="7"/>
      <c r="U244" s="7"/>
      <c r="V244" s="7"/>
      <c r="W244" s="7"/>
      <c r="Y244" s="7"/>
      <c r="Z244" s="7"/>
      <c r="AF244" s="23"/>
      <c r="AG244" s="23"/>
      <c r="AH244" s="23"/>
      <c r="AI244" s="23"/>
      <c r="AJ244" s="9"/>
      <c r="AK244" s="9"/>
      <c r="AL244" s="9"/>
      <c r="AM244" s="9"/>
      <c r="AN244" s="9"/>
      <c r="AO244" s="9"/>
      <c r="AP244" s="9"/>
      <c r="AQ244" s="25"/>
      <c r="AY244" s="21"/>
      <c r="AZ244" s="7"/>
    </row>
    <row r="245" spans="3:52" x14ac:dyDescent="0.25">
      <c r="C245" s="9"/>
      <c r="D245" s="9"/>
      <c r="E245" s="9"/>
      <c r="F245" s="7"/>
      <c r="G245" s="7"/>
      <c r="H245" s="7"/>
      <c r="I245" s="9"/>
      <c r="J245" s="23"/>
      <c r="K245" s="23"/>
      <c r="L245" s="23"/>
      <c r="M245" s="8"/>
      <c r="N245" s="7"/>
      <c r="O245" s="9"/>
      <c r="P245" s="8"/>
      <c r="Q245" s="8"/>
      <c r="R245" s="8"/>
      <c r="S245" s="7"/>
      <c r="T245" s="7"/>
      <c r="U245" s="7"/>
      <c r="V245" s="7"/>
      <c r="W245" s="7"/>
      <c r="Y245" s="7"/>
      <c r="Z245" s="7"/>
      <c r="AF245" s="23"/>
      <c r="AG245" s="23"/>
      <c r="AH245" s="23"/>
      <c r="AI245" s="23"/>
      <c r="AJ245" s="9"/>
      <c r="AK245" s="9"/>
      <c r="AL245" s="9"/>
      <c r="AM245" s="9"/>
      <c r="AN245" s="9"/>
      <c r="AO245" s="9"/>
      <c r="AP245" s="9"/>
      <c r="AQ245" s="25"/>
      <c r="AY245" s="21"/>
      <c r="AZ245" s="7"/>
    </row>
    <row r="246" spans="3:52" x14ac:dyDescent="0.25">
      <c r="C246" s="9"/>
      <c r="D246" s="9"/>
      <c r="E246" s="9"/>
      <c r="F246" s="7"/>
      <c r="G246" s="7"/>
      <c r="H246" s="7"/>
      <c r="I246" s="9"/>
      <c r="J246" s="23"/>
      <c r="K246" s="23"/>
      <c r="L246" s="23"/>
      <c r="M246" s="8"/>
      <c r="N246" s="7"/>
      <c r="O246" s="9"/>
      <c r="P246" s="8"/>
      <c r="Q246" s="8"/>
      <c r="R246" s="8"/>
      <c r="S246" s="7"/>
      <c r="T246" s="7"/>
      <c r="U246" s="7"/>
      <c r="V246" s="7"/>
      <c r="W246" s="7"/>
      <c r="Y246" s="7"/>
      <c r="Z246" s="7"/>
      <c r="AF246" s="23"/>
      <c r="AG246" s="23"/>
      <c r="AH246" s="23"/>
      <c r="AI246" s="23"/>
      <c r="AJ246" s="9"/>
      <c r="AK246" s="9"/>
      <c r="AL246" s="9"/>
      <c r="AM246" s="9"/>
      <c r="AN246" s="9"/>
      <c r="AO246" s="9"/>
      <c r="AP246" s="9"/>
      <c r="AQ246" s="25"/>
      <c r="AY246" s="21"/>
      <c r="AZ246" s="7"/>
    </row>
    <row r="247" spans="3:52" x14ac:dyDescent="0.25">
      <c r="C247" s="9"/>
      <c r="D247" s="9"/>
      <c r="E247" s="9"/>
      <c r="F247" s="7"/>
      <c r="G247" s="7"/>
      <c r="H247" s="7"/>
      <c r="I247" s="9"/>
      <c r="J247" s="23"/>
      <c r="K247" s="23"/>
      <c r="L247" s="23"/>
      <c r="M247" s="8"/>
      <c r="N247" s="7"/>
      <c r="O247" s="9"/>
      <c r="P247" s="8"/>
      <c r="Q247" s="8"/>
      <c r="R247" s="8"/>
      <c r="S247" s="7"/>
      <c r="T247" s="7"/>
      <c r="U247" s="7"/>
      <c r="V247" s="7"/>
      <c r="W247" s="7"/>
      <c r="Y247" s="7"/>
      <c r="Z247" s="7"/>
      <c r="AF247" s="23"/>
      <c r="AG247" s="23"/>
      <c r="AH247" s="23"/>
      <c r="AI247" s="23"/>
      <c r="AJ247" s="9"/>
      <c r="AK247" s="9"/>
      <c r="AL247" s="9"/>
      <c r="AM247" s="9"/>
      <c r="AN247" s="9"/>
      <c r="AO247" s="9"/>
      <c r="AP247" s="9"/>
      <c r="AQ247" s="25"/>
      <c r="AY247" s="21"/>
      <c r="AZ247" s="7"/>
    </row>
    <row r="248" spans="3:52" x14ac:dyDescent="0.25">
      <c r="C248" s="9"/>
      <c r="D248" s="9"/>
      <c r="E248" s="9"/>
      <c r="F248" s="7"/>
      <c r="G248" s="7"/>
      <c r="H248" s="7"/>
      <c r="I248" s="9"/>
      <c r="J248" s="23"/>
      <c r="K248" s="23"/>
      <c r="L248" s="23"/>
      <c r="M248" s="8"/>
      <c r="N248" s="7"/>
      <c r="O248" s="9"/>
      <c r="P248" s="8"/>
      <c r="Q248" s="8"/>
      <c r="R248" s="8"/>
      <c r="S248" s="7"/>
      <c r="T248" s="7"/>
      <c r="U248" s="7"/>
      <c r="V248" s="7"/>
      <c r="W248" s="7"/>
      <c r="Y248" s="7"/>
      <c r="Z248" s="7"/>
      <c r="AF248" s="23"/>
      <c r="AG248" s="23"/>
      <c r="AH248" s="23"/>
      <c r="AI248" s="23"/>
      <c r="AJ248" s="9"/>
      <c r="AK248" s="9"/>
      <c r="AL248" s="9"/>
      <c r="AM248" s="9"/>
      <c r="AN248" s="9"/>
      <c r="AO248" s="9"/>
      <c r="AP248" s="9"/>
      <c r="AQ248" s="25"/>
      <c r="AY248" s="21"/>
      <c r="AZ248" s="7"/>
    </row>
    <row r="249" spans="3:52" x14ac:dyDescent="0.25">
      <c r="C249" s="9"/>
      <c r="D249" s="9"/>
      <c r="E249" s="9"/>
      <c r="F249" s="7"/>
      <c r="G249" s="7"/>
      <c r="H249" s="7"/>
      <c r="I249" s="9"/>
      <c r="J249" s="23"/>
      <c r="K249" s="23"/>
      <c r="L249" s="23"/>
      <c r="M249" s="8"/>
      <c r="N249" s="7"/>
      <c r="O249" s="9"/>
      <c r="P249" s="8"/>
      <c r="Q249" s="8"/>
      <c r="R249" s="8"/>
      <c r="S249" s="7"/>
      <c r="T249" s="7"/>
      <c r="U249" s="7"/>
      <c r="V249" s="7"/>
      <c r="W249" s="7"/>
      <c r="Y249" s="7"/>
      <c r="Z249" s="7"/>
      <c r="AF249" s="23"/>
      <c r="AG249" s="23"/>
      <c r="AH249" s="23"/>
      <c r="AI249" s="23"/>
      <c r="AJ249" s="9"/>
      <c r="AK249" s="9"/>
      <c r="AL249" s="9"/>
      <c r="AM249" s="9"/>
      <c r="AN249" s="9"/>
      <c r="AO249" s="9"/>
      <c r="AP249" s="9"/>
      <c r="AQ249" s="25"/>
      <c r="AY249" s="21"/>
      <c r="AZ249" s="7"/>
    </row>
    <row r="250" spans="3:52" x14ac:dyDescent="0.25">
      <c r="C250" s="9"/>
      <c r="D250" s="9"/>
      <c r="E250" s="9"/>
      <c r="F250" s="7"/>
      <c r="G250" s="7"/>
      <c r="H250" s="7"/>
      <c r="I250" s="9"/>
      <c r="J250" s="23"/>
      <c r="K250" s="23"/>
      <c r="L250" s="23"/>
      <c r="M250" s="8"/>
      <c r="N250" s="7"/>
      <c r="O250" s="9"/>
      <c r="P250" s="8"/>
      <c r="Q250" s="8"/>
      <c r="R250" s="8"/>
      <c r="S250" s="7"/>
      <c r="T250" s="7"/>
      <c r="U250" s="7"/>
      <c r="V250" s="7"/>
      <c r="W250" s="7"/>
      <c r="Y250" s="7"/>
      <c r="Z250" s="7"/>
      <c r="AF250" s="23"/>
      <c r="AG250" s="23"/>
      <c r="AH250" s="23"/>
      <c r="AI250" s="23"/>
      <c r="AJ250" s="9"/>
      <c r="AK250" s="9"/>
      <c r="AL250" s="9"/>
      <c r="AM250" s="9"/>
      <c r="AN250" s="9"/>
      <c r="AO250" s="9"/>
      <c r="AP250" s="9"/>
      <c r="AQ250" s="25"/>
      <c r="AY250" s="21"/>
      <c r="AZ250" s="7"/>
    </row>
    <row r="251" spans="3:52" x14ac:dyDescent="0.25">
      <c r="C251" s="9"/>
      <c r="D251" s="9"/>
      <c r="E251" s="9"/>
      <c r="F251" s="7"/>
      <c r="G251" s="7"/>
      <c r="H251" s="7"/>
      <c r="I251" s="9"/>
      <c r="J251" s="23"/>
      <c r="K251" s="23"/>
      <c r="L251" s="23"/>
      <c r="M251" s="8"/>
      <c r="N251" s="7"/>
      <c r="O251" s="9"/>
      <c r="P251" s="8"/>
      <c r="Q251" s="8"/>
      <c r="R251" s="8"/>
      <c r="S251" s="7"/>
      <c r="T251" s="7"/>
      <c r="U251" s="7"/>
      <c r="V251" s="7"/>
      <c r="W251" s="7"/>
      <c r="Y251" s="7"/>
      <c r="Z251" s="7"/>
      <c r="AF251" s="23"/>
      <c r="AG251" s="23"/>
      <c r="AH251" s="23"/>
      <c r="AI251" s="23"/>
      <c r="AJ251" s="9"/>
      <c r="AK251" s="9"/>
      <c r="AL251" s="9"/>
      <c r="AM251" s="9"/>
      <c r="AN251" s="9"/>
      <c r="AO251" s="9"/>
      <c r="AP251" s="9"/>
      <c r="AQ251" s="25"/>
      <c r="AY251" s="21"/>
      <c r="AZ251" s="7"/>
    </row>
    <row r="252" spans="3:52" x14ac:dyDescent="0.25">
      <c r="C252" s="9"/>
      <c r="D252" s="9"/>
      <c r="E252" s="9"/>
      <c r="F252" s="7"/>
      <c r="G252" s="7"/>
      <c r="H252" s="7"/>
      <c r="I252" s="9"/>
      <c r="J252" s="23"/>
      <c r="K252" s="23"/>
      <c r="L252" s="23"/>
      <c r="M252" s="8"/>
      <c r="N252" s="7"/>
      <c r="O252" s="9"/>
      <c r="P252" s="8"/>
      <c r="Q252" s="8"/>
      <c r="R252" s="8"/>
      <c r="S252" s="7"/>
      <c r="T252" s="7"/>
      <c r="U252" s="7"/>
      <c r="V252" s="7"/>
      <c r="W252" s="7"/>
      <c r="Y252" s="7"/>
      <c r="Z252" s="7"/>
      <c r="AF252" s="23"/>
      <c r="AG252" s="23"/>
      <c r="AH252" s="23"/>
      <c r="AI252" s="23"/>
      <c r="AJ252" s="9"/>
      <c r="AK252" s="9"/>
      <c r="AL252" s="9"/>
      <c r="AM252" s="9"/>
      <c r="AN252" s="9"/>
      <c r="AO252" s="9"/>
      <c r="AP252" s="9"/>
      <c r="AQ252" s="25"/>
      <c r="AY252" s="21"/>
      <c r="AZ252" s="7"/>
    </row>
    <row r="253" spans="3:52" x14ac:dyDescent="0.25">
      <c r="C253" s="9"/>
      <c r="D253" s="9"/>
      <c r="E253" s="9"/>
      <c r="F253" s="7"/>
      <c r="G253" s="7"/>
      <c r="H253" s="7"/>
      <c r="I253" s="9"/>
      <c r="J253" s="23"/>
      <c r="K253" s="23"/>
      <c r="L253" s="23"/>
      <c r="M253" s="8"/>
      <c r="N253" s="7"/>
      <c r="O253" s="9"/>
      <c r="P253" s="8"/>
      <c r="Q253" s="8"/>
      <c r="R253" s="8"/>
      <c r="S253" s="7"/>
      <c r="T253" s="7"/>
      <c r="U253" s="7"/>
      <c r="V253" s="7"/>
      <c r="W253" s="7"/>
      <c r="Y253" s="7"/>
      <c r="Z253" s="7"/>
      <c r="AF253" s="23"/>
      <c r="AG253" s="23"/>
      <c r="AH253" s="23"/>
      <c r="AI253" s="23"/>
      <c r="AJ253" s="9"/>
      <c r="AK253" s="9"/>
      <c r="AL253" s="9"/>
      <c r="AM253" s="9"/>
      <c r="AN253" s="9"/>
      <c r="AO253" s="9"/>
      <c r="AP253" s="9"/>
      <c r="AQ253" s="25"/>
      <c r="AY253" s="21"/>
      <c r="AZ253" s="7"/>
    </row>
    <row r="254" spans="3:52" x14ac:dyDescent="0.25">
      <c r="C254" s="9"/>
      <c r="D254" s="9"/>
      <c r="E254" s="9"/>
      <c r="F254" s="7"/>
      <c r="G254" s="7"/>
      <c r="H254" s="7"/>
      <c r="I254" s="9"/>
      <c r="J254" s="23"/>
      <c r="K254" s="23"/>
      <c r="L254" s="23"/>
      <c r="M254" s="8"/>
      <c r="N254" s="7"/>
      <c r="O254" s="9"/>
      <c r="P254" s="8"/>
      <c r="Q254" s="8"/>
      <c r="R254" s="8"/>
      <c r="S254" s="7"/>
      <c r="T254" s="7"/>
      <c r="U254" s="7"/>
      <c r="V254" s="7"/>
      <c r="W254" s="7"/>
      <c r="Y254" s="7"/>
      <c r="Z254" s="7"/>
      <c r="AF254" s="23"/>
      <c r="AG254" s="23"/>
      <c r="AH254" s="23"/>
      <c r="AI254" s="23"/>
      <c r="AJ254" s="9"/>
      <c r="AK254" s="9"/>
      <c r="AL254" s="9"/>
      <c r="AM254" s="9"/>
      <c r="AN254" s="9"/>
      <c r="AO254" s="9"/>
      <c r="AP254" s="9"/>
      <c r="AQ254" s="25"/>
      <c r="AY254" s="21"/>
      <c r="AZ254" s="7"/>
    </row>
    <row r="255" spans="3:52" x14ac:dyDescent="0.25">
      <c r="C255" s="9"/>
      <c r="D255" s="9"/>
      <c r="E255" s="9"/>
      <c r="F255" s="7"/>
      <c r="G255" s="7"/>
      <c r="H255" s="7"/>
      <c r="I255" s="9"/>
      <c r="J255" s="23"/>
      <c r="K255" s="23"/>
      <c r="L255" s="23"/>
      <c r="M255" s="8"/>
      <c r="N255" s="7"/>
      <c r="O255" s="9"/>
      <c r="P255" s="8"/>
      <c r="Q255" s="8"/>
      <c r="R255" s="8"/>
      <c r="S255" s="7"/>
      <c r="T255" s="7"/>
      <c r="U255" s="7"/>
      <c r="V255" s="7"/>
      <c r="W255" s="7"/>
      <c r="Y255" s="7"/>
      <c r="Z255" s="7"/>
      <c r="AF255" s="23"/>
      <c r="AG255" s="23"/>
      <c r="AH255" s="23"/>
      <c r="AI255" s="23"/>
      <c r="AJ255" s="9"/>
      <c r="AK255" s="9"/>
      <c r="AL255" s="9"/>
      <c r="AM255" s="9"/>
      <c r="AN255" s="9"/>
      <c r="AO255" s="9"/>
      <c r="AP255" s="9"/>
      <c r="AQ255" s="25"/>
      <c r="AY255" s="21"/>
      <c r="AZ255" s="7"/>
    </row>
    <row r="256" spans="3:52" x14ac:dyDescent="0.25">
      <c r="C256" s="9"/>
      <c r="D256" s="9"/>
      <c r="E256" s="9"/>
      <c r="F256" s="7"/>
      <c r="G256" s="7"/>
      <c r="H256" s="7"/>
      <c r="I256" s="9"/>
      <c r="J256" s="23"/>
      <c r="K256" s="23"/>
      <c r="L256" s="23"/>
      <c r="M256" s="8"/>
      <c r="N256" s="7"/>
      <c r="O256" s="9"/>
      <c r="P256" s="8"/>
      <c r="Q256" s="8"/>
      <c r="R256" s="8"/>
      <c r="S256" s="7"/>
      <c r="T256" s="7"/>
      <c r="U256" s="7"/>
      <c r="V256" s="7"/>
      <c r="W256" s="7"/>
      <c r="Y256" s="7"/>
      <c r="Z256" s="7"/>
      <c r="AF256" s="23"/>
      <c r="AG256" s="23"/>
      <c r="AH256" s="23"/>
      <c r="AI256" s="23"/>
      <c r="AJ256" s="9"/>
      <c r="AK256" s="9"/>
      <c r="AL256" s="9"/>
      <c r="AM256" s="9"/>
      <c r="AN256" s="9"/>
      <c r="AO256" s="9"/>
      <c r="AP256" s="9"/>
      <c r="AQ256" s="25"/>
      <c r="AY256" s="21"/>
      <c r="AZ256" s="7"/>
    </row>
    <row r="257" spans="3:52" x14ac:dyDescent="0.25">
      <c r="C257" s="9"/>
      <c r="D257" s="9"/>
      <c r="E257" s="9"/>
      <c r="F257" s="7"/>
      <c r="G257" s="7"/>
      <c r="H257" s="7"/>
      <c r="I257" s="9"/>
      <c r="J257" s="23"/>
      <c r="K257" s="23"/>
      <c r="L257" s="23"/>
      <c r="M257" s="8"/>
      <c r="N257" s="7"/>
      <c r="O257" s="9"/>
      <c r="P257" s="8"/>
      <c r="Q257" s="8"/>
      <c r="R257" s="8"/>
      <c r="S257" s="7"/>
      <c r="T257" s="7"/>
      <c r="U257" s="7"/>
      <c r="V257" s="7"/>
      <c r="W257" s="7"/>
      <c r="Y257" s="7"/>
      <c r="Z257" s="7"/>
      <c r="AF257" s="23"/>
      <c r="AG257" s="23"/>
      <c r="AH257" s="23"/>
      <c r="AI257" s="23"/>
      <c r="AJ257" s="9"/>
      <c r="AK257" s="9"/>
      <c r="AL257" s="9"/>
      <c r="AM257" s="9"/>
      <c r="AN257" s="9"/>
      <c r="AO257" s="9"/>
      <c r="AP257" s="9"/>
      <c r="AQ257" s="25"/>
      <c r="AY257" s="21"/>
      <c r="AZ257" s="7"/>
    </row>
    <row r="258" spans="3:52" x14ac:dyDescent="0.25">
      <c r="C258" s="9"/>
      <c r="D258" s="9"/>
      <c r="E258" s="9"/>
      <c r="F258" s="7"/>
      <c r="G258" s="7"/>
      <c r="H258" s="7"/>
      <c r="I258" s="9"/>
      <c r="J258" s="23"/>
      <c r="K258" s="23"/>
      <c r="L258" s="23"/>
      <c r="M258" s="8"/>
      <c r="N258" s="7"/>
      <c r="O258" s="9"/>
      <c r="P258" s="8"/>
      <c r="Q258" s="8"/>
      <c r="R258" s="8"/>
      <c r="S258" s="7"/>
      <c r="T258" s="7"/>
      <c r="U258" s="7"/>
      <c r="V258" s="7"/>
      <c r="W258" s="7"/>
      <c r="Y258" s="7"/>
      <c r="Z258" s="7"/>
      <c r="AF258" s="23"/>
      <c r="AG258" s="23"/>
      <c r="AH258" s="23"/>
      <c r="AI258" s="23"/>
      <c r="AJ258" s="9"/>
      <c r="AK258" s="9"/>
      <c r="AL258" s="9"/>
      <c r="AM258" s="9"/>
      <c r="AN258" s="9"/>
      <c r="AO258" s="9"/>
      <c r="AP258" s="9"/>
      <c r="AQ258" s="25"/>
      <c r="AY258" s="21"/>
      <c r="AZ258" s="7"/>
    </row>
    <row r="259" spans="3:52" x14ac:dyDescent="0.25">
      <c r="C259" s="9"/>
      <c r="D259" s="9"/>
      <c r="E259" s="9"/>
      <c r="F259" s="7"/>
      <c r="G259" s="7"/>
      <c r="H259" s="7"/>
      <c r="I259" s="9"/>
      <c r="J259" s="23"/>
      <c r="K259" s="23"/>
      <c r="L259" s="23"/>
      <c r="M259" s="8"/>
      <c r="N259" s="7"/>
      <c r="O259" s="9"/>
      <c r="P259" s="8"/>
      <c r="Q259" s="8"/>
      <c r="R259" s="8"/>
      <c r="S259" s="7"/>
      <c r="T259" s="7"/>
      <c r="U259" s="7"/>
      <c r="V259" s="7"/>
      <c r="W259" s="7"/>
      <c r="Y259" s="7"/>
      <c r="Z259" s="7"/>
      <c r="AF259" s="23"/>
      <c r="AG259" s="23"/>
      <c r="AH259" s="23"/>
      <c r="AI259" s="23"/>
      <c r="AJ259" s="9"/>
      <c r="AK259" s="9"/>
      <c r="AL259" s="9"/>
      <c r="AM259" s="9"/>
      <c r="AN259" s="9"/>
      <c r="AO259" s="9"/>
      <c r="AP259" s="9"/>
      <c r="AQ259" s="25"/>
      <c r="AY259" s="21"/>
      <c r="AZ259" s="7"/>
    </row>
    <row r="260" spans="3:52" x14ac:dyDescent="0.25">
      <c r="C260" s="9"/>
      <c r="D260" s="9"/>
      <c r="E260" s="9"/>
      <c r="F260" s="7"/>
      <c r="G260" s="7"/>
      <c r="H260" s="7"/>
      <c r="I260" s="9"/>
      <c r="J260" s="23"/>
      <c r="K260" s="23"/>
      <c r="L260" s="23"/>
      <c r="M260" s="8"/>
      <c r="N260" s="7"/>
      <c r="O260" s="9"/>
      <c r="P260" s="8"/>
      <c r="Q260" s="8"/>
      <c r="R260" s="8"/>
      <c r="S260" s="7"/>
      <c r="T260" s="7"/>
      <c r="U260" s="7"/>
      <c r="V260" s="7"/>
      <c r="W260" s="7"/>
      <c r="Y260" s="7"/>
      <c r="Z260" s="7"/>
      <c r="AF260" s="23"/>
      <c r="AG260" s="23"/>
      <c r="AH260" s="23"/>
      <c r="AI260" s="23"/>
      <c r="AJ260" s="9"/>
      <c r="AK260" s="9"/>
      <c r="AL260" s="9"/>
      <c r="AM260" s="9"/>
      <c r="AN260" s="9"/>
      <c r="AO260" s="9"/>
      <c r="AP260" s="9"/>
      <c r="AQ260" s="25"/>
      <c r="AY260" s="21"/>
      <c r="AZ260" s="7"/>
    </row>
    <row r="261" spans="3:52" x14ac:dyDescent="0.25">
      <c r="C261" s="9"/>
      <c r="D261" s="9"/>
      <c r="E261" s="9"/>
      <c r="F261" s="7"/>
      <c r="G261" s="7"/>
      <c r="H261" s="7"/>
      <c r="I261" s="9"/>
      <c r="J261" s="23"/>
      <c r="K261" s="23"/>
      <c r="L261" s="23"/>
      <c r="M261" s="8"/>
      <c r="N261" s="7"/>
      <c r="O261" s="9"/>
      <c r="P261" s="8"/>
      <c r="Q261" s="8"/>
      <c r="R261" s="8"/>
      <c r="S261" s="7"/>
      <c r="T261" s="7"/>
      <c r="U261" s="7"/>
      <c r="V261" s="7"/>
      <c r="W261" s="7"/>
      <c r="Y261" s="7"/>
      <c r="Z261" s="7"/>
      <c r="AF261" s="23"/>
      <c r="AG261" s="23"/>
      <c r="AH261" s="23"/>
      <c r="AI261" s="23"/>
      <c r="AJ261" s="9"/>
      <c r="AK261" s="9"/>
      <c r="AL261" s="9"/>
      <c r="AM261" s="9"/>
      <c r="AN261" s="9"/>
      <c r="AO261" s="9"/>
      <c r="AP261" s="9"/>
      <c r="AQ261" s="25"/>
      <c r="AY261" s="21"/>
      <c r="AZ261" s="7"/>
    </row>
    <row r="262" spans="3:52" x14ac:dyDescent="0.25">
      <c r="C262" s="9"/>
      <c r="D262" s="9"/>
      <c r="E262" s="9"/>
      <c r="F262" s="7"/>
      <c r="G262" s="7"/>
      <c r="H262" s="7"/>
      <c r="I262" s="9"/>
      <c r="J262" s="23"/>
      <c r="K262" s="23"/>
      <c r="L262" s="23"/>
      <c r="M262" s="8"/>
      <c r="N262" s="7"/>
      <c r="O262" s="9"/>
      <c r="P262" s="8"/>
      <c r="Q262" s="8"/>
      <c r="R262" s="8"/>
      <c r="S262" s="7"/>
      <c r="T262" s="7"/>
      <c r="U262" s="7"/>
      <c r="V262" s="7"/>
      <c r="W262" s="7"/>
      <c r="Y262" s="7"/>
      <c r="Z262" s="7"/>
      <c r="AF262" s="23"/>
      <c r="AG262" s="23"/>
      <c r="AH262" s="23"/>
      <c r="AI262" s="23"/>
      <c r="AJ262" s="9"/>
      <c r="AK262" s="9"/>
      <c r="AL262" s="9"/>
      <c r="AM262" s="9"/>
      <c r="AN262" s="9"/>
      <c r="AO262" s="9"/>
      <c r="AP262" s="9"/>
      <c r="AQ262" s="25"/>
      <c r="AY262" s="21"/>
      <c r="AZ262" s="7"/>
    </row>
    <row r="263" spans="3:52" x14ac:dyDescent="0.25">
      <c r="C263" s="9"/>
      <c r="D263" s="9"/>
      <c r="E263" s="9"/>
      <c r="F263" s="7"/>
      <c r="G263" s="7"/>
      <c r="H263" s="7"/>
      <c r="I263" s="9"/>
      <c r="J263" s="23"/>
      <c r="K263" s="23"/>
      <c r="L263" s="23"/>
      <c r="M263" s="8"/>
      <c r="N263" s="7"/>
      <c r="O263" s="9"/>
      <c r="P263" s="8"/>
      <c r="Q263" s="8"/>
      <c r="R263" s="8"/>
      <c r="S263" s="7"/>
      <c r="T263" s="7"/>
      <c r="U263" s="7"/>
      <c r="V263" s="7"/>
      <c r="W263" s="7"/>
      <c r="Y263" s="7"/>
      <c r="Z263" s="7"/>
      <c r="AF263" s="23"/>
      <c r="AG263" s="23"/>
      <c r="AH263" s="23"/>
      <c r="AI263" s="23"/>
      <c r="AJ263" s="9"/>
      <c r="AK263" s="9"/>
      <c r="AL263" s="9"/>
      <c r="AM263" s="9"/>
      <c r="AN263" s="9"/>
      <c r="AO263" s="9"/>
      <c r="AP263" s="9"/>
      <c r="AQ263" s="25"/>
      <c r="AY263" s="21"/>
      <c r="AZ263" s="7"/>
    </row>
    <row r="264" spans="3:52" x14ac:dyDescent="0.25">
      <c r="C264" s="9"/>
      <c r="D264" s="9"/>
      <c r="E264" s="9"/>
      <c r="F264" s="7"/>
      <c r="G264" s="7"/>
      <c r="H264" s="7"/>
      <c r="I264" s="9"/>
      <c r="J264" s="23"/>
      <c r="K264" s="23"/>
      <c r="L264" s="23"/>
      <c r="M264" s="8"/>
      <c r="N264" s="7"/>
      <c r="O264" s="9"/>
      <c r="P264" s="8"/>
      <c r="Q264" s="8"/>
      <c r="R264" s="8"/>
      <c r="S264" s="7"/>
      <c r="T264" s="7"/>
      <c r="U264" s="7"/>
      <c r="V264" s="7"/>
      <c r="W264" s="7"/>
      <c r="Y264" s="7"/>
      <c r="Z264" s="7"/>
      <c r="AF264" s="23"/>
      <c r="AG264" s="23"/>
      <c r="AH264" s="23"/>
      <c r="AI264" s="23"/>
      <c r="AJ264" s="9"/>
      <c r="AK264" s="9"/>
      <c r="AL264" s="9"/>
      <c r="AM264" s="9"/>
      <c r="AN264" s="9"/>
      <c r="AO264" s="9"/>
      <c r="AP264" s="9"/>
      <c r="AQ264" s="25"/>
      <c r="AY264" s="21"/>
      <c r="AZ264" s="7"/>
    </row>
    <row r="265" spans="3:52" x14ac:dyDescent="0.25">
      <c r="C265" s="9"/>
      <c r="D265" s="9"/>
      <c r="E265" s="9"/>
      <c r="F265" s="7"/>
      <c r="G265" s="7"/>
      <c r="H265" s="7"/>
      <c r="I265" s="9"/>
      <c r="J265" s="23"/>
      <c r="K265" s="23"/>
      <c r="L265" s="23"/>
      <c r="M265" s="8"/>
      <c r="N265" s="7"/>
      <c r="O265" s="9"/>
      <c r="P265" s="8"/>
      <c r="Q265" s="8"/>
      <c r="R265" s="8"/>
      <c r="S265" s="7"/>
      <c r="T265" s="7"/>
      <c r="U265" s="7"/>
      <c r="V265" s="7"/>
      <c r="W265" s="7"/>
      <c r="Y265" s="7"/>
      <c r="Z265" s="7"/>
      <c r="AF265" s="23"/>
      <c r="AG265" s="23"/>
      <c r="AH265" s="23"/>
      <c r="AI265" s="23"/>
      <c r="AJ265" s="9"/>
      <c r="AK265" s="9"/>
      <c r="AL265" s="9"/>
      <c r="AM265" s="9"/>
      <c r="AN265" s="9"/>
      <c r="AO265" s="9"/>
      <c r="AP265" s="9"/>
      <c r="AQ265" s="25"/>
      <c r="AY265" s="21"/>
      <c r="AZ265" s="7"/>
    </row>
    <row r="266" spans="3:52" x14ac:dyDescent="0.25">
      <c r="C266" s="9"/>
      <c r="D266" s="9"/>
      <c r="E266" s="9"/>
      <c r="F266" s="7"/>
      <c r="G266" s="7"/>
      <c r="H266" s="7"/>
      <c r="I266" s="9"/>
      <c r="J266" s="23"/>
      <c r="K266" s="23"/>
      <c r="L266" s="23"/>
      <c r="M266" s="8"/>
      <c r="N266" s="7"/>
      <c r="O266" s="9"/>
      <c r="P266" s="8"/>
      <c r="Q266" s="8"/>
      <c r="R266" s="8"/>
      <c r="S266" s="7"/>
      <c r="T266" s="7"/>
      <c r="U266" s="7"/>
      <c r="V266" s="7"/>
      <c r="W266" s="7"/>
      <c r="Y266" s="7"/>
      <c r="Z266" s="7"/>
      <c r="AF266" s="23"/>
      <c r="AG266" s="23"/>
      <c r="AH266" s="23"/>
      <c r="AI266" s="23"/>
      <c r="AJ266" s="9"/>
      <c r="AK266" s="9"/>
      <c r="AL266" s="9"/>
      <c r="AM266" s="9"/>
      <c r="AN266" s="9"/>
      <c r="AO266" s="9"/>
      <c r="AP266" s="9"/>
      <c r="AQ266" s="25"/>
      <c r="AY266" s="21"/>
      <c r="AZ266" s="7"/>
    </row>
    <row r="267" spans="3:52" x14ac:dyDescent="0.25">
      <c r="C267" s="9"/>
      <c r="D267" s="9"/>
      <c r="E267" s="9"/>
      <c r="F267" s="7"/>
      <c r="G267" s="7"/>
      <c r="H267" s="7"/>
      <c r="I267" s="9"/>
      <c r="J267" s="23"/>
      <c r="K267" s="23"/>
      <c r="L267" s="23"/>
      <c r="M267" s="8"/>
      <c r="N267" s="7"/>
      <c r="O267" s="9"/>
      <c r="P267" s="8"/>
      <c r="Q267" s="8"/>
      <c r="R267" s="8"/>
      <c r="S267" s="7"/>
      <c r="T267" s="7"/>
      <c r="U267" s="7"/>
      <c r="V267" s="7"/>
      <c r="W267" s="7"/>
      <c r="Y267" s="7"/>
      <c r="Z267" s="7"/>
      <c r="AF267" s="23"/>
      <c r="AG267" s="23"/>
      <c r="AH267" s="23"/>
      <c r="AI267" s="23"/>
      <c r="AJ267" s="9"/>
      <c r="AK267" s="9"/>
      <c r="AL267" s="9"/>
      <c r="AM267" s="9"/>
      <c r="AN267" s="9"/>
      <c r="AO267" s="9"/>
      <c r="AP267" s="9"/>
      <c r="AQ267" s="25"/>
      <c r="AY267" s="21"/>
      <c r="AZ267" s="7"/>
    </row>
    <row r="268" spans="3:52" x14ac:dyDescent="0.25">
      <c r="C268" s="9"/>
      <c r="D268" s="9"/>
      <c r="E268" s="9"/>
      <c r="F268" s="7"/>
      <c r="G268" s="7"/>
      <c r="H268" s="7"/>
      <c r="I268" s="9"/>
      <c r="J268" s="23"/>
      <c r="K268" s="23"/>
      <c r="L268" s="23"/>
      <c r="M268" s="8"/>
      <c r="N268" s="7"/>
      <c r="O268" s="9"/>
      <c r="P268" s="8"/>
      <c r="Q268" s="8"/>
      <c r="R268" s="8"/>
      <c r="S268" s="7"/>
      <c r="T268" s="7"/>
      <c r="U268" s="7"/>
      <c r="V268" s="7"/>
      <c r="W268" s="7"/>
      <c r="Y268" s="7"/>
      <c r="Z268" s="7"/>
      <c r="AF268" s="23"/>
      <c r="AG268" s="23"/>
      <c r="AH268" s="23"/>
      <c r="AI268" s="23"/>
      <c r="AJ268" s="9"/>
      <c r="AK268" s="9"/>
      <c r="AL268" s="9"/>
      <c r="AM268" s="9"/>
      <c r="AN268" s="9"/>
      <c r="AO268" s="9"/>
      <c r="AP268" s="9"/>
      <c r="AQ268" s="25"/>
      <c r="AY268" s="21"/>
      <c r="AZ268" s="7"/>
    </row>
    <row r="269" spans="3:52" x14ac:dyDescent="0.25">
      <c r="C269" s="9"/>
      <c r="D269" s="9"/>
      <c r="E269" s="9"/>
      <c r="F269" s="7"/>
      <c r="G269" s="7"/>
      <c r="H269" s="7"/>
      <c r="I269" s="9"/>
      <c r="J269" s="23"/>
      <c r="K269" s="23"/>
      <c r="L269" s="23"/>
      <c r="M269" s="8"/>
      <c r="N269" s="7"/>
      <c r="O269" s="9"/>
      <c r="P269" s="8"/>
      <c r="Q269" s="8"/>
      <c r="R269" s="8"/>
      <c r="S269" s="7"/>
      <c r="T269" s="7"/>
      <c r="U269" s="7"/>
      <c r="V269" s="7"/>
      <c r="W269" s="7"/>
      <c r="Y269" s="7"/>
      <c r="Z269" s="7"/>
      <c r="AF269" s="23"/>
      <c r="AG269" s="23"/>
      <c r="AH269" s="23"/>
      <c r="AI269" s="23"/>
      <c r="AJ269" s="9"/>
      <c r="AK269" s="9"/>
      <c r="AL269" s="9"/>
      <c r="AM269" s="9"/>
      <c r="AN269" s="9"/>
      <c r="AO269" s="9"/>
      <c r="AP269" s="9"/>
      <c r="AQ269" s="25"/>
      <c r="AY269" s="21"/>
      <c r="AZ269" s="7"/>
    </row>
    <row r="270" spans="3:52" x14ac:dyDescent="0.25">
      <c r="C270" s="9"/>
      <c r="D270" s="9"/>
      <c r="E270" s="9"/>
      <c r="F270" s="7"/>
      <c r="G270" s="7"/>
      <c r="H270" s="7"/>
      <c r="I270" s="9"/>
      <c r="J270" s="23"/>
      <c r="K270" s="23"/>
      <c r="L270" s="23"/>
      <c r="M270" s="8"/>
      <c r="N270" s="7"/>
      <c r="O270" s="9"/>
      <c r="P270" s="8"/>
      <c r="Q270" s="8"/>
      <c r="R270" s="8"/>
      <c r="S270" s="7"/>
      <c r="T270" s="7"/>
      <c r="U270" s="7"/>
      <c r="V270" s="7"/>
      <c r="W270" s="7"/>
      <c r="Y270" s="7"/>
      <c r="Z270" s="7"/>
      <c r="AF270" s="23"/>
      <c r="AG270" s="23"/>
      <c r="AH270" s="23"/>
      <c r="AI270" s="23"/>
      <c r="AJ270" s="9"/>
      <c r="AK270" s="9"/>
      <c r="AL270" s="9"/>
      <c r="AM270" s="9"/>
      <c r="AN270" s="9"/>
      <c r="AO270" s="9"/>
      <c r="AP270" s="9"/>
      <c r="AQ270" s="25"/>
      <c r="AY270" s="21"/>
      <c r="AZ270" s="7"/>
    </row>
    <row r="271" spans="3:52" x14ac:dyDescent="0.25">
      <c r="C271" s="9"/>
      <c r="D271" s="9"/>
      <c r="E271" s="9"/>
      <c r="F271" s="7"/>
      <c r="G271" s="7"/>
      <c r="H271" s="7"/>
      <c r="I271" s="9"/>
      <c r="J271" s="23"/>
      <c r="K271" s="23"/>
      <c r="L271" s="23"/>
      <c r="M271" s="8"/>
      <c r="N271" s="7"/>
      <c r="O271" s="9"/>
      <c r="P271" s="8"/>
      <c r="Q271" s="8"/>
      <c r="R271" s="8"/>
      <c r="S271" s="7"/>
      <c r="T271" s="7"/>
      <c r="U271" s="7"/>
      <c r="V271" s="7"/>
      <c r="W271" s="7"/>
      <c r="Y271" s="7"/>
      <c r="Z271" s="7"/>
      <c r="AF271" s="23"/>
      <c r="AG271" s="23"/>
      <c r="AH271" s="23"/>
      <c r="AI271" s="23"/>
      <c r="AJ271" s="9"/>
      <c r="AK271" s="9"/>
      <c r="AL271" s="9"/>
      <c r="AM271" s="9"/>
      <c r="AN271" s="9"/>
      <c r="AO271" s="9"/>
      <c r="AP271" s="9"/>
      <c r="AQ271" s="25"/>
      <c r="AY271" s="21"/>
      <c r="AZ271" s="7"/>
    </row>
    <row r="272" spans="3:52" x14ac:dyDescent="0.25">
      <c r="C272" s="9"/>
      <c r="D272" s="9"/>
      <c r="E272" s="9"/>
      <c r="F272" s="7"/>
      <c r="G272" s="7"/>
      <c r="H272" s="7"/>
      <c r="I272" s="9"/>
      <c r="J272" s="23"/>
      <c r="K272" s="23"/>
      <c r="L272" s="23"/>
      <c r="M272" s="8"/>
      <c r="N272" s="7"/>
      <c r="O272" s="9"/>
      <c r="P272" s="8"/>
      <c r="Q272" s="8"/>
      <c r="R272" s="8"/>
      <c r="S272" s="7"/>
      <c r="T272" s="7"/>
      <c r="U272" s="7"/>
      <c r="V272" s="7"/>
      <c r="W272" s="7"/>
      <c r="Y272" s="7"/>
      <c r="Z272" s="7"/>
      <c r="AF272" s="23"/>
      <c r="AG272" s="23"/>
      <c r="AH272" s="23"/>
      <c r="AI272" s="23"/>
      <c r="AJ272" s="9"/>
      <c r="AK272" s="9"/>
      <c r="AL272" s="9"/>
      <c r="AM272" s="9"/>
      <c r="AN272" s="9"/>
      <c r="AO272" s="9"/>
      <c r="AP272" s="9"/>
      <c r="AQ272" s="25"/>
      <c r="AY272" s="21"/>
      <c r="AZ272" s="7"/>
    </row>
    <row r="273" spans="3:52" x14ac:dyDescent="0.25">
      <c r="C273" s="9"/>
      <c r="D273" s="9"/>
      <c r="E273" s="9"/>
      <c r="F273" s="7"/>
      <c r="G273" s="7"/>
      <c r="H273" s="7"/>
      <c r="I273" s="9"/>
      <c r="J273" s="23"/>
      <c r="K273" s="23"/>
      <c r="L273" s="23"/>
      <c r="M273" s="8"/>
      <c r="N273" s="7"/>
      <c r="O273" s="9"/>
      <c r="P273" s="8"/>
      <c r="Q273" s="8"/>
      <c r="R273" s="8"/>
      <c r="S273" s="7"/>
      <c r="T273" s="7"/>
      <c r="U273" s="7"/>
      <c r="V273" s="7"/>
      <c r="W273" s="7"/>
      <c r="Y273" s="7"/>
      <c r="Z273" s="7"/>
      <c r="AF273" s="23"/>
      <c r="AG273" s="23"/>
      <c r="AH273" s="23"/>
      <c r="AI273" s="23"/>
      <c r="AJ273" s="9"/>
      <c r="AK273" s="9"/>
      <c r="AL273" s="9"/>
      <c r="AM273" s="9"/>
      <c r="AN273" s="9"/>
      <c r="AO273" s="9"/>
      <c r="AP273" s="9"/>
      <c r="AQ273" s="25"/>
      <c r="AY273" s="21"/>
      <c r="AZ273" s="7"/>
    </row>
    <row r="274" spans="3:52" x14ac:dyDescent="0.25">
      <c r="C274" s="9"/>
      <c r="D274" s="9"/>
      <c r="E274" s="9"/>
      <c r="F274" s="7"/>
      <c r="G274" s="7"/>
      <c r="H274" s="7"/>
      <c r="I274" s="9"/>
      <c r="J274" s="23"/>
      <c r="K274" s="23"/>
      <c r="L274" s="23"/>
      <c r="M274" s="8"/>
      <c r="N274" s="7"/>
      <c r="O274" s="9"/>
      <c r="P274" s="8"/>
      <c r="Q274" s="8"/>
      <c r="R274" s="8"/>
      <c r="S274" s="7"/>
      <c r="T274" s="7"/>
      <c r="U274" s="7"/>
      <c r="V274" s="7"/>
      <c r="W274" s="7"/>
      <c r="Y274" s="7"/>
      <c r="Z274" s="7"/>
      <c r="AF274" s="23"/>
      <c r="AG274" s="23"/>
      <c r="AH274" s="23"/>
      <c r="AI274" s="23"/>
      <c r="AJ274" s="9"/>
      <c r="AK274" s="9"/>
      <c r="AL274" s="9"/>
      <c r="AM274" s="9"/>
      <c r="AN274" s="9"/>
      <c r="AO274" s="9"/>
      <c r="AP274" s="9"/>
      <c r="AQ274" s="25"/>
      <c r="AY274" s="21"/>
      <c r="AZ274" s="7"/>
    </row>
    <row r="275" spans="3:52" x14ac:dyDescent="0.25">
      <c r="C275" s="9"/>
      <c r="D275" s="9"/>
      <c r="E275" s="9"/>
      <c r="F275" s="7"/>
      <c r="G275" s="7"/>
      <c r="H275" s="7"/>
      <c r="I275" s="9"/>
      <c r="J275" s="23"/>
      <c r="K275" s="23"/>
      <c r="L275" s="23"/>
      <c r="M275" s="8"/>
      <c r="N275" s="7"/>
      <c r="O275" s="9"/>
      <c r="P275" s="8"/>
      <c r="Q275" s="8"/>
      <c r="R275" s="8"/>
      <c r="S275" s="7"/>
      <c r="T275" s="7"/>
      <c r="U275" s="7"/>
      <c r="V275" s="7"/>
      <c r="W275" s="7"/>
      <c r="Y275" s="7"/>
      <c r="Z275" s="7"/>
      <c r="AF275" s="23"/>
      <c r="AG275" s="23"/>
      <c r="AH275" s="23"/>
      <c r="AI275" s="23"/>
      <c r="AJ275" s="9"/>
      <c r="AK275" s="9"/>
      <c r="AL275" s="9"/>
      <c r="AM275" s="9"/>
      <c r="AN275" s="9"/>
      <c r="AO275" s="9"/>
      <c r="AP275" s="9"/>
      <c r="AQ275" s="25"/>
      <c r="AY275" s="21"/>
      <c r="AZ275" s="7"/>
    </row>
    <row r="276" spans="3:52" x14ac:dyDescent="0.25">
      <c r="C276" s="9"/>
      <c r="D276" s="9"/>
      <c r="E276" s="9"/>
      <c r="F276" s="7"/>
      <c r="G276" s="7"/>
      <c r="H276" s="7"/>
      <c r="I276" s="9"/>
      <c r="J276" s="23"/>
      <c r="K276" s="23"/>
      <c r="L276" s="23"/>
      <c r="M276" s="8"/>
      <c r="N276" s="7"/>
      <c r="O276" s="9"/>
      <c r="P276" s="8"/>
      <c r="Q276" s="8"/>
      <c r="R276" s="8"/>
      <c r="S276" s="7"/>
      <c r="T276" s="7"/>
      <c r="U276" s="7"/>
      <c r="V276" s="7"/>
      <c r="W276" s="7"/>
      <c r="Y276" s="7"/>
      <c r="Z276" s="7"/>
      <c r="AF276" s="23"/>
      <c r="AG276" s="23"/>
      <c r="AH276" s="23"/>
      <c r="AI276" s="23"/>
      <c r="AJ276" s="9"/>
      <c r="AK276" s="9"/>
      <c r="AL276" s="9"/>
      <c r="AM276" s="9"/>
      <c r="AN276" s="9"/>
      <c r="AO276" s="9"/>
      <c r="AP276" s="9"/>
      <c r="AQ276" s="25"/>
      <c r="AY276" s="21"/>
      <c r="AZ276" s="7"/>
    </row>
    <row r="277" spans="3:52" x14ac:dyDescent="0.25">
      <c r="C277" s="9"/>
      <c r="D277" s="9"/>
      <c r="E277" s="9"/>
      <c r="F277" s="7"/>
      <c r="G277" s="7"/>
      <c r="H277" s="7"/>
      <c r="I277" s="9"/>
      <c r="J277" s="23"/>
      <c r="K277" s="23"/>
      <c r="L277" s="23"/>
      <c r="M277" s="8"/>
      <c r="N277" s="7"/>
      <c r="O277" s="9"/>
      <c r="P277" s="8"/>
      <c r="Q277" s="8"/>
      <c r="R277" s="8"/>
      <c r="S277" s="7"/>
      <c r="T277" s="7"/>
      <c r="U277" s="7"/>
      <c r="V277" s="7"/>
      <c r="W277" s="7"/>
      <c r="Y277" s="7"/>
      <c r="Z277" s="7"/>
      <c r="AF277" s="23"/>
      <c r="AG277" s="23"/>
      <c r="AH277" s="23"/>
      <c r="AI277" s="23"/>
      <c r="AJ277" s="9"/>
      <c r="AK277" s="9"/>
      <c r="AL277" s="9"/>
      <c r="AM277" s="9"/>
      <c r="AN277" s="9"/>
      <c r="AO277" s="9"/>
      <c r="AP277" s="9"/>
      <c r="AQ277" s="25"/>
      <c r="AY277" s="21"/>
      <c r="AZ277" s="7"/>
    </row>
    <row r="278" spans="3:52" x14ac:dyDescent="0.25">
      <c r="C278" s="9"/>
      <c r="D278" s="9"/>
      <c r="E278" s="9"/>
      <c r="F278" s="7"/>
      <c r="G278" s="7"/>
      <c r="H278" s="7"/>
      <c r="I278" s="9"/>
      <c r="J278" s="23"/>
      <c r="K278" s="23"/>
      <c r="L278" s="23"/>
      <c r="M278" s="8"/>
      <c r="N278" s="7"/>
      <c r="O278" s="9"/>
      <c r="P278" s="8"/>
      <c r="Q278" s="8"/>
      <c r="R278" s="8"/>
      <c r="S278" s="7"/>
      <c r="T278" s="7"/>
      <c r="U278" s="7"/>
      <c r="V278" s="7"/>
      <c r="W278" s="7"/>
      <c r="Y278" s="7"/>
      <c r="Z278" s="7"/>
      <c r="AF278" s="23"/>
      <c r="AG278" s="23"/>
      <c r="AH278" s="23"/>
      <c r="AI278" s="23"/>
      <c r="AJ278" s="9"/>
      <c r="AK278" s="9"/>
      <c r="AL278" s="9"/>
      <c r="AM278" s="9"/>
      <c r="AN278" s="9"/>
      <c r="AO278" s="9"/>
      <c r="AP278" s="9"/>
      <c r="AQ278" s="25"/>
      <c r="AY278" s="21"/>
      <c r="AZ278" s="7"/>
    </row>
    <row r="279" spans="3:52" x14ac:dyDescent="0.25">
      <c r="C279" s="9"/>
      <c r="D279" s="9"/>
      <c r="E279" s="9"/>
      <c r="F279" s="7"/>
      <c r="G279" s="7"/>
      <c r="H279" s="7"/>
      <c r="I279" s="9"/>
      <c r="J279" s="23"/>
      <c r="K279" s="23"/>
      <c r="L279" s="23"/>
      <c r="M279" s="8"/>
      <c r="N279" s="7"/>
      <c r="O279" s="9"/>
      <c r="P279" s="8"/>
      <c r="Q279" s="8"/>
      <c r="R279" s="8"/>
      <c r="S279" s="7"/>
      <c r="T279" s="7"/>
      <c r="U279" s="7"/>
      <c r="V279" s="7"/>
      <c r="W279" s="7"/>
      <c r="Y279" s="7"/>
      <c r="Z279" s="7"/>
      <c r="AF279" s="23"/>
      <c r="AG279" s="23"/>
      <c r="AH279" s="23"/>
      <c r="AI279" s="23"/>
      <c r="AJ279" s="9"/>
      <c r="AK279" s="9"/>
      <c r="AL279" s="9"/>
      <c r="AM279" s="9"/>
      <c r="AN279" s="9"/>
      <c r="AO279" s="9"/>
      <c r="AP279" s="9"/>
      <c r="AQ279" s="25"/>
      <c r="AY279" s="21"/>
      <c r="AZ279" s="7"/>
    </row>
    <row r="280" spans="3:52" x14ac:dyDescent="0.25">
      <c r="C280" s="9"/>
      <c r="D280" s="9"/>
      <c r="E280" s="9"/>
      <c r="F280" s="7"/>
      <c r="G280" s="7"/>
      <c r="H280" s="7"/>
      <c r="I280" s="9"/>
      <c r="J280" s="23"/>
      <c r="K280" s="23"/>
      <c r="L280" s="23"/>
      <c r="M280" s="8"/>
      <c r="N280" s="7"/>
      <c r="O280" s="9"/>
      <c r="P280" s="8"/>
      <c r="Q280" s="8"/>
      <c r="R280" s="8"/>
      <c r="S280" s="7"/>
      <c r="T280" s="7"/>
      <c r="U280" s="7"/>
      <c r="V280" s="7"/>
      <c r="W280" s="7"/>
      <c r="Y280" s="7"/>
      <c r="Z280" s="7"/>
      <c r="AF280" s="23"/>
      <c r="AG280" s="23"/>
      <c r="AH280" s="23"/>
      <c r="AI280" s="23"/>
      <c r="AJ280" s="9"/>
      <c r="AK280" s="9"/>
      <c r="AL280" s="9"/>
      <c r="AM280" s="9"/>
      <c r="AN280" s="9"/>
      <c r="AO280" s="9"/>
      <c r="AP280" s="9"/>
      <c r="AQ280" s="25"/>
      <c r="AY280" s="21"/>
      <c r="AZ280" s="7"/>
    </row>
    <row r="281" spans="3:52" x14ac:dyDescent="0.25">
      <c r="C281" s="9"/>
      <c r="D281" s="9"/>
      <c r="E281" s="9"/>
      <c r="F281" s="7"/>
      <c r="G281" s="7"/>
      <c r="H281" s="7"/>
      <c r="I281" s="9"/>
      <c r="J281" s="23"/>
      <c r="K281" s="23"/>
      <c r="L281" s="23"/>
      <c r="M281" s="8"/>
      <c r="N281" s="7"/>
      <c r="O281" s="9"/>
      <c r="P281" s="8"/>
      <c r="Q281" s="8"/>
      <c r="R281" s="8"/>
      <c r="S281" s="7"/>
      <c r="T281" s="7"/>
      <c r="U281" s="7"/>
      <c r="V281" s="7"/>
      <c r="W281" s="7"/>
      <c r="Y281" s="7"/>
      <c r="Z281" s="7"/>
      <c r="AF281" s="23"/>
      <c r="AG281" s="23"/>
      <c r="AH281" s="23"/>
      <c r="AI281" s="23"/>
      <c r="AJ281" s="9"/>
      <c r="AK281" s="9"/>
      <c r="AL281" s="9"/>
      <c r="AM281" s="9"/>
      <c r="AN281" s="9"/>
      <c r="AO281" s="9"/>
      <c r="AP281" s="9"/>
      <c r="AQ281" s="25"/>
      <c r="AY281" s="21"/>
      <c r="AZ281" s="7"/>
    </row>
    <row r="282" spans="3:52" x14ac:dyDescent="0.25">
      <c r="C282" s="9"/>
      <c r="D282" s="9"/>
      <c r="E282" s="9"/>
      <c r="F282" s="7"/>
      <c r="G282" s="7"/>
      <c r="H282" s="7"/>
      <c r="I282" s="9"/>
      <c r="J282" s="23"/>
      <c r="K282" s="23"/>
      <c r="L282" s="23"/>
      <c r="M282" s="8"/>
      <c r="N282" s="7"/>
      <c r="O282" s="9"/>
      <c r="P282" s="8"/>
      <c r="Q282" s="8"/>
      <c r="R282" s="8"/>
      <c r="S282" s="7"/>
      <c r="T282" s="7"/>
      <c r="U282" s="7"/>
      <c r="V282" s="7"/>
      <c r="W282" s="7"/>
      <c r="Y282" s="7"/>
      <c r="Z282" s="7"/>
      <c r="AF282" s="23"/>
      <c r="AG282" s="23"/>
      <c r="AH282" s="23"/>
      <c r="AI282" s="23"/>
      <c r="AJ282" s="9"/>
      <c r="AK282" s="9"/>
      <c r="AL282" s="9"/>
      <c r="AM282" s="9"/>
      <c r="AN282" s="9"/>
      <c r="AO282" s="9"/>
      <c r="AP282" s="9"/>
      <c r="AQ282" s="25"/>
      <c r="AY282" s="21"/>
      <c r="AZ282" s="7"/>
    </row>
    <row r="283" spans="3:52" x14ac:dyDescent="0.25">
      <c r="C283" s="9"/>
      <c r="D283" s="9"/>
      <c r="E283" s="9"/>
      <c r="F283" s="7"/>
      <c r="G283" s="7"/>
      <c r="H283" s="7"/>
      <c r="I283" s="9"/>
      <c r="J283" s="23"/>
      <c r="K283" s="23"/>
      <c r="L283" s="23"/>
      <c r="M283" s="8"/>
      <c r="N283" s="7"/>
      <c r="O283" s="9"/>
      <c r="P283" s="8"/>
      <c r="Q283" s="8"/>
      <c r="R283" s="8"/>
      <c r="S283" s="7"/>
      <c r="T283" s="7"/>
      <c r="U283" s="7"/>
      <c r="V283" s="7"/>
      <c r="W283" s="7"/>
      <c r="Y283" s="7"/>
      <c r="Z283" s="7"/>
      <c r="AF283" s="23"/>
      <c r="AG283" s="23"/>
      <c r="AH283" s="23"/>
      <c r="AI283" s="23"/>
      <c r="AJ283" s="9"/>
      <c r="AK283" s="9"/>
      <c r="AL283" s="9"/>
      <c r="AM283" s="9"/>
      <c r="AN283" s="9"/>
      <c r="AO283" s="9"/>
      <c r="AP283" s="9"/>
      <c r="AQ283" s="25"/>
      <c r="AY283" s="21"/>
      <c r="AZ283" s="7"/>
    </row>
    <row r="284" spans="3:52" x14ac:dyDescent="0.25">
      <c r="C284" s="9"/>
      <c r="D284" s="9"/>
      <c r="E284" s="9"/>
      <c r="F284" s="7"/>
      <c r="G284" s="7"/>
      <c r="H284" s="7"/>
      <c r="I284" s="9"/>
      <c r="J284" s="23"/>
      <c r="K284" s="23"/>
      <c r="L284" s="23"/>
      <c r="M284" s="8"/>
      <c r="N284" s="7"/>
      <c r="O284" s="9"/>
      <c r="P284" s="8"/>
      <c r="Q284" s="8"/>
      <c r="R284" s="8"/>
      <c r="S284" s="7"/>
      <c r="T284" s="7"/>
      <c r="U284" s="7"/>
      <c r="V284" s="7"/>
      <c r="W284" s="7"/>
      <c r="Y284" s="7"/>
      <c r="Z284" s="7"/>
      <c r="AF284" s="23"/>
      <c r="AG284" s="23"/>
      <c r="AH284" s="23"/>
      <c r="AI284" s="23"/>
      <c r="AJ284" s="9"/>
      <c r="AK284" s="9"/>
      <c r="AL284" s="9"/>
      <c r="AM284" s="9"/>
      <c r="AN284" s="9"/>
      <c r="AO284" s="9"/>
      <c r="AP284" s="9"/>
      <c r="AQ284" s="25"/>
      <c r="AY284" s="21"/>
      <c r="AZ284" s="7"/>
    </row>
    <row r="285" spans="3:52" x14ac:dyDescent="0.25">
      <c r="C285" s="9"/>
      <c r="D285" s="9"/>
      <c r="E285" s="9"/>
      <c r="F285" s="7"/>
      <c r="G285" s="7"/>
      <c r="H285" s="7"/>
      <c r="I285" s="9"/>
      <c r="J285" s="23"/>
      <c r="K285" s="23"/>
      <c r="L285" s="23"/>
      <c r="M285" s="8"/>
      <c r="N285" s="7"/>
      <c r="O285" s="9"/>
      <c r="P285" s="8"/>
      <c r="Q285" s="8"/>
      <c r="R285" s="8"/>
      <c r="S285" s="7"/>
      <c r="T285" s="7"/>
      <c r="U285" s="7"/>
      <c r="V285" s="7"/>
      <c r="W285" s="7"/>
      <c r="Y285" s="7"/>
      <c r="Z285" s="7"/>
      <c r="AF285" s="23"/>
      <c r="AG285" s="23"/>
      <c r="AH285" s="23"/>
      <c r="AI285" s="23"/>
      <c r="AJ285" s="9"/>
      <c r="AK285" s="9"/>
      <c r="AL285" s="9"/>
      <c r="AM285" s="9"/>
      <c r="AN285" s="9"/>
      <c r="AO285" s="9"/>
      <c r="AP285" s="9"/>
      <c r="AQ285" s="25"/>
      <c r="AY285" s="21"/>
      <c r="AZ285" s="7"/>
    </row>
    <row r="286" spans="3:52" x14ac:dyDescent="0.25">
      <c r="C286" s="9"/>
      <c r="D286" s="9"/>
      <c r="E286" s="9"/>
      <c r="F286" s="7"/>
      <c r="G286" s="7"/>
      <c r="H286" s="7"/>
      <c r="I286" s="9"/>
      <c r="J286" s="23"/>
      <c r="K286" s="23"/>
      <c r="L286" s="23"/>
      <c r="M286" s="8"/>
      <c r="N286" s="7"/>
      <c r="O286" s="9"/>
      <c r="P286" s="8"/>
      <c r="Q286" s="8"/>
      <c r="R286" s="8"/>
      <c r="S286" s="7"/>
      <c r="T286" s="7"/>
      <c r="U286" s="7"/>
      <c r="V286" s="7"/>
      <c r="W286" s="7"/>
      <c r="Y286" s="7"/>
      <c r="Z286" s="7"/>
      <c r="AF286" s="23"/>
      <c r="AG286" s="23"/>
      <c r="AH286" s="23"/>
      <c r="AI286" s="23"/>
      <c r="AJ286" s="9"/>
      <c r="AK286" s="9"/>
      <c r="AL286" s="9"/>
      <c r="AM286" s="9"/>
      <c r="AN286" s="9"/>
      <c r="AO286" s="9"/>
      <c r="AP286" s="9"/>
      <c r="AQ286" s="25"/>
      <c r="AY286" s="21"/>
      <c r="AZ286" s="7"/>
    </row>
    <row r="287" spans="3:52" x14ac:dyDescent="0.25">
      <c r="C287" s="9"/>
      <c r="D287" s="9"/>
      <c r="E287" s="9"/>
      <c r="F287" s="7"/>
      <c r="G287" s="7"/>
      <c r="H287" s="7"/>
      <c r="I287" s="9"/>
      <c r="J287" s="23"/>
      <c r="K287" s="23"/>
      <c r="L287" s="23"/>
      <c r="M287" s="8"/>
      <c r="N287" s="7"/>
      <c r="O287" s="9"/>
      <c r="P287" s="8"/>
      <c r="Q287" s="8"/>
      <c r="R287" s="8"/>
      <c r="S287" s="7"/>
      <c r="T287" s="7"/>
      <c r="U287" s="7"/>
      <c r="V287" s="7"/>
      <c r="W287" s="7"/>
      <c r="Y287" s="7"/>
      <c r="Z287" s="7"/>
      <c r="AF287" s="23"/>
      <c r="AG287" s="23"/>
      <c r="AH287" s="23"/>
      <c r="AI287" s="23"/>
      <c r="AJ287" s="9"/>
      <c r="AK287" s="9"/>
      <c r="AL287" s="9"/>
      <c r="AM287" s="9"/>
      <c r="AN287" s="9"/>
      <c r="AO287" s="9"/>
      <c r="AP287" s="9"/>
      <c r="AQ287" s="25"/>
      <c r="AY287" s="21"/>
      <c r="AZ287" s="7"/>
    </row>
    <row r="288" spans="3:52" x14ac:dyDescent="0.25">
      <c r="C288" s="9"/>
      <c r="D288" s="9"/>
      <c r="E288" s="9"/>
      <c r="F288" s="7"/>
      <c r="G288" s="7"/>
      <c r="H288" s="7"/>
      <c r="I288" s="9"/>
      <c r="J288" s="23"/>
      <c r="K288" s="23"/>
      <c r="L288" s="23"/>
      <c r="M288" s="8"/>
      <c r="N288" s="7"/>
      <c r="O288" s="9"/>
      <c r="P288" s="8"/>
      <c r="Q288" s="8"/>
      <c r="R288" s="8"/>
      <c r="S288" s="7"/>
      <c r="T288" s="7"/>
      <c r="U288" s="7"/>
      <c r="V288" s="7"/>
      <c r="W288" s="7"/>
      <c r="Y288" s="7"/>
      <c r="Z288" s="7"/>
      <c r="AF288" s="23"/>
      <c r="AG288" s="23"/>
      <c r="AH288" s="23"/>
      <c r="AI288" s="23"/>
      <c r="AJ288" s="9"/>
      <c r="AK288" s="9"/>
      <c r="AL288" s="9"/>
      <c r="AM288" s="9"/>
      <c r="AN288" s="9"/>
      <c r="AO288" s="9"/>
      <c r="AP288" s="9"/>
      <c r="AQ288" s="25"/>
      <c r="AY288" s="21"/>
      <c r="AZ288" s="7"/>
    </row>
    <row r="289" spans="3:52" x14ac:dyDescent="0.25">
      <c r="C289" s="9"/>
      <c r="D289" s="9"/>
      <c r="E289" s="9"/>
      <c r="F289" s="7"/>
      <c r="G289" s="7"/>
      <c r="H289" s="7"/>
      <c r="I289" s="9"/>
      <c r="J289" s="23"/>
      <c r="K289" s="23"/>
      <c r="L289" s="23"/>
      <c r="M289" s="8"/>
      <c r="N289" s="7"/>
      <c r="O289" s="9"/>
      <c r="P289" s="8"/>
      <c r="Q289" s="8"/>
      <c r="R289" s="8"/>
      <c r="S289" s="7"/>
      <c r="T289" s="7"/>
      <c r="U289" s="7"/>
      <c r="V289" s="7"/>
      <c r="W289" s="7"/>
      <c r="Y289" s="7"/>
      <c r="Z289" s="7"/>
      <c r="AF289" s="23"/>
      <c r="AG289" s="23"/>
      <c r="AH289" s="23"/>
      <c r="AI289" s="23"/>
      <c r="AJ289" s="9"/>
      <c r="AK289" s="9"/>
      <c r="AL289" s="9"/>
      <c r="AM289" s="9"/>
      <c r="AN289" s="9"/>
      <c r="AO289" s="9"/>
      <c r="AP289" s="9"/>
      <c r="AQ289" s="25"/>
      <c r="AY289" s="21"/>
      <c r="AZ289" s="7"/>
    </row>
    <row r="290" spans="3:52" x14ac:dyDescent="0.25">
      <c r="C290" s="9"/>
      <c r="D290" s="9"/>
      <c r="E290" s="9"/>
      <c r="F290" s="7"/>
      <c r="G290" s="7"/>
      <c r="H290" s="7"/>
      <c r="I290" s="9"/>
      <c r="J290" s="23"/>
      <c r="K290" s="23"/>
      <c r="L290" s="23"/>
      <c r="M290" s="8"/>
      <c r="N290" s="7"/>
      <c r="O290" s="9"/>
      <c r="P290" s="8"/>
      <c r="Q290" s="8"/>
      <c r="R290" s="8"/>
      <c r="S290" s="7"/>
      <c r="T290" s="7"/>
      <c r="U290" s="7"/>
      <c r="V290" s="7"/>
      <c r="W290" s="7"/>
      <c r="Y290" s="7"/>
      <c r="Z290" s="7"/>
      <c r="AF290" s="23"/>
      <c r="AG290" s="23"/>
      <c r="AH290" s="23"/>
      <c r="AI290" s="23"/>
      <c r="AJ290" s="9"/>
      <c r="AK290" s="9"/>
      <c r="AL290" s="9"/>
      <c r="AM290" s="9"/>
      <c r="AN290" s="9"/>
      <c r="AO290" s="9"/>
      <c r="AP290" s="9"/>
      <c r="AQ290" s="25"/>
      <c r="AY290" s="21"/>
      <c r="AZ290" s="7"/>
    </row>
    <row r="291" spans="3:52" x14ac:dyDescent="0.25">
      <c r="C291" s="9"/>
      <c r="D291" s="9"/>
      <c r="E291" s="9"/>
      <c r="F291" s="7"/>
      <c r="G291" s="7"/>
      <c r="H291" s="7"/>
      <c r="I291" s="9"/>
      <c r="J291" s="23"/>
      <c r="K291" s="23"/>
      <c r="L291" s="23"/>
      <c r="M291" s="8"/>
      <c r="N291" s="7"/>
      <c r="O291" s="9"/>
      <c r="P291" s="8"/>
      <c r="Q291" s="8"/>
      <c r="R291" s="8"/>
      <c r="S291" s="7"/>
      <c r="T291" s="7"/>
      <c r="U291" s="7"/>
      <c r="V291" s="7"/>
      <c r="W291" s="7"/>
      <c r="Y291" s="7"/>
      <c r="Z291" s="7"/>
      <c r="AF291" s="23"/>
      <c r="AG291" s="23"/>
      <c r="AH291" s="23"/>
      <c r="AI291" s="23"/>
      <c r="AJ291" s="9"/>
      <c r="AK291" s="9"/>
      <c r="AL291" s="9"/>
      <c r="AM291" s="9"/>
      <c r="AN291" s="9"/>
      <c r="AO291" s="9"/>
      <c r="AP291" s="9"/>
      <c r="AQ291" s="25"/>
      <c r="AY291" s="21"/>
      <c r="AZ291" s="7"/>
    </row>
    <row r="292" spans="3:52" x14ac:dyDescent="0.25">
      <c r="C292" s="9"/>
      <c r="D292" s="9"/>
      <c r="E292" s="9"/>
      <c r="F292" s="7"/>
      <c r="G292" s="7"/>
      <c r="H292" s="7"/>
      <c r="I292" s="9"/>
      <c r="J292" s="23"/>
      <c r="K292" s="23"/>
      <c r="L292" s="23"/>
      <c r="M292" s="8"/>
      <c r="N292" s="7"/>
      <c r="O292" s="9"/>
      <c r="P292" s="8"/>
      <c r="Q292" s="8"/>
      <c r="R292" s="8"/>
      <c r="S292" s="7"/>
      <c r="T292" s="7"/>
      <c r="U292" s="7"/>
      <c r="V292" s="7"/>
      <c r="W292" s="7"/>
      <c r="Y292" s="7"/>
      <c r="Z292" s="7"/>
      <c r="AF292" s="23"/>
      <c r="AG292" s="23"/>
      <c r="AH292" s="23"/>
      <c r="AI292" s="23"/>
      <c r="AJ292" s="9"/>
      <c r="AK292" s="9"/>
      <c r="AL292" s="9"/>
      <c r="AM292" s="9"/>
      <c r="AN292" s="9"/>
      <c r="AO292" s="9"/>
      <c r="AP292" s="9"/>
      <c r="AQ292" s="25"/>
      <c r="AY292" s="21"/>
      <c r="AZ292" s="7"/>
    </row>
    <row r="293" spans="3:52" x14ac:dyDescent="0.25">
      <c r="C293" s="9"/>
      <c r="D293" s="9"/>
      <c r="E293" s="9"/>
      <c r="F293" s="7"/>
      <c r="G293" s="7"/>
      <c r="H293" s="7"/>
      <c r="I293" s="9"/>
      <c r="J293" s="23"/>
      <c r="K293" s="23"/>
      <c r="L293" s="23"/>
      <c r="M293" s="8"/>
      <c r="N293" s="7"/>
      <c r="O293" s="9"/>
      <c r="P293" s="8"/>
      <c r="Q293" s="8"/>
      <c r="R293" s="8"/>
      <c r="S293" s="7"/>
      <c r="T293" s="7"/>
      <c r="U293" s="7"/>
      <c r="V293" s="7"/>
      <c r="W293" s="7"/>
      <c r="Y293" s="7"/>
      <c r="Z293" s="7"/>
      <c r="AF293" s="23"/>
      <c r="AG293" s="23"/>
      <c r="AH293" s="23"/>
      <c r="AI293" s="23"/>
      <c r="AJ293" s="9"/>
      <c r="AK293" s="9"/>
      <c r="AL293" s="9"/>
      <c r="AM293" s="9"/>
      <c r="AN293" s="9"/>
      <c r="AO293" s="9"/>
      <c r="AP293" s="9"/>
      <c r="AQ293" s="25"/>
      <c r="AY293" s="21"/>
      <c r="AZ293" s="7"/>
    </row>
    <row r="294" spans="3:52" x14ac:dyDescent="0.25">
      <c r="C294" s="9"/>
      <c r="D294" s="9"/>
      <c r="E294" s="9"/>
      <c r="F294" s="7"/>
      <c r="G294" s="7"/>
      <c r="H294" s="7"/>
      <c r="I294" s="9"/>
      <c r="J294" s="23"/>
      <c r="K294" s="23"/>
      <c r="L294" s="23"/>
      <c r="M294" s="8"/>
      <c r="N294" s="7"/>
      <c r="O294" s="9"/>
      <c r="P294" s="8"/>
      <c r="Q294" s="8"/>
      <c r="R294" s="8"/>
      <c r="S294" s="7"/>
      <c r="T294" s="7"/>
      <c r="U294" s="7"/>
      <c r="V294" s="7"/>
      <c r="W294" s="7"/>
      <c r="Y294" s="7"/>
      <c r="Z294" s="7"/>
      <c r="AF294" s="23"/>
      <c r="AG294" s="23"/>
      <c r="AH294" s="23"/>
      <c r="AI294" s="23"/>
      <c r="AJ294" s="9"/>
      <c r="AK294" s="9"/>
      <c r="AL294" s="9"/>
      <c r="AM294" s="9"/>
      <c r="AN294" s="9"/>
      <c r="AO294" s="9"/>
      <c r="AP294" s="9"/>
      <c r="AQ294" s="25"/>
      <c r="AY294" s="21"/>
      <c r="AZ294" s="7"/>
    </row>
    <row r="295" spans="3:52" x14ac:dyDescent="0.25">
      <c r="C295" s="9"/>
      <c r="D295" s="9"/>
      <c r="E295" s="9"/>
      <c r="F295" s="7"/>
      <c r="G295" s="7"/>
      <c r="H295" s="7"/>
      <c r="I295" s="9"/>
      <c r="J295" s="23"/>
      <c r="K295" s="23"/>
      <c r="L295" s="23"/>
      <c r="M295" s="8"/>
      <c r="N295" s="7"/>
      <c r="O295" s="9"/>
      <c r="P295" s="8"/>
      <c r="Q295" s="8"/>
      <c r="R295" s="8"/>
      <c r="S295" s="7"/>
      <c r="T295" s="7"/>
      <c r="U295" s="7"/>
      <c r="V295" s="7"/>
      <c r="W295" s="7"/>
      <c r="Y295" s="7"/>
      <c r="Z295" s="7"/>
      <c r="AF295" s="23"/>
      <c r="AG295" s="23"/>
      <c r="AH295" s="23"/>
      <c r="AI295" s="23"/>
      <c r="AJ295" s="9"/>
      <c r="AK295" s="9"/>
      <c r="AL295" s="9"/>
      <c r="AM295" s="9"/>
      <c r="AN295" s="9"/>
      <c r="AO295" s="9"/>
      <c r="AP295" s="9"/>
      <c r="AQ295" s="25"/>
      <c r="AY295" s="21"/>
      <c r="AZ295" s="7"/>
    </row>
    <row r="296" spans="3:52" x14ac:dyDescent="0.25">
      <c r="C296" s="9"/>
      <c r="D296" s="9"/>
      <c r="E296" s="9"/>
      <c r="F296" s="7"/>
      <c r="G296" s="7"/>
      <c r="H296" s="7"/>
      <c r="I296" s="9"/>
      <c r="J296" s="23"/>
      <c r="K296" s="23"/>
      <c r="L296" s="23"/>
      <c r="M296" s="8"/>
      <c r="N296" s="7"/>
      <c r="O296" s="9"/>
      <c r="P296" s="8"/>
      <c r="Q296" s="8"/>
      <c r="R296" s="8"/>
      <c r="S296" s="7"/>
      <c r="T296" s="7"/>
      <c r="U296" s="7"/>
      <c r="V296" s="7"/>
      <c r="W296" s="7"/>
      <c r="Y296" s="7"/>
      <c r="Z296" s="7"/>
      <c r="AF296" s="23"/>
      <c r="AG296" s="23"/>
      <c r="AH296" s="23"/>
      <c r="AI296" s="23"/>
      <c r="AJ296" s="9"/>
      <c r="AK296" s="9"/>
      <c r="AL296" s="9"/>
      <c r="AM296" s="9"/>
      <c r="AN296" s="9"/>
      <c r="AO296" s="9"/>
      <c r="AP296" s="9"/>
      <c r="AQ296" s="25"/>
      <c r="AY296" s="21"/>
      <c r="AZ296" s="7"/>
    </row>
    <row r="297" spans="3:52" x14ac:dyDescent="0.25">
      <c r="C297" s="9"/>
      <c r="D297" s="9"/>
      <c r="E297" s="9"/>
      <c r="F297" s="7"/>
      <c r="G297" s="7"/>
      <c r="H297" s="7"/>
      <c r="I297" s="9"/>
      <c r="J297" s="23"/>
      <c r="K297" s="23"/>
      <c r="L297" s="23"/>
      <c r="M297" s="8"/>
      <c r="N297" s="7"/>
      <c r="O297" s="9"/>
      <c r="P297" s="8"/>
      <c r="Q297" s="8"/>
      <c r="R297" s="8"/>
      <c r="S297" s="7"/>
      <c r="T297" s="7"/>
      <c r="U297" s="7"/>
      <c r="V297" s="7"/>
      <c r="W297" s="7"/>
      <c r="Y297" s="7"/>
      <c r="Z297" s="7"/>
      <c r="AF297" s="23"/>
      <c r="AG297" s="23"/>
      <c r="AH297" s="23"/>
      <c r="AI297" s="23"/>
      <c r="AJ297" s="9"/>
      <c r="AK297" s="9"/>
      <c r="AL297" s="9"/>
      <c r="AM297" s="9"/>
      <c r="AN297" s="9"/>
      <c r="AO297" s="9"/>
      <c r="AP297" s="9"/>
      <c r="AQ297" s="25"/>
      <c r="AY297" s="21"/>
      <c r="AZ297" s="7"/>
    </row>
    <row r="298" spans="3:52" x14ac:dyDescent="0.25">
      <c r="C298" s="9"/>
      <c r="D298" s="9"/>
      <c r="E298" s="9"/>
      <c r="F298" s="7"/>
      <c r="G298" s="7"/>
      <c r="H298" s="7"/>
      <c r="I298" s="9"/>
      <c r="J298" s="23"/>
      <c r="K298" s="23"/>
      <c r="L298" s="23"/>
      <c r="M298" s="8"/>
      <c r="N298" s="7"/>
      <c r="O298" s="9"/>
      <c r="P298" s="8"/>
      <c r="Q298" s="8"/>
      <c r="R298" s="8"/>
      <c r="S298" s="7"/>
      <c r="T298" s="7"/>
      <c r="U298" s="7"/>
      <c r="V298" s="7"/>
      <c r="W298" s="7"/>
      <c r="Y298" s="7"/>
      <c r="Z298" s="7"/>
      <c r="AF298" s="23"/>
      <c r="AG298" s="23"/>
      <c r="AH298" s="23"/>
      <c r="AI298" s="23"/>
      <c r="AJ298" s="9"/>
      <c r="AK298" s="9"/>
      <c r="AL298" s="9"/>
      <c r="AM298" s="9"/>
      <c r="AN298" s="9"/>
      <c r="AO298" s="9"/>
      <c r="AP298" s="9"/>
      <c r="AQ298" s="25"/>
      <c r="AY298" s="21"/>
      <c r="AZ298" s="7"/>
    </row>
    <row r="299" spans="3:52" x14ac:dyDescent="0.25">
      <c r="C299" s="9"/>
      <c r="D299" s="9"/>
      <c r="E299" s="9"/>
      <c r="F299" s="7"/>
      <c r="G299" s="7"/>
      <c r="H299" s="7"/>
      <c r="I299" s="9"/>
      <c r="J299" s="23"/>
      <c r="K299" s="23"/>
      <c r="L299" s="23"/>
      <c r="M299" s="8"/>
      <c r="N299" s="7"/>
      <c r="O299" s="9"/>
      <c r="P299" s="8"/>
      <c r="Q299" s="8"/>
      <c r="R299" s="8"/>
      <c r="S299" s="7"/>
      <c r="T299" s="7"/>
      <c r="U299" s="7"/>
      <c r="V299" s="7"/>
      <c r="W299" s="7"/>
      <c r="Y299" s="7"/>
      <c r="Z299" s="7"/>
      <c r="AF299" s="23"/>
      <c r="AG299" s="23"/>
      <c r="AH299" s="23"/>
      <c r="AI299" s="23"/>
      <c r="AJ299" s="9"/>
      <c r="AK299" s="9"/>
      <c r="AL299" s="9"/>
      <c r="AM299" s="9"/>
      <c r="AN299" s="9"/>
      <c r="AO299" s="9"/>
      <c r="AP299" s="9"/>
      <c r="AQ299" s="25"/>
      <c r="AY299" s="21"/>
      <c r="AZ299" s="7"/>
    </row>
    <row r="300" spans="3:52" x14ac:dyDescent="0.25">
      <c r="C300" s="9"/>
      <c r="D300" s="9"/>
      <c r="E300" s="9"/>
      <c r="F300" s="7"/>
      <c r="G300" s="7"/>
      <c r="H300" s="7"/>
      <c r="I300" s="9"/>
      <c r="J300" s="23"/>
      <c r="K300" s="23"/>
      <c r="L300" s="23"/>
      <c r="M300" s="8"/>
      <c r="N300" s="7"/>
      <c r="O300" s="9"/>
      <c r="P300" s="8"/>
      <c r="Q300" s="8"/>
      <c r="R300" s="8"/>
      <c r="S300" s="7"/>
      <c r="T300" s="7"/>
      <c r="U300" s="7"/>
      <c r="V300" s="7"/>
      <c r="W300" s="7"/>
      <c r="Y300" s="7"/>
      <c r="Z300" s="7"/>
      <c r="AF300" s="23"/>
      <c r="AG300" s="23"/>
      <c r="AH300" s="23"/>
      <c r="AI300" s="23"/>
      <c r="AJ300" s="9"/>
      <c r="AK300" s="9"/>
      <c r="AL300" s="9"/>
      <c r="AM300" s="9"/>
      <c r="AN300" s="9"/>
      <c r="AO300" s="9"/>
      <c r="AP300" s="9"/>
      <c r="AQ300" s="25"/>
      <c r="AY300" s="21"/>
      <c r="AZ300" s="7"/>
    </row>
    <row r="301" spans="3:52" x14ac:dyDescent="0.25">
      <c r="C301" s="9"/>
      <c r="D301" s="9"/>
      <c r="E301" s="9"/>
      <c r="F301" s="7"/>
      <c r="G301" s="7"/>
      <c r="H301" s="7"/>
      <c r="I301" s="9"/>
      <c r="J301" s="23"/>
      <c r="K301" s="23"/>
      <c r="L301" s="23"/>
      <c r="M301" s="8"/>
      <c r="N301" s="7"/>
      <c r="O301" s="9"/>
      <c r="P301" s="8"/>
      <c r="Q301" s="8"/>
      <c r="R301" s="8"/>
      <c r="S301" s="7"/>
      <c r="T301" s="7"/>
      <c r="U301" s="7"/>
      <c r="V301" s="7"/>
      <c r="W301" s="7"/>
      <c r="Y301" s="7"/>
      <c r="Z301" s="7"/>
      <c r="AF301" s="23"/>
      <c r="AG301" s="23"/>
      <c r="AH301" s="23"/>
      <c r="AI301" s="23"/>
      <c r="AJ301" s="9"/>
      <c r="AK301" s="9"/>
      <c r="AL301" s="9"/>
      <c r="AM301" s="9"/>
      <c r="AN301" s="9"/>
      <c r="AO301" s="9"/>
      <c r="AP301" s="9"/>
      <c r="AQ301" s="25"/>
      <c r="AY301" s="21"/>
      <c r="AZ301" s="7"/>
    </row>
    <row r="302" spans="3:52" x14ac:dyDescent="0.25">
      <c r="C302" s="9"/>
      <c r="D302" s="9"/>
      <c r="E302" s="9"/>
      <c r="F302" s="7"/>
      <c r="G302" s="7"/>
      <c r="H302" s="7"/>
      <c r="I302" s="9"/>
      <c r="J302" s="23"/>
      <c r="K302" s="23"/>
      <c r="L302" s="23"/>
      <c r="M302" s="8"/>
      <c r="N302" s="7"/>
      <c r="O302" s="9"/>
      <c r="P302" s="8"/>
      <c r="Q302" s="8"/>
      <c r="R302" s="8"/>
      <c r="S302" s="7"/>
      <c r="T302" s="7"/>
      <c r="U302" s="7"/>
      <c r="V302" s="7"/>
      <c r="W302" s="7"/>
      <c r="Y302" s="7"/>
      <c r="Z302" s="7"/>
      <c r="AF302" s="23"/>
      <c r="AG302" s="23"/>
      <c r="AH302" s="23"/>
      <c r="AI302" s="23"/>
      <c r="AJ302" s="9"/>
      <c r="AK302" s="9"/>
      <c r="AL302" s="9"/>
      <c r="AM302" s="9"/>
      <c r="AN302" s="9"/>
      <c r="AO302" s="9"/>
      <c r="AP302" s="9"/>
      <c r="AQ302" s="25"/>
      <c r="AY302" s="21"/>
      <c r="AZ302" s="7"/>
    </row>
    <row r="303" spans="3:52" x14ac:dyDescent="0.25">
      <c r="C303" s="9"/>
      <c r="D303" s="9"/>
      <c r="E303" s="9"/>
      <c r="F303" s="7"/>
      <c r="G303" s="7"/>
      <c r="H303" s="7"/>
      <c r="I303" s="9"/>
      <c r="J303" s="23"/>
      <c r="K303" s="23"/>
      <c r="L303" s="23"/>
      <c r="M303" s="8"/>
      <c r="N303" s="7"/>
      <c r="O303" s="9"/>
      <c r="P303" s="8"/>
      <c r="Q303" s="8"/>
      <c r="R303" s="8"/>
      <c r="S303" s="7"/>
      <c r="T303" s="7"/>
      <c r="U303" s="7"/>
      <c r="V303" s="7"/>
      <c r="W303" s="7"/>
      <c r="Y303" s="7"/>
      <c r="Z303" s="7"/>
      <c r="AF303" s="23"/>
      <c r="AG303" s="23"/>
      <c r="AH303" s="23"/>
      <c r="AI303" s="23"/>
      <c r="AJ303" s="9"/>
      <c r="AK303" s="9"/>
      <c r="AL303" s="9"/>
      <c r="AM303" s="9"/>
      <c r="AN303" s="9"/>
      <c r="AO303" s="9"/>
      <c r="AP303" s="9"/>
      <c r="AQ303" s="25"/>
      <c r="AY303" s="21"/>
      <c r="AZ303" s="7"/>
    </row>
    <row r="304" spans="3:52" x14ac:dyDescent="0.25">
      <c r="C304" s="9"/>
      <c r="D304" s="9"/>
      <c r="E304" s="9"/>
      <c r="F304" s="7"/>
      <c r="G304" s="7"/>
      <c r="H304" s="7"/>
      <c r="I304" s="9"/>
      <c r="J304" s="23"/>
      <c r="K304" s="23"/>
      <c r="L304" s="23"/>
      <c r="M304" s="8"/>
      <c r="N304" s="7"/>
      <c r="O304" s="9"/>
      <c r="P304" s="8"/>
      <c r="Q304" s="8"/>
      <c r="R304" s="8"/>
      <c r="S304" s="7"/>
      <c r="T304" s="7"/>
      <c r="U304" s="7"/>
      <c r="V304" s="7"/>
      <c r="W304" s="7"/>
      <c r="Y304" s="7"/>
      <c r="Z304" s="7"/>
      <c r="AF304" s="23"/>
      <c r="AG304" s="23"/>
      <c r="AH304" s="23"/>
      <c r="AI304" s="23"/>
      <c r="AJ304" s="9"/>
      <c r="AK304" s="9"/>
      <c r="AL304" s="9"/>
      <c r="AM304" s="9"/>
      <c r="AN304" s="9"/>
      <c r="AO304" s="9"/>
      <c r="AP304" s="9"/>
      <c r="AQ304" s="25"/>
      <c r="AY304" s="21"/>
      <c r="AZ304" s="7"/>
    </row>
    <row r="305" spans="6:6" x14ac:dyDescent="0.25">
      <c r="F305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A939F-C533-42D4-B139-48047CF397EF}">
  <dimension ref="A1:AB353"/>
  <sheetViews>
    <sheetView zoomScaleNormal="100" workbookViewId="0"/>
  </sheetViews>
  <sheetFormatPr defaultRowHeight="15" x14ac:dyDescent="0.25"/>
  <cols>
    <col min="2" max="2" width="11.140625" bestFit="1" customWidth="1"/>
    <col min="3" max="7" width="9.28515625" bestFit="1" customWidth="1"/>
    <col min="8" max="8" width="9.28515625" style="7" bestFit="1" customWidth="1"/>
    <col min="9" max="9" width="10.28515625" bestFit="1" customWidth="1"/>
    <col min="10" max="10" width="12.28515625" bestFit="1" customWidth="1"/>
    <col min="11" max="11" width="10.28515625" bestFit="1" customWidth="1"/>
    <col min="12" max="12" width="13.42578125" bestFit="1" customWidth="1"/>
    <col min="13" max="14" width="9.28515625" bestFit="1" customWidth="1"/>
    <col min="15" max="15" width="12.28515625" bestFit="1" customWidth="1"/>
    <col min="16" max="16" width="9.28515625" bestFit="1" customWidth="1"/>
    <col min="17" max="17" width="9.28515625" customWidth="1"/>
    <col min="18" max="18" width="9.28515625" style="23" customWidth="1"/>
    <col min="19" max="20" width="9.28515625" bestFit="1" customWidth="1"/>
    <col min="21" max="21" width="10.140625" bestFit="1" customWidth="1"/>
    <col min="22" max="22" width="9.28515625" bestFit="1" customWidth="1"/>
    <col min="23" max="23" width="10" bestFit="1" customWidth="1"/>
    <col min="24" max="24" width="13.28515625" customWidth="1"/>
    <col min="25" max="25" width="9.28515625" bestFit="1" customWidth="1"/>
    <col min="26" max="26" width="11.140625" bestFit="1" customWidth="1"/>
    <col min="27" max="27" width="9.28515625" bestFit="1" customWidth="1"/>
  </cols>
  <sheetData>
    <row r="1" spans="1:28" x14ac:dyDescent="0.25">
      <c r="A1" s="1" t="s">
        <v>202</v>
      </c>
      <c r="R1"/>
    </row>
    <row r="2" spans="1:28" s="2" customFormat="1" x14ac:dyDescent="0.25">
      <c r="B2" s="14"/>
      <c r="C2" s="14"/>
      <c r="D2" s="14"/>
      <c r="E2" s="27"/>
      <c r="F2" s="27"/>
      <c r="G2" s="27"/>
      <c r="H2" s="15"/>
    </row>
    <row r="3" spans="1:28" x14ac:dyDescent="0.25">
      <c r="A3" t="s">
        <v>6</v>
      </c>
      <c r="B3" t="s">
        <v>164</v>
      </c>
      <c r="C3" t="s">
        <v>165</v>
      </c>
      <c r="D3" t="s">
        <v>166</v>
      </c>
      <c r="E3" t="s">
        <v>167</v>
      </c>
      <c r="F3" t="s">
        <v>168</v>
      </c>
      <c r="G3" t="s">
        <v>169</v>
      </c>
      <c r="H3" t="s">
        <v>170</v>
      </c>
      <c r="I3" t="s">
        <v>171</v>
      </c>
      <c r="J3" t="s">
        <v>172</v>
      </c>
      <c r="K3" t="s">
        <v>173</v>
      </c>
      <c r="L3" t="s">
        <v>174</v>
      </c>
      <c r="M3" t="s">
        <v>175</v>
      </c>
      <c r="N3" s="67" t="s">
        <v>176</v>
      </c>
      <c r="O3" t="s">
        <v>177</v>
      </c>
      <c r="P3" t="s">
        <v>180</v>
      </c>
      <c r="Q3" s="67" t="s">
        <v>181</v>
      </c>
      <c r="R3" s="67" t="s">
        <v>182</v>
      </c>
      <c r="S3" t="s">
        <v>183</v>
      </c>
      <c r="T3" t="s">
        <v>184</v>
      </c>
      <c r="U3" s="7" t="s">
        <v>185</v>
      </c>
      <c r="V3" s="67" t="s">
        <v>186</v>
      </c>
      <c r="W3" t="s">
        <v>187</v>
      </c>
      <c r="X3" t="s">
        <v>188</v>
      </c>
      <c r="Y3" t="s">
        <v>199</v>
      </c>
      <c r="Z3" t="s">
        <v>200</v>
      </c>
      <c r="AA3" t="s">
        <v>201</v>
      </c>
      <c r="AB3" t="s">
        <v>196</v>
      </c>
    </row>
    <row r="4" spans="1:28" x14ac:dyDescent="0.25">
      <c r="A4">
        <v>0</v>
      </c>
      <c r="B4" s="19">
        <v>5.1149915150295849E-2</v>
      </c>
      <c r="C4" s="45">
        <v>8.1950705841287927E-3</v>
      </c>
      <c r="D4" s="18">
        <v>0.29987339521323852</v>
      </c>
      <c r="E4" s="7">
        <f>Parameters!B25</f>
        <v>0.79083499999999995</v>
      </c>
      <c r="F4" s="9">
        <f>Parameters!B26</f>
        <v>0.15254000000000001</v>
      </c>
      <c r="G4" s="29">
        <f>Parameters!B27</f>
        <v>4.3499999999999996</v>
      </c>
      <c r="H4" s="7">
        <v>0</v>
      </c>
      <c r="I4" s="7">
        <f>Parameters!B28</f>
        <v>8.16</v>
      </c>
      <c r="J4" s="7">
        <f>Parameters!B29</f>
        <v>9.0525878509486422</v>
      </c>
      <c r="K4" s="23">
        <f>EXP(-Parameters!$B$42*A4)*(Parameters!$B$37/Parameters!$B$38*(E4+H4)/Parameters!$B$25*(EXP(-Parameters!$B$38*Parameters!$E$25*H4/(E4+H4))-EXP(-Parameters!$B$38*Parameters!$E$25))  +  Parameters!$B$39*E4*Parameters!$B$28*Parameters!$B$29*EXP((Parameters!$B$53+Parameters!$B$51)*A4))</f>
        <v>53.20000000000001</v>
      </c>
      <c r="L4" s="8">
        <f xml:space="preserve"> M4/Parameters!$B$45</f>
        <v>2300</v>
      </c>
      <c r="M4" s="7">
        <f>Parameters!B47</f>
        <v>1.38</v>
      </c>
      <c r="N4" s="7">
        <f>'6states'!O4</f>
        <v>0.98104277196026479</v>
      </c>
      <c r="O4" s="7">
        <f>Parameters!B62+(Parameters!B31-K4)*Parameters!B65</f>
        <v>49.999999999999993</v>
      </c>
      <c r="P4" s="7">
        <f>Parameters!B$61*EXP(-Parameters!B$60*A4)+(1-Parameters!B$61)*(O4/Parameters!B$62)^-Parameters!B$63</f>
        <v>1</v>
      </c>
      <c r="Q4" s="9">
        <f>1-P4/Parameters!$B$12</f>
        <v>0.5</v>
      </c>
      <c r="R4" s="23">
        <f>1/(1-Q4)</f>
        <v>2</v>
      </c>
      <c r="S4" s="7">
        <f>(Parameters!$B$19*(E4+Parameters!$B$20)^Q4+Parameters!$B$18*F4^Q4)^(1/Q4)</f>
        <v>0.55006250755068387</v>
      </c>
      <c r="T4" s="7">
        <f>(Parameters!$B$10*G4^Parameters!$B$9 + Parameters!$B$11*S4^Parameters!$B$9) ^ (Parameters!$B$7/Parameters!$B$9) * N4</f>
        <v>1.5023869881199998</v>
      </c>
      <c r="U4" s="7">
        <f>T4-B4-C4-D4</f>
        <v>1.1431686071723366</v>
      </c>
      <c r="V4" s="7">
        <f>EXP(-Parameters!$B$55*A4)</f>
        <v>1</v>
      </c>
      <c r="W4" s="7">
        <f>IF(U4&gt;0,U4^(1-Parameters!$B$52)/(1-Parameters!$B$52)*V4,-10+U4*1000)</f>
        <v>-2.7264237374399718</v>
      </c>
      <c r="X4" s="28">
        <f>SUM(W4:W353)*Parameters!$B$65</f>
        <v>-183.09173338452396</v>
      </c>
      <c r="Y4" s="7"/>
      <c r="Z4" s="7"/>
      <c r="AA4" s="7"/>
      <c r="AB4" s="13">
        <f>(B4+C4+D4)/T4</f>
        <v>0.23909843721235119</v>
      </c>
    </row>
    <row r="5" spans="1:28" x14ac:dyDescent="0.25">
      <c r="A5">
        <f>A4+Parameters!$B$65</f>
        <v>1</v>
      </c>
      <c r="B5" s="19">
        <v>5.2043239799206033E-2</v>
      </c>
      <c r="C5" s="45">
        <v>8.0002242542222459E-3</v>
      </c>
      <c r="D5" s="18">
        <v>0.29894404522721502</v>
      </c>
      <c r="E5" s="7">
        <f>MAX((1-Parameters!$B$4)^Parameters!B$65*E4+B4*Parameters!B$65-Parameters!$B$5*B4^2/E4*Parameters!B$65,0.0001)</f>
        <v>0.78893310074484468</v>
      </c>
      <c r="F5" s="9">
        <f>(1-Parameters!$B$4)^Parameters!B$65*F4+C4*Parameters!B$65-Parameters!$B$5*C4^2/F4*Parameters!B$65</f>
        <v>0.15070003198757148</v>
      </c>
      <c r="G5" s="7">
        <f>(1-Parameters!$B$4)^Parameters!B$65*G4+D4*Parameters!B$65-Parameters!$B$5*D4^2/G4*Parameters!B$65</f>
        <v>4.3555861990852582</v>
      </c>
      <c r="H5" s="7">
        <f>H4 *(1-Parameters!$B$4)-B4*(B4&lt;0)*Parameters!B$65</f>
        <v>0</v>
      </c>
      <c r="I5" s="7">
        <f>I4*(1+Parameters!$B$51)^Parameters!B$65</f>
        <v>8.1836639999999985</v>
      </c>
      <c r="J5" s="7">
        <f>J4*(1+Parameters!$B$53)^Parameters!B$65</f>
        <v>9.233639607967616</v>
      </c>
      <c r="K5" s="23">
        <f>EXP(-Parameters!$B$42*A5)*(Parameters!$B$37/Parameters!$B$38*(E5+H5)/Parameters!$B$25*(EXP(-Parameters!$B$38*Parameters!$E$25*H5/(E5+H5))-EXP(-Parameters!$B$38*Parameters!$E$25))  +  Parameters!$B$39*E5*Parameters!$B$28*Parameters!$B$29*EXP((Parameters!$B$53+Parameters!$B$51)*A5))</f>
        <v>53.569073607368281</v>
      </c>
      <c r="L5" s="8">
        <f>L4+K5*Parameters!B$65</f>
        <v>2353.5690736073684</v>
      </c>
      <c r="M5" s="7">
        <f>L5*Parameters!$B$45</f>
        <v>1.4121414441644209</v>
      </c>
      <c r="N5" s="7">
        <f>'6states'!O5</f>
        <v>0.9803490969267139</v>
      </c>
      <c r="O5" s="7">
        <f>MAX(O4+(Parameters!B$31-K5)*Parameters!B$65,30)</f>
        <v>49.630926392631714</v>
      </c>
      <c r="P5" s="7">
        <f>Parameters!B$61*EXP(-Parameters!B$60*A5)+(1-Parameters!B$61)*(O5/Parameters!B$62)^-Parameters!B$63</f>
        <v>0.98705120052481687</v>
      </c>
      <c r="Q5" s="9">
        <f>1-P5/Parameters!$B$12</f>
        <v>0.50647439973759156</v>
      </c>
      <c r="R5" s="23">
        <f t="shared" ref="R5:R68" si="0">1/(1-Q5)</f>
        <v>2.0262373410179699</v>
      </c>
      <c r="S5" s="7">
        <f>(Parameters!$B$19*(E5+Parameters!$B$20)^Q5+Parameters!$B$18*F5^Q5)^(1/Q5)</f>
        <v>0.54869104694277226</v>
      </c>
      <c r="T5" s="7">
        <f>(Parameters!$B$10*G5^Parameters!$B$9 + Parameters!$B$11*S5^Parameters!$B$9) ^ (Parameters!$B$7/Parameters!$B$9) * N5</f>
        <v>1.5015947890389012</v>
      </c>
      <c r="U5" s="7">
        <f t="shared" ref="U5:U68" si="1">T5-B5-C5-D5</f>
        <v>1.1426072797582578</v>
      </c>
      <c r="V5" s="7">
        <f>EXP(-Parameters!$B$55*A5)</f>
        <v>0.98501343333449787</v>
      </c>
      <c r="W5" s="7">
        <f>IF(U5&gt;0,U5^(1-Parameters!$B$52)/(1-Parameters!$B$52)*V5,-10+U5*1000)</f>
        <v>-2.6860256995537992</v>
      </c>
      <c r="X5" s="7"/>
      <c r="Y5" s="9">
        <f t="shared" ref="Y5:Y36" si="2">SUM(B4:B6)/3</f>
        <v>5.1982376285555042E-2</v>
      </c>
      <c r="Z5" s="9">
        <f t="shared" ref="Z5:Z36" si="3">SUM(C4:C6)/3</f>
        <v>7.9990837201913481E-3</v>
      </c>
      <c r="AA5" s="7">
        <f t="shared" ref="AA5:AA36" si="4">SUM(D4:D6)/3</f>
        <v>0.29901691067238795</v>
      </c>
      <c r="AB5" s="13">
        <f t="shared" ref="AB5:AB64" si="5">(B5+C5+D5)/T5</f>
        <v>0.23907082782993269</v>
      </c>
    </row>
    <row r="6" spans="1:28" x14ac:dyDescent="0.25">
      <c r="A6">
        <f>A5+Parameters!$B$65</f>
        <v>2</v>
      </c>
      <c r="B6" s="19">
        <v>5.2753973907163257E-2</v>
      </c>
      <c r="C6" s="45">
        <v>7.801956322223004E-3</v>
      </c>
      <c r="D6" s="18">
        <v>0.29823329157671025</v>
      </c>
      <c r="E6" s="7">
        <f>MAX((1-Parameters!$B$4)^Parameters!B$65*E5+B5*Parameters!B$65-Parameters!$B$5*B5^2/E5*Parameters!B$65,0.0001)</f>
        <v>0.78791933256081548</v>
      </c>
      <c r="F6" s="9">
        <f>(1-Parameters!$B$4)^Parameters!B$65*F5+C5*Parameters!B$65-Parameters!$B$5*C5^2/F5*Parameters!B$65</f>
        <v>0.14879651570600341</v>
      </c>
      <c r="G6" s="7">
        <f>(1-Parameters!$B$4)^Parameters!B$65*G5+D5*Parameters!B$65-Parameters!$B$5*D5^2/G5*Parameters!B$65</f>
        <v>4.3600459585910425</v>
      </c>
      <c r="H6" s="7">
        <f>H5 *(1-Parameters!$B$4)-B5*(B5&lt;0)*Parameters!B$65</f>
        <v>0</v>
      </c>
      <c r="I6" s="7">
        <f>I5*(1+Parameters!$B$51)^Parameters!B$65</f>
        <v>8.2073966255999977</v>
      </c>
      <c r="J6" s="7">
        <f>J5*(1+Parameters!$B$53)^Parameters!B$65</f>
        <v>9.4183124001269682</v>
      </c>
      <c r="K6" s="23">
        <f>EXP(-Parameters!$B$42*A6)*(Parameters!$B$37/Parameters!$B$38*(E6+H6)/Parameters!$B$25*(EXP(-Parameters!$B$38*Parameters!$E$25*H6/(E6+H6))-EXP(-Parameters!$B$38*Parameters!$E$25))  +  Parameters!$B$39*E6*Parameters!$B$28*Parameters!$B$29*EXP((Parameters!$B$53+Parameters!$B$51)*A6))</f>
        <v>54.004968274513089</v>
      </c>
      <c r="L6" s="8">
        <f>L5+K6*Parameters!B$65</f>
        <v>2407.5740418818814</v>
      </c>
      <c r="M6" s="7">
        <f>M5+Parameters!$B$45*K6</f>
        <v>1.4445444251291288</v>
      </c>
      <c r="N6" s="7">
        <f>'6states'!O6</f>
        <v>0.97970474134559027</v>
      </c>
      <c r="O6" s="7">
        <f>MAX(O5+(Parameters!B$31-K6)*Parameters!B$65,30)</f>
        <v>48.825958118118628</v>
      </c>
      <c r="P6" s="7">
        <f>Parameters!B$61*EXP(-Parameters!B$60*A6)+(1-Parameters!B$61)*(O6/Parameters!B$62)^-Parameters!B$63</f>
        <v>0.97490551108818091</v>
      </c>
      <c r="Q6" s="9">
        <f>1-P6/Parameters!$B$12</f>
        <v>0.5125472444559096</v>
      </c>
      <c r="R6" s="23">
        <f t="shared" si="0"/>
        <v>2.0514808637891666</v>
      </c>
      <c r="S6" s="7">
        <f>(Parameters!$B$19*(E6+Parameters!$B$20)^Q6+Parameters!$B$18*F6^Q6)^(1/Q6)</f>
        <v>0.54775244244449561</v>
      </c>
      <c r="T6" s="7">
        <f>(Parameters!$B$10*G6^Parameters!$B$9 + Parameters!$B$11*S6^Parameters!$B$9) ^ (Parameters!$B$7/Parameters!$B$9) * N6</f>
        <v>1.5008434238662127</v>
      </c>
      <c r="U6" s="7">
        <f t="shared" si="1"/>
        <v>1.1420542020601163</v>
      </c>
      <c r="V6" s="7">
        <f>EXP(-Parameters!$B$55*A6)</f>
        <v>0.9702514638494153</v>
      </c>
      <c r="W6" s="7">
        <f>IF(U6&gt;0,U6^(1-Parameters!$B$52)/(1-Parameters!$B$52)*V6,-10+U6*1000)</f>
        <v>-2.6462197817290285</v>
      </c>
      <c r="X6" s="7"/>
      <c r="Y6" s="9">
        <f t="shared" si="2"/>
        <v>5.2708298895472037E-2</v>
      </c>
      <c r="Z6" s="9">
        <f t="shared" si="3"/>
        <v>7.8032078963224567E-3</v>
      </c>
      <c r="AA6" s="7">
        <f t="shared" si="4"/>
        <v>0.29827971647118612</v>
      </c>
      <c r="AB6" s="13">
        <f t="shared" si="5"/>
        <v>0.23905839616623425</v>
      </c>
    </row>
    <row r="7" spans="1:28" x14ac:dyDescent="0.25">
      <c r="A7">
        <f>A6+Parameters!$B$65</f>
        <v>3</v>
      </c>
      <c r="B7" s="19">
        <v>5.3327682980046809E-2</v>
      </c>
      <c r="C7" s="45">
        <v>7.6074431125221194E-3</v>
      </c>
      <c r="D7" s="18">
        <v>0.29766181260963304</v>
      </c>
      <c r="E7" s="7">
        <f>MAX((1-Parameters!$B$4)^Parameters!B$65*E6+B6*Parameters!B$65-Parameters!$B$5*B6^2/E6*Parameters!B$65,0.0001)</f>
        <v>0.78758111612809956</v>
      </c>
      <c r="F7" s="9">
        <f>(1-Parameters!$B$4)^Parameters!B$65*F6+C6*Parameters!B$65-Parameters!$B$5*C6^2/F6*Parameters!B$65</f>
        <v>0.1468300855194275</v>
      </c>
      <c r="G7" s="7">
        <f>(1-Parameters!$B$4)^Parameters!B$65*G6+D6*Parameters!B$65-Parameters!$B$5*D6^2/G6*Parameters!B$65</f>
        <v>4.3636327816960385</v>
      </c>
      <c r="H7" s="7">
        <f>H6 *(1-Parameters!$B$4)-B6*(B6&lt;0)*Parameters!B$65</f>
        <v>0</v>
      </c>
      <c r="I7" s="7">
        <f>I6*(1+Parameters!$B$51)^Parameters!B$65</f>
        <v>8.2311980758142376</v>
      </c>
      <c r="J7" s="7">
        <f>J6*(1+Parameters!$B$53)^Parameters!B$65</f>
        <v>9.6066786481295079</v>
      </c>
      <c r="K7" s="23">
        <f>EXP(-Parameters!$B$42*A7)*(Parameters!$B$37/Parameters!$B$38*(E7+H7)/Parameters!$B$25*(EXP(-Parameters!$B$38*Parameters!$E$25*H7/(E7+H7))-EXP(-Parameters!$B$38*Parameters!$E$25))  +  Parameters!$B$39*E7*Parameters!$B$28*Parameters!$B$29*EXP((Parameters!$B$53+Parameters!$B$51)*A7))</f>
        <v>54.494739079231913</v>
      </c>
      <c r="L7" s="8">
        <f>L6+K7*Parameters!B$65</f>
        <v>2462.0687809611131</v>
      </c>
      <c r="M7" s="7">
        <f>M6+Parameters!$B$45*K7</f>
        <v>1.477241268576668</v>
      </c>
      <c r="N7" s="7">
        <f>'6states'!O7</f>
        <v>0.97909650981461194</v>
      </c>
      <c r="O7" s="7">
        <f>MAX(O6+(Parameters!B$31-K7)*Parameters!B$65,30)</f>
        <v>47.531219038886718</v>
      </c>
      <c r="P7" s="7">
        <f>Parameters!B$61*EXP(-Parameters!B$60*A7)+(1-Parameters!B$61)*(O7/Parameters!B$62)^-Parameters!B$63</f>
        <v>0.9636350800020167</v>
      </c>
      <c r="Q7" s="9">
        <f>1-P7/Parameters!$B$12</f>
        <v>0.51818245999899171</v>
      </c>
      <c r="R7" s="23">
        <f t="shared" si="0"/>
        <v>2.0754744627974882</v>
      </c>
      <c r="S7" s="7">
        <f>(Parameters!$B$19*(E7+Parameters!$B$20)^Q7+Parameters!$B$18*F7^Q7)^(1/Q7)</f>
        <v>0.54712187775693055</v>
      </c>
      <c r="T7" s="7">
        <f>(Parameters!$B$10*G7^Parameters!$B$9 + Parameters!$B$11*S7^Parameters!$B$9) ^ (Parameters!$B$7/Parameters!$B$9) * N7</f>
        <v>1.5001180284663318</v>
      </c>
      <c r="U7" s="7">
        <f t="shared" si="1"/>
        <v>1.1415210897641297</v>
      </c>
      <c r="V7" s="7">
        <f>EXP(-Parameters!$B$55*A7)</f>
        <v>0.95571072560413495</v>
      </c>
      <c r="W7" s="7">
        <f>IF(U7&gt;0,U7^(1-Parameters!$B$52)/(1-Parameters!$B$52)*V7,-10+U7*1000)</f>
        <v>-2.6069880280114308</v>
      </c>
      <c r="X7" s="7"/>
      <c r="Y7" s="9">
        <f t="shared" si="2"/>
        <v>5.3290662960875201E-2</v>
      </c>
      <c r="Z7" s="9">
        <f t="shared" si="3"/>
        <v>7.6100195261165132E-3</v>
      </c>
      <c r="AA7" s="7">
        <f t="shared" si="4"/>
        <v>0.29769335578211747</v>
      </c>
      <c r="AB7" s="13">
        <f t="shared" si="5"/>
        <v>0.2390458163274119</v>
      </c>
    </row>
    <row r="8" spans="1:28" x14ac:dyDescent="0.25">
      <c r="A8">
        <f>A7+Parameters!$B$65</f>
        <v>4</v>
      </c>
      <c r="B8" s="19">
        <v>5.3790331995415532E-2</v>
      </c>
      <c r="C8" s="45">
        <v>7.420659143604417E-3</v>
      </c>
      <c r="D8" s="18">
        <v>0.29718496316000909</v>
      </c>
      <c r="E8" s="7">
        <f>MAX((1-Parameters!$B$4)^Parameters!B$65*E7+B7*Parameters!B$65-Parameters!$B$5*B7^2/E7*Parameters!B$65,0.0001)</f>
        <v>0.78775909119145293</v>
      </c>
      <c r="F8" s="9">
        <f>(1-Parameters!$B$4)^Parameters!B$65*F7+C7*Parameters!B$65-Parameters!$B$5*C7^2/F7*Parameters!B$65</f>
        <v>0.14480776548656699</v>
      </c>
      <c r="G8" s="7">
        <f>(1-Parameters!$B$4)^Parameters!B$65*G7+D7*Parameters!B$65-Parameters!$B$5*D7^2/G7*Parameters!B$65</f>
        <v>4.3665173235540378</v>
      </c>
      <c r="H8" s="7">
        <f>H7 *(1-Parameters!$B$4)-B7*(B7&lt;0)*Parameters!B$65</f>
        <v>0</v>
      </c>
      <c r="I8" s="7">
        <f>I7*(1+Parameters!$B$51)^Parameters!B$65</f>
        <v>8.2550685502340979</v>
      </c>
      <c r="J8" s="7">
        <f>J7*(1+Parameters!$B$53)^Parameters!B$65</f>
        <v>9.7988122210920974</v>
      </c>
      <c r="K8" s="23">
        <f>EXP(-Parameters!$B$42*A8)*(Parameters!$B$37/Parameters!$B$38*(E8+H8)/Parameters!$B$25*(EXP(-Parameters!$B$38*Parameters!$E$25*H8/(E8+H8))-EXP(-Parameters!$B$38*Parameters!$E$25))  +  Parameters!$B$39*E8*Parameters!$B$28*Parameters!$B$29*EXP((Parameters!$B$53+Parameters!$B$51)*A8))</f>
        <v>55.028653869263721</v>
      </c>
      <c r="L8" s="8">
        <f>L7+K8*Parameters!B$65</f>
        <v>2517.0974348303766</v>
      </c>
      <c r="M8" s="7">
        <f>M7+Parameters!$B$45*K8</f>
        <v>1.5102584608982264</v>
      </c>
      <c r="N8" s="7">
        <f>'6states'!O8</f>
        <v>0.97850552319259831</v>
      </c>
      <c r="O8" s="7">
        <f>MAX(O7+(Parameters!B$31-K8)*Parameters!B$65,30)</f>
        <v>45.702565169623</v>
      </c>
      <c r="P8" s="7">
        <f>Parameters!B$61*EXP(-Parameters!B$60*A8)+(1-Parameters!B$61)*(O8/Parameters!B$62)^-Parameters!B$63</f>
        <v>0.95332747866295287</v>
      </c>
      <c r="Q8" s="9">
        <f>1-P8/Parameters!$B$12</f>
        <v>0.52333626066852357</v>
      </c>
      <c r="R8" s="23">
        <f t="shared" si="0"/>
        <v>2.0979149817489908</v>
      </c>
      <c r="S8" s="7">
        <f>(Parameters!$B$19*(E8+Parameters!$B$20)^Q8+Parameters!$B$18*F8^Q8)^(1/Q8)</f>
        <v>0.5467063328588363</v>
      </c>
      <c r="T8" s="7">
        <f>(Parameters!$B$10*G8^Parameters!$B$9 + Parameters!$B$11*S8^Parameters!$B$9) ^ (Parameters!$B$7/Parameters!$B$9) * N8</f>
        <v>1.4993914065877212</v>
      </c>
      <c r="U8" s="7">
        <f t="shared" si="1"/>
        <v>1.140995452288692</v>
      </c>
      <c r="V8" s="7">
        <f>EXP(-Parameters!$B$55*A8)</f>
        <v>0.94138790310193321</v>
      </c>
      <c r="W8" s="7">
        <f>IF(U8&gt;0,U8^(1-Parameters!$B$52)/(1-Parameters!$B$52)*V8,-10+U8*1000)</f>
        <v>-2.5683322150632097</v>
      </c>
      <c r="X8" s="7"/>
      <c r="Y8" s="9">
        <f t="shared" si="2"/>
        <v>5.3755839743633571E-2</v>
      </c>
      <c r="Z8" s="9">
        <f t="shared" si="3"/>
        <v>7.4235038845327575E-3</v>
      </c>
      <c r="AA8" s="7">
        <f t="shared" si="4"/>
        <v>0.29720949973368299</v>
      </c>
      <c r="AB8" s="13">
        <f t="shared" si="5"/>
        <v>0.23902761662123828</v>
      </c>
    </row>
    <row r="9" spans="1:28" x14ac:dyDescent="0.25">
      <c r="A9">
        <f>A8+Parameters!$B$65</f>
        <v>5</v>
      </c>
      <c r="B9" s="19">
        <v>5.4149504255438366E-2</v>
      </c>
      <c r="C9" s="45">
        <v>7.2424093974717378E-3</v>
      </c>
      <c r="D9" s="18">
        <v>0.29678172343140685</v>
      </c>
      <c r="E9" s="7">
        <f>MAX((1-Parameters!$B$4)^Parameters!B$65*E8+B8*Parameters!B$65-Parameters!$B$5*B8^2/E8*Parameters!B$65,0.0001)</f>
        <v>0.78832642627198646</v>
      </c>
      <c r="F9" s="9">
        <f>(1-Parameters!$B$4)^Parameters!B$65*F8+C8*Parameters!B$65-Parameters!$B$5*C8^2/F8*Parameters!B$65</f>
        <v>0.14273974526161304</v>
      </c>
      <c r="G9" s="7">
        <f>(1-Parameters!$B$4)^Parameters!B$65*G8+D8*Parameters!B$65-Parameters!$B$5*D8^2/G8*Parameters!B$65</f>
        <v>4.3688219524820848</v>
      </c>
      <c r="H9" s="7">
        <f>H8 *(1-Parameters!$B$4)-B8*(B8&lt;0)*Parameters!B$65</f>
        <v>0</v>
      </c>
      <c r="I9" s="7">
        <f>I8*(1+Parameters!$B$51)^Parameters!B$65</f>
        <v>8.2790082490297756</v>
      </c>
      <c r="J9" s="7">
        <f>J8*(1+Parameters!$B$53)^Parameters!B$65</f>
        <v>9.9947884655139401</v>
      </c>
      <c r="K9" s="23">
        <f>EXP(-Parameters!$B$42*A9)*(Parameters!$B$37/Parameters!$B$38*(E9+H9)/Parameters!$B$25*(EXP(-Parameters!$B$38*Parameters!$E$25*H9/(E9+H9))-EXP(-Parameters!$B$38*Parameters!$E$25))  +  Parameters!$B$39*E9*Parameters!$B$28*Parameters!$B$29*EXP((Parameters!$B$53+Parameters!$B$51)*A9))</f>
        <v>55.598890892336911</v>
      </c>
      <c r="L9" s="8">
        <f>L8+K9*Parameters!B$65</f>
        <v>2572.6963257227135</v>
      </c>
      <c r="M9" s="7">
        <f>M8+Parameters!$B$45*K9</f>
        <v>1.5436177954336285</v>
      </c>
      <c r="N9" s="7">
        <f>'6states'!O9</f>
        <v>0.97793003124812627</v>
      </c>
      <c r="O9" s="7">
        <f>MAX(O8+(Parameters!B$31-K9)*Parameters!B$65,30)</f>
        <v>43.303674277286092</v>
      </c>
      <c r="P9" s="7">
        <f>Parameters!B$61*EXP(-Parameters!B$60*A9)+(1-Parameters!B$61)*(O9/Parameters!B$62)^-Parameters!B$63</f>
        <v>0.94409916603317812</v>
      </c>
      <c r="Q9" s="9">
        <f>1-P9/Parameters!$B$12</f>
        <v>0.52795041698341094</v>
      </c>
      <c r="R9" s="23">
        <f t="shared" si="0"/>
        <v>2.1184215302333134</v>
      </c>
      <c r="S9" s="7">
        <f>(Parameters!$B$19*(E9+Parameters!$B$20)^Q9+Parameters!$B$18*F9^Q9)^(1/Q9)</f>
        <v>0.54643025797229272</v>
      </c>
      <c r="T9" s="7">
        <f>(Parameters!$B$10*G9^Parameters!$B$9 + Parameters!$B$11*S9^Parameters!$B$9) ^ (Parameters!$B$7/Parameters!$B$9) * N9</f>
        <v>1.4986604251205087</v>
      </c>
      <c r="U9" s="7">
        <f t="shared" si="1"/>
        <v>1.140486788036192</v>
      </c>
      <c r="V9" s="7">
        <f>EXP(-Parameters!$B$55*A9)</f>
        <v>0.92727973053399881</v>
      </c>
      <c r="W9" s="7">
        <f>IF(U9&gt;0,U9^(1-Parameters!$B$52)/(1-Parameters!$B$52)*V9,-10+U9*1000)</f>
        <v>-2.5302365897152397</v>
      </c>
      <c r="X9" s="7"/>
      <c r="Y9" s="9">
        <f t="shared" si="2"/>
        <v>5.4110893733099276E-2</v>
      </c>
      <c r="Z9" s="9">
        <f t="shared" si="3"/>
        <v>7.2444321271830777E-3</v>
      </c>
      <c r="AA9" s="7">
        <f t="shared" si="4"/>
        <v>0.29680616341449362</v>
      </c>
      <c r="AB9" s="13">
        <f t="shared" si="5"/>
        <v>0.23899585995641132</v>
      </c>
    </row>
    <row r="10" spans="1:28" x14ac:dyDescent="0.25">
      <c r="A10">
        <f>A9+Parameters!$B$65</f>
        <v>6</v>
      </c>
      <c r="B10" s="19">
        <v>5.439284494844393E-2</v>
      </c>
      <c r="C10" s="45">
        <v>7.0702278404730784E-3</v>
      </c>
      <c r="D10" s="18">
        <v>0.29645180365206492</v>
      </c>
      <c r="E10" s="7">
        <f>MAX((1-Parameters!$B$4)^Parameters!B$65*E9+B9*Parameters!B$65-Parameters!$B$5*B9^2/E9*Parameters!B$65,0.0001)</f>
        <v>0.78917071268892314</v>
      </c>
      <c r="F10" s="9">
        <f>(1-Parameters!$B$4)^Parameters!B$65*F9+C9*Parameters!B$65-Parameters!$B$5*C9^2/F9*Parameters!B$65</f>
        <v>0.14063635524476659</v>
      </c>
      <c r="G10" s="7">
        <f>(1-Parameters!$B$4)^Parameters!B$65*G9+D9*Parameters!B$65-Parameters!$B$5*D9^2/G9*Parameters!B$65</f>
        <v>4.3706438730741048</v>
      </c>
      <c r="H10" s="7">
        <f>H9 *(1-Parameters!$B$4)-B9*(B9&lt;0)*Parameters!B$65</f>
        <v>0</v>
      </c>
      <c r="I10" s="7">
        <f>I9*(1+Parameters!$B$51)^Parameters!B$65</f>
        <v>8.3030173729519614</v>
      </c>
      <c r="J10" s="7">
        <f>J9*(1+Parameters!$B$53)^Parameters!B$65</f>
        <v>10.194684234824219</v>
      </c>
      <c r="K10" s="23">
        <f>EXP(-Parameters!$B$42*A10)*(Parameters!$B$37/Parameters!$B$38*(E10+H10)/Parameters!$B$25*(EXP(-Parameters!$B$38*Parameters!$E$25*H10/(E10+H10))-EXP(-Parameters!$B$38*Parameters!$E$25))  +  Parameters!$B$39*E10*Parameters!$B$28*Parameters!$B$29*EXP((Parameters!$B$53+Parameters!$B$51)*A10))</f>
        <v>56.198343881306798</v>
      </c>
      <c r="L10" s="8">
        <f>L9+K10*Parameters!B$65</f>
        <v>2628.8946696040202</v>
      </c>
      <c r="M10" s="7">
        <f>M9+Parameters!$B$45*K10</f>
        <v>1.5773368017624125</v>
      </c>
      <c r="N10" s="7">
        <f>'6states'!O10</f>
        <v>0.97738401224199534</v>
      </c>
      <c r="O10" s="7">
        <f>MAX(O9+(Parameters!B$31-K10)*Parameters!B$65,30)</f>
        <v>40.305330395979297</v>
      </c>
      <c r="P10" s="7">
        <f>Parameters!B$61*EXP(-Parameters!B$60*A10)+(1-Parameters!B$61)*(O10/Parameters!B$62)^-Parameters!B$63</f>
        <v>0.93611454804832261</v>
      </c>
      <c r="Q10" s="9">
        <f>1-P10/Parameters!$B$12</f>
        <v>0.53194272597583869</v>
      </c>
      <c r="R10" s="23">
        <f t="shared" si="0"/>
        <v>2.1364906721829509</v>
      </c>
      <c r="S10" s="7">
        <f>(Parameters!$B$19*(E10+Parameters!$B$20)^Q10+Parameters!$B$18*F10^Q10)^(1/Q10)</f>
        <v>0.54622227582200555</v>
      </c>
      <c r="T10" s="7">
        <f>(Parameters!$B$10*G10^Parameters!$B$9 + Parameters!$B$11*S10^Parameters!$B$9) ^ (Parameters!$B$7/Parameters!$B$9) * N10</f>
        <v>1.4979441529953026</v>
      </c>
      <c r="U10" s="7">
        <f t="shared" si="1"/>
        <v>1.1400292765543207</v>
      </c>
      <c r="V10" s="7">
        <f>EXP(-Parameters!$B$55*A10)</f>
        <v>0.91338299103478215</v>
      </c>
      <c r="W10" s="7">
        <f>IF(U10&gt;0,U10^(1-Parameters!$B$52)/(1-Parameters!$B$52)*V10,-10+U10*1000)</f>
        <v>-2.4926670566923512</v>
      </c>
      <c r="X10" s="7"/>
      <c r="Y10" s="9">
        <f t="shared" si="2"/>
        <v>5.4341572794550548E-2</v>
      </c>
      <c r="Z10" s="9">
        <f t="shared" si="3"/>
        <v>7.0700177079082924E-3</v>
      </c>
      <c r="AA10" s="7">
        <f t="shared" si="4"/>
        <v>0.29648539185810896</v>
      </c>
      <c r="AB10" s="13">
        <f t="shared" si="5"/>
        <v>0.23893739678164377</v>
      </c>
    </row>
    <row r="11" spans="1:28" x14ac:dyDescent="0.25">
      <c r="A11">
        <f>A10+Parameters!$B$65</f>
        <v>7</v>
      </c>
      <c r="B11" s="19">
        <v>5.4482369179769355E-2</v>
      </c>
      <c r="C11" s="45">
        <v>6.8974158857800592E-3</v>
      </c>
      <c r="D11" s="18">
        <v>0.29622264849085511</v>
      </c>
      <c r="E11" s="7">
        <f>MAX((1-Parameters!$B$4)^Parameters!B$65*E10+B10*Parameters!B$65-Parameters!$B$5*B10^2/E10*Parameters!B$65,0.0001)</f>
        <v>0.79017574441770577</v>
      </c>
      <c r="F11" s="9">
        <f>(1-Parameters!$B$4)^Parameters!B$65*F10+C10*Parameters!B$65-Parameters!$B$5*C10^2/F10*Parameters!B$65</f>
        <v>0.13850511395399073</v>
      </c>
      <c r="G11" s="7">
        <f>(1-Parameters!$B$4)^Parameters!B$65*G10+D10*Parameters!B$65-Parameters!$B$5*D10^2/G10*Parameters!B$65</f>
        <v>4.3720744597023158</v>
      </c>
      <c r="H11" s="7">
        <f>H10 *(1-Parameters!$B$4)-B10*(B10&lt;0)*Parameters!B$65</f>
        <v>0</v>
      </c>
      <c r="I11" s="7">
        <f>I10*(1+Parameters!$B$51)^Parameters!B$65</f>
        <v>8.3270961233335221</v>
      </c>
      <c r="J11" s="7">
        <f>J10*(1+Parameters!$B$53)^Parameters!B$65</f>
        <v>10.398577919520704</v>
      </c>
      <c r="K11" s="23">
        <f>EXP(-Parameters!$B$42*A11)*(Parameters!$B$37/Parameters!$B$38*(E11+H11)/Parameters!$B$25*(EXP(-Parameters!$B$38*Parameters!$E$25*H11/(E11+H11))-EXP(-Parameters!$B$38*Parameters!$E$25))  +  Parameters!$B$39*E11*Parameters!$B$28*Parameters!$B$29*EXP((Parameters!$B$53+Parameters!$B$51)*A11))</f>
        <v>56.819348484400194</v>
      </c>
      <c r="L11" s="8">
        <f>L10+K11*Parameters!B$65</f>
        <v>2685.7140180884203</v>
      </c>
      <c r="M11" s="7">
        <f>M10+Parameters!$B$45*K11</f>
        <v>1.6114284108530526</v>
      </c>
      <c r="N11" s="7">
        <f>'6states'!O11</f>
        <v>0.97686622392390199</v>
      </c>
      <c r="O11" s="7">
        <f>MAX(O10+(Parameters!B$31-K11)*Parameters!B$65,30)</f>
        <v>36.685981911579105</v>
      </c>
      <c r="P11" s="7">
        <f>Parameters!B$61*EXP(-Parameters!B$60*A11)+(1-Parameters!B$61)*(O11/Parameters!B$62)^-Parameters!B$63</f>
        <v>0.92961683484914404</v>
      </c>
      <c r="Q11" s="9">
        <f>1-P11/Parameters!$B$12</f>
        <v>0.53519158257542798</v>
      </c>
      <c r="R11" s="23">
        <f t="shared" si="0"/>
        <v>2.1514240330259886</v>
      </c>
      <c r="S11" s="7">
        <f>(Parameters!$B$19*(E11+Parameters!$B$20)^Q11+Parameters!$B$18*F11^Q11)^(1/Q11)</f>
        <v>0.54600087347254223</v>
      </c>
      <c r="T11" s="7">
        <f>(Parameters!$B$10*G11^Parameters!$B$9 + Parameters!$B$11*S11^Parameters!$B$9) ^ (Parameters!$B$7/Parameters!$B$9) * N11</f>
        <v>1.4972360348297753</v>
      </c>
      <c r="U11" s="7">
        <f t="shared" si="1"/>
        <v>1.139633601273371</v>
      </c>
      <c r="V11" s="7">
        <f>EXP(-Parameters!$B$55*A11)</f>
        <v>0.89969451594850369</v>
      </c>
      <c r="W11" s="7">
        <f>IF(U11&gt;0,U11^(1-Parameters!$B$52)/(1-Parameters!$B$52)*V11,-10+U11*1000)</f>
        <v>-2.4556088671965504</v>
      </c>
      <c r="X11" s="7"/>
      <c r="Y11" s="9">
        <f t="shared" si="2"/>
        <v>5.4408164753638612E-2</v>
      </c>
      <c r="Z11" s="9">
        <f t="shared" si="3"/>
        <v>6.8946649773232518E-3</v>
      </c>
      <c r="AA11" s="7">
        <f t="shared" si="4"/>
        <v>0.2962754641138341</v>
      </c>
      <c r="AB11" s="13">
        <f t="shared" si="5"/>
        <v>0.2388417225057379</v>
      </c>
    </row>
    <row r="12" spans="1:28" x14ac:dyDescent="0.25">
      <c r="A12">
        <f>A11+Parameters!$B$65</f>
        <v>8</v>
      </c>
      <c r="B12" s="19">
        <v>5.4349280132702564E-2</v>
      </c>
      <c r="C12" s="45">
        <v>6.716351205716618E-3</v>
      </c>
      <c r="D12" s="18">
        <v>0.29615194019858232</v>
      </c>
      <c r="E12" s="7">
        <f>MAX((1-Parameters!$B$4)^Parameters!B$65*E11+B11*Parameters!B$65-Parameters!$B$5*B11^2/E11*Parameters!B$65,0.0001)</f>
        <v>0.79119951704560876</v>
      </c>
      <c r="F12" s="9">
        <f>(1-Parameters!$B$4)^Parameters!B$65*F11+C11*Parameters!B$65-Parameters!$B$5*C11^2/F11*Parameters!B$65</f>
        <v>0.13634707377251246</v>
      </c>
      <c r="G12" s="7">
        <f>(1-Parameters!$B$4)^Parameters!B$65*G11+D11*Parameters!B$65-Parameters!$B$5*D11^2/G11*Parameters!B$65</f>
        <v>4.3732235507832913</v>
      </c>
      <c r="H12" s="7">
        <f>H11 *(1-Parameters!$B$4)-B11*(B11&lt;0)*Parameters!B$65</f>
        <v>0</v>
      </c>
      <c r="I12" s="7">
        <f>I11*(1+Parameters!$B$51)^Parameters!B$65</f>
        <v>8.3512447020911882</v>
      </c>
      <c r="J12" s="7">
        <f>J11*(1+Parameters!$B$53)^Parameters!B$65</f>
        <v>10.606549477911118</v>
      </c>
      <c r="K12" s="23">
        <f>EXP(-Parameters!$B$42*A12)*(Parameters!$B$37/Parameters!$B$38*(E12+H12)/Parameters!$B$25*(EXP(-Parameters!$B$38*Parameters!$E$25*H12/(E12+H12))-EXP(-Parameters!$B$38*Parameters!$E$25))  +  Parameters!$B$39*E12*Parameters!$B$28*Parameters!$B$29*EXP((Parameters!$B$53+Parameters!$B$51)*A12))</f>
        <v>57.452059049335254</v>
      </c>
      <c r="L12" s="8">
        <f>L11+K12*Parameters!B$65</f>
        <v>2743.1660771377556</v>
      </c>
      <c r="M12" s="7">
        <f>M11+Parameters!$B$45*K12</f>
        <v>1.6458996462826536</v>
      </c>
      <c r="N12" s="7">
        <f>'6states'!O12</f>
        <v>0.97635883348086172</v>
      </c>
      <c r="O12" s="7">
        <f>MAX(O11+(Parameters!B$31-K12)*Parameters!B$65,30)</f>
        <v>32.433922862243854</v>
      </c>
      <c r="P12" s="7">
        <f>Parameters!B$61*EXP(-Parameters!B$60*A12)+(1-Parameters!B$61)*(O12/Parameters!B$62)^-Parameters!B$63</f>
        <v>0.92498371664417078</v>
      </c>
      <c r="Q12" s="9">
        <f>1-P12/Parameters!$B$12</f>
        <v>0.53750814167791461</v>
      </c>
      <c r="R12" s="23">
        <f t="shared" si="0"/>
        <v>2.1622002247304142</v>
      </c>
      <c r="S12" s="7">
        <f>(Parameters!$B$19*(E12+Parameters!$B$20)^Q12+Parameters!$B$18*F12^Q12)^(1/Q12)</f>
        <v>0.54565561118358041</v>
      </c>
      <c r="T12" s="7">
        <f>(Parameters!$B$10*G12^Parameters!$B$9 + Parameters!$B$11*S12^Parameters!$B$9) ^ (Parameters!$B$7/Parameters!$B$9) * N12</f>
        <v>1.4965009664408682</v>
      </c>
      <c r="U12" s="7">
        <f t="shared" si="1"/>
        <v>1.1392833949038665</v>
      </c>
      <c r="V12" s="7">
        <f>EXP(-Parameters!$B$55*A12)</f>
        <v>0.88621118410665478</v>
      </c>
      <c r="W12" s="7">
        <f>IF(U12&gt;0,U12^(1-Parameters!$B$52)/(1-Parameters!$B$52)*V12,-10+U12*1000)</f>
        <v>-2.4190679277882636</v>
      </c>
      <c r="X12" s="7"/>
      <c r="Y12" s="9">
        <f t="shared" si="2"/>
        <v>5.4369526977032658E-2</v>
      </c>
      <c r="Z12" s="9">
        <f t="shared" si="3"/>
        <v>6.7220944343966771E-3</v>
      </c>
      <c r="AA12" s="7">
        <f t="shared" si="4"/>
        <v>0.29614779742645703</v>
      </c>
      <c r="AB12" s="13">
        <f t="shared" si="5"/>
        <v>0.2387018649153117</v>
      </c>
    </row>
    <row r="13" spans="1:28" x14ac:dyDescent="0.25">
      <c r="A13">
        <f>A12+Parameters!$B$65</f>
        <v>9</v>
      </c>
      <c r="B13" s="19">
        <v>5.4276931618626081E-2</v>
      </c>
      <c r="C13" s="45">
        <v>6.5525162116933551E-3</v>
      </c>
      <c r="D13" s="18">
        <v>0.2960688035899337</v>
      </c>
      <c r="E13" s="7">
        <f>MAX((1-Parameters!$B$4)^Parameters!B$65*E12+B12*Parameters!B$65-Parameters!$B$5*B12^2/E12*Parameters!B$65,0.0001)</f>
        <v>0.79204897286707188</v>
      </c>
      <c r="F13" s="9">
        <f>(1-Parameters!$B$4)^Parameters!B$65*F12+C12*Parameters!B$65-Parameters!$B$5*C12^2/F12*Parameters!B$65</f>
        <v>0.13415635178169869</v>
      </c>
      <c r="G13" s="7">
        <f>(1-Parameters!$B$4)^Parameters!B$65*G12+D12*Parameters!B$65-Parameters!$B$5*D12^2/G12*Parameters!B$65</f>
        <v>4.3742445070621034</v>
      </c>
      <c r="H13" s="7">
        <f>H12 *(1-Parameters!$B$4)-B12*(B12&lt;0)*Parameters!B$65</f>
        <v>0</v>
      </c>
      <c r="I13" s="7">
        <f>I12*(1+Parameters!$B$51)^Parameters!B$65</f>
        <v>8.3754633117272519</v>
      </c>
      <c r="J13" s="7">
        <f>J12*(1+Parameters!$B$53)^Parameters!B$65</f>
        <v>10.81868046746934</v>
      </c>
      <c r="K13" s="23">
        <f>EXP(-Parameters!$B$42*A13)*(Parameters!$B$37/Parameters!$B$38*(E13+H13)/Parameters!$B$25*(EXP(-Parameters!$B$38*Parameters!$E$25*H13/(E13+H13))-EXP(-Parameters!$B$38*Parameters!$E$25))  +  Parameters!$B$39*E13*Parameters!$B$28*Parameters!$B$29*EXP((Parameters!$B$53+Parameters!$B$51)*A13))</f>
        <v>58.082491085829297</v>
      </c>
      <c r="L13" s="8">
        <f>L12+K13*Parameters!B$65</f>
        <v>2801.2485682235847</v>
      </c>
      <c r="M13" s="7">
        <f>M12+Parameters!$B$45*K13</f>
        <v>1.6807491409341513</v>
      </c>
      <c r="N13" s="7">
        <f>'6states'!O13</f>
        <v>0.97586104371974702</v>
      </c>
      <c r="O13" s="7">
        <f>MAX(O12+(Parameters!B$31-K13)*Parameters!B$65,30)</f>
        <v>30</v>
      </c>
      <c r="P13" s="7">
        <f>Parameters!B$61*EXP(-Parameters!B$60*A13)+(1-Parameters!B$61)*(O13/Parameters!B$62)^-Parameters!B$63</f>
        <v>0.91834064646024083</v>
      </c>
      <c r="Q13" s="9">
        <f>1-P13/Parameters!$B$12</f>
        <v>0.54082967676987959</v>
      </c>
      <c r="R13" s="23">
        <f t="shared" si="0"/>
        <v>2.177841096012719</v>
      </c>
      <c r="S13" s="7">
        <f>(Parameters!$B$19*(E13+Parameters!$B$20)^Q13+Parameters!$B$18*F13^Q13)^(1/Q13)</f>
        <v>0.54532219513282632</v>
      </c>
      <c r="T13" s="7">
        <f>(Parameters!$B$10*G13^Parameters!$B$9 + Parameters!$B$11*S13^Parameters!$B$9) ^ (Parameters!$B$7/Parameters!$B$9) * N13</f>
        <v>1.4957714588559285</v>
      </c>
      <c r="U13" s="7">
        <f t="shared" si="1"/>
        <v>1.1388732074356755</v>
      </c>
      <c r="V13" s="7">
        <f>EXP(-Parameters!$B$55*A13)</f>
        <v>0.87292992111632683</v>
      </c>
      <c r="W13" s="7">
        <f>IF(U13&gt;0,U13^(1-Parameters!$B$52)/(1-Parameters!$B$52)*V13,-10+U13*1000)</f>
        <v>-2.3831147458965578</v>
      </c>
      <c r="X13" s="7"/>
      <c r="Y13" s="9">
        <f t="shared" si="2"/>
        <v>5.4289155085419705E-2</v>
      </c>
      <c r="Z13" s="9">
        <f t="shared" si="3"/>
        <v>6.5567234542599105E-3</v>
      </c>
      <c r="AA13" s="7">
        <f t="shared" si="4"/>
        <v>0.29605803630298261</v>
      </c>
      <c r="AB13" s="13">
        <f t="shared" si="5"/>
        <v>0.23860480109256399</v>
      </c>
    </row>
    <row r="14" spans="1:28" x14ac:dyDescent="0.25">
      <c r="A14">
        <f>A13+Parameters!$B$65</f>
        <v>10</v>
      </c>
      <c r="B14" s="19">
        <v>5.4241253504930489E-2</v>
      </c>
      <c r="C14" s="45">
        <v>6.4013029453697566E-3</v>
      </c>
      <c r="D14" s="18">
        <v>0.29595336512043185</v>
      </c>
      <c r="E14" s="7">
        <f>MAX((1-Parameters!$B$4)^Parameters!B$65*E13+B13*Parameters!B$65-Parameters!$B$5*B13^2/E13*Parameters!B$65,0.0001)</f>
        <v>0.79278657566574362</v>
      </c>
      <c r="F14" s="9">
        <f>(1-Parameters!$B$4)^Parameters!B$65*F13+C13*Parameters!B$65-Parameters!$B$5*C13^2/F13*Parameters!B$65</f>
        <v>0.13195039294543631</v>
      </c>
      <c r="G14" s="7">
        <f>(1-Parameters!$B$4)^Parameters!B$65*G13+D13*Parameters!B$65-Parameters!$B$5*D13^2/G13*Parameters!B$65</f>
        <v>4.3751340452153897</v>
      </c>
      <c r="H14" s="7">
        <f>H13 *(1-Parameters!$B$4)-B13*(B13&lt;0)*Parameters!B$65</f>
        <v>0</v>
      </c>
      <c r="I14" s="7">
        <f>I13*(1+Parameters!$B$51)^Parameters!B$65</f>
        <v>8.3997521553312602</v>
      </c>
      <c r="J14" s="7">
        <f>J13*(1+Parameters!$B$53)^Parameters!B$65</f>
        <v>11.035054076818728</v>
      </c>
      <c r="K14" s="23">
        <f>EXP(-Parameters!$B$42*A14)*(Parameters!$B$37/Parameters!$B$38*(E14+H14)/Parameters!$B$25*(EXP(-Parameters!$B$38*Parameters!$E$25*H14/(E14+H14))-EXP(-Parameters!$B$38*Parameters!$E$25))  +  Parameters!$B$39*E14*Parameters!$B$28*Parameters!$B$29*EXP((Parameters!$B$53+Parameters!$B$51)*A14))</f>
        <v>58.71502423928866</v>
      </c>
      <c r="L14" s="8">
        <f>L13+K14*Parameters!B$65</f>
        <v>2859.9635924628733</v>
      </c>
      <c r="M14" s="7">
        <f>M13+Parameters!$B$45*K14</f>
        <v>1.7159781554777245</v>
      </c>
      <c r="N14" s="7">
        <f>'6states'!O14</f>
        <v>0.97537239006544596</v>
      </c>
      <c r="O14" s="7">
        <f>MAX(O13+(Parameters!B$31-K14)*Parameters!B$65,30)</f>
        <v>30</v>
      </c>
      <c r="P14" s="7">
        <f>Parameters!B$61*EXP(-Parameters!B$60*A14)+(1-Parameters!B$61)*(O14/Parameters!B$62)^-Parameters!B$63</f>
        <v>0.90789463674288928</v>
      </c>
      <c r="Q14" s="9">
        <f>1-P14/Parameters!$B$12</f>
        <v>0.54605268162855536</v>
      </c>
      <c r="R14" s="23">
        <f t="shared" si="0"/>
        <v>2.2028987936035014</v>
      </c>
      <c r="S14" s="7">
        <f>(Parameters!$B$19*(E14+Parameters!$B$20)^Q14+Parameters!$B$18*F14^Q14)^(1/Q14)</f>
        <v>0.5451720342651809</v>
      </c>
      <c r="T14" s="7">
        <f>(Parameters!$B$10*G14^Parameters!$B$9 + Parameters!$B$11*S14^Parameters!$B$9) ^ (Parameters!$B$7/Parameters!$B$9) * N14</f>
        <v>1.4950732004088345</v>
      </c>
      <c r="U14" s="7">
        <f t="shared" si="1"/>
        <v>1.1384772788381023</v>
      </c>
      <c r="V14" s="7">
        <f>EXP(-Parameters!$B$55*A14)</f>
        <v>0.85984769865920552</v>
      </c>
      <c r="W14" s="7">
        <f>IF(U14&gt;0,U14^(1-Parameters!$B$52)/(1-Parameters!$B$52)*V14,-10+U14*1000)</f>
        <v>-2.3476857302122918</v>
      </c>
      <c r="X14" s="7"/>
      <c r="Y14" s="9">
        <f t="shared" si="2"/>
        <v>5.4248911651725788E-2</v>
      </c>
      <c r="Z14" s="9">
        <f t="shared" si="3"/>
        <v>6.4047732048393771E-3</v>
      </c>
      <c r="AA14" s="7">
        <f t="shared" si="4"/>
        <v>0.29594746654925408</v>
      </c>
      <c r="AB14" s="13">
        <f t="shared" si="5"/>
        <v>0.23851402156979293</v>
      </c>
    </row>
    <row r="15" spans="1:28" x14ac:dyDescent="0.25">
      <c r="A15">
        <f>A14+Parameters!$B$65</f>
        <v>11</v>
      </c>
      <c r="B15" s="19">
        <v>5.4228549831620794E-2</v>
      </c>
      <c r="C15" s="45">
        <v>6.2605004574550196E-3</v>
      </c>
      <c r="D15" s="18">
        <v>0.29582023093739679</v>
      </c>
      <c r="E15" s="7">
        <f>MAX((1-Parameters!$B$4)^Parameters!B$65*E14+B14*Parameters!B$65-Parameters!$B$5*B14^2/E14*Parameters!B$65,0.0001)</f>
        <v>0.79345044937248799</v>
      </c>
      <c r="F15" s="9">
        <f>(1-Parameters!$B$4)^Parameters!B$65*F14+C14*Parameters!B$65-Parameters!$B$5*C14^2/F14*Parameters!B$65</f>
        <v>0.12974147007851139</v>
      </c>
      <c r="G15" s="7">
        <f>(1-Parameters!$B$4)^Parameters!B$65*G14+D14*Parameters!B$65-Parameters!$B$5*D14^2/G14*Parameters!B$65</f>
        <v>4.3758718878527523</v>
      </c>
      <c r="H15" s="7">
        <f>H14 *(1-Parameters!$B$4)-B14*(B14&lt;0)*Parameters!B$65</f>
        <v>0</v>
      </c>
      <c r="I15" s="7">
        <f>I14*(1+Parameters!$B$51)^Parameters!B$65</f>
        <v>8.42411143658172</v>
      </c>
      <c r="J15" s="7">
        <f>J14*(1+Parameters!$B$53)^Parameters!B$65</f>
        <v>11.255755158355102</v>
      </c>
      <c r="K15" s="23">
        <f>EXP(-Parameters!$B$42*A15)*(Parameters!$B$37/Parameters!$B$38*(E15+H15)/Parameters!$B$25*(EXP(-Parameters!$B$38*Parameters!$E$25*H15/(E15+H15))-EXP(-Parameters!$B$38*Parameters!$E$25))  +  Parameters!$B$39*E15*Parameters!$B$28*Parameters!$B$29*EXP((Parameters!$B$53+Parameters!$B$51)*A15))</f>
        <v>59.352392455391097</v>
      </c>
      <c r="L15" s="8">
        <f>L14+K15*Parameters!B$65</f>
        <v>2919.3159849182643</v>
      </c>
      <c r="M15" s="7">
        <f>M14+Parameters!$B$45*K15</f>
        <v>1.7515895909509591</v>
      </c>
      <c r="N15" s="7">
        <f>'6states'!O15</f>
        <v>0.97489227994469629</v>
      </c>
      <c r="O15" s="7">
        <f>MAX(O14+(Parameters!B$31-K15)*Parameters!B$65,30)</f>
        <v>30</v>
      </c>
      <c r="P15" s="7">
        <f>Parameters!B$61*EXP(-Parameters!B$60*A15)+(1-Parameters!B$61)*(O15/Parameters!B$62)^-Parameters!B$63</f>
        <v>0.89772689575543252</v>
      </c>
      <c r="Q15" s="9">
        <f>1-P15/Parameters!$B$12</f>
        <v>0.55113655212228374</v>
      </c>
      <c r="R15" s="23">
        <f t="shared" si="0"/>
        <v>2.227849036779733</v>
      </c>
      <c r="S15" s="7">
        <f>(Parameters!$B$19*(E15+Parameters!$B$20)^Q15+Parameters!$B$18*F15^Q15)^(1/Q15)</f>
        <v>0.54496679476537091</v>
      </c>
      <c r="T15" s="7">
        <f>(Parameters!$B$10*G15^Parameters!$B$9 + Parameters!$B$11*S15^Parameters!$B$9) ^ (Parameters!$B$7/Parameters!$B$9) * N15</f>
        <v>1.4943667403289083</v>
      </c>
      <c r="U15" s="7">
        <f t="shared" si="1"/>
        <v>1.1380574591024357</v>
      </c>
      <c r="V15" s="7">
        <f>EXP(-Parameters!$B$55*A15)</f>
        <v>0.84696153380107075</v>
      </c>
      <c r="W15" s="7">
        <f>IF(U15&gt;0,U15^(1-Parameters!$B$52)/(1-Parameters!$B$52)*V15,-10+U15*1000)</f>
        <v>-2.3128005175409125</v>
      </c>
      <c r="X15" s="7"/>
      <c r="Y15" s="9">
        <f t="shared" si="2"/>
        <v>5.4233195343926288E-2</v>
      </c>
      <c r="Z15" s="9">
        <f t="shared" si="3"/>
        <v>6.2634548201380745E-3</v>
      </c>
      <c r="AA15" s="7">
        <f t="shared" si="4"/>
        <v>0.29581783196178241</v>
      </c>
      <c r="AB15" s="13">
        <f t="shared" si="5"/>
        <v>0.23843496486548502</v>
      </c>
    </row>
    <row r="16" spans="1:28" x14ac:dyDescent="0.25">
      <c r="A16">
        <f>A15+Parameters!$B$65</f>
        <v>12</v>
      </c>
      <c r="B16" s="19">
        <v>5.4229782695227588E-2</v>
      </c>
      <c r="C16" s="45">
        <v>6.1285610575894482E-3</v>
      </c>
      <c r="D16" s="18">
        <v>0.29567989982751852</v>
      </c>
      <c r="E16" s="7">
        <f>MAX((1-Parameters!$B$4)^Parameters!B$65*E15+B15*Parameters!B$65-Parameters!$B$5*B15^2/E15*Parameters!B$65,0.0001)</f>
        <v>0.79406470347547742</v>
      </c>
      <c r="F16" s="9">
        <f>(1-Parameters!$B$4)^Parameters!B$65*F15+C15*Parameters!B$65-Parameters!$B$5*C15^2/F15*Parameters!B$65</f>
        <v>0.12753914002333272</v>
      </c>
      <c r="G16" s="7">
        <f>(1-Parameters!$B$4)^Parameters!B$65*G15+D15*Parameters!B$65-Parameters!$B$5*D15^2/G15*Parameters!B$65</f>
        <v>4.3764515661105738</v>
      </c>
      <c r="H16" s="7">
        <f>H15 *(1-Parameters!$B$4)-B15*(B15&lt;0)*Parameters!B$65</f>
        <v>0</v>
      </c>
      <c r="I16" s="7">
        <f>I15*(1+Parameters!$B$51)^Parameters!B$65</f>
        <v>8.4485413597478054</v>
      </c>
      <c r="J16" s="7">
        <f>J15*(1+Parameters!$B$53)^Parameters!B$65</f>
        <v>11.480870261522204</v>
      </c>
      <c r="K16" s="23">
        <f>EXP(-Parameters!$B$42*A16)*(Parameters!$B$37/Parameters!$B$38*(E16+H16)/Parameters!$B$25*(EXP(-Parameters!$B$38*Parameters!$E$25*H16/(E16+H16))-EXP(-Parameters!$B$38*Parameters!$E$25))  +  Parameters!$B$39*E16*Parameters!$B$28*Parameters!$B$29*EXP((Parameters!$B$53+Parameters!$B$51)*A16))</f>
        <v>59.996379652898682</v>
      </c>
      <c r="L16" s="8">
        <f>L15+K16*Parameters!B$65</f>
        <v>2979.312364571163</v>
      </c>
      <c r="M16" s="7">
        <f>M15+Parameters!$B$45*K16</f>
        <v>1.7875874187426983</v>
      </c>
      <c r="N16" s="7">
        <f>'6states'!O16</f>
        <v>0.97442030155015624</v>
      </c>
      <c r="O16" s="7">
        <f>MAX(O15+(Parameters!B$31-K16)*Parameters!B$65,30)</f>
        <v>30</v>
      </c>
      <c r="P16" s="7">
        <f>Parameters!B$61*EXP(-Parameters!B$60*A16)+(1-Parameters!B$61)*(O16/Parameters!B$62)^-Parameters!B$63</f>
        <v>0.88783001076438384</v>
      </c>
      <c r="Q16" s="9">
        <f>1-P16/Parameters!$B$12</f>
        <v>0.55608499461780814</v>
      </c>
      <c r="R16" s="23">
        <f t="shared" si="0"/>
        <v>2.2526834819179915</v>
      </c>
      <c r="S16" s="7">
        <f>(Parameters!$B$19*(E16+Parameters!$B$20)^Q16+Parameters!$B$18*F16^Q16)^(1/Q16)</f>
        <v>0.54472592567036071</v>
      </c>
      <c r="T16" s="7">
        <f>(Parameters!$B$10*G16^Parameters!$B$9 + Parameters!$B$11*S16^Parameters!$B$9) ^ (Parameters!$B$7/Parameters!$B$9) * N16</f>
        <v>1.4936539366326889</v>
      </c>
      <c r="U16" s="7">
        <f t="shared" si="1"/>
        <v>1.1376156930523533</v>
      </c>
      <c r="V16" s="7">
        <f>EXP(-Parameters!$B$55*A16)</f>
        <v>0.83426848831164502</v>
      </c>
      <c r="W16" s="7">
        <f>IF(U16&gt;0,U16^(1-Parameters!$B$52)/(1-Parameters!$B$52)*V16,-10+U16*1000)</f>
        <v>-2.2784491708314212</v>
      </c>
      <c r="X16" s="7"/>
      <c r="Y16" s="9">
        <f t="shared" si="2"/>
        <v>5.4232928455253231E-2</v>
      </c>
      <c r="Z16" s="9">
        <f t="shared" si="3"/>
        <v>6.1311927099935619E-3</v>
      </c>
      <c r="AA16" s="7">
        <f t="shared" si="4"/>
        <v>0.29567951463184389</v>
      </c>
      <c r="AB16" s="13">
        <f t="shared" si="5"/>
        <v>0.23836729167868187</v>
      </c>
    </row>
    <row r="17" spans="1:28" x14ac:dyDescent="0.25">
      <c r="A17">
        <f>A16+Parameters!$B$65</f>
        <v>13</v>
      </c>
      <c r="B17" s="19">
        <v>5.4240452838911296E-2</v>
      </c>
      <c r="C17" s="45">
        <v>6.0045166149362188E-3</v>
      </c>
      <c r="D17" s="18">
        <v>0.29553841313061635</v>
      </c>
      <c r="E17" s="7">
        <f>MAX((1-Parameters!$B$4)^Parameters!B$65*E16+B16*Parameters!B$65-Parameters!$B$5*B16^2/E16*Parameters!B$65,0.0001)</f>
        <v>0.79464425247106629</v>
      </c>
      <c r="F17" s="9">
        <f>(1-Parameters!$B$4)^Parameters!B$65*F16+C16*Parameters!B$65-Parameters!$B$5*C16^2/F16*Parameters!B$65</f>
        <v>0.12535099714042272</v>
      </c>
      <c r="G17" s="7">
        <f>(1-Parameters!$B$4)^Parameters!B$65*G16+D16*Parameters!B$65-Parameters!$B$5*D16^2/G16*Parameters!B$65</f>
        <v>4.3768760668153792</v>
      </c>
      <c r="H17" s="7">
        <f>H16 *(1-Parameters!$B$4)-B16*(B16&lt;0)*Parameters!B$65</f>
        <v>0</v>
      </c>
      <c r="I17" s="7">
        <f>I16*(1+Parameters!$B$51)^Parameters!B$65</f>
        <v>8.4730421296910734</v>
      </c>
      <c r="J17" s="7">
        <f>J16*(1+Parameters!$B$53)^Parameters!B$65</f>
        <v>11.710487666752648</v>
      </c>
      <c r="K17" s="23">
        <f>EXP(-Parameters!$B$42*A17)*(Parameters!$B$37/Parameters!$B$38*(E17+H17)/Parameters!$B$25*(EXP(-Parameters!$B$38*Parameters!$E$25*H17/(E17+H17))-EXP(-Parameters!$B$38*Parameters!$E$25))  +  Parameters!$B$39*E17*Parameters!$B$28*Parameters!$B$29*EXP((Parameters!$B$53+Parameters!$B$51)*A17))</f>
        <v>60.648138371940348</v>
      </c>
      <c r="L17" s="8">
        <f>L16+K17*Parameters!B$65</f>
        <v>3039.9605029431032</v>
      </c>
      <c r="M17" s="7">
        <f>M16+Parameters!$B$45*K17</f>
        <v>1.8239763017658626</v>
      </c>
      <c r="N17" s="7">
        <f>'6states'!O17</f>
        <v>0.97395595346977037</v>
      </c>
      <c r="O17" s="7">
        <f>MAX(O16+(Parameters!B$31-K17)*Parameters!B$65,30)</f>
        <v>30</v>
      </c>
      <c r="P17" s="7">
        <f>Parameters!B$61*EXP(-Parameters!B$60*A17)+(1-Parameters!B$61)*(O17/Parameters!B$62)^-Parameters!B$63</f>
        <v>0.87819676650227319</v>
      </c>
      <c r="Q17" s="9">
        <f>1-P17/Parameters!$B$12</f>
        <v>0.56090161674886341</v>
      </c>
      <c r="R17" s="23">
        <f t="shared" si="0"/>
        <v>2.2773939466501361</v>
      </c>
      <c r="S17" s="7">
        <f>(Parameters!$B$19*(E17+Parameters!$B$20)^Q17+Parameters!$B$18*F17^Q17)^(1/Q17)</f>
        <v>0.54446243785177439</v>
      </c>
      <c r="T17" s="7">
        <f>(Parameters!$B$10*G17^Parameters!$B$9 + Parameters!$B$11*S17^Parameters!$B$9) ^ (Parameters!$B$7/Parameters!$B$9) * N17</f>
        <v>1.4929363091377035</v>
      </c>
      <c r="U17" s="7">
        <f t="shared" si="1"/>
        <v>1.1371529265532394</v>
      </c>
      <c r="V17" s="7">
        <f>EXP(-Parameters!$B$55*A17)</f>
        <v>0.82176566799463491</v>
      </c>
      <c r="W17" s="7">
        <f>IF(U17&gt;0,U17^(1-Parameters!$B$52)/(1-Parameters!$B$52)*V17,-10+U17*1000)</f>
        <v>-2.2446226613240441</v>
      </c>
      <c r="X17" s="7"/>
      <c r="Y17" s="9">
        <f t="shared" si="2"/>
        <v>5.4239239024583191E-2</v>
      </c>
      <c r="Z17" s="9">
        <f t="shared" si="3"/>
        <v>5.9924093126929217E-3</v>
      </c>
      <c r="AA17" s="7">
        <f t="shared" si="4"/>
        <v>0.29550550282878624</v>
      </c>
      <c r="AB17" s="13">
        <f t="shared" si="5"/>
        <v>0.23831115929517363</v>
      </c>
    </row>
    <row r="18" spans="1:28" x14ac:dyDescent="0.25">
      <c r="A18">
        <f>A17+Parameters!$B$65</f>
        <v>14</v>
      </c>
      <c r="B18" s="19">
        <v>5.424748153961069E-2</v>
      </c>
      <c r="C18" s="45">
        <v>5.8441502655530988E-3</v>
      </c>
      <c r="D18" s="18">
        <v>0.29529819552822373</v>
      </c>
      <c r="E18" s="7">
        <f>MAX((1-Parameters!$B$4)^Parameters!B$65*E17+B17*Parameters!B$65-Parameters!$B$5*B17^2/E17*Parameters!B$65,0.0001)</f>
        <v>0.79519926256527118</v>
      </c>
      <c r="F18" s="9">
        <f>(1-Parameters!$B$4)^Parameters!B$65*F17+C17*Parameters!B$65-Parameters!$B$5*C17^2/F17*Parameters!B$65</f>
        <v>0.12318330992453291</v>
      </c>
      <c r="G18" s="7">
        <f>(1-Parameters!$B$4)^Parameters!B$65*G17+D17*Parameters!B$65-Parameters!$B$5*D17^2/G17*Parameters!B$65</f>
        <v>4.3771534288982128</v>
      </c>
      <c r="H18" s="7">
        <f>H17 *(1-Parameters!$B$4)-B17*(B17&lt;0)*Parameters!B$65</f>
        <v>0</v>
      </c>
      <c r="I18" s="7">
        <f>I17*(1+Parameters!$B$51)^Parameters!B$65</f>
        <v>8.4976139518671765</v>
      </c>
      <c r="J18" s="7">
        <f>J17*(1+Parameters!$B$53)^Parameters!B$65</f>
        <v>11.944697420087701</v>
      </c>
      <c r="K18" s="23">
        <f>EXP(-Parameters!$B$42*A18)*(Parameters!$B$37/Parameters!$B$38*(E18+H18)/Parameters!$B$25*(EXP(-Parameters!$B$38*Parameters!$E$25*H18/(E18+H18))-EXP(-Parameters!$B$38*Parameters!$E$25))  +  Parameters!$B$39*E18*Parameters!$B$28*Parameters!$B$29*EXP((Parameters!$B$53+Parameters!$B$51)*A18))</f>
        <v>61.308499716213056</v>
      </c>
      <c r="L18" s="8">
        <f>L17+K18*Parameters!B$65</f>
        <v>3101.2690026593164</v>
      </c>
      <c r="M18" s="7">
        <f>M17+Parameters!$B$45*K18</f>
        <v>1.8607614015955904</v>
      </c>
      <c r="N18" s="7">
        <f>'6states'!O18</f>
        <v>0.97349886554018705</v>
      </c>
      <c r="O18" s="7">
        <f>MAX(O17+(Parameters!B$31-K18)*Parameters!B$65,30)</f>
        <v>30</v>
      </c>
      <c r="P18" s="7">
        <f>Parameters!B$61*EXP(-Parameters!B$60*A18)+(1-Parameters!B$61)*(O18/Parameters!B$62)^-Parameters!B$63</f>
        <v>0.86882013990739781</v>
      </c>
      <c r="Q18" s="9">
        <f>1-P18/Parameters!$B$12</f>
        <v>0.56558993004630109</v>
      </c>
      <c r="R18" s="23">
        <f t="shared" si="0"/>
        <v>2.3019724199915159</v>
      </c>
      <c r="S18" s="7">
        <f>(Parameters!$B$19*(E18+Parameters!$B$20)^Q18+Parameters!$B$18*F18^Q18)^(1/Q18)</f>
        <v>0.54418584563393135</v>
      </c>
      <c r="T18" s="7">
        <f>(Parameters!$B$10*G18^Parameters!$B$9 + Parameters!$B$11*S18^Parameters!$B$9) ^ (Parameters!$B$7/Parameters!$B$9) * N18</f>
        <v>1.4922154626006738</v>
      </c>
      <c r="U18" s="7">
        <f t="shared" si="1"/>
        <v>1.1368256352672863</v>
      </c>
      <c r="V18" s="7">
        <f>EXP(-Parameters!$B$55*A18)</f>
        <v>0.80945022202781236</v>
      </c>
      <c r="W18" s="7">
        <f>IF(U18&gt;0,U18^(1-Parameters!$B$52)/(1-Parameters!$B$52)*V18,-10+U18*1000)</f>
        <v>-2.2112062425241183</v>
      </c>
      <c r="X18" s="7"/>
      <c r="Y18" s="9">
        <f t="shared" si="2"/>
        <v>5.4245138639377556E-2</v>
      </c>
      <c r="Z18" s="9">
        <f t="shared" si="3"/>
        <v>5.8976057153474724E-3</v>
      </c>
      <c r="AA18" s="7">
        <f t="shared" si="4"/>
        <v>0.29537826806235462</v>
      </c>
      <c r="AB18" s="13">
        <f t="shared" si="5"/>
        <v>0.2381625416975672</v>
      </c>
    </row>
    <row r="19" spans="1:28" x14ac:dyDescent="0.25">
      <c r="A19">
        <f>A18+Parameters!$B$65</f>
        <v>15</v>
      </c>
      <c r="B19" s="46">
        <f>B18</f>
        <v>5.424748153961069E-2</v>
      </c>
      <c r="C19" s="46">
        <f t="shared" ref="C19" si="6">C18</f>
        <v>5.8441502655530988E-3</v>
      </c>
      <c r="D19" s="46">
        <f t="shared" ref="D19" si="7">D18</f>
        <v>0.29529819552822373</v>
      </c>
      <c r="E19" s="7">
        <f>MAX((1-Parameters!$B$4)^Parameters!B$65*E18+B18*Parameters!B$65-Parameters!$B$5*B18^2/E18*Parameters!B$65,0.0001)</f>
        <v>0.79572801634665569</v>
      </c>
      <c r="F19" s="9">
        <f>(1-Parameters!$B$4)^Parameters!B$65*F18+C18*Parameters!B$65-Parameters!$B$5*C18^2/F18*Parameters!B$65</f>
        <v>0.12100196765934196</v>
      </c>
      <c r="G19" s="7">
        <f>(1-Parameters!$B$4)^Parameters!B$65*G18+D18*Parameters!B$65-Parameters!$B$5*D18^2/G18*Parameters!B$65</f>
        <v>4.3772068168390588</v>
      </c>
      <c r="H19" s="7">
        <f>H18 *(1-Parameters!$B$4)-B18*(B18&lt;0)*Parameters!B$65</f>
        <v>0</v>
      </c>
      <c r="I19" s="7">
        <f>I18*(1+Parameters!$B$51)^Parameters!B$65</f>
        <v>8.522257032327591</v>
      </c>
      <c r="J19" s="7">
        <f>J18*(1+Parameters!$B$53)^Parameters!B$65</f>
        <v>12.183591368489456</v>
      </c>
      <c r="K19" s="23">
        <f>EXP(-Parameters!$B$42*A19)*(Parameters!$B$37/Parameters!$B$38*(E19+H19)/Parameters!$B$25*(EXP(-Parameters!$B$38*Parameters!$E$25*H19/(E19+H19))-EXP(-Parameters!$B$38*Parameters!$E$25))  +  Parameters!$B$39*E19*Parameters!$B$28*Parameters!$B$29*EXP((Parameters!$B$53+Parameters!$B$51)*A19))</f>
        <v>61.977400637357526</v>
      </c>
      <c r="L19" s="8">
        <f>L18+K19*Parameters!B$65</f>
        <v>3163.2464032966741</v>
      </c>
      <c r="M19" s="7">
        <f>M18+Parameters!$B$45*K19</f>
        <v>1.8979478419780049</v>
      </c>
      <c r="N19" s="7">
        <f>'6states'!O19</f>
        <v>0.97304874257657203</v>
      </c>
      <c r="O19" s="7">
        <f>MAX(O18+(Parameters!B$31-K19)*Parameters!B$65,30)</f>
        <v>30</v>
      </c>
      <c r="P19" s="7">
        <f>Parameters!B$61*EXP(-Parameters!B$60*A19)+(1-Parameters!B$61)*(O19/Parameters!B$62)^-Parameters!B$63</f>
        <v>0.85969329500369984</v>
      </c>
      <c r="Q19" s="9">
        <f>1-P19/Parameters!$B$12</f>
        <v>0.57015335249815013</v>
      </c>
      <c r="R19" s="23">
        <f t="shared" si="0"/>
        <v>2.3264110719758411</v>
      </c>
      <c r="S19" s="7">
        <f>(Parameters!$B$19*(E19+Parameters!$B$20)^Q19+Parameters!$B$18*F19^Q19)^(1/Q19)</f>
        <v>0.54387531440042725</v>
      </c>
      <c r="T19" s="7">
        <f>(Parameters!$B$10*G19^Parameters!$B$9 + Parameters!$B$11*S19^Parameters!$B$9) ^ (Parameters!$B$7/Parameters!$B$9) * N19</f>
        <v>1.491481346595918</v>
      </c>
      <c r="U19" s="7">
        <f t="shared" si="1"/>
        <v>1.1360915192625305</v>
      </c>
      <c r="V19" s="7">
        <f>EXP(-Parameters!$B$55*A19)</f>
        <v>0.79731934231298707</v>
      </c>
      <c r="W19" s="7">
        <f>IF(U19&gt;0,U19^(1-Parameters!$B$52)/(1-Parameters!$B$52)*V19,-10+U19*1000)</f>
        <v>-2.1785603452826137</v>
      </c>
      <c r="X19" s="7"/>
      <c r="Y19" s="9">
        <f t="shared" si="2"/>
        <v>5.4261023015006703E-2</v>
      </c>
      <c r="Z19" s="9">
        <f t="shared" si="3"/>
        <v>5.7729033851812396E-3</v>
      </c>
      <c r="AA19" s="7">
        <f t="shared" si="4"/>
        <v>0.29520496924828787</v>
      </c>
      <c r="AB19" s="13">
        <f t="shared" si="5"/>
        <v>0.23827976671951773</v>
      </c>
    </row>
    <row r="20" spans="1:28" x14ac:dyDescent="0.25">
      <c r="A20">
        <f>A19+Parameters!$B$65</f>
        <v>16</v>
      </c>
      <c r="B20" s="19">
        <v>5.4288105965798729E-2</v>
      </c>
      <c r="C20" s="45">
        <v>5.6304096244375219E-3</v>
      </c>
      <c r="D20" s="18">
        <v>0.29501851668841617</v>
      </c>
      <c r="E20" s="7">
        <f>MAX((1-Parameters!$B$4)^Parameters!B$65*E19+B19*Parameters!B$65-Parameters!$B$5*B19^2/E19*Parameters!B$65,0.0001)</f>
        <v>0.79622597059163625</v>
      </c>
      <c r="F20" s="9">
        <f>(1-Parameters!$B$4)^Parameters!B$65*F19+C19*Parameters!B$65-Parameters!$B$5*C19^2/F19*Parameters!B$65</f>
        <v>0.11895283352330768</v>
      </c>
      <c r="G20" s="7">
        <f>(1-Parameters!$B$4)^Parameters!B$65*G19+D19*Parameters!B$65-Parameters!$B$5*D19^2/G19*Parameters!B$65</f>
        <v>4.3772570896614429</v>
      </c>
      <c r="H20" s="7">
        <f>H19 *(1-Parameters!$B$4)-B19*(B19&lt;0)*Parameters!B$65</f>
        <v>0</v>
      </c>
      <c r="I20" s="7">
        <f>I19*(1+Parameters!$B$51)^Parameters!B$65</f>
        <v>8.5469715777213402</v>
      </c>
      <c r="J20" s="7">
        <f>J19*(1+Parameters!$B$53)^Parameters!B$65</f>
        <v>12.427263195859245</v>
      </c>
      <c r="K20" s="23">
        <f>EXP(-Parameters!$B$42*A20)*(Parameters!$B$37/Parameters!$B$38*(E20+H20)/Parameters!$B$25*(EXP(-Parameters!$B$38*Parameters!$E$25*H20/(E20+H20))-EXP(-Parameters!$B$38*Parameters!$E$25))  +  Parameters!$B$39*E20*Parameters!$B$28*Parameters!$B$29*EXP((Parameters!$B$53+Parameters!$B$51)*A20))</f>
        <v>62.654550283254267</v>
      </c>
      <c r="L20" s="8">
        <f>L19+K20*Parameters!B$65</f>
        <v>3225.9009535799282</v>
      </c>
      <c r="M20" s="7">
        <f>M19+Parameters!$B$45*K20</f>
        <v>1.9355405721479575</v>
      </c>
      <c r="N20" s="7">
        <f>'6states'!O20</f>
        <v>0.97260519549199731</v>
      </c>
      <c r="O20" s="7">
        <f>MAX(O19+(Parameters!B$31-K20)*Parameters!B$65,30)</f>
        <v>30</v>
      </c>
      <c r="P20" s="7">
        <f>Parameters!B$61*EXP(-Parameters!B$60*A20)+(1-Parameters!B$61)*(O20/Parameters!B$62)^-Parameters!B$63</f>
        <v>0.85080957791703637</v>
      </c>
      <c r="Q20" s="9">
        <f>1-P20/Parameters!$B$12</f>
        <v>0.57459521104148181</v>
      </c>
      <c r="R20" s="23">
        <f t="shared" si="0"/>
        <v>2.3507022627747411</v>
      </c>
      <c r="S20" s="7">
        <f>(Parameters!$B$19*(E20+Parameters!$B$20)^Q20+Parameters!$B$18*F20^Q20)^(1/Q20)</f>
        <v>0.54361268398510054</v>
      </c>
      <c r="T20" s="7">
        <f>(Parameters!$B$10*G20^Parameters!$B$9 + Parameters!$B$11*S20^Parameters!$B$9) ^ (Parameters!$B$7/Parameters!$B$9) * N20</f>
        <v>1.4907644874791361</v>
      </c>
      <c r="U20" s="7">
        <f t="shared" si="1"/>
        <v>1.1358274552004839</v>
      </c>
      <c r="V20" s="7">
        <f>EXP(-Parameters!$B$55*A20)</f>
        <v>0.7853702628357192</v>
      </c>
      <c r="W20" s="7">
        <f>IF(U20&gt;0,U20^(1-Parameters!$B$52)/(1-Parameters!$B$52)*V20,-10+U20*1000)</f>
        <v>-2.1460858053039678</v>
      </c>
      <c r="X20" s="7"/>
      <c r="Y20" s="9">
        <f t="shared" si="2"/>
        <v>5.4274564490402716E-2</v>
      </c>
      <c r="Z20" s="9">
        <f t="shared" si="3"/>
        <v>5.7016565048093812E-3</v>
      </c>
      <c r="AA20" s="7">
        <f t="shared" si="4"/>
        <v>0.29511174296835202</v>
      </c>
      <c r="AB20" s="13">
        <f t="shared" si="5"/>
        <v>0.23809061408408411</v>
      </c>
    </row>
    <row r="21" spans="1:28" x14ac:dyDescent="0.25">
      <c r="A21">
        <f>A20+Parameters!$B$65</f>
        <v>17</v>
      </c>
      <c r="B21" s="46">
        <f>B20</f>
        <v>5.4288105965798729E-2</v>
      </c>
      <c r="C21" s="46">
        <f t="shared" ref="C21" si="8">C20</f>
        <v>5.6304096244375219E-3</v>
      </c>
      <c r="D21" s="46">
        <f t="shared" ref="D21" si="9">D20</f>
        <v>0.29501851668841617</v>
      </c>
      <c r="E21" s="7">
        <f>MAX((1-Parameters!$B$4)^Parameters!B$65*E20+B20*Parameters!B$65-Parameters!$B$5*B20^2/E20*Parameters!B$65,0.0001)</f>
        <v>0.79673000317269205</v>
      </c>
      <c r="F21" s="9">
        <f>(1-Parameters!$B$4)^Parameters!B$65*F20+C20*Parameters!B$65-Parameters!$B$5*C20^2/F20*Parameters!B$65</f>
        <v>0.11683460502302891</v>
      </c>
      <c r="G21" s="7">
        <f>(1-Parameters!$B$4)^Parameters!B$65*G20+D20*Parameters!B$65-Parameters!$B$5*D20^2/G20*Parameters!B$65</f>
        <v>4.3770624677602461</v>
      </c>
      <c r="H21" s="7">
        <f>H20 *(1-Parameters!$B$4)-B20*(B20&lt;0)*Parameters!B$65</f>
        <v>0</v>
      </c>
      <c r="I21" s="7">
        <f>I20*(1+Parameters!$B$51)^Parameters!B$65</f>
        <v>8.5717577952967314</v>
      </c>
      <c r="J21" s="7">
        <f>J20*(1+Parameters!$B$53)^Parameters!B$65</f>
        <v>12.67580845977643</v>
      </c>
      <c r="K21" s="23">
        <f>EXP(-Parameters!$B$42*A21)*(Parameters!$B$37/Parameters!$B$38*(E21+H21)/Parameters!$B$25*(EXP(-Parameters!$B$38*Parameters!$E$25*H21/(E21+H21))-EXP(-Parameters!$B$38*Parameters!$E$25))  +  Parameters!$B$39*E21*Parameters!$B$28*Parameters!$B$29*EXP((Parameters!$B$53+Parameters!$B$51)*A21))</f>
        <v>63.342936059611596</v>
      </c>
      <c r="L21" s="8">
        <f>L20+K21*Parameters!B$65</f>
        <v>3289.2438896395397</v>
      </c>
      <c r="M21" s="7">
        <f>M20+Parameters!$B$45*K21</f>
        <v>1.9735463337837245</v>
      </c>
      <c r="N21" s="7">
        <f>'6states'!O21</f>
        <v>0.97216812681199904</v>
      </c>
      <c r="O21" s="7">
        <f>MAX(O20+(Parameters!B$31-K21)*Parameters!B$65,30)</f>
        <v>30</v>
      </c>
      <c r="P21" s="7">
        <f>Parameters!B$61*EXP(-Parameters!B$60*A21)+(1-Parameters!B$61)*(O21/Parameters!B$62)^-Parameters!B$63</f>
        <v>0.84216251202421066</v>
      </c>
      <c r="Q21" s="9">
        <f>1-P21/Parameters!$B$12</f>
        <v>0.57891874398789467</v>
      </c>
      <c r="R21" s="23">
        <f t="shared" si="0"/>
        <v>2.3748385512824912</v>
      </c>
      <c r="S21" s="7">
        <f>(Parameters!$B$19*(E21+Parameters!$B$20)^Q21+Parameters!$B$18*F21^Q21)^(1/Q21)</f>
        <v>0.54330293420683629</v>
      </c>
      <c r="T21" s="7">
        <f>(Parameters!$B$10*G21^Parameters!$B$9 + Parameters!$B$11*S21^Parameters!$B$9) ^ (Parameters!$B$7/Parameters!$B$9) * N21</f>
        <v>1.4900298684308848</v>
      </c>
      <c r="U21" s="7">
        <f t="shared" si="1"/>
        <v>1.1350928361522326</v>
      </c>
      <c r="V21" s="7">
        <f>EXP(-Parameters!$B$55*A21)</f>
        <v>0.7736002590346287</v>
      </c>
      <c r="W21" s="7">
        <f>IF(U21&gt;0,U21^(1-Parameters!$B$52)/(1-Parameters!$B$52)*V21,-10+U21*1000)</f>
        <v>-2.1144020840518465</v>
      </c>
      <c r="X21" s="7"/>
      <c r="Y21" s="9">
        <f t="shared" si="2"/>
        <v>5.4302675671624619E-2</v>
      </c>
      <c r="Z21" s="9">
        <f t="shared" si="3"/>
        <v>5.5634821801764421E-3</v>
      </c>
      <c r="AA21" s="7">
        <f t="shared" si="4"/>
        <v>0.29493869426018543</v>
      </c>
      <c r="AB21" s="13">
        <f t="shared" si="5"/>
        <v>0.23820799824128908</v>
      </c>
    </row>
    <row r="22" spans="1:28" x14ac:dyDescent="0.25">
      <c r="A22">
        <f>A21+Parameters!$B$65</f>
        <v>18</v>
      </c>
      <c r="B22" s="19">
        <v>5.4331815083276412E-2</v>
      </c>
      <c r="C22" s="45">
        <v>5.4296272916542834E-3</v>
      </c>
      <c r="D22" s="18">
        <v>0.29477904940372396</v>
      </c>
      <c r="E22" s="7">
        <f>MAX((1-Parameters!$B$4)^Parameters!B$65*E21+B21*Parameters!B$65-Parameters!$B$5*B21^2/E21*Parameters!B$65,0.0001)</f>
        <v>0.797204673746294</v>
      </c>
      <c r="F22" s="9">
        <f>(1-Parameters!$B$4)^Parameters!B$65*F21+C21*Parameters!B$65-Parameters!$B$5*C21^2/F21*Parameters!B$65</f>
        <v>0.11484478132261994</v>
      </c>
      <c r="G22" s="7">
        <f>(1-Parameters!$B$4)^Parameters!B$65*G21+D21*Parameters!B$65-Parameters!$B$5*D21^2/G21*Parameters!B$65</f>
        <v>4.3768792034683477</v>
      </c>
      <c r="H22" s="7">
        <f>H21 *(1-Parameters!$B$4)-B21*(B21&lt;0)*Parameters!B$65</f>
        <v>0</v>
      </c>
      <c r="I22" s="7">
        <f>I21*(1+Parameters!$B$51)^Parameters!B$65</f>
        <v>8.5966158929030918</v>
      </c>
      <c r="J22" s="7">
        <f>J21*(1+Parameters!$B$53)^Parameters!B$65</f>
        <v>12.929324628971958</v>
      </c>
      <c r="K22" s="23">
        <f>EXP(-Parameters!$B$42*A22)*(Parameters!$B$37/Parameters!$B$38*(E22+H22)/Parameters!$B$25*(EXP(-Parameters!$B$38*Parameters!$E$25*H22/(E22+H22))-EXP(-Parameters!$B$38*Parameters!$E$25))  +  Parameters!$B$39*E22*Parameters!$B$28*Parameters!$B$29*EXP((Parameters!$B$53+Parameters!$B$51)*A22))</f>
        <v>64.039857555401341</v>
      </c>
      <c r="L22" s="8">
        <f>L21+K22*Parameters!B$65</f>
        <v>3353.283747194941</v>
      </c>
      <c r="M22" s="7">
        <f>M21+Parameters!$B$45*K22</f>
        <v>2.0119702483169655</v>
      </c>
      <c r="N22" s="7">
        <f>'6states'!O22</f>
        <v>0.97173709791425333</v>
      </c>
      <c r="O22" s="7">
        <f>MAX(O21+(Parameters!B$31-K22)*Parameters!B$65,30)</f>
        <v>30</v>
      </c>
      <c r="P22" s="7">
        <f>Parameters!B$61*EXP(-Parameters!B$60*A22)+(1-Parameters!B$61)*(O22/Parameters!B$62)^-Parameters!B$63</f>
        <v>0.83374579323122699</v>
      </c>
      <c r="Q22" s="9">
        <f>1-P22/Parameters!$B$12</f>
        <v>0.58312710338438656</v>
      </c>
      <c r="R22" s="23">
        <f t="shared" si="0"/>
        <v>2.398812703148872</v>
      </c>
      <c r="S22" s="7">
        <f>(Parameters!$B$19*(E22+Parameters!$B$20)^Q22+Parameters!$B$18*F22^Q22)^(1/Q22)</f>
        <v>0.54303977417132532</v>
      </c>
      <c r="T22" s="7">
        <f>(Parameters!$B$10*G22^Parameters!$B$9 + Parameters!$B$11*S22^Parameters!$B$9) ^ (Parameters!$B$7/Parameters!$B$9) * N22</f>
        <v>1.4893127324235185</v>
      </c>
      <c r="U22" s="7">
        <f t="shared" si="1"/>
        <v>1.1347722406448639</v>
      </c>
      <c r="V22" s="7">
        <f>EXP(-Parameters!$B$55*A22)</f>
        <v>0.76200664718015654</v>
      </c>
      <c r="W22" s="7">
        <f>IF(U22&gt;0,U22^(1-Parameters!$B$52)/(1-Parameters!$B$52)*V22,-10+U22*1000)</f>
        <v>-2.0829203801035923</v>
      </c>
      <c r="X22" s="7"/>
      <c r="Y22" s="9">
        <f t="shared" si="2"/>
        <v>5.4317245377450522E-2</v>
      </c>
      <c r="Z22" s="9">
        <f t="shared" si="3"/>
        <v>5.4965547359153632E-3</v>
      </c>
      <c r="AA22" s="7">
        <f t="shared" si="4"/>
        <v>0.29485887183195469</v>
      </c>
      <c r="AB22" s="13">
        <f t="shared" si="5"/>
        <v>0.23805644312307764</v>
      </c>
    </row>
    <row r="23" spans="1:28" x14ac:dyDescent="0.25">
      <c r="A23">
        <f>A22+Parameters!$B$65</f>
        <v>19</v>
      </c>
      <c r="B23" s="46">
        <f>B22</f>
        <v>5.4331815083276412E-2</v>
      </c>
      <c r="C23" s="46">
        <f t="shared" ref="C23" si="10">C22</f>
        <v>5.4296272916542834E-3</v>
      </c>
      <c r="D23" s="46">
        <f t="shared" ref="D23" si="11">D22</f>
        <v>0.29477904940372396</v>
      </c>
      <c r="E23" s="7">
        <f>MAX((1-Parameters!$B$4)^Parameters!B$65*E22+B22*Parameters!B$65-Parameters!$B$5*B22^2/E22*Parameters!B$65,0.0001)</f>
        <v>0.79768944377219875</v>
      </c>
      <c r="F23" s="9">
        <f>(1-Parameters!$B$4)^Parameters!B$65*F22+C22*Parameters!B$65-Parameters!$B$5*C22^2/F22*Parameters!B$65</f>
        <v>0.11279397015232288</v>
      </c>
      <c r="G23" s="7">
        <f>(1-Parameters!$B$4)^Parameters!B$65*G22+D22*Parameters!B$65-Parameters!$B$5*D22^2/G22*Parameters!B$65</f>
        <v>4.3764994355627076</v>
      </c>
      <c r="H23" s="7">
        <f>H22 *(1-Parameters!$B$4)-B22*(B22&lt;0)*Parameters!B$65</f>
        <v>0</v>
      </c>
      <c r="I23" s="7">
        <f>I22*(1+Parameters!$B$51)^Parameters!B$65</f>
        <v>8.6215460789925107</v>
      </c>
      <c r="J23" s="7">
        <f>J22*(1+Parameters!$B$53)^Parameters!B$65</f>
        <v>13.187911121551398</v>
      </c>
      <c r="K23" s="23">
        <f>EXP(-Parameters!$B$42*A23)*(Parameters!$B$37/Parameters!$B$38*(E23+H23)/Parameters!$B$25*(EXP(-Parameters!$B$38*Parameters!$E$25*H23/(E23+H23))-EXP(-Parameters!$B$38*Parameters!$E$25))  +  Parameters!$B$39*E23*Parameters!$B$28*Parameters!$B$29*EXP((Parameters!$B$53+Parameters!$B$51)*A23))</f>
        <v>64.748577498921946</v>
      </c>
      <c r="L23" s="8">
        <f>L22+K23*Parameters!B$65</f>
        <v>3418.0323246938628</v>
      </c>
      <c r="M23" s="7">
        <f>M22+Parameters!$B$45*K23</f>
        <v>2.0508193948163185</v>
      </c>
      <c r="N23" s="7">
        <f>'6states'!O23</f>
        <v>0.97131175431958661</v>
      </c>
      <c r="O23" s="7">
        <f>MAX(O22+(Parameters!B$31-K23)*Parameters!B$65,30)</f>
        <v>30</v>
      </c>
      <c r="P23" s="7">
        <f>Parameters!B$61*EXP(-Parameters!B$60*A23)+(1-Parameters!B$61)*(O23/Parameters!B$62)^-Parameters!B$63</f>
        <v>0.82555328537732731</v>
      </c>
      <c r="Q23" s="9">
        <f>1-P23/Parameters!$B$12</f>
        <v>0.58722335731133635</v>
      </c>
      <c r="R23" s="23">
        <f t="shared" si="0"/>
        <v>2.4226176982457046</v>
      </c>
      <c r="S23" s="7">
        <f>(Parameters!$B$19*(E23+Parameters!$B$20)^Q23+Parameters!$B$18*F23^Q23)^(1/Q23)</f>
        <v>0.54273655717087343</v>
      </c>
      <c r="T23" s="7">
        <f>(Parameters!$B$10*G23^Parameters!$B$9 + Parameters!$B$11*S23^Parameters!$B$9) ^ (Parameters!$B$7/Parameters!$B$9) * N23</f>
        <v>1.4885817638485808</v>
      </c>
      <c r="U23" s="7">
        <f t="shared" si="1"/>
        <v>1.1340412720699262</v>
      </c>
      <c r="V23" s="7">
        <f>EXP(-Parameters!$B$55*A23)</f>
        <v>0.75058678376263543</v>
      </c>
      <c r="W23" s="7">
        <f>IF(U23&gt;0,U23^(1-Parameters!$B$52)/(1-Parameters!$B$52)*V23,-10+U23*1000)</f>
        <v>-2.0521673213031462</v>
      </c>
      <c r="X23" s="7"/>
      <c r="Y23" s="9">
        <f t="shared" si="2"/>
        <v>5.435536365467878E-2</v>
      </c>
      <c r="Z23" s="9">
        <f t="shared" si="3"/>
        <v>5.3297619292667865E-3</v>
      </c>
      <c r="AA23" s="7">
        <f t="shared" si="4"/>
        <v>0.2946653682416101</v>
      </c>
      <c r="AB23" s="13">
        <f t="shared" si="5"/>
        <v>0.23817334081940203</v>
      </c>
    </row>
    <row r="24" spans="1:28" x14ac:dyDescent="0.25">
      <c r="A24">
        <f>A23+Parameters!$B$65</f>
        <v>20</v>
      </c>
      <c r="B24" s="19">
        <v>5.440246079748353E-2</v>
      </c>
      <c r="C24" s="45">
        <v>5.1300312044917935E-3</v>
      </c>
      <c r="D24" s="18">
        <v>0.29443800591738234</v>
      </c>
      <c r="E24" s="7">
        <f>MAX((1-Parameters!$B$4)^Parameters!B$65*E23+B23*Parameters!B$65-Parameters!$B$5*B23^2/E23*Parameters!B$65,0.0001)</f>
        <v>0.79814597206391724</v>
      </c>
      <c r="F24" s="9">
        <f>(1-Parameters!$B$4)^Parameters!B$65*F23+C23*Parameters!B$65-Parameters!$B$5*C23^2/F23*Parameters!B$65</f>
        <v>0.11086748767403949</v>
      </c>
      <c r="G24" s="7">
        <f>(1-Parameters!$B$4)^Parameters!B$65*G23+D23*Parameters!B$65-Parameters!$B$5*D23^2/G23*Parameters!B$65</f>
        <v>4.3761418323170922</v>
      </c>
      <c r="H24" s="7">
        <f>H23 *(1-Parameters!$B$4)-B23*(B23&lt;0)*Parameters!B$65</f>
        <v>0</v>
      </c>
      <c r="I24" s="7">
        <f>I23*(1+Parameters!$B$51)^Parameters!B$65</f>
        <v>8.6465485626215877</v>
      </c>
      <c r="J24" s="7">
        <f>J23*(1+Parameters!$B$53)^Parameters!B$65</f>
        <v>13.451669343982426</v>
      </c>
      <c r="K24" s="23">
        <f>EXP(-Parameters!$B$42*A24)*(Parameters!$B$37/Parameters!$B$38*(E24+H24)/Parameters!$B$25*(EXP(-Parameters!$B$38*Parameters!$E$25*H24/(E24+H24))-EXP(-Parameters!$B$38*Parameters!$E$25))  +  Parameters!$B$39*E24*Parameters!$B$28*Parameters!$B$29*EXP((Parameters!$B$53+Parameters!$B$51)*A24))</f>
        <v>65.466111270995015</v>
      </c>
      <c r="L24" s="8">
        <f>L23+K24*Parameters!B$65</f>
        <v>3483.4984359648579</v>
      </c>
      <c r="M24" s="7">
        <f>M23+Parameters!$B$45*K24</f>
        <v>2.0900990615789157</v>
      </c>
      <c r="N24" s="7">
        <f>'6states'!O24</f>
        <v>0.97089215972770659</v>
      </c>
      <c r="O24" s="7">
        <f>MAX(O23+(Parameters!B$31-K24)*Parameters!B$65,30)</f>
        <v>30</v>
      </c>
      <c r="P24" s="7">
        <f>Parameters!B$61*EXP(-Parameters!B$60*A24)+(1-Parameters!B$61)*(O24/Parameters!B$62)^-Parameters!B$63</f>
        <v>0.81757901576145753</v>
      </c>
      <c r="Q24" s="9">
        <f>1-P24/Parameters!$B$12</f>
        <v>0.59121049211927124</v>
      </c>
      <c r="R24" s="23">
        <f t="shared" si="0"/>
        <v>2.4462467375551302</v>
      </c>
      <c r="S24" s="7">
        <f>(Parameters!$B$19*(E24+Parameters!$B$20)^Q24+Parameters!$B$18*F24^Q24)^(1/Q24)</f>
        <v>0.54247832115032202</v>
      </c>
      <c r="T24" s="7">
        <f>(Parameters!$B$10*G24^Parameters!$B$9 + Parameters!$B$11*S24^Parameters!$B$9) ^ (Parameters!$B$7/Parameters!$B$9) * N24</f>
        <v>1.4878685145526627</v>
      </c>
      <c r="U24" s="7">
        <f t="shared" si="1"/>
        <v>1.133898016633305</v>
      </c>
      <c r="V24" s="7">
        <f>EXP(-Parameters!$B$55*A24)</f>
        <v>0.7393380648895318</v>
      </c>
      <c r="W24" s="7">
        <f>IF(U24&gt;0,U24^(1-Parameters!$B$52)/(1-Parameters!$B$52)*V24,-10+U24*1000)</f>
        <v>-2.0215017593248397</v>
      </c>
      <c r="X24" s="7"/>
      <c r="Y24" s="9">
        <f t="shared" si="2"/>
        <v>5.4378912226081155E-2</v>
      </c>
      <c r="Z24" s="9">
        <f t="shared" si="3"/>
        <v>5.2298965668792904E-3</v>
      </c>
      <c r="AA24" s="7">
        <f t="shared" si="4"/>
        <v>0.29455168707949619</v>
      </c>
      <c r="AB24" s="13">
        <f t="shared" si="5"/>
        <v>0.23790442129611242</v>
      </c>
    </row>
    <row r="25" spans="1:28" x14ac:dyDescent="0.25">
      <c r="A25">
        <f>A24+Parameters!$B$65</f>
        <v>21</v>
      </c>
      <c r="B25" s="46">
        <f>B24</f>
        <v>5.440246079748353E-2</v>
      </c>
      <c r="C25" s="46">
        <f t="shared" ref="C25:C28" si="12">C24</f>
        <v>5.1300312044917935E-3</v>
      </c>
      <c r="D25" s="46">
        <f t="shared" ref="D25:D28" si="13">D24</f>
        <v>0.29443800591738234</v>
      </c>
      <c r="E25" s="7">
        <f>MAX((1-Parameters!$B$4)^Parameters!B$65*E24+B24*Parameters!B$65-Parameters!$B$5*B24^2/E24*Parameters!B$65,0.0001)</f>
        <v>0.79863692282551413</v>
      </c>
      <c r="F25" s="9">
        <f>(1-Parameters!$B$4)^Parameters!B$65*F24+C24*Parameters!B$65-Parameters!$B$5*C24^2/F24*Parameters!B$65</f>
        <v>0.10878657845038807</v>
      </c>
      <c r="G25" s="7">
        <f>(1-Parameters!$B$4)^Parameters!B$65*G24+D24*Parameters!B$65-Parameters!$B$5*D24^2/G24*Parameters!B$65</f>
        <v>4.3755099754932472</v>
      </c>
      <c r="H25" s="7">
        <f>H24 *(1-Parameters!$B$4)-B24*(B24&lt;0)*Parameters!B$65</f>
        <v>0</v>
      </c>
      <c r="I25" s="7">
        <f>I24*(1+Parameters!$B$51)^Parameters!B$65</f>
        <v>8.6716235534531894</v>
      </c>
      <c r="J25" s="7">
        <f>J24*(1+Parameters!$B$53)^Parameters!B$65</f>
        <v>13.720702730862074</v>
      </c>
      <c r="K25" s="23">
        <f>EXP(-Parameters!$B$42*A25)*(Parameters!$B$37/Parameters!$B$38*(E25+H25)/Parameters!$B$25*(EXP(-Parameters!$B$38*Parameters!$E$25*H25/(E25+H25))-EXP(-Parameters!$B$38*Parameters!$E$25))  +  Parameters!$B$39*E25*Parameters!$B$28*Parameters!$B$29*EXP((Parameters!$B$53+Parameters!$B$51)*A25))</f>
        <v>66.197716405409253</v>
      </c>
      <c r="L25" s="8">
        <f>L24+K25*Parameters!B$65</f>
        <v>3549.6961523702671</v>
      </c>
      <c r="M25" s="7">
        <f>M24+Parameters!$B$45*K25</f>
        <v>2.1298176914221614</v>
      </c>
      <c r="N25" s="7">
        <f>'6states'!O25</f>
        <v>0.97047815030060758</v>
      </c>
      <c r="O25" s="7">
        <f>MAX(O24+(Parameters!B$31-K25)*Parameters!B$65,30)</f>
        <v>30</v>
      </c>
      <c r="P25" s="7">
        <f>Parameters!B$61*EXP(-Parameters!B$60*A25)+(1-Parameters!B$61)*(O25/Parameters!B$62)^-Parameters!B$63</f>
        <v>0.80981717078790472</v>
      </c>
      <c r="Q25" s="9">
        <f>1-P25/Parameters!$B$12</f>
        <v>0.59509141460604764</v>
      </c>
      <c r="R25" s="23">
        <f t="shared" si="0"/>
        <v>2.4696932494702688</v>
      </c>
      <c r="S25" s="7">
        <f>(Parameters!$B$19*(E25+Parameters!$B$20)^Q25+Parameters!$B$18*F25^Q25)^(1/Q25)</f>
        <v>0.54214005124116038</v>
      </c>
      <c r="T25" s="7">
        <f>(Parameters!$B$10*G25^Parameters!$B$9 + Parameters!$B$11*S25^Parameters!$B$9) ^ (Parameters!$B$7/Parameters!$B$9) * N25</f>
        <v>1.4871285820435001</v>
      </c>
      <c r="U25" s="7">
        <f t="shared" si="1"/>
        <v>1.1331580841241424</v>
      </c>
      <c r="V25" s="7">
        <f>EXP(-Parameters!$B$55*A25)</f>
        <v>0.72825792569172154</v>
      </c>
      <c r="W25" s="7">
        <f>IF(U25&gt;0,U25^(1-Parameters!$B$52)/(1-Parameters!$B$52)*V25,-10+U25*1000)</f>
        <v>-1.9916613699944816</v>
      </c>
      <c r="X25" s="7"/>
      <c r="Y25" s="9">
        <f t="shared" si="2"/>
        <v>5.440246079748353E-2</v>
      </c>
      <c r="Z25" s="9">
        <f t="shared" si="3"/>
        <v>5.1300312044917935E-3</v>
      </c>
      <c r="AA25" s="7">
        <f t="shared" si="4"/>
        <v>0.29443800591738234</v>
      </c>
      <c r="AB25" s="13">
        <f t="shared" si="5"/>
        <v>0.23802279250995098</v>
      </c>
    </row>
    <row r="26" spans="1:28" x14ac:dyDescent="0.25">
      <c r="A26">
        <f>A25+Parameters!$B$65</f>
        <v>22</v>
      </c>
      <c r="B26" s="46">
        <f t="shared" ref="B26:B28" si="14">B25</f>
        <v>5.440246079748353E-2</v>
      </c>
      <c r="C26" s="46">
        <f t="shared" si="12"/>
        <v>5.1300312044917935E-3</v>
      </c>
      <c r="D26" s="46">
        <f t="shared" si="13"/>
        <v>0.29443800591738234</v>
      </c>
      <c r="E26" s="7">
        <f>MAX((1-Parameters!$B$4)^Parameters!B$65*E25+B25*Parameters!B$65-Parameters!$B$5*B25^2/E25*Parameters!B$65,0.0001)</f>
        <v>0.79909927230373123</v>
      </c>
      <c r="F26" s="9">
        <f>(1-Parameters!$B$4)^Parameters!B$65*F25+C25*Parameters!B$65-Parameters!$B$5*C25^2/F25*Parameters!B$65</f>
        <v>0.10683201781292925</v>
      </c>
      <c r="G26" s="7">
        <f>(1-Parameters!$B$4)^Parameters!B$65*G25+D25*Parameters!B$65-Parameters!$B$5*D25^2/G25*Parameters!B$65</f>
        <v>4.3749150016711891</v>
      </c>
      <c r="H26" s="7">
        <f>H25 *(1-Parameters!$B$4)-B25*(B25&lt;0)*Parameters!B$65</f>
        <v>0</v>
      </c>
      <c r="I26" s="7">
        <f>I25*(1+Parameters!$B$51)^Parameters!B$65</f>
        <v>8.6967712617582027</v>
      </c>
      <c r="J26" s="7">
        <f>J25*(1+Parameters!$B$53)^Parameters!B$65</f>
        <v>13.995116785479317</v>
      </c>
      <c r="K26" s="23">
        <f>EXP(-Parameters!$B$42*A26)*(Parameters!$B$37/Parameters!$B$38*(E26+H26)/Parameters!$B$25*(EXP(-Parameters!$B$38*Parameters!$E$25*H26/(E26+H26))-EXP(-Parameters!$B$38*Parameters!$E$25))  +  Parameters!$B$39*E26*Parameters!$B$28*Parameters!$B$29*EXP((Parameters!$B$53+Parameters!$B$51)*A26))</f>
        <v>66.938341934692176</v>
      </c>
      <c r="L26" s="8">
        <f>L25+K26*Parameters!B$65</f>
        <v>3616.6344943049594</v>
      </c>
      <c r="M26" s="7">
        <f>M25+Parameters!$B$45*K26</f>
        <v>2.1699806965829769</v>
      </c>
      <c r="N26" s="7">
        <f>'6states'!O26</f>
        <v>0.97006943270318879</v>
      </c>
      <c r="O26" s="7">
        <f>MAX(O25+(Parameters!B$31-K26)*Parameters!B$65,30)</f>
        <v>30</v>
      </c>
      <c r="P26" s="7">
        <f>Parameters!B$61*EXP(-Parameters!B$60*A26)+(1-Parameters!B$61)*(O26/Parameters!B$62)^-Parameters!B$63</f>
        <v>0.80226209172792795</v>
      </c>
      <c r="Q26" s="9">
        <f>1-P26/Parameters!$B$12</f>
        <v>0.59886895413603602</v>
      </c>
      <c r="R26" s="23">
        <f t="shared" si="0"/>
        <v>2.4929508955014446</v>
      </c>
      <c r="S26" s="7">
        <f>(Parameters!$B$19*(E26+Parameters!$B$20)^Q26+Parameters!$B$18*F26^Q26)^(1/Q26)</f>
        <v>0.54184779910780523</v>
      </c>
      <c r="T26" s="7">
        <f>(Parameters!$B$10*G26^Parameters!$B$9 + Parameters!$B$11*S26^Parameters!$B$9) ^ (Parameters!$B$7/Parameters!$B$9) * N26</f>
        <v>1.4864070723715523</v>
      </c>
      <c r="U26" s="7">
        <f t="shared" si="1"/>
        <v>1.1324365744521947</v>
      </c>
      <c r="V26" s="7">
        <f>EXP(-Parameters!$B$55*A26)</f>
        <v>0.71734383973866223</v>
      </c>
      <c r="W26" s="7">
        <f>IF(U26&gt;0,U26^(1-Parameters!$B$52)/(1-Parameters!$B$52)*V26,-10+U26*1000)</f>
        <v>-1.9622505892757198</v>
      </c>
      <c r="X26" s="7"/>
      <c r="Y26" s="9">
        <f t="shared" si="2"/>
        <v>5.440246079748353E-2</v>
      </c>
      <c r="Z26" s="9">
        <f t="shared" si="3"/>
        <v>5.1300312044917935E-3</v>
      </c>
      <c r="AA26" s="7">
        <f t="shared" si="4"/>
        <v>0.29443800591738234</v>
      </c>
      <c r="AB26" s="13">
        <f t="shared" si="5"/>
        <v>0.23813833000309945</v>
      </c>
    </row>
    <row r="27" spans="1:28" x14ac:dyDescent="0.25">
      <c r="A27">
        <f>A26+Parameters!$B$65</f>
        <v>23</v>
      </c>
      <c r="B27" s="46">
        <f t="shared" si="14"/>
        <v>5.440246079748353E-2</v>
      </c>
      <c r="C27" s="46">
        <f t="shared" si="12"/>
        <v>5.1300312044917935E-3</v>
      </c>
      <c r="D27" s="46">
        <f t="shared" si="13"/>
        <v>0.29443800591738234</v>
      </c>
      <c r="E27" s="7">
        <f>MAX((1-Parameters!$B$4)^Parameters!B$65*E26+B26*Parameters!B$65-Parameters!$B$5*B26^2/E26*Parameters!B$65,0.0001)</f>
        <v>0.79953468416051598</v>
      </c>
      <c r="F27" s="9">
        <f>(1-Parameters!$B$4)^Parameters!B$65*F26+C26*Parameters!B$65-Parameters!$B$5*C26^2/F26*Parameters!B$65</f>
        <v>0.10499597302933966</v>
      </c>
      <c r="G27" s="7">
        <f>(1-Parameters!$B$4)^Parameters!B$65*G26+D26*Parameters!B$65-Parameters!$B$5*D26^2/G26*Parameters!B$65</f>
        <v>4.3743547571460324</v>
      </c>
      <c r="H27" s="7">
        <f>H26 *(1-Parameters!$B$4)-B26*(B26&lt;0)*Parameters!B$65</f>
        <v>0</v>
      </c>
      <c r="I27" s="7">
        <f>I26*(1+Parameters!$B$51)^Parameters!B$65</f>
        <v>8.7219918984173006</v>
      </c>
      <c r="J27" s="7">
        <f>J26*(1+Parameters!$B$53)^Parameters!B$65</f>
        <v>14.275019121188903</v>
      </c>
      <c r="K27" s="23">
        <f>EXP(-Parameters!$B$42*A27)*(Parameters!$B$37/Parameters!$B$38*(E27+H27)/Parameters!$B$25*(EXP(-Parameters!$B$38*Parameters!$E$25*H27/(E27+H27))-EXP(-Parameters!$B$38*Parameters!$E$25))  +  Parameters!$B$39*E27*Parameters!$B$28*Parameters!$B$29*EXP((Parameters!$B$53+Parameters!$B$51)*A27))</f>
        <v>67.688193114212922</v>
      </c>
      <c r="L27" s="8">
        <f>L26+K27*Parameters!B$65</f>
        <v>3684.3226874191723</v>
      </c>
      <c r="M27" s="7">
        <f>M26+Parameters!$B$45*K27</f>
        <v>2.2105936124515044</v>
      </c>
      <c r="N27" s="7">
        <f>'6states'!O27</f>
        <v>0.96966584024313329</v>
      </c>
      <c r="O27" s="7">
        <f>MAX(O26+(Parameters!B$31-K27)*Parameters!B$65,30)</f>
        <v>30</v>
      </c>
      <c r="P27" s="7">
        <f>Parameters!B$61*EXP(-Parameters!B$60*A27)+(1-Parameters!B$61)*(O27/Parameters!B$62)^-Parameters!B$63</f>
        <v>0.79490827059429447</v>
      </c>
      <c r="Q27" s="9">
        <f>1-P27/Parameters!$B$12</f>
        <v>0.60254586470285276</v>
      </c>
      <c r="R27" s="23">
        <f t="shared" si="0"/>
        <v>2.5160135753836692</v>
      </c>
      <c r="S27" s="7">
        <f>(Parameters!$B$19*(E27+Parameters!$B$20)^Q27+Parameters!$B$18*F27^Q27)^(1/Q27)</f>
        <v>0.54159815303492442</v>
      </c>
      <c r="T27" s="7">
        <f>(Parameters!$B$10*G27^Parameters!$B$9 + Parameters!$B$11*S27^Parameters!$B$9) ^ (Parameters!$B$7/Parameters!$B$9) * N27</f>
        <v>1.485703034339976</v>
      </c>
      <c r="U27" s="7">
        <f t="shared" si="1"/>
        <v>1.1317325364206183</v>
      </c>
      <c r="V27" s="7">
        <f>EXP(-Parameters!$B$55*A27)</f>
        <v>0.70659331846233153</v>
      </c>
      <c r="W27" s="7">
        <f>IF(U27&gt;0,U27^(1-Parameters!$B$52)/(1-Parameters!$B$52)*V27,-10+U27*1000)</f>
        <v>-1.933263944922393</v>
      </c>
      <c r="X27" s="7"/>
      <c r="Y27" s="9">
        <f t="shared" si="2"/>
        <v>5.440246079748353E-2</v>
      </c>
      <c r="Z27" s="9">
        <f t="shared" si="3"/>
        <v>5.1300312044917935E-3</v>
      </c>
      <c r="AA27" s="7">
        <f t="shared" si="4"/>
        <v>0.29443800591738234</v>
      </c>
      <c r="AB27" s="13">
        <f t="shared" si="5"/>
        <v>0.23825117788536329</v>
      </c>
    </row>
    <row r="28" spans="1:28" x14ac:dyDescent="0.25">
      <c r="A28">
        <f>A27+Parameters!$B$65</f>
        <v>24</v>
      </c>
      <c r="B28" s="46">
        <f t="shared" si="14"/>
        <v>5.440246079748353E-2</v>
      </c>
      <c r="C28" s="46">
        <f t="shared" si="12"/>
        <v>5.1300312044917935E-3</v>
      </c>
      <c r="D28" s="46">
        <f t="shared" si="13"/>
        <v>0.29443800591738234</v>
      </c>
      <c r="E28" s="7">
        <f>MAX((1-Parameters!$B$4)^Parameters!B$65*E27+B27*Parameters!B$65-Parameters!$B$5*B27^2/E27*Parameters!B$65,0.0001)</f>
        <v>0.79994472558085106</v>
      </c>
      <c r="F28" s="9">
        <f>(1-Parameters!$B$4)^Parameters!B$65*F27+C27*Parameters!B$65-Parameters!$B$5*C27^2/F27*Parameters!B$65</f>
        <v>0.10327110772534817</v>
      </c>
      <c r="G28" s="7">
        <f>(1-Parameters!$B$4)^Parameters!B$65*G27+D27*Parameters!B$65-Parameters!$B$5*D27^2/G27*Parameters!B$65</f>
        <v>4.3738272140592569</v>
      </c>
      <c r="H28" s="7">
        <f>H27 *(1-Parameters!$B$4)-B27*(B27&lt;0)*Parameters!B$65</f>
        <v>0</v>
      </c>
      <c r="I28" s="7">
        <f>I27*(1+Parameters!$B$51)^Parameters!B$65</f>
        <v>8.7472856749227095</v>
      </c>
      <c r="J28" s="7">
        <f>J27*(1+Parameters!$B$53)^Parameters!B$65</f>
        <v>14.560519503612682</v>
      </c>
      <c r="K28" s="23">
        <f>EXP(-Parameters!$B$42*A28)*(Parameters!$B$37/Parameters!$B$38*(E28+H28)/Parameters!$B$25*(EXP(-Parameters!$B$38*Parameters!$E$25*H28/(E28+H28))-EXP(-Parameters!$B$38*Parameters!$E$25))  +  Parameters!$B$39*E28*Parameters!$B$28*Parameters!$B$29*EXP((Parameters!$B$53+Parameters!$B$51)*A28))</f>
        <v>68.447472684147257</v>
      </c>
      <c r="L28" s="8">
        <f>L27+K28*Parameters!B$65</f>
        <v>3752.7701601033195</v>
      </c>
      <c r="M28" s="7">
        <f>M27+Parameters!$B$45*K28</f>
        <v>2.2516620960619926</v>
      </c>
      <c r="N28" s="7">
        <f>'6states'!O28</f>
        <v>0.96926728851723343</v>
      </c>
      <c r="O28" s="7">
        <f>MAX(O27+(Parameters!B$31-K28)*Parameters!B$65,30)</f>
        <v>30</v>
      </c>
      <c r="P28" s="7">
        <f>Parameters!B$61*EXP(-Parameters!B$60*A28)+(1-Parameters!B$61)*(O28/Parameters!B$62)^-Parameters!B$63</f>
        <v>0.78775034612571304</v>
      </c>
      <c r="Q28" s="9">
        <f>1-P28/Parameters!$B$12</f>
        <v>0.60612482693714353</v>
      </c>
      <c r="R28" s="23">
        <f t="shared" si="0"/>
        <v>2.5388754315835369</v>
      </c>
      <c r="S28" s="7">
        <f>(Parameters!$B$19*(E28+Parameters!$B$20)^Q28+Parameters!$B$18*F28^Q28)^(1/Q28)</f>
        <v>0.5413878969490894</v>
      </c>
      <c r="T28" s="7">
        <f>(Parameters!$B$10*G28^Parameters!$B$9 + Parameters!$B$11*S28^Parameters!$B$9) ^ (Parameters!$B$7/Parameters!$B$9) * N28</f>
        <v>1.4850156768354488</v>
      </c>
      <c r="U28" s="7">
        <f t="shared" si="1"/>
        <v>1.1310451789160911</v>
      </c>
      <c r="V28" s="7">
        <f>EXP(-Parameters!$B$55*A28)</f>
        <v>0.69600391058979738</v>
      </c>
      <c r="W28" s="7">
        <f>IF(U28&gt;0,U28^(1-Parameters!$B$52)/(1-Parameters!$B$52)*V28,-10+U28*1000)</f>
        <v>-1.9046959217020767</v>
      </c>
      <c r="X28" s="7"/>
      <c r="Y28" s="9">
        <f t="shared" si="2"/>
        <v>5.4446132487253128E-2</v>
      </c>
      <c r="Z28" s="9">
        <f t="shared" si="3"/>
        <v>5.0036618894314967E-3</v>
      </c>
      <c r="AA28" s="7">
        <f t="shared" si="4"/>
        <v>0.29428892085703068</v>
      </c>
      <c r="AB28" s="13">
        <f t="shared" si="5"/>
        <v>0.2383614553306701</v>
      </c>
    </row>
    <row r="29" spans="1:28" x14ac:dyDescent="0.25">
      <c r="A29">
        <f>A28+Parameters!$B$65</f>
        <v>25</v>
      </c>
      <c r="B29" s="19">
        <v>5.4533475866792323E-2</v>
      </c>
      <c r="C29" s="45">
        <v>4.7509232593109041E-3</v>
      </c>
      <c r="D29" s="18">
        <v>0.2939907507363273</v>
      </c>
      <c r="E29" s="7">
        <f>MAX((1-Parameters!$B$4)^Parameters!B$65*E28+B28*Parameters!B$65-Parameters!$B$5*B28^2/E28*Parameters!B$65,0.0001)</f>
        <v>0.80033087283357185</v>
      </c>
      <c r="F29" s="9">
        <f>(1-Parameters!$B$4)^Parameters!B$65*F28+C28*Parameters!B$65-Parameters!$B$5*C28^2/F28*Parameters!B$65</f>
        <v>0.10165055002005768</v>
      </c>
      <c r="G29" s="7">
        <f>(1-Parameters!$B$4)^Parameters!B$65*G28+D28*Parameters!B$65-Parameters!$B$5*D28^2/G28*Parameters!B$65</f>
        <v>4.3733304630355674</v>
      </c>
      <c r="H29" s="7">
        <f>H28 *(1-Parameters!$B$4)-B28*(B28&lt;0)*Parameters!B$65</f>
        <v>0</v>
      </c>
      <c r="I29" s="7">
        <f>I28*(1+Parameters!$B$51)^Parameters!B$65</f>
        <v>8.7726528033799838</v>
      </c>
      <c r="J29" s="7">
        <f>J28*(1+Parameters!$B$53)^Parameters!B$65</f>
        <v>14.851729893684935</v>
      </c>
      <c r="K29" s="23">
        <f>EXP(-Parameters!$B$42*A29)*(Parameters!$B$37/Parameters!$B$38*(E29+H29)/Parameters!$B$25*(EXP(-Parameters!$B$38*Parameters!$E$25*H29/(E29+H29))-EXP(-Parameters!$B$38*Parameters!$E$25))  +  Parameters!$B$39*E29*Parameters!$B$28*Parameters!$B$29*EXP((Parameters!$B$53+Parameters!$B$51)*A29))</f>
        <v>69.216381116139985</v>
      </c>
      <c r="L29" s="8">
        <f>L28+K29*Parameters!B$65</f>
        <v>3821.9865412194595</v>
      </c>
      <c r="M29" s="7">
        <f>M28+Parameters!$B$45*K29</f>
        <v>2.2931919247316768</v>
      </c>
      <c r="N29" s="7">
        <f>'6states'!O29</f>
        <v>0.96887369470646656</v>
      </c>
      <c r="O29" s="7">
        <f>MAX(O28+(Parameters!B$31-K29)*Parameters!B$65,30)</f>
        <v>30</v>
      </c>
      <c r="P29" s="7">
        <f>Parameters!B$61*EXP(-Parameters!B$60*A29)+(1-Parameters!B$61)*(O29/Parameters!B$62)^-Parameters!B$63</f>
        <v>0.78078309987823724</v>
      </c>
      <c r="Q29" s="9">
        <f>1-P29/Parameters!$B$12</f>
        <v>0.60960845006088138</v>
      </c>
      <c r="R29" s="23">
        <f t="shared" si="0"/>
        <v>2.5615308532060941</v>
      </c>
      <c r="S29" s="7">
        <f>(Parameters!$B$19*(E29+Parameters!$B$20)^Q29+Parameters!$B$18*F29^Q29)^(1/Q29)</f>
        <v>0.54121400347873583</v>
      </c>
      <c r="T29" s="7">
        <f>(Parameters!$B$10*G29^Parameters!$B$9 + Parameters!$B$11*S29^Parameters!$B$9) ^ (Parameters!$B$7/Parameters!$B$9) * N29</f>
        <v>1.48434424488099</v>
      </c>
      <c r="U29" s="7">
        <f t="shared" si="1"/>
        <v>1.1310690950185596</v>
      </c>
      <c r="V29" s="7">
        <f>EXP(-Parameters!$B$55*A29)</f>
        <v>0.68557320158429325</v>
      </c>
      <c r="W29" s="7">
        <f>IF(U29&gt;0,U29^(1-Parameters!$B$52)/(1-Parameters!$B$52)*V29,-10+U29*1000)</f>
        <v>-1.8761371844787893</v>
      </c>
      <c r="X29" s="7"/>
      <c r="Y29" s="9">
        <f t="shared" si="2"/>
        <v>5.4489804177022726E-2</v>
      </c>
      <c r="Z29" s="9">
        <f t="shared" si="3"/>
        <v>4.8772925743712009E-3</v>
      </c>
      <c r="AA29" s="7">
        <f t="shared" si="4"/>
        <v>0.29413983579667896</v>
      </c>
      <c r="AB29" s="13">
        <f t="shared" si="5"/>
        <v>0.23800082162932157</v>
      </c>
    </row>
    <row r="30" spans="1:28" x14ac:dyDescent="0.25">
      <c r="A30">
        <f>A29+Parameters!$B$65</f>
        <v>26</v>
      </c>
      <c r="B30" s="46">
        <f>B29</f>
        <v>5.4533475866792323E-2</v>
      </c>
      <c r="C30" s="46">
        <f t="shared" ref="C30:C33" si="15">C29</f>
        <v>4.7509232593109041E-3</v>
      </c>
      <c r="D30" s="46">
        <f t="shared" ref="D30:D33" si="16">D29</f>
        <v>0.2939907507363273</v>
      </c>
      <c r="E30" s="7">
        <f>MAX((1-Parameters!$B$4)^Parameters!B$65*E29+B29*Parameters!B$65-Parameters!$B$5*B29^2/E29*Parameters!B$65,0.0001)</f>
        <v>0.80080769864886236</v>
      </c>
      <c r="F30" s="9">
        <f>(1-Parameters!$B$4)^Parameters!B$65*F29+C29*Parameters!B$65-Parameters!$B$5*C29^2/F29*Parameters!B$65</f>
        <v>9.9785605973464406E-2</v>
      </c>
      <c r="G30" s="7">
        <f>(1-Parameters!$B$4)^Parameters!B$65*G29+D29*Parameters!B$65-Parameters!$B$5*D29^2/G29*Parameters!B$65</f>
        <v>4.3724756289630049</v>
      </c>
      <c r="H30" s="7">
        <f>H29 *(1-Parameters!$B$4)-B29*(B29&lt;0)*Parameters!B$65</f>
        <v>0</v>
      </c>
      <c r="I30" s="7">
        <f>I29*(1+Parameters!$B$51)^Parameters!B$65</f>
        <v>8.7980934965097841</v>
      </c>
      <c r="J30" s="7">
        <f>J29*(1+Parameters!$B$53)^Parameters!B$65</f>
        <v>15.148764491558634</v>
      </c>
      <c r="K30" s="23">
        <f>EXP(-Parameters!$B$42*A30)*(Parameters!$B$37/Parameters!$B$38*(E30+H30)/Parameters!$B$25*(EXP(-Parameters!$B$38*Parameters!$E$25*H30/(E30+H30))-EXP(-Parameters!$B$38*Parameters!$E$25))  +  Parameters!$B$39*E30*Parameters!$B$28*Parameters!$B$29*EXP((Parameters!$B$53+Parameters!$B$51)*A30))</f>
        <v>70.005011004320352</v>
      </c>
      <c r="L30" s="8">
        <f>L29+K30*Parameters!B$65</f>
        <v>3891.9915522237798</v>
      </c>
      <c r="M30" s="7">
        <f>M29+Parameters!$B$45*K30</f>
        <v>2.3351949313342688</v>
      </c>
      <c r="N30" s="7">
        <f>'6states'!O30</f>
        <v>0.96848478107697245</v>
      </c>
      <c r="O30" s="7">
        <f>MAX(O29+(Parameters!B$31-K30)*Parameters!B$65,30)</f>
        <v>30</v>
      </c>
      <c r="P30" s="7">
        <f>Parameters!B$61*EXP(-Parameters!B$60*A30)+(1-Parameters!B$61)*(O30/Parameters!B$62)^-Parameters!B$63</f>
        <v>0.77400145242078833</v>
      </c>
      <c r="Q30" s="9">
        <f>1-P30/Parameters!$B$12</f>
        <v>0.61299927378960584</v>
      </c>
      <c r="R30" s="23">
        <f t="shared" si="0"/>
        <v>2.5839744793045862</v>
      </c>
      <c r="S30" s="7">
        <f>(Parameters!$B$19*(E30+Parameters!$B$20)^Q30+Parameters!$B$18*F30^Q30)^(1/Q30)</f>
        <v>0.54094110388571381</v>
      </c>
      <c r="T30" s="7">
        <f>(Parameters!$B$10*G30^Parameters!$B$9 + Parameters!$B$11*S30^Parameters!$B$9) ^ (Parameters!$B$7/Parameters!$B$9) * N30</f>
        <v>1.4836348799605896</v>
      </c>
      <c r="U30" s="7">
        <f t="shared" si="1"/>
        <v>1.1303597300981592</v>
      </c>
      <c r="V30" s="7">
        <f>EXP(-Parameters!$B$55*A30)</f>
        <v>0.67529881309466844</v>
      </c>
      <c r="W30" s="7">
        <f>IF(U30&gt;0,U30^(1-Parameters!$B$52)/(1-Parameters!$B$52)*V30,-10+U30*1000)</f>
        <v>-1.848426154926254</v>
      </c>
      <c r="X30" s="7"/>
      <c r="Y30" s="9">
        <f t="shared" si="2"/>
        <v>5.4533475866792323E-2</v>
      </c>
      <c r="Z30" s="9">
        <f t="shared" si="3"/>
        <v>4.7509232593109041E-3</v>
      </c>
      <c r="AA30" s="7">
        <f t="shared" si="4"/>
        <v>0.2939907507363273</v>
      </c>
      <c r="AB30" s="13">
        <f t="shared" si="5"/>
        <v>0.23811461609194218</v>
      </c>
    </row>
    <row r="31" spans="1:28" x14ac:dyDescent="0.25">
      <c r="A31">
        <f>A30+Parameters!$B$65</f>
        <v>27</v>
      </c>
      <c r="B31" s="46">
        <f t="shared" ref="B31:B33" si="17">B30</f>
        <v>5.4533475866792323E-2</v>
      </c>
      <c r="C31" s="46">
        <f t="shared" si="15"/>
        <v>4.7509232593109041E-3</v>
      </c>
      <c r="D31" s="46">
        <f t="shared" si="16"/>
        <v>0.2939907507363273</v>
      </c>
      <c r="E31" s="7">
        <f>MAX((1-Parameters!$B$4)^Parameters!B$65*E30+B30*Parameters!B$65-Parameters!$B$5*B30^2/E30*Parameters!B$65,0.0001)</f>
        <v>0.80125674464599805</v>
      </c>
      <c r="F31" s="9">
        <f>(1-Parameters!$B$4)^Parameters!B$65*F30+C30*Parameters!B$65-Parameters!$B$5*C30^2/F30*Parameters!B$65</f>
        <v>9.803381694458789E-2</v>
      </c>
      <c r="G31" s="7">
        <f>(1-Parameters!$B$4)^Parameters!B$65*G30+D30*Parameters!B$65-Parameters!$B$5*D30^2/G30*Parameters!B$65</f>
        <v>4.3716707001996218</v>
      </c>
      <c r="H31" s="7">
        <f>H30 *(1-Parameters!$B$4)-B30*(B30&lt;0)*Parameters!B$65</f>
        <v>0</v>
      </c>
      <c r="I31" s="7">
        <f>I30*(1+Parameters!$B$51)^Parameters!B$65</f>
        <v>8.8236079676496608</v>
      </c>
      <c r="J31" s="7">
        <f>J30*(1+Parameters!$B$53)^Parameters!B$65</f>
        <v>15.451739781389806</v>
      </c>
      <c r="K31" s="23">
        <f>EXP(-Parameters!$B$42*A31)*(Parameters!$B$37/Parameters!$B$38*(E31+H31)/Parameters!$B$25*(EXP(-Parameters!$B$38*Parameters!$E$25*H31/(E31+H31))-EXP(-Parameters!$B$38*Parameters!$E$25))  +  Parameters!$B$39*E31*Parameters!$B$28*Parameters!$B$29*EXP((Parameters!$B$53+Parameters!$B$51)*A31))</f>
        <v>70.803297271022672</v>
      </c>
      <c r="L31" s="8">
        <f>L30+K31*Parameters!B$65</f>
        <v>3962.7948494948023</v>
      </c>
      <c r="M31" s="7">
        <f>M30+Parameters!$B$45*K31</f>
        <v>2.3776769096968824</v>
      </c>
      <c r="N31" s="7">
        <f>'6states'!O31</f>
        <v>0.96810033179313604</v>
      </c>
      <c r="O31" s="7">
        <f>MAX(O30+(Parameters!B$31-K31)*Parameters!B$65,30)</f>
        <v>30</v>
      </c>
      <c r="P31" s="7">
        <f>Parameters!B$61*EXP(-Parameters!B$60*A31)+(1-Parameters!B$61)*(O31/Parameters!B$62)^-Parameters!B$63</f>
        <v>0.76740045963202563</v>
      </c>
      <c r="Q31" s="9">
        <f>1-P31/Parameters!$B$12</f>
        <v>0.61629977018398718</v>
      </c>
      <c r="R31" s="23">
        <f t="shared" si="0"/>
        <v>2.6062012015982048</v>
      </c>
      <c r="S31" s="7">
        <f>(Parameters!$B$19*(E31+Parameters!$B$20)^Q31+Parameters!$B$18*F31^Q31)^(1/Q31)</f>
        <v>0.54070753282359574</v>
      </c>
      <c r="T31" s="7">
        <f>(Parameters!$B$10*G31^Parameters!$B$9 + Parameters!$B$11*S31^Parameters!$B$9) ^ (Parameters!$B$7/Parameters!$B$9) * N31</f>
        <v>1.4829427408466851</v>
      </c>
      <c r="U31" s="7">
        <f t="shared" si="1"/>
        <v>1.1296675909842546</v>
      </c>
      <c r="V31" s="7">
        <f>EXP(-Parameters!$B$55*A31)</f>
        <v>0.66517840241309079</v>
      </c>
      <c r="W31" s="7">
        <f>IF(U31&gt;0,U31^(1-Parameters!$B$52)/(1-Parameters!$B$52)*V31,-10+U31*1000)</f>
        <v>-1.8211149560577604</v>
      </c>
      <c r="X31" s="7"/>
      <c r="Y31" s="9">
        <f t="shared" si="2"/>
        <v>5.4533475866792323E-2</v>
      </c>
      <c r="Z31" s="9">
        <f t="shared" si="3"/>
        <v>4.7509232593109041E-3</v>
      </c>
      <c r="AA31" s="7">
        <f t="shared" si="4"/>
        <v>0.2939907507363273</v>
      </c>
      <c r="AB31" s="13">
        <f t="shared" si="5"/>
        <v>0.23822575216945216</v>
      </c>
    </row>
    <row r="32" spans="1:28" x14ac:dyDescent="0.25">
      <c r="A32">
        <f>A31+Parameters!$B$65</f>
        <v>28</v>
      </c>
      <c r="B32" s="46">
        <f t="shared" si="17"/>
        <v>5.4533475866792323E-2</v>
      </c>
      <c r="C32" s="46">
        <f t="shared" si="15"/>
        <v>4.7509232593109041E-3</v>
      </c>
      <c r="D32" s="46">
        <f t="shared" si="16"/>
        <v>0.2939907507363273</v>
      </c>
      <c r="E32" s="7">
        <f>MAX((1-Parameters!$B$4)^Parameters!B$65*E31+B31*Parameters!B$65-Parameters!$B$5*B31^2/E31*Parameters!B$65,0.0001)</f>
        <v>0.80167962686636884</v>
      </c>
      <c r="F32" s="9">
        <f>(1-Parameters!$B$4)^Parameters!B$65*F31+C31*Parameters!B$65-Parameters!$B$5*C31^2/F31*Parameters!B$65</f>
        <v>9.6388173466917526E-2</v>
      </c>
      <c r="G32" s="7">
        <f>(1-Parameters!$B$4)^Parameters!B$65*G31+D31*Parameters!B$65-Parameters!$B$5*D31^2/G31*Parameters!B$65</f>
        <v>4.3709127618865757</v>
      </c>
      <c r="H32" s="7">
        <f>H31 *(1-Parameters!$B$4)-B31*(B31&lt;0)*Parameters!B$65</f>
        <v>0</v>
      </c>
      <c r="I32" s="7">
        <f>I31*(1+Parameters!$B$51)^Parameters!B$65</f>
        <v>8.8491964307558444</v>
      </c>
      <c r="J32" s="7">
        <f>J31*(1+Parameters!$B$53)^Parameters!B$65</f>
        <v>15.760774577017603</v>
      </c>
      <c r="K32" s="23">
        <f>EXP(-Parameters!$B$42*A32)*(Parameters!$B$37/Parameters!$B$38*(E32+H32)/Parameters!$B$25*(EXP(-Parameters!$B$38*Parameters!$E$25*H32/(E32+H32))-EXP(-Parameters!$B$38*Parameters!$E$25))  +  Parameters!$B$39*E32*Parameters!$B$28*Parameters!$B$29*EXP((Parameters!$B$53+Parameters!$B$51)*A32))</f>
        <v>71.611454903872854</v>
      </c>
      <c r="L32" s="8">
        <f>L31+K32*Parameters!B$65</f>
        <v>4034.4063043986753</v>
      </c>
      <c r="M32" s="7">
        <f>M31+Parameters!$B$45*K32</f>
        <v>2.420643782639206</v>
      </c>
      <c r="N32" s="7">
        <f>'6states'!O32</f>
        <v>0.96772030187707303</v>
      </c>
      <c r="O32" s="7">
        <f>MAX(O31+(Parameters!B$31-K32)*Parameters!B$65,30)</f>
        <v>30</v>
      </c>
      <c r="P32" s="7">
        <f>Parameters!B$61*EXP(-Parameters!B$60*A32)+(1-Parameters!B$61)*(O32/Parameters!B$62)^-Parameters!B$63</f>
        <v>0.76097530909586231</v>
      </c>
      <c r="Q32" s="9">
        <f>1-P32/Parameters!$B$12</f>
        <v>0.61951234545206879</v>
      </c>
      <c r="R32" s="23">
        <f t="shared" si="0"/>
        <v>2.6282061666051426</v>
      </c>
      <c r="S32" s="7">
        <f>(Parameters!$B$19*(E32+Parameters!$B$20)^Q32+Parameters!$B$18*F32^Q32)^(1/Q32)</f>
        <v>0.54051034135417719</v>
      </c>
      <c r="T32" s="7">
        <f>(Parameters!$B$10*G32^Parameters!$B$9 + Parameters!$B$11*S32^Parameters!$B$9) ^ (Parameters!$B$7/Parameters!$B$9) * N32</f>
        <v>1.4822670575240835</v>
      </c>
      <c r="U32" s="7">
        <f t="shared" si="1"/>
        <v>1.128991907661653</v>
      </c>
      <c r="V32" s="7">
        <f>EXP(-Parameters!$B$55*A32)</f>
        <v>0.65520966194087471</v>
      </c>
      <c r="W32" s="7">
        <f>IF(U32&gt;0,U32^(1-Parameters!$B$52)/(1-Parameters!$B$52)*V32,-10+U32*1000)</f>
        <v>-1.7941983731144682</v>
      </c>
      <c r="X32" s="7"/>
      <c r="Y32" s="9">
        <f t="shared" si="2"/>
        <v>5.4533475866792323E-2</v>
      </c>
      <c r="Z32" s="9">
        <f t="shared" si="3"/>
        <v>4.7509232593109041E-3</v>
      </c>
      <c r="AA32" s="7">
        <f t="shared" si="4"/>
        <v>0.2939907507363273</v>
      </c>
      <c r="AB32" s="13">
        <f t="shared" si="5"/>
        <v>0.23833434607426712</v>
      </c>
    </row>
    <row r="33" spans="1:28" x14ac:dyDescent="0.25">
      <c r="A33">
        <f>A32+Parameters!$B$65</f>
        <v>29</v>
      </c>
      <c r="B33" s="46">
        <f t="shared" si="17"/>
        <v>5.4533475866792323E-2</v>
      </c>
      <c r="C33" s="46">
        <f t="shared" si="15"/>
        <v>4.7509232593109041E-3</v>
      </c>
      <c r="D33" s="46">
        <f t="shared" si="16"/>
        <v>0.2939907507363273</v>
      </c>
      <c r="E33" s="7">
        <f>MAX((1-Parameters!$B$4)^Parameters!B$65*E32+B32*Parameters!B$65-Parameters!$B$5*B32^2/E32*Parameters!B$65,0.0001)</f>
        <v>0.80207786761724031</v>
      </c>
      <c r="F33" s="9">
        <f>(1-Parameters!$B$4)^Parameters!B$65*F32+C32*Parameters!B$65-Parameters!$B$5*C32^2/F32*Parameters!B$65</f>
        <v>9.4842110062860099E-2</v>
      </c>
      <c r="G33" s="7">
        <f>(1-Parameters!$B$4)^Parameters!B$65*G32+D32*Parameters!B$65-Parameters!$B$5*D32^2/G32*Parameters!B$65</f>
        <v>4.3701990695713402</v>
      </c>
      <c r="H33" s="7">
        <f>H32 *(1-Parameters!$B$4)-B32*(B32&lt;0)*Parameters!B$65</f>
        <v>0</v>
      </c>
      <c r="I33" s="7">
        <f>I32*(1+Parameters!$B$51)^Parameters!B$65</f>
        <v>8.8748591004050361</v>
      </c>
      <c r="J33" s="7">
        <f>J32*(1+Parameters!$B$53)^Parameters!B$65</f>
        <v>16.075990068557957</v>
      </c>
      <c r="K33" s="23">
        <f>EXP(-Parameters!$B$42*A33)*(Parameters!$B$37/Parameters!$B$38*(E33+H33)/Parameters!$B$25*(EXP(-Parameters!$B$38*Parameters!$E$25*H33/(E33+H33))-EXP(-Parameters!$B$38*Parameters!$E$25))  +  Parameters!$B$39*E33*Parameters!$B$28*Parameters!$B$29*EXP((Parameters!$B$53+Parameters!$B$51)*A33))</f>
        <v>72.429696504044799</v>
      </c>
      <c r="L33" s="8">
        <f>L32+K33*Parameters!B$65</f>
        <v>4106.8360009027201</v>
      </c>
      <c r="M33" s="7">
        <f>M32+Parameters!$B$45*K33</f>
        <v>2.4641016005416327</v>
      </c>
      <c r="N33" s="7">
        <f>'6states'!O33</f>
        <v>0.96734439411063688</v>
      </c>
      <c r="O33" s="7">
        <f>MAX(O32+(Parameters!B$31-K33)*Parameters!B$65,30)</f>
        <v>30</v>
      </c>
      <c r="P33" s="7">
        <f>Parameters!B$61*EXP(-Parameters!B$60*A33)+(1-Parameters!B$61)*(O33/Parameters!B$62)^-Parameters!B$63</f>
        <v>0.75472131659300157</v>
      </c>
      <c r="Q33" s="9">
        <f>1-P33/Parameters!$B$12</f>
        <v>0.62263934170349922</v>
      </c>
      <c r="R33" s="23">
        <f t="shared" si="0"/>
        <v>2.6499847772002703</v>
      </c>
      <c r="S33" s="7">
        <f>(Parameters!$B$19*(E33+Parameters!$B$20)^Q33+Parameters!$B$18*F33^Q33)^(1/Q33)</f>
        <v>0.54034675252226205</v>
      </c>
      <c r="T33" s="7">
        <f>(Parameters!$B$10*G33^Parameters!$B$9 + Parameters!$B$11*S33^Parameters!$B$9) ^ (Parameters!$B$7/Parameters!$B$9) * N33</f>
        <v>1.4816067107334046</v>
      </c>
      <c r="U33" s="7">
        <f t="shared" si="1"/>
        <v>1.1283315608709741</v>
      </c>
      <c r="V33" s="7">
        <f>EXP(-Parameters!$B$55*A33)</f>
        <v>0.64539031866231678</v>
      </c>
      <c r="W33" s="7">
        <f>IF(U33&gt;0,U33^(1-Parameters!$B$52)/(1-Parameters!$B$52)*V33,-10+U33*1000)</f>
        <v>-1.7676714369377309</v>
      </c>
      <c r="X33" s="7"/>
      <c r="Y33" s="9">
        <f t="shared" si="2"/>
        <v>5.457601566961684E-2</v>
      </c>
      <c r="Z33" s="9">
        <f t="shared" si="3"/>
        <v>4.5969769478410765E-3</v>
      </c>
      <c r="AA33" s="7">
        <f t="shared" si="4"/>
        <v>0.29384386111978678</v>
      </c>
      <c r="AB33" s="13">
        <f t="shared" si="5"/>
        <v>0.23844057083647868</v>
      </c>
    </row>
    <row r="34" spans="1:28" x14ac:dyDescent="0.25">
      <c r="A34">
        <f>A33+Parameters!$B$65</f>
        <v>30</v>
      </c>
      <c r="B34" s="19">
        <v>5.4661095275265872E-2</v>
      </c>
      <c r="C34" s="45">
        <v>4.289084324901422E-3</v>
      </c>
      <c r="D34" s="18">
        <v>0.29355008188670573</v>
      </c>
      <c r="E34" s="7">
        <f>MAX((1-Parameters!$B$4)^Parameters!B$65*E33+B33*Parameters!B$65-Parameters!$B$5*B33^2/E33*Parameters!B$65,0.0001)</f>
        <v>0.8024529008766611</v>
      </c>
      <c r="F34" s="9">
        <f>(1-Parameters!$B$4)^Parameters!B$65*F33+C33*Parameters!B$65-Parameters!$B$5*C33^2/F33*Parameters!B$65</f>
        <v>9.3389476728629864E-2</v>
      </c>
      <c r="G34" s="7">
        <f>(1-Parameters!$B$4)^Parameters!B$65*G33+D33*Parameters!B$65-Parameters!$B$5*D33^2/G33*Parameters!B$65</f>
        <v>4.3695270392279886</v>
      </c>
      <c r="H34" s="7">
        <f>H33 *(1-Parameters!$B$4)-B33*(B33&lt;0)*Parameters!B$65</f>
        <v>0</v>
      </c>
      <c r="I34" s="7">
        <f>I33*(1+Parameters!$B$51)^Parameters!B$65</f>
        <v>8.9005961917962093</v>
      </c>
      <c r="J34" s="7">
        <f>J33*(1+Parameters!$B$53)^Parameters!B$65</f>
        <v>16.397509869929117</v>
      </c>
      <c r="K34" s="23">
        <f>EXP(-Parameters!$B$42*A34)*(Parameters!$B$37/Parameters!$B$38*(E34+H34)/Parameters!$B$25*(EXP(-Parameters!$B$38*Parameters!$E$25*H34/(E34+H34))-EXP(-Parameters!$B$38*Parameters!$E$25))  +  Parameters!$B$39*E34*Parameters!$B$28*Parameters!$B$29*EXP((Parameters!$B$53+Parameters!$B$51)*A34))</f>
        <v>73.258232531318555</v>
      </c>
      <c r="L34" s="8">
        <f>L33+K34*Parameters!B$65</f>
        <v>4180.0942334340389</v>
      </c>
      <c r="M34" s="7">
        <f>M33+Parameters!$B$45*K34</f>
        <v>2.5080565400604238</v>
      </c>
      <c r="N34" s="7">
        <f>'6states'!O34</f>
        <v>0.96697248297034355</v>
      </c>
      <c r="O34" s="7">
        <f>MAX(O33+(Parameters!B$31-K34)*Parameters!B$65,30)</f>
        <v>30</v>
      </c>
      <c r="P34" s="7">
        <f>Parameters!B$61*EXP(-Parameters!B$60*A34)+(1-Parameters!B$61)*(O34/Parameters!B$62)^-Parameters!B$63</f>
        <v>0.74863392268593321</v>
      </c>
      <c r="Q34" s="9">
        <f>1-P34/Parameters!$B$12</f>
        <v>0.62568303865703334</v>
      </c>
      <c r="R34" s="23">
        <f t="shared" si="0"/>
        <v>2.6715326936087016</v>
      </c>
      <c r="S34" s="7">
        <f>(Parameters!$B$19*(E34+Parameters!$B$20)^Q34+Parameters!$B$18*F34^Q34)^(1/Q34)</f>
        <v>0.54021415478765444</v>
      </c>
      <c r="T34" s="7">
        <f>(Parameters!$B$10*G34^Parameters!$B$9 + Parameters!$B$11*S34^Parameters!$B$9) ^ (Parameters!$B$7/Parameters!$B$9) * N34</f>
        <v>1.4809608804223404</v>
      </c>
      <c r="U34" s="7">
        <f t="shared" si="1"/>
        <v>1.1284606189354673</v>
      </c>
      <c r="V34" s="7">
        <f>EXP(-Parameters!$B$55*A34)</f>
        <v>0.63571813362641427</v>
      </c>
      <c r="W34" s="7">
        <f>IF(U34&gt;0,U34^(1-Parameters!$B$52)/(1-Parameters!$B$52)*V34,-10+U34*1000)</f>
        <v>-1.7411104120928482</v>
      </c>
      <c r="X34" s="7"/>
      <c r="Y34" s="9">
        <f t="shared" si="2"/>
        <v>5.4618555472441356E-2</v>
      </c>
      <c r="Z34" s="9">
        <f t="shared" si="3"/>
        <v>4.4430306363712497E-3</v>
      </c>
      <c r="AA34" s="7">
        <f t="shared" si="4"/>
        <v>0.29369697150324625</v>
      </c>
      <c r="AB34" s="13">
        <f t="shared" si="5"/>
        <v>0.23802131855525246</v>
      </c>
    </row>
    <row r="35" spans="1:28" x14ac:dyDescent="0.25">
      <c r="A35">
        <f>A34+Parameters!$B$65</f>
        <v>31</v>
      </c>
      <c r="B35" s="46">
        <f>B34</f>
        <v>5.4661095275265872E-2</v>
      </c>
      <c r="C35" s="46">
        <f t="shared" ref="C35:D35" si="18">C34</f>
        <v>4.289084324901422E-3</v>
      </c>
      <c r="D35" s="46">
        <f t="shared" si="18"/>
        <v>0.29355008188670573</v>
      </c>
      <c r="E35" s="7">
        <f>MAX((1-Parameters!$B$4)^Parameters!B$65*E34+B34*Parameters!B$65-Parameters!$B$5*B34^2/E34*Parameters!B$65,0.0001)</f>
        <v>0.80291633086183412</v>
      </c>
      <c r="F35" s="9">
        <f>(1-Parameters!$B$4)^Parameters!B$65*F34+C34*Parameters!B$65-Parameters!$B$5*C34^2/F34*Parameters!B$65</f>
        <v>9.1607378842423426E-2</v>
      </c>
      <c r="G35" s="7">
        <f>(1-Parameters!$B$4)^Parameters!B$65*G34+D34*Parameters!B$65-Parameters!$B$5*D34^2/G34*Parameters!B$65</f>
        <v>4.3685128227825922</v>
      </c>
      <c r="H35" s="7">
        <f>H34 *(1-Parameters!$B$4)-B34*(B34&lt;0)*Parameters!B$65</f>
        <v>0</v>
      </c>
      <c r="I35" s="7">
        <f>I34*(1+Parameters!$B$51)^Parameters!B$65</f>
        <v>8.9264079207524176</v>
      </c>
      <c r="J35" s="7">
        <f>J34*(1+Parameters!$B$53)^Parameters!B$65</f>
        <v>16.725460067327699</v>
      </c>
      <c r="K35" s="23">
        <f>EXP(-Parameters!$B$42*A35)*(Parameters!$B$37/Parameters!$B$38*(E35+H35)/Parameters!$B$25*(EXP(-Parameters!$B$38*Parameters!$E$25*H35/(E35+H35))-EXP(-Parameters!$B$38*Parameters!$E$25))  +  Parameters!$B$39*E35*Parameters!$B$28*Parameters!$B$29*EXP((Parameters!$B$53+Parameters!$B$51)*A35))</f>
        <v>74.107447695483614</v>
      </c>
      <c r="L35" s="8">
        <f>L34+K35*Parameters!B$65</f>
        <v>4254.2016811295225</v>
      </c>
      <c r="M35" s="7">
        <f>M34+Parameters!$B$45*K35</f>
        <v>2.5525210086777141</v>
      </c>
      <c r="N35" s="7">
        <f>'6states'!O35</f>
        <v>0.96660431440453931</v>
      </c>
      <c r="O35" s="7">
        <f>MAX(O34+(Parameters!B$31-K35)*Parameters!B$65,30)</f>
        <v>30</v>
      </c>
      <c r="P35" s="7">
        <f>Parameters!B$61*EXP(-Parameters!B$60*A35)+(1-Parameters!B$61)*(O35/Parameters!B$62)^-Parameters!B$63</f>
        <v>0.74270868939490153</v>
      </c>
      <c r="Q35" s="9">
        <f>1-P35/Parameters!$B$12</f>
        <v>0.62864565530254923</v>
      </c>
      <c r="R35" s="23">
        <f t="shared" si="0"/>
        <v>2.692845833848311</v>
      </c>
      <c r="S35" s="7">
        <f>(Parameters!$B$19*(E35+Parameters!$B$20)^Q35+Parameters!$B$18*F35^Q35)^(1/Q35)</f>
        <v>0.53993131897074531</v>
      </c>
      <c r="T35" s="7">
        <f>(Parameters!$B$10*G35^Parameters!$B$9 + Parameters!$B$11*S35^Parameters!$B$9) ^ (Parameters!$B$7/Parameters!$B$9) * N35</f>
        <v>1.4802688612844928</v>
      </c>
      <c r="U35" s="7">
        <f t="shared" si="1"/>
        <v>1.1277685997976197</v>
      </c>
      <c r="V35" s="7">
        <f>EXP(-Parameters!$B$55*A35)</f>
        <v>0.62619090143635336</v>
      </c>
      <c r="W35" s="7">
        <f>IF(U35&gt;0,U35^(1-Parameters!$B$52)/(1-Parameters!$B$52)*V35,-10+U35*1000)</f>
        <v>-1.7153853993007238</v>
      </c>
      <c r="X35" s="7"/>
      <c r="Y35" s="9">
        <f t="shared" si="2"/>
        <v>5.4661095275265879E-2</v>
      </c>
      <c r="Z35" s="9">
        <f t="shared" si="3"/>
        <v>4.289084324901422E-3</v>
      </c>
      <c r="AA35" s="7">
        <f t="shared" si="4"/>
        <v>0.29355008188670573</v>
      </c>
      <c r="AB35" s="13">
        <f t="shared" si="5"/>
        <v>0.23813259246769092</v>
      </c>
    </row>
    <row r="36" spans="1:28" x14ac:dyDescent="0.25">
      <c r="A36">
        <f>A35+Parameters!$B$65</f>
        <v>32</v>
      </c>
      <c r="B36" s="46">
        <f t="shared" ref="B36:B43" si="19">B35</f>
        <v>5.4661095275265872E-2</v>
      </c>
      <c r="C36" s="46">
        <f t="shared" ref="C36:C43" si="20">C35</f>
        <v>4.289084324901422E-3</v>
      </c>
      <c r="D36" s="46">
        <f t="shared" ref="D36:D43" si="21">D35</f>
        <v>0.29355008188670573</v>
      </c>
      <c r="E36" s="7">
        <f>MAX((1-Parameters!$B$4)^Parameters!B$65*E35+B35*Parameters!B$65-Parameters!$B$5*B35^2/E35*Parameters!B$65,0.0001)</f>
        <v>0.80335276017284662</v>
      </c>
      <c r="F36" s="9">
        <f>(1-Parameters!$B$4)^Parameters!B$65*F35+C35*Parameters!B$65-Parameters!$B$5*C35^2/F35*Parameters!B$65</f>
        <v>8.9933542853036758E-2</v>
      </c>
      <c r="G36" s="7">
        <f>(1-Parameters!$B$4)^Parameters!B$65*G35+D35*Parameters!B$65-Parameters!$B$5*D35^2/G35*Parameters!B$65</f>
        <v>4.3675578220115971</v>
      </c>
      <c r="H36" s="7">
        <f>H35 *(1-Parameters!$B$4)-B35*(B35&lt;0)*Parameters!B$65</f>
        <v>0</v>
      </c>
      <c r="I36" s="7">
        <f>I35*(1+Parameters!$B$51)^Parameters!B$65</f>
        <v>8.9522945037225981</v>
      </c>
      <c r="J36" s="7">
        <f>J35*(1+Parameters!$B$53)^Parameters!B$65</f>
        <v>17.059969268674255</v>
      </c>
      <c r="K36" s="23">
        <f>EXP(-Parameters!$B$42*A36)*(Parameters!$B$37/Parameters!$B$38*(E36+H36)/Parameters!$B$25*(EXP(-Parameters!$B$38*Parameters!$E$25*H36/(E36+H36))-EXP(-Parameters!$B$38*Parameters!$E$25))  +  Parameters!$B$39*E36*Parameters!$B$28*Parameters!$B$29*EXP((Parameters!$B$53+Parameters!$B$51)*A36))</f>
        <v>74.966998831818884</v>
      </c>
      <c r="L36" s="8">
        <f>L35+K36*Parameters!B$65</f>
        <v>4329.1686799613417</v>
      </c>
      <c r="M36" s="7">
        <f>M35+Parameters!$B$45*K36</f>
        <v>2.5975012079768054</v>
      </c>
      <c r="N36" s="7">
        <f>'6states'!O36</f>
        <v>0.96623951078746506</v>
      </c>
      <c r="O36" s="7">
        <f>MAX(O35+(Parameters!B$31-K36)*Parameters!B$65,30)</f>
        <v>30</v>
      </c>
      <c r="P36" s="7">
        <f>Parameters!B$61*EXP(-Parameters!B$60*A36)+(1-Parameters!B$61)*(O36/Parameters!B$62)^-Parameters!B$63</f>
        <v>0.7369412969624215</v>
      </c>
      <c r="Q36" s="9">
        <f>1-P36/Parameters!$B$12</f>
        <v>0.63152935151878919</v>
      </c>
      <c r="R36" s="23">
        <f t="shared" si="0"/>
        <v>2.713920373635927</v>
      </c>
      <c r="S36" s="7">
        <f>(Parameters!$B$19*(E36+Parameters!$B$20)^Q36+Parameters!$B$18*F36^Q36)^(1/Q36)</f>
        <v>0.53968588367644199</v>
      </c>
      <c r="T36" s="7">
        <f>(Parameters!$B$10*G36^Parameters!$B$9 + Parameters!$B$11*S36^Parameters!$B$9) ^ (Parameters!$B$7/Parameters!$B$9) * N36</f>
        <v>1.4795928505081324</v>
      </c>
      <c r="U36" s="7">
        <f t="shared" si="1"/>
        <v>1.1270925890212591</v>
      </c>
      <c r="V36" s="7">
        <f>EXP(-Parameters!$B$55*A36)</f>
        <v>0.61680644974664667</v>
      </c>
      <c r="W36" s="7">
        <f>IF(U36&gt;0,U36^(1-Parameters!$B$52)/(1-Parameters!$B$52)*V36,-10+U36*1000)</f>
        <v>-1.6900322964117145</v>
      </c>
      <c r="X36" s="7"/>
      <c r="Y36" s="9">
        <f t="shared" si="2"/>
        <v>5.4661095275265879E-2</v>
      </c>
      <c r="Z36" s="9">
        <f t="shared" si="3"/>
        <v>4.289084324901422E-3</v>
      </c>
      <c r="AA36" s="7">
        <f t="shared" si="4"/>
        <v>0.29355008188670573</v>
      </c>
      <c r="AB36" s="13">
        <f t="shared" si="5"/>
        <v>0.23824139280330725</v>
      </c>
    </row>
    <row r="37" spans="1:28" x14ac:dyDescent="0.25">
      <c r="A37">
        <f>A36+Parameters!$B$65</f>
        <v>33</v>
      </c>
      <c r="B37" s="46">
        <f t="shared" si="19"/>
        <v>5.4661095275265872E-2</v>
      </c>
      <c r="C37" s="46">
        <f t="shared" si="20"/>
        <v>4.289084324901422E-3</v>
      </c>
      <c r="D37" s="46">
        <f t="shared" si="21"/>
        <v>0.29355008188670573</v>
      </c>
      <c r="E37" s="7">
        <f>MAX((1-Parameters!$B$4)^Parameters!B$65*E36+B36*Parameters!B$65-Parameters!$B$5*B36^2/E36*Parameters!B$65,0.0001)</f>
        <v>0.80376375967442171</v>
      </c>
      <c r="F37" s="9">
        <f>(1-Parameters!$B$4)^Parameters!B$65*F36+C36*Parameters!B$65-Parameters!$B$5*C36^2/F36*Parameters!B$65</f>
        <v>8.8361253572422069E-2</v>
      </c>
      <c r="G37" s="7">
        <f>(1-Parameters!$B$4)^Parameters!B$65*G36+D36*Parameters!B$65-Parameters!$B$5*D36^2/G36*Parameters!B$65</f>
        <v>4.3666585776262492</v>
      </c>
      <c r="H37" s="7">
        <f>H36 *(1-Parameters!$B$4)-B36*(B36&lt;0)*Parameters!B$65</f>
        <v>0</v>
      </c>
      <c r="I37" s="7">
        <f>I36*(1+Parameters!$B$51)^Parameters!B$65</f>
        <v>8.9782561577833935</v>
      </c>
      <c r="J37" s="7">
        <f>J36*(1+Parameters!$B$53)^Parameters!B$65</f>
        <v>17.401168654047741</v>
      </c>
      <c r="K37" s="23">
        <f>EXP(-Parameters!$B$42*A37)*(Parameters!$B$37/Parameters!$B$38*(E37+H37)/Parameters!$B$25*(EXP(-Parameters!$B$38*Parameters!$E$25*H37/(E37+H37))-EXP(-Parameters!$B$38*Parameters!$E$25))  +  Parameters!$B$39*E37*Parameters!$B$28*Parameters!$B$29*EXP((Parameters!$B$53+Parameters!$B$51)*A37))</f>
        <v>75.837111522425516</v>
      </c>
      <c r="L37" s="8">
        <f>L36+K37*Parameters!B$65</f>
        <v>4405.0057914837671</v>
      </c>
      <c r="M37" s="7">
        <f>M36+Parameters!$B$45*K37</f>
        <v>2.6430034748902607</v>
      </c>
      <c r="N37" s="7">
        <f>'6states'!O37</f>
        <v>0.96587778708130534</v>
      </c>
      <c r="O37" s="7">
        <f>MAX(O36+(Parameters!B$31-K37)*Parameters!B$65,30)</f>
        <v>30</v>
      </c>
      <c r="P37" s="7">
        <f>Parameters!B$61*EXP(-Parameters!B$60*A37)+(1-Parameters!B$61)*(O37/Parameters!B$62)^-Parameters!B$63</f>
        <v>0.73132754070398465</v>
      </c>
      <c r="Q37" s="9">
        <f>1-P37/Parameters!$B$12</f>
        <v>0.63433622964800773</v>
      </c>
      <c r="R37" s="23">
        <f t="shared" si="0"/>
        <v>2.7347527457734961</v>
      </c>
      <c r="S37" s="7">
        <f>(Parameters!$B$19*(E37+Parameters!$B$20)^Q37+Parameters!$B$18*F37^Q37)^(1/Q37)</f>
        <v>0.53947510652293196</v>
      </c>
      <c r="T37" s="7">
        <f>(Parameters!$B$10*G37^Parameters!$B$9 + Parameters!$B$11*S37^Parameters!$B$9) ^ (Parameters!$B$7/Parameters!$B$9) * N37</f>
        <v>1.4789316972107944</v>
      </c>
      <c r="U37" s="7">
        <f t="shared" si="1"/>
        <v>1.1264314357239211</v>
      </c>
      <c r="V37" s="7">
        <f>EXP(-Parameters!$B$55*A37)</f>
        <v>0.60756263876780681</v>
      </c>
      <c r="W37" s="7">
        <f>IF(U37&gt;0,U37^(1-Parameters!$B$52)/(1-Parameters!$B$52)*V37,-10+U37*1000)</f>
        <v>-1.6650464310164419</v>
      </c>
      <c r="X37" s="7"/>
      <c r="Y37" s="9">
        <f t="shared" ref="Y37:Y63" si="22">SUM(B36:B38)/3</f>
        <v>5.4661095275265879E-2</v>
      </c>
      <c r="Z37" s="9">
        <f t="shared" ref="Z37:Z63" si="23">SUM(C36:C38)/3</f>
        <v>4.289084324901422E-3</v>
      </c>
      <c r="AA37" s="7">
        <f t="shared" ref="AA37:AA63" si="24">SUM(D36:D38)/3</f>
        <v>0.29355008188670573</v>
      </c>
      <c r="AB37" s="13">
        <f t="shared" si="5"/>
        <v>0.23834789811569684</v>
      </c>
    </row>
    <row r="38" spans="1:28" x14ac:dyDescent="0.25">
      <c r="A38">
        <f>A37+Parameters!$B$65</f>
        <v>34</v>
      </c>
      <c r="B38" s="46">
        <f t="shared" si="19"/>
        <v>5.4661095275265872E-2</v>
      </c>
      <c r="C38" s="46">
        <f t="shared" si="20"/>
        <v>4.289084324901422E-3</v>
      </c>
      <c r="D38" s="46">
        <f t="shared" si="21"/>
        <v>0.29355008188670573</v>
      </c>
      <c r="E38" s="7">
        <f>MAX((1-Parameters!$B$4)^Parameters!B$65*E37+B37*Parameters!B$65-Parameters!$B$5*B37^2/E37*Parameters!B$65,0.0001)</f>
        <v>0.80415080910034364</v>
      </c>
      <c r="F38" s="9">
        <f>(1-Parameters!$B$4)^Parameters!B$65*F37+C37*Parameters!B$65-Parameters!$B$5*C37^2/F37*Parameters!B$65</f>
        <v>8.6884221483104748E-2</v>
      </c>
      <c r="G38" s="7">
        <f>(1-Parameters!$B$4)^Parameters!B$65*G37+D37*Parameters!B$65-Parameters!$B$5*D37^2/G37*Parameters!B$65</f>
        <v>4.3658118326432795</v>
      </c>
      <c r="H38" s="7">
        <f>H37 *(1-Parameters!$B$4)-B37*(B37&lt;0)*Parameters!B$65</f>
        <v>0</v>
      </c>
      <c r="I38" s="7">
        <f>I37*(1+Parameters!$B$51)^Parameters!B$65</f>
        <v>9.0042931006409646</v>
      </c>
      <c r="J38" s="7">
        <f>J37*(1+Parameters!$B$53)^Parameters!B$65</f>
        <v>17.749192027128696</v>
      </c>
      <c r="K38" s="23">
        <f>EXP(-Parameters!$B$42*A38)*(Parameters!$B$37/Parameters!$B$38*(E38+H38)/Parameters!$B$25*(EXP(-Parameters!$B$38*Parameters!$E$25*H38/(E38+H38))-EXP(-Parameters!$B$38*Parameters!$E$25))  +  Parameters!$B$39*E38*Parameters!$B$28*Parameters!$B$29*EXP((Parameters!$B$53+Parameters!$B$51)*A38))</f>
        <v>76.718009084457918</v>
      </c>
      <c r="L38" s="8">
        <f>L37+K38*Parameters!B$65</f>
        <v>4481.7238005682248</v>
      </c>
      <c r="M38" s="7">
        <f>M37+Parameters!$B$45*K38</f>
        <v>2.6890342803409353</v>
      </c>
      <c r="N38" s="7">
        <f>'6states'!O38</f>
        <v>0.9655183855807975</v>
      </c>
      <c r="O38" s="7">
        <f>MAX(O37+(Parameters!B$31-K38)*Parameters!B$65,30)</f>
        <v>30</v>
      </c>
      <c r="P38" s="7">
        <f>Parameters!B$61*EXP(-Parameters!B$60*A38)+(1-Parameters!B$61)*(O38/Parameters!B$62)^-Parameters!B$63</f>
        <v>0.72586332794265762</v>
      </c>
      <c r="Q38" s="9">
        <f>1-P38/Parameters!$B$12</f>
        <v>0.63706833602867119</v>
      </c>
      <c r="R38" s="23">
        <f t="shared" si="0"/>
        <v>2.7553396390318783</v>
      </c>
      <c r="S38" s="7">
        <f>(Parameters!$B$19*(E38+Parameters!$B$20)^Q38+Parameters!$B$18*F38^Q38)^(1/Q38)</f>
        <v>0.53929640275646662</v>
      </c>
      <c r="T38" s="7">
        <f>(Parameters!$B$10*G38^Parameters!$B$9 + Parameters!$B$11*S38^Parameters!$B$9) ^ (Parameters!$B$7/Parameters!$B$9) * N38</f>
        <v>1.4782835649532846</v>
      </c>
      <c r="U38" s="7">
        <f t="shared" si="1"/>
        <v>1.1257833034664113</v>
      </c>
      <c r="V38" s="7">
        <f>EXP(-Parameters!$B$55*A38)</f>
        <v>0.59845736077844469</v>
      </c>
      <c r="W38" s="7">
        <f>IF(U38&gt;0,U38^(1-Parameters!$B$52)/(1-Parameters!$B$52)*V38,-10+U38*1000)</f>
        <v>-1.6404235200114914</v>
      </c>
      <c r="X38" s="7"/>
      <c r="Y38" s="9">
        <f t="shared" si="22"/>
        <v>5.4661095275265879E-2</v>
      </c>
      <c r="Z38" s="9">
        <f t="shared" si="23"/>
        <v>4.289084324901422E-3</v>
      </c>
      <c r="AA38" s="7">
        <f t="shared" si="24"/>
        <v>0.29355008188670573</v>
      </c>
      <c r="AB38" s="13">
        <f t="shared" si="5"/>
        <v>0.23845239833807691</v>
      </c>
    </row>
    <row r="39" spans="1:28" x14ac:dyDescent="0.25">
      <c r="A39">
        <f>A38+Parameters!$B$65</f>
        <v>35</v>
      </c>
      <c r="B39" s="46">
        <f t="shared" si="19"/>
        <v>5.4661095275265872E-2</v>
      </c>
      <c r="C39" s="46">
        <f t="shared" si="20"/>
        <v>4.289084324901422E-3</v>
      </c>
      <c r="D39" s="46">
        <f t="shared" si="21"/>
        <v>0.29355008188670573</v>
      </c>
      <c r="E39" s="7">
        <f>MAX((1-Parameters!$B$4)^Parameters!B$65*E38+B38*Parameters!B$65-Parameters!$B$5*B38^2/E38*Parameters!B$65,0.0001)</f>
        <v>0.80451530231026214</v>
      </c>
      <c r="F39" s="9">
        <f>(1-Parameters!$B$4)^Parameters!B$65*F38+C38*Parameters!B$65-Parameters!$B$5*C38^2/F38*Parameters!B$65</f>
        <v>8.5496555420832135E-2</v>
      </c>
      <c r="G39" s="7">
        <f>(1-Parameters!$B$4)^Parameters!B$65*G38+D38*Parameters!B$65-Parameters!$B$5*D38^2/G38*Parameters!B$65</f>
        <v>4.3650145205290691</v>
      </c>
      <c r="H39" s="7">
        <f>H38 *(1-Parameters!$B$4)-B38*(B38&lt;0)*Parameters!B$65</f>
        <v>0</v>
      </c>
      <c r="I39" s="7">
        <f>I38*(1+Parameters!$B$51)^Parameters!B$65</f>
        <v>9.0304055506328229</v>
      </c>
      <c r="J39" s="7">
        <f>J38*(1+Parameters!$B$53)^Parameters!B$65</f>
        <v>18.10417586767127</v>
      </c>
      <c r="K39" s="23">
        <f>EXP(-Parameters!$B$42*A39)*(Parameters!$B$37/Parameters!$B$38*(E39+H39)/Parameters!$B$25*(EXP(-Parameters!$B$38*Parameters!$E$25*H39/(E39+H39))-EXP(-Parameters!$B$38*Parameters!$E$25))  +  Parameters!$B$39*E39*Parameters!$B$28*Parameters!$B$29*EXP((Parameters!$B$53+Parameters!$B$51)*A39))</f>
        <v>77.609912814578806</v>
      </c>
      <c r="L39" s="8">
        <f>L38+K39*Parameters!B$65</f>
        <v>4559.3337133828036</v>
      </c>
      <c r="M39" s="7">
        <f>M38+Parameters!$B$45*K39</f>
        <v>2.7356002280296825</v>
      </c>
      <c r="N39" s="7">
        <f>'6states'!O39</f>
        <v>0.96516051918803281</v>
      </c>
      <c r="O39" s="7">
        <f>MAX(O38+(Parameters!B$31-K39)*Parameters!B$65,30)</f>
        <v>30</v>
      </c>
      <c r="P39" s="7">
        <f>Parameters!B$61*EXP(-Parameters!B$60*A39)+(1-Parameters!B$61)*(O39/Parameters!B$62)^-Parameters!B$63</f>
        <v>0.72054467502533914</v>
      </c>
      <c r="Q39" s="9">
        <f>1-P39/Parameters!$B$12</f>
        <v>0.63972766248733048</v>
      </c>
      <c r="R39" s="23">
        <f t="shared" si="0"/>
        <v>2.7756779965512437</v>
      </c>
      <c r="S39" s="7">
        <f>(Parameters!$B$19*(E39+Parameters!$B$20)^Q39+Parameters!$B$18*F39^Q39)^(1/Q39)</f>
        <v>0.53914733925478786</v>
      </c>
      <c r="T39" s="7">
        <f>(Parameters!$B$10*G39^Parameters!$B$9 + Parameters!$B$11*S39^Parameters!$B$9) ^ (Parameters!$B$7/Parameters!$B$9) * N39</f>
        <v>1.4776466094494503</v>
      </c>
      <c r="U39" s="7">
        <f t="shared" si="1"/>
        <v>1.125146347962577</v>
      </c>
      <c r="V39" s="7">
        <f>EXP(-Parameters!$B$55*A39)</f>
        <v>0.58948853964467807</v>
      </c>
      <c r="W39" s="7">
        <f>IF(U39&gt;0,U39^(1-Parameters!$B$52)/(1-Parameters!$B$52)*V39,-10+U39*1000)</f>
        <v>-1.6161593040883877</v>
      </c>
      <c r="X39" s="7"/>
      <c r="Y39" s="9">
        <f t="shared" si="22"/>
        <v>5.4661095275265879E-2</v>
      </c>
      <c r="Z39" s="9">
        <f t="shared" si="23"/>
        <v>4.289084324901422E-3</v>
      </c>
      <c r="AA39" s="7">
        <f t="shared" si="24"/>
        <v>0.29355008188670573</v>
      </c>
      <c r="AB39" s="13">
        <f t="shared" si="5"/>
        <v>0.23855518581551075</v>
      </c>
    </row>
    <row r="40" spans="1:28" x14ac:dyDescent="0.25">
      <c r="A40">
        <f>A39+Parameters!$B$65</f>
        <v>36</v>
      </c>
      <c r="B40" s="46">
        <f t="shared" si="19"/>
        <v>5.4661095275265872E-2</v>
      </c>
      <c r="C40" s="46">
        <f t="shared" si="20"/>
        <v>4.289084324901422E-3</v>
      </c>
      <c r="D40" s="46">
        <f t="shared" si="21"/>
        <v>0.29355008188670573</v>
      </c>
      <c r="E40" s="7">
        <f>MAX((1-Parameters!$B$4)^Parameters!B$65*E39+B39*Parameters!B$65-Parameters!$B$5*B39^2/E39*Parameters!B$65,0.0001)</f>
        <v>0.80485855224675751</v>
      </c>
      <c r="F40" s="9">
        <f>(1-Parameters!$B$4)^Parameters!B$65*F39+C39*Parameters!B$65-Parameters!$B$5*C39^2/F39*Parameters!B$65</f>
        <v>8.4192736988544251E-2</v>
      </c>
      <c r="G40" s="7">
        <f>(1-Parameters!$B$4)^Parameters!B$65*G39+D39*Parameters!B$65-Parameters!$B$5*D39^2/G39*Parameters!B$65</f>
        <v>4.3642637540413673</v>
      </c>
      <c r="H40" s="7">
        <f>H39 *(1-Parameters!$B$4)-B39*(B39&lt;0)*Parameters!B$65</f>
        <v>0</v>
      </c>
      <c r="I40" s="7">
        <f>I39*(1+Parameters!$B$51)^Parameters!B$65</f>
        <v>9.0565937267296572</v>
      </c>
      <c r="J40" s="7">
        <f>J39*(1+Parameters!$B$53)^Parameters!B$65</f>
        <v>18.466259385024696</v>
      </c>
      <c r="K40" s="23">
        <f>EXP(-Parameters!$B$42*A40)*(Parameters!$B$37/Parameters!$B$38*(E40+H40)/Parameters!$B$25*(EXP(-Parameters!$B$38*Parameters!$E$25*H40/(E40+H40))-EXP(-Parameters!$B$38*Parameters!$E$25))  +  Parameters!$B$39*E40*Parameters!$B$28*Parameters!$B$29*EXP((Parameters!$B$53+Parameters!$B$51)*A40))</f>
        <v>78.513042222126344</v>
      </c>
      <c r="L40" s="8">
        <f>L39+K40*Parameters!B$65</f>
        <v>4637.84675560493</v>
      </c>
      <c r="M40" s="7">
        <f>M39+Parameters!$B$45*K40</f>
        <v>2.7827080533629585</v>
      </c>
      <c r="N40" s="7">
        <f>'6states'!O40</f>
        <v>0.9648333472566728</v>
      </c>
      <c r="O40" s="7">
        <f>MAX(O39+(Parameters!B$31-K40)*Parameters!B$65,30)</f>
        <v>30</v>
      </c>
      <c r="P40" s="7">
        <f>Parameters!B$61*EXP(-Parameters!B$60*A40)+(1-Parameters!B$61)*(O40/Parameters!B$62)^-Parameters!B$63</f>
        <v>0.71536770441850106</v>
      </c>
      <c r="Q40" s="9">
        <f>1-P40/Parameters!$B$12</f>
        <v>0.64231614779074953</v>
      </c>
      <c r="R40" s="23">
        <f t="shared" si="0"/>
        <v>2.7957650137781025</v>
      </c>
      <c r="S40" s="7">
        <f>(Parameters!$B$19*(E40+Parameters!$B$20)^Q40+Parameters!$B$18*F40^Q40)^(1/Q40)</f>
        <v>0.53902562840882506</v>
      </c>
      <c r="T40" s="7">
        <f>(Parameters!$B$10*G40^Parameters!$B$9 + Parameters!$B$11*S40^Parameters!$B$9) ^ (Parameters!$B$7/Parameters!$B$9) * N40</f>
        <v>1.4770648673709508</v>
      </c>
      <c r="U40" s="7">
        <f t="shared" si="1"/>
        <v>1.1245646058840775</v>
      </c>
      <c r="V40" s="7">
        <f>EXP(-Parameters!$B$55*A40)</f>
        <v>0.58065413034674362</v>
      </c>
      <c r="W40" s="7">
        <f>IF(U40&gt;0,U40^(1-Parameters!$B$52)/(1-Parameters!$B$52)*V40,-10+U40*1000)</f>
        <v>-1.5922268073207451</v>
      </c>
      <c r="X40" s="7"/>
      <c r="Y40" s="9">
        <f t="shared" si="22"/>
        <v>5.4661095275265879E-2</v>
      </c>
      <c r="Z40" s="9">
        <f t="shared" si="23"/>
        <v>4.289084324901422E-3</v>
      </c>
      <c r="AA40" s="7">
        <f t="shared" si="24"/>
        <v>0.29355008188670573</v>
      </c>
      <c r="AB40" s="13">
        <f t="shared" si="5"/>
        <v>0.23864914078844307</v>
      </c>
    </row>
    <row r="41" spans="1:28" x14ac:dyDescent="0.25">
      <c r="A41">
        <f>A40+Parameters!$B$65</f>
        <v>37</v>
      </c>
      <c r="B41" s="46">
        <f t="shared" si="19"/>
        <v>5.4661095275265872E-2</v>
      </c>
      <c r="C41" s="46">
        <f t="shared" si="20"/>
        <v>4.289084324901422E-3</v>
      </c>
      <c r="D41" s="46">
        <f t="shared" si="21"/>
        <v>0.29355008188670573</v>
      </c>
      <c r="E41" s="7">
        <f>MAX((1-Parameters!$B$4)^Parameters!B$65*E40+B40*Parameters!B$65-Parameters!$B$5*B40^2/E40*Parameters!B$65,0.0001)</f>
        <v>0.80518179560934355</v>
      </c>
      <c r="F41" s="9">
        <f>(1-Parameters!$B$4)^Parameters!B$65*F40+C40*Parameters!B$65-Parameters!$B$5*C40^2/F40*Parameters!B$65</f>
        <v>8.2967596597181614E-2</v>
      </c>
      <c r="G41" s="7">
        <f>(1-Parameters!$B$4)^Parameters!B$65*G40+D40*Parameters!B$65-Parameters!$B$5*D40^2/G40*Parameters!B$65</f>
        <v>4.3635568147272172</v>
      </c>
      <c r="H41" s="7">
        <f>H40 *(1-Parameters!$B$4)-B40*(B40&lt;0)*Parameters!B$65</f>
        <v>0</v>
      </c>
      <c r="I41" s="7">
        <f>I40*(1+Parameters!$B$51)^Parameters!B$65</f>
        <v>9.0828578485371718</v>
      </c>
      <c r="J41" s="7">
        <f>J40*(1+Parameters!$B$53)^Parameters!B$65</f>
        <v>18.835584572725189</v>
      </c>
      <c r="K41" s="23">
        <f>EXP(-Parameters!$B$42*A41)*(Parameters!$B$37/Parameters!$B$38*(E41+H41)/Parameters!$B$25*(EXP(-Parameters!$B$38*Parameters!$E$25*H41/(E41+H41))-EXP(-Parameters!$B$38*Parameters!$E$25))  +  Parameters!$B$39*E41*Parameters!$B$28*Parameters!$B$29*EXP((Parameters!$B$53+Parameters!$B$51)*A41))</f>
        <v>79.427615251613318</v>
      </c>
      <c r="L41" s="8">
        <f>L40+K41*Parameters!B$65</f>
        <v>4717.2743708565431</v>
      </c>
      <c r="M41" s="7">
        <f>M40+Parameters!$B$45*K41</f>
        <v>2.8303646225139265</v>
      </c>
      <c r="N41" s="7">
        <f>'6states'!O41</f>
        <v>0.96450708310191891</v>
      </c>
      <c r="O41" s="7">
        <f>MAX(O40+(Parameters!B$31-K41)*Parameters!B$65,30)</f>
        <v>30</v>
      </c>
      <c r="P41" s="7">
        <f>Parameters!B$61*EXP(-Parameters!B$60*A41)+(1-Parameters!B$61)*(O41/Parameters!B$62)^-Parameters!B$63</f>
        <v>0.71032864188129408</v>
      </c>
      <c r="Q41" s="9">
        <f>1-P41/Parameters!$B$12</f>
        <v>0.64483567905935302</v>
      </c>
      <c r="R41" s="23">
        <f t="shared" si="0"/>
        <v>2.8155981359600428</v>
      </c>
      <c r="S41" s="7">
        <f>(Parameters!$B$19*(E41+Parameters!$B$20)^Q41+Parameters!$B$18*F41^Q41)^(1/Q41)</f>
        <v>0.53892912193726894</v>
      </c>
      <c r="T41" s="7">
        <f>(Parameters!$B$10*G41^Parameters!$B$9 + Parameters!$B$11*S41^Parameters!$B$9) ^ (Parameters!$B$7/Parameters!$B$9) * N41</f>
        <v>1.4764921647463949</v>
      </c>
      <c r="U41" s="7">
        <f t="shared" si="1"/>
        <v>1.1239919032595216</v>
      </c>
      <c r="V41" s="7">
        <f>EXP(-Parameters!$B$55*A41)</f>
        <v>0.571952118512703</v>
      </c>
      <c r="W41" s="7">
        <f>IF(U41&gt;0,U41^(1-Parameters!$B$52)/(1-Parameters!$B$52)*V41,-10+U41*1000)</f>
        <v>-1.5686444405158402</v>
      </c>
      <c r="X41" s="7"/>
      <c r="Y41" s="9">
        <f t="shared" si="22"/>
        <v>5.4661095275265879E-2</v>
      </c>
      <c r="Z41" s="9">
        <f t="shared" si="23"/>
        <v>4.289084324901422E-3</v>
      </c>
      <c r="AA41" s="7">
        <f t="shared" si="24"/>
        <v>0.29355008188670573</v>
      </c>
      <c r="AB41" s="13">
        <f t="shared" si="5"/>
        <v>0.23874170815354048</v>
      </c>
    </row>
    <row r="42" spans="1:28" x14ac:dyDescent="0.25">
      <c r="A42">
        <f>A41+Parameters!$B$65</f>
        <v>38</v>
      </c>
      <c r="B42" s="46">
        <f t="shared" si="19"/>
        <v>5.4661095275265872E-2</v>
      </c>
      <c r="C42" s="46">
        <f t="shared" si="20"/>
        <v>4.289084324901422E-3</v>
      </c>
      <c r="D42" s="46">
        <f t="shared" si="21"/>
        <v>0.29355008188670573</v>
      </c>
      <c r="E42" s="7">
        <f>MAX((1-Parameters!$B$4)^Parameters!B$65*E41+B41*Parameters!B$65-Parameters!$B$5*B41^2/E41*Parameters!B$65,0.0001)</f>
        <v>0.80548619726120863</v>
      </c>
      <c r="F42" s="9">
        <f>(1-Parameters!$B$4)^Parameters!B$65*F41+C41*Parameters!B$65-Parameters!$B$5*C41^2/F41*Parameters!B$65</f>
        <v>8.18162910347974E-2</v>
      </c>
      <c r="G42" s="7">
        <f>(1-Parameters!$B$4)^Parameters!B$65*G41+D41*Parameters!B$65-Parameters!$B$5*D41^2/G41*Parameters!B$65</f>
        <v>4.3628911430382225</v>
      </c>
      <c r="H42" s="7">
        <f>H41 *(1-Parameters!$B$4)-B41*(B41&lt;0)*Parameters!B$65</f>
        <v>0</v>
      </c>
      <c r="I42" s="7">
        <f>I41*(1+Parameters!$B$51)^Parameters!B$65</f>
        <v>9.1091981362979286</v>
      </c>
      <c r="J42" s="7">
        <f>J41*(1+Parameters!$B$53)^Parameters!B$65</f>
        <v>19.212296264179692</v>
      </c>
      <c r="K42" s="23">
        <f>EXP(-Parameters!$B$42*A42)*(Parameters!$B$37/Parameters!$B$38*(E42+H42)/Parameters!$B$25*(EXP(-Parameters!$B$38*Parameters!$E$25*H42/(E42+H42))-EXP(-Parameters!$B$38*Parameters!$E$25))  +  Parameters!$B$39*E42*Parameters!$B$28*Parameters!$B$29*EXP((Parameters!$B$53+Parameters!$B$51)*A42))</f>
        <v>80.353848495146508</v>
      </c>
      <c r="L42" s="8">
        <f>L41+K42*Parameters!B$65</f>
        <v>4797.6282193516899</v>
      </c>
      <c r="M42" s="7">
        <f>M41+Parameters!$B$45*K42</f>
        <v>2.8785769316110144</v>
      </c>
      <c r="N42" s="7">
        <f>'6states'!O42</f>
        <v>0.96418177117087811</v>
      </c>
      <c r="O42" s="7">
        <f>MAX(O41+(Parameters!B$31-K42)*Parameters!B$65,30)</f>
        <v>30</v>
      </c>
      <c r="P42" s="7">
        <f>Parameters!B$61*EXP(-Parameters!B$60*A42)+(1-Parameters!B$61)*(O42/Parameters!B$62)^-Parameters!B$63</f>
        <v>0.70542381371395957</v>
      </c>
      <c r="Q42" s="9">
        <f>1-P42/Parameters!$B$12</f>
        <v>0.64728809314302027</v>
      </c>
      <c r="R42" s="23">
        <f t="shared" si="0"/>
        <v>2.8351750552200312</v>
      </c>
      <c r="S42" s="7">
        <f>(Parameters!$B$19*(E42+Parameters!$B$20)^Q42+Parameters!$B$18*F42^Q42)^(1/Q42)</f>
        <v>0.53885580468243333</v>
      </c>
      <c r="T42" s="7">
        <f>(Parameters!$B$10*G42^Parameters!$B$9 + Parameters!$B$11*S42^Parameters!$B$9) ^ (Parameters!$B$7/Parameters!$B$9) * N42</f>
        <v>1.4759280342804926</v>
      </c>
      <c r="U42" s="7">
        <f t="shared" si="1"/>
        <v>1.1234277727936193</v>
      </c>
      <c r="V42" s="7">
        <f>EXP(-Parameters!$B$55*A42)</f>
        <v>0.56338051995913718</v>
      </c>
      <c r="W42" s="7">
        <f>IF(U42&gt;0,U42^(1-Parameters!$B$52)/(1-Parameters!$B$52)*V42,-10+U42*1000)</f>
        <v>-1.5454073637972832</v>
      </c>
      <c r="X42" s="7"/>
      <c r="Y42" s="9">
        <f t="shared" si="22"/>
        <v>5.4661095275265879E-2</v>
      </c>
      <c r="Z42" s="9">
        <f t="shared" si="23"/>
        <v>4.289084324901422E-3</v>
      </c>
      <c r="AA42" s="7">
        <f t="shared" si="24"/>
        <v>0.29355008188670573</v>
      </c>
      <c r="AB42" s="13">
        <f t="shared" si="5"/>
        <v>0.23883296021185418</v>
      </c>
    </row>
    <row r="43" spans="1:28" x14ac:dyDescent="0.25">
      <c r="A43">
        <f>A42+Parameters!$B$65</f>
        <v>39</v>
      </c>
      <c r="B43" s="46">
        <f t="shared" si="19"/>
        <v>5.4661095275265872E-2</v>
      </c>
      <c r="C43" s="46">
        <f t="shared" si="20"/>
        <v>4.289084324901422E-3</v>
      </c>
      <c r="D43" s="46">
        <f t="shared" si="21"/>
        <v>0.29355008188670573</v>
      </c>
      <c r="E43" s="7">
        <f>MAX((1-Parameters!$B$4)^Parameters!B$65*E42+B42*Parameters!B$65-Parameters!$B$5*B42^2/E42*Parameters!B$65,0.0001)</f>
        <v>0.80577285438365642</v>
      </c>
      <c r="F43" s="9">
        <f>(1-Parameters!$B$4)^Parameters!B$65*F42+C42*Parameters!B$65-Parameters!$B$5*C42^2/F42*Parameters!B$65</f>
        <v>8.0734282471011679E-2</v>
      </c>
      <c r="G43" s="7">
        <f>(1-Parameters!$B$4)^Parameters!B$65*G42+D42*Parameters!B$65-Parameters!$B$5*D42^2/G42*Parameters!B$65</f>
        <v>4.362264329026627</v>
      </c>
      <c r="H43" s="7">
        <f>H42 *(1-Parameters!$B$4)-B42*(B42&lt;0)*Parameters!B$65</f>
        <v>0</v>
      </c>
      <c r="I43" s="7">
        <f>I42*(1+Parameters!$B$51)^Parameters!B$65</f>
        <v>9.1356148108931912</v>
      </c>
      <c r="J43" s="7">
        <f>J42*(1+Parameters!$B$53)^Parameters!B$65</f>
        <v>19.596542189463285</v>
      </c>
      <c r="K43" s="23">
        <f>EXP(-Parameters!$B$42*A43)*(Parameters!$B$37/Parameters!$B$38*(E43+H43)/Parameters!$B$25*(EXP(-Parameters!$B$38*Parameters!$E$25*H43/(E43+H43))-EXP(-Parameters!$B$38*Parameters!$E$25))  +  Parameters!$B$39*E43*Parameters!$B$28*Parameters!$B$29*EXP((Parameters!$B$53+Parameters!$B$51)*A43))</f>
        <v>81.291957395324772</v>
      </c>
      <c r="L43" s="8">
        <f>L42+K43*Parameters!B$65</f>
        <v>4878.9201767470149</v>
      </c>
      <c r="M43" s="7">
        <f>M42+Parameters!$B$45*K43</f>
        <v>2.9273521060482093</v>
      </c>
      <c r="N43" s="7">
        <f>'6states'!O43</f>
        <v>0.96387871356497834</v>
      </c>
      <c r="O43" s="7">
        <f>MAX(O42+(Parameters!B$31-K43)*Parameters!B$65,30)</f>
        <v>30</v>
      </c>
      <c r="P43" s="7">
        <f>Parameters!B$61*EXP(-Parameters!B$60*A43)+(1-Parameters!B$61)*(O43/Parameters!B$62)^-Parameters!B$63</f>
        <v>0.70064964407953934</v>
      </c>
      <c r="Q43" s="9">
        <f>1-P43/Parameters!$B$12</f>
        <v>0.64967517796023033</v>
      </c>
      <c r="R43" s="23">
        <f t="shared" si="0"/>
        <v>2.8544937072328769</v>
      </c>
      <c r="S43" s="7">
        <f>(Parameters!$B$19*(E43+Parameters!$B$20)^Q43+Parameters!$B$18*F43^Q43)^(1/Q43)</f>
        <v>0.5388037884299659</v>
      </c>
      <c r="T43" s="7">
        <f>(Parameters!$B$10*G43^Parameters!$B$9 + Parameters!$B$11*S43^Parameters!$B$9) ^ (Parameters!$B$7/Parameters!$B$9) * N43</f>
        <v>1.4754045792343</v>
      </c>
      <c r="U43" s="7">
        <f t="shared" si="1"/>
        <v>1.1229043177474267</v>
      </c>
      <c r="V43" s="7">
        <f>EXP(-Parameters!$B$55*A43)</f>
        <v>0.5549373802387243</v>
      </c>
      <c r="W43" s="7">
        <f>IF(U43&gt;0,U43^(1-Parameters!$B$52)/(1-Parameters!$B$52)*V43,-10+U43*1000)</f>
        <v>-1.52249534036428</v>
      </c>
      <c r="X43" s="7"/>
      <c r="Y43" s="9">
        <f t="shared" si="22"/>
        <v>5.4704963835089028E-2</v>
      </c>
      <c r="Z43" s="9">
        <f t="shared" si="23"/>
        <v>4.130394685783011E-3</v>
      </c>
      <c r="AA43" s="7">
        <f t="shared" si="24"/>
        <v>0.29342262167175059</v>
      </c>
      <c r="AB43" s="13">
        <f t="shared" si="5"/>
        <v>0.23891769515166633</v>
      </c>
    </row>
    <row r="44" spans="1:28" x14ac:dyDescent="0.25">
      <c r="A44">
        <f>A43+Parameters!$B$65</f>
        <v>40</v>
      </c>
      <c r="B44" s="19">
        <v>5.4792700954735339E-2</v>
      </c>
      <c r="C44" s="45">
        <v>3.8130154075461885E-3</v>
      </c>
      <c r="D44" s="18">
        <v>0.29316770124184033</v>
      </c>
      <c r="E44" s="7">
        <f>MAX((1-Parameters!$B$4)^Parameters!B$65*E43+B43*Parameters!B$65-Parameters!$B$5*B43^2/E43*Parameters!B$65,0.0001)</f>
        <v>0.80604280039240961</v>
      </c>
      <c r="F44" s="9">
        <f>(1-Parameters!$B$4)^Parameters!B$65*F43+C43*Parameters!B$65-Parameters!$B$5*C43^2/F43*Parameters!B$65</f>
        <v>7.9717318809071944E-2</v>
      </c>
      <c r="G44" s="7">
        <f>(1-Parameters!$B$4)^Parameters!B$65*G43+D43*Parameters!B$65-Parameters!$B$5*D43^2/G43*Parameters!B$65</f>
        <v>4.3616741035878599</v>
      </c>
      <c r="H44" s="7">
        <f>H43 *(1-Parameters!$B$4)-B43*(B43&lt;0)*Parameters!B$65</f>
        <v>0</v>
      </c>
      <c r="I44" s="7">
        <f>I43*(1+Parameters!$B$51)^Parameters!B$65</f>
        <v>9.1621080938447808</v>
      </c>
      <c r="J44" s="7">
        <f>J43*(1+Parameters!$B$53)^Parameters!B$65</f>
        <v>19.98847303325255</v>
      </c>
      <c r="K44" s="23">
        <f>EXP(-Parameters!$B$42*A44)*(Parameters!$B$37/Parameters!$B$38*(E44+H44)/Parameters!$B$25*(EXP(-Parameters!$B$38*Parameters!$E$25*H44/(E44+H44))-EXP(-Parameters!$B$38*Parameters!$E$25))  +  Parameters!$B$39*E44*Parameters!$B$28*Parameters!$B$29*EXP((Parameters!$B$53+Parameters!$B$51)*A44))</f>
        <v>82.242156439145262</v>
      </c>
      <c r="L44" s="8">
        <f>L43+K44*Parameters!B$65</f>
        <v>4961.1623331861601</v>
      </c>
      <c r="M44" s="7">
        <f>M43+Parameters!$B$45*K44</f>
        <v>2.9766973999116964</v>
      </c>
      <c r="N44" s="7">
        <f>'6states'!O44</f>
        <v>0.96357691047061278</v>
      </c>
      <c r="O44" s="7">
        <f>MAX(O43+(Parameters!B$31-K44)*Parameters!B$65,30)</f>
        <v>30</v>
      </c>
      <c r="P44" s="7">
        <f>Parameters!B$61*EXP(-Parameters!B$60*A44)+(1-Parameters!B$61)*(O44/Parameters!B$62)^-Parameters!B$63</f>
        <v>0.69600265239693226</v>
      </c>
      <c r="Q44" s="9">
        <f>1-P44/Parameters!$B$12</f>
        <v>0.65199867380153387</v>
      </c>
      <c r="R44" s="23">
        <f t="shared" si="0"/>
        <v>2.8735522675269842</v>
      </c>
      <c r="S44" s="7">
        <f>(Parameters!$B$19*(E44+Parameters!$B$20)^Q44+Parameters!$B$18*F44^Q44)^(1/Q44)</f>
        <v>0.53877130578946364</v>
      </c>
      <c r="T44" s="7">
        <f>(Parameters!$B$10*G44^Parameters!$B$9 + Parameters!$B$11*S44^Parameters!$B$9) ^ (Parameters!$B$7/Parameters!$B$9) * N44</f>
        <v>1.4748891793720031</v>
      </c>
      <c r="U44" s="7">
        <f t="shared" si="1"/>
        <v>1.1231157617678813</v>
      </c>
      <c r="V44" s="7">
        <f>EXP(-Parameters!$B$55*A44)</f>
        <v>0.54662077419459754</v>
      </c>
      <c r="W44" s="7">
        <f>IF(U44&gt;0,U44^(1-Parameters!$B$52)/(1-Parameters!$B$52)*V44,-10+U44*1000)</f>
        <v>-1.499579538174467</v>
      </c>
      <c r="X44" s="7"/>
      <c r="Y44" s="9">
        <f t="shared" si="22"/>
        <v>5.4748832394912184E-2</v>
      </c>
      <c r="Z44" s="9">
        <f t="shared" si="23"/>
        <v>3.9717050466646E-3</v>
      </c>
      <c r="AA44" s="7">
        <f t="shared" si="24"/>
        <v>0.29329516145679546</v>
      </c>
      <c r="AB44" s="13">
        <f t="shared" si="5"/>
        <v>0.23850837237405481</v>
      </c>
    </row>
    <row r="45" spans="1:28" x14ac:dyDescent="0.25">
      <c r="A45">
        <f>A44+Parameters!$B$65</f>
        <v>41</v>
      </c>
      <c r="B45" s="46">
        <f>B44</f>
        <v>5.4792700954735339E-2</v>
      </c>
      <c r="C45" s="46">
        <f t="shared" ref="C45:C53" si="25">C44</f>
        <v>3.8130154075461885E-3</v>
      </c>
      <c r="D45" s="46">
        <f t="shared" ref="D45:D53" si="26">D44</f>
        <v>0.29316770124184033</v>
      </c>
      <c r="E45" s="7">
        <f>MAX((1-Parameters!$B$4)^Parameters!B$65*E44+B44*Parameters!B$65-Parameters!$B$5*B44^2/E44*Parameters!B$65,0.0001)</f>
        <v>0.80641074337025909</v>
      </c>
      <c r="F45" s="9">
        <f>(1-Parameters!$B$4)^Parameters!B$65*F44+C44*Parameters!B$65-Parameters!$B$5*C44^2/F44*Parameters!B$65</f>
        <v>7.8333731829133113E-2</v>
      </c>
      <c r="G45" s="7">
        <f>(1-Parameters!$B$4)^Parameters!B$65*G44+D44*Parameters!B$65-Parameters!$B$5*D44^2/G44*Parameters!B$65</f>
        <v>4.3607873861352653</v>
      </c>
      <c r="H45" s="7">
        <f>H44 *(1-Parameters!$B$4)-B44*(B44&lt;0)*Parameters!B$65</f>
        <v>0</v>
      </c>
      <c r="I45" s="7">
        <f>I44*(1+Parameters!$B$51)^Parameters!B$65</f>
        <v>9.1886782073169293</v>
      </c>
      <c r="J45" s="7">
        <f>J44*(1+Parameters!$B$53)^Parameters!B$65</f>
        <v>20.388242493917602</v>
      </c>
      <c r="K45" s="23">
        <f>EXP(-Parameters!$B$42*A45)*(Parameters!$B$37/Parameters!$B$38*(E45+H45)/Parameters!$B$25*(EXP(-Parameters!$B$38*Parameters!$E$25*H45/(E45+H45))-EXP(-Parameters!$B$38*Parameters!$E$25))  +  Parameters!$B$39*E45*Parameters!$B$28*Parameters!$B$29*EXP((Parameters!$B$53+Parameters!$B$51)*A45))</f>
        <v>83.216396036332938</v>
      </c>
      <c r="L45" s="8">
        <f>L44+K45*Parameters!B$65</f>
        <v>5044.3787292224933</v>
      </c>
      <c r="M45" s="7">
        <f>M44+Parameters!$B$45*K45</f>
        <v>3.0266272375334959</v>
      </c>
      <c r="N45" s="7">
        <f>'6states'!O45</f>
        <v>0.96327695162364113</v>
      </c>
      <c r="O45" s="7">
        <f>MAX(O44+(Parameters!B$31-K45)*Parameters!B$65,30)</f>
        <v>30</v>
      </c>
      <c r="P45" s="7">
        <f>Parameters!B$61*EXP(-Parameters!B$60*A45)+(1-Parameters!B$61)*(O45/Parameters!B$62)^-Parameters!B$63</f>
        <v>0.69147945080339657</v>
      </c>
      <c r="Q45" s="9">
        <f>1-P45/Parameters!$B$12</f>
        <v>0.65426027459830172</v>
      </c>
      <c r="R45" s="23">
        <f t="shared" si="0"/>
        <v>2.8923491474349623</v>
      </c>
      <c r="S45" s="7">
        <f>(Parameters!$B$19*(E45+Parameters!$B$20)^Q45+Parameters!$B$18*F45^Q45)^(1/Q45)</f>
        <v>0.53857243347678374</v>
      </c>
      <c r="T45" s="7">
        <f>(Parameters!$B$10*G45^Parameters!$B$9 + Parameters!$B$11*S45^Parameters!$B$9) ^ (Parameters!$B$7/Parameters!$B$9) * N45</f>
        <v>1.4743258831531008</v>
      </c>
      <c r="U45" s="7">
        <f t="shared" si="1"/>
        <v>1.1225524655489789</v>
      </c>
      <c r="V45" s="7">
        <f>EXP(-Parameters!$B$55*A45)</f>
        <v>0.53842880552138184</v>
      </c>
      <c r="W45" s="7">
        <f>IF(U45&gt;0,U45^(1-Parameters!$B$52)/(1-Parameters!$B$52)*V45,-10+U45*1000)</f>
        <v>-1.4773653710037467</v>
      </c>
      <c r="X45" s="7"/>
      <c r="Y45" s="9">
        <f t="shared" si="22"/>
        <v>5.4792700954735339E-2</v>
      </c>
      <c r="Z45" s="9">
        <f t="shared" si="23"/>
        <v>3.8130154075461885E-3</v>
      </c>
      <c r="AA45" s="7">
        <f t="shared" si="24"/>
        <v>0.29316770124184033</v>
      </c>
      <c r="AB45" s="13">
        <f t="shared" si="5"/>
        <v>0.23859949935342217</v>
      </c>
    </row>
    <row r="46" spans="1:28" x14ac:dyDescent="0.25">
      <c r="A46">
        <f>A45+Parameters!$B$65</f>
        <v>42</v>
      </c>
      <c r="B46" s="46">
        <f t="shared" ref="B46:B53" si="27">B45</f>
        <v>5.4792700954735339E-2</v>
      </c>
      <c r="C46" s="46">
        <f t="shared" si="25"/>
        <v>3.8130154075461885E-3</v>
      </c>
      <c r="D46" s="46">
        <f t="shared" si="26"/>
        <v>0.29316770124184033</v>
      </c>
      <c r="E46" s="7">
        <f>MAX((1-Parameters!$B$4)^Parameters!B$65*E45+B45*Parameters!B$65-Parameters!$B$5*B45^2/E45*Parameters!B$65,0.0001)</f>
        <v>0.80675724219707845</v>
      </c>
      <c r="F46" s="9">
        <f>(1-Parameters!$B$4)^Parameters!B$65*F45+C45*Parameters!B$65-Parameters!$B$5*C45^2/F45*Parameters!B$65</f>
        <v>7.7033951089278685E-2</v>
      </c>
      <c r="G46" s="7">
        <f>(1-Parameters!$B$4)^Parameters!B$65*G45+D45*Parameters!B$65-Parameters!$B$5*D45^2/G45*Parameters!B$65</f>
        <v>4.3599524363946704</v>
      </c>
      <c r="H46" s="7">
        <f>H45 *(1-Parameters!$B$4)-B45*(B45&lt;0)*Parameters!B$65</f>
        <v>0</v>
      </c>
      <c r="I46" s="7">
        <f>I45*(1+Parameters!$B$51)^Parameters!B$65</f>
        <v>9.215325374118148</v>
      </c>
      <c r="J46" s="7">
        <f>J45*(1+Parameters!$B$53)^Parameters!B$65</f>
        <v>20.796007343795953</v>
      </c>
      <c r="K46" s="23">
        <f>EXP(-Parameters!$B$42*A46)*(Parameters!$B$37/Parameters!$B$38*(E46+H46)/Parameters!$B$25*(EXP(-Parameters!$B$38*Parameters!$E$25*H46/(E46+H46))-EXP(-Parameters!$B$38*Parameters!$E$25))  +  Parameters!$B$39*E46*Parameters!$B$28*Parameters!$B$29*EXP((Parameters!$B$53+Parameters!$B$51)*A46))</f>
        <v>84.202729370392646</v>
      </c>
      <c r="L46" s="8">
        <f>L45+K46*Parameters!B$65</f>
        <v>5128.5814585928856</v>
      </c>
      <c r="M46" s="7">
        <f>M45+Parameters!$B$45*K46</f>
        <v>3.0771488751557317</v>
      </c>
      <c r="N46" s="7">
        <f>'6states'!O46</f>
        <v>0.96297903647866567</v>
      </c>
      <c r="O46" s="7">
        <f>MAX(O45+(Parameters!B$31-K46)*Parameters!B$65,30)</f>
        <v>30</v>
      </c>
      <c r="P46" s="7">
        <f>Parameters!B$61*EXP(-Parameters!B$60*A46)+(1-Parameters!B$61)*(O46/Parameters!B$62)^-Parameters!B$63</f>
        <v>0.68707674168464772</v>
      </c>
      <c r="Q46" s="9">
        <f>1-P46/Parameters!$B$12</f>
        <v>0.65646162915767614</v>
      </c>
      <c r="R46" s="23">
        <f t="shared" si="0"/>
        <v>2.9108829897169675</v>
      </c>
      <c r="S46" s="7">
        <f>(Parameters!$B$19*(E46+Parameters!$B$20)^Q46+Parameters!$B$18*F46^Q46)^(1/Q46)</f>
        <v>0.53840138893227751</v>
      </c>
      <c r="T46" s="7">
        <f>(Parameters!$B$10*G46^Parameters!$B$9 + Parameters!$B$11*S46^Parameters!$B$9) ^ (Parameters!$B$7/Parameters!$B$9) * N46</f>
        <v>1.4737744208573755</v>
      </c>
      <c r="U46" s="7">
        <f t="shared" si="1"/>
        <v>1.1220010032532537</v>
      </c>
      <c r="V46" s="7">
        <f>EXP(-Parameters!$B$55*A46)</f>
        <v>0.53035960633280899</v>
      </c>
      <c r="W46" s="7">
        <f>IF(U46&gt;0,U46^(1-Parameters!$B$52)/(1-Parameters!$B$52)*V46,-10+U46*1000)</f>
        <v>-1.4554750308967142</v>
      </c>
      <c r="X46" s="7"/>
      <c r="Y46" s="9">
        <f t="shared" si="22"/>
        <v>5.4792700954735339E-2</v>
      </c>
      <c r="Z46" s="9">
        <f t="shared" si="23"/>
        <v>3.8130154075461885E-3</v>
      </c>
      <c r="AA46" s="7">
        <f t="shared" si="24"/>
        <v>0.29316770124184033</v>
      </c>
      <c r="AB46" s="13">
        <f t="shared" si="5"/>
        <v>0.23868877938556968</v>
      </c>
    </row>
    <row r="47" spans="1:28" x14ac:dyDescent="0.25">
      <c r="A47">
        <f>A46+Parameters!$B$65</f>
        <v>43</v>
      </c>
      <c r="B47" s="46">
        <f t="shared" si="27"/>
        <v>5.4792700954735339E-2</v>
      </c>
      <c r="C47" s="46">
        <f t="shared" si="25"/>
        <v>3.8130154075461885E-3</v>
      </c>
      <c r="D47" s="46">
        <f t="shared" si="26"/>
        <v>0.29316770124184033</v>
      </c>
      <c r="E47" s="7">
        <f>MAX((1-Parameters!$B$4)^Parameters!B$65*E46+B46*Parameters!B$65-Parameters!$B$5*B46^2/E46*Parameters!B$65,0.0001)</f>
        <v>0.80708354524601655</v>
      </c>
      <c r="F47" s="9">
        <f>(1-Parameters!$B$4)^Parameters!B$65*F46+C46*Parameters!B$65-Parameters!$B$5*C46^2/F46*Parameters!B$65</f>
        <v>7.5812794886264537E-2</v>
      </c>
      <c r="G47" s="7">
        <f>(1-Parameters!$B$4)^Parameters!B$65*G46+D46*Parameters!B$65-Parameters!$B$5*D46^2/G46*Parameters!B$65</f>
        <v>4.3591662306102306</v>
      </c>
      <c r="H47" s="7">
        <f>H46 *(1-Parameters!$B$4)-B46*(B46&lt;0)*Parameters!B$65</f>
        <v>0</v>
      </c>
      <c r="I47" s="7">
        <f>I46*(1+Parameters!$B$51)^Parameters!B$65</f>
        <v>9.242049817703089</v>
      </c>
      <c r="J47" s="7">
        <f>J46*(1+Parameters!$B$53)^Parameters!B$65</f>
        <v>21.211927490671872</v>
      </c>
      <c r="K47" s="23">
        <f>EXP(-Parameters!$B$42*A47)*(Parameters!$B$37/Parameters!$B$38*(E47+H47)/Parameters!$B$25*(EXP(-Parameters!$B$38*Parameters!$E$25*H47/(E47+H47))-EXP(-Parameters!$B$38*Parameters!$E$25))  +  Parameters!$B$39*E47*Parameters!$B$28*Parameters!$B$29*EXP((Parameters!$B$53+Parameters!$B$51)*A47))</f>
        <v>85.201391800365926</v>
      </c>
      <c r="L47" s="8">
        <f>L46+K47*Parameters!B$65</f>
        <v>5213.7828503932515</v>
      </c>
      <c r="M47" s="7">
        <f>M46+Parameters!$B$45*K47</f>
        <v>3.1282697102359514</v>
      </c>
      <c r="N47" s="7">
        <f>'6states'!O47</f>
        <v>0.96268334287534463</v>
      </c>
      <c r="O47" s="7">
        <f>MAX(O46+(Parameters!B$31-K47)*Parameters!B$65,30)</f>
        <v>30</v>
      </c>
      <c r="P47" s="7">
        <f>Parameters!B$61*EXP(-Parameters!B$60*A47)+(1-Parameters!B$61)*(O47/Parameters!B$62)^-Parameters!B$63</f>
        <v>0.68279131527075188</v>
      </c>
      <c r="Q47" s="9">
        <f>1-P47/Parameters!$B$12</f>
        <v>0.65860434236462406</v>
      </c>
      <c r="R47" s="23">
        <f t="shared" si="0"/>
        <v>2.929152663880803</v>
      </c>
      <c r="S47" s="7">
        <f>(Parameters!$B$19*(E47+Parameters!$B$20)^Q47+Parameters!$B$18*F47^Q47)^(1/Q47)</f>
        <v>0.53825609981198752</v>
      </c>
      <c r="T47" s="7">
        <f>(Parameters!$B$10*G47^Parameters!$B$9 + Parameters!$B$11*S47^Parameters!$B$9) ^ (Parameters!$B$7/Parameters!$B$9) * N47</f>
        <v>1.4732344875914616</v>
      </c>
      <c r="U47" s="7">
        <f t="shared" si="1"/>
        <v>1.1214610699873397</v>
      </c>
      <c r="V47" s="7">
        <f>EXP(-Parameters!$B$55*A47)</f>
        <v>0.52241133673581286</v>
      </c>
      <c r="W47" s="7">
        <f>IF(U47&gt;0,U47^(1-Parameters!$B$52)/(1-Parameters!$B$52)*V47,-10+U47*1000)</f>
        <v>-1.4339040050113849</v>
      </c>
      <c r="X47" s="7"/>
      <c r="Y47" s="9">
        <f t="shared" si="22"/>
        <v>5.4792700954735339E-2</v>
      </c>
      <c r="Z47" s="9">
        <f t="shared" si="23"/>
        <v>3.8130154075461885E-3</v>
      </c>
      <c r="AA47" s="7">
        <f t="shared" si="24"/>
        <v>0.29316770124184033</v>
      </c>
      <c r="AB47" s="13">
        <f t="shared" si="5"/>
        <v>0.23877625766094007</v>
      </c>
    </row>
    <row r="48" spans="1:28" x14ac:dyDescent="0.25">
      <c r="A48">
        <f>A47+Parameters!$B$65</f>
        <v>44</v>
      </c>
      <c r="B48" s="46">
        <f t="shared" si="27"/>
        <v>5.4792700954735339E-2</v>
      </c>
      <c r="C48" s="46">
        <f t="shared" si="25"/>
        <v>3.8130154075461885E-3</v>
      </c>
      <c r="D48" s="46">
        <f t="shared" si="26"/>
        <v>0.29316770124184033</v>
      </c>
      <c r="E48" s="7">
        <f>MAX((1-Parameters!$B$4)^Parameters!B$65*E47+B47*Parameters!B$65-Parameters!$B$5*B47^2/E47*Parameters!B$65,0.0001)</f>
        <v>0.80739082837818499</v>
      </c>
      <c r="F48" s="9">
        <f>(1-Parameters!$B$4)^Parameters!B$65*F47+C47*Parameters!B$65-Parameters!$B$5*C47^2/F47*Parameters!B$65</f>
        <v>7.4665409337891342E-2</v>
      </c>
      <c r="G48" s="7">
        <f>(1-Parameters!$B$4)^Parameters!B$65*G47+D47*Parameters!B$65-Parameters!$B$5*D47^2/G47*Parameters!B$65</f>
        <v>4.358425921811973</v>
      </c>
      <c r="H48" s="7">
        <f>H47 *(1-Parameters!$B$4)-B47*(B47&lt;0)*Parameters!B$65</f>
        <v>0</v>
      </c>
      <c r="I48" s="7">
        <f>I47*(1+Parameters!$B$51)^Parameters!B$65</f>
        <v>9.2688517621744264</v>
      </c>
      <c r="J48" s="7">
        <f>J47*(1+Parameters!$B$53)^Parameters!B$65</f>
        <v>21.63616604048531</v>
      </c>
      <c r="K48" s="23">
        <f>EXP(-Parameters!$B$42*A48)*(Parameters!$B$37/Parameters!$B$38*(E48+H48)/Parameters!$B$25*(EXP(-Parameters!$B$38*Parameters!$E$25*H48/(E48+H48))-EXP(-Parameters!$B$38*Parameters!$E$25))  +  Parameters!$B$39*E48*Parameters!$B$28*Parameters!$B$29*EXP((Parameters!$B$53+Parameters!$B$51)*A48))</f>
        <v>86.212617324511072</v>
      </c>
      <c r="L48" s="8">
        <f>L47+K48*Parameters!B$65</f>
        <v>5299.9954677177629</v>
      </c>
      <c r="M48" s="7">
        <f>M47+Parameters!$B$45*K48</f>
        <v>3.179997280630658</v>
      </c>
      <c r="N48" s="7">
        <f>'6states'!O48</f>
        <v>0.96240780195993514</v>
      </c>
      <c r="O48" s="7">
        <f>MAX(O47+(Parameters!B$31-K48)*Parameters!B$65,30)</f>
        <v>30</v>
      </c>
      <c r="P48" s="7">
        <f>Parameters!B$61*EXP(-Parameters!B$60*A48)+(1-Parameters!B$61)*(O48/Parameters!B$62)^-Parameters!B$63</f>
        <v>0.67862004729606107</v>
      </c>
      <c r="Q48" s="9">
        <f>1-P48/Parameters!$B$12</f>
        <v>0.66068997635196947</v>
      </c>
      <c r="R48" s="23">
        <f t="shared" si="0"/>
        <v>2.9471572612228791</v>
      </c>
      <c r="S48" s="7">
        <f>(Parameters!$B$19*(E48+Parameters!$B$20)^Q48+Parameters!$B$18*F48^Q48)^(1/Q48)</f>
        <v>0.53813461731677281</v>
      </c>
      <c r="T48" s="7">
        <f>(Parameters!$B$10*G48^Parameters!$B$9 + Parameters!$B$11*S48^Parameters!$B$9) ^ (Parameters!$B$7/Parameters!$B$9) * N48</f>
        <v>1.4727329780040845</v>
      </c>
      <c r="U48" s="7">
        <f t="shared" si="1"/>
        <v>1.1209595603999627</v>
      </c>
      <c r="V48" s="7">
        <f>EXP(-Parameters!$B$55*A48)</f>
        <v>0.51458218441100756</v>
      </c>
      <c r="W48" s="7">
        <f>IF(U48&gt;0,U48^(1-Parameters!$B$52)/(1-Parameters!$B$52)*V48,-10+U48*1000)</f>
        <v>-1.4126358415124927</v>
      </c>
      <c r="X48" s="7"/>
      <c r="Y48" s="9">
        <f t="shared" si="22"/>
        <v>5.4792700954735339E-2</v>
      </c>
      <c r="Z48" s="9">
        <f t="shared" si="23"/>
        <v>3.8130154075461885E-3</v>
      </c>
      <c r="AA48" s="7">
        <f t="shared" si="24"/>
        <v>0.29316770124184033</v>
      </c>
      <c r="AB48" s="13">
        <f t="shared" si="5"/>
        <v>0.23885756811181166</v>
      </c>
    </row>
    <row r="49" spans="1:28" x14ac:dyDescent="0.25">
      <c r="A49">
        <f>A48+Parameters!$B$65</f>
        <v>45</v>
      </c>
      <c r="B49" s="46">
        <f t="shared" si="27"/>
        <v>5.4792700954735339E-2</v>
      </c>
      <c r="C49" s="46">
        <f t="shared" si="25"/>
        <v>3.8130154075461885E-3</v>
      </c>
      <c r="D49" s="46">
        <f t="shared" si="26"/>
        <v>0.29316770124184033</v>
      </c>
      <c r="E49" s="7">
        <f>MAX((1-Parameters!$B$4)^Parameters!B$65*E48+B48*Parameters!B$65-Parameters!$B$5*B48^2/E48*Parameters!B$65,0.0001)</f>
        <v>0.80768019913590183</v>
      </c>
      <c r="F49" s="9">
        <f>(1-Parameters!$B$4)^Parameters!B$65*F48+C48*Parameters!B$65-Parameters!$B$5*C48^2/F48*Parameters!B$65</f>
        <v>7.3587247310638843E-2</v>
      </c>
      <c r="G49" s="7">
        <f>(1-Parameters!$B$4)^Parameters!B$65*G48+D48*Parameters!B$65-Parameters!$B$5*D48^2/G48*Parameters!B$65</f>
        <v>4.3577288294609753</v>
      </c>
      <c r="H49" s="7">
        <f>H48 *(1-Parameters!$B$4)-B48*(B48&lt;0)*Parameters!B$65</f>
        <v>0</v>
      </c>
      <c r="I49" s="7">
        <f>I48*(1+Parameters!$B$51)^Parameters!B$65</f>
        <v>9.2957314322847306</v>
      </c>
      <c r="J49" s="7">
        <f>J48*(1+Parameters!$B$53)^Parameters!B$65</f>
        <v>22.068889361295017</v>
      </c>
      <c r="K49" s="23">
        <f>EXP(-Parameters!$B$42*A49)*(Parameters!$B$37/Parameters!$B$38*(E49+H49)/Parameters!$B$25*(EXP(-Parameters!$B$38*Parameters!$E$25*H49/(E49+H49))-EXP(-Parameters!$B$38*Parameters!$E$25))  +  Parameters!$B$39*E49*Parameters!$B$28*Parameters!$B$29*EXP((Parameters!$B$53+Parameters!$B$51)*A49))</f>
        <v>87.236638792150018</v>
      </c>
      <c r="L49" s="8">
        <f>L48+K49*Parameters!B$65</f>
        <v>5387.2321065099131</v>
      </c>
      <c r="M49" s="7">
        <f>M48+Parameters!$B$45*K49</f>
        <v>3.2323392639059478</v>
      </c>
      <c r="N49" s="7">
        <f>'6states'!O49</f>
        <v>0.96213454924981567</v>
      </c>
      <c r="O49" s="7">
        <f>MAX(O48+(Parameters!B$31-K49)*Parameters!B$65,30)</f>
        <v>30</v>
      </c>
      <c r="P49" s="7">
        <f>Parameters!B$61*EXP(-Parameters!B$60*A49)+(1-Parameters!B$61)*(O49/Parameters!B$62)^-Parameters!B$63</f>
        <v>0.67455989672148531</v>
      </c>
      <c r="Q49" s="9">
        <f>1-P49/Parameters!$B$12</f>
        <v>0.66272005163925729</v>
      </c>
      <c r="R49" s="23">
        <f t="shared" si="0"/>
        <v>2.9648960896140655</v>
      </c>
      <c r="S49" s="7">
        <f>(Parameters!$B$19*(E49+Parameters!$B$20)^Q49+Parameters!$B$18*F49^Q49)^(1/Q49)</f>
        <v>0.53803511075086274</v>
      </c>
      <c r="T49" s="7">
        <f>(Parameters!$B$10*G49^Parameters!$B$9 + Parameters!$B$11*S49^Parameters!$B$9) ^ (Parameters!$B$7/Parameters!$B$9) * N49</f>
        <v>1.4722420386078741</v>
      </c>
      <c r="U49" s="7">
        <f t="shared" si="1"/>
        <v>1.1204686210037522</v>
      </c>
      <c r="V49" s="7">
        <f>EXP(-Parameters!$B$55*A49)</f>
        <v>0.50687036419945219</v>
      </c>
      <c r="W49" s="7">
        <f>IF(U49&gt;0,U49^(1-Parameters!$B$52)/(1-Parameters!$B$52)*V49,-10+U49*1000)</f>
        <v>-1.391678637238138</v>
      </c>
      <c r="X49" s="7"/>
      <c r="Y49" s="9">
        <f t="shared" si="22"/>
        <v>5.4792700954735339E-2</v>
      </c>
      <c r="Z49" s="9">
        <f t="shared" si="23"/>
        <v>3.8130154075461885E-3</v>
      </c>
      <c r="AA49" s="7">
        <f t="shared" si="24"/>
        <v>0.29316770124184033</v>
      </c>
      <c r="AB49" s="13">
        <f t="shared" si="5"/>
        <v>0.23893721845950855</v>
      </c>
    </row>
    <row r="50" spans="1:28" x14ac:dyDescent="0.25">
      <c r="A50">
        <f>A49+Parameters!$B$65</f>
        <v>46</v>
      </c>
      <c r="B50" s="46">
        <f t="shared" si="27"/>
        <v>5.4792700954735339E-2</v>
      </c>
      <c r="C50" s="46">
        <f t="shared" si="25"/>
        <v>3.8130154075461885E-3</v>
      </c>
      <c r="D50" s="46">
        <f t="shared" si="26"/>
        <v>0.29316770124184033</v>
      </c>
      <c r="E50" s="7">
        <f>MAX((1-Parameters!$B$4)^Parameters!B$65*E49+B49*Parameters!B$65-Parameters!$B$5*B49^2/E49*Parameters!B$65,0.0001)</f>
        <v>0.80795270069560499</v>
      </c>
      <c r="F50" s="9">
        <f>(1-Parameters!$B$4)^Parameters!B$65*F49+C49*Parameters!B$65-Parameters!$B$5*C49^2/F49*Parameters!B$65</f>
        <v>7.2574048692159596E-2</v>
      </c>
      <c r="G50" s="7">
        <f>(1-Parameters!$B$4)^Parameters!B$65*G49+D49*Parameters!B$65-Parameters!$B$5*D49^2/G49*Parameters!B$65</f>
        <v>4.3570724297031767</v>
      </c>
      <c r="H50" s="7">
        <f>H49 *(1-Parameters!$B$4)-B49*(B49&lt;0)*Parameters!B$65</f>
        <v>0</v>
      </c>
      <c r="I50" s="7">
        <f>I49*(1+Parameters!$B$51)^Parameters!B$65</f>
        <v>9.3226890534383546</v>
      </c>
      <c r="J50" s="7">
        <f>J49*(1+Parameters!$B$53)^Parameters!B$65</f>
        <v>22.510267148520917</v>
      </c>
      <c r="K50" s="23">
        <f>EXP(-Parameters!$B$42*A50)*(Parameters!$B$37/Parameters!$B$38*(E50+H50)/Parameters!$B$25*(EXP(-Parameters!$B$38*Parameters!$E$25*H50/(E50+H50))-EXP(-Parameters!$B$38*Parameters!$E$25))  +  Parameters!$B$39*E50*Parameters!$B$28*Parameters!$B$29*EXP((Parameters!$B$53+Parameters!$B$51)*A50))</f>
        <v>88.273688106331619</v>
      </c>
      <c r="L50" s="8">
        <f>L49+K50*Parameters!B$65</f>
        <v>5475.5057946162451</v>
      </c>
      <c r="M50" s="7">
        <f>M49+Parameters!$B$45*K50</f>
        <v>3.2853034767697467</v>
      </c>
      <c r="N50" s="7">
        <f>'6states'!O50</f>
        <v>0.96186396790416606</v>
      </c>
      <c r="O50" s="7">
        <f>MAX(O49+(Parameters!B$31-K50)*Parameters!B$65,30)</f>
        <v>30</v>
      </c>
      <c r="P50" s="7">
        <f>Parameters!B$61*EXP(-Parameters!B$60*A50)+(1-Parameters!B$61)*(O50/Parameters!B$62)^-Parameters!B$63</f>
        <v>0.67060790351744048</v>
      </c>
      <c r="Q50" s="9">
        <f>1-P50/Parameters!$B$12</f>
        <v>0.66469604824127981</v>
      </c>
      <c r="R50" s="23">
        <f t="shared" si="0"/>
        <v>2.9823686680543071</v>
      </c>
      <c r="S50" s="7">
        <f>(Parameters!$B$19*(E50+Parameters!$B$20)^Q50+Parameters!$B$18*F50^Q50)^(1/Q50)</f>
        <v>0.53795586211377655</v>
      </c>
      <c r="T50" s="7">
        <f>(Parameters!$B$10*G50^Parameters!$B$9 + Parameters!$B$11*S50^Parameters!$B$9) ^ (Parameters!$B$7/Parameters!$B$9) * N50</f>
        <v>1.4717617723901264</v>
      </c>
      <c r="U50" s="7">
        <f t="shared" si="1"/>
        <v>1.1199883547860046</v>
      </c>
      <c r="V50" s="7">
        <f>EXP(-Parameters!$B$55*A50)</f>
        <v>0.49927411769560981</v>
      </c>
      <c r="W50" s="7">
        <f>IF(U50&gt;0,U50^(1-Parameters!$B$52)/(1-Parameters!$B$52)*V50,-10+U50*1000)</f>
        <v>-1.3710278634031434</v>
      </c>
      <c r="X50" s="7"/>
      <c r="Y50" s="9">
        <f t="shared" si="22"/>
        <v>5.4792700954735339E-2</v>
      </c>
      <c r="Z50" s="9">
        <f t="shared" si="23"/>
        <v>3.8130154075461885E-3</v>
      </c>
      <c r="AA50" s="7">
        <f t="shared" si="24"/>
        <v>0.29316770124184033</v>
      </c>
      <c r="AB50" s="13">
        <f t="shared" si="5"/>
        <v>0.23901518860137624</v>
      </c>
    </row>
    <row r="51" spans="1:28" x14ac:dyDescent="0.25">
      <c r="A51">
        <f>A50+Parameters!$B$65</f>
        <v>47</v>
      </c>
      <c r="B51" s="46">
        <f t="shared" si="27"/>
        <v>5.4792700954735339E-2</v>
      </c>
      <c r="C51" s="46">
        <f t="shared" si="25"/>
        <v>3.8130154075461885E-3</v>
      </c>
      <c r="D51" s="46">
        <f t="shared" si="26"/>
        <v>0.29316770124184033</v>
      </c>
      <c r="E51" s="7">
        <f>MAX((1-Parameters!$B$4)^Parameters!B$65*E50+B50*Parameters!B$65-Parameters!$B$5*B50^2/E50*Parameters!B$65,0.0001)</f>
        <v>0.80820931559395781</v>
      </c>
      <c r="F51" s="9">
        <f>(1-Parameters!$B$4)^Parameters!B$65*F50+C50*Parameters!B$65-Parameters!$B$5*C50^2/F50*Parameters!B$65</f>
        <v>7.1621821926766069E-2</v>
      </c>
      <c r="G51" s="7">
        <f>(1-Parameters!$B$4)^Parameters!B$65*G50+D50*Parameters!B$65-Parameters!$B$5*D50^2/G50*Parameters!B$65</f>
        <v>4.3564543461958136</v>
      </c>
      <c r="H51" s="7">
        <f>H50 *(1-Parameters!$B$4)-B50*(B50&lt;0)*Parameters!B$65</f>
        <v>0</v>
      </c>
      <c r="I51" s="7">
        <f>I50*(1+Parameters!$B$51)^Parameters!B$65</f>
        <v>9.3497248516933258</v>
      </c>
      <c r="J51" s="7">
        <f>J50*(1+Parameters!$B$53)^Parameters!B$65</f>
        <v>22.960472491491338</v>
      </c>
      <c r="K51" s="23">
        <f>EXP(-Parameters!$B$42*A51)*(Parameters!$B$37/Parameters!$B$38*(E51+H51)/Parameters!$B$25*(EXP(-Parameters!$B$38*Parameters!$E$25*H51/(E51+H51))-EXP(-Parameters!$B$38*Parameters!$E$25))  +  Parameters!$B$39*E51*Parameters!$B$28*Parameters!$B$29*EXP((Parameters!$B$53+Parameters!$B$51)*A51))</f>
        <v>89.323996417817398</v>
      </c>
      <c r="L51" s="8">
        <f>L50+K51*Parameters!B$65</f>
        <v>5564.8297910340625</v>
      </c>
      <c r="M51" s="7">
        <f>M50+Parameters!$B$45*K51</f>
        <v>3.3388978746204372</v>
      </c>
      <c r="N51" s="7">
        <f>'6states'!O51</f>
        <v>0.96159632289361319</v>
      </c>
      <c r="O51" s="7">
        <f>MAX(O50+(Parameters!B$31-K51)*Parameters!B$65,30)</f>
        <v>30</v>
      </c>
      <c r="P51" s="7">
        <f>Parameters!B$61*EXP(-Parameters!B$60*A51)+(1-Parameters!B$61)*(O51/Parameters!B$62)^-Parameters!B$63</f>
        <v>0.6667611865058557</v>
      </c>
      <c r="Q51" s="9">
        <f>1-P51/Parameters!$B$12</f>
        <v>0.6666194067470721</v>
      </c>
      <c r="R51" s="23">
        <f t="shared" si="0"/>
        <v>2.9995747210196</v>
      </c>
      <c r="S51" s="7">
        <f>(Parameters!$B$19*(E51+Parameters!$B$20)^Q51+Parameters!$B$18*F51^Q51)^(1/Q51)</f>
        <v>0.53789526075400984</v>
      </c>
      <c r="T51" s="7">
        <f>(Parameters!$B$10*G51^Parameters!$B$9 + Parameters!$B$11*S51^Parameters!$B$9) ^ (Parameters!$B$7/Parameters!$B$9) * N51</f>
        <v>1.471292129908873</v>
      </c>
      <c r="U51" s="7">
        <f t="shared" si="1"/>
        <v>1.1195187123047512</v>
      </c>
      <c r="V51" s="7">
        <f>EXP(-Parameters!$B$55*A51)</f>
        <v>0.49179171284640477</v>
      </c>
      <c r="W51" s="7">
        <f>IF(U51&gt;0,U51^(1-Parameters!$B$52)/(1-Parameters!$B$52)*V51,-10+U51*1000)</f>
        <v>-1.3506791221027026</v>
      </c>
      <c r="X51" s="7"/>
      <c r="Y51" s="9">
        <f t="shared" si="22"/>
        <v>5.4792700954735339E-2</v>
      </c>
      <c r="Z51" s="9">
        <f t="shared" si="23"/>
        <v>3.8130154075461885E-3</v>
      </c>
      <c r="AA51" s="7">
        <f t="shared" si="24"/>
        <v>0.29316770124184033</v>
      </c>
      <c r="AB51" s="13">
        <f t="shared" si="5"/>
        <v>0.23909148322971693</v>
      </c>
    </row>
    <row r="52" spans="1:28" x14ac:dyDescent="0.25">
      <c r="A52">
        <f>A51+Parameters!$B$65</f>
        <v>48</v>
      </c>
      <c r="B52" s="46">
        <f t="shared" si="27"/>
        <v>5.4792700954735339E-2</v>
      </c>
      <c r="C52" s="46">
        <f t="shared" si="25"/>
        <v>3.8130154075461885E-3</v>
      </c>
      <c r="D52" s="46">
        <f t="shared" si="26"/>
        <v>0.29316770124184033</v>
      </c>
      <c r="E52" s="7">
        <f>MAX((1-Parameters!$B$4)^Parameters!B$65*E51+B51*Parameters!B$65-Parameters!$B$5*B51^2/E51*Parameters!B$65,0.0001)</f>
        <v>0.80845096923993687</v>
      </c>
      <c r="F52" s="9">
        <f>(1-Parameters!$B$4)^Parameters!B$65*F51+C51*Parameters!B$65-Parameters!$B$5*C51^2/F51*Parameters!B$65</f>
        <v>7.0726826736644821E-2</v>
      </c>
      <c r="G52" s="7">
        <f>(1-Parameters!$B$4)^Parameters!B$65*G51+D51*Parameters!B$65-Parameters!$B$5*D51^2/G51*Parameters!B$65</f>
        <v>4.3558723414726126</v>
      </c>
      <c r="H52" s="7">
        <f>H51 *(1-Parameters!$B$4)-B51*(B51&lt;0)*Parameters!B$65</f>
        <v>0</v>
      </c>
      <c r="I52" s="7">
        <f>I51*(1+Parameters!$B$51)^Parameters!B$65</f>
        <v>9.376839053763236</v>
      </c>
      <c r="J52" s="7">
        <f>J51*(1+Parameters!$B$53)^Parameters!B$65</f>
        <v>23.419681941321166</v>
      </c>
      <c r="K52" s="23">
        <f>EXP(-Parameters!$B$42*A52)*(Parameters!$B$37/Parameters!$B$38*(E52+H52)/Parameters!$B$25*(EXP(-Parameters!$B$38*Parameters!$E$25*H52/(E52+H52))-EXP(-Parameters!$B$38*Parameters!$E$25))  +  Parameters!$B$39*E52*Parameters!$B$28*Parameters!$B$29*EXP((Parameters!$B$53+Parameters!$B$51)*A52))</f>
        <v>90.387794310869822</v>
      </c>
      <c r="L52" s="8">
        <f>L51+K52*Parameters!B$65</f>
        <v>5655.2175853449326</v>
      </c>
      <c r="M52" s="7">
        <f>M51+Parameters!$B$45*K52</f>
        <v>3.3931305512069589</v>
      </c>
      <c r="N52" s="7">
        <f>'6states'!O52</f>
        <v>0.96133182091853731</v>
      </c>
      <c r="O52" s="7">
        <f>MAX(O51+(Parameters!B$31-K52)*Parameters!B$65,30)</f>
        <v>30</v>
      </c>
      <c r="P52" s="7">
        <f>Parameters!B$61*EXP(-Parameters!B$60*A52)+(1-Parameters!B$61)*(O52/Parameters!B$62)^-Parameters!B$63</f>
        <v>0.6630169412596667</v>
      </c>
      <c r="Q52" s="9">
        <f>1-P52/Parameters!$B$12</f>
        <v>0.66849152937016665</v>
      </c>
      <c r="R52" s="23">
        <f t="shared" si="0"/>
        <v>3.0165141726246052</v>
      </c>
      <c r="S52" s="7">
        <f>(Parameters!$B$19*(E52+Parameters!$B$20)^Q52+Parameters!$B$18*F52^Q52)^(1/Q52)</f>
        <v>0.53785179810909145</v>
      </c>
      <c r="T52" s="7">
        <f>(Parameters!$B$10*G52^Parameters!$B$9 + Parameters!$B$11*S52^Parameters!$B$9) ^ (Parameters!$B$7/Parameters!$B$9) * N52</f>
        <v>1.4708329997188605</v>
      </c>
      <c r="U52" s="7">
        <f t="shared" si="1"/>
        <v>1.1190595821147387</v>
      </c>
      <c r="V52" s="7">
        <f>EXP(-Parameters!$B$55*A52)</f>
        <v>0.48442144355629069</v>
      </c>
      <c r="W52" s="7">
        <f>IF(U52&gt;0,U52^(1-Parameters!$B$52)/(1-Parameters!$B$52)*V52,-10+U52*1000)</f>
        <v>-1.3306281030391971</v>
      </c>
      <c r="X52" s="7"/>
      <c r="Y52" s="9">
        <f t="shared" si="22"/>
        <v>5.4792700954735339E-2</v>
      </c>
      <c r="Z52" s="9">
        <f t="shared" si="23"/>
        <v>3.8130154075461885E-3</v>
      </c>
      <c r="AA52" s="7">
        <f t="shared" si="24"/>
        <v>0.29316770124184033</v>
      </c>
      <c r="AB52" s="13">
        <f t="shared" si="5"/>
        <v>0.23916611720797731</v>
      </c>
    </row>
    <row r="53" spans="1:28" x14ac:dyDescent="0.25">
      <c r="A53">
        <f>A52+Parameters!$B$65</f>
        <v>49</v>
      </c>
      <c r="B53" s="46">
        <f t="shared" si="27"/>
        <v>5.4792700954735339E-2</v>
      </c>
      <c r="C53" s="46">
        <f t="shared" si="25"/>
        <v>3.8130154075461885E-3</v>
      </c>
      <c r="D53" s="46">
        <f t="shared" si="26"/>
        <v>0.29316770124184033</v>
      </c>
      <c r="E53" s="7">
        <f>MAX((1-Parameters!$B$4)^Parameters!B$65*E52+B52*Parameters!B$65-Parameters!$B$5*B52^2/E52*Parameters!B$65,0.0001)</f>
        <v>0.80867853322499783</v>
      </c>
      <c r="F53" s="9">
        <f>(1-Parameters!$B$4)^Parameters!B$65*F52+C52*Parameters!B$65-Parameters!$B$5*C52^2/F52*Parameters!B$65</f>
        <v>6.9885557955862876E-2</v>
      </c>
      <c r="G53" s="7">
        <f>(1-Parameters!$B$4)^Parameters!B$65*G52+D52*Parameters!B$65-Parameters!$B$5*D52^2/G52*Parameters!B$65</f>
        <v>4.3553243088159341</v>
      </c>
      <c r="H53" s="7">
        <f>H52 *(1-Parameters!$B$4)-B52*(B52&lt;0)*Parameters!B$65</f>
        <v>0</v>
      </c>
      <c r="I53" s="7">
        <f>I52*(1+Parameters!$B$51)^Parameters!B$65</f>
        <v>9.4040318870191477</v>
      </c>
      <c r="J53" s="7">
        <f>J52*(1+Parameters!$B$53)^Parameters!B$65</f>
        <v>23.888075580147589</v>
      </c>
      <c r="K53" s="23">
        <f>EXP(-Parameters!$B$42*A53)*(Parameters!$B$37/Parameters!$B$38*(E53+H53)/Parameters!$B$25*(EXP(-Parameters!$B$38*Parameters!$E$25*H53/(E53+H53))-EXP(-Parameters!$B$38*Parameters!$E$25))  +  Parameters!$B$39*E53*Parameters!$B$28*Parameters!$B$29*EXP((Parameters!$B$53+Parameters!$B$51)*A53))</f>
        <v>91.465311981298584</v>
      </c>
      <c r="L53" s="8">
        <f>L52+K53*Parameters!B$65</f>
        <v>5746.6828973262309</v>
      </c>
      <c r="M53" s="7">
        <f>M52+Parameters!$B$45*K53</f>
        <v>3.4480097383957382</v>
      </c>
      <c r="N53" s="7">
        <f>'6states'!O53</f>
        <v>0.96107049633650554</v>
      </c>
      <c r="O53" s="7">
        <f>MAX(O52+(Parameters!B$31-K53)*Parameters!B$65,30)</f>
        <v>30</v>
      </c>
      <c r="P53" s="7">
        <f>Parameters!B$61*EXP(-Parameters!B$60*A53)+(1-Parameters!B$61)*(O53/Parameters!B$62)^-Parameters!B$63</f>
        <v>0.65937243805826462</v>
      </c>
      <c r="Q53" s="9">
        <f>1-P53/Parameters!$B$12</f>
        <v>0.67031378097086769</v>
      </c>
      <c r="R53" s="23">
        <f t="shared" si="0"/>
        <v>3.0331871406236615</v>
      </c>
      <c r="S53" s="7">
        <f>(Parameters!$B$19*(E53+Parameters!$B$20)^Q53+Parameters!$B$18*F53^Q53)^(1/Q53)</f>
        <v>0.53782406255306292</v>
      </c>
      <c r="T53" s="7">
        <f>(Parameters!$B$10*G53^Parameters!$B$9 + Parameters!$B$11*S53^Parameters!$B$9) ^ (Parameters!$B$7/Parameters!$B$9) * N53</f>
        <v>1.4703840325840296</v>
      </c>
      <c r="U53" s="7">
        <f t="shared" si="1"/>
        <v>1.1186106149799078</v>
      </c>
      <c r="V53" s="7">
        <f>EXP(-Parameters!$B$55*A53)</f>
        <v>0.47716162929823552</v>
      </c>
      <c r="W53" s="7">
        <f>IF(U53&gt;0,U53^(1-Parameters!$B$52)/(1-Parameters!$B$52)*V53,-10+U53*1000)</f>
        <v>-1.3108706529061376</v>
      </c>
      <c r="X53" s="7"/>
      <c r="Y53" s="9">
        <f t="shared" si="22"/>
        <v>5.4831919575855141E-2</v>
      </c>
      <c r="Z53" s="9">
        <f t="shared" si="23"/>
        <v>3.6965684531816024E-3</v>
      </c>
      <c r="AA53" s="7">
        <f t="shared" si="24"/>
        <v>0.29307888790017828</v>
      </c>
      <c r="AB53" s="13">
        <f t="shared" si="5"/>
        <v>0.23923914420229442</v>
      </c>
    </row>
    <row r="54" spans="1:28" s="4" customFormat="1" x14ac:dyDescent="0.25">
      <c r="A54">
        <f>A53+Parameters!$B$65</f>
        <v>50</v>
      </c>
      <c r="B54" s="19">
        <v>5.4910356818094738E-2</v>
      </c>
      <c r="C54" s="45">
        <v>3.4636745444524297E-3</v>
      </c>
      <c r="D54" s="18">
        <v>0.29290126121685417</v>
      </c>
      <c r="E54" s="7">
        <f>MAX((1-Parameters!$B$4)^Parameters!B$65*E53+B53*Parameters!B$65-Parameters!$B$5*B53^2/E53*Parameters!B$65,0.0001)</f>
        <v>0.80889282844275534</v>
      </c>
      <c r="F54" s="9">
        <f>(1-Parameters!$B$4)^Parameters!B$65*F53+C53*Parameters!B$65-Parameters!$B$5*C53^2/F53*Parameters!B$65</f>
        <v>6.9094730408318872E-2</v>
      </c>
      <c r="G54" s="7">
        <f>(1-Parameters!$B$4)^Parameters!B$65*G53+D53*Parameters!B$65-Parameters!$B$5*D53^2/G53*Parameters!B$65</f>
        <v>4.3548082646059143</v>
      </c>
      <c r="H54" s="7">
        <f>H53 *(1-Parameters!$B$4)-B53*(B53&lt;0)*Parameters!B$65</f>
        <v>0</v>
      </c>
      <c r="I54" s="7">
        <f>I53*(1+Parameters!$B$51)^Parameters!B$65</f>
        <v>9.4313035794915017</v>
      </c>
      <c r="J54" s="7">
        <f>J53*(1+Parameters!$B$53)^Parameters!B$65</f>
        <v>24.365837091750542</v>
      </c>
      <c r="K54" s="23">
        <f>EXP(-Parameters!$B$42*A54)*(Parameters!$B$37/Parameters!$B$38*(E54+H54)/Parameters!$B$25*(EXP(-Parameters!$B$38*Parameters!$E$25*H54/(E54+H54))-EXP(-Parameters!$B$38*Parameters!$E$25))  +  Parameters!$B$39*E54*Parameters!$B$28*Parameters!$B$29*EXP((Parameters!$B$53+Parameters!$B$51)*A54))</f>
        <v>92.556779407196984</v>
      </c>
      <c r="L54" s="8">
        <f>L53+K54*Parameters!B$65</f>
        <v>5839.2396767334276</v>
      </c>
      <c r="M54" s="7">
        <f>M53+Parameters!$B$45*K54</f>
        <v>3.5035438060400566</v>
      </c>
      <c r="N54" s="7">
        <f>'6states'!O54</f>
        <v>0.96081233671879518</v>
      </c>
      <c r="O54" s="7">
        <f>MAX(O53+(Parameters!B$31-K54)*Parameters!B$65,30)</f>
        <v>30</v>
      </c>
      <c r="P54" s="7">
        <f>Parameters!B$61*EXP(-Parameters!B$60*A54)+(1-Parameters!B$61)*(O54/Parameters!B$62)^-Parameters!B$63</f>
        <v>0.65582501989740838</v>
      </c>
      <c r="Q54" s="9">
        <f>1-P54/Parameters!$B$12</f>
        <v>0.67208749005129587</v>
      </c>
      <c r="R54" s="23">
        <f t="shared" si="0"/>
        <v>3.0495939302725339</v>
      </c>
      <c r="S54" s="7">
        <f>(Parameters!$B$19*(E54+Parameters!$B$20)^Q54+Parameters!$B$18*F54^Q54)^(1/Q54)</f>
        <v>0.53781073436911753</v>
      </c>
      <c r="T54" s="7">
        <f>(Parameters!$B$10*G54^Parameters!$B$9 + Parameters!$B$11*S54^Parameters!$B$9) ^ (Parameters!$B$7/Parameters!$B$9) * N54</f>
        <v>1.469944832343808</v>
      </c>
      <c r="U54" s="7">
        <f t="shared" si="1"/>
        <v>1.1186695397644066</v>
      </c>
      <c r="V54" s="16">
        <f>EXP(-Parameters!$B$55*A54)</f>
        <v>0.4700106147305379</v>
      </c>
      <c r="W54" s="7">
        <f>IF(U54&gt;0,U54^(1-Parameters!$B$52)/(1-Parameters!$B$52)*V54,-10+U54*1000)</f>
        <v>-1.291201397176265</v>
      </c>
      <c r="X54" s="7"/>
      <c r="Y54" s="9">
        <f t="shared" si="22"/>
        <v>5.4871138196974943E-2</v>
      </c>
      <c r="Z54" s="9">
        <f t="shared" si="23"/>
        <v>3.5801214988170158E-3</v>
      </c>
      <c r="AA54" s="7">
        <f t="shared" si="24"/>
        <v>0.29299007455851628</v>
      </c>
      <c r="AB54" s="13">
        <f t="shared" si="5"/>
        <v>0.2389717524427753</v>
      </c>
    </row>
    <row r="55" spans="1:28" x14ac:dyDescent="0.25">
      <c r="A55">
        <f>A54+Parameters!$B$65</f>
        <v>51</v>
      </c>
      <c r="B55" s="46">
        <f>B54</f>
        <v>5.4910356818094738E-2</v>
      </c>
      <c r="C55" s="46">
        <f t="shared" ref="C55:C63" si="28">C54</f>
        <v>3.4636745444524297E-3</v>
      </c>
      <c r="D55" s="46">
        <f t="shared" ref="D55:D63" si="29">D54</f>
        <v>0.29290126121685417</v>
      </c>
      <c r="E55" s="7">
        <f>MAX((1-Parameters!$B$4)^Parameters!B$65*E54+B54*Parameters!B$65-Parameters!$B$5*B54^2/E54*Parameters!B$65,0.0001)</f>
        <v>0.80919632725690205</v>
      </c>
      <c r="F55" s="9">
        <f>(1-Parameters!$B$4)^Parameters!B$65*F54+C54*Parameters!B$65-Parameters!$B$5*C54^2/F54*Parameters!B$65</f>
        <v>6.80387146254499E-2</v>
      </c>
      <c r="G55" s="7">
        <f>(1-Parameters!$B$4)^Parameters!B$65*G54+D54*Parameters!B$65-Parameters!$B$5*D54^2/G54*Parameters!B$65</f>
        <v>4.3540917585226913</v>
      </c>
      <c r="H55" s="7">
        <f>H54 *(1-Parameters!$B$4)-B54*(B54&lt;0)*Parameters!B$65</f>
        <v>0</v>
      </c>
      <c r="I55" s="7">
        <f>I54*(1+Parameters!$B$51)^Parameters!B$65</f>
        <v>9.4586543598720265</v>
      </c>
      <c r="J55" s="7">
        <f>J54*(1+Parameters!$B$53)^Parameters!B$65</f>
        <v>24.853153833585555</v>
      </c>
      <c r="K55" s="23">
        <f>EXP(-Parameters!$B$42*A55)*(Parameters!$B$37/Parameters!$B$38*(E55+H55)/Parameters!$B$25*(EXP(-Parameters!$B$38*Parameters!$E$25*H55/(E55+H55))-EXP(-Parameters!$B$38*Parameters!$E$25))  +  Parameters!$B$39*E55*Parameters!$B$28*Parameters!$B$29*EXP((Parameters!$B$53+Parameters!$B$51)*A55))</f>
        <v>93.674199420583562</v>
      </c>
      <c r="L55" s="8">
        <f>L54+K55*Parameters!B$65</f>
        <v>5932.9138761540107</v>
      </c>
      <c r="M55" s="7">
        <f>M54+Parameters!$B$45*K55</f>
        <v>3.5597483256924067</v>
      </c>
      <c r="N55" s="7">
        <f>'6states'!O55</f>
        <v>0.96055715044410017</v>
      </c>
      <c r="O55" s="7">
        <f>MAX(O54+(Parameters!B$31-K55)*Parameters!B$65,30)</f>
        <v>30</v>
      </c>
      <c r="P55" s="7">
        <f>Parameters!B$61*EXP(-Parameters!B$60*A55)+(1-Parameters!B$61)*(O55/Parameters!B$62)^-Parameters!B$63</f>
        <v>0.65237210055215145</v>
      </c>
      <c r="Q55" s="9">
        <f>1-P55/Parameters!$B$12</f>
        <v>0.67381394972392428</v>
      </c>
      <c r="R55" s="23">
        <f t="shared" si="0"/>
        <v>3.0657350280725524</v>
      </c>
      <c r="S55" s="7">
        <f>(Parameters!$B$19*(E55+Parameters!$B$20)^Q55+Parameters!$B$18*F55^Q55)^(1/Q55)</f>
        <v>0.53768605294516436</v>
      </c>
      <c r="T55" s="7">
        <f>(Parameters!$B$10*G55^Parameters!$B$9 + Parameters!$B$11*S55^Parameters!$B$9) ^ (Parameters!$B$7/Parameters!$B$9) * N55</f>
        <v>1.4694761212469956</v>
      </c>
      <c r="U55" s="7">
        <f t="shared" si="1"/>
        <v>1.1182008286675942</v>
      </c>
      <c r="V55" s="7">
        <f>EXP(-Parameters!$B$55*A55)</f>
        <v>0.46296676931938507</v>
      </c>
      <c r="W55" s="7">
        <f>IF(U55&gt;0,U55^(1-Parameters!$B$52)/(1-Parameters!$B$52)*V55,-10+U55*1000)</f>
        <v>-1.272037286481156</v>
      </c>
      <c r="X55" s="7"/>
      <c r="Y55" s="9">
        <f t="shared" si="22"/>
        <v>5.4910356818094731E-2</v>
      </c>
      <c r="Z55" s="9">
        <f t="shared" si="23"/>
        <v>3.4636745444524297E-3</v>
      </c>
      <c r="AA55" s="7">
        <f t="shared" si="24"/>
        <v>0.29290126121685417</v>
      </c>
      <c r="AB55" s="13">
        <f t="shared" si="5"/>
        <v>0.23904797601019168</v>
      </c>
    </row>
    <row r="56" spans="1:28" x14ac:dyDescent="0.25">
      <c r="A56">
        <f>A55+Parameters!$B$65</f>
        <v>52</v>
      </c>
      <c r="B56" s="46">
        <f t="shared" ref="B56:B63" si="30">B55</f>
        <v>5.4910356818094738E-2</v>
      </c>
      <c r="C56" s="46">
        <f t="shared" si="28"/>
        <v>3.4636745444524297E-3</v>
      </c>
      <c r="D56" s="46">
        <f t="shared" si="29"/>
        <v>0.29290126121685417</v>
      </c>
      <c r="E56" s="7">
        <f>MAX((1-Parameters!$B$4)^Parameters!B$65*E55+B55*Parameters!B$65-Parameters!$B$5*B55^2/E55*Parameters!B$65,0.0001)</f>
        <v>0.80948213403900238</v>
      </c>
      <c r="F56" s="9">
        <f>(1-Parameters!$B$4)^Parameters!B$65*F55+C55*Parameters!B$65-Parameters!$B$5*C55^2/F55*Parameters!B$65</f>
        <v>6.7046427329842076E-2</v>
      </c>
      <c r="G56" s="7">
        <f>(1-Parameters!$B$4)^Parameters!B$65*G55+D55*Parameters!B$65-Parameters!$B$5*D55^2/G55*Parameters!B$65</f>
        <v>4.353417078800951</v>
      </c>
      <c r="H56" s="7">
        <f>H55 *(1-Parameters!$B$4)-B55*(B55&lt;0)*Parameters!B$65</f>
        <v>0</v>
      </c>
      <c r="I56" s="7">
        <f>I55*(1+Parameters!$B$51)^Parameters!B$65</f>
        <v>9.4860844575156538</v>
      </c>
      <c r="J56" s="7">
        <f>J55*(1+Parameters!$B$53)^Parameters!B$65</f>
        <v>25.350216910257267</v>
      </c>
      <c r="K56" s="23">
        <f>EXP(-Parameters!$B$42*A56)*(Parameters!$B$37/Parameters!$B$38*(E56+H56)/Parameters!$B$25*(EXP(-Parameters!$B$38*Parameters!$E$25*H56/(E56+H56))-EXP(-Parameters!$B$38*Parameters!$E$25))  +  Parameters!$B$39*E56*Parameters!$B$28*Parameters!$B$29*EXP((Parameters!$B$53+Parameters!$B$51)*A56))</f>
        <v>94.805611241262483</v>
      </c>
      <c r="L56" s="8">
        <f>L55+K56*Parameters!B$65</f>
        <v>6027.7194873952731</v>
      </c>
      <c r="M56" s="7">
        <f>M55+Parameters!$B$45*K56</f>
        <v>3.6166316924371644</v>
      </c>
      <c r="N56" s="7">
        <f>'6states'!O56</f>
        <v>0.96030479806656766</v>
      </c>
      <c r="O56" s="7">
        <f>MAX(O55+(Parameters!B$31-K56)*Parameters!B$65,30)</f>
        <v>30</v>
      </c>
      <c r="P56" s="7">
        <f>Parameters!B$61*EXP(-Parameters!B$60*A56)+(1-Parameters!B$61)*(O56/Parameters!B$62)^-Parameters!B$63</f>
        <v>0.64901116269136883</v>
      </c>
      <c r="Q56" s="9">
        <f>1-P56/Parameters!$B$12</f>
        <v>0.67549441865431559</v>
      </c>
      <c r="R56" s="23">
        <f t="shared" si="0"/>
        <v>3.0816110954182174</v>
      </c>
      <c r="S56" s="7">
        <f>(Parameters!$B$19*(E56+Parameters!$B$20)^Q56+Parameters!$B$18*F56^Q56)^(1/Q56)</f>
        <v>0.53758114405095658</v>
      </c>
      <c r="T56" s="7">
        <f>(Parameters!$B$10*G56^Parameters!$B$9 + Parameters!$B$11*S56^Parameters!$B$9) ^ (Parameters!$B$7/Parameters!$B$9) * N56</f>
        <v>1.4690183354389617</v>
      </c>
      <c r="U56" s="7">
        <f t="shared" si="1"/>
        <v>1.1177430428595603</v>
      </c>
      <c r="V56" s="7">
        <f>EXP(-Parameters!$B$55*A56)</f>
        <v>0.45602848696706794</v>
      </c>
      <c r="W56" s="7">
        <f>IF(U56&gt;0,U56^(1-Parameters!$B$52)/(1-Parameters!$B$52)*V56,-10+U56*1000)</f>
        <v>-1.2531534009329024</v>
      </c>
      <c r="X56" s="7"/>
      <c r="Y56" s="9">
        <f t="shared" si="22"/>
        <v>5.4910356818094731E-2</v>
      </c>
      <c r="Z56" s="9">
        <f t="shared" si="23"/>
        <v>3.4636745444524297E-3</v>
      </c>
      <c r="AA56" s="7">
        <f t="shared" si="24"/>
        <v>0.29290126121685417</v>
      </c>
      <c r="AB56" s="13">
        <f t="shared" si="5"/>
        <v>0.23912246981889149</v>
      </c>
    </row>
    <row r="57" spans="1:28" x14ac:dyDescent="0.25">
      <c r="A57">
        <f>A56+Parameters!$B$65</f>
        <v>53</v>
      </c>
      <c r="B57" s="46">
        <f t="shared" si="30"/>
        <v>5.4910356818094738E-2</v>
      </c>
      <c r="C57" s="46">
        <f t="shared" si="28"/>
        <v>3.4636745444524297E-3</v>
      </c>
      <c r="D57" s="46">
        <f t="shared" si="29"/>
        <v>0.29290126121685417</v>
      </c>
      <c r="E57" s="7">
        <f>MAX((1-Parameters!$B$4)^Parameters!B$65*E56+B56*Parameters!B$65-Parameters!$B$5*B56^2/E56*Parameters!B$65,0.0001)</f>
        <v>0.80975127916247103</v>
      </c>
      <c r="F57" s="9">
        <f>(1-Parameters!$B$4)^Parameters!B$65*F56+C56*Parameters!B$65-Parameters!$B$5*C56^2/F56*Parameters!B$65</f>
        <v>6.6113945269664173E-2</v>
      </c>
      <c r="G57" s="7">
        <f>(1-Parameters!$B$4)^Parameters!B$65*G56+D56*Parameters!B$65-Parameters!$B$5*D56^2/G56*Parameters!B$65</f>
        <v>4.3527817828327251</v>
      </c>
      <c r="H57" s="7">
        <f>H56 *(1-Parameters!$B$4)-B56*(B56&lt;0)*Parameters!B$65</f>
        <v>0</v>
      </c>
      <c r="I57" s="7">
        <f>I56*(1+Parameters!$B$51)^Parameters!B$65</f>
        <v>9.5135941024424486</v>
      </c>
      <c r="J57" s="7">
        <f>J56*(1+Parameters!$B$53)^Parameters!B$65</f>
        <v>25.857221248462412</v>
      </c>
      <c r="K57" s="23">
        <f>EXP(-Parameters!$B$42*A57)*(Parameters!$B$37/Parameters!$B$38*(E57+H57)/Parameters!$B$25*(EXP(-Parameters!$B$38*Parameters!$E$25*H57/(E57+H57))-EXP(-Parameters!$B$38*Parameters!$E$25))  +  Parameters!$B$39*E57*Parameters!$B$28*Parameters!$B$29*EXP((Parameters!$B$53+Parameters!$B$51)*A57))</f>
        <v>95.951267348784313</v>
      </c>
      <c r="L57" s="8">
        <f>L56+K57*Parameters!B$65</f>
        <v>6123.6707547440574</v>
      </c>
      <c r="M57" s="7">
        <f>M56+Parameters!$B$45*K57</f>
        <v>3.6742024528464352</v>
      </c>
      <c r="N57" s="7">
        <f>'6states'!O57</f>
        <v>0.96006572692402747</v>
      </c>
      <c r="O57" s="7">
        <f>MAX(O56+(Parameters!B$31-K57)*Parameters!B$65,30)</f>
        <v>30</v>
      </c>
      <c r="P57" s="7">
        <f>Parameters!B$61*EXP(-Parameters!B$60*A57)+(1-Parameters!B$61)*(O57/Parameters!B$62)^-Parameters!B$63</f>
        <v>0.64573975604251121</v>
      </c>
      <c r="Q57" s="9">
        <f>1-P57/Parameters!$B$12</f>
        <v>0.67713012197874445</v>
      </c>
      <c r="R57" s="23">
        <f t="shared" si="0"/>
        <v>3.0972229621685763</v>
      </c>
      <c r="S57" s="7">
        <f>(Parameters!$B$19*(E57+Parameters!$B$20)^Q57+Parameters!$B$18*F57^Q57)^(1/Q57)</f>
        <v>0.53749450106803109</v>
      </c>
      <c r="T57" s="7">
        <f>(Parameters!$B$10*G57^Parameters!$B$9 + Parameters!$B$11*S57^Parameters!$B$9) ^ (Parameters!$B$7/Parameters!$B$9) * N57</f>
        <v>1.4685870144555551</v>
      </c>
      <c r="U57" s="7">
        <f t="shared" si="1"/>
        <v>1.1173117218761537</v>
      </c>
      <c r="V57" s="7">
        <f>EXP(-Parameters!$B$55*A57)</f>
        <v>0.44919418564576791</v>
      </c>
      <c r="W57" s="7">
        <f>IF(U57&gt;0,U57^(1-Parameters!$B$52)/(1-Parameters!$B$52)*V57,-10+U57*1000)</f>
        <v>-1.2345396917594413</v>
      </c>
      <c r="X57" s="7"/>
      <c r="Y57" s="9">
        <f t="shared" si="22"/>
        <v>5.4910356818094731E-2</v>
      </c>
      <c r="Z57" s="9">
        <f t="shared" si="23"/>
        <v>3.4636745444524297E-3</v>
      </c>
      <c r="AA57" s="7">
        <f t="shared" si="24"/>
        <v>0.29290126121685417</v>
      </c>
      <c r="AB57" s="13">
        <f t="shared" si="5"/>
        <v>0.23919269959610026</v>
      </c>
    </row>
    <row r="58" spans="1:28" x14ac:dyDescent="0.25">
      <c r="A58">
        <f>A57+Parameters!$B$65</f>
        <v>54</v>
      </c>
      <c r="B58" s="46">
        <f t="shared" si="30"/>
        <v>5.4910356818094738E-2</v>
      </c>
      <c r="C58" s="46">
        <f t="shared" si="28"/>
        <v>3.4636745444524297E-3</v>
      </c>
      <c r="D58" s="46">
        <f t="shared" si="29"/>
        <v>0.29290126121685417</v>
      </c>
      <c r="E58" s="7">
        <f>MAX((1-Parameters!$B$4)^Parameters!B$65*E57+B57*Parameters!B$65-Parameters!$B$5*B57^2/E57*Parameters!B$65,0.0001)</f>
        <v>0.81000473310183496</v>
      </c>
      <c r="F58" s="9">
        <f>(1-Parameters!$B$4)^Parameters!B$65*F57+C57*Parameters!B$65-Parameters!$B$5*C57^2/F57*Parameters!B$65</f>
        <v>6.5237592583428816E-2</v>
      </c>
      <c r="G58" s="7">
        <f>(1-Parameters!$B$4)^Parameters!B$65*G57+D57*Parameters!B$65-Parameters!$B$5*D57^2/G57*Parameters!B$65</f>
        <v>4.3521835707654786</v>
      </c>
      <c r="H58" s="7">
        <f>H57 *(1-Parameters!$B$4)-B57*(B57&lt;0)*Parameters!B$65</f>
        <v>0</v>
      </c>
      <c r="I58" s="7">
        <f>I57*(1+Parameters!$B$51)^Parameters!B$65</f>
        <v>9.5411835253395303</v>
      </c>
      <c r="J58" s="7">
        <f>J57*(1+Parameters!$B$53)^Parameters!B$65</f>
        <v>26.374365673431662</v>
      </c>
      <c r="K58" s="23">
        <f>EXP(-Parameters!$B$42*A58)*(Parameters!$B$37/Parameters!$B$38*(E58+H58)/Parameters!$B$25*(EXP(-Parameters!$B$38*Parameters!$E$25*H58/(E58+H58))-EXP(-Parameters!$B$38*Parameters!$E$25))  +  Parameters!$B$39*E58*Parameters!$B$28*Parameters!$B$29*EXP((Parameters!$B$53+Parameters!$B$51)*A58))</f>
        <v>97.111419558826469</v>
      </c>
      <c r="L58" s="8">
        <f>L57+K58*Parameters!B$65</f>
        <v>6220.7821743028835</v>
      </c>
      <c r="M58" s="7">
        <f>M57+Parameters!$B$45*K58</f>
        <v>3.732469304581731</v>
      </c>
      <c r="N58" s="7">
        <f>'6states'!O58</f>
        <v>0.95983806458178611</v>
      </c>
      <c r="O58" s="7">
        <f>MAX(O57+(Parameters!B$31-K58)*Parameters!B$65,30)</f>
        <v>30</v>
      </c>
      <c r="P58" s="7">
        <f>Parameters!B$61*EXP(-Parameters!B$60*A58)+(1-Parameters!B$61)*(O58/Parameters!B$62)^-Parameters!B$63</f>
        <v>0.64255549560524816</v>
      </c>
      <c r="Q58" s="9">
        <f>1-P58/Parameters!$B$12</f>
        <v>0.67872225219737592</v>
      </c>
      <c r="R58" s="23">
        <f t="shared" si="0"/>
        <v>3.1125716201619626</v>
      </c>
      <c r="S58" s="7">
        <f>(Parameters!$B$19*(E58+Parameters!$B$20)^Q58+Parameters!$B$18*F58^Q58)^(1/Q58)</f>
        <v>0.53742471000883929</v>
      </c>
      <c r="T58" s="7">
        <f>(Parameters!$B$10*G58^Parameters!$B$9 + Parameters!$B$11*S58^Parameters!$B$9) ^ (Parameters!$B$7/Parameters!$B$9) * N58</f>
        <v>1.4681788766150234</v>
      </c>
      <c r="U58" s="7">
        <f t="shared" si="1"/>
        <v>1.1169035840356221</v>
      </c>
      <c r="V58" s="7">
        <f>EXP(-Parameters!$B$55*A58)</f>
        <v>0.4424623070368317</v>
      </c>
      <c r="W58" s="7">
        <f>IF(U58&gt;0,U58^(1-Parameters!$B$52)/(1-Parameters!$B$52)*V58,-10+U58*1000)</f>
        <v>-1.2161936891292946</v>
      </c>
      <c r="X58" s="7"/>
      <c r="Y58" s="9">
        <f t="shared" si="22"/>
        <v>5.4910356818094731E-2</v>
      </c>
      <c r="Z58" s="9">
        <f t="shared" si="23"/>
        <v>3.4636745444524297E-3</v>
      </c>
      <c r="AA58" s="7">
        <f t="shared" si="24"/>
        <v>0.29290126121685417</v>
      </c>
      <c r="AB58" s="13">
        <f t="shared" si="5"/>
        <v>0.23925919257828315</v>
      </c>
    </row>
    <row r="59" spans="1:28" x14ac:dyDescent="0.25">
      <c r="A59">
        <f>A58+Parameters!$B$65</f>
        <v>55</v>
      </c>
      <c r="B59" s="46">
        <f t="shared" si="30"/>
        <v>5.4910356818094738E-2</v>
      </c>
      <c r="C59" s="46">
        <f t="shared" si="28"/>
        <v>3.4636745444524297E-3</v>
      </c>
      <c r="D59" s="46">
        <f t="shared" si="29"/>
        <v>0.29290126121685417</v>
      </c>
      <c r="E59" s="7">
        <f>MAX((1-Parameters!$B$4)^Parameters!B$65*E58+B58*Parameters!B$65-Parameters!$B$5*B58^2/E58*Parameters!B$65,0.0001)</f>
        <v>0.81024340990229837</v>
      </c>
      <c r="F59" s="9">
        <f>(1-Parameters!$B$4)^Parameters!B$65*F58+C58*Parameters!B$65-Parameters!$B$5*C58^2/F58*Parameters!B$65</f>
        <v>6.441392488319736E-2</v>
      </c>
      <c r="G59" s="7">
        <f>(1-Parameters!$B$4)^Parameters!B$65*G58+D58*Parameters!B$65-Parameters!$B$5*D58^2/G58*Parameters!B$65</f>
        <v>4.3516202771465178</v>
      </c>
      <c r="H59" s="7">
        <f>H58 *(1-Parameters!$B$4)-B58*(B58&lt;0)*Parameters!B$65</f>
        <v>0</v>
      </c>
      <c r="I59" s="7">
        <f>I58*(1+Parameters!$B$51)^Parameters!B$65</f>
        <v>9.5688529575630135</v>
      </c>
      <c r="J59" s="7">
        <f>J58*(1+Parameters!$B$53)^Parameters!B$65</f>
        <v>26.901852986900295</v>
      </c>
      <c r="K59" s="23">
        <f>EXP(-Parameters!$B$42*A59)*(Parameters!$B$37/Parameters!$B$38*(E59+H59)/Parameters!$B$25*(EXP(-Parameters!$B$38*Parameters!$E$25*H59/(E59+H59))-EXP(-Parameters!$B$38*Parameters!$E$25))  +  Parameters!$B$39*E59*Parameters!$B$28*Parameters!$B$29*EXP((Parameters!$B$53+Parameters!$B$51)*A59))</f>
        <v>98.286319216423408</v>
      </c>
      <c r="L59" s="8">
        <f>L58+K59*Parameters!B$65</f>
        <v>6319.0684935193067</v>
      </c>
      <c r="M59" s="7">
        <f>M58+Parameters!$B$45*K59</f>
        <v>3.7914410961115852</v>
      </c>
      <c r="N59" s="7">
        <f>'6states'!O59</f>
        <v>0.9596122936831406</v>
      </c>
      <c r="O59" s="7">
        <f>MAX(O58+(Parameters!B$31-K59)*Parameters!B$65,30)</f>
        <v>30</v>
      </c>
      <c r="P59" s="7">
        <f>Parameters!B$61*EXP(-Parameters!B$60*A59)+(1-Parameters!B$61)*(O59/Parameters!B$62)^-Parameters!B$63</f>
        <v>0.63945605991269705</v>
      </c>
      <c r="Q59" s="9">
        <f>1-P59/Parameters!$B$12</f>
        <v>0.68027197004365147</v>
      </c>
      <c r="R59" s="23">
        <f t="shared" si="0"/>
        <v>3.1276582166928777</v>
      </c>
      <c r="S59" s="7">
        <f>(Parameters!$B$19*(E59+Parameters!$B$20)^Q59+Parameters!$B$18*F59^Q59)^(1/Q59)</f>
        <v>0.53737044502834208</v>
      </c>
      <c r="T59" s="7">
        <f>(Parameters!$B$10*G59^Parameters!$B$9 + Parameters!$B$11*S59^Parameters!$B$9) ^ (Parameters!$B$7/Parameters!$B$9) * N59</f>
        <v>1.4677789723236987</v>
      </c>
      <c r="U59" s="7">
        <f t="shared" si="1"/>
        <v>1.1165036797442973</v>
      </c>
      <c r="V59" s="7">
        <f>EXP(-Parameters!$B$55*A59)</f>
        <v>0.43583131617545234</v>
      </c>
      <c r="W59" s="7">
        <f>IF(U59&gt;0,U59^(1-Parameters!$B$52)/(1-Parameters!$B$52)*V59,-10+U59*1000)</f>
        <v>-1.1981172827263495</v>
      </c>
      <c r="X59" s="7"/>
      <c r="Y59" s="9">
        <f t="shared" si="22"/>
        <v>5.4910356818094731E-2</v>
      </c>
      <c r="Z59" s="9">
        <f t="shared" si="23"/>
        <v>3.4636745444524297E-3</v>
      </c>
      <c r="AA59" s="7">
        <f t="shared" si="24"/>
        <v>0.29290126121685417</v>
      </c>
      <c r="AB59" s="13">
        <f t="shared" si="5"/>
        <v>0.23932438003474296</v>
      </c>
    </row>
    <row r="60" spans="1:28" x14ac:dyDescent="0.25">
      <c r="A60">
        <f>A59+Parameters!$B$65</f>
        <v>56</v>
      </c>
      <c r="B60" s="46">
        <f t="shared" si="30"/>
        <v>5.4910356818094738E-2</v>
      </c>
      <c r="C60" s="46">
        <f t="shared" si="28"/>
        <v>3.4636745444524297E-3</v>
      </c>
      <c r="D60" s="46">
        <f t="shared" si="29"/>
        <v>0.29290126121685417</v>
      </c>
      <c r="E60" s="7">
        <f>MAX((1-Parameters!$B$4)^Parameters!B$65*E59+B59*Parameters!B$65-Parameters!$B$5*B59^2/E59*Parameters!B$65,0.0001)</f>
        <v>0.81046817044978492</v>
      </c>
      <c r="F60" s="9">
        <f>(1-Parameters!$B$4)^Parameters!B$65*F59+C59*Parameters!B$65-Parameters!$B$5*C59^2/F59*Parameters!B$65</f>
        <v>6.363971436225338E-2</v>
      </c>
      <c r="G60" s="7">
        <f>(1-Parameters!$B$4)^Parameters!B$65*G59+D59*Parameters!B$65-Parameters!$B$5*D59^2/G59*Parameters!B$65</f>
        <v>4.3510898630578554</v>
      </c>
      <c r="H60" s="7">
        <f>H59 *(1-Parameters!$B$4)-B59*(B59&lt;0)*Parameters!B$65</f>
        <v>0</v>
      </c>
      <c r="I60" s="7">
        <f>I59*(1+Parameters!$B$51)^Parameters!B$65</f>
        <v>9.5966026311399446</v>
      </c>
      <c r="J60" s="7">
        <f>J59*(1+Parameters!$B$53)^Parameters!B$65</f>
        <v>27.4398900466383</v>
      </c>
      <c r="K60" s="23">
        <f>EXP(-Parameters!$B$42*A60)*(Parameters!$B$37/Parameters!$B$38*(E60+H60)/Parameters!$B$25*(EXP(-Parameters!$B$38*Parameters!$E$25*H60/(E60+H60))-EXP(-Parameters!$B$38*Parameters!$E$25))  +  Parameters!$B$39*E60*Parameters!$B$28*Parameters!$B$29*EXP((Parameters!$B$53+Parameters!$B$51)*A60))</f>
        <v>99.47621738137812</v>
      </c>
      <c r="L60" s="8">
        <f>L59+K60*Parameters!B$65</f>
        <v>6418.5447109006845</v>
      </c>
      <c r="M60" s="7">
        <f>M59+Parameters!$B$45*K60</f>
        <v>3.8511268265404119</v>
      </c>
      <c r="N60" s="7">
        <f>'6states'!O60</f>
        <v>0.95939667154126684</v>
      </c>
      <c r="O60" s="7">
        <f>MAX(O59+(Parameters!B$31-K60)*Parameters!B$65,30)</f>
        <v>30</v>
      </c>
      <c r="P60" s="7">
        <f>Parameters!B$61*EXP(-Parameters!B$60*A60)+(1-Parameters!B$61)*(O60/Parameters!B$62)^-Parameters!B$63</f>
        <v>0.63643918933897059</v>
      </c>
      <c r="Q60" s="9">
        <f>1-P60/Parameters!$B$12</f>
        <v>0.68178040533051476</v>
      </c>
      <c r="R60" s="23">
        <f t="shared" si="0"/>
        <v>3.1424840479689422</v>
      </c>
      <c r="S60" s="7">
        <f>(Parameters!$B$19*(E60+Parameters!$B$20)^Q60+Parameters!$B$18*F60^Q60)^(1/Q60)</f>
        <v>0.53733046403006379</v>
      </c>
      <c r="T60" s="7">
        <f>(Parameters!$B$10*G60^Parameters!$B$9 + Parameters!$B$11*S60^Parameters!$B$9) ^ (Parameters!$B$7/Parameters!$B$9) * N60</f>
        <v>1.4673995640539836</v>
      </c>
      <c r="U60" s="7">
        <f t="shared" si="1"/>
        <v>1.1161242714745823</v>
      </c>
      <c r="V60" s="7">
        <f>EXP(-Parameters!$B$55*A60)</f>
        <v>0.42929970110067539</v>
      </c>
      <c r="W60" s="7">
        <f>IF(U60&gt;0,U60^(1-Parameters!$B$52)/(1-Parameters!$B$52)*V60,-10+U60*1000)</f>
        <v>-1.1803020145390994</v>
      </c>
      <c r="X60" s="7"/>
      <c r="Y60" s="9">
        <f t="shared" si="22"/>
        <v>5.4910356818094731E-2</v>
      </c>
      <c r="Z60" s="9">
        <f t="shared" si="23"/>
        <v>3.4636745444524297E-3</v>
      </c>
      <c r="AA60" s="7">
        <f t="shared" si="24"/>
        <v>0.29290126121685417</v>
      </c>
      <c r="AB60" s="13">
        <f t="shared" si="5"/>
        <v>0.23938625932866803</v>
      </c>
    </row>
    <row r="61" spans="1:28" x14ac:dyDescent="0.25">
      <c r="A61">
        <f>A60+Parameters!$B$65</f>
        <v>57</v>
      </c>
      <c r="B61" s="46">
        <f t="shared" si="30"/>
        <v>5.4910356818094738E-2</v>
      </c>
      <c r="C61" s="46">
        <f t="shared" si="28"/>
        <v>3.4636745444524297E-3</v>
      </c>
      <c r="D61" s="46">
        <f t="shared" si="29"/>
        <v>0.29290126121685417</v>
      </c>
      <c r="E61" s="7">
        <f>MAX((1-Parameters!$B$4)^Parameters!B$65*E60+B60*Parameters!B$65-Parameters!$B$5*B60^2/E60*Parameters!B$65,0.0001)</f>
        <v>0.81067982555276286</v>
      </c>
      <c r="F61" s="9">
        <f>(1-Parameters!$B$4)^Parameters!B$65*F60+C60*Parameters!B$65-Parameters!$B$5*C60^2/F60*Parameters!B$65</f>
        <v>6.2911935863940907E-2</v>
      </c>
      <c r="G61" s="7">
        <f>(1-Parameters!$B$4)^Parameters!B$65*G60+D60*Parameters!B$65-Parameters!$B$5*D60^2/G60*Parameters!B$65</f>
        <v>4.3505904087125842</v>
      </c>
      <c r="H61" s="7">
        <f>H60 *(1-Parameters!$B$4)-B60*(B60&lt;0)*Parameters!B$65</f>
        <v>0</v>
      </c>
      <c r="I61" s="7">
        <f>I60*(1+Parameters!$B$51)^Parameters!B$65</f>
        <v>9.6244327787702488</v>
      </c>
      <c r="J61" s="7">
        <f>J60*(1+Parameters!$B$53)^Parameters!B$65</f>
        <v>27.988687847571068</v>
      </c>
      <c r="K61" s="23">
        <f>EXP(-Parameters!$B$42*A61)*(Parameters!$B$37/Parameters!$B$38*(E61+H61)/Parameters!$B$25*(EXP(-Parameters!$B$38*Parameters!$E$25*H61/(E61+H61))-EXP(-Parameters!$B$38*Parameters!$E$25))  +  Parameters!$B$39*E61*Parameters!$B$28*Parameters!$B$29*EXP((Parameters!$B$53+Parameters!$B$51)*A61))</f>
        <v>100.68136500628685</v>
      </c>
      <c r="L61" s="8">
        <f>L60+K61*Parameters!B$65</f>
        <v>6519.2260759069713</v>
      </c>
      <c r="M61" s="7">
        <f>M60+Parameters!$B$45*K61</f>
        <v>3.9115356455441841</v>
      </c>
      <c r="N61" s="7">
        <f>'6states'!O61</f>
        <v>0.95919073105598207</v>
      </c>
      <c r="O61" s="7">
        <f>MAX(O60+(Parameters!B$31-K61)*Parameters!B$65,30)</f>
        <v>30</v>
      </c>
      <c r="P61" s="7">
        <f>Parameters!B$61*EXP(-Parameters!B$60*A61)+(1-Parameters!B$61)*(O61/Parameters!B$62)^-Parameters!B$63</f>
        <v>0.63350268445181002</v>
      </c>
      <c r="Q61" s="9">
        <f>1-P61/Parameters!$B$12</f>
        <v>0.68324865777409505</v>
      </c>
      <c r="R61" s="23">
        <f t="shared" si="0"/>
        <v>3.1570505525650043</v>
      </c>
      <c r="S61" s="7">
        <f>(Parameters!$B$19*(E61+Parameters!$B$20)^Q61+Parameters!$B$18*F61^Q61)^(1/Q61)</f>
        <v>0.53730360438038505</v>
      </c>
      <c r="T61" s="7">
        <f>(Parameters!$B$10*G61^Parameters!$B$9 + Parameters!$B$11*S61^Parameters!$B$9) ^ (Parameters!$B$7/Parameters!$B$9) * N61</f>
        <v>1.4670395913555485</v>
      </c>
      <c r="U61" s="7">
        <f t="shared" si="1"/>
        <v>1.1157642987761471</v>
      </c>
      <c r="V61" s="7">
        <f>EXP(-Parameters!$B$55*A61)</f>
        <v>0.42286597251064995</v>
      </c>
      <c r="W61" s="7">
        <f>IF(U61&gt;0,U61^(1-Parameters!$B$52)/(1-Parameters!$B$52)*V61,-10+U61*1000)</f>
        <v>-1.1627446065185232</v>
      </c>
      <c r="X61" s="7"/>
      <c r="Y61" s="9">
        <f t="shared" si="22"/>
        <v>5.4910356818094731E-2</v>
      </c>
      <c r="Z61" s="9">
        <f t="shared" si="23"/>
        <v>3.4636745444524297E-3</v>
      </c>
      <c r="AA61" s="7">
        <f t="shared" si="24"/>
        <v>0.29290126121685417</v>
      </c>
      <c r="AB61" s="13">
        <f t="shared" si="5"/>
        <v>0.23944499838264216</v>
      </c>
    </row>
    <row r="62" spans="1:28" x14ac:dyDescent="0.25">
      <c r="A62">
        <f>A61+Parameters!$B$65</f>
        <v>58</v>
      </c>
      <c r="B62" s="46">
        <f t="shared" si="30"/>
        <v>5.4910356818094738E-2</v>
      </c>
      <c r="C62" s="46">
        <f t="shared" si="28"/>
        <v>3.4636745444524297E-3</v>
      </c>
      <c r="D62" s="46">
        <f t="shared" si="29"/>
        <v>0.29290126121685417</v>
      </c>
      <c r="E62" s="7">
        <f>MAX((1-Parameters!$B$4)^Parameters!B$65*E61+B61*Parameters!B$65-Parameters!$B$5*B61^2/E61*Parameters!B$65,0.0001)</f>
        <v>0.81087913884653817</v>
      </c>
      <c r="F62" s="9">
        <f>(1-Parameters!$B$4)^Parameters!B$65*F61+C61*Parameters!B$65-Parameters!$B$5*C61^2/F61*Parameters!B$65</f>
        <v>6.2227753851917492E-2</v>
      </c>
      <c r="G62" s="7">
        <f>(1-Parameters!$B$4)^Parameters!B$65*G61+D61*Parameters!B$65-Parameters!$B$5*D61^2/G61*Parameters!B$65</f>
        <v>4.3501201064855382</v>
      </c>
      <c r="H62" s="7">
        <f>H61 *(1-Parameters!$B$4)-B61*(B61&lt;0)*Parameters!B$65</f>
        <v>0</v>
      </c>
      <c r="I62" s="7">
        <f>I61*(1+Parameters!$B$51)^Parameters!B$65</f>
        <v>9.6523436338286821</v>
      </c>
      <c r="J62" s="7">
        <f>J61*(1+Parameters!$B$53)^Parameters!B$65</f>
        <v>28.54846160452249</v>
      </c>
      <c r="K62" s="23">
        <f>EXP(-Parameters!$B$42*A62)*(Parameters!$B$37/Parameters!$B$38*(E62+H62)/Parameters!$B$25*(EXP(-Parameters!$B$38*Parameters!$E$25*H62/(E62+H62))-EXP(-Parameters!$B$38*Parameters!$E$25))  +  Parameters!$B$39*E62*Parameters!$B$28*Parameters!$B$29*EXP((Parameters!$B$53+Parameters!$B$51)*A62))</f>
        <v>101.90201310758573</v>
      </c>
      <c r="L62" s="8">
        <f>L61+K62*Parameters!B$65</f>
        <v>6621.1280890145572</v>
      </c>
      <c r="M62" s="7">
        <f>M61+Parameters!$B$45*K62</f>
        <v>3.9726768534087356</v>
      </c>
      <c r="N62" s="7">
        <f>'6states'!O62</f>
        <v>0.95898689339575061</v>
      </c>
      <c r="O62" s="7">
        <f>MAX(O61+(Parameters!B$31-K62)*Parameters!B$65,30)</f>
        <v>30</v>
      </c>
      <c r="P62" s="7">
        <f>Parameters!B$61*EXP(-Parameters!B$60*A62)+(1-Parameters!B$61)*(O62/Parameters!B$62)^-Parameters!B$63</f>
        <v>0.63064440440910108</v>
      </c>
      <c r="Q62" s="9">
        <f>1-P62/Parameters!$B$12</f>
        <v>0.68467779779544946</v>
      </c>
      <c r="R62" s="23">
        <f t="shared" si="0"/>
        <v>3.1713593048906108</v>
      </c>
      <c r="S62" s="7">
        <f>(Parameters!$B$19*(E62+Parameters!$B$20)^Q62+Parameters!$B$18*F62^Q62)^(1/Q62)</f>
        <v>0.53728877874250136</v>
      </c>
      <c r="T62" s="7">
        <f>(Parameters!$B$10*G62^Parameters!$B$9 + Parameters!$B$11*S62^Parameters!$B$9) ^ (Parameters!$B$7/Parameters!$B$9) * N62</f>
        <v>1.4666871384029208</v>
      </c>
      <c r="U62" s="7">
        <f t="shared" si="1"/>
        <v>1.1154118458235194</v>
      </c>
      <c r="V62" s="7">
        <f>EXP(-Parameters!$B$55*A62)</f>
        <v>0.41652866342304673</v>
      </c>
      <c r="W62" s="7">
        <f>IF(U62&gt;0,U62^(1-Parameters!$B$52)/(1-Parameters!$B$52)*V62,-10+U62*1000)</f>
        <v>-1.1454457100619122</v>
      </c>
      <c r="X62" s="7"/>
      <c r="Y62" s="9">
        <f t="shared" si="22"/>
        <v>5.4910356818094731E-2</v>
      </c>
      <c r="Z62" s="9">
        <f t="shared" si="23"/>
        <v>3.4636745444524297E-3</v>
      </c>
      <c r="AA62" s="7">
        <f t="shared" si="24"/>
        <v>0.29290126121685417</v>
      </c>
      <c r="AB62" s="13">
        <f t="shared" si="5"/>
        <v>0.23950253832723034</v>
      </c>
    </row>
    <row r="63" spans="1:28" s="4" customFormat="1" x14ac:dyDescent="0.25">
      <c r="A63">
        <f>A62+Parameters!$B$65</f>
        <v>59</v>
      </c>
      <c r="B63" s="46">
        <f t="shared" si="30"/>
        <v>5.4910356818094738E-2</v>
      </c>
      <c r="C63" s="46">
        <f t="shared" si="28"/>
        <v>3.4636745444524297E-3</v>
      </c>
      <c r="D63" s="46">
        <f t="shared" si="29"/>
        <v>0.29290126121685417</v>
      </c>
      <c r="E63" s="7">
        <f>MAX((1-Parameters!$B$4)^Parameters!B$65*E62+B62*Parameters!B$65-Parameters!$B$5*B62^2/E62*Parameters!B$65,0.0001)</f>
        <v>0.81106682953011011</v>
      </c>
      <c r="F63" s="9">
        <f>(1-Parameters!$B$4)^Parameters!B$65*F62+C62*Parameters!B$65-Parameters!$B$5*C62^2/F62*Parameters!B$65</f>
        <v>6.158451022543996E-2</v>
      </c>
      <c r="G63" s="7">
        <f>(1-Parameters!$B$4)^Parameters!B$65*G62+D62*Parameters!B$65-Parameters!$B$5*D62^2/G62*Parameters!B$65</f>
        <v>4.3496772543526525</v>
      </c>
      <c r="H63" s="7">
        <f>H62 *(1-Parameters!$B$4)-B62*(B62&lt;0)*Parameters!B$65</f>
        <v>0</v>
      </c>
      <c r="I63" s="7">
        <f>I62*(1+Parameters!$B$51)^Parameters!B$65</f>
        <v>9.6803354303667835</v>
      </c>
      <c r="J63" s="7">
        <f>J62*(1+Parameters!$B$53)^Parameters!B$65</f>
        <v>29.119430836612942</v>
      </c>
      <c r="K63" s="23">
        <f>EXP(-Parameters!$B$42*A63)*(Parameters!$B$37/Parameters!$B$38*(E63+H63)/Parameters!$B$25*(EXP(-Parameters!$B$38*Parameters!$E$25*H63/(E63+H63))-EXP(-Parameters!$B$38*Parameters!$E$25))  +  Parameters!$B$39*E63*Parameters!$B$28*Parameters!$B$29*EXP((Parameters!$B$53+Parameters!$B$51)*A63))</f>
        <v>103.13841293000887</v>
      </c>
      <c r="L63" s="8">
        <f>L62+K63*Parameters!B$65</f>
        <v>6724.2665019445658</v>
      </c>
      <c r="M63" s="16">
        <f>M62+Parameters!$B$45*K63</f>
        <v>4.034559901166741</v>
      </c>
      <c r="N63" s="7">
        <f>'6states'!O63</f>
        <v>0.95878534691094786</v>
      </c>
      <c r="O63" s="7">
        <f>MAX(O62+(Parameters!B$31-K63)*Parameters!B$65,30)</f>
        <v>30</v>
      </c>
      <c r="P63" s="7">
        <f>Parameters!B$61*EXP(-Parameters!B$60*A63)+(1-Parameters!B$61)*(O63/Parameters!B$62)^-Parameters!B$63</f>
        <v>0.62786226539810575</v>
      </c>
      <c r="Q63" s="9">
        <f>1-P63/Parameters!$B$12</f>
        <v>0.68606886730094718</v>
      </c>
      <c r="R63" s="23">
        <f t="shared" si="0"/>
        <v>3.1854120086861242</v>
      </c>
      <c r="S63" s="7">
        <f>(Parameters!$B$19*(E63+Parameters!$B$20)^Q63+Parameters!$B$18*F63^Q63)^(1/Q63)</f>
        <v>0.53728497103931838</v>
      </c>
      <c r="T63" s="7">
        <f>(Parameters!$B$10*G63^Parameters!$B$9 + Parameters!$B$11*S63^Parameters!$B$9) ^ (Parameters!$B$7/Parameters!$B$9) * N63</f>
        <v>1.4663421896499855</v>
      </c>
      <c r="U63" s="7">
        <f t="shared" si="1"/>
        <v>1.1150668970705842</v>
      </c>
      <c r="V63" s="16">
        <f>EXP(-Parameters!$B$55*A63)</f>
        <v>0.41028632884056476</v>
      </c>
      <c r="W63" s="16">
        <f>IF(U63&gt;0,U63^(1-Parameters!$B$52)/(1-Parameters!$B$52)*V63,-10+U63*1000)</f>
        <v>-1.1284015619134171</v>
      </c>
      <c r="X63" s="7"/>
      <c r="Y63" s="9">
        <f t="shared" si="22"/>
        <v>5.4938419472477705E-2</v>
      </c>
      <c r="Z63" s="9">
        <f t="shared" si="23"/>
        <v>3.3791381410915966E-3</v>
      </c>
      <c r="AA63" s="7">
        <f t="shared" si="24"/>
        <v>0.292869455548942</v>
      </c>
      <c r="AB63" s="13">
        <f t="shared" si="5"/>
        <v>0.23955887995233255</v>
      </c>
    </row>
    <row r="64" spans="1:28" s="3" customFormat="1" x14ac:dyDescent="0.25">
      <c r="A64" s="3">
        <f>A63+Parameters!$B$65</f>
        <v>60</v>
      </c>
      <c r="B64" s="47">
        <v>5.4994544781243625E-2</v>
      </c>
      <c r="C64" s="47">
        <v>3.2100653343699304E-3</v>
      </c>
      <c r="D64" s="48">
        <v>0.29280584421311762</v>
      </c>
      <c r="E64" s="17">
        <f>MAX((1-Parameters!$B$4)^Parameters!B$65*E63+B63*Parameters!B$65-Parameters!$B$5*B63^2/E63*Parameters!B$65,0.0001)</f>
        <v>0.81124357494512678</v>
      </c>
      <c r="F64" s="22">
        <f>(1-Parameters!$B$4)^Parameters!B$65*F63+C63*Parameters!B$65-Parameters!$B$5*C63^2/F63*Parameters!B$65</f>
        <v>6.0979712926497322E-2</v>
      </c>
      <c r="G64" s="17">
        <f>(1-Parameters!$B$4)^Parameters!B$65*G63+D63*Parameters!B$65-Parameters!$B$5*D63^2/G63*Parameters!B$65</f>
        <v>4.349260249714936</v>
      </c>
      <c r="H64" s="7">
        <f>H63 *(1-Parameters!$B$4)-B63*(B63&lt;0)*Parameters!B$65</f>
        <v>0</v>
      </c>
      <c r="I64" s="17">
        <f>I63*(1+Parameters!$B$51)^Parameters!B$65</f>
        <v>9.7084084031148468</v>
      </c>
      <c r="J64" s="17">
        <f>J63*(1+Parameters!$B$53)^Parameters!B$65</f>
        <v>29.701819453345202</v>
      </c>
      <c r="K64" s="24">
        <f>EXP(-Parameters!$B$42*A64)*(Parameters!$B$37/Parameters!$B$38*(E64+H64)/Parameters!$B$25*(EXP(-Parameters!$B$38*Parameters!$E$25*H64/(E64+H64))-EXP(-Parameters!$B$38*Parameters!$E$25))  +  Parameters!$B$39*E64*Parameters!$B$28*Parameters!$B$29*EXP((Parameters!$B$53+Parameters!$B$51)*A64))</f>
        <v>104.39081610482708</v>
      </c>
      <c r="L64" s="26">
        <f>L63+K64*Parameters!B$65</f>
        <v>6828.6573180493924</v>
      </c>
      <c r="M64" s="17">
        <f>M63+Parameters!$B$45*K64</f>
        <v>4.0971943908296371</v>
      </c>
      <c r="N64" s="17">
        <f>'6states'!O64</f>
        <v>0.95858628189677275</v>
      </c>
      <c r="O64" s="17">
        <f>MAX(O63+(Parameters!B$31-K64)*Parameters!B$65,30)</f>
        <v>30</v>
      </c>
      <c r="P64" s="17">
        <f>Parameters!B$61*EXP(-Parameters!B$60*A64)+(1-Parameters!B$61)*(O64/Parameters!B$62)^-Parameters!B$63</f>
        <v>0.62515423911626999</v>
      </c>
      <c r="Q64" s="22">
        <f>1-P64/Parameters!$B$12</f>
        <v>0.68742288044186495</v>
      </c>
      <c r="R64" s="24">
        <f t="shared" si="0"/>
        <v>3.1992104905618781</v>
      </c>
      <c r="S64" s="17">
        <f>(Parameters!$B$19*(E64+Parameters!$B$20)^Q64+Parameters!$B$18*F64^Q64)^(1/Q64)</f>
        <v>0.53729123255254818</v>
      </c>
      <c r="T64" s="17">
        <f>(Parameters!$B$10*G64^Parameters!$B$9 + Parameters!$B$11*S64^Parameters!$B$9) ^ (Parameters!$B$7/Parameters!$B$9) * N64</f>
        <v>1.4660047514254784</v>
      </c>
      <c r="U64" s="17">
        <f t="shared" si="1"/>
        <v>1.1149942970967472</v>
      </c>
      <c r="V64" s="17">
        <f>EXP(-Parameters!$B$55*A64)</f>
        <v>0.40413754542145147</v>
      </c>
      <c r="W64" s="17">
        <f>IF(U64&gt;0,U64^(1-Parameters!$B$52)/(1-Parameters!$B$52)*V64,-10+U64*1000)</f>
        <v>-1.11151602629042</v>
      </c>
      <c r="X64" s="17"/>
      <c r="Y64" s="22" t="s">
        <v>15</v>
      </c>
      <c r="Z64" s="22"/>
      <c r="AA64" s="17"/>
      <c r="AB64" s="31">
        <f t="shared" si="5"/>
        <v>0.23943336744810964</v>
      </c>
    </row>
    <row r="65" spans="1:27" x14ac:dyDescent="0.25">
      <c r="A65">
        <f>A64+Parameters!$B$65</f>
        <v>61</v>
      </c>
      <c r="B65" s="46">
        <f>B64</f>
        <v>5.4994544781243625E-2</v>
      </c>
      <c r="C65" s="46">
        <f t="shared" ref="C65:C73" si="31">C64</f>
        <v>3.2100653343699304E-3</v>
      </c>
      <c r="D65" s="46">
        <f t="shared" ref="D65:D73" si="32">D64</f>
        <v>0.29280584421311762</v>
      </c>
      <c r="E65" s="7">
        <f>MAX((1-Parameters!$B$4)^Parameters!B$65*E64+B64*Parameters!B$65-Parameters!$B$5*B64^2/E64*Parameters!B$65,0.0001)</f>
        <v>0.81148279543062363</v>
      </c>
      <c r="F65" s="9">
        <f>(1-Parameters!$B$4)^Parameters!B$65*F64+C64*Parameters!B$65-Parameters!$B$5*C64^2/F64*Parameters!B$65</f>
        <v>6.0185171569981578E-2</v>
      </c>
      <c r="G65" s="7">
        <f>(1-Parameters!$B$4)^Parameters!B$65*G64+D64*Parameters!B$65-Parameters!$B$5*D64^2/G64*Parameters!B$65</f>
        <v>4.3487850162180539</v>
      </c>
      <c r="H65" s="7">
        <f>H64 *(1-Parameters!$B$4)-B64*(B64&lt;0)*Parameters!B$65</f>
        <v>0</v>
      </c>
      <c r="I65" s="7">
        <f>I64*(1+Parameters!$B$51)^Parameters!B$65</f>
        <v>9.7365627874838783</v>
      </c>
      <c r="J65" s="7">
        <f>J64*(1+Parameters!$B$53)^Parameters!B$65</f>
        <v>30.295855842412106</v>
      </c>
      <c r="K65" s="23">
        <f>EXP(-Parameters!$B$42*A65)*(Parameters!$B$37/Parameters!$B$38*(E65+H65)/Parameters!$B$25*(EXP(-Parameters!$B$38*Parameters!$E$25*H65/(E65+H65))-EXP(-Parameters!$B$38*Parameters!$E$25))  +  Parameters!$B$39*E65*Parameters!$B$28*Parameters!$B$29*EXP((Parameters!$B$53+Parameters!$B$51)*A65))</f>
        <v>105.66895231992491</v>
      </c>
      <c r="L65" s="8">
        <f>L64+K65*Parameters!B$65</f>
        <v>6934.3262703693172</v>
      </c>
      <c r="M65" s="7">
        <f>M64+Parameters!$B$45*K65</f>
        <v>4.1605957622215923</v>
      </c>
      <c r="N65" s="7">
        <f>'6states'!O65</f>
        <v>0.95839635253460176</v>
      </c>
      <c r="O65" s="7">
        <f>MAX(O64+(Parameters!B$31-K65)*Parameters!B$65,30)</f>
        <v>30</v>
      </c>
      <c r="P65" s="7">
        <f>Parameters!B$61*EXP(-Parameters!B$60*A65)+(1-Parameters!B$61)*(O65/Parameters!B$62)^-Parameters!B$63</f>
        <v>0.62251835129250177</v>
      </c>
      <c r="Q65" s="9">
        <f>1-P65/Parameters!$B$12</f>
        <v>0.68874082435374917</v>
      </c>
      <c r="R65" s="23">
        <f t="shared" si="0"/>
        <v>3.2127566935938621</v>
      </c>
      <c r="S65" s="7">
        <f>(Parameters!$B$19*(E65+Parameters!$B$20)^Q65+Parameters!$B$18*F65^Q65)^(1/Q65)</f>
        <v>0.53721551771389187</v>
      </c>
      <c r="T65" s="7">
        <f>(Parameters!$B$10*G65^Parameters!$B$9 + Parameters!$B$11*S65^Parameters!$B$9) ^ (Parameters!$B$7/Parameters!$B$9) * N65</f>
        <v>1.4656635368437287</v>
      </c>
      <c r="U65" s="7">
        <f t="shared" si="1"/>
        <v>1.1146530825149976</v>
      </c>
      <c r="V65" s="7">
        <f>EXP(-Parameters!$B$55*A65)</f>
        <v>0.39808091115496053</v>
      </c>
      <c r="W65" s="7">
        <f>IF(U65&gt;0,U65^(1-Parameters!$B$52)/(1-Parameters!$B$52)*V65,-10+U65*1000)</f>
        <v>-1.0949755098551586</v>
      </c>
      <c r="X65" s="7"/>
      <c r="Y65" s="7"/>
      <c r="Z65" s="7"/>
      <c r="AA65" s="7"/>
    </row>
    <row r="66" spans="1:27" x14ac:dyDescent="0.25">
      <c r="A66">
        <f>A65+Parameters!$B$65</f>
        <v>62</v>
      </c>
      <c r="B66" s="46">
        <f t="shared" ref="B66:B73" si="33">B65</f>
        <v>5.4994544781243625E-2</v>
      </c>
      <c r="C66" s="46">
        <f t="shared" si="31"/>
        <v>3.2100653343699304E-3</v>
      </c>
      <c r="D66" s="46">
        <f t="shared" si="32"/>
        <v>0.29280584421311762</v>
      </c>
      <c r="E66" s="7">
        <f>MAX((1-Parameters!$B$4)^Parameters!B$65*E65+B65*Parameters!B$65-Parameters!$B$5*B65^2/E65*Parameters!B$65,0.0001)</f>
        <v>0.81170806797114547</v>
      </c>
      <c r="F66" s="9">
        <f>(1-Parameters!$B$4)^Parameters!B$65*F65+C65*Parameters!B$65-Parameters!$B$5*C65^2/F65*Parameters!B$65</f>
        <v>5.9438376019913607E-2</v>
      </c>
      <c r="G66" s="7">
        <f>(1-Parameters!$B$4)^Parameters!B$65*G65+D65*Parameters!B$65-Parameters!$B$5*D65^2/G65*Parameters!B$65</f>
        <v>4.348337520722164</v>
      </c>
      <c r="H66" s="7">
        <f>H65 *(1-Parameters!$B$4)-B65*(B65&lt;0)*Parameters!B$65</f>
        <v>0</v>
      </c>
      <c r="I66" s="7">
        <f>I65*(1+Parameters!$B$51)^Parameters!B$65</f>
        <v>9.7647988195675808</v>
      </c>
      <c r="J66" s="7">
        <f>J65*(1+Parameters!$B$53)^Parameters!B$65</f>
        <v>30.901772959260349</v>
      </c>
      <c r="K66" s="23">
        <f>EXP(-Parameters!$B$42*A66)*(Parameters!$B$37/Parameters!$B$38*(E66+H66)/Parameters!$B$25*(EXP(-Parameters!$B$38*Parameters!$E$25*H66/(E66+H66))-EXP(-Parameters!$B$38*Parameters!$E$25))  +  Parameters!$B$39*E66*Parameters!$B$28*Parameters!$B$29*EXP((Parameters!$B$53+Parameters!$B$51)*A66))</f>
        <v>106.96326485551272</v>
      </c>
      <c r="L66" s="8">
        <f>L65+K66*Parameters!B$65</f>
        <v>7041.2895352248297</v>
      </c>
      <c r="M66" s="7">
        <f>M65+Parameters!$B$45*K66</f>
        <v>4.2247737211349001</v>
      </c>
      <c r="N66" s="7">
        <f>'6states'!O66</f>
        <v>0.95820904925752115</v>
      </c>
      <c r="O66" s="7">
        <f>MAX(O65+(Parameters!B$31-K66)*Parameters!B$65,30)</f>
        <v>30</v>
      </c>
      <c r="P66" s="7">
        <f>Parameters!B$61*EXP(-Parameters!B$60*A66)+(1-Parameters!B$61)*(O66/Parameters!B$62)^-Parameters!B$63</f>
        <v>0.61995268024783989</v>
      </c>
      <c r="Q66" s="9">
        <f>1-P66/Parameters!$B$12</f>
        <v>0.69002365987608005</v>
      </c>
      <c r="R66" s="23">
        <f t="shared" si="0"/>
        <v>3.2260526709884623</v>
      </c>
      <c r="S66" s="7">
        <f>(Parameters!$B$19*(E66+Parameters!$B$20)^Q66+Parameters!$B$18*F66^Q66)^(1/Q66)</f>
        <v>0.53715378332470043</v>
      </c>
      <c r="T66" s="7">
        <f>(Parameters!$B$10*G66^Parameters!$B$9 + Parameters!$B$11*S66^Parameters!$B$9) ^ (Parameters!$B$7/Parameters!$B$9) * N66</f>
        <v>1.4653308334126114</v>
      </c>
      <c r="U66" s="7">
        <f t="shared" si="1"/>
        <v>1.1143203790838803</v>
      </c>
      <c r="V66" s="7">
        <f>EXP(-Parameters!$B$55*A66)</f>
        <v>0.39211504504167288</v>
      </c>
      <c r="W66" s="7">
        <f>IF(U66&gt;0,U66^(1-Parameters!$B$52)/(1-Parameters!$B$52)*V66,-10+U66*1000)</f>
        <v>-1.0786782852785612</v>
      </c>
      <c r="X66" s="7"/>
      <c r="Y66" s="7"/>
      <c r="Z66" s="7"/>
      <c r="AA66" s="7"/>
    </row>
    <row r="67" spans="1:27" x14ac:dyDescent="0.25">
      <c r="A67">
        <f>A66+Parameters!$B$65</f>
        <v>63</v>
      </c>
      <c r="B67" s="46">
        <f t="shared" si="33"/>
        <v>5.4994544781243625E-2</v>
      </c>
      <c r="C67" s="46">
        <f t="shared" si="31"/>
        <v>3.2100653343699304E-3</v>
      </c>
      <c r="D67" s="46">
        <f t="shared" si="32"/>
        <v>0.29280584421311762</v>
      </c>
      <c r="E67" s="7">
        <f>MAX((1-Parameters!$B$4)^Parameters!B$65*E66+B66*Parameters!B$65-Parameters!$B$5*B66^2/E66*Parameters!B$65,0.0001)</f>
        <v>0.8119202052207305</v>
      </c>
      <c r="F67" s="9">
        <f>(1-Parameters!$B$4)^Parameters!B$65*F66+C66*Parameters!B$65-Parameters!$B$5*C66^2/F66*Parameters!B$65</f>
        <v>5.8736402748394229E-2</v>
      </c>
      <c r="G67" s="7">
        <f>(1-Parameters!$B$4)^Parameters!B$65*G66+D66*Parameters!B$65-Parameters!$B$5*D66^2/G66*Parameters!B$65</f>
        <v>4.3479161438101475</v>
      </c>
      <c r="H67" s="7">
        <f>H66 *(1-Parameters!$B$4)-B66*(B66&lt;0)*Parameters!B$65</f>
        <v>0</v>
      </c>
      <c r="I67" s="7">
        <f>I66*(1+Parameters!$B$51)^Parameters!B$65</f>
        <v>9.7931167361443254</v>
      </c>
      <c r="J67" s="7">
        <f>J66*(1+Parameters!$B$53)^Parameters!B$65</f>
        <v>31.519808418445557</v>
      </c>
      <c r="K67" s="23">
        <f>EXP(-Parameters!$B$42*A67)*(Parameters!$B$37/Parameters!$B$38*(E67+H67)/Parameters!$B$25*(EXP(-Parameters!$B$38*Parameters!$E$25*H67/(E67+H67))-EXP(-Parameters!$B$38*Parameters!$E$25))  +  Parameters!$B$39*E67*Parameters!$B$28*Parameters!$B$29*EXP((Parameters!$B$53+Parameters!$B$51)*A67))</f>
        <v>108.27402491639596</v>
      </c>
      <c r="L67" s="8">
        <f>L66+K67*Parameters!B$65</f>
        <v>7149.5635601412259</v>
      </c>
      <c r="M67" s="7">
        <f>M66+Parameters!$B$45*K67</f>
        <v>4.289738136084738</v>
      </c>
      <c r="N67" s="7">
        <f>'6states'!O67</f>
        <v>0.9580245528025807</v>
      </c>
      <c r="O67" s="7">
        <f>MAX(O66+(Parameters!B$31-K67)*Parameters!B$65,30)</f>
        <v>30</v>
      </c>
      <c r="P67" s="7">
        <f>Parameters!B$61*EXP(-Parameters!B$60*A67)+(1-Parameters!B$61)*(O67/Parameters!B$62)^-Parameters!B$63</f>
        <v>0.61745535549446484</v>
      </c>
      <c r="Q67" s="9">
        <f>1-P67/Parameters!$B$12</f>
        <v>0.69127232225276758</v>
      </c>
      <c r="R67" s="23">
        <f t="shared" si="0"/>
        <v>3.2391005798279595</v>
      </c>
      <c r="S67" s="7">
        <f>(Parameters!$B$19*(E67+Parameters!$B$20)^Q67+Parameters!$B$18*F67^Q67)^(1/Q67)</f>
        <v>0.53710494024616429</v>
      </c>
      <c r="T67" s="7">
        <f>(Parameters!$B$10*G67^Parameters!$B$9 + Parameters!$B$11*S67^Parameters!$B$9) ^ (Parameters!$B$7/Parameters!$B$9) * N67</f>
        <v>1.4650066109364861</v>
      </c>
      <c r="U67" s="7">
        <f t="shared" si="1"/>
        <v>1.113996156607755</v>
      </c>
      <c r="V67" s="7">
        <f>EXP(-Parameters!$B$55*A67)</f>
        <v>0.38623858677860945</v>
      </c>
      <c r="W67" s="7">
        <f>IF(U67&gt;0,U67^(1-Parameters!$B$52)/(1-Parameters!$B$52)*V67,-10+U67*1000)</f>
        <v>-1.0626208244738193</v>
      </c>
      <c r="X67" s="7"/>
      <c r="Y67" s="7"/>
      <c r="Z67" s="7"/>
      <c r="AA67" s="7"/>
    </row>
    <row r="68" spans="1:27" x14ac:dyDescent="0.25">
      <c r="A68">
        <f>A67+Parameters!$B$65</f>
        <v>64</v>
      </c>
      <c r="B68" s="46">
        <f t="shared" si="33"/>
        <v>5.4994544781243625E-2</v>
      </c>
      <c r="C68" s="46">
        <f t="shared" si="31"/>
        <v>3.2100653343699304E-3</v>
      </c>
      <c r="D68" s="46">
        <f t="shared" si="32"/>
        <v>0.29280584421311762</v>
      </c>
      <c r="E68" s="7">
        <f>MAX((1-Parameters!$B$4)^Parameters!B$65*E67+B67*Parameters!B$65-Parameters!$B$5*B67^2/E67*Parameters!B$65,0.0001)</f>
        <v>0.81211997255298318</v>
      </c>
      <c r="F68" s="9">
        <f>(1-Parameters!$B$4)^Parameters!B$65*F67+C67*Parameters!B$65-Parameters!$B$5*C67^2/F67*Parameters!B$65</f>
        <v>5.8076511670612001E-2</v>
      </c>
      <c r="G68" s="7">
        <f>(1-Parameters!$B$4)^Parameters!B$65*G67+D67*Parameters!B$65-Parameters!$B$5*D67^2/G67*Parameters!B$65</f>
        <v>4.3475193606593523</v>
      </c>
      <c r="H68" s="7">
        <f>H67 *(1-Parameters!$B$4)-B67*(B67&lt;0)*Parameters!B$65</f>
        <v>0</v>
      </c>
      <c r="I68" s="7">
        <f>I67*(1+Parameters!$B$51)^Parameters!B$65</f>
        <v>9.821516774679143</v>
      </c>
      <c r="J68" s="7">
        <f>J67*(1+Parameters!$B$53)^Parameters!B$65</f>
        <v>32.150204586814468</v>
      </c>
      <c r="K68" s="23">
        <f>EXP(-Parameters!$B$42*A68)*(Parameters!$B$37/Parameters!$B$38*(E68+H68)/Parameters!$B$25*(EXP(-Parameters!$B$38*Parameters!$E$25*H68/(E68+H68))-EXP(-Parameters!$B$38*Parameters!$E$25))  +  Parameters!$B$39*E68*Parameters!$B$28*Parameters!$B$29*EXP((Parameters!$B$53+Parameters!$B$51)*A68))</f>
        <v>109.60150384122842</v>
      </c>
      <c r="L68" s="8">
        <f>L67+K68*Parameters!B$65</f>
        <v>7259.1650639824547</v>
      </c>
      <c r="M68" s="7">
        <f>M67+Parameters!$B$45*K68</f>
        <v>4.3554990383894747</v>
      </c>
      <c r="N68" s="7">
        <f>'6states'!O68</f>
        <v>0.95784297475421754</v>
      </c>
      <c r="O68" s="7">
        <f>MAX(O67+(Parameters!B$31-K68)*Parameters!B$65,30)</f>
        <v>30</v>
      </c>
      <c r="P68" s="7">
        <f>Parameters!B$61*EXP(-Parameters!B$60*A68)+(1-Parameters!B$61)*(O68/Parameters!B$62)^-Parameters!B$63</f>
        <v>0.61502455637203013</v>
      </c>
      <c r="Q68" s="9">
        <f>1-P68/Parameters!$B$12</f>
        <v>0.69248772181398488</v>
      </c>
      <c r="R68" s="23">
        <f t="shared" si="0"/>
        <v>3.2519026749074942</v>
      </c>
      <c r="S68" s="7">
        <f>(Parameters!$B$19*(E68+Parameters!$B$20)^Q68+Parameters!$B$18*F68^Q68)^(1/Q68)</f>
        <v>0.53706796809055424</v>
      </c>
      <c r="T68" s="7">
        <f>(Parameters!$B$10*G68^Parameters!$B$9 + Parameters!$B$11*S68^Parameters!$B$9) ^ (Parameters!$B$7/Parameters!$B$9) * N68</f>
        <v>1.4646907518557448</v>
      </c>
      <c r="U68" s="7">
        <f t="shared" si="1"/>
        <v>1.1136802975270137</v>
      </c>
      <c r="V68" s="7">
        <f>EXP(-Parameters!$B$55*A68)</f>
        <v>0.38045019644906247</v>
      </c>
      <c r="W68" s="7">
        <f>IF(U68&gt;0,U68^(1-Parameters!$B$52)/(1-Parameters!$B$52)*V68,-10+U68*1000)</f>
        <v>-1.0467996784604063</v>
      </c>
      <c r="X68" s="7"/>
      <c r="Y68" s="7"/>
      <c r="Z68" s="7"/>
      <c r="AA68" s="7"/>
    </row>
    <row r="69" spans="1:27" x14ac:dyDescent="0.25">
      <c r="A69">
        <f>A68+Parameters!$B$65</f>
        <v>65</v>
      </c>
      <c r="B69" s="46">
        <f t="shared" si="33"/>
        <v>5.4994544781243625E-2</v>
      </c>
      <c r="C69" s="46">
        <f t="shared" si="31"/>
        <v>3.2100653343699304E-3</v>
      </c>
      <c r="D69" s="46">
        <f t="shared" si="32"/>
        <v>0.29280584421311762</v>
      </c>
      <c r="E69" s="7">
        <f>MAX((1-Parameters!$B$4)^Parameters!B$65*E68+B68*Parameters!B$65-Parameters!$B$5*B68^2/E68*Parameters!B$65,0.0001)</f>
        <v>0.81230809080414135</v>
      </c>
      <c r="F69" s="9">
        <f>(1-Parameters!$B$4)^Parameters!B$65*F68+C68*Parameters!B$65-Parameters!$B$5*C68^2/F68*Parameters!B$65</f>
        <v>5.7456134352280495E-2</v>
      </c>
      <c r="G69" s="7">
        <f>(1-Parameters!$B$4)^Parameters!B$65*G68+D68*Parameters!B$65-Parameters!$B$5*D68^2/G68*Parameters!B$65</f>
        <v>4.3471457355105869</v>
      </c>
      <c r="H69" s="7">
        <f>H68 *(1-Parameters!$B$4)-B68*(B68&lt;0)*Parameters!B$65</f>
        <v>0</v>
      </c>
      <c r="I69" s="7">
        <f>I68*(1+Parameters!$B$51)^Parameters!B$65</f>
        <v>9.8499991733257115</v>
      </c>
      <c r="J69" s="7">
        <f>J68*(1+Parameters!$B$53)^Parameters!B$65</f>
        <v>32.793208678550755</v>
      </c>
      <c r="K69" s="23">
        <f>EXP(-Parameters!$B$42*A69)*(Parameters!$B$37/Parameters!$B$38*(E69+H69)/Parameters!$B$25*(EXP(-Parameters!$B$38*Parameters!$E$25*H69/(E69+H69))-EXP(-Parameters!$B$38*Parameters!$E$25))  +  Parameters!$B$39*E69*Parameters!$B$28*Parameters!$B$29*EXP((Parameters!$B$53+Parameters!$B$51)*A69))</f>
        <v>110.94597327567554</v>
      </c>
      <c r="L69" s="8">
        <f>L68+K69*Parameters!B$65</f>
        <v>7370.1110372581306</v>
      </c>
      <c r="M69" s="7">
        <f>M68+Parameters!$B$45*K69</f>
        <v>4.4220666223548797</v>
      </c>
      <c r="N69" s="7">
        <f>'6states'!O69</f>
        <v>0.95766918466963047</v>
      </c>
      <c r="O69" s="7">
        <f>MAX(O68+(Parameters!B$31-K69)*Parameters!B$65,30)</f>
        <v>30</v>
      </c>
      <c r="P69" s="7">
        <f>Parameters!B$61*EXP(-Parameters!B$60*A69)+(1-Parameters!B$61)*(O69/Parameters!B$62)^-Parameters!B$63</f>
        <v>0.61265851072032085</v>
      </c>
      <c r="Q69" s="9">
        <f>1-P69/Parameters!$B$12</f>
        <v>0.69367074463983958</v>
      </c>
      <c r="R69" s="23">
        <f t="shared" ref="R69:R132" si="34">1/(1-Q69)</f>
        <v>3.2644613026733937</v>
      </c>
      <c r="S69" s="7">
        <f>(Parameters!$B$19*(E69+Parameters!$B$20)^Q69+Parameters!$B$18*F69^Q69)^(1/Q69)</f>
        <v>0.53704191163304182</v>
      </c>
      <c r="T69" s="7">
        <f>(Parameters!$B$10*G69^Parameters!$B$9 + Parameters!$B$11*S69^Parameters!$B$9) ^ (Parameters!$B$7/Parameters!$B$9) * N69</f>
        <v>1.4643904315867693</v>
      </c>
      <c r="U69" s="7">
        <f t="shared" ref="U69:U132" si="35">T69-B69-C69-D69</f>
        <v>1.1133799772580382</v>
      </c>
      <c r="V69" s="7">
        <f>EXP(-Parameters!$B$55*A69)</f>
        <v>0.37474855421707526</v>
      </c>
      <c r="W69" s="7">
        <f>IF(U69&gt;0,U69^(1-Parameters!$B$52)/(1-Parameters!$B$52)*V69,-10+U69*1000)</f>
        <v>-1.0312090820674897</v>
      </c>
      <c r="X69" s="7"/>
      <c r="Y69" s="7"/>
      <c r="Z69" s="7"/>
      <c r="AA69" s="7"/>
    </row>
    <row r="70" spans="1:27" x14ac:dyDescent="0.25">
      <c r="A70">
        <f>A69+Parameters!$B$65</f>
        <v>66</v>
      </c>
      <c r="B70" s="46">
        <f t="shared" si="33"/>
        <v>5.4994544781243625E-2</v>
      </c>
      <c r="C70" s="46">
        <f t="shared" si="31"/>
        <v>3.2100653343699304E-3</v>
      </c>
      <c r="D70" s="46">
        <f t="shared" si="32"/>
        <v>0.29280584421311762</v>
      </c>
      <c r="E70" s="7">
        <f>MAX((1-Parameters!$B$4)^Parameters!B$65*E69+B69*Parameters!B$65-Parameters!$B$5*B69^2/E69*Parameters!B$65,0.0001)</f>
        <v>0.8124852388578867</v>
      </c>
      <c r="F70" s="9">
        <f>(1-Parameters!$B$4)^Parameters!B$65*F69+C69*Parameters!B$65-Parameters!$B$5*C69^2/F69*Parameters!B$65</f>
        <v>5.6872862982449368E-2</v>
      </c>
      <c r="G70" s="7">
        <f>(1-Parameters!$B$4)^Parameters!B$65*G69+D69*Parameters!B$65-Parameters!$B$5*D69^2/G69*Parameters!B$65</f>
        <v>4.3467939164611291</v>
      </c>
      <c r="H70" s="7">
        <f>H69 *(1-Parameters!$B$4)-B69*(B69&lt;0)*Parameters!B$65</f>
        <v>0</v>
      </c>
      <c r="I70" s="7">
        <f>I69*(1+Parameters!$B$51)^Parameters!B$65</f>
        <v>9.8785641709283549</v>
      </c>
      <c r="J70" s="7">
        <f>J69*(1+Parameters!$B$53)^Parameters!B$65</f>
        <v>33.449072852121773</v>
      </c>
      <c r="K70" s="23">
        <f>EXP(-Parameters!$B$42*A70)*(Parameters!$B$37/Parameters!$B$38*(E70+H70)/Parameters!$B$25*(EXP(-Parameters!$B$38*Parameters!$E$25*H70/(E70+H70))-EXP(-Parameters!$B$38*Parameters!$E$25))  +  Parameters!$B$39*E70*Parameters!$B$28*Parameters!$B$29*EXP((Parameters!$B$53+Parameters!$B$51)*A70))</f>
        <v>112.30770533917593</v>
      </c>
      <c r="L70" s="8">
        <f>L69+K70*Parameters!B$65</f>
        <v>7482.4187425973068</v>
      </c>
      <c r="M70" s="7">
        <f>M69+Parameters!$B$45*K70</f>
        <v>4.489451245558385</v>
      </c>
      <c r="N70" s="7">
        <f>'6states'!O70</f>
        <v>0.95749829195064629</v>
      </c>
      <c r="O70" s="7">
        <f>MAX(O69+(Parameters!B$31-K70)*Parameters!B$65,30)</f>
        <v>30</v>
      </c>
      <c r="P70" s="7">
        <f>Parameters!B$61*EXP(-Parameters!B$60*A70)+(1-Parameters!B$61)*(O70/Parameters!B$62)^-Parameters!B$63</f>
        <v>0.61035549358726982</v>
      </c>
      <c r="Q70" s="9">
        <f>1-P70/Parameters!$B$12</f>
        <v>0.69482225320636504</v>
      </c>
      <c r="R70" s="23">
        <f t="shared" si="34"/>
        <v>3.2767788952718515</v>
      </c>
      <c r="S70" s="7">
        <f>(Parameters!$B$19*(E70+Parameters!$B$20)^Q70+Parameters!$B$18*F70^Q70)^(1/Q70)</f>
        <v>0.5370258773384512</v>
      </c>
      <c r="T70" s="7">
        <f>(Parameters!$B$10*G70^Parameters!$B$9 + Parameters!$B$11*S70^Parameters!$B$9) ^ (Parameters!$B$7/Parameters!$B$9) * N70</f>
        <v>1.4640979173706377</v>
      </c>
      <c r="U70" s="7">
        <f t="shared" si="35"/>
        <v>1.1130874630419065</v>
      </c>
      <c r="V70" s="7">
        <f>EXP(-Parameters!$B$55*A70)</f>
        <v>0.36913236002650052</v>
      </c>
      <c r="W70" s="7">
        <f>IF(U70&gt;0,U70^(1-Parameters!$B$52)/(1-Parameters!$B$52)*V70,-10+U70*1000)</f>
        <v>-1.015848217910025</v>
      </c>
      <c r="X70" s="7"/>
      <c r="Y70" s="7"/>
      <c r="Z70" s="7"/>
      <c r="AA70" s="7"/>
    </row>
    <row r="71" spans="1:27" x14ac:dyDescent="0.25">
      <c r="A71">
        <f>A70+Parameters!$B$65</f>
        <v>67</v>
      </c>
      <c r="B71" s="46">
        <f t="shared" si="33"/>
        <v>5.4994544781243625E-2</v>
      </c>
      <c r="C71" s="46">
        <f t="shared" si="31"/>
        <v>3.2100653343699304E-3</v>
      </c>
      <c r="D71" s="46">
        <f t="shared" si="32"/>
        <v>0.29280584421311762</v>
      </c>
      <c r="E71" s="7">
        <f>MAX((1-Parameters!$B$4)^Parameters!B$65*E70+B70*Parameters!B$65-Parameters!$B$5*B70^2/E70*Parameters!B$65,0.0001)</f>
        <v>0.81265205608092539</v>
      </c>
      <c r="F71" s="9">
        <f>(1-Parameters!$B$4)^Parameters!B$65*F70+C70*Parameters!B$65-Parameters!$B$5*C70^2/F70*Parameters!B$65</f>
        <v>5.6324440063411099E-2</v>
      </c>
      <c r="G71" s="7">
        <f>(1-Parameters!$B$4)^Parameters!B$65*G70+D70*Parameters!B$65-Parameters!$B$5*D70^2/G70*Parameters!B$65</f>
        <v>4.3464626305627112</v>
      </c>
      <c r="H71" s="7">
        <f>H70 *(1-Parameters!$B$4)-B70*(B70&lt;0)*Parameters!B$65</f>
        <v>0</v>
      </c>
      <c r="I71" s="7">
        <f>I70*(1+Parameters!$B$51)^Parameters!B$65</f>
        <v>9.9072120070240466</v>
      </c>
      <c r="J71" s="7">
        <f>J70*(1+Parameters!$B$53)^Parameters!B$65</f>
        <v>34.118054309164208</v>
      </c>
      <c r="K71" s="23">
        <f>EXP(-Parameters!$B$42*A71)*(Parameters!$B$37/Parameters!$B$38*(E71+H71)/Parameters!$B$25*(EXP(-Parameters!$B$38*Parameters!$E$25*H71/(E71+H71))-EXP(-Parameters!$B$38*Parameters!$E$25))  +  Parameters!$B$39*E71*Parameters!$B$28*Parameters!$B$29*EXP((Parameters!$B$53+Parameters!$B$51)*A71))</f>
        <v>113.6869727856588</v>
      </c>
      <c r="L71" s="8">
        <f>L70+K71*Parameters!B$65</f>
        <v>7596.1057153829661</v>
      </c>
      <c r="M71" s="7">
        <f>M70+Parameters!$B$45*K71</f>
        <v>4.5576634292297804</v>
      </c>
      <c r="N71" s="7">
        <f>'6states'!O71</f>
        <v>0.95733032681449526</v>
      </c>
      <c r="O71" s="7">
        <f>MAX(O70+(Parameters!B$31-K71)*Parameters!B$65,30)</f>
        <v>30</v>
      </c>
      <c r="P71" s="7">
        <f>Parameters!B$61*EXP(-Parameters!B$60*A71)+(1-Parameters!B$61)*(O71/Parameters!B$62)^-Parameters!B$63</f>
        <v>0.60811382597139152</v>
      </c>
      <c r="Q71" s="9">
        <f>1-P71/Parameters!$B$12</f>
        <v>0.69594308701430418</v>
      </c>
      <c r="R71" s="23">
        <f t="shared" si="34"/>
        <v>3.2888579647161138</v>
      </c>
      <c r="S71" s="7">
        <f>(Parameters!$B$19*(E71+Parameters!$B$20)^Q71+Parameters!$B$18*F71^Q71)^(1/Q71)</f>
        <v>0.53701903000813178</v>
      </c>
      <c r="T71" s="7">
        <f>(Parameters!$B$10*G71^Parameters!$B$9 + Parameters!$B$11*S71^Parameters!$B$9) ^ (Parameters!$B$7/Parameters!$B$9) * N71</f>
        <v>1.4638130170353914</v>
      </c>
      <c r="U71" s="7">
        <f t="shared" si="35"/>
        <v>1.1128025627066602</v>
      </c>
      <c r="V71" s="7">
        <f>EXP(-Parameters!$B$55*A71)</f>
        <v>0.3636003333045692</v>
      </c>
      <c r="W71" s="7">
        <f>IF(U71&gt;0,U71^(1-Parameters!$B$52)/(1-Parameters!$B$52)*V71,-10+U71*1000)</f>
        <v>-1.0007137965342685</v>
      </c>
      <c r="X71" s="7"/>
      <c r="Y71" s="7"/>
      <c r="Z71" s="7"/>
      <c r="AA71" s="7"/>
    </row>
    <row r="72" spans="1:27" x14ac:dyDescent="0.25">
      <c r="A72">
        <f>A71+Parameters!$B$65</f>
        <v>68</v>
      </c>
      <c r="B72" s="46">
        <f t="shared" si="33"/>
        <v>5.4994544781243625E-2</v>
      </c>
      <c r="C72" s="46">
        <f t="shared" si="31"/>
        <v>3.2100653343699304E-3</v>
      </c>
      <c r="D72" s="46">
        <f t="shared" si="32"/>
        <v>0.29280584421311762</v>
      </c>
      <c r="E72" s="7">
        <f>MAX((1-Parameters!$B$4)^Parameters!B$65*E71+B71*Parameters!B$65-Parameters!$B$5*B71^2/E71*Parameters!B$65,0.0001)</f>
        <v>0.81280914461786447</v>
      </c>
      <c r="F72" s="9">
        <f>(1-Parameters!$B$4)^Parameters!B$65*F71+C71*Parameters!B$65-Parameters!$B$5*C71^2/F71*Parameters!B$65</f>
        <v>5.5808748772191837E-2</v>
      </c>
      <c r="G72" s="7">
        <f>(1-Parameters!$B$4)^Parameters!B$65*G71+D71*Parameters!B$65-Parameters!$B$5*D71^2/G71*Parameters!B$65</f>
        <v>4.3461506792065503</v>
      </c>
      <c r="H72" s="7">
        <f>H71 *(1-Parameters!$B$4)-B71*(B71&lt;0)*Parameters!B$65</f>
        <v>0</v>
      </c>
      <c r="I72" s="7">
        <f>I71*(1+Parameters!$B$51)^Parameters!B$65</f>
        <v>9.9359429218444149</v>
      </c>
      <c r="J72" s="7">
        <f>J71*(1+Parameters!$B$53)^Parameters!B$65</f>
        <v>34.800415395347493</v>
      </c>
      <c r="K72" s="23">
        <f>EXP(-Parameters!$B$42*A72)*(Parameters!$B$37/Parameters!$B$38*(E72+H72)/Parameters!$B$25*(EXP(-Parameters!$B$38*Parameters!$E$25*H72/(E72+H72))-EXP(-Parameters!$B$38*Parameters!$E$25))  +  Parameters!$B$39*E72*Parameters!$B$28*Parameters!$B$29*EXP((Parameters!$B$53+Parameters!$B$51)*A72))</f>
        <v>115.08404915855706</v>
      </c>
      <c r="L72" s="8">
        <f>L71+K72*Parameters!B$65</f>
        <v>7711.1897645415229</v>
      </c>
      <c r="M72" s="7">
        <f>M71+Parameters!$B$45*K72</f>
        <v>4.6267138587249148</v>
      </c>
      <c r="N72" s="7">
        <f>'6states'!O72</f>
        <v>0.9571687151991638</v>
      </c>
      <c r="O72" s="7">
        <f>MAX(O71+(Parameters!B$31-K72)*Parameters!B$65,30)</f>
        <v>30</v>
      </c>
      <c r="P72" s="7">
        <f>Parameters!B$61*EXP(-Parameters!B$60*A72)+(1-Parameters!B$61)*(O72/Parameters!B$62)^-Parameters!B$63</f>
        <v>0.60593187359771528</v>
      </c>
      <c r="Q72" s="9">
        <f>1-P72/Parameters!$B$12</f>
        <v>0.69703406320114236</v>
      </c>
      <c r="R72" s="23">
        <f t="shared" si="34"/>
        <v>3.3007010971794855</v>
      </c>
      <c r="S72" s="7">
        <f>(Parameters!$B$19*(E72+Parameters!$B$20)^Q72+Parameters!$B$18*F72^Q72)^(1/Q72)</f>
        <v>0.5370205895507526</v>
      </c>
      <c r="T72" s="7">
        <f>(Parameters!$B$10*G72^Parameters!$B$9 + Parameters!$B$11*S72^Parameters!$B$9) ^ (Parameters!$B$7/Parameters!$B$9) * N72</f>
        <v>1.4635407454284852</v>
      </c>
      <c r="U72" s="7">
        <f t="shared" si="35"/>
        <v>1.1125302910997541</v>
      </c>
      <c r="V72" s="7">
        <f>EXP(-Parameters!$B$55*A72)</f>
        <v>0.35815121266990152</v>
      </c>
      <c r="W72" s="7">
        <f>IF(U72&gt;0,U72^(1-Parameters!$B$52)/(1-Parameters!$B$52)*V72,-10+U72*1000)</f>
        <v>-0.98580095847871374</v>
      </c>
      <c r="X72" s="7"/>
      <c r="Y72" s="7"/>
      <c r="Z72" s="7"/>
      <c r="AA72" s="7"/>
    </row>
    <row r="73" spans="1:27" x14ac:dyDescent="0.25">
      <c r="A73">
        <f>A72+Parameters!$B$65</f>
        <v>69</v>
      </c>
      <c r="B73" s="46">
        <f t="shared" si="33"/>
        <v>5.4994544781243625E-2</v>
      </c>
      <c r="C73" s="46">
        <f t="shared" si="31"/>
        <v>3.2100653343699304E-3</v>
      </c>
      <c r="D73" s="46">
        <f t="shared" si="32"/>
        <v>0.29280584421311762</v>
      </c>
      <c r="E73" s="7">
        <f>MAX((1-Parameters!$B$4)^Parameters!B$65*E72+B72*Parameters!B$65-Parameters!$B$5*B72^2/E72*Parameters!B$65,0.0001)</f>
        <v>0.81295707155343133</v>
      </c>
      <c r="F73" s="9">
        <f>(1-Parameters!$B$4)^Parameters!B$65*F72+C72*Parameters!B$65-Parameters!$B$5*C72^2/F72*Parameters!B$65</f>
        <v>5.5323803950746681E-2</v>
      </c>
      <c r="G73" s="7">
        <f>(1-Parameters!$B$4)^Parameters!B$65*G72+D72*Parameters!B$65-Parameters!$B$5*D72^2/G72*Parameters!B$65</f>
        <v>4.3458569337785571</v>
      </c>
      <c r="H73" s="7">
        <f>H72 *(1-Parameters!$B$4)-B72*(B72&lt;0)*Parameters!B$65</f>
        <v>0</v>
      </c>
      <c r="I73" s="7">
        <f>I72*(1+Parameters!$B$51)^Parameters!B$65</f>
        <v>9.9647571563177628</v>
      </c>
      <c r="J73" s="7">
        <f>J72*(1+Parameters!$B$53)^Parameters!B$65</f>
        <v>35.496423703254443</v>
      </c>
      <c r="K73" s="23">
        <f>EXP(-Parameters!$B$42*A73)*(Parameters!$B$37/Parameters!$B$38*(E73+H73)/Parameters!$B$25*(EXP(-Parameters!$B$38*Parameters!$E$25*H73/(E73+H73))-EXP(-Parameters!$B$38*Parameters!$E$25))  +  Parameters!$B$39*E73*Parameters!$B$28*Parameters!$B$29*EXP((Parameters!$B$53+Parameters!$B$51)*A73))</f>
        <v>116.49920894043831</v>
      </c>
      <c r="L73" s="8">
        <f>L72+K73*Parameters!B$65</f>
        <v>7827.6889734819615</v>
      </c>
      <c r="M73" s="7">
        <f>M72+Parameters!$B$45*K73</f>
        <v>4.6966133840891775</v>
      </c>
      <c r="N73" s="7">
        <f>'6states'!O73</f>
        <v>0.95700985276203576</v>
      </c>
      <c r="O73" s="7">
        <f>MAX(O72+(Parameters!B$31-K73)*Parameters!B$65,30)</f>
        <v>30</v>
      </c>
      <c r="P73" s="7">
        <f>Parameters!B$61*EXP(-Parameters!B$60*A73)+(1-Parameters!B$61)*(O73/Parameters!B$62)^-Parameters!B$63</f>
        <v>0.60380804572632674</v>
      </c>
      <c r="Q73" s="9">
        <f>1-P73/Parameters!$B$12</f>
        <v>0.69809597713683669</v>
      </c>
      <c r="R73" s="23">
        <f t="shared" si="34"/>
        <v>3.3123109474206829</v>
      </c>
      <c r="S73" s="7">
        <f>(Parameters!$B$19*(E73+Parameters!$B$20)^Q73+Parameters!$B$18*F73^Q73)^(1/Q73)</f>
        <v>0.53702982787956444</v>
      </c>
      <c r="T73" s="7">
        <f>(Parameters!$B$10*G73^Parameters!$B$9 + Parameters!$B$11*S73^Parameters!$B$9) ^ (Parameters!$B$7/Parameters!$B$9) * N73</f>
        <v>1.4632753817712074</v>
      </c>
      <c r="U73" s="7">
        <f t="shared" si="35"/>
        <v>1.1122649274424763</v>
      </c>
      <c r="V73" s="7">
        <f>EXP(-Parameters!$B$55*A73)</f>
        <v>0.35278375564489362</v>
      </c>
      <c r="W73" s="7">
        <f>IF(U73&gt;0,U73^(1-Parameters!$B$52)/(1-Parameters!$B$52)*V73,-10+U73*1000)</f>
        <v>-0.97110826393690675</v>
      </c>
      <c r="X73" s="7"/>
      <c r="Y73" s="7"/>
      <c r="Z73" s="7"/>
      <c r="AA73" s="7"/>
    </row>
    <row r="74" spans="1:27" x14ac:dyDescent="0.25">
      <c r="A74">
        <f>A73+Parameters!$B$65</f>
        <v>70</v>
      </c>
      <c r="B74" s="19">
        <v>5.5067337814162412E-2</v>
      </c>
      <c r="C74" s="19">
        <v>3.024747646627374E-3</v>
      </c>
      <c r="D74" s="18">
        <v>0.29288834148276138</v>
      </c>
      <c r="E74" s="7">
        <f>MAX((1-Parameters!$B$4)^Parameters!B$65*E73+B73*Parameters!B$65-Parameters!$B$5*B73^2/E73*Parameters!B$65,0.0001)</f>
        <v>0.81309637094963461</v>
      </c>
      <c r="F74" s="9">
        <f>(1-Parameters!$B$4)^Parameters!B$65*F73+C73*Parameters!B$65-Parameters!$B$5*C73^2/F73*Parameters!B$65</f>
        <v>5.4867743684485187E-2</v>
      </c>
      <c r="G74" s="7">
        <f>(1-Parameters!$B$4)^Parameters!B$65*G73+D73*Parameters!B$65-Parameters!$B$5*D73^2/G73*Parameters!B$65</f>
        <v>4.3455803315688648</v>
      </c>
      <c r="H74" s="7">
        <f>H73 *(1-Parameters!$B$4)-B73*(B73&lt;0)*Parameters!B$65</f>
        <v>0</v>
      </c>
      <c r="I74" s="7">
        <f>I73*(1+Parameters!$B$51)^Parameters!B$65</f>
        <v>9.9936549520710827</v>
      </c>
      <c r="J74" s="7">
        <f>J73*(1+Parameters!$B$53)^Parameters!B$65</f>
        <v>36.20635217731953</v>
      </c>
      <c r="K74" s="23">
        <f>EXP(-Parameters!$B$42*A74)*(Parameters!$B$37/Parameters!$B$38*(E74+H74)/Parameters!$B$25*(EXP(-Parameters!$B$38*Parameters!$E$25*H74/(E74+H74))-EXP(-Parameters!$B$38*Parameters!$E$25))  +  Parameters!$B$39*E74*Parameters!$B$28*Parameters!$B$29*EXP((Parameters!$B$53+Parameters!$B$51)*A74))</f>
        <v>117.93272769756079</v>
      </c>
      <c r="L74" s="8">
        <f>L73+K74*Parameters!B$65</f>
        <v>7945.6217011795225</v>
      </c>
      <c r="M74" s="7">
        <f>M73+Parameters!$B$45*K74</f>
        <v>4.7673730207077138</v>
      </c>
      <c r="N74" s="7">
        <f>'6states'!O74</f>
        <v>0.9568562711719637</v>
      </c>
      <c r="O74" s="7">
        <f>MAX(O73+(Parameters!B$31-K74)*Parameters!B$65,30)</f>
        <v>30</v>
      </c>
      <c r="P74" s="7">
        <f>Parameters!B$61*EXP(-Parameters!B$60*A74)+(1-Parameters!B$61)*(O74/Parameters!B$62)^-Parameters!B$63</f>
        <v>0.60174079399264813</v>
      </c>
      <c r="Q74" s="9">
        <f>1-P74/Parameters!$B$12</f>
        <v>0.69912960300367599</v>
      </c>
      <c r="R74" s="23">
        <f t="shared" si="34"/>
        <v>3.3236902333472771</v>
      </c>
      <c r="S74" s="7">
        <f>(Parameters!$B$19*(E74+Parameters!$B$20)^Q74+Parameters!$B$18*F74^Q74)^(1/Q74)</f>
        <v>0.53704606593754101</v>
      </c>
      <c r="T74" s="7">
        <f>(Parameters!$B$10*G74^Parameters!$B$9 + Parameters!$B$11*S74^Parameters!$B$9) ^ (Parameters!$B$7/Parameters!$B$9) * N74</f>
        <v>1.4630206007876942</v>
      </c>
      <c r="U74" s="7">
        <f t="shared" si="35"/>
        <v>1.112040173844143</v>
      </c>
      <c r="V74" s="7">
        <f>EXP(-Parameters!$B$55*A74)</f>
        <v>0.34749673837241518</v>
      </c>
      <c r="W74" s="7">
        <f>IF(U74&gt;0,U74^(1-Parameters!$B$52)/(1-Parameters!$B$52)*V74,-10+U74*1000)</f>
        <v>-0.95662234574622529</v>
      </c>
      <c r="X74" s="7"/>
      <c r="Y74" s="7"/>
      <c r="Z74" s="7"/>
      <c r="AA74" s="7"/>
    </row>
    <row r="75" spans="1:27" x14ac:dyDescent="0.25">
      <c r="A75">
        <f>A74+Parameters!$B$65</f>
        <v>71</v>
      </c>
      <c r="B75" s="46">
        <f>B74</f>
        <v>5.5067337814162412E-2</v>
      </c>
      <c r="C75" s="46">
        <f t="shared" ref="C75:C83" si="36">C74</f>
        <v>3.024747646627374E-3</v>
      </c>
      <c r="D75" s="46">
        <f t="shared" ref="D75:D83" si="37">D74</f>
        <v>0.29288834148276138</v>
      </c>
      <c r="E75" s="7">
        <f>MAX((1-Parameters!$B$4)^Parameters!B$65*E74+B74*Parameters!B$65-Parameters!$B$5*B74^2/E74*Parameters!B$65,0.0001)</f>
        <v>0.81329048542936411</v>
      </c>
      <c r="F75" s="9">
        <f>(1-Parameters!$B$4)^Parameters!B$65*F74+C74*Parameters!B$65-Parameters!$B$5*C74^2/F74*Parameters!B$65</f>
        <v>5.4274562038261621E-2</v>
      </c>
      <c r="G75" s="7">
        <f>(1-Parameters!$B$4)^Parameters!B$65*G74+D74*Parameters!B$65-Parameters!$B$5*D74^2/G74*Parameters!B$65</f>
        <v>4.3453912502678307</v>
      </c>
      <c r="H75" s="7">
        <f>H74 *(1-Parameters!$B$4)-B74*(B74&lt;0)*Parameters!B$65</f>
        <v>0</v>
      </c>
      <c r="I75" s="7">
        <f>I74*(1+Parameters!$B$51)^Parameters!B$65</f>
        <v>10.022636551432088</v>
      </c>
      <c r="J75" s="7">
        <f>J74*(1+Parameters!$B$53)^Parameters!B$65</f>
        <v>36.930479220865919</v>
      </c>
      <c r="K75" s="23">
        <f>EXP(-Parameters!$B$42*A75)*(Parameters!$B$37/Parameters!$B$38*(E75+H75)/Parameters!$B$25*(EXP(-Parameters!$B$38*Parameters!$E$25*H75/(E75+H75))-EXP(-Parameters!$B$38*Parameters!$E$25))  +  Parameters!$B$39*E75*Parameters!$B$28*Parameters!$B$29*EXP((Parameters!$B$53+Parameters!$B$51)*A75))</f>
        <v>119.3941220006291</v>
      </c>
      <c r="L75" s="8">
        <f>L74+K75*Parameters!B$65</f>
        <v>8065.0158231801515</v>
      </c>
      <c r="M75" s="7">
        <f>M74+Parameters!$B$45*K75</f>
        <v>4.8390094939080912</v>
      </c>
      <c r="N75" s="7">
        <f>'6states'!O75</f>
        <v>0.95670751644136953</v>
      </c>
      <c r="O75" s="7">
        <f>MAX(O74+(Parameters!B$31-K75)*Parameters!B$65,30)</f>
        <v>30</v>
      </c>
      <c r="P75" s="7">
        <f>Parameters!B$61*EXP(-Parameters!B$60*A75)+(1-Parameters!B$61)*(O75/Parameters!B$62)^-Parameters!B$63</f>
        <v>0.59972861127861121</v>
      </c>
      <c r="Q75" s="9">
        <f>1-P75/Parameters!$B$12</f>
        <v>0.70013569436069445</v>
      </c>
      <c r="R75" s="23">
        <f t="shared" si="34"/>
        <v>3.3348417307222249</v>
      </c>
      <c r="S75" s="7">
        <f>(Parameters!$B$19*(E75+Parameters!$B$20)^Q75+Parameters!$B$18*F75^Q75)^(1/Q75)</f>
        <v>0.53700803196173308</v>
      </c>
      <c r="T75" s="7">
        <f>(Parameters!$B$10*G75^Parameters!$B$9 + Parameters!$B$11*S75^Parameters!$B$9) ^ (Parameters!$B$7/Parameters!$B$9) * N75</f>
        <v>1.462771740628998</v>
      </c>
      <c r="U75" s="7">
        <f t="shared" si="35"/>
        <v>1.1117913136854467</v>
      </c>
      <c r="V75" s="7">
        <f>EXP(-Parameters!$B$55*A75)</f>
        <v>0.34228895533675241</v>
      </c>
      <c r="W75" s="7">
        <f>IF(U75&gt;0,U75^(1-Parameters!$B$52)/(1-Parameters!$B$52)*V75,-10+U75*1000)</f>
        <v>-0.94235967730996306</v>
      </c>
      <c r="X75" s="7"/>
      <c r="Y75" s="7"/>
      <c r="Z75" s="7"/>
      <c r="AA75" s="7"/>
    </row>
    <row r="76" spans="1:27" x14ac:dyDescent="0.25">
      <c r="A76">
        <f>A75+Parameters!$B$65</f>
        <v>72</v>
      </c>
      <c r="B76" s="46">
        <f t="shared" ref="B76:B83" si="38">B75</f>
        <v>5.5067337814162412E-2</v>
      </c>
      <c r="C76" s="46">
        <f t="shared" si="36"/>
        <v>3.024747646627374E-3</v>
      </c>
      <c r="D76" s="46">
        <f t="shared" si="37"/>
        <v>0.29288834148276138</v>
      </c>
      <c r="E76" s="7">
        <f>MAX((1-Parameters!$B$4)^Parameters!B$65*E75+B75*Parameters!B$65-Parameters!$B$5*B75^2/E75*Parameters!B$65,0.0001)</f>
        <v>0.81347328024844867</v>
      </c>
      <c r="F76" s="9">
        <f>(1-Parameters!$B$4)^Parameters!B$65*F75+C75*Parameters!B$65-Parameters!$B$5*C75^2/F75*Parameters!B$65</f>
        <v>5.371686908038803E-2</v>
      </c>
      <c r="G76" s="7">
        <f>(1-Parameters!$B$4)^Parameters!B$65*G75+D75*Parameters!B$65-Parameters!$B$5*D75^2/G75*Parameters!B$65</f>
        <v>4.3452132032144153</v>
      </c>
      <c r="H76" s="7">
        <f>H75 *(1-Parameters!$B$4)-B75*(B75&lt;0)*Parameters!B$65</f>
        <v>0</v>
      </c>
      <c r="I76" s="7">
        <f>I75*(1+Parameters!$B$51)^Parameters!B$65</f>
        <v>10.05170219743124</v>
      </c>
      <c r="J76" s="7">
        <f>J75*(1+Parameters!$B$53)^Parameters!B$65</f>
        <v>37.669088805283238</v>
      </c>
      <c r="K76" s="23">
        <f>EXP(-Parameters!$B$42*A76)*(Parameters!$B$37/Parameters!$B$38*(E76+H76)/Parameters!$B$25*(EXP(-Parameters!$B$38*Parameters!$E$25*H76/(E76+H76))-EXP(-Parameters!$B$38*Parameters!$E$25))  +  Parameters!$B$39*E76*Parameters!$B$28*Parameters!$B$29*EXP((Parameters!$B$53+Parameters!$B$51)*A76))</f>
        <v>120.87410994335904</v>
      </c>
      <c r="L76" s="8">
        <f>L75+K76*Parameters!B$65</f>
        <v>8185.8899331235107</v>
      </c>
      <c r="M76" s="7">
        <f>M75+Parameters!$B$45*K76</f>
        <v>4.9115339598741068</v>
      </c>
      <c r="N76" s="7">
        <f>'6states'!O76</f>
        <v>0.95656309107328918</v>
      </c>
      <c r="O76" s="7">
        <f>MAX(O75+(Parameters!B$31-K76)*Parameters!B$65,30)</f>
        <v>30</v>
      </c>
      <c r="P76" s="7">
        <f>Parameters!B$61*EXP(-Parameters!B$60*A76)+(1-Parameters!B$61)*(O76/Parameters!B$62)^-Parameters!B$63</f>
        <v>0.59777003061390255</v>
      </c>
      <c r="Q76" s="9">
        <f>1-P76/Parameters!$B$12</f>
        <v>0.70111498469304867</v>
      </c>
      <c r="R76" s="23">
        <f t="shared" si="34"/>
        <v>3.3457682680177592</v>
      </c>
      <c r="S76" s="7">
        <f>(Parameters!$B$19*(E76+Parameters!$B$20)^Q76+Parameters!$B$18*F76^Q76)^(1/Q76)</f>
        <v>0.53697950838377462</v>
      </c>
      <c r="T76" s="7">
        <f>(Parameters!$B$10*G76^Parameters!$B$9 + Parameters!$B$11*S76^Parameters!$B$9) ^ (Parameters!$B$7/Parameters!$B$9) * N76</f>
        <v>1.4625319092215563</v>
      </c>
      <c r="U76" s="7">
        <f t="shared" si="35"/>
        <v>1.111551482278005</v>
      </c>
      <c r="V76" s="7">
        <f>EXP(-Parameters!$B$55*A76)</f>
        <v>0.33715921908873309</v>
      </c>
      <c r="W76" s="7">
        <f>IF(U76&gt;0,U76^(1-Parameters!$B$52)/(1-Parameters!$B$52)*V76,-10+U76*1000)</f>
        <v>-0.92830703390332436</v>
      </c>
      <c r="X76" s="7"/>
      <c r="Y76" s="7"/>
      <c r="Z76" s="7"/>
      <c r="AA76" s="7"/>
    </row>
    <row r="77" spans="1:27" x14ac:dyDescent="0.25">
      <c r="A77">
        <f>A76+Parameters!$B$65</f>
        <v>73</v>
      </c>
      <c r="B77" s="46">
        <f t="shared" si="38"/>
        <v>5.5067337814162412E-2</v>
      </c>
      <c r="C77" s="46">
        <f t="shared" si="36"/>
        <v>3.024747646627374E-3</v>
      </c>
      <c r="D77" s="46">
        <f t="shared" si="37"/>
        <v>0.29288834148276138</v>
      </c>
      <c r="E77" s="7">
        <f>MAX((1-Parameters!$B$4)^Parameters!B$65*E76+B76*Parameters!B$65-Parameters!$B$5*B76^2/E76*Parameters!B$65,0.0001)</f>
        <v>0.81364541511721455</v>
      </c>
      <c r="F77" s="9">
        <f>(1-Parameters!$B$4)^Parameters!B$65*F76+C76*Parameters!B$65-Parameters!$B$5*C76^2/F76*Parameters!B$65</f>
        <v>5.3192504895172348E-2</v>
      </c>
      <c r="G77" s="7">
        <f>(1-Parameters!$B$4)^Parameters!B$65*G76+D76*Parameters!B$65-Parameters!$B$5*D76^2/G76*Parameters!B$65</f>
        <v>4.3450455464129316</v>
      </c>
      <c r="H77" s="7">
        <f>H76 *(1-Parameters!$B$4)-B76*(B76&lt;0)*Parameters!B$65</f>
        <v>0</v>
      </c>
      <c r="I77" s="7">
        <f>I76*(1+Parameters!$B$51)^Parameters!B$65</f>
        <v>10.08085213380379</v>
      </c>
      <c r="J77" s="7">
        <f>J76*(1+Parameters!$B$53)^Parameters!B$65</f>
        <v>38.4224705813889</v>
      </c>
      <c r="K77" s="23">
        <f>EXP(-Parameters!$B$42*A77)*(Parameters!$B$37/Parameters!$B$38*(E77+H77)/Parameters!$B$25*(EXP(-Parameters!$B$38*Parameters!$E$25*H77/(E77+H77))-EXP(-Parameters!$B$38*Parameters!$E$25))  +  Parameters!$B$39*E77*Parameters!$B$28*Parameters!$B$29*EXP((Parameters!$B$53+Parameters!$B$51)*A77))</f>
        <v>122.37298797019461</v>
      </c>
      <c r="L77" s="8">
        <f>L76+K77*Parameters!B$65</f>
        <v>8308.2629210937048</v>
      </c>
      <c r="M77" s="7">
        <f>M76+Parameters!$B$45*K77</f>
        <v>4.9849577526562232</v>
      </c>
      <c r="N77" s="7">
        <f>'6states'!O77</f>
        <v>0.95642267645183088</v>
      </c>
      <c r="O77" s="7">
        <f>MAX(O76+(Parameters!B$31-K77)*Parameters!B$65,30)</f>
        <v>30</v>
      </c>
      <c r="P77" s="7">
        <f>Parameters!B$61*EXP(-Parameters!B$60*A77)+(1-Parameters!B$61)*(O77/Parameters!B$62)^-Parameters!B$63</f>
        <v>0.59586362410647609</v>
      </c>
      <c r="Q77" s="9">
        <f>1-P77/Parameters!$B$12</f>
        <v>0.70206818794676196</v>
      </c>
      <c r="R77" s="23">
        <f t="shared" si="34"/>
        <v>3.3564727214202557</v>
      </c>
      <c r="S77" s="7">
        <f>(Parameters!$B$19*(E77+Parameters!$B$20)^Q77+Parameters!$B$18*F77^Q77)^(1/Q77)</f>
        <v>0.53695973092397065</v>
      </c>
      <c r="T77" s="7">
        <f>(Parameters!$B$10*G77^Parameters!$B$9 + Parameters!$B$11*S77^Parameters!$B$9) ^ (Parameters!$B$7/Parameters!$B$9) * N77</f>
        <v>1.462300445104576</v>
      </c>
      <c r="U77" s="7">
        <f t="shared" si="35"/>
        <v>1.1113200181610248</v>
      </c>
      <c r="V77" s="7">
        <f>EXP(-Parameters!$B$55*A77)</f>
        <v>0.33210635997497118</v>
      </c>
      <c r="W77" s="7">
        <f>IF(U77&gt;0,U77^(1-Parameters!$B$52)/(1-Parameters!$B$52)*V77,-10+U77*1000)</f>
        <v>-0.91446155123597095</v>
      </c>
      <c r="X77" s="7"/>
      <c r="Y77" s="7"/>
      <c r="Z77" s="7"/>
      <c r="AA77" s="7"/>
    </row>
    <row r="78" spans="1:27" x14ac:dyDescent="0.25">
      <c r="A78">
        <f>A77+Parameters!$B$65</f>
        <v>74</v>
      </c>
      <c r="B78" s="46">
        <f t="shared" si="38"/>
        <v>5.5067337814162412E-2</v>
      </c>
      <c r="C78" s="46">
        <f t="shared" si="36"/>
        <v>3.024747646627374E-3</v>
      </c>
      <c r="D78" s="46">
        <f t="shared" si="37"/>
        <v>0.29288834148276138</v>
      </c>
      <c r="E78" s="7">
        <f>MAX((1-Parameters!$B$4)^Parameters!B$65*E77+B77*Parameters!B$65-Parameters!$B$5*B77^2/E77*Parameters!B$65,0.0001)</f>
        <v>0.81380751134226414</v>
      </c>
      <c r="F78" s="9">
        <f>(1-Parameters!$B$4)^Parameters!B$65*F77+C77*Parameters!B$65-Parameters!$B$5*C77^2/F77*Parameters!B$65</f>
        <v>5.2699444219193294E-2</v>
      </c>
      <c r="G78" s="7">
        <f>(1-Parameters!$B$4)^Parameters!B$65*G77+D77*Parameters!B$65-Parameters!$B$5*D77^2/G77*Parameters!B$65</f>
        <v>4.3448876734611774</v>
      </c>
      <c r="H78" s="7">
        <f>H77 *(1-Parameters!$B$4)-B77*(B77&lt;0)*Parameters!B$65</f>
        <v>0</v>
      </c>
      <c r="I78" s="7">
        <f>I77*(1+Parameters!$B$51)^Parameters!B$65</f>
        <v>10.110086604991819</v>
      </c>
      <c r="J78" s="7">
        <f>J77*(1+Parameters!$B$53)^Parameters!B$65</f>
        <v>39.190919993016678</v>
      </c>
      <c r="K78" s="23">
        <f>EXP(-Parameters!$B$42*A78)*(Parameters!$B$37/Parameters!$B$38*(E78+H78)/Parameters!$B$25*(EXP(-Parameters!$B$38*Parameters!$E$25*H78/(E78+H78))-EXP(-Parameters!$B$38*Parameters!$E$25))  +  Parameters!$B$39*E78*Parameters!$B$28*Parameters!$B$29*EXP((Parameters!$B$53+Parameters!$B$51)*A78))</f>
        <v>123.89105335384453</v>
      </c>
      <c r="L78" s="8">
        <f>L77+K78*Parameters!B$65</f>
        <v>8432.1539744475485</v>
      </c>
      <c r="M78" s="7">
        <f>M77+Parameters!$B$45*K78</f>
        <v>5.05929238466853</v>
      </c>
      <c r="N78" s="7">
        <f>'6states'!O78</f>
        <v>0.9562860547482892</v>
      </c>
      <c r="O78" s="7">
        <f>MAX(O77+(Parameters!B$31-K78)*Parameters!B$65,30)</f>
        <v>30</v>
      </c>
      <c r="P78" s="7">
        <f>Parameters!B$61*EXP(-Parameters!B$60*A78)+(1-Parameters!B$61)*(O78/Parameters!B$62)^-Parameters!B$63</f>
        <v>0.59400800190155745</v>
      </c>
      <c r="Q78" s="9">
        <f>1-P78/Parameters!$B$12</f>
        <v>0.70299599904922128</v>
      </c>
      <c r="R78" s="23">
        <f t="shared" si="34"/>
        <v>3.3669580099889833</v>
      </c>
      <c r="S78" s="7">
        <f>(Parameters!$B$19*(E78+Parameters!$B$20)^Q78+Parameters!$B$18*F78^Q78)^(1/Q78)</f>
        <v>0.53694798470196548</v>
      </c>
      <c r="T78" s="7">
        <f>(Parameters!$B$10*G78^Parameters!$B$9 + Parameters!$B$11*S78^Parameters!$B$9) ^ (Parameters!$B$7/Parameters!$B$9) * N78</f>
        <v>1.4620768517200848</v>
      </c>
      <c r="U78" s="7">
        <f t="shared" si="35"/>
        <v>1.1110964247765336</v>
      </c>
      <c r="V78" s="7">
        <f>EXP(-Parameters!$B$55*A78)</f>
        <v>0.32712922587116899</v>
      </c>
      <c r="W78" s="7">
        <f>IF(U78&gt;0,U78^(1-Parameters!$B$52)/(1-Parameters!$B$52)*V78,-10+U78*1000)</f>
        <v>-0.9008203509603584</v>
      </c>
      <c r="X78" s="7"/>
      <c r="Y78" s="7"/>
      <c r="Z78" s="7"/>
      <c r="AA78" s="7"/>
    </row>
    <row r="79" spans="1:27" x14ac:dyDescent="0.25">
      <c r="A79">
        <f>A78+Parameters!$B$65</f>
        <v>75</v>
      </c>
      <c r="B79" s="46">
        <f t="shared" si="38"/>
        <v>5.5067337814162412E-2</v>
      </c>
      <c r="C79" s="46">
        <f t="shared" si="36"/>
        <v>3.024747646627374E-3</v>
      </c>
      <c r="D79" s="46">
        <f t="shared" si="37"/>
        <v>0.29288834148276138</v>
      </c>
      <c r="E79" s="7">
        <f>MAX((1-Parameters!$B$4)^Parameters!B$65*E78+B78*Parameters!B$65-Parameters!$B$5*B78^2/E78*Parameters!B$65,0.0001)</f>
        <v>0.81396015405702404</v>
      </c>
      <c r="F79" s="9">
        <f>(1-Parameters!$B$4)^Parameters!B$65*F78+C78*Parameters!B$65-Parameters!$B$5*C78^2/F78*Parameters!B$65</f>
        <v>5.2235787814673765E-2</v>
      </c>
      <c r="G79" s="7">
        <f>(1-Parameters!$B$4)^Parameters!B$65*G78+D78*Parameters!B$65-Parameters!$B$5*D78^2/G78*Parameters!B$65</f>
        <v>4.3447390133550243</v>
      </c>
      <c r="H79" s="7">
        <f>H78 *(1-Parameters!$B$4)-B78*(B78&lt;0)*Parameters!B$65</f>
        <v>0</v>
      </c>
      <c r="I79" s="7">
        <f>I78*(1+Parameters!$B$51)^Parameters!B$65</f>
        <v>10.139405856146295</v>
      </c>
      <c r="J79" s="7">
        <f>J78*(1+Parameters!$B$53)^Parameters!B$65</f>
        <v>39.974738392877015</v>
      </c>
      <c r="K79" s="23">
        <f>EXP(-Parameters!$B$42*A79)*(Parameters!$B$37/Parameters!$B$38*(E79+H79)/Parameters!$B$25*(EXP(-Parameters!$B$38*Parameters!$E$25*H79/(E79+H79))-EXP(-Parameters!$B$38*Parameters!$E$25))  +  Parameters!$B$39*E79*Parameters!$B$28*Parameters!$B$29*EXP((Parameters!$B$53+Parameters!$B$51)*A79))</f>
        <v>125.42860435718752</v>
      </c>
      <c r="L79" s="8">
        <f>L78+K79*Parameters!B$65</f>
        <v>8557.5825788047368</v>
      </c>
      <c r="M79" s="7">
        <f>M78+Parameters!$B$45*K79</f>
        <v>5.1345495472828429</v>
      </c>
      <c r="N79" s="7">
        <f>'6states'!O79</f>
        <v>0.95615300733237962</v>
      </c>
      <c r="O79" s="7">
        <f>MAX(O78+(Parameters!B$31-K79)*Parameters!B$65,30)</f>
        <v>30</v>
      </c>
      <c r="P79" s="7">
        <f>Parameters!B$61*EXP(-Parameters!B$60*A79)+(1-Parameters!B$61)*(O79/Parameters!B$62)^-Parameters!B$63</f>
        <v>0.59220181116837778</v>
      </c>
      <c r="Q79" s="9">
        <f>1-P79/Parameters!$B$12</f>
        <v>0.70389909441581111</v>
      </c>
      <c r="R79" s="23">
        <f t="shared" si="34"/>
        <v>3.3772270909711049</v>
      </c>
      <c r="S79" s="7">
        <f>(Parameters!$B$19*(E79+Parameters!$B$20)^Q79+Parameters!$B$18*F79^Q79)^(1/Q79)</f>
        <v>0.53694360151563492</v>
      </c>
      <c r="T79" s="7">
        <f>(Parameters!$B$10*G79^Parameters!$B$9 + Parameters!$B$11*S79^Parameters!$B$9) ^ (Parameters!$B$7/Parameters!$B$9) * N79</f>
        <v>1.4618606415178126</v>
      </c>
      <c r="U79" s="7">
        <f t="shared" si="35"/>
        <v>1.1108802145742613</v>
      </c>
      <c r="V79" s="7">
        <f>EXP(-Parameters!$B$55*A79)</f>
        <v>0.32222668191941661</v>
      </c>
      <c r="W79" s="7">
        <f>IF(U79&gt;0,U79^(1-Parameters!$B$52)/(1-Parameters!$B$52)*V79,-10+U79*1000)</f>
        <v>-0.88738058747040571</v>
      </c>
      <c r="X79" s="7"/>
      <c r="Y79" s="7"/>
      <c r="Z79" s="7"/>
      <c r="AA79" s="7"/>
    </row>
    <row r="80" spans="1:27" x14ac:dyDescent="0.25">
      <c r="A80">
        <f>A79+Parameters!$B$65</f>
        <v>76</v>
      </c>
      <c r="B80" s="46">
        <f t="shared" si="38"/>
        <v>5.5067337814162412E-2</v>
      </c>
      <c r="C80" s="46">
        <f t="shared" si="36"/>
        <v>3.024747646627374E-3</v>
      </c>
      <c r="D80" s="46">
        <f t="shared" si="37"/>
        <v>0.29288834148276138</v>
      </c>
      <c r="E80" s="7">
        <f>MAX((1-Parameters!$B$4)^Parameters!B$65*E79+B79*Parameters!B$65-Parameters!$B$5*B79^2/E79*Parameters!B$65,0.0001)</f>
        <v>0.81410389432331742</v>
      </c>
      <c r="F80" s="9">
        <f>(1-Parameters!$B$4)^Parameters!B$65*F79+C79*Parameters!B$65-Parameters!$B$5*C79^2/F79*Parameters!B$65</f>
        <v>5.179975440603448E-2</v>
      </c>
      <c r="G80" s="7">
        <f>(1-Parameters!$B$4)^Parameters!B$65*G79+D79*Parameters!B$65-Parameters!$B$5*D79^2/G79*Parameters!B$65</f>
        <v>4.3445990284213165</v>
      </c>
      <c r="H80" s="7">
        <f>H79 *(1-Parameters!$B$4)-B79*(B79&lt;0)*Parameters!B$65</f>
        <v>0</v>
      </c>
      <c r="I80" s="7">
        <f>I79*(1+Parameters!$B$51)^Parameters!B$65</f>
        <v>10.168810133129119</v>
      </c>
      <c r="J80" s="7">
        <f>J79*(1+Parameters!$B$53)^Parameters!B$65</f>
        <v>40.774233160734553</v>
      </c>
      <c r="K80" s="23">
        <f>EXP(-Parameters!$B$42*A80)*(Parameters!$B$37/Parameters!$B$38*(E80+H80)/Parameters!$B$25*(EXP(-Parameters!$B$38*Parameters!$E$25*H80/(E80+H80))-EXP(-Parameters!$B$38*Parameters!$E$25))  +  Parameters!$B$39*E80*Parameters!$B$28*Parameters!$B$29*EXP((Parameters!$B$53+Parameters!$B$51)*A80))</f>
        <v>126.98594038975453</v>
      </c>
      <c r="L80" s="8">
        <f>L79+K80*Parameters!B$65</f>
        <v>8684.5685191944922</v>
      </c>
      <c r="M80" s="7">
        <f>M79+Parameters!$B$45*K80</f>
        <v>5.2107411115166959</v>
      </c>
      <c r="N80" s="7">
        <f>'6states'!O80</f>
        <v>0.95602325802616261</v>
      </c>
      <c r="O80" s="7">
        <f>MAX(O79+(Parameters!B$31-K80)*Parameters!B$65,30)</f>
        <v>30</v>
      </c>
      <c r="P80" s="7">
        <f>Parameters!B$61*EXP(-Parameters!B$60*A80)+(1-Parameters!B$61)*(O80/Parameters!B$62)^-Parameters!B$63</f>
        <v>0.59044373511390014</v>
      </c>
      <c r="Q80" s="9">
        <f>1-P80/Parameters!$B$12</f>
        <v>0.70477813244304999</v>
      </c>
      <c r="R80" s="23">
        <f t="shared" si="34"/>
        <v>3.3872829552746264</v>
      </c>
      <c r="S80" s="7">
        <f>(Parameters!$B$19*(E80+Parameters!$B$20)^Q80+Parameters!$B$18*F80^Q80)^(1/Q80)</f>
        <v>0.53694595722771532</v>
      </c>
      <c r="T80" s="7">
        <f>(Parameters!$B$10*G80^Parameters!$B$9 + Parameters!$B$11*S80^Parameters!$B$9) ^ (Parameters!$B$7/Parameters!$B$9) * N80</f>
        <v>1.4616512486483135</v>
      </c>
      <c r="U80" s="7">
        <f t="shared" si="35"/>
        <v>1.1106708217047623</v>
      </c>
      <c r="V80" s="7">
        <f>EXP(-Parameters!$B$55*A80)</f>
        <v>0.31739761026942775</v>
      </c>
      <c r="W80" s="7">
        <f>IF(U80&gt;0,U80^(1-Parameters!$B$52)/(1-Parameters!$B$52)*V80,-10+U80*1000)</f>
        <v>-0.87413947180612517</v>
      </c>
      <c r="X80" s="7"/>
      <c r="Y80" s="7"/>
      <c r="Z80" s="7"/>
      <c r="AA80" s="7"/>
    </row>
    <row r="81" spans="1:27" x14ac:dyDescent="0.25">
      <c r="A81">
        <f>A80+Parameters!$B$65</f>
        <v>77</v>
      </c>
      <c r="B81" s="46">
        <f t="shared" si="38"/>
        <v>5.5067337814162412E-2</v>
      </c>
      <c r="C81" s="46">
        <f t="shared" si="36"/>
        <v>3.024747646627374E-3</v>
      </c>
      <c r="D81" s="46">
        <f t="shared" si="37"/>
        <v>0.29288834148276138</v>
      </c>
      <c r="E81" s="7">
        <f>MAX((1-Parameters!$B$4)^Parameters!B$65*E80+B80*Parameters!B$65-Parameters!$B$5*B80^2/E80*Parameters!B$65,0.0001)</f>
        <v>0.81423925111135298</v>
      </c>
      <c r="F81" s="9">
        <f>(1-Parameters!$B$4)^Parameters!B$65*F80+C80*Parameters!B$65-Parameters!$B$5*C80^2/F80*Parameters!B$65</f>
        <v>5.1389673143308889E-2</v>
      </c>
      <c r="G81" s="7">
        <f>(1-Parameters!$B$4)^Parameters!B$65*G80+D80*Parameters!B$65-Parameters!$B$5*D80^2/G80*Parameters!B$65</f>
        <v>4.3444672123715717</v>
      </c>
      <c r="H81" s="7">
        <f>H80 *(1-Parameters!$B$4)-B80*(B80&lt;0)*Parameters!B$65</f>
        <v>0</v>
      </c>
      <c r="I81" s="7">
        <f>I80*(1+Parameters!$B$51)^Parameters!B$65</f>
        <v>10.198299682515193</v>
      </c>
      <c r="J81" s="7">
        <f>J80*(1+Parameters!$B$53)^Parameters!B$65</f>
        <v>41.589717823949243</v>
      </c>
      <c r="K81" s="23">
        <f>EXP(-Parameters!$B$42*A81)*(Parameters!$B$37/Parameters!$B$38*(E81+H81)/Parameters!$B$25*(EXP(-Parameters!$B$38*Parameters!$E$25*H81/(E81+H81))-EXP(-Parameters!$B$38*Parameters!$E$25))  +  Parameters!$B$39*E81*Parameters!$B$28*Parameters!$B$29*EXP((Parameters!$B$53+Parameters!$B$51)*A81))</f>
        <v>128.56336215909442</v>
      </c>
      <c r="L81" s="8">
        <f>L80+K81*Parameters!B$65</f>
        <v>8813.1318813535872</v>
      </c>
      <c r="M81" s="7">
        <f>M80+Parameters!$B$45*K81</f>
        <v>5.2878791288121523</v>
      </c>
      <c r="N81" s="7">
        <f>'6states'!O81</f>
        <v>0.95589662382476015</v>
      </c>
      <c r="O81" s="7">
        <f>MAX(O80+(Parameters!B$31-K81)*Parameters!B$65,30)</f>
        <v>30</v>
      </c>
      <c r="P81" s="7">
        <f>Parameters!B$61*EXP(-Parameters!B$60*A81)+(1-Parameters!B$61)*(O81/Parameters!B$62)^-Parameters!B$63</f>
        <v>0.58873249202281963</v>
      </c>
      <c r="Q81" s="9">
        <f>1-P81/Parameters!$B$12</f>
        <v>0.70563375398859018</v>
      </c>
      <c r="R81" s="23">
        <f t="shared" si="34"/>
        <v>3.3971286231004876</v>
      </c>
      <c r="S81" s="7">
        <f>(Parameters!$B$19*(E81+Parameters!$B$20)^Q81+Parameters!$B$18*F81^Q81)^(1/Q81)</f>
        <v>0.53695446926098789</v>
      </c>
      <c r="T81" s="7">
        <f>(Parameters!$B$10*G81^Parameters!$B$9 + Parameters!$B$11*S81^Parameters!$B$9) ^ (Parameters!$B$7/Parameters!$B$9) * N81</f>
        <v>1.461448258870178</v>
      </c>
      <c r="U81" s="7">
        <f t="shared" si="35"/>
        <v>1.1104678319266268</v>
      </c>
      <c r="V81" s="7">
        <f>EXP(-Parameters!$B$55*A81)</f>
        <v>0.31264090982365395</v>
      </c>
      <c r="W81" s="7">
        <f>IF(U81&gt;0,U81^(1-Parameters!$B$52)/(1-Parameters!$B$52)*V81,-10+U81*1000)</f>
        <v>-0.86109420733220254</v>
      </c>
      <c r="X81" s="7"/>
      <c r="Y81" s="7"/>
      <c r="Z81" s="7"/>
      <c r="AA81" s="7"/>
    </row>
    <row r="82" spans="1:27" x14ac:dyDescent="0.25">
      <c r="A82">
        <f>A81+Parameters!$B$65</f>
        <v>78</v>
      </c>
      <c r="B82" s="46">
        <f t="shared" si="38"/>
        <v>5.5067337814162412E-2</v>
      </c>
      <c r="C82" s="46">
        <f t="shared" si="36"/>
        <v>3.024747646627374E-3</v>
      </c>
      <c r="D82" s="46">
        <f t="shared" si="37"/>
        <v>0.29288834148276138</v>
      </c>
      <c r="E82" s="7">
        <f>MAX((1-Parameters!$B$4)^Parameters!B$65*E81+B81*Parameters!B$65-Parameters!$B$5*B81^2/E81*Parameters!B$65,0.0001)</f>
        <v>0.81436671316510445</v>
      </c>
      <c r="F82" s="9">
        <f>(1-Parameters!$B$4)^Parameters!B$65*F81+C81*Parameters!B$65-Parameters!$B$5*C81^2/F81*Parameters!B$65</f>
        <v>5.1003976558264483E-2</v>
      </c>
      <c r="G82" s="7">
        <f>(1-Parameters!$B$4)^Parameters!B$65*G81+D81*Parameters!B$65-Parameters!$B$5*D81^2/G81*Parameters!B$65</f>
        <v>4.3443430884694019</v>
      </c>
      <c r="H82" s="7">
        <f>H81 *(1-Parameters!$B$4)-B81*(B81&lt;0)*Parameters!B$65</f>
        <v>0</v>
      </c>
      <c r="I82" s="7">
        <f>I81*(1+Parameters!$B$51)^Parameters!B$65</f>
        <v>10.227874751594486</v>
      </c>
      <c r="J82" s="7">
        <f>J81*(1+Parameters!$B$53)^Parameters!B$65</f>
        <v>42.42151218042823</v>
      </c>
      <c r="K82" s="23">
        <f>EXP(-Parameters!$B$42*A82)*(Parameters!$B$37/Parameters!$B$38*(E82+H82)/Parameters!$B$25*(EXP(-Parameters!$B$38*Parameters!$E$25*H82/(E82+H82))-EXP(-Parameters!$B$38*Parameters!$E$25))  +  Parameters!$B$39*E82*Parameters!$B$28*Parameters!$B$29*EXP((Parameters!$B$53+Parameters!$B$51)*A82))</f>
        <v>130.16117181731627</v>
      </c>
      <c r="L82" s="8">
        <f>L81+K82*Parameters!B$65</f>
        <v>8943.2930531709044</v>
      </c>
      <c r="M82" s="7">
        <f>M81+Parameters!$B$45*K82</f>
        <v>5.3659758319025421</v>
      </c>
      <c r="N82" s="7">
        <f>'6states'!O82</f>
        <v>0.95577298687494572</v>
      </c>
      <c r="O82" s="7">
        <f>MAX(O81+(Parameters!B$31-K82)*Parameters!B$65,30)</f>
        <v>30</v>
      </c>
      <c r="P82" s="7">
        <f>Parameters!B$61*EXP(-Parameters!B$60*A82)+(1-Parameters!B$61)*(O82/Parameters!B$62)^-Parameters!B$63</f>
        <v>0.58706683432313556</v>
      </c>
      <c r="Q82" s="9">
        <f>1-P82/Parameters!$B$12</f>
        <v>0.70646658283843222</v>
      </c>
      <c r="R82" s="23">
        <f t="shared" si="34"/>
        <v>3.4067671397344728</v>
      </c>
      <c r="S82" s="7">
        <f>(Parameters!$B$19*(E82+Parameters!$B$20)^Q82+Parameters!$B$18*F82^Q82)^(1/Q82)</f>
        <v>0.53696859420204446</v>
      </c>
      <c r="T82" s="7">
        <f>(Parameters!$B$10*G82^Parameters!$B$9 + Parameters!$B$11*S82^Parameters!$B$9) ^ (Parameters!$B$7/Parameters!$B$9) * N82</f>
        <v>1.4612513661953996</v>
      </c>
      <c r="U82" s="7">
        <f t="shared" si="35"/>
        <v>1.1102709392518484</v>
      </c>
      <c r="V82" s="7">
        <f>EXP(-Parameters!$B$55*A82)</f>
        <v>0.30795549598621846</v>
      </c>
      <c r="W82" s="7">
        <f>IF(U82&gt;0,U82^(1-Parameters!$B$52)/(1-Parameters!$B$52)*V82,-10+U82*1000)</f>
        <v>-0.84824200407870542</v>
      </c>
      <c r="X82" s="7"/>
      <c r="Y82" s="7"/>
      <c r="Z82" s="7"/>
      <c r="AA82" s="7"/>
    </row>
    <row r="83" spans="1:27" x14ac:dyDescent="0.25">
      <c r="A83">
        <f>A82+Parameters!$B$65</f>
        <v>79</v>
      </c>
      <c r="B83" s="46">
        <f t="shared" si="38"/>
        <v>5.5067337814162412E-2</v>
      </c>
      <c r="C83" s="46">
        <f t="shared" si="36"/>
        <v>3.024747646627374E-3</v>
      </c>
      <c r="D83" s="46">
        <f t="shared" si="37"/>
        <v>0.29288834148276138</v>
      </c>
      <c r="E83" s="7">
        <f>MAX((1-Parameters!$B$4)^Parameters!B$65*E82+B82*Parameters!B$65-Parameters!$B$5*B82^2/E82*Parameters!B$65,0.0001)</f>
        <v>0.8144867407596631</v>
      </c>
      <c r="F83" s="9">
        <f>(1-Parameters!$B$4)^Parameters!B$65*F82+C82*Parameters!B$65-Parameters!$B$5*C82^2/F82*Parameters!B$65</f>
        <v>5.0641193981134557E-2</v>
      </c>
      <c r="G83" s="7">
        <f>(1-Parameters!$B$4)^Parameters!B$65*G82+D82*Parameters!B$65-Parameters!$B$5*D82^2/G82*Parameters!B$65</f>
        <v>4.3442262078050176</v>
      </c>
      <c r="H83" s="7">
        <f>H82 *(1-Parameters!$B$4)-B82*(B82&lt;0)*Parameters!B$65</f>
        <v>0</v>
      </c>
      <c r="I83" s="7">
        <f>I82*(1+Parameters!$B$51)^Parameters!B$65</f>
        <v>10.257535588374109</v>
      </c>
      <c r="J83" s="7">
        <f>J82*(1+Parameters!$B$53)^Parameters!B$65</f>
        <v>43.269942424036799</v>
      </c>
      <c r="K83" s="23">
        <f>EXP(-Parameters!$B$42*A83)*(Parameters!$B$37/Parameters!$B$38*(E83+H83)/Parameters!$B$25*(EXP(-Parameters!$B$38*Parameters!$E$25*H83/(E83+H83))-EXP(-Parameters!$B$38*Parameters!$E$25))  +  Parameters!$B$39*E83*Parameters!$B$28*Parameters!$B$29*EXP((Parameters!$B$53+Parameters!$B$51)*A83))</f>
        <v>131.77967310308657</v>
      </c>
      <c r="L83" s="8">
        <f>L82+K83*Parameters!B$65</f>
        <v>9075.0727262739911</v>
      </c>
      <c r="M83" s="7">
        <f>M82+Parameters!$B$45*K83</f>
        <v>5.4450436357643941</v>
      </c>
      <c r="N83" s="7">
        <f>'6states'!O83</f>
        <v>0.95565219445337957</v>
      </c>
      <c r="O83" s="7">
        <f>MAX(O82+(Parameters!B$31-K83)*Parameters!B$65,30)</f>
        <v>30</v>
      </c>
      <c r="P83" s="7">
        <f>Parameters!B$61*EXP(-Parameters!B$60*A83)+(1-Parameters!B$61)*(O83/Parameters!B$62)^-Parameters!B$63</f>
        <v>0.5854455476766165</v>
      </c>
      <c r="Q83" s="9">
        <f>1-P83/Parameters!$B$12</f>
        <v>0.70727722616169175</v>
      </c>
      <c r="R83" s="23">
        <f t="shared" si="34"/>
        <v>3.4162015714990854</v>
      </c>
      <c r="S83" s="7">
        <f>(Parameters!$B$19*(E83+Parameters!$B$20)^Q83+Parameters!$B$18*F83^Q83)^(1/Q83)</f>
        <v>0.5369878255129823</v>
      </c>
      <c r="T83" s="7">
        <f>(Parameters!$B$10*G83^Parameters!$B$9 + Parameters!$B$11*S83^Parameters!$B$9) ^ (Parameters!$B$7/Parameters!$B$9) * N83</f>
        <v>1.4610602194800577</v>
      </c>
      <c r="U83" s="7">
        <f t="shared" si="35"/>
        <v>1.1100797925365065</v>
      </c>
      <c r="V83" s="7">
        <f>EXP(-Parameters!$B$55*A83)</f>
        <v>0.30334030041561322</v>
      </c>
      <c r="W83" s="7">
        <f>IF(U83&gt;0,U83^(1-Parameters!$B$52)/(1-Parameters!$B$52)*V83,-10+U83*1000)</f>
        <v>-0.83558012092004896</v>
      </c>
      <c r="X83" s="7"/>
      <c r="Y83" s="7"/>
      <c r="Z83" s="7"/>
      <c r="AA83" s="7"/>
    </row>
    <row r="84" spans="1:27" x14ac:dyDescent="0.25">
      <c r="A84">
        <f>A83+Parameters!$B$65</f>
        <v>80</v>
      </c>
      <c r="B84" s="19">
        <v>5.5253840042828066E-2</v>
      </c>
      <c r="C84" s="19">
        <v>2.9056551594271868E-3</v>
      </c>
      <c r="D84" s="18">
        <v>0.29297220517943928</v>
      </c>
      <c r="E84" s="7">
        <f>MAX((1-Parameters!$B$4)^Parameters!B$65*E83+B83*Parameters!B$65-Parameters!$B$5*B83^2/E83*Parameters!B$65,0.0001)</f>
        <v>0.81459976735677264</v>
      </c>
      <c r="F84" s="9">
        <f>(1-Parameters!$B$4)^Parameters!B$65*F83+C83*Parameters!B$65-Parameters!$B$5*C83^2/F83*Parameters!B$65</f>
        <v>5.0299945387821496E-2</v>
      </c>
      <c r="G84" s="7">
        <f>(1-Parameters!$B$4)^Parameters!B$65*G83+D83*Parameters!B$65-Parameters!$B$5*D83^2/G83*Parameters!B$65</f>
        <v>4.3441161476705377</v>
      </c>
      <c r="H84" s="7">
        <f>H83 *(1-Parameters!$B$4)-B83*(B83&lt;0)*Parameters!B$65</f>
        <v>0</v>
      </c>
      <c r="I84" s="7">
        <f>I83*(1+Parameters!$B$51)^Parameters!B$65</f>
        <v>10.287282441580393</v>
      </c>
      <c r="J84" s="7">
        <f>J83*(1+Parameters!$B$53)^Parameters!B$65</f>
        <v>44.135341272517536</v>
      </c>
      <c r="K84" s="23">
        <f>EXP(-Parameters!$B$42*A84)*(Parameters!$B$37/Parameters!$B$38*(E84+H84)/Parameters!$B$25*(EXP(-Parameters!$B$38*Parameters!$E$25*H84/(E84+H84))-EXP(-Parameters!$B$38*Parameters!$E$25))  +  Parameters!$B$39*E84*Parameters!$B$28*Parameters!$B$29*EXP((Parameters!$B$53+Parameters!$B$51)*A84))</f>
        <v>133.41917147934535</v>
      </c>
      <c r="L84" s="8">
        <f>L83+K84*Parameters!B$65</f>
        <v>9208.4918977533362</v>
      </c>
      <c r="M84" s="7">
        <f>M83+Parameters!$B$45*K84</f>
        <v>5.5250951386520013</v>
      </c>
      <c r="N84" s="7">
        <f>'6states'!O84</f>
        <v>0.95553419819305896</v>
      </c>
      <c r="O84" s="7">
        <f>MAX(O83+(Parameters!B$31-K84)*Parameters!B$65,30)</f>
        <v>30</v>
      </c>
      <c r="P84" s="7">
        <f>Parameters!B$61*EXP(-Parameters!B$60*A84)+(1-Parameters!B$61)*(O84/Parameters!B$62)^-Parameters!B$63</f>
        <v>0.58386745009349394</v>
      </c>
      <c r="Q84" s="9">
        <f>1-P84/Parameters!$B$12</f>
        <v>0.70806627495325303</v>
      </c>
      <c r="R84" s="23">
        <f t="shared" si="34"/>
        <v>3.4254350018651367</v>
      </c>
      <c r="S84" s="7">
        <f>(Parameters!$B$19*(E84+Parameters!$B$20)^Q84+Parameters!$B$18*F84^Q84)^(1/Q84)</f>
        <v>0.53701169134976856</v>
      </c>
      <c r="T84" s="7">
        <f>(Parameters!$B$10*G84^Parameters!$B$9 + Parameters!$B$11*S84^Parameters!$B$9) ^ (Parameters!$B$7/Parameters!$B$9) * N84</f>
        <v>1.4608746348164396</v>
      </c>
      <c r="U84" s="7">
        <f t="shared" si="35"/>
        <v>1.1097429344347454</v>
      </c>
      <c r="V84" s="7">
        <f>EXP(-Parameters!$B$55*A84)</f>
        <v>0.29879427078110121</v>
      </c>
      <c r="W84" s="7">
        <f>IF(U84&gt;0,U84^(1-Parameters!$B$52)/(1-Parameters!$B$52)*V84,-10+U84*1000)</f>
        <v>-0.82314507767690615</v>
      </c>
      <c r="X84" s="7"/>
      <c r="Y84" s="7"/>
      <c r="Z84" s="7"/>
      <c r="AA84" s="7"/>
    </row>
    <row r="85" spans="1:27" x14ac:dyDescent="0.25">
      <c r="A85">
        <f>A84+Parameters!$B$65</f>
        <v>81</v>
      </c>
      <c r="B85" s="46">
        <f>B84</f>
        <v>5.5253840042828066E-2</v>
      </c>
      <c r="C85" s="46">
        <f t="shared" ref="C85:C93" si="39">C84</f>
        <v>2.9056551594271868E-3</v>
      </c>
      <c r="D85" s="46">
        <f t="shared" ref="D85:D93" si="40">D84</f>
        <v>0.29297220517943928</v>
      </c>
      <c r="E85" s="7">
        <f>MAX((1-Parameters!$B$4)^Parameters!B$65*E84+B84*Parameters!B$65-Parameters!$B$5*B84^2/E84*Parameters!B$65,0.0001)</f>
        <v>0.8148674454119571</v>
      </c>
      <c r="F85" s="9">
        <f>(1-Parameters!$B$4)^Parameters!B$65*F84+C84*Parameters!B$65-Parameters!$B$5*C84^2/F84*Parameters!B$65</f>
        <v>4.9873884259250441E-2</v>
      </c>
      <c r="G85" s="7">
        <f>(1-Parameters!$B$4)^Parameters!B$65*G84+D84*Parameters!B$65-Parameters!$B$5*D84^2/G84*Parameters!B$65</f>
        <v>4.3440850636169612</v>
      </c>
      <c r="H85" s="7">
        <f>H84 *(1-Parameters!$B$4)-B84*(B84&lt;0)*Parameters!B$65</f>
        <v>0</v>
      </c>
      <c r="I85" s="7">
        <f>I84*(1+Parameters!$B$51)^Parameters!B$65</f>
        <v>10.317115560660975</v>
      </c>
      <c r="J85" s="7">
        <f>J84*(1+Parameters!$B$53)^Parameters!B$65</f>
        <v>45.018048097967885</v>
      </c>
      <c r="K85" s="23">
        <f>EXP(-Parameters!$B$42*A85)*(Parameters!$B$37/Parameters!$B$38*(E85+H85)/Parameters!$B$25*(EXP(-Parameters!$B$38*Parameters!$E$25*H85/(E85+H85))-EXP(-Parameters!$B$38*Parameters!$E$25))  +  Parameters!$B$39*E85*Parameters!$B$28*Parameters!$B$29*EXP((Parameters!$B$53+Parameters!$B$51)*A85))</f>
        <v>135.1067088969489</v>
      </c>
      <c r="L85" s="8">
        <f>L84+K85*Parameters!B$65</f>
        <v>9343.5986066502846</v>
      </c>
      <c r="M85" s="7">
        <f>M84+Parameters!$B$45*K85</f>
        <v>5.6061591639901707</v>
      </c>
      <c r="N85" s="7">
        <f>'6states'!O85</f>
        <v>0.95541884907089902</v>
      </c>
      <c r="O85" s="7">
        <f>MAX(O84+(Parameters!B$31-K85)*Parameters!B$65,30)</f>
        <v>30</v>
      </c>
      <c r="P85" s="7">
        <f>Parameters!B$61*EXP(-Parameters!B$60*A85)+(1-Parameters!B$61)*(O85/Parameters!B$62)^-Parameters!B$63</f>
        <v>0.58233139107073917</v>
      </c>
      <c r="Q85" s="9">
        <f>1-P85/Parameters!$B$12</f>
        <v>0.70883430446463036</v>
      </c>
      <c r="R85" s="23">
        <f t="shared" si="34"/>
        <v>3.4344705277223291</v>
      </c>
      <c r="S85" s="7">
        <f>(Parameters!$B$19*(E85+Parameters!$B$20)^Q85+Parameters!$B$18*F85^Q85)^(1/Q85)</f>
        <v>0.53707508129708104</v>
      </c>
      <c r="T85" s="7">
        <f>(Parameters!$B$10*G85^Parameters!$B$9 + Parameters!$B$11*S85^Parameters!$B$9) ^ (Parameters!$B$7/Parameters!$B$9) * N85</f>
        <v>1.4607057613749954</v>
      </c>
      <c r="U85" s="7">
        <f t="shared" si="35"/>
        <v>1.1095740609933011</v>
      </c>
      <c r="V85" s="7">
        <f>EXP(-Parameters!$B$55*A85)</f>
        <v>0.29431637052277015</v>
      </c>
      <c r="W85" s="7">
        <f>IF(U85&gt;0,U85^(1-Parameters!$B$52)/(1-Parameters!$B$52)*V85,-10+U85*1000)</f>
        <v>-0.81085214779782044</v>
      </c>
      <c r="X85" s="7"/>
      <c r="Y85" s="7"/>
      <c r="Z85" s="7"/>
      <c r="AA85" s="7"/>
    </row>
    <row r="86" spans="1:27" x14ac:dyDescent="0.25">
      <c r="A86">
        <f>A85+Parameters!$B$65</f>
        <v>82</v>
      </c>
      <c r="B86" s="46">
        <f t="shared" ref="B86:B93" si="41">B85</f>
        <v>5.5253840042828066E-2</v>
      </c>
      <c r="C86" s="46">
        <f t="shared" si="39"/>
        <v>2.9056551594271868E-3</v>
      </c>
      <c r="D86" s="46">
        <f t="shared" si="40"/>
        <v>0.29297220517943928</v>
      </c>
      <c r="E86" s="7">
        <f>MAX((1-Parameters!$B$4)^Parameters!B$65*E85+B85*Parameters!B$65-Parameters!$B$5*B85^2/E85*Parameters!B$65,0.0001)</f>
        <v>0.81511951765466162</v>
      </c>
      <c r="F86" s="9">
        <f>(1-Parameters!$B$4)^Parameters!B$65*F85+C85*Parameters!B$65-Parameters!$B$5*C85^2/F85*Parameters!B$65</f>
        <v>4.9473188474066135E-2</v>
      </c>
      <c r="G86" s="7">
        <f>(1-Parameters!$B$4)^Parameters!B$65*G85+D85*Parameters!B$65-Parameters!$B$5*D85^2/G85*Parameters!B$65</f>
        <v>4.3440557933694546</v>
      </c>
      <c r="H86" s="7">
        <f>H85 *(1-Parameters!$B$4)-B85*(B85&lt;0)*Parameters!B$65</f>
        <v>0</v>
      </c>
      <c r="I86" s="7">
        <f>I85*(1+Parameters!$B$51)^Parameters!B$65</f>
        <v>10.347035195786891</v>
      </c>
      <c r="J86" s="7">
        <f>J85*(1+Parameters!$B$53)^Parameters!B$65</f>
        <v>45.918409059927242</v>
      </c>
      <c r="K86" s="23">
        <f>EXP(-Parameters!$B$42*A86)*(Parameters!$B$37/Parameters!$B$38*(E86+H86)/Parameters!$B$25*(EXP(-Parameters!$B$38*Parameters!$E$25*H86/(E86+H86))-EXP(-Parameters!$B$38*Parameters!$E$25))  +  Parameters!$B$39*E86*Parameters!$B$28*Parameters!$B$29*EXP((Parameters!$B$53+Parameters!$B$51)*A86))</f>
        <v>136.81494200531935</v>
      </c>
      <c r="L86" s="8">
        <f>L85+K86*Parameters!B$65</f>
        <v>9480.4135486556042</v>
      </c>
      <c r="M86" s="7">
        <f>M85+Parameters!$B$45*K86</f>
        <v>5.6882481291933624</v>
      </c>
      <c r="N86" s="7">
        <f>'6states'!O86</f>
        <v>0.95530600662029308</v>
      </c>
      <c r="O86" s="7">
        <f>MAX(O85+(Parameters!B$31-K86)*Parameters!B$65,30)</f>
        <v>30</v>
      </c>
      <c r="P86" s="7">
        <f>Parameters!B$61*EXP(-Parameters!B$60*A86)+(1-Parameters!B$61)*(O86/Parameters!B$62)^-Parameters!B$63</f>
        <v>0.58083625075329581</v>
      </c>
      <c r="Q86" s="9">
        <f>1-P86/Parameters!$B$12</f>
        <v>0.70958187462335209</v>
      </c>
      <c r="R86" s="23">
        <f t="shared" si="34"/>
        <v>3.4433112558077568</v>
      </c>
      <c r="S86" s="7">
        <f>(Parameters!$B$19*(E86+Parameters!$B$20)^Q86+Parameters!$B$18*F86^Q86)^(1/Q86)</f>
        <v>0.53714034976822667</v>
      </c>
      <c r="T86" s="7">
        <f>(Parameters!$B$10*G86^Parameters!$B$9 + Parameters!$B$11*S86^Parameters!$B$9) ^ (Parameters!$B$7/Parameters!$B$9) * N86</f>
        <v>1.4605411569418068</v>
      </c>
      <c r="U86" s="7">
        <f t="shared" si="35"/>
        <v>1.1094094565601125</v>
      </c>
      <c r="V86" s="7">
        <f>EXP(-Parameters!$B$55*A86)</f>
        <v>0.28990557861518201</v>
      </c>
      <c r="W86" s="7">
        <f>IF(U86&gt;0,U86^(1-Parameters!$B$52)/(1-Parameters!$B$52)*V86,-10+U86*1000)</f>
        <v>-0.79874173247487634</v>
      </c>
      <c r="X86" s="7"/>
      <c r="Y86" s="7"/>
      <c r="Z86" s="7"/>
      <c r="AA86" s="7"/>
    </row>
    <row r="87" spans="1:27" x14ac:dyDescent="0.25">
      <c r="A87">
        <f>A86+Parameters!$B$65</f>
        <v>83</v>
      </c>
      <c r="B87" s="46">
        <f t="shared" si="41"/>
        <v>5.5253840042828066E-2</v>
      </c>
      <c r="C87" s="46">
        <f t="shared" si="39"/>
        <v>2.9056551594271868E-3</v>
      </c>
      <c r="D87" s="46">
        <f t="shared" si="40"/>
        <v>0.29297220517943928</v>
      </c>
      <c r="E87" s="7">
        <f>MAX((1-Parameters!$B$4)^Parameters!B$65*E86+B86*Parameters!B$65-Parameters!$B$5*B86^2/E86*Parameters!B$65,0.0001)</f>
        <v>0.81535689317510496</v>
      </c>
      <c r="F87" s="9">
        <f>(1-Parameters!$B$4)^Parameters!B$65*F86+C86*Parameters!B$65-Parameters!$B$5*C86^2/F86*Parameters!B$65</f>
        <v>4.9096325383155469E-2</v>
      </c>
      <c r="G87" s="7">
        <f>(1-Parameters!$B$4)^Parameters!B$65*G86+D86*Parameters!B$65-Parameters!$B$5*D86^2/G86*Parameters!B$65</f>
        <v>4.3440282310875773</v>
      </c>
      <c r="H87" s="7">
        <f>H86 *(1-Parameters!$B$4)-B86*(B86&lt;0)*Parameters!B$65</f>
        <v>0</v>
      </c>
      <c r="I87" s="7">
        <f>I86*(1+Parameters!$B$51)^Parameters!B$65</f>
        <v>10.377041597854671</v>
      </c>
      <c r="J87" s="7">
        <f>J86*(1+Parameters!$B$53)^Parameters!B$65</f>
        <v>46.836777241125787</v>
      </c>
      <c r="K87" s="23">
        <f>EXP(-Parameters!$B$42*A87)*(Parameters!$B$37/Parameters!$B$38*(E87+H87)/Parameters!$B$25*(EXP(-Parameters!$B$38*Parameters!$E$25*H87/(E87+H87))-EXP(-Parameters!$B$38*Parameters!$E$25))  +  Parameters!$B$39*E87*Parameters!$B$28*Parameters!$B$29*EXP((Parameters!$B$53+Parameters!$B$51)*A87))</f>
        <v>138.54423013020173</v>
      </c>
      <c r="L87" s="8">
        <f>L86+K87*Parameters!B$65</f>
        <v>9618.9577787858052</v>
      </c>
      <c r="M87" s="7">
        <f>M86+Parameters!$B$45*K87</f>
        <v>5.7713746672714832</v>
      </c>
      <c r="N87" s="7">
        <f>'6states'!O87</f>
        <v>0.9551955472978797</v>
      </c>
      <c r="O87" s="7">
        <f>MAX(O86+(Parameters!B$31-K87)*Parameters!B$65,30)</f>
        <v>30</v>
      </c>
      <c r="P87" s="7">
        <f>Parameters!B$61*EXP(-Parameters!B$60*A87)+(1-Parameters!B$61)*(O87/Parameters!B$62)^-Parameters!B$63</f>
        <v>0.5793809391176562</v>
      </c>
      <c r="Q87" s="9">
        <f>1-P87/Parameters!$B$12</f>
        <v>0.71030953044117195</v>
      </c>
      <c r="R87" s="23">
        <f t="shared" si="34"/>
        <v>3.4519602992908536</v>
      </c>
      <c r="S87" s="7">
        <f>(Parameters!$B$19*(E87+Parameters!$B$20)^Q87+Parameters!$B$18*F87^Q87)^(1/Q87)</f>
        <v>0.53720722571889123</v>
      </c>
      <c r="T87" s="7">
        <f>(Parameters!$B$10*G87^Parameters!$B$9 + Parameters!$B$11*S87^Parameters!$B$9) ^ (Parameters!$B$7/Parameters!$B$9) * N87</f>
        <v>1.4603805807863566</v>
      </c>
      <c r="U87" s="7">
        <f t="shared" si="35"/>
        <v>1.1092488804046623</v>
      </c>
      <c r="V87" s="7">
        <f>EXP(-Parameters!$B$55*A87)</f>
        <v>0.28556088933456458</v>
      </c>
      <c r="W87" s="7">
        <f>IF(U87&gt;0,U87^(1-Parameters!$B$52)/(1-Parameters!$B$52)*V87,-10+U87*1000)</f>
        <v>-0.78681119725347703</v>
      </c>
      <c r="X87" s="7"/>
      <c r="Y87" s="7"/>
      <c r="Z87" s="7"/>
      <c r="AA87" s="7"/>
    </row>
    <row r="88" spans="1:27" x14ac:dyDescent="0.25">
      <c r="A88">
        <f>A87+Parameters!$B$65</f>
        <v>84</v>
      </c>
      <c r="B88" s="46">
        <f t="shared" si="41"/>
        <v>5.5253840042828066E-2</v>
      </c>
      <c r="C88" s="46">
        <f t="shared" si="39"/>
        <v>2.9056551594271868E-3</v>
      </c>
      <c r="D88" s="46">
        <f t="shared" si="40"/>
        <v>0.29297220517943928</v>
      </c>
      <c r="E88" s="7">
        <f>MAX((1-Parameters!$B$4)^Parameters!B$65*E87+B87*Parameters!B$65-Parameters!$B$5*B87^2/E87*Parameters!B$65,0.0001)</f>
        <v>0.81558042819032639</v>
      </c>
      <c r="F88" s="9">
        <f>(1-Parameters!$B$4)^Parameters!B$65*F87+C87*Parameters!B$65-Parameters!$B$5*C87^2/F87*Parameters!B$65</f>
        <v>4.8741857036274081E-2</v>
      </c>
      <c r="G88" s="7">
        <f>(1-Parameters!$B$4)^Parameters!B$65*G87+D87*Parameters!B$65-Parameters!$B$5*D87^2/G87*Parameters!B$65</f>
        <v>4.3440022771071707</v>
      </c>
      <c r="H88" s="7">
        <f>H87 *(1-Parameters!$B$4)-B87*(B87&lt;0)*Parameters!B$65</f>
        <v>0</v>
      </c>
      <c r="I88" s="7">
        <f>I87*(1+Parameters!$B$51)^Parameters!B$65</f>
        <v>10.407135018488448</v>
      </c>
      <c r="J88" s="7">
        <f>J87*(1+Parameters!$B$53)^Parameters!B$65</f>
        <v>47.773512785948306</v>
      </c>
      <c r="K88" s="23">
        <f>EXP(-Parameters!$B$42*A88)*(Parameters!$B$37/Parameters!$B$38*(E88+H88)/Parameters!$B$25*(EXP(-Parameters!$B$38*Parameters!$E$25*H88/(E88+H88))-EXP(-Parameters!$B$38*Parameters!$E$25))  +  Parameters!$B$39*E88*Parameters!$B$28*Parameters!$B$29*EXP((Parameters!$B$53+Parameters!$B$51)*A88))</f>
        <v>140.29493261118054</v>
      </c>
      <c r="L88" s="8">
        <f>L87+K88*Parameters!B$65</f>
        <v>9759.2527113969863</v>
      </c>
      <c r="M88" s="7">
        <f>M87+Parameters!$B$45*K88</f>
        <v>5.8555516268381913</v>
      </c>
      <c r="N88" s="7">
        <f>'6states'!O88</f>
        <v>0.9550874506632101</v>
      </c>
      <c r="O88" s="7">
        <f>MAX(O87+(Parameters!B$31-K88)*Parameters!B$65,30)</f>
        <v>30</v>
      </c>
      <c r="P88" s="7">
        <f>Parameters!B$61*EXP(-Parameters!B$60*A88)+(1-Parameters!B$61)*(O88/Parameters!B$62)^-Parameters!B$63</f>
        <v>0.57796439517718523</v>
      </c>
      <c r="Q88" s="9">
        <f>1-P88/Parameters!$B$12</f>
        <v>0.71101780241140733</v>
      </c>
      <c r="R88" s="23">
        <f t="shared" si="34"/>
        <v>3.4604207745130462</v>
      </c>
      <c r="S88" s="7">
        <f>(Parameters!$B$19*(E88+Parameters!$B$20)^Q88+Parameters!$B$18*F88^Q88)^(1/Q88)</f>
        <v>0.53727545820088418</v>
      </c>
      <c r="T88" s="7">
        <f>(Parameters!$B$10*G88^Parameters!$B$9 + Parameters!$B$11*S88^Parameters!$B$9) ^ (Parameters!$B$7/Parameters!$B$9) * N88</f>
        <v>1.4602239535854711</v>
      </c>
      <c r="U88" s="7">
        <f t="shared" si="35"/>
        <v>1.1090922532037768</v>
      </c>
      <c r="V88" s="7">
        <f>EXP(-Parameters!$B$55*A88)</f>
        <v>0.28128131202949208</v>
      </c>
      <c r="W88" s="7">
        <f>IF(U88&gt;0,U88^(1-Parameters!$B$52)/(1-Parameters!$B$52)*V88,-10+U88*1000)</f>
        <v>-0.7750579042200928</v>
      </c>
      <c r="X88" s="7"/>
      <c r="Y88" s="7"/>
      <c r="Z88" s="7"/>
      <c r="AA88" s="7"/>
    </row>
    <row r="89" spans="1:27" x14ac:dyDescent="0.25">
      <c r="A89">
        <f>A88+Parameters!$B$65</f>
        <v>85</v>
      </c>
      <c r="B89" s="46">
        <f t="shared" si="41"/>
        <v>5.5253840042828066E-2</v>
      </c>
      <c r="C89" s="46">
        <f t="shared" si="39"/>
        <v>2.9056551594271868E-3</v>
      </c>
      <c r="D89" s="46">
        <f t="shared" si="40"/>
        <v>0.29297220517943928</v>
      </c>
      <c r="E89" s="7">
        <f>MAX((1-Parameters!$B$4)^Parameters!B$65*E88+B88*Parameters!B$65-Parameters!$B$5*B88^2/E88*Parameters!B$65,0.0001)</f>
        <v>0.81579092910966355</v>
      </c>
      <c r="F89" s="9">
        <f>(1-Parameters!$B$4)^Parameters!B$65*F88+C88*Parameters!B$65-Parameters!$B$5*C88^2/F88*Parameters!B$65</f>
        <v>4.8408434159589814E-2</v>
      </c>
      <c r="G89" s="7">
        <f>(1-Parameters!$B$4)^Parameters!B$65*G88+D88*Parameters!B$65-Parameters!$B$5*D88^2/G88*Parameters!B$65</f>
        <v>4.343977837579919</v>
      </c>
      <c r="H89" s="7">
        <f>H88 *(1-Parameters!$B$4)-B88*(B88&lt;0)*Parameters!B$65</f>
        <v>0</v>
      </c>
      <c r="I89" s="7">
        <f>I88*(1+Parameters!$B$51)^Parameters!B$65</f>
        <v>10.437315710042064</v>
      </c>
      <c r="J89" s="7">
        <f>J88*(1+Parameters!$B$53)^Parameters!B$65</f>
        <v>48.72898304166727</v>
      </c>
      <c r="K89" s="23">
        <f>EXP(-Parameters!$B$42*A89)*(Parameters!$B$37/Parameters!$B$38*(E89+H89)/Parameters!$B$25*(EXP(-Parameters!$B$38*Parameters!$E$25*H89/(E89+H89))-EXP(-Parameters!$B$38*Parameters!$E$25))  +  Parameters!$B$39*E89*Parameters!$B$28*Parameters!$B$29*EXP((Parameters!$B$53+Parameters!$B$51)*A89))</f>
        <v>142.06740902892349</v>
      </c>
      <c r="L89" s="8">
        <f>L88+K89*Parameters!B$65</f>
        <v>9901.3201204259094</v>
      </c>
      <c r="M89" s="7">
        <f>M88+Parameters!$B$45*K89</f>
        <v>5.9407920722555456</v>
      </c>
      <c r="N89" s="7">
        <f>'6states'!O89</f>
        <v>0.95498153925268536</v>
      </c>
      <c r="O89" s="7">
        <f>MAX(O88+(Parameters!B$31-K89)*Parameters!B$65,30)</f>
        <v>30</v>
      </c>
      <c r="P89" s="7">
        <f>Parameters!B$61*EXP(-Parameters!B$60*A89)+(1-Parameters!B$61)*(O89/Parameters!B$62)^-Parameters!B$63</f>
        <v>0.57658558620861455</v>
      </c>
      <c r="Q89" s="9">
        <f>1-P89/Parameters!$B$12</f>
        <v>0.71170720689569267</v>
      </c>
      <c r="R89" s="23">
        <f t="shared" si="34"/>
        <v>3.4686957978800033</v>
      </c>
      <c r="S89" s="7">
        <f>(Parameters!$B$19*(E89+Parameters!$B$20)^Q89+Parameters!$B$18*F89^Q89)^(1/Q89)</f>
        <v>0.53734481520237831</v>
      </c>
      <c r="T89" s="7">
        <f>(Parameters!$B$10*G89^Parameters!$B$9 + Parameters!$B$11*S89^Parameters!$B$9) ^ (Parameters!$B$7/Parameters!$B$9) * N89</f>
        <v>1.4600709595013233</v>
      </c>
      <c r="U89" s="7">
        <f t="shared" si="35"/>
        <v>1.108939259119629</v>
      </c>
      <c r="V89" s="7">
        <f>EXP(-Parameters!$B$55*A89)</f>
        <v>0.27706587089500223</v>
      </c>
      <c r="W89" s="7">
        <f>IF(U89&gt;0,U89^(1-Parameters!$B$52)/(1-Parameters!$B$52)*V89,-10+U89*1000)</f>
        <v>-0.7634793103604105</v>
      </c>
      <c r="X89" s="7"/>
      <c r="Y89" s="7"/>
      <c r="Z89" s="7"/>
      <c r="AA89" s="7"/>
    </row>
    <row r="90" spans="1:27" x14ac:dyDescent="0.25">
      <c r="A90">
        <f>A89+Parameters!$B$65</f>
        <v>86</v>
      </c>
      <c r="B90" s="46">
        <f t="shared" si="41"/>
        <v>5.5253840042828066E-2</v>
      </c>
      <c r="C90" s="46">
        <f t="shared" si="39"/>
        <v>2.9056551594271868E-3</v>
      </c>
      <c r="D90" s="46">
        <f t="shared" si="40"/>
        <v>0.29297220517943928</v>
      </c>
      <c r="E90" s="7">
        <f>MAX((1-Parameters!$B$4)^Parameters!B$65*E89+B89*Parameters!B$65-Parameters!$B$5*B89^2/E89*Parameters!B$65,0.0001)</f>
        <v>0.81598915542361139</v>
      </c>
      <c r="F90" s="9">
        <f>(1-Parameters!$B$4)^Parameters!B$65*F89+C89*Parameters!B$65-Parameters!$B$5*C89^2/F89*Parameters!B$65</f>
        <v>4.8094790526944722E-2</v>
      </c>
      <c r="G90" s="7">
        <f>(1-Parameters!$B$4)^Parameters!B$65*G89+D89*Parameters!B$65-Parameters!$B$5*D89^2/G89*Parameters!B$65</f>
        <v>4.3439548241339514</v>
      </c>
      <c r="H90" s="7">
        <f>H89 *(1-Parameters!$B$4)-B89*(B89&lt;0)*Parameters!B$65</f>
        <v>0</v>
      </c>
      <c r="I90" s="7">
        <f>I89*(1+Parameters!$B$51)^Parameters!B$65</f>
        <v>10.467583925601184</v>
      </c>
      <c r="J90" s="7">
        <f>J89*(1+Parameters!$B$53)^Parameters!B$65</f>
        <v>49.703562702500619</v>
      </c>
      <c r="K90" s="23">
        <f>EXP(-Parameters!$B$42*A90)*(Parameters!$B$37/Parameters!$B$38*(E90+H90)/Parameters!$B$25*(EXP(-Parameters!$B$38*Parameters!$E$25*H90/(E90+H90))-EXP(-Parameters!$B$38*Parameters!$E$25))  +  Parameters!$B$39*E90*Parameters!$B$28*Parameters!$B$29*EXP((Parameters!$B$53+Parameters!$B$51)*A90))</f>
        <v>143.86201942433257</v>
      </c>
      <c r="L90" s="8">
        <f>L89+K90*Parameters!B$65</f>
        <v>10045.182139850242</v>
      </c>
      <c r="M90" s="7">
        <f>M89+Parameters!$B$45*K90</f>
        <v>6.0271092839101454</v>
      </c>
      <c r="N90" s="7">
        <f>'6states'!O90</f>
        <v>0.95487780778976372</v>
      </c>
      <c r="O90" s="7">
        <f>MAX(O89+(Parameters!B$31-K90)*Parameters!B$65,30)</f>
        <v>30</v>
      </c>
      <c r="P90" s="7">
        <f>Parameters!B$61*EXP(-Parameters!B$60*A90)+(1-Parameters!B$61)*(O90/Parameters!B$62)^-Parameters!B$63</f>
        <v>0.57524350699914173</v>
      </c>
      <c r="Q90" s="9">
        <f>1-P90/Parameters!$B$12</f>
        <v>0.71237824650042914</v>
      </c>
      <c r="R90" s="23">
        <f t="shared" si="34"/>
        <v>3.4767884829041349</v>
      </c>
      <c r="S90" s="7">
        <f>(Parameters!$B$19*(E90+Parameters!$B$20)^Q90+Parameters!$B$18*F90^Q90)^(1/Q90)</f>
        <v>0.53741508253131087</v>
      </c>
      <c r="T90" s="7">
        <f>(Parameters!$B$10*G90^Parameters!$B$9 + Parameters!$B$11*S90^Parameters!$B$9) ^ (Parameters!$B$7/Parameters!$B$9) * N90</f>
        <v>1.4599215492949398</v>
      </c>
      <c r="U90" s="7">
        <f t="shared" si="35"/>
        <v>1.1087898489132455</v>
      </c>
      <c r="V90" s="7">
        <f>EXP(-Parameters!$B$55*A90)</f>
        <v>0.27291360475009885</v>
      </c>
      <c r="W90" s="7">
        <f>IF(U90&gt;0,U90^(1-Parameters!$B$52)/(1-Parameters!$B$52)*V90,-10+U90*1000)</f>
        <v>-0.75207284337136449</v>
      </c>
      <c r="X90" s="7"/>
      <c r="Y90" s="7"/>
      <c r="Z90" s="7"/>
      <c r="AA90" s="7"/>
    </row>
    <row r="91" spans="1:27" x14ac:dyDescent="0.25">
      <c r="A91">
        <f>A90+Parameters!$B$65</f>
        <v>87</v>
      </c>
      <c r="B91" s="46">
        <f t="shared" si="41"/>
        <v>5.5253840042828066E-2</v>
      </c>
      <c r="C91" s="46">
        <f t="shared" si="39"/>
        <v>2.9056551594271868E-3</v>
      </c>
      <c r="D91" s="46">
        <f t="shared" si="40"/>
        <v>0.29297220517943928</v>
      </c>
      <c r="E91" s="7">
        <f>MAX((1-Parameters!$B$4)^Parameters!B$65*E90+B90*Parameters!B$65-Parameters!$B$5*B90^2/E90*Parameters!B$65,0.0001)</f>
        <v>0.81617582242610953</v>
      </c>
      <c r="F91" s="9">
        <f>(1-Parameters!$B$4)^Parameters!B$65*F90+C90*Parameters!B$65-Parameters!$B$5*C90^2/F90*Parameters!B$65</f>
        <v>4.7799737698902577E-2</v>
      </c>
      <c r="G91" s="7">
        <f>(1-Parameters!$B$4)^Parameters!B$65*G90+D90*Parameters!B$65-Parameters!$B$5*D90^2/G90*Parameters!B$65</f>
        <v>4.3439331535542465</v>
      </c>
      <c r="H91" s="7">
        <f>H90 *(1-Parameters!$B$4)-B90*(B90&lt;0)*Parameters!B$65</f>
        <v>0</v>
      </c>
      <c r="I91" s="7">
        <f>I90*(1+Parameters!$B$51)^Parameters!B$65</f>
        <v>10.497939918985427</v>
      </c>
      <c r="J91" s="7">
        <f>J90*(1+Parameters!$B$53)^Parameters!B$65</f>
        <v>50.697633956550632</v>
      </c>
      <c r="K91" s="23">
        <f>EXP(-Parameters!$B$42*A91)*(Parameters!$B$37/Parameters!$B$38*(E91+H91)/Parameters!$B$25*(EXP(-Parameters!$B$38*Parameters!$E$25*H91/(E91+H91))-EXP(-Parameters!$B$38*Parameters!$E$25))  +  Parameters!$B$39*E91*Parameters!$B$28*Parameters!$B$29*EXP((Parameters!$B$53+Parameters!$B$51)*A91))</f>
        <v>145.6791245100332</v>
      </c>
      <c r="L91" s="8">
        <f>L90+K91*Parameters!B$65</f>
        <v>10190.861264360276</v>
      </c>
      <c r="M91" s="7">
        <f>M90+Parameters!$B$45*K91</f>
        <v>6.1145167586161655</v>
      </c>
      <c r="N91" s="7">
        <f>'6states'!O91</f>
        <v>0.95477612988040417</v>
      </c>
      <c r="O91" s="7">
        <f>MAX(O90+(Parameters!B$31-K91)*Parameters!B$65,30)</f>
        <v>30</v>
      </c>
      <c r="P91" s="7">
        <f>Parameters!B$61*EXP(-Parameters!B$60*A91)+(1-Parameters!B$61)*(O91/Parameters!B$62)^-Parameters!B$63</f>
        <v>0.57393717911358522</v>
      </c>
      <c r="Q91" s="9">
        <f>1-P91/Parameters!$B$12</f>
        <v>0.71303141044320739</v>
      </c>
      <c r="R91" s="23">
        <f t="shared" si="34"/>
        <v>3.484701937394771</v>
      </c>
      <c r="S91" s="7">
        <f>(Parameters!$B$19*(E91+Parameters!$B$20)^Q91+Parameters!$B$18*F91^Q91)^(1/Q91)</f>
        <v>0.5374860627434136</v>
      </c>
      <c r="T91" s="7">
        <f>(Parameters!$B$10*G91^Parameters!$B$9 + Parameters!$B$11*S91^Parameters!$B$9) ^ (Parameters!$B$7/Parameters!$B$9) * N91</f>
        <v>1.4597754916924925</v>
      </c>
      <c r="U91" s="7">
        <f t="shared" si="35"/>
        <v>1.1086437913107983</v>
      </c>
      <c r="V91" s="7">
        <f>EXP(-Parameters!$B$55*A91)</f>
        <v>0.26882356681858899</v>
      </c>
      <c r="W91" s="7">
        <f>IF(U91&gt;0,U91^(1-Parameters!$B$52)/(1-Parameters!$B$52)*V91,-10+U91*1000)</f>
        <v>-0.74083601087587536</v>
      </c>
      <c r="X91" s="7"/>
      <c r="Y91" s="7"/>
      <c r="Z91" s="7"/>
      <c r="AA91" s="7"/>
    </row>
    <row r="92" spans="1:27" x14ac:dyDescent="0.25">
      <c r="A92">
        <f>A91+Parameters!$B$65</f>
        <v>88</v>
      </c>
      <c r="B92" s="46">
        <f t="shared" si="41"/>
        <v>5.5253840042828066E-2</v>
      </c>
      <c r="C92" s="46">
        <f t="shared" si="39"/>
        <v>2.9056551594271868E-3</v>
      </c>
      <c r="D92" s="46">
        <f t="shared" si="40"/>
        <v>0.29297220517943928</v>
      </c>
      <c r="E92" s="7">
        <f>MAX((1-Parameters!$B$4)^Parameters!B$65*E91+B91*Parameters!B$65-Parameters!$B$5*B91^2/E91*Parameters!B$65,0.0001)</f>
        <v>0.81635160377974891</v>
      </c>
      <c r="F92" s="9">
        <f>(1-Parameters!$B$4)^Parameters!B$65*F91+C91*Parameters!B$65-Parameters!$B$5*C91^2/F91*Parameters!B$65</f>
        <v>4.7522160105278995E-2</v>
      </c>
      <c r="G92" s="7">
        <f>(1-Parameters!$B$4)^Parameters!B$65*G91+D91*Parameters!B$65-Parameters!$B$5*D91^2/G91*Parameters!B$65</f>
        <v>4.3439127474816948</v>
      </c>
      <c r="H92" s="7">
        <f>H91 *(1-Parameters!$B$4)-B91*(B91&lt;0)*Parameters!B$65</f>
        <v>0</v>
      </c>
      <c r="I92" s="7">
        <f>I91*(1+Parameters!$B$51)^Parameters!B$65</f>
        <v>10.528383944750484</v>
      </c>
      <c r="J92" s="7">
        <f>J91*(1+Parameters!$B$53)^Parameters!B$65</f>
        <v>51.711586635681648</v>
      </c>
      <c r="K92" s="23">
        <f>EXP(-Parameters!$B$42*A92)*(Parameters!$B$37/Parameters!$B$38*(E92+H92)/Parameters!$B$25*(EXP(-Parameters!$B$38*Parameters!$E$25*H92/(E92+H92))-EXP(-Parameters!$B$38*Parameters!$E$25))  +  Parameters!$B$39*E92*Parameters!$B$28*Parameters!$B$29*EXP((Parameters!$B$53+Parameters!$B$51)*A92))</f>
        <v>147.51908587461352</v>
      </c>
      <c r="L92" s="8">
        <f>L91+K92*Parameters!B$65</f>
        <v>10338.380350234889</v>
      </c>
      <c r="M92" s="7">
        <f>M91+Parameters!$B$45*K92</f>
        <v>6.2030282101409338</v>
      </c>
      <c r="N92" s="7">
        <f>'6states'!O92</f>
        <v>0.95467651109388929</v>
      </c>
      <c r="O92" s="7">
        <f>MAX(O91+(Parameters!B$31-K92)*Parameters!B$65,30)</f>
        <v>30</v>
      </c>
      <c r="P92" s="7">
        <f>Parameters!B$61*EXP(-Parameters!B$60*A92)+(1-Parameters!B$61)*(O92/Parameters!B$62)^-Parameters!B$63</f>
        <v>0.57266565018106208</v>
      </c>
      <c r="Q92" s="9">
        <f>1-P92/Parameters!$B$12</f>
        <v>0.71366717490946896</v>
      </c>
      <c r="R92" s="23">
        <f t="shared" si="34"/>
        <v>3.4924392607931902</v>
      </c>
      <c r="S92" s="7">
        <f>(Parameters!$B$19*(E92+Parameters!$B$20)^Q92+Parameters!$B$18*F92^Q92)^(1/Q92)</f>
        <v>0.53755757411576399</v>
      </c>
      <c r="T92" s="7">
        <f>(Parameters!$B$10*G92^Parameters!$B$9 + Parameters!$B$11*S92^Parameters!$B$9) ^ (Parameters!$B$7/Parameters!$B$9) * N92</f>
        <v>1.4596327601278605</v>
      </c>
      <c r="U92" s="7">
        <f t="shared" si="35"/>
        <v>1.1085010597461662</v>
      </c>
      <c r="V92" s="7">
        <f>EXP(-Parameters!$B$55*A92)</f>
        <v>0.26479482451320413</v>
      </c>
      <c r="W92" s="7">
        <f>IF(U92&gt;0,U92^(1-Parameters!$B$52)/(1-Parameters!$B$52)*V92,-10+U92*1000)</f>
        <v>-0.72976630762406958</v>
      </c>
      <c r="X92" s="7"/>
      <c r="Y92" s="7"/>
      <c r="Z92" s="7"/>
      <c r="AA92" s="7"/>
    </row>
    <row r="93" spans="1:27" x14ac:dyDescent="0.25">
      <c r="A93">
        <f>A92+Parameters!$B$65</f>
        <v>89</v>
      </c>
      <c r="B93" s="46">
        <f t="shared" si="41"/>
        <v>5.5253840042828066E-2</v>
      </c>
      <c r="C93" s="46">
        <f t="shared" si="39"/>
        <v>2.9056551594271868E-3</v>
      </c>
      <c r="D93" s="46">
        <f t="shared" si="40"/>
        <v>0.29297220517943928</v>
      </c>
      <c r="E93" s="7">
        <f>MAX((1-Parameters!$B$4)^Parameters!B$65*E92+B92*Parameters!B$65-Parameters!$B$5*B92^2/E92*Parameters!B$65,0.0001)</f>
        <v>0.81651713393285985</v>
      </c>
      <c r="F93" s="9">
        <f>(1-Parameters!$B$4)^Parameters!B$65*F92+C92*Parameters!B$65-Parameters!$B$5*C92^2/F92*Parameters!B$65</f>
        <v>4.7261010448394758E-2</v>
      </c>
      <c r="G93" s="7">
        <f>(1-Parameters!$B$4)^Parameters!B$65*G92+D92*Parameters!B$65-Parameters!$B$5*D92^2/G92*Parameters!B$65</f>
        <v>4.3438935321297221</v>
      </c>
      <c r="H93" s="7">
        <f>H92 *(1-Parameters!$B$4)-B92*(B92&lt;0)*Parameters!B$65</f>
        <v>0</v>
      </c>
      <c r="I93" s="7">
        <f>I92*(1+Parameters!$B$51)^Parameters!B$65</f>
        <v>10.558916258190258</v>
      </c>
      <c r="J93" s="7">
        <f>J92*(1+Parameters!$B$53)^Parameters!B$65</f>
        <v>52.745818368395284</v>
      </c>
      <c r="K93" s="23">
        <f>EXP(-Parameters!$B$42*A93)*(Parameters!$B$37/Parameters!$B$38*(E93+H93)/Parameters!$B$25*(EXP(-Parameters!$B$38*Parameters!$E$25*H93/(E93+H93))-EXP(-Parameters!$B$38*Parameters!$E$25))  +  Parameters!$B$39*E93*Parameters!$B$28*Parameters!$B$29*EXP((Parameters!$B$53+Parameters!$B$51)*A93))</f>
        <v>149.38226618000468</v>
      </c>
      <c r="L93" s="8">
        <f>L92+K93*Parameters!B$65</f>
        <v>10487.762616414893</v>
      </c>
      <c r="M93" s="7">
        <f>M92+Parameters!$B$45*K93</f>
        <v>6.2926575698489362</v>
      </c>
      <c r="N93" s="7">
        <f>'6states'!O93</f>
        <v>0.95457884491682921</v>
      </c>
      <c r="O93" s="7">
        <f>MAX(O92+(Parameters!B$31-K93)*Parameters!B$65,30)</f>
        <v>30</v>
      </c>
      <c r="P93" s="7">
        <f>Parameters!B$61*EXP(-Parameters!B$60*A93)+(1-Parameters!B$61)*(O93/Parameters!B$62)^-Parameters!B$63</f>
        <v>0.57142799320066728</v>
      </c>
      <c r="Q93" s="9">
        <f>1-P93/Parameters!$B$12</f>
        <v>0.7142860033996663</v>
      </c>
      <c r="R93" s="23">
        <f t="shared" si="34"/>
        <v>3.5000035416494959</v>
      </c>
      <c r="S93" s="7">
        <f>(Parameters!$B$19*(E93+Parameters!$B$20)^Q93+Parameters!$B$18*F93^Q93)^(1/Q93)</f>
        <v>0.53762944966627013</v>
      </c>
      <c r="T93" s="7">
        <f>(Parameters!$B$10*G93^Parameters!$B$9 + Parameters!$B$11*S93^Parameters!$B$9) ^ (Parameters!$B$7/Parameters!$B$9) * N93</f>
        <v>1.4594931594324601</v>
      </c>
      <c r="U93" s="7">
        <f t="shared" si="35"/>
        <v>1.1083614590507658</v>
      </c>
      <c r="V93" s="7">
        <f>EXP(-Parameters!$B$55*A93)</f>
        <v>0.26082645922295711</v>
      </c>
      <c r="W93" s="7">
        <f>IF(U93&gt;0,U93^(1-Parameters!$B$52)/(1-Parameters!$B$52)*V93,-10+U93*1000)</f>
        <v>-0.71886130329741094</v>
      </c>
      <c r="X93" s="7"/>
      <c r="Y93" s="7"/>
      <c r="Z93" s="7"/>
      <c r="AA93" s="7"/>
    </row>
    <row r="94" spans="1:27" x14ac:dyDescent="0.25">
      <c r="A94">
        <f>A93+Parameters!$B$65</f>
        <v>90</v>
      </c>
      <c r="B94" s="19">
        <v>5.5238794691412761E-2</v>
      </c>
      <c r="C94" s="19">
        <v>2.532692781448906E-3</v>
      </c>
      <c r="D94" s="18">
        <v>0.29265407832178425</v>
      </c>
      <c r="E94" s="7">
        <f>MAX((1-Parameters!$B$4)^Parameters!B$65*E93+B93*Parameters!B$65-Parameters!$B$5*B93^2/E93*Parameters!B$65,0.0001)</f>
        <v>0.81667301039694584</v>
      </c>
      <c r="F94" s="9">
        <f>(1-Parameters!$B$4)^Parameters!B$65*F93+C93*Parameters!B$65-Parameters!$B$5*C93^2/F93*Parameters!B$65</f>
        <v>4.7015305405752661E-2</v>
      </c>
      <c r="G94" s="7">
        <f>(1-Parameters!$B$4)^Parameters!B$65*G93+D93*Parameters!B$65-Parameters!$B$5*D93^2/G93*Parameters!B$65</f>
        <v>4.3438754380174549</v>
      </c>
      <c r="H94" s="7">
        <f>H93 *(1-Parameters!$B$4)-B93*(B93&lt;0)*Parameters!B$65</f>
        <v>0</v>
      </c>
      <c r="I94" s="7">
        <f>I93*(1+Parameters!$B$51)^Parameters!B$65</f>
        <v>10.589537115339009</v>
      </c>
      <c r="J94" s="7">
        <f>J93*(1+Parameters!$B$53)^Parameters!B$65</f>
        <v>53.800734735763193</v>
      </c>
      <c r="K94" s="23">
        <f>EXP(-Parameters!$B$42*A94)*(Parameters!$B$37/Parameters!$B$38*(E94+H94)/Parameters!$B$25*(EXP(-Parameters!$B$38*Parameters!$E$25*H94/(E94+H94))-EXP(-Parameters!$B$38*Parameters!$E$25))  +  Parameters!$B$39*E94*Parameters!$B$28*Parameters!$B$29*EXP((Parameters!$B$53+Parameters!$B$51)*A94))</f>
        <v>151.2690293523776</v>
      </c>
      <c r="L94" s="8">
        <f>L93+K94*Parameters!B$65</f>
        <v>10639.031645767271</v>
      </c>
      <c r="M94" s="7">
        <f>M93+Parameters!$B$45*K94</f>
        <v>6.3834189874603631</v>
      </c>
      <c r="N94" s="7">
        <f>'6states'!O94</f>
        <v>0.95448306184806353</v>
      </c>
      <c r="O94" s="7">
        <f>MAX(O93+(Parameters!B$31-K94)*Parameters!B$65,30)</f>
        <v>30</v>
      </c>
      <c r="P94" s="7">
        <f>Parameters!B$61*EXP(-Parameters!B$60*A94)+(1-Parameters!B$61)*(O94/Parameters!B$62)^-Parameters!B$63</f>
        <v>0.57022330586564896</v>
      </c>
      <c r="Q94" s="9">
        <f>1-P94/Parameters!$B$12</f>
        <v>0.71488834706717552</v>
      </c>
      <c r="R94" s="23">
        <f t="shared" si="34"/>
        <v>3.5073978552381768</v>
      </c>
      <c r="S94" s="7">
        <f>(Parameters!$B$19*(E94+Parameters!$B$20)^Q94+Parameters!$B$18*F94^Q94)^(1/Q94)</f>
        <v>0.53770153621908334</v>
      </c>
      <c r="T94" s="7">
        <f>(Parameters!$B$10*G94^Parameters!$B$9 + Parameters!$B$11*S94^Parameters!$B$9) ^ (Parameters!$B$7/Parameters!$B$9) * N94</f>
        <v>1.4593565536117767</v>
      </c>
      <c r="U94" s="7">
        <f t="shared" si="35"/>
        <v>1.1089309878171307</v>
      </c>
      <c r="V94" s="7">
        <f>EXP(-Parameters!$B$55*A94)</f>
        <v>0.25691756610368538</v>
      </c>
      <c r="W94" s="7">
        <f>IF(U94&gt;0,U94^(1-Parameters!$B$52)/(1-Parameters!$B$52)*V94,-10+U94*1000)</f>
        <v>-0.70796073735991949</v>
      </c>
      <c r="X94" s="7"/>
      <c r="Y94" s="7"/>
      <c r="Z94" s="7"/>
      <c r="AA94" s="7"/>
    </row>
    <row r="95" spans="1:27" x14ac:dyDescent="0.25">
      <c r="A95">
        <f>A94+Parameters!$B$65</f>
        <v>91</v>
      </c>
      <c r="B95" s="46">
        <f>B94</f>
        <v>5.5238794691412761E-2</v>
      </c>
      <c r="C95" s="46">
        <f t="shared" ref="C95:C103" si="42">C94</f>
        <v>2.532692781448906E-3</v>
      </c>
      <c r="D95" s="46">
        <f t="shared" ref="D95:D103" si="43">D94</f>
        <v>0.29265407832178425</v>
      </c>
      <c r="E95" s="7">
        <f>MAX((1-Parameters!$B$4)^Parameters!B$65*E94+B94*Parameters!B$65-Parameters!$B$5*B94^2/E94*Parameters!B$65,0.0001)</f>
        <v>0.8168067861176983</v>
      </c>
      <c r="F95" s="9">
        <f>(1-Parameters!$B$4)^Parameters!B$65*F94+C94*Parameters!B$65-Parameters!$B$5*C94^2/F94*Parameters!B$65</f>
        <v>4.6454300487130326E-2</v>
      </c>
      <c r="G95" s="7">
        <f>(1-Parameters!$B$4)^Parameters!B$65*G94+D94*Parameters!B$65-Parameters!$B$5*D94^2/G94*Parameters!B$65</f>
        <v>4.3435831616249878</v>
      </c>
      <c r="H95" s="7">
        <f>H94 *(1-Parameters!$B$4)-B94*(B94&lt;0)*Parameters!B$65</f>
        <v>0</v>
      </c>
      <c r="I95" s="7">
        <f>I94*(1+Parameters!$B$51)^Parameters!B$65</f>
        <v>10.620246772973491</v>
      </c>
      <c r="J95" s="7">
        <f>J94*(1+Parameters!$B$53)^Parameters!B$65</f>
        <v>54.876749430478455</v>
      </c>
      <c r="K95" s="23">
        <f>EXP(-Parameters!$B$42*A95)*(Parameters!$B$37/Parameters!$B$38*(E95+H95)/Parameters!$B$25*(EXP(-Parameters!$B$38*Parameters!$E$25*H95/(E95+H95))-EXP(-Parameters!$B$38*Parameters!$E$25))  +  Parameters!$B$39*E95*Parameters!$B$28*Parameters!$B$29*EXP((Parameters!$B$53+Parameters!$B$51)*A95))</f>
        <v>153.17730101957213</v>
      </c>
      <c r="L95" s="8">
        <f>L94+K95*Parameters!B$65</f>
        <v>10792.208946786843</v>
      </c>
      <c r="M95" s="7">
        <f>M94+Parameters!$B$45*K95</f>
        <v>6.4753253680721059</v>
      </c>
      <c r="N95" s="7">
        <f>'6states'!O95</f>
        <v>0.95438912421212874</v>
      </c>
      <c r="O95" s="7">
        <f>MAX(O94+(Parameters!B$31-K95)*Parameters!B$65,30)</f>
        <v>30</v>
      </c>
      <c r="P95" s="7">
        <f>Parameters!B$61*EXP(-Parameters!B$60*A95)+(1-Parameters!B$61)*(O95/Parameters!B$62)^-Parameters!B$63</f>
        <v>0.56905070990558682</v>
      </c>
      <c r="Q95" s="9">
        <f>1-P95/Parameters!$B$12</f>
        <v>0.71547464504720659</v>
      </c>
      <c r="R95" s="23">
        <f t="shared" si="34"/>
        <v>3.5146252613090088</v>
      </c>
      <c r="S95" s="7">
        <f>(Parameters!$B$19*(E95+Parameters!$B$20)^Q95+Parameters!$B$18*F95^Q95)^(1/Q95)</f>
        <v>0.53756474106199137</v>
      </c>
      <c r="T95" s="7">
        <f>(Parameters!$B$10*G95^Parameters!$B$9 + Parameters!$B$11*S95^Parameters!$B$9) ^ (Parameters!$B$7/Parameters!$B$9) * N95</f>
        <v>1.4591676812462462</v>
      </c>
      <c r="U95" s="7">
        <f t="shared" si="35"/>
        <v>1.1087421154516002</v>
      </c>
      <c r="V95" s="7">
        <f>EXP(-Parameters!$B$55*A95)</f>
        <v>0.2530672538717339</v>
      </c>
      <c r="W95" s="7">
        <f>IF(U95&gt;0,U95^(1-Parameters!$B$52)/(1-Parameters!$B$52)*V95,-10+U95*1000)</f>
        <v>-0.69739241166343424</v>
      </c>
      <c r="X95" s="7"/>
      <c r="Y95" s="7"/>
      <c r="Z95" s="7"/>
      <c r="AA95" s="7"/>
    </row>
    <row r="96" spans="1:27" x14ac:dyDescent="0.25">
      <c r="A96">
        <f>A95+Parameters!$B$65</f>
        <v>92</v>
      </c>
      <c r="B96" s="46">
        <f t="shared" ref="B96:B103" si="44">B95</f>
        <v>5.5238794691412761E-2</v>
      </c>
      <c r="C96" s="46">
        <f t="shared" si="42"/>
        <v>2.532692781448906E-3</v>
      </c>
      <c r="D96" s="46">
        <f t="shared" si="43"/>
        <v>0.29265407832178425</v>
      </c>
      <c r="E96" s="7">
        <f>MAX((1-Parameters!$B$4)^Parameters!B$65*E95+B95*Parameters!B$65-Parameters!$B$5*B95^2/E95*Parameters!B$65,0.0001)</f>
        <v>0.81693275927054509</v>
      </c>
      <c r="F96" s="9">
        <f>(1-Parameters!$B$4)^Parameters!B$65*F95+C95*Parameters!B$65-Parameters!$B$5*C95^2/F95*Parameters!B$65</f>
        <v>4.5926935122027834E-2</v>
      </c>
      <c r="G96" s="7">
        <f>(1-Parameters!$B$4)^Parameters!B$65*G95+D95*Parameters!B$65-Parameters!$B$5*D95^2/G95*Parameters!B$65</f>
        <v>4.3433079427033521</v>
      </c>
      <c r="H96" s="7">
        <f>H95 *(1-Parameters!$B$4)-B95*(B95&lt;0)*Parameters!B$65</f>
        <v>0</v>
      </c>
      <c r="I96" s="7">
        <f>I95*(1+Parameters!$B$51)^Parameters!B$65</f>
        <v>10.651045488615113</v>
      </c>
      <c r="J96" s="7">
        <f>J95*(1+Parameters!$B$53)^Parameters!B$65</f>
        <v>55.974284419088022</v>
      </c>
      <c r="K96" s="23">
        <f>EXP(-Parameters!$B$42*A96)*(Parameters!$B$37/Parameters!$B$38*(E96+H96)/Parameters!$B$25*(EXP(-Parameters!$B$38*Parameters!$E$25*H96/(E96+H96))-EXP(-Parameters!$B$38*Parameters!$E$25))  +  Parameters!$B$39*E96*Parameters!$B$28*Parameters!$B$29*EXP((Parameters!$B$53+Parameters!$B$51)*A96))</f>
        <v>155.10997113427152</v>
      </c>
      <c r="L96" s="8">
        <f>L95+K96*Parameters!B$65</f>
        <v>10947.318917921115</v>
      </c>
      <c r="M96" s="7">
        <f>M95+Parameters!$B$45*K96</f>
        <v>6.5683913507526688</v>
      </c>
      <c r="N96" s="7">
        <f>'6states'!O96</f>
        <v>0.95429697583896</v>
      </c>
      <c r="O96" s="7">
        <f>MAX(O95+(Parameters!B$31-K96)*Parameters!B$65,30)</f>
        <v>30</v>
      </c>
      <c r="P96" s="7">
        <f>Parameters!B$61*EXP(-Parameters!B$60*A96)+(1-Parameters!B$61)*(O96/Parameters!B$62)^-Parameters!B$63</f>
        <v>0.56790935044609436</v>
      </c>
      <c r="Q96" s="9">
        <f>1-P96/Parameters!$B$12</f>
        <v>0.71604532477695282</v>
      </c>
      <c r="R96" s="23">
        <f t="shared" si="34"/>
        <v>3.5216888019698822</v>
      </c>
      <c r="S96" s="7">
        <f>(Parameters!$B$19*(E96+Parameters!$B$20)^Q96+Parameters!$B$18*F96^Q96)^(1/Q96)</f>
        <v>0.53744018922176395</v>
      </c>
      <c r="T96" s="7">
        <f>(Parameters!$B$10*G96^Parameters!$B$9 + Parameters!$B$11*S96^Parameters!$B$9) ^ (Parameters!$B$7/Parameters!$B$9) * N96</f>
        <v>1.4589848490283281</v>
      </c>
      <c r="U96" s="7">
        <f t="shared" si="35"/>
        <v>1.1085592832336824</v>
      </c>
      <c r="V96" s="7">
        <f>EXP(-Parameters!$B$55*A96)</f>
        <v>0.24927464460072962</v>
      </c>
      <c r="W96" s="7">
        <f>IF(U96&gt;0,U96^(1-Parameters!$B$52)/(1-Parameters!$B$52)*V96,-10+U96*1000)</f>
        <v>-0.68698054514074791</v>
      </c>
      <c r="X96" s="7"/>
      <c r="Y96" s="7"/>
      <c r="Z96" s="7"/>
      <c r="AA96" s="7"/>
    </row>
    <row r="97" spans="1:27" x14ac:dyDescent="0.25">
      <c r="A97">
        <f>A96+Parameters!$B$65</f>
        <v>93</v>
      </c>
      <c r="B97" s="46">
        <f t="shared" si="44"/>
        <v>5.5238794691412761E-2</v>
      </c>
      <c r="C97" s="46">
        <f t="shared" si="42"/>
        <v>2.532692781448906E-3</v>
      </c>
      <c r="D97" s="46">
        <f t="shared" si="43"/>
        <v>0.29265407832178425</v>
      </c>
      <c r="E97" s="7">
        <f>MAX((1-Parameters!$B$4)^Parameters!B$65*E96+B96*Parameters!B$65-Parameters!$B$5*B96^2/E96*Parameters!B$65,0.0001)</f>
        <v>0.8170513847628158</v>
      </c>
      <c r="F97" s="9">
        <f>(1-Parameters!$B$4)^Parameters!B$65*F96+C96*Parameters!B$65-Parameters!$B$5*C96^2/F96*Parameters!B$65</f>
        <v>4.5431155476349586E-2</v>
      </c>
      <c r="G97" s="7">
        <f>(1-Parameters!$B$4)^Parameters!B$65*G96+D96*Parameters!B$65-Parameters!$B$5*D96^2/G96*Parameters!B$65</f>
        <v>4.3430487856024458</v>
      </c>
      <c r="H97" s="7">
        <f>H96 *(1-Parameters!$B$4)-B96*(B96&lt;0)*Parameters!B$65</f>
        <v>0</v>
      </c>
      <c r="I97" s="7">
        <f>I96*(1+Parameters!$B$51)^Parameters!B$65</f>
        <v>10.681933520532095</v>
      </c>
      <c r="J97" s="7">
        <f>J96*(1+Parameters!$B$53)^Parameters!B$65</f>
        <v>57.09377010746978</v>
      </c>
      <c r="K97" s="23">
        <f>EXP(-Parameters!$B$42*A97)*(Parameters!$B$37/Parameters!$B$38*(E97+H97)/Parameters!$B$25*(EXP(-Parameters!$B$38*Parameters!$E$25*H97/(E97+H97))-EXP(-Parameters!$B$38*Parameters!$E$25))  +  Parameters!$B$39*E97*Parameters!$B$28*Parameters!$B$29*EXP((Parameters!$B$53+Parameters!$B$51)*A97))</f>
        <v>157.0674041745016</v>
      </c>
      <c r="L97" s="8">
        <f>L96+K97*Parameters!B$65</f>
        <v>11104.386322095617</v>
      </c>
      <c r="M97" s="7">
        <f>M96+Parameters!$B$45*K97</f>
        <v>6.6626317932573693</v>
      </c>
      <c r="N97" s="7">
        <f>'6states'!O97</f>
        <v>0.95420652790339922</v>
      </c>
      <c r="O97" s="7">
        <f>MAX(O96+(Parameters!B$31-K97)*Parameters!B$65,30)</f>
        <v>30</v>
      </c>
      <c r="P97" s="7">
        <f>Parameters!B$61*EXP(-Parameters!B$60*A97)+(1-Parameters!B$61)*(O97/Parameters!B$62)^-Parameters!B$63</f>
        <v>0.56679839538557719</v>
      </c>
      <c r="Q97" s="9">
        <f>1-P97/Parameters!$B$12</f>
        <v>0.71660080230721146</v>
      </c>
      <c r="R97" s="23">
        <f t="shared" si="34"/>
        <v>3.5285914996979764</v>
      </c>
      <c r="S97" s="7">
        <f>(Parameters!$B$19*(E97+Parameters!$B$20)^Q97+Parameters!$B$18*F97^Q97)^(1/Q97)</f>
        <v>0.53732706089268834</v>
      </c>
      <c r="T97" s="7">
        <f>(Parameters!$B$10*G97^Parameters!$B$9 + Parameters!$B$11*S97^Parameters!$B$9) ^ (Parameters!$B$7/Parameters!$B$9) * N97</f>
        <v>1.4588077140315132</v>
      </c>
      <c r="U97" s="7">
        <f t="shared" si="35"/>
        <v>1.1083821482368674</v>
      </c>
      <c r="V97" s="7">
        <f>EXP(-Parameters!$B$55*A97)</f>
        <v>0.24553887352140147</v>
      </c>
      <c r="W97" s="7">
        <f>IF(U97&gt;0,U97^(1-Parameters!$B$52)/(1-Parameters!$B$52)*V97,-10+U97*1000)</f>
        <v>-0.67672291375140414</v>
      </c>
      <c r="X97" s="7"/>
      <c r="Y97" s="7"/>
      <c r="Z97" s="7"/>
      <c r="AA97" s="7"/>
    </row>
    <row r="98" spans="1:27" x14ac:dyDescent="0.25">
      <c r="A98">
        <f>A97+Parameters!$B$65</f>
        <v>94</v>
      </c>
      <c r="B98" s="46">
        <f t="shared" si="44"/>
        <v>5.5238794691412761E-2</v>
      </c>
      <c r="C98" s="46">
        <f t="shared" si="42"/>
        <v>2.532692781448906E-3</v>
      </c>
      <c r="D98" s="46">
        <f t="shared" si="43"/>
        <v>0.29265407832178425</v>
      </c>
      <c r="E98" s="7">
        <f>MAX((1-Parameters!$B$4)^Parameters!B$65*E97+B97*Parameters!B$65-Parameters!$B$5*B97^2/E97*Parameters!B$65,0.0001)</f>
        <v>0.81716309100054507</v>
      </c>
      <c r="F98" s="9">
        <f>(1-Parameters!$B$4)^Parameters!B$65*F97+C97*Parameters!B$65-Parameters!$B$5*C97^2/F97*Parameters!B$65</f>
        <v>4.4965036203677207E-2</v>
      </c>
      <c r="G98" s="7">
        <f>(1-Parameters!$B$4)^Parameters!B$65*G97+D97*Parameters!B$65-Parameters!$B$5*D97^2/G97*Parameters!B$65</f>
        <v>4.3428047528070541</v>
      </c>
      <c r="H98" s="7">
        <f>H97 *(1-Parameters!$B$4)-B97*(B97&lt;0)*Parameters!B$65</f>
        <v>0</v>
      </c>
      <c r="I98" s="7">
        <f>I97*(1+Parameters!$B$51)^Parameters!B$65</f>
        <v>10.712911127741636</v>
      </c>
      <c r="J98" s="7">
        <f>J97*(1+Parameters!$B$53)^Parameters!B$65</f>
        <v>58.235645509619175</v>
      </c>
      <c r="K98" s="23">
        <f>EXP(-Parameters!$B$42*A98)*(Parameters!$B$37/Parameters!$B$38*(E98+H98)/Parameters!$B$25*(EXP(-Parameters!$B$38*Parameters!$E$25*H98/(E98+H98))-EXP(-Parameters!$B$38*Parameters!$E$25))  +  Parameters!$B$39*E98*Parameters!$B$28*Parameters!$B$29*EXP((Parameters!$B$53+Parameters!$B$51)*A98))</f>
        <v>159.04996678776962</v>
      </c>
      <c r="L98" s="8">
        <f>L97+K98*Parameters!B$65</f>
        <v>11263.436288883388</v>
      </c>
      <c r="M98" s="7">
        <f>M97+Parameters!$B$45*K98</f>
        <v>6.7580617733300308</v>
      </c>
      <c r="N98" s="7">
        <f>'6states'!O98</f>
        <v>0.95411767513424894</v>
      </c>
      <c r="O98" s="7">
        <f>MAX(O97+(Parameters!B$31-K98)*Parameters!B$65,30)</f>
        <v>30</v>
      </c>
      <c r="P98" s="7">
        <f>Parameters!B$61*EXP(-Parameters!B$60*A98)+(1-Parameters!B$61)*(O98/Parameters!B$62)^-Parameters!B$63</f>
        <v>0.56571703478859448</v>
      </c>
      <c r="Q98" s="9">
        <f>1-P98/Parameters!$B$12</f>
        <v>0.71714148260570276</v>
      </c>
      <c r="R98" s="23">
        <f t="shared" si="34"/>
        <v>3.5353363554756481</v>
      </c>
      <c r="S98" s="7">
        <f>(Parameters!$B$19*(E98+Parameters!$B$20)^Q98+Parameters!$B$18*F98^Q98)^(1/Q98)</f>
        <v>0.53722458466776257</v>
      </c>
      <c r="T98" s="7">
        <f>(Parameters!$B$10*G98^Parameters!$B$9 + Parameters!$B$11*S98^Parameters!$B$9) ^ (Parameters!$B$7/Parameters!$B$9) * N98</f>
        <v>1.4586359199606858</v>
      </c>
      <c r="U98" s="7">
        <f t="shared" si="35"/>
        <v>1.1082103541660397</v>
      </c>
      <c r="V98" s="7">
        <f>EXP(-Parameters!$B$55*A98)</f>
        <v>0.24185908882440066</v>
      </c>
      <c r="W98" s="7">
        <f>IF(U98&gt;0,U98^(1-Parameters!$B$52)/(1-Parameters!$B$52)*V98,-10+U98*1000)</f>
        <v>-0.66661732541546659</v>
      </c>
      <c r="X98" s="7"/>
      <c r="Y98" s="7"/>
      <c r="Z98" s="7"/>
      <c r="AA98" s="7"/>
    </row>
    <row r="99" spans="1:27" x14ac:dyDescent="0.25">
      <c r="A99">
        <f>A98+Parameters!$B$65</f>
        <v>95</v>
      </c>
      <c r="B99" s="46">
        <f t="shared" si="44"/>
        <v>5.5238794691412761E-2</v>
      </c>
      <c r="C99" s="46">
        <f t="shared" si="42"/>
        <v>2.532692781448906E-3</v>
      </c>
      <c r="D99" s="46">
        <f t="shared" si="43"/>
        <v>0.29265407832178425</v>
      </c>
      <c r="E99" s="7">
        <f>MAX((1-Parameters!$B$4)^Parameters!B$65*E98+B98*Parameters!B$65-Parameters!$B$5*B98^2/E98*Parameters!B$65,0.0001)</f>
        <v>0.81726828142997188</v>
      </c>
      <c r="F99" s="9">
        <f>(1-Parameters!$B$4)^Parameters!B$65*F98+C98*Parameters!B$65-Parameters!$B$5*C98^2/F98*Parameters!B$65</f>
        <v>4.4526772196338459E-2</v>
      </c>
      <c r="G99" s="7">
        <f>(1-Parameters!$B$4)^Parameters!B$65*G98+D98*Parameters!B$65-Parameters!$B$5*D98^2/G98*Parameters!B$65</f>
        <v>4.3425749615403308</v>
      </c>
      <c r="H99" s="7">
        <f>H98 *(1-Parameters!$B$4)-B98*(B98&lt;0)*Parameters!B$65</f>
        <v>0</v>
      </c>
      <c r="I99" s="7">
        <f>I98*(1+Parameters!$B$51)^Parameters!B$65</f>
        <v>10.743978570012086</v>
      </c>
      <c r="J99" s="7">
        <f>J98*(1+Parameters!$B$53)^Parameters!B$65</f>
        <v>59.40035841981156</v>
      </c>
      <c r="K99" s="23">
        <f>EXP(-Parameters!$B$42*A99)*(Parameters!$B$37/Parameters!$B$38*(E99+H99)/Parameters!$B$25*(EXP(-Parameters!$B$38*Parameters!$E$25*H99/(E99+H99))-EXP(-Parameters!$B$38*Parameters!$E$25))  +  Parameters!$B$39*E99*Parameters!$B$28*Parameters!$B$29*EXP((Parameters!$B$53+Parameters!$B$51)*A99))</f>
        <v>161.05802794498368</v>
      </c>
      <c r="L99" s="8">
        <f>L98+K99*Parameters!B$65</f>
        <v>11424.494316828372</v>
      </c>
      <c r="M99" s="7">
        <f>M98+Parameters!$B$45*K99</f>
        <v>6.8546965900970207</v>
      </c>
      <c r="N99" s="7">
        <f>'6states'!O99</f>
        <v>0.95403034652678831</v>
      </c>
      <c r="O99" s="7">
        <f>MAX(O98+(Parameters!B$31-K99)*Parameters!B$65,30)</f>
        <v>30</v>
      </c>
      <c r="P99" s="7">
        <f>Parameters!B$61*EXP(-Parameters!B$60*A99)+(1-Parameters!B$61)*(O99/Parameters!B$62)^-Parameters!B$63</f>
        <v>0.56466448029537986</v>
      </c>
      <c r="Q99" s="9">
        <f>1-P99/Parameters!$B$12</f>
        <v>0.71766775985231002</v>
      </c>
      <c r="R99" s="23">
        <f t="shared" si="34"/>
        <v>3.5419263470473403</v>
      </c>
      <c r="S99" s="7">
        <f>(Parameters!$B$19*(E99+Parameters!$B$20)^Q99+Parameters!$B$18*F99^Q99)^(1/Q99)</f>
        <v>0.53713203504637297</v>
      </c>
      <c r="T99" s="7">
        <f>(Parameters!$B$10*G99^Parameters!$B$9 + Parameters!$B$11*S99^Parameters!$B$9) ^ (Parameters!$B$7/Parameters!$B$9) * N99</f>
        <v>1.4584691741031586</v>
      </c>
      <c r="U99" s="7">
        <f t="shared" si="35"/>
        <v>1.1080436083085128</v>
      </c>
      <c r="V99" s="7">
        <f>EXP(-Parameters!$B$55*A99)</f>
        <v>0.23823445146607616</v>
      </c>
      <c r="W99" s="7">
        <f>IF(U99&gt;0,U99^(1-Parameters!$B$52)/(1-Parameters!$B$52)*V99,-10+U99*1000)</f>
        <v>-0.65666160351463665</v>
      </c>
      <c r="X99" s="7"/>
      <c r="Y99" s="7"/>
      <c r="Z99" s="7"/>
      <c r="AA99" s="7"/>
    </row>
    <row r="100" spans="1:27" x14ac:dyDescent="0.25">
      <c r="A100">
        <f>A99+Parameters!$B$65</f>
        <v>96</v>
      </c>
      <c r="B100" s="46">
        <f t="shared" si="44"/>
        <v>5.5238794691412761E-2</v>
      </c>
      <c r="C100" s="46">
        <f t="shared" si="42"/>
        <v>2.532692781448906E-3</v>
      </c>
      <c r="D100" s="46">
        <f t="shared" si="43"/>
        <v>0.29265407832178425</v>
      </c>
      <c r="E100" s="7">
        <f>MAX((1-Parameters!$B$4)^Parameters!B$65*E99+B99*Parameters!B$65-Parameters!$B$5*B99^2/E99*Parameters!B$65,0.0001)</f>
        <v>0.81736733598964595</v>
      </c>
      <c r="F100" s="9">
        <f>(1-Parameters!$B$4)^Parameters!B$65*F99+C99*Parameters!B$65-Parameters!$B$5*C99^2/F99*Parameters!B$65</f>
        <v>4.411467087362559E-2</v>
      </c>
      <c r="G100" s="7">
        <f>(1-Parameters!$B$4)^Parameters!B$65*G99+D99*Parameters!B$65-Parameters!$B$5*D99^2/G99*Parameters!B$65</f>
        <v>4.3423585805659544</v>
      </c>
      <c r="H100" s="7">
        <f>H99 *(1-Parameters!$B$4)-B99*(B99&lt;0)*Parameters!B$65</f>
        <v>0</v>
      </c>
      <c r="I100" s="7">
        <f>I99*(1+Parameters!$B$51)^Parameters!B$65</f>
        <v>10.775136107865119</v>
      </c>
      <c r="J100" s="7">
        <f>J99*(1+Parameters!$B$53)^Parameters!B$65</f>
        <v>60.588365588207793</v>
      </c>
      <c r="K100" s="23">
        <f>EXP(-Parameters!$B$42*A100)*(Parameters!$B$37/Parameters!$B$38*(E100+H100)/Parameters!$B$25*(EXP(-Parameters!$B$38*Parameters!$E$25*H100/(E100+H100))-EXP(-Parameters!$B$38*Parameters!$E$25))  +  Parameters!$B$39*E100*Parameters!$B$28*Parameters!$B$29*EXP((Parameters!$B$53+Parameters!$B$51)*A100))</f>
        <v>163.0919590902524</v>
      </c>
      <c r="L100" s="8">
        <f>L99+K100*Parameters!B$65</f>
        <v>11587.586275918624</v>
      </c>
      <c r="M100" s="7">
        <f>M99+Parameters!$B$45*K100</f>
        <v>6.9525517655511724</v>
      </c>
      <c r="N100" s="7">
        <f>'6states'!O100</f>
        <v>0.95394441785182804</v>
      </c>
      <c r="O100" s="7">
        <f>MAX(O99+(Parameters!B$31-K100)*Parameters!B$65,30)</f>
        <v>30</v>
      </c>
      <c r="P100" s="7">
        <f>Parameters!B$61*EXP(-Parameters!B$60*A100)+(1-Parameters!B$61)*(O100/Parameters!B$62)^-Parameters!B$63</f>
        <v>0.56363996454709253</v>
      </c>
      <c r="Q100" s="9">
        <f>1-P100/Parameters!$B$12</f>
        <v>0.71818001772645368</v>
      </c>
      <c r="R100" s="23">
        <f t="shared" si="34"/>
        <v>3.5483644272937251</v>
      </c>
      <c r="S100" s="7">
        <f>(Parameters!$B$19*(E100+Parameters!$B$20)^Q100+Parameters!$B$18*F100^Q100)^(1/Q100)</f>
        <v>0.53704873003581</v>
      </c>
      <c r="T100" s="7">
        <f>(Parameters!$B$10*G100^Parameters!$B$9 + Parameters!$B$11*S100^Parameters!$B$9) ^ (Parameters!$B$7/Parameters!$B$9) * N100</f>
        <v>1.4583071130146015</v>
      </c>
      <c r="U100" s="7">
        <f t="shared" si="35"/>
        <v>1.1078815472199555</v>
      </c>
      <c r="V100" s="7">
        <f>EXP(-Parameters!$B$55*A100)</f>
        <v>0.23466413497716049</v>
      </c>
      <c r="W100" s="7">
        <f>IF(U100&gt;0,U100^(1-Parameters!$B$52)/(1-Parameters!$B$52)*V100,-10+U100*1000)</f>
        <v>-0.64685361499456873</v>
      </c>
      <c r="X100" s="7"/>
      <c r="Y100" s="7"/>
      <c r="Z100" s="7"/>
      <c r="AA100" s="7"/>
    </row>
    <row r="101" spans="1:27" x14ac:dyDescent="0.25">
      <c r="A101">
        <f>A100+Parameters!$B$65</f>
        <v>97</v>
      </c>
      <c r="B101" s="46">
        <f t="shared" si="44"/>
        <v>5.5238794691412761E-2</v>
      </c>
      <c r="C101" s="46">
        <f t="shared" si="42"/>
        <v>2.532692781448906E-3</v>
      </c>
      <c r="D101" s="46">
        <f t="shared" si="43"/>
        <v>0.29265407832178425</v>
      </c>
      <c r="E101" s="7">
        <f>MAX((1-Parameters!$B$4)^Parameters!B$65*E100+B100*Parameters!B$65-Parameters!$B$5*B100^2/E100*Parameters!B$65,0.0001)</f>
        <v>0.81746061247829338</v>
      </c>
      <c r="F101" s="9">
        <f>(1-Parameters!$B$4)^Parameters!B$65*F100+C100*Parameters!B$65-Parameters!$B$5*C100^2/F100*Parameters!B$65</f>
        <v>4.3727144972909131E-2</v>
      </c>
      <c r="G101" s="7">
        <f>(1-Parameters!$B$4)^Parameters!B$65*G100+D100*Parameters!B$65-Parameters!$B$5*D100^2/G100*Parameters!B$65</f>
        <v>4.3421548271773194</v>
      </c>
      <c r="H101" s="7">
        <f>H100 *(1-Parameters!$B$4)-B100*(B100&lt;0)*Parameters!B$65</f>
        <v>0</v>
      </c>
      <c r="I101" s="7">
        <f>I100*(1+Parameters!$B$51)^Parameters!B$65</f>
        <v>10.806384002577927</v>
      </c>
      <c r="J101" s="7">
        <f>J100*(1+Parameters!$B$53)^Parameters!B$65</f>
        <v>61.800132899971949</v>
      </c>
      <c r="K101" s="23">
        <f>EXP(-Parameters!$B$42*A101)*(Parameters!$B$37/Parameters!$B$38*(E101+H101)/Parameters!$B$25*(EXP(-Parameters!$B$38*Parameters!$E$25*H101/(E101+H101))-EXP(-Parameters!$B$38*Parameters!$E$25))  +  Parameters!$B$39*E101*Parameters!$B$28*Parameters!$B$29*EXP((Parameters!$B$53+Parameters!$B$51)*A101))</f>
        <v>165.15213428680858</v>
      </c>
      <c r="L101" s="8">
        <f>L100+K101*Parameters!B$65</f>
        <v>11752.738410205433</v>
      </c>
      <c r="M101" s="7">
        <f>M100+Parameters!$B$45*K101</f>
        <v>7.0516430461232575</v>
      </c>
      <c r="N101" s="7">
        <f>'6states'!O101</f>
        <v>0.95385968072625438</v>
      </c>
      <c r="O101" s="7">
        <f>MAX(O100+(Parameters!B$31-K101)*Parameters!B$65,30)</f>
        <v>30</v>
      </c>
      <c r="P101" s="7">
        <f>Parameters!B$61*EXP(-Parameters!B$60*A101)+(1-Parameters!B$61)*(O101/Parameters!B$62)^-Parameters!B$63</f>
        <v>0.56264274062637831</v>
      </c>
      <c r="Q101" s="9">
        <f>1-P101/Parameters!$B$12</f>
        <v>0.71867862968681084</v>
      </c>
      <c r="R101" s="23">
        <f t="shared" si="34"/>
        <v>3.5546535227193052</v>
      </c>
      <c r="S101" s="7">
        <f>(Parameters!$B$19*(E101+Parameters!$B$20)^Q101+Parameters!$B$18*F101^Q101)^(1/Q101)</f>
        <v>0.5369740288468372</v>
      </c>
      <c r="T101" s="7">
        <f>(Parameters!$B$10*G101^Parameters!$B$9 + Parameters!$B$11*S101^Parameters!$B$9) ^ (Parameters!$B$7/Parameters!$B$9) * N101</f>
        <v>1.4581492547057684</v>
      </c>
      <c r="U101" s="7">
        <f t="shared" si="35"/>
        <v>1.1077236889111224</v>
      </c>
      <c r="V101" s="7">
        <f>EXP(-Parameters!$B$55*A101)</f>
        <v>0.23114732527432291</v>
      </c>
      <c r="W101" s="7">
        <f>IF(U101&gt;0,U101^(1-Parameters!$B$52)/(1-Parameters!$B$52)*V101,-10+U101*1000)</f>
        <v>-0.63719127857570745</v>
      </c>
      <c r="X101" s="7"/>
      <c r="Y101" s="7"/>
      <c r="Z101" s="7"/>
      <c r="AA101" s="7"/>
    </row>
    <row r="102" spans="1:27" x14ac:dyDescent="0.25">
      <c r="A102">
        <f>A101+Parameters!$B$65</f>
        <v>98</v>
      </c>
      <c r="B102" s="46">
        <f t="shared" si="44"/>
        <v>5.5238794691412761E-2</v>
      </c>
      <c r="C102" s="46">
        <f t="shared" si="42"/>
        <v>2.532692781448906E-3</v>
      </c>
      <c r="D102" s="46">
        <f t="shared" si="43"/>
        <v>0.29265407832178425</v>
      </c>
      <c r="E102" s="7">
        <f>MAX((1-Parameters!$B$4)^Parameters!B$65*E101+B101*Parameters!B$65-Parameters!$B$5*B101^2/E101*Parameters!B$65,0.0001)</f>
        <v>0.81754844784330172</v>
      </c>
      <c r="F102" s="9">
        <f>(1-Parameters!$B$4)^Parameters!B$65*F101+C101*Parameters!B$65-Parameters!$B$5*C101^2/F101*Parameters!B$65</f>
        <v>4.3362705811389998E-2</v>
      </c>
      <c r="G102" s="7">
        <f>(1-Parameters!$B$4)^Parameters!B$65*G101+D101*Parameters!B$65-Parameters!$B$5*D101^2/G101*Parameters!B$65</f>
        <v>4.3419629643627857</v>
      </c>
      <c r="H102" s="7">
        <f>H101 *(1-Parameters!$B$4)-B101*(B101&lt;0)*Parameters!B$65</f>
        <v>0</v>
      </c>
      <c r="I102" s="7">
        <f>I101*(1+Parameters!$B$51)^Parameters!B$65</f>
        <v>10.837722516185401</v>
      </c>
      <c r="J102" s="7">
        <f>J101*(1+Parameters!$B$53)^Parameters!B$65</f>
        <v>63.036135557971392</v>
      </c>
      <c r="K102" s="23">
        <f>EXP(-Parameters!$B$42*A102)*(Parameters!$B$37/Parameters!$B$38*(E102+H102)/Parameters!$B$25*(EXP(-Parameters!$B$38*Parameters!$E$25*H102/(E102+H102))-EXP(-Parameters!$B$38*Parameters!$E$25))  +  Parameters!$B$39*E102*Parameters!$B$28*Parameters!$B$29*EXP((Parameters!$B$53+Parameters!$B$51)*A102))</f>
        <v>167.23893035929376</v>
      </c>
      <c r="L102" s="8">
        <f>L101+K102*Parameters!B$65</f>
        <v>11919.977340564727</v>
      </c>
      <c r="M102" s="7">
        <f>M101+Parameters!$B$45*K102</f>
        <v>7.1519864043388335</v>
      </c>
      <c r="N102" s="7">
        <f>'6states'!O102</f>
        <v>0.95377597205431563</v>
      </c>
      <c r="O102" s="7">
        <f>MAX(O101+(Parameters!B$31-K102)*Parameters!B$65,30)</f>
        <v>30</v>
      </c>
      <c r="P102" s="7">
        <f>Parameters!B$61*EXP(-Parameters!B$60*A102)+(1-Parameters!B$61)*(O102/Parameters!B$62)^-Parameters!B$63</f>
        <v>0.5616720815128341</v>
      </c>
      <c r="Q102" s="9">
        <f>1-P102/Parameters!$B$12</f>
        <v>0.71916395924358301</v>
      </c>
      <c r="R102" s="23">
        <f t="shared" si="34"/>
        <v>3.5607965320496366</v>
      </c>
      <c r="S102" s="7">
        <f>(Parameters!$B$19*(E102+Parameters!$B$20)^Q102+Parameters!$B$18*F102^Q102)^(1/Q102)</f>
        <v>0.53690732968305521</v>
      </c>
      <c r="T102" s="7">
        <f>(Parameters!$B$10*G102^Parameters!$B$9 + Parameters!$B$11*S102^Parameters!$B$9) ^ (Parameters!$B$7/Parameters!$B$9) * N102</f>
        <v>1.4579951960036968</v>
      </c>
      <c r="U102" s="7">
        <f t="shared" si="35"/>
        <v>1.107569630209051</v>
      </c>
      <c r="V102" s="7">
        <f>EXP(-Parameters!$B$55*A102)</f>
        <v>0.22768322047454675</v>
      </c>
      <c r="W102" s="7">
        <f>IF(U102&gt;0,U102^(1-Parameters!$B$52)/(1-Parameters!$B$52)*V102,-10+U102*1000)</f>
        <v>-0.62767252352903635</v>
      </c>
      <c r="X102" s="7"/>
      <c r="Y102" s="7"/>
      <c r="Z102" s="7"/>
      <c r="AA102" s="7"/>
    </row>
    <row r="103" spans="1:27" x14ac:dyDescent="0.25">
      <c r="A103">
        <f>A102+Parameters!$B$65</f>
        <v>99</v>
      </c>
      <c r="B103" s="46">
        <f t="shared" si="44"/>
        <v>5.5238794691412761E-2</v>
      </c>
      <c r="C103" s="46">
        <f t="shared" si="42"/>
        <v>2.532692781448906E-3</v>
      </c>
      <c r="D103" s="46">
        <f t="shared" si="43"/>
        <v>0.29265407832178425</v>
      </c>
      <c r="E103" s="7">
        <f>MAX((1-Parameters!$B$4)^Parameters!B$65*E102+B102*Parameters!B$65-Parameters!$B$5*B102^2/E102*Parameters!B$65,0.0001)</f>
        <v>0.81763115939440589</v>
      </c>
      <c r="F103" s="9">
        <f>(1-Parameters!$B$4)^Parameters!B$65*F102+C102*Parameters!B$65-Parameters!$B$5*C102^2/F102*Parameters!B$65</f>
        <v>4.3019956988134239E-2</v>
      </c>
      <c r="G103" s="7">
        <f>(1-Parameters!$B$4)^Parameters!B$65*G102+D102*Parameters!B$65-Parameters!$B$5*D102^2/G102*Parameters!B$65</f>
        <v>4.3417822981366836</v>
      </c>
      <c r="H103" s="7">
        <f>H102 *(1-Parameters!$B$4)-B102*(B102&lt;0)*Parameters!B$65</f>
        <v>0</v>
      </c>
      <c r="I103" s="7">
        <f>I102*(1+Parameters!$B$51)^Parameters!B$65</f>
        <v>10.869151911482337</v>
      </c>
      <c r="J103" s="7">
        <f>J102*(1+Parameters!$B$53)^Parameters!B$65</f>
        <v>64.296858269130823</v>
      </c>
      <c r="K103" s="23">
        <f>EXP(-Parameters!$B$42*A103)*(Parameters!$B$37/Parameters!$B$38*(E103+H103)/Parameters!$B$25*(EXP(-Parameters!$B$38*Parameters!$E$25*H103/(E103+H103))-EXP(-Parameters!$B$38*Parameters!$E$25))  +  Parameters!$B$39*E103*Parameters!$B$28*Parameters!$B$29*EXP((Parameters!$B$53+Parameters!$B$51)*A103))</f>
        <v>169.35272703262436</v>
      </c>
      <c r="L103" s="8">
        <f>L102+K103*Parameters!B$65</f>
        <v>12089.330067597351</v>
      </c>
      <c r="M103" s="7">
        <f>M102+Parameters!$B$45*K103</f>
        <v>7.2535980405584084</v>
      </c>
      <c r="N103" s="7">
        <f>'6states'!O103</f>
        <v>0.95369308021099808</v>
      </c>
      <c r="O103" s="7">
        <f>MAX(O102+(Parameters!B$31-K103)*Parameters!B$65,30)</f>
        <v>30</v>
      </c>
      <c r="P103" s="7">
        <f>Parameters!B$61*EXP(-Parameters!B$60*A103)+(1-Parameters!B$61)*(O103/Parameters!B$62)^-Parameters!B$63</f>
        <v>0.56072727955297785</v>
      </c>
      <c r="Q103" s="9">
        <f>1-P103/Parameters!$B$12</f>
        <v>0.71963636022351107</v>
      </c>
      <c r="R103" s="23">
        <f t="shared" si="34"/>
        <v>3.5667963249343546</v>
      </c>
      <c r="S103" s="7">
        <f>(Parameters!$B$19*(E103+Parameters!$B$20)^Q103+Parameters!$B$18*F103^Q103)^(1/Q103)</f>
        <v>0.53684806762336201</v>
      </c>
      <c r="T103" s="7">
        <f>(Parameters!$B$10*G103^Parameters!$B$9 + Parameters!$B$11*S103^Parameters!$B$9) ^ (Parameters!$B$7/Parameters!$B$9) * N103</f>
        <v>1.4578444686316794</v>
      </c>
      <c r="U103" s="7">
        <f t="shared" si="35"/>
        <v>1.1074189028370336</v>
      </c>
      <c r="V103" s="7">
        <f>EXP(-Parameters!$B$55*A103)</f>
        <v>0.22427103071228871</v>
      </c>
      <c r="W103" s="7">
        <f>IF(U103&gt;0,U103^(1-Parameters!$B$52)/(1-Parameters!$B$52)*V103,-10+U103*1000)</f>
        <v>-0.61829531869958687</v>
      </c>
      <c r="X103" s="7"/>
      <c r="Y103" s="7"/>
      <c r="Z103" s="7"/>
      <c r="AA103" s="7"/>
    </row>
    <row r="104" spans="1:27" x14ac:dyDescent="0.25">
      <c r="A104">
        <f>A103+Parameters!$B$65</f>
        <v>100</v>
      </c>
      <c r="B104" s="9">
        <f t="shared" ref="B104:B105" si="45">B103</f>
        <v>5.5238794691412761E-2</v>
      </c>
      <c r="C104" s="9">
        <f t="shared" ref="C104:D104" si="46">C103</f>
        <v>2.532692781448906E-3</v>
      </c>
      <c r="D104" s="7">
        <f t="shared" si="46"/>
        <v>0.29265407832178425</v>
      </c>
      <c r="E104" s="7">
        <f>MAX((1-Parameters!$B$4)^Parameters!B$65*E103+B103*Parameters!B$65-Parameters!$B$5*B103^2/E103*Parameters!B$65,0.0001)</f>
        <v>0.81770904594689675</v>
      </c>
      <c r="F104" s="9">
        <f>(1-Parameters!$B$4)^Parameters!B$65*F103+C103*Parameters!B$65-Parameters!$B$5*C103^2/F103*Parameters!B$65</f>
        <v>4.2697588497843789E-2</v>
      </c>
      <c r="G104" s="7">
        <f>(1-Parameters!$B$4)^Parameters!B$65*G103+D103*Parameters!B$65-Parameters!$B$5*D103^2/G103*Parameters!B$65</f>
        <v>4.3416121750263565</v>
      </c>
      <c r="H104" s="7">
        <f>H103 *(1-Parameters!$B$4)-B103*(B103&lt;0)*Parameters!B$65</f>
        <v>0</v>
      </c>
      <c r="I104" s="7">
        <f>I103*(1+Parameters!$B$51)^Parameters!B$65</f>
        <v>10.900672452025635</v>
      </c>
      <c r="J104" s="7">
        <f>J103*(1+Parameters!$B$53)^Parameters!B$65</f>
        <v>65.582795434513443</v>
      </c>
      <c r="K104" s="23">
        <f>EXP(-Parameters!$B$42*A104)*(Parameters!$B$37/Parameters!$B$38*(E104+H104)/Parameters!$B$25*(EXP(-Parameters!$B$38*Parameters!$E$25*H104/(E104+H104))-EXP(-Parameters!$B$38*Parameters!$E$25))  +  Parameters!$B$39*E104*Parameters!$B$28*Parameters!$B$29*EXP((Parameters!$B$53+Parameters!$B$51)*A104))</f>
        <v>171.49390706765647</v>
      </c>
      <c r="L104" s="8">
        <f>L103+K104*Parameters!B$65</f>
        <v>12260.823974665009</v>
      </c>
      <c r="M104" s="7">
        <f>M103+Parameters!$B$45*K104</f>
        <v>7.3564943847990021</v>
      </c>
      <c r="N104" s="7">
        <f>'6states'!O104</f>
        <v>0.95361097133344452</v>
      </c>
      <c r="O104" s="7">
        <f>MAX(O103+(Parameters!B$31-K104)*Parameters!B$65,30)</f>
        <v>30</v>
      </c>
      <c r="P104" s="7">
        <f>Parameters!B$61*EXP(-Parameters!B$60*A104)+(1-Parameters!B$61)*(O104/Parameters!B$62)^-Parameters!B$63</f>
        <v>0.55980764594433752</v>
      </c>
      <c r="Q104" s="9">
        <f>1-P104/Parameters!$B$12</f>
        <v>0.72009617702783124</v>
      </c>
      <c r="R104" s="23">
        <f t="shared" si="34"/>
        <v>3.572655740752178</v>
      </c>
      <c r="S104" s="7">
        <f>(Parameters!$B$19*(E104+Parameters!$B$20)^Q104+Parameters!$B$18*F104^Q104)^(1/Q104)</f>
        <v>0.53679571259643699</v>
      </c>
      <c r="T104" s="7">
        <f>(Parameters!$B$10*G104^Parameters!$B$9 + Parameters!$B$11*S104^Parameters!$B$9) ^ (Parameters!$B$7/Parameters!$B$9) * N104</f>
        <v>1.4576968846434679</v>
      </c>
      <c r="U104" s="7">
        <f t="shared" si="35"/>
        <v>1.1072713188488219</v>
      </c>
      <c r="V104" s="7">
        <f>EXP(-Parameters!$B$55*A104)</f>
        <v>0.22090997795937814</v>
      </c>
      <c r="W104" s="7">
        <f>IF(U104&gt;0,U104^(1-Parameters!$B$52)/(1-Parameters!$B$52)*V104,-10+U104*1000)</f>
        <v>-0.6090576047721008</v>
      </c>
      <c r="X104" s="7"/>
      <c r="Y104" s="7"/>
      <c r="Z104" s="7"/>
      <c r="AA104" s="7"/>
    </row>
    <row r="105" spans="1:27" x14ac:dyDescent="0.25">
      <c r="A105">
        <f>A104+Parameters!$B$65</f>
        <v>101</v>
      </c>
      <c r="B105" s="9">
        <f t="shared" si="45"/>
        <v>5.5238794691412761E-2</v>
      </c>
      <c r="C105" s="9">
        <f>C104</f>
        <v>2.532692781448906E-3</v>
      </c>
      <c r="D105" s="7">
        <f>D104</f>
        <v>0.29265407832178425</v>
      </c>
      <c r="E105" s="7">
        <f>MAX((1-Parameters!$B$4)^Parameters!B$65*E104+B104*Parameters!B$65-Parameters!$B$5*B104^2/E104*Parameters!B$65,0.0001)</f>
        <v>0.81778238889842458</v>
      </c>
      <c r="F105" s="9">
        <f>(1-Parameters!$B$4)^Parameters!B$65*F104+C104*Parameters!B$65-Parameters!$B$5*C104^2/F104*Parameters!B$65</f>
        <v>4.2394371229538229E-2</v>
      </c>
      <c r="G105" s="7">
        <f>(1-Parameters!$B$4)^Parameters!B$65*G104+D104*Parameters!B$65-Parameters!$B$5*D104^2/G104*Parameters!B$65</f>
        <v>4.3414519797061022</v>
      </c>
      <c r="H105" s="7">
        <f>H104 *(1-Parameters!$B$4)-B104*(B104&lt;0)*Parameters!B$65</f>
        <v>0</v>
      </c>
      <c r="I105" s="7">
        <f>I104*(1+Parameters!$B$51)^Parameters!B$65</f>
        <v>10.932284402136508</v>
      </c>
      <c r="J105" s="7">
        <f>J104*(1+Parameters!$B$53)^Parameters!B$65</f>
        <v>66.894451343203713</v>
      </c>
      <c r="K105" s="23">
        <f>EXP(-Parameters!$B$42*A105)*(Parameters!$B$37/Parameters!$B$38*(E105+H105)/Parameters!$B$25*(EXP(-Parameters!$B$38*Parameters!$E$25*H105/(E105+H105))-EXP(-Parameters!$B$38*Parameters!$E$25))  +  Parameters!$B$39*E105*Parameters!$B$28*Parameters!$B$29*EXP((Parameters!$B$53+Parameters!$B$51)*A105))</f>
        <v>173.66285639384856</v>
      </c>
      <c r="L105" s="8">
        <f>L104+K105*Parameters!B$65</f>
        <v>12434.486831058857</v>
      </c>
      <c r="M105" s="7">
        <f>M104+Parameters!$B$45*K105</f>
        <v>7.4606920986353114</v>
      </c>
      <c r="N105" s="7">
        <f>'6states'!O105</f>
        <v>0.95352957224467016</v>
      </c>
      <c r="O105" s="7">
        <f>MAX(O104+(Parameters!B$31-K105)*Parameters!B$65,30)</f>
        <v>30</v>
      </c>
      <c r="P105" s="7">
        <f>Parameters!B$61*EXP(-Parameters!B$60*A105)+(1-Parameters!B$61)*(O105/Parameters!B$62)^-Parameters!B$63</f>
        <v>0.55891251023328392</v>
      </c>
      <c r="Q105" s="9">
        <f>1-P105/Parameters!$B$12</f>
        <v>0.72054374488335804</v>
      </c>
      <c r="R105" s="23">
        <f t="shared" si="34"/>
        <v>3.5783775875140496</v>
      </c>
      <c r="S105" s="7">
        <f>(Parameters!$B$19*(E105+Parameters!$B$20)^Q105+Parameters!$B$18*F105^Q105)^(1/Q105)</f>
        <v>0.53674976744581193</v>
      </c>
      <c r="T105" s="7">
        <f>(Parameters!$B$10*G105^Parameters!$B$9 + Parameters!$B$11*S105^Parameters!$B$9) ^ (Parameters!$B$7/Parameters!$B$9) * N105</f>
        <v>1.457552204121541</v>
      </c>
      <c r="U105" s="7">
        <f t="shared" si="35"/>
        <v>1.107126638326895</v>
      </c>
      <c r="V105" s="7">
        <f>EXP(-Parameters!$B$55*A105)</f>
        <v>0.21759929584761534</v>
      </c>
      <c r="W105" s="7">
        <f>IF(U105&gt;0,U105^(1-Parameters!$B$52)/(1-Parameters!$B$52)*V105,-10+U105*1000)</f>
        <v>-0.59995736103454256</v>
      </c>
      <c r="X105" s="7"/>
      <c r="Y105" s="7"/>
      <c r="Z105" s="7"/>
      <c r="AA105" s="7"/>
    </row>
    <row r="106" spans="1:27" x14ac:dyDescent="0.25">
      <c r="A106">
        <f>A105+Parameters!$B$65</f>
        <v>102</v>
      </c>
      <c r="B106" s="9">
        <f t="shared" ref="B106:D121" si="47">B105</f>
        <v>5.5238794691412761E-2</v>
      </c>
      <c r="C106" s="9">
        <f t="shared" si="47"/>
        <v>2.532692781448906E-3</v>
      </c>
      <c r="D106" s="7">
        <f t="shared" si="47"/>
        <v>0.29265407832178425</v>
      </c>
      <c r="E106" s="7">
        <f>MAX((1-Parameters!$B$4)^Parameters!B$65*E105+B105*Parameters!B$65-Parameters!$B$5*B105^2/E105*Parameters!B$65,0.0001)</f>
        <v>0.81785145324323927</v>
      </c>
      <c r="F106" s="9">
        <f>(1-Parameters!$B$4)^Parameters!B$65*F105+C105*Parameters!B$65-Parameters!$B$5*C105^2/F105*Parameters!B$65</f>
        <v>4.2109151824958772E-2</v>
      </c>
      <c r="G106" s="7">
        <f>(1-Parameters!$B$4)^Parameters!B$65*G105+D105*Parameters!B$65-Parameters!$B$5*D105^2/G105*Parameters!B$65</f>
        <v>4.3413011327694147</v>
      </c>
      <c r="H106" s="7">
        <f>H105 *(1-Parameters!$B$4)-B105*(B105&lt;0)*Parameters!B$65</f>
        <v>0</v>
      </c>
      <c r="I106" s="7">
        <f>I105*(1+Parameters!$B$51)^Parameters!B$65</f>
        <v>10.963988026902703</v>
      </c>
      <c r="J106" s="7">
        <f>J105*(1+Parameters!$B$53)^Parameters!B$65</f>
        <v>68.232340370067789</v>
      </c>
      <c r="K106" s="23">
        <f>EXP(-Parameters!$B$42*A106)*(Parameters!$B$37/Parameters!$B$38*(E106+H106)/Parameters!$B$25*(EXP(-Parameters!$B$38*Parameters!$E$25*H106/(E106+H106))-EXP(-Parameters!$B$38*Parameters!$E$25))  +  Parameters!$B$39*E106*Parameters!$B$28*Parameters!$B$29*EXP((Parameters!$B$53+Parameters!$B$51)*A106))</f>
        <v>175.85996423911894</v>
      </c>
      <c r="L106" s="8">
        <f>L105+K106*Parameters!B$65</f>
        <v>12610.346795297975</v>
      </c>
      <c r="M106" s="7">
        <f>M105+Parameters!$B$45*K106</f>
        <v>7.566208077178783</v>
      </c>
      <c r="N106" s="7">
        <f>'6states'!O106</f>
        <v>0.95344877551433527</v>
      </c>
      <c r="O106" s="7">
        <f>MAX(O105+(Parameters!B$31-K106)*Parameters!B$65,30)</f>
        <v>30</v>
      </c>
      <c r="P106" s="7">
        <f>Parameters!B$61*EXP(-Parameters!B$60*A106)+(1-Parameters!B$61)*(O106/Parameters!B$62)^-Parameters!B$63</f>
        <v>0.55804121982623989</v>
      </c>
      <c r="Q106" s="9">
        <f>1-P106/Parameters!$B$12</f>
        <v>0.72097939008688006</v>
      </c>
      <c r="R106" s="23">
        <f t="shared" si="34"/>
        <v>3.5839646408606698</v>
      </c>
      <c r="S106" s="7">
        <f>(Parameters!$B$19*(E106+Parameters!$B$20)^Q106+Parameters!$B$18*F106^Q106)^(1/Q106)</f>
        <v>0.53670976608380905</v>
      </c>
      <c r="T106" s="7">
        <f>(Parameters!$B$10*G106^Parameters!$B$9 + Parameters!$B$11*S106^Parameters!$B$9) ^ (Parameters!$B$7/Parameters!$B$9) * N106</f>
        <v>1.4574101424768116</v>
      </c>
      <c r="U106" s="7">
        <f t="shared" si="35"/>
        <v>1.1069845766821658</v>
      </c>
      <c r="V106" s="7">
        <f>EXP(-Parameters!$B$55*A106)</f>
        <v>0.2143382294940287</v>
      </c>
      <c r="W106" s="7">
        <f>IF(U106&gt;0,U106^(1-Parameters!$B$52)/(1-Parameters!$B$52)*V106,-10+U106*1000)</f>
        <v>-0.5909926029083612</v>
      </c>
      <c r="X106" s="7"/>
      <c r="Y106" s="7"/>
      <c r="Z106" s="7"/>
      <c r="AA106" s="7"/>
    </row>
    <row r="107" spans="1:27" x14ac:dyDescent="0.25">
      <c r="A107">
        <f>A106+Parameters!$B$65</f>
        <v>103</v>
      </c>
      <c r="B107" s="9">
        <f t="shared" si="47"/>
        <v>5.5238794691412761E-2</v>
      </c>
      <c r="C107" s="9">
        <f t="shared" si="47"/>
        <v>2.532692781448906E-3</v>
      </c>
      <c r="D107" s="7">
        <f t="shared" si="47"/>
        <v>0.29265407832178425</v>
      </c>
      <c r="E107" s="7">
        <f>MAX((1-Parameters!$B$4)^Parameters!B$65*E106+B106*Parameters!B$65-Parameters!$B$5*B106^2/E106*Parameters!B$65,0.0001)</f>
        <v>0.81791648852748589</v>
      </c>
      <c r="F107" s="9">
        <f>(1-Parameters!$B$4)^Parameters!B$65*F106+C106*Parameters!B$65-Parameters!$B$5*C106^2/F106*Parameters!B$65</f>
        <v>4.1840847873059799E-2</v>
      </c>
      <c r="G107" s="7">
        <f>(1-Parameters!$B$4)^Parameters!B$65*G106+D106*Parameters!B$65-Parameters!$B$5*D106^2/G106*Parameters!B$65</f>
        <v>4.3411590886314295</v>
      </c>
      <c r="H107" s="7">
        <f>H106 *(1-Parameters!$B$4)-B106*(B106&lt;0)*Parameters!B$65</f>
        <v>0</v>
      </c>
      <c r="I107" s="7">
        <f>I106*(1+Parameters!$B$51)^Parameters!B$65</f>
        <v>10.99578359218072</v>
      </c>
      <c r="J107" s="7">
        <f>J106*(1+Parameters!$B$53)^Parameters!B$65</f>
        <v>69.596987177469146</v>
      </c>
      <c r="K107" s="23">
        <f>EXP(-Parameters!$B$42*A107)*(Parameters!$B$37/Parameters!$B$38*(E107+H107)/Parameters!$B$25*(EXP(-Parameters!$B$38*Parameters!$E$25*H107/(E107+H107))-EXP(-Parameters!$B$38*Parameters!$E$25))  +  Parameters!$B$39*E107*Parameters!$B$28*Parameters!$B$29*EXP((Parameters!$B$53+Parameters!$B$51)*A107))</f>
        <v>178.08562325708158</v>
      </c>
      <c r="L107" s="8">
        <f>L106+K107*Parameters!B$65</f>
        <v>12788.432418555058</v>
      </c>
      <c r="M107" s="7">
        <f>M106+Parameters!$B$45*K107</f>
        <v>7.6730594511330317</v>
      </c>
      <c r="N107" s="7">
        <f>'6states'!O107</f>
        <v>0.95336857106611783</v>
      </c>
      <c r="O107" s="7">
        <f>MAX(O106+(Parameters!B$31-K107)*Parameters!B$65,30)</f>
        <v>30</v>
      </c>
      <c r="P107" s="7">
        <f>Parameters!B$61*EXP(-Parameters!B$60*A107)+(1-Parameters!B$61)*(O107/Parameters!B$62)^-Parameters!B$63</f>
        <v>0.55719313951391136</v>
      </c>
      <c r="Q107" s="9">
        <f>1-P107/Parameters!$B$12</f>
        <v>0.72140343024304432</v>
      </c>
      <c r="R107" s="23">
        <f t="shared" si="34"/>
        <v>3.5894196431506247</v>
      </c>
      <c r="S107" s="7">
        <f>(Parameters!$B$19*(E107+Parameters!$B$20)^Q107+Parameters!$B$18*F107^Q107)^(1/Q107)</f>
        <v>0.53667527173235241</v>
      </c>
      <c r="T107" s="7">
        <f>(Parameters!$B$10*G107^Parameters!$B$9 + Parameters!$B$11*S107^Parameters!$B$9) ^ (Parameters!$B$7/Parameters!$B$9) * N107</f>
        <v>1.4572705711988114</v>
      </c>
      <c r="U107" s="7">
        <f t="shared" si="35"/>
        <v>1.1068450054041654</v>
      </c>
      <c r="V107" s="7">
        <f>EXP(-Parameters!$B$55*A107)</f>
        <v>0.21112603532875074</v>
      </c>
      <c r="W107" s="7">
        <f>IF(U107&gt;0,U107^(1-Parameters!$B$52)/(1-Parameters!$B$52)*V107,-10+U107*1000)</f>
        <v>-0.5821613440247011</v>
      </c>
      <c r="X107" s="7"/>
      <c r="Y107" s="7"/>
      <c r="Z107" s="7"/>
      <c r="AA107" s="7"/>
    </row>
    <row r="108" spans="1:27" x14ac:dyDescent="0.25">
      <c r="A108">
        <f>A107+Parameters!$B$65</f>
        <v>104</v>
      </c>
      <c r="B108" s="9">
        <f t="shared" si="47"/>
        <v>5.5238794691412761E-2</v>
      </c>
      <c r="C108" s="9">
        <f t="shared" si="47"/>
        <v>2.532692781448906E-3</v>
      </c>
      <c r="D108" s="7">
        <f t="shared" si="47"/>
        <v>0.29265407832178425</v>
      </c>
      <c r="E108" s="7">
        <f>MAX((1-Parameters!$B$4)^Parameters!B$65*E107+B107*Parameters!B$65-Parameters!$B$5*B107^2/E107*Parameters!B$65,0.0001)</f>
        <v>0.81797772974896854</v>
      </c>
      <c r="F108" s="9">
        <f>(1-Parameters!$B$4)^Parameters!B$65*F107+C107*Parameters!B$65-Parameters!$B$5*C107^2/F107*Parameters!B$65</f>
        <v>4.1588443418428024E-2</v>
      </c>
      <c r="G108" s="7">
        <f>(1-Parameters!$B$4)^Parameters!B$65*G107+D107*Parameters!B$65-Parameters!$B$5*D107^2/G107*Parameters!B$65</f>
        <v>4.3410253335539428</v>
      </c>
      <c r="H108" s="7">
        <f>H107 *(1-Parameters!$B$4)-B107*(B107&lt;0)*Parameters!B$65</f>
        <v>0</v>
      </c>
      <c r="I108" s="7">
        <f>I107*(1+Parameters!$B$51)^Parameters!B$65</f>
        <v>11.027671364598042</v>
      </c>
      <c r="J108" s="7">
        <f>J107*(1+Parameters!$B$53)^Parameters!B$65</f>
        <v>70.988926921018532</v>
      </c>
      <c r="K108" s="23">
        <f>EXP(-Parameters!$B$42*A108)*(Parameters!$B$37/Parameters!$B$38*(E108+H108)/Parameters!$B$25*(EXP(-Parameters!$B$38*Parameters!$E$25*H108/(E108+H108))-EXP(-Parameters!$B$38*Parameters!$E$25))  +  Parameters!$B$39*E108*Parameters!$B$28*Parameters!$B$29*EXP((Parameters!$B$53+Parameters!$B$51)*A108))</f>
        <v>180.34022965183703</v>
      </c>
      <c r="L108" s="8">
        <f>L107+K108*Parameters!B$65</f>
        <v>12968.772648206894</v>
      </c>
      <c r="M108" s="7">
        <f>M107+Parameters!$B$45*K108</f>
        <v>7.7812635889241335</v>
      </c>
      <c r="N108" s="7">
        <f>'6states'!O108</f>
        <v>0.95328894102573536</v>
      </c>
      <c r="O108" s="7">
        <f>MAX(O107+(Parameters!B$31-K108)*Parameters!B$65,30)</f>
        <v>30</v>
      </c>
      <c r="P108" s="7">
        <f>Parameters!B$61*EXP(-Parameters!B$60*A108)+(1-Parameters!B$61)*(O108/Parameters!B$62)^-Parameters!B$63</f>
        <v>0.55636765100819097</v>
      </c>
      <c r="Q108" s="9">
        <f>1-P108/Parameters!$B$12</f>
        <v>0.72181617449590452</v>
      </c>
      <c r="R108" s="23">
        <f t="shared" si="34"/>
        <v>3.5947453026354252</v>
      </c>
      <c r="S108" s="7">
        <f>(Parameters!$B$19*(E108+Parameters!$B$20)^Q108+Parameters!$B$18*F108^Q108)^(1/Q108)</f>
        <v>0.53664587524844587</v>
      </c>
      <c r="T108" s="7">
        <f>(Parameters!$B$10*G108^Parameters!$B$9 + Parameters!$B$11*S108^Parameters!$B$9) ^ (Parameters!$B$7/Parameters!$B$9) * N108</f>
        <v>1.4571333567169276</v>
      </c>
      <c r="U108" s="7">
        <f t="shared" si="35"/>
        <v>1.1067077909222816</v>
      </c>
      <c r="V108" s="7">
        <f>EXP(-Parameters!$B$55*A108)</f>
        <v>0.20796198092547327</v>
      </c>
      <c r="W108" s="7">
        <f>IF(U108&gt;0,U108^(1-Parameters!$B$52)/(1-Parameters!$B$52)*V108,-10+U108*1000)</f>
        <v>-0.5734616272499552</v>
      </c>
      <c r="X108" s="7"/>
      <c r="Y108" s="7"/>
      <c r="Z108" s="7"/>
      <c r="AA108" s="7"/>
    </row>
    <row r="109" spans="1:27" x14ac:dyDescent="0.25">
      <c r="A109">
        <f>A108+Parameters!$B$65</f>
        <v>105</v>
      </c>
      <c r="B109" s="9">
        <f t="shared" si="47"/>
        <v>5.5238794691412761E-2</v>
      </c>
      <c r="C109" s="9">
        <f t="shared" si="47"/>
        <v>2.532692781448906E-3</v>
      </c>
      <c r="D109" s="7">
        <f t="shared" si="47"/>
        <v>0.29265407832178425</v>
      </c>
      <c r="E109" s="7">
        <f>MAX((1-Parameters!$B$4)^Parameters!B$65*E108+B108*Parameters!B$65-Parameters!$B$5*B108^2/E108*Parameters!B$65,0.0001)</f>
        <v>0.8180353982045997</v>
      </c>
      <c r="F109" s="9">
        <f>(1-Parameters!$B$4)^Parameters!B$65*F108+C108*Parameters!B$65-Parameters!$B$5*C108^2/F108*Parameters!B$65</f>
        <v>4.1350984762866701E-2</v>
      </c>
      <c r="G109" s="7">
        <f>(1-Parameters!$B$4)^Parameters!B$65*G108+D108*Parameters!B$65-Parameters!$B$5*D108^2/G108*Parameters!B$65</f>
        <v>4.3408993837858443</v>
      </c>
      <c r="H109" s="7">
        <f>H108 *(1-Parameters!$B$4)-B108*(B108&lt;0)*Parameters!B$65</f>
        <v>0</v>
      </c>
      <c r="I109" s="7">
        <f>I108*(1+Parameters!$B$51)^Parameters!B$65</f>
        <v>11.059651611555376</v>
      </c>
      <c r="J109" s="7">
        <f>J108*(1+Parameters!$B$53)^Parameters!B$65</f>
        <v>72.408705459438906</v>
      </c>
      <c r="K109" s="23">
        <f>EXP(-Parameters!$B$42*A109)*(Parameters!$B$37/Parameters!$B$38*(E109+H109)/Parameters!$B$25*(EXP(-Parameters!$B$38*Parameters!$E$25*H109/(E109+H109))-EXP(-Parameters!$B$38*Parameters!$E$25))  +  Parameters!$B$39*E109*Parameters!$B$28*Parameters!$B$29*EXP((Parameters!$B$53+Parameters!$B$51)*A109))</f>
        <v>182.62418330048715</v>
      </c>
      <c r="L109" s="8">
        <f>L108+K109*Parameters!B$65</f>
        <v>13151.396831507382</v>
      </c>
      <c r="M109" s="7">
        <f>M108+Parameters!$B$45*K109</f>
        <v>7.8908380989044256</v>
      </c>
      <c r="N109" s="7">
        <f>'6states'!O109</f>
        <v>0.953209954777956</v>
      </c>
      <c r="O109" s="7">
        <f>MAX(O108+(Parameters!B$31-K109)*Parameters!B$65,30)</f>
        <v>30</v>
      </c>
      <c r="P109" s="7">
        <f>Parameters!B$61*EXP(-Parameters!B$60*A109)+(1-Parameters!B$61)*(O109/Parameters!B$62)^-Parameters!B$63</f>
        <v>0.55556415249139879</v>
      </c>
      <c r="Q109" s="9">
        <f>1-P109/Parameters!$B$12</f>
        <v>0.72221792375430061</v>
      </c>
      <c r="R109" s="23">
        <f t="shared" si="34"/>
        <v>3.5999442927177774</v>
      </c>
      <c r="S109" s="7">
        <f>(Parameters!$B$19*(E109+Parameters!$B$20)^Q109+Parameters!$B$18*F109^Q109)^(1/Q109)</f>
        <v>0.53662119353192983</v>
      </c>
      <c r="T109" s="7">
        <f>(Parameters!$B$10*G109^Parameters!$B$9 + Parameters!$B$11*S109^Parameters!$B$9) ^ (Parameters!$B$7/Parameters!$B$9) * N109</f>
        <v>1.456998505314911</v>
      </c>
      <c r="U109" s="7">
        <f t="shared" si="35"/>
        <v>1.106572939520265</v>
      </c>
      <c r="V109" s="7">
        <f>EXP(-Parameters!$B$55*A109)</f>
        <v>0.2048453448344438</v>
      </c>
      <c r="W109" s="7">
        <f>IF(U109&gt;0,U109^(1-Parameters!$B$52)/(1-Parameters!$B$52)*V109,-10+U109*1000)</f>
        <v>-0.56489149833899244</v>
      </c>
      <c r="X109" s="7"/>
      <c r="Y109" s="7"/>
      <c r="Z109" s="7"/>
      <c r="AA109" s="7"/>
    </row>
    <row r="110" spans="1:27" x14ac:dyDescent="0.25">
      <c r="A110">
        <f>A109+Parameters!$B$65</f>
        <v>106</v>
      </c>
      <c r="B110" s="9">
        <f t="shared" si="47"/>
        <v>5.5238794691412761E-2</v>
      </c>
      <c r="C110" s="9">
        <f t="shared" si="47"/>
        <v>2.532692781448906E-3</v>
      </c>
      <c r="D110" s="7">
        <f t="shared" si="47"/>
        <v>0.29265407832178425</v>
      </c>
      <c r="E110" s="7">
        <f>MAX((1-Parameters!$B$4)^Parameters!B$65*E109+B109*Parameters!B$65-Parameters!$B$5*B109^2/E109*Parameters!B$65,0.0001)</f>
        <v>0.81808970228856503</v>
      </c>
      <c r="F110" s="9">
        <f>(1-Parameters!$B$4)^Parameters!B$65*F109+C109*Parameters!B$65-Parameters!$B$5*C109^2/F109*Parameters!B$65</f>
        <v>4.1127576540704994E-2</v>
      </c>
      <c r="G110" s="7">
        <f>(1-Parameters!$B$4)^Parameters!B$65*G109+D109*Parameters!B$65-Parameters!$B$5*D109^2/G109*Parameters!B$65</f>
        <v>4.3407807838122014</v>
      </c>
      <c r="H110" s="7">
        <f>H109 *(1-Parameters!$B$4)-B109*(B109&lt;0)*Parameters!B$65</f>
        <v>0</v>
      </c>
      <c r="I110" s="7">
        <f>I109*(1+Parameters!$B$51)^Parameters!B$65</f>
        <v>11.091724601228885</v>
      </c>
      <c r="J110" s="7">
        <f>J109*(1+Parameters!$B$53)^Parameters!B$65</f>
        <v>73.85687956862769</v>
      </c>
      <c r="K110" s="23">
        <f>EXP(-Parameters!$B$42*A110)*(Parameters!$B$37/Parameters!$B$38*(E110+H110)/Parameters!$B$25*(EXP(-Parameters!$B$38*Parameters!$E$25*H110/(E110+H110))-EXP(-Parameters!$B$38*Parameters!$E$25))  +  Parameters!$B$39*E110*Parameters!$B$28*Parameters!$B$29*EXP((Parameters!$B$53+Parameters!$B$51)*A110))</f>
        <v>184.9378878735337</v>
      </c>
      <c r="L110" s="8">
        <f>L109+K110*Parameters!B$65</f>
        <v>13336.334719380915</v>
      </c>
      <c r="M110" s="7">
        <f>M109+Parameters!$B$45*K110</f>
        <v>8.0018008316285449</v>
      </c>
      <c r="N110" s="7">
        <f>'6states'!O110</f>
        <v>0.95313158717740321</v>
      </c>
      <c r="O110" s="7">
        <f>MAX(O109+(Parameters!B$31-K110)*Parameters!B$65,30)</f>
        <v>30</v>
      </c>
      <c r="P110" s="7">
        <f>Parameters!B$61*EXP(-Parameters!B$60*A110)+(1-Parameters!B$61)*(O110/Parameters!B$62)^-Parameters!B$63</f>
        <v>0.55478205817753101</v>
      </c>
      <c r="Q110" s="9">
        <f>1-P110/Parameters!$B$12</f>
        <v>0.72260897091123444</v>
      </c>
      <c r="R110" s="23">
        <f t="shared" si="34"/>
        <v>3.6050192512894799</v>
      </c>
      <c r="S110" s="7">
        <f>(Parameters!$B$19*(E110+Parameters!$B$20)^Q110+Parameters!$B$18*F110^Q110)^(1/Q110)</f>
        <v>0.53660086801298035</v>
      </c>
      <c r="T110" s="7">
        <f>(Parameters!$B$10*G110^Parameters!$B$9 + Parameters!$B$11*S110^Parameters!$B$9) ^ (Parameters!$B$7/Parameters!$B$9) * N110</f>
        <v>1.4568658848950184</v>
      </c>
      <c r="U110" s="7">
        <f t="shared" si="35"/>
        <v>1.1064403191003724</v>
      </c>
      <c r="V110" s="7">
        <f>EXP(-Parameters!$B$55*A110)</f>
        <v>0.20177541641796462</v>
      </c>
      <c r="W110" s="7">
        <f>IF(U110&gt;0,U110^(1-Parameters!$B$52)/(1-Parameters!$B$52)*V110,-10+U110*1000)</f>
        <v>-0.55644905638330977</v>
      </c>
      <c r="X110" s="7"/>
      <c r="Y110" s="7"/>
      <c r="Z110" s="7"/>
      <c r="AA110" s="7"/>
    </row>
    <row r="111" spans="1:27" x14ac:dyDescent="0.25">
      <c r="A111">
        <f>A110+Parameters!$B$65</f>
        <v>107</v>
      </c>
      <c r="B111" s="9">
        <f t="shared" si="47"/>
        <v>5.5238794691412761E-2</v>
      </c>
      <c r="C111" s="9">
        <f t="shared" si="47"/>
        <v>2.532692781448906E-3</v>
      </c>
      <c r="D111" s="7">
        <f t="shared" si="47"/>
        <v>0.29265407832178425</v>
      </c>
      <c r="E111" s="7">
        <f>MAX((1-Parameters!$B$4)^Parameters!B$65*E110+B110*Parameters!B$65-Parameters!$B$5*B110^2/E110*Parameters!B$65,0.0001)</f>
        <v>0.81814083824406203</v>
      </c>
      <c r="F111" s="9">
        <f>(1-Parameters!$B$4)^Parameters!B$65*F110+C110*Parameters!B$65-Parameters!$B$5*C110^2/F110*Parameters!B$65</f>
        <v>4.0917378049643099E-2</v>
      </c>
      <c r="G111" s="7">
        <f>(1-Parameters!$B$4)^Parameters!B$65*G110+D110*Parameters!B$65-Parameters!$B$5*D110^2/G110*Parameters!B$65</f>
        <v>4.340669104705638</v>
      </c>
      <c r="H111" s="7">
        <f>H110 *(1-Parameters!$B$4)-B110*(B110&lt;0)*Parameters!B$65</f>
        <v>0</v>
      </c>
      <c r="I111" s="7">
        <f>I110*(1+Parameters!$B$51)^Parameters!B$65</f>
        <v>11.123890602572446</v>
      </c>
      <c r="J111" s="7">
        <f>J110*(1+Parameters!$B$53)^Parameters!B$65</f>
        <v>75.334017160000244</v>
      </c>
      <c r="K111" s="23">
        <f>EXP(-Parameters!$B$42*A111)*(Parameters!$B$37/Parameters!$B$38*(E111+H111)/Parameters!$B$25*(EXP(-Parameters!$B$38*Parameters!$E$25*H111/(E111+H111))-EXP(-Parameters!$B$38*Parameters!$E$25))  +  Parameters!$B$39*E111*Parameters!$B$28*Parameters!$B$29*EXP((Parameters!$B$53+Parameters!$B$51)*A111))</f>
        <v>187.28175095331531</v>
      </c>
      <c r="L111" s="8">
        <f>L110+K111*Parameters!B$65</f>
        <v>13523.616470334231</v>
      </c>
      <c r="M111" s="7">
        <f>M110+Parameters!$B$45*K111</f>
        <v>8.1141698822005335</v>
      </c>
      <c r="N111" s="7">
        <f>'6states'!O111</f>
        <v>0.95305367330512603</v>
      </c>
      <c r="O111" s="7">
        <f>MAX(O110+(Parameters!B$31-K111)*Parameters!B$65,30)</f>
        <v>30</v>
      </c>
      <c r="P111" s="7">
        <f>Parameters!B$61*EXP(-Parameters!B$60*A111)+(1-Parameters!B$61)*(O111/Parameters!B$62)^-Parameters!B$63</f>
        <v>0.55402079788519565</v>
      </c>
      <c r="Q111" s="9">
        <f>1-P111/Parameters!$B$12</f>
        <v>0.72298960105740218</v>
      </c>
      <c r="R111" s="23">
        <f t="shared" si="34"/>
        <v>3.6099727801454136</v>
      </c>
      <c r="S111" s="7">
        <f>(Parameters!$B$19*(E111+Parameters!$B$20)^Q111+Parameters!$B$18*F111^Q111)^(1/Q111)</f>
        <v>0.53658456321670356</v>
      </c>
      <c r="T111" s="7">
        <f>(Parameters!$B$10*G111^Parameters!$B$9 + Parameters!$B$11*S111^Parameters!$B$9) ^ (Parameters!$B$7/Parameters!$B$9) * N111</f>
        <v>1.4567351554839441</v>
      </c>
      <c r="U111" s="7">
        <f t="shared" si="35"/>
        <v>1.1063095896892983</v>
      </c>
      <c r="V111" s="7">
        <f>EXP(-Parameters!$B$55*A111)</f>
        <v>0.19875149568835732</v>
      </c>
      <c r="W111" s="7">
        <f>IF(U111&gt;0,U111^(1-Parameters!$B$52)/(1-Parameters!$B$52)*V111,-10+U111*1000)</f>
        <v>-0.54813246362671919</v>
      </c>
      <c r="X111" s="7"/>
      <c r="Y111" s="7"/>
      <c r="Z111" s="7"/>
      <c r="AA111" s="7"/>
    </row>
    <row r="112" spans="1:27" x14ac:dyDescent="0.25">
      <c r="A112">
        <f>A111+Parameters!$B$65</f>
        <v>108</v>
      </c>
      <c r="B112" s="9">
        <f t="shared" si="47"/>
        <v>5.5238794691412761E-2</v>
      </c>
      <c r="C112" s="9">
        <f t="shared" si="47"/>
        <v>2.532692781448906E-3</v>
      </c>
      <c r="D112" s="7">
        <f t="shared" si="47"/>
        <v>0.29265407832178425</v>
      </c>
      <c r="E112" s="7">
        <f>MAX((1-Parameters!$B$4)^Parameters!B$65*E111+B111*Parameters!B$65-Parameters!$B$5*B111^2/E111*Parameters!B$65,0.0001)</f>
        <v>0.81818899087130281</v>
      </c>
      <c r="F112" s="9">
        <f>(1-Parameters!$B$4)^Parameters!B$65*F111+C111*Parameters!B$65-Parameters!$B$5*C111^2/F111*Parameters!B$65</f>
        <v>4.071959982012386E-2</v>
      </c>
      <c r="G112" s="7">
        <f>(1-Parameters!$B$4)^Parameters!B$65*G111+D111*Parameters!B$65-Parameters!$B$5*D111^2/G111*Parameters!B$65</f>
        <v>4.3405639425740326</v>
      </c>
      <c r="H112" s="7">
        <f>H111 *(1-Parameters!$B$4)-B111*(B111&lt;0)*Parameters!B$65</f>
        <v>0</v>
      </c>
      <c r="I112" s="7">
        <f>I111*(1+Parameters!$B$51)^Parameters!B$65</f>
        <v>11.156149885319905</v>
      </c>
      <c r="J112" s="7">
        <f>J111*(1+Parameters!$B$53)^Parameters!B$65</f>
        <v>76.840697503200246</v>
      </c>
      <c r="K112" s="23">
        <f>EXP(-Parameters!$B$42*A112)*(Parameters!$B$37/Parameters!$B$38*(E112+H112)/Parameters!$B$25*(EXP(-Parameters!$B$38*Parameters!$E$25*H112/(E112+H112))-EXP(-Parameters!$B$38*Parameters!$E$25))  +  Parameters!$B$39*E112*Parameters!$B$28*Parameters!$B$29*EXP((Parameters!$B$53+Parameters!$B$51)*A112))</f>
        <v>189.65618415062693</v>
      </c>
      <c r="L112" s="8">
        <f>L111+K112*Parameters!B$65</f>
        <v>13713.272654484857</v>
      </c>
      <c r="M112" s="7">
        <f>M111+Parameters!$B$45*K112</f>
        <v>8.2279635926909105</v>
      </c>
      <c r="N112" s="7">
        <f>'6states'!O112</f>
        <v>0.95297595416262615</v>
      </c>
      <c r="O112" s="7">
        <f>MAX(O111+(Parameters!B$31-K112)*Parameters!B$65,30)</f>
        <v>30</v>
      </c>
      <c r="P112" s="7">
        <f>Parameters!B$61*EXP(-Parameters!B$60*A112)+(1-Parameters!B$61)*(O112/Parameters!B$62)^-Parameters!B$63</f>
        <v>0.55327981662192482</v>
      </c>
      <c r="Q112" s="9">
        <f>1-P112/Parameters!$B$12</f>
        <v>0.72336009168903759</v>
      </c>
      <c r="R112" s="23">
        <f t="shared" si="34"/>
        <v>3.6148074444701259</v>
      </c>
      <c r="S112" s="7">
        <f>(Parameters!$B$19*(E112+Parameters!$B$20)^Q112+Parameters!$B$18*F112^Q112)^(1/Q112)</f>
        <v>0.53657196540209495</v>
      </c>
      <c r="T112" s="7">
        <f>(Parameters!$B$10*G112^Parameters!$B$9 + Parameters!$B$11*S112^Parameters!$B$9) ^ (Parameters!$B$7/Parameters!$B$9) * N112</f>
        <v>1.4566058387532919</v>
      </c>
      <c r="U112" s="7">
        <f t="shared" si="35"/>
        <v>1.1061802729586461</v>
      </c>
      <c r="V112" s="7">
        <f>EXP(-Parameters!$B$55*A112)</f>
        <v>0.19577289314835553</v>
      </c>
      <c r="W112" s="7">
        <f>IF(U112&gt;0,U112^(1-Parameters!$B$52)/(1-Parameters!$B$52)*V112,-10+U112*1000)</f>
        <v>-0.53993993054537714</v>
      </c>
      <c r="X112" s="7"/>
      <c r="Y112" s="7"/>
      <c r="Z112" s="7"/>
      <c r="AA112" s="7"/>
    </row>
    <row r="113" spans="1:27" x14ac:dyDescent="0.25">
      <c r="A113">
        <f>A112+Parameters!$B$65</f>
        <v>109</v>
      </c>
      <c r="B113" s="9">
        <f t="shared" si="47"/>
        <v>5.5238794691412761E-2</v>
      </c>
      <c r="C113" s="9">
        <f t="shared" si="47"/>
        <v>2.532692781448906E-3</v>
      </c>
      <c r="D113" s="7">
        <f t="shared" si="47"/>
        <v>0.29265407832178425</v>
      </c>
      <c r="E113" s="7">
        <f>MAX((1-Parameters!$B$4)^Parameters!B$65*E112+B112*Parameters!B$65-Parameters!$B$5*B112^2/E112*Parameters!B$65,0.0001)</f>
        <v>0.81823433419432146</v>
      </c>
      <c r="F113" s="9">
        <f>(1-Parameters!$B$4)^Parameters!B$65*F112+C112*Parameters!B$65-Parameters!$B$5*C112^2/F112*Parameters!B$65</f>
        <v>4.0533500407334784E-2</v>
      </c>
      <c r="G113" s="7">
        <f>(1-Parameters!$B$4)^Parameters!B$65*G112+D112*Parameters!B$65-Parameters!$B$5*D112^2/G112*Parameters!B$65</f>
        <v>4.3404649170988918</v>
      </c>
      <c r="H113" s="7">
        <f>H112 *(1-Parameters!$B$4)-B112*(B112&lt;0)*Parameters!B$65</f>
        <v>0</v>
      </c>
      <c r="I113" s="7">
        <f>I112*(1+Parameters!$B$51)^Parameters!B$65</f>
        <v>11.188502719987332</v>
      </c>
      <c r="J113" s="7">
        <f>J112*(1+Parameters!$B$53)^Parameters!B$65</f>
        <v>78.377511453264248</v>
      </c>
      <c r="K113" s="23">
        <f>EXP(-Parameters!$B$42*A113)*(Parameters!$B$37/Parameters!$B$38*(E113+H113)/Parameters!$B$25*(EXP(-Parameters!$B$38*Parameters!$E$25*H113/(E113+H113))-EXP(-Parameters!$B$38*Parameters!$E$25))  +  Parameters!$B$39*E113*Parameters!$B$28*Parameters!$B$29*EXP((Parameters!$B$53+Parameters!$B$51)*A113))</f>
        <v>192.06160321966624</v>
      </c>
      <c r="L113" s="8">
        <f>L112+K113*Parameters!B$65</f>
        <v>13905.334257704524</v>
      </c>
      <c r="M113" s="7">
        <f>M112+Parameters!$B$45*K113</f>
        <v>8.3432005546227099</v>
      </c>
      <c r="N113" s="7">
        <f>'6states'!O113</f>
        <v>0.95289798448611696</v>
      </c>
      <c r="O113" s="7">
        <f>MAX(O112+(Parameters!B$31-K113)*Parameters!B$65,30)</f>
        <v>30</v>
      </c>
      <c r="P113" s="7">
        <f>Parameters!B$61*EXP(-Parameters!B$60*A113)+(1-Parameters!B$61)*(O113/Parameters!B$62)^-Parameters!B$63</f>
        <v>0.55255857417956122</v>
      </c>
      <c r="Q113" s="9">
        <f>1-P113/Parameters!$B$12</f>
        <v>0.72372071291021944</v>
      </c>
      <c r="R113" s="23">
        <f t="shared" si="34"/>
        <v>3.619525772393632</v>
      </c>
      <c r="S113" s="7">
        <f>(Parameters!$B$19*(E113+Parameters!$B$20)^Q113+Parameters!$B$18*F113^Q113)^(1/Q113)</f>
        <v>0.53656278127257861</v>
      </c>
      <c r="T113" s="7">
        <f>(Parameters!$B$10*G113^Parameters!$B$9 + Parameters!$B$11*S113^Parameters!$B$9) ^ (Parameters!$B$7/Parameters!$B$9) * N113</f>
        <v>1.4564771768063973</v>
      </c>
      <c r="U113" s="7">
        <f t="shared" si="35"/>
        <v>1.1060516110117513</v>
      </c>
      <c r="V113" s="7">
        <f>EXP(-Parameters!$B$55*A113)</f>
        <v>0.19283892963388949</v>
      </c>
      <c r="W113" s="7">
        <f>IF(U113&gt;0,U113^(1-Parameters!$B$52)/(1-Parameters!$B$52)*V113,-10+U113*1000)</f>
        <v>-0.5318697375752871</v>
      </c>
      <c r="X113" s="7"/>
      <c r="Y113" s="7"/>
      <c r="Z113" s="7"/>
      <c r="AA113" s="7"/>
    </row>
    <row r="114" spans="1:27" x14ac:dyDescent="0.25">
      <c r="A114">
        <f>A113+Parameters!$B$65</f>
        <v>110</v>
      </c>
      <c r="B114" s="9">
        <f t="shared" si="47"/>
        <v>5.5238794691412761E-2</v>
      </c>
      <c r="C114" s="9">
        <f t="shared" si="47"/>
        <v>2.532692781448906E-3</v>
      </c>
      <c r="D114" s="7">
        <f t="shared" si="47"/>
        <v>0.29265407832178425</v>
      </c>
      <c r="E114" s="7">
        <f>MAX((1-Parameters!$B$4)^Parameters!B$65*E113+B113*Parameters!B$65-Parameters!$B$5*B113^2/E113*Parameters!B$65,0.0001)</f>
        <v>0.81827703208897284</v>
      </c>
      <c r="F114" s="9">
        <f>(1-Parameters!$B$4)^Parameters!B$65*F113+C113*Parameters!B$65-Parameters!$B$5*C113^2/F113*Parameters!B$65</f>
        <v>4.0358383390991993E-2</v>
      </c>
      <c r="G114" s="7">
        <f>(1-Parameters!$B$4)^Parameters!B$65*G113+D113*Parameters!B$65-Parameters!$B$5*D113^2/G113*Parameters!B$65</f>
        <v>4.3403716701591044</v>
      </c>
      <c r="H114" s="7">
        <f>H113 *(1-Parameters!$B$4)-B113*(B113&lt;0)*Parameters!B$65</f>
        <v>0</v>
      </c>
      <c r="I114" s="7">
        <f>I113*(1+Parameters!$B$51)^Parameters!B$65</f>
        <v>11.220949377875295</v>
      </c>
      <c r="J114" s="7">
        <f>J113*(1+Parameters!$B$53)^Parameters!B$65</f>
        <v>79.945061682329538</v>
      </c>
      <c r="K114" s="23">
        <f>EXP(-Parameters!$B$42*A114)*(Parameters!$B$37/Parameters!$B$38*(E114+H114)/Parameters!$B$25*(EXP(-Parameters!$B$38*Parameters!$E$25*H114/(E114+H114))-EXP(-Parameters!$B$38*Parameters!$E$25))  +  Parameters!$B$39*E114*Parameters!$B$28*Parameters!$B$29*EXP((Parameters!$B$53+Parameters!$B$51)*A114))</f>
        <v>194.49842817143451</v>
      </c>
      <c r="L114" s="8">
        <f>L113+K114*Parameters!B$65</f>
        <v>14099.832685875959</v>
      </c>
      <c r="M114" s="7">
        <f>M113+Parameters!$B$45*K114</f>
        <v>8.4598996115255698</v>
      </c>
      <c r="N114" s="7">
        <f>'6states'!O114</f>
        <v>0.95281899072003529</v>
      </c>
      <c r="O114" s="7">
        <f>MAX(O113+(Parameters!B$31-K114)*Parameters!B$65,30)</f>
        <v>30</v>
      </c>
      <c r="P114" s="7">
        <f>Parameters!B$61*EXP(-Parameters!B$60*A114)+(1-Parameters!B$61)*(O114/Parameters!B$62)^-Parameters!B$63</f>
        <v>0.55185654474042223</v>
      </c>
      <c r="Q114" s="9">
        <f>1-P114/Parameters!$B$12</f>
        <v>0.72407172762978889</v>
      </c>
      <c r="R114" s="23">
        <f t="shared" si="34"/>
        <v>3.6241302546130783</v>
      </c>
      <c r="S114" s="7">
        <f>(Parameters!$B$19*(E114+Parameters!$B$20)^Q114+Parameters!$B$18*F114^Q114)^(1/Q114)</f>
        <v>0.53655673675530768</v>
      </c>
      <c r="T114" s="7">
        <f>(Parameters!$B$10*G114^Parameters!$B$9 + Parameters!$B$11*S114^Parameters!$B$9) ^ (Parameters!$B$7/Parameters!$B$9) * N114</f>
        <v>1.4563479148052401</v>
      </c>
      <c r="U114" s="7">
        <f t="shared" si="35"/>
        <v>1.1059223490105943</v>
      </c>
      <c r="V114" s="7">
        <f>EXP(-Parameters!$B$55*A114)</f>
        <v>0.18994893615922709</v>
      </c>
      <c r="W114" s="7">
        <f>IF(U114&gt;0,U114^(1-Parameters!$B$52)/(1-Parameters!$B$52)*V114,-10+U114*1000)</f>
        <v>-0.52392026743322162</v>
      </c>
      <c r="X114" s="7"/>
      <c r="Y114" s="7"/>
      <c r="Z114" s="7"/>
      <c r="AA114" s="7"/>
    </row>
    <row r="115" spans="1:27" x14ac:dyDescent="0.25">
      <c r="A115">
        <f>A114+Parameters!$B$65</f>
        <v>111</v>
      </c>
      <c r="B115" s="9">
        <f t="shared" si="47"/>
        <v>5.5238794691412761E-2</v>
      </c>
      <c r="C115" s="9">
        <f t="shared" si="47"/>
        <v>2.532692781448906E-3</v>
      </c>
      <c r="D115" s="7">
        <f t="shared" si="47"/>
        <v>0.29265407832178425</v>
      </c>
      <c r="E115" s="7">
        <f>MAX((1-Parameters!$B$4)^Parameters!B$65*E114+B114*Parameters!B$65-Parameters!$B$5*B114^2/E114*Parameters!B$65,0.0001)</f>
        <v>0.81831723887437957</v>
      </c>
      <c r="F115" s="9">
        <f>(1-Parameters!$B$4)^Parameters!B$65*F114+C114*Parameters!B$65-Parameters!$B$5*C114^2/F114*Parameters!B$65</f>
        <v>4.0193594569043242E-2</v>
      </c>
      <c r="G115" s="7">
        <f>(1-Parameters!$B$4)^Parameters!B$65*G114+D114*Parameters!B$65-Parameters!$B$5*D114^2/G114*Parameters!B$65</f>
        <v>4.3402838645350776</v>
      </c>
      <c r="H115" s="7">
        <f>H114 *(1-Parameters!$B$4)-B114*(B114&lt;0)*Parameters!B$65</f>
        <v>0</v>
      </c>
      <c r="I115" s="7">
        <f>I114*(1+Parameters!$B$51)^Parameters!B$65</f>
        <v>11.253490131071132</v>
      </c>
      <c r="J115" s="7">
        <f>J114*(1+Parameters!$B$53)^Parameters!B$65</f>
        <v>81.543962915976124</v>
      </c>
      <c r="K115" s="23">
        <f>EXP(-Parameters!$B$42*A115)*(Parameters!$B$37/Parameters!$B$38*(E115+H115)/Parameters!$B$25*(EXP(-Parameters!$B$38*Parameters!$E$25*H115/(E115+H115))-EXP(-Parameters!$B$38*Parameters!$E$25))  +  Parameters!$B$39*E115*Parameters!$B$28*Parameters!$B$29*EXP((Parameters!$B$53+Parameters!$B$51)*A115))</f>
        <v>196.96708338572591</v>
      </c>
      <c r="L115" s="8">
        <f>L114+K115*Parameters!B$65</f>
        <v>14296.799769261685</v>
      </c>
      <c r="M115" s="7">
        <f>M114+Parameters!$B$45*K115</f>
        <v>8.578079861557006</v>
      </c>
      <c r="N115" s="7">
        <f>'6states'!O115</f>
        <v>0.95273958083039023</v>
      </c>
      <c r="O115" s="7">
        <f>MAX(O114+(Parameters!B$31-K115)*Parameters!B$65,30)</f>
        <v>30</v>
      </c>
      <c r="P115" s="7">
        <f>Parameters!B$61*EXP(-Parameters!B$60*A115)+(1-Parameters!B$61)*(O115/Parameters!B$62)^-Parameters!B$63</f>
        <v>0.55117321649395523</v>
      </c>
      <c r="Q115" s="9">
        <f>1-P115/Parameters!$B$12</f>
        <v>0.72441339175302244</v>
      </c>
      <c r="R115" s="23">
        <f t="shared" si="34"/>
        <v>3.6286233440770514</v>
      </c>
      <c r="S115" s="7">
        <f>(Parameters!$B$19*(E115+Parameters!$B$20)^Q115+Parameters!$B$18*F115^Q115)^(1/Q115)</f>
        <v>0.53655357584640473</v>
      </c>
      <c r="T115" s="7">
        <f>(Parameters!$B$10*G115^Parameters!$B$9 + Parameters!$B$11*S115^Parameters!$B$9) ^ (Parameters!$B$7/Parameters!$B$9) * N115</f>
        <v>1.456218914069898</v>
      </c>
      <c r="U115" s="7">
        <f t="shared" si="35"/>
        <v>1.105793348275252</v>
      </c>
      <c r="V115" s="7">
        <f>EXP(-Parameters!$B$55*A115)</f>
        <v>0.18710225376443562</v>
      </c>
      <c r="W115" s="7">
        <f>IF(U115&gt;0,U115^(1-Parameters!$B$52)/(1-Parameters!$B$52)*V115,-10+U115*1000)</f>
        <v>-0.51608957202965322</v>
      </c>
      <c r="X115" s="7"/>
      <c r="Y115" s="7"/>
      <c r="Z115" s="7"/>
      <c r="AA115" s="7"/>
    </row>
    <row r="116" spans="1:27" x14ac:dyDescent="0.25">
      <c r="A116">
        <f>A115+Parameters!$B$65</f>
        <v>112</v>
      </c>
      <c r="B116" s="9">
        <f t="shared" si="47"/>
        <v>5.5238794691412761E-2</v>
      </c>
      <c r="C116" s="9">
        <f t="shared" si="47"/>
        <v>2.532692781448906E-3</v>
      </c>
      <c r="D116" s="7">
        <f t="shared" si="47"/>
        <v>0.29265407832178425</v>
      </c>
      <c r="E116" s="7">
        <f>MAX((1-Parameters!$B$4)^Parameters!B$65*E115+B115*Parameters!B$65-Parameters!$B$5*B115^2/E115*Parameters!B$65,0.0001)</f>
        <v>0.81835509986994637</v>
      </c>
      <c r="F116" s="9">
        <f>(1-Parameters!$B$4)^Parameters!B$65*F115+C115*Parameters!B$65-Parameters!$B$5*C115^2/F115*Parameters!B$65</f>
        <v>4.0038519332352536E-2</v>
      </c>
      <c r="G116" s="7">
        <f>(1-Parameters!$B$4)^Parameters!B$65*G115+D115*Parameters!B$65-Parameters!$B$5*D115^2/G115*Parameters!B$65</f>
        <v>4.3402011826885634</v>
      </c>
      <c r="H116" s="7">
        <f>H115 *(1-Parameters!$B$4)-B115*(B115&lt;0)*Parameters!B$65</f>
        <v>0</v>
      </c>
      <c r="I116" s="7">
        <f>I115*(1+Parameters!$B$51)^Parameters!B$65</f>
        <v>11.286125252451237</v>
      </c>
      <c r="J116" s="7">
        <f>J115*(1+Parameters!$B$53)^Parameters!B$65</f>
        <v>83.174842174295648</v>
      </c>
      <c r="K116" s="23">
        <f>EXP(-Parameters!$B$42*A116)*(Parameters!$B$37/Parameters!$B$38*(E116+H116)/Parameters!$B$25*(EXP(-Parameters!$B$38*Parameters!$E$25*H116/(E116+H116))-EXP(-Parameters!$B$38*Parameters!$E$25))  +  Parameters!$B$39*E116*Parameters!$B$28*Parameters!$B$29*EXP((Parameters!$B$53+Parameters!$B$51)*A116))</f>
        <v>199.46799772182334</v>
      </c>
      <c r="L116" s="8">
        <f>L115+K116*Parameters!B$65</f>
        <v>14496.267766983508</v>
      </c>
      <c r="M116" s="7">
        <f>M115+Parameters!$B$45*K116</f>
        <v>8.6977606601901005</v>
      </c>
      <c r="N116" s="7">
        <f>'6states'!O116</f>
        <v>0.95266024298680396</v>
      </c>
      <c r="O116" s="7">
        <f>MAX(O115+(Parameters!B$31-K116)*Parameters!B$65,30)</f>
        <v>30</v>
      </c>
      <c r="P116" s="7">
        <f>Parameters!B$61*EXP(-Parameters!B$60*A116)+(1-Parameters!B$61)*(O116/Parameters!B$62)^-Parameters!B$63</f>
        <v>0.55050809126360545</v>
      </c>
      <c r="Q116" s="9">
        <f>1-P116/Parameters!$B$12</f>
        <v>0.72474595436819733</v>
      </c>
      <c r="R116" s="23">
        <f t="shared" si="34"/>
        <v>3.633007455729329</v>
      </c>
      <c r="S116" s="7">
        <f>(Parameters!$B$19*(E116+Parameters!$B$20)^Q116+Parameters!$B$18*F116^Q116)^(1/Q116)</f>
        <v>0.53655305951931831</v>
      </c>
      <c r="T116" s="7">
        <f>(Parameters!$B$10*G116^Parameters!$B$9 + Parameters!$B$11*S116^Parameters!$B$9) ^ (Parameters!$B$7/Parameters!$B$9) * N116</f>
        <v>1.456090857071378</v>
      </c>
      <c r="U116" s="7">
        <f t="shared" si="35"/>
        <v>1.1056652912767322</v>
      </c>
      <c r="V116" s="7">
        <f>EXP(-Parameters!$B$55*A116)</f>
        <v>0.18429823336512921</v>
      </c>
      <c r="W116" s="7">
        <f>IF(U116&gt;0,U116^(1-Parameters!$B$52)/(1-Parameters!$B$52)*V116,-10+U116*1000)</f>
        <v>-0.50837576748466362</v>
      </c>
      <c r="X116" s="7"/>
      <c r="Y116" s="7"/>
      <c r="Z116" s="7"/>
      <c r="AA116" s="7"/>
    </row>
    <row r="117" spans="1:27" x14ac:dyDescent="0.25">
      <c r="A117">
        <f>A116+Parameters!$B$65</f>
        <v>113</v>
      </c>
      <c r="B117" s="9">
        <f t="shared" si="47"/>
        <v>5.5238794691412761E-2</v>
      </c>
      <c r="C117" s="9">
        <f t="shared" si="47"/>
        <v>2.532692781448906E-3</v>
      </c>
      <c r="D117" s="7">
        <f t="shared" si="47"/>
        <v>0.29265407832178425</v>
      </c>
      <c r="E117" s="7">
        <f>MAX((1-Parameters!$B$4)^Parameters!B$65*E116+B116*Parameters!B$65-Parameters!$B$5*B116^2/E116*Parameters!B$65,0.0001)</f>
        <v>0.81839075191994404</v>
      </c>
      <c r="F117" s="9">
        <f>(1-Parameters!$B$4)^Parameters!B$65*F116+C116*Parameters!B$65-Parameters!$B$5*C116^2/F116*Parameters!B$65</f>
        <v>3.9892580208297342E-2</v>
      </c>
      <c r="G117" s="7">
        <f>(1-Parameters!$B$4)^Parameters!B$65*G116+D116*Parameters!B$65-Parameters!$B$5*D116^2/G116*Parameters!B$65</f>
        <v>4.3401233256137424</v>
      </c>
      <c r="H117" s="7">
        <f>H116 *(1-Parameters!$B$4)-B116*(B116&lt;0)*Parameters!B$65</f>
        <v>0</v>
      </c>
      <c r="I117" s="7">
        <f>I116*(1+Parameters!$B$51)^Parameters!B$65</f>
        <v>11.318855015683344</v>
      </c>
      <c r="J117" s="7">
        <f>J116*(1+Parameters!$B$53)^Parameters!B$65</f>
        <v>84.838339017781564</v>
      </c>
      <c r="K117" s="23">
        <f>EXP(-Parameters!$B$42*A117)*(Parameters!$B$37/Parameters!$B$38*(E117+H117)/Parameters!$B$25*(EXP(-Parameters!$B$38*Parameters!$E$25*H117/(E117+H117))-EXP(-Parameters!$B$38*Parameters!$E$25))  +  Parameters!$B$39*E117*Parameters!$B$28*Parameters!$B$29*EXP((Parameters!$B$53+Parameters!$B$51)*A117))</f>
        <v>202.00160462801847</v>
      </c>
      <c r="L117" s="8">
        <f>L116+K117*Parameters!B$65</f>
        <v>14698.269371611526</v>
      </c>
      <c r="M117" s="7">
        <f>M116+Parameters!$B$45*K117</f>
        <v>8.8189616229669117</v>
      </c>
      <c r="N117" s="7">
        <f>'6states'!O117</f>
        <v>0.95258142214097208</v>
      </c>
      <c r="O117" s="7">
        <f>MAX(O116+(Parameters!B$31-K117)*Parameters!B$65,30)</f>
        <v>30</v>
      </c>
      <c r="P117" s="7">
        <f>Parameters!B$61*EXP(-Parameters!B$60*A117)+(1-Parameters!B$61)*(O117/Parameters!B$62)^-Parameters!B$63</f>
        <v>0.5498606841436231</v>
      </c>
      <c r="Q117" s="9">
        <f>1-P117/Parameters!$B$12</f>
        <v>0.72506965792818845</v>
      </c>
      <c r="R117" s="23">
        <f t="shared" si="34"/>
        <v>3.637284966309033</v>
      </c>
      <c r="S117" s="7">
        <f>(Parameters!$B$19*(E117+Parameters!$B$20)^Q117+Parameters!$B$18*F117^Q117)^(1/Q117)</f>
        <v>0.53655496469351105</v>
      </c>
      <c r="T117" s="7">
        <f>(Parameters!$B$10*G117^Parameters!$B$9 + Parameters!$B$11*S117^Parameters!$B$9) ^ (Parameters!$B$7/Parameters!$B$9) * N117</f>
        <v>1.4559643642346782</v>
      </c>
      <c r="U117" s="7">
        <f t="shared" si="35"/>
        <v>1.1055387984400324</v>
      </c>
      <c r="V117" s="7">
        <f>EXP(-Parameters!$B$55*A117)</f>
        <v>0.18153623560446847</v>
      </c>
      <c r="W117" s="7">
        <f>IF(U117&gt;0,U117^(1-Parameters!$B$52)/(1-Parameters!$B$52)*V117,-10+U117*1000)</f>
        <v>-0.50077701276071496</v>
      </c>
      <c r="X117" s="7"/>
      <c r="Y117" s="7"/>
      <c r="Z117" s="7"/>
      <c r="AA117" s="7"/>
    </row>
    <row r="118" spans="1:27" x14ac:dyDescent="0.25">
      <c r="A118">
        <f>A117+Parameters!$B$65</f>
        <v>114</v>
      </c>
      <c r="B118" s="9">
        <f t="shared" si="47"/>
        <v>5.5238794691412761E-2</v>
      </c>
      <c r="C118" s="9">
        <f t="shared" si="47"/>
        <v>2.532692781448906E-3</v>
      </c>
      <c r="D118" s="7">
        <f t="shared" si="47"/>
        <v>0.29265407832178425</v>
      </c>
      <c r="E118" s="7">
        <f>MAX((1-Parameters!$B$4)^Parameters!B$65*E117+B117*Parameters!B$65-Parameters!$B$5*B117^2/E117*Parameters!B$65,0.0001)</f>
        <v>0.81842432388754671</v>
      </c>
      <c r="F118" s="9">
        <f>(1-Parameters!$B$4)^Parameters!B$65*F117+C117*Parameters!B$65-Parameters!$B$5*C117^2/F117*Parameters!B$65</f>
        <v>3.9755234562022936E-2</v>
      </c>
      <c r="G118" s="7">
        <f>(1-Parameters!$B$4)^Parameters!B$65*G117+D117*Parameters!B$65-Parameters!$B$5*D117^2/G117*Parameters!B$65</f>
        <v>4.3400500117554079</v>
      </c>
      <c r="H118" s="7">
        <f>H117 *(1-Parameters!$B$4)-B117*(B117&lt;0)*Parameters!B$65</f>
        <v>0</v>
      </c>
      <c r="I118" s="7">
        <f>I117*(1+Parameters!$B$51)^Parameters!B$65</f>
        <v>11.351679695228825</v>
      </c>
      <c r="J118" s="7">
        <f>J117*(1+Parameters!$B$53)^Parameters!B$65</f>
        <v>86.535105798137195</v>
      </c>
      <c r="K118" s="23">
        <f>EXP(-Parameters!$B$42*A118)*(Parameters!$B$37/Parameters!$B$38*(E118+H118)/Parameters!$B$25*(EXP(-Parameters!$B$38*Parameters!$E$25*H118/(E118+H118))-EXP(-Parameters!$B$38*Parameters!$E$25))  +  Parameters!$B$39*E118*Parameters!$B$28*Parameters!$B$29*EXP((Parameters!$B$53+Parameters!$B$51)*A118))</f>
        <v>204.56834225006907</v>
      </c>
      <c r="L118" s="8">
        <f>L117+K118*Parameters!B$65</f>
        <v>14902.837713861596</v>
      </c>
      <c r="M118" s="7">
        <f>M117+Parameters!$B$45*K118</f>
        <v>8.9417026283169534</v>
      </c>
      <c r="N118" s="7">
        <f>'6states'!O118</f>
        <v>0.952503683934667</v>
      </c>
      <c r="O118" s="7">
        <f>MAX(O117+(Parameters!B$31-K118)*Parameters!B$65,30)</f>
        <v>30</v>
      </c>
      <c r="P118" s="7">
        <f>Parameters!B$61*EXP(-Parameters!B$60*A118)+(1-Parameters!B$61)*(O118/Parameters!B$62)^-Parameters!B$63</f>
        <v>0.54923052314554532</v>
      </c>
      <c r="Q118" s="9">
        <f>1-P118/Parameters!$B$12</f>
        <v>0.72538473842722739</v>
      </c>
      <c r="R118" s="23">
        <f t="shared" si="34"/>
        <v>3.6414582142041714</v>
      </c>
      <c r="S118" s="7">
        <f>(Parameters!$B$19*(E118+Parameters!$B$20)^Q118+Parameters!$B$18*F118^Q118)^(1/Q118)</f>
        <v>0.53655908326072477</v>
      </c>
      <c r="T118" s="7">
        <f>(Parameters!$B$10*G118^Parameters!$B$9 + Parameters!$B$11*S118^Parameters!$B$9) ^ (Parameters!$B$7/Parameters!$B$9) * N118</f>
        <v>1.4558402442283274</v>
      </c>
      <c r="U118" s="7">
        <f t="shared" si="35"/>
        <v>1.1054146784336814</v>
      </c>
      <c r="V118" s="7">
        <f>EXP(-Parameters!$B$55*A118)</f>
        <v>0.17881563070737777</v>
      </c>
      <c r="W118" s="7">
        <f>IF(U118&gt;0,U118^(1-Parameters!$B$52)/(1-Parameters!$B$52)*V118,-10+U118*1000)</f>
        <v>-0.49329146920539296</v>
      </c>
      <c r="X118" s="7"/>
      <c r="Y118" s="7"/>
      <c r="Z118" s="7"/>
      <c r="AA118" s="7"/>
    </row>
    <row r="119" spans="1:27" x14ac:dyDescent="0.25">
      <c r="A119">
        <f>A118+Parameters!$B$65</f>
        <v>115</v>
      </c>
      <c r="B119" s="9">
        <f t="shared" si="47"/>
        <v>5.5238794691412761E-2</v>
      </c>
      <c r="C119" s="9">
        <f t="shared" si="47"/>
        <v>2.532692781448906E-3</v>
      </c>
      <c r="D119" s="7">
        <f t="shared" si="47"/>
        <v>0.29265407832178425</v>
      </c>
      <c r="E119" s="7">
        <f>MAX((1-Parameters!$B$4)^Parameters!B$65*E118+B118*Parameters!B$65-Parameters!$B$5*B118^2/E118*Parameters!B$65,0.0001)</f>
        <v>0.81845593712009701</v>
      </c>
      <c r="F119" s="9">
        <f>(1-Parameters!$B$4)^Parameters!B$65*F118+C118*Parameters!B$65-Parameters!$B$5*C118^2/F118*Parameters!B$65</f>
        <v>3.9625972444860318E-2</v>
      </c>
      <c r="G119" s="7">
        <f>(1-Parameters!$B$4)^Parameters!B$65*G118+D118*Parameters!B$65-Parameters!$B$5*D118^2/G118*Parameters!B$65</f>
        <v>4.3399809759903176</v>
      </c>
      <c r="H119" s="7">
        <f>H118 *(1-Parameters!$B$4)-B118*(B118&lt;0)*Parameters!B$65</f>
        <v>0</v>
      </c>
      <c r="I119" s="7">
        <f>I118*(1+Parameters!$B$51)^Parameters!B$65</f>
        <v>11.384599566344987</v>
      </c>
      <c r="J119" s="7">
        <f>J118*(1+Parameters!$B$53)^Parameters!B$65</f>
        <v>88.265807914099938</v>
      </c>
      <c r="K119" s="23">
        <f>EXP(-Parameters!$B$42*A119)*(Parameters!$B$37/Parameters!$B$38*(E119+H119)/Parameters!$B$25*(EXP(-Parameters!$B$38*Parameters!$E$25*H119/(E119+H119))-EXP(-Parameters!$B$38*Parameters!$E$25))  +  Parameters!$B$39*E119*Parameters!$B$28*Parameters!$B$29*EXP((Parameters!$B$53+Parameters!$B$51)*A119))</f>
        <v>207.1686535386994</v>
      </c>
      <c r="L119" s="8">
        <f>L118+K119*Parameters!B$65</f>
        <v>15110.006367400296</v>
      </c>
      <c r="M119" s="7">
        <f>M118+Parameters!$B$45*K119</f>
        <v>9.0660038204401729</v>
      </c>
      <c r="N119" s="7">
        <f>'6states'!O119</f>
        <v>0.95242767382395299</v>
      </c>
      <c r="O119" s="7">
        <f>MAX(O118+(Parameters!B$31-K119)*Parameters!B$65,30)</f>
        <v>30</v>
      </c>
      <c r="P119" s="7">
        <f>Parameters!B$61*EXP(-Parameters!B$60*A119)+(1-Parameters!B$61)*(O119/Parameters!B$62)^-Parameters!B$63</f>
        <v>0.54861714885409607</v>
      </c>
      <c r="Q119" s="9">
        <f>1-P119/Parameters!$B$12</f>
        <v>0.72569142557295196</v>
      </c>
      <c r="R119" s="23">
        <f t="shared" si="34"/>
        <v>3.6455294993556557</v>
      </c>
      <c r="S119" s="7">
        <f>(Parameters!$B$19*(E119+Parameters!$B$20)^Q119+Parameters!$B$18*F119^Q119)^(1/Q119)</f>
        <v>0.53656522116612393</v>
      </c>
      <c r="T119" s="7">
        <f>(Parameters!$B$10*G119^Parameters!$B$9 + Parameters!$B$11*S119^Parameters!$B$9) ^ (Parameters!$B$7/Parameters!$B$9) * N119</f>
        <v>1.4557194312633601</v>
      </c>
      <c r="U119" s="7">
        <f t="shared" si="35"/>
        <v>1.1052938654687141</v>
      </c>
      <c r="V119" s="7">
        <f>EXP(-Parameters!$B$55*A119)</f>
        <v>0.17613579833694784</v>
      </c>
      <c r="W119" s="7">
        <f>IF(U119&gt;0,U119^(1-Parameters!$B$52)/(1-Parameters!$B$52)*V119,-10+U119*1000)</f>
        <v>-0.4859173117806066</v>
      </c>
      <c r="X119" s="7"/>
      <c r="Y119" s="7"/>
      <c r="Z119" s="7"/>
      <c r="AA119" s="7"/>
    </row>
    <row r="120" spans="1:27" x14ac:dyDescent="0.25">
      <c r="A120">
        <f>A119+Parameters!$B$65</f>
        <v>116</v>
      </c>
      <c r="B120" s="9">
        <f t="shared" si="47"/>
        <v>5.5238794691412761E-2</v>
      </c>
      <c r="C120" s="9">
        <f t="shared" si="47"/>
        <v>2.532692781448906E-3</v>
      </c>
      <c r="D120" s="7">
        <f t="shared" si="47"/>
        <v>0.29265407832178425</v>
      </c>
      <c r="E120" s="7">
        <f>MAX((1-Parameters!$B$4)^Parameters!B$65*E119+B119*Parameters!B$65-Parameters!$B$5*B119^2/E119*Parameters!B$65,0.0001)</f>
        <v>0.8184857058872731</v>
      </c>
      <c r="F120" s="9">
        <f>(1-Parameters!$B$4)^Parameters!B$65*F119+C119*Parameters!B$65-Parameters!$B$5*C119^2/F119*Parameters!B$65</f>
        <v>3.9504314580126459E-2</v>
      </c>
      <c r="G120" s="7">
        <f>(1-Parameters!$B$4)^Parameters!B$65*G119+D119*Parameters!B$65-Parameters!$B$5*D119^2/G119*Parameters!B$65</f>
        <v>4.3399159686680377</v>
      </c>
      <c r="H120" s="7">
        <f>H119 *(1-Parameters!$B$4)-B119*(B119&lt;0)*Parameters!B$65</f>
        <v>0</v>
      </c>
      <c r="I120" s="7">
        <f>I119*(1+Parameters!$B$51)^Parameters!B$65</f>
        <v>11.417614905087387</v>
      </c>
      <c r="J120" s="7">
        <f>J119*(1+Parameters!$B$53)^Parameters!B$65</f>
        <v>90.031124072381942</v>
      </c>
      <c r="K120" s="23">
        <f>EXP(-Parameters!$B$42*A120)*(Parameters!$B$37/Parameters!$B$38*(E120+H120)/Parameters!$B$25*(EXP(-Parameters!$B$38*Parameters!$E$25*H120/(E120+H120))-EXP(-Parameters!$B$38*Parameters!$E$25))  +  Parameters!$B$39*E120*Parameters!$B$28*Parameters!$B$29*EXP((Parameters!$B$53+Parameters!$B$51)*A120))</f>
        <v>209.8029863562459</v>
      </c>
      <c r="L120" s="8">
        <f>L119+K120*Parameters!B$65</f>
        <v>15319.809353756542</v>
      </c>
      <c r="M120" s="7">
        <f>M119+Parameters!$B$45*K120</f>
        <v>9.1918856122539196</v>
      </c>
      <c r="N120" s="7">
        <f>'6states'!O120</f>
        <v>0.95235326382256258</v>
      </c>
      <c r="O120" s="7">
        <f>MAX(O119+(Parameters!B$31-K120)*Parameters!B$65,30)</f>
        <v>30</v>
      </c>
      <c r="P120" s="7">
        <f>Parameters!B$61*EXP(-Parameters!B$60*A120)+(1-Parameters!B$61)*(O120/Parameters!B$62)^-Parameters!B$63</f>
        <v>0.54802011409225204</v>
      </c>
      <c r="Q120" s="9">
        <f>1-P120/Parameters!$B$12</f>
        <v>0.72598994295387398</v>
      </c>
      <c r="R120" s="23">
        <f t="shared" si="34"/>
        <v>3.6495010832090116</v>
      </c>
      <c r="S120" s="7">
        <f>(Parameters!$B$19*(E120+Parameters!$B$20)^Q120+Parameters!$B$18*F120^Q120)^(1/Q120)</f>
        <v>0.53657319754167998</v>
      </c>
      <c r="T120" s="7">
        <f>(Parameters!$B$10*G120^Parameters!$B$9 + Parameters!$B$11*S120^Parameters!$B$9) ^ (Parameters!$B$7/Parameters!$B$9) * N120</f>
        <v>1.4556016807423171</v>
      </c>
      <c r="U120" s="7">
        <f t="shared" si="35"/>
        <v>1.1051761149476711</v>
      </c>
      <c r="V120" s="7">
        <f>EXP(-Parameters!$B$55*A120)</f>
        <v>0.17349612745298973</v>
      </c>
      <c r="W120" s="7">
        <f>IF(U120&gt;0,U120^(1-Parameters!$B$52)/(1-Parameters!$B$52)*V120,-10+U120*1000)</f>
        <v>-0.47865292756581451</v>
      </c>
      <c r="X120" s="7"/>
      <c r="Y120" s="7"/>
      <c r="Z120" s="7"/>
      <c r="AA120" s="7"/>
    </row>
    <row r="121" spans="1:27" x14ac:dyDescent="0.25">
      <c r="A121">
        <f>A120+Parameters!$B$65</f>
        <v>117</v>
      </c>
      <c r="B121" s="9">
        <f t="shared" si="47"/>
        <v>5.5238794691412761E-2</v>
      </c>
      <c r="C121" s="9">
        <f t="shared" si="47"/>
        <v>2.532692781448906E-3</v>
      </c>
      <c r="D121" s="7">
        <f t="shared" si="47"/>
        <v>0.29265407832178425</v>
      </c>
      <c r="E121" s="7">
        <f>MAX((1-Parameters!$B$4)^Parameters!B$65*E120+B120*Parameters!B$65-Parameters!$B$5*B120^2/E120*Parameters!B$65,0.0001)</f>
        <v>0.81851373779373116</v>
      </c>
      <c r="F121" s="9">
        <f>(1-Parameters!$B$4)^Parameters!B$65*F120+C120*Parameters!B$65-Parameters!$B$5*C120^2/F120*Parameters!B$65</f>
        <v>3.9389810477191492E-2</v>
      </c>
      <c r="G121" s="7">
        <f>(1-Parameters!$B$4)^Parameters!B$65*G120+D120*Parameters!B$65-Parameters!$B$5*D120^2/G120*Parameters!B$65</f>
        <v>4.3398547547077833</v>
      </c>
      <c r="H121" s="7">
        <f>H120 *(1-Parameters!$B$4)-B120*(B120&lt;0)*Parameters!B$65</f>
        <v>0</v>
      </c>
      <c r="I121" s="7">
        <f>I120*(1+Parameters!$B$51)^Parameters!B$65</f>
        <v>11.450725988312138</v>
      </c>
      <c r="J121" s="7">
        <f>J120*(1+Parameters!$B$53)^Parameters!B$65</f>
        <v>91.831746553829589</v>
      </c>
      <c r="K121" s="23">
        <f>EXP(-Parameters!$B$42*A121)*(Parameters!$B$37/Parameters!$B$38*(E121+H121)/Parameters!$B$25*(EXP(-Parameters!$B$38*Parameters!$E$25*H121/(E121+H121))-EXP(-Parameters!$B$38*Parameters!$E$25))  +  Parameters!$B$39*E121*Parameters!$B$28*Parameters!$B$29*EXP((Parameters!$B$53+Parameters!$B$51)*A121))</f>
        <v>212.47179358254766</v>
      </c>
      <c r="L121" s="8">
        <f>L120+K121*Parameters!B$65</f>
        <v>15532.28114733909</v>
      </c>
      <c r="M121" s="7">
        <f>M120+Parameters!$B$45*K121</f>
        <v>9.3193686884034488</v>
      </c>
      <c r="N121" s="7">
        <f>'6states'!O121</f>
        <v>0.95228183545936729</v>
      </c>
      <c r="O121" s="7">
        <f>MAX(O120+(Parameters!B$31-K121)*Parameters!B$65,30)</f>
        <v>30</v>
      </c>
      <c r="P121" s="7">
        <f>Parameters!B$61*EXP(-Parameters!B$60*A121)+(1-Parameters!B$61)*(O121/Parameters!B$62)^-Parameters!B$63</f>
        <v>0.54743898359523024</v>
      </c>
      <c r="Q121" s="9">
        <f>1-P121/Parameters!$B$12</f>
        <v>0.72628050820238488</v>
      </c>
      <c r="R121" s="23">
        <f t="shared" si="34"/>
        <v>3.6533751887110322</v>
      </c>
      <c r="S121" s="7">
        <f>(Parameters!$B$19*(E121+Parameters!$B$20)^Q121+Parameters!$B$18*F121^Q121)^(1/Q121)</f>
        <v>0.53658284388922717</v>
      </c>
      <c r="T121" s="7">
        <f>(Parameters!$B$10*G121^Parameters!$B$9 + Parameters!$B$11*S121^Parameters!$B$9) ^ (Parameters!$B$7/Parameters!$B$9) * N121</f>
        <v>1.4554890583992695</v>
      </c>
      <c r="U121" s="7">
        <f t="shared" si="35"/>
        <v>1.1050634926046237</v>
      </c>
      <c r="V121" s="7">
        <f>EXP(-Parameters!$B$55*A121)</f>
        <v>0.17089601617270908</v>
      </c>
      <c r="W121" s="7">
        <f>IF(U121&gt;0,U121^(1-Parameters!$B$52)/(1-Parameters!$B$52)*V121,-10+U121*1000)</f>
        <v>-0.47149638076381767</v>
      </c>
      <c r="X121" s="7"/>
      <c r="Y121" s="7"/>
      <c r="Z121" s="7"/>
      <c r="AA121" s="7"/>
    </row>
    <row r="122" spans="1:27" x14ac:dyDescent="0.25">
      <c r="A122">
        <f>A121+Parameters!$B$65</f>
        <v>118</v>
      </c>
      <c r="B122" s="9">
        <f t="shared" ref="B122:D137" si="48">B121</f>
        <v>5.5238794691412761E-2</v>
      </c>
      <c r="C122" s="9">
        <f t="shared" si="48"/>
        <v>2.532692781448906E-3</v>
      </c>
      <c r="D122" s="7">
        <f t="shared" si="48"/>
        <v>0.29265407832178425</v>
      </c>
      <c r="E122" s="7">
        <f>MAX((1-Parameters!$B$4)^Parameters!B$65*E121+B121*Parameters!B$65-Parameters!$B$5*B121^2/E121*Parameters!B$65,0.0001)</f>
        <v>0.81854013416770977</v>
      </c>
      <c r="F122" s="9">
        <f>(1-Parameters!$B$4)^Parameters!B$65*F121+C121*Parameters!B$65-Parameters!$B$5*C121^2/F121*Parameters!B$65</f>
        <v>3.9282036665318848E-2</v>
      </c>
      <c r="G122" s="7">
        <f>(1-Parameters!$B$4)^Parameters!B$65*G121+D121*Parameters!B$65-Parameters!$B$5*D121^2/G121*Parameters!B$65</f>
        <v>4.3397971127480037</v>
      </c>
      <c r="H122" s="7">
        <f>H121 *(1-Parameters!$B$4)-B121*(B121&lt;0)*Parameters!B$65</f>
        <v>0</v>
      </c>
      <c r="I122" s="7">
        <f>I121*(1+Parameters!$B$51)^Parameters!B$65</f>
        <v>11.483933093678242</v>
      </c>
      <c r="J122" s="7">
        <f>J121*(1+Parameters!$B$53)^Parameters!B$65</f>
        <v>93.668381484906178</v>
      </c>
      <c r="K122" s="23">
        <f>EXP(-Parameters!$B$42*A122)*(Parameters!$B$37/Parameters!$B$38*(E122+H122)/Parameters!$B$25*(EXP(-Parameters!$B$38*Parameters!$E$25*H122/(E122+H122))-EXP(-Parameters!$B$38*Parameters!$E$25))  +  Parameters!$B$39*E122*Parameters!$B$28*Parameters!$B$29*EXP((Parameters!$B$53+Parameters!$B$51)*A122))</f>
        <v>215.17553322017466</v>
      </c>
      <c r="L122" s="8">
        <f>L121+K122*Parameters!B$65</f>
        <v>15747.456680559266</v>
      </c>
      <c r="M122" s="7">
        <f>M121+Parameters!$B$45*K122</f>
        <v>9.4484740083355536</v>
      </c>
      <c r="N122" s="7">
        <f>'6states'!O122</f>
        <v>0.95220957684445573</v>
      </c>
      <c r="O122" s="7">
        <f>MAX(O121+(Parameters!B$31-K122)*Parameters!B$65,30)</f>
        <v>30</v>
      </c>
      <c r="P122" s="7">
        <f>Parameters!B$61*EXP(-Parameters!B$60*A122)+(1-Parameters!B$61)*(O122/Parameters!B$62)^-Parameters!B$63</f>
        <v>0.54687333369316149</v>
      </c>
      <c r="Q122" s="9">
        <f>1-P122/Parameters!$B$12</f>
        <v>0.72656333315341926</v>
      </c>
      <c r="R122" s="23">
        <f t="shared" si="34"/>
        <v>3.6571540003487457</v>
      </c>
      <c r="S122" s="7">
        <f>(Parameters!$B$19*(E122+Parameters!$B$20)^Q122+Parameters!$B$18*F122^Q122)^(1/Q122)</f>
        <v>0.53659400331069829</v>
      </c>
      <c r="T122" s="7">
        <f>(Parameters!$B$10*G122^Parameters!$B$9 + Parameters!$B$11*S122^Parameters!$B$9) ^ (Parameters!$B$7/Parameters!$B$9) * N122</f>
        <v>1.455375695190424</v>
      </c>
      <c r="U122" s="7">
        <f t="shared" si="35"/>
        <v>1.1049501293957782</v>
      </c>
      <c r="V122" s="7">
        <f>EXP(-Parameters!$B$55*A122)</f>
        <v>0.16833487163346803</v>
      </c>
      <c r="W122" s="7">
        <f>IF(U122&gt;0,U122^(1-Parameters!$B$52)/(1-Parameters!$B$52)*V122,-10+U122*1000)</f>
        <v>-0.46444694526820929</v>
      </c>
      <c r="X122" s="7"/>
      <c r="Y122" s="7"/>
      <c r="Z122" s="7"/>
      <c r="AA122" s="7"/>
    </row>
    <row r="123" spans="1:27" x14ac:dyDescent="0.25">
      <c r="A123">
        <f>A122+Parameters!$B$65</f>
        <v>119</v>
      </c>
      <c r="B123" s="9">
        <f t="shared" si="48"/>
        <v>5.5238794691412761E-2</v>
      </c>
      <c r="C123" s="9">
        <f t="shared" si="48"/>
        <v>2.532692781448906E-3</v>
      </c>
      <c r="D123" s="7">
        <f t="shared" si="48"/>
        <v>0.29265407832178425</v>
      </c>
      <c r="E123" s="7">
        <f>MAX((1-Parameters!$B$4)^Parameters!B$65*E122+B122*Parameters!B$65-Parameters!$B$5*B122^2/E122*Parameters!B$65,0.0001)</f>
        <v>0.81856499042699282</v>
      </c>
      <c r="F123" s="9">
        <f>(1-Parameters!$B$4)^Parameters!B$65*F122+C122*Parameters!B$65-Parameters!$B$5*C122^2/F122*Parameters!B$65</f>
        <v>3.918059503936433E-2</v>
      </c>
      <c r="G123" s="7">
        <f>(1-Parameters!$B$4)^Parameters!B$65*G122+D122*Parameters!B$65-Parameters!$B$5*D122^2/G122*Parameters!B$65</f>
        <v>4.3397428343456124</v>
      </c>
      <c r="H123" s="7">
        <f>H122 *(1-Parameters!$B$4)-B122*(B122&lt;0)*Parameters!B$65</f>
        <v>0</v>
      </c>
      <c r="I123" s="7">
        <f>I122*(1+Parameters!$B$51)^Parameters!B$65</f>
        <v>11.517236499649908</v>
      </c>
      <c r="J123" s="7">
        <f>J122*(1+Parameters!$B$53)^Parameters!B$65</f>
        <v>95.541749114604301</v>
      </c>
      <c r="K123" s="23">
        <f>EXP(-Parameters!$B$42*A123)*(Parameters!$B$37/Parameters!$B$38*(E123+H123)/Parameters!$B$25*(EXP(-Parameters!$B$38*Parameters!$E$25*H123/(E123+H123))-EXP(-Parameters!$B$38*Parameters!$E$25))  +  Parameters!$B$39*E123*Parameters!$B$28*Parameters!$B$29*EXP((Parameters!$B$53+Parameters!$B$51)*A123))</f>
        <v>217.91466849908326</v>
      </c>
      <c r="L123" s="8">
        <f>L122+K123*Parameters!B$65</f>
        <v>15965.371349058349</v>
      </c>
      <c r="M123" s="7">
        <f>M122+Parameters!$B$45*K123</f>
        <v>9.579222809435004</v>
      </c>
      <c r="N123" s="7">
        <f>'6states'!O123</f>
        <v>0.95213996770014075</v>
      </c>
      <c r="O123" s="7">
        <f>MAX(O122+(Parameters!B$31-K123)*Parameters!B$65,30)</f>
        <v>30</v>
      </c>
      <c r="P123" s="7">
        <f>Parameters!B$61*EXP(-Parameters!B$60*A123)+(1-Parameters!B$61)*(O123/Parameters!B$62)^-Parameters!B$63</f>
        <v>0.54632275200221569</v>
      </c>
      <c r="Q123" s="9">
        <f>1-P123/Parameters!$B$12</f>
        <v>0.72683862399889221</v>
      </c>
      <c r="R123" s="23">
        <f t="shared" si="34"/>
        <v>3.6608396642281686</v>
      </c>
      <c r="S123" s="7">
        <f>(Parameters!$B$19*(E123+Parameters!$B$20)^Q123+Parameters!$B$18*F123^Q123)^(1/Q123)</f>
        <v>0.5366065297831254</v>
      </c>
      <c r="T123" s="7">
        <f>(Parameters!$B$10*G123^Parameters!$B$9 + Parameters!$B$11*S123^Parameters!$B$9) ^ (Parameters!$B$7/Parameters!$B$9) * N123</f>
        <v>1.4552668695209561</v>
      </c>
      <c r="U123" s="7">
        <f t="shared" si="35"/>
        <v>1.1048413037263103</v>
      </c>
      <c r="V123" s="7">
        <f>EXP(-Parameters!$B$55*A123)</f>
        <v>0.16581210985760431</v>
      </c>
      <c r="W123" s="7">
        <f>IF(U123&gt;0,U123^(1-Parameters!$B$52)/(1-Parameters!$B$52)*V123,-10+U123*1000)</f>
        <v>-0.4575022513281452</v>
      </c>
      <c r="X123" s="7"/>
      <c r="Y123" s="7"/>
      <c r="Z123" s="7"/>
      <c r="AA123" s="7"/>
    </row>
    <row r="124" spans="1:27" x14ac:dyDescent="0.25">
      <c r="A124">
        <f>A123+Parameters!$B$65</f>
        <v>120</v>
      </c>
      <c r="B124" s="9">
        <f t="shared" si="48"/>
        <v>5.5238794691412761E-2</v>
      </c>
      <c r="C124" s="9">
        <f t="shared" si="48"/>
        <v>2.532692781448906E-3</v>
      </c>
      <c r="D124" s="7">
        <f t="shared" si="48"/>
        <v>0.29265407832178425</v>
      </c>
      <c r="E124" s="7">
        <f>MAX((1-Parameters!$B$4)^Parameters!B$65*E123+B123*Parameters!B$65-Parameters!$B$5*B123^2/E123*Parameters!B$65,0.0001)</f>
        <v>0.81858839642354964</v>
      </c>
      <c r="F124" s="9">
        <f>(1-Parameters!$B$4)^Parameters!B$65*F123+C123*Parameters!B$65-Parameters!$B$5*C123^2/F123*Parameters!B$65</f>
        <v>3.9085111309960896E-2</v>
      </c>
      <c r="G124" s="7">
        <f>(1-Parameters!$B$4)^Parameters!B$65*G123+D123*Parameters!B$65-Parameters!$B$5*D123^2/G123*Parameters!B$65</f>
        <v>4.3396917232219723</v>
      </c>
      <c r="H124" s="7">
        <f>H123 *(1-Parameters!$B$4)-B123*(B123&lt;0)*Parameters!B$65</f>
        <v>0</v>
      </c>
      <c r="I124" s="7">
        <f>I123*(1+Parameters!$B$51)^Parameters!B$65</f>
        <v>11.550636485498892</v>
      </c>
      <c r="J124" s="7">
        <f>J123*(1+Parameters!$B$53)^Parameters!B$65</f>
        <v>97.452584096896388</v>
      </c>
      <c r="K124" s="23">
        <f>EXP(-Parameters!$B$42*A124)*(Parameters!$B$37/Parameters!$B$38*(E124+H124)/Parameters!$B$25*(EXP(-Parameters!$B$38*Parameters!$E$25*H124/(E124+H124))-EXP(-Parameters!$B$38*Parameters!$E$25))  +  Parameters!$B$39*E124*Parameters!$B$28*Parameters!$B$29*EXP((Parameters!$B$53+Parameters!$B$51)*A124))</f>
        <v>220.68966798078799</v>
      </c>
      <c r="L124" s="8">
        <f>L123+K124*Parameters!B$65</f>
        <v>16186.061017039137</v>
      </c>
      <c r="M124" s="7">
        <f>M123+Parameters!$B$45*K124</f>
        <v>9.7116366102234775</v>
      </c>
      <c r="N124" s="7">
        <f>'6states'!O124</f>
        <v>0.95207505712323892</v>
      </c>
      <c r="O124" s="7">
        <f>MAX(O123+(Parameters!B$31-K124)*Parameters!B$65,30)</f>
        <v>30</v>
      </c>
      <c r="P124" s="7">
        <f>Parameters!B$61*EXP(-Parameters!B$60*A124)+(1-Parameters!B$61)*(O124/Parameters!B$62)^-Parameters!B$63</f>
        <v>0.54578683712395615</v>
      </c>
      <c r="Q124" s="9">
        <f>1-P124/Parameters!$B$12</f>
        <v>0.72710658143802198</v>
      </c>
      <c r="R124" s="23">
        <f t="shared" si="34"/>
        <v>3.6644342881903751</v>
      </c>
      <c r="S124" s="7">
        <f>(Parameters!$B$19*(E124+Parameters!$B$20)^Q124+Parameters!$B$18*F124^Q124)^(1/Q124)</f>
        <v>0.53662028747608248</v>
      </c>
      <c r="T124" s="7">
        <f>(Parameters!$B$10*G124^Parameters!$B$9 + Parameters!$B$11*S124^Parameters!$B$9) ^ (Parameters!$B$7/Parameters!$B$9) * N124</f>
        <v>1.4551656757832383</v>
      </c>
      <c r="U124" s="7">
        <f t="shared" si="35"/>
        <v>1.1047401099885925</v>
      </c>
      <c r="V124" s="7">
        <f>EXP(-Parameters!$B$55*A124)</f>
        <v>0.16332715561927577</v>
      </c>
      <c r="W124" s="7">
        <f>IF(U124&gt;0,U124^(1-Parameters!$B$52)/(1-Parameters!$B$52)*V124,-10+U124*1000)</f>
        <v>-0.45066031055013961</v>
      </c>
      <c r="X124" s="7"/>
      <c r="Y124" s="7"/>
      <c r="Z124" s="7"/>
      <c r="AA124" s="7"/>
    </row>
    <row r="125" spans="1:27" x14ac:dyDescent="0.25">
      <c r="A125">
        <f>A124+Parameters!$B$65</f>
        <v>121</v>
      </c>
      <c r="B125" s="9">
        <f t="shared" si="48"/>
        <v>5.5238794691412761E-2</v>
      </c>
      <c r="C125" s="9">
        <f t="shared" si="48"/>
        <v>2.532692781448906E-3</v>
      </c>
      <c r="D125" s="7">
        <f t="shared" si="48"/>
        <v>0.29265407832178425</v>
      </c>
      <c r="E125" s="7">
        <f>MAX((1-Parameters!$B$4)^Parameters!B$65*E124+B124*Parameters!B$65-Parameters!$B$5*B124^2/E124*Parameters!B$65,0.0001)</f>
        <v>0.81861043676809087</v>
      </c>
      <c r="F125" s="9">
        <f>(1-Parameters!$B$4)^Parameters!B$65*F124+C124*Parameters!B$65-Parameters!$B$5*C124^2/F124*Parameters!B$65</f>
        <v>3.8995233551319591E-2</v>
      </c>
      <c r="G125" s="7">
        <f>(1-Parameters!$B$4)^Parameters!B$65*G124+D124*Parameters!B$65-Parameters!$B$5*D124^2/G124*Parameters!B$65</f>
        <v>4.339643594552907</v>
      </c>
      <c r="H125" s="7">
        <f>H124 *(1-Parameters!$B$4)-B124*(B124&lt;0)*Parameters!B$65</f>
        <v>0</v>
      </c>
      <c r="I125" s="7">
        <f>I124*(1+Parameters!$B$51)^Parameters!B$65</f>
        <v>11.584133331306838</v>
      </c>
      <c r="J125" s="7">
        <f>J124*(1+Parameters!$B$53)^Parameters!B$65</f>
        <v>99.401635778834319</v>
      </c>
      <c r="K125" s="23">
        <f>EXP(-Parameters!$B$42*A125)*(Parameters!$B$37/Parameters!$B$38*(E125+H125)/Parameters!$B$25*(EXP(-Parameters!$B$38*Parameters!$E$25*H125/(E125+H125))-EXP(-Parameters!$B$38*Parameters!$E$25))  +  Parameters!$B$39*E125*Parameters!$B$28*Parameters!$B$29*EXP((Parameters!$B$53+Parameters!$B$51)*A125))</f>
        <v>223.5010056621289</v>
      </c>
      <c r="L125" s="8">
        <f>L124+K125*Parameters!B$65</f>
        <v>16409.562022701266</v>
      </c>
      <c r="M125" s="7">
        <f>M124+Parameters!$B$45*K125</f>
        <v>9.8457372136207546</v>
      </c>
      <c r="N125" s="7">
        <f>'6states'!O125</f>
        <v>0.95202381333797859</v>
      </c>
      <c r="O125" s="7">
        <f>MAX(O124+(Parameters!B$31-K125)*Parameters!B$65,30)</f>
        <v>30</v>
      </c>
      <c r="P125" s="7">
        <f>Parameters!B$61*EXP(-Parameters!B$60*A125)+(1-Parameters!B$61)*(O125/Parameters!B$62)^-Parameters!B$63</f>
        <v>0.54526519835270215</v>
      </c>
      <c r="Q125" s="9">
        <f>1-P125/Parameters!$B$12</f>
        <v>0.72736740082364892</v>
      </c>
      <c r="R125" s="23">
        <f t="shared" si="34"/>
        <v>3.6679399419625343</v>
      </c>
      <c r="S125" s="7">
        <f>(Parameters!$B$19*(E125+Parameters!$B$20)^Q125+Parameters!$B$18*F125^Q125)^(1/Q125)</f>
        <v>0.53663515010932594</v>
      </c>
      <c r="T125" s="7">
        <f>(Parameters!$B$10*G125^Parameters!$B$9 + Parameters!$B$11*S125^Parameters!$B$9) ^ (Parameters!$B$7/Parameters!$B$9) * N125</f>
        <v>1.4550857860978055</v>
      </c>
      <c r="U125" s="7">
        <f t="shared" si="35"/>
        <v>1.1046602203031597</v>
      </c>
      <c r="V125" s="7">
        <f>EXP(-Parameters!$B$55*A125)</f>
        <v>0.16087944231330067</v>
      </c>
      <c r="W125" s="7">
        <f>IF(U125&gt;0,U125^(1-Parameters!$B$52)/(1-Parameters!$B$52)*V125,-10+U125*1000)</f>
        <v>-0.44391769575139317</v>
      </c>
      <c r="X125" s="7"/>
      <c r="Y125" s="7"/>
      <c r="Z125" s="7"/>
      <c r="AA125" s="7"/>
    </row>
    <row r="126" spans="1:27" x14ac:dyDescent="0.25">
      <c r="A126">
        <f>A125+Parameters!$B$65</f>
        <v>122</v>
      </c>
      <c r="B126" s="9">
        <f t="shared" si="48"/>
        <v>5.5238794691412761E-2</v>
      </c>
      <c r="C126" s="9">
        <f t="shared" si="48"/>
        <v>2.532692781448906E-3</v>
      </c>
      <c r="D126" s="7">
        <f t="shared" si="48"/>
        <v>0.29265407832178425</v>
      </c>
      <c r="E126" s="7">
        <f>MAX((1-Parameters!$B$4)^Parameters!B$65*E125+B125*Parameters!B$65-Parameters!$B$5*B125^2/E125*Parameters!B$65,0.0001)</f>
        <v>0.81863119113571203</v>
      </c>
      <c r="F126" s="9">
        <f>(1-Parameters!$B$4)^Parameters!B$65*F125+C125*Parameters!B$65-Parameters!$B$5*C125^2/F125*Parameters!B$65</f>
        <v>3.8910630840246416E-2</v>
      </c>
      <c r="G126" s="7">
        <f>(1-Parameters!$B$4)^Parameters!B$65*G125+D125*Parameters!B$65-Parameters!$B$5*D125^2/G125*Parameters!B$65</f>
        <v>4.3395982743001555</v>
      </c>
      <c r="H126" s="7">
        <f>H125 *(1-Parameters!$B$4)-B125*(B125&lt;0)*Parameters!B$65</f>
        <v>0</v>
      </c>
      <c r="I126" s="7">
        <f>I125*(1+Parameters!$B$51)^Parameters!B$65</f>
        <v>11.617727317967626</v>
      </c>
      <c r="J126" s="7">
        <f>J125*(1+Parameters!$B$53)^Parameters!B$65</f>
        <v>101.38966849441101</v>
      </c>
      <c r="K126" s="23">
        <f>EXP(-Parameters!$B$42*A126)*(Parameters!$B$37/Parameters!$B$38*(E126+H126)/Parameters!$B$25*(EXP(-Parameters!$B$38*Parameters!$E$25*H126/(E126+H126))-EXP(-Parameters!$B$38*Parameters!$E$25))  +  Parameters!$B$39*E126*Parameters!$B$28*Parameters!$B$29*EXP((Parameters!$B$53+Parameters!$B$51)*A126))</f>
        <v>226.34916107871845</v>
      </c>
      <c r="L126" s="8">
        <f>L125+K126*Parameters!B$65</f>
        <v>16635.911183779983</v>
      </c>
      <c r="M126" s="7">
        <f>M125+Parameters!$B$45*K126</f>
        <v>9.9815467102679865</v>
      </c>
      <c r="N126" s="7">
        <f>'6states'!O126</f>
        <v>0.95196923138656298</v>
      </c>
      <c r="O126" s="7">
        <f>MAX(O125+(Parameters!B$31-K126)*Parameters!B$65,30)</f>
        <v>30</v>
      </c>
      <c r="P126" s="7">
        <f>Parameters!B$61*EXP(-Parameters!B$60*A126)+(1-Parameters!B$61)*(O126/Parameters!B$62)^-Parameters!B$63</f>
        <v>0.5447574553906871</v>
      </c>
      <c r="Q126" s="9">
        <f>1-P126/Parameters!$B$12</f>
        <v>0.72762127230465645</v>
      </c>
      <c r="R126" s="23">
        <f t="shared" si="34"/>
        <v>3.6713586573416377</v>
      </c>
      <c r="S126" s="7">
        <f>(Parameters!$B$19*(E126+Parameters!$B$20)^Q126+Parameters!$B$18*F126^Q126)^(1/Q126)</f>
        <v>0.53665100034848101</v>
      </c>
      <c r="T126" s="7">
        <f>(Parameters!$B$10*G126^Parameters!$B$9 + Parameters!$B$11*S126^Parameters!$B$9) ^ (Parameters!$B$7/Parameters!$B$9) * N126</f>
        <v>1.4550011771279501</v>
      </c>
      <c r="U126" s="7">
        <f t="shared" si="35"/>
        <v>1.1045756113333041</v>
      </c>
      <c r="V126" s="7">
        <f>EXP(-Parameters!$B$55*A126)</f>
        <v>0.15846841182596355</v>
      </c>
      <c r="W126" s="7">
        <f>IF(U126&gt;0,U126^(1-Parameters!$B$52)/(1-Parameters!$B$52)*V126,-10+U126*1000)</f>
        <v>-0.43727661617911889</v>
      </c>
      <c r="X126" s="7"/>
      <c r="Y126" s="7"/>
      <c r="Z126" s="7"/>
      <c r="AA126" s="7"/>
    </row>
    <row r="127" spans="1:27" x14ac:dyDescent="0.25">
      <c r="A127">
        <f>A126+Parameters!$B$65</f>
        <v>123</v>
      </c>
      <c r="B127" s="9">
        <f t="shared" si="48"/>
        <v>5.5238794691412761E-2</v>
      </c>
      <c r="C127" s="9">
        <f t="shared" si="48"/>
        <v>2.532692781448906E-3</v>
      </c>
      <c r="D127" s="7">
        <f t="shared" si="48"/>
        <v>0.29265407832178425</v>
      </c>
      <c r="E127" s="7">
        <f>MAX((1-Parameters!$B$4)^Parameters!B$65*E126+B126*Parameters!B$65-Parameters!$B$5*B126^2/E126*Parameters!B$65,0.0001)</f>
        <v>0.81865073455372284</v>
      </c>
      <c r="F127" s="9">
        <f>(1-Parameters!$B$4)^Parameters!B$65*F126+C126*Parameters!B$65-Parameters!$B$5*C126^2/F126*Parameters!B$65</f>
        <v>3.8830991980411789E-2</v>
      </c>
      <c r="G127" s="7">
        <f>(1-Parameters!$B$4)^Parameters!B$65*G126+D126*Parameters!B$65-Parameters!$B$5*D126^2/G126*Parameters!B$65</f>
        <v>4.3395555985818568</v>
      </c>
      <c r="H127" s="7">
        <f>H126 *(1-Parameters!$B$4)-B126*(B126&lt;0)*Parameters!B$65</f>
        <v>0</v>
      </c>
      <c r="I127" s="7">
        <f>I126*(1+Parameters!$B$51)^Parameters!B$65</f>
        <v>11.65141872718973</v>
      </c>
      <c r="J127" s="7">
        <f>J126*(1+Parameters!$B$53)^Parameters!B$65</f>
        <v>103.41746186429923</v>
      </c>
      <c r="K127" s="23">
        <f>EXP(-Parameters!$B$42*A127)*(Parameters!$B$37/Parameters!$B$38*(E127+H127)/Parameters!$B$25*(EXP(-Parameters!$B$38*Parameters!$E$25*H127/(E127+H127))-EXP(-Parameters!$B$38*Parameters!$E$25))  +  Parameters!$B$39*E127*Parameters!$B$28*Parameters!$B$29*EXP((Parameters!$B$53+Parameters!$B$51)*A127))</f>
        <v>229.23461940814082</v>
      </c>
      <c r="L127" s="8">
        <f>L126+K127*Parameters!B$65</f>
        <v>16865.145803188123</v>
      </c>
      <c r="M127" s="7">
        <f>M126+Parameters!$B$45*K127</f>
        <v>10.119087481912871</v>
      </c>
      <c r="N127" s="7">
        <f>'6states'!O127</f>
        <v>0.95192591710477481</v>
      </c>
      <c r="O127" s="7">
        <f>MAX(O126+(Parameters!B$31-K127)*Parameters!B$65,30)</f>
        <v>30</v>
      </c>
      <c r="P127" s="7">
        <f>Parameters!B$61*EXP(-Parameters!B$60*A127)+(1-Parameters!B$61)*(O127/Parameters!B$62)^-Parameters!B$63</f>
        <v>0.54426323807080479</v>
      </c>
      <c r="Q127" s="9">
        <f>1-P127/Parameters!$B$12</f>
        <v>0.72786838096459761</v>
      </c>
      <c r="R127" s="23">
        <f t="shared" si="34"/>
        <v>3.6746924284087221</v>
      </c>
      <c r="S127" s="7">
        <f>(Parameters!$B$19*(E127+Parameters!$B$20)^Q127+Parameters!$B$18*F127^Q127)^(1/Q127)</f>
        <v>0.53666772923671224</v>
      </c>
      <c r="T127" s="7">
        <f>(Parameters!$B$10*G127^Parameters!$B$9 + Parameters!$B$11*S127^Parameters!$B$9) ^ (Parameters!$B$7/Parameters!$B$9) * N127</f>
        <v>1.4549341420716155</v>
      </c>
      <c r="U127" s="7">
        <f t="shared" si="35"/>
        <v>1.1045085762769697</v>
      </c>
      <c r="V127" s="7">
        <f>EXP(-Parameters!$B$55*A127)</f>
        <v>0.15609351440775748</v>
      </c>
      <c r="W127" s="7">
        <f>IF(U127&gt;0,U127^(1-Parameters!$B$52)/(1-Parameters!$B$52)*V127,-10+U127*1000)</f>
        <v>-0.43073249038064781</v>
      </c>
      <c r="X127" s="7"/>
      <c r="Y127" s="7"/>
      <c r="Z127" s="7"/>
      <c r="AA127" s="7"/>
    </row>
    <row r="128" spans="1:27" x14ac:dyDescent="0.25">
      <c r="A128">
        <f>A127+Parameters!$B$65</f>
        <v>124</v>
      </c>
      <c r="B128" s="9">
        <f t="shared" si="48"/>
        <v>5.5238794691412761E-2</v>
      </c>
      <c r="C128" s="9">
        <f t="shared" si="48"/>
        <v>2.532692781448906E-3</v>
      </c>
      <c r="D128" s="7">
        <f t="shared" si="48"/>
        <v>0.29265407832178425</v>
      </c>
      <c r="E128" s="7">
        <f>MAX((1-Parameters!$B$4)^Parameters!B$65*E127+B127*Parameters!B$65-Parameters!$B$5*B127^2/E127*Parameters!B$65,0.0001)</f>
        <v>0.81866913767270011</v>
      </c>
      <c r="F128" s="9">
        <f>(1-Parameters!$B$4)^Parameters!B$65*F127+C127*Parameters!B$65-Parameters!$B$5*C127^2/F127*Parameters!B$65</f>
        <v>3.8756024306315778E-2</v>
      </c>
      <c r="G128" s="7">
        <f>(1-Parameters!$B$4)^Parameters!B$65*G127+D127*Parameters!B$65-Parameters!$B$5*D127^2/G127*Parameters!B$65</f>
        <v>4.3395154130797886</v>
      </c>
      <c r="H128" s="7">
        <f>H127 *(1-Parameters!$B$4)-B127*(B127&lt;0)*Parameters!B$65</f>
        <v>0</v>
      </c>
      <c r="I128" s="7">
        <f>I127*(1+Parameters!$B$51)^Parameters!B$65</f>
        <v>11.685207841498579</v>
      </c>
      <c r="J128" s="7">
        <f>J127*(1+Parameters!$B$53)^Parameters!B$65</f>
        <v>105.48581110158521</v>
      </c>
      <c r="K128" s="23">
        <f>EXP(-Parameters!$B$42*A128)*(Parameters!$B$37/Parameters!$B$38*(E128+H128)/Parameters!$B$25*(EXP(-Parameters!$B$38*Parameters!$E$25*H128/(E128+H128))-EXP(-Parameters!$B$38*Parameters!$E$25))  +  Parameters!$B$39*E128*Parameters!$B$28*Parameters!$B$29*EXP((Parameters!$B$53+Parameters!$B$51)*A128))</f>
        <v>232.15787157297885</v>
      </c>
      <c r="L128" s="8">
        <f>L127+K128*Parameters!B$65</f>
        <v>17097.3036747611</v>
      </c>
      <c r="M128" s="7">
        <f>M127+Parameters!$B$45*K128</f>
        <v>10.258382204856659</v>
      </c>
      <c r="N128" s="7">
        <f>'6states'!O128</f>
        <v>0.95187773088360528</v>
      </c>
      <c r="O128" s="7">
        <f>MAX(O127+(Parameters!B$31-K128)*Parameters!B$65,30)</f>
        <v>30</v>
      </c>
      <c r="P128" s="7">
        <f>Parameters!B$61*EXP(-Parameters!B$60*A128)+(1-Parameters!B$61)*(O128/Parameters!B$62)^-Parameters!B$63</f>
        <v>0.54378218608674134</v>
      </c>
      <c r="Q128" s="9">
        <f>1-P128/Parameters!$B$12</f>
        <v>0.72810890695662933</v>
      </c>
      <c r="R128" s="23">
        <f t="shared" si="34"/>
        <v>3.6779432117715056</v>
      </c>
      <c r="S128" s="7">
        <f>(Parameters!$B$19*(E128+Parameters!$B$20)^Q128+Parameters!$B$18*F128^Q128)^(1/Q128)</f>
        <v>0.53668523566040138</v>
      </c>
      <c r="T128" s="7">
        <f>(Parameters!$B$10*G128^Parameters!$B$9 + Parameters!$B$11*S128^Parameters!$B$9) ^ (Parameters!$B$7/Parameters!$B$9) * N128</f>
        <v>1.4548599844482781</v>
      </c>
      <c r="U128" s="7">
        <f t="shared" si="35"/>
        <v>1.1044344186536321</v>
      </c>
      <c r="V128" s="7">
        <f>EXP(-Parameters!$B$55*A128)</f>
        <v>0.15375420854803312</v>
      </c>
      <c r="W128" s="7">
        <f>IF(U128&gt;0,U128^(1-Parameters!$B$52)/(1-Parameters!$B$52)*V128,-10+U128*1000)</f>
        <v>-0.42428725986581206</v>
      </c>
      <c r="X128" s="7"/>
      <c r="Y128" s="7"/>
      <c r="Z128" s="7"/>
      <c r="AA128" s="7"/>
    </row>
    <row r="129" spans="1:27" x14ac:dyDescent="0.25">
      <c r="A129">
        <f>A128+Parameters!$B$65</f>
        <v>125</v>
      </c>
      <c r="B129" s="9">
        <f t="shared" si="48"/>
        <v>5.5238794691412761E-2</v>
      </c>
      <c r="C129" s="9">
        <f t="shared" si="48"/>
        <v>2.532692781448906E-3</v>
      </c>
      <c r="D129" s="7">
        <f t="shared" si="48"/>
        <v>0.29265407832178425</v>
      </c>
      <c r="E129" s="7">
        <f>MAX((1-Parameters!$B$4)^Parameters!B$65*E128+B128*Parameters!B$65-Parameters!$B$5*B128^2/E128*Parameters!B$65,0.0001)</f>
        <v>0.81868646702174253</v>
      </c>
      <c r="F129" s="9">
        <f>(1-Parameters!$B$4)^Parameters!B$65*F128+C128*Parameters!B$65-Parameters!$B$5*C128^2/F128*Parameters!B$65</f>
        <v>3.8685452561770514E-2</v>
      </c>
      <c r="G129" s="7">
        <f>(1-Parameters!$B$4)^Parameters!B$65*G128+D128*Parameters!B$65-Parameters!$B$5*D128^2/G128*Parameters!B$65</f>
        <v>4.339477572481206</v>
      </c>
      <c r="H129" s="7">
        <f>H128 *(1-Parameters!$B$4)-B128*(B128&lt;0)*Parameters!B$65</f>
        <v>0</v>
      </c>
      <c r="I129" s="7">
        <f>I128*(1+Parameters!$B$51)^Parameters!B$65</f>
        <v>11.719094944238924</v>
      </c>
      <c r="J129" s="7">
        <f>J128*(1+Parameters!$B$53)^Parameters!B$65</f>
        <v>107.59552732361692</v>
      </c>
      <c r="K129" s="23">
        <f>EXP(-Parameters!$B$42*A129)*(Parameters!$B$37/Parameters!$B$38*(E129+H129)/Parameters!$B$25*(EXP(-Parameters!$B$38*Parameters!$E$25*H129/(E129+H129))-EXP(-Parameters!$B$38*Parameters!$E$25))  +  Parameters!$B$39*E129*Parameters!$B$28*Parameters!$B$29*EXP((Parameters!$B$53+Parameters!$B$51)*A129))</f>
        <v>235.1194143437408</v>
      </c>
      <c r="L129" s="8">
        <f>L128+K129*Parameters!B$65</f>
        <v>17332.423089104843</v>
      </c>
      <c r="M129" s="7">
        <f>M128+Parameters!$B$45*K129</f>
        <v>10.399453853462903</v>
      </c>
      <c r="N129" s="7">
        <f>'6states'!O129</f>
        <v>0.95185579497689921</v>
      </c>
      <c r="O129" s="7">
        <f>MAX(O128+(Parameters!B$31-K129)*Parameters!B$65,30)</f>
        <v>30</v>
      </c>
      <c r="P129" s="7">
        <f>Parameters!B$61*EXP(-Parameters!B$60*A129)+(1-Parameters!B$61)*(O129/Parameters!B$62)^-Parameters!B$63</f>
        <v>0.5433139487302957</v>
      </c>
      <c r="Q129" s="9">
        <f>1-P129/Parameters!$B$12</f>
        <v>0.7283430256348522</v>
      </c>
      <c r="R129" s="23">
        <f t="shared" si="34"/>
        <v>3.6811129268334182</v>
      </c>
      <c r="S129" s="7">
        <f>(Parameters!$B$19*(E129+Parameters!$B$20)^Q129+Parameters!$B$18*F129^Q129)^(1/Q129)</f>
        <v>0.53670342584695063</v>
      </c>
      <c r="T129" s="7">
        <f>(Parameters!$B$10*G129^Parameters!$B$9 + Parameters!$B$11*S129^Parameters!$B$9) ^ (Parameters!$B$7/Parameters!$B$9) * N129</f>
        <v>1.4548262452308851</v>
      </c>
      <c r="U129" s="7">
        <f t="shared" si="35"/>
        <v>1.1044006794362393</v>
      </c>
      <c r="V129" s="7">
        <f>EXP(-Parameters!$B$55*A129)</f>
        <v>0.15144996085152654</v>
      </c>
      <c r="W129" s="7">
        <f>IF(U129&gt;0,U129^(1-Parameters!$B$52)/(1-Parameters!$B$52)*V129,-10+U129*1000)</f>
        <v>-0.41793311918865461</v>
      </c>
      <c r="X129" s="7"/>
      <c r="Y129" s="7"/>
      <c r="Z129" s="7"/>
      <c r="AA129" s="7"/>
    </row>
    <row r="130" spans="1:27" x14ac:dyDescent="0.25">
      <c r="A130">
        <f>A129+Parameters!$B$65</f>
        <v>126</v>
      </c>
      <c r="B130" s="9">
        <f t="shared" si="48"/>
        <v>5.5238794691412761E-2</v>
      </c>
      <c r="C130" s="9">
        <f t="shared" si="48"/>
        <v>2.532692781448906E-3</v>
      </c>
      <c r="D130" s="7">
        <f t="shared" si="48"/>
        <v>0.29265407832178425</v>
      </c>
      <c r="E130" s="7">
        <f>MAX((1-Parameters!$B$4)^Parameters!B$65*E129+B129*Parameters!B$65-Parameters!$B$5*B129^2/E129*Parameters!B$65,0.0001)</f>
        <v>0.81870278524884477</v>
      </c>
      <c r="F130" s="9">
        <f>(1-Parameters!$B$4)^Parameters!B$65*F129+C129*Parameters!B$65-Parameters!$B$5*C129^2/F129*Parameters!B$65</f>
        <v>3.8619017848073027E-2</v>
      </c>
      <c r="G130" s="7">
        <f>(1-Parameters!$B$4)^Parameters!B$65*G129+D129*Parameters!B$65-Parameters!$B$5*D129^2/G129*Parameters!B$65</f>
        <v>4.3394419399532609</v>
      </c>
      <c r="H130" s="7">
        <f>H129 *(1-Parameters!$B$4)-B129*(B129&lt;0)*Parameters!B$65</f>
        <v>0</v>
      </c>
      <c r="I130" s="7">
        <f>I129*(1+Parameters!$B$51)^Parameters!B$65</f>
        <v>11.753080319577215</v>
      </c>
      <c r="J130" s="7">
        <f>J129*(1+Parameters!$B$53)^Parameters!B$65</f>
        <v>109.74743787008926</v>
      </c>
      <c r="K130" s="23">
        <f>EXP(-Parameters!$B$42*A130)*(Parameters!$B$37/Parameters!$B$38*(E130+H130)/Parameters!$B$25*(EXP(-Parameters!$B$38*Parameters!$E$25*H130/(E130+H130))-EXP(-Parameters!$B$38*Parameters!$E$25))  +  Parameters!$B$39*E130*Parameters!$B$28*Parameters!$B$29*EXP((Parameters!$B$53+Parameters!$B$51)*A130))</f>
        <v>238.11975044175171</v>
      </c>
      <c r="L130" s="8">
        <f>L129+K130*Parameters!B$65</f>
        <v>17570.542839546593</v>
      </c>
      <c r="M130" s="7">
        <f>M129+Parameters!$B$45*K130</f>
        <v>10.542325703727954</v>
      </c>
      <c r="N130" s="7">
        <f>'6states'!O130</f>
        <v>0.95184513007119942</v>
      </c>
      <c r="O130" s="7">
        <f>MAX(O129+(Parameters!B$31-K130)*Parameters!B$65,30)</f>
        <v>30</v>
      </c>
      <c r="P130" s="7">
        <f>Parameters!B$61*EXP(-Parameters!B$60*A130)+(1-Parameters!B$61)*(O130/Parameters!B$62)^-Parameters!B$63</f>
        <v>0.54285818463569757</v>
      </c>
      <c r="Q130" s="9">
        <f>1-P130/Parameters!$B$12</f>
        <v>0.72857090768215116</v>
      </c>
      <c r="R130" s="23">
        <f t="shared" si="34"/>
        <v>3.6842034560870882</v>
      </c>
      <c r="S130" s="7">
        <f>(Parameters!$B$19*(E130+Parameters!$B$20)^Q130+Parameters!$B$18*F130^Q130)^(1/Q130)</f>
        <v>0.53672221289290545</v>
      </c>
      <c r="T130" s="7">
        <f>(Parameters!$B$10*G130^Parameters!$B$9 + Parameters!$B$11*S130^Parameters!$B$9) ^ (Parameters!$B$7/Parameters!$B$9) * N130</f>
        <v>1.4548100050555606</v>
      </c>
      <c r="U130" s="7">
        <f t="shared" si="35"/>
        <v>1.1043844392609148</v>
      </c>
      <c r="V130" s="7">
        <f>EXP(-Parameters!$B$55*A130)</f>
        <v>0.14918024591673743</v>
      </c>
      <c r="W130" s="7">
        <f>IF(U130&gt;0,U130^(1-Parameters!$B$52)/(1-Parameters!$B$52)*V130,-10+U130*1000)</f>
        <v>-0.41167185541367673</v>
      </c>
      <c r="X130" s="7"/>
      <c r="Y130" s="7"/>
      <c r="Z130" s="7"/>
      <c r="AA130" s="7"/>
    </row>
    <row r="131" spans="1:27" x14ac:dyDescent="0.25">
      <c r="A131">
        <f>A130+Parameters!$B$65</f>
        <v>127</v>
      </c>
      <c r="B131" s="9">
        <f t="shared" si="48"/>
        <v>5.5238794691412761E-2</v>
      </c>
      <c r="C131" s="9">
        <f t="shared" si="48"/>
        <v>2.532692781448906E-3</v>
      </c>
      <c r="D131" s="7">
        <f t="shared" si="48"/>
        <v>0.29265407832178425</v>
      </c>
      <c r="E131" s="7">
        <f>MAX((1-Parameters!$B$4)^Parameters!B$65*E130+B130*Parameters!B$65-Parameters!$B$5*B130^2/E130*Parameters!B$65,0.0001)</f>
        <v>0.81871815134725956</v>
      </c>
      <c r="F131" s="9">
        <f>(1-Parameters!$B$4)^Parameters!B$65*F130+C130*Parameters!B$65-Parameters!$B$5*C130^2/F130*Parameters!B$65</f>
        <v>3.8556476637368879E-2</v>
      </c>
      <c r="G131" s="7">
        <f>(1-Parameters!$B$4)^Parameters!B$65*G130+D130*Parameters!B$65-Parameters!$B$5*D130^2/G130*Parameters!B$65</f>
        <v>4.3394083866481026</v>
      </c>
      <c r="H131" s="7">
        <f>H130 *(1-Parameters!$B$4)-B130*(B130&lt;0)*Parameters!B$65</f>
        <v>0</v>
      </c>
      <c r="I131" s="7">
        <f>I130*(1+Parameters!$B$51)^Parameters!B$65</f>
        <v>11.787164252503988</v>
      </c>
      <c r="J131" s="7">
        <f>J130*(1+Parameters!$B$53)^Parameters!B$65</f>
        <v>111.94238662749105</v>
      </c>
      <c r="K131" s="23">
        <f>EXP(-Parameters!$B$42*A131)*(Parameters!$B$37/Parameters!$B$38*(E131+H131)/Parameters!$B$25*(EXP(-Parameters!$B$38*Parameters!$E$25*H131/(E131+H131))-EXP(-Parameters!$B$38*Parameters!$E$25))  +  Parameters!$B$39*E131*Parameters!$B$28*Parameters!$B$29*EXP((Parameters!$B$53+Parameters!$B$51)*A131))</f>
        <v>241.15938864207817</v>
      </c>
      <c r="L131" s="8">
        <f>L130+K131*Parameters!B$65</f>
        <v>17811.702228188671</v>
      </c>
      <c r="M131" s="7">
        <f>M130+Parameters!$B$45*K131</f>
        <v>10.687021336913201</v>
      </c>
      <c r="N131" s="7">
        <f>'6states'!O131</f>
        <v>0.95184440709616247</v>
      </c>
      <c r="O131" s="7">
        <f>MAX(O130+(Parameters!B$31-K131)*Parameters!B$65,30)</f>
        <v>30</v>
      </c>
      <c r="P131" s="7">
        <f>Parameters!B$61*EXP(-Parameters!B$60*A131)+(1-Parameters!B$61)*(O131/Parameters!B$62)^-Parameters!B$63</f>
        <v>0.54241456153073742</v>
      </c>
      <c r="Q131" s="9">
        <f>1-P131/Parameters!$B$12</f>
        <v>0.72879271923463129</v>
      </c>
      <c r="R131" s="23">
        <f t="shared" si="34"/>
        <v>3.6872166454304609</v>
      </c>
      <c r="S131" s="7">
        <f>(Parameters!$B$19*(E131+Parameters!$B$20)^Q131+Parameters!$B$18*F131^Q131)^(1/Q131)</f>
        <v>0.53674151632069245</v>
      </c>
      <c r="T131" s="7">
        <f>(Parameters!$B$10*G131^Parameters!$B$9 + Parameters!$B$11*S131^Parameters!$B$9) ^ (Parameters!$B$7/Parameters!$B$9) * N131</f>
        <v>1.4548092094272465</v>
      </c>
      <c r="U131" s="7">
        <f t="shared" si="35"/>
        <v>1.1043836436326004</v>
      </c>
      <c r="V131" s="7">
        <f>EXP(-Parameters!$B$55*A131)</f>
        <v>0.14694454621613023</v>
      </c>
      <c r="W131" s="7">
        <f>IF(U131&gt;0,U131^(1-Parameters!$B$52)/(1-Parameters!$B$52)*V131,-10+U131*1000)</f>
        <v>-0.40550240995543524</v>
      </c>
      <c r="X131" s="7"/>
      <c r="Y131" s="7"/>
      <c r="Z131" s="7"/>
      <c r="AA131" s="7"/>
    </row>
    <row r="132" spans="1:27" x14ac:dyDescent="0.25">
      <c r="A132">
        <f>A131+Parameters!$B$65</f>
        <v>128</v>
      </c>
      <c r="B132" s="9">
        <f t="shared" si="48"/>
        <v>5.5238794691412761E-2</v>
      </c>
      <c r="C132" s="9">
        <f t="shared" si="48"/>
        <v>2.532692781448906E-3</v>
      </c>
      <c r="D132" s="7">
        <f t="shared" si="48"/>
        <v>0.29265407832178425</v>
      </c>
      <c r="E132" s="7">
        <f>MAX((1-Parameters!$B$4)^Parameters!B$65*E131+B131*Parameters!B$65-Parameters!$B$5*B131^2/E131*Parameters!B$65,0.0001)</f>
        <v>0.81873262086866261</v>
      </c>
      <c r="F132" s="9">
        <f>(1-Parameters!$B$4)^Parameters!B$65*F131+C131*Parameters!B$65-Parameters!$B$5*C131^2/F131*Parameters!B$65</f>
        <v>3.8497599847011198E-2</v>
      </c>
      <c r="G132" s="7">
        <f>(1-Parameters!$B$4)^Parameters!B$65*G131+D131*Parameters!B$65-Parameters!$B$5*D131^2/G131*Parameters!B$65</f>
        <v>4.3393767912368686</v>
      </c>
      <c r="H132" s="7">
        <f>H131 *(1-Parameters!$B$4)-B131*(B131&lt;0)*Parameters!B$65</f>
        <v>0</v>
      </c>
      <c r="I132" s="7">
        <f>I131*(1+Parameters!$B$51)^Parameters!B$65</f>
        <v>11.821347028836248</v>
      </c>
      <c r="J132" s="7">
        <f>J131*(1+Parameters!$B$53)^Parameters!B$65</f>
        <v>114.18123436004088</v>
      </c>
      <c r="K132" s="23">
        <f>EXP(-Parameters!$B$42*A132)*(Parameters!$B$37/Parameters!$B$38*(E132+H132)/Parameters!$B$25*(EXP(-Parameters!$B$38*Parameters!$E$25*H132/(E132+H132))-EXP(-Parameters!$B$38*Parameters!$E$25))  +  Parameters!$B$39*E132*Parameters!$B$28*Parameters!$B$29*EXP((Parameters!$B$53+Parameters!$B$51)*A132))</f>
        <v>244.23884387654883</v>
      </c>
      <c r="L132" s="8">
        <f>L131+K132*Parameters!B$65</f>
        <v>18055.941072065219</v>
      </c>
      <c r="M132" s="7">
        <f>M131+Parameters!$B$45*K132</f>
        <v>10.83356464323913</v>
      </c>
      <c r="N132" s="7">
        <f>'6states'!O132</f>
        <v>0.95184367487682908</v>
      </c>
      <c r="O132" s="7">
        <f>MAX(O131+(Parameters!B$31-K132)*Parameters!B$65,30)</f>
        <v>30</v>
      </c>
      <c r="P132" s="7">
        <f>Parameters!B$61*EXP(-Parameters!B$60*A132)+(1-Parameters!B$61)*(O132/Parameters!B$62)^-Parameters!B$63</f>
        <v>0.5419827559945245</v>
      </c>
      <c r="Q132" s="9">
        <f>1-P132/Parameters!$B$12</f>
        <v>0.72900862200273775</v>
      </c>
      <c r="R132" s="23">
        <f t="shared" si="34"/>
        <v>3.6901543045037495</v>
      </c>
      <c r="S132" s="7">
        <f>(Parameters!$B$19*(E132+Parameters!$B$20)^Q132+Parameters!$B$18*F132^Q132)^(1/Q132)</f>
        <v>0.53676126166233284</v>
      </c>
      <c r="T132" s="7">
        <f>(Parameters!$B$10*G132^Parameters!$B$9 + Parameters!$B$11*S132^Parameters!$B$9) ^ (Parameters!$B$7/Parameters!$B$9) * N132</f>
        <v>1.4548086273045004</v>
      </c>
      <c r="U132" s="7">
        <f t="shared" si="35"/>
        <v>1.1043830615098544</v>
      </c>
      <c r="V132" s="7">
        <f>EXP(-Parameters!$B$55*A132)</f>
        <v>0.14474235197813023</v>
      </c>
      <c r="W132" s="7">
        <f>IF(U132&gt;0,U132^(1-Parameters!$B$52)/(1-Parameters!$B$52)*V132,-10+U132*1000)</f>
        <v>-0.39942539474389227</v>
      </c>
      <c r="X132" s="7"/>
      <c r="Y132" s="7"/>
      <c r="Z132" s="7"/>
      <c r="AA132" s="7"/>
    </row>
    <row r="133" spans="1:27" x14ac:dyDescent="0.25">
      <c r="A133">
        <f>A132+Parameters!$B$65</f>
        <v>129</v>
      </c>
      <c r="B133" s="9">
        <f t="shared" si="48"/>
        <v>5.5238794691412761E-2</v>
      </c>
      <c r="C133" s="9">
        <f t="shared" si="48"/>
        <v>2.532692781448906E-3</v>
      </c>
      <c r="D133" s="7">
        <f t="shared" si="48"/>
        <v>0.29265407832178425</v>
      </c>
      <c r="E133" s="7">
        <f>MAX((1-Parameters!$B$4)^Parameters!B$65*E132+B132*Parameters!B$65-Parameters!$B$5*B132^2/E132*Parameters!B$65,0.0001)</f>
        <v>0.81874624612388991</v>
      </c>
      <c r="F133" s="9">
        <f>(1-Parameters!$B$4)^Parameters!B$65*F132+C132*Parameters!B$65-Parameters!$B$5*C132^2/F132*Parameters!B$65</f>
        <v>3.8442171971002595E-2</v>
      </c>
      <c r="G133" s="7">
        <f>(1-Parameters!$B$4)^Parameters!B$65*G132+D132*Parameters!B$65-Parameters!$B$5*D132^2/G132*Parameters!B$65</f>
        <v>4.3393470394708729</v>
      </c>
      <c r="H133" s="7">
        <f>H132 *(1-Parameters!$B$4)-B132*(B132&lt;0)*Parameters!B$65</f>
        <v>0</v>
      </c>
      <c r="I133" s="7">
        <f>I132*(1+Parameters!$B$51)^Parameters!B$65</f>
        <v>11.855628935219872</v>
      </c>
      <c r="J133" s="7">
        <f>J132*(1+Parameters!$B$53)^Parameters!B$65</f>
        <v>116.46485904724169</v>
      </c>
      <c r="K133" s="23">
        <f>EXP(-Parameters!$B$42*A133)*(Parameters!$B$37/Parameters!$B$38*(E133+H133)/Parameters!$B$25*(EXP(-Parameters!$B$38*Parameters!$E$25*H133/(E133+H133))-EXP(-Parameters!$B$38*Parameters!$E$25))  +  Parameters!$B$39*E133*Parameters!$B$28*Parameters!$B$29*EXP((Parameters!$B$53+Parameters!$B$51)*A133))</f>
        <v>247.35863733693105</v>
      </c>
      <c r="L133" s="8">
        <f>L132+K133*Parameters!B$65</f>
        <v>18303.299709402152</v>
      </c>
      <c r="M133" s="7">
        <f>M132+Parameters!$B$45*K133</f>
        <v>10.981979825641289</v>
      </c>
      <c r="N133" s="7">
        <f>'6states'!O133</f>
        <v>0.95184293329493153</v>
      </c>
      <c r="O133" s="7">
        <f>MAX(O132+(Parameters!B$31-K133)*Parameters!B$65,30)</f>
        <v>30</v>
      </c>
      <c r="P133" s="7">
        <f>Parameters!B$61*EXP(-Parameters!B$60*A133)+(1-Parameters!B$61)*(O133/Parameters!B$62)^-Parameters!B$63</f>
        <v>0.54156245322169916</v>
      </c>
      <c r="Q133" s="9">
        <f>1-P133/Parameters!$B$12</f>
        <v>0.72921877338915042</v>
      </c>
      <c r="R133" s="23">
        <f t="shared" ref="R133:R196" si="49">1/(1-Q133)</f>
        <v>3.6930182070455704</v>
      </c>
      <c r="S133" s="7">
        <f>(Parameters!$B$19*(E133+Parameters!$B$20)^Q133+Parameters!$B$18*F133^Q133)^(1/Q133)</f>
        <v>0.53678138006859033</v>
      </c>
      <c r="T133" s="7">
        <f>(Parameters!$B$10*G133^Parameters!$B$9 + Parameters!$B$11*S133^Parameters!$B$9) ^ (Parameters!$B$7/Parameters!$B$9) * N133</f>
        <v>1.4548082384070036</v>
      </c>
      <c r="U133" s="7">
        <f t="shared" ref="U133:U196" si="50">T133-B133-C133-D133</f>
        <v>1.1043826726123576</v>
      </c>
      <c r="V133" s="7">
        <f>EXP(-Parameters!$B$55*A133)</f>
        <v>0.14257316107088844</v>
      </c>
      <c r="W133" s="7">
        <f>IF(U133&gt;0,U133^(1-Parameters!$B$52)/(1-Parameters!$B$52)*V133,-10+U133*1000)</f>
        <v>-0.39343942792869574</v>
      </c>
      <c r="X133" s="7"/>
      <c r="Y133" s="7"/>
      <c r="Z133" s="7"/>
      <c r="AA133" s="7"/>
    </row>
    <row r="134" spans="1:27" x14ac:dyDescent="0.25">
      <c r="A134">
        <f>A133+Parameters!$B$65</f>
        <v>130</v>
      </c>
      <c r="B134" s="9">
        <f t="shared" si="48"/>
        <v>5.5238794691412761E-2</v>
      </c>
      <c r="C134" s="9">
        <f t="shared" si="48"/>
        <v>2.532692781448906E-3</v>
      </c>
      <c r="D134" s="7">
        <f t="shared" si="48"/>
        <v>0.29265407832178425</v>
      </c>
      <c r="E134" s="7">
        <f>MAX((1-Parameters!$B$4)^Parameters!B$65*E133+B133*Parameters!B$65-Parameters!$B$5*B133^2/E133*Parameters!B$65,0.0001)</f>
        <v>0.81875907637197087</v>
      </c>
      <c r="F134" s="9">
        <f>(1-Parameters!$B$4)^Parameters!B$65*F133+C133*Parameters!B$65-Parameters!$B$5*C133^2/F133*Parameters!B$65</f>
        <v>3.8389990264870368E-2</v>
      </c>
      <c r="G134" s="7">
        <f>(1-Parameters!$B$4)^Parameters!B$65*G133+D133*Parameters!B$65-Parameters!$B$5*D133^2/G133*Parameters!B$65</f>
        <v>4.3393190237684109</v>
      </c>
      <c r="H134" s="7">
        <f>H133 *(1-Parameters!$B$4)-B133*(B133&lt;0)*Parameters!B$65</f>
        <v>0</v>
      </c>
      <c r="I134" s="7">
        <f>I133*(1+Parameters!$B$51)^Parameters!B$65</f>
        <v>11.890010259132008</v>
      </c>
      <c r="J134" s="7">
        <f>J133*(1+Parameters!$B$53)^Parameters!B$65</f>
        <v>118.79415622818652</v>
      </c>
      <c r="K134" s="23">
        <f>EXP(-Parameters!$B$42*A134)*(Parameters!$B$37/Parameters!$B$38*(E134+H134)/Parameters!$B$25*(EXP(-Parameters!$B$38*Parameters!$E$25*H134/(E134+H134))-EXP(-Parameters!$B$38*Parameters!$E$25))  +  Parameters!$B$39*E134*Parameters!$B$28*Parameters!$B$29*EXP((Parameters!$B$53+Parameters!$B$51)*A134))</f>
        <v>250.51929657832292</v>
      </c>
      <c r="L134" s="8">
        <f>L133+K134*Parameters!B$65</f>
        <v>18553.819005980477</v>
      </c>
      <c r="M134" s="7">
        <f>M133+Parameters!$B$45*K134</f>
        <v>11.132291403588283</v>
      </c>
      <c r="N134" s="7">
        <f>'6states'!O134</f>
        <v>0.95184218223068695</v>
      </c>
      <c r="O134" s="7">
        <f>MAX(O133+(Parameters!B$31-K134)*Parameters!B$65,30)</f>
        <v>30</v>
      </c>
      <c r="P134" s="7">
        <f>Parameters!B$61*EXP(-Parameters!B$60*A134)+(1-Parameters!B$61)*(O134/Parameters!B$62)^-Parameters!B$63</f>
        <v>0.54115334679292582</v>
      </c>
      <c r="Q134" s="9">
        <f>1-P134/Parameters!$B$12</f>
        <v>0.72942332660353704</v>
      </c>
      <c r="R134" s="23">
        <f t="shared" si="49"/>
        <v>3.6958100912666194</v>
      </c>
      <c r="S134" s="7">
        <f>(Parameters!$B$19*(E134+Parameters!$B$20)^Q134+Parameters!$B$18*F134^Q134)^(1/Q134)</f>
        <v>0.53680180794207832</v>
      </c>
      <c r="T134" s="7">
        <f>(Parameters!$B$10*G134^Parameters!$B$9 + Parameters!$B$11*S134^Parameters!$B$9) ^ (Parameters!$B$7/Parameters!$B$9) * N134</f>
        <v>1.4548080238236196</v>
      </c>
      <c r="U134" s="7">
        <f t="shared" si="50"/>
        <v>1.1043824580289736</v>
      </c>
      <c r="V134" s="7">
        <f>EXP(-Parameters!$B$55*A134)</f>
        <v>0.14043647888778818</v>
      </c>
      <c r="W134" s="7">
        <f>IF(U134&gt;0,U134^(1-Parameters!$B$52)/(1-Parameters!$B$52)*V134,-10+U134*1000)</f>
        <v>-0.38754314806830353</v>
      </c>
      <c r="X134" s="7"/>
      <c r="Y134" s="7"/>
      <c r="Z134" s="7"/>
      <c r="AA134" s="7"/>
    </row>
    <row r="135" spans="1:27" x14ac:dyDescent="0.25">
      <c r="A135">
        <f>A134+Parameters!$B$65</f>
        <v>131</v>
      </c>
      <c r="B135" s="9">
        <f t="shared" si="48"/>
        <v>5.5238794691412761E-2</v>
      </c>
      <c r="C135" s="9">
        <f t="shared" si="48"/>
        <v>2.532692781448906E-3</v>
      </c>
      <c r="D135" s="7">
        <f t="shared" si="48"/>
        <v>0.29265407832178425</v>
      </c>
      <c r="E135" s="7">
        <f>MAX((1-Parameters!$B$4)^Parameters!B$65*E134+B134*Parameters!B$65-Parameters!$B$5*B134^2/E134*Parameters!B$65,0.0001)</f>
        <v>0.81877115799813938</v>
      </c>
      <c r="F135" s="9">
        <f>(1-Parameters!$B$4)^Parameters!B$65*F134+C134*Parameters!B$65-Parameters!$B$5*C134^2/F134*Parameters!B$65</f>
        <v>3.8340863980570017E-2</v>
      </c>
      <c r="G135" s="7">
        <f>(1-Parameters!$B$4)^Parameters!B$65*G134+D134*Parameters!B$65-Parameters!$B$5*D134^2/G134*Parameters!B$65</f>
        <v>4.3392926428256793</v>
      </c>
      <c r="H135" s="7">
        <f>H134 *(1-Parameters!$B$4)-B134*(B134&lt;0)*Parameters!B$65</f>
        <v>0</v>
      </c>
      <c r="I135" s="7">
        <f>I134*(1+Parameters!$B$51)^Parameters!B$65</f>
        <v>11.924491288883489</v>
      </c>
      <c r="J135" s="7">
        <f>J134*(1+Parameters!$B$53)^Parameters!B$65</f>
        <v>121.17003935275025</v>
      </c>
      <c r="K135" s="23">
        <f>EXP(-Parameters!$B$42*A135)*(Parameters!$B$37/Parameters!$B$38*(E135+H135)/Parameters!$B$25*(EXP(-Parameters!$B$38*Parameters!$E$25*H135/(E135+H135))-EXP(-Parameters!$B$38*Parameters!$E$25))  +  Parameters!$B$39*E135*Parameters!$B$28*Parameters!$B$29*EXP((Parameters!$B$53+Parameters!$B$51)*A135))</f>
        <v>253.72135562281849</v>
      </c>
      <c r="L135" s="8">
        <f>L134+K135*Parameters!B$65</f>
        <v>18807.540361603296</v>
      </c>
      <c r="M135" s="7">
        <f>M134+Parameters!$B$45*K135</f>
        <v>11.284524216961975</v>
      </c>
      <c r="N135" s="7">
        <f>'6states'!O135</f>
        <v>0.95184142156277818</v>
      </c>
      <c r="O135" s="7">
        <f>MAX(O134+(Parameters!B$31-K135)*Parameters!B$65,30)</f>
        <v>30</v>
      </c>
      <c r="P135" s="7">
        <f>Parameters!B$61*EXP(-Parameters!B$60*A135)+(1-Parameters!B$61)*(O135/Parameters!B$62)^-Parameters!B$63</f>
        <v>0.54075513845149936</v>
      </c>
      <c r="Q135" s="9">
        <f>1-P135/Parameters!$B$12</f>
        <v>0.72962243077425026</v>
      </c>
      <c r="R135" s="23">
        <f t="shared" si="49"/>
        <v>3.6985316602393796</v>
      </c>
      <c r="S135" s="7">
        <f>(Parameters!$B$19*(E135+Parameters!$B$20)^Q135+Parameters!$B$18*F135^Q135)^(1/Q135)</f>
        <v>0.53682248659293441</v>
      </c>
      <c r="T135" s="7">
        <f>(Parameters!$B$10*G135^Parameters!$B$9 + Parameters!$B$11*S135^Parameters!$B$9) ^ (Parameters!$B$7/Parameters!$B$9) * N135</f>
        <v>1.4548079659262418</v>
      </c>
      <c r="U135" s="7">
        <f t="shared" si="50"/>
        <v>1.1043824001315961</v>
      </c>
      <c r="V135" s="7">
        <f>EXP(-Parameters!$B$55*A135)</f>
        <v>0.13833181823466795</v>
      </c>
      <c r="W135" s="7">
        <f>IF(U135&gt;0,U135^(1-Parameters!$B$52)/(1-Parameters!$B$52)*V135,-10+U135*1000)</f>
        <v>-0.38173521384839881</v>
      </c>
      <c r="X135" s="7"/>
      <c r="Y135" s="7"/>
      <c r="Z135" s="7"/>
      <c r="AA135" s="7"/>
    </row>
    <row r="136" spans="1:27" x14ac:dyDescent="0.25">
      <c r="A136">
        <f>A135+Parameters!$B$65</f>
        <v>132</v>
      </c>
      <c r="B136" s="9">
        <f t="shared" si="48"/>
        <v>5.5238794691412761E-2</v>
      </c>
      <c r="C136" s="9">
        <f t="shared" si="48"/>
        <v>2.532692781448906E-3</v>
      </c>
      <c r="D136" s="7">
        <f t="shared" si="48"/>
        <v>0.29265407832178425</v>
      </c>
      <c r="E136" s="7">
        <f>MAX((1-Parameters!$B$4)^Parameters!B$65*E135+B135*Parameters!B$65-Parameters!$B$5*B135^2/E135*Parameters!B$65,0.0001)</f>
        <v>0.818782534681465</v>
      </c>
      <c r="F136" s="9">
        <f>(1-Parameters!$B$4)^Parameters!B$65*F135+C135*Parameters!B$65-Parameters!$B$5*C135^2/F135*Parameters!B$65</f>
        <v>3.829461364823937E-2</v>
      </c>
      <c r="G136" s="7">
        <f>(1-Parameters!$B$4)^Parameters!B$65*G135+D135*Parameters!B$65-Parameters!$B$5*D135^2/G135*Parameters!B$65</f>
        <v>4.3392678012504051</v>
      </c>
      <c r="H136" s="7">
        <f>H135 *(1-Parameters!$B$4)-B135*(B135&lt;0)*Parameters!B$65</f>
        <v>0</v>
      </c>
      <c r="I136" s="7">
        <f>I135*(1+Parameters!$B$51)^Parameters!B$65</f>
        <v>11.959072313621251</v>
      </c>
      <c r="J136" s="7">
        <f>J135*(1+Parameters!$B$53)^Parameters!B$65</f>
        <v>123.59344013980525</v>
      </c>
      <c r="K136" s="23">
        <f>EXP(-Parameters!$B$42*A136)*(Parameters!$B$37/Parameters!$B$38*(E136+H136)/Parameters!$B$25*(EXP(-Parameters!$B$38*Parameters!$E$25*H136/(E136+H136))-EXP(-Parameters!$B$38*Parameters!$E$25))  +  Parameters!$B$39*E136*Parameters!$B$28*Parameters!$B$29*EXP((Parameters!$B$53+Parameters!$B$51)*A136))</f>
        <v>256.96535506349926</v>
      </c>
      <c r="L136" s="8">
        <f>L135+K136*Parameters!B$65</f>
        <v>19064.505716666794</v>
      </c>
      <c r="M136" s="7">
        <f>M135+Parameters!$B$45*K136</f>
        <v>11.438703430000075</v>
      </c>
      <c r="N136" s="7">
        <f>'6states'!O136</f>
        <v>0.9518406511683345</v>
      </c>
      <c r="O136" s="7">
        <f>MAX(O135+(Parameters!B$31-K136)*Parameters!B$65,30)</f>
        <v>30</v>
      </c>
      <c r="P136" s="7">
        <f>Parameters!B$61*EXP(-Parameters!B$60*A136)+(1-Parameters!B$61)*(O136/Parameters!B$62)^-Parameters!B$63</f>
        <v>0.54036753788590319</v>
      </c>
      <c r="Q136" s="9">
        <f>1-P136/Parameters!$B$12</f>
        <v>0.7298162310570484</v>
      </c>
      <c r="R136" s="23">
        <f t="shared" si="49"/>
        <v>3.7011845823023761</v>
      </c>
      <c r="S136" s="7">
        <f>(Parameters!$B$19*(E136+Parameters!$B$20)^Q136+Parameters!$B$18*F136^Q136)^(1/Q136)</f>
        <v>0.53684336191574122</v>
      </c>
      <c r="T136" s="7">
        <f>(Parameters!$B$10*G136^Parameters!$B$9 + Parameters!$B$11*S136^Parameters!$B$9) ^ (Parameters!$B$7/Parameters!$B$9) * N136</f>
        <v>1.4548080482888206</v>
      </c>
      <c r="U136" s="7">
        <f t="shared" si="50"/>
        <v>1.1043824824941746</v>
      </c>
      <c r="V136" s="7">
        <f>EXP(-Parameters!$B$55*A136)</f>
        <v>0.13625869921873399</v>
      </c>
      <c r="W136" s="7">
        <f>IF(U136&gt;0,U136^(1-Parameters!$B$52)/(1-Parameters!$B$52)*V136,-10+U136*1000)</f>
        <v>-0.37601430380265843</v>
      </c>
      <c r="X136" s="7"/>
      <c r="Y136" s="7"/>
      <c r="Z136" s="7"/>
      <c r="AA136" s="7"/>
    </row>
    <row r="137" spans="1:27" x14ac:dyDescent="0.25">
      <c r="A137">
        <f>A136+Parameters!$B$65</f>
        <v>133</v>
      </c>
      <c r="B137" s="9">
        <f t="shared" si="48"/>
        <v>5.5238794691412761E-2</v>
      </c>
      <c r="C137" s="9">
        <f t="shared" si="48"/>
        <v>2.532692781448906E-3</v>
      </c>
      <c r="D137" s="7">
        <f t="shared" si="48"/>
        <v>0.29265407832178425</v>
      </c>
      <c r="E137" s="7">
        <f>MAX((1-Parameters!$B$4)^Parameters!B$65*E136+B136*Parameters!B$65-Parameters!$B$5*B136^2/E136*Parameters!B$65,0.0001)</f>
        <v>0.81879324755270977</v>
      </c>
      <c r="F137" s="9">
        <f>(1-Parameters!$B$4)^Parameters!B$65*F136+C136*Parameters!B$65-Parameters!$B$5*C136^2/F136*Parameters!B$65</f>
        <v>3.8251070401837103E-2</v>
      </c>
      <c r="G137" s="7">
        <f>(1-Parameters!$B$4)^Parameters!B$65*G136+D136*Parameters!B$65-Parameters!$B$5*D136^2/G136*Parameters!B$65</f>
        <v>4.3392444092168621</v>
      </c>
      <c r="H137" s="7">
        <f>H136 *(1-Parameters!$B$4)-B136*(B136&lt;0)*Parameters!B$65</f>
        <v>0</v>
      </c>
      <c r="I137" s="7">
        <f>I136*(1+Parameters!$B$51)^Parameters!B$65</f>
        <v>11.99375362333075</v>
      </c>
      <c r="J137" s="7">
        <f>J136*(1+Parameters!$B$53)^Parameters!B$65</f>
        <v>126.06530894260136</v>
      </c>
      <c r="K137" s="23">
        <f>EXP(-Parameters!$B$42*A137)*(Parameters!$B$37/Parameters!$B$38*(E137+H137)/Parameters!$B$25*(EXP(-Parameters!$B$38*Parameters!$E$25*H137/(E137+H137))-EXP(-Parameters!$B$38*Parameters!$E$25))  +  Parameters!$B$39*E137*Parameters!$B$28*Parameters!$B$29*EXP((Parameters!$B$53+Parameters!$B$51)*A137))</f>
        <v>260.25184216880854</v>
      </c>
      <c r="L137" s="8">
        <f>L136+K137*Parameters!B$65</f>
        <v>19324.757558835601</v>
      </c>
      <c r="M137" s="7">
        <f>M136+Parameters!$B$45*K137</f>
        <v>11.59485453530136</v>
      </c>
      <c r="N137" s="7">
        <f>'6states'!O137</f>
        <v>0.95183987092291122</v>
      </c>
      <c r="O137" s="7">
        <f>MAX(O136+(Parameters!B$31-K137)*Parameters!B$65,30)</f>
        <v>30</v>
      </c>
      <c r="P137" s="7">
        <f>Parameters!B$61*EXP(-Parameters!B$60*A137)+(1-Parameters!B$61)*(O137/Parameters!B$62)^-Parameters!B$63</f>
        <v>0.53999026251815896</v>
      </c>
      <c r="Q137" s="9">
        <f>1-P137/Parameters!$B$12</f>
        <v>0.73000486874092052</v>
      </c>
      <c r="R137" s="23">
        <f t="shared" si="49"/>
        <v>3.7037704914776004</v>
      </c>
      <c r="S137" s="7">
        <f>(Parameters!$B$19*(E137+Parameters!$B$20)^Q137+Parameters!$B$18*F137^Q137)^(1/Q137)</f>
        <v>0.53686438408644399</v>
      </c>
      <c r="T137" s="7">
        <f>(Parameters!$B$10*G137^Parameters!$B$9 + Parameters!$B$11*S137^Parameters!$B$9) ^ (Parameters!$B$7/Parameters!$B$9) * N137</f>
        <v>1.4548082556112751</v>
      </c>
      <c r="U137" s="7">
        <f t="shared" si="50"/>
        <v>1.1043826898166293</v>
      </c>
      <c r="V137" s="7">
        <f>EXP(-Parameters!$B$55*A137)</f>
        <v>0.13421664913913783</v>
      </c>
      <c r="W137" s="7">
        <f>IF(U137&gt;0,U137^(1-Parameters!$B$52)/(1-Parameters!$B$52)*V137,-10+U137*1000)</f>
        <v>-0.37037911603597767</v>
      </c>
      <c r="X137" s="7"/>
      <c r="Y137" s="7"/>
      <c r="Z137" s="7"/>
      <c r="AA137" s="7"/>
    </row>
    <row r="138" spans="1:27" x14ac:dyDescent="0.25">
      <c r="A138">
        <f>A137+Parameters!$B$65</f>
        <v>134</v>
      </c>
      <c r="B138" s="9">
        <f t="shared" ref="B138:D153" si="51">B137</f>
        <v>5.5238794691412761E-2</v>
      </c>
      <c r="C138" s="9">
        <f t="shared" si="51"/>
        <v>2.532692781448906E-3</v>
      </c>
      <c r="D138" s="7">
        <f t="shared" si="51"/>
        <v>0.29265407832178425</v>
      </c>
      <c r="E138" s="7">
        <f>MAX((1-Parameters!$B$4)^Parameters!B$65*E137+B137*Parameters!B$65-Parameters!$B$5*B137^2/E137*Parameters!B$65,0.0001)</f>
        <v>0.81880333534297822</v>
      </c>
      <c r="F138" s="9">
        <f>(1-Parameters!$B$4)^Parameters!B$65*F137+C137*Parameters!B$65-Parameters!$B$5*C137^2/F137*Parameters!B$65</f>
        <v>3.8210075345896148E-2</v>
      </c>
      <c r="G138" s="7">
        <f>(1-Parameters!$B$4)^Parameters!B$65*G137+D137*Parameters!B$65-Parameters!$B$5*D137^2/G137*Parameters!B$65</f>
        <v>4.339222382141017</v>
      </c>
      <c r="H138" s="7">
        <f>H137 *(1-Parameters!$B$4)-B137*(B137&lt;0)*Parameters!B$65</f>
        <v>0</v>
      </c>
      <c r="I138" s="7">
        <f>I137*(1+Parameters!$B$51)^Parameters!B$65</f>
        <v>12.028535508838408</v>
      </c>
      <c r="J138" s="7">
        <f>J137*(1+Parameters!$B$53)^Parameters!B$65</f>
        <v>128.58661512145341</v>
      </c>
      <c r="K138" s="23">
        <f>EXP(-Parameters!$B$42*A138)*(Parameters!$B$37/Parameters!$B$38*(E138+H138)/Parameters!$B$25*(EXP(-Parameters!$B$38*Parameters!$E$25*H138/(E138+H138))-EXP(-Parameters!$B$38*Parameters!$E$25))  +  Parameters!$B$39*E138*Parameters!$B$28*Parameters!$B$29*EXP((Parameters!$B$53+Parameters!$B$51)*A138))</f>
        <v>263.5813709873554</v>
      </c>
      <c r="L138" s="8">
        <f>L137+K138*Parameters!B$65</f>
        <v>19588.338929822956</v>
      </c>
      <c r="M138" s="7">
        <f>M137+Parameters!$B$45*K138</f>
        <v>11.753003357893773</v>
      </c>
      <c r="N138" s="7">
        <f>'6states'!O138</f>
        <v>0.9518390807004693</v>
      </c>
      <c r="O138" s="7">
        <f>MAX(O137+(Parameters!B$31-K138)*Parameters!B$65,30)</f>
        <v>30</v>
      </c>
      <c r="P138" s="7">
        <f>Parameters!B$61*EXP(-Parameters!B$60*A138)+(1-Parameters!B$61)*(O138/Parameters!B$62)^-Parameters!B$63</f>
        <v>0.53962303729781491</v>
      </c>
      <c r="Q138" s="9">
        <f>1-P138/Parameters!$B$12</f>
        <v>0.7301884813510926</v>
      </c>
      <c r="R138" s="23">
        <f t="shared" si="49"/>
        <v>3.7062909878997838</v>
      </c>
      <c r="S138" s="7">
        <f>(Parameters!$B$19*(E138+Parameters!$B$20)^Q138+Parameters!$B$18*F138^Q138)^(1/Q138)</f>
        <v>0.53688550727807938</v>
      </c>
      <c r="T138" s="7">
        <f>(Parameters!$B$10*G138^Parameters!$B$9 + Parameters!$B$11*S138^Parameters!$B$9) ^ (Parameters!$B$7/Parameters!$B$9) * N138</f>
        <v>1.4548085736480101</v>
      </c>
      <c r="U138" s="7">
        <f t="shared" si="50"/>
        <v>1.1043830078533641</v>
      </c>
      <c r="V138" s="7">
        <f>EXP(-Parameters!$B$55*A138)</f>
        <v>0.13220520237919381</v>
      </c>
      <c r="W138" s="7">
        <f>IF(U138&gt;0,U138^(1-Parameters!$B$52)/(1-Parameters!$B$52)*V138,-10+U138*1000)</f>
        <v>-0.36482836795024465</v>
      </c>
      <c r="X138" s="7"/>
      <c r="Y138" s="7"/>
      <c r="Z138" s="7"/>
      <c r="AA138" s="7"/>
    </row>
    <row r="139" spans="1:27" x14ac:dyDescent="0.25">
      <c r="A139">
        <f>A138+Parameters!$B$65</f>
        <v>135</v>
      </c>
      <c r="B139" s="9">
        <f t="shared" si="51"/>
        <v>5.5238794691412761E-2</v>
      </c>
      <c r="C139" s="9">
        <f t="shared" si="51"/>
        <v>2.532692781448906E-3</v>
      </c>
      <c r="D139" s="7">
        <f t="shared" si="51"/>
        <v>0.29265407832178425</v>
      </c>
      <c r="E139" s="7">
        <f>MAX((1-Parameters!$B$4)^Parameters!B$65*E138+B138*Parameters!B$65-Parameters!$B$5*B138^2/E138*Parameters!B$65,0.0001)</f>
        <v>0.81881283452370024</v>
      </c>
      <c r="F139" s="9">
        <f>(1-Parameters!$B$4)^Parameters!B$65*F138+C138*Parameters!B$65-Parameters!$B$5*C138^2/F138*Parameters!B$65</f>
        <v>3.8171478960805312E-2</v>
      </c>
      <c r="G139" s="7">
        <f>(1-Parameters!$B$4)^Parameters!B$65*G138+D138*Parameters!B$65-Parameters!$B$5*D138^2/G138*Parameters!B$65</f>
        <v>4.3392016403746405</v>
      </c>
      <c r="H139" s="7">
        <f>H138 *(1-Parameters!$B$4)-B138*(B138&lt;0)*Parameters!B$65</f>
        <v>0</v>
      </c>
      <c r="I139" s="7">
        <f>I138*(1+Parameters!$B$51)^Parameters!B$65</f>
        <v>12.063418261814038</v>
      </c>
      <c r="J139" s="7">
        <f>J138*(1+Parameters!$B$53)^Parameters!B$65</f>
        <v>131.15834742388247</v>
      </c>
      <c r="K139" s="23">
        <f>EXP(-Parameters!$B$42*A139)*(Parameters!$B$37/Parameters!$B$38*(E139+H139)/Parameters!$B$25*(EXP(-Parameters!$B$38*Parameters!$E$25*H139/(E139+H139))-EXP(-Parameters!$B$38*Parameters!$E$25))  +  Parameters!$B$39*E139*Parameters!$B$28*Parameters!$B$29*EXP((Parameters!$B$53+Parameters!$B$51)*A139))</f>
        <v>266.95450245320347</v>
      </c>
      <c r="L139" s="8">
        <f>L138+K139*Parameters!B$65</f>
        <v>19855.293432276158</v>
      </c>
      <c r="M139" s="7">
        <f>M138+Parameters!$B$45*K139</f>
        <v>11.913176059365695</v>
      </c>
      <c r="N139" s="7">
        <f>'6states'!O139</f>
        <v>0.95183828037335549</v>
      </c>
      <c r="O139" s="7">
        <f>MAX(O138+(Parameters!B$31-K139)*Parameters!B$65,30)</f>
        <v>30</v>
      </c>
      <c r="P139" s="7">
        <f>Parameters!B$61*EXP(-Parameters!B$60*A139)+(1-Parameters!B$61)*(O139/Parameters!B$62)^-Parameters!B$63</f>
        <v>0.53926559450142175</v>
      </c>
      <c r="Q139" s="9">
        <f>1-P139/Parameters!$B$12</f>
        <v>0.73036720274928912</v>
      </c>
      <c r="R139" s="23">
        <f t="shared" si="49"/>
        <v>3.708747638256249</v>
      </c>
      <c r="S139" s="7">
        <f>(Parameters!$B$19*(E139+Parameters!$B$20)^Q139+Parameters!$B$18*F139^Q139)^(1/Q139)</f>
        <v>0.5369066893942035</v>
      </c>
      <c r="T139" s="7">
        <f>(Parameters!$B$10*G139^Parameters!$B$9 + Parameters!$B$11*S139^Parameters!$B$9) ^ (Parameters!$B$7/Parameters!$B$9) * N139</f>
        <v>1.4548089891407638</v>
      </c>
      <c r="U139" s="7">
        <f t="shared" si="50"/>
        <v>1.1043834233461181</v>
      </c>
      <c r="V139" s="7">
        <f>EXP(-Parameters!$B$55*A139)</f>
        <v>0.13022390030021183</v>
      </c>
      <c r="W139" s="7">
        <f>IF(U139&gt;0,U139^(1-Parameters!$B$52)/(1-Parameters!$B$52)*V139,-10+U139*1000)</f>
        <v>-0.35936079597274362</v>
      </c>
      <c r="X139" s="7"/>
      <c r="Y139" s="7"/>
      <c r="Z139" s="7"/>
      <c r="AA139" s="7"/>
    </row>
    <row r="140" spans="1:27" x14ac:dyDescent="0.25">
      <c r="A140">
        <f>A139+Parameters!$B$65</f>
        <v>136</v>
      </c>
      <c r="B140" s="9">
        <f t="shared" si="51"/>
        <v>5.5238794691412761E-2</v>
      </c>
      <c r="C140" s="9">
        <f t="shared" si="51"/>
        <v>2.532692781448906E-3</v>
      </c>
      <c r="D140" s="7">
        <f t="shared" si="51"/>
        <v>0.29265407832178425</v>
      </c>
      <c r="E140" s="7">
        <f>MAX((1-Parameters!$B$4)^Parameters!B$65*E139+B139*Parameters!B$65-Parameters!$B$5*B139^2/E139*Parameters!B$65,0.0001)</f>
        <v>0.81882177943844914</v>
      </c>
      <c r="F140" s="9">
        <f>(1-Parameters!$B$4)^Parameters!B$65*F139+C139*Parameters!B$65-Parameters!$B$5*C139^2/F139*Parameters!B$65</f>
        <v>3.8135140544202716E-2</v>
      </c>
      <c r="G140" s="7">
        <f>(1-Parameters!$B$4)^Parameters!B$65*G139+D139*Parameters!B$65-Parameters!$B$5*D139^2/G139*Parameters!B$65</f>
        <v>4.3391821089172691</v>
      </c>
      <c r="H140" s="7">
        <f>H139 *(1-Parameters!$B$4)-B139*(B139&lt;0)*Parameters!B$65</f>
        <v>0</v>
      </c>
      <c r="I140" s="7">
        <f>I139*(1+Parameters!$B$51)^Parameters!B$65</f>
        <v>12.098402174773296</v>
      </c>
      <c r="J140" s="7">
        <f>J139*(1+Parameters!$B$53)^Parameters!B$65</f>
        <v>133.78151437236014</v>
      </c>
      <c r="K140" s="23">
        <f>EXP(-Parameters!$B$42*A140)*(Parameters!$B$37/Parameters!$B$38*(E140+H140)/Parameters!$B$25*(EXP(-Parameters!$B$38*Parameters!$E$25*H140/(E140+H140))-EXP(-Parameters!$B$38*Parameters!$E$25))  +  Parameters!$B$39*E140*Parameters!$B$28*Parameters!$B$29*EXP((Parameters!$B$53+Parameters!$B$51)*A140))</f>
        <v>270.37180449168875</v>
      </c>
      <c r="L140" s="8">
        <f>L139+K140*Parameters!B$65</f>
        <v>20125.665236767847</v>
      </c>
      <c r="M140" s="7">
        <f>M139+Parameters!$B$45*K140</f>
        <v>12.075399142060707</v>
      </c>
      <c r="N140" s="7">
        <f>'6states'!O140</f>
        <v>0.95183746981228123</v>
      </c>
      <c r="O140" s="7">
        <f>MAX(O139+(Parameters!B$31-K140)*Parameters!B$65,30)</f>
        <v>30</v>
      </c>
      <c r="P140" s="7">
        <f>Parameters!B$61*EXP(-Parameters!B$60*A140)+(1-Parameters!B$61)*(O140/Parameters!B$62)^-Parameters!B$63</f>
        <v>0.53891767353735065</v>
      </c>
      <c r="Q140" s="9">
        <f>1-P140/Parameters!$B$12</f>
        <v>0.73054116323132468</v>
      </c>
      <c r="R140" s="23">
        <f t="shared" si="49"/>
        <v>3.7111419762361653</v>
      </c>
      <c r="S140" s="7">
        <f>(Parameters!$B$19*(E140+Parameters!$B$20)^Q140+Parameters!$B$18*F140^Q140)^(1/Q140)</f>
        <v>0.53692789181895562</v>
      </c>
      <c r="T140" s="7">
        <f>(Parameters!$B$10*G140^Parameters!$B$9 + Parameters!$B$11*S140^Parameters!$B$9) ^ (Parameters!$B$7/Parameters!$B$9) * N140</f>
        <v>1.4548094897555435</v>
      </c>
      <c r="U140" s="7">
        <f t="shared" si="50"/>
        <v>1.1043839239608975</v>
      </c>
      <c r="V140" s="7">
        <f>EXP(-Parameters!$B$55*A140)</f>
        <v>0.12827229113692101</v>
      </c>
      <c r="W140" s="7">
        <f>IF(U140&gt;0,U140^(1-Parameters!$B$52)/(1-Parameters!$B$52)*V140,-10+U140*1000)</f>
        <v>-0.35397515528726003</v>
      </c>
      <c r="X140" s="7"/>
      <c r="Y140" s="7"/>
      <c r="Z140" s="7"/>
      <c r="AA140" s="7"/>
    </row>
    <row r="141" spans="1:27" x14ac:dyDescent="0.25">
      <c r="A141">
        <f>A140+Parameters!$B$65</f>
        <v>137</v>
      </c>
      <c r="B141" s="9">
        <f t="shared" si="51"/>
        <v>5.5238794691412761E-2</v>
      </c>
      <c r="C141" s="9">
        <f t="shared" si="51"/>
        <v>2.532692781448906E-3</v>
      </c>
      <c r="D141" s="7">
        <f t="shared" si="51"/>
        <v>0.29265407832178425</v>
      </c>
      <c r="E141" s="7">
        <f>MAX((1-Parameters!$B$4)^Parameters!B$65*E140+B140*Parameters!B$65-Parameters!$B$5*B140^2/E140*Parameters!B$65,0.0001)</f>
        <v>0.81883020242707261</v>
      </c>
      <c r="F141" s="9">
        <f>(1-Parameters!$B$4)^Parameters!B$65*F140+C140*Parameters!B$65-Parameters!$B$5*C140^2/F140*Parameters!B$65</f>
        <v>3.8100927686223064E-2</v>
      </c>
      <c r="G141" s="7">
        <f>(1-Parameters!$B$4)^Parameters!B$65*G140+D140*Parameters!B$65-Parameters!$B$5*D140^2/G140*Parameters!B$65</f>
        <v>4.3391637171449764</v>
      </c>
      <c r="H141" s="7">
        <f>H140 *(1-Parameters!$B$4)-B140*(B140&lt;0)*Parameters!B$65</f>
        <v>0</v>
      </c>
      <c r="I141" s="7">
        <f>I140*(1+Parameters!$B$51)^Parameters!B$65</f>
        <v>12.133487541080138</v>
      </c>
      <c r="J141" s="7">
        <f>J140*(1+Parameters!$B$53)^Parameters!B$65</f>
        <v>136.45714465980734</v>
      </c>
      <c r="K141" s="23">
        <f>EXP(-Parameters!$B$42*A141)*(Parameters!$B$37/Parameters!$B$38*(E141+H141)/Parameters!$B$25*(EXP(-Parameters!$B$38*Parameters!$E$25*H141/(E141+H141))-EXP(-Parameters!$B$38*Parameters!$E$25))  +  Parameters!$B$39*E141*Parameters!$B$28*Parameters!$B$29*EXP((Parameters!$B$53+Parameters!$B$51)*A141))</f>
        <v>273.83385212581601</v>
      </c>
      <c r="L141" s="8">
        <f>L140+K141*Parameters!B$65</f>
        <v>20399.499088893663</v>
      </c>
      <c r="M141" s="7">
        <f>M140+Parameters!$B$45*K141</f>
        <v>12.239699453336197</v>
      </c>
      <c r="N141" s="7">
        <f>'6states'!O141</f>
        <v>0.95183664888630148</v>
      </c>
      <c r="O141" s="7">
        <f>MAX(O140+(Parameters!B$31-K141)*Parameters!B$65,30)</f>
        <v>30</v>
      </c>
      <c r="P141" s="7">
        <f>Parameters!B$61*EXP(-Parameters!B$60*A141)+(1-Parameters!B$61)*(O141/Parameters!B$62)^-Parameters!B$63</f>
        <v>0.53857902075580999</v>
      </c>
      <c r="Q141" s="9">
        <f>1-P141/Parameters!$B$12</f>
        <v>0.73071048962209506</v>
      </c>
      <c r="R141" s="23">
        <f t="shared" si="49"/>
        <v>3.7134755029880639</v>
      </c>
      <c r="S141" s="7">
        <f>(Parameters!$B$19*(E141+Parameters!$B$20)^Q141+Parameters!$B$18*F141^Q141)^(1/Q141)</f>
        <v>0.53694907918276935</v>
      </c>
      <c r="T141" s="7">
        <f>(Parameters!$B$10*G141^Parameters!$B$9 + Parameters!$B$11*S141^Parameters!$B$9) ^ (Parameters!$B$7/Parameters!$B$9) * N141</f>
        <v>1.4548100640233985</v>
      </c>
      <c r="U141" s="7">
        <f t="shared" si="50"/>
        <v>1.1043844982287525</v>
      </c>
      <c r="V141" s="7">
        <f>EXP(-Parameters!$B$55*A141)</f>
        <v>0.12634992989446087</v>
      </c>
      <c r="W141" s="7">
        <f>IF(U141&gt;0,U141^(1-Parameters!$B$52)/(1-Parameters!$B$52)*V141,-10+U141*1000)</f>
        <v>-0.34867021956794914</v>
      </c>
      <c r="X141" s="7"/>
      <c r="Y141" s="7"/>
      <c r="Z141" s="7"/>
      <c r="AA141" s="7"/>
    </row>
    <row r="142" spans="1:27" x14ac:dyDescent="0.25">
      <c r="A142">
        <f>A141+Parameters!$B$65</f>
        <v>138</v>
      </c>
      <c r="B142" s="9">
        <f t="shared" si="51"/>
        <v>5.5238794691412761E-2</v>
      </c>
      <c r="C142" s="9">
        <f t="shared" si="51"/>
        <v>2.532692781448906E-3</v>
      </c>
      <c r="D142" s="7">
        <f t="shared" si="51"/>
        <v>0.29265407832178425</v>
      </c>
      <c r="E142" s="7">
        <f>MAX((1-Parameters!$B$4)^Parameters!B$65*E141+B141*Parameters!B$65-Parameters!$B$5*B141^2/E141*Parameters!B$65,0.0001)</f>
        <v>0.81883813394258398</v>
      </c>
      <c r="F142" s="9">
        <f>(1-Parameters!$B$4)^Parameters!B$65*F141+C141*Parameters!B$65-Parameters!$B$5*C141^2/F141*Parameters!B$65</f>
        <v>3.8068715776488168E-2</v>
      </c>
      <c r="G142" s="7">
        <f>(1-Parameters!$B$4)^Parameters!B$65*G141+D141*Parameters!B$65-Parameters!$B$5*D141^2/G141*Parameters!B$65</f>
        <v>4.3391463985549743</v>
      </c>
      <c r="H142" s="7">
        <f>H141 *(1-Parameters!$B$4)-B141*(B141&lt;0)*Parameters!B$65</f>
        <v>0</v>
      </c>
      <c r="I142" s="7">
        <f>I141*(1+Parameters!$B$51)^Parameters!B$65</f>
        <v>12.168674654949269</v>
      </c>
      <c r="J142" s="7">
        <f>J141*(1+Parameters!$B$53)^Parameters!B$65</f>
        <v>139.1862875530035</v>
      </c>
      <c r="K142" s="23">
        <f>EXP(-Parameters!$B$42*A142)*(Parameters!$B$37/Parameters!$B$38*(E142+H142)/Parameters!$B$25*(EXP(-Parameters!$B$38*Parameters!$E$25*H142/(E142+H142))-EXP(-Parameters!$B$38*Parameters!$E$25))  +  Parameters!$B$39*E142*Parameters!$B$28*Parameters!$B$29*EXP((Parameters!$B$53+Parameters!$B$51)*A142))</f>
        <v>277.34122758327823</v>
      </c>
      <c r="L142" s="8">
        <f>L141+K142*Parameters!B$65</f>
        <v>20676.840316476941</v>
      </c>
      <c r="M142" s="7">
        <f>M141+Parameters!$B$45*K142</f>
        <v>12.406104189886165</v>
      </c>
      <c r="N142" s="7">
        <f>'6states'!O142</f>
        <v>0.95183581746279389</v>
      </c>
      <c r="O142" s="7">
        <f>MAX(O141+(Parameters!B$31-K142)*Parameters!B$65,30)</f>
        <v>30</v>
      </c>
      <c r="P142" s="7">
        <f>Parameters!B$61*EXP(-Parameters!B$60*A142)+(1-Parameters!B$61)*(O142/Parameters!B$62)^-Parameters!B$63</f>
        <v>0.53824938926392385</v>
      </c>
      <c r="Q142" s="9">
        <f>1-P142/Parameters!$B$12</f>
        <v>0.73087530536803813</v>
      </c>
      <c r="R142" s="23">
        <f t="shared" si="49"/>
        <v>3.7157496875845508</v>
      </c>
      <c r="S142" s="7">
        <f>(Parameters!$B$19*(E142+Parameters!$B$20)^Q142+Parameters!$B$18*F142^Q142)^(1/Q142)</f>
        <v>0.53697021914278187</v>
      </c>
      <c r="T142" s="7">
        <f>(Parameters!$B$10*G142^Parameters!$B$9 + Parameters!$B$11*S142^Parameters!$B$9) ^ (Parameters!$B$7/Parameters!$B$9) * N142</f>
        <v>1.454810701284815</v>
      </c>
      <c r="U142" s="7">
        <f t="shared" si="50"/>
        <v>1.104385135490169</v>
      </c>
      <c r="V142" s="7">
        <f>EXP(-Parameters!$B$55*A142)</f>
        <v>0.12445637824691602</v>
      </c>
      <c r="W142" s="7">
        <f>IF(U142&gt;0,U142^(1-Parameters!$B$52)/(1-Parameters!$B$52)*V142,-10+U142*1000)</f>
        <v>-0.34344478071602319</v>
      </c>
      <c r="X142" s="7"/>
      <c r="Y142" s="7"/>
      <c r="Z142" s="7"/>
      <c r="AA142" s="7"/>
    </row>
    <row r="143" spans="1:27" x14ac:dyDescent="0.25">
      <c r="A143">
        <f>A142+Parameters!$B$65</f>
        <v>139</v>
      </c>
      <c r="B143" s="9">
        <f t="shared" si="51"/>
        <v>5.5238794691412761E-2</v>
      </c>
      <c r="C143" s="9">
        <f t="shared" si="51"/>
        <v>2.532692781448906E-3</v>
      </c>
      <c r="D143" s="7">
        <f t="shared" si="51"/>
        <v>0.29265407832178425</v>
      </c>
      <c r="E143" s="7">
        <f>MAX((1-Parameters!$B$4)^Parameters!B$65*E142+B142*Parameters!B$65-Parameters!$B$5*B142^2/E142*Parameters!B$65,0.0001)</f>
        <v>0.81884560266123563</v>
      </c>
      <c r="F143" s="9">
        <f>(1-Parameters!$B$4)^Parameters!B$65*F142+C142*Parameters!B$65-Parameters!$B$5*C142^2/F142*Parameters!B$65</f>
        <v>3.8038387540867385E-2</v>
      </c>
      <c r="G143" s="7">
        <f>(1-Parameters!$B$4)^Parameters!B$65*G142+D142*Parameters!B$65-Parameters!$B$5*D142^2/G142*Parameters!B$65</f>
        <v>4.3391300905251216</v>
      </c>
      <c r="H143" s="7">
        <f>H142 *(1-Parameters!$B$4)-B142*(B142&lt;0)*Parameters!B$65</f>
        <v>0</v>
      </c>
      <c r="I143" s="7">
        <f>I142*(1+Parameters!$B$51)^Parameters!B$65</f>
        <v>12.20396381144862</v>
      </c>
      <c r="J143" s="7">
        <f>J142*(1+Parameters!$B$53)^Parameters!B$65</f>
        <v>141.97001330406357</v>
      </c>
      <c r="K143" s="23">
        <f>EXP(-Parameters!$B$42*A143)*(Parameters!$B$37/Parameters!$B$38*(E143+H143)/Parameters!$B$25*(EXP(-Parameters!$B$38*Parameters!$E$25*H143/(E143+H143))-EXP(-Parameters!$B$38*Parameters!$E$25))  +  Parameters!$B$39*E143*Parameters!$B$28*Parameters!$B$29*EXP((Parameters!$B$53+Parameters!$B$51)*A143))</f>
        <v>280.89452040414511</v>
      </c>
      <c r="L143" s="8">
        <f>L142+K143*Parameters!B$65</f>
        <v>20957.734836881085</v>
      </c>
      <c r="M143" s="7">
        <f>M142+Parameters!$B$45*K143</f>
        <v>12.574640902128651</v>
      </c>
      <c r="N143" s="7">
        <f>'6states'!O143</f>
        <v>0.95183497540743678</v>
      </c>
      <c r="O143" s="7">
        <f>MAX(O142+(Parameters!B$31-K143)*Parameters!B$65,30)</f>
        <v>30</v>
      </c>
      <c r="P143" s="7">
        <f>Parameters!B$61*EXP(-Parameters!B$60*A143)+(1-Parameters!B$61)*(O143/Parameters!B$62)^-Parameters!B$63</f>
        <v>0.5379285387457361</v>
      </c>
      <c r="Q143" s="9">
        <f>1-P143/Parameters!$B$12</f>
        <v>0.73103573062713201</v>
      </c>
      <c r="R143" s="23">
        <f t="shared" si="49"/>
        <v>3.7179659674932117</v>
      </c>
      <c r="S143" s="7">
        <f>(Parameters!$B$19*(E143+Parameters!$B$20)^Q143+Parameters!$B$18*F143^Q143)^(1/Q143)</f>
        <v>0.53699128217706249</v>
      </c>
      <c r="T143" s="7">
        <f>(Parameters!$B$10*G143^Parameters!$B$9 + Parameters!$B$11*S143^Parameters!$B$9) ^ (Parameters!$B$7/Parameters!$B$9) * N143</f>
        <v>1.4548113916375096</v>
      </c>
      <c r="U143" s="7">
        <f t="shared" si="50"/>
        <v>1.1043858258428636</v>
      </c>
      <c r="V143" s="7">
        <f>EXP(-Parameters!$B$55*A143)</f>
        <v>0.12259120443737162</v>
      </c>
      <c r="W143" s="7">
        <f>IF(U143&gt;0,U143^(1-Parameters!$B$52)/(1-Parameters!$B$52)*V143,-10+U143*1000)</f>
        <v>-0.33829764859930173</v>
      </c>
      <c r="X143" s="7"/>
      <c r="Y143" s="7"/>
      <c r="Z143" s="7"/>
      <c r="AA143" s="7"/>
    </row>
    <row r="144" spans="1:27" x14ac:dyDescent="0.25">
      <c r="A144">
        <f>A143+Parameters!$B$65</f>
        <v>140</v>
      </c>
      <c r="B144" s="9">
        <f t="shared" si="51"/>
        <v>5.5238794691412761E-2</v>
      </c>
      <c r="C144" s="9">
        <f t="shared" si="51"/>
        <v>2.532692781448906E-3</v>
      </c>
      <c r="D144" s="7">
        <f t="shared" si="51"/>
        <v>0.29265407832178425</v>
      </c>
      <c r="E144" s="7">
        <f>MAX((1-Parameters!$B$4)^Parameters!B$65*E143+B143*Parameters!B$65-Parameters!$B$5*B143^2/E143*Parameters!B$65,0.0001)</f>
        <v>0.81885263558617249</v>
      </c>
      <c r="F144" s="9">
        <f>(1-Parameters!$B$4)^Parameters!B$65*F143+C143*Parameters!B$65-Parameters!$B$5*C143^2/F143*Parameters!B$65</f>
        <v>3.8009832606162676E-2</v>
      </c>
      <c r="G144" s="7">
        <f>(1-Parameters!$B$4)^Parameters!B$65*G143+D143*Parameters!B$65-Parameters!$B$5*D143^2/G143*Parameters!B$65</f>
        <v>4.3391147340874676</v>
      </c>
      <c r="H144" s="7">
        <f>H143 *(1-Parameters!$B$4)-B143*(B143&lt;0)*Parameters!B$65</f>
        <v>0</v>
      </c>
      <c r="I144" s="7">
        <f>I143*(1+Parameters!$B$51)^Parameters!B$65</f>
        <v>12.239355306501819</v>
      </c>
      <c r="J144" s="7">
        <f>J143*(1+Parameters!$B$53)^Parameters!B$65</f>
        <v>144.80941357014484</v>
      </c>
      <c r="K144" s="23">
        <f>EXP(-Parameters!$B$42*A144)*(Parameters!$B$37/Parameters!$B$38*(E144+H144)/Parameters!$B$25*(EXP(-Parameters!$B$38*Parameters!$E$25*H144/(E144+H144))-EXP(-Parameters!$B$38*Parameters!$E$25))  +  Parameters!$B$39*E144*Parameters!$B$28*Parameters!$B$29*EXP((Parameters!$B$53+Parameters!$B$51)*A144))</f>
        <v>284.49432754926096</v>
      </c>
      <c r="L144" s="8">
        <f>L143+K144*Parameters!B$65</f>
        <v>21242.229164430348</v>
      </c>
      <c r="M144" s="7">
        <f>M143+Parameters!$B$45*K144</f>
        <v>12.745337498658207</v>
      </c>
      <c r="N144" s="7">
        <f>'6states'!O144</f>
        <v>0.95183412258418787</v>
      </c>
      <c r="O144" s="7">
        <f>MAX(O143+(Parameters!B$31-K144)*Parameters!B$65,30)</f>
        <v>30</v>
      </c>
      <c r="P144" s="7">
        <f>Parameters!B$61*EXP(-Parameters!B$60*A144)+(1-Parameters!B$61)*(O144/Parameters!B$62)^-Parameters!B$63</f>
        <v>0.53761623528700919</v>
      </c>
      <c r="Q144" s="9">
        <f>1-P144/Parameters!$B$12</f>
        <v>0.73119188235649535</v>
      </c>
      <c r="R144" s="23">
        <f t="shared" si="49"/>
        <v>3.7201257490527406</v>
      </c>
      <c r="S144" s="7">
        <f>(Parameters!$B$19*(E144+Parameters!$B$20)^Q144+Parameters!$B$18*F144^Q144)^(1/Q144)</f>
        <v>0.53701224139181702</v>
      </c>
      <c r="T144" s="7">
        <f>(Parameters!$B$10*G144^Parameters!$B$9 + Parameters!$B$11*S144^Parameters!$B$9) ^ (Parameters!$B$7/Parameters!$B$9) * N144</f>
        <v>1.4548121258874287</v>
      </c>
      <c r="U144" s="7">
        <f t="shared" si="50"/>
        <v>1.1043865600927827</v>
      </c>
      <c r="V144" s="7">
        <f>EXP(-Parameters!$B$55*A144)</f>
        <v>0.12075398317946676</v>
      </c>
      <c r="W144" s="7">
        <f>IF(U144&gt;0,U144^(1-Parameters!$B$52)/(1-Parameters!$B$52)*V144,-10+U144*1000)</f>
        <v>-0.33322765079466654</v>
      </c>
      <c r="X144" s="7"/>
      <c r="Y144" s="7"/>
      <c r="Z144" s="7"/>
      <c r="AA144" s="7"/>
    </row>
    <row r="145" spans="1:27" x14ac:dyDescent="0.25">
      <c r="A145">
        <f>A144+Parameters!$B$65</f>
        <v>141</v>
      </c>
      <c r="B145" s="9">
        <f t="shared" si="51"/>
        <v>5.5238794691412761E-2</v>
      </c>
      <c r="C145" s="9">
        <f t="shared" si="51"/>
        <v>2.532692781448906E-3</v>
      </c>
      <c r="D145" s="7">
        <f t="shared" si="51"/>
        <v>0.29265407832178425</v>
      </c>
      <c r="E145" s="7">
        <f>MAX((1-Parameters!$B$4)^Parameters!B$65*E144+B144*Parameters!B$65-Parameters!$B$5*B144^2/E144*Parameters!B$65,0.0001)</f>
        <v>0.8188592581450399</v>
      </c>
      <c r="F145" s="9">
        <f>(1-Parameters!$B$4)^Parameters!B$65*F144+C144*Parameters!B$65-Parameters!$B$5*C144^2/F144*Parameters!B$65</f>
        <v>3.7982947090991814E-2</v>
      </c>
      <c r="G145" s="7">
        <f>(1-Parameters!$B$4)^Parameters!B$65*G144+D144*Parameters!B$65-Parameters!$B$5*D144^2/G144*Parameters!B$65</f>
        <v>4.3391002737150091</v>
      </c>
      <c r="H145" s="7">
        <f>H144 *(1-Parameters!$B$4)-B144*(B144&lt;0)*Parameters!B$65</f>
        <v>0</v>
      </c>
      <c r="I145" s="7">
        <f>I144*(1+Parameters!$B$51)^Parameters!B$65</f>
        <v>12.274849436890673</v>
      </c>
      <c r="J145" s="7">
        <f>J144*(1+Parameters!$B$53)^Parameters!B$65</f>
        <v>147.70560184154775</v>
      </c>
      <c r="K145" s="23">
        <f>EXP(-Parameters!$B$42*A145)*(Parameters!$B$37/Parameters!$B$38*(E145+H145)/Parameters!$B$25*(EXP(-Parameters!$B$38*Parameters!$E$25*H145/(E145+H145))-EXP(-Parameters!$B$38*Parameters!$E$25))  +  Parameters!$B$39*E145*Parameters!$B$28*Parameters!$B$29*EXP((Parameters!$B$53+Parameters!$B$51)*A145))</f>
        <v>288.14125350939793</v>
      </c>
      <c r="L145" s="8">
        <f>L144+K145*Parameters!B$65</f>
        <v>21530.370417939746</v>
      </c>
      <c r="M145" s="7">
        <f>M144+Parameters!$B$45*K145</f>
        <v>12.918222250763845</v>
      </c>
      <c r="N145" s="7">
        <f>'6states'!O145</f>
        <v>0.95183325885526171</v>
      </c>
      <c r="O145" s="7">
        <f>MAX(O144+(Parameters!B$31-K145)*Parameters!B$65,30)</f>
        <v>30</v>
      </c>
      <c r="P145" s="7">
        <f>Parameters!B$61*EXP(-Parameters!B$60*A145)+(1-Parameters!B$61)*(O145/Parameters!B$62)^-Parameters!B$63</f>
        <v>0.53731225120469028</v>
      </c>
      <c r="Q145" s="9">
        <f>1-P145/Parameters!$B$12</f>
        <v>0.7313438743976548</v>
      </c>
      <c r="R145" s="23">
        <f t="shared" si="49"/>
        <v>3.7222304079534103</v>
      </c>
      <c r="S145" s="7">
        <f>(Parameters!$B$19*(E145+Parameters!$B$20)^Q145+Parameters!$B$18*F145^Q145)^(1/Q145)</f>
        <v>0.53703307234078634</v>
      </c>
      <c r="T145" s="7">
        <f>(Parameters!$B$10*G145^Parameters!$B$9 + Parameters!$B$11*S145^Parameters!$B$9) ^ (Parameters!$B$7/Parameters!$B$9) * N145</f>
        <v>1.4548128955027546</v>
      </c>
      <c r="U145" s="7">
        <f t="shared" si="50"/>
        <v>1.1043873297081088</v>
      </c>
      <c r="V145" s="7">
        <f>EXP(-Parameters!$B$55*A145)</f>
        <v>0.11894429556042277</v>
      </c>
      <c r="W145" s="7">
        <f>IF(U145&gt;0,U145^(1-Parameters!$B$52)/(1-Parameters!$B$52)*V145,-10+U145*1000)</f>
        <v>-0.32823363233344954</v>
      </c>
      <c r="X145" s="7"/>
      <c r="Y145" s="7"/>
      <c r="Z145" s="7"/>
      <c r="AA145" s="7"/>
    </row>
    <row r="146" spans="1:27" x14ac:dyDescent="0.25">
      <c r="A146">
        <f>A145+Parameters!$B$65</f>
        <v>142</v>
      </c>
      <c r="B146" s="9">
        <f t="shared" si="51"/>
        <v>5.5238794691412761E-2</v>
      </c>
      <c r="C146" s="9">
        <f t="shared" si="51"/>
        <v>2.532692781448906E-3</v>
      </c>
      <c r="D146" s="7">
        <f t="shared" si="51"/>
        <v>0.29265407832178425</v>
      </c>
      <c r="E146" s="7">
        <f>MAX((1-Parameters!$B$4)^Parameters!B$65*E145+B145*Parameters!B$65-Parameters!$B$5*B145^2/E145*Parameters!B$65,0.0001)</f>
        <v>0.81886549428189781</v>
      </c>
      <c r="F146" s="9">
        <f>(1-Parameters!$B$4)^Parameters!B$65*F145+C145*Parameters!B$65-Parameters!$B$5*C145^2/F145*Parameters!B$65</f>
        <v>3.7957633221254596E-2</v>
      </c>
      <c r="G146" s="7">
        <f>(1-Parameters!$B$4)^Parameters!B$65*G145+D145*Parameters!B$65-Parameters!$B$5*D145^2/G145*Parameters!B$65</f>
        <v>4.3390866571208946</v>
      </c>
      <c r="H146" s="7">
        <f>H145 *(1-Parameters!$B$4)-B145*(B145&lt;0)*Parameters!B$65</f>
        <v>0</v>
      </c>
      <c r="I146" s="7">
        <f>I145*(1+Parameters!$B$51)^Parameters!B$65</f>
        <v>12.310446500257655</v>
      </c>
      <c r="J146" s="7">
        <f>J145*(1+Parameters!$B$53)^Parameters!B$65</f>
        <v>150.65971387837871</v>
      </c>
      <c r="K146" s="23">
        <f>EXP(-Parameters!$B$42*A146)*(Parameters!$B$37/Parameters!$B$38*(E146+H146)/Parameters!$B$25*(EXP(-Parameters!$B$38*Parameters!$E$25*H146/(E146+H146))-EXP(-Parameters!$B$38*Parameters!$E$25))  +  Parameters!$B$39*E146*Parameters!$B$28*Parameters!$B$29*EXP((Parameters!$B$53+Parameters!$B$51)*A146))</f>
        <v>291.83591041520191</v>
      </c>
      <c r="L146" s="8">
        <f>L145+K146*Parameters!B$65</f>
        <v>21822.206328354947</v>
      </c>
      <c r="M146" s="7">
        <f>M145+Parameters!$B$45*K146</f>
        <v>13.093323797012966</v>
      </c>
      <c r="N146" s="7">
        <f>'6states'!O146</f>
        <v>0.95183238408110749</v>
      </c>
      <c r="O146" s="7">
        <f>MAX(O145+(Parameters!B$31-K146)*Parameters!B$65,30)</f>
        <v>30</v>
      </c>
      <c r="P146" s="7">
        <f>Parameters!B$61*EXP(-Parameters!B$60*A146)+(1-Parameters!B$61)*(O146/Parameters!B$62)^-Parameters!B$63</f>
        <v>0.53701636488092086</v>
      </c>
      <c r="Q146" s="9">
        <f>1-P146/Parameters!$B$12</f>
        <v>0.73149181755953951</v>
      </c>
      <c r="R146" s="23">
        <f t="shared" si="49"/>
        <v>3.7242812897210009</v>
      </c>
      <c r="S146" s="7">
        <f>(Parameters!$B$19*(E146+Parameters!$B$20)^Q146+Parameters!$B$18*F146^Q146)^(1/Q146)</f>
        <v>0.53705375285609169</v>
      </c>
      <c r="T146" s="7">
        <f>(Parameters!$B$10*G146^Parameters!$B$9 + Parameters!$B$11*S146^Parameters!$B$9) ^ (Parameters!$B$7/Parameters!$B$9) * N146</f>
        <v>1.4548136925707473</v>
      </c>
      <c r="U146" s="7">
        <f t="shared" si="50"/>
        <v>1.1043881267761013</v>
      </c>
      <c r="V146" s="7">
        <f>EXP(-Parameters!$B$55*A146)</f>
        <v>0.11716172894552528</v>
      </c>
      <c r="W146" s="7">
        <f>IF(U146&gt;0,U146^(1-Parameters!$B$52)/(1-Parameters!$B$52)*V146,-10+U146*1000)</f>
        <v>-0.32331445544978488</v>
      </c>
      <c r="X146" s="7"/>
      <c r="Y146" s="7"/>
      <c r="Z146" s="7"/>
      <c r="AA146" s="7"/>
    </row>
    <row r="147" spans="1:27" x14ac:dyDescent="0.25">
      <c r="A147">
        <f>A146+Parameters!$B$65</f>
        <v>143</v>
      </c>
      <c r="B147" s="9">
        <f t="shared" si="51"/>
        <v>5.5238794691412761E-2</v>
      </c>
      <c r="C147" s="9">
        <f t="shared" si="51"/>
        <v>2.532692781448906E-3</v>
      </c>
      <c r="D147" s="7">
        <f t="shared" si="51"/>
        <v>0.29265407832178425</v>
      </c>
      <c r="E147" s="7">
        <f>MAX((1-Parameters!$B$4)^Parameters!B$65*E146+B146*Parameters!B$65-Parameters!$B$5*B146^2/E146*Parameters!B$65,0.0001)</f>
        <v>0.8188713665437739</v>
      </c>
      <c r="F147" s="9">
        <f>(1-Parameters!$B$4)^Parameters!B$65*F146+C146*Parameters!B$65-Parameters!$B$5*C146^2/F146*Parameters!B$65</f>
        <v>3.7933798968670079E-2</v>
      </c>
      <c r="G147" s="7">
        <f>(1-Parameters!$B$4)^Parameters!B$65*G146+D146*Parameters!B$65-Parameters!$B$5*D146^2/G146*Parameters!B$65</f>
        <v>4.3390738350693461</v>
      </c>
      <c r="H147" s="7">
        <f>H146 *(1-Parameters!$B$4)-B146*(B146&lt;0)*Parameters!B$65</f>
        <v>0</v>
      </c>
      <c r="I147" s="7">
        <f>I146*(1+Parameters!$B$51)^Parameters!B$65</f>
        <v>12.346146795108401</v>
      </c>
      <c r="J147" s="7">
        <f>J146*(1+Parameters!$B$53)^Parameters!B$65</f>
        <v>153.67290815594629</v>
      </c>
      <c r="K147" s="23">
        <f>EXP(-Parameters!$B$42*A147)*(Parameters!$B$37/Parameters!$B$38*(E147+H147)/Parameters!$B$25*(EXP(-Parameters!$B$38*Parameters!$E$25*H147/(E147+H147))-EXP(-Parameters!$B$38*Parameters!$E$25))  +  Parameters!$B$39*E147*Parameters!$B$28*Parameters!$B$29*EXP((Parameters!$B$53+Parameters!$B$51)*A147))</f>
        <v>295.57891814797489</v>
      </c>
      <c r="L147" s="8">
        <f>L146+K147*Parameters!B$65</f>
        <v>22117.785246502921</v>
      </c>
      <c r="M147" s="7">
        <f>M146+Parameters!$B$45*K147</f>
        <v>13.270671147901751</v>
      </c>
      <c r="N147" s="7">
        <f>'6states'!O147</f>
        <v>0.95183149812038603</v>
      </c>
      <c r="O147" s="7">
        <f>MAX(O146+(Parameters!B$31-K147)*Parameters!B$65,30)</f>
        <v>30</v>
      </c>
      <c r="P147" s="7">
        <f>Parameters!B$61*EXP(-Parameters!B$60*A147)+(1-Parameters!B$61)*(O147/Parameters!B$62)^-Parameters!B$63</f>
        <v>0.53672836060146656</v>
      </c>
      <c r="Q147" s="9">
        <f>1-P147/Parameters!$B$12</f>
        <v>0.73163581969926672</v>
      </c>
      <c r="R147" s="23">
        <f t="shared" si="49"/>
        <v>3.7262797102034395</v>
      </c>
      <c r="S147" s="7">
        <f>(Parameters!$B$19*(E147+Parameters!$B$20)^Q147+Parameters!$B$18*F147^Q147)^(1/Q147)</f>
        <v>0.53707426288983307</v>
      </c>
      <c r="T147" s="7">
        <f>(Parameters!$B$10*G147^Parameters!$B$9 + Parameters!$B$11*S147^Parameters!$B$9) ^ (Parameters!$B$7/Parameters!$B$9) * N147</f>
        <v>1.4548145097572427</v>
      </c>
      <c r="U147" s="7">
        <f t="shared" si="50"/>
        <v>1.1043889439625967</v>
      </c>
      <c r="V147" s="7">
        <f>EXP(-Parameters!$B$55*A147)</f>
        <v>0.11540587688403768</v>
      </c>
      <c r="W147" s="7">
        <f>IF(U147&gt;0,U147^(1-Parameters!$B$52)/(1-Parameters!$B$52)*V147,-10+U147*1000)</f>
        <v>-0.31846899933194339</v>
      </c>
      <c r="X147" s="7"/>
      <c r="Y147" s="7"/>
      <c r="Z147" s="7"/>
      <c r="AA147" s="7"/>
    </row>
    <row r="148" spans="1:27" x14ac:dyDescent="0.25">
      <c r="A148">
        <f>A147+Parameters!$B$65</f>
        <v>144</v>
      </c>
      <c r="B148" s="9">
        <f t="shared" si="51"/>
        <v>5.5238794691412761E-2</v>
      </c>
      <c r="C148" s="9">
        <f t="shared" si="51"/>
        <v>2.532692781448906E-3</v>
      </c>
      <c r="D148" s="7">
        <f t="shared" si="51"/>
        <v>0.29265407832178425</v>
      </c>
      <c r="E148" s="7">
        <f>MAX((1-Parameters!$B$4)^Parameters!B$65*E147+B147*Parameters!B$65-Parameters!$B$5*B147^2/E147*Parameters!B$65,0.0001)</f>
        <v>0.81887689616216797</v>
      </c>
      <c r="F148" s="9">
        <f>(1-Parameters!$B$4)^Parameters!B$65*F147+C147*Parameters!B$65-Parameters!$B$5*C147^2/F147*Parameters!B$65</f>
        <v>3.7911357710969602E-2</v>
      </c>
      <c r="G148" s="7">
        <f>(1-Parameters!$B$4)^Parameters!B$65*G147+D147*Parameters!B$65-Parameters!$B$5*D147^2/G147*Parameters!B$65</f>
        <v>4.3390617611976143</v>
      </c>
      <c r="H148" s="7">
        <f>H147 *(1-Parameters!$B$4)-B147*(B147&lt;0)*Parameters!B$65</f>
        <v>0</v>
      </c>
      <c r="I148" s="7">
        <f>I147*(1+Parameters!$B$51)^Parameters!B$65</f>
        <v>12.381950620814214</v>
      </c>
      <c r="J148" s="7">
        <f>J147*(1+Parameters!$B$53)^Parameters!B$65</f>
        <v>156.7463663190652</v>
      </c>
      <c r="K148" s="23">
        <f>EXP(-Parameters!$B$42*A148)*(Parameters!$B$37/Parameters!$B$38*(E148+H148)/Parameters!$B$25*(EXP(-Parameters!$B$38*Parameters!$E$25*H148/(E148+H148))-EXP(-Parameters!$B$38*Parameters!$E$25))  +  Parameters!$B$39*E148*Parameters!$B$28*Parameters!$B$29*EXP((Parameters!$B$53+Parameters!$B$51)*A148))</f>
        <v>299.37090445132998</v>
      </c>
      <c r="L148" s="8">
        <f>L147+K148*Parameters!B$65</f>
        <v>22417.156150954252</v>
      </c>
      <c r="M148" s="7">
        <f>M147+Parameters!$B$45*K148</f>
        <v>13.450293690572549</v>
      </c>
      <c r="N148" s="7">
        <f>'6states'!O148</f>
        <v>0.95183060082994764</v>
      </c>
      <c r="O148" s="7">
        <f>MAX(O147+(Parameters!B$31-K148)*Parameters!B$65,30)</f>
        <v>30</v>
      </c>
      <c r="P148" s="7">
        <f>Parameters!B$61*EXP(-Parameters!B$60*A148)+(1-Parameters!B$61)*(O148/Parameters!B$62)^-Parameters!B$63</f>
        <v>0.53644802839845251</v>
      </c>
      <c r="Q148" s="9">
        <f>1-P148/Parameters!$B$12</f>
        <v>0.73177598580077374</v>
      </c>
      <c r="R148" s="23">
        <f t="shared" si="49"/>
        <v>3.7282269560593457</v>
      </c>
      <c r="S148" s="7">
        <f>(Parameters!$B$19*(E148+Parameters!$B$20)^Q148+Parameters!$B$18*F148^Q148)^(1/Q148)</f>
        <v>0.53709458436577739</v>
      </c>
      <c r="T148" s="7">
        <f>(Parameters!$B$10*G148^Parameters!$B$9 + Parameters!$B$11*S148^Parameters!$B$9) ^ (Parameters!$B$7/Parameters!$B$9) * N148</f>
        <v>1.4548153402686597</v>
      </c>
      <c r="U148" s="7">
        <f t="shared" si="50"/>
        <v>1.1043897744740137</v>
      </c>
      <c r="V148" s="7">
        <f>EXP(-Parameters!$B$55*A148)</f>
        <v>0.11367633901652432</v>
      </c>
      <c r="W148" s="7">
        <f>IF(U148&gt;0,U148^(1-Parameters!$B$52)/(1-Parameters!$B$52)*V148,-10+U148*1000)</f>
        <v>-0.31369615987666366</v>
      </c>
      <c r="X148" s="7"/>
      <c r="Y148" s="7"/>
      <c r="Z148" s="7"/>
      <c r="AA148" s="7"/>
    </row>
    <row r="149" spans="1:27" x14ac:dyDescent="0.25">
      <c r="A149">
        <f>A148+Parameters!$B$65</f>
        <v>145</v>
      </c>
      <c r="B149" s="9">
        <f t="shared" si="51"/>
        <v>5.5238794691412761E-2</v>
      </c>
      <c r="C149" s="9">
        <f t="shared" si="51"/>
        <v>2.532692781448906E-3</v>
      </c>
      <c r="D149" s="7">
        <f t="shared" si="51"/>
        <v>0.29265407832178425</v>
      </c>
      <c r="E149" s="7">
        <f>MAX((1-Parameters!$B$4)^Parameters!B$65*E148+B148*Parameters!B$65-Parameters!$B$5*B148^2/E148*Parameters!B$65,0.0001)</f>
        <v>0.81888210312980181</v>
      </c>
      <c r="F149" s="9">
        <f>(1-Parameters!$B$4)^Parameters!B$65*F148+C148*Parameters!B$65-Parameters!$B$5*C148^2/F148*Parameters!B$65</f>
        <v>3.78902279124202E-2</v>
      </c>
      <c r="G149" s="7">
        <f>(1-Parameters!$B$4)^Parameters!B$65*G148+D148*Parameters!B$65-Parameters!$B$5*D148^2/G148*Parameters!B$65</f>
        <v>4.3390503918483274</v>
      </c>
      <c r="H149" s="7">
        <f>H148 *(1-Parameters!$B$4)-B148*(B148&lt;0)*Parameters!B$65</f>
        <v>0</v>
      </c>
      <c r="I149" s="7">
        <f>I148*(1+Parameters!$B$51)^Parameters!B$65</f>
        <v>12.417858277614574</v>
      </c>
      <c r="J149" s="7">
        <f>J148*(1+Parameters!$B$53)^Parameters!B$65</f>
        <v>159.8812936454465</v>
      </c>
      <c r="K149" s="23">
        <f>EXP(-Parameters!$B$42*A149)*(Parameters!$B$37/Parameters!$B$38*(E149+H149)/Parameters!$B$25*(EXP(-Parameters!$B$38*Parameters!$E$25*H149/(E149+H149))-EXP(-Parameters!$B$38*Parameters!$E$25))  +  Parameters!$B$39*E149*Parameters!$B$28*Parameters!$B$29*EXP((Parameters!$B$53+Parameters!$B$51)*A149))</f>
        <v>303.21250504375939</v>
      </c>
      <c r="L149" s="8">
        <f>L148+K149*Parameters!B$65</f>
        <v>22720.368655998012</v>
      </c>
      <c r="M149" s="7">
        <f>M148+Parameters!$B$45*K149</f>
        <v>13.632221193598804</v>
      </c>
      <c r="N149" s="7">
        <f>'6states'!O149</f>
        <v>0.95182969206480794</v>
      </c>
      <c r="O149" s="7">
        <f>MAX(O148+(Parameters!B$31-K149)*Parameters!B$65,30)</f>
        <v>30</v>
      </c>
      <c r="P149" s="7">
        <f>Parameters!B$61*EXP(-Parameters!B$60*A149)+(1-Parameters!B$61)*(O149/Parameters!B$62)^-Parameters!B$63</f>
        <v>0.53617516389728759</v>
      </c>
      <c r="Q149" s="9">
        <f>1-P149/Parameters!$B$12</f>
        <v>0.73191241805135621</v>
      </c>
      <c r="R149" s="23">
        <f t="shared" si="49"/>
        <v>3.7301242852478151</v>
      </c>
      <c r="S149" s="7">
        <f>(Parameters!$B$19*(E149+Parameters!$B$20)^Q149+Parameters!$B$18*F149^Q149)^(1/Q149)</f>
        <v>0.53711470104052239</v>
      </c>
      <c r="T149" s="7">
        <f>(Parameters!$B$10*G149^Parameters!$B$9 + Parameters!$B$11*S149^Parameters!$B$9) ^ (Parameters!$B$7/Parameters!$B$9) * N149</f>
        <v>1.4548161778163535</v>
      </c>
      <c r="U149" s="7">
        <f t="shared" si="50"/>
        <v>1.1043906120217075</v>
      </c>
      <c r="V149" s="7">
        <f>EXP(-Parameters!$B$55*A149)</f>
        <v>0.11197272098356298</v>
      </c>
      <c r="W149" s="7">
        <f>IF(U149&gt;0,U149^(1-Parameters!$B$52)/(1-Parameters!$B$52)*V149,-10+U149*1000)</f>
        <v>-0.30899484944649402</v>
      </c>
      <c r="X149" s="7"/>
      <c r="Y149" s="7"/>
      <c r="Z149" s="7"/>
      <c r="AA149" s="7"/>
    </row>
    <row r="150" spans="1:27" x14ac:dyDescent="0.25">
      <c r="A150">
        <f>A149+Parameters!$B$65</f>
        <v>146</v>
      </c>
      <c r="B150" s="9">
        <f t="shared" si="51"/>
        <v>5.5238794691412761E-2</v>
      </c>
      <c r="C150" s="9">
        <f t="shared" si="51"/>
        <v>2.532692781448906E-3</v>
      </c>
      <c r="D150" s="7">
        <f t="shared" si="51"/>
        <v>0.29265407832178425</v>
      </c>
      <c r="E150" s="7">
        <f>MAX((1-Parameters!$B$4)^Parameters!B$65*E149+B149*Parameters!B$65-Parameters!$B$5*B149^2/E149*Parameters!B$65,0.0001)</f>
        <v>0.81888700627289235</v>
      </c>
      <c r="F150" s="9">
        <f>(1-Parameters!$B$4)^Parameters!B$65*F149+C149*Parameters!B$65-Parameters!$B$5*C149^2/F149*Parameters!B$65</f>
        <v>3.7870332823436992E-2</v>
      </c>
      <c r="G150" s="7">
        <f>(1-Parameters!$B$4)^Parameters!B$65*G149+D149*Parameters!B$65-Parameters!$B$5*D149^2/G149*Parameters!B$65</f>
        <v>4.3390396859116196</v>
      </c>
      <c r="H150" s="7">
        <f>H149 *(1-Parameters!$B$4)-B149*(B149&lt;0)*Parameters!B$65</f>
        <v>0</v>
      </c>
      <c r="I150" s="7">
        <f>I149*(1+Parameters!$B$51)^Parameters!B$65</f>
        <v>12.453870066619654</v>
      </c>
      <c r="J150" s="7">
        <f>J149*(1+Parameters!$B$53)^Parameters!B$65</f>
        <v>163.07891951835543</v>
      </c>
      <c r="K150" s="23">
        <f>EXP(-Parameters!$B$42*A150)*(Parameters!$B$37/Parameters!$B$38*(E150+H150)/Parameters!$B$25*(EXP(-Parameters!$B$38*Parameters!$E$25*H150/(E150+H150))-EXP(-Parameters!$B$38*Parameters!$E$25))  +  Parameters!$B$39*E150*Parameters!$B$28*Parameters!$B$29*EXP((Parameters!$B$53+Parameters!$B$51)*A150))</f>
        <v>307.10436373215151</v>
      </c>
      <c r="L150" s="8">
        <f>L149+K150*Parameters!B$65</f>
        <v>23027.473019730165</v>
      </c>
      <c r="M150" s="7">
        <f>M149+Parameters!$B$45*K150</f>
        <v>13.816483811838095</v>
      </c>
      <c r="N150" s="7">
        <f>'6states'!O150</f>
        <v>0.95182877167812474</v>
      </c>
      <c r="O150" s="7">
        <f>MAX(O149+(Parameters!B$31-K150)*Parameters!B$65,30)</f>
        <v>30</v>
      </c>
      <c r="P150" s="7">
        <f>Parameters!B$61*EXP(-Parameters!B$60*A150)+(1-Parameters!B$61)*(O150/Parameters!B$62)^-Parameters!B$63</f>
        <v>0.53590956816766566</v>
      </c>
      <c r="Q150" s="9">
        <f>1-P150/Parameters!$B$12</f>
        <v>0.73204521591616722</v>
      </c>
      <c r="R150" s="23">
        <f t="shared" si="49"/>
        <v>3.7319729275187652</v>
      </c>
      <c r="S150" s="7">
        <f>(Parameters!$B$19*(E150+Parameters!$B$20)^Q150+Parameters!$B$18*F150^Q150)^(1/Q150)</f>
        <v>0.53713459837355226</v>
      </c>
      <c r="T150" s="7">
        <f>(Parameters!$B$10*G150^Parameters!$B$9 + Parameters!$B$11*S150^Parameters!$B$9) ^ (Parameters!$B$7/Parameters!$B$9) * N150</f>
        <v>1.4548170165831822</v>
      </c>
      <c r="U150" s="7">
        <f t="shared" si="50"/>
        <v>1.1043914507885364</v>
      </c>
      <c r="V150" s="7">
        <f>EXP(-Parameters!$B$55*A150)</f>
        <v>0.11029463433582516</v>
      </c>
      <c r="W150" s="7">
        <f>IF(U150&gt;0,U150^(1-Parameters!$B$52)/(1-Parameters!$B$52)*V150,-10+U150*1000)</f>
        <v>-0.30436399663014879</v>
      </c>
      <c r="X150" s="7"/>
      <c r="Y150" s="7"/>
      <c r="Z150" s="7"/>
      <c r="AA150" s="7"/>
    </row>
    <row r="151" spans="1:27" x14ac:dyDescent="0.25">
      <c r="A151">
        <f>A150+Parameters!$B$65</f>
        <v>147</v>
      </c>
      <c r="B151" s="9">
        <f t="shared" si="51"/>
        <v>5.5238794691412761E-2</v>
      </c>
      <c r="C151" s="9">
        <f t="shared" si="51"/>
        <v>2.532692781448906E-3</v>
      </c>
      <c r="D151" s="7">
        <f t="shared" si="51"/>
        <v>0.29265407832178425</v>
      </c>
      <c r="E151" s="7">
        <f>MAX((1-Parameters!$B$4)^Parameters!B$65*E150+B150*Parameters!B$65-Parameters!$B$5*B150^2/E150*Parameters!B$65,0.0001)</f>
        <v>0.81889162331920851</v>
      </c>
      <c r="F151" s="9">
        <f>(1-Parameters!$B$4)^Parameters!B$65*F150+C150*Parameters!B$65-Parameters!$B$5*C150^2/F150*Parameters!B$65</f>
        <v>3.7851600198121664E-2</v>
      </c>
      <c r="G151" s="7">
        <f>(1-Parameters!$B$4)^Parameters!B$65*G150+D150*Parameters!B$65-Parameters!$B$5*D150^2/G150*Parameters!B$65</f>
        <v>4.3390296046764742</v>
      </c>
      <c r="H151" s="7">
        <f>H150 *(1-Parameters!$B$4)-B150*(B150&lt;0)*Parameters!B$65</f>
        <v>0</v>
      </c>
      <c r="I151" s="7">
        <f>I150*(1+Parameters!$B$51)^Parameters!B$65</f>
        <v>12.489986289812849</v>
      </c>
      <c r="J151" s="7">
        <f>J150*(1+Parameters!$B$53)^Parameters!B$65</f>
        <v>166.34049790872254</v>
      </c>
      <c r="K151" s="23">
        <f>EXP(-Parameters!$B$42*A151)*(Parameters!$B$37/Parameters!$B$38*(E151+H151)/Parameters!$B$25*(EXP(-Parameters!$B$38*Parameters!$E$25*H151/(E151+H151))-EXP(-Parameters!$B$38*Parameters!$E$25))  +  Parameters!$B$39*E151*Parameters!$B$28*Parameters!$B$29*EXP((Parameters!$B$53+Parameters!$B$51)*A151))</f>
        <v>311.04713252629517</v>
      </c>
      <c r="L151" s="8">
        <f>L150+K151*Parameters!B$65</f>
        <v>23338.52015225646</v>
      </c>
      <c r="M151" s="7">
        <f>M150+Parameters!$B$45*K151</f>
        <v>14.003112091353872</v>
      </c>
      <c r="N151" s="7">
        <f>'6states'!O151</f>
        <v>0.951827839521174</v>
      </c>
      <c r="O151" s="7">
        <f>MAX(O150+(Parameters!B$31-K151)*Parameters!B$65,30)</f>
        <v>30</v>
      </c>
      <c r="P151" s="7">
        <f>Parameters!B$61*EXP(-Parameters!B$60*A151)+(1-Parameters!B$61)*(O151/Parameters!B$62)^-Parameters!B$63</f>
        <v>0.53565104757853743</v>
      </c>
      <c r="Q151" s="9">
        <f>1-P151/Parameters!$B$12</f>
        <v>0.73217447621073128</v>
      </c>
      <c r="R151" s="23">
        <f t="shared" si="49"/>
        <v>3.7337740849032111</v>
      </c>
      <c r="S151" s="7">
        <f>(Parameters!$B$19*(E151+Parameters!$B$20)^Q151+Parameters!$B$18*F151^Q151)^(1/Q151)</f>
        <v>0.53715426340563577</v>
      </c>
      <c r="T151" s="7">
        <f>(Parameters!$B$10*G151^Parameters!$B$9 + Parameters!$B$11*S151^Parameters!$B$9) ^ (Parameters!$B$7/Parameters!$B$9) * N151</f>
        <v>1.4548178511921475</v>
      </c>
      <c r="U151" s="7">
        <f t="shared" si="50"/>
        <v>1.1043922853975014</v>
      </c>
      <c r="V151" s="7">
        <f>EXP(-Parameters!$B$55*A151)</f>
        <v>0.1086416964455041</v>
      </c>
      <c r="W151" s="7">
        <f>IF(U151&gt;0,U151^(1-Parameters!$B$52)/(1-Parameters!$B$52)*V151,-10+U151*1000)</f>
        <v>-0.29980254600588435</v>
      </c>
      <c r="X151" s="7"/>
      <c r="Y151" s="7"/>
      <c r="Z151" s="7"/>
      <c r="AA151" s="7"/>
    </row>
    <row r="152" spans="1:27" x14ac:dyDescent="0.25">
      <c r="A152">
        <f>A151+Parameters!$B$65</f>
        <v>148</v>
      </c>
      <c r="B152" s="9">
        <f t="shared" si="51"/>
        <v>5.5238794691412761E-2</v>
      </c>
      <c r="C152" s="9">
        <f t="shared" si="51"/>
        <v>2.532692781448906E-3</v>
      </c>
      <c r="D152" s="7">
        <f t="shared" si="51"/>
        <v>0.29265407832178425</v>
      </c>
      <c r="E152" s="7">
        <f>MAX((1-Parameters!$B$4)^Parameters!B$65*E151+B151*Parameters!B$65-Parameters!$B$5*B151^2/E151*Parameters!B$65,0.0001)</f>
        <v>0.81889597096215805</v>
      </c>
      <c r="F152" s="9">
        <f>(1-Parameters!$B$4)^Parameters!B$65*F151+C151*Parameters!B$65-Parameters!$B$5*C151^2/F151*Parameters!B$65</f>
        <v>3.7833962028637091E-2</v>
      </c>
      <c r="G152" s="7">
        <f>(1-Parameters!$B$4)^Parameters!B$65*G151+D151*Parameters!B$65-Parameters!$B$5*D151^2/G151*Parameters!B$65</f>
        <v>4.3390201116907425</v>
      </c>
      <c r="H152" s="7">
        <f>H151 *(1-Parameters!$B$4)-B151*(B151&lt;0)*Parameters!B$65</f>
        <v>0</v>
      </c>
      <c r="I152" s="7">
        <f>I151*(1+Parameters!$B$51)^Parameters!B$65</f>
        <v>12.526207250053305</v>
      </c>
      <c r="J152" s="7">
        <f>J151*(1+Parameters!$B$53)^Parameters!B$65</f>
        <v>169.667307866897</v>
      </c>
      <c r="K152" s="23">
        <f>EXP(-Parameters!$B$42*A152)*(Parameters!$B$37/Parameters!$B$38*(E152+H152)/Parameters!$B$25*(EXP(-Parameters!$B$38*Parameters!$E$25*H152/(E152+H152))-EXP(-Parameters!$B$38*Parameters!$E$25))  +  Parameters!$B$39*E152*Parameters!$B$28*Parameters!$B$29*EXP((Parameters!$B$53+Parameters!$B$51)*A152))</f>
        <v>315.04147175440687</v>
      </c>
      <c r="L152" s="8">
        <f>L151+K152*Parameters!B$65</f>
        <v>23653.561624010868</v>
      </c>
      <c r="M152" s="7">
        <f>M151+Parameters!$B$45*K152</f>
        <v>14.192136974406516</v>
      </c>
      <c r="N152" s="7">
        <f>'6states'!O152</f>
        <v>0.9518268954433261</v>
      </c>
      <c r="O152" s="7">
        <f>MAX(O151+(Parameters!B$31-K152)*Parameters!B$65,30)</f>
        <v>30</v>
      </c>
      <c r="P152" s="7">
        <f>Parameters!B$61*EXP(-Parameters!B$60*A152)+(1-Parameters!B$61)*(O152/Parameters!B$62)^-Parameters!B$63</f>
        <v>0.53539941365694399</v>
      </c>
      <c r="Q152" s="9">
        <f>1-P152/Parameters!$B$12</f>
        <v>0.73230029317152801</v>
      </c>
      <c r="R152" s="23">
        <f t="shared" si="49"/>
        <v>3.7355289322029321</v>
      </c>
      <c r="S152" s="7">
        <f>(Parameters!$B$19*(E152+Parameters!$B$20)^Q152+Parameters!$B$18*F152^Q152)^(1/Q152)</f>
        <v>0.53717368464505477</v>
      </c>
      <c r="T152" s="7">
        <f>(Parameters!$B$10*G152^Parameters!$B$9 + Parameters!$B$11*S152^Parameters!$B$9) ^ (Parameters!$B$7/Parameters!$B$9) * N152</f>
        <v>1.4548186766769893</v>
      </c>
      <c r="U152" s="7">
        <f t="shared" si="50"/>
        <v>1.1043931108823433</v>
      </c>
      <c r="V152" s="7">
        <f>EXP(-Parameters!$B$55*A152)</f>
        <v>0.10701353041907032</v>
      </c>
      <c r="W152" s="7">
        <f>IF(U152&gt;0,U152^(1-Parameters!$B$52)/(1-Parameters!$B$52)*V152,-10+U152*1000)</f>
        <v>-0.29530945790789059</v>
      </c>
      <c r="X152" s="7"/>
      <c r="Y152" s="7"/>
      <c r="Z152" s="7"/>
      <c r="AA152" s="7"/>
    </row>
    <row r="153" spans="1:27" x14ac:dyDescent="0.25">
      <c r="A153">
        <f>A152+Parameters!$B$65</f>
        <v>149</v>
      </c>
      <c r="B153" s="9">
        <f t="shared" si="51"/>
        <v>5.5238794691412761E-2</v>
      </c>
      <c r="C153" s="9">
        <f t="shared" si="51"/>
        <v>2.532692781448906E-3</v>
      </c>
      <c r="D153" s="7">
        <f t="shared" si="51"/>
        <v>0.29265407832178425</v>
      </c>
      <c r="E153" s="7">
        <f>MAX((1-Parameters!$B$4)^Parameters!B$65*E152+B152*Parameters!B$65-Parameters!$B$5*B152^2/E152*Parameters!B$65,0.0001)</f>
        <v>0.81890006492113565</v>
      </c>
      <c r="F153" s="9">
        <f>(1-Parameters!$B$4)^Parameters!B$65*F152+C152*Parameters!B$65-Parameters!$B$5*C152^2/F152*Parameters!B$65</f>
        <v>3.7817354295396725E-2</v>
      </c>
      <c r="G153" s="7">
        <f>(1-Parameters!$B$4)^Parameters!B$65*G152+D152*Parameters!B$65-Parameters!$B$5*D152^2/G152*Parameters!B$65</f>
        <v>4.3390111726293314</v>
      </c>
      <c r="H153" s="7">
        <f>H152 *(1-Parameters!$B$4)-B152*(B152&lt;0)*Parameters!B$65</f>
        <v>0</v>
      </c>
      <c r="I153" s="7">
        <f>I152*(1+Parameters!$B$51)^Parameters!B$65</f>
        <v>12.56253325107846</v>
      </c>
      <c r="J153" s="7">
        <f>J152*(1+Parameters!$B$53)^Parameters!B$65</f>
        <v>173.06065402423494</v>
      </c>
      <c r="K153" s="23">
        <f>EXP(-Parameters!$B$42*A153)*(Parameters!$B$37/Parameters!$B$38*(E153+H153)/Parameters!$B$25*(EXP(-Parameters!$B$38*Parameters!$E$25*H153/(E153+H153))-EXP(-Parameters!$B$38*Parameters!$E$25))  +  Parameters!$B$39*E153*Parameters!$B$28*Parameters!$B$29*EXP((Parameters!$B$53+Parameters!$B$51)*A153))</f>
        <v>319.08805017971514</v>
      </c>
      <c r="L153" s="8">
        <f>L152+K153*Parameters!B$65</f>
        <v>23972.649674190583</v>
      </c>
      <c r="M153" s="7">
        <f>M152+Parameters!$B$45*K153</f>
        <v>14.383589804514346</v>
      </c>
      <c r="N153" s="7">
        <f>'6states'!O153</f>
        <v>0.95182593929202053</v>
      </c>
      <c r="O153" s="7">
        <f>MAX(O152+(Parameters!B$31-K153)*Parameters!B$65,30)</f>
        <v>30</v>
      </c>
      <c r="P153" s="7">
        <f>Parameters!B$61*EXP(-Parameters!B$60*A153)+(1-Parameters!B$61)*(O153/Parameters!B$62)^-Parameters!B$63</f>
        <v>0.53515448295061208</v>
      </c>
      <c r="Q153" s="9">
        <f>1-P153/Parameters!$B$12</f>
        <v>0.73242275852469396</v>
      </c>
      <c r="R153" s="23">
        <f t="shared" si="49"/>
        <v>3.7372386174789356</v>
      </c>
      <c r="S153" s="7">
        <f>(Parameters!$B$19*(E153+Parameters!$B$20)^Q153+Parameters!$B$18*F153^Q153)^(1/Q153)</f>
        <v>0.53719285196117761</v>
      </c>
      <c r="T153" s="7">
        <f>(Parameters!$B$10*G153^Parameters!$B$9 + Parameters!$B$11*S153^Parameters!$B$9) ^ (Parameters!$B$7/Parameters!$B$9) * N153</f>
        <v>1.4548194884546104</v>
      </c>
      <c r="U153" s="7">
        <f t="shared" si="50"/>
        <v>1.1043939226599644</v>
      </c>
      <c r="V153" s="7">
        <f>EXP(-Parameters!$B$55*A153)</f>
        <v>0.10540976501133419</v>
      </c>
      <c r="W153" s="7">
        <f>IF(U153&gt;0,U153^(1-Parameters!$B$52)/(1-Parameters!$B$52)*V153,-10+U153*1000)</f>
        <v>-0.29088370819569659</v>
      </c>
      <c r="X153" s="7"/>
      <c r="Y153" s="7"/>
      <c r="Z153" s="7"/>
      <c r="AA153" s="7"/>
    </row>
    <row r="154" spans="1:27" x14ac:dyDescent="0.25">
      <c r="A154">
        <f>A153+Parameters!$B$65</f>
        <v>150</v>
      </c>
      <c r="B154" s="9">
        <f t="shared" ref="B154:D169" si="52">B153</f>
        <v>5.5238794691412761E-2</v>
      </c>
      <c r="C154" s="9">
        <f t="shared" si="52"/>
        <v>2.532692781448906E-3</v>
      </c>
      <c r="D154" s="7">
        <f t="shared" si="52"/>
        <v>0.29265407832178425</v>
      </c>
      <c r="E154" s="7">
        <f>MAX((1-Parameters!$B$4)^Parameters!B$65*E153+B153*Parameters!B$65-Parameters!$B$5*B153^2/E153*Parameters!B$65,0.0001)</f>
        <v>0.81890391999835122</v>
      </c>
      <c r="F154" s="9">
        <f>(1-Parameters!$B$4)^Parameters!B$65*F153+C153*Parameters!B$65-Parameters!$B$5*C153^2/F153*Parameters!B$65</f>
        <v>3.7801716732111072E-2</v>
      </c>
      <c r="G154" s="7">
        <f>(1-Parameters!$B$4)^Parameters!B$65*G153+D153*Parameters!B$65-Parameters!$B$5*D153^2/G153*Parameters!B$65</f>
        <v>4.3390027551700827</v>
      </c>
      <c r="H154" s="7">
        <f>H153 *(1-Parameters!$B$4)-B153*(B153&lt;0)*Parameters!B$65</f>
        <v>0</v>
      </c>
      <c r="I154" s="7">
        <f>I153*(1+Parameters!$B$51)^Parameters!B$65</f>
        <v>12.598964597506585</v>
      </c>
      <c r="J154" s="7">
        <f>J153*(1+Parameters!$B$53)^Parameters!B$65</f>
        <v>176.52186710471963</v>
      </c>
      <c r="K154" s="23">
        <f>EXP(-Parameters!$B$42*A154)*(Parameters!$B$37/Parameters!$B$38*(E154+H154)/Parameters!$B$25*(EXP(-Parameters!$B$38*Parameters!$E$25*H154/(E154+H154))-EXP(-Parameters!$B$38*Parameters!$E$25))  +  Parameters!$B$39*E154*Parameters!$B$28*Parameters!$B$29*EXP((Parameters!$B$53+Parameters!$B$51)*A154))</f>
        <v>323.18754511813938</v>
      </c>
      <c r="L154" s="8">
        <f>L153+K154*Parameters!B$65</f>
        <v>24295.837219308723</v>
      </c>
      <c r="M154" s="7">
        <f>M153+Parameters!$B$45*K154</f>
        <v>14.577502331585229</v>
      </c>
      <c r="N154" s="7">
        <f>'6states'!O154</f>
        <v>0.95182497091274176</v>
      </c>
      <c r="O154" s="7">
        <f>MAX(O153+(Parameters!B$31-K154)*Parameters!B$65,30)</f>
        <v>30</v>
      </c>
      <c r="P154" s="7">
        <f>Parameters!B$61*EXP(-Parameters!B$60*A154)+(1-Parameters!B$61)*(O154/Parameters!B$62)^-Parameters!B$63</f>
        <v>0.53491607689420939</v>
      </c>
      <c r="Q154" s="9">
        <f>1-P154/Parameters!$B$12</f>
        <v>0.7325419615528953</v>
      </c>
      <c r="R154" s="23">
        <f t="shared" si="49"/>
        <v>3.738904262538254</v>
      </c>
      <c r="S154" s="7">
        <f>(Parameters!$B$19*(E154+Parameters!$B$20)^Q154+Parameters!$B$18*F154^Q154)^(1/Q154)</f>
        <v>0.53721175648492303</v>
      </c>
      <c r="T154" s="7">
        <f>(Parameters!$B$10*G154^Parameters!$B$9 + Parameters!$B$11*S154^Parameters!$B$9) ^ (Parameters!$B$7/Parameters!$B$9) * N154</f>
        <v>1.4548202822992242</v>
      </c>
      <c r="U154" s="7">
        <f t="shared" si="50"/>
        <v>1.1043947165045784</v>
      </c>
      <c r="V154" s="7">
        <f>EXP(-Parameters!$B$55*A154)</f>
        <v>0.10383003454079688</v>
      </c>
      <c r="W154" s="7">
        <f>IF(U154&gt;0,U154^(1-Parameters!$B$52)/(1-Parameters!$B$52)*V154,-10+U154*1000)</f>
        <v>-0.28652428802658103</v>
      </c>
      <c r="X154" s="7"/>
      <c r="Y154" s="7"/>
      <c r="Z154" s="7"/>
      <c r="AA154" s="7"/>
    </row>
    <row r="155" spans="1:27" x14ac:dyDescent="0.25">
      <c r="A155">
        <f>A154+Parameters!$B$65</f>
        <v>151</v>
      </c>
      <c r="B155" s="9">
        <f t="shared" si="52"/>
        <v>5.5238794691412761E-2</v>
      </c>
      <c r="C155" s="9">
        <f t="shared" si="52"/>
        <v>2.532692781448906E-3</v>
      </c>
      <c r="D155" s="7">
        <f t="shared" si="52"/>
        <v>0.29265407832178425</v>
      </c>
      <c r="E155" s="7">
        <f>MAX((1-Parameters!$B$4)^Parameters!B$65*E154+B154*Parameters!B$65-Parameters!$B$5*B154^2/E154*Parameters!B$65,0.0001)</f>
        <v>0.81890755013234173</v>
      </c>
      <c r="F155" s="9">
        <f>(1-Parameters!$B$4)^Parameters!B$65*F154+C154*Parameters!B$65-Parameters!$B$5*C154^2/F154*Parameters!B$65</f>
        <v>3.7786992604793408E-2</v>
      </c>
      <c r="G155" s="7">
        <f>(1-Parameters!$B$4)^Parameters!B$65*G154+D154*Parameters!B$65-Parameters!$B$5*D154^2/G154*Parameters!B$65</f>
        <v>4.3389948288768938</v>
      </c>
      <c r="H155" s="7">
        <f>H154 *(1-Parameters!$B$4)-B154*(B154&lt;0)*Parameters!B$65</f>
        <v>0</v>
      </c>
      <c r="I155" s="7">
        <f>I154*(1+Parameters!$B$51)^Parameters!B$65</f>
        <v>12.635501594839353</v>
      </c>
      <c r="J155" s="7">
        <f>J154*(1+Parameters!$B$53)^Parameters!B$65</f>
        <v>180.05230444681402</v>
      </c>
      <c r="K155" s="23">
        <f>EXP(-Parameters!$B$42*A155)*(Parameters!$B$37/Parameters!$B$38*(E155+H155)/Parameters!$B$25*(EXP(-Parameters!$B$38*Parameters!$E$25*H155/(E155+H155))-EXP(-Parameters!$B$38*Parameters!$E$25))  +  Parameters!$B$39*E155*Parameters!$B$28*Parameters!$B$29*EXP((Parameters!$B$53+Parameters!$B$51)*A155))</f>
        <v>327.34064255709535</v>
      </c>
      <c r="L155" s="8">
        <f>L154+K155*Parameters!B$65</f>
        <v>24623.177861865817</v>
      </c>
      <c r="M155" s="7">
        <f>M154+Parameters!$B$45*K155</f>
        <v>14.773906717119486</v>
      </c>
      <c r="N155" s="7">
        <f>'6states'!O155</f>
        <v>0.95182399014899377</v>
      </c>
      <c r="O155" s="7">
        <f>MAX(O154+(Parameters!B$31-K155)*Parameters!B$65,30)</f>
        <v>30</v>
      </c>
      <c r="P155" s="7">
        <f>Parameters!B$61*EXP(-Parameters!B$60*A155)+(1-Parameters!B$61)*(O155/Parameters!B$62)^-Parameters!B$63</f>
        <v>0.5346840216791624</v>
      </c>
      <c r="Q155" s="9">
        <f>1-P155/Parameters!$B$12</f>
        <v>0.7326579891604188</v>
      </c>
      <c r="R155" s="23">
        <f t="shared" si="49"/>
        <v>3.740526963418596</v>
      </c>
      <c r="S155" s="7">
        <f>(Parameters!$B$19*(E155+Parameters!$B$20)^Q155+Parameters!$B$18*F155^Q155)^(1/Q155)</f>
        <v>0.53723039051568577</v>
      </c>
      <c r="T155" s="7">
        <f>(Parameters!$B$10*G155^Parameters!$B$9 + Parameters!$B$11*S155^Parameters!$B$9) ^ (Parameters!$B$7/Parameters!$B$9) * N155</f>
        <v>1.4548210543181173</v>
      </c>
      <c r="U155" s="7">
        <f t="shared" si="50"/>
        <v>1.1043954885234712</v>
      </c>
      <c r="V155" s="7">
        <f>EXP(-Parameters!$B$55*A155)</f>
        <v>0.10227397880626984</v>
      </c>
      <c r="W155" s="7">
        <f>IF(U155&gt;0,U155^(1-Parameters!$B$52)/(1-Parameters!$B$52)*V155,-10+U155*1000)</f>
        <v>-0.282230203630979</v>
      </c>
      <c r="X155" s="7"/>
      <c r="Y155" s="7"/>
      <c r="Z155" s="7"/>
      <c r="AA155" s="7"/>
    </row>
    <row r="156" spans="1:27" x14ac:dyDescent="0.25">
      <c r="A156">
        <f>A155+Parameters!$B$65</f>
        <v>152</v>
      </c>
      <c r="B156" s="9">
        <f t="shared" si="52"/>
        <v>5.5238794691412761E-2</v>
      </c>
      <c r="C156" s="9">
        <f t="shared" si="52"/>
        <v>2.532692781448906E-3</v>
      </c>
      <c r="D156" s="7">
        <f t="shared" si="52"/>
        <v>0.29265407832178425</v>
      </c>
      <c r="E156" s="7">
        <f>MAX((1-Parameters!$B$4)^Parameters!B$65*E155+B155*Parameters!B$65-Parameters!$B$5*B155^2/E155*Parameters!B$65,0.0001)</f>
        <v>0.81891096844836242</v>
      </c>
      <c r="F156" s="9">
        <f>(1-Parameters!$B$4)^Parameters!B$65*F155+C155*Parameters!B$65-Parameters!$B$5*C155^2/F155*Parameters!B$65</f>
        <v>3.7773128503882432E-2</v>
      </c>
      <c r="G156" s="7">
        <f>(1-Parameters!$B$4)^Parameters!B$65*G155+D155*Parameters!B$65-Parameters!$B$5*D155^2/G155*Parameters!B$65</f>
        <v>4.3389873650896629</v>
      </c>
      <c r="H156" s="7">
        <f>H155 *(1-Parameters!$B$4)-B155*(B155&lt;0)*Parameters!B$65</f>
        <v>0</v>
      </c>
      <c r="I156" s="7">
        <f>I155*(1+Parameters!$B$51)^Parameters!B$65</f>
        <v>12.672144549464386</v>
      </c>
      <c r="J156" s="7">
        <f>J155*(1+Parameters!$B$53)^Parameters!B$65</f>
        <v>183.65335053575029</v>
      </c>
      <c r="K156" s="23">
        <f>EXP(-Parameters!$B$42*A156)*(Parameters!$B$37/Parameters!$B$38*(E156+H156)/Parameters!$B$25*(EXP(-Parameters!$B$38*Parameters!$E$25*H156/(E156+H156))-EXP(-Parameters!$B$38*Parameters!$E$25))  +  Parameters!$B$39*E156*Parameters!$B$28*Parameters!$B$29*EXP((Parameters!$B$53+Parameters!$B$51)*A156))</f>
        <v>331.5480372754613</v>
      </c>
      <c r="L156" s="8">
        <f>L155+K156*Parameters!B$65</f>
        <v>24954.725899141278</v>
      </c>
      <c r="M156" s="7">
        <f>M155+Parameters!$B$45*K156</f>
        <v>14.972835539484763</v>
      </c>
      <c r="N156" s="7">
        <f>'6states'!O156</f>
        <v>0.951822996842275</v>
      </c>
      <c r="O156" s="7">
        <f>MAX(O155+(Parameters!B$31-K156)*Parameters!B$65,30)</f>
        <v>30</v>
      </c>
      <c r="P156" s="7">
        <f>Parameters!B$61*EXP(-Parameters!B$60*A156)+(1-Parameters!B$61)*(O156/Parameters!B$62)^-Parameters!B$63</f>
        <v>0.53445814812694203</v>
      </c>
      <c r="Q156" s="9">
        <f>1-P156/Parameters!$B$12</f>
        <v>0.73277092593652893</v>
      </c>
      <c r="R156" s="23">
        <f t="shared" si="49"/>
        <v>3.7421077908704068</v>
      </c>
      <c r="S156" s="7">
        <f>(Parameters!$B$19*(E156+Parameters!$B$20)^Q156+Parameters!$B$18*F156^Q156)^(1/Q156)</f>
        <v>0.53724874743432527</v>
      </c>
      <c r="T156" s="7">
        <f>(Parameters!$B$10*G156^Parameters!$B$9 + Parameters!$B$11*S156^Parameters!$B$9) ^ (Parameters!$B$7/Parameters!$B$9) * N156</f>
        <v>1.4548218009289331</v>
      </c>
      <c r="U156" s="7">
        <f t="shared" si="50"/>
        <v>1.1043962351342871</v>
      </c>
      <c r="V156" s="7">
        <f>EXP(-Parameters!$B$55*A156)</f>
        <v>0.10074124300474355</v>
      </c>
      <c r="W156" s="7">
        <f>IF(U156&gt;0,U156^(1-Parameters!$B$52)/(1-Parameters!$B$52)*V156,-10+U156*1000)</f>
        <v>-0.27800047609086992</v>
      </c>
      <c r="X156" s="7"/>
      <c r="Y156" s="7"/>
      <c r="Z156" s="7"/>
      <c r="AA156" s="7"/>
    </row>
    <row r="157" spans="1:27" x14ac:dyDescent="0.25">
      <c r="A157">
        <f>A156+Parameters!$B$65</f>
        <v>153</v>
      </c>
      <c r="B157" s="9">
        <f t="shared" si="52"/>
        <v>5.5238794691412761E-2</v>
      </c>
      <c r="C157" s="9">
        <f t="shared" si="52"/>
        <v>2.532692781448906E-3</v>
      </c>
      <c r="D157" s="7">
        <f t="shared" si="52"/>
        <v>0.29265407832178425</v>
      </c>
      <c r="E157" s="7">
        <f>MAX((1-Parameters!$B$4)^Parameters!B$65*E156+B156*Parameters!B$65-Parameters!$B$5*B156^2/E156*Parameters!B$65,0.0001)</f>
        <v>0.81891418730583765</v>
      </c>
      <c r="F157" s="9">
        <f>(1-Parameters!$B$4)^Parameters!B$65*F156+C156*Parameters!B$65-Parameters!$B$5*C156^2/F156*Parameters!B$65</f>
        <v>3.7760074148692022E-2</v>
      </c>
      <c r="G157" s="7">
        <f>(1-Parameters!$B$4)^Parameters!B$65*G156+D156*Parameters!B$65-Parameters!$B$5*D156^2/G156*Parameters!B$65</f>
        <v>4.3389803368206525</v>
      </c>
      <c r="H157" s="7">
        <f>H156 *(1-Parameters!$B$4)-B156*(B156&lt;0)*Parameters!B$65</f>
        <v>0</v>
      </c>
      <c r="I157" s="7">
        <f>I156*(1+Parameters!$B$51)^Parameters!B$65</f>
        <v>12.708893768657832</v>
      </c>
      <c r="J157" s="7">
        <f>J156*(1+Parameters!$B$53)^Parameters!B$65</f>
        <v>187.32641754646531</v>
      </c>
      <c r="K157" s="23">
        <f>EXP(-Parameters!$B$42*A157)*(Parameters!$B$37/Parameters!$B$38*(E157+H157)/Parameters!$B$25*(EXP(-Parameters!$B$38*Parameters!$E$25*H157/(E157+H157))-EXP(-Parameters!$B$38*Parameters!$E$25))  +  Parameters!$B$39*E157*Parameters!$B$28*Parameters!$B$29*EXP((Parameters!$B$53+Parameters!$B$51)*A157))</f>
        <v>335.81043296473945</v>
      </c>
      <c r="L157" s="8">
        <f>L156+K157*Parameters!B$65</f>
        <v>25290.536332106018</v>
      </c>
      <c r="M157" s="7">
        <f>M156+Parameters!$B$45*K157</f>
        <v>15.174321799263605</v>
      </c>
      <c r="N157" s="7">
        <f>'6states'!O157</f>
        <v>0.95182199083205188</v>
      </c>
      <c r="O157" s="7">
        <f>MAX(O156+(Parameters!B$31-K157)*Parameters!B$65,30)</f>
        <v>30</v>
      </c>
      <c r="P157" s="7">
        <f>Parameters!B$61*EXP(-Parameters!B$60*A157)+(1-Parameters!B$61)*(O157/Parameters!B$62)^-Parameters!B$63</f>
        <v>0.53423829156572533</v>
      </c>
      <c r="Q157" s="9">
        <f>1-P157/Parameters!$B$12</f>
        <v>0.73288085421713733</v>
      </c>
      <c r="R157" s="23">
        <f t="shared" si="49"/>
        <v>3.7436477908359502</v>
      </c>
      <c r="S157" s="7">
        <f>(Parameters!$B$19*(E157+Parameters!$B$20)^Q157+Parameters!$B$18*F157^Q157)^(1/Q157)</f>
        <v>0.53726682162183614</v>
      </c>
      <c r="T157" s="7">
        <f>(Parameters!$B$10*G157^Parameters!$B$9 + Parameters!$B$11*S157^Parameters!$B$9) ^ (Parameters!$B$7/Parameters!$B$9) * N157</f>
        <v>1.454822518838377</v>
      </c>
      <c r="U157" s="7">
        <f t="shared" si="50"/>
        <v>1.104396953043731</v>
      </c>
      <c r="V157" s="7">
        <f>EXP(-Parameters!$B$55*A157)</f>
        <v>9.9231477650487412E-2</v>
      </c>
      <c r="W157" s="7">
        <f>IF(U157&gt;0,U157^(1-Parameters!$B$52)/(1-Parameters!$B$52)*V157,-10+U157*1000)</f>
        <v>-0.27383414112113563</v>
      </c>
      <c r="X157" s="7"/>
      <c r="Y157" s="7"/>
      <c r="Z157" s="7"/>
      <c r="AA157" s="7"/>
    </row>
    <row r="158" spans="1:27" x14ac:dyDescent="0.25">
      <c r="A158">
        <f>A157+Parameters!$B$65</f>
        <v>154</v>
      </c>
      <c r="B158" s="9">
        <f t="shared" si="52"/>
        <v>5.5238794691412761E-2</v>
      </c>
      <c r="C158" s="9">
        <f t="shared" si="52"/>
        <v>2.532692781448906E-3</v>
      </c>
      <c r="D158" s="7">
        <f t="shared" si="52"/>
        <v>0.29265407832178425</v>
      </c>
      <c r="E158" s="7">
        <f>MAX((1-Parameters!$B$4)^Parameters!B$65*E157+B157*Parameters!B$65-Parameters!$B$5*B157^2/E157*Parameters!B$65,0.0001)</f>
        <v>0.81891721834304354</v>
      </c>
      <c r="F158" s="9">
        <f>(1-Parameters!$B$4)^Parameters!B$65*F157+C157*Parameters!B$65-Parameters!$B$5*C157^2/F157*Parameters!B$65</f>
        <v>3.7747782203446795E-2</v>
      </c>
      <c r="G158" s="7">
        <f>(1-Parameters!$B$4)^Parameters!B$65*G157+D157*Parameters!B$65-Parameters!$B$5*D157^2/G157*Parameters!B$65</f>
        <v>4.338973718656904</v>
      </c>
      <c r="H158" s="7">
        <f>H157 *(1-Parameters!$B$4)-B157*(B157&lt;0)*Parameters!B$65</f>
        <v>0</v>
      </c>
      <c r="I158" s="7">
        <f>I157*(1+Parameters!$B$51)^Parameters!B$65</f>
        <v>12.745749560586939</v>
      </c>
      <c r="J158" s="7">
        <f>J157*(1+Parameters!$B$53)^Parameters!B$65</f>
        <v>191.07294589739462</v>
      </c>
      <c r="K158" s="23">
        <f>EXP(-Parameters!$B$42*A158)*(Parameters!$B$37/Parameters!$B$38*(E158+H158)/Parameters!$B$25*(EXP(-Parameters!$B$38*Parameters!$E$25*H158/(E158+H158))-EXP(-Parameters!$B$38*Parameters!$E$25))  +  Parameters!$B$39*E158*Parameters!$B$28*Parameters!$B$29*EXP((Parameters!$B$53+Parameters!$B$51)*A158))</f>
        <v>340.12854235144454</v>
      </c>
      <c r="L158" s="8">
        <f>L157+K158*Parameters!B$65</f>
        <v>25630.664874457463</v>
      </c>
      <c r="M158" s="7">
        <f>M157+Parameters!$B$45*K158</f>
        <v>15.378398924674473</v>
      </c>
      <c r="N158" s="7">
        <f>'6states'!O158</f>
        <v>0.95182097195573345</v>
      </c>
      <c r="O158" s="7">
        <f>MAX(O157+(Parameters!B$31-K158)*Parameters!B$65,30)</f>
        <v>30</v>
      </c>
      <c r="P158" s="7">
        <f>Parameters!B$61*EXP(-Parameters!B$60*A158)+(1-Parameters!B$61)*(O158/Parameters!B$62)^-Parameters!B$63</f>
        <v>0.53402429171034216</v>
      </c>
      <c r="Q158" s="9">
        <f>1-P158/Parameters!$B$12</f>
        <v>0.73298785414482892</v>
      </c>
      <c r="R158" s="23">
        <f t="shared" si="49"/>
        <v>3.7451479849250218</v>
      </c>
      <c r="S158" s="7">
        <f>(Parameters!$B$19*(E158+Parameters!$B$20)^Q158+Parameters!$B$18*F158^Q158)^(1/Q158)</f>
        <v>0.53728460838335013</v>
      </c>
      <c r="T158" s="7">
        <f>(Parameters!$B$10*G158^Parameters!$B$9 + Parameters!$B$11*S158^Parameters!$B$9) ^ (Parameters!$B$7/Parameters!$B$9) * N158</f>
        <v>1.454823205022264</v>
      </c>
      <c r="U158" s="7">
        <f t="shared" si="50"/>
        <v>1.104397639227618</v>
      </c>
      <c r="V158" s="7">
        <f>EXP(-Parameters!$B$55*A158)</f>
        <v>9.7744338495362112E-2</v>
      </c>
      <c r="W158" s="7">
        <f>IF(U158&gt;0,U158^(1-Parameters!$B$52)/(1-Parameters!$B$52)*V158,-10+U158*1000)</f>
        <v>-0.26973024885386809</v>
      </c>
      <c r="X158" s="7"/>
      <c r="Y158" s="7"/>
      <c r="Z158" s="7"/>
      <c r="AA158" s="7"/>
    </row>
    <row r="159" spans="1:27" x14ac:dyDescent="0.25">
      <c r="A159">
        <f>A158+Parameters!$B$65</f>
        <v>155</v>
      </c>
      <c r="B159" s="9">
        <f t="shared" si="52"/>
        <v>5.5238794691412761E-2</v>
      </c>
      <c r="C159" s="9">
        <f t="shared" si="52"/>
        <v>2.532692781448906E-3</v>
      </c>
      <c r="D159" s="7">
        <f t="shared" si="52"/>
        <v>0.29265407832178425</v>
      </c>
      <c r="E159" s="7">
        <f>MAX((1-Parameters!$B$4)^Parameters!B$65*E158+B158*Parameters!B$65-Parameters!$B$5*B158^2/E158*Parameters!B$65,0.0001)</f>
        <v>0.81892007251918386</v>
      </c>
      <c r="F159" s="9">
        <f>(1-Parameters!$B$4)^Parameters!B$65*F158+C158*Parameters!B$65-Parameters!$B$5*C158^2/F158*Parameters!B$65</f>
        <v>3.7736208104207983E-2</v>
      </c>
      <c r="G159" s="7">
        <f>(1-Parameters!$B$4)^Parameters!B$65*G158+D158*Parameters!B$65-Parameters!$B$5*D158^2/G158*Parameters!B$65</f>
        <v>4.3389674866683441</v>
      </c>
      <c r="H159" s="7">
        <f>H158 *(1-Parameters!$B$4)-B158*(B158&lt;0)*Parameters!B$65</f>
        <v>0</v>
      </c>
      <c r="I159" s="7">
        <f>I158*(1+Parameters!$B$51)^Parameters!B$65</f>
        <v>12.782712234312639</v>
      </c>
      <c r="J159" s="7">
        <f>J158*(1+Parameters!$B$53)^Parameters!B$65</f>
        <v>194.89440481534251</v>
      </c>
      <c r="K159" s="23">
        <f>EXP(-Parameters!$B$42*A159)*(Parameters!$B$37/Parameters!$B$38*(E159+H159)/Parameters!$B$25*(EXP(-Parameters!$B$38*Parameters!$E$25*H159/(E159+H159))-EXP(-Parameters!$B$38*Parameters!$E$25))  +  Parameters!$B$39*E159*Parameters!$B$28*Parameters!$B$29*EXP((Parameters!$B$53+Parameters!$B$51)*A159))</f>
        <v>344.50308732075138</v>
      </c>
      <c r="L159" s="8">
        <f>L158+K159*Parameters!B$65</f>
        <v>25975.167961778214</v>
      </c>
      <c r="M159" s="7">
        <f>M158+Parameters!$B$45*K159</f>
        <v>15.585100777066923</v>
      </c>
      <c r="N159" s="7">
        <f>'6states'!O159</f>
        <v>0.95181994004864412</v>
      </c>
      <c r="O159" s="7">
        <f>MAX(O158+(Parameters!B$31-K159)*Parameters!B$65,30)</f>
        <v>30</v>
      </c>
      <c r="P159" s="7">
        <f>Parameters!B$61*EXP(-Parameters!B$60*A159)+(1-Parameters!B$61)*(O159/Parameters!B$62)^-Parameters!B$63</f>
        <v>0.53381599254542045</v>
      </c>
      <c r="Q159" s="9">
        <f>1-P159/Parameters!$B$12</f>
        <v>0.73309200372728978</v>
      </c>
      <c r="R159" s="23">
        <f t="shared" si="49"/>
        <v>3.7466093708869677</v>
      </c>
      <c r="S159" s="7">
        <f>(Parameters!$B$19*(E159+Parameters!$B$20)^Q159+Parameters!$B$18*F159^Q159)^(1/Q159)</f>
        <v>0.53730210387713351</v>
      </c>
      <c r="T159" s="7">
        <f>(Parameters!$B$10*G159^Parameters!$B$9 + Parameters!$B$11*S159^Parameters!$B$9) ^ (Parameters!$B$7/Parameters!$B$9) * N159</f>
        <v>1.4548238567068201</v>
      </c>
      <c r="U159" s="7">
        <f t="shared" si="50"/>
        <v>1.1043982909121741</v>
      </c>
      <c r="V159" s="7">
        <f>EXP(-Parameters!$B$55*A159)</f>
        <v>9.6279486450325927E-2</v>
      </c>
      <c r="W159" s="7">
        <f>IF(U159&gt;0,U159^(1-Parameters!$B$52)/(1-Parameters!$B$52)*V159,-10+U159*1000)</f>
        <v>-0.26568786362560998</v>
      </c>
      <c r="X159" s="7"/>
      <c r="Y159" s="7"/>
      <c r="Z159" s="7"/>
      <c r="AA159" s="7"/>
    </row>
    <row r="160" spans="1:27" x14ac:dyDescent="0.25">
      <c r="A160">
        <f>A159+Parameters!$B$65</f>
        <v>156</v>
      </c>
      <c r="B160" s="9">
        <f t="shared" si="52"/>
        <v>5.5238794691412761E-2</v>
      </c>
      <c r="C160" s="9">
        <f t="shared" si="52"/>
        <v>2.532692781448906E-3</v>
      </c>
      <c r="D160" s="7">
        <f t="shared" si="52"/>
        <v>0.29265407832178425</v>
      </c>
      <c r="E160" s="7">
        <f>MAX((1-Parameters!$B$4)^Parameters!B$65*E159+B159*Parameters!B$65-Parameters!$B$5*B159^2/E159*Parameters!B$65,0.0001)</f>
        <v>0.818922760154011</v>
      </c>
      <c r="F160" s="9">
        <f>(1-Parameters!$B$4)^Parameters!B$65*F159+C159*Parameters!B$65-Parameters!$B$5*C159^2/F159*Parameters!B$65</f>
        <v>3.7725309896036785E-2</v>
      </c>
      <c r="G160" s="7">
        <f>(1-Parameters!$B$4)^Parameters!B$65*G159+D159*Parameters!B$65-Parameters!$B$5*D159^2/G159*Parameters!B$65</f>
        <v>4.3389616183212558</v>
      </c>
      <c r="H160" s="7">
        <f>H159 *(1-Parameters!$B$4)-B159*(B159&lt;0)*Parameters!B$65</f>
        <v>0</v>
      </c>
      <c r="I160" s="7">
        <f>I159*(1+Parameters!$B$51)^Parameters!B$65</f>
        <v>12.819782099792144</v>
      </c>
      <c r="J160" s="7">
        <f>J159*(1+Parameters!$B$53)^Parameters!B$65</f>
        <v>198.79229291164935</v>
      </c>
      <c r="K160" s="23">
        <f>EXP(-Parameters!$B$42*A160)*(Parameters!$B$37/Parameters!$B$38*(E160+H160)/Parameters!$B$25*(EXP(-Parameters!$B$38*Parameters!$E$25*H160/(E160+H160))-EXP(-Parameters!$B$38*Parameters!$E$25))  +  Parameters!$B$39*E160*Parameters!$B$28*Parameters!$B$29*EXP((Parameters!$B$53+Parameters!$B$51)*A160))</f>
        <v>348.9347990414355</v>
      </c>
      <c r="L160" s="8">
        <f>L159+K160*Parameters!B$65</f>
        <v>26324.102760819649</v>
      </c>
      <c r="M160" s="7">
        <f>M159+Parameters!$B$45*K160</f>
        <v>15.794461656491785</v>
      </c>
      <c r="N160" s="7">
        <f>'6states'!O160</f>
        <v>0.95181889494399785</v>
      </c>
      <c r="O160" s="7">
        <f>MAX(O159+(Parameters!B$31-K160)*Parameters!B$65,30)</f>
        <v>30</v>
      </c>
      <c r="P160" s="7">
        <f>Parameters!B$61*EXP(-Parameters!B$60*A160)+(1-Parameters!B$61)*(O160/Parameters!B$62)^-Parameters!B$63</f>
        <v>0.53361324221164363</v>
      </c>
      <c r="Q160" s="9">
        <f>1-P160/Parameters!$B$12</f>
        <v>0.73319337889417824</v>
      </c>
      <c r="R160" s="23">
        <f t="shared" si="49"/>
        <v>3.748032923078684</v>
      </c>
      <c r="S160" s="7">
        <f>(Parameters!$B$19*(E160+Parameters!$B$20)^Q160+Parameters!$B$18*F160^Q160)^(1/Q160)</f>
        <v>0.53731930504826864</v>
      </c>
      <c r="T160" s="7">
        <f>(Parameters!$B$10*G160^Parameters!$B$9 + Parameters!$B$11*S160^Parameters!$B$9) ^ (Parameters!$B$7/Parameters!$B$9) * N160</f>
        <v>1.4548244713511644</v>
      </c>
      <c r="U160" s="7">
        <f t="shared" si="50"/>
        <v>1.1043989055565184</v>
      </c>
      <c r="V160" s="7">
        <f>EXP(-Parameters!$B$55*A160)</f>
        <v>9.4836587508117826E-2</v>
      </c>
      <c r="W160" s="7">
        <f>IF(U160&gt;0,U160^(1-Parameters!$B$52)/(1-Parameters!$B$52)*V160,-10+U160*1000)</f>
        <v>-0.26170606376750777</v>
      </c>
      <c r="X160" s="7"/>
      <c r="Y160" s="7"/>
      <c r="Z160" s="7"/>
      <c r="AA160" s="7"/>
    </row>
    <row r="161" spans="1:27" x14ac:dyDescent="0.25">
      <c r="A161">
        <f>A160+Parameters!$B$65</f>
        <v>157</v>
      </c>
      <c r="B161" s="9">
        <f t="shared" si="52"/>
        <v>5.5238794691412761E-2</v>
      </c>
      <c r="C161" s="9">
        <f t="shared" si="52"/>
        <v>2.532692781448906E-3</v>
      </c>
      <c r="D161" s="7">
        <f t="shared" si="52"/>
        <v>0.29265407832178425</v>
      </c>
      <c r="E161" s="7">
        <f>MAX((1-Parameters!$B$4)^Parameters!B$65*E160+B160*Parameters!B$65-Parameters!$B$5*B160^2/E160*Parameters!B$65,0.0001)</f>
        <v>0.81892529096513578</v>
      </c>
      <c r="F161" s="9">
        <f>(1-Parameters!$B$4)^Parameters!B$65*F160+C160*Parameters!B$65-Parameters!$B$5*C160^2/F160*Parameters!B$65</f>
        <v>3.7715048079782494E-2</v>
      </c>
      <c r="G161" s="7">
        <f>(1-Parameters!$B$4)^Parameters!B$65*G160+D160*Parameters!B$65-Parameters!$B$5*D160^2/G160*Parameters!B$65</f>
        <v>4.3389560923967956</v>
      </c>
      <c r="H161" s="7">
        <f>H160 *(1-Parameters!$B$4)-B160*(B160&lt;0)*Parameters!B$65</f>
        <v>0</v>
      </c>
      <c r="I161" s="7">
        <f>I160*(1+Parameters!$B$51)^Parameters!B$65</f>
        <v>12.85695946788154</v>
      </c>
      <c r="J161" s="7">
        <f>J160*(1+Parameters!$B$53)^Parameters!B$65</f>
        <v>202.76813876988234</v>
      </c>
      <c r="K161" s="23">
        <f>EXP(-Parameters!$B$42*A161)*(Parameters!$B$37/Parameters!$B$38*(E161+H161)/Parameters!$B$25*(EXP(-Parameters!$B$38*Parameters!$E$25*H161/(E161+H161))-EXP(-Parameters!$B$38*Parameters!$E$25))  +  Parameters!$B$39*E161*Parameters!$B$28*Parameters!$B$29*EXP((Parameters!$B$53+Parameters!$B$51)*A161))</f>
        <v>353.42441809213619</v>
      </c>
      <c r="L161" s="8">
        <f>L160+K161*Parameters!B$65</f>
        <v>26677.527178911787</v>
      </c>
      <c r="M161" s="7">
        <f>M160+Parameters!$B$45*K161</f>
        <v>16.006516307347066</v>
      </c>
      <c r="N161" s="7">
        <f>'6states'!O161</f>
        <v>0.95181783647286999</v>
      </c>
      <c r="O161" s="7">
        <f>MAX(O160+(Parameters!B$31-K161)*Parameters!B$65,30)</f>
        <v>30</v>
      </c>
      <c r="P161" s="7">
        <f>Parameters!B$61*EXP(-Parameters!B$60*A161)+(1-Parameters!B$61)*(O161/Parameters!B$62)^-Parameters!B$63</f>
        <v>0.53341589289503932</v>
      </c>
      <c r="Q161" s="9">
        <f>1-P161/Parameters!$B$12</f>
        <v>0.73329205355248028</v>
      </c>
      <c r="R161" s="23">
        <f t="shared" si="49"/>
        <v>3.7494195929282919</v>
      </c>
      <c r="S161" s="7">
        <f>(Parameters!$B$19*(E161+Parameters!$B$20)^Q161+Parameters!$B$18*F161^Q161)^(1/Q161)</f>
        <v>0.53733620956672756</v>
      </c>
      <c r="T161" s="7">
        <f>(Parameters!$B$10*G161^Parameters!$B$9 + Parameters!$B$11*S161^Parameters!$B$9) ^ (Parameters!$B$7/Parameters!$B$9) * N161</f>
        <v>1.4548250466308983</v>
      </c>
      <c r="U161" s="7">
        <f t="shared" si="50"/>
        <v>1.1043994808362525</v>
      </c>
      <c r="V161" s="7">
        <f>EXP(-Parameters!$B$55*A161)</f>
        <v>9.3415312667098696E-2</v>
      </c>
      <c r="W161" s="7">
        <f>IF(U161&gt;0,U161^(1-Parameters!$B$52)/(1-Parameters!$B$52)*V161,-10+U161*1000)</f>
        <v>-0.25778394139835381</v>
      </c>
      <c r="X161" s="7"/>
      <c r="Y161" s="7"/>
      <c r="Z161" s="7"/>
      <c r="AA161" s="7"/>
    </row>
    <row r="162" spans="1:27" x14ac:dyDescent="0.25">
      <c r="A162">
        <f>A161+Parameters!$B$65</f>
        <v>158</v>
      </c>
      <c r="B162" s="9">
        <f t="shared" si="52"/>
        <v>5.5238794691412761E-2</v>
      </c>
      <c r="C162" s="9">
        <f t="shared" si="52"/>
        <v>2.532692781448906E-3</v>
      </c>
      <c r="D162" s="7">
        <f t="shared" si="52"/>
        <v>0.29265407832178425</v>
      </c>
      <c r="E162" s="7">
        <f>MAX((1-Parameters!$B$4)^Parameters!B$65*E161+B161*Parameters!B$65-Parameters!$B$5*B161^2/E161*Parameters!B$65,0.0001)</f>
        <v>0.81892767410316003</v>
      </c>
      <c r="F162" s="9">
        <f>(1-Parameters!$B$4)^Parameters!B$65*F161+C161*Parameters!B$65-Parameters!$B$5*C161^2/F161*Parameters!B$65</f>
        <v>3.7705385467919933E-2</v>
      </c>
      <c r="G162" s="7">
        <f>(1-Parameters!$B$4)^Parameters!B$65*G161+D161*Parameters!B$65-Parameters!$B$5*D161^2/G161*Parameters!B$65</f>
        <v>4.3389508889142716</v>
      </c>
      <c r="H162" s="7">
        <f>H161 *(1-Parameters!$B$4)-B161*(B161&lt;0)*Parameters!B$65</f>
        <v>0</v>
      </c>
      <c r="I162" s="7">
        <f>I161*(1+Parameters!$B$51)^Parameters!B$65</f>
        <v>12.894244650338395</v>
      </c>
      <c r="J162" s="7">
        <f>J161*(1+Parameters!$B$53)^Parameters!B$65</f>
        <v>206.82350154527998</v>
      </c>
      <c r="K162" s="23">
        <f>EXP(-Parameters!$B$42*A162)*(Parameters!$B$37/Parameters!$B$38*(E162+H162)/Parameters!$B$25*(EXP(-Parameters!$B$38*Parameters!$E$25*H162/(E162+H162))-EXP(-Parameters!$B$38*Parameters!$E$25))  +  Parameters!$B$39*E162*Parameters!$B$28*Parameters!$B$29*EXP((Parameters!$B$53+Parameters!$B$51)*A162))</f>
        <v>357.97269458897512</v>
      </c>
      <c r="L162" s="8">
        <f>L161+K162*Parameters!B$65</f>
        <v>27035.499873500761</v>
      </c>
      <c r="M162" s="7">
        <f>M161+Parameters!$B$45*K162</f>
        <v>16.221299924100453</v>
      </c>
      <c r="N162" s="7">
        <f>'6states'!O162</f>
        <v>0.95181676446417063</v>
      </c>
      <c r="O162" s="7">
        <f>MAX(O161+(Parameters!B$31-K162)*Parameters!B$65,30)</f>
        <v>30</v>
      </c>
      <c r="P162" s="7">
        <f>Parameters!B$61*EXP(-Parameters!B$60*A162)+(1-Parameters!B$61)*(O162/Parameters!B$62)^-Parameters!B$63</f>
        <v>0.53322380071921527</v>
      </c>
      <c r="Q162" s="9">
        <f>1-P162/Parameters!$B$12</f>
        <v>0.73338809964039231</v>
      </c>
      <c r="R162" s="23">
        <f t="shared" si="49"/>
        <v>3.7507703093942699</v>
      </c>
      <c r="S162" s="7">
        <f>(Parameters!$B$19*(E162+Parameters!$B$20)^Q162+Parameters!$B$18*F162^Q162)^(1/Q162)</f>
        <v>0.53735281576955962</v>
      </c>
      <c r="T162" s="7">
        <f>(Parameters!$B$10*G162^Parameters!$B$9 + Parameters!$B$11*S162^Parameters!$B$9) ^ (Parameters!$B$7/Parameters!$B$9) * N162</f>
        <v>1.4548255804227332</v>
      </c>
      <c r="U162" s="7">
        <f t="shared" si="50"/>
        <v>1.1044000146280872</v>
      </c>
      <c r="V162" s="7">
        <f>EXP(-Parameters!$B$55*A162)</f>
        <v>9.2015337856234475E-2</v>
      </c>
      <c r="W162" s="7">
        <f>IF(U162&gt;0,U162^(1-Parameters!$B$52)/(1-Parameters!$B$52)*V162,-10+U162*1000)</f>
        <v>-0.25392060222049673</v>
      </c>
      <c r="X162" s="7"/>
      <c r="Y162" s="7"/>
      <c r="Z162" s="7"/>
      <c r="AA162" s="7"/>
    </row>
    <row r="163" spans="1:27" x14ac:dyDescent="0.25">
      <c r="A163">
        <f>A162+Parameters!$B$65</f>
        <v>159</v>
      </c>
      <c r="B163" s="9">
        <f t="shared" si="52"/>
        <v>5.5238794691412761E-2</v>
      </c>
      <c r="C163" s="9">
        <f t="shared" si="52"/>
        <v>2.532692781448906E-3</v>
      </c>
      <c r="D163" s="7">
        <f t="shared" si="52"/>
        <v>0.29265407832178425</v>
      </c>
      <c r="E163" s="7">
        <f>MAX((1-Parameters!$B$4)^Parameters!B$65*E162+B162*Parameters!B$65-Parameters!$B$5*B162^2/E162*Parameters!B$65,0.0001)</f>
        <v>0.81892991818476002</v>
      </c>
      <c r="F163" s="9">
        <f>(1-Parameters!$B$4)^Parameters!B$65*F162+C162*Parameters!B$65-Parameters!$B$5*C162^2/F162*Parameters!B$65</f>
        <v>3.7696287048896042E-2</v>
      </c>
      <c r="G163" s="7">
        <f>(1-Parameters!$B$4)^Parameters!B$65*G162+D162*Parameters!B$65-Parameters!$B$5*D162^2/G162*Parameters!B$65</f>
        <v>4.3389459890588897</v>
      </c>
      <c r="H163" s="7">
        <f>H162 *(1-Parameters!$B$4)-B162*(B162&lt;0)*Parameters!B$65</f>
        <v>0</v>
      </c>
      <c r="I163" s="7">
        <f>I162*(1+Parameters!$B$51)^Parameters!B$65</f>
        <v>12.931637959824375</v>
      </c>
      <c r="J163" s="7">
        <f>J162*(1+Parameters!$B$53)^Parameters!B$65</f>
        <v>210.95997157618558</v>
      </c>
      <c r="K163" s="23">
        <f>EXP(-Parameters!$B$42*A163)*(Parameters!$B$37/Parameters!$B$38*(E163+H163)/Parameters!$B$25*(EXP(-Parameters!$B$38*Parameters!$E$25*H163/(E163+H163))-EXP(-Parameters!$B$38*Parameters!$E$25))  +  Parameters!$B$39*E163*Parameters!$B$28*Parameters!$B$29*EXP((Parameters!$B$53+Parameters!$B$51)*A163))</f>
        <v>362.58038831456173</v>
      </c>
      <c r="L163" s="8">
        <f>L162+K163*Parameters!B$65</f>
        <v>27398.080261815321</v>
      </c>
      <c r="M163" s="7">
        <f>M162+Parameters!$B$45*K163</f>
        <v>16.43884815708919</v>
      </c>
      <c r="N163" s="7">
        <f>'6states'!O163</f>
        <v>0.95181567874461603</v>
      </c>
      <c r="O163" s="7">
        <f>MAX(O162+(Parameters!B$31-K163)*Parameters!B$65,30)</f>
        <v>30</v>
      </c>
      <c r="P163" s="7">
        <f>Parameters!B$61*EXP(-Parameters!B$60*A163)+(1-Parameters!B$61)*(O163/Parameters!B$62)^-Parameters!B$63</f>
        <v>0.53303682564046806</v>
      </c>
      <c r="Q163" s="9">
        <f>1-P163/Parameters!$B$12</f>
        <v>0.73348158717976597</v>
      </c>
      <c r="R163" s="23">
        <f t="shared" si="49"/>
        <v>3.7520859794197312</v>
      </c>
      <c r="S163" s="7">
        <f>(Parameters!$B$19*(E163+Parameters!$B$20)^Q163+Parameters!$B$18*F163^Q163)^(1/Q163)</f>
        <v>0.53736912260693637</v>
      </c>
      <c r="T163" s="7">
        <f>(Parameters!$B$10*G163^Parameters!$B$9 + Parameters!$B$11*S163^Parameters!$B$9) ^ (Parameters!$B$7/Parameters!$B$9) * N163</f>
        <v>1.4548260707900953</v>
      </c>
      <c r="U163" s="7">
        <f t="shared" si="50"/>
        <v>1.1044005049954495</v>
      </c>
      <c r="V163" s="7">
        <f>EXP(-Parameters!$B$55*A163)</f>
        <v>9.0636343861203325E-2</v>
      </c>
      <c r="W163" s="7">
        <f>IF(U163&gt;0,U163^(1-Parameters!$B$52)/(1-Parameters!$B$52)*V163,-10+U163*1000)</f>
        <v>-0.2501151653185934</v>
      </c>
      <c r="X163" s="7"/>
      <c r="Y163" s="7"/>
      <c r="Z163" s="7"/>
      <c r="AA163" s="7"/>
    </row>
    <row r="164" spans="1:27" x14ac:dyDescent="0.25">
      <c r="A164">
        <f>A163+Parameters!$B$65</f>
        <v>160</v>
      </c>
      <c r="B164" s="9">
        <f t="shared" si="52"/>
        <v>5.5238794691412761E-2</v>
      </c>
      <c r="C164" s="9">
        <f t="shared" si="52"/>
        <v>2.532692781448906E-3</v>
      </c>
      <c r="D164" s="7">
        <f t="shared" si="52"/>
        <v>0.29265407832178425</v>
      </c>
      <c r="E164" s="7">
        <f>MAX((1-Parameters!$B$4)^Parameters!B$65*E163+B163*Parameters!B$65-Parameters!$B$5*B163^2/E163*Parameters!B$65,0.0001)</f>
        <v>0.81893203132383896</v>
      </c>
      <c r="F164" s="9">
        <f>(1-Parameters!$B$4)^Parameters!B$65*F163+C163*Parameters!B$65-Parameters!$B$5*C163^2/F163*Parameters!B$65</f>
        <v>3.7687719859478247E-2</v>
      </c>
      <c r="G164" s="7">
        <f>(1-Parameters!$B$4)^Parameters!B$65*G163+D163*Parameters!B$65-Parameters!$B$5*D163^2/G163*Parameters!B$65</f>
        <v>4.3389413751137242</v>
      </c>
      <c r="H164" s="7">
        <f>H163 *(1-Parameters!$B$4)-B163*(B163&lt;0)*Parameters!B$65</f>
        <v>0</v>
      </c>
      <c r="I164" s="7">
        <f>I163*(1+Parameters!$B$51)^Parameters!B$65</f>
        <v>12.969139709907864</v>
      </c>
      <c r="J164" s="7">
        <f>J163*(1+Parameters!$B$53)^Parameters!B$65</f>
        <v>215.1791710077093</v>
      </c>
      <c r="K164" s="23">
        <f>EXP(-Parameters!$B$42*A164)*(Parameters!$B$37/Parameters!$B$38*(E164+H164)/Parameters!$B$25*(EXP(-Parameters!$B$38*Parameters!$E$25*H164/(E164+H164))-EXP(-Parameters!$B$38*Parameters!$E$25))  +  Parameters!$B$39*E164*Parameters!$B$28*Parameters!$B$29*EXP((Parameters!$B$53+Parameters!$B$51)*A164))</f>
        <v>367.24826884841366</v>
      </c>
      <c r="L164" s="8">
        <f>L163+K164*Parameters!B$65</f>
        <v>27765.328530663734</v>
      </c>
      <c r="M164" s="7">
        <f>M163+Parameters!$B$45*K164</f>
        <v>16.659197118398239</v>
      </c>
      <c r="N164" s="7">
        <f>'6states'!O164</f>
        <v>0.95181457913870104</v>
      </c>
      <c r="O164" s="7">
        <f>MAX(O163+(Parameters!B$31-K164)*Parameters!B$65,30)</f>
        <v>30</v>
      </c>
      <c r="P164" s="7">
        <f>Parameters!B$61*EXP(-Parameters!B$60*A164)+(1-Parameters!B$61)*(O164/Parameters!B$62)^-Parameters!B$63</f>
        <v>0.53285483134568457</v>
      </c>
      <c r="Q164" s="9">
        <f>1-P164/Parameters!$B$12</f>
        <v>0.73357258432715766</v>
      </c>
      <c r="R164" s="23">
        <f t="shared" si="49"/>
        <v>3.753367488381687</v>
      </c>
      <c r="S164" s="7">
        <f>(Parameters!$B$19*(E164+Parameters!$B$20)^Q164+Parameters!$B$18*F164^Q164)^(1/Q164)</f>
        <v>0.53738512959181073</v>
      </c>
      <c r="T164" s="7">
        <f>(Parameters!$B$10*G164^Parameters!$B$9 + Parameters!$B$11*S164^Parameters!$B$9) ^ (Parameters!$B$7/Parameters!$B$9) * N164</f>
        <v>1.4548265159696425</v>
      </c>
      <c r="U164" s="7">
        <f t="shared" si="50"/>
        <v>1.1044009501749965</v>
      </c>
      <c r="V164" s="7">
        <f>EXP(-Parameters!$B$55*A164)</f>
        <v>8.9278016251610026E-2</v>
      </c>
      <c r="W164" s="7">
        <f>IF(U164&gt;0,U164^(1-Parameters!$B$52)/(1-Parameters!$B$52)*V164,-10+U164*1000)</f>
        <v>-0.24636676296117851</v>
      </c>
      <c r="X164" s="7"/>
      <c r="Y164" s="7"/>
      <c r="Z164" s="7"/>
      <c r="AA164" s="7"/>
    </row>
    <row r="165" spans="1:27" x14ac:dyDescent="0.25">
      <c r="A165">
        <f>A164+Parameters!$B$65</f>
        <v>161</v>
      </c>
      <c r="B165" s="9">
        <f t="shared" si="52"/>
        <v>5.5238794691412761E-2</v>
      </c>
      <c r="C165" s="9">
        <f t="shared" si="52"/>
        <v>2.532692781448906E-3</v>
      </c>
      <c r="D165" s="7">
        <f t="shared" si="52"/>
        <v>0.29265407832178425</v>
      </c>
      <c r="E165" s="7">
        <f>MAX((1-Parameters!$B$4)^Parameters!B$65*E164+B164*Parameters!B$65-Parameters!$B$5*B164^2/E164*Parameters!B$65,0.0001)</f>
        <v>0.81893402116086289</v>
      </c>
      <c r="F165" s="9">
        <f>(1-Parameters!$B$4)^Parameters!B$65*F164+C164*Parameters!B$65-Parameters!$B$5*C164^2/F164*Parameters!B$65</f>
        <v>3.7679652864628009E-2</v>
      </c>
      <c r="G165" s="7">
        <f>(1-Parameters!$B$4)^Parameters!B$65*G164+D164*Parameters!B$65-Parameters!$B$5*D164^2/G164*Parameters!B$65</f>
        <v>4.3389370303956554</v>
      </c>
      <c r="H165" s="7">
        <f>H164 *(1-Parameters!$B$4)-B164*(B164&lt;0)*Parameters!B$65</f>
        <v>0</v>
      </c>
      <c r="I165" s="7">
        <f>I164*(1+Parameters!$B$51)^Parameters!B$65</f>
        <v>13.006750215066596</v>
      </c>
      <c r="J165" s="7">
        <f>J164*(1+Parameters!$B$53)^Parameters!B$65</f>
        <v>219.48275442786348</v>
      </c>
      <c r="K165" s="23">
        <f>EXP(-Parameters!$B$42*A165)*(Parameters!$B$37/Parameters!$B$38*(E165+H165)/Parameters!$B$25*(EXP(-Parameters!$B$38*Parameters!$E$25*H165/(E165+H165))-EXP(-Parameters!$B$38*Parameters!$E$25))  +  Parameters!$B$39*E165*Parameters!$B$28*Parameters!$B$29*EXP((Parameters!$B$53+Parameters!$B$51)*A165))</f>
        <v>371.97711569882819</v>
      </c>
      <c r="L165" s="8">
        <f>L164+K165*Parameters!B$65</f>
        <v>28137.305646362562</v>
      </c>
      <c r="M165" s="7">
        <f>M164+Parameters!$B$45*K165</f>
        <v>16.882383387817537</v>
      </c>
      <c r="N165" s="7">
        <f>'6states'!O165</f>
        <v>0.95181346546866996</v>
      </c>
      <c r="O165" s="7">
        <f>MAX(O164+(Parameters!B$31-K165)*Parameters!B$65,30)</f>
        <v>30</v>
      </c>
      <c r="P165" s="7">
        <f>Parameters!B$61*EXP(-Parameters!B$60*A165)+(1-Parameters!B$61)*(O165/Parameters!B$62)^-Parameters!B$63</f>
        <v>0.53267768515296376</v>
      </c>
      <c r="Q165" s="9">
        <f>1-P165/Parameters!$B$12</f>
        <v>0.73366115742351812</v>
      </c>
      <c r="R165" s="23">
        <f t="shared" si="49"/>
        <v>3.7546157005350804</v>
      </c>
      <c r="S165" s="7">
        <f>(Parameters!$B$19*(E165+Parameters!$B$20)^Q165+Parameters!$B$18*F165^Q165)^(1/Q165)</f>
        <v>0.53740083675296213</v>
      </c>
      <c r="T165" s="7">
        <f>(Parameters!$B$10*G165^Parameters!$B$9 + Parameters!$B$11*S165^Parameters!$B$9) ^ (Parameters!$B$7/Parameters!$B$9) * N165</f>
        <v>1.4548269143586443</v>
      </c>
      <c r="U165" s="7">
        <f t="shared" si="50"/>
        <v>1.1044013485639983</v>
      </c>
      <c r="V165" s="7">
        <f>EXP(-Parameters!$B$55*A165)</f>
        <v>8.7940045309291504E-2</v>
      </c>
      <c r="W165" s="7">
        <f>IF(U165&gt;0,U165^(1-Parameters!$B$52)/(1-Parameters!$B$52)*V165,-10+U165*1000)</f>
        <v>-0.24267454040502442</v>
      </c>
      <c r="X165" s="7"/>
      <c r="Y165" s="7"/>
      <c r="Z165" s="7"/>
      <c r="AA165" s="7"/>
    </row>
    <row r="166" spans="1:27" x14ac:dyDescent="0.25">
      <c r="A166">
        <f>A165+Parameters!$B$65</f>
        <v>162</v>
      </c>
      <c r="B166" s="9">
        <f t="shared" si="52"/>
        <v>5.5238794691412761E-2</v>
      </c>
      <c r="C166" s="9">
        <f t="shared" si="52"/>
        <v>2.532692781448906E-3</v>
      </c>
      <c r="D166" s="7">
        <f t="shared" si="52"/>
        <v>0.29265407832178425</v>
      </c>
      <c r="E166" s="7">
        <f>MAX((1-Parameters!$B$4)^Parameters!B$65*E165+B165*Parameters!B$65-Parameters!$B$5*B165^2/E165*Parameters!B$65,0.0001)</f>
        <v>0.81893589489048413</v>
      </c>
      <c r="F166" s="9">
        <f>(1-Parameters!$B$4)^Parameters!B$65*F165+C165*Parameters!B$65-Parameters!$B$5*C165^2/F165*Parameters!B$65</f>
        <v>3.7672056844451907E-2</v>
      </c>
      <c r="G166" s="7">
        <f>(1-Parameters!$B$4)^Parameters!B$65*G165+D165*Parameters!B$65-Parameters!$B$5*D165^2/G165*Parameters!B$65</f>
        <v>4.3389329391950433</v>
      </c>
      <c r="H166" s="7">
        <f>H165 *(1-Parameters!$B$4)-B165*(B165&lt;0)*Parameters!B$65</f>
        <v>0</v>
      </c>
      <c r="I166" s="7">
        <f>I165*(1+Parameters!$B$51)^Parameters!B$65</f>
        <v>13.044469790690288</v>
      </c>
      <c r="J166" s="7">
        <f>J165*(1+Parameters!$B$53)^Parameters!B$65</f>
        <v>223.87240951642076</v>
      </c>
      <c r="K166" s="23">
        <f>EXP(-Parameters!$B$42*A166)*(Parameters!$B$37/Parameters!$B$38*(E166+H166)/Parameters!$B$25*(EXP(-Parameters!$B$38*Parameters!$E$25*H166/(E166+H166))-EXP(-Parameters!$B$38*Parameters!$E$25))  +  Parameters!$B$39*E166*Parameters!$B$28*Parameters!$B$29*EXP((Parameters!$B$53+Parameters!$B$51)*A166))</f>
        <v>376.76771843622896</v>
      </c>
      <c r="L166" s="8">
        <f>L165+K166*Parameters!B$65</f>
        <v>28514.073364798791</v>
      </c>
      <c r="M166" s="7">
        <f>M165+Parameters!$B$45*K166</f>
        <v>17.108444018879275</v>
      </c>
      <c r="N166" s="7">
        <f>'6states'!O166</f>
        <v>0.95181233755448813</v>
      </c>
      <c r="O166" s="7">
        <f>MAX(O165+(Parameters!B$31-K166)*Parameters!B$65,30)</f>
        <v>30</v>
      </c>
      <c r="P166" s="7">
        <f>Parameters!B$61*EXP(-Parameters!B$60*A166)+(1-Parameters!B$61)*(O166/Parameters!B$62)^-Parameters!B$63</f>
        <v>0.53250525791488568</v>
      </c>
      <c r="Q166" s="9">
        <f>1-P166/Parameters!$B$12</f>
        <v>0.73374737104255716</v>
      </c>
      <c r="R166" s="23">
        <f t="shared" si="49"/>
        <v>3.7558314594513829</v>
      </c>
      <c r="S166" s="7">
        <f>(Parameters!$B$19*(E166+Parameters!$B$20)^Q166+Parameters!$B$18*F166^Q166)^(1/Q166)</f>
        <v>0.53741624459121262</v>
      </c>
      <c r="T166" s="7">
        <f>(Parameters!$B$10*G166^Parameters!$B$9 + Parameters!$B$11*S166^Parameters!$B$9) ^ (Parameters!$B$7/Parameters!$B$9) * N166</f>
        <v>1.4548272645031644</v>
      </c>
      <c r="U166" s="7">
        <f t="shared" si="50"/>
        <v>1.1044016987085183</v>
      </c>
      <c r="V166" s="7">
        <f>EXP(-Parameters!$B$55*A166)</f>
        <v>8.6622125957696541E-2</v>
      </c>
      <c r="W166" s="7">
        <f>IF(U166&gt;0,U166^(1-Parameters!$B$52)/(1-Parameters!$B$52)*V166,-10+U166*1000)</f>
        <v>-0.23903765570226521</v>
      </c>
      <c r="X166" s="7"/>
      <c r="Y166" s="7"/>
      <c r="Z166" s="7"/>
      <c r="AA166" s="7"/>
    </row>
    <row r="167" spans="1:27" x14ac:dyDescent="0.25">
      <c r="A167">
        <f>A166+Parameters!$B$65</f>
        <v>163</v>
      </c>
      <c r="B167" s="9">
        <f t="shared" si="52"/>
        <v>5.5238794691412761E-2</v>
      </c>
      <c r="C167" s="9">
        <f t="shared" si="52"/>
        <v>2.532692781448906E-3</v>
      </c>
      <c r="D167" s="7">
        <f t="shared" si="52"/>
        <v>0.29265407832178425</v>
      </c>
      <c r="E167" s="7">
        <f>MAX((1-Parameters!$B$4)^Parameters!B$65*E166+B166*Parameters!B$65-Parameters!$B$5*B166^2/E166*Parameters!B$65,0.0001)</f>
        <v>0.81893765928755358</v>
      </c>
      <c r="F167" s="9">
        <f>(1-Parameters!$B$4)^Parameters!B$65*F166+C166*Parameters!B$65-Parameters!$B$5*C166^2/F166*Parameters!B$65</f>
        <v>3.7664904287809664E-2</v>
      </c>
      <c r="G167" s="7">
        <f>(1-Parameters!$B$4)^Parameters!B$65*G166+D166*Parameters!B$65-Parameters!$B$5*D166^2/G166*Parameters!B$65</f>
        <v>4.3389290867189239</v>
      </c>
      <c r="H167" s="7">
        <f>H166 *(1-Parameters!$B$4)-B166*(B166&lt;0)*Parameters!B$65</f>
        <v>0</v>
      </c>
      <c r="I167" s="7">
        <f>I166*(1+Parameters!$B$51)^Parameters!B$65</f>
        <v>13.082298753083288</v>
      </c>
      <c r="J167" s="7">
        <f>J166*(1+Parameters!$B$53)^Parameters!B$65</f>
        <v>228.34985770674919</v>
      </c>
      <c r="K167" s="23">
        <f>EXP(-Parameters!$B$42*A167)*(Parameters!$B$37/Parameters!$B$38*(E167+H167)/Parameters!$B$25*(EXP(-Parameters!$B$38*Parameters!$E$25*H167/(E167+H167))-EXP(-Parameters!$B$38*Parameters!$E$25))  +  Parameters!$B$39*E167*Parameters!$B$28*Parameters!$B$29*EXP((Parameters!$B$53+Parameters!$B$51)*A167))</f>
        <v>381.62087682802382</v>
      </c>
      <c r="L167" s="8">
        <f>L166+K167*Parameters!B$65</f>
        <v>28895.694241626814</v>
      </c>
      <c r="M167" s="7">
        <f>M166+Parameters!$B$45*K167</f>
        <v>17.33741654497609</v>
      </c>
      <c r="N167" s="7">
        <f>'6states'!O167</f>
        <v>0.95181119521381219</v>
      </c>
      <c r="O167" s="7">
        <f>MAX(O166+(Parameters!B$31-K167)*Parameters!B$65,30)</f>
        <v>30</v>
      </c>
      <c r="P167" s="7">
        <f>Parameters!B$61*EXP(-Parameters!B$60*A167)+(1-Parameters!B$61)*(O167/Parameters!B$62)^-Parameters!B$63</f>
        <v>0.53233742392435746</v>
      </c>
      <c r="Q167" s="9">
        <f>1-P167/Parameters!$B$12</f>
        <v>0.73383128803782127</v>
      </c>
      <c r="R167" s="23">
        <f t="shared" si="49"/>
        <v>3.7570155884516399</v>
      </c>
      <c r="S167" s="7">
        <f>(Parameters!$B$19*(E167+Parameters!$B$20)^Q167+Parameters!$B$18*F167^Q167)^(1/Q167)</f>
        <v>0.53743135403861864</v>
      </c>
      <c r="T167" s="7">
        <f>(Parameters!$B$10*G167^Parameters!$B$9 + Parameters!$B$11*S167^Parameters!$B$9) ^ (Parameters!$B$7/Parameters!$B$9) * N167</f>
        <v>1.4548275650869993</v>
      </c>
      <c r="U167" s="7">
        <f t="shared" si="50"/>
        <v>1.1044019992923535</v>
      </c>
      <c r="V167" s="7">
        <f>EXP(-Parameters!$B$55*A167)</f>
        <v>8.5323957692323968E-2</v>
      </c>
      <c r="W167" s="7">
        <f>IF(U167&gt;0,U167^(1-Parameters!$B$52)/(1-Parameters!$B$52)*V167,-10+U167*1000)</f>
        <v>-0.23545527951025522</v>
      </c>
      <c r="X167" s="7"/>
      <c r="Y167" s="7"/>
      <c r="Z167" s="7"/>
      <c r="AA167" s="7"/>
    </row>
    <row r="168" spans="1:27" x14ac:dyDescent="0.25">
      <c r="A168">
        <f>A167+Parameters!$B$65</f>
        <v>164</v>
      </c>
      <c r="B168" s="9">
        <f t="shared" si="52"/>
        <v>5.5238794691412761E-2</v>
      </c>
      <c r="C168" s="9">
        <f t="shared" si="52"/>
        <v>2.532692781448906E-3</v>
      </c>
      <c r="D168" s="7">
        <f t="shared" si="52"/>
        <v>0.29265407832178425</v>
      </c>
      <c r="E168" s="7">
        <f>MAX((1-Parameters!$B$4)^Parameters!B$65*E167+B167*Parameters!B$65-Parameters!$B$5*B167^2/E167*Parameters!B$65,0.0001)</f>
        <v>0.81893932073161468</v>
      </c>
      <c r="F168" s="9">
        <f>(1-Parameters!$B$4)^Parameters!B$65*F167+C167*Parameters!B$65-Parameters!$B$5*C167^2/F167*Parameters!B$65</f>
        <v>3.765816929218388E-2</v>
      </c>
      <c r="G168" s="7">
        <f>(1-Parameters!$B$4)^Parameters!B$65*G167+D167*Parameters!B$65-Parameters!$B$5*D167^2/G167*Parameters!B$65</f>
        <v>4.3389254590375197</v>
      </c>
      <c r="H168" s="7">
        <f>H167 *(1-Parameters!$B$4)-B167*(B167&lt;0)*Parameters!B$65</f>
        <v>0</v>
      </c>
      <c r="I168" s="7">
        <f>I167*(1+Parameters!$B$51)^Parameters!B$65</f>
        <v>13.120237419467228</v>
      </c>
      <c r="J168" s="7">
        <f>J167*(1+Parameters!$B$53)^Parameters!B$65</f>
        <v>232.91685486088417</v>
      </c>
      <c r="K168" s="23">
        <f>EXP(-Parameters!$B$42*A168)*(Parameters!$B$37/Parameters!$B$38*(E168+H168)/Parameters!$B$25*(EXP(-Parameters!$B$38*Parameters!$E$25*H168/(E168+H168))-EXP(-Parameters!$B$38*Parameters!$E$25))  +  Parameters!$B$39*E168*Parameters!$B$28*Parameters!$B$29*EXP((Parameters!$B$53+Parameters!$B$51)*A168))</f>
        <v>386.53740097499883</v>
      </c>
      <c r="L168" s="8">
        <f>L167+K168*Parameters!B$65</f>
        <v>29282.231642601811</v>
      </c>
      <c r="M168" s="7">
        <f>M167+Parameters!$B$45*K168</f>
        <v>17.569338985561089</v>
      </c>
      <c r="N168" s="7">
        <f>'6states'!O168</f>
        <v>0.95181003826196042</v>
      </c>
      <c r="O168" s="7">
        <f>MAX(O167+(Parameters!B$31-K168)*Parameters!B$65,30)</f>
        <v>30</v>
      </c>
      <c r="P168" s="7">
        <f>Parameters!B$61*EXP(-Parameters!B$60*A168)+(1-Parameters!B$61)*(O168/Parameters!B$62)^-Parameters!B$63</f>
        <v>0.53217406082296692</v>
      </c>
      <c r="Q168" s="9">
        <f>1-P168/Parameters!$B$12</f>
        <v>0.73391296958851648</v>
      </c>
      <c r="R168" s="23">
        <f t="shared" si="49"/>
        <v>3.7581688910337925</v>
      </c>
      <c r="S168" s="7">
        <f>(Parameters!$B$19*(E168+Parameters!$B$20)^Q168+Parameters!$B$18*F168^Q168)^(1/Q168)</f>
        <v>0.53744616642044085</v>
      </c>
      <c r="T168" s="7">
        <f>(Parameters!$B$10*G168^Parameters!$B$9 + Parameters!$B$11*S168^Parameters!$B$9) ^ (Parameters!$B$7/Parameters!$B$9) * N168</f>
        <v>1.4548278149213285</v>
      </c>
      <c r="U168" s="7">
        <f t="shared" si="50"/>
        <v>1.1044022491266827</v>
      </c>
      <c r="V168" s="7">
        <f>EXP(-Parameters!$B$55*A168)</f>
        <v>8.4045244512203479E-2</v>
      </c>
      <c r="W168" s="7">
        <f>IF(U168&gt;0,U168^(1-Parameters!$B$52)/(1-Parameters!$B$52)*V168,-10+U168*1000)</f>
        <v>-0.23192659490413634</v>
      </c>
      <c r="X168" s="7"/>
      <c r="Y168" s="7"/>
      <c r="Z168" s="7"/>
      <c r="AA168" s="7"/>
    </row>
    <row r="169" spans="1:27" x14ac:dyDescent="0.25">
      <c r="A169">
        <f>A168+Parameters!$B$65</f>
        <v>165</v>
      </c>
      <c r="B169" s="9">
        <f t="shared" si="52"/>
        <v>5.5238794691412761E-2</v>
      </c>
      <c r="C169" s="9">
        <f t="shared" si="52"/>
        <v>2.532692781448906E-3</v>
      </c>
      <c r="D169" s="7">
        <f t="shared" si="52"/>
        <v>0.29265407832178425</v>
      </c>
      <c r="E169" s="7">
        <f>MAX((1-Parameters!$B$4)^Parameters!B$65*E168+B168*Parameters!B$65-Parameters!$B$5*B168^2/E168*Parameters!B$65,0.0001)</f>
        <v>0.81894088522996966</v>
      </c>
      <c r="F169" s="9">
        <f>(1-Parameters!$B$4)^Parameters!B$65*F168+C168*Parameters!B$65-Parameters!$B$5*C168^2/F168*Parameters!B$65</f>
        <v>3.7651827469440062E-2</v>
      </c>
      <c r="G169" s="7">
        <f>(1-Parameters!$B$4)^Parameters!B$65*G168+D168*Parameters!B$65-Parameters!$B$5*D168^2/G168*Parameters!B$65</f>
        <v>4.3389220430338709</v>
      </c>
      <c r="H169" s="7">
        <f>H168 *(1-Parameters!$B$4)-B168*(B168&lt;0)*Parameters!B$65</f>
        <v>0</v>
      </c>
      <c r="I169" s="7">
        <f>I168*(1+Parameters!$B$51)^Parameters!B$65</f>
        <v>13.158286107983683</v>
      </c>
      <c r="J169" s="7">
        <f>J168*(1+Parameters!$B$53)^Parameters!B$65</f>
        <v>237.57519195810187</v>
      </c>
      <c r="K169" s="23">
        <f>EXP(-Parameters!$B$42*A169)*(Parameters!$B$37/Parameters!$B$38*(E169+H169)/Parameters!$B$25*(EXP(-Parameters!$B$38*Parameters!$E$25*H169/(E169+H169))-EXP(-Parameters!$B$38*Parameters!$E$25))  +  Parameters!$B$39*E169*Parameters!$B$28*Parameters!$B$29*EXP((Parameters!$B$53+Parameters!$B$51)*A169))</f>
        <v>391.51811144928553</v>
      </c>
      <c r="L169" s="8">
        <f>L168+K169*Parameters!B$65</f>
        <v>29673.749754051096</v>
      </c>
      <c r="M169" s="7">
        <f>M168+Parameters!$B$45*K169</f>
        <v>17.804249852430662</v>
      </c>
      <c r="N169" s="7">
        <f>'6states'!O169</f>
        <v>0.95180886651188312</v>
      </c>
      <c r="O169" s="7">
        <f>MAX(O168+(Parameters!B$31-K169)*Parameters!B$65,30)</f>
        <v>30</v>
      </c>
      <c r="P169" s="7">
        <f>Parameters!B$61*EXP(-Parameters!B$60*A169)+(1-Parameters!B$61)*(O169/Parameters!B$62)^-Parameters!B$63</f>
        <v>0.53201504951177814</v>
      </c>
      <c r="Q169" s="9">
        <f>1-P169/Parameters!$B$12</f>
        <v>0.73399247524411093</v>
      </c>
      <c r="R169" s="23">
        <f t="shared" si="49"/>
        <v>3.7592921512941571</v>
      </c>
      <c r="S169" s="7">
        <f>(Parameters!$B$19*(E169+Parameters!$B$20)^Q169+Parameters!$B$18*F169^Q169)^(1/Q169)</f>
        <v>0.5374606834197263</v>
      </c>
      <c r="T169" s="7">
        <f>(Parameters!$B$10*G169^Parameters!$B$9 + Parameters!$B$11*S169^Parameters!$B$9) ^ (Parameters!$B$7/Parameters!$B$9) * N169</f>
        <v>1.4548280129350284</v>
      </c>
      <c r="U169" s="7">
        <f t="shared" si="50"/>
        <v>1.1044024471403824</v>
      </c>
      <c r="V169" s="7">
        <f>EXP(-Parameters!$B$55*A169)</f>
        <v>8.2785694852402933E-2</v>
      </c>
      <c r="W169" s="7">
        <f>IF(U169&gt;0,U169^(1-Parameters!$B$52)/(1-Parameters!$B$52)*V169,-10+U169*1000)</f>
        <v>-0.22845079719208083</v>
      </c>
      <c r="X169" s="7"/>
      <c r="Y169" s="7"/>
      <c r="Z169" s="7"/>
      <c r="AA169" s="7"/>
    </row>
    <row r="170" spans="1:27" x14ac:dyDescent="0.25">
      <c r="A170">
        <f>A169+Parameters!$B$65</f>
        <v>166</v>
      </c>
      <c r="B170" s="9">
        <f t="shared" ref="B170:D185" si="53">B169</f>
        <v>5.5238794691412761E-2</v>
      </c>
      <c r="C170" s="9">
        <f t="shared" si="53"/>
        <v>2.532692781448906E-3</v>
      </c>
      <c r="D170" s="7">
        <f t="shared" si="53"/>
        <v>0.29265407832178425</v>
      </c>
      <c r="E170" s="7">
        <f>MAX((1-Parameters!$B$4)^Parameters!B$65*E169+B169*Parameters!B$65-Parameters!$B$5*B169^2/E169*Parameters!B$65,0.0001)</f>
        <v>0.81894235843939844</v>
      </c>
      <c r="F170" s="9">
        <f>(1-Parameters!$B$4)^Parameters!B$65*F169+C169*Parameters!B$65-Parameters!$B$5*C169^2/F169*Parameters!B$65</f>
        <v>3.7645855857127999E-2</v>
      </c>
      <c r="G170" s="7">
        <f>(1-Parameters!$B$4)^Parameters!B$65*G169+D169*Parameters!B$65-Parameters!$B$5*D169^2/G169*Parameters!B$65</f>
        <v>4.338918826356406</v>
      </c>
      <c r="H170" s="7">
        <f>H169 *(1-Parameters!$B$4)-B169*(B169&lt;0)*Parameters!B$65</f>
        <v>0</v>
      </c>
      <c r="I170" s="7">
        <f>I169*(1+Parameters!$B$51)^Parameters!B$65</f>
        <v>13.196445137696834</v>
      </c>
      <c r="J170" s="7">
        <f>J169*(1+Parameters!$B$53)^Parameters!B$65</f>
        <v>242.32669579726391</v>
      </c>
      <c r="K170" s="23">
        <f>EXP(-Parameters!$B$42*A170)*(Parameters!$B$37/Parameters!$B$38*(E170+H170)/Parameters!$B$25*(EXP(-Parameters!$B$38*Parameters!$E$25*H170/(E170+H170))-EXP(-Parameters!$B$38*Parameters!$E$25))  +  Parameters!$B$39*E170*Parameters!$B$28*Parameters!$B$29*EXP((Parameters!$B$53+Parameters!$B$51)*A170))</f>
        <v>396.56383943392194</v>
      </c>
      <c r="L170" s="8">
        <f>L169+K170*Parameters!B$65</f>
        <v>30070.313593485018</v>
      </c>
      <c r="M170" s="7">
        <f>M169+Parameters!$B$45*K170</f>
        <v>18.042188156091015</v>
      </c>
      <c r="N170" s="7">
        <f>'6states'!O170</f>
        <v>0.95180767977413139</v>
      </c>
      <c r="O170" s="7">
        <f>MAX(O169+(Parameters!B$31-K170)*Parameters!B$65,30)</f>
        <v>30</v>
      </c>
      <c r="P170" s="7">
        <f>Parameters!B$61*EXP(-Parameters!B$60*A170)+(1-Parameters!B$61)*(O170/Parameters!B$62)^-Parameters!B$63</f>
        <v>0.53186027406450298</v>
      </c>
      <c r="Q170" s="9">
        <f>1-P170/Parameters!$B$12</f>
        <v>0.73406986296774845</v>
      </c>
      <c r="R170" s="23">
        <f t="shared" si="49"/>
        <v>3.7603861343429523</v>
      </c>
      <c r="S170" s="7">
        <f>(Parameters!$B$19*(E170+Parameters!$B$20)^Q170+Parameters!$B$18*F170^Q170)^(1/Q170)</f>
        <v>0.53747490704432765</v>
      </c>
      <c r="T170" s="7">
        <f>(Parameters!$B$10*G170^Parameters!$B$9 + Parameters!$B$11*S170^Parameters!$B$9) ^ (Parameters!$B$7/Parameters!$B$9) * N170</f>
        <v>1.4548281581656104</v>
      </c>
      <c r="U170" s="7">
        <f t="shared" si="50"/>
        <v>1.1044025923709646</v>
      </c>
      <c r="V170" s="7">
        <f>EXP(-Parameters!$B$55*A170)</f>
        <v>8.1545021517547445E-2</v>
      </c>
      <c r="W170" s="7">
        <f>IF(U170&gt;0,U170^(1-Parameters!$B$52)/(1-Parameters!$B$52)*V170,-10+U170*1000)</f>
        <v>-0.22502709373318452</v>
      </c>
      <c r="X170" s="7"/>
      <c r="Y170" s="7"/>
      <c r="Z170" s="7"/>
      <c r="AA170" s="7"/>
    </row>
    <row r="171" spans="1:27" x14ac:dyDescent="0.25">
      <c r="A171">
        <f>A170+Parameters!$B$65</f>
        <v>167</v>
      </c>
      <c r="B171" s="9">
        <f t="shared" si="53"/>
        <v>5.5238794691412761E-2</v>
      </c>
      <c r="C171" s="9">
        <f t="shared" si="53"/>
        <v>2.532692781448906E-3</v>
      </c>
      <c r="D171" s="7">
        <f t="shared" si="53"/>
        <v>0.29265407832178425</v>
      </c>
      <c r="E171" s="7">
        <f>MAX((1-Parameters!$B$4)^Parameters!B$65*E170+B170*Parameters!B$65-Parameters!$B$5*B170^2/E170*Parameters!B$65,0.0001)</f>
        <v>0.81894374568661099</v>
      </c>
      <c r="F171" s="9">
        <f>(1-Parameters!$B$4)^Parameters!B$65*F170+C170*Parameters!B$65-Parameters!$B$5*C170^2/F170*Parameters!B$65</f>
        <v>3.7640232834996228E-2</v>
      </c>
      <c r="G171" s="7">
        <f>(1-Parameters!$B$4)^Parameters!B$65*G170+D170*Parameters!B$65-Parameters!$B$5*D170^2/G170*Parameters!B$65</f>
        <v>4.3389157973742822</v>
      </c>
      <c r="H171" s="7">
        <f>H170 *(1-Parameters!$B$4)-B170*(B170&lt;0)*Parameters!B$65</f>
        <v>0</v>
      </c>
      <c r="I171" s="7">
        <f>I170*(1+Parameters!$B$51)^Parameters!B$65</f>
        <v>13.234714828596154</v>
      </c>
      <c r="J171" s="7">
        <f>J170*(1+Parameters!$B$53)^Parameters!B$65</f>
        <v>247.1732297132092</v>
      </c>
      <c r="K171" s="23">
        <f>EXP(-Parameters!$B$42*A171)*(Parameters!$B$37/Parameters!$B$38*(E171+H171)/Parameters!$B$25*(EXP(-Parameters!$B$38*Parameters!$E$25*H171/(E171+H171))-EXP(-Parameters!$B$38*Parameters!$E$25))  +  Parameters!$B$39*E171*Parameters!$B$28*Parameters!$B$29*EXP((Parameters!$B$53+Parameters!$B$51)*A171))</f>
        <v>401.67542686404738</v>
      </c>
      <c r="L171" s="8">
        <f>L170+K171*Parameters!B$65</f>
        <v>30471.989020349065</v>
      </c>
      <c r="M171" s="7">
        <f>M170+Parameters!$B$45*K171</f>
        <v>18.283193412209442</v>
      </c>
      <c r="N171" s="7">
        <f>'6states'!O171</f>
        <v>0.95180647785682693</v>
      </c>
      <c r="O171" s="7">
        <f>MAX(O170+(Parameters!B$31-K171)*Parameters!B$65,30)</f>
        <v>30</v>
      </c>
      <c r="P171" s="7">
        <f>Parameters!B$61*EXP(-Parameters!B$60*A171)+(1-Parameters!B$61)*(O171/Parameters!B$62)^-Parameters!B$63</f>
        <v>0.53170962164298585</v>
      </c>
      <c r="Q171" s="9">
        <f>1-P171/Parameters!$B$12</f>
        <v>0.73414518917850713</v>
      </c>
      <c r="R171" s="23">
        <f t="shared" si="49"/>
        <v>3.7614515867137945</v>
      </c>
      <c r="S171" s="7">
        <f>(Parameters!$B$19*(E171+Parameters!$B$20)^Q171+Parameters!$B$18*F171^Q171)^(1/Q171)</f>
        <v>0.53748883959621041</v>
      </c>
      <c r="T171" s="7">
        <f>(Parameters!$B$10*G171^Parameters!$B$9 + Parameters!$B$11*S171^Parameters!$B$9) ^ (Parameters!$B$7/Parameters!$B$9) * N171</f>
        <v>1.454828249750745</v>
      </c>
      <c r="U171" s="7">
        <f t="shared" si="50"/>
        <v>1.1044026839560992</v>
      </c>
      <c r="V171" s="7">
        <f>EXP(-Parameters!$B$55*A171)</f>
        <v>8.0322941616334922E-2</v>
      </c>
      <c r="W171" s="7">
        <f>IF(U171&gt;0,U171^(1-Parameters!$B$52)/(1-Parameters!$B$52)*V171,-10+U171*1000)</f>
        <v>-0.22165470375797838</v>
      </c>
      <c r="X171" s="7"/>
      <c r="Y171" s="7"/>
      <c r="Z171" s="7"/>
      <c r="AA171" s="7"/>
    </row>
    <row r="172" spans="1:27" x14ac:dyDescent="0.25">
      <c r="A172">
        <f>A171+Parameters!$B$65</f>
        <v>168</v>
      </c>
      <c r="B172" s="9">
        <f t="shared" si="53"/>
        <v>5.5238794691412761E-2</v>
      </c>
      <c r="C172" s="9">
        <f t="shared" si="53"/>
        <v>2.532692781448906E-3</v>
      </c>
      <c r="D172" s="7">
        <f t="shared" si="53"/>
        <v>0.29265407832178425</v>
      </c>
      <c r="E172" s="7">
        <f>MAX((1-Parameters!$B$4)^Parameters!B$65*E171+B171*Parameters!B$65-Parameters!$B$5*B171^2/E171*Parameters!B$65,0.0001)</f>
        <v>0.81894505198750678</v>
      </c>
      <c r="F172" s="9">
        <f>(1-Parameters!$B$4)^Parameters!B$65*F171+C171*Parameters!B$65-Parameters!$B$5*C171^2/F171*Parameters!B$65</f>
        <v>3.7634938046411354E-2</v>
      </c>
      <c r="G172" s="7">
        <f>(1-Parameters!$B$4)^Parameters!B$65*G171+D171*Parameters!B$65-Parameters!$B$5*D171^2/G171*Parameters!B$65</f>
        <v>4.3389129451353279</v>
      </c>
      <c r="H172" s="7">
        <f>H171 *(1-Parameters!$B$4)-B171*(B171&lt;0)*Parameters!B$65</f>
        <v>0</v>
      </c>
      <c r="I172" s="7">
        <f>I171*(1+Parameters!$B$51)^Parameters!B$65</f>
        <v>13.273095501599082</v>
      </c>
      <c r="J172" s="7">
        <f>J171*(1+Parameters!$B$53)^Parameters!B$65</f>
        <v>252.11669430747338</v>
      </c>
      <c r="K172" s="23">
        <f>EXP(-Parameters!$B$42*A172)*(Parameters!$B$37/Parameters!$B$38*(E172+H172)/Parameters!$B$25*(EXP(-Parameters!$B$38*Parameters!$E$25*H172/(E172+H172))-EXP(-Parameters!$B$38*Parameters!$E$25))  +  Parameters!$B$39*E172*Parameters!$B$28*Parameters!$B$29*EXP((Parameters!$B$53+Parameters!$B$51)*A172))</f>
        <v>406.85372656975323</v>
      </c>
      <c r="L172" s="8">
        <f>L171+K172*Parameters!B$65</f>
        <v>30878.842746918817</v>
      </c>
      <c r="M172" s="7">
        <f>M171+Parameters!$B$45*K172</f>
        <v>18.527305648151295</v>
      </c>
      <c r="N172" s="7">
        <f>'6states'!O172</f>
        <v>0.9518052605656302</v>
      </c>
      <c r="O172" s="7">
        <f>MAX(O171+(Parameters!B$31-K172)*Parameters!B$65,30)</f>
        <v>30</v>
      </c>
      <c r="P172" s="7">
        <f>Parameters!B$61*EXP(-Parameters!B$60*A172)+(1-Parameters!B$61)*(O172/Parameters!B$62)^-Parameters!B$63</f>
        <v>0.53156298241493916</v>
      </c>
      <c r="Q172" s="9">
        <f>1-P172/Parameters!$B$12</f>
        <v>0.73421850879253037</v>
      </c>
      <c r="R172" s="23">
        <f t="shared" si="49"/>
        <v>3.7624892367670468</v>
      </c>
      <c r="S172" s="7">
        <f>(Parameters!$B$19*(E172+Parameters!$B$20)^Q172+Parameters!$B$18*F172^Q172)^(1/Q172)</f>
        <v>0.53750248364289865</v>
      </c>
      <c r="T172" s="7">
        <f>(Parameters!$B$10*G172^Parameters!$B$9 + Parameters!$B$11*S172^Parameters!$B$9) ^ (Parameters!$B$7/Parameters!$B$9) * N172</f>
        <v>1.4548282869203339</v>
      </c>
      <c r="U172" s="7">
        <f t="shared" si="50"/>
        <v>1.1044027211256879</v>
      </c>
      <c r="V172" s="7">
        <f>EXP(-Parameters!$B$55*A172)</f>
        <v>7.9119176497032498E-2</v>
      </c>
      <c r="W172" s="7">
        <f>IF(U172&gt;0,U172^(1-Parameters!$B$52)/(1-Parameters!$B$52)*V172,-10+U172*1000)</f>
        <v>-0.21833285819152665</v>
      </c>
      <c r="X172" s="7"/>
      <c r="Y172" s="7"/>
      <c r="Z172" s="7"/>
      <c r="AA172" s="7"/>
    </row>
    <row r="173" spans="1:27" x14ac:dyDescent="0.25">
      <c r="A173">
        <f>A172+Parameters!$B$65</f>
        <v>169</v>
      </c>
      <c r="B173" s="9">
        <f t="shared" si="53"/>
        <v>5.5238794691412761E-2</v>
      </c>
      <c r="C173" s="9">
        <f t="shared" si="53"/>
        <v>2.532692781448906E-3</v>
      </c>
      <c r="D173" s="7">
        <f t="shared" si="53"/>
        <v>0.29265407832178425</v>
      </c>
      <c r="E173" s="7">
        <f>MAX((1-Parameters!$B$4)^Parameters!B$65*E172+B172*Parameters!B$65-Parameters!$B$5*B172^2/E172*Parameters!B$65,0.0001)</f>
        <v>0.81894628206530939</v>
      </c>
      <c r="F173" s="9">
        <f>(1-Parameters!$B$4)^Parameters!B$65*F172+C172*Parameters!B$65-Parameters!$B$5*C172^2/F172*Parameters!B$65</f>
        <v>3.7629952324392146E-2</v>
      </c>
      <c r="G173" s="7">
        <f>(1-Parameters!$B$4)^Parameters!B$65*G172+D172*Parameters!B$65-Parameters!$B$5*D172^2/G172*Parameters!B$65</f>
        <v>4.3389102593264397</v>
      </c>
      <c r="H173" s="7">
        <f>H172 *(1-Parameters!$B$4)-B172*(B172&lt;0)*Parameters!B$65</f>
        <v>0</v>
      </c>
      <c r="I173" s="7">
        <f>I172*(1+Parameters!$B$51)^Parameters!B$65</f>
        <v>13.311587478553719</v>
      </c>
      <c r="J173" s="7">
        <f>J172*(1+Parameters!$B$53)^Parameters!B$65</f>
        <v>257.15902819362287</v>
      </c>
      <c r="K173" s="23">
        <f>EXP(-Parameters!$B$42*A173)*(Parameters!$B$37/Parameters!$B$38*(E173+H173)/Parameters!$B$25*(EXP(-Parameters!$B$38*Parameters!$E$25*H173/(E173+H173))-EXP(-Parameters!$B$38*Parameters!$E$25))  +  Parameters!$B$39*E173*Parameters!$B$28*Parameters!$B$29*EXP((Parameters!$B$53+Parameters!$B$51)*A173))</f>
        <v>412.09960242062363</v>
      </c>
      <c r="L173" s="8">
        <f>L172+K173*Parameters!B$65</f>
        <v>31290.942349339442</v>
      </c>
      <c r="M173" s="7">
        <f>M172+Parameters!$B$45*K173</f>
        <v>18.774565409603667</v>
      </c>
      <c r="N173" s="7">
        <f>'6states'!O173</f>
        <v>0.9518040277037092</v>
      </c>
      <c r="O173" s="7">
        <f>MAX(O172+(Parameters!B$31-K173)*Parameters!B$65,30)</f>
        <v>30</v>
      </c>
      <c r="P173" s="7">
        <f>Parameters!B$61*EXP(-Parameters!B$60*A173)+(1-Parameters!B$61)*(O173/Parameters!B$62)^-Parameters!B$63</f>
        <v>0.53142024947387156</v>
      </c>
      <c r="Q173" s="9">
        <f>1-P173/Parameters!$B$12</f>
        <v>0.73428987526306422</v>
      </c>
      <c r="R173" s="23">
        <f t="shared" si="49"/>
        <v>3.7634997950870037</v>
      </c>
      <c r="S173" s="7">
        <f>(Parameters!$B$19*(E173+Parameters!$B$20)^Q173+Parameters!$B$18*F173^Q173)^(1/Q173)</f>
        <v>0.53751584199092473</v>
      </c>
      <c r="T173" s="7">
        <f>(Parameters!$B$10*G173^Parameters!$B$9 + Parameters!$B$11*S173^Parameters!$B$9) ^ (Parameters!$B$7/Parameters!$B$9) * N173</f>
        <v>1.4548282689890981</v>
      </c>
      <c r="U173" s="7">
        <f t="shared" si="50"/>
        <v>1.1044027031944523</v>
      </c>
      <c r="V173" s="7">
        <f>EXP(-Parameters!$B$55*A173)</f>
        <v>7.79334516839401E-2</v>
      </c>
      <c r="W173" s="7">
        <f>IF(U173&gt;0,U173^(1-Parameters!$B$52)/(1-Parameters!$B$52)*V173,-10+U173*1000)</f>
        <v>-0.21506079947908469</v>
      </c>
      <c r="X173" s="7"/>
      <c r="Y173" s="7"/>
      <c r="Z173" s="7"/>
      <c r="AA173" s="7"/>
    </row>
    <row r="174" spans="1:27" x14ac:dyDescent="0.25">
      <c r="A174">
        <f>A173+Parameters!$B$65</f>
        <v>170</v>
      </c>
      <c r="B174" s="9">
        <f t="shared" si="53"/>
        <v>5.5238794691412761E-2</v>
      </c>
      <c r="C174" s="9">
        <f t="shared" si="53"/>
        <v>2.532692781448906E-3</v>
      </c>
      <c r="D174" s="7">
        <f t="shared" si="53"/>
        <v>0.29265407832178425</v>
      </c>
      <c r="E174" s="7">
        <f>MAX((1-Parameters!$B$4)^Parameters!B$65*E173+B173*Parameters!B$65-Parameters!$B$5*B173^2/E173*Parameters!B$65,0.0001)</f>
        <v>0.81894744036764455</v>
      </c>
      <c r="F174" s="9">
        <f>(1-Parameters!$B$4)^Parameters!B$65*F173+C173*Parameters!B$65-Parameters!$B$5*C173^2/F173*Parameters!B$65</f>
        <v>3.7625257621985882E-2</v>
      </c>
      <c r="G174" s="7">
        <f>(1-Parameters!$B$4)^Parameters!B$65*G173+D173*Parameters!B$65-Parameters!$B$5*D173^2/G173*Parameters!B$65</f>
        <v>4.3389077302362971</v>
      </c>
      <c r="H174" s="7">
        <f>H173 *(1-Parameters!$B$4)-B173*(B173&lt;0)*Parameters!B$65</f>
        <v>0</v>
      </c>
      <c r="I174" s="7">
        <f>I173*(1+Parameters!$B$51)^Parameters!B$65</f>
        <v>13.350191082241523</v>
      </c>
      <c r="J174" s="7">
        <f>J173*(1+Parameters!$B$53)^Parameters!B$65</f>
        <v>262.30220875749535</v>
      </c>
      <c r="K174" s="23">
        <f>EXP(-Parameters!$B$42*A174)*(Parameters!$B$37/Parameters!$B$38*(E174+H174)/Parameters!$B$25*(EXP(-Parameters!$B$38*Parameters!$E$25*H174/(E174+H174))-EXP(-Parameters!$B$38*Parameters!$E$25))  +  Parameters!$B$39*E174*Parameters!$B$28*Parameters!$B$29*EXP((Parameters!$B$53+Parameters!$B$51)*A174))</f>
        <v>417.41392947199517</v>
      </c>
      <c r="L174" s="8">
        <f>L173+K174*Parameters!B$65</f>
        <v>31708.356278811436</v>
      </c>
      <c r="M174" s="7">
        <f>M173+Parameters!$B$45*K174</f>
        <v>19.025013767286865</v>
      </c>
      <c r="N174" s="7">
        <f>'6states'!O174</f>
        <v>0.95180277907170718</v>
      </c>
      <c r="O174" s="7">
        <f>MAX(O173+(Parameters!B$31-K174)*Parameters!B$65,30)</f>
        <v>30</v>
      </c>
      <c r="P174" s="7">
        <f>Parameters!B$61*EXP(-Parameters!B$60*A174)+(1-Parameters!B$61)*(O174/Parameters!B$62)^-Parameters!B$63</f>
        <v>0.53128131876114748</v>
      </c>
      <c r="Q174" s="9">
        <f>1-P174/Parameters!$B$12</f>
        <v>0.7343593406194262</v>
      </c>
      <c r="R174" s="23">
        <f t="shared" si="49"/>
        <v>3.7644839548727971</v>
      </c>
      <c r="S174" s="7">
        <f>(Parameters!$B$19*(E174+Parameters!$B$20)^Q174+Parameters!$B$18*F174^Q174)^(1/Q174)</f>
        <v>0.53752891766115318</v>
      </c>
      <c r="T174" s="7">
        <f>(Parameters!$B$10*G174^Parameters!$B$9 + Parameters!$B$11*S174^Parameters!$B$9) ^ (Parameters!$B$7/Parameters!$B$9) * N174</f>
        <v>1.4548281953496485</v>
      </c>
      <c r="U174" s="7">
        <f t="shared" si="50"/>
        <v>1.1044026295550027</v>
      </c>
      <c r="V174" s="7">
        <f>EXP(-Parameters!$B$55*A174)</f>
        <v>7.6765496814806045E-2</v>
      </c>
      <c r="W174" s="7">
        <f>IF(U174&gt;0,U174^(1-Parameters!$B$52)/(1-Parameters!$B$52)*V174,-10+U174*1000)</f>
        <v>-0.21183778141428292</v>
      </c>
      <c r="X174" s="7"/>
      <c r="Y174" s="7"/>
      <c r="Z174" s="7"/>
      <c r="AA174" s="7"/>
    </row>
    <row r="175" spans="1:27" x14ac:dyDescent="0.25">
      <c r="A175">
        <f>A174+Parameters!$B$65</f>
        <v>171</v>
      </c>
      <c r="B175" s="9">
        <f t="shared" si="53"/>
        <v>5.5238794691412761E-2</v>
      </c>
      <c r="C175" s="9">
        <f t="shared" si="53"/>
        <v>2.532692781448906E-3</v>
      </c>
      <c r="D175" s="7">
        <f t="shared" si="53"/>
        <v>0.29265407832178425</v>
      </c>
      <c r="E175" s="7">
        <f>MAX((1-Parameters!$B$4)^Parameters!B$65*E174+B174*Parameters!B$65-Parameters!$B$5*B174^2/E174*Parameters!B$65,0.0001)</f>
        <v>0.81894853108262045</v>
      </c>
      <c r="F175" s="9">
        <f>(1-Parameters!$B$4)^Parameters!B$65*F174+C174*Parameters!B$65-Parameters!$B$5*C174^2/F174*Parameters!B$65</f>
        <v>3.7620836946730601E-2</v>
      </c>
      <c r="G175" s="7">
        <f>(1-Parameters!$B$4)^Parameters!B$65*G174+D174*Parameters!B$65-Parameters!$B$5*D174^2/G174*Parameters!B$65</f>
        <v>4.3389053487202416</v>
      </c>
      <c r="H175" s="7">
        <f>H174 *(1-Parameters!$B$4)-B174*(B174&lt;0)*Parameters!B$65</f>
        <v>0</v>
      </c>
      <c r="I175" s="7">
        <f>I174*(1+Parameters!$B$51)^Parameters!B$65</f>
        <v>13.388906636380021</v>
      </c>
      <c r="J175" s="7">
        <f>J174*(1+Parameters!$B$53)^Parameters!B$65</f>
        <v>267.54825293264525</v>
      </c>
      <c r="K175" s="23">
        <f>EXP(-Parameters!$B$42*A175)*(Parameters!$B$37/Parameters!$B$38*(E175+H175)/Parameters!$B$25*(EXP(-Parameters!$B$38*Parameters!$E$25*H175/(E175+H175))-EXP(-Parameters!$B$38*Parameters!$E$25))  +  Parameters!$B$39*E175*Parameters!$B$28*Parameters!$B$29*EXP((Parameters!$B$53+Parameters!$B$51)*A175))</f>
        <v>422.79759411296277</v>
      </c>
      <c r="L175" s="8">
        <f>L174+K175*Parameters!B$65</f>
        <v>32131.153872924398</v>
      </c>
      <c r="M175" s="7">
        <f>M174+Parameters!$B$45*K175</f>
        <v>19.278692323754644</v>
      </c>
      <c r="N175" s="7">
        <f>'6states'!O175</f>
        <v>0.95180151446771011</v>
      </c>
      <c r="O175" s="7">
        <f>MAX(O174+(Parameters!B$31-K175)*Parameters!B$65,30)</f>
        <v>30</v>
      </c>
      <c r="P175" s="7">
        <f>Parameters!B$61*EXP(-Parameters!B$60*A175)+(1-Parameters!B$61)*(O175/Parameters!B$62)^-Parameters!B$63</f>
        <v>0.53114608899012461</v>
      </c>
      <c r="Q175" s="9">
        <f>1-P175/Parameters!$B$12</f>
        <v>0.73442695550493764</v>
      </c>
      <c r="R175" s="23">
        <f t="shared" si="49"/>
        <v>3.7654423923230373</v>
      </c>
      <c r="S175" s="7">
        <f>(Parameters!$B$19*(E175+Parameters!$B$20)^Q175+Parameters!$B$18*F175^Q175)^(1/Q175)</f>
        <v>0.53754171386585914</v>
      </c>
      <c r="T175" s="7">
        <f>(Parameters!$B$10*G175^Parameters!$B$9 + Parameters!$B$11*S175^Parameters!$B$9) ^ (Parameters!$B$7/Parameters!$B$9) * N175</f>
        <v>1.454828065466008</v>
      </c>
      <c r="U175" s="7">
        <f t="shared" si="50"/>
        <v>1.1044024996713619</v>
      </c>
      <c r="V175" s="7">
        <f>EXP(-Parameters!$B$55*A175)</f>
        <v>7.5615045579180543E-2</v>
      </c>
      <c r="W175" s="7">
        <f>IF(U175&gt;0,U175^(1-Parameters!$B$52)/(1-Parameters!$B$52)*V175,-10+U175*1000)</f>
        <v>-0.20866306896980755</v>
      </c>
      <c r="X175" s="7"/>
      <c r="Y175" s="7"/>
      <c r="Z175" s="7"/>
      <c r="AA175" s="7"/>
    </row>
    <row r="176" spans="1:27" x14ac:dyDescent="0.25">
      <c r="A176">
        <f>A175+Parameters!$B$65</f>
        <v>172</v>
      </c>
      <c r="B176" s="9">
        <f t="shared" si="53"/>
        <v>5.5238794691412761E-2</v>
      </c>
      <c r="C176" s="9">
        <f t="shared" si="53"/>
        <v>2.532692781448906E-3</v>
      </c>
      <c r="D176" s="7">
        <f t="shared" si="53"/>
        <v>0.29265407832178425</v>
      </c>
      <c r="E176" s="7">
        <f>MAX((1-Parameters!$B$4)^Parameters!B$65*E175+B175*Parameters!B$65-Parameters!$B$5*B175^2/E175*Parameters!B$65,0.0001)</f>
        <v>0.81894955815397008</v>
      </c>
      <c r="F176" s="9">
        <f>(1-Parameters!$B$4)^Parameters!B$65*F175+C175*Parameters!B$65-Parameters!$B$5*C175^2/F175*Parameters!B$65</f>
        <v>3.7616674298962191E-2</v>
      </c>
      <c r="G176" s="7">
        <f>(1-Parameters!$B$4)^Parameters!B$65*G175+D175*Parameters!B$65-Parameters!$B$5*D175^2/G175*Parameters!B$65</f>
        <v>4.3389031061672148</v>
      </c>
      <c r="H176" s="7">
        <f>H175 *(1-Parameters!$B$4)-B175*(B175&lt;0)*Parameters!B$65</f>
        <v>0</v>
      </c>
      <c r="I176" s="7">
        <f>I175*(1+Parameters!$B$51)^Parameters!B$65</f>
        <v>13.427734465625521</v>
      </c>
      <c r="J176" s="7">
        <f>J175*(1+Parameters!$B$53)^Parameters!B$65</f>
        <v>272.89921799129814</v>
      </c>
      <c r="K176" s="23">
        <f>EXP(-Parameters!$B$42*A176)*(Parameters!$B$37/Parameters!$B$38*(E176+H176)/Parameters!$B$25*(EXP(-Parameters!$B$38*Parameters!$E$25*H176/(E176+H176))-EXP(-Parameters!$B$38*Parameters!$E$25))  +  Parameters!$B$39*E176*Parameters!$B$28*Parameters!$B$29*EXP((Parameters!$B$53+Parameters!$B$51)*A176))</f>
        <v>428.25149421616777</v>
      </c>
      <c r="L176" s="8">
        <f>L175+K176*Parameters!B$65</f>
        <v>32559.405367140567</v>
      </c>
      <c r="M176" s="7">
        <f>M175+Parameters!$B$45*K176</f>
        <v>19.535643220284346</v>
      </c>
      <c r="N176" s="7">
        <f>'6states'!O176</f>
        <v>0.951800233687214</v>
      </c>
      <c r="O176" s="7">
        <f>MAX(O175+(Parameters!B$31-K176)*Parameters!B$65,30)</f>
        <v>30</v>
      </c>
      <c r="P176" s="7">
        <f>Parameters!B$61*EXP(-Parameters!B$60*A176)+(1-Parameters!B$61)*(O176/Parameters!B$62)^-Parameters!B$63</f>
        <v>0.53101446157231069</v>
      </c>
      <c r="Q176" s="9">
        <f>1-P176/Parameters!$B$12</f>
        <v>0.73449276921384465</v>
      </c>
      <c r="R176" s="23">
        <f t="shared" si="49"/>
        <v>3.7663757670141171</v>
      </c>
      <c r="S176" s="7">
        <f>(Parameters!$B$19*(E176+Parameters!$B$20)^Q176+Parameters!$B$18*F176^Q176)^(1/Q176)</f>
        <v>0.53755423398744739</v>
      </c>
      <c r="T176" s="7">
        <f>(Parameters!$B$10*G176^Parameters!$B$9 + Parameters!$B$11*S176^Parameters!$B$9) ^ (Parameters!$B$7/Parameters!$B$9) * N176</f>
        <v>1.4548278788675588</v>
      </c>
      <c r="U176" s="7">
        <f t="shared" si="50"/>
        <v>1.1044023130729128</v>
      </c>
      <c r="V176" s="7">
        <f>EXP(-Parameters!$B$55*A176)</f>
        <v>7.4481835657693174E-2</v>
      </c>
      <c r="W176" s="7">
        <f>IF(U176&gt;0,U176^(1-Parameters!$B$52)/(1-Parameters!$B$52)*V176,-10+U176*1000)</f>
        <v>-0.20553593813054608</v>
      </c>
      <c r="X176" s="7"/>
      <c r="Y176" s="7"/>
      <c r="Z176" s="7"/>
      <c r="AA176" s="7"/>
    </row>
    <row r="177" spans="1:27" x14ac:dyDescent="0.25">
      <c r="A177">
        <f>A176+Parameters!$B$65</f>
        <v>173</v>
      </c>
      <c r="B177" s="9">
        <f t="shared" si="53"/>
        <v>5.5238794691412761E-2</v>
      </c>
      <c r="C177" s="9">
        <f t="shared" si="53"/>
        <v>2.532692781448906E-3</v>
      </c>
      <c r="D177" s="7">
        <f t="shared" si="53"/>
        <v>0.29265407832178425</v>
      </c>
      <c r="E177" s="7">
        <f>MAX((1-Parameters!$B$4)^Parameters!B$65*E176+B176*Parameters!B$65-Parameters!$B$5*B176^2/E176*Parameters!B$65,0.0001)</f>
        <v>0.81895052529531087</v>
      </c>
      <c r="F177" s="9">
        <f>(1-Parameters!$B$4)^Parameters!B$65*F176+C176*Parameters!B$65-Parameters!$B$5*C176^2/F176*Parameters!B$65</f>
        <v>3.7612754613739655E-2</v>
      </c>
      <c r="G177" s="7">
        <f>(1-Parameters!$B$4)^Parameters!B$65*G176+D176*Parameters!B$65-Parameters!$B$5*D176^2/G176*Parameters!B$65</f>
        <v>4.3389009944686228</v>
      </c>
      <c r="H177" s="7">
        <f>H176 *(1-Parameters!$B$4)-B176*(B176&lt;0)*Parameters!B$65</f>
        <v>0</v>
      </c>
      <c r="I177" s="7">
        <f>I176*(1+Parameters!$B$51)^Parameters!B$65</f>
        <v>13.466674895575833</v>
      </c>
      <c r="J177" s="7">
        <f>J176*(1+Parameters!$B$53)^Parameters!B$65</f>
        <v>278.3572023511241</v>
      </c>
      <c r="K177" s="23">
        <f>EXP(-Parameters!$B$42*A177)*(Parameters!$B$37/Parameters!$B$38*(E177+H177)/Parameters!$B$25*(EXP(-Parameters!$B$38*Parameters!$E$25*H177/(E177+H177))-EXP(-Parameters!$B$38*Parameters!$E$25))  +  Parameters!$B$39*E177*Parameters!$B$28*Parameters!$B$29*EXP((Parameters!$B$53+Parameters!$B$51)*A177))</f>
        <v>433.77653928939105</v>
      </c>
      <c r="L177" s="8">
        <f>L176+K177*Parameters!B$65</f>
        <v>32993.181906429956</v>
      </c>
      <c r="M177" s="7">
        <f>M176+Parameters!$B$45*K177</f>
        <v>19.79590914385798</v>
      </c>
      <c r="N177" s="7">
        <f>'6states'!O177</f>
        <v>0.95179893652309089</v>
      </c>
      <c r="O177" s="7">
        <f>MAX(O176+(Parameters!B$31-K177)*Parameters!B$65,30)</f>
        <v>30</v>
      </c>
      <c r="P177" s="7">
        <f>Parameters!B$61*EXP(-Parameters!B$60*A177)+(1-Parameters!B$61)*(O177/Parameters!B$62)^-Parameters!B$63</f>
        <v>0.53088634054548878</v>
      </c>
      <c r="Q177" s="9">
        <f>1-P177/Parameters!$B$12</f>
        <v>0.73455682972725556</v>
      </c>
      <c r="R177" s="23">
        <f t="shared" si="49"/>
        <v>3.7672847222721684</v>
      </c>
      <c r="S177" s="7">
        <f>(Parameters!$B$19*(E177+Parameters!$B$20)^Q177+Parameters!$B$18*F177^Q177)^(1/Q177)</f>
        <v>0.53756648155870856</v>
      </c>
      <c r="T177" s="7">
        <f>(Parameters!$B$10*G177^Parameters!$B$9 + Parameters!$B$11*S177^Parameters!$B$9) ^ (Parameters!$B$7/Parameters!$B$9) * N177</f>
        <v>1.4548276351433875</v>
      </c>
      <c r="U177" s="7">
        <f t="shared" si="50"/>
        <v>1.1044020693487417</v>
      </c>
      <c r="V177" s="7">
        <f>EXP(-Parameters!$B$55*A177)</f>
        <v>7.3365608662240192E-2</v>
      </c>
      <c r="W177" s="7">
        <f>IF(U177&gt;0,U177^(1-Parameters!$B$52)/(1-Parameters!$B$52)*V177,-10+U177*1000)</f>
        <v>-0.20245567572916834</v>
      </c>
      <c r="X177" s="7"/>
      <c r="Y177" s="7"/>
      <c r="Z177" s="7"/>
      <c r="AA177" s="7"/>
    </row>
    <row r="178" spans="1:27" x14ac:dyDescent="0.25">
      <c r="A178">
        <f>A177+Parameters!$B$65</f>
        <v>174</v>
      </c>
      <c r="B178" s="9">
        <f t="shared" si="53"/>
        <v>5.5238794691412761E-2</v>
      </c>
      <c r="C178" s="9">
        <f t="shared" si="53"/>
        <v>2.532692781448906E-3</v>
      </c>
      <c r="D178" s="7">
        <f t="shared" si="53"/>
        <v>0.29265407832178425</v>
      </c>
      <c r="E178" s="7">
        <f>MAX((1-Parameters!$B$4)^Parameters!B$65*E177+B177*Parameters!B$65-Parameters!$B$5*B177^2/E177*Parameters!B$65,0.0001)</f>
        <v>0.81895143600357112</v>
      </c>
      <c r="F178" s="9">
        <f>(1-Parameters!$B$4)^Parameters!B$65*F177+C177*Parameters!B$65-Parameters!$B$5*C177^2/F177*Parameters!B$65</f>
        <v>3.7609063706175408E-2</v>
      </c>
      <c r="G178" s="7">
        <f>(1-Parameters!$B$4)^Parameters!B$65*G177+D177*Parameters!B$65-Parameters!$B$5*D177^2/G177*Parameters!B$65</f>
        <v>4.3388990059890133</v>
      </c>
      <c r="H178" s="7">
        <f>H177 *(1-Parameters!$B$4)-B177*(B177&lt;0)*Parameters!B$65</f>
        <v>0</v>
      </c>
      <c r="I178" s="7">
        <f>I177*(1+Parameters!$B$51)^Parameters!B$65</f>
        <v>13.505728252773002</v>
      </c>
      <c r="J178" s="7">
        <f>J177*(1+Parameters!$B$53)^Parameters!B$65</f>
        <v>283.92434639814661</v>
      </c>
      <c r="K178" s="23">
        <f>EXP(-Parameters!$B$42*A178)*(Parameters!$B$37/Parameters!$B$38*(E178+H178)/Parameters!$B$25*(EXP(-Parameters!$B$38*Parameters!$E$25*H178/(E178+H178))-EXP(-Parameters!$B$38*Parameters!$E$25))  +  Parameters!$B$39*E178*Parameters!$B$28*Parameters!$B$29*EXP((Parameters!$B$53+Parameters!$B$51)*A178))</f>
        <v>439.3736506289859</v>
      </c>
      <c r="L178" s="8">
        <f>L177+K178*Parameters!B$65</f>
        <v>33432.555557058942</v>
      </c>
      <c r="M178" s="7">
        <f>M177+Parameters!$B$45*K178</f>
        <v>20.059533334235372</v>
      </c>
      <c r="N178" s="7">
        <f>'6states'!O178</f>
        <v>0.95179762276555602</v>
      </c>
      <c r="O178" s="7">
        <f>MAX(O177+(Parameters!B$31-K178)*Parameters!B$65,30)</f>
        <v>30</v>
      </c>
      <c r="P178" s="7">
        <f>Parameters!B$61*EXP(-Parameters!B$60*A178)+(1-Parameters!B$61)*(O178/Parameters!B$62)^-Parameters!B$63</f>
        <v>0.53076163250375596</v>
      </c>
      <c r="Q178" s="9">
        <f>1-P178/Parameters!$B$12</f>
        <v>0.73461918374812196</v>
      </c>
      <c r="R178" s="23">
        <f t="shared" si="49"/>
        <v>3.7681698855386774</v>
      </c>
      <c r="S178" s="7">
        <f>(Parameters!$B$19*(E178+Parameters!$B$20)^Q178+Parameters!$B$18*F178^Q178)^(1/Q178)</f>
        <v>0.53757846024451028</v>
      </c>
      <c r="T178" s="7">
        <f>(Parameters!$B$10*G178^Parameters!$B$9 + Parameters!$B$11*S178^Parameters!$B$9) ^ (Parameters!$B$7/Parameters!$B$9) * N178</f>
        <v>1.4548273339370033</v>
      </c>
      <c r="U178" s="7">
        <f t="shared" si="50"/>
        <v>1.1044017681423575</v>
      </c>
      <c r="V178" s="7">
        <f>EXP(-Parameters!$B$55*A178)</f>
        <v>7.226611007706836E-2</v>
      </c>
      <c r="W178" s="7">
        <f>IF(U178&gt;0,U178^(1-Parameters!$B$52)/(1-Parameters!$B$52)*V178,-10+U178*1000)</f>
        <v>-0.19942157928410953</v>
      </c>
      <c r="X178" s="7"/>
      <c r="Y178" s="7"/>
      <c r="Z178" s="7"/>
      <c r="AA178" s="7"/>
    </row>
    <row r="179" spans="1:27" x14ac:dyDescent="0.25">
      <c r="A179">
        <f>A178+Parameters!$B$65</f>
        <v>175</v>
      </c>
      <c r="B179" s="9">
        <f t="shared" si="53"/>
        <v>5.5238794691412761E-2</v>
      </c>
      <c r="C179" s="9">
        <f t="shared" si="53"/>
        <v>2.532692781448906E-3</v>
      </c>
      <c r="D179" s="7">
        <f t="shared" si="53"/>
        <v>0.29265407832178425</v>
      </c>
      <c r="E179" s="7">
        <f>MAX((1-Parameters!$B$4)^Parameters!B$65*E178+B178*Parameters!B$65-Parameters!$B$5*B178^2/E178*Parameters!B$65,0.0001)</f>
        <v>0.8189522935716339</v>
      </c>
      <c r="F179" s="9">
        <f>(1-Parameters!$B$4)^Parameters!B$65*F178+C178*Parameters!B$65-Parameters!$B$5*C178^2/F178*Parameters!B$65</f>
        <v>3.7605588219969968E-2</v>
      </c>
      <c r="G179" s="7">
        <f>(1-Parameters!$B$4)^Parameters!B$65*G178+D178*Parameters!B$65-Parameters!$B$5*D178^2/G178*Parameters!B$65</f>
        <v>4.3388971335384712</v>
      </c>
      <c r="H179" s="7">
        <f>H178 *(1-Parameters!$B$4)-B178*(B178&lt;0)*Parameters!B$65</f>
        <v>0</v>
      </c>
      <c r="I179" s="7">
        <f>I178*(1+Parameters!$B$51)^Parameters!B$65</f>
        <v>13.544894864706043</v>
      </c>
      <c r="J179" s="7">
        <f>J178*(1+Parameters!$B$53)^Parameters!B$65</f>
        <v>289.60283332610953</v>
      </c>
      <c r="K179" s="23">
        <f>EXP(-Parameters!$B$42*A179)*(Parameters!$B$37/Parameters!$B$38*(E179+H179)/Parameters!$B$25*(EXP(-Parameters!$B$38*Parameters!$E$25*H179/(E179+H179))-EXP(-Parameters!$B$38*Parameters!$E$25))  +  Parameters!$B$39*E179*Parameters!$B$28*Parameters!$B$29*EXP((Parameters!$B$53+Parameters!$B$51)*A179))</f>
        <v>445.0437614751807</v>
      </c>
      <c r="L179" s="8">
        <f>L178+K179*Parameters!B$65</f>
        <v>33877.599318534121</v>
      </c>
      <c r="M179" s="7">
        <f>M178+Parameters!$B$45*K179</f>
        <v>20.326559591120482</v>
      </c>
      <c r="N179" s="7">
        <f>'6states'!O179</f>
        <v>0.95179629220213291</v>
      </c>
      <c r="O179" s="7">
        <f>MAX(O178+(Parameters!B$31-K179)*Parameters!B$65,30)</f>
        <v>30</v>
      </c>
      <c r="P179" s="7">
        <f>Parameters!B$61*EXP(-Parameters!B$60*A179)+(1-Parameters!B$61)*(O179/Parameters!B$62)^-Parameters!B$63</f>
        <v>0.53064024652942676</v>
      </c>
      <c r="Q179" s="9">
        <f>1-P179/Parameters!$B$12</f>
        <v>0.73467987673528667</v>
      </c>
      <c r="R179" s="23">
        <f t="shared" si="49"/>
        <v>3.7690318687297122</v>
      </c>
      <c r="S179" s="7">
        <f>(Parameters!$B$19*(E179+Parameters!$B$20)^Q179+Parameters!$B$18*F179^Q179)^(1/Q179)</f>
        <v>0.53759017382483198</v>
      </c>
      <c r="T179" s="7">
        <f>(Parameters!$B$10*G179^Parameters!$B$9 + Parameters!$B$11*S179^Parameters!$B$9) ^ (Parameters!$B$7/Parameters!$B$9) * N179</f>
        <v>1.454826974941406</v>
      </c>
      <c r="U179" s="7">
        <f t="shared" si="50"/>
        <v>1.1044014091467602</v>
      </c>
      <c r="V179" s="7">
        <f>EXP(-Parameters!$B$55*A179)</f>
        <v>7.1183089200741873E-2</v>
      </c>
      <c r="W179" s="7">
        <f>IF(U179&gt;0,U179^(1-Parameters!$B$52)/(1-Parameters!$B$52)*V179,-10+U179*1000)</f>
        <v>-0.19643295683992754</v>
      </c>
      <c r="X179" s="7"/>
      <c r="Y179" s="7"/>
      <c r="Z179" s="7"/>
      <c r="AA179" s="7"/>
    </row>
    <row r="180" spans="1:27" x14ac:dyDescent="0.25">
      <c r="A180">
        <f>A179+Parameters!$B$65</f>
        <v>176</v>
      </c>
      <c r="B180" s="9">
        <f t="shared" si="53"/>
        <v>5.5238794691412761E-2</v>
      </c>
      <c r="C180" s="9">
        <f t="shared" si="53"/>
        <v>2.532692781448906E-3</v>
      </c>
      <c r="D180" s="7">
        <f t="shared" si="53"/>
        <v>0.29265407832178425</v>
      </c>
      <c r="E180" s="7">
        <f>MAX((1-Parameters!$B$4)^Parameters!B$65*E179+B179*Parameters!B$65-Parameters!$B$5*B179^2/E179*Parameters!B$65,0.0001)</f>
        <v>0.81895310110024311</v>
      </c>
      <c r="F180" s="9">
        <f>(1-Parameters!$B$4)^Parameters!B$65*F179+C179*Parameters!B$65-Parameters!$B$5*C179^2/F179*Parameters!B$65</f>
        <v>3.7602315578962597E-2</v>
      </c>
      <c r="G180" s="7">
        <f>(1-Parameters!$B$4)^Parameters!B$65*G179+D179*Parameters!B$65-Parameters!$B$5*D179^2/G179*Parameters!B$65</f>
        <v>4.3388953703466173</v>
      </c>
      <c r="H180" s="7">
        <f>H179 *(1-Parameters!$B$4)-B179*(B179&lt;0)*Parameters!B$65</f>
        <v>0</v>
      </c>
      <c r="I180" s="7">
        <f>I179*(1+Parameters!$B$51)^Parameters!B$65</f>
        <v>13.584175059813688</v>
      </c>
      <c r="J180" s="7">
        <f>J179*(1+Parameters!$B$53)^Parameters!B$65</f>
        <v>295.3948899926317</v>
      </c>
      <c r="K180" s="23">
        <f>EXP(-Parameters!$B$42*A180)*(Parameters!$B$37/Parameters!$B$38*(E180+H180)/Parameters!$B$25*(EXP(-Parameters!$B$38*Parameters!$E$25*H180/(E180+H180))-EXP(-Parameters!$B$38*Parameters!$E$25))  +  Parameters!$B$39*E180*Parameters!$B$28*Parameters!$B$29*EXP((Parameters!$B$53+Parameters!$B$51)*A180))</f>
        <v>450.78781716927557</v>
      </c>
      <c r="L180" s="8">
        <f>L179+K180*Parameters!B$65</f>
        <v>34328.3871357034</v>
      </c>
      <c r="M180" s="7">
        <f>M179+Parameters!$B$45*K180</f>
        <v>20.597032281422049</v>
      </c>
      <c r="N180" s="7">
        <f>'6states'!O180</f>
        <v>0.95179494461761871</v>
      </c>
      <c r="O180" s="7">
        <f>MAX(O179+(Parameters!B$31-K180)*Parameters!B$65,30)</f>
        <v>30</v>
      </c>
      <c r="P180" s="7">
        <f>Parameters!B$61*EXP(-Parameters!B$60*A180)+(1-Parameters!B$61)*(O180/Parameters!B$62)^-Parameters!B$63</f>
        <v>0.53052209412675011</v>
      </c>
      <c r="Q180" s="9">
        <f>1-P180/Parameters!$B$12</f>
        <v>0.73473895293662494</v>
      </c>
      <c r="R180" s="23">
        <f t="shared" si="49"/>
        <v>3.7698712685888034</v>
      </c>
      <c r="S180" s="7">
        <f>(Parameters!$B$19*(E180+Parameters!$B$20)^Q180+Parameters!$B$18*F180^Q180)^(1/Q180)</f>
        <v>0.53760162617905538</v>
      </c>
      <c r="T180" s="7">
        <f>(Parameters!$B$10*G180^Parameters!$B$9 + Parameters!$B$11*S180^Parameters!$B$9) ^ (Parameters!$B$7/Parameters!$B$9) * N180</f>
        <v>1.4548265578944775</v>
      </c>
      <c r="U180" s="7">
        <f t="shared" si="50"/>
        <v>1.1044009920998317</v>
      </c>
      <c r="V180" s="7">
        <f>EXP(-Parameters!$B$55*A180)</f>
        <v>7.0116299088978581E-2</v>
      </c>
      <c r="W180" s="7">
        <f>IF(U180&gt;0,U180^(1-Parameters!$B$52)/(1-Parameters!$B$52)*V180,-10+U180*1000)</f>
        <v>-0.19348912681000074</v>
      </c>
      <c r="X180" s="7"/>
      <c r="Y180" s="7"/>
      <c r="Z180" s="7"/>
      <c r="AA180" s="7"/>
    </row>
    <row r="181" spans="1:27" x14ac:dyDescent="0.25">
      <c r="A181">
        <f>A180+Parameters!$B$65</f>
        <v>177</v>
      </c>
      <c r="B181" s="9">
        <f t="shared" si="53"/>
        <v>5.5238794691412761E-2</v>
      </c>
      <c r="C181" s="9">
        <f t="shared" si="53"/>
        <v>2.532692781448906E-3</v>
      </c>
      <c r="D181" s="7">
        <f t="shared" si="53"/>
        <v>0.29265407832178425</v>
      </c>
      <c r="E181" s="7">
        <f>MAX((1-Parameters!$B$4)^Parameters!B$65*E180+B180*Parameters!B$65-Parameters!$B$5*B180^2/E180*Parameters!B$65,0.0001)</f>
        <v>0.81895386150921401</v>
      </c>
      <c r="F181" s="9">
        <f>(1-Parameters!$B$4)^Parameters!B$65*F180+C180*Parameters!B$65-Parameters!$B$5*C180^2/F180*Parameters!B$65</f>
        <v>3.759923394152033E-2</v>
      </c>
      <c r="G181" s="7">
        <f>(1-Parameters!$B$4)^Parameters!B$65*G180+D180*Parameters!B$65-Parameters!$B$5*D180^2/G180*Parameters!B$65</f>
        <v>4.3388937100381302</v>
      </c>
      <c r="H181" s="7">
        <f>H180 *(1-Parameters!$B$4)-B180*(B180&lt;0)*Parameters!B$65</f>
        <v>0</v>
      </c>
      <c r="I181" s="7">
        <f>I180*(1+Parameters!$B$51)^Parameters!B$65</f>
        <v>13.623569167487148</v>
      </c>
      <c r="J181" s="7">
        <f>J180*(1+Parameters!$B$53)^Parameters!B$65</f>
        <v>301.30278779248437</v>
      </c>
      <c r="K181" s="23">
        <f>EXP(-Parameters!$B$42*A181)*(Parameters!$B$37/Parameters!$B$38*(E181+H181)/Parameters!$B$25*(EXP(-Parameters!$B$38*Parameters!$E$25*H181/(E181+H181))-EXP(-Parameters!$B$38*Parameters!$E$25))  +  Parameters!$B$39*E181*Parameters!$B$28*Parameters!$B$29*EXP((Parameters!$B$53+Parameters!$B$51)*A181))</f>
        <v>456.60677531277423</v>
      </c>
      <c r="L181" s="8">
        <f>L180+K181*Parameters!B$65</f>
        <v>34784.993911016172</v>
      </c>
      <c r="M181" s="7">
        <f>M180+Parameters!$B$45*K181</f>
        <v>20.870996346609715</v>
      </c>
      <c r="N181" s="7">
        <f>'6states'!O181</f>
        <v>0.95179357979404944</v>
      </c>
      <c r="O181" s="7">
        <f>MAX(O180+(Parameters!B$31-K181)*Parameters!B$65,30)</f>
        <v>30</v>
      </c>
      <c r="P181" s="7">
        <f>Parameters!B$61*EXP(-Parameters!B$60*A181)+(1-Parameters!B$61)*(O181/Parameters!B$62)^-Parameters!B$63</f>
        <v>0.53040708915739176</v>
      </c>
      <c r="Q181" s="9">
        <f>1-P181/Parameters!$B$12</f>
        <v>0.73479645542130412</v>
      </c>
      <c r="R181" s="23">
        <f t="shared" si="49"/>
        <v>3.7706886670334918</v>
      </c>
      <c r="S181" s="7">
        <f>(Parameters!$B$19*(E181+Parameters!$B$20)^Q181+Parameters!$B$18*F181^Q181)^(1/Q181)</f>
        <v>0.5376128212714294</v>
      </c>
      <c r="T181" s="7">
        <f>(Parameters!$B$10*G181^Parameters!$B$9 + Parameters!$B$11*S181^Parameters!$B$9) ^ (Parameters!$B$7/Parameters!$B$9) * N181</f>
        <v>1.454826082574687</v>
      </c>
      <c r="U181" s="7">
        <f t="shared" si="50"/>
        <v>1.104400516780041</v>
      </c>
      <c r="V181" s="7">
        <f>EXP(-Parameters!$B$55*A181)</f>
        <v>6.9065496498343315E-2</v>
      </c>
      <c r="W181" s="7">
        <f>IF(U181&gt;0,U181^(1-Parameters!$B$52)/(1-Parameters!$B$52)*V181,-10+U181*1000)</f>
        <v>-0.19058941782153721</v>
      </c>
      <c r="X181" s="7"/>
      <c r="Y181" s="7"/>
      <c r="Z181" s="7"/>
      <c r="AA181" s="7"/>
    </row>
    <row r="182" spans="1:27" x14ac:dyDescent="0.25">
      <c r="A182">
        <f>A181+Parameters!$B$65</f>
        <v>178</v>
      </c>
      <c r="B182" s="9">
        <f t="shared" si="53"/>
        <v>5.5238794691412761E-2</v>
      </c>
      <c r="C182" s="9">
        <f t="shared" si="53"/>
        <v>2.532692781448906E-3</v>
      </c>
      <c r="D182" s="7">
        <f t="shared" si="53"/>
        <v>0.29265407832178425</v>
      </c>
      <c r="E182" s="7">
        <f>MAX((1-Parameters!$B$4)^Parameters!B$65*E181+B181*Parameters!B$65-Parameters!$B$5*B181^2/E181*Parameters!B$65,0.0001)</f>
        <v>0.81895457754799106</v>
      </c>
      <c r="F182" s="9">
        <f>(1-Parameters!$B$4)^Parameters!B$65*F181+C181*Parameters!B$65-Parameters!$B$5*C181^2/F181*Parameters!B$65</f>
        <v>3.7596332157598486E-2</v>
      </c>
      <c r="G182" s="7">
        <f>(1-Parameters!$B$4)^Parameters!B$65*G181+D181*Parameters!B$65-Parameters!$B$5*D181^2/G181*Parameters!B$65</f>
        <v>4.3388921466096946</v>
      </c>
      <c r="H182" s="7">
        <f>H181 *(1-Parameters!$B$4)-B181*(B181&lt;0)*Parameters!B$65</f>
        <v>0</v>
      </c>
      <c r="I182" s="7">
        <f>I181*(1+Parameters!$B$51)^Parameters!B$65</f>
        <v>13.663077518072859</v>
      </c>
      <c r="J182" s="7">
        <f>J181*(1+Parameters!$B$53)^Parameters!B$65</f>
        <v>307.32884354833408</v>
      </c>
      <c r="K182" s="23">
        <f>EXP(-Parameters!$B$42*A182)*(Parameters!$B$37/Parameters!$B$38*(E182+H182)/Parameters!$B$25*(EXP(-Parameters!$B$38*Parameters!$E$25*H182/(E182+H182))-EXP(-Parameters!$B$38*Parameters!$E$25))  +  Parameters!$B$39*E182*Parameters!$B$28*Parameters!$B$29*EXP((Parameters!$B$53+Parameters!$B$51)*A182))</f>
        <v>462.50160592847163</v>
      </c>
      <c r="L182" s="8">
        <f>L181+K182*Parameters!B$65</f>
        <v>35247.49551694464</v>
      </c>
      <c r="M182" s="7">
        <f>M181+Parameters!$B$45*K182</f>
        <v>21.1484973101668</v>
      </c>
      <c r="N182" s="7">
        <f>'6states'!O182</f>
        <v>0.95179219751066435</v>
      </c>
      <c r="O182" s="7">
        <f>MAX(O181+(Parameters!B$31-K182)*Parameters!B$65,30)</f>
        <v>30</v>
      </c>
      <c r="P182" s="7">
        <f>Parameters!B$61*EXP(-Parameters!B$60*A182)+(1-Parameters!B$61)*(O182/Parameters!B$62)^-Parameters!B$63</f>
        <v>0.53029514777763553</v>
      </c>
      <c r="Q182" s="9">
        <f>1-P182/Parameters!$B$12</f>
        <v>0.73485242611118218</v>
      </c>
      <c r="R182" s="23">
        <f t="shared" si="49"/>
        <v>3.771484631495523</v>
      </c>
      <c r="S182" s="7">
        <f>(Parameters!$B$19*(E182+Parameters!$B$20)^Q182+Parameters!$B$18*F182^Q182)^(1/Q182)</f>
        <v>0.53762376313763227</v>
      </c>
      <c r="T182" s="7">
        <f>(Parameters!$B$10*G182^Parameters!$B$9 + Parameters!$B$11*S182^Parameters!$B$9) ^ (Parameters!$B$7/Parameters!$B$9) * N182</f>
        <v>1.4548255487970794</v>
      </c>
      <c r="U182" s="7">
        <f t="shared" si="50"/>
        <v>1.1043999830024336</v>
      </c>
      <c r="V182" s="7">
        <f>EXP(-Parameters!$B$55*A182)</f>
        <v>6.8030441830784896E-2</v>
      </c>
      <c r="W182" s="7">
        <f>IF(U182&gt;0,U182^(1-Parameters!$B$52)/(1-Parameters!$B$52)*V182,-10+U182*1000)</f>
        <v>-0.1877331685628644</v>
      </c>
      <c r="X182" s="7"/>
      <c r="Y182" s="7"/>
      <c r="Z182" s="7"/>
      <c r="AA182" s="7"/>
    </row>
    <row r="183" spans="1:27" x14ac:dyDescent="0.25">
      <c r="A183">
        <f>A182+Parameters!$B$65</f>
        <v>179</v>
      </c>
      <c r="B183" s="9">
        <f t="shared" si="53"/>
        <v>5.5238794691412761E-2</v>
      </c>
      <c r="C183" s="9">
        <f t="shared" si="53"/>
        <v>2.532692781448906E-3</v>
      </c>
      <c r="D183" s="7">
        <f t="shared" si="53"/>
        <v>0.29265407832178425</v>
      </c>
      <c r="E183" s="7">
        <f>MAX((1-Parameters!$B$4)^Parameters!B$65*E182+B182*Parameters!B$65-Parameters!$B$5*B182^2/E182*Parameters!B$65,0.0001)</f>
        <v>0.81895525180558859</v>
      </c>
      <c r="F183" s="9">
        <f>(1-Parameters!$B$4)^Parameters!B$65*F182+C182*Parameters!B$65-Parameters!$B$5*C182^2/F182*Parameters!B$65</f>
        <v>3.7593599728315788E-2</v>
      </c>
      <c r="G183" s="7">
        <f>(1-Parameters!$B$4)^Parameters!B$65*G182+D182*Parameters!B$65-Parameters!$B$5*D182^2/G182*Parameters!B$65</f>
        <v>4.338890674408292</v>
      </c>
      <c r="H183" s="7">
        <f>H182 *(1-Parameters!$B$4)-B182*(B182&lt;0)*Parameters!B$65</f>
        <v>0</v>
      </c>
      <c r="I183" s="7">
        <f>I182*(1+Parameters!$B$51)^Parameters!B$65</f>
        <v>13.702700442875269</v>
      </c>
      <c r="J183" s="7">
        <f>J182*(1+Parameters!$B$53)^Parameters!B$65</f>
        <v>313.47542041930075</v>
      </c>
      <c r="K183" s="23">
        <f>EXP(-Parameters!$B$42*A183)*(Parameters!$B$37/Parameters!$B$38*(E183+H183)/Parameters!$B$25*(EXP(-Parameters!$B$38*Parameters!$E$25*H183/(E183+H183))-EXP(-Parameters!$B$38*Parameters!$E$25))  +  Parameters!$B$39*E183*Parameters!$B$28*Parameters!$B$29*EXP((Parameters!$B$53+Parameters!$B$51)*A183))</f>
        <v>468.47329162353134</v>
      </c>
      <c r="L183" s="8">
        <f>L182+K183*Parameters!B$65</f>
        <v>35715.96880856817</v>
      </c>
      <c r="M183" s="7">
        <f>M182+Parameters!$B$45*K183</f>
        <v>21.42958128514092</v>
      </c>
      <c r="N183" s="7">
        <f>'6states'!O183</f>
        <v>0.95179079754386942</v>
      </c>
      <c r="O183" s="7">
        <f>MAX(O182+(Parameters!B$31-K183)*Parameters!B$65,30)</f>
        <v>30</v>
      </c>
      <c r="P183" s="7">
        <f>Parameters!B$61*EXP(-Parameters!B$60*A183)+(1-Parameters!B$61)*(O183/Parameters!B$62)^-Parameters!B$63</f>
        <v>0.53018618837725806</v>
      </c>
      <c r="Q183" s="9">
        <f>1-P183/Parameters!$B$12</f>
        <v>0.73490690581137097</v>
      </c>
      <c r="R183" s="23">
        <f t="shared" si="49"/>
        <v>3.7722597152547563</v>
      </c>
      <c r="S183" s="7">
        <f>(Parameters!$B$19*(E183+Parameters!$B$20)^Q183+Parameters!$B$18*F183^Q183)^(1/Q183)</f>
        <v>0.53763445587235892</v>
      </c>
      <c r="T183" s="7">
        <f>(Parameters!$B$10*G183^Parameters!$B$9 + Parameters!$B$11*S183^Parameters!$B$9) ^ (Parameters!$B$7/Parameters!$B$9) * N183</f>
        <v>1.4548249564095308</v>
      </c>
      <c r="U183" s="7">
        <f t="shared" si="50"/>
        <v>1.1043993906148848</v>
      </c>
      <c r="V183" s="7">
        <f>EXP(-Parameters!$B$55*A183)</f>
        <v>6.701089907900426E-2</v>
      </c>
      <c r="W183" s="7">
        <f>IF(U183&gt;0,U183^(1-Parameters!$B$52)/(1-Parameters!$B$52)*V183,-10+U183*1000)</f>
        <v>-0.18491972763296821</v>
      </c>
      <c r="X183" s="7"/>
      <c r="Y183" s="7"/>
      <c r="Z183" s="7"/>
      <c r="AA183" s="7"/>
    </row>
    <row r="184" spans="1:27" x14ac:dyDescent="0.25">
      <c r="A184">
        <f>A183+Parameters!$B$65</f>
        <v>180</v>
      </c>
      <c r="B184" s="9">
        <f t="shared" si="53"/>
        <v>5.5238794691412761E-2</v>
      </c>
      <c r="C184" s="9">
        <f t="shared" si="53"/>
        <v>2.532692781448906E-3</v>
      </c>
      <c r="D184" s="7">
        <f t="shared" si="53"/>
        <v>0.29265407832178425</v>
      </c>
      <c r="E184" s="7">
        <f>MAX((1-Parameters!$B$4)^Parameters!B$65*E183+B183*Parameters!B$65-Parameters!$B$5*B183^2/E183*Parameters!B$65,0.0001)</f>
        <v>0.81895588671995156</v>
      </c>
      <c r="F184" s="9">
        <f>(1-Parameters!$B$4)^Parameters!B$65*F183+C183*Parameters!B$65-Parameters!$B$5*C183^2/F183*Parameters!B$65</f>
        <v>3.7591026767896142E-2</v>
      </c>
      <c r="G184" s="7">
        <f>(1-Parameters!$B$4)^Parameters!B$65*G183+D183*Parameters!B$65-Parameters!$B$5*D183^2/G183*Parameters!B$65</f>
        <v>4.3388892881107637</v>
      </c>
      <c r="H184" s="7">
        <f>H183 *(1-Parameters!$B$4)-B183*(B183&lt;0)*Parameters!B$65</f>
        <v>0</v>
      </c>
      <c r="I184" s="7">
        <f>I183*(1+Parameters!$B$51)^Parameters!B$65</f>
        <v>13.742438274159605</v>
      </c>
      <c r="J184" s="7">
        <f>J183*(1+Parameters!$B$53)^Parameters!B$65</f>
        <v>319.74492882768675</v>
      </c>
      <c r="K184" s="23">
        <f>EXP(-Parameters!$B$42*A184)*(Parameters!$B$37/Parameters!$B$38*(E184+H184)/Parameters!$B$25*(EXP(-Parameters!$B$38*Parameters!$E$25*H184/(E184+H184))-EXP(-Parameters!$B$38*Parameters!$E$25))  +  Parameters!$B$39*E184*Parameters!$B$28*Parameters!$B$29*EXP((Parameters!$B$53+Parameters!$B$51)*A184))</f>
        <v>474.52282775458366</v>
      </c>
      <c r="L184" s="8">
        <f>L183+K184*Parameters!B$65</f>
        <v>36190.491636322753</v>
      </c>
      <c r="M184" s="7">
        <f>M183+Parameters!$B$45*K184</f>
        <v>21.714294981793671</v>
      </c>
      <c r="N184" s="7">
        <f>'6states'!O184</f>
        <v>0.95178937966720134</v>
      </c>
      <c r="O184" s="7">
        <f>MAX(O183+(Parameters!B$31-K184)*Parameters!B$65,30)</f>
        <v>30</v>
      </c>
      <c r="P184" s="7">
        <f>Parameters!B$61*EXP(-Parameters!B$60*A184)+(1-Parameters!B$61)*(O184/Parameters!B$62)^-Parameters!B$63</f>
        <v>0.53008013152003097</v>
      </c>
      <c r="Q184" s="9">
        <f>1-P184/Parameters!$B$12</f>
        <v>0.73495993423998451</v>
      </c>
      <c r="R184" s="23">
        <f t="shared" si="49"/>
        <v>3.7730144577667932</v>
      </c>
      <c r="S184" s="7">
        <f>(Parameters!$B$19*(E184+Parameters!$B$20)^Q184+Parameters!$B$18*F184^Q184)^(1/Q184)</f>
        <v>0.5376449036178661</v>
      </c>
      <c r="T184" s="7">
        <f>(Parameters!$B$10*G184^Parameters!$B$9 + Parameters!$B$11*S184^Parameters!$B$9) ^ (Parameters!$B$7/Parameters!$B$9) * N184</f>
        <v>1.4548243052892622</v>
      </c>
      <c r="U184" s="7">
        <f t="shared" si="50"/>
        <v>1.1043987394946164</v>
      </c>
      <c r="V184" s="7">
        <f>EXP(-Parameters!$B$55*A184)</f>
        <v>6.6006635772641528E-2</v>
      </c>
      <c r="W184" s="7">
        <f>IF(U184&gt;0,U184^(1-Parameters!$B$52)/(1-Parameters!$B$52)*V184,-10+U184*1000)</f>
        <v>-0.182148453393252</v>
      </c>
      <c r="X184" s="7"/>
      <c r="Y184" s="7"/>
      <c r="Z184" s="7"/>
      <c r="AA184" s="7"/>
    </row>
    <row r="185" spans="1:27" x14ac:dyDescent="0.25">
      <c r="A185">
        <f>A184+Parameters!$B$65</f>
        <v>181</v>
      </c>
      <c r="B185" s="9">
        <f t="shared" si="53"/>
        <v>5.5238794691412761E-2</v>
      </c>
      <c r="C185" s="9">
        <f t="shared" si="53"/>
        <v>2.532692781448906E-3</v>
      </c>
      <c r="D185" s="7">
        <f t="shared" si="53"/>
        <v>0.29265407832178425</v>
      </c>
      <c r="E185" s="7">
        <f>MAX((1-Parameters!$B$4)^Parameters!B$65*E184+B184*Parameters!B$65-Parameters!$B$5*B184^2/E184*Parameters!B$65,0.0001)</f>
        <v>0.81895648458677073</v>
      </c>
      <c r="F185" s="9">
        <f>(1-Parameters!$B$4)^Parameters!B$65*F184+C184*Parameters!B$65-Parameters!$B$5*C184^2/F184*Parameters!B$65</f>
        <v>3.7588603967838266E-2</v>
      </c>
      <c r="G185" s="7">
        <f>(1-Parameters!$B$4)^Parameters!B$65*G184+D184*Parameters!B$65-Parameters!$B$5*D184^2/G184*Parameters!B$65</f>
        <v>4.3388879827045601</v>
      </c>
      <c r="H185" s="7">
        <f>H184 *(1-Parameters!$B$4)-B184*(B184&lt;0)*Parameters!B$65</f>
        <v>0</v>
      </c>
      <c r="I185" s="7">
        <f>I184*(1+Parameters!$B$51)^Parameters!B$65</f>
        <v>13.782291345154666</v>
      </c>
      <c r="J185" s="7">
        <f>J184*(1+Parameters!$B$53)^Parameters!B$65</f>
        <v>326.13982740424046</v>
      </c>
      <c r="K185" s="23">
        <f>EXP(-Parameters!$B$42*A185)*(Parameters!$B$37/Parameters!$B$38*(E185+H185)/Parameters!$B$25*(EXP(-Parameters!$B$38*Parameters!$E$25*H185/(E185+H185))-EXP(-Parameters!$B$38*Parameters!$E$25))  +  Parameters!$B$39*E185*Parameters!$B$28*Parameters!$B$29*EXP((Parameters!$B$53+Parameters!$B$51)*A185))</f>
        <v>480.65122259487777</v>
      </c>
      <c r="L185" s="8">
        <f>L184+K185*Parameters!B$65</f>
        <v>36671.142858917628</v>
      </c>
      <c r="M185" s="7">
        <f>M184+Parameters!$B$45*K185</f>
        <v>22.002685715350598</v>
      </c>
      <c r="N185" s="7">
        <f>'6states'!O185</f>
        <v>0.95178794365129005</v>
      </c>
      <c r="O185" s="7">
        <f>MAX(O184+(Parameters!B$31-K185)*Parameters!B$65,30)</f>
        <v>30</v>
      </c>
      <c r="P185" s="7">
        <f>Parameters!B$61*EXP(-Parameters!B$60*A185)+(1-Parameters!B$61)*(O185/Parameters!B$62)^-Parameters!B$63</f>
        <v>0.52997689988580821</v>
      </c>
      <c r="Q185" s="9">
        <f>1-P185/Parameters!$B$12</f>
        <v>0.73501155005709595</v>
      </c>
      <c r="R185" s="23">
        <f t="shared" si="49"/>
        <v>3.7737493849843862</v>
      </c>
      <c r="S185" s="7">
        <f>(Parameters!$B$19*(E185+Parameters!$B$20)^Q185+Parameters!$B$18*F185^Q185)^(1/Q185)</f>
        <v>0.53765511055341275</v>
      </c>
      <c r="T185" s="7">
        <f>(Parameters!$B$10*G185^Parameters!$B$9 + Parameters!$B$11*S185^Parameters!$B$9) ^ (Parameters!$B$7/Parameters!$B$9) * N185</f>
        <v>1.4548235953395845</v>
      </c>
      <c r="U185" s="7">
        <f t="shared" si="50"/>
        <v>1.1043980295449387</v>
      </c>
      <c r="V185" s="7">
        <f>EXP(-Parameters!$B$55*A185)</f>
        <v>6.5017422925269325E-2</v>
      </c>
      <c r="W185" s="7">
        <f>IF(U185&gt;0,U185^(1-Parameters!$B$52)/(1-Parameters!$B$52)*V185,-10+U185*1000)</f>
        <v>-0.1794187138214843</v>
      </c>
      <c r="X185" s="7"/>
      <c r="Y185" s="7"/>
      <c r="Z185" s="7"/>
      <c r="AA185" s="7"/>
    </row>
    <row r="186" spans="1:27" x14ac:dyDescent="0.25">
      <c r="A186">
        <f>A185+Parameters!$B$65</f>
        <v>182</v>
      </c>
      <c r="B186" s="9">
        <f t="shared" ref="B186:D201" si="54">B185</f>
        <v>5.5238794691412761E-2</v>
      </c>
      <c r="C186" s="9">
        <f t="shared" si="54"/>
        <v>2.532692781448906E-3</v>
      </c>
      <c r="D186" s="7">
        <f t="shared" si="54"/>
        <v>0.29265407832178425</v>
      </c>
      <c r="E186" s="7">
        <f>MAX((1-Parameters!$B$4)^Parameters!B$65*E185+B185*Parameters!B$65-Parameters!$B$5*B185^2/E185*Parameters!B$65,0.0001)</f>
        <v>0.81895704756778331</v>
      </c>
      <c r="F186" s="9">
        <f>(1-Parameters!$B$4)^Parameters!B$65*F185+C185*Parameters!B$65-Parameters!$B$5*C185^2/F185*Parameters!B$65</f>
        <v>3.758632256318227E-2</v>
      </c>
      <c r="G186" s="7">
        <f>(1-Parameters!$B$4)^Parameters!B$65*G185+D185*Parameters!B$65-Parameters!$B$5*D185^2/G185*Parameters!B$65</f>
        <v>4.3388867534696187</v>
      </c>
      <c r="H186" s="7">
        <f>H185 *(1-Parameters!$B$4)-B185*(B185&lt;0)*Parameters!B$65</f>
        <v>0</v>
      </c>
      <c r="I186" s="7">
        <f>I185*(1+Parameters!$B$51)^Parameters!B$65</f>
        <v>13.822259990055613</v>
      </c>
      <c r="J186" s="7">
        <f>J185*(1+Parameters!$B$53)^Parameters!B$65</f>
        <v>332.6626239523253</v>
      </c>
      <c r="K186" s="23">
        <f>EXP(-Parameters!$B$42*A186)*(Parameters!$B$37/Parameters!$B$38*(E186+H186)/Parameters!$B$25*(EXP(-Parameters!$B$38*Parameters!$E$25*H186/(E186+H186))-EXP(-Parameters!$B$38*Parameters!$E$25))  +  Parameters!$B$39*E186*Parameters!$B$28*Parameters!$B$29*EXP((Parameters!$B$53+Parameters!$B$51)*A186))</f>
        <v>486.85949750351381</v>
      </c>
      <c r="L186" s="8">
        <f>L185+K186*Parameters!B$65</f>
        <v>37158.002356421144</v>
      </c>
      <c r="M186" s="7">
        <f>M185+Parameters!$B$45*K186</f>
        <v>22.294801413852706</v>
      </c>
      <c r="N186" s="7">
        <f>'6states'!O186</f>
        <v>0.95178648926382148</v>
      </c>
      <c r="O186" s="7">
        <f>MAX(O185+(Parameters!B$31-K186)*Parameters!B$65,30)</f>
        <v>30</v>
      </c>
      <c r="P186" s="7">
        <f>Parameters!B$61*EXP(-Parameters!B$60*A186)+(1-Parameters!B$61)*(O186/Parameters!B$62)^-Parameters!B$63</f>
        <v>0.52987641821415665</v>
      </c>
      <c r="Q186" s="9">
        <f>1-P186/Parameters!$B$12</f>
        <v>0.73506179089292167</v>
      </c>
      <c r="R186" s="23">
        <f t="shared" si="49"/>
        <v>3.7744650096726389</v>
      </c>
      <c r="S186" s="7">
        <f>(Parameters!$B$19*(E186+Parameters!$B$20)^Q186+Parameters!$B$18*F186^Q186)^(1/Q186)</f>
        <v>0.53766508088553588</v>
      </c>
      <c r="T186" s="7">
        <f>(Parameters!$B$10*G186^Parameters!$B$9 + Parameters!$B$11*S186^Parameters!$B$9) ^ (Parameters!$B$7/Parameters!$B$9) * N186</f>
        <v>1.454822826486867</v>
      </c>
      <c r="U186" s="7">
        <f t="shared" si="50"/>
        <v>1.1043972606922212</v>
      </c>
      <c r="V186" s="7">
        <f>EXP(-Parameters!$B$55*A186)</f>
        <v>6.4043034982180613E-2</v>
      </c>
      <c r="W186" s="7">
        <f>IF(U186&gt;0,U186^(1-Parameters!$B$52)/(1-Parameters!$B$52)*V186,-10+U186*1000)</f>
        <v>-0.17672988636790615</v>
      </c>
      <c r="X186" s="7"/>
      <c r="Y186" s="7"/>
      <c r="Z186" s="7"/>
      <c r="AA186" s="7"/>
    </row>
    <row r="187" spans="1:27" x14ac:dyDescent="0.25">
      <c r="A187">
        <f>A186+Parameters!$B$65</f>
        <v>183</v>
      </c>
      <c r="B187" s="9">
        <f t="shared" si="54"/>
        <v>5.5238794691412761E-2</v>
      </c>
      <c r="C187" s="9">
        <f t="shared" si="54"/>
        <v>2.532692781448906E-3</v>
      </c>
      <c r="D187" s="7">
        <f t="shared" si="54"/>
        <v>0.29265407832178425</v>
      </c>
      <c r="E187" s="7">
        <f>MAX((1-Parameters!$B$4)^Parameters!B$65*E186+B186*Parameters!B$65-Parameters!$B$5*B186^2/E186*Parameters!B$65,0.0001)</f>
        <v>0.81895757769858868</v>
      </c>
      <c r="F187" s="9">
        <f>(1-Parameters!$B$4)^Parameters!B$65*F186+C186*Parameters!B$65-Parameters!$B$5*C186^2/F186*Parameters!B$65</f>
        <v>3.7584174300750124E-2</v>
      </c>
      <c r="G187" s="7">
        <f>(1-Parameters!$B$4)^Parameters!B$65*G186+D186*Parameters!B$65-Parameters!$B$5*D186^2/G186*Parameters!B$65</f>
        <v>4.3388855959612966</v>
      </c>
      <c r="H187" s="7">
        <f>H186 *(1-Parameters!$B$4)-B186*(B186&lt;0)*Parameters!B$65</f>
        <v>0</v>
      </c>
      <c r="I187" s="7">
        <f>I186*(1+Parameters!$B$51)^Parameters!B$65</f>
        <v>13.862344544026774</v>
      </c>
      <c r="J187" s="7">
        <f>J186*(1+Parameters!$B$53)^Parameters!B$65</f>
        <v>339.31587643137181</v>
      </c>
      <c r="K187" s="23">
        <f>EXP(-Parameters!$B$42*A187)*(Parameters!$B$37/Parameters!$B$38*(E187+H187)/Parameters!$B$25*(EXP(-Parameters!$B$38*Parameters!$E$25*H187/(E187+H187))-EXP(-Parameters!$B$38*Parameters!$E$25))  +  Parameters!$B$39*E187*Parameters!$B$28*Parameters!$B$29*EXP((Parameters!$B$53+Parameters!$B$51)*A187))</f>
        <v>493.14868709678905</v>
      </c>
      <c r="L187" s="8">
        <f>L186+K187*Parameters!B$65</f>
        <v>37651.15104351793</v>
      </c>
      <c r="M187" s="7">
        <f>M186+Parameters!$B$45*K187</f>
        <v>22.590690626110781</v>
      </c>
      <c r="N187" s="7">
        <f>'6states'!O187</f>
        <v>0.95178501626949918</v>
      </c>
      <c r="O187" s="7">
        <f>MAX(O186+(Parameters!B$31-K187)*Parameters!B$65,30)</f>
        <v>30</v>
      </c>
      <c r="P187" s="7">
        <f>Parameters!B$61*EXP(-Parameters!B$60*A187)+(1-Parameters!B$61)*(O187/Parameters!B$62)^-Parameters!B$63</f>
        <v>0.52977861324948727</v>
      </c>
      <c r="Q187" s="9">
        <f>1-P187/Parameters!$B$12</f>
        <v>0.73511069337525636</v>
      </c>
      <c r="R187" s="23">
        <f t="shared" si="49"/>
        <v>3.7751618317180826</v>
      </c>
      <c r="S187" s="7">
        <f>(Parameters!$B$19*(E187+Parameters!$B$20)^Q187+Parameters!$B$18*F187^Q187)^(1/Q187)</f>
        <v>0.53767481883910562</v>
      </c>
      <c r="T187" s="7">
        <f>(Parameters!$B$10*G187^Parameters!$B$9 + Parameters!$B$11*S187^Parameters!$B$9) ^ (Parameters!$B$7/Parameters!$B$9) * N187</f>
        <v>1.4548219986777118</v>
      </c>
      <c r="U187" s="7">
        <f t="shared" si="50"/>
        <v>1.1043964328830658</v>
      </c>
      <c r="V187" s="7">
        <f>EXP(-Parameters!$B$55*A187)</f>
        <v>6.3083249768959085E-2</v>
      </c>
      <c r="W187" s="7">
        <f>IF(U187&gt;0,U187^(1-Parameters!$B$52)/(1-Parameters!$B$52)*V187,-10+U187*1000)</f>
        <v>-0.17408135781346845</v>
      </c>
      <c r="X187" s="7"/>
      <c r="Y187" s="7"/>
      <c r="Z187" s="7"/>
      <c r="AA187" s="7"/>
    </row>
    <row r="188" spans="1:27" x14ac:dyDescent="0.25">
      <c r="A188">
        <f>A187+Parameters!$B$65</f>
        <v>184</v>
      </c>
      <c r="B188" s="9">
        <f t="shared" si="54"/>
        <v>5.5238794691412761E-2</v>
      </c>
      <c r="C188" s="9">
        <f t="shared" si="54"/>
        <v>2.532692781448906E-3</v>
      </c>
      <c r="D188" s="7">
        <f t="shared" si="54"/>
        <v>0.29265407832178425</v>
      </c>
      <c r="E188" s="7">
        <f>MAX((1-Parameters!$B$4)^Parameters!B$65*E187+B187*Parameters!B$65-Parameters!$B$5*B187^2/E187*Parameters!B$65,0.0001)</f>
        <v>0.81895807689600864</v>
      </c>
      <c r="F188" s="9">
        <f>(1-Parameters!$B$4)^Parameters!B$65*F187+C187*Parameters!B$65-Parameters!$B$5*C187^2/F187*Parameters!B$65</f>
        <v>3.7582151409244299E-2</v>
      </c>
      <c r="G188" s="7">
        <f>(1-Parameters!$B$4)^Parameters!B$65*G187+D187*Parameters!B$65-Parameters!$B$5*D187^2/G187*Parameters!B$65</f>
        <v>4.3388845059942973</v>
      </c>
      <c r="H188" s="7">
        <f>H187 *(1-Parameters!$B$4)-B187*(B187&lt;0)*Parameters!B$65</f>
        <v>0</v>
      </c>
      <c r="I188" s="7">
        <f>I187*(1+Parameters!$B$51)^Parameters!B$65</f>
        <v>13.90254534320445</v>
      </c>
      <c r="J188" s="7">
        <f>J187*(1+Parameters!$B$53)^Parameters!B$65</f>
        <v>346.10219395999923</v>
      </c>
      <c r="K188" s="23">
        <f>EXP(-Parameters!$B$42*A188)*(Parameters!$B$37/Parameters!$B$38*(E188+H188)/Parameters!$B$25*(EXP(-Parameters!$B$38*Parameters!$E$25*H188/(E188+H188))-EXP(-Parameters!$B$38*Parameters!$E$25))  +  Parameters!$B$39*E188*Parameters!$B$28*Parameters!$B$29*EXP((Parameters!$B$53+Parameters!$B$51)*A188))</f>
        <v>499.5198394216917</v>
      </c>
      <c r="L188" s="8">
        <f>L187+K188*Parameters!B$65</f>
        <v>38150.670882939623</v>
      </c>
      <c r="M188" s="7">
        <f>M187+Parameters!$B$45*K188</f>
        <v>22.890402529763797</v>
      </c>
      <c r="N188" s="7">
        <f>'6states'!O188</f>
        <v>0.95178352443000525</v>
      </c>
      <c r="O188" s="7">
        <f>MAX(O187+(Parameters!B$31-K188)*Parameters!B$65,30)</f>
        <v>30</v>
      </c>
      <c r="P188" s="7">
        <f>Parameters!B$61*EXP(-Parameters!B$60*A188)+(1-Parameters!B$61)*(O188/Parameters!B$62)^-Parameters!B$63</f>
        <v>0.5296834136876496</v>
      </c>
      <c r="Q188" s="9">
        <f>1-P188/Parameters!$B$12</f>
        <v>0.7351582931561752</v>
      </c>
      <c r="R188" s="23">
        <f t="shared" si="49"/>
        <v>3.7758403384316375</v>
      </c>
      <c r="S188" s="7">
        <f>(Parameters!$B$19*(E188+Parameters!$B$20)^Q188+Parameters!$B$18*F188^Q188)^(1/Q188)</f>
        <v>0.53768432864910931</v>
      </c>
      <c r="T188" s="7">
        <f>(Parameters!$B$10*G188^Parameters!$B$9 + Parameters!$B$11*S188^Parameters!$B$9) ^ (Parameters!$B$7/Parameters!$B$9) * N188</f>
        <v>1.4548211118763215</v>
      </c>
      <c r="U188" s="7">
        <f t="shared" si="50"/>
        <v>1.1043955460816757</v>
      </c>
      <c r="V188" s="7">
        <f>EXP(-Parameters!$B$55*A188)</f>
        <v>6.2137848440820063E-2</v>
      </c>
      <c r="W188" s="7">
        <f>IF(U188&gt;0,U188^(1-Parameters!$B$52)/(1-Parameters!$B$52)*V188,-10+U188*1000)</f>
        <v>-0.17147252413016831</v>
      </c>
      <c r="X188" s="7"/>
      <c r="Y188" s="7"/>
      <c r="Z188" s="7"/>
      <c r="AA188" s="7"/>
    </row>
    <row r="189" spans="1:27" x14ac:dyDescent="0.25">
      <c r="A189">
        <f>A188+Parameters!$B$65</f>
        <v>185</v>
      </c>
      <c r="B189" s="9">
        <f t="shared" si="54"/>
        <v>5.5238794691412761E-2</v>
      </c>
      <c r="C189" s="9">
        <f t="shared" si="54"/>
        <v>2.532692781448906E-3</v>
      </c>
      <c r="D189" s="7">
        <f t="shared" si="54"/>
        <v>0.29265407832178425</v>
      </c>
      <c r="E189" s="7">
        <f>MAX((1-Parameters!$B$4)^Parameters!B$65*E188+B188*Parameters!B$65-Parameters!$B$5*B188^2/E188*Parameters!B$65,0.0001)</f>
        <v>0.81895854696501813</v>
      </c>
      <c r="F189" s="9">
        <f>(1-Parameters!$B$4)^Parameters!B$65*F188+C188*Parameters!B$65-Parameters!$B$5*C188^2/F188*Parameters!B$65</f>
        <v>3.7580246571095467E-2</v>
      </c>
      <c r="G189" s="7">
        <f>(1-Parameters!$B$4)^Parameters!B$65*G188+D188*Parameters!B$65-Parameters!$B$5*D188^2/G188*Parameters!B$65</f>
        <v>4.3388834796275404</v>
      </c>
      <c r="H189" s="7">
        <f>H188 *(1-Parameters!$B$4)-B188*(B188&lt;0)*Parameters!B$65</f>
        <v>0</v>
      </c>
      <c r="I189" s="7">
        <f>I188*(1+Parameters!$B$51)^Parameters!B$65</f>
        <v>13.942862724699742</v>
      </c>
      <c r="J189" s="7">
        <f>J188*(1+Parameters!$B$53)^Parameters!B$65</f>
        <v>353.0242378391992</v>
      </c>
      <c r="K189" s="23">
        <f>EXP(-Parameters!$B$42*A189)*(Parameters!$B$37/Parameters!$B$38*(E189+H189)/Parameters!$B$25*(EXP(-Parameters!$B$38*Parameters!$E$25*H189/(E189+H189))-EXP(-Parameters!$B$38*Parameters!$E$25))  +  Parameters!$B$39*E189*Parameters!$B$28*Parameters!$B$29*EXP((Parameters!$B$53+Parameters!$B$51)*A189))</f>
        <v>505.974016131567</v>
      </c>
      <c r="L189" s="8">
        <f>L188+K189*Parameters!B$65</f>
        <v>38656.644899071187</v>
      </c>
      <c r="M189" s="7">
        <f>M188+Parameters!$B$45*K189</f>
        <v>23.193986939442738</v>
      </c>
      <c r="N189" s="7">
        <f>'6states'!O189</f>
        <v>0.95178201350396063</v>
      </c>
      <c r="O189" s="7">
        <f>MAX(O188+(Parameters!B$31-K189)*Parameters!B$65,30)</f>
        <v>30</v>
      </c>
      <c r="P189" s="7">
        <f>Parameters!B$61*EXP(-Parameters!B$60*A189)+(1-Parameters!B$61)*(O189/Parameters!B$62)^-Parameters!B$63</f>
        <v>0.52959075012394663</v>
      </c>
      <c r="Q189" s="9">
        <f>1-P189/Parameters!$B$12</f>
        <v>0.73520462493802663</v>
      </c>
      <c r="R189" s="23">
        <f t="shared" si="49"/>
        <v>3.7765010048455623</v>
      </c>
      <c r="S189" s="7">
        <f>(Parameters!$B$19*(E189+Parameters!$B$20)^Q189+Parameters!$B$18*F189^Q189)^(1/Q189)</f>
        <v>0.53769361455311449</v>
      </c>
      <c r="T189" s="7">
        <f>(Parameters!$B$10*G189^Parameters!$B$9 + Parameters!$B$11*S189^Parameters!$B$9) ^ (Parameters!$B$7/Parameters!$B$9) * N189</f>
        <v>1.4548201660620483</v>
      </c>
      <c r="U189" s="7">
        <f t="shared" si="50"/>
        <v>1.1043946002674025</v>
      </c>
      <c r="V189" s="7">
        <f>EXP(-Parameters!$B$55*A189)</f>
        <v>6.1206615432710852E-2</v>
      </c>
      <c r="W189" s="7">
        <f>IF(U189&gt;0,U189^(1-Parameters!$B$52)/(1-Parameters!$B$52)*V189,-10+U189*1000)</f>
        <v>-0.16890279034345751</v>
      </c>
      <c r="X189" s="7"/>
      <c r="Y189" s="7"/>
      <c r="Z189" s="7"/>
      <c r="AA189" s="7"/>
    </row>
    <row r="190" spans="1:27" x14ac:dyDescent="0.25">
      <c r="A190">
        <f>A189+Parameters!$B$65</f>
        <v>186</v>
      </c>
      <c r="B190" s="9">
        <f t="shared" si="54"/>
        <v>5.5238794691412761E-2</v>
      </c>
      <c r="C190" s="9">
        <f t="shared" si="54"/>
        <v>2.532692781448906E-3</v>
      </c>
      <c r="D190" s="7">
        <f t="shared" si="54"/>
        <v>0.29265407832178425</v>
      </c>
      <c r="E190" s="7">
        <f>MAX((1-Parameters!$B$4)^Parameters!B$65*E189+B189*Parameters!B$65-Parameters!$B$5*B189^2/E189*Parameters!B$65,0.0001)</f>
        <v>0.81895898960527147</v>
      </c>
      <c r="F190" s="9">
        <f>(1-Parameters!$B$4)^Parameters!B$65*F189+C189*Parameters!B$65-Parameters!$B$5*C189^2/F189*Parameters!B$65</f>
        <v>3.7578452895956835E-2</v>
      </c>
      <c r="G190" s="7">
        <f>(1-Parameters!$B$4)^Parameters!B$65*G189+D189*Parameters!B$65-Parameters!$B$5*D189^2/G189*Parameters!B$65</f>
        <v>4.3388825131499109</v>
      </c>
      <c r="H190" s="7">
        <f>H189 *(1-Parameters!$B$4)-B189*(B189&lt;0)*Parameters!B$65</f>
        <v>0</v>
      </c>
      <c r="I190" s="7">
        <f>I189*(1+Parameters!$B$51)^Parameters!B$65</f>
        <v>13.98329702660137</v>
      </c>
      <c r="J190" s="7">
        <f>J189*(1+Parameters!$B$53)^Parameters!B$65</f>
        <v>360.08472259598318</v>
      </c>
      <c r="K190" s="23">
        <f>EXP(-Parameters!$B$42*A190)*(Parameters!$B$37/Parameters!$B$38*(E190+H190)/Parameters!$B$25*(EXP(-Parameters!$B$38*Parameters!$E$25*H190/(E190+H190))-EXP(-Parameters!$B$38*Parameters!$E$25))  +  Parameters!$B$39*E190*Parameters!$B$28*Parameters!$B$29*EXP((Parameters!$B$53+Parameters!$B$51)*A190))</f>
        <v>512.51229266399901</v>
      </c>
      <c r="L190" s="8">
        <f>L189+K190*Parameters!B$65</f>
        <v>39169.157191735183</v>
      </c>
      <c r="M190" s="7">
        <f>M189+Parameters!$B$45*K190</f>
        <v>23.501494315041136</v>
      </c>
      <c r="N190" s="7">
        <f>'6states'!O190</f>
        <v>0.95178048324688369</v>
      </c>
      <c r="O190" s="7">
        <f>MAX(O189+(Parameters!B$31-K190)*Parameters!B$65,30)</f>
        <v>30</v>
      </c>
      <c r="P190" s="7">
        <f>Parameters!B$61*EXP(-Parameters!B$60*A190)+(1-Parameters!B$61)*(O190/Parameters!B$62)^-Parameters!B$63</f>
        <v>0.52950055500253668</v>
      </c>
      <c r="Q190" s="9">
        <f>1-P190/Parameters!$B$12</f>
        <v>0.73524972249873166</v>
      </c>
      <c r="R190" s="23">
        <f t="shared" si="49"/>
        <v>3.7771442940044104</v>
      </c>
      <c r="S190" s="7">
        <f>(Parameters!$B$19*(E190+Parameters!$B$20)^Q190+Parameters!$B$18*F190^Q190)^(1/Q190)</f>
        <v>0.53770268078436401</v>
      </c>
      <c r="T190" s="7">
        <f>(Parameters!$B$10*G190^Parameters!$B$9 + Parameters!$B$11*S190^Parameters!$B$9) ^ (Parameters!$B$7/Parameters!$B$9) * N190</f>
        <v>1.4548191612271126</v>
      </c>
      <c r="U190" s="7">
        <f t="shared" si="50"/>
        <v>1.1043935954324668</v>
      </c>
      <c r="V190" s="7">
        <f>EXP(-Parameters!$B$55*A190)</f>
        <v>6.0289338410158787E-2</v>
      </c>
      <c r="W190" s="7">
        <f>IF(U190&gt;0,U190^(1-Parameters!$B$52)/(1-Parameters!$B$52)*V190,-10+U190*1000)</f>
        <v>-0.16637157039669184</v>
      </c>
      <c r="X190" s="7"/>
      <c r="Y190" s="7"/>
      <c r="Z190" s="7"/>
      <c r="AA190" s="7"/>
    </row>
    <row r="191" spans="1:27" x14ac:dyDescent="0.25">
      <c r="A191">
        <f>A190+Parameters!$B$65</f>
        <v>187</v>
      </c>
      <c r="B191" s="9">
        <f t="shared" si="54"/>
        <v>5.5238794691412761E-2</v>
      </c>
      <c r="C191" s="9">
        <f t="shared" si="54"/>
        <v>2.532692781448906E-3</v>
      </c>
      <c r="D191" s="7">
        <f t="shared" si="54"/>
        <v>0.29265407832178425</v>
      </c>
      <c r="E191" s="7">
        <f>MAX((1-Parameters!$B$4)^Parameters!B$65*E190+B190*Parameters!B$65-Parameters!$B$5*B190^2/E190*Parameters!B$65,0.0001)</f>
        <v>0.81895940641724774</v>
      </c>
      <c r="F191" s="9">
        <f>(1-Parameters!$B$4)^Parameters!B$65*F190+C190*Parameters!B$65-Parameters!$B$5*C190^2/F190*Parameters!B$65</f>
        <v>3.7576763895748502E-2</v>
      </c>
      <c r="G191" s="7">
        <f>(1-Parameters!$B$4)^Parameters!B$65*G190+D190*Parameters!B$65-Parameters!$B$5*D190^2/G190*Parameters!B$65</f>
        <v>4.3388816030668398</v>
      </c>
      <c r="H191" s="7">
        <f>H190 *(1-Parameters!$B$4)-B190*(B190&lt;0)*Parameters!B$65</f>
        <v>0</v>
      </c>
      <c r="I191" s="7">
        <f>I190*(1+Parameters!$B$51)^Parameters!B$65</f>
        <v>14.023848587978513</v>
      </c>
      <c r="J191" s="7">
        <f>J190*(1+Parameters!$B$53)^Parameters!B$65</f>
        <v>367.28641704790283</v>
      </c>
      <c r="K191" s="23">
        <f>EXP(-Parameters!$B$42*A191)*(Parameters!$B$37/Parameters!$B$38*(E191+H191)/Parameters!$B$25*(EXP(-Parameters!$B$38*Parameters!$E$25*H191/(E191+H191))-EXP(-Parameters!$B$38*Parameters!$E$25))  +  Parameters!$B$39*E191*Parameters!$B$28*Parameters!$B$29*EXP((Parameters!$B$53+Parameters!$B$51)*A191))</f>
        <v>519.135758420927</v>
      </c>
      <c r="L191" s="8">
        <f>L190+K191*Parameters!B$65</f>
        <v>39688.292950156108</v>
      </c>
      <c r="M191" s="7">
        <f>M190+Parameters!$B$45*K191</f>
        <v>23.812975770093693</v>
      </c>
      <c r="N191" s="7">
        <f>'6states'!O191</f>
        <v>0.95177893341114728</v>
      </c>
      <c r="O191" s="7">
        <f>MAX(O190+(Parameters!B$31-K191)*Parameters!B$65,30)</f>
        <v>30</v>
      </c>
      <c r="P191" s="7">
        <f>Parameters!B$61*EXP(-Parameters!B$60*A191)+(1-Parameters!B$61)*(O191/Parameters!B$62)^-Parameters!B$63</f>
        <v>0.52941276256718162</v>
      </c>
      <c r="Q191" s="9">
        <f>1-P191/Parameters!$B$12</f>
        <v>0.73529361871640919</v>
      </c>
      <c r="R191" s="23">
        <f t="shared" si="49"/>
        <v>3.7777706572500755</v>
      </c>
      <c r="S191" s="7">
        <f>(Parameters!$B$19*(E191+Parameters!$B$20)^Q191+Parameters!$B$18*F191^Q191)^(1/Q191)</f>
        <v>0.5377115315654647</v>
      </c>
      <c r="T191" s="7">
        <f>(Parameters!$B$10*G191^Parameters!$B$9 + Parameters!$B$11*S191^Parameters!$B$9) ^ (Parameters!$B$7/Parameters!$B$9) * N191</f>
        <v>1.4548180973744751</v>
      </c>
      <c r="U191" s="7">
        <f t="shared" si="50"/>
        <v>1.1043925315798293</v>
      </c>
      <c r="V191" s="7">
        <f>EXP(-Parameters!$B$55*A191)</f>
        <v>5.9385808220855908E-2</v>
      </c>
      <c r="W191" s="7">
        <f>IF(U191&gt;0,U191^(1-Parameters!$B$52)/(1-Parameters!$B$52)*V191,-10+U191*1000)</f>
        <v>-0.16387828701759419</v>
      </c>
      <c r="X191" s="7"/>
      <c r="Y191" s="7"/>
      <c r="Z191" s="7"/>
      <c r="AA191" s="7"/>
    </row>
    <row r="192" spans="1:27" x14ac:dyDescent="0.25">
      <c r="A192">
        <f>A191+Parameters!$B$65</f>
        <v>188</v>
      </c>
      <c r="B192" s="9">
        <f t="shared" si="54"/>
        <v>5.5238794691412761E-2</v>
      </c>
      <c r="C192" s="9">
        <f t="shared" si="54"/>
        <v>2.532692781448906E-3</v>
      </c>
      <c r="D192" s="7">
        <f t="shared" si="54"/>
        <v>0.29265407832178425</v>
      </c>
      <c r="E192" s="7">
        <f>MAX((1-Parameters!$B$4)^Parameters!B$65*E191+B191*Parameters!B$65-Parameters!$B$5*B191^2/E191*Parameters!B$65,0.0001)</f>
        <v>0.81895979890803761</v>
      </c>
      <c r="F192" s="9">
        <f>(1-Parameters!$B$4)^Parameters!B$65*F191+C191*Parameters!B$65-Parameters!$B$5*C191^2/F191*Parameters!B$65</f>
        <v>3.7575173461161071E-2</v>
      </c>
      <c r="G192" s="7">
        <f>(1-Parameters!$B$4)^Parameters!B$65*G191+D191*Parameters!B$65-Parameters!$B$5*D191^2/G191*Parameters!B$65</f>
        <v>4.3388807460876668</v>
      </c>
      <c r="H192" s="7">
        <f>H191 *(1-Parameters!$B$4)-B191*(B191&lt;0)*Parameters!B$65</f>
        <v>0</v>
      </c>
      <c r="I192" s="7">
        <f>I191*(1+Parameters!$B$51)^Parameters!B$65</f>
        <v>14.064517748883649</v>
      </c>
      <c r="J192" s="7">
        <f>J191*(1+Parameters!$B$53)^Parameters!B$65</f>
        <v>374.63214538886092</v>
      </c>
      <c r="K192" s="23">
        <f>EXP(-Parameters!$B$42*A192)*(Parameters!$B$37/Parameters!$B$38*(E192+H192)/Parameters!$B$25*(EXP(-Parameters!$B$38*Parameters!$E$25*H192/(E192+H192))-EXP(-Parameters!$B$38*Parameters!$E$25))  +  Parameters!$B$39*E192*Parameters!$B$28*Parameters!$B$29*EXP((Parameters!$B$53+Parameters!$B$51)*A192))</f>
        <v>525.8455169510396</v>
      </c>
      <c r="L192" s="8">
        <f>L191+K192*Parameters!B$65</f>
        <v>40214.13846710715</v>
      </c>
      <c r="M192" s="7">
        <f>M191+Parameters!$B$45*K192</f>
        <v>24.128483080264317</v>
      </c>
      <c r="N192" s="7">
        <f>'6states'!O192</f>
        <v>0.95177736374593269</v>
      </c>
      <c r="O192" s="7">
        <f>MAX(O191+(Parameters!B$31-K192)*Parameters!B$65,30)</f>
        <v>30</v>
      </c>
      <c r="P192" s="7">
        <f>Parameters!B$61*EXP(-Parameters!B$60*A192)+(1-Parameters!B$61)*(O192/Parameters!B$62)^-Parameters!B$63</f>
        <v>0.52932730881330792</v>
      </c>
      <c r="Q192" s="9">
        <f>1-P192/Parameters!$B$12</f>
        <v>0.73533634559334604</v>
      </c>
      <c r="R192" s="23">
        <f t="shared" si="49"/>
        <v>3.7783805345009958</v>
      </c>
      <c r="S192" s="7">
        <f>(Parameters!$B$19*(E192+Parameters!$B$20)^Q192+Parameters!$B$18*F192^Q192)^(1/Q192)</f>
        <v>0.53772017110262349</v>
      </c>
      <c r="T192" s="7">
        <f>(Parameters!$B$10*G192^Parameters!$B$9 + Parameters!$B$11*S192^Parameters!$B$9) ^ (Parameters!$B$7/Parameters!$B$9) * N192</f>
        <v>1.4548169745158575</v>
      </c>
      <c r="U192" s="7">
        <f t="shared" si="50"/>
        <v>1.1043914087212117</v>
      </c>
      <c r="V192" s="7">
        <f>EXP(-Parameters!$B$55*A192)</f>
        <v>5.8495818846969333E-2</v>
      </c>
      <c r="W192" s="7">
        <f>IF(U192&gt;0,U192^(1-Parameters!$B$52)/(1-Parameters!$B$52)*V192,-10+U192*1000)</f>
        <v>-0.16142237158670239</v>
      </c>
      <c r="X192" s="7"/>
      <c r="Y192" s="7"/>
      <c r="Z192" s="7"/>
      <c r="AA192" s="7"/>
    </row>
    <row r="193" spans="1:27" x14ac:dyDescent="0.25">
      <c r="A193">
        <f>A192+Parameters!$B$65</f>
        <v>189</v>
      </c>
      <c r="B193" s="9">
        <f t="shared" si="54"/>
        <v>5.5238794691412761E-2</v>
      </c>
      <c r="C193" s="9">
        <f t="shared" si="54"/>
        <v>2.532692781448906E-3</v>
      </c>
      <c r="D193" s="7">
        <f t="shared" si="54"/>
        <v>0.29265407832178425</v>
      </c>
      <c r="E193" s="7">
        <f>MAX((1-Parameters!$B$4)^Parameters!B$65*E192+B192*Parameters!B$65-Parameters!$B$5*B192^2/E192*Parameters!B$65,0.0001)</f>
        <v>0.81896016849679265</v>
      </c>
      <c r="F193" s="9">
        <f>(1-Parameters!$B$4)^Parameters!B$65*F192+C192*Parameters!B$65-Parameters!$B$5*C192^2/F192*Parameters!B$65</f>
        <v>3.7573675839532937E-2</v>
      </c>
      <c r="G193" s="7">
        <f>(1-Parameters!$B$4)^Parameters!B$65*G192+D192*Parameters!B$65-Parameters!$B$5*D192^2/G192*Parameters!B$65</f>
        <v>4.338879939113748</v>
      </c>
      <c r="H193" s="7">
        <f>H192 *(1-Parameters!$B$4)-B192*(B192&lt;0)*Parameters!B$65</f>
        <v>0</v>
      </c>
      <c r="I193" s="7">
        <f>I192*(1+Parameters!$B$51)^Parameters!B$65</f>
        <v>14.105304850355409</v>
      </c>
      <c r="J193" s="7">
        <f>J192*(1+Parameters!$B$53)^Parameters!B$65</f>
        <v>382.12478829663814</v>
      </c>
      <c r="K193" s="23">
        <f>EXP(-Parameters!$B$42*A193)*(Parameters!$B$37/Parameters!$B$38*(E193+H193)/Parameters!$B$25*(EXP(-Parameters!$B$38*Parameters!$E$25*H193/(E193+H193))-EXP(-Parameters!$B$38*Parameters!$E$25))  +  Parameters!$B$39*E193*Parameters!$B$28*Parameters!$B$29*EXP((Parameters!$B$53+Parameters!$B$51)*A193))</f>
        <v>532.64268613447291</v>
      </c>
      <c r="L193" s="8">
        <f>L192+K193*Parameters!B$65</f>
        <v>40746.781153241624</v>
      </c>
      <c r="M193" s="7">
        <f>M192+Parameters!$B$45*K193</f>
        <v>24.448068691945</v>
      </c>
      <c r="N193" s="7">
        <f>'6states'!O193</f>
        <v>0.95177577399717861</v>
      </c>
      <c r="O193" s="7">
        <f>MAX(O192+(Parameters!B$31-K193)*Parameters!B$65,30)</f>
        <v>30</v>
      </c>
      <c r="P193" s="7">
        <f>Parameters!B$61*EXP(-Parameters!B$60*A193)+(1-Parameters!B$61)*(O193/Parameters!B$62)^-Parameters!B$63</f>
        <v>0.52924413144134452</v>
      </c>
      <c r="Q193" s="9">
        <f>1-P193/Parameters!$B$12</f>
        <v>0.73537793427932774</v>
      </c>
      <c r="R193" s="23">
        <f t="shared" si="49"/>
        <v>3.7789743545255683</v>
      </c>
      <c r="S193" s="7">
        <f>(Parameters!$B$19*(E193+Parameters!$B$20)^Q193+Parameters!$B$18*F193^Q193)^(1/Q193)</f>
        <v>0.53772860358039898</v>
      </c>
      <c r="T193" s="7">
        <f>(Parameters!$B$10*G193^Parameters!$B$9 + Parameters!$B$11*S193^Parameters!$B$9) ^ (Parameters!$B$7/Parameters!$B$9) * N193</f>
        <v>1.4548157926698932</v>
      </c>
      <c r="U193" s="7">
        <f t="shared" si="50"/>
        <v>1.1043902268752475</v>
      </c>
      <c r="V193" s="7">
        <f>EXP(-Parameters!$B$55*A193)</f>
        <v>5.7619167358166093E-2</v>
      </c>
      <c r="W193" s="7">
        <f>IF(U193&gt;0,U193^(1-Parameters!$B$52)/(1-Parameters!$B$52)*V193,-10+U193*1000)</f>
        <v>-0.15900326400777323</v>
      </c>
      <c r="X193" s="7"/>
      <c r="Y193" s="7"/>
      <c r="Z193" s="7"/>
      <c r="AA193" s="7"/>
    </row>
    <row r="194" spans="1:27" x14ac:dyDescent="0.25">
      <c r="A194">
        <f>A193+Parameters!$B$65</f>
        <v>190</v>
      </c>
      <c r="B194" s="9">
        <f t="shared" si="54"/>
        <v>5.5238794691412761E-2</v>
      </c>
      <c r="C194" s="9">
        <f t="shared" si="54"/>
        <v>2.532692781448906E-3</v>
      </c>
      <c r="D194" s="7">
        <f t="shared" si="54"/>
        <v>0.29265407832178425</v>
      </c>
      <c r="E194" s="7">
        <f>MAX((1-Parameters!$B$4)^Parameters!B$65*E193+B193*Parameters!B$65-Parameters!$B$5*B193^2/E193*Parameters!B$65,0.0001)</f>
        <v>0.81896051651985646</v>
      </c>
      <c r="F194" s="9">
        <f>(1-Parameters!$B$4)^Parameters!B$65*F193+C193*Parameters!B$65-Parameters!$B$5*C193^2/F193*Parameters!B$65</f>
        <v>3.7572265614020932E-2</v>
      </c>
      <c r="G194" s="7">
        <f>(1-Parameters!$B$4)^Parameters!B$65*G193+D193*Parameters!B$65-Parameters!$B$5*D193^2/G193*Parameters!B$65</f>
        <v>4.3388791792272441</v>
      </c>
      <c r="H194" s="7">
        <f>H193 *(1-Parameters!$B$4)-B193*(B193&lt;0)*Parameters!B$65</f>
        <v>0</v>
      </c>
      <c r="I194" s="7">
        <f>I193*(1+Parameters!$B$51)^Parameters!B$65</f>
        <v>14.146210234421439</v>
      </c>
      <c r="J194" s="7">
        <f>J193*(1+Parameters!$B$53)^Parameters!B$65</f>
        <v>389.76728406257092</v>
      </c>
      <c r="K194" s="23">
        <f>EXP(-Parameters!$B$42*A194)*(Parameters!$B$37/Parameters!$B$38*(E194+H194)/Parameters!$B$25*(EXP(-Parameters!$B$38*Parameters!$E$25*H194/(E194+H194))-EXP(-Parameters!$B$38*Parameters!$E$25))  +  Parameters!$B$39*E194*Parameters!$B$28*Parameters!$B$29*EXP((Parameters!$B$53+Parameters!$B$51)*A194))</f>
        <v>539.52839836984833</v>
      </c>
      <c r="L194" s="8">
        <f>L193+K194*Parameters!B$65</f>
        <v>41286.30955161147</v>
      </c>
      <c r="M194" s="7">
        <f>M193+Parameters!$B$45*K194</f>
        <v>24.771785730966908</v>
      </c>
      <c r="N194" s="7">
        <f>'6states'!O194</f>
        <v>0.95177416390752356</v>
      </c>
      <c r="O194" s="7">
        <f>MAX(O193+(Parameters!B$31-K194)*Parameters!B$65,30)</f>
        <v>30</v>
      </c>
      <c r="P194" s="7">
        <f>Parameters!B$61*EXP(-Parameters!B$60*A194)+(1-Parameters!B$61)*(O194/Parameters!B$62)^-Parameters!B$63</f>
        <v>0.52916316981130362</v>
      </c>
      <c r="Q194" s="9">
        <f>1-P194/Parameters!$B$12</f>
        <v>0.73541841509434813</v>
      </c>
      <c r="R194" s="23">
        <f t="shared" si="49"/>
        <v>3.7795525352098625</v>
      </c>
      <c r="S194" s="7">
        <f>(Parameters!$B$19*(E194+Parameters!$B$20)^Q194+Parameters!$B$18*F194^Q194)^(1/Q194)</f>
        <v>0.53773683315692999</v>
      </c>
      <c r="T194" s="7">
        <f>(Parameters!$B$10*G194^Parameters!$B$9 + Parameters!$B$11*S194^Parameters!$B$9) ^ (Parameters!$B$7/Parameters!$B$9) * N194</f>
        <v>1.454814551860399</v>
      </c>
      <c r="U194" s="7">
        <f t="shared" si="50"/>
        <v>1.1043889860657532</v>
      </c>
      <c r="V194" s="7">
        <f>EXP(-Parameters!$B$55*A194)</f>
        <v>5.6755653865342197E-2</v>
      </c>
      <c r="W194" s="7">
        <f>IF(U194&gt;0,U194^(1-Parameters!$B$52)/(1-Parameters!$B$52)*V194,-10+U194*1000)</f>
        <v>-0.15662041258011636</v>
      </c>
      <c r="X194" s="7"/>
      <c r="Y194" s="7"/>
      <c r="Z194" s="7"/>
      <c r="AA194" s="7"/>
    </row>
    <row r="195" spans="1:27" x14ac:dyDescent="0.25">
      <c r="A195">
        <f>A194+Parameters!$B$65</f>
        <v>191</v>
      </c>
      <c r="B195" s="9">
        <f t="shared" si="54"/>
        <v>5.5238794691412761E-2</v>
      </c>
      <c r="C195" s="9">
        <f t="shared" si="54"/>
        <v>2.532692781448906E-3</v>
      </c>
      <c r="D195" s="7">
        <f t="shared" si="54"/>
        <v>0.29265407832178425</v>
      </c>
      <c r="E195" s="7">
        <f>MAX((1-Parameters!$B$4)^Parameters!B$65*E194+B194*Parameters!B$65-Parameters!$B$5*B194^2/E194*Parameters!B$65,0.0001)</f>
        <v>0.81896084423559679</v>
      </c>
      <c r="F195" s="9">
        <f>(1-Parameters!$B$4)^Parameters!B$65*F194+C194*Parameters!B$65-Parameters!$B$5*C194^2/F194*Parameters!B$65</f>
        <v>3.757093768398842E-2</v>
      </c>
      <c r="G195" s="7">
        <f>(1-Parameters!$B$4)^Parameters!B$65*G194+D194*Parameters!B$65-Parameters!$B$5*D194^2/G194*Parameters!B$65</f>
        <v>4.3388784636805742</v>
      </c>
      <c r="H195" s="7">
        <f>H194 *(1-Parameters!$B$4)-B194*(B194&lt;0)*Parameters!B$65</f>
        <v>0</v>
      </c>
      <c r="I195" s="7">
        <f>I194*(1+Parameters!$B$51)^Parameters!B$65</f>
        <v>14.18723424410126</v>
      </c>
      <c r="J195" s="7">
        <f>J194*(1+Parameters!$B$53)^Parameters!B$65</f>
        <v>397.56262974382236</v>
      </c>
      <c r="K195" s="23">
        <f>EXP(-Parameters!$B$42*A195)*(Parameters!$B$37/Parameters!$B$38*(E195+H195)/Parameters!$B$25*(EXP(-Parameters!$B$38*Parameters!$E$25*H195/(E195+H195))-EXP(-Parameters!$B$38*Parameters!$E$25))  +  Parameters!$B$39*E195*Parameters!$B$28*Parameters!$B$29*EXP((Parameters!$B$53+Parameters!$B$51)*A195))</f>
        <v>546.50380076368378</v>
      </c>
      <c r="L195" s="8">
        <f>L194+K195*Parameters!B$65</f>
        <v>41832.813352375153</v>
      </c>
      <c r="M195" s="7">
        <f>M194+Parameters!$B$45*K195</f>
        <v>25.099688011425119</v>
      </c>
      <c r="N195" s="7">
        <f>'6states'!O195</f>
        <v>0.95177253321623589</v>
      </c>
      <c r="O195" s="7">
        <f>MAX(O194+(Parameters!B$31-K195)*Parameters!B$65,30)</f>
        <v>30</v>
      </c>
      <c r="P195" s="7">
        <f>Parameters!B$61*EXP(-Parameters!B$60*A195)+(1-Parameters!B$61)*(O195/Parameters!B$62)^-Parameters!B$63</f>
        <v>0.52908436489857102</v>
      </c>
      <c r="Q195" s="9">
        <f>1-P195/Parameters!$B$12</f>
        <v>0.73545781755071449</v>
      </c>
      <c r="R195" s="23">
        <f t="shared" si="49"/>
        <v>3.7801154838196989</v>
      </c>
      <c r="S195" s="7">
        <f>(Parameters!$B$19*(E195+Parameters!$B$20)^Q195+Parameters!$B$18*F195^Q195)^(1/Q195)</f>
        <v>0.53774486395960852</v>
      </c>
      <c r="T195" s="7">
        <f>(Parameters!$B$10*G195^Parameters!$B$9 + Parameters!$B$11*S195^Parameters!$B$9) ^ (Parameters!$B$7/Parameters!$B$9) * N195</f>
        <v>1.4548132521147503</v>
      </c>
      <c r="U195" s="7">
        <f t="shared" si="50"/>
        <v>1.1043876863201043</v>
      </c>
      <c r="V195" s="7">
        <f>EXP(-Parameters!$B$55*A195)</f>
        <v>5.5905081475045089E-2</v>
      </c>
      <c r="W195" s="7">
        <f>IF(U195&gt;0,U195^(1-Parameters!$B$52)/(1-Parameters!$B$52)*V195,-10+U195*1000)</f>
        <v>-0.1542732738728293</v>
      </c>
      <c r="X195" s="7"/>
      <c r="Y195" s="7"/>
      <c r="Z195" s="7"/>
      <c r="AA195" s="7"/>
    </row>
    <row r="196" spans="1:27" x14ac:dyDescent="0.25">
      <c r="A196">
        <f>A195+Parameters!$B$65</f>
        <v>192</v>
      </c>
      <c r="B196" s="9">
        <f t="shared" si="54"/>
        <v>5.5238794691412761E-2</v>
      </c>
      <c r="C196" s="9">
        <f t="shared" si="54"/>
        <v>2.532692781448906E-3</v>
      </c>
      <c r="D196" s="7">
        <f t="shared" si="54"/>
        <v>0.29265407832178425</v>
      </c>
      <c r="E196" s="7">
        <f>MAX((1-Parameters!$B$4)^Parameters!B$65*E195+B195*Parameters!B$65-Parameters!$B$5*B195^2/E195*Parameters!B$65,0.0001)</f>
        <v>0.81896115282895499</v>
      </c>
      <c r="F196" s="9">
        <f>(1-Parameters!$B$4)^Parameters!B$65*F195+C195*Parameters!B$65-Parameters!$B$5*C195^2/F195*Parameters!B$65</f>
        <v>3.7569687246539675E-2</v>
      </c>
      <c r="G196" s="7">
        <f>(1-Parameters!$B$4)^Parameters!B$65*G195+D195*Parameters!B$65-Parameters!$B$5*D195^2/G195*Parameters!B$65</f>
        <v>4.3388777898864817</v>
      </c>
      <c r="H196" s="7">
        <f>H195 *(1-Parameters!$B$4)-B195*(B195&lt;0)*Parameters!B$65</f>
        <v>0</v>
      </c>
      <c r="I196" s="7">
        <f>I195*(1+Parameters!$B$51)^Parameters!B$65</f>
        <v>14.228377223409153</v>
      </c>
      <c r="J196" s="7">
        <f>J195*(1+Parameters!$B$53)^Parameters!B$65</f>
        <v>405.51388233869881</v>
      </c>
      <c r="K196" s="23">
        <f>EXP(-Parameters!$B$42*A196)*(Parameters!$B$37/Parameters!$B$38*(E196+H196)/Parameters!$B$25*(EXP(-Parameters!$B$38*Parameters!$E$25*H196/(E196+H196))-EXP(-Parameters!$B$38*Parameters!$E$25))  +  Parameters!$B$39*E196*Parameters!$B$28*Parameters!$B$29*EXP((Parameters!$B$53+Parameters!$B$51)*A196))</f>
        <v>553.57005532220819</v>
      </c>
      <c r="L196" s="8">
        <f>L195+K196*Parameters!B$65</f>
        <v>42386.383407697358</v>
      </c>
      <c r="M196" s="7">
        <f>M195+Parameters!$B$45*K196</f>
        <v>25.431830044618444</v>
      </c>
      <c r="N196" s="7">
        <f>'6states'!O196</f>
        <v>0.95177088165912616</v>
      </c>
      <c r="O196" s="7">
        <f>MAX(O195+(Parameters!B$31-K196)*Parameters!B$65,30)</f>
        <v>30</v>
      </c>
      <c r="P196" s="7">
        <f>Parameters!B$61*EXP(-Parameters!B$60*A196)+(1-Parameters!B$61)*(O196/Parameters!B$62)^-Parameters!B$63</f>
        <v>0.52900765925087545</v>
      </c>
      <c r="Q196" s="9">
        <f>1-P196/Parameters!$B$12</f>
        <v>0.73549617037456227</v>
      </c>
      <c r="R196" s="23">
        <f t="shared" si="49"/>
        <v>3.780663597257151</v>
      </c>
      <c r="S196" s="7">
        <f>(Parameters!$B$19*(E196+Parameters!$B$20)^Q196+Parameters!$B$18*F196^Q196)^(1/Q196)</f>
        <v>0.53775270008116771</v>
      </c>
      <c r="T196" s="7">
        <f>(Parameters!$B$10*G196^Parameters!$B$9 + Parameters!$B$11*S196^Parameters!$B$9) ^ (Parameters!$B$7/Parameters!$B$9) * N196</f>
        <v>1.454811893462344</v>
      </c>
      <c r="U196" s="7">
        <f t="shared" si="50"/>
        <v>1.1043863276676982</v>
      </c>
      <c r="V196" s="7">
        <f>EXP(-Parameters!$B$55*A196)</f>
        <v>5.5067256244579005E-2</v>
      </c>
      <c r="W196" s="7">
        <f>IF(U196&gt;0,U196^(1-Parameters!$B$52)/(1-Parameters!$B$52)*V196,-10+U196*1000)</f>
        <v>-0.15196131260090734</v>
      </c>
      <c r="X196" s="7"/>
      <c r="Y196" s="7"/>
      <c r="Z196" s="7"/>
      <c r="AA196" s="7"/>
    </row>
    <row r="197" spans="1:27" x14ac:dyDescent="0.25">
      <c r="A197">
        <f>A196+Parameters!$B$65</f>
        <v>193</v>
      </c>
      <c r="B197" s="9">
        <f t="shared" si="54"/>
        <v>5.5238794691412761E-2</v>
      </c>
      <c r="C197" s="9">
        <f t="shared" si="54"/>
        <v>2.532692781448906E-3</v>
      </c>
      <c r="D197" s="7">
        <f t="shared" si="54"/>
        <v>0.29265407832178425</v>
      </c>
      <c r="E197" s="7">
        <f>MAX((1-Parameters!$B$4)^Parameters!B$65*E196+B196*Parameters!B$65-Parameters!$B$5*B196^2/E196*Parameters!B$65,0.0001)</f>
        <v>0.81896144341573085</v>
      </c>
      <c r="F197" s="9">
        <f>(1-Parameters!$B$4)^Parameters!B$65*F196+C196*Parameters!B$65-Parameters!$B$5*C196^2/F196*Parameters!B$65</f>
        <v>3.7568509779133424E-2</v>
      </c>
      <c r="G197" s="7">
        <f>(1-Parameters!$B$4)^Parameters!B$65*G196+D196*Parameters!B$65-Parameters!$B$5*D196^2/G196*Parameters!B$65</f>
        <v>4.338877155408678</v>
      </c>
      <c r="H197" s="7">
        <f>H196 *(1-Parameters!$B$4)-B196*(B196&lt;0)*Parameters!B$65</f>
        <v>0</v>
      </c>
      <c r="I197" s="7">
        <f>I196*(1+Parameters!$B$51)^Parameters!B$65</f>
        <v>14.269639517357037</v>
      </c>
      <c r="J197" s="7">
        <f>J196*(1+Parameters!$B$53)^Parameters!B$65</f>
        <v>413.62415998547277</v>
      </c>
      <c r="K197" s="23">
        <f>EXP(-Parameters!$B$42*A197)*(Parameters!$B$37/Parameters!$B$38*(E197+H197)/Parameters!$B$25*(EXP(-Parameters!$B$38*Parameters!$E$25*H197/(E197+H197))-EXP(-Parameters!$B$38*Parameters!$E$25))  +  Parameters!$B$39*E197*Parameters!$B$28*Parameters!$B$29*EXP((Parameters!$B$53+Parameters!$B$51)*A197))</f>
        <v>560.72833914561875</v>
      </c>
      <c r="L197" s="8">
        <f>L196+K197*Parameters!B$65</f>
        <v>42947.11174684298</v>
      </c>
      <c r="M197" s="7">
        <f>M196+Parameters!$B$45*K197</f>
        <v>25.768267048105816</v>
      </c>
      <c r="N197" s="7">
        <f>'6states'!O197</f>
        <v>0.95176920896843198</v>
      </c>
      <c r="O197" s="7">
        <f>MAX(O196+(Parameters!B$31-K197)*Parameters!B$65,30)</f>
        <v>30</v>
      </c>
      <c r="P197" s="7">
        <f>Parameters!B$61*EXP(-Parameters!B$60*A197)+(1-Parameters!B$61)*(O197/Parameters!B$62)^-Parameters!B$63</f>
        <v>0.52893299694640261</v>
      </c>
      <c r="Q197" s="9">
        <f>1-P197/Parameters!$B$12</f>
        <v>0.73553350152679875</v>
      </c>
      <c r="R197" s="23">
        <f t="shared" ref="R197:R204" si="55">1/(1-Q197)</f>
        <v>3.7811972623115868</v>
      </c>
      <c r="S197" s="7">
        <f>(Parameters!$B$19*(E197+Parameters!$B$20)^Q197+Parameters!$B$18*F197^Q197)^(1/Q197)</f>
        <v>0.53776034557615426</v>
      </c>
      <c r="T197" s="7">
        <f>(Parameters!$B$10*G197^Parameters!$B$9 + Parameters!$B$11*S197^Parameters!$B$9) ^ (Parameters!$B$7/Parameters!$B$9) * N197</f>
        <v>1.4548104759331253</v>
      </c>
      <c r="U197" s="7">
        <f t="shared" ref="U197:U204" si="56">T197-B197-C197-D197</f>
        <v>1.1043849101384793</v>
      </c>
      <c r="V197" s="7">
        <f>EXP(-Parameters!$B$55*A197)</f>
        <v>5.4241987137783339E-2</v>
      </c>
      <c r="W197" s="7">
        <f>IF(U197&gt;0,U197^(1-Parameters!$B$52)/(1-Parameters!$B$52)*V197,-10+U197*1000)</f>
        <v>-0.14968400150320213</v>
      </c>
      <c r="X197" s="7"/>
      <c r="Y197" s="7"/>
      <c r="Z197" s="7"/>
      <c r="AA197" s="7"/>
    </row>
    <row r="198" spans="1:27" x14ac:dyDescent="0.25">
      <c r="A198">
        <f>A197+Parameters!$B$65</f>
        <v>194</v>
      </c>
      <c r="B198" s="9">
        <f t="shared" si="54"/>
        <v>5.5238794691412761E-2</v>
      </c>
      <c r="C198" s="9">
        <f t="shared" si="54"/>
        <v>2.532692781448906E-3</v>
      </c>
      <c r="D198" s="7">
        <f t="shared" si="54"/>
        <v>0.29265407832178425</v>
      </c>
      <c r="E198" s="7">
        <f>MAX((1-Parameters!$B$4)^Parameters!B$65*E197+B197*Parameters!B$65-Parameters!$B$5*B197^2/E197*Parameters!B$65,0.0001)</f>
        <v>0.81896171704661691</v>
      </c>
      <c r="F198" s="9">
        <f>(1-Parameters!$B$4)^Parameters!B$65*F197+C197*Parameters!B$65-Parameters!$B$5*C197^2/F197*Parameters!B$65</f>
        <v>3.7567401023212391E-2</v>
      </c>
      <c r="G198" s="7">
        <f>(1-Parameters!$B$4)^Parameters!B$65*G197+D197*Parameters!B$65-Parameters!$B$5*D197^2/G197*Parameters!B$65</f>
        <v>4.338876557953034</v>
      </c>
      <c r="H198" s="7">
        <f>H197 *(1-Parameters!$B$4)-B197*(B197&lt;0)*Parameters!B$65</f>
        <v>0</v>
      </c>
      <c r="I198" s="7">
        <f>I197*(1+Parameters!$B$51)^Parameters!B$65</f>
        <v>14.311021471957371</v>
      </c>
      <c r="J198" s="7">
        <f>J197*(1+Parameters!$B$53)^Parameters!B$65</f>
        <v>421.89664318518226</v>
      </c>
      <c r="K198" s="23">
        <f>EXP(-Parameters!$B$42*A198)*(Parameters!$B$37/Parameters!$B$38*(E198+H198)/Parameters!$B$25*(EXP(-Parameters!$B$38*Parameters!$E$25*H198/(E198+H198))-EXP(-Parameters!$B$38*Parameters!$E$25))  +  Parameters!$B$39*E198*Parameters!$B$28*Parameters!$B$29*EXP((Parameters!$B$53+Parameters!$B$51)*A198))</f>
        <v>567.97984462481111</v>
      </c>
      <c r="L198" s="8">
        <f>L197+K198*Parameters!B$65</f>
        <v>43515.09159146779</v>
      </c>
      <c r="M198" s="7">
        <f>M197+Parameters!$B$45*K198</f>
        <v>26.109054954880701</v>
      </c>
      <c r="N198" s="7">
        <f>'6states'!O198</f>
        <v>0.9517675148726612</v>
      </c>
      <c r="O198" s="7">
        <f>MAX(O197+(Parameters!B$31-K198)*Parameters!B$65,30)</f>
        <v>30</v>
      </c>
      <c r="P198" s="7">
        <f>Parameters!B$61*EXP(-Parameters!B$60*A198)+(1-Parameters!B$61)*(O198/Parameters!B$62)^-Parameters!B$63</f>
        <v>0.52886032355302581</v>
      </c>
      <c r="Q198" s="9">
        <f>1-P198/Parameters!$B$12</f>
        <v>0.73556983822348709</v>
      </c>
      <c r="R198" s="23">
        <f t="shared" si="55"/>
        <v>3.7817168559052838</v>
      </c>
      <c r="S198" s="7">
        <f>(Parameters!$B$19*(E198+Parameters!$B$20)^Q198+Parameters!$B$18*F198^Q198)^(1/Q198)</f>
        <v>0.53776780445776018</v>
      </c>
      <c r="T198" s="7">
        <f>(Parameters!$B$10*G198^Parameters!$B$9 + Parameters!$B$11*S198^Parameters!$B$9) ^ (Parameters!$B$7/Parameters!$B$9) * N198</f>
        <v>1.4548089995561517</v>
      </c>
      <c r="U198" s="7">
        <f t="shared" si="56"/>
        <v>1.1043834337615057</v>
      </c>
      <c r="V198" s="7">
        <f>EXP(-Parameters!$B$55*A198)</f>
        <v>5.3429085981473647E-2</v>
      </c>
      <c r="W198" s="7">
        <f>IF(U198&gt;0,U198^(1-Parameters!$B$52)/(1-Parameters!$B$52)*V198,-10+U198*1000)</f>
        <v>-0.14744082122220264</v>
      </c>
      <c r="X198" s="7"/>
      <c r="Y198" s="7"/>
      <c r="Z198" s="7"/>
      <c r="AA198" s="7"/>
    </row>
    <row r="199" spans="1:27" x14ac:dyDescent="0.25">
      <c r="A199">
        <f>A198+Parameters!$B$65</f>
        <v>195</v>
      </c>
      <c r="B199" s="9">
        <f t="shared" si="54"/>
        <v>5.5238794691412761E-2</v>
      </c>
      <c r="C199" s="9">
        <f t="shared" si="54"/>
        <v>2.532692781448906E-3</v>
      </c>
      <c r="D199" s="7">
        <f t="shared" si="54"/>
        <v>0.29265407832178425</v>
      </c>
      <c r="E199" s="7">
        <f>MAX((1-Parameters!$B$4)^Parameters!B$65*E198+B198*Parameters!B$65-Parameters!$B$5*B198^2/E198*Parameters!B$65,0.0001)</f>
        <v>0.81896197471099719</v>
      </c>
      <c r="F199" s="9">
        <f>(1-Parameters!$B$4)^Parameters!B$65*F198+C198*Parameters!B$65-Parameters!$B$5*C198^2/F198*Parameters!B$65</f>
        <v>3.7566356968789329E-2</v>
      </c>
      <c r="G199" s="7">
        <f>(1-Parameters!$B$4)^Parameters!B$65*G198+D198*Parameters!B$65-Parameters!$B$5*D198^2/G198*Parameters!B$65</f>
        <v>4.3388759953592819</v>
      </c>
      <c r="H199" s="7">
        <f>H198 *(1-Parameters!$B$4)-B198*(B198&lt;0)*Parameters!B$65</f>
        <v>0</v>
      </c>
      <c r="I199" s="7">
        <f>I198*(1+Parameters!$B$51)^Parameters!B$65</f>
        <v>14.352523434226047</v>
      </c>
      <c r="J199" s="7">
        <f>J198*(1+Parameters!$B$53)^Parameters!B$65</f>
        <v>430.33457604888594</v>
      </c>
      <c r="K199" s="23">
        <f>EXP(-Parameters!$B$42*A199)*(Parameters!$B$37/Parameters!$B$38*(E199+H199)/Parameters!$B$25*(EXP(-Parameters!$B$38*Parameters!$E$25*H199/(E199+H199))-EXP(-Parameters!$B$38*Parameters!$E$25))  +  Parameters!$B$39*E199*Parameters!$B$28*Parameters!$B$29*EXP((Parameters!$B$53+Parameters!$B$51)*A199))</f>
        <v>575.32577964061545</v>
      </c>
      <c r="L199" s="8">
        <f>L198+K199*Parameters!B$65</f>
        <v>44090.417371108408</v>
      </c>
      <c r="M199" s="7">
        <f>M198+Parameters!$B$45*K199</f>
        <v>26.454250422665069</v>
      </c>
      <c r="N199" s="7">
        <f>'6states'!O199</f>
        <v>0.9517657990963756</v>
      </c>
      <c r="O199" s="7">
        <f>MAX(O198+(Parameters!B$31-K199)*Parameters!B$65,30)</f>
        <v>30</v>
      </c>
      <c r="P199" s="7">
        <f>Parameters!B$61*EXP(-Parameters!B$60*A199)+(1-Parameters!B$61)*(O199/Parameters!B$62)^-Parameters!B$63</f>
        <v>0.52878958608862281</v>
      </c>
      <c r="Q199" s="9">
        <f>1-P199/Parameters!$B$12</f>
        <v>0.73560520695568865</v>
      </c>
      <c r="R199" s="23">
        <f t="shared" si="55"/>
        <v>3.7822227453337351</v>
      </c>
      <c r="S199" s="7">
        <f>(Parameters!$B$19*(E199+Parameters!$B$20)^Q199+Parameters!$B$18*F199^Q199)^(1/Q199)</f>
        <v>0.53777508069498525</v>
      </c>
      <c r="T199" s="7">
        <f>(Parameters!$B$10*G199^Parameters!$B$9 + Parameters!$B$11*S199^Parameters!$B$9) ^ (Parameters!$B$7/Parameters!$B$9) * N199</f>
        <v>1.4548074643581586</v>
      </c>
      <c r="U199" s="7">
        <f t="shared" si="56"/>
        <v>1.1043818985635125</v>
      </c>
      <c r="V199" s="7">
        <f>EXP(-Parameters!$B$55*A199)</f>
        <v>5.2628367422535426E-2</v>
      </c>
      <c r="W199" s="7">
        <f>IF(U199&gt;0,U199^(1-Parameters!$B$52)/(1-Parameters!$B$52)*V199,-10+U199*1000)</f>
        <v>-0.14523126018561341</v>
      </c>
      <c r="X199" s="7"/>
      <c r="Y199" s="7"/>
      <c r="Z199" s="7"/>
      <c r="AA199" s="7"/>
    </row>
    <row r="200" spans="1:27" x14ac:dyDescent="0.25">
      <c r="A200">
        <f>A199+Parameters!$B$65</f>
        <v>196</v>
      </c>
      <c r="B200" s="9">
        <f t="shared" si="54"/>
        <v>5.5238794691412761E-2</v>
      </c>
      <c r="C200" s="9">
        <f t="shared" si="54"/>
        <v>2.532692781448906E-3</v>
      </c>
      <c r="D200" s="7">
        <f t="shared" si="54"/>
        <v>0.29265407832178425</v>
      </c>
      <c r="E200" s="7">
        <f>MAX((1-Parameters!$B$4)^Parameters!B$65*E199+B199*Parameters!B$65-Parameters!$B$5*B199^2/E199*Parameters!B$65,0.0001)</f>
        <v>0.8189622173405251</v>
      </c>
      <c r="F200" s="9">
        <f>(1-Parameters!$B$4)^Parameters!B$65*F199+C199*Parameters!B$65-Parameters!$B$5*C199^2/F199*Parameters!B$65</f>
        <v>3.7565373839933698E-2</v>
      </c>
      <c r="G200" s="7">
        <f>(1-Parameters!$B$4)^Parameters!B$65*G199+D199*Parameters!B$65-Parameters!$B$5*D199^2/G199*Parameters!B$65</f>
        <v>4.33887546559321</v>
      </c>
      <c r="H200" s="7">
        <f>H199 *(1-Parameters!$B$4)-B199*(B199&lt;0)*Parameters!B$65</f>
        <v>0</v>
      </c>
      <c r="I200" s="7">
        <f>I199*(1+Parameters!$B$51)^Parameters!B$65</f>
        <v>14.394145752185301</v>
      </c>
      <c r="J200" s="7">
        <f>J199*(1+Parameters!$B$53)^Parameters!B$65</f>
        <v>438.94126756986367</v>
      </c>
      <c r="K200" s="23">
        <f>EXP(-Parameters!$B$42*A200)*(Parameters!$B$37/Parameters!$B$38*(E200+H200)/Parameters!$B$25*(EXP(-Parameters!$B$38*Parameters!$E$25*H200/(E200+H200))-EXP(-Parameters!$B$38*Parameters!$E$25))  +  Parameters!$B$39*E200*Parameters!$B$28*Parameters!$B$29*EXP((Parameters!$B$53+Parameters!$B$51)*A200))</f>
        <v>582.76736776557857</v>
      </c>
      <c r="L200" s="8">
        <f>L199+K200*Parameters!B$65</f>
        <v>44673.184738873984</v>
      </c>
      <c r="M200" s="7">
        <f>M199+Parameters!$B$45*K200</f>
        <v>26.803910843324417</v>
      </c>
      <c r="N200" s="7">
        <f>'6states'!O200</f>
        <v>0.95176406135988845</v>
      </c>
      <c r="O200" s="7">
        <f>MAX(O199+(Parameters!B$31-K200)*Parameters!B$65,30)</f>
        <v>30</v>
      </c>
      <c r="P200" s="7">
        <f>Parameters!B$61*EXP(-Parameters!B$60*A200)+(1-Parameters!B$61)*(O200/Parameters!B$62)^-Parameters!B$63</f>
        <v>0.52872073298244926</v>
      </c>
      <c r="Q200" s="9">
        <f>1-P200/Parameters!$B$12</f>
        <v>0.73563963350877537</v>
      </c>
      <c r="R200" s="23">
        <f t="shared" si="55"/>
        <v>3.7827152885006865</v>
      </c>
      <c r="S200" s="7">
        <f>(Parameters!$B$19*(E200+Parameters!$B$20)^Q200+Parameters!$B$18*F200^Q200)^(1/Q200)</f>
        <v>0.53778217821011076</v>
      </c>
      <c r="T200" s="7">
        <f>(Parameters!$B$10*G200^Parameters!$B$9 + Parameters!$B$11*S200^Parameters!$B$9) ^ (Parameters!$B$7/Parameters!$B$9) * N200</f>
        <v>1.4548058703620805</v>
      </c>
      <c r="U200" s="7">
        <f t="shared" si="56"/>
        <v>1.1043803045674347</v>
      </c>
      <c r="V200" s="7">
        <f>EXP(-Parameters!$B$55*A200)</f>
        <v>5.1839648885661067E-2</v>
      </c>
      <c r="W200" s="7">
        <f>IF(U200&gt;0,U200^(1-Parameters!$B$52)/(1-Parameters!$B$52)*V200,-10+U200*1000)</f>
        <v>-0.14305481448970536</v>
      </c>
      <c r="X200" s="7"/>
      <c r="Y200" s="7"/>
      <c r="Z200" s="7"/>
      <c r="AA200" s="7"/>
    </row>
    <row r="201" spans="1:27" x14ac:dyDescent="0.25">
      <c r="A201">
        <f>A200+Parameters!$B$65</f>
        <v>197</v>
      </c>
      <c r="B201" s="9">
        <f t="shared" si="54"/>
        <v>5.5238794691412761E-2</v>
      </c>
      <c r="C201" s="9">
        <f t="shared" si="54"/>
        <v>2.532692781448906E-3</v>
      </c>
      <c r="D201" s="7">
        <f t="shared" si="54"/>
        <v>0.29265407832178425</v>
      </c>
      <c r="E201" s="7">
        <f>MAX((1-Parameters!$B$4)^Parameters!B$65*E200+B200*Parameters!B$65-Parameters!$B$5*B200^2/E200*Parameters!B$65,0.0001)</f>
        <v>0.81896244581249134</v>
      </c>
      <c r="F201" s="9">
        <f>(1-Parameters!$B$4)^Parameters!B$65*F200+C200*Parameters!B$65-Parameters!$B$5*C200^2/F200*Parameters!B$65</f>
        <v>3.7564448081106198E-2</v>
      </c>
      <c r="G201" s="7">
        <f>(1-Parameters!$B$4)^Parameters!B$65*G200+D200*Parameters!B$65-Parameters!$B$5*D200^2/G200*Parameters!B$65</f>
        <v>4.3388749667393034</v>
      </c>
      <c r="H201" s="7">
        <f>H200 *(1-Parameters!$B$4)-B200*(B200&lt;0)*Parameters!B$65</f>
        <v>0</v>
      </c>
      <c r="I201" s="7">
        <f>I200*(1+Parameters!$B$51)^Parameters!B$65</f>
        <v>14.435888774866637</v>
      </c>
      <c r="J201" s="7">
        <f>J200*(1+Parameters!$B$53)^Parameters!B$65</f>
        <v>447.72009292126097</v>
      </c>
      <c r="K201" s="23">
        <f>EXP(-Parameters!$B$42*A201)*(Parameters!$B$37/Parameters!$B$38*(E201+H201)/Parameters!$B$25*(EXP(-Parameters!$B$38*Parameters!$E$25*H201/(E201+H201))-EXP(-Parameters!$B$38*Parameters!$E$25))  +  Parameters!$B$39*E201*Parameters!$B$28*Parameters!$B$29*EXP((Parameters!$B$53+Parameters!$B$51)*A201))</f>
        <v>590.30584846832483</v>
      </c>
      <c r="L201" s="8">
        <f>L200+K201*Parameters!B$65</f>
        <v>45263.490587342312</v>
      </c>
      <c r="M201" s="7">
        <f>M200+Parameters!$B$45*K201</f>
        <v>27.15809435240541</v>
      </c>
      <c r="N201" s="7">
        <f>'6states'!O201</f>
        <v>0.9517623013788451</v>
      </c>
      <c r="O201" s="7">
        <f>MAX(O200+(Parameters!B$31-K201)*Parameters!B$65,30)</f>
        <v>30</v>
      </c>
      <c r="P201" s="7">
        <f>Parameters!B$61*EXP(-Parameters!B$60*A201)+(1-Parameters!B$61)*(O201/Parameters!B$62)^-Parameters!B$63</f>
        <v>0.52865371403754124</v>
      </c>
      <c r="Q201" s="9">
        <f>1-P201/Parameters!$B$12</f>
        <v>0.73567314298122932</v>
      </c>
      <c r="R201" s="23">
        <f t="shared" si="55"/>
        <v>3.7831948341480368</v>
      </c>
      <c r="S201" s="7">
        <f>(Parameters!$B$19*(E201+Parameters!$B$20)^Q201+Parameters!$B$18*F201^Q201)^(1/Q201)</f>
        <v>0.53778910087645959</v>
      </c>
      <c r="T201" s="7">
        <f>(Parameters!$B$10*G201^Parameters!$B$9 + Parameters!$B$11*S201^Parameters!$B$9) ^ (Parameters!$B$7/Parameters!$B$9) * N201</f>
        <v>1.4548042175854761</v>
      </c>
      <c r="U201" s="7">
        <f t="shared" si="56"/>
        <v>1.1043786517908303</v>
      </c>
      <c r="V201" s="7">
        <f>EXP(-Parameters!$B$55*A201)</f>
        <v>5.1062750531719887E-2</v>
      </c>
      <c r="W201" s="7">
        <f>IF(U201&gt;0,U201^(1-Parameters!$B$52)/(1-Parameters!$B$52)*V201,-10+U201*1000)</f>
        <v>-0.14091098778441494</v>
      </c>
      <c r="X201" s="7"/>
      <c r="Y201" s="7"/>
      <c r="Z201" s="7"/>
      <c r="AA201" s="7"/>
    </row>
    <row r="202" spans="1:27" x14ac:dyDescent="0.25">
      <c r="A202">
        <f>A201+Parameters!$B$65</f>
        <v>198</v>
      </c>
      <c r="B202" s="9">
        <f t="shared" ref="B202:D204" si="57">B201</f>
        <v>5.5238794691412761E-2</v>
      </c>
      <c r="C202" s="9">
        <f t="shared" si="57"/>
        <v>2.532692781448906E-3</v>
      </c>
      <c r="D202" s="7">
        <f t="shared" si="57"/>
        <v>0.29265407832178425</v>
      </c>
      <c r="E202" s="7">
        <f>MAX((1-Parameters!$B$4)^Parameters!B$65*E201+B201*Parameters!B$65-Parameters!$B$5*B201^2/E201*Parameters!B$65,0.0001)</f>
        <v>0.81896266095299652</v>
      </c>
      <c r="F202" s="9">
        <f>(1-Parameters!$B$4)^Parameters!B$65*F201+C201*Parameters!B$65-Parameters!$B$5*C201^2/F201*Parameters!B$65</f>
        <v>3.7563576344291631E-2</v>
      </c>
      <c r="G202" s="7">
        <f>(1-Parameters!$B$4)^Parameters!B$65*G201+D201*Parameters!B$65-Parameters!$B$5*D201^2/G201*Parameters!B$65</f>
        <v>4.3388744969938173</v>
      </c>
      <c r="H202" s="7">
        <f>H201 *(1-Parameters!$B$4)-B201*(B201&lt;0)*Parameters!B$65</f>
        <v>0</v>
      </c>
      <c r="I202" s="7">
        <f>I201*(1+Parameters!$B$51)^Parameters!B$65</f>
        <v>14.477752852313749</v>
      </c>
      <c r="J202" s="7">
        <f>J201*(1+Parameters!$B$53)^Parameters!B$65</f>
        <v>456.6744947796862</v>
      </c>
      <c r="K202" s="23">
        <f>EXP(-Parameters!$B$42*A202)*(Parameters!$B$37/Parameters!$B$38*(E202+H202)/Parameters!$B$25*(EXP(-Parameters!$B$38*Parameters!$E$25*H202/(E202+H202))-EXP(-Parameters!$B$38*Parameters!$E$25))  +  Parameters!$B$39*E202*Parameters!$B$28*Parameters!$B$29*EXP((Parameters!$B$53+Parameters!$B$51)*A202))</f>
        <v>597.9424773205277</v>
      </c>
      <c r="L202" s="8">
        <f>L201+K202*Parameters!B$65</f>
        <v>45861.433064662837</v>
      </c>
      <c r="M202" s="7">
        <f>M201+Parameters!$B$45*K202</f>
        <v>27.516859838797725</v>
      </c>
      <c r="N202" s="7">
        <f>'6states'!O202</f>
        <v>0.95176051886364454</v>
      </c>
      <c r="O202" s="7">
        <f>MAX(O201+(Parameters!B$31-K202)*Parameters!B$65,30)</f>
        <v>30</v>
      </c>
      <c r="P202" s="7">
        <f>Parameters!B$61*EXP(-Parameters!B$60*A202)+(1-Parameters!B$61)*(O202/Parameters!B$62)^-Parameters!B$63</f>
        <v>0.52858848039411999</v>
      </c>
      <c r="Q202" s="9">
        <f>1-P202/Parameters!$B$12</f>
        <v>0.73570575980293995</v>
      </c>
      <c r="R202" s="23">
        <f t="shared" si="55"/>
        <v>3.7836617220806303</v>
      </c>
      <c r="S202" s="7">
        <f>(Parameters!$B$19*(E202+Parameters!$B$20)^Q202+Parameters!$B$18*F202^Q202)^(1/Q202)</f>
        <v>0.53779585251642137</v>
      </c>
      <c r="T202" s="7">
        <f>(Parameters!$B$10*G202^Parameters!$B$9 + Parameters!$B$11*S202^Parameters!$B$9) ^ (Parameters!$B$7/Parameters!$B$9) * N202</f>
        <v>1.4548025060387837</v>
      </c>
      <c r="U202" s="7">
        <f t="shared" si="56"/>
        <v>1.1043769402441379</v>
      </c>
      <c r="V202" s="7">
        <f>EXP(-Parameters!$B$55*A202)</f>
        <v>5.0297495216752343E-2</v>
      </c>
      <c r="W202" s="7">
        <f>IF(U202&gt;0,U202^(1-Parameters!$B$52)/(1-Parameters!$B$52)*V202,-10+U202*1000)</f>
        <v>-0.13879929116016859</v>
      </c>
      <c r="X202" s="7"/>
      <c r="Y202" s="7"/>
      <c r="Z202" s="7"/>
      <c r="AA202" s="7"/>
    </row>
    <row r="203" spans="1:27" x14ac:dyDescent="0.25">
      <c r="A203">
        <f>A202+Parameters!$B$65</f>
        <v>199</v>
      </c>
      <c r="B203" s="9">
        <f t="shared" si="57"/>
        <v>5.5238794691412761E-2</v>
      </c>
      <c r="C203" s="9">
        <f t="shared" si="57"/>
        <v>2.532692781448906E-3</v>
      </c>
      <c r="D203" s="7">
        <f t="shared" si="57"/>
        <v>0.29265407832178425</v>
      </c>
      <c r="E203" s="7">
        <f>MAX((1-Parameters!$B$4)^Parameters!B$65*E202+B202*Parameters!B$65-Parameters!$B$5*B202^2/E202*Parameters!B$65,0.0001)</f>
        <v>0.81896286353993819</v>
      </c>
      <c r="F203" s="9">
        <f>(1-Parameters!$B$4)^Parameters!B$65*F202+C202*Parameters!B$65-Parameters!$B$5*C202^2/F202*Parameters!B$65</f>
        <v>3.7562755476883355E-2</v>
      </c>
      <c r="G203" s="7">
        <f>(1-Parameters!$B$4)^Parameters!B$65*G202+D202*Parameters!B$65-Parameters!$B$5*D202^2/G202*Parameters!B$65</f>
        <v>4.3388740546582589</v>
      </c>
      <c r="H203" s="7">
        <f>H202 *(1-Parameters!$B$4)-B202*(B202&lt;0)*Parameters!B$65</f>
        <v>0</v>
      </c>
      <c r="I203" s="7">
        <f>I202*(1+Parameters!$B$51)^Parameters!B$65</f>
        <v>14.519738335585458</v>
      </c>
      <c r="J203" s="7">
        <f>J202*(1+Parameters!$B$53)^Parameters!B$65</f>
        <v>465.80798467527995</v>
      </c>
      <c r="K203" s="23">
        <f>EXP(-Parameters!$B$42*A203)*(Parameters!$B$37/Parameters!$B$38*(E203+H203)/Parameters!$B$25*(EXP(-Parameters!$B$38*Parameters!$E$25*H203/(E203+H203))-EXP(-Parameters!$B$38*Parameters!$E$25))  +  Parameters!$B$39*E203*Parameters!$B$28*Parameters!$B$29*EXP((Parameters!$B$53+Parameters!$B$51)*A203))</f>
        <v>605.67852620653355</v>
      </c>
      <c r="L203" s="8">
        <f>L202+K203*Parameters!B$65</f>
        <v>46467.111590869368</v>
      </c>
      <c r="M203" s="7">
        <f>M202+Parameters!$B$45*K203</f>
        <v>27.880266954521645</v>
      </c>
      <c r="N203" s="7">
        <f>'6states'!O203</f>
        <v>0.95175871351865626</v>
      </c>
      <c r="O203" s="7">
        <f>MAX(O202+(Parameters!B$31-K203)*Parameters!B$65,30)</f>
        <v>30</v>
      </c>
      <c r="P203" s="7">
        <f>Parameters!B$61*EXP(-Parameters!B$60*A203)+(1-Parameters!B$61)*(O203/Parameters!B$62)^-Parameters!B$63</f>
        <v>0.52852498449397034</v>
      </c>
      <c r="Q203" s="9">
        <f>1-P203/Parameters!$B$12</f>
        <v>0.73573750775301483</v>
      </c>
      <c r="R203" s="23">
        <f t="shared" si="55"/>
        <v>3.7841162833860635</v>
      </c>
      <c r="S203" s="7">
        <f>(Parameters!$B$19*(E203+Parameters!$B$20)^Q203+Parameters!$B$18*F203^Q203)^(1/Q203)</f>
        <v>0.53780243689972684</v>
      </c>
      <c r="T203" s="7">
        <f>(Parameters!$B$10*G203^Parameters!$B$9 + Parameters!$B$11*S203^Parameters!$B$9) ^ (Parameters!$B$7/Parameters!$B$9) * N203</f>
        <v>1.4548007357233375</v>
      </c>
      <c r="U203" s="7">
        <f t="shared" si="56"/>
        <v>1.1043751699286917</v>
      </c>
      <c r="V203" s="7">
        <f>EXP(-Parameters!$B$55*A203)</f>
        <v>4.9543708451578718E-2</v>
      </c>
      <c r="W203" s="7">
        <f>IF(U203&gt;0,U203^(1-Parameters!$B$52)/(1-Parameters!$B$52)*V203,-10+U203*1000)</f>
        <v>-0.13671924303640942</v>
      </c>
      <c r="X203" s="7"/>
      <c r="Y203" s="7"/>
      <c r="Z203" s="7"/>
      <c r="AA203" s="7"/>
    </row>
    <row r="204" spans="1:27" x14ac:dyDescent="0.25">
      <c r="A204">
        <f>A203+Parameters!$B$65</f>
        <v>200</v>
      </c>
      <c r="B204" s="9">
        <f t="shared" si="57"/>
        <v>5.5238794691412761E-2</v>
      </c>
      <c r="C204" s="9">
        <f t="shared" si="57"/>
        <v>2.532692781448906E-3</v>
      </c>
      <c r="D204" s="7">
        <f t="shared" si="57"/>
        <v>0.29265407832178425</v>
      </c>
      <c r="E204" s="7">
        <f>MAX((1-Parameters!$B$4)^Parameters!B$65*E203+B203*Parameters!B$65-Parameters!$B$5*B203^2/E203*Parameters!B$65,0.0001)</f>
        <v>0.81896305430582284</v>
      </c>
      <c r="F204" s="9">
        <f>(1-Parameters!$B$4)^Parameters!B$65*F203+C203*Parameters!B$65-Parameters!$B$5*C203^2/F203*Parameters!B$65</f>
        <v>3.7561982510275441E-2</v>
      </c>
      <c r="G204" s="7">
        <f>(1-Parameters!$B$4)^Parameters!B$65*G203+D203*Parameters!B$65-Parameters!$B$5*D203^2/G203*Parameters!B$65</f>
        <v>4.3388736381332409</v>
      </c>
      <c r="H204" s="7">
        <f>H203 *(1-Parameters!$B$4)-B203*(B203&lt;0)*Parameters!B$65</f>
        <v>0</v>
      </c>
      <c r="I204" s="7">
        <f>I203*(1+Parameters!$B$51)^Parameters!B$65</f>
        <v>14.561845576758655</v>
      </c>
      <c r="J204" s="7">
        <f>J203*(1+Parameters!$B$53)^Parameters!B$65</f>
        <v>475.12414436878555</v>
      </c>
      <c r="K204" s="23">
        <f>EXP(-Parameters!$B$42*A204)*(Parameters!$B$37/Parameters!$B$38*(E204+H204)/Parameters!$B$25*(EXP(-Parameters!$B$38*Parameters!$E$25*H204/(E204+H204))-EXP(-Parameters!$B$38*Parameters!$E$25))  +  Parameters!$B$39*E204*Parameters!$B$28*Parameters!$B$29*EXP((Parameters!$B$53+Parameters!$B$51)*A204))</f>
        <v>613.51528353567107</v>
      </c>
      <c r="L204" s="8">
        <f>L203+K204*Parameters!B$65</f>
        <v>47080.626874405039</v>
      </c>
      <c r="M204" s="7">
        <f>M203+Parameters!$B$45*K204</f>
        <v>28.248376124643048</v>
      </c>
      <c r="N204" s="7">
        <f>'6states'!O204</f>
        <v>0.95175688504117806</v>
      </c>
      <c r="O204" s="7">
        <f>MAX(O203+(Parameters!B$31-K204)*Parameters!B$65,30)</f>
        <v>30</v>
      </c>
      <c r="P204" s="7">
        <f>Parameters!B$61*EXP(-Parameters!B$60*A204)+(1-Parameters!B$61)*(O204/Parameters!B$62)^-Parameters!B$63</f>
        <v>0.52846318004576898</v>
      </c>
      <c r="Q204" s="9">
        <f>1-P204/Parameters!$B$12</f>
        <v>0.73576840997711557</v>
      </c>
      <c r="R204" s="23">
        <f t="shared" si="55"/>
        <v>3.78455884064957</v>
      </c>
      <c r="S204" s="7">
        <f>(Parameters!$B$19*(E204+Parameters!$B$20)^Q204+Parameters!$B$18*F204^Q204)^(1/Q204)</f>
        <v>0.53780885774194809</v>
      </c>
      <c r="T204" s="7">
        <f>(Parameters!$B$10*G204^Parameters!$B$9 + Parameters!$B$11*S204^Parameters!$B$9) ^ (Parameters!$B$7/Parameters!$B$9) * N204</f>
        <v>1.4547989066290523</v>
      </c>
      <c r="U204" s="7">
        <f t="shared" si="56"/>
        <v>1.1043733408344063</v>
      </c>
      <c r="V204" s="7">
        <f>EXP(-Parameters!$B$55*A204)</f>
        <v>4.8801218362012941E-2</v>
      </c>
      <c r="W204" s="7">
        <f>IF(U204&gt;0,U204^(1-Parameters!$B$52)/(1-Parameters!$B$52)*V204/Parameters!$B$55,-10+U204*1000)</f>
        <v>-8.9185674868743465</v>
      </c>
      <c r="X204" s="7"/>
      <c r="Y204" s="7"/>
      <c r="Z204" s="7"/>
      <c r="AA204" s="7"/>
    </row>
    <row r="205" spans="1:27" x14ac:dyDescent="0.25">
      <c r="B205" s="9"/>
      <c r="C205" s="9"/>
      <c r="D205" s="7"/>
      <c r="E205" s="7"/>
      <c r="F205" s="9"/>
      <c r="G205" s="7"/>
      <c r="I205" s="7"/>
      <c r="J205" s="7"/>
      <c r="K205" s="23"/>
      <c r="L205" s="8"/>
      <c r="M205" s="7"/>
      <c r="N205" s="7"/>
      <c r="O205" s="7"/>
      <c r="P205" s="7"/>
      <c r="Q205" s="9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x14ac:dyDescent="0.25">
      <c r="B206" s="9"/>
      <c r="C206" s="9"/>
      <c r="D206" s="7"/>
      <c r="E206" s="7"/>
      <c r="F206" s="9"/>
      <c r="G206" s="7"/>
      <c r="I206" s="7"/>
      <c r="J206" s="7"/>
      <c r="K206" s="23"/>
      <c r="L206" s="8"/>
      <c r="M206" s="7"/>
      <c r="N206" s="7"/>
      <c r="O206" s="7"/>
      <c r="P206" s="7"/>
      <c r="Q206" s="9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x14ac:dyDescent="0.25">
      <c r="B207" s="9"/>
      <c r="C207" s="9"/>
      <c r="D207" s="7"/>
      <c r="E207" s="7"/>
      <c r="F207" s="9"/>
      <c r="G207" s="7"/>
      <c r="I207" s="7"/>
      <c r="J207" s="7"/>
      <c r="K207" s="23"/>
      <c r="L207" s="8"/>
      <c r="M207" s="7"/>
      <c r="N207" s="7"/>
      <c r="O207" s="7"/>
      <c r="P207" s="7"/>
      <c r="Q207" s="9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x14ac:dyDescent="0.25">
      <c r="B208" s="9"/>
      <c r="C208" s="9"/>
      <c r="D208" s="7"/>
      <c r="E208" s="7"/>
      <c r="F208" s="9"/>
      <c r="G208" s="7"/>
      <c r="I208" s="7"/>
      <c r="J208" s="7"/>
      <c r="K208" s="23"/>
      <c r="L208" s="8"/>
      <c r="M208" s="7"/>
      <c r="N208" s="7"/>
      <c r="O208" s="7"/>
      <c r="P208" s="7"/>
      <c r="Q208" s="9"/>
      <c r="S208" s="7"/>
      <c r="T208" s="7"/>
      <c r="U208" s="7"/>
      <c r="V208" s="7"/>
      <c r="W208" s="7"/>
      <c r="X208" s="7"/>
      <c r="Y208" s="7"/>
      <c r="Z208" s="7"/>
      <c r="AA208" s="7"/>
    </row>
    <row r="209" spans="2:27" x14ac:dyDescent="0.25">
      <c r="B209" s="9"/>
      <c r="C209" s="9"/>
      <c r="D209" s="7"/>
      <c r="E209" s="7"/>
      <c r="F209" s="9"/>
      <c r="G209" s="7"/>
      <c r="I209" s="7"/>
      <c r="J209" s="7"/>
      <c r="K209" s="23"/>
      <c r="L209" s="8"/>
      <c r="M209" s="7"/>
      <c r="N209" s="7"/>
      <c r="O209" s="7"/>
      <c r="P209" s="7"/>
      <c r="Q209" s="9"/>
      <c r="S209" s="7"/>
      <c r="T209" s="7"/>
      <c r="U209" s="7"/>
      <c r="V209" s="7"/>
      <c r="W209" s="7"/>
      <c r="X209" s="7"/>
      <c r="Y209" s="7"/>
      <c r="Z209" s="7"/>
      <c r="AA209" s="7"/>
    </row>
    <row r="210" spans="2:27" x14ac:dyDescent="0.25">
      <c r="B210" s="9"/>
      <c r="C210" s="9"/>
      <c r="D210" s="7"/>
      <c r="E210" s="7"/>
      <c r="F210" s="9"/>
      <c r="G210" s="7"/>
      <c r="I210" s="7"/>
      <c r="J210" s="7"/>
      <c r="K210" s="23"/>
      <c r="L210" s="8"/>
      <c r="M210" s="7"/>
      <c r="N210" s="7"/>
      <c r="O210" s="7"/>
      <c r="P210" s="7"/>
      <c r="Q210" s="9"/>
      <c r="S210" s="7"/>
      <c r="T210" s="7"/>
      <c r="U210" s="7"/>
      <c r="V210" s="7"/>
      <c r="W210" s="7"/>
      <c r="X210" s="7"/>
      <c r="Y210" s="7"/>
      <c r="Z210" s="7"/>
      <c r="AA210" s="7"/>
    </row>
    <row r="211" spans="2:27" x14ac:dyDescent="0.25">
      <c r="B211" s="9"/>
      <c r="C211" s="9"/>
      <c r="D211" s="7"/>
      <c r="E211" s="7"/>
      <c r="F211" s="9"/>
      <c r="G211" s="7"/>
      <c r="I211" s="7"/>
      <c r="J211" s="7"/>
      <c r="K211" s="23"/>
      <c r="L211" s="8"/>
      <c r="M211" s="7"/>
      <c r="N211" s="7"/>
      <c r="O211" s="7"/>
      <c r="P211" s="7"/>
      <c r="Q211" s="9"/>
      <c r="S211" s="7"/>
      <c r="T211" s="7"/>
      <c r="U211" s="7"/>
      <c r="V211" s="7"/>
      <c r="W211" s="7"/>
      <c r="X211" s="7"/>
      <c r="Y211" s="7"/>
      <c r="Z211" s="7"/>
      <c r="AA211" s="7"/>
    </row>
    <row r="212" spans="2:27" x14ac:dyDescent="0.25">
      <c r="B212" s="9"/>
      <c r="C212" s="9"/>
      <c r="D212" s="7"/>
      <c r="E212" s="7"/>
      <c r="F212" s="9"/>
      <c r="G212" s="7"/>
      <c r="I212" s="7"/>
      <c r="J212" s="7"/>
      <c r="K212" s="23"/>
      <c r="L212" s="8"/>
      <c r="M212" s="7"/>
      <c r="N212" s="7"/>
      <c r="O212" s="7"/>
      <c r="P212" s="7"/>
      <c r="Q212" s="9"/>
      <c r="S212" s="7"/>
      <c r="T212" s="7"/>
      <c r="U212" s="7"/>
      <c r="V212" s="7"/>
      <c r="W212" s="7"/>
      <c r="X212" s="7"/>
      <c r="Y212" s="7"/>
      <c r="Z212" s="7"/>
      <c r="AA212" s="7"/>
    </row>
    <row r="213" spans="2:27" x14ac:dyDescent="0.25">
      <c r="B213" s="9"/>
      <c r="C213" s="9"/>
      <c r="D213" s="7"/>
      <c r="E213" s="7"/>
      <c r="F213" s="9"/>
      <c r="G213" s="7"/>
      <c r="I213" s="7"/>
      <c r="J213" s="7"/>
      <c r="K213" s="23"/>
      <c r="L213" s="8"/>
      <c r="M213" s="7"/>
      <c r="N213" s="7"/>
      <c r="O213" s="7"/>
      <c r="P213" s="7"/>
      <c r="Q213" s="9"/>
      <c r="S213" s="7"/>
      <c r="T213" s="7"/>
      <c r="U213" s="7"/>
      <c r="V213" s="7"/>
      <c r="W213" s="7"/>
      <c r="X213" s="7"/>
      <c r="Y213" s="7"/>
      <c r="Z213" s="7"/>
      <c r="AA213" s="7"/>
    </row>
    <row r="214" spans="2:27" x14ac:dyDescent="0.25">
      <c r="B214" s="9"/>
      <c r="C214" s="9"/>
      <c r="D214" s="7"/>
      <c r="E214" s="7"/>
      <c r="F214" s="9"/>
      <c r="G214" s="7"/>
      <c r="I214" s="7"/>
      <c r="J214" s="7"/>
      <c r="K214" s="23"/>
      <c r="L214" s="8"/>
      <c r="M214" s="7"/>
      <c r="N214" s="7"/>
      <c r="O214" s="7"/>
      <c r="P214" s="7"/>
      <c r="Q214" s="9"/>
      <c r="S214" s="7"/>
      <c r="T214" s="7"/>
      <c r="U214" s="7"/>
      <c r="V214" s="7"/>
      <c r="W214" s="7"/>
      <c r="X214" s="7"/>
      <c r="Y214" s="7"/>
      <c r="Z214" s="7"/>
      <c r="AA214" s="7"/>
    </row>
    <row r="215" spans="2:27" x14ac:dyDescent="0.25">
      <c r="B215" s="9"/>
      <c r="C215" s="9"/>
      <c r="D215" s="7"/>
      <c r="E215" s="7"/>
      <c r="F215" s="9"/>
      <c r="G215" s="7"/>
      <c r="I215" s="7"/>
      <c r="J215" s="7"/>
      <c r="K215" s="23"/>
      <c r="L215" s="8"/>
      <c r="M215" s="7"/>
      <c r="N215" s="7"/>
      <c r="O215" s="7"/>
      <c r="P215" s="7"/>
      <c r="Q215" s="9"/>
      <c r="S215" s="7"/>
      <c r="T215" s="7"/>
      <c r="U215" s="7"/>
      <c r="V215" s="7"/>
      <c r="W215" s="7"/>
      <c r="X215" s="7"/>
      <c r="Y215" s="7"/>
      <c r="Z215" s="7"/>
      <c r="AA215" s="7"/>
    </row>
    <row r="216" spans="2:27" x14ac:dyDescent="0.25">
      <c r="B216" s="9"/>
      <c r="C216" s="9"/>
      <c r="D216" s="7"/>
      <c r="E216" s="7"/>
      <c r="F216" s="9"/>
      <c r="G216" s="7"/>
      <c r="I216" s="7"/>
      <c r="J216" s="7"/>
      <c r="K216" s="23"/>
      <c r="L216" s="8"/>
      <c r="M216" s="7"/>
      <c r="N216" s="7"/>
      <c r="O216" s="7"/>
      <c r="P216" s="7"/>
      <c r="Q216" s="9"/>
      <c r="S216" s="7"/>
      <c r="T216" s="7"/>
      <c r="U216" s="7"/>
      <c r="V216" s="7"/>
      <c r="W216" s="7"/>
      <c r="X216" s="7"/>
      <c r="Y216" s="7"/>
      <c r="Z216" s="7"/>
      <c r="AA216" s="7"/>
    </row>
    <row r="217" spans="2:27" x14ac:dyDescent="0.25">
      <c r="B217" s="9"/>
      <c r="C217" s="9"/>
      <c r="D217" s="7"/>
      <c r="E217" s="7"/>
      <c r="F217" s="9"/>
      <c r="G217" s="7"/>
      <c r="I217" s="7"/>
      <c r="J217" s="7"/>
      <c r="K217" s="23"/>
      <c r="L217" s="8"/>
      <c r="M217" s="7"/>
      <c r="N217" s="7"/>
      <c r="O217" s="7"/>
      <c r="P217" s="7"/>
      <c r="Q217" s="9"/>
      <c r="S217" s="7"/>
      <c r="T217" s="7"/>
      <c r="U217" s="7"/>
      <c r="V217" s="7"/>
      <c r="W217" s="7"/>
      <c r="X217" s="7"/>
      <c r="Y217" s="7"/>
      <c r="Z217" s="7"/>
      <c r="AA217" s="7"/>
    </row>
    <row r="218" spans="2:27" x14ac:dyDescent="0.25">
      <c r="B218" s="9"/>
      <c r="C218" s="9"/>
      <c r="D218" s="7"/>
      <c r="E218" s="7"/>
      <c r="F218" s="9"/>
      <c r="G218" s="7"/>
      <c r="I218" s="7"/>
      <c r="J218" s="7"/>
      <c r="K218" s="23"/>
      <c r="L218" s="8"/>
      <c r="M218" s="7"/>
      <c r="N218" s="7"/>
      <c r="O218" s="7"/>
      <c r="P218" s="7"/>
      <c r="Q218" s="9"/>
      <c r="S218" s="7"/>
      <c r="T218" s="7"/>
      <c r="U218" s="7"/>
      <c r="V218" s="7"/>
      <c r="W218" s="7"/>
      <c r="X218" s="7"/>
      <c r="Y218" s="7"/>
      <c r="Z218" s="7"/>
      <c r="AA218" s="7"/>
    </row>
    <row r="219" spans="2:27" x14ac:dyDescent="0.25">
      <c r="B219" s="9"/>
      <c r="C219" s="9"/>
      <c r="D219" s="7"/>
      <c r="E219" s="7"/>
      <c r="F219" s="9"/>
      <c r="G219" s="7"/>
      <c r="I219" s="7"/>
      <c r="J219" s="7"/>
      <c r="K219" s="23"/>
      <c r="L219" s="8"/>
      <c r="M219" s="7"/>
      <c r="N219" s="7"/>
      <c r="O219" s="7"/>
      <c r="P219" s="7"/>
      <c r="Q219" s="9"/>
      <c r="S219" s="7"/>
      <c r="T219" s="7"/>
      <c r="U219" s="7"/>
      <c r="V219" s="7"/>
      <c r="W219" s="7"/>
      <c r="X219" s="7"/>
      <c r="Y219" s="7"/>
      <c r="Z219" s="7"/>
      <c r="AA219" s="7"/>
    </row>
    <row r="220" spans="2:27" x14ac:dyDescent="0.25">
      <c r="B220" s="9"/>
      <c r="C220" s="9"/>
      <c r="D220" s="7"/>
      <c r="E220" s="7"/>
      <c r="F220" s="9"/>
      <c r="G220" s="7"/>
      <c r="I220" s="7"/>
      <c r="J220" s="7"/>
      <c r="K220" s="23"/>
      <c r="L220" s="8"/>
      <c r="M220" s="7"/>
      <c r="N220" s="7"/>
      <c r="O220" s="7"/>
      <c r="P220" s="7"/>
      <c r="Q220" s="9"/>
      <c r="S220" s="7"/>
      <c r="T220" s="7"/>
      <c r="U220" s="7"/>
      <c r="V220" s="7"/>
      <c r="W220" s="7"/>
      <c r="X220" s="7"/>
      <c r="Y220" s="7"/>
      <c r="Z220" s="7"/>
      <c r="AA220" s="7"/>
    </row>
    <row r="221" spans="2:27" x14ac:dyDescent="0.25">
      <c r="B221" s="9"/>
      <c r="C221" s="9"/>
      <c r="D221" s="7"/>
      <c r="E221" s="7"/>
      <c r="F221" s="9"/>
      <c r="G221" s="7"/>
      <c r="I221" s="7"/>
      <c r="J221" s="7"/>
      <c r="K221" s="23"/>
      <c r="L221" s="8"/>
      <c r="M221" s="7"/>
      <c r="N221" s="7"/>
      <c r="O221" s="7"/>
      <c r="P221" s="7"/>
      <c r="Q221" s="9"/>
      <c r="S221" s="7"/>
      <c r="T221" s="7"/>
      <c r="U221" s="7"/>
      <c r="V221" s="7"/>
      <c r="W221" s="7"/>
      <c r="X221" s="7"/>
      <c r="Y221" s="7"/>
      <c r="Z221" s="7"/>
      <c r="AA221" s="7"/>
    </row>
    <row r="222" spans="2:27" x14ac:dyDescent="0.25">
      <c r="B222" s="9"/>
      <c r="C222" s="9"/>
      <c r="D222" s="7"/>
      <c r="E222" s="7"/>
      <c r="F222" s="9"/>
      <c r="G222" s="7"/>
      <c r="I222" s="7"/>
      <c r="J222" s="7"/>
      <c r="K222" s="23"/>
      <c r="L222" s="8"/>
      <c r="M222" s="7"/>
      <c r="N222" s="7"/>
      <c r="O222" s="7"/>
      <c r="P222" s="7"/>
      <c r="Q222" s="9"/>
      <c r="S222" s="7"/>
      <c r="T222" s="7"/>
      <c r="U222" s="7"/>
      <c r="V222" s="7"/>
      <c r="W222" s="7"/>
      <c r="X222" s="7"/>
      <c r="Y222" s="7"/>
      <c r="Z222" s="7"/>
      <c r="AA222" s="7"/>
    </row>
    <row r="223" spans="2:27" x14ac:dyDescent="0.25">
      <c r="B223" s="9"/>
      <c r="C223" s="9"/>
      <c r="D223" s="7"/>
      <c r="E223" s="7"/>
      <c r="F223" s="9"/>
      <c r="G223" s="7"/>
      <c r="I223" s="7"/>
      <c r="J223" s="7"/>
      <c r="K223" s="23"/>
      <c r="L223" s="8"/>
      <c r="M223" s="7"/>
      <c r="N223" s="7"/>
      <c r="O223" s="7"/>
      <c r="P223" s="7"/>
      <c r="Q223" s="9"/>
      <c r="S223" s="7"/>
      <c r="T223" s="7"/>
      <c r="U223" s="7"/>
      <c r="V223" s="7"/>
      <c r="W223" s="7"/>
      <c r="X223" s="7"/>
      <c r="Y223" s="7"/>
      <c r="Z223" s="7"/>
      <c r="AA223" s="7"/>
    </row>
    <row r="224" spans="2:27" x14ac:dyDescent="0.25">
      <c r="B224" s="9"/>
      <c r="C224" s="9"/>
      <c r="D224" s="7"/>
      <c r="E224" s="7"/>
      <c r="F224" s="9"/>
      <c r="G224" s="7"/>
      <c r="I224" s="7"/>
      <c r="J224" s="7"/>
      <c r="K224" s="23"/>
      <c r="L224" s="8"/>
      <c r="M224" s="7"/>
      <c r="N224" s="7"/>
      <c r="O224" s="7"/>
      <c r="P224" s="7"/>
      <c r="Q224" s="9"/>
      <c r="S224" s="7"/>
      <c r="T224" s="7"/>
      <c r="U224" s="7"/>
      <c r="V224" s="7"/>
      <c r="W224" s="7"/>
      <c r="X224" s="7"/>
      <c r="Y224" s="7"/>
      <c r="Z224" s="7"/>
      <c r="AA224" s="7"/>
    </row>
    <row r="225" spans="2:27" x14ac:dyDescent="0.25">
      <c r="B225" s="9"/>
      <c r="C225" s="9"/>
      <c r="D225" s="7"/>
      <c r="E225" s="7"/>
      <c r="F225" s="9"/>
      <c r="G225" s="7"/>
      <c r="I225" s="7"/>
      <c r="J225" s="7"/>
      <c r="K225" s="23"/>
      <c r="L225" s="8"/>
      <c r="M225" s="7"/>
      <c r="N225" s="7"/>
      <c r="O225" s="7"/>
      <c r="P225" s="7"/>
      <c r="Q225" s="9"/>
      <c r="S225" s="7"/>
      <c r="T225" s="7"/>
      <c r="U225" s="7"/>
      <c r="V225" s="7"/>
      <c r="W225" s="7"/>
      <c r="X225" s="7"/>
      <c r="Y225" s="7"/>
      <c r="Z225" s="7"/>
      <c r="AA225" s="7"/>
    </row>
    <row r="226" spans="2:27" x14ac:dyDescent="0.25">
      <c r="B226" s="9"/>
      <c r="C226" s="9"/>
      <c r="D226" s="7"/>
      <c r="E226" s="7"/>
      <c r="F226" s="9"/>
      <c r="G226" s="7"/>
      <c r="I226" s="7"/>
      <c r="J226" s="7"/>
      <c r="K226" s="23"/>
      <c r="L226" s="8"/>
      <c r="M226" s="7"/>
      <c r="N226" s="7"/>
      <c r="O226" s="7"/>
      <c r="P226" s="7"/>
      <c r="Q226" s="9"/>
      <c r="S226" s="7"/>
      <c r="T226" s="7"/>
      <c r="U226" s="7"/>
      <c r="V226" s="7"/>
      <c r="W226" s="7"/>
      <c r="X226" s="7"/>
      <c r="Y226" s="7"/>
      <c r="Z226" s="7"/>
      <c r="AA226" s="7"/>
    </row>
    <row r="227" spans="2:27" x14ac:dyDescent="0.25">
      <c r="B227" s="9"/>
      <c r="C227" s="9"/>
      <c r="D227" s="7"/>
      <c r="E227" s="7"/>
      <c r="F227" s="9"/>
      <c r="G227" s="7"/>
      <c r="I227" s="7"/>
      <c r="J227" s="7"/>
      <c r="K227" s="23"/>
      <c r="L227" s="8"/>
      <c r="M227" s="7"/>
      <c r="N227" s="7"/>
      <c r="O227" s="7"/>
      <c r="P227" s="7"/>
      <c r="Q227" s="9"/>
      <c r="S227" s="7"/>
      <c r="T227" s="7"/>
      <c r="U227" s="7"/>
      <c r="V227" s="7"/>
      <c r="W227" s="7"/>
      <c r="X227" s="7"/>
      <c r="Y227" s="7"/>
      <c r="Z227" s="7"/>
      <c r="AA227" s="7"/>
    </row>
    <row r="228" spans="2:27" x14ac:dyDescent="0.25">
      <c r="B228" s="9"/>
      <c r="C228" s="9"/>
      <c r="D228" s="7"/>
      <c r="E228" s="7"/>
      <c r="F228" s="9"/>
      <c r="G228" s="7"/>
      <c r="I228" s="7"/>
      <c r="J228" s="7"/>
      <c r="K228" s="23"/>
      <c r="L228" s="8"/>
      <c r="M228" s="7"/>
      <c r="N228" s="7"/>
      <c r="O228" s="7"/>
      <c r="P228" s="7"/>
      <c r="Q228" s="9"/>
      <c r="S228" s="7"/>
      <c r="T228" s="7"/>
      <c r="U228" s="7"/>
      <c r="V228" s="7"/>
      <c r="W228" s="7"/>
      <c r="X228" s="7"/>
      <c r="Y228" s="7"/>
      <c r="Z228" s="7"/>
      <c r="AA228" s="7"/>
    </row>
    <row r="229" spans="2:27" x14ac:dyDescent="0.25">
      <c r="B229" s="9"/>
      <c r="C229" s="9"/>
      <c r="D229" s="7"/>
      <c r="E229" s="7"/>
      <c r="F229" s="9"/>
      <c r="G229" s="7"/>
      <c r="I229" s="7"/>
      <c r="J229" s="7"/>
      <c r="K229" s="23"/>
      <c r="L229" s="8"/>
      <c r="M229" s="7"/>
      <c r="N229" s="7"/>
      <c r="O229" s="7"/>
      <c r="P229" s="7"/>
      <c r="Q229" s="9"/>
      <c r="S229" s="7"/>
      <c r="T229" s="7"/>
      <c r="U229" s="7"/>
      <c r="V229" s="7"/>
      <c r="W229" s="7"/>
      <c r="X229" s="7"/>
      <c r="Y229" s="7"/>
      <c r="Z229" s="7"/>
      <c r="AA229" s="7"/>
    </row>
    <row r="230" spans="2:27" x14ac:dyDescent="0.25">
      <c r="B230" s="9"/>
      <c r="C230" s="9"/>
      <c r="D230" s="7"/>
      <c r="E230" s="7"/>
      <c r="F230" s="9"/>
      <c r="G230" s="7"/>
      <c r="I230" s="7"/>
      <c r="J230" s="7"/>
      <c r="K230" s="23"/>
      <c r="L230" s="8"/>
      <c r="M230" s="7"/>
      <c r="N230" s="7"/>
      <c r="O230" s="7"/>
      <c r="P230" s="7"/>
      <c r="Q230" s="9"/>
      <c r="S230" s="7"/>
      <c r="T230" s="7"/>
      <c r="U230" s="7"/>
      <c r="V230" s="7"/>
      <c r="W230" s="7"/>
      <c r="X230" s="7"/>
      <c r="Y230" s="7"/>
      <c r="Z230" s="7"/>
      <c r="AA230" s="7"/>
    </row>
    <row r="231" spans="2:27" x14ac:dyDescent="0.25">
      <c r="B231" s="9"/>
      <c r="C231" s="9"/>
      <c r="D231" s="7"/>
      <c r="E231" s="7"/>
      <c r="F231" s="9"/>
      <c r="G231" s="7"/>
      <c r="I231" s="7"/>
      <c r="J231" s="7"/>
      <c r="K231" s="23"/>
      <c r="L231" s="8"/>
      <c r="M231" s="7"/>
      <c r="N231" s="7"/>
      <c r="O231" s="7"/>
      <c r="P231" s="7"/>
      <c r="Q231" s="9"/>
      <c r="S231" s="7"/>
      <c r="T231" s="7"/>
      <c r="U231" s="7"/>
      <c r="V231" s="7"/>
      <c r="W231" s="7"/>
      <c r="X231" s="7"/>
      <c r="Y231" s="7"/>
      <c r="Z231" s="7"/>
      <c r="AA231" s="7"/>
    </row>
    <row r="232" spans="2:27" x14ac:dyDescent="0.25">
      <c r="B232" s="9"/>
      <c r="C232" s="9"/>
      <c r="D232" s="7"/>
      <c r="E232" s="7"/>
      <c r="F232" s="9"/>
      <c r="G232" s="7"/>
      <c r="I232" s="7"/>
      <c r="J232" s="7"/>
      <c r="K232" s="23"/>
      <c r="L232" s="8"/>
      <c r="M232" s="7"/>
      <c r="N232" s="7"/>
      <c r="O232" s="7"/>
      <c r="P232" s="7"/>
      <c r="Q232" s="9"/>
      <c r="S232" s="7"/>
      <c r="T232" s="7"/>
      <c r="U232" s="7"/>
      <c r="V232" s="7"/>
      <c r="W232" s="7"/>
      <c r="X232" s="7"/>
      <c r="Y232" s="7"/>
      <c r="Z232" s="7"/>
      <c r="AA232" s="7"/>
    </row>
    <row r="233" spans="2:27" x14ac:dyDescent="0.25">
      <c r="B233" s="9"/>
      <c r="C233" s="9"/>
      <c r="D233" s="7"/>
      <c r="E233" s="7"/>
      <c r="F233" s="9"/>
      <c r="G233" s="7"/>
      <c r="I233" s="7"/>
      <c r="J233" s="7"/>
      <c r="K233" s="23"/>
      <c r="L233" s="8"/>
      <c r="M233" s="7"/>
      <c r="N233" s="7"/>
      <c r="O233" s="7"/>
      <c r="P233" s="7"/>
      <c r="Q233" s="9"/>
      <c r="S233" s="7"/>
      <c r="T233" s="7"/>
      <c r="U233" s="7"/>
      <c r="V233" s="7"/>
      <c r="W233" s="7"/>
      <c r="X233" s="7"/>
      <c r="Y233" s="7"/>
      <c r="Z233" s="7"/>
      <c r="AA233" s="7"/>
    </row>
    <row r="234" spans="2:27" x14ac:dyDescent="0.25">
      <c r="B234" s="9"/>
      <c r="C234" s="9"/>
      <c r="D234" s="7"/>
      <c r="E234" s="7"/>
      <c r="F234" s="9"/>
      <c r="G234" s="7"/>
      <c r="I234" s="7"/>
      <c r="J234" s="7"/>
      <c r="K234" s="23"/>
      <c r="L234" s="8"/>
      <c r="M234" s="7"/>
      <c r="N234" s="7"/>
      <c r="O234" s="7"/>
      <c r="P234" s="7"/>
      <c r="Q234" s="9"/>
      <c r="S234" s="7"/>
      <c r="T234" s="7"/>
      <c r="U234" s="7"/>
      <c r="V234" s="7"/>
      <c r="W234" s="7"/>
      <c r="X234" s="7"/>
      <c r="Y234" s="7"/>
      <c r="Z234" s="7"/>
      <c r="AA234" s="7"/>
    </row>
    <row r="235" spans="2:27" x14ac:dyDescent="0.25">
      <c r="B235" s="9"/>
      <c r="C235" s="9"/>
      <c r="D235" s="7"/>
      <c r="E235" s="7"/>
      <c r="F235" s="9"/>
      <c r="G235" s="7"/>
      <c r="I235" s="7"/>
      <c r="J235" s="7"/>
      <c r="K235" s="23"/>
      <c r="L235" s="8"/>
      <c r="M235" s="7"/>
      <c r="N235" s="7"/>
      <c r="O235" s="7"/>
      <c r="P235" s="7"/>
      <c r="Q235" s="9"/>
      <c r="S235" s="7"/>
      <c r="T235" s="7"/>
      <c r="U235" s="7"/>
      <c r="V235" s="7"/>
      <c r="W235" s="7"/>
      <c r="X235" s="7"/>
      <c r="Y235" s="7"/>
      <c r="Z235" s="7"/>
      <c r="AA235" s="7"/>
    </row>
    <row r="236" spans="2:27" x14ac:dyDescent="0.25">
      <c r="B236" s="9"/>
      <c r="C236" s="9"/>
      <c r="D236" s="7"/>
      <c r="E236" s="7"/>
      <c r="F236" s="9"/>
      <c r="G236" s="7"/>
      <c r="I236" s="7"/>
      <c r="J236" s="7"/>
      <c r="K236" s="23"/>
      <c r="L236" s="8"/>
      <c r="M236" s="7"/>
      <c r="N236" s="7"/>
      <c r="O236" s="7"/>
      <c r="P236" s="7"/>
      <c r="Q236" s="9"/>
      <c r="S236" s="7"/>
      <c r="T236" s="7"/>
      <c r="U236" s="7"/>
      <c r="V236" s="7"/>
      <c r="W236" s="7"/>
      <c r="X236" s="7"/>
      <c r="Y236" s="7"/>
      <c r="Z236" s="7"/>
      <c r="AA236" s="7"/>
    </row>
    <row r="237" spans="2:27" x14ac:dyDescent="0.25">
      <c r="B237" s="9"/>
      <c r="C237" s="9"/>
      <c r="D237" s="7"/>
      <c r="E237" s="7"/>
      <c r="F237" s="9"/>
      <c r="G237" s="7"/>
      <c r="I237" s="7"/>
      <c r="J237" s="7"/>
      <c r="K237" s="23"/>
      <c r="L237" s="8"/>
      <c r="M237" s="7"/>
      <c r="N237" s="7"/>
      <c r="O237" s="7"/>
      <c r="P237" s="7"/>
      <c r="Q237" s="9"/>
      <c r="S237" s="7"/>
      <c r="T237" s="7"/>
      <c r="U237" s="7"/>
      <c r="V237" s="7"/>
      <c r="W237" s="7"/>
      <c r="X237" s="7"/>
      <c r="Y237" s="7"/>
      <c r="Z237" s="7"/>
      <c r="AA237" s="7"/>
    </row>
    <row r="238" spans="2:27" x14ac:dyDescent="0.25">
      <c r="B238" s="9"/>
      <c r="C238" s="9"/>
      <c r="D238" s="7"/>
      <c r="E238" s="7"/>
      <c r="F238" s="9"/>
      <c r="G238" s="7"/>
      <c r="I238" s="7"/>
      <c r="J238" s="7"/>
      <c r="K238" s="23"/>
      <c r="L238" s="8"/>
      <c r="M238" s="7"/>
      <c r="N238" s="7"/>
      <c r="O238" s="7"/>
      <c r="P238" s="7"/>
      <c r="Q238" s="9"/>
      <c r="S238" s="7"/>
      <c r="T238" s="7"/>
      <c r="U238" s="7"/>
      <c r="V238" s="7"/>
      <c r="W238" s="7"/>
      <c r="X238" s="7"/>
      <c r="Y238" s="7"/>
      <c r="Z238" s="7"/>
      <c r="AA238" s="7"/>
    </row>
    <row r="239" spans="2:27" x14ac:dyDescent="0.25">
      <c r="B239" s="9"/>
      <c r="C239" s="9"/>
      <c r="D239" s="7"/>
      <c r="E239" s="7"/>
      <c r="F239" s="9"/>
      <c r="G239" s="7"/>
      <c r="I239" s="7"/>
      <c r="J239" s="7"/>
      <c r="K239" s="23"/>
      <c r="L239" s="8"/>
      <c r="M239" s="7"/>
      <c r="N239" s="7"/>
      <c r="O239" s="7"/>
      <c r="P239" s="7"/>
      <c r="Q239" s="9"/>
      <c r="S239" s="7"/>
      <c r="T239" s="7"/>
      <c r="U239" s="7"/>
      <c r="V239" s="7"/>
      <c r="W239" s="7"/>
      <c r="X239" s="7"/>
      <c r="Y239" s="7"/>
      <c r="Z239" s="7"/>
      <c r="AA239" s="7"/>
    </row>
    <row r="240" spans="2:27" x14ac:dyDescent="0.25">
      <c r="B240" s="9"/>
      <c r="C240" s="9"/>
      <c r="D240" s="7"/>
      <c r="E240" s="7"/>
      <c r="F240" s="9"/>
      <c r="G240" s="7"/>
      <c r="I240" s="7"/>
      <c r="J240" s="7"/>
      <c r="K240" s="23"/>
      <c r="L240" s="8"/>
      <c r="M240" s="7"/>
      <c r="N240" s="7"/>
      <c r="O240" s="7"/>
      <c r="P240" s="7"/>
      <c r="Q240" s="9"/>
      <c r="S240" s="7"/>
      <c r="T240" s="7"/>
      <c r="U240" s="7"/>
      <c r="V240" s="7"/>
      <c r="W240" s="7"/>
      <c r="X240" s="7"/>
      <c r="Y240" s="7"/>
      <c r="Z240" s="7"/>
      <c r="AA240" s="7"/>
    </row>
    <row r="241" spans="2:27" x14ac:dyDescent="0.25">
      <c r="B241" s="9"/>
      <c r="C241" s="9"/>
      <c r="D241" s="7"/>
      <c r="E241" s="7"/>
      <c r="F241" s="9"/>
      <c r="G241" s="7"/>
      <c r="I241" s="7"/>
      <c r="J241" s="7"/>
      <c r="K241" s="23"/>
      <c r="L241" s="8"/>
      <c r="M241" s="7"/>
      <c r="N241" s="7"/>
      <c r="O241" s="7"/>
      <c r="P241" s="7"/>
      <c r="Q241" s="9"/>
      <c r="S241" s="7"/>
      <c r="T241" s="7"/>
      <c r="U241" s="7"/>
      <c r="V241" s="7"/>
      <c r="W241" s="7"/>
      <c r="X241" s="7"/>
      <c r="Y241" s="7"/>
      <c r="Z241" s="7"/>
      <c r="AA241" s="7"/>
    </row>
    <row r="242" spans="2:27" x14ac:dyDescent="0.25">
      <c r="B242" s="9"/>
      <c r="C242" s="9"/>
      <c r="D242" s="7"/>
      <c r="E242" s="7"/>
      <c r="F242" s="9"/>
      <c r="G242" s="7"/>
      <c r="I242" s="7"/>
      <c r="J242" s="7"/>
      <c r="K242" s="23"/>
      <c r="L242" s="8"/>
      <c r="M242" s="7"/>
      <c r="N242" s="7"/>
      <c r="O242" s="7"/>
      <c r="P242" s="7"/>
      <c r="Q242" s="9"/>
      <c r="S242" s="7"/>
      <c r="T242" s="7"/>
      <c r="U242" s="7"/>
      <c r="V242" s="7"/>
      <c r="W242" s="7"/>
      <c r="X242" s="7"/>
      <c r="Y242" s="7"/>
      <c r="Z242" s="7"/>
      <c r="AA242" s="7"/>
    </row>
    <row r="243" spans="2:27" x14ac:dyDescent="0.25">
      <c r="B243" s="9"/>
      <c r="C243" s="9"/>
      <c r="D243" s="7"/>
      <c r="E243" s="7"/>
      <c r="F243" s="9"/>
      <c r="G243" s="7"/>
      <c r="I243" s="7"/>
      <c r="J243" s="7"/>
      <c r="K243" s="23"/>
      <c r="L243" s="8"/>
      <c r="M243" s="7"/>
      <c r="N243" s="7"/>
      <c r="O243" s="7"/>
      <c r="P243" s="7"/>
      <c r="Q243" s="9"/>
      <c r="S243" s="7"/>
      <c r="T243" s="7"/>
      <c r="U243" s="7"/>
      <c r="V243" s="7"/>
      <c r="W243" s="7"/>
      <c r="X243" s="7"/>
      <c r="Y243" s="7"/>
      <c r="Z243" s="7"/>
      <c r="AA243" s="7"/>
    </row>
    <row r="244" spans="2:27" x14ac:dyDescent="0.25">
      <c r="B244" s="9"/>
      <c r="C244" s="9"/>
      <c r="D244" s="7"/>
      <c r="E244" s="7"/>
      <c r="F244" s="9"/>
      <c r="G244" s="7"/>
      <c r="I244" s="7"/>
      <c r="J244" s="7"/>
      <c r="K244" s="23"/>
      <c r="L244" s="8"/>
      <c r="M244" s="7"/>
      <c r="N244" s="7"/>
      <c r="O244" s="7"/>
      <c r="P244" s="7"/>
      <c r="Q244" s="9"/>
      <c r="S244" s="7"/>
      <c r="T244" s="7"/>
      <c r="U244" s="7"/>
      <c r="V244" s="7"/>
      <c r="W244" s="7"/>
      <c r="X244" s="7"/>
      <c r="Y244" s="7"/>
      <c r="Z244" s="7"/>
      <c r="AA244" s="7"/>
    </row>
    <row r="245" spans="2:27" x14ac:dyDescent="0.25">
      <c r="B245" s="9"/>
      <c r="C245" s="9"/>
      <c r="D245" s="7"/>
      <c r="E245" s="7"/>
      <c r="F245" s="9"/>
      <c r="G245" s="7"/>
      <c r="I245" s="7"/>
      <c r="J245" s="7"/>
      <c r="K245" s="23"/>
      <c r="L245" s="8"/>
      <c r="M245" s="7"/>
      <c r="N245" s="7"/>
      <c r="O245" s="7"/>
      <c r="P245" s="7"/>
      <c r="Q245" s="9"/>
      <c r="S245" s="7"/>
      <c r="T245" s="7"/>
      <c r="U245" s="7"/>
      <c r="V245" s="7"/>
      <c r="W245" s="7"/>
      <c r="X245" s="7"/>
      <c r="Y245" s="7"/>
      <c r="Z245" s="7"/>
      <c r="AA245" s="7"/>
    </row>
    <row r="246" spans="2:27" x14ac:dyDescent="0.25">
      <c r="B246" s="9"/>
      <c r="C246" s="9"/>
      <c r="D246" s="7"/>
      <c r="E246" s="7"/>
      <c r="F246" s="9"/>
      <c r="G246" s="7"/>
      <c r="I246" s="7"/>
      <c r="J246" s="7"/>
      <c r="K246" s="23"/>
      <c r="L246" s="8"/>
      <c r="M246" s="7"/>
      <c r="N246" s="7"/>
      <c r="O246" s="7"/>
      <c r="P246" s="7"/>
      <c r="Q246" s="9"/>
      <c r="S246" s="7"/>
      <c r="T246" s="7"/>
      <c r="U246" s="7"/>
      <c r="V246" s="7"/>
      <c r="W246" s="7"/>
      <c r="X246" s="7"/>
      <c r="Y246" s="7"/>
      <c r="Z246" s="7"/>
      <c r="AA246" s="7"/>
    </row>
    <row r="247" spans="2:27" x14ac:dyDescent="0.25">
      <c r="B247" s="9"/>
      <c r="C247" s="9"/>
      <c r="D247" s="7"/>
      <c r="E247" s="7"/>
      <c r="F247" s="9"/>
      <c r="G247" s="7"/>
      <c r="I247" s="7"/>
      <c r="J247" s="7"/>
      <c r="K247" s="23"/>
      <c r="L247" s="8"/>
      <c r="M247" s="7"/>
      <c r="N247" s="7"/>
      <c r="O247" s="7"/>
      <c r="P247" s="7"/>
      <c r="Q247" s="9"/>
      <c r="S247" s="7"/>
      <c r="T247" s="7"/>
      <c r="U247" s="7"/>
      <c r="V247" s="7"/>
      <c r="W247" s="7"/>
      <c r="X247" s="7"/>
      <c r="Y247" s="7"/>
      <c r="Z247" s="7"/>
      <c r="AA247" s="7"/>
    </row>
    <row r="248" spans="2:27" x14ac:dyDescent="0.25">
      <c r="B248" s="9"/>
      <c r="C248" s="9"/>
      <c r="D248" s="7"/>
      <c r="E248" s="7"/>
      <c r="F248" s="9"/>
      <c r="G248" s="7"/>
      <c r="I248" s="7"/>
      <c r="J248" s="7"/>
      <c r="K248" s="23"/>
      <c r="L248" s="8"/>
      <c r="M248" s="7"/>
      <c r="N248" s="7"/>
      <c r="O248" s="7"/>
      <c r="P248" s="7"/>
      <c r="Q248" s="9"/>
      <c r="S248" s="7"/>
      <c r="T248" s="7"/>
      <c r="U248" s="7"/>
      <c r="V248" s="7"/>
      <c r="W248" s="7"/>
      <c r="X248" s="7"/>
      <c r="Y248" s="7"/>
      <c r="Z248" s="7"/>
      <c r="AA248" s="7"/>
    </row>
    <row r="249" spans="2:27" x14ac:dyDescent="0.25">
      <c r="B249" s="9"/>
      <c r="C249" s="9"/>
      <c r="D249" s="7"/>
      <c r="E249" s="7"/>
      <c r="F249" s="9"/>
      <c r="G249" s="7"/>
      <c r="I249" s="7"/>
      <c r="J249" s="7"/>
      <c r="K249" s="23"/>
      <c r="L249" s="8"/>
      <c r="M249" s="7"/>
      <c r="N249" s="7"/>
      <c r="O249" s="7"/>
      <c r="P249" s="7"/>
      <c r="Q249" s="9"/>
      <c r="S249" s="7"/>
      <c r="T249" s="7"/>
      <c r="U249" s="7"/>
      <c r="V249" s="7"/>
      <c r="W249" s="7"/>
      <c r="X249" s="7"/>
      <c r="Y249" s="7"/>
      <c r="Z249" s="7"/>
      <c r="AA249" s="7"/>
    </row>
    <row r="250" spans="2:27" x14ac:dyDescent="0.25">
      <c r="B250" s="9"/>
      <c r="C250" s="9"/>
      <c r="D250" s="7"/>
      <c r="E250" s="7"/>
      <c r="F250" s="9"/>
      <c r="G250" s="7"/>
      <c r="I250" s="7"/>
      <c r="J250" s="7"/>
      <c r="K250" s="23"/>
      <c r="L250" s="8"/>
      <c r="M250" s="7"/>
      <c r="N250" s="7"/>
      <c r="O250" s="7"/>
      <c r="P250" s="7"/>
      <c r="Q250" s="9"/>
      <c r="S250" s="7"/>
      <c r="T250" s="7"/>
      <c r="U250" s="7"/>
      <c r="V250" s="7"/>
      <c r="W250" s="7"/>
      <c r="X250" s="7"/>
      <c r="Y250" s="7"/>
      <c r="Z250" s="7"/>
      <c r="AA250" s="7"/>
    </row>
    <row r="251" spans="2:27" x14ac:dyDescent="0.25">
      <c r="B251" s="9"/>
      <c r="C251" s="9"/>
      <c r="D251" s="7"/>
      <c r="E251" s="7"/>
      <c r="F251" s="9"/>
      <c r="G251" s="7"/>
      <c r="I251" s="7"/>
      <c r="J251" s="7"/>
      <c r="K251" s="23"/>
      <c r="L251" s="8"/>
      <c r="M251" s="7"/>
      <c r="N251" s="7"/>
      <c r="O251" s="7"/>
      <c r="P251" s="7"/>
      <c r="Q251" s="9"/>
      <c r="S251" s="7"/>
      <c r="T251" s="7"/>
      <c r="U251" s="7"/>
      <c r="V251" s="7"/>
      <c r="W251" s="7"/>
      <c r="X251" s="7"/>
      <c r="Y251" s="7"/>
      <c r="Z251" s="7"/>
      <c r="AA251" s="7"/>
    </row>
    <row r="252" spans="2:27" x14ac:dyDescent="0.25">
      <c r="B252" s="9"/>
      <c r="C252" s="9"/>
      <c r="D252" s="7"/>
      <c r="E252" s="7"/>
      <c r="F252" s="9"/>
      <c r="G252" s="7"/>
      <c r="I252" s="7"/>
      <c r="J252" s="7"/>
      <c r="K252" s="23"/>
      <c r="L252" s="8"/>
      <c r="M252" s="7"/>
      <c r="N252" s="7"/>
      <c r="O252" s="7"/>
      <c r="P252" s="7"/>
      <c r="Q252" s="9"/>
      <c r="S252" s="7"/>
      <c r="T252" s="7"/>
      <c r="U252" s="7"/>
      <c r="V252" s="7"/>
      <c r="W252" s="7"/>
      <c r="X252" s="7"/>
      <c r="Y252" s="7"/>
      <c r="Z252" s="7"/>
      <c r="AA252" s="7"/>
    </row>
    <row r="253" spans="2:27" x14ac:dyDescent="0.25">
      <c r="B253" s="9"/>
      <c r="C253" s="9"/>
      <c r="D253" s="7"/>
      <c r="E253" s="7"/>
      <c r="F253" s="9"/>
      <c r="G253" s="7"/>
      <c r="I253" s="7"/>
      <c r="J253" s="7"/>
      <c r="K253" s="23"/>
      <c r="L253" s="8"/>
      <c r="M253" s="7"/>
      <c r="N253" s="7"/>
      <c r="O253" s="7"/>
      <c r="P253" s="7"/>
      <c r="Q253" s="9"/>
      <c r="S253" s="7"/>
      <c r="T253" s="7"/>
      <c r="U253" s="7"/>
      <c r="V253" s="7"/>
      <c r="W253" s="7"/>
      <c r="X253" s="7"/>
      <c r="Y253" s="7"/>
      <c r="Z253" s="7"/>
      <c r="AA253" s="7"/>
    </row>
    <row r="254" spans="2:27" x14ac:dyDescent="0.25">
      <c r="B254" s="9"/>
      <c r="C254" s="9"/>
      <c r="D254" s="7"/>
      <c r="E254" s="7"/>
      <c r="F254" s="9"/>
      <c r="G254" s="7"/>
      <c r="I254" s="7"/>
      <c r="J254" s="7"/>
      <c r="K254" s="23"/>
      <c r="L254" s="8"/>
      <c r="M254" s="7"/>
      <c r="N254" s="7"/>
      <c r="O254" s="7"/>
      <c r="P254" s="7"/>
      <c r="Q254" s="9"/>
      <c r="S254" s="7"/>
      <c r="T254" s="7"/>
      <c r="U254" s="7"/>
      <c r="V254" s="7"/>
      <c r="W254" s="7"/>
      <c r="X254" s="7"/>
      <c r="Y254" s="7"/>
      <c r="Z254" s="7"/>
      <c r="AA254" s="7"/>
    </row>
    <row r="255" spans="2:27" x14ac:dyDescent="0.25">
      <c r="B255" s="9"/>
      <c r="C255" s="9"/>
      <c r="D255" s="7"/>
      <c r="E255" s="7"/>
      <c r="F255" s="9"/>
      <c r="G255" s="7"/>
      <c r="I255" s="7"/>
      <c r="J255" s="7"/>
      <c r="K255" s="23"/>
      <c r="L255" s="8"/>
      <c r="M255" s="7"/>
      <c r="N255" s="7"/>
      <c r="O255" s="7"/>
      <c r="P255" s="7"/>
      <c r="Q255" s="9"/>
      <c r="S255" s="7"/>
      <c r="T255" s="7"/>
      <c r="U255" s="7"/>
      <c r="V255" s="7"/>
      <c r="W255" s="7"/>
      <c r="X255" s="7"/>
      <c r="Y255" s="7"/>
      <c r="Z255" s="7"/>
      <c r="AA255" s="7"/>
    </row>
    <row r="256" spans="2:27" x14ac:dyDescent="0.25">
      <c r="B256" s="9"/>
      <c r="C256" s="9"/>
      <c r="D256" s="7"/>
      <c r="E256" s="7"/>
      <c r="F256" s="9"/>
      <c r="G256" s="7"/>
      <c r="I256" s="7"/>
      <c r="J256" s="7"/>
      <c r="K256" s="23"/>
      <c r="L256" s="8"/>
      <c r="M256" s="7"/>
      <c r="N256" s="7"/>
      <c r="O256" s="7"/>
      <c r="P256" s="7"/>
      <c r="Q256" s="9"/>
      <c r="S256" s="7"/>
      <c r="T256" s="7"/>
      <c r="U256" s="7"/>
      <c r="V256" s="7"/>
      <c r="W256" s="7"/>
      <c r="X256" s="7"/>
      <c r="Y256" s="7"/>
      <c r="Z256" s="7"/>
      <c r="AA256" s="7"/>
    </row>
    <row r="257" spans="2:27" x14ac:dyDescent="0.25">
      <c r="B257" s="9"/>
      <c r="C257" s="9"/>
      <c r="D257" s="7"/>
      <c r="E257" s="7"/>
      <c r="F257" s="9"/>
      <c r="G257" s="7"/>
      <c r="I257" s="7"/>
      <c r="J257" s="7"/>
      <c r="K257" s="23"/>
      <c r="L257" s="8"/>
      <c r="M257" s="7"/>
      <c r="N257" s="7"/>
      <c r="O257" s="7"/>
      <c r="P257" s="7"/>
      <c r="Q257" s="9"/>
      <c r="S257" s="7"/>
      <c r="T257" s="7"/>
      <c r="U257" s="7"/>
      <c r="V257" s="7"/>
      <c r="W257" s="7"/>
      <c r="X257" s="7"/>
      <c r="Y257" s="7"/>
      <c r="Z257" s="7"/>
      <c r="AA257" s="7"/>
    </row>
    <row r="258" spans="2:27" x14ac:dyDescent="0.25">
      <c r="B258" s="9"/>
      <c r="C258" s="9"/>
      <c r="D258" s="7"/>
      <c r="E258" s="7"/>
      <c r="F258" s="9"/>
      <c r="G258" s="7"/>
      <c r="I258" s="7"/>
      <c r="J258" s="7"/>
      <c r="K258" s="23"/>
      <c r="L258" s="8"/>
      <c r="M258" s="7"/>
      <c r="N258" s="7"/>
      <c r="O258" s="7"/>
      <c r="P258" s="7"/>
      <c r="Q258" s="9"/>
      <c r="S258" s="7"/>
      <c r="T258" s="7"/>
      <c r="U258" s="7"/>
      <c r="V258" s="7"/>
      <c r="W258" s="7"/>
      <c r="X258" s="7"/>
      <c r="Y258" s="7"/>
      <c r="Z258" s="7"/>
      <c r="AA258" s="7"/>
    </row>
    <row r="259" spans="2:27" x14ac:dyDescent="0.25">
      <c r="B259" s="9"/>
      <c r="C259" s="9"/>
      <c r="D259" s="7"/>
      <c r="E259" s="7"/>
      <c r="F259" s="9"/>
      <c r="G259" s="7"/>
      <c r="I259" s="7"/>
      <c r="J259" s="7"/>
      <c r="K259" s="23"/>
      <c r="L259" s="8"/>
      <c r="M259" s="7"/>
      <c r="N259" s="7"/>
      <c r="O259" s="7"/>
      <c r="P259" s="7"/>
      <c r="Q259" s="9"/>
      <c r="S259" s="7"/>
      <c r="T259" s="7"/>
      <c r="U259" s="7"/>
      <c r="V259" s="7"/>
      <c r="W259" s="7"/>
      <c r="X259" s="7"/>
      <c r="Y259" s="7"/>
      <c r="Z259" s="7"/>
      <c r="AA259" s="7"/>
    </row>
    <row r="260" spans="2:27" x14ac:dyDescent="0.25">
      <c r="B260" s="9"/>
      <c r="C260" s="9"/>
      <c r="D260" s="7"/>
      <c r="E260" s="7"/>
      <c r="F260" s="9"/>
      <c r="G260" s="7"/>
      <c r="I260" s="7"/>
      <c r="J260" s="7"/>
      <c r="K260" s="23"/>
      <c r="L260" s="8"/>
      <c r="M260" s="7"/>
      <c r="N260" s="7"/>
      <c r="O260" s="7"/>
      <c r="P260" s="7"/>
      <c r="Q260" s="9"/>
      <c r="S260" s="7"/>
      <c r="T260" s="7"/>
      <c r="U260" s="7"/>
      <c r="V260" s="7"/>
      <c r="W260" s="7"/>
      <c r="X260" s="7"/>
      <c r="Y260" s="7"/>
      <c r="Z260" s="7"/>
      <c r="AA260" s="7"/>
    </row>
    <row r="261" spans="2:27" x14ac:dyDescent="0.25">
      <c r="B261" s="9"/>
      <c r="C261" s="9"/>
      <c r="D261" s="7"/>
      <c r="E261" s="7"/>
      <c r="F261" s="9"/>
      <c r="G261" s="7"/>
      <c r="I261" s="7"/>
      <c r="J261" s="7"/>
      <c r="K261" s="23"/>
      <c r="L261" s="8"/>
      <c r="M261" s="7"/>
      <c r="N261" s="7"/>
      <c r="O261" s="7"/>
      <c r="P261" s="7"/>
      <c r="Q261" s="9"/>
      <c r="S261" s="7"/>
      <c r="T261" s="7"/>
      <c r="U261" s="7"/>
      <c r="V261" s="7"/>
      <c r="W261" s="7"/>
      <c r="X261" s="7"/>
      <c r="Y261" s="7"/>
      <c r="Z261" s="7"/>
      <c r="AA261" s="7"/>
    </row>
    <row r="262" spans="2:27" x14ac:dyDescent="0.25">
      <c r="B262" s="9"/>
      <c r="C262" s="9"/>
      <c r="D262" s="7"/>
      <c r="E262" s="7"/>
      <c r="F262" s="9"/>
      <c r="G262" s="7"/>
      <c r="I262" s="7"/>
      <c r="J262" s="7"/>
      <c r="K262" s="23"/>
      <c r="L262" s="8"/>
      <c r="M262" s="7"/>
      <c r="N262" s="7"/>
      <c r="O262" s="7"/>
      <c r="P262" s="7"/>
      <c r="Q262" s="9"/>
      <c r="S262" s="7"/>
      <c r="T262" s="7"/>
      <c r="U262" s="7"/>
      <c r="V262" s="7"/>
      <c r="W262" s="7"/>
      <c r="X262" s="7"/>
      <c r="Y262" s="7"/>
      <c r="Z262" s="7"/>
      <c r="AA262" s="7"/>
    </row>
    <row r="263" spans="2:27" x14ac:dyDescent="0.25">
      <c r="B263" s="9"/>
      <c r="C263" s="9"/>
      <c r="D263" s="7"/>
      <c r="E263" s="7"/>
      <c r="F263" s="9"/>
      <c r="G263" s="7"/>
      <c r="I263" s="7"/>
      <c r="J263" s="7"/>
      <c r="K263" s="23"/>
      <c r="L263" s="8"/>
      <c r="M263" s="7"/>
      <c r="N263" s="7"/>
      <c r="O263" s="7"/>
      <c r="P263" s="7"/>
      <c r="Q263" s="9"/>
      <c r="S263" s="7"/>
      <c r="T263" s="7"/>
      <c r="U263" s="7"/>
      <c r="V263" s="7"/>
      <c r="W263" s="7"/>
      <c r="X263" s="7"/>
      <c r="Y263" s="7"/>
      <c r="Z263" s="7"/>
      <c r="AA263" s="7"/>
    </row>
    <row r="264" spans="2:27" x14ac:dyDescent="0.25">
      <c r="B264" s="9"/>
      <c r="C264" s="9"/>
      <c r="D264" s="7"/>
      <c r="E264" s="7"/>
      <c r="F264" s="9"/>
      <c r="G264" s="7"/>
      <c r="I264" s="7"/>
      <c r="J264" s="7"/>
      <c r="K264" s="23"/>
      <c r="L264" s="8"/>
      <c r="M264" s="7"/>
      <c r="N264" s="7"/>
      <c r="O264" s="7"/>
      <c r="P264" s="7"/>
      <c r="Q264" s="9"/>
      <c r="S264" s="7"/>
      <c r="T264" s="7"/>
      <c r="U264" s="7"/>
      <c r="V264" s="7"/>
      <c r="W264" s="7"/>
      <c r="X264" s="7"/>
      <c r="Y264" s="7"/>
      <c r="Z264" s="7"/>
      <c r="AA264" s="7"/>
    </row>
    <row r="265" spans="2:27" x14ac:dyDescent="0.25">
      <c r="B265" s="9"/>
      <c r="C265" s="9"/>
      <c r="D265" s="7"/>
      <c r="E265" s="7"/>
      <c r="F265" s="9"/>
      <c r="G265" s="7"/>
      <c r="I265" s="7"/>
      <c r="J265" s="7"/>
      <c r="K265" s="23"/>
      <c r="L265" s="8"/>
      <c r="M265" s="7"/>
      <c r="N265" s="7"/>
      <c r="O265" s="7"/>
      <c r="P265" s="7"/>
      <c r="Q265" s="9"/>
      <c r="S265" s="7"/>
      <c r="T265" s="7"/>
      <c r="U265" s="7"/>
      <c r="V265" s="7"/>
      <c r="W265" s="7"/>
      <c r="X265" s="7"/>
      <c r="Y265" s="7"/>
      <c r="Z265" s="7"/>
      <c r="AA265" s="7"/>
    </row>
    <row r="266" spans="2:27" x14ac:dyDescent="0.25">
      <c r="B266" s="9"/>
      <c r="C266" s="9"/>
      <c r="D266" s="7"/>
      <c r="E266" s="7"/>
      <c r="F266" s="9"/>
      <c r="G266" s="7"/>
      <c r="I266" s="7"/>
      <c r="J266" s="7"/>
      <c r="K266" s="23"/>
      <c r="L266" s="8"/>
      <c r="M266" s="7"/>
      <c r="N266" s="7"/>
      <c r="O266" s="7"/>
      <c r="P266" s="7"/>
      <c r="Q266" s="9"/>
      <c r="S266" s="7"/>
      <c r="T266" s="7"/>
      <c r="U266" s="7"/>
      <c r="V266" s="7"/>
      <c r="W266" s="7"/>
      <c r="X266" s="7"/>
      <c r="Y266" s="7"/>
      <c r="Z266" s="7"/>
      <c r="AA266" s="7"/>
    </row>
    <row r="267" spans="2:27" x14ac:dyDescent="0.25">
      <c r="B267" s="9"/>
      <c r="C267" s="9"/>
      <c r="D267" s="7"/>
      <c r="E267" s="7"/>
      <c r="F267" s="9"/>
      <c r="G267" s="7"/>
      <c r="I267" s="7"/>
      <c r="J267" s="7"/>
      <c r="K267" s="23"/>
      <c r="L267" s="8"/>
      <c r="M267" s="7"/>
      <c r="N267" s="7"/>
      <c r="O267" s="7"/>
      <c r="P267" s="7"/>
      <c r="Q267" s="9"/>
      <c r="S267" s="7"/>
      <c r="T267" s="7"/>
      <c r="U267" s="7"/>
      <c r="V267" s="7"/>
      <c r="W267" s="7"/>
      <c r="X267" s="7"/>
      <c r="Y267" s="7"/>
      <c r="Z267" s="7"/>
      <c r="AA267" s="7"/>
    </row>
    <row r="268" spans="2:27" x14ac:dyDescent="0.25">
      <c r="B268" s="9"/>
      <c r="C268" s="9"/>
      <c r="D268" s="7"/>
      <c r="E268" s="7"/>
      <c r="F268" s="9"/>
      <c r="G268" s="7"/>
      <c r="I268" s="7"/>
      <c r="J268" s="7"/>
      <c r="K268" s="23"/>
      <c r="L268" s="8"/>
      <c r="M268" s="7"/>
      <c r="N268" s="7"/>
      <c r="O268" s="7"/>
      <c r="P268" s="7"/>
      <c r="Q268" s="9"/>
      <c r="S268" s="7"/>
      <c r="T268" s="7"/>
      <c r="U268" s="7"/>
      <c r="V268" s="7"/>
      <c r="W268" s="7"/>
      <c r="X268" s="7"/>
      <c r="Y268" s="7"/>
      <c r="Z268" s="7"/>
      <c r="AA268" s="7"/>
    </row>
    <row r="269" spans="2:27" x14ac:dyDescent="0.25">
      <c r="B269" s="9"/>
      <c r="C269" s="9"/>
      <c r="D269" s="7"/>
      <c r="E269" s="7"/>
      <c r="F269" s="9"/>
      <c r="G269" s="7"/>
      <c r="I269" s="7"/>
      <c r="J269" s="7"/>
      <c r="K269" s="23"/>
      <c r="L269" s="8"/>
      <c r="M269" s="7"/>
      <c r="N269" s="7"/>
      <c r="O269" s="7"/>
      <c r="P269" s="7"/>
      <c r="Q269" s="9"/>
      <c r="S269" s="7"/>
      <c r="T269" s="7"/>
      <c r="U269" s="7"/>
      <c r="V269" s="7"/>
      <c r="W269" s="7"/>
      <c r="X269" s="7"/>
      <c r="Y269" s="7"/>
      <c r="Z269" s="7"/>
      <c r="AA269" s="7"/>
    </row>
    <row r="270" spans="2:27" x14ac:dyDescent="0.25">
      <c r="B270" s="9"/>
      <c r="C270" s="9"/>
      <c r="D270" s="7"/>
      <c r="E270" s="7"/>
      <c r="F270" s="9"/>
      <c r="G270" s="7"/>
      <c r="I270" s="7"/>
      <c r="J270" s="7"/>
      <c r="K270" s="23"/>
      <c r="L270" s="8"/>
      <c r="M270" s="7"/>
      <c r="N270" s="7"/>
      <c r="O270" s="7"/>
      <c r="P270" s="7"/>
      <c r="Q270" s="9"/>
      <c r="S270" s="7"/>
      <c r="T270" s="7"/>
      <c r="U270" s="7"/>
      <c r="V270" s="7"/>
      <c r="W270" s="7"/>
      <c r="X270" s="7"/>
      <c r="Y270" s="7"/>
      <c r="Z270" s="7"/>
      <c r="AA270" s="7"/>
    </row>
    <row r="271" spans="2:27" x14ac:dyDescent="0.25">
      <c r="B271" s="9"/>
      <c r="C271" s="9"/>
      <c r="D271" s="7"/>
      <c r="E271" s="7"/>
      <c r="F271" s="9"/>
      <c r="G271" s="7"/>
      <c r="I271" s="7"/>
      <c r="J271" s="7"/>
      <c r="K271" s="23"/>
      <c r="L271" s="8"/>
      <c r="M271" s="7"/>
      <c r="N271" s="7"/>
      <c r="O271" s="7"/>
      <c r="P271" s="7"/>
      <c r="Q271" s="9"/>
      <c r="S271" s="7"/>
      <c r="T271" s="7"/>
      <c r="U271" s="7"/>
      <c r="V271" s="7"/>
      <c r="W271" s="7"/>
      <c r="X271" s="7"/>
      <c r="Y271" s="7"/>
      <c r="Z271" s="7"/>
      <c r="AA271" s="7"/>
    </row>
    <row r="272" spans="2:27" x14ac:dyDescent="0.25">
      <c r="B272" s="9"/>
      <c r="C272" s="9"/>
      <c r="D272" s="7"/>
      <c r="E272" s="7"/>
      <c r="F272" s="9"/>
      <c r="G272" s="7"/>
      <c r="I272" s="7"/>
      <c r="J272" s="7"/>
      <c r="K272" s="23"/>
      <c r="L272" s="8"/>
      <c r="M272" s="7"/>
      <c r="N272" s="7"/>
      <c r="O272" s="7"/>
      <c r="P272" s="7"/>
      <c r="Q272" s="9"/>
      <c r="S272" s="7"/>
      <c r="T272" s="7"/>
      <c r="U272" s="7"/>
      <c r="V272" s="7"/>
      <c r="W272" s="7"/>
      <c r="X272" s="7"/>
      <c r="Y272" s="7"/>
      <c r="Z272" s="7"/>
      <c r="AA272" s="7"/>
    </row>
    <row r="273" spans="2:27" x14ac:dyDescent="0.25">
      <c r="B273" s="9"/>
      <c r="C273" s="9"/>
      <c r="D273" s="7"/>
      <c r="E273" s="7"/>
      <c r="F273" s="9"/>
      <c r="G273" s="7"/>
      <c r="I273" s="7"/>
      <c r="J273" s="7"/>
      <c r="K273" s="23"/>
      <c r="L273" s="8"/>
      <c r="M273" s="7"/>
      <c r="N273" s="7"/>
      <c r="O273" s="7"/>
      <c r="P273" s="7"/>
      <c r="Q273" s="9"/>
      <c r="S273" s="7"/>
      <c r="T273" s="7"/>
      <c r="U273" s="7"/>
      <c r="V273" s="7"/>
      <c r="W273" s="7"/>
      <c r="X273" s="7"/>
      <c r="Y273" s="7"/>
      <c r="Z273" s="7"/>
      <c r="AA273" s="7"/>
    </row>
    <row r="274" spans="2:27" x14ac:dyDescent="0.25">
      <c r="B274" s="9"/>
      <c r="C274" s="9"/>
      <c r="D274" s="7"/>
      <c r="E274" s="7"/>
      <c r="F274" s="9"/>
      <c r="G274" s="7"/>
      <c r="I274" s="7"/>
      <c r="J274" s="7"/>
      <c r="K274" s="23"/>
      <c r="L274" s="8"/>
      <c r="M274" s="7"/>
      <c r="N274" s="7"/>
      <c r="O274" s="7"/>
      <c r="P274" s="7"/>
      <c r="Q274" s="9"/>
      <c r="S274" s="7"/>
      <c r="T274" s="7"/>
      <c r="U274" s="7"/>
      <c r="V274" s="7"/>
      <c r="W274" s="7"/>
      <c r="X274" s="7"/>
      <c r="Y274" s="7"/>
      <c r="Z274" s="7"/>
      <c r="AA274" s="7"/>
    </row>
    <row r="275" spans="2:27" x14ac:dyDescent="0.25">
      <c r="B275" s="9"/>
      <c r="C275" s="9"/>
      <c r="D275" s="7"/>
      <c r="E275" s="7"/>
      <c r="F275" s="9"/>
      <c r="G275" s="7"/>
      <c r="I275" s="7"/>
      <c r="J275" s="7"/>
      <c r="K275" s="23"/>
      <c r="L275" s="8"/>
      <c r="M275" s="7"/>
      <c r="N275" s="7"/>
      <c r="O275" s="7"/>
      <c r="P275" s="7"/>
      <c r="Q275" s="9"/>
      <c r="S275" s="7"/>
      <c r="T275" s="7"/>
      <c r="U275" s="7"/>
      <c r="V275" s="7"/>
      <c r="W275" s="7"/>
      <c r="X275" s="7"/>
      <c r="Y275" s="7"/>
      <c r="Z275" s="7"/>
      <c r="AA275" s="7"/>
    </row>
    <row r="276" spans="2:27" x14ac:dyDescent="0.25">
      <c r="B276" s="9"/>
      <c r="C276" s="9"/>
      <c r="D276" s="7"/>
      <c r="E276" s="7"/>
      <c r="F276" s="9"/>
      <c r="G276" s="7"/>
      <c r="I276" s="7"/>
      <c r="J276" s="7"/>
      <c r="K276" s="23"/>
      <c r="L276" s="8"/>
      <c r="M276" s="7"/>
      <c r="N276" s="7"/>
      <c r="O276" s="7"/>
      <c r="P276" s="7"/>
      <c r="Q276" s="9"/>
      <c r="S276" s="7"/>
      <c r="T276" s="7"/>
      <c r="U276" s="7"/>
      <c r="V276" s="7"/>
      <c r="W276" s="7"/>
      <c r="X276" s="7"/>
      <c r="Y276" s="7"/>
      <c r="Z276" s="7"/>
      <c r="AA276" s="7"/>
    </row>
    <row r="277" spans="2:27" x14ac:dyDescent="0.25">
      <c r="B277" s="9"/>
      <c r="C277" s="9"/>
      <c r="D277" s="7"/>
      <c r="E277" s="7"/>
      <c r="F277" s="9"/>
      <c r="G277" s="7"/>
      <c r="I277" s="7"/>
      <c r="J277" s="7"/>
      <c r="K277" s="23"/>
      <c r="L277" s="8"/>
      <c r="M277" s="7"/>
      <c r="N277" s="7"/>
      <c r="O277" s="7"/>
      <c r="P277" s="7"/>
      <c r="Q277" s="9"/>
      <c r="S277" s="7"/>
      <c r="T277" s="7"/>
      <c r="U277" s="7"/>
      <c r="V277" s="7"/>
      <c r="W277" s="7"/>
      <c r="X277" s="7"/>
      <c r="Y277" s="7"/>
      <c r="Z277" s="7"/>
      <c r="AA277" s="7"/>
    </row>
    <row r="278" spans="2:27" x14ac:dyDescent="0.25">
      <c r="B278" s="9"/>
      <c r="C278" s="9"/>
      <c r="D278" s="7"/>
      <c r="E278" s="7"/>
      <c r="F278" s="9"/>
      <c r="G278" s="7"/>
      <c r="I278" s="7"/>
      <c r="J278" s="7"/>
      <c r="K278" s="23"/>
      <c r="L278" s="8"/>
      <c r="M278" s="7"/>
      <c r="N278" s="7"/>
      <c r="O278" s="7"/>
      <c r="P278" s="7"/>
      <c r="Q278" s="9"/>
      <c r="S278" s="7"/>
      <c r="T278" s="7"/>
      <c r="U278" s="7"/>
      <c r="V278" s="7"/>
      <c r="W278" s="7"/>
      <c r="X278" s="7"/>
      <c r="Y278" s="7"/>
      <c r="Z278" s="7"/>
      <c r="AA278" s="7"/>
    </row>
    <row r="279" spans="2:27" x14ac:dyDescent="0.25">
      <c r="B279" s="9"/>
      <c r="C279" s="9"/>
      <c r="D279" s="7"/>
      <c r="E279" s="7"/>
      <c r="F279" s="9"/>
      <c r="G279" s="7"/>
      <c r="I279" s="7"/>
      <c r="J279" s="7"/>
      <c r="K279" s="23"/>
      <c r="L279" s="8"/>
      <c r="M279" s="7"/>
      <c r="N279" s="7"/>
      <c r="O279" s="7"/>
      <c r="P279" s="7"/>
      <c r="Q279" s="9"/>
      <c r="S279" s="7"/>
      <c r="T279" s="7"/>
      <c r="U279" s="7"/>
      <c r="V279" s="7"/>
      <c r="W279" s="7"/>
      <c r="X279" s="7"/>
      <c r="Y279" s="7"/>
      <c r="Z279" s="7"/>
      <c r="AA279" s="7"/>
    </row>
    <row r="280" spans="2:27" x14ac:dyDescent="0.25">
      <c r="B280" s="9"/>
      <c r="C280" s="9"/>
      <c r="D280" s="7"/>
      <c r="E280" s="7"/>
      <c r="F280" s="9"/>
      <c r="G280" s="7"/>
      <c r="I280" s="7"/>
      <c r="J280" s="7"/>
      <c r="K280" s="23"/>
      <c r="L280" s="8"/>
      <c r="M280" s="7"/>
      <c r="N280" s="7"/>
      <c r="O280" s="7"/>
      <c r="P280" s="7"/>
      <c r="Q280" s="9"/>
      <c r="S280" s="7"/>
      <c r="T280" s="7"/>
      <c r="U280" s="7"/>
      <c r="V280" s="7"/>
      <c r="W280" s="7"/>
      <c r="X280" s="7"/>
      <c r="Y280" s="7"/>
      <c r="Z280" s="7"/>
      <c r="AA280" s="7"/>
    </row>
    <row r="281" spans="2:27" x14ac:dyDescent="0.25">
      <c r="B281" s="9"/>
      <c r="C281" s="9"/>
      <c r="D281" s="7"/>
      <c r="E281" s="7"/>
      <c r="F281" s="9"/>
      <c r="G281" s="7"/>
      <c r="I281" s="7"/>
      <c r="J281" s="7"/>
      <c r="K281" s="23"/>
      <c r="L281" s="8"/>
      <c r="M281" s="7"/>
      <c r="N281" s="7"/>
      <c r="O281" s="7"/>
      <c r="P281" s="7"/>
      <c r="Q281" s="9"/>
      <c r="S281" s="7"/>
      <c r="T281" s="7"/>
      <c r="U281" s="7"/>
      <c r="V281" s="7"/>
      <c r="W281" s="7"/>
      <c r="X281" s="7"/>
      <c r="Y281" s="7"/>
      <c r="Z281" s="7"/>
      <c r="AA281" s="7"/>
    </row>
    <row r="282" spans="2:27" x14ac:dyDescent="0.25">
      <c r="B282" s="9"/>
      <c r="C282" s="9"/>
      <c r="D282" s="7"/>
      <c r="E282" s="7"/>
      <c r="F282" s="9"/>
      <c r="G282" s="7"/>
      <c r="I282" s="7"/>
      <c r="J282" s="7"/>
      <c r="K282" s="23"/>
      <c r="L282" s="8"/>
      <c r="M282" s="7"/>
      <c r="N282" s="7"/>
      <c r="O282" s="7"/>
      <c r="P282" s="7"/>
      <c r="Q282" s="9"/>
      <c r="S282" s="7"/>
      <c r="T282" s="7"/>
      <c r="U282" s="7"/>
      <c r="V282" s="7"/>
      <c r="W282" s="7"/>
      <c r="X282" s="7"/>
      <c r="Y282" s="7"/>
      <c r="Z282" s="7"/>
      <c r="AA282" s="7"/>
    </row>
    <row r="283" spans="2:27" x14ac:dyDescent="0.25">
      <c r="B283" s="9"/>
      <c r="C283" s="9"/>
      <c r="D283" s="7"/>
      <c r="E283" s="7"/>
      <c r="F283" s="9"/>
      <c r="G283" s="7"/>
      <c r="I283" s="7"/>
      <c r="J283" s="7"/>
      <c r="K283" s="23"/>
      <c r="L283" s="8"/>
      <c r="M283" s="7"/>
      <c r="N283" s="7"/>
      <c r="O283" s="7"/>
      <c r="P283" s="7"/>
      <c r="Q283" s="9"/>
      <c r="S283" s="7"/>
      <c r="T283" s="7"/>
      <c r="U283" s="7"/>
      <c r="V283" s="7"/>
      <c r="W283" s="7"/>
      <c r="X283" s="7"/>
      <c r="Y283" s="7"/>
      <c r="Z283" s="7"/>
      <c r="AA283" s="7"/>
    </row>
    <row r="284" spans="2:27" x14ac:dyDescent="0.25">
      <c r="B284" s="9"/>
      <c r="C284" s="9"/>
      <c r="D284" s="7"/>
      <c r="E284" s="7"/>
      <c r="F284" s="9"/>
      <c r="G284" s="7"/>
      <c r="I284" s="7"/>
      <c r="J284" s="7"/>
      <c r="K284" s="23"/>
      <c r="L284" s="8"/>
      <c r="M284" s="7"/>
      <c r="N284" s="7"/>
      <c r="O284" s="7"/>
      <c r="P284" s="7"/>
      <c r="Q284" s="9"/>
      <c r="S284" s="7"/>
      <c r="T284" s="7"/>
      <c r="U284" s="7"/>
      <c r="V284" s="7"/>
      <c r="W284" s="7"/>
      <c r="X284" s="7"/>
      <c r="Y284" s="7"/>
      <c r="Z284" s="7"/>
      <c r="AA284" s="7"/>
    </row>
    <row r="285" spans="2:27" x14ac:dyDescent="0.25">
      <c r="B285" s="9"/>
      <c r="C285" s="9"/>
      <c r="D285" s="7"/>
      <c r="E285" s="7"/>
      <c r="F285" s="9"/>
      <c r="G285" s="7"/>
      <c r="I285" s="7"/>
      <c r="J285" s="7"/>
      <c r="K285" s="23"/>
      <c r="L285" s="8"/>
      <c r="M285" s="7"/>
      <c r="N285" s="7"/>
      <c r="O285" s="7"/>
      <c r="P285" s="7"/>
      <c r="Q285" s="9"/>
      <c r="S285" s="7"/>
      <c r="T285" s="7"/>
      <c r="U285" s="7"/>
      <c r="V285" s="7"/>
      <c r="W285" s="7"/>
      <c r="X285" s="7"/>
      <c r="Y285" s="7"/>
      <c r="Z285" s="7"/>
      <c r="AA285" s="7"/>
    </row>
    <row r="286" spans="2:27" x14ac:dyDescent="0.25">
      <c r="B286" s="9"/>
      <c r="C286" s="9"/>
      <c r="D286" s="7"/>
      <c r="E286" s="7"/>
      <c r="F286" s="9"/>
      <c r="G286" s="7"/>
      <c r="I286" s="7"/>
      <c r="J286" s="7"/>
      <c r="K286" s="23"/>
      <c r="L286" s="8"/>
      <c r="M286" s="7"/>
      <c r="N286" s="7"/>
      <c r="O286" s="7"/>
      <c r="P286" s="7"/>
      <c r="Q286" s="9"/>
      <c r="S286" s="7"/>
      <c r="T286" s="7"/>
      <c r="U286" s="7"/>
      <c r="V286" s="7"/>
      <c r="W286" s="7"/>
      <c r="X286" s="7"/>
      <c r="Y286" s="7"/>
      <c r="Z286" s="7"/>
      <c r="AA286" s="7"/>
    </row>
    <row r="287" spans="2:27" x14ac:dyDescent="0.25">
      <c r="B287" s="9"/>
      <c r="C287" s="9"/>
      <c r="D287" s="7"/>
      <c r="E287" s="7"/>
      <c r="F287" s="9"/>
      <c r="G287" s="7"/>
      <c r="I287" s="7"/>
      <c r="J287" s="7"/>
      <c r="K287" s="23"/>
      <c r="L287" s="8"/>
      <c r="M287" s="7"/>
      <c r="N287" s="7"/>
      <c r="O287" s="7"/>
      <c r="P287" s="7"/>
      <c r="Q287" s="9"/>
      <c r="S287" s="7"/>
      <c r="T287" s="7"/>
      <c r="U287" s="7"/>
      <c r="V287" s="7"/>
      <c r="W287" s="7"/>
      <c r="X287" s="7"/>
      <c r="Y287" s="7"/>
      <c r="Z287" s="7"/>
      <c r="AA287" s="7"/>
    </row>
    <row r="288" spans="2:27" x14ac:dyDescent="0.25">
      <c r="B288" s="9"/>
      <c r="C288" s="9"/>
      <c r="D288" s="7"/>
      <c r="E288" s="7"/>
      <c r="F288" s="9"/>
      <c r="G288" s="7"/>
      <c r="I288" s="7"/>
      <c r="J288" s="7"/>
      <c r="K288" s="23"/>
      <c r="L288" s="8"/>
      <c r="M288" s="7"/>
      <c r="N288" s="7"/>
      <c r="O288" s="7"/>
      <c r="P288" s="7"/>
      <c r="Q288" s="9"/>
      <c r="S288" s="7"/>
      <c r="T288" s="7"/>
      <c r="U288" s="7"/>
      <c r="V288" s="7"/>
      <c r="W288" s="7"/>
      <c r="X288" s="7"/>
      <c r="Y288" s="7"/>
      <c r="Z288" s="7"/>
      <c r="AA288" s="7"/>
    </row>
    <row r="289" spans="2:27" x14ac:dyDescent="0.25">
      <c r="B289" s="9"/>
      <c r="C289" s="9"/>
      <c r="D289" s="7"/>
      <c r="E289" s="7"/>
      <c r="F289" s="9"/>
      <c r="G289" s="7"/>
      <c r="I289" s="7"/>
      <c r="J289" s="7"/>
      <c r="K289" s="23"/>
      <c r="L289" s="8"/>
      <c r="M289" s="7"/>
      <c r="N289" s="7"/>
      <c r="O289" s="7"/>
      <c r="P289" s="7"/>
      <c r="Q289" s="9"/>
      <c r="S289" s="7"/>
      <c r="T289" s="7"/>
      <c r="U289" s="7"/>
      <c r="V289" s="7"/>
      <c r="W289" s="7"/>
      <c r="X289" s="7"/>
      <c r="Y289" s="7"/>
      <c r="Z289" s="7"/>
      <c r="AA289" s="7"/>
    </row>
    <row r="290" spans="2:27" x14ac:dyDescent="0.25">
      <c r="B290" s="9"/>
      <c r="C290" s="9"/>
      <c r="D290" s="7"/>
      <c r="E290" s="7"/>
      <c r="F290" s="9"/>
      <c r="G290" s="7"/>
      <c r="I290" s="7"/>
      <c r="J290" s="7"/>
      <c r="K290" s="23"/>
      <c r="L290" s="8"/>
      <c r="M290" s="7"/>
      <c r="N290" s="7"/>
      <c r="O290" s="7"/>
      <c r="P290" s="7"/>
      <c r="Q290" s="9"/>
      <c r="S290" s="7"/>
      <c r="T290" s="7"/>
      <c r="U290" s="7"/>
      <c r="V290" s="7"/>
      <c r="W290" s="7"/>
      <c r="X290" s="7"/>
      <c r="Y290" s="7"/>
      <c r="Z290" s="7"/>
      <c r="AA290" s="7"/>
    </row>
    <row r="291" spans="2:27" x14ac:dyDescent="0.25">
      <c r="B291" s="9"/>
      <c r="C291" s="9"/>
      <c r="D291" s="7"/>
      <c r="E291" s="7"/>
      <c r="F291" s="9"/>
      <c r="G291" s="7"/>
      <c r="I291" s="7"/>
      <c r="J291" s="7"/>
      <c r="K291" s="23"/>
      <c r="L291" s="8"/>
      <c r="M291" s="7"/>
      <c r="N291" s="7"/>
      <c r="O291" s="7"/>
      <c r="P291" s="7"/>
      <c r="Q291" s="9"/>
      <c r="S291" s="7"/>
      <c r="T291" s="7"/>
      <c r="U291" s="7"/>
      <c r="V291" s="7"/>
      <c r="W291" s="7"/>
      <c r="X291" s="7"/>
      <c r="Y291" s="7"/>
      <c r="Z291" s="7"/>
      <c r="AA291" s="7"/>
    </row>
    <row r="292" spans="2:27" x14ac:dyDescent="0.25">
      <c r="B292" s="9"/>
      <c r="C292" s="9"/>
      <c r="D292" s="7"/>
      <c r="E292" s="7"/>
      <c r="F292" s="9"/>
      <c r="G292" s="7"/>
      <c r="I292" s="7"/>
      <c r="J292" s="7"/>
      <c r="K292" s="23"/>
      <c r="L292" s="8"/>
      <c r="M292" s="7"/>
      <c r="N292" s="7"/>
      <c r="O292" s="7"/>
      <c r="P292" s="7"/>
      <c r="Q292" s="9"/>
      <c r="S292" s="7"/>
      <c r="T292" s="7"/>
      <c r="U292" s="7"/>
      <c r="V292" s="7"/>
      <c r="W292" s="7"/>
      <c r="X292" s="7"/>
      <c r="Y292" s="7"/>
      <c r="Z292" s="7"/>
      <c r="AA292" s="7"/>
    </row>
    <row r="293" spans="2:27" x14ac:dyDescent="0.25">
      <c r="B293" s="9"/>
      <c r="C293" s="9"/>
      <c r="D293" s="7"/>
      <c r="E293" s="7"/>
      <c r="F293" s="9"/>
      <c r="G293" s="7"/>
      <c r="I293" s="7"/>
      <c r="J293" s="7"/>
      <c r="K293" s="23"/>
      <c r="L293" s="8"/>
      <c r="M293" s="7"/>
      <c r="N293" s="7"/>
      <c r="O293" s="7"/>
      <c r="P293" s="7"/>
      <c r="Q293" s="9"/>
      <c r="S293" s="7"/>
      <c r="T293" s="7"/>
      <c r="U293" s="7"/>
      <c r="V293" s="7"/>
      <c r="W293" s="7"/>
      <c r="X293" s="7"/>
      <c r="Y293" s="7"/>
      <c r="Z293" s="7"/>
      <c r="AA293" s="7"/>
    </row>
    <row r="294" spans="2:27" x14ac:dyDescent="0.25">
      <c r="B294" s="9"/>
      <c r="C294" s="9"/>
      <c r="D294" s="7"/>
      <c r="E294" s="7"/>
      <c r="F294" s="9"/>
      <c r="G294" s="7"/>
      <c r="I294" s="7"/>
      <c r="J294" s="7"/>
      <c r="K294" s="23"/>
      <c r="L294" s="8"/>
      <c r="M294" s="7"/>
      <c r="N294" s="7"/>
      <c r="O294" s="7"/>
      <c r="P294" s="7"/>
      <c r="Q294" s="9"/>
      <c r="S294" s="7"/>
      <c r="T294" s="7"/>
      <c r="U294" s="7"/>
      <c r="V294" s="7"/>
      <c r="W294" s="7"/>
      <c r="X294" s="7"/>
      <c r="Y294" s="7"/>
      <c r="Z294" s="7"/>
      <c r="AA294" s="7"/>
    </row>
    <row r="295" spans="2:27" x14ac:dyDescent="0.25">
      <c r="B295" s="9"/>
      <c r="C295" s="9"/>
      <c r="D295" s="7"/>
      <c r="E295" s="7"/>
      <c r="F295" s="9"/>
      <c r="G295" s="7"/>
      <c r="I295" s="7"/>
      <c r="J295" s="7"/>
      <c r="K295" s="23"/>
      <c r="L295" s="8"/>
      <c r="M295" s="7"/>
      <c r="N295" s="7"/>
      <c r="O295" s="7"/>
      <c r="P295" s="7"/>
      <c r="Q295" s="9"/>
      <c r="S295" s="7"/>
      <c r="T295" s="7"/>
      <c r="U295" s="7"/>
      <c r="V295" s="7"/>
      <c r="W295" s="7"/>
      <c r="X295" s="7"/>
      <c r="Y295" s="7"/>
      <c r="Z295" s="7"/>
      <c r="AA295" s="7"/>
    </row>
    <row r="296" spans="2:27" x14ac:dyDescent="0.25">
      <c r="B296" s="9"/>
      <c r="C296" s="9"/>
      <c r="D296" s="7"/>
      <c r="E296" s="7"/>
      <c r="F296" s="9"/>
      <c r="G296" s="7"/>
      <c r="I296" s="7"/>
      <c r="J296" s="7"/>
      <c r="K296" s="23"/>
      <c r="L296" s="8"/>
      <c r="M296" s="7"/>
      <c r="N296" s="7"/>
      <c r="O296" s="7"/>
      <c r="P296" s="7"/>
      <c r="Q296" s="9"/>
      <c r="S296" s="7"/>
      <c r="T296" s="7"/>
      <c r="U296" s="7"/>
      <c r="V296" s="7"/>
      <c r="W296" s="7"/>
      <c r="X296" s="7"/>
      <c r="Y296" s="7"/>
      <c r="Z296" s="7"/>
      <c r="AA296" s="7"/>
    </row>
    <row r="297" spans="2:27" x14ac:dyDescent="0.25">
      <c r="B297" s="9"/>
      <c r="C297" s="9"/>
      <c r="D297" s="7"/>
      <c r="E297" s="7"/>
      <c r="F297" s="9"/>
      <c r="G297" s="7"/>
      <c r="I297" s="7"/>
      <c r="J297" s="7"/>
      <c r="K297" s="23"/>
      <c r="L297" s="8"/>
      <c r="M297" s="7"/>
      <c r="N297" s="7"/>
      <c r="O297" s="7"/>
      <c r="P297" s="7"/>
      <c r="Q297" s="9"/>
      <c r="S297" s="7"/>
      <c r="T297" s="7"/>
      <c r="U297" s="7"/>
      <c r="V297" s="7"/>
      <c r="W297" s="7"/>
      <c r="X297" s="7"/>
      <c r="Y297" s="7"/>
      <c r="Z297" s="7"/>
      <c r="AA297" s="7"/>
    </row>
    <row r="298" spans="2:27" x14ac:dyDescent="0.25">
      <c r="B298" s="9"/>
      <c r="C298" s="9"/>
      <c r="D298" s="7"/>
      <c r="E298" s="7"/>
      <c r="F298" s="9"/>
      <c r="G298" s="7"/>
      <c r="I298" s="7"/>
      <c r="J298" s="7"/>
      <c r="K298" s="23"/>
      <c r="L298" s="8"/>
      <c r="M298" s="7"/>
      <c r="N298" s="7"/>
      <c r="O298" s="7"/>
      <c r="P298" s="7"/>
      <c r="Q298" s="9"/>
      <c r="S298" s="7"/>
      <c r="T298" s="7"/>
      <c r="U298" s="7"/>
      <c r="V298" s="7"/>
      <c r="W298" s="7"/>
      <c r="X298" s="7"/>
      <c r="Y298" s="7"/>
      <c r="Z298" s="7"/>
      <c r="AA298" s="7"/>
    </row>
    <row r="299" spans="2:27" x14ac:dyDescent="0.25">
      <c r="B299" s="9"/>
      <c r="C299" s="9"/>
      <c r="D299" s="7"/>
      <c r="E299" s="7"/>
      <c r="F299" s="9"/>
      <c r="G299" s="7"/>
      <c r="I299" s="7"/>
      <c r="J299" s="7"/>
      <c r="K299" s="23"/>
      <c r="L299" s="8"/>
      <c r="M299" s="7"/>
      <c r="N299" s="7"/>
      <c r="O299" s="7"/>
      <c r="P299" s="7"/>
      <c r="Q299" s="9"/>
      <c r="S299" s="7"/>
      <c r="T299" s="7"/>
      <c r="U299" s="7"/>
      <c r="V299" s="7"/>
      <c r="W299" s="7"/>
      <c r="X299" s="7"/>
      <c r="Y299" s="7"/>
      <c r="Z299" s="7"/>
      <c r="AA299" s="7"/>
    </row>
    <row r="300" spans="2:27" x14ac:dyDescent="0.25">
      <c r="B300" s="9"/>
      <c r="C300" s="9"/>
      <c r="D300" s="7"/>
      <c r="E300" s="7"/>
      <c r="F300" s="9"/>
      <c r="G300" s="7"/>
      <c r="I300" s="7"/>
      <c r="J300" s="7"/>
      <c r="K300" s="23"/>
      <c r="L300" s="8"/>
      <c r="M300" s="7"/>
      <c r="N300" s="7"/>
      <c r="O300" s="7"/>
      <c r="P300" s="7"/>
      <c r="Q300" s="9"/>
      <c r="S300" s="7"/>
      <c r="T300" s="7"/>
      <c r="U300" s="7"/>
      <c r="V300" s="7"/>
      <c r="W300" s="7"/>
      <c r="X300" s="7"/>
      <c r="Y300" s="7"/>
      <c r="Z300" s="7"/>
      <c r="AA300" s="7"/>
    </row>
    <row r="301" spans="2:27" x14ac:dyDescent="0.25">
      <c r="B301" s="9"/>
      <c r="C301" s="9"/>
      <c r="D301" s="7"/>
      <c r="E301" s="7"/>
      <c r="F301" s="9"/>
      <c r="G301" s="7"/>
      <c r="I301" s="7"/>
      <c r="J301" s="7"/>
      <c r="K301" s="23"/>
      <c r="L301" s="8"/>
      <c r="M301" s="7"/>
      <c r="N301" s="7"/>
      <c r="O301" s="7"/>
      <c r="P301" s="7"/>
      <c r="Q301" s="9"/>
      <c r="S301" s="7"/>
      <c r="T301" s="7"/>
      <c r="U301" s="7"/>
      <c r="V301" s="7"/>
      <c r="W301" s="7"/>
      <c r="X301" s="7"/>
      <c r="Y301" s="7"/>
      <c r="Z301" s="7"/>
      <c r="AA301" s="7"/>
    </row>
    <row r="302" spans="2:27" x14ac:dyDescent="0.25">
      <c r="B302" s="9"/>
      <c r="C302" s="9"/>
      <c r="D302" s="7"/>
      <c r="E302" s="7"/>
      <c r="F302" s="9"/>
      <c r="G302" s="7"/>
      <c r="I302" s="7"/>
      <c r="J302" s="7"/>
      <c r="K302" s="23"/>
      <c r="L302" s="8"/>
      <c r="M302" s="7"/>
      <c r="N302" s="7"/>
      <c r="O302" s="7"/>
      <c r="P302" s="7"/>
      <c r="Q302" s="9"/>
      <c r="S302" s="7"/>
      <c r="T302" s="7"/>
      <c r="U302" s="7"/>
      <c r="V302" s="7"/>
      <c r="W302" s="7"/>
      <c r="X302" s="7"/>
      <c r="Y302" s="7"/>
      <c r="Z302" s="7"/>
      <c r="AA302" s="7"/>
    </row>
    <row r="303" spans="2:27" x14ac:dyDescent="0.25">
      <c r="B303" s="9"/>
      <c r="C303" s="9"/>
      <c r="D303" s="7"/>
      <c r="E303" s="7"/>
      <c r="F303" s="9"/>
      <c r="G303" s="7"/>
      <c r="I303" s="7"/>
      <c r="J303" s="7"/>
      <c r="K303" s="23"/>
      <c r="L303" s="8"/>
      <c r="M303" s="7"/>
      <c r="N303" s="7"/>
      <c r="O303" s="7"/>
      <c r="P303" s="7"/>
      <c r="Q303" s="9"/>
      <c r="S303" s="7"/>
      <c r="T303" s="7"/>
      <c r="U303" s="7"/>
      <c r="V303" s="7"/>
      <c r="W303" s="7"/>
      <c r="X303" s="7"/>
      <c r="Y303" s="7"/>
      <c r="Z303" s="7"/>
      <c r="AA303" s="7"/>
    </row>
    <row r="304" spans="2:27" x14ac:dyDescent="0.25">
      <c r="B304" s="9"/>
      <c r="C304" s="9"/>
      <c r="D304" s="7"/>
      <c r="E304" s="7"/>
      <c r="F304" s="9"/>
      <c r="G304" s="7"/>
      <c r="I304" s="7"/>
      <c r="J304" s="7"/>
      <c r="K304" s="23"/>
      <c r="L304" s="8"/>
      <c r="M304" s="7"/>
      <c r="N304" s="7"/>
      <c r="O304" s="7"/>
      <c r="P304" s="7"/>
      <c r="Q304" s="9"/>
      <c r="S304" s="7"/>
      <c r="T304" s="7"/>
      <c r="U304" s="7"/>
      <c r="V304" s="7"/>
      <c r="W304" s="7"/>
      <c r="X304" s="7"/>
      <c r="Y304" s="7"/>
      <c r="Z304" s="7"/>
      <c r="AA304" s="7"/>
    </row>
    <row r="305" spans="2:27" x14ac:dyDescent="0.25">
      <c r="B305" s="9"/>
      <c r="C305" s="9"/>
      <c r="D305" s="7"/>
      <c r="E305" s="7"/>
      <c r="F305" s="9"/>
      <c r="G305" s="7"/>
      <c r="I305" s="7"/>
      <c r="J305" s="7"/>
      <c r="K305" s="23"/>
      <c r="L305" s="8"/>
      <c r="M305" s="7"/>
      <c r="N305" s="7"/>
      <c r="O305" s="7"/>
      <c r="P305" s="7"/>
      <c r="Q305" s="9"/>
      <c r="S305" s="7"/>
      <c r="T305" s="7"/>
      <c r="U305" s="7"/>
      <c r="V305" s="7"/>
      <c r="W305" s="7"/>
      <c r="X305" s="7"/>
      <c r="Y305" s="7"/>
      <c r="Z305" s="7"/>
      <c r="AA305" s="7"/>
    </row>
    <row r="306" spans="2:27" x14ac:dyDescent="0.25">
      <c r="B306" s="9"/>
      <c r="C306" s="9"/>
      <c r="D306" s="7"/>
      <c r="E306" s="7"/>
      <c r="F306" s="9"/>
      <c r="G306" s="7"/>
      <c r="I306" s="7"/>
      <c r="J306" s="7"/>
      <c r="K306" s="23"/>
      <c r="L306" s="8"/>
      <c r="M306" s="7"/>
      <c r="N306" s="7"/>
      <c r="O306" s="7"/>
      <c r="P306" s="7"/>
      <c r="Q306" s="9"/>
      <c r="S306" s="7"/>
      <c r="T306" s="7"/>
      <c r="U306" s="7"/>
      <c r="V306" s="7"/>
      <c r="W306" s="7"/>
      <c r="X306" s="7"/>
      <c r="Y306" s="7"/>
      <c r="Z306" s="7"/>
      <c r="AA306" s="7"/>
    </row>
    <row r="307" spans="2:27" x14ac:dyDescent="0.25">
      <c r="B307" s="9"/>
      <c r="C307" s="9"/>
      <c r="D307" s="7"/>
      <c r="E307" s="7"/>
      <c r="F307" s="9"/>
      <c r="G307" s="7"/>
      <c r="I307" s="7"/>
      <c r="J307" s="7"/>
      <c r="K307" s="23"/>
      <c r="L307" s="8"/>
      <c r="M307" s="7"/>
      <c r="N307" s="7"/>
      <c r="O307" s="7"/>
      <c r="P307" s="7"/>
      <c r="Q307" s="9"/>
      <c r="S307" s="7"/>
      <c r="T307" s="7"/>
      <c r="U307" s="7"/>
      <c r="V307" s="7"/>
      <c r="W307" s="7"/>
      <c r="X307" s="7"/>
      <c r="Y307" s="7"/>
      <c r="Z307" s="7"/>
      <c r="AA307" s="7"/>
    </row>
    <row r="308" spans="2:27" x14ac:dyDescent="0.25">
      <c r="B308" s="9"/>
      <c r="C308" s="9"/>
      <c r="D308" s="7"/>
      <c r="E308" s="7"/>
      <c r="F308" s="9"/>
      <c r="G308" s="7"/>
      <c r="I308" s="7"/>
      <c r="J308" s="7"/>
      <c r="K308" s="23"/>
      <c r="L308" s="8"/>
      <c r="M308" s="7"/>
      <c r="N308" s="7"/>
      <c r="O308" s="7"/>
      <c r="P308" s="7"/>
      <c r="Q308" s="9"/>
      <c r="S308" s="7"/>
      <c r="T308" s="7"/>
      <c r="U308" s="7"/>
      <c r="V308" s="7"/>
      <c r="W308" s="7"/>
      <c r="X308" s="7"/>
      <c r="Y308" s="7"/>
      <c r="Z308" s="7"/>
      <c r="AA308" s="7"/>
    </row>
    <row r="309" spans="2:27" x14ac:dyDescent="0.25">
      <c r="B309" s="9"/>
      <c r="C309" s="9"/>
      <c r="D309" s="7"/>
      <c r="E309" s="7"/>
      <c r="F309" s="9"/>
      <c r="G309" s="7"/>
      <c r="I309" s="7"/>
      <c r="J309" s="7"/>
      <c r="K309" s="23"/>
      <c r="L309" s="8"/>
      <c r="M309" s="7"/>
      <c r="N309" s="7"/>
      <c r="O309" s="7"/>
      <c r="P309" s="7"/>
      <c r="Q309" s="9"/>
      <c r="S309" s="7"/>
      <c r="T309" s="7"/>
      <c r="U309" s="7"/>
      <c r="V309" s="7"/>
      <c r="W309" s="7"/>
      <c r="X309" s="7"/>
      <c r="Y309" s="7"/>
      <c r="Z309" s="7"/>
      <c r="AA309" s="7"/>
    </row>
    <row r="310" spans="2:27" x14ac:dyDescent="0.25">
      <c r="B310" s="9"/>
      <c r="C310" s="9"/>
      <c r="D310" s="7"/>
      <c r="E310" s="7"/>
      <c r="F310" s="9"/>
      <c r="G310" s="7"/>
      <c r="I310" s="7"/>
      <c r="J310" s="7"/>
      <c r="K310" s="23"/>
      <c r="L310" s="8"/>
      <c r="M310" s="7"/>
      <c r="N310" s="7"/>
      <c r="O310" s="7"/>
      <c r="P310" s="7"/>
      <c r="Q310" s="9"/>
      <c r="S310" s="7"/>
      <c r="T310" s="7"/>
      <c r="U310" s="7"/>
      <c r="V310" s="7"/>
      <c r="W310" s="7"/>
      <c r="X310" s="7"/>
      <c r="Y310" s="7"/>
      <c r="Z310" s="7"/>
      <c r="AA310" s="7"/>
    </row>
    <row r="311" spans="2:27" x14ac:dyDescent="0.25">
      <c r="B311" s="9"/>
      <c r="C311" s="9"/>
      <c r="D311" s="7"/>
      <c r="E311" s="7"/>
      <c r="F311" s="9"/>
      <c r="G311" s="7"/>
      <c r="I311" s="7"/>
      <c r="J311" s="7"/>
      <c r="K311" s="23"/>
      <c r="L311" s="8"/>
      <c r="M311" s="7"/>
      <c r="N311" s="7"/>
      <c r="O311" s="7"/>
      <c r="P311" s="7"/>
      <c r="Q311" s="9"/>
      <c r="S311" s="7"/>
      <c r="T311" s="7"/>
      <c r="U311" s="7"/>
      <c r="V311" s="7"/>
      <c r="W311" s="7"/>
      <c r="X311" s="7"/>
      <c r="Y311" s="7"/>
      <c r="Z311" s="7"/>
      <c r="AA311" s="7"/>
    </row>
    <row r="312" spans="2:27" x14ac:dyDescent="0.25">
      <c r="B312" s="9"/>
      <c r="C312" s="9"/>
      <c r="D312" s="7"/>
      <c r="E312" s="7"/>
      <c r="F312" s="9"/>
      <c r="G312" s="7"/>
      <c r="I312" s="7"/>
      <c r="J312" s="7"/>
      <c r="K312" s="23"/>
      <c r="L312" s="8"/>
      <c r="M312" s="7"/>
      <c r="N312" s="7"/>
      <c r="O312" s="7"/>
      <c r="P312" s="7"/>
      <c r="Q312" s="9"/>
      <c r="S312" s="7"/>
      <c r="T312" s="7"/>
      <c r="U312" s="7"/>
      <c r="V312" s="7"/>
      <c r="W312" s="7"/>
      <c r="X312" s="7"/>
      <c r="Y312" s="7"/>
      <c r="Z312" s="7"/>
      <c r="AA312" s="7"/>
    </row>
    <row r="313" spans="2:27" x14ac:dyDescent="0.25">
      <c r="B313" s="9"/>
      <c r="C313" s="9"/>
      <c r="D313" s="7"/>
      <c r="E313" s="7"/>
      <c r="F313" s="9"/>
      <c r="G313" s="7"/>
      <c r="I313" s="7"/>
      <c r="J313" s="7"/>
      <c r="K313" s="23"/>
      <c r="L313" s="8"/>
      <c r="M313" s="7"/>
      <c r="N313" s="7"/>
      <c r="O313" s="7"/>
      <c r="P313" s="7"/>
      <c r="Q313" s="9"/>
      <c r="S313" s="7"/>
      <c r="T313" s="7"/>
      <c r="U313" s="7"/>
      <c r="V313" s="7"/>
      <c r="W313" s="7"/>
      <c r="X313" s="7"/>
      <c r="Y313" s="7"/>
      <c r="Z313" s="7"/>
      <c r="AA313" s="7"/>
    </row>
    <row r="314" spans="2:27" x14ac:dyDescent="0.25">
      <c r="B314" s="9"/>
      <c r="C314" s="9"/>
      <c r="D314" s="7"/>
      <c r="E314" s="7"/>
      <c r="F314" s="9"/>
      <c r="G314" s="7"/>
      <c r="I314" s="7"/>
      <c r="J314" s="7"/>
      <c r="K314" s="23"/>
      <c r="L314" s="8"/>
      <c r="M314" s="7"/>
      <c r="N314" s="7"/>
      <c r="O314" s="7"/>
      <c r="P314" s="7"/>
      <c r="Q314" s="9"/>
      <c r="S314" s="7"/>
      <c r="T314" s="7"/>
      <c r="U314" s="7"/>
      <c r="V314" s="7"/>
      <c r="W314" s="7"/>
      <c r="X314" s="7"/>
      <c r="Y314" s="7"/>
      <c r="Z314" s="7"/>
      <c r="AA314" s="7"/>
    </row>
    <row r="315" spans="2:27" x14ac:dyDescent="0.25">
      <c r="B315" s="9"/>
      <c r="C315" s="9"/>
      <c r="D315" s="7"/>
      <c r="E315" s="7"/>
      <c r="F315" s="9"/>
      <c r="G315" s="7"/>
      <c r="I315" s="7"/>
      <c r="J315" s="7"/>
      <c r="K315" s="23"/>
      <c r="L315" s="8"/>
      <c r="M315" s="7"/>
      <c r="N315" s="7"/>
      <c r="O315" s="7"/>
      <c r="P315" s="7"/>
      <c r="Q315" s="9"/>
      <c r="S315" s="7"/>
      <c r="T315" s="7"/>
      <c r="U315" s="7"/>
      <c r="V315" s="7"/>
      <c r="W315" s="7"/>
      <c r="X315" s="7"/>
      <c r="Y315" s="7"/>
      <c r="Z315" s="7"/>
      <c r="AA315" s="7"/>
    </row>
    <row r="316" spans="2:27" x14ac:dyDescent="0.25">
      <c r="B316" s="9"/>
      <c r="C316" s="9"/>
      <c r="D316" s="7"/>
      <c r="E316" s="7"/>
      <c r="F316" s="9"/>
      <c r="G316" s="7"/>
      <c r="I316" s="7"/>
      <c r="J316" s="7"/>
      <c r="K316" s="23"/>
      <c r="L316" s="8"/>
      <c r="M316" s="7"/>
      <c r="N316" s="7"/>
      <c r="O316" s="7"/>
      <c r="P316" s="7"/>
      <c r="Q316" s="9"/>
      <c r="S316" s="7"/>
      <c r="T316" s="7"/>
      <c r="U316" s="7"/>
      <c r="V316" s="7"/>
      <c r="W316" s="7"/>
      <c r="X316" s="7"/>
      <c r="Y316" s="7"/>
      <c r="Z316" s="7"/>
      <c r="AA316" s="7"/>
    </row>
    <row r="317" spans="2:27" x14ac:dyDescent="0.25">
      <c r="B317" s="9"/>
      <c r="C317" s="9"/>
      <c r="D317" s="7"/>
      <c r="E317" s="7"/>
      <c r="F317" s="9"/>
      <c r="G317" s="7"/>
      <c r="I317" s="7"/>
      <c r="J317" s="7"/>
      <c r="K317" s="23"/>
      <c r="L317" s="8"/>
      <c r="M317" s="7"/>
      <c r="N317" s="7"/>
      <c r="O317" s="7"/>
      <c r="P317" s="7"/>
      <c r="Q317" s="9"/>
      <c r="S317" s="7"/>
      <c r="T317" s="7"/>
      <c r="U317" s="7"/>
      <c r="V317" s="7"/>
      <c r="W317" s="7"/>
      <c r="X317" s="7"/>
      <c r="Y317" s="7"/>
      <c r="Z317" s="7"/>
      <c r="AA317" s="7"/>
    </row>
    <row r="318" spans="2:27" x14ac:dyDescent="0.25">
      <c r="B318" s="9"/>
      <c r="C318" s="9"/>
      <c r="D318" s="7"/>
      <c r="E318" s="7"/>
      <c r="F318" s="9"/>
      <c r="G318" s="7"/>
      <c r="I318" s="7"/>
      <c r="J318" s="7"/>
      <c r="K318" s="23"/>
      <c r="L318" s="8"/>
      <c r="M318" s="7"/>
      <c r="N318" s="7"/>
      <c r="O318" s="7"/>
      <c r="P318" s="7"/>
      <c r="Q318" s="9"/>
      <c r="S318" s="7"/>
      <c r="T318" s="7"/>
      <c r="U318" s="7"/>
      <c r="V318" s="7"/>
      <c r="W318" s="7"/>
      <c r="X318" s="7"/>
      <c r="Y318" s="7"/>
      <c r="Z318" s="7"/>
      <c r="AA318" s="7"/>
    </row>
    <row r="319" spans="2:27" x14ac:dyDescent="0.25">
      <c r="B319" s="9"/>
      <c r="C319" s="9"/>
      <c r="D319" s="7"/>
      <c r="E319" s="7"/>
      <c r="F319" s="9"/>
      <c r="G319" s="7"/>
      <c r="I319" s="7"/>
      <c r="J319" s="7"/>
      <c r="K319" s="23"/>
      <c r="L319" s="8"/>
      <c r="M319" s="7"/>
      <c r="N319" s="7"/>
      <c r="O319" s="7"/>
      <c r="P319" s="7"/>
      <c r="Q319" s="9"/>
      <c r="S319" s="7"/>
      <c r="T319" s="7"/>
      <c r="U319" s="7"/>
      <c r="V319" s="7"/>
      <c r="W319" s="7"/>
      <c r="X319" s="7"/>
      <c r="Y319" s="7"/>
      <c r="Z319" s="7"/>
      <c r="AA319" s="7"/>
    </row>
    <row r="320" spans="2:27" x14ac:dyDescent="0.25">
      <c r="B320" s="9"/>
      <c r="C320" s="9"/>
      <c r="D320" s="7"/>
      <c r="E320" s="7"/>
      <c r="F320" s="9"/>
      <c r="G320" s="7"/>
      <c r="I320" s="7"/>
      <c r="J320" s="7"/>
      <c r="K320" s="23"/>
      <c r="L320" s="8"/>
      <c r="M320" s="7"/>
      <c r="N320" s="7"/>
      <c r="O320" s="7"/>
      <c r="P320" s="7"/>
      <c r="Q320" s="9"/>
      <c r="S320" s="7"/>
      <c r="T320" s="7"/>
      <c r="U320" s="7"/>
      <c r="V320" s="7"/>
      <c r="W320" s="7"/>
      <c r="X320" s="7"/>
      <c r="Y320" s="7"/>
      <c r="Z320" s="7"/>
      <c r="AA320" s="7"/>
    </row>
    <row r="321" spans="2:27" x14ac:dyDescent="0.25">
      <c r="B321" s="9"/>
      <c r="C321" s="9"/>
      <c r="D321" s="7"/>
      <c r="E321" s="7"/>
      <c r="F321" s="9"/>
      <c r="G321" s="7"/>
      <c r="I321" s="7"/>
      <c r="J321" s="7"/>
      <c r="K321" s="23"/>
      <c r="L321" s="8"/>
      <c r="M321" s="7"/>
      <c r="N321" s="7"/>
      <c r="O321" s="7"/>
      <c r="P321" s="7"/>
      <c r="Q321" s="9"/>
      <c r="S321" s="7"/>
      <c r="T321" s="7"/>
      <c r="U321" s="7"/>
      <c r="V321" s="7"/>
      <c r="W321" s="7"/>
      <c r="X321" s="7"/>
      <c r="Y321" s="7"/>
      <c r="Z321" s="7"/>
      <c r="AA321" s="7"/>
    </row>
    <row r="322" spans="2:27" x14ac:dyDescent="0.25">
      <c r="B322" s="9"/>
      <c r="C322" s="9"/>
      <c r="D322" s="7"/>
      <c r="E322" s="7"/>
      <c r="F322" s="9"/>
      <c r="G322" s="7"/>
      <c r="I322" s="7"/>
      <c r="J322" s="7"/>
      <c r="K322" s="23"/>
      <c r="L322" s="8"/>
      <c r="M322" s="7"/>
      <c r="N322" s="7"/>
      <c r="O322" s="7"/>
      <c r="P322" s="7"/>
      <c r="Q322" s="9"/>
      <c r="S322" s="7"/>
      <c r="T322" s="7"/>
      <c r="U322" s="7"/>
      <c r="V322" s="7"/>
      <c r="W322" s="7"/>
      <c r="X322" s="7"/>
      <c r="Y322" s="7"/>
      <c r="Z322" s="7"/>
      <c r="AA322" s="7"/>
    </row>
    <row r="323" spans="2:27" x14ac:dyDescent="0.25">
      <c r="B323" s="9"/>
      <c r="C323" s="9"/>
      <c r="D323" s="7"/>
      <c r="E323" s="7"/>
      <c r="F323" s="9"/>
      <c r="G323" s="7"/>
      <c r="I323" s="7"/>
      <c r="J323" s="7"/>
      <c r="K323" s="23"/>
      <c r="L323" s="8"/>
      <c r="M323" s="7"/>
      <c r="N323" s="7"/>
      <c r="O323" s="7"/>
      <c r="P323" s="7"/>
      <c r="Q323" s="9"/>
      <c r="S323" s="7"/>
      <c r="T323" s="7"/>
      <c r="U323" s="7"/>
      <c r="V323" s="7"/>
      <c r="W323" s="7"/>
      <c r="X323" s="7"/>
      <c r="Y323" s="7"/>
      <c r="Z323" s="7"/>
      <c r="AA323" s="7"/>
    </row>
    <row r="324" spans="2:27" x14ac:dyDescent="0.25">
      <c r="B324" s="9"/>
      <c r="C324" s="9"/>
      <c r="D324" s="7"/>
      <c r="E324" s="7"/>
      <c r="F324" s="9"/>
      <c r="G324" s="7"/>
      <c r="I324" s="7"/>
      <c r="J324" s="7"/>
      <c r="K324" s="23"/>
      <c r="L324" s="8"/>
      <c r="M324" s="7"/>
      <c r="N324" s="7"/>
      <c r="O324" s="7"/>
      <c r="P324" s="7"/>
      <c r="Q324" s="9"/>
      <c r="S324" s="7"/>
      <c r="T324" s="7"/>
      <c r="U324" s="7"/>
      <c r="V324" s="7"/>
      <c r="W324" s="7"/>
      <c r="X324" s="7"/>
      <c r="Y324" s="7"/>
      <c r="Z324" s="7"/>
      <c r="AA324" s="7"/>
    </row>
    <row r="325" spans="2:27" x14ac:dyDescent="0.25">
      <c r="B325" s="9"/>
      <c r="C325" s="9"/>
      <c r="D325" s="7"/>
      <c r="E325" s="7"/>
      <c r="F325" s="9"/>
      <c r="G325" s="7"/>
      <c r="I325" s="7"/>
      <c r="J325" s="7"/>
      <c r="K325" s="23"/>
      <c r="L325" s="8"/>
      <c r="M325" s="7"/>
      <c r="N325" s="7"/>
      <c r="O325" s="7"/>
      <c r="P325" s="7"/>
      <c r="Q325" s="9"/>
      <c r="S325" s="7"/>
      <c r="T325" s="7"/>
      <c r="U325" s="7"/>
      <c r="V325" s="7"/>
      <c r="W325" s="7"/>
      <c r="X325" s="7"/>
      <c r="Y325" s="7"/>
      <c r="Z325" s="7"/>
      <c r="AA325" s="7"/>
    </row>
    <row r="326" spans="2:27" x14ac:dyDescent="0.25">
      <c r="B326" s="9"/>
      <c r="C326" s="9"/>
      <c r="D326" s="7"/>
      <c r="E326" s="7"/>
      <c r="F326" s="9"/>
      <c r="G326" s="7"/>
      <c r="I326" s="7"/>
      <c r="J326" s="7"/>
      <c r="K326" s="23"/>
      <c r="L326" s="8"/>
      <c r="M326" s="7"/>
      <c r="N326" s="7"/>
      <c r="O326" s="7"/>
      <c r="P326" s="7"/>
      <c r="Q326" s="9"/>
      <c r="S326" s="7"/>
      <c r="T326" s="7"/>
      <c r="U326" s="7"/>
      <c r="V326" s="7"/>
      <c r="W326" s="7"/>
      <c r="X326" s="7"/>
      <c r="Y326" s="7"/>
      <c r="Z326" s="7"/>
      <c r="AA326" s="7"/>
    </row>
    <row r="327" spans="2:27" x14ac:dyDescent="0.25">
      <c r="B327" s="9"/>
      <c r="C327" s="9"/>
      <c r="D327" s="7"/>
      <c r="E327" s="7"/>
      <c r="F327" s="9"/>
      <c r="G327" s="7"/>
      <c r="I327" s="7"/>
      <c r="J327" s="7"/>
      <c r="K327" s="23"/>
      <c r="L327" s="8"/>
      <c r="M327" s="7"/>
      <c r="N327" s="7"/>
      <c r="O327" s="7"/>
      <c r="P327" s="7"/>
      <c r="Q327" s="9"/>
      <c r="S327" s="7"/>
      <c r="T327" s="7"/>
      <c r="U327" s="7"/>
      <c r="V327" s="7"/>
      <c r="W327" s="7"/>
      <c r="X327" s="7"/>
      <c r="Y327" s="7"/>
      <c r="Z327" s="7"/>
      <c r="AA327" s="7"/>
    </row>
    <row r="328" spans="2:27" x14ac:dyDescent="0.25">
      <c r="B328" s="9"/>
      <c r="C328" s="9"/>
      <c r="D328" s="7"/>
      <c r="E328" s="7"/>
      <c r="F328" s="9"/>
      <c r="G328" s="7"/>
      <c r="I328" s="7"/>
      <c r="J328" s="7"/>
      <c r="K328" s="23"/>
      <c r="L328" s="8"/>
      <c r="M328" s="7"/>
      <c r="N328" s="7"/>
      <c r="O328" s="7"/>
      <c r="P328" s="7"/>
      <c r="Q328" s="9"/>
      <c r="S328" s="7"/>
      <c r="T328" s="7"/>
      <c r="U328" s="7"/>
      <c r="V328" s="7"/>
      <c r="W328" s="7"/>
      <c r="X328" s="7"/>
      <c r="Y328" s="7"/>
      <c r="Z328" s="7"/>
      <c r="AA328" s="7"/>
    </row>
    <row r="329" spans="2:27" x14ac:dyDescent="0.25">
      <c r="B329" s="9"/>
      <c r="C329" s="9"/>
      <c r="D329" s="7"/>
      <c r="E329" s="7"/>
      <c r="F329" s="9"/>
      <c r="G329" s="7"/>
      <c r="I329" s="7"/>
      <c r="J329" s="7"/>
      <c r="K329" s="23"/>
      <c r="L329" s="8"/>
      <c r="M329" s="7"/>
      <c r="N329" s="7"/>
      <c r="O329" s="7"/>
      <c r="P329" s="7"/>
      <c r="Q329" s="9"/>
      <c r="S329" s="7"/>
      <c r="T329" s="7"/>
      <c r="U329" s="7"/>
      <c r="V329" s="7"/>
      <c r="W329" s="7"/>
      <c r="X329" s="7"/>
      <c r="Y329" s="7"/>
      <c r="Z329" s="7"/>
      <c r="AA329" s="7"/>
    </row>
    <row r="330" spans="2:27" x14ac:dyDescent="0.25">
      <c r="B330" s="9"/>
      <c r="C330" s="9"/>
      <c r="D330" s="7"/>
      <c r="E330" s="7"/>
      <c r="F330" s="9"/>
      <c r="G330" s="7"/>
      <c r="I330" s="7"/>
      <c r="J330" s="7"/>
      <c r="K330" s="23"/>
      <c r="L330" s="8"/>
      <c r="M330" s="7"/>
      <c r="N330" s="7"/>
      <c r="O330" s="7"/>
      <c r="P330" s="7"/>
      <c r="Q330" s="9"/>
      <c r="S330" s="7"/>
      <c r="T330" s="7"/>
      <c r="U330" s="7"/>
      <c r="V330" s="7"/>
      <c r="W330" s="7"/>
      <c r="X330" s="7"/>
      <c r="Y330" s="7"/>
      <c r="Z330" s="7"/>
      <c r="AA330" s="7"/>
    </row>
    <row r="331" spans="2:27" x14ac:dyDescent="0.25">
      <c r="B331" s="9"/>
      <c r="C331" s="9"/>
      <c r="D331" s="7"/>
      <c r="E331" s="7"/>
      <c r="F331" s="9"/>
      <c r="G331" s="7"/>
      <c r="I331" s="7"/>
      <c r="J331" s="7"/>
      <c r="K331" s="23"/>
      <c r="L331" s="8"/>
      <c r="M331" s="7"/>
      <c r="N331" s="7"/>
      <c r="O331" s="7"/>
      <c r="P331" s="7"/>
      <c r="Q331" s="9"/>
      <c r="S331" s="7"/>
      <c r="T331" s="7"/>
      <c r="U331" s="7"/>
      <c r="V331" s="7"/>
      <c r="W331" s="7"/>
      <c r="X331" s="7"/>
      <c r="Y331" s="7"/>
      <c r="Z331" s="7"/>
      <c r="AA331" s="7"/>
    </row>
    <row r="332" spans="2:27" x14ac:dyDescent="0.25">
      <c r="B332" s="9"/>
      <c r="C332" s="9"/>
      <c r="D332" s="7"/>
      <c r="E332" s="7"/>
      <c r="F332" s="9"/>
      <c r="G332" s="7"/>
      <c r="I332" s="7"/>
      <c r="J332" s="7"/>
      <c r="K332" s="23"/>
      <c r="L332" s="8"/>
      <c r="M332" s="7"/>
      <c r="N332" s="7"/>
      <c r="O332" s="7"/>
      <c r="P332" s="7"/>
      <c r="Q332" s="9"/>
      <c r="S332" s="7"/>
      <c r="T332" s="7"/>
      <c r="U332" s="7"/>
      <c r="V332" s="7"/>
      <c r="W332" s="7"/>
      <c r="X332" s="7"/>
      <c r="Y332" s="7"/>
      <c r="Z332" s="7"/>
      <c r="AA332" s="7"/>
    </row>
    <row r="333" spans="2:27" x14ac:dyDescent="0.25">
      <c r="B333" s="9"/>
      <c r="C333" s="9"/>
      <c r="D333" s="7"/>
      <c r="E333" s="7"/>
      <c r="F333" s="9"/>
      <c r="G333" s="7"/>
      <c r="I333" s="7"/>
      <c r="J333" s="7"/>
      <c r="K333" s="23"/>
      <c r="L333" s="8"/>
      <c r="M333" s="7"/>
      <c r="N333" s="7"/>
      <c r="O333" s="7"/>
      <c r="P333" s="7"/>
      <c r="Q333" s="9"/>
      <c r="S333" s="7"/>
      <c r="T333" s="7"/>
      <c r="U333" s="7"/>
      <c r="V333" s="7"/>
      <c r="W333" s="7"/>
      <c r="X333" s="7"/>
      <c r="Y333" s="7"/>
      <c r="Z333" s="7"/>
      <c r="AA333" s="7"/>
    </row>
    <row r="334" spans="2:27" x14ac:dyDescent="0.25">
      <c r="B334" s="9"/>
      <c r="C334" s="9"/>
      <c r="D334" s="7"/>
      <c r="E334" s="7"/>
      <c r="F334" s="9"/>
      <c r="G334" s="7"/>
      <c r="I334" s="7"/>
      <c r="J334" s="7"/>
      <c r="K334" s="23"/>
      <c r="L334" s="8"/>
      <c r="M334" s="7"/>
      <c r="N334" s="7"/>
      <c r="O334" s="7"/>
      <c r="P334" s="7"/>
      <c r="Q334" s="9"/>
      <c r="S334" s="7"/>
      <c r="T334" s="7"/>
      <c r="U334" s="7"/>
      <c r="V334" s="7"/>
      <c r="W334" s="7"/>
      <c r="X334" s="7"/>
      <c r="Y334" s="7"/>
      <c r="Z334" s="7"/>
      <c r="AA334" s="7"/>
    </row>
    <row r="335" spans="2:27" x14ac:dyDescent="0.25">
      <c r="B335" s="9"/>
      <c r="C335" s="9"/>
      <c r="D335" s="7"/>
      <c r="E335" s="7"/>
      <c r="F335" s="9"/>
      <c r="G335" s="7"/>
      <c r="I335" s="7"/>
      <c r="J335" s="7"/>
      <c r="K335" s="23"/>
      <c r="L335" s="8"/>
      <c r="M335" s="7"/>
      <c r="N335" s="7"/>
      <c r="O335" s="7"/>
      <c r="P335" s="7"/>
      <c r="Q335" s="9"/>
      <c r="S335" s="7"/>
      <c r="T335" s="7"/>
      <c r="U335" s="7"/>
      <c r="V335" s="7"/>
      <c r="W335" s="7"/>
      <c r="X335" s="7"/>
      <c r="Y335" s="7"/>
      <c r="Z335" s="7"/>
      <c r="AA335" s="7"/>
    </row>
    <row r="336" spans="2:27" x14ac:dyDescent="0.25">
      <c r="B336" s="9"/>
      <c r="C336" s="9"/>
      <c r="D336" s="7"/>
      <c r="E336" s="7"/>
      <c r="F336" s="9"/>
      <c r="G336" s="7"/>
      <c r="I336" s="7"/>
      <c r="J336" s="7"/>
      <c r="K336" s="23"/>
      <c r="L336" s="8"/>
      <c r="M336" s="7"/>
      <c r="N336" s="7"/>
      <c r="O336" s="7"/>
      <c r="P336" s="7"/>
      <c r="Q336" s="9"/>
      <c r="S336" s="7"/>
      <c r="T336" s="7"/>
      <c r="U336" s="7"/>
      <c r="V336" s="7"/>
      <c r="W336" s="7"/>
      <c r="X336" s="7"/>
      <c r="Y336" s="7"/>
      <c r="Z336" s="7"/>
      <c r="AA336" s="7"/>
    </row>
    <row r="337" spans="2:27" x14ac:dyDescent="0.25">
      <c r="B337" s="9"/>
      <c r="C337" s="9"/>
      <c r="D337" s="7"/>
      <c r="E337" s="7"/>
      <c r="F337" s="9"/>
      <c r="G337" s="7"/>
      <c r="I337" s="7"/>
      <c r="J337" s="7"/>
      <c r="K337" s="23"/>
      <c r="L337" s="8"/>
      <c r="M337" s="7"/>
      <c r="N337" s="7"/>
      <c r="O337" s="7"/>
      <c r="P337" s="7"/>
      <c r="Q337" s="9"/>
      <c r="S337" s="7"/>
      <c r="T337" s="7"/>
      <c r="U337" s="7"/>
      <c r="V337" s="7"/>
      <c r="W337" s="7"/>
      <c r="X337" s="7"/>
      <c r="Y337" s="7"/>
      <c r="Z337" s="7"/>
      <c r="AA337" s="7"/>
    </row>
    <row r="338" spans="2:27" x14ac:dyDescent="0.25">
      <c r="B338" s="9"/>
      <c r="C338" s="9"/>
      <c r="D338" s="7"/>
      <c r="E338" s="7"/>
      <c r="F338" s="9"/>
      <c r="G338" s="7"/>
      <c r="I338" s="7"/>
      <c r="J338" s="7"/>
      <c r="K338" s="23"/>
      <c r="L338" s="8"/>
      <c r="M338" s="7"/>
      <c r="N338" s="7"/>
      <c r="O338" s="7"/>
      <c r="P338" s="7"/>
      <c r="Q338" s="9"/>
      <c r="S338" s="7"/>
      <c r="T338" s="7"/>
      <c r="U338" s="7"/>
      <c r="V338" s="7"/>
      <c r="W338" s="7"/>
      <c r="X338" s="7"/>
      <c r="Y338" s="7"/>
      <c r="Z338" s="7"/>
      <c r="AA338" s="7"/>
    </row>
    <row r="339" spans="2:27" x14ac:dyDescent="0.25">
      <c r="B339" s="9"/>
      <c r="C339" s="9"/>
      <c r="D339" s="7"/>
      <c r="E339" s="7"/>
      <c r="F339" s="9"/>
      <c r="G339" s="7"/>
      <c r="I339" s="7"/>
      <c r="J339" s="7"/>
      <c r="K339" s="23"/>
      <c r="L339" s="8"/>
      <c r="M339" s="7"/>
      <c r="N339" s="7"/>
      <c r="O339" s="7"/>
      <c r="P339" s="7"/>
      <c r="Q339" s="9"/>
      <c r="S339" s="7"/>
      <c r="T339" s="7"/>
      <c r="U339" s="7"/>
      <c r="V339" s="7"/>
      <c r="W339" s="7"/>
      <c r="X339" s="7"/>
      <c r="Y339" s="7"/>
      <c r="Z339" s="7"/>
      <c r="AA339" s="7"/>
    </row>
    <row r="340" spans="2:27" x14ac:dyDescent="0.25">
      <c r="B340" s="9"/>
      <c r="C340" s="9"/>
      <c r="D340" s="7"/>
      <c r="E340" s="7"/>
      <c r="F340" s="9"/>
      <c r="G340" s="7"/>
      <c r="I340" s="7"/>
      <c r="J340" s="7"/>
      <c r="K340" s="23"/>
      <c r="L340" s="8"/>
      <c r="M340" s="7"/>
      <c r="N340" s="7"/>
      <c r="O340" s="7"/>
      <c r="P340" s="7"/>
      <c r="Q340" s="9"/>
      <c r="S340" s="7"/>
      <c r="T340" s="7"/>
      <c r="U340" s="7"/>
      <c r="V340" s="7"/>
      <c r="W340" s="7"/>
      <c r="X340" s="7"/>
      <c r="Y340" s="7"/>
      <c r="Z340" s="7"/>
      <c r="AA340" s="7"/>
    </row>
    <row r="341" spans="2:27" x14ac:dyDescent="0.25">
      <c r="B341" s="9"/>
      <c r="C341" s="9"/>
      <c r="D341" s="7"/>
      <c r="E341" s="7"/>
      <c r="F341" s="9"/>
      <c r="G341" s="7"/>
      <c r="I341" s="7"/>
      <c r="J341" s="7"/>
      <c r="K341" s="23"/>
      <c r="L341" s="8"/>
      <c r="M341" s="7"/>
      <c r="N341" s="7"/>
      <c r="O341" s="7"/>
      <c r="P341" s="7"/>
      <c r="Q341" s="9"/>
      <c r="S341" s="7"/>
      <c r="T341" s="7"/>
      <c r="U341" s="7"/>
      <c r="V341" s="7"/>
      <c r="W341" s="7"/>
      <c r="X341" s="7"/>
      <c r="Y341" s="7"/>
      <c r="Z341" s="7"/>
      <c r="AA341" s="7"/>
    </row>
    <row r="342" spans="2:27" x14ac:dyDescent="0.25">
      <c r="B342" s="9"/>
      <c r="C342" s="9"/>
      <c r="D342" s="7"/>
      <c r="E342" s="7"/>
      <c r="F342" s="9"/>
      <c r="G342" s="7"/>
      <c r="I342" s="7"/>
      <c r="J342" s="7"/>
      <c r="K342" s="23"/>
      <c r="L342" s="8"/>
      <c r="M342" s="7"/>
      <c r="N342" s="7"/>
      <c r="O342" s="7"/>
      <c r="P342" s="7"/>
      <c r="Q342" s="9"/>
      <c r="S342" s="7"/>
      <c r="T342" s="7"/>
      <c r="U342" s="7"/>
      <c r="V342" s="7"/>
      <c r="W342" s="7"/>
      <c r="X342" s="7"/>
      <c r="Y342" s="7"/>
      <c r="Z342" s="7"/>
      <c r="AA342" s="7"/>
    </row>
    <row r="343" spans="2:27" x14ac:dyDescent="0.25">
      <c r="B343" s="9"/>
      <c r="C343" s="9"/>
      <c r="D343" s="7"/>
      <c r="E343" s="7"/>
      <c r="F343" s="9"/>
      <c r="G343" s="7"/>
      <c r="I343" s="7"/>
      <c r="J343" s="7"/>
      <c r="K343" s="23"/>
      <c r="L343" s="8"/>
      <c r="M343" s="7"/>
      <c r="N343" s="7"/>
      <c r="O343" s="7"/>
      <c r="P343" s="7"/>
      <c r="Q343" s="9"/>
      <c r="S343" s="7"/>
      <c r="T343" s="7"/>
      <c r="U343" s="7"/>
      <c r="V343" s="7"/>
      <c r="W343" s="7"/>
      <c r="X343" s="7"/>
      <c r="Y343" s="7"/>
      <c r="Z343" s="7"/>
      <c r="AA343" s="7"/>
    </row>
    <row r="344" spans="2:27" x14ac:dyDescent="0.25">
      <c r="B344" s="9"/>
      <c r="C344" s="9"/>
      <c r="D344" s="7"/>
      <c r="E344" s="7"/>
      <c r="F344" s="9"/>
      <c r="G344" s="7"/>
      <c r="I344" s="7"/>
      <c r="J344" s="7"/>
      <c r="K344" s="23"/>
      <c r="L344" s="8"/>
      <c r="M344" s="7"/>
      <c r="N344" s="7"/>
      <c r="O344" s="7"/>
      <c r="P344" s="7"/>
      <c r="Q344" s="9"/>
      <c r="S344" s="7"/>
      <c r="T344" s="7"/>
      <c r="U344" s="7"/>
      <c r="V344" s="7"/>
      <c r="W344" s="7"/>
      <c r="X344" s="7"/>
      <c r="Y344" s="7"/>
      <c r="Z344" s="7"/>
      <c r="AA344" s="7"/>
    </row>
    <row r="345" spans="2:27" x14ac:dyDescent="0.25">
      <c r="B345" s="9"/>
      <c r="C345" s="9"/>
      <c r="D345" s="7"/>
      <c r="E345" s="7"/>
      <c r="F345" s="9"/>
      <c r="G345" s="7"/>
      <c r="I345" s="7"/>
      <c r="J345" s="7"/>
      <c r="K345" s="23"/>
      <c r="L345" s="8"/>
      <c r="M345" s="7"/>
      <c r="N345" s="7"/>
      <c r="O345" s="7"/>
      <c r="P345" s="7"/>
      <c r="Q345" s="9"/>
      <c r="S345" s="7"/>
      <c r="T345" s="7"/>
      <c r="U345" s="7"/>
      <c r="V345" s="7"/>
      <c r="W345" s="7"/>
      <c r="X345" s="7"/>
      <c r="Y345" s="7"/>
      <c r="Z345" s="7"/>
      <c r="AA345" s="7"/>
    </row>
    <row r="346" spans="2:27" x14ac:dyDescent="0.25">
      <c r="B346" s="9"/>
      <c r="C346" s="9"/>
      <c r="D346" s="7"/>
      <c r="E346" s="7"/>
      <c r="F346" s="9"/>
      <c r="G346" s="7"/>
      <c r="I346" s="7"/>
      <c r="J346" s="7"/>
      <c r="K346" s="23"/>
      <c r="L346" s="8"/>
      <c r="M346" s="7"/>
      <c r="N346" s="7"/>
      <c r="O346" s="7"/>
      <c r="P346" s="7"/>
      <c r="Q346" s="9"/>
      <c r="S346" s="7"/>
      <c r="T346" s="7"/>
      <c r="U346" s="7"/>
      <c r="V346" s="7"/>
      <c r="W346" s="7"/>
      <c r="X346" s="7"/>
      <c r="Y346" s="7"/>
      <c r="Z346" s="7"/>
      <c r="AA346" s="7"/>
    </row>
    <row r="347" spans="2:27" x14ac:dyDescent="0.25">
      <c r="B347" s="9"/>
      <c r="C347" s="9"/>
      <c r="D347" s="7"/>
      <c r="E347" s="7"/>
      <c r="F347" s="9"/>
      <c r="G347" s="7"/>
      <c r="I347" s="7"/>
      <c r="J347" s="7"/>
      <c r="K347" s="23"/>
      <c r="L347" s="8"/>
      <c r="M347" s="7"/>
      <c r="N347" s="7"/>
      <c r="O347" s="7"/>
      <c r="P347" s="7"/>
      <c r="Q347" s="9"/>
      <c r="S347" s="7"/>
      <c r="T347" s="7"/>
      <c r="U347" s="7"/>
      <c r="V347" s="7"/>
      <c r="W347" s="7"/>
      <c r="X347" s="7"/>
      <c r="Y347" s="7"/>
      <c r="Z347" s="7"/>
      <c r="AA347" s="7"/>
    </row>
    <row r="348" spans="2:27" x14ac:dyDescent="0.25">
      <c r="B348" s="9"/>
      <c r="C348" s="9"/>
      <c r="D348" s="7"/>
      <c r="E348" s="7"/>
      <c r="F348" s="9"/>
      <c r="G348" s="7"/>
      <c r="I348" s="7"/>
      <c r="J348" s="7"/>
      <c r="K348" s="23"/>
      <c r="L348" s="8"/>
      <c r="M348" s="7"/>
      <c r="N348" s="7"/>
      <c r="O348" s="7"/>
      <c r="P348" s="7"/>
      <c r="Q348" s="9"/>
      <c r="S348" s="7"/>
      <c r="T348" s="7"/>
      <c r="U348" s="7"/>
      <c r="V348" s="7"/>
      <c r="W348" s="7"/>
      <c r="X348" s="7"/>
      <c r="Y348" s="7"/>
      <c r="Z348" s="7"/>
      <c r="AA348" s="7"/>
    </row>
    <row r="349" spans="2:27" x14ac:dyDescent="0.25">
      <c r="B349" s="9"/>
      <c r="C349" s="9"/>
      <c r="D349" s="7"/>
      <c r="E349" s="7"/>
      <c r="F349" s="9"/>
      <c r="G349" s="7"/>
      <c r="I349" s="7"/>
      <c r="J349" s="7"/>
      <c r="K349" s="23"/>
      <c r="L349" s="8"/>
      <c r="M349" s="7"/>
      <c r="N349" s="7"/>
      <c r="O349" s="7"/>
      <c r="P349" s="7"/>
      <c r="Q349" s="9"/>
      <c r="S349" s="7"/>
      <c r="T349" s="7"/>
      <c r="U349" s="7"/>
      <c r="V349" s="7"/>
      <c r="W349" s="7"/>
      <c r="X349" s="7"/>
      <c r="Y349" s="7"/>
      <c r="Z349" s="7"/>
      <c r="AA349" s="7"/>
    </row>
    <row r="350" spans="2:27" x14ac:dyDescent="0.25">
      <c r="B350" s="9"/>
      <c r="C350" s="9"/>
      <c r="D350" s="7"/>
      <c r="E350" s="7"/>
      <c r="F350" s="9"/>
      <c r="G350" s="7"/>
      <c r="I350" s="7"/>
      <c r="J350" s="7"/>
      <c r="K350" s="23"/>
      <c r="L350" s="8"/>
      <c r="M350" s="7"/>
      <c r="N350" s="7"/>
      <c r="O350" s="7"/>
      <c r="P350" s="7"/>
      <c r="Q350" s="9"/>
      <c r="S350" s="7"/>
      <c r="T350" s="7"/>
      <c r="U350" s="7"/>
      <c r="V350" s="7"/>
      <c r="W350" s="7"/>
      <c r="X350" s="7"/>
      <c r="Y350" s="7"/>
      <c r="Z350" s="7"/>
      <c r="AA350" s="7"/>
    </row>
    <row r="351" spans="2:27" x14ac:dyDescent="0.25">
      <c r="B351" s="9"/>
      <c r="C351" s="9"/>
      <c r="D351" s="7"/>
      <c r="E351" s="7"/>
      <c r="F351" s="9"/>
      <c r="G351" s="7"/>
      <c r="I351" s="7"/>
      <c r="J351" s="7"/>
      <c r="K351" s="23"/>
      <c r="L351" s="8"/>
      <c r="M351" s="7"/>
      <c r="N351" s="7"/>
      <c r="O351" s="7"/>
      <c r="P351" s="7"/>
      <c r="Q351" s="9"/>
      <c r="S351" s="7"/>
      <c r="T351" s="7"/>
      <c r="U351" s="7"/>
      <c r="V351" s="7"/>
      <c r="W351" s="7"/>
      <c r="X351" s="7"/>
      <c r="Y351" s="7"/>
      <c r="Z351" s="7"/>
      <c r="AA351" s="7"/>
    </row>
    <row r="352" spans="2:27" x14ac:dyDescent="0.25">
      <c r="B352" s="9"/>
      <c r="C352" s="9"/>
      <c r="D352" s="7"/>
      <c r="E352" s="7"/>
      <c r="F352" s="9"/>
      <c r="G352" s="7"/>
      <c r="I352" s="7"/>
      <c r="J352" s="7"/>
      <c r="K352" s="23"/>
      <c r="L352" s="8"/>
      <c r="M352" s="7"/>
      <c r="N352" s="7"/>
      <c r="O352" s="7"/>
      <c r="P352" s="7"/>
      <c r="Q352" s="9"/>
      <c r="S352" s="7"/>
      <c r="T352" s="7"/>
      <c r="U352" s="7"/>
      <c r="V352" s="7"/>
      <c r="W352" s="7"/>
      <c r="X352" s="7"/>
      <c r="Y352" s="7"/>
      <c r="Z352" s="7"/>
      <c r="AA352" s="7"/>
    </row>
    <row r="353" spans="2:27" x14ac:dyDescent="0.25">
      <c r="B353" s="9"/>
      <c r="C353" s="9"/>
      <c r="D353" s="7"/>
      <c r="E353" s="7"/>
      <c r="F353" s="9"/>
      <c r="G353" s="7"/>
      <c r="I353" s="7"/>
      <c r="J353" s="7"/>
      <c r="K353" s="23"/>
      <c r="L353" s="8"/>
      <c r="M353" s="7"/>
      <c r="N353" s="7"/>
      <c r="O353" s="7"/>
      <c r="P353" s="7"/>
      <c r="Q353" s="9"/>
      <c r="S353" s="7"/>
      <c r="T353" s="7"/>
      <c r="U353" s="7"/>
      <c r="V353" s="7"/>
      <c r="W353" s="7"/>
      <c r="X353" s="7"/>
      <c r="Y353" s="7"/>
      <c r="Z353" s="7"/>
      <c r="AA353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96B2D-5FAB-4DAF-AADF-0651BFC8C3D4}">
  <dimension ref="A1:W353"/>
  <sheetViews>
    <sheetView workbookViewId="0"/>
  </sheetViews>
  <sheetFormatPr defaultRowHeight="15" x14ac:dyDescent="0.25"/>
  <cols>
    <col min="2" max="2" width="11.140625" bestFit="1" customWidth="1"/>
    <col min="3" max="7" width="9.28515625" bestFit="1" customWidth="1"/>
    <col min="8" max="8" width="9.28515625" style="7" bestFit="1" customWidth="1"/>
    <col min="9" max="9" width="10.28515625" bestFit="1" customWidth="1"/>
    <col min="10" max="10" width="12.28515625" bestFit="1" customWidth="1"/>
    <col min="11" max="11" width="9.28515625" bestFit="1" customWidth="1"/>
    <col min="12" max="12" width="9.28515625" customWidth="1"/>
    <col min="13" max="13" width="9.28515625" style="23" customWidth="1"/>
    <col min="14" max="15" width="9.28515625" bestFit="1" customWidth="1"/>
    <col min="16" max="16" width="10.140625" bestFit="1" customWidth="1"/>
    <col min="17" max="17" width="9.28515625" bestFit="1" customWidth="1"/>
    <col min="18" max="18" width="10" bestFit="1" customWidth="1"/>
    <col min="19" max="19" width="13.28515625" customWidth="1"/>
    <col min="20" max="20" width="9.28515625" bestFit="1" customWidth="1"/>
    <col min="21" max="21" width="11.140625" bestFit="1" customWidth="1"/>
    <col min="22" max="22" width="9.28515625" bestFit="1" customWidth="1"/>
  </cols>
  <sheetData>
    <row r="1" spans="1:23" x14ac:dyDescent="0.25">
      <c r="A1" s="1" t="s">
        <v>202</v>
      </c>
      <c r="M1"/>
    </row>
    <row r="2" spans="1:23" s="2" customFormat="1" x14ac:dyDescent="0.25">
      <c r="B2" s="14"/>
      <c r="C2" s="14"/>
      <c r="D2" s="14"/>
      <c r="E2" s="27">
        <f>0.065*E4</f>
        <v>5.1404274999999999E-2</v>
      </c>
      <c r="F2" s="27">
        <f t="shared" ref="F2:G2" si="0">0.065*F4</f>
        <v>9.9151000000000013E-3</v>
      </c>
      <c r="G2" s="27">
        <f t="shared" si="0"/>
        <v>0.28275</v>
      </c>
      <c r="H2" s="15"/>
    </row>
    <row r="3" spans="1:23" x14ac:dyDescent="0.25">
      <c r="A3" t="s">
        <v>6</v>
      </c>
      <c r="B3" t="s">
        <v>164</v>
      </c>
      <c r="C3" t="s">
        <v>165</v>
      </c>
      <c r="D3" t="s">
        <v>166</v>
      </c>
      <c r="E3" t="s">
        <v>167</v>
      </c>
      <c r="F3" t="s">
        <v>168</v>
      </c>
      <c r="G3" t="s">
        <v>169</v>
      </c>
      <c r="H3" t="s">
        <v>170</v>
      </c>
      <c r="I3" t="s">
        <v>171</v>
      </c>
      <c r="J3" t="s">
        <v>172</v>
      </c>
      <c r="K3" s="67" t="s">
        <v>176</v>
      </c>
      <c r="L3" s="67" t="s">
        <v>181</v>
      </c>
      <c r="M3" s="67" t="s">
        <v>182</v>
      </c>
      <c r="N3" t="s">
        <v>183</v>
      </c>
      <c r="O3" t="s">
        <v>184</v>
      </c>
      <c r="P3" t="s">
        <v>185</v>
      </c>
      <c r="Q3" s="67" t="s">
        <v>186</v>
      </c>
      <c r="R3" t="s">
        <v>187</v>
      </c>
      <c r="S3" t="s">
        <v>188</v>
      </c>
      <c r="T3" t="s">
        <v>20</v>
      </c>
      <c r="U3" t="s">
        <v>21</v>
      </c>
      <c r="V3" t="s">
        <v>24</v>
      </c>
      <c r="W3" t="s">
        <v>196</v>
      </c>
    </row>
    <row r="4" spans="1:23" x14ac:dyDescent="0.25">
      <c r="A4">
        <v>0</v>
      </c>
      <c r="B4" s="19">
        <v>5.1922619820570996E-2</v>
      </c>
      <c r="C4" s="45">
        <v>1.0018486720692412E-2</v>
      </c>
      <c r="D4" s="18">
        <v>0.29598808476524485</v>
      </c>
      <c r="E4" s="7">
        <f>Parameters!B25</f>
        <v>0.79083499999999995</v>
      </c>
      <c r="F4" s="9">
        <f>Parameters!B26</f>
        <v>0.15254000000000001</v>
      </c>
      <c r="G4" s="29">
        <f>Parameters!B27</f>
        <v>4.3499999999999996</v>
      </c>
      <c r="H4" s="7">
        <v>0</v>
      </c>
      <c r="I4" s="7">
        <f>Parameters!B28</f>
        <v>8.16</v>
      </c>
      <c r="J4" s="7">
        <f>Parameters!B29</f>
        <v>9.0525878509486422</v>
      </c>
      <c r="K4" s="7">
        <f>'6states'!$O$4</f>
        <v>0.98104277196026479</v>
      </c>
      <c r="L4" s="9">
        <f>1-1/Parameters!$B$12</f>
        <v>0.5</v>
      </c>
      <c r="M4" s="23">
        <f>1/(1-L4)</f>
        <v>2</v>
      </c>
      <c r="N4" s="7">
        <f>(Parameters!$B$19*(E4+Parameters!$B$20)^L4+Parameters!$B$18*F4^L4)^(1/L4)</f>
        <v>0.55006250755068387</v>
      </c>
      <c r="O4" s="7">
        <f>(Parameters!$B$10*G4^Parameters!$B$9 + Parameters!$B$11*N4^Parameters!$B$9) ^ (Parameters!$B$7/Parameters!$B$9) * K4</f>
        <v>1.5023869881199998</v>
      </c>
      <c r="P4" s="7">
        <f t="shared" ref="P4:P67" si="1">O4-B4-C4-D4</f>
        <v>1.1444577968134917</v>
      </c>
      <c r="Q4" s="7">
        <f>EXP(-Parameters!$B$55*A4)</f>
        <v>1</v>
      </c>
      <c r="R4" s="7">
        <f>IF(P4&gt;0,P4^(1-Parameters!$B$52)/(1-Parameters!$B$52)*Q4,-10+P4*1000)</f>
        <v>-2.725348418021428</v>
      </c>
      <c r="S4" s="28">
        <f>SUM(R4:R353)*Parameters!$B$65</f>
        <v>-181.79674725238144</v>
      </c>
      <c r="T4" s="7"/>
      <c r="U4" s="7"/>
      <c r="V4" s="7"/>
      <c r="W4" s="13">
        <f t="shared" ref="W4:W35" si="2">(B4+C4+D4)/O4</f>
        <v>0.23824034295877397</v>
      </c>
    </row>
    <row r="5" spans="1:23" x14ac:dyDescent="0.25">
      <c r="A5">
        <f>A4+Parameters!$B$65</f>
        <v>1</v>
      </c>
      <c r="B5" s="19">
        <v>5.192267232746807E-2</v>
      </c>
      <c r="C5" s="45">
        <v>1.0018479514771424E-2</v>
      </c>
      <c r="D5" s="18">
        <v>0.29598863091971178</v>
      </c>
      <c r="E5" s="7">
        <f>MAX((1-Parameters!$B$4)^Parameters!B$65*E4+B4*Parameters!B$65-Parameters!$B$5*B4^2/E4*Parameters!B$65,0.0001)</f>
        <v>0.78960509587501471</v>
      </c>
      <c r="F5" s="9">
        <f>MAX((1-Parameters!$B$4)^Parameters!B$65*F4+C4*Parameters!B$65-Parameters!$B$5*C4^2/F4*Parameters!B$65,0.0001)</f>
        <v>0.15230572887479829</v>
      </c>
      <c r="G5" s="7">
        <f>MAX((1-Parameters!$B$4)^Parameters!B$65*G4+D4*Parameters!B$65-Parameters!$B$5*D4^2/G4*Parameters!B$65,0.0001)</f>
        <v>4.3522330971047856</v>
      </c>
      <c r="H5" s="7">
        <f>H4 *(1-Parameters!$B$4)-B4*(B4&lt;0)*Parameters!B$65</f>
        <v>0</v>
      </c>
      <c r="I5" s="7">
        <f>I4*(1+Parameters!$B$51)^Parameters!B$65</f>
        <v>8.1836639999999985</v>
      </c>
      <c r="J5" s="7">
        <f>J4*(1+Parameters!$B$53)^Parameters!B$65</f>
        <v>9.233639607967616</v>
      </c>
      <c r="K5" s="7">
        <f>'6states'!$O$4</f>
        <v>0.98104277196026479</v>
      </c>
      <c r="L5" s="9">
        <f>L4</f>
        <v>0.5</v>
      </c>
      <c r="M5" s="23">
        <f t="shared" ref="M5:M65" si="3">1/(1-L5)</f>
        <v>2</v>
      </c>
      <c r="N5" s="7">
        <f>(Parameters!$B$19*(E5+Parameters!$B$20)^L5+Parameters!$B$18*F5^L5)^(1/L5)</f>
        <v>0.54921773198009338</v>
      </c>
      <c r="O5" s="7">
        <f>(Parameters!$B$10*G5^Parameters!$B$9 + Parameters!$B$11*N5^Parameters!$B$9) ^ (Parameters!$B$7/Parameters!$B$9) * K5</f>
        <v>1.5024516335947995</v>
      </c>
      <c r="P5" s="7">
        <f t="shared" si="1"/>
        <v>1.1445218508328481</v>
      </c>
      <c r="Q5" s="7">
        <f>EXP(-Parameters!$B$55*A5)</f>
        <v>0.98501343333449787</v>
      </c>
      <c r="R5" s="7">
        <f>IF(P5&gt;0,P5^(1-Parameters!$B$52)/(1-Parameters!$B$52)*Q5,-10+P5*1000)</f>
        <v>-2.684452217201557</v>
      </c>
      <c r="S5" s="7"/>
      <c r="T5" s="9">
        <f t="shared" ref="T5:T18" si="4">SUM(B4:B6)/3</f>
        <v>5.1922665876039491E-2</v>
      </c>
      <c r="U5" s="9">
        <f t="shared" ref="U5:U18" si="5">SUM(C4:C6)/3</f>
        <v>1.0018491950855409E-2</v>
      </c>
      <c r="V5" s="7">
        <f t="shared" ref="V5:V18" si="6">SUM(D4:D6)/3</f>
        <v>0.29598860718670766</v>
      </c>
      <c r="W5" s="13">
        <f t="shared" si="2"/>
        <v>0.23823048593288851</v>
      </c>
    </row>
    <row r="6" spans="1:23" x14ac:dyDescent="0.25">
      <c r="A6">
        <f>A5+Parameters!$B$65</f>
        <v>2</v>
      </c>
      <c r="B6" s="19">
        <v>5.1922705480079406E-2</v>
      </c>
      <c r="C6" s="45">
        <v>1.0018509617102392E-2</v>
      </c>
      <c r="D6" s="18">
        <v>0.29598910587516619</v>
      </c>
      <c r="E6" s="7">
        <f>MAX((1-Parameters!$B$4)^Parameters!B$65*E5+B5*Parameters!B$65-Parameters!$B$5*B5^2/E5*Parameters!B$65,0.0001)</f>
        <v>0.78844728839296596</v>
      </c>
      <c r="F6" s="9">
        <f>MAX((1-Parameters!$B$4)^Parameters!B$65*F5+C5*Parameters!B$65-Parameters!$B$5*C5^2/F5*Parameters!B$65,0.0001)</f>
        <v>0.15208517504635058</v>
      </c>
      <c r="G6" s="7">
        <f>MAX((1-Parameters!$B$4)^Parameters!B$65*G5+D5*Parameters!B$65-Parameters!$B$5*D5^2/G5*Parameters!B$65,0.0001)</f>
        <v>4.3543365379417107</v>
      </c>
      <c r="H6" s="7">
        <f>H5 *(1-Parameters!$B$4)-B5*(B5&lt;0)*Parameters!B$65</f>
        <v>0</v>
      </c>
      <c r="I6" s="7">
        <f>I5*(1+Parameters!$B$51)^Parameters!B$65</f>
        <v>8.2073966255999977</v>
      </c>
      <c r="J6" s="7">
        <f>J5*(1+Parameters!$B$53)^Parameters!B$65</f>
        <v>9.4183124001269682</v>
      </c>
      <c r="K6" s="7">
        <f>'6states'!$O$4</f>
        <v>0.98104277196026479</v>
      </c>
      <c r="L6" s="9">
        <f t="shared" ref="L6:L69" si="7">L5</f>
        <v>0.5</v>
      </c>
      <c r="M6" s="23">
        <f t="shared" si="3"/>
        <v>2</v>
      </c>
      <c r="N6" s="7">
        <f>(Parameters!$B$19*(E6+Parameters!$B$20)^L6+Parameters!$B$18*F6^L6)^(1/L6)</f>
        <v>0.54842246791426108</v>
      </c>
      <c r="O6" s="7">
        <f>(Parameters!$B$10*G6^Parameters!$B$9 + Parameters!$B$11*N6^Parameters!$B$9) ^ (Parameters!$B$7/Parameters!$B$9) * K6</f>
        <v>1.5025113038130098</v>
      </c>
      <c r="P6" s="7">
        <f t="shared" si="1"/>
        <v>1.1445809828406617</v>
      </c>
      <c r="Q6" s="7">
        <f>EXP(-Parameters!$B$55*A6)</f>
        <v>0.9702514638494153</v>
      </c>
      <c r="R6" s="7">
        <f>IF(P6&gt;0,P6^(1-Parameters!$B$52)/(1-Parameters!$B$52)*Q6,-10+P6*1000)</f>
        <v>-2.644173681727727</v>
      </c>
      <c r="S6" s="7"/>
      <c r="T6" s="9">
        <f t="shared" si="4"/>
        <v>5.1922716939889098E-2</v>
      </c>
      <c r="U6" s="9">
        <f t="shared" si="5"/>
        <v>1.0018498905945554E-2</v>
      </c>
      <c r="V6" s="7">
        <f t="shared" si="6"/>
        <v>0.29598908931960893</v>
      </c>
      <c r="W6" s="13">
        <f t="shared" si="2"/>
        <v>0.23822138313635813</v>
      </c>
    </row>
    <row r="7" spans="1:23" x14ac:dyDescent="0.25">
      <c r="A7">
        <f>A6+Parameters!$B$65</f>
        <v>3</v>
      </c>
      <c r="B7" s="19">
        <v>5.1922773012119831E-2</v>
      </c>
      <c r="C7" s="45">
        <v>1.0018507585962845E-2</v>
      </c>
      <c r="D7" s="18">
        <v>0.29598953116394894</v>
      </c>
      <c r="E7" s="7">
        <f>MAX((1-Parameters!$B$4)^Parameters!B$65*E6+B6*Parameters!B$65-Parameters!$B$5*B6^2/E6*Parameters!B$65,0.0001)</f>
        <v>0.78735732197828534</v>
      </c>
      <c r="F7" s="9">
        <f>MAX((1-Parameters!$B$4)^Parameters!B$65*F6+C6*Parameters!B$65-Parameters!$B$5*C6^2/F6*Parameters!B$65,0.0001)</f>
        <v>0.15187756450436132</v>
      </c>
      <c r="G7" s="7">
        <f>MAX((1-Parameters!$B$4)^Parameters!B$65*G6+D6*Parameters!B$65-Parameters!$B$5*D6^2/G6*Parameters!B$65,0.0001)</f>
        <v>4.3563178067631103</v>
      </c>
      <c r="H7" s="7">
        <f>H6 *(1-Parameters!$B$4)-B6*(B6&lt;0)*Parameters!B$65</f>
        <v>0</v>
      </c>
      <c r="I7" s="7">
        <f>I6*(1+Parameters!$B$51)^Parameters!B$65</f>
        <v>8.2311980758142376</v>
      </c>
      <c r="J7" s="7">
        <f>J6*(1+Parameters!$B$53)^Parameters!B$65</f>
        <v>9.6066786481295079</v>
      </c>
      <c r="K7" s="7">
        <f>'6states'!$O$4</f>
        <v>0.98104277196026479</v>
      </c>
      <c r="L7" s="9">
        <f t="shared" si="7"/>
        <v>0.5</v>
      </c>
      <c r="M7" s="23">
        <f t="shared" si="3"/>
        <v>2</v>
      </c>
      <c r="N7" s="7">
        <f>(Parameters!$B$19*(E7+Parameters!$B$20)^L7+Parameters!$B$18*F7^L7)^(1/L7)</f>
        <v>0.54767381346608934</v>
      </c>
      <c r="O7" s="7">
        <f>(Parameters!$B$10*G7^Parameters!$B$9 + Parameters!$B$11*N7^Parameters!$B$9) ^ (Parameters!$B$7/Parameters!$B$9) * K7</f>
        <v>1.5025664192412249</v>
      </c>
      <c r="P7" s="7">
        <f t="shared" si="1"/>
        <v>1.1446356074791932</v>
      </c>
      <c r="Q7" s="7">
        <f>EXP(-Parameters!$B$55*A7)</f>
        <v>0.95571072560413495</v>
      </c>
      <c r="R7" s="7">
        <f>IF(P7&gt;0,P7^(1-Parameters!$B$52)/(1-Parameters!$B$52)*Q7,-10+P7*1000)</f>
        <v>-2.6045030926669268</v>
      </c>
      <c r="S7" s="7"/>
      <c r="T7" s="9">
        <f t="shared" si="4"/>
        <v>5.1922764764223667E-2</v>
      </c>
      <c r="U7" s="9">
        <f t="shared" si="5"/>
        <v>1.0018508686028526E-2</v>
      </c>
      <c r="V7" s="7">
        <f t="shared" si="6"/>
        <v>0.29598951332597273</v>
      </c>
      <c r="W7" s="13">
        <f t="shared" si="2"/>
        <v>0.23821297160546268</v>
      </c>
    </row>
    <row r="8" spans="1:23" x14ac:dyDescent="0.25">
      <c r="A8">
        <f>A7+Parameters!$B$65</f>
        <v>4</v>
      </c>
      <c r="B8" s="19">
        <v>5.1922815800471755E-2</v>
      </c>
      <c r="C8" s="45">
        <v>1.001850885502034E-2</v>
      </c>
      <c r="D8" s="18">
        <v>0.29598990293880317</v>
      </c>
      <c r="E8" s="7">
        <f>MAX((1-Parameters!$B$4)^Parameters!B$65*E7+B7*Parameters!B$65-Parameters!$B$5*B7^2/E7*Parameters!B$65,0.0001)</f>
        <v>0.78633123956722784</v>
      </c>
      <c r="F8" s="9">
        <f>MAX((1-Parameters!$B$4)^Parameters!B$65*F7+C7*Parameters!B$65-Parameters!$B$5*C7^2/F7*Parameters!B$65,0.0001)</f>
        <v>0.15168210875980614</v>
      </c>
      <c r="G8" s="7">
        <f>MAX((1-Parameters!$B$4)^Parameters!B$65*G7+D7*Parameters!B$65-Parameters!$B$5*D7^2/G7*Parameters!B$65,0.0001)</f>
        <v>4.3581839719508766</v>
      </c>
      <c r="H8" s="7">
        <f>H7 *(1-Parameters!$B$4)-B7*(B7&lt;0)*Parameters!B$65</f>
        <v>0</v>
      </c>
      <c r="I8" s="7">
        <f>I7*(1+Parameters!$B$51)^Parameters!B$65</f>
        <v>8.2550685502340979</v>
      </c>
      <c r="J8" s="7">
        <f>J7*(1+Parameters!$B$53)^Parameters!B$65</f>
        <v>9.7988122210920974</v>
      </c>
      <c r="K8" s="7">
        <f>'6states'!$O$4</f>
        <v>0.98104277196026479</v>
      </c>
      <c r="L8" s="9">
        <f t="shared" si="7"/>
        <v>0.5</v>
      </c>
      <c r="M8" s="23">
        <f t="shared" si="3"/>
        <v>2</v>
      </c>
      <c r="N8" s="7">
        <f>(Parameters!$B$19*(E8+Parameters!$B$20)^L8+Parameters!$B$18*F8^L8)^(1/L8)</f>
        <v>0.54696903062518676</v>
      </c>
      <c r="O8" s="7">
        <f>(Parameters!$B$10*G8^Parameters!$B$9 + Parameters!$B$11*N8^Parameters!$B$9) ^ (Parameters!$B$7/Parameters!$B$9) * K8</f>
        <v>1.5026173622174914</v>
      </c>
      <c r="P8" s="7">
        <f t="shared" si="1"/>
        <v>1.144686134623196</v>
      </c>
      <c r="Q8" s="7">
        <f>EXP(-Parameters!$B$55*A8)</f>
        <v>0.94138790310193321</v>
      </c>
      <c r="R8" s="7">
        <f>IF(P8&gt;0,P8^(1-Parameters!$B$52)/(1-Parameters!$B$52)*Q8,-10+P8*1000)</f>
        <v>-2.5654308983677567</v>
      </c>
      <c r="S8" s="7"/>
      <c r="T8" s="9">
        <f t="shared" si="4"/>
        <v>5.1922814930043602E-2</v>
      </c>
      <c r="U8" s="9">
        <f t="shared" si="5"/>
        <v>1.0018513497741389E-2</v>
      </c>
      <c r="V8" s="7">
        <f t="shared" si="6"/>
        <v>0.29598988215108857</v>
      </c>
      <c r="W8" s="13">
        <f t="shared" si="2"/>
        <v>0.23820517225095642</v>
      </c>
    </row>
    <row r="9" spans="1:23" x14ac:dyDescent="0.25">
      <c r="A9">
        <f>A8+Parameters!$B$65</f>
        <v>5</v>
      </c>
      <c r="B9" s="19">
        <v>5.192285597753922E-2</v>
      </c>
      <c r="C9" s="45">
        <v>1.0018524052240982E-2</v>
      </c>
      <c r="D9" s="18">
        <v>0.29599021235051359</v>
      </c>
      <c r="E9" s="7">
        <f>MAX((1-Parameters!$B$4)^Parameters!B$65*E8+B8*Parameters!B$65-Parameters!$B$5*B8^2/E8*Parameters!B$65,0.0001)</f>
        <v>0.78536526680090613</v>
      </c>
      <c r="F9" s="9">
        <f>MAX((1-Parameters!$B$4)^Parameters!B$65*F8+C8*Parameters!B$65-Parameters!$B$5*C8^2/F8*Parameters!B$65,0.0001)</f>
        <v>0.15149809670090852</v>
      </c>
      <c r="G9" s="7">
        <f>MAX((1-Parameters!$B$4)^Parameters!B$65*G8+D8*Parameters!B$65-Parameters!$B$5*D8^2/G8*Parameters!B$65,0.0001)</f>
        <v>4.3599416881018751</v>
      </c>
      <c r="H9" s="7">
        <f>H8 *(1-Parameters!$B$4)-B8*(B8&lt;0)*Parameters!B$65</f>
        <v>0</v>
      </c>
      <c r="I9" s="7">
        <f>I8*(1+Parameters!$B$51)^Parameters!B$65</f>
        <v>8.2790082490297756</v>
      </c>
      <c r="J9" s="7">
        <f>J8*(1+Parameters!$B$53)^Parameters!B$65</f>
        <v>9.9947884655139401</v>
      </c>
      <c r="K9" s="7">
        <f>'6states'!$O$4</f>
        <v>0.98104277196026479</v>
      </c>
      <c r="L9" s="9">
        <f t="shared" si="7"/>
        <v>0.5</v>
      </c>
      <c r="M9" s="23">
        <f t="shared" si="3"/>
        <v>2</v>
      </c>
      <c r="N9" s="7">
        <f>(Parameters!$B$19*(E9+Parameters!$B$20)^L9+Parameters!$B$18*F9^L9)^(1/L9)</f>
        <v>0.54630553143902549</v>
      </c>
      <c r="O9" s="7">
        <f>(Parameters!$B$10*G9^Parameters!$B$9 + Parameters!$B$11*N9^Parameters!$B$9) ^ (Parameters!$B$7/Parameters!$B$9) * K9</f>
        <v>1.5026644780665059</v>
      </c>
      <c r="P9" s="7">
        <f t="shared" si="1"/>
        <v>1.144732885686212</v>
      </c>
      <c r="Q9" s="7">
        <f>EXP(-Parameters!$B$55*A9)</f>
        <v>0.92727973053399881</v>
      </c>
      <c r="R9" s="7">
        <f>IF(P9&gt;0,P9^(1-Parameters!$B$52)/(1-Parameters!$B$52)*Q9,-10+P9*1000)</f>
        <v>-2.5269477758634951</v>
      </c>
      <c r="S9" s="7"/>
      <c r="T9" s="9">
        <f t="shared" si="4"/>
        <v>5.192285790896764E-2</v>
      </c>
      <c r="U9" s="9">
        <f t="shared" si="5"/>
        <v>1.0018525541646757E-2</v>
      </c>
      <c r="V9" s="7">
        <f t="shared" si="6"/>
        <v>0.29599020354506272</v>
      </c>
      <c r="W9" s="13">
        <f t="shared" si="2"/>
        <v>0.23819794611824999</v>
      </c>
    </row>
    <row r="10" spans="1:23" x14ac:dyDescent="0.25">
      <c r="A10">
        <f>A9+Parameters!$B$65</f>
        <v>6</v>
      </c>
      <c r="B10" s="19">
        <v>5.1922901948891945E-2</v>
      </c>
      <c r="C10" s="45">
        <v>1.0018543717678952E-2</v>
      </c>
      <c r="D10" s="18">
        <v>0.29599049534587141</v>
      </c>
      <c r="E10" s="7">
        <f>MAX((1-Parameters!$B$4)^Parameters!B$65*E9+B9*Parameters!B$65-Parameters!$B$5*B9^2/E9*Parameters!B$65,0.0001)</f>
        <v>0.78445587158101571</v>
      </c>
      <c r="F10" s="9">
        <f>MAX((1-Parameters!$B$4)^Parameters!B$65*F9+C9*Parameters!B$65-Parameters!$B$5*C9^2/F9*Parameters!B$65,0.0001)</f>
        <v>0.15132486845638593</v>
      </c>
      <c r="G10" s="7">
        <f>MAX((1-Parameters!$B$4)^Parameters!B$65*G9+D9*Parameters!B$65-Parameters!$B$5*D9^2/G9*Parameters!B$65,0.0001)</f>
        <v>4.3615972156223535</v>
      </c>
      <c r="H10" s="7">
        <f>H9 *(1-Parameters!$B$4)-B9*(B9&lt;0)*Parameters!B$65</f>
        <v>0</v>
      </c>
      <c r="I10" s="7">
        <f>I9*(1+Parameters!$B$51)^Parameters!B$65</f>
        <v>8.3030173729519614</v>
      </c>
      <c r="J10" s="7">
        <f>J9*(1+Parameters!$B$53)^Parameters!B$65</f>
        <v>10.194684234824219</v>
      </c>
      <c r="K10" s="7">
        <f>'6states'!$O$4</f>
        <v>0.98104277196026479</v>
      </c>
      <c r="L10" s="9">
        <f t="shared" si="7"/>
        <v>0.5</v>
      </c>
      <c r="M10" s="23">
        <f t="shared" si="3"/>
        <v>2</v>
      </c>
      <c r="N10" s="7">
        <f>(Parameters!$B$19*(E10+Parameters!$B$20)^L10+Parameters!$B$18*F10^L10)^(1/L10)</f>
        <v>0.54568089729446623</v>
      </c>
      <c r="O10" s="7">
        <f>(Parameters!$B$10*G10^Parameters!$B$9 + Parameters!$B$11*N10^Parameters!$B$9) ^ (Parameters!$B$7/Parameters!$B$9) * K10</f>
        <v>1.5027080824649515</v>
      </c>
      <c r="P10" s="7">
        <f t="shared" si="1"/>
        <v>1.1447761414525091</v>
      </c>
      <c r="Q10" s="7">
        <f>EXP(-Parameters!$B$55*A10)</f>
        <v>0.91338299103478215</v>
      </c>
      <c r="R10" s="7">
        <f>IF(P10&gt;0,P10^(1-Parameters!$B$52)/(1-Parameters!$B$52)*Q10,-10+P10*1000)</f>
        <v>-2.4890445864240571</v>
      </c>
      <c r="S10" s="7"/>
      <c r="T10" s="9">
        <f t="shared" si="4"/>
        <v>5.1922910086219437E-2</v>
      </c>
      <c r="U10" s="9">
        <f t="shared" si="5"/>
        <v>1.0018539180782871E-2</v>
      </c>
      <c r="V10" s="7">
        <f t="shared" si="6"/>
        <v>0.29599046945368518</v>
      </c>
      <c r="W10" s="13">
        <f t="shared" si="2"/>
        <v>0.23819126628061546</v>
      </c>
    </row>
    <row r="11" spans="1:23" x14ac:dyDescent="0.25">
      <c r="A11">
        <f>A10+Parameters!$B$65</f>
        <v>7</v>
      </c>
      <c r="B11" s="19">
        <v>5.1922972332227153E-2</v>
      </c>
      <c r="C11" s="45">
        <v>1.0018549772428682E-2</v>
      </c>
      <c r="D11" s="18">
        <v>0.29599070066467048</v>
      </c>
      <c r="E11" s="7">
        <f>MAX((1-Parameters!$B$4)^Parameters!B$65*E10+B10*Parameters!B$65-Parameters!$B$5*B10^2/E10*Parameters!B$65,0.0001)</f>
        <v>0.7835997376961219</v>
      </c>
      <c r="F11" s="9">
        <f>MAX((1-Parameters!$B$4)^Parameters!B$65*F10+C10*Parameters!B$65-Parameters!$B$5*C10^2/F10*Parameters!B$65,0.0001)</f>
        <v>0.15116179491182125</v>
      </c>
      <c r="G11" s="7">
        <f>MAX((1-Parameters!$B$4)^Parameters!B$65*G10+D10*Parameters!B$65-Parameters!$B$5*D10^2/G10*Parameters!B$65,0.0001)</f>
        <v>4.363156482242724</v>
      </c>
      <c r="H11" s="7">
        <f>H10 *(1-Parameters!$B$4)-B10*(B10&lt;0)*Parameters!B$65</f>
        <v>0</v>
      </c>
      <c r="I11" s="7">
        <f>I10*(1+Parameters!$B$51)^Parameters!B$65</f>
        <v>8.3270961233335221</v>
      </c>
      <c r="J11" s="7">
        <f>J10*(1+Parameters!$B$53)^Parameters!B$65</f>
        <v>10.398577919520704</v>
      </c>
      <c r="K11" s="7">
        <f>'6states'!$O$4</f>
        <v>0.98104277196026479</v>
      </c>
      <c r="L11" s="9">
        <f t="shared" si="7"/>
        <v>0.5</v>
      </c>
      <c r="M11" s="23">
        <f t="shared" si="3"/>
        <v>2</v>
      </c>
      <c r="N11" s="7">
        <f>(Parameters!$B$19*(E11+Parameters!$B$20)^L11+Parameters!$B$18*F11^L11)^(1/L11)</f>
        <v>0.54509285188278433</v>
      </c>
      <c r="O11" s="7">
        <f>(Parameters!$B$10*G11^Parameters!$B$9 + Parameters!$B$11*N11^Parameters!$B$9) ^ (Parameters!$B$7/Parameters!$B$9) * K11</f>
        <v>1.5027484650400786</v>
      </c>
      <c r="P11" s="7">
        <f t="shared" si="1"/>
        <v>1.1448162422707522</v>
      </c>
      <c r="Q11" s="7">
        <f>EXP(-Parameters!$B$55*A11)</f>
        <v>0.89969451594850369</v>
      </c>
      <c r="R11" s="7">
        <f>IF(P11&gt;0,P11^(1-Parameters!$B$52)/(1-Parameters!$B$52)*Q11,-10+P11*1000)</f>
        <v>-2.4517122954370092</v>
      </c>
      <c r="S11" s="7"/>
      <c r="T11" s="9">
        <f t="shared" si="4"/>
        <v>5.1922968290484019E-2</v>
      </c>
      <c r="U11" s="9">
        <f t="shared" si="5"/>
        <v>1.0018554695269537E-2</v>
      </c>
      <c r="V11" s="7">
        <f t="shared" si="6"/>
        <v>0.29599069390941629</v>
      </c>
      <c r="W11" s="13">
        <f t="shared" si="2"/>
        <v>0.23818505298541776</v>
      </c>
    </row>
    <row r="12" spans="1:23" x14ac:dyDescent="0.25">
      <c r="A12">
        <f>A11+Parameters!$B$65</f>
        <v>8</v>
      </c>
      <c r="B12" s="19">
        <v>5.1923030590332944E-2</v>
      </c>
      <c r="C12" s="45">
        <v>1.0018570595700976E-2</v>
      </c>
      <c r="D12" s="18">
        <v>0.29599088571770693</v>
      </c>
      <c r="E12" s="7">
        <f>MAX((1-Parameters!$B$4)^Parameters!B$65*E11+B11*Parameters!B$65-Parameters!$B$5*B11^2/E11*Parameters!B$65,0.0001)</f>
        <v>0.78279376080205054</v>
      </c>
      <c r="F12" s="9">
        <f>MAX((1-Parameters!$B$4)^Parameters!B$65*F11+C11*Parameters!B$65-Parameters!$B$5*C11^2/F11*Parameters!B$65,0.0001)</f>
        <v>0.15100826839476028</v>
      </c>
      <c r="G12" s="7">
        <f>MAX((1-Parameters!$B$4)^Parameters!B$65*G11+D11*Parameters!B$65-Parameters!$B$5*D11^2/G11*Parameters!B$65,0.0001)</f>
        <v>4.3646250268859834</v>
      </c>
      <c r="H12" s="7">
        <f>H11 *(1-Parameters!$B$4)-B11*(B11&lt;0)*Parameters!B$65</f>
        <v>0</v>
      </c>
      <c r="I12" s="7">
        <f>I11*(1+Parameters!$B$51)^Parameters!B$65</f>
        <v>8.3512447020911882</v>
      </c>
      <c r="J12" s="7">
        <f>J11*(1+Parameters!$B$53)^Parameters!B$65</f>
        <v>10.606549477911118</v>
      </c>
      <c r="K12" s="7">
        <f>'6states'!$O$4</f>
        <v>0.98104277196026479</v>
      </c>
      <c r="L12" s="9">
        <f t="shared" si="7"/>
        <v>0.5</v>
      </c>
      <c r="M12" s="23">
        <f t="shared" si="3"/>
        <v>2</v>
      </c>
      <c r="N12" s="7">
        <f>(Parameters!$B$19*(E12+Parameters!$B$20)^L12+Parameters!$B$18*F12^L12)^(1/L12)</f>
        <v>0.54453925350614185</v>
      </c>
      <c r="O12" s="7">
        <f>(Parameters!$B$10*G12^Parameters!$B$9 + Parameters!$B$11*N12^Parameters!$B$9) ^ (Parameters!$B$7/Parameters!$B$9) * K12</f>
        <v>1.5027858857125371</v>
      </c>
      <c r="P12" s="7">
        <f t="shared" si="1"/>
        <v>1.1448533988087963</v>
      </c>
      <c r="Q12" s="7">
        <f>EXP(-Parameters!$B$55*A12)</f>
        <v>0.88621118410665478</v>
      </c>
      <c r="R12" s="7">
        <f>IF(P12&gt;0,P12^(1-Parameters!$B$52)/(1-Parameters!$B$52)*Q12,-10+P12*1000)</f>
        <v>-2.4149421129076551</v>
      </c>
      <c r="S12" s="7"/>
      <c r="T12" s="9">
        <f t="shared" si="4"/>
        <v>5.1923037563555631E-2</v>
      </c>
      <c r="U12" s="9">
        <f t="shared" si="5"/>
        <v>1.001856890811194E-2</v>
      </c>
      <c r="V12" s="7">
        <f t="shared" si="6"/>
        <v>0.29599084510869716</v>
      </c>
      <c r="W12" s="13">
        <f t="shared" si="2"/>
        <v>0.23817929773410751</v>
      </c>
    </row>
    <row r="13" spans="1:23" x14ac:dyDescent="0.25">
      <c r="A13">
        <f>A12+Parameters!$B$65</f>
        <v>9</v>
      </c>
      <c r="B13" s="19">
        <v>5.1923109768106809E-2</v>
      </c>
      <c r="C13" s="45">
        <v>1.0018586356206166E-2</v>
      </c>
      <c r="D13" s="18">
        <v>0.29599094894371408</v>
      </c>
      <c r="E13" s="7">
        <f>MAX((1-Parameters!$B$4)^Parameters!B$65*E12+B12*Parameters!B$65-Parameters!$B$5*B12^2/E12*Parameters!B$65,0.0001)</f>
        <v>0.78203498796420456</v>
      </c>
      <c r="F13" s="9">
        <f>MAX((1-Parameters!$B$4)^Parameters!B$65*F12+C12*Parameters!B$65-Parameters!$B$5*C12^2/F12*Parameters!B$65,0.0001)</f>
        <v>0.15086374168348143</v>
      </c>
      <c r="G13" s="7">
        <f>MAX((1-Parameters!$B$4)^Parameters!B$65*G12+D12*Parameters!B$65-Parameters!$B$5*D12^2/G12*Parameters!B$65,0.0001)</f>
        <v>4.3660081161172277</v>
      </c>
      <c r="H13" s="7">
        <f>H12 *(1-Parameters!$B$4)-B12*(B12&lt;0)*Parameters!B$65</f>
        <v>0</v>
      </c>
      <c r="I13" s="7">
        <f>I12*(1+Parameters!$B$51)^Parameters!B$65</f>
        <v>8.3754633117272519</v>
      </c>
      <c r="J13" s="7">
        <f>J12*(1+Parameters!$B$53)^Parameters!B$65</f>
        <v>10.81868046746934</v>
      </c>
      <c r="K13" s="7">
        <f>'6states'!$O$4</f>
        <v>0.98104277196026479</v>
      </c>
      <c r="L13" s="9">
        <f t="shared" si="7"/>
        <v>0.5</v>
      </c>
      <c r="M13" s="23">
        <f t="shared" si="3"/>
        <v>2</v>
      </c>
      <c r="N13" s="7">
        <f>(Parameters!$B$19*(E13+Parameters!$B$20)^L13+Parameters!$B$18*F13^L13)^(1/L13)</f>
        <v>0.5440180827023543</v>
      </c>
      <c r="O13" s="7">
        <f>(Parameters!$B$10*G13^Parameters!$B$9 + Parameters!$B$11*N13^Parameters!$B$9) ^ (Parameters!$B$7/Parameters!$B$9) * K13</f>
        <v>1.5028205845848139</v>
      </c>
      <c r="P13" s="7">
        <f t="shared" si="1"/>
        <v>1.144887939516787</v>
      </c>
      <c r="Q13" s="7">
        <f>EXP(-Parameters!$B$55*A13)</f>
        <v>0.87292992111632683</v>
      </c>
      <c r="R13" s="7">
        <f>IF(P13&gt;0,P13^(1-Parameters!$B$52)/(1-Parameters!$B$52)*Q13,-10+P13*1000)</f>
        <v>-2.3787253036859317</v>
      </c>
      <c r="S13" s="7"/>
      <c r="T13" s="9">
        <f t="shared" si="4"/>
        <v>5.1923116893603884E-2</v>
      </c>
      <c r="U13" s="9">
        <f t="shared" si="5"/>
        <v>1.0018594092327958E-2</v>
      </c>
      <c r="V13" s="7">
        <f t="shared" si="6"/>
        <v>0.29599094486307914</v>
      </c>
      <c r="W13" s="13">
        <f t="shared" si="2"/>
        <v>0.23817390361798482</v>
      </c>
    </row>
    <row r="14" spans="1:23" x14ac:dyDescent="0.25">
      <c r="A14">
        <f>A13+Parameters!$B$65</f>
        <v>10</v>
      </c>
      <c r="B14" s="19">
        <v>5.1923210322371904E-2</v>
      </c>
      <c r="C14" s="45">
        <v>1.0018625325076729E-2</v>
      </c>
      <c r="D14" s="18">
        <v>0.29599099992781658</v>
      </c>
      <c r="E14" s="7">
        <f>MAX((1-Parameters!$B$4)^Parameters!B$65*E13+B13*Parameters!B$65-Parameters!$B$5*B13^2/E13*Parameters!B$65,0.0001)</f>
        <v>0.78132066897209584</v>
      </c>
      <c r="F14" s="9">
        <f>MAX((1-Parameters!$B$4)^Parameters!B$65*F13+C13*Parameters!B$65-Parameters!$B$5*C13^2/F13*Parameters!B$65,0.0001)</f>
        <v>0.15072768261213315</v>
      </c>
      <c r="G14" s="7">
        <f>MAX((1-Parameters!$B$4)^Parameters!B$65*G13+D13*Parameters!B$65-Parameters!$B$5*D13^2/G13*Parameters!B$65,0.0001)</f>
        <v>4.367310622492516</v>
      </c>
      <c r="H14" s="7">
        <f>H13 *(1-Parameters!$B$4)-B13*(B13&lt;0)*Parameters!B$65</f>
        <v>0</v>
      </c>
      <c r="I14" s="7">
        <f>I13*(1+Parameters!$B$51)^Parameters!B$65</f>
        <v>8.3997521553312602</v>
      </c>
      <c r="J14" s="7">
        <f>J13*(1+Parameters!$B$53)^Parameters!B$65</f>
        <v>11.035054076818728</v>
      </c>
      <c r="K14" s="7">
        <f>'6states'!$O$4</f>
        <v>0.98104277196026479</v>
      </c>
      <c r="L14" s="9">
        <f t="shared" si="7"/>
        <v>0.5</v>
      </c>
      <c r="M14" s="23">
        <f t="shared" si="3"/>
        <v>2</v>
      </c>
      <c r="N14" s="7">
        <f>(Parameters!$B$19*(E14+Parameters!$B$20)^L14+Parameters!$B$18*F14^L14)^(1/L14)</f>
        <v>0.54352744566031841</v>
      </c>
      <c r="O14" s="7">
        <f>(Parameters!$B$10*G14^Parameters!$B$9 + Parameters!$B$11*N14^Parameters!$B$9) ^ (Parameters!$B$7/Parameters!$B$9) * K14</f>
        <v>1.5028527740865725</v>
      </c>
      <c r="P14" s="7">
        <f t="shared" si="1"/>
        <v>1.1449199385113074</v>
      </c>
      <c r="Q14" s="7">
        <f>EXP(-Parameters!$B$55*A14)</f>
        <v>0.85984769865920552</v>
      </c>
      <c r="R14" s="7">
        <f>IF(P14&gt;0,P14^(1-Parameters!$B$52)/(1-Parameters!$B$52)*Q14,-10+P14*1000)</f>
        <v>-2.3430534580775944</v>
      </c>
      <c r="S14" s="7"/>
      <c r="T14" s="9">
        <f t="shared" si="4"/>
        <v>5.1923228314208147E-2</v>
      </c>
      <c r="U14" s="9">
        <f t="shared" si="5"/>
        <v>1.0018613676421304E-2</v>
      </c>
      <c r="V14" s="7">
        <f t="shared" si="6"/>
        <v>0.29599096752138288</v>
      </c>
      <c r="W14" s="13">
        <f t="shared" si="2"/>
        <v>0.23816892895101802</v>
      </c>
    </row>
    <row r="15" spans="1:23" x14ac:dyDescent="0.25">
      <c r="A15">
        <f>A14+Parameters!$B$65</f>
        <v>11</v>
      </c>
      <c r="B15" s="19">
        <v>5.1923364852145715E-2</v>
      </c>
      <c r="C15" s="45">
        <v>1.0018629347981015E-2</v>
      </c>
      <c r="D15" s="18">
        <v>0.29599095369261796</v>
      </c>
      <c r="E15" s="7">
        <f>MAX((1-Parameters!$B$4)^Parameters!B$65*E14+B14*Parameters!B$65-Parameters!$B$5*B14^2/E14*Parameters!B$65,0.0001)</f>
        <v>0.7806482160381284</v>
      </c>
      <c r="F15" s="9">
        <f>MAX((1-Parameters!$B$4)^Parameters!B$65*F14+C14*Parameters!B$65-Parameters!$B$5*C14^2/F14*Parameters!B$65,0.0001)</f>
        <v>0.15059961487642964</v>
      </c>
      <c r="G15" s="7">
        <f>MAX((1-Parameters!$B$4)^Parameters!B$65*G14+D14*Parameters!B$65-Parameters!$B$5*D14^2/G14*Parameters!B$65,0.0001)</f>
        <v>4.3685372299310261</v>
      </c>
      <c r="H15" s="7">
        <f>H14 *(1-Parameters!$B$4)-B14*(B14&lt;0)*Parameters!B$65</f>
        <v>0</v>
      </c>
      <c r="I15" s="7">
        <f>I14*(1+Parameters!$B$51)^Parameters!B$65</f>
        <v>8.42411143658172</v>
      </c>
      <c r="J15" s="7">
        <f>J14*(1+Parameters!$B$53)^Parameters!B$65</f>
        <v>11.255755158355102</v>
      </c>
      <c r="K15" s="7">
        <f>'6states'!$O$4</f>
        <v>0.98104277196026479</v>
      </c>
      <c r="L15" s="9">
        <f t="shared" si="7"/>
        <v>0.5</v>
      </c>
      <c r="M15" s="23">
        <f t="shared" si="3"/>
        <v>2</v>
      </c>
      <c r="N15" s="7">
        <f>(Parameters!$B$19*(E15+Parameters!$B$20)^L15+Parameters!$B$18*F15^L15)^(1/L15)</f>
        <v>0.54306557451108151</v>
      </c>
      <c r="O15" s="7">
        <f>(Parameters!$B$10*G15^Parameters!$B$9 + Parameters!$B$11*N15^Parameters!$B$9) ^ (Parameters!$B$7/Parameters!$B$9) * K15</f>
        <v>1.5028826579014938</v>
      </c>
      <c r="P15" s="7">
        <f t="shared" si="1"/>
        <v>1.1449497100087491</v>
      </c>
      <c r="Q15" s="7">
        <f>EXP(-Parameters!$B$55*A15)</f>
        <v>0.84696153380107075</v>
      </c>
      <c r="R15" s="7">
        <f>IF(P15&gt;0,P15^(1-Parameters!$B$52)/(1-Parameters!$B$52)*Q15,-10+P15*1000)</f>
        <v>-2.3079181268247253</v>
      </c>
      <c r="S15" s="7"/>
      <c r="T15" s="9">
        <f t="shared" si="4"/>
        <v>5.1923364179741159E-2</v>
      </c>
      <c r="U15" s="9">
        <f t="shared" si="5"/>
        <v>1.0018638017698625E-2</v>
      </c>
      <c r="V15" s="7">
        <f t="shared" si="6"/>
        <v>0.29599097212338649</v>
      </c>
      <c r="W15" s="13">
        <f t="shared" si="2"/>
        <v>0.2381642678561039</v>
      </c>
    </row>
    <row r="16" spans="1:23" x14ac:dyDescent="0.25">
      <c r="A16">
        <f>A15+Parameters!$B$65</f>
        <v>12</v>
      </c>
      <c r="B16" s="19">
        <v>5.1923517364705844E-2</v>
      </c>
      <c r="C16" s="45">
        <v>1.0018659380038134E-2</v>
      </c>
      <c r="D16" s="18">
        <v>0.29599096274972492</v>
      </c>
      <c r="E16" s="7">
        <f>MAX((1-Parameters!$B$4)^Parameters!B$65*E15+B15*Parameters!B$65-Parameters!$B$5*B15^2/E15*Parameters!B$65,0.0001)</f>
        <v>0.78001522201470841</v>
      </c>
      <c r="F16" s="9">
        <f>MAX((1-Parameters!$B$4)^Parameters!B$65*F15+C15*Parameters!B$65-Parameters!$B$5*C15^2/F15*Parameters!B$65,0.0001)</f>
        <v>0.1504790397986652</v>
      </c>
      <c r="G16" s="7">
        <f>MAX((1-Parameters!$B$4)^Parameters!B$65*G15+D15*Parameters!B$65-Parameters!$B$5*D15^2/G15*Parameters!B$65,0.0001)</f>
        <v>4.3696922764381263</v>
      </c>
      <c r="H16" s="7">
        <f>H15 *(1-Parameters!$B$4)-B15*(B15&lt;0)*Parameters!B$65</f>
        <v>0</v>
      </c>
      <c r="I16" s="7">
        <f>I15*(1+Parameters!$B$51)^Parameters!B$65</f>
        <v>8.4485413597478054</v>
      </c>
      <c r="J16" s="7">
        <f>J15*(1+Parameters!$B$53)^Parameters!B$65</f>
        <v>11.480870261522204</v>
      </c>
      <c r="K16" s="7">
        <f>'6states'!$O$4</f>
        <v>0.98104277196026479</v>
      </c>
      <c r="L16" s="9">
        <f t="shared" si="7"/>
        <v>0.5</v>
      </c>
      <c r="M16" s="23">
        <f t="shared" si="3"/>
        <v>2</v>
      </c>
      <c r="N16" s="7">
        <f>(Parameters!$B$19*(E16+Parameters!$B$20)^L16+Parameters!$B$18*F16^L16)^(1/L16)</f>
        <v>0.54263079269971592</v>
      </c>
      <c r="O16" s="7">
        <f>(Parameters!$B$10*G16^Parameters!$B$9 + Parameters!$B$11*N16^Parameters!$B$9) ^ (Parameters!$B$7/Parameters!$B$9) * K16</f>
        <v>1.5029104138209191</v>
      </c>
      <c r="P16" s="7">
        <f t="shared" si="1"/>
        <v>1.1449772743264499</v>
      </c>
      <c r="Q16" s="7">
        <f>EXP(-Parameters!$B$55*A16)</f>
        <v>0.83426848831164502</v>
      </c>
      <c r="R16" s="7">
        <f>IF(P16&gt;0,P16^(1-Parameters!$B$52)/(1-Parameters!$B$52)*Q16,-10+P16*1000)</f>
        <v>-2.2733112028607358</v>
      </c>
      <c r="S16" s="7"/>
      <c r="T16" s="9">
        <f t="shared" si="4"/>
        <v>5.1923518010124792E-2</v>
      </c>
      <c r="U16" s="9">
        <f t="shared" si="5"/>
        <v>1.0018656618360643E-2</v>
      </c>
      <c r="V16" s="7">
        <f t="shared" si="6"/>
        <v>0.29599099394883854</v>
      </c>
      <c r="W16" s="13">
        <f t="shared" si="2"/>
        <v>0.23815999689860345</v>
      </c>
    </row>
    <row r="17" spans="1:23" x14ac:dyDescent="0.25">
      <c r="A17">
        <f>A16+Parameters!$B$65</f>
        <v>13</v>
      </c>
      <c r="B17" s="19">
        <v>5.1923671813522823E-2</v>
      </c>
      <c r="C17" s="45">
        <v>1.0018681127062778E-2</v>
      </c>
      <c r="D17" s="18">
        <v>0.29599106540417269</v>
      </c>
      <c r="E17" s="7">
        <f>MAX((1-Parameters!$B$4)^Parameters!B$65*E16+B16*Parameters!B$65-Parameters!$B$5*B16^2/E16*Parameters!B$65,0.0001)</f>
        <v>0.77941937288646623</v>
      </c>
      <c r="F17" s="9">
        <f>MAX((1-Parameters!$B$4)^Parameters!B$65*F16+C16*Parameters!B$65-Parameters!$B$5*C16^2/F16*Parameters!B$65,0.0001)</f>
        <v>0.1503655408857531</v>
      </c>
      <c r="G17" s="7">
        <f>MAX((1-Parameters!$B$4)^Parameters!B$65*G16+D16*Parameters!B$65-Parameters!$B$5*D16^2/G16*Parameters!B$65,0.0001)</f>
        <v>4.3707799794922026</v>
      </c>
      <c r="H17" s="7">
        <f>H16 *(1-Parameters!$B$4)-B16*(B16&lt;0)*Parameters!B$65</f>
        <v>0</v>
      </c>
      <c r="I17" s="7">
        <f>I16*(1+Parameters!$B$51)^Parameters!B$65</f>
        <v>8.4730421296910734</v>
      </c>
      <c r="J17" s="7">
        <f>J16*(1+Parameters!$B$53)^Parameters!B$65</f>
        <v>11.710487666752648</v>
      </c>
      <c r="K17" s="7">
        <f>'6states'!$O$4</f>
        <v>0.98104277196026479</v>
      </c>
      <c r="L17" s="9">
        <f t="shared" si="7"/>
        <v>0.5</v>
      </c>
      <c r="M17" s="23">
        <f t="shared" si="3"/>
        <v>2</v>
      </c>
      <c r="N17" s="7">
        <f>(Parameters!$B$19*(E17+Parameters!$B$20)^L17+Parameters!$B$18*F17^L17)^(1/L17)</f>
        <v>0.54222152482270658</v>
      </c>
      <c r="O17" s="7">
        <f>(Parameters!$B$10*G17^Parameters!$B$9 + Parameters!$B$11*N17^Parameters!$B$9) ^ (Parameters!$B$7/Parameters!$B$9) * K17</f>
        <v>1.5029362154150838</v>
      </c>
      <c r="P17" s="7">
        <f t="shared" si="1"/>
        <v>1.1450027970703256</v>
      </c>
      <c r="Q17" s="7">
        <f>EXP(-Parameters!$B$55*A17)</f>
        <v>0.82176566799463491</v>
      </c>
      <c r="R17" s="7">
        <f>IF(P17&gt;0,P17^(1-Parameters!$B$52)/(1-Parameters!$B$52)*Q17,-10+P17*1000)</f>
        <v>-2.2392246029617664</v>
      </c>
      <c r="S17" s="7"/>
      <c r="T17" s="9">
        <f t="shared" si="4"/>
        <v>5.1923451809196358E-2</v>
      </c>
      <c r="U17" s="9">
        <f t="shared" si="5"/>
        <v>1.0018634582096009E-2</v>
      </c>
      <c r="V17" s="7">
        <f t="shared" si="6"/>
        <v>0.29599144578102971</v>
      </c>
      <c r="W17" s="13">
        <f t="shared" si="2"/>
        <v>0.23815609383389802</v>
      </c>
    </row>
    <row r="18" spans="1:23" x14ac:dyDescent="0.25">
      <c r="A18">
        <f>A17+Parameters!$B$65</f>
        <v>14</v>
      </c>
      <c r="B18" s="19">
        <v>5.1923166249360414E-2</v>
      </c>
      <c r="C18" s="45">
        <v>1.0018563239187114E-2</v>
      </c>
      <c r="D18" s="18">
        <v>0.29599230918919134</v>
      </c>
      <c r="E18" s="7">
        <f>MAX((1-Parameters!$B$4)^Parameters!B$65*E17+B17*Parameters!B$65-Parameters!$B$5*B17^2/E17*Parameters!B$65,0.0001)</f>
        <v>0.77885849418957953</v>
      </c>
      <c r="F18" s="9">
        <f>MAX((1-Parameters!$B$4)^Parameters!B$65*F17+C17*Parameters!B$65-Parameters!$B$5*C17^2/F17*Parameters!B$65,0.0001)</f>
        <v>0.15025869641846787</v>
      </c>
      <c r="G18" s="7">
        <f>MAX((1-Parameters!$B$4)^Parameters!B$65*G17+D17*Parameters!B$65-Parameters!$B$5*D17^2/G17*Parameters!B$65,0.0001)</f>
        <v>4.3718043442798988</v>
      </c>
      <c r="H18" s="7">
        <f>H17 *(1-Parameters!$B$4)-B17*(B17&lt;0)*Parameters!B$65</f>
        <v>0</v>
      </c>
      <c r="I18" s="7">
        <f>I17*(1+Parameters!$B$51)^Parameters!B$65</f>
        <v>8.4976139518671765</v>
      </c>
      <c r="J18" s="7">
        <f>J17*(1+Parameters!$B$53)^Parameters!B$65</f>
        <v>11.944697420087701</v>
      </c>
      <c r="K18" s="7">
        <f>'6states'!$O$4</f>
        <v>0.98104277196026479</v>
      </c>
      <c r="L18" s="9">
        <f t="shared" si="7"/>
        <v>0.5</v>
      </c>
      <c r="M18" s="23">
        <f t="shared" si="3"/>
        <v>2</v>
      </c>
      <c r="N18" s="7">
        <f>(Parameters!$B$19*(E18+Parameters!$B$20)^L18+Parameters!$B$18*F18^L18)^(1/L18)</f>
        <v>0.54183627297738335</v>
      </c>
      <c r="O18" s="7">
        <f>(Parameters!$B$10*G18^Parameters!$B$9 + Parameters!$B$11*N18^Parameters!$B$9) ^ (Parameters!$B$7/Parameters!$B$9) * K18</f>
        <v>1.50296022174278</v>
      </c>
      <c r="P18" s="7">
        <f t="shared" si="1"/>
        <v>1.145026183065041</v>
      </c>
      <c r="Q18" s="7">
        <f>EXP(-Parameters!$B$55*A18)</f>
        <v>0.80945022202781236</v>
      </c>
      <c r="R18" s="7">
        <f>IF(P18&gt;0,P18^(1-Parameters!$B$52)/(1-Parameters!$B$52)*Q18,-10+P18*1000)</f>
        <v>-2.2056505470942249</v>
      </c>
      <c r="S18" s="7"/>
      <c r="T18" s="9">
        <f t="shared" si="4"/>
        <v>5.1923334770747877E-2</v>
      </c>
      <c r="U18" s="9">
        <f t="shared" si="5"/>
        <v>1.0018602535145671E-2</v>
      </c>
      <c r="V18" s="7">
        <f t="shared" si="6"/>
        <v>0.29599189459418512</v>
      </c>
      <c r="W18" s="13">
        <f t="shared" si="2"/>
        <v>0.23815270257964055</v>
      </c>
    </row>
    <row r="19" spans="1:23" x14ac:dyDescent="0.25">
      <c r="A19">
        <f>A18+Parameters!$B$65</f>
        <v>15</v>
      </c>
      <c r="B19" s="46">
        <f>B18</f>
        <v>5.1923166249360414E-2</v>
      </c>
      <c r="C19" s="46">
        <f t="shared" ref="C19:D19" si="8">C18</f>
        <v>1.0018563239187114E-2</v>
      </c>
      <c r="D19" s="46">
        <f t="shared" si="8"/>
        <v>0.29599230918919134</v>
      </c>
      <c r="E19" s="7">
        <f>MAX((1-Parameters!$B$4)^Parameters!B$65*E18+B18*Parameters!B$65-Parameters!$B$5*B18^2/E18*Parameters!B$65,0.0001)</f>
        <v>0.77832996562798606</v>
      </c>
      <c r="F19" s="9">
        <f>MAX((1-Parameters!$B$4)^Parameters!B$65*F18+C18*Parameters!B$65-Parameters!$B$5*C18^2/F18*Parameters!B$65,0.0001)</f>
        <v>0.15015799563802823</v>
      </c>
      <c r="G19" s="7">
        <f>MAX((1-Parameters!$B$4)^Parameters!B$65*G18+D18*Parameters!B$65-Parameters!$B$5*D18^2/G18*Parameters!B$65,0.0001)</f>
        <v>4.372770048580394</v>
      </c>
      <c r="H19" s="7">
        <f>H18 *(1-Parameters!$B$4)-B18*(B18&lt;0)*Parameters!B$65</f>
        <v>0</v>
      </c>
      <c r="I19" s="7">
        <f>I18*(1+Parameters!$B$51)^Parameters!B$65</f>
        <v>8.522257032327591</v>
      </c>
      <c r="J19" s="7">
        <f>J18*(1+Parameters!$B$53)^Parameters!B$65</f>
        <v>12.183591368489456</v>
      </c>
      <c r="K19" s="7">
        <f>'6states'!$O$4</f>
        <v>0.98104277196026479</v>
      </c>
      <c r="L19" s="9">
        <f t="shared" si="7"/>
        <v>0.5</v>
      </c>
      <c r="M19" s="23">
        <f t="shared" si="3"/>
        <v>2</v>
      </c>
      <c r="N19" s="7">
        <f>(Parameters!$B$19*(E19+Parameters!$B$20)^L19+Parameters!$B$18*F19^L19)^(1/L19)</f>
        <v>0.54147323065961039</v>
      </c>
      <c r="O19" s="7">
        <f>(Parameters!$B$10*G19^Parameters!$B$9 + Parameters!$B$11*N19^Parameters!$B$9) ^ (Parameters!$B$7/Parameters!$B$9) * K19</f>
        <v>1.5029825901622811</v>
      </c>
      <c r="P19" s="7">
        <f t="shared" si="1"/>
        <v>1.1450485514845421</v>
      </c>
      <c r="Q19" s="7">
        <f>EXP(-Parameters!$B$55*A19)</f>
        <v>0.79731934231298707</v>
      </c>
      <c r="R19" s="7">
        <f>IF(P19&gt;0,P19^(1-Parameters!$B$52)/(1-Parameters!$B$52)*Q19,-10+P19*1000)</f>
        <v>-2.172580563526096</v>
      </c>
      <c r="S19" s="7"/>
      <c r="T19" s="9"/>
      <c r="U19" s="9"/>
      <c r="V19" s="7"/>
      <c r="W19" s="13">
        <f t="shared" si="2"/>
        <v>0.23814915822750268</v>
      </c>
    </row>
    <row r="20" spans="1:23" x14ac:dyDescent="0.25">
      <c r="A20">
        <f>A19+Parameters!$B$65</f>
        <v>16</v>
      </c>
      <c r="B20" s="19">
        <v>5.1923367561679458E-2</v>
      </c>
      <c r="C20" s="45">
        <v>1.0018606122652445E-2</v>
      </c>
      <c r="D20" s="18">
        <v>0.29599242145708876</v>
      </c>
      <c r="E20" s="7">
        <f>MAX((1-Parameters!$B$4)^Parameters!B$65*E19+B19*Parameters!B$65-Parameters!$B$5*B19^2/E19*Parameters!B$65,0.0001)</f>
        <v>0.77783233096837612</v>
      </c>
      <c r="F20" s="9">
        <f>MAX((1-Parameters!$B$4)^Parameters!B$65*F19+C19*Parameters!B$65-Parameters!$B$5*C19^2/F19*Parameters!B$65,0.0001)</f>
        <v>0.15006318095975271</v>
      </c>
      <c r="G20" s="7">
        <f>MAX((1-Parameters!$B$4)^Parameters!B$65*G19+D19*Parameters!B$65-Parameters!$B$5*D19^2/G19*Parameters!B$65,0.0001)</f>
        <v>4.3736794358383797</v>
      </c>
      <c r="H20" s="7">
        <f>H19 *(1-Parameters!$B$4)-B19*(B19&lt;0)*Parameters!B$65</f>
        <v>0</v>
      </c>
      <c r="I20" s="7">
        <f>I19*(1+Parameters!$B$51)^Parameters!B$65</f>
        <v>8.5469715777213402</v>
      </c>
      <c r="J20" s="7">
        <f>J19*(1+Parameters!$B$53)^Parameters!B$65</f>
        <v>12.427263195859245</v>
      </c>
      <c r="K20" s="7">
        <f>'6states'!$O$4</f>
        <v>0.98104277196026479</v>
      </c>
      <c r="L20" s="9">
        <f t="shared" si="7"/>
        <v>0.5</v>
      </c>
      <c r="M20" s="23">
        <f t="shared" si="3"/>
        <v>2</v>
      </c>
      <c r="N20" s="7">
        <f>(Parameters!$B$19*(E20+Parameters!$B$20)^L20+Parameters!$B$18*F20^L20)^(1/L20)</f>
        <v>0.54113140905908774</v>
      </c>
      <c r="O20" s="7">
        <f>(Parameters!$B$10*G20^Parameters!$B$9 + Parameters!$B$11*N20^Parameters!$B$9) ^ (Parameters!$B$7/Parameters!$B$9) * K20</f>
        <v>1.5030034068486184</v>
      </c>
      <c r="P20" s="7">
        <f t="shared" si="1"/>
        <v>1.1450690117071978</v>
      </c>
      <c r="Q20" s="7">
        <f>EXP(-Parameters!$B$55*A20)</f>
        <v>0.7853702628357192</v>
      </c>
      <c r="R20" s="7">
        <f>IF(P20&gt;0,P20^(1-Parameters!$B$52)/(1-Parameters!$B$52)*Q20,-10+P20*1000)</f>
        <v>-2.1400076566485944</v>
      </c>
      <c r="S20" s="7"/>
      <c r="T20" s="9"/>
      <c r="U20" s="9"/>
      <c r="V20" s="7"/>
      <c r="W20" s="13">
        <f t="shared" si="2"/>
        <v>0.23814609701511583</v>
      </c>
    </row>
    <row r="21" spans="1:23" x14ac:dyDescent="0.25">
      <c r="A21">
        <f>A20+Parameters!$B$65</f>
        <v>17</v>
      </c>
      <c r="B21" s="46">
        <f>B20</f>
        <v>5.1923367561679458E-2</v>
      </c>
      <c r="C21" s="46">
        <f t="shared" ref="C21:D21" si="9">C20</f>
        <v>1.0018606122652445E-2</v>
      </c>
      <c r="D21" s="46">
        <f t="shared" si="9"/>
        <v>0.29599242145708876</v>
      </c>
      <c r="E21" s="7">
        <f>MAX((1-Parameters!$B$4)^Parameters!B$65*E20+B20*Parameters!B$65-Parameters!$B$5*B20^2/E20*Parameters!B$65,0.0001)</f>
        <v>0.777363955895777</v>
      </c>
      <c r="F21" s="9">
        <f>MAX((1-Parameters!$B$4)^Parameters!B$65*F20+C20*Parameters!B$65-Parameters!$B$5*C20^2/F20*Parameters!B$65,0.0001)</f>
        <v>0.14997394494060404</v>
      </c>
      <c r="G21" s="7">
        <f>MAX((1-Parameters!$B$4)^Parameters!B$65*G20+D20*Parameters!B$65-Parameters!$B$5*D20^2/G20*Parameters!B$65,0.0001)</f>
        <v>4.3745358855840877</v>
      </c>
      <c r="H21" s="7">
        <f>H20 *(1-Parameters!$B$4)-B20*(B20&lt;0)*Parameters!B$65</f>
        <v>0</v>
      </c>
      <c r="I21" s="7">
        <f>I20*(1+Parameters!$B$51)^Parameters!B$65</f>
        <v>8.5717577952967314</v>
      </c>
      <c r="J21" s="7">
        <f>J20*(1+Parameters!$B$53)^Parameters!B$65</f>
        <v>12.67580845977643</v>
      </c>
      <c r="K21" s="7">
        <f>'6states'!$O$4</f>
        <v>0.98104277196026479</v>
      </c>
      <c r="L21" s="9">
        <f t="shared" si="7"/>
        <v>0.5</v>
      </c>
      <c r="M21" s="23">
        <f t="shared" si="3"/>
        <v>2</v>
      </c>
      <c r="N21" s="7">
        <f>(Parameters!$B$19*(E21+Parameters!$B$20)^L21+Parameters!$B$18*F21^L21)^(1/L21)</f>
        <v>0.54080968785245942</v>
      </c>
      <c r="O21" s="7">
        <f>(Parameters!$B$10*G21^Parameters!$B$9 + Parameters!$B$11*N21^Parameters!$B$9) ^ (Parameters!$B$7/Parameters!$B$9) * K21</f>
        <v>1.5030228174438103</v>
      </c>
      <c r="P21" s="7">
        <f t="shared" si="1"/>
        <v>1.1450884223023896</v>
      </c>
      <c r="Q21" s="7">
        <f>EXP(-Parameters!$B$55*A21)</f>
        <v>0.7736002590346287</v>
      </c>
      <c r="R21" s="7">
        <f>IF(P21&gt;0,P21^(1-Parameters!$B$52)/(1-Parameters!$B$52)*Q21,-10+P21*1000)</f>
        <v>-2.1079237829691064</v>
      </c>
      <c r="S21" s="7"/>
      <c r="T21" s="9"/>
      <c r="U21" s="9"/>
      <c r="V21" s="7"/>
      <c r="W21" s="13">
        <f t="shared" si="2"/>
        <v>0.23814302150792321</v>
      </c>
    </row>
    <row r="22" spans="1:23" x14ac:dyDescent="0.25">
      <c r="A22">
        <f>A21+Parameters!$B$65</f>
        <v>18</v>
      </c>
      <c r="B22" s="19">
        <v>5.1923434333508496E-2</v>
      </c>
      <c r="C22" s="45">
        <v>1.0018768133109802E-2</v>
      </c>
      <c r="D22" s="18">
        <v>0.2959927970315957</v>
      </c>
      <c r="E22" s="7">
        <f>MAX((1-Parameters!$B$4)^Parameters!B$65*E21+B21*Parameters!B$65-Parameters!$B$5*B21^2/E21*Parameters!B$65,0.0001)</f>
        <v>0.7769229532373586</v>
      </c>
      <c r="F22" s="9">
        <f>MAX((1-Parameters!$B$4)^Parameters!B$65*F21+C21*Parameters!B$65-Parameters!$B$5*C21^2/F21*Parameters!B$65,0.0001)</f>
        <v>0.14988992388377687</v>
      </c>
      <c r="G22" s="7">
        <f>MAX((1-Parameters!$B$4)^Parameters!B$65*G21+D21*Parameters!B$65-Parameters!$B$5*D21^2/G21*Parameters!B$65,0.0001)</f>
        <v>4.3753423864289935</v>
      </c>
      <c r="H22" s="7">
        <f>H21 *(1-Parameters!$B$4)-B21*(B21&lt;0)*Parameters!B$65</f>
        <v>0</v>
      </c>
      <c r="I22" s="7">
        <f>I21*(1+Parameters!$B$51)^Parameters!B$65</f>
        <v>8.5966158929030918</v>
      </c>
      <c r="J22" s="7">
        <f>J21*(1+Parameters!$B$53)^Parameters!B$65</f>
        <v>12.929324628971958</v>
      </c>
      <c r="K22" s="7">
        <f>'6states'!$O$4</f>
        <v>0.98104277196026479</v>
      </c>
      <c r="L22" s="9">
        <f t="shared" si="7"/>
        <v>0.5</v>
      </c>
      <c r="M22" s="23">
        <f t="shared" si="3"/>
        <v>2</v>
      </c>
      <c r="N22" s="7">
        <f>(Parameters!$B$19*(E22+Parameters!$B$20)^L22+Parameters!$B$18*F22^L22)^(1/L22)</f>
        <v>0.54050676837026568</v>
      </c>
      <c r="O22" s="7">
        <f>(Parameters!$B$10*G22^Parameters!$B$9 + Parameters!$B$11*N22^Parameters!$B$9) ^ (Parameters!$B$7/Parameters!$B$9) * K22</f>
        <v>1.5030409006643337</v>
      </c>
      <c r="P22" s="7">
        <f t="shared" si="1"/>
        <v>1.1451059011661198</v>
      </c>
      <c r="Q22" s="7">
        <f>EXP(-Parameters!$B$55*A22)</f>
        <v>0.76200664718015654</v>
      </c>
      <c r="R22" s="7">
        <f>IF(P22&gt;0,P22^(1-Parameters!$B$52)/(1-Parameters!$B$52)*Q22,-10+P22*1000)</f>
        <v>-2.0763221500328792</v>
      </c>
      <c r="S22" s="7"/>
      <c r="T22" s="9"/>
      <c r="U22" s="9"/>
      <c r="V22" s="7"/>
      <c r="W22" s="13">
        <f t="shared" si="2"/>
        <v>0.23814055847715734</v>
      </c>
    </row>
    <row r="23" spans="1:23" x14ac:dyDescent="0.25">
      <c r="A23">
        <f>A22+Parameters!$B$65</f>
        <v>19</v>
      </c>
      <c r="B23" s="46">
        <f>B22</f>
        <v>5.1923434333508496E-2</v>
      </c>
      <c r="C23" s="46">
        <f t="shared" ref="C23:D23" si="10">C22</f>
        <v>1.0018768133109802E-2</v>
      </c>
      <c r="D23" s="46">
        <f t="shared" si="10"/>
        <v>0.2959927970315957</v>
      </c>
      <c r="E23" s="7">
        <f>MAX((1-Parameters!$B$4)^Parameters!B$65*E22+B22*Parameters!B$65-Parameters!$B$5*B22^2/E22*Parameters!B$65,0.0001)</f>
        <v>0.7765077788608975</v>
      </c>
      <c r="F23" s="9">
        <f>MAX((1-Parameters!$B$4)^Parameters!B$65*F22+C22*Parameters!B$65-Parameters!$B$5*C22^2/F22*Parameters!B$65,0.0001)</f>
        <v>0.14981095294598598</v>
      </c>
      <c r="G23" s="7">
        <f>MAX((1-Parameters!$B$4)^Parameters!B$65*G22+D22*Parameters!B$65-Parameters!$B$5*D22^2/G22*Parameters!B$65,0.0001)</f>
        <v>4.3761021747923472</v>
      </c>
      <c r="H23" s="7">
        <f>H22 *(1-Parameters!$B$4)-B22*(B22&lt;0)*Parameters!B$65</f>
        <v>0</v>
      </c>
      <c r="I23" s="7">
        <f>I22*(1+Parameters!$B$51)^Parameters!B$65</f>
        <v>8.6215460789925107</v>
      </c>
      <c r="J23" s="7">
        <f>J22*(1+Parameters!$B$53)^Parameters!B$65</f>
        <v>13.187911121551398</v>
      </c>
      <c r="K23" s="7">
        <f>'6states'!$O$4</f>
        <v>0.98104277196026479</v>
      </c>
      <c r="L23" s="9">
        <f t="shared" si="7"/>
        <v>0.5</v>
      </c>
      <c r="M23" s="23">
        <f t="shared" si="3"/>
        <v>2</v>
      </c>
      <c r="N23" s="7">
        <f>(Parameters!$B$19*(E23+Parameters!$B$20)^L23+Parameters!$B$18*F23^L23)^(1/L23)</f>
        <v>0.54022166459616461</v>
      </c>
      <c r="O23" s="7">
        <f>(Parameters!$B$10*G23^Parameters!$B$9 + Parameters!$B$11*N23^Parameters!$B$9) ^ (Parameters!$B$7/Parameters!$B$9) * K23</f>
        <v>1.5030578011240492</v>
      </c>
      <c r="P23" s="7">
        <f t="shared" si="1"/>
        <v>1.1451228016258352</v>
      </c>
      <c r="Q23" s="7">
        <f>EXP(-Parameters!$B$55*A23)</f>
        <v>0.75058678376263543</v>
      </c>
      <c r="R23" s="7">
        <f>IF(P23&gt;0,P23^(1-Parameters!$B$52)/(1-Parameters!$B$52)*Q23,-10+P23*1000)</f>
        <v>-2.0451946451022511</v>
      </c>
      <c r="S23" s="7"/>
      <c r="T23" s="9"/>
      <c r="U23" s="9"/>
      <c r="V23" s="7"/>
      <c r="W23" s="13">
        <f t="shared" si="2"/>
        <v>0.23813788081239146</v>
      </c>
    </row>
    <row r="24" spans="1:23" x14ac:dyDescent="0.25">
      <c r="A24">
        <f>A23+Parameters!$B$65</f>
        <v>20</v>
      </c>
      <c r="B24" s="19">
        <v>5.192351339681784E-2</v>
      </c>
      <c r="C24" s="45">
        <v>1.0018652250690263E-2</v>
      </c>
      <c r="D24" s="18">
        <v>0.29599355613290212</v>
      </c>
      <c r="E24" s="7">
        <f>MAX((1-Parameters!$B$4)^Parameters!B$65*E23+B23*Parameters!B$65-Parameters!$B$5*B23^2/E23*Parameters!B$65,0.0001)</f>
        <v>0.77611686356960519</v>
      </c>
      <c r="F24" s="9">
        <f>MAX((1-Parameters!$B$4)^Parameters!B$65*F23+C23*Parameters!B$65-Parameters!$B$5*C23^2/F23*Parameters!B$65,0.0001)</f>
        <v>0.14973659627592639</v>
      </c>
      <c r="G24" s="7">
        <f>MAX((1-Parameters!$B$4)^Parameters!B$65*G23+D23*Parameters!B$65-Parameters!$B$5*D23^2/G23*Parameters!B$65,0.0001)</f>
        <v>4.3768176490732493</v>
      </c>
      <c r="H24" s="7">
        <f>H23 *(1-Parameters!$B$4)-B23*(B23&lt;0)*Parameters!B$65</f>
        <v>0</v>
      </c>
      <c r="I24" s="7">
        <f>I23*(1+Parameters!$B$51)^Parameters!B$65</f>
        <v>8.6465485626215877</v>
      </c>
      <c r="J24" s="7">
        <f>J23*(1+Parameters!$B$53)^Parameters!B$65</f>
        <v>13.451669343982426</v>
      </c>
      <c r="K24" s="7">
        <f>'6states'!$O$4</f>
        <v>0.98104277196026479</v>
      </c>
      <c r="L24" s="9">
        <f t="shared" si="7"/>
        <v>0.5</v>
      </c>
      <c r="M24" s="23">
        <f t="shared" si="3"/>
        <v>2</v>
      </c>
      <c r="N24" s="7">
        <f>(Parameters!$B$19*(E24+Parameters!$B$20)^L24+Parameters!$B$18*F24^L24)^(1/L24)</f>
        <v>0.53995321969069277</v>
      </c>
      <c r="O24" s="7">
        <f>(Parameters!$B$10*G24^Parameters!$B$9 + Parameters!$B$11*N24^Parameters!$B$9) ^ (Parameters!$B$7/Parameters!$B$9) * K24</f>
        <v>1.5030735616475273</v>
      </c>
      <c r="P24" s="7">
        <f t="shared" si="1"/>
        <v>1.145137839867117</v>
      </c>
      <c r="Q24" s="7">
        <f>EXP(-Parameters!$B$55*A24)</f>
        <v>0.7393380648895318</v>
      </c>
      <c r="R24" s="7">
        <f>IF(P24&gt;0,P24^(1-Parameters!$B$52)/(1-Parameters!$B$52)*Q24,-10+P24*1000)</f>
        <v>-2.0145349397426506</v>
      </c>
      <c r="S24" s="7"/>
      <c r="T24" s="9"/>
      <c r="U24" s="9"/>
      <c r="V24" s="7"/>
      <c r="W24" s="13">
        <f t="shared" si="2"/>
        <v>0.23813586434723455</v>
      </c>
    </row>
    <row r="25" spans="1:23" x14ac:dyDescent="0.25">
      <c r="A25">
        <f>A24+Parameters!$B$65</f>
        <v>21</v>
      </c>
      <c r="B25" s="46">
        <f>B24</f>
        <v>5.192351339681784E-2</v>
      </c>
      <c r="C25" s="46">
        <f t="shared" ref="C25:D28" si="11">C24</f>
        <v>1.0018652250690263E-2</v>
      </c>
      <c r="D25" s="46">
        <f t="shared" si="11"/>
        <v>0.29599355613290212</v>
      </c>
      <c r="E25" s="7">
        <f>MAX((1-Parameters!$B$4)^Parameters!B$65*E24+B24*Parameters!B$65-Parameters!$B$5*B24^2/E24*Parameters!B$65,0.0001)</f>
        <v>0.77574885654899994</v>
      </c>
      <c r="F25" s="9">
        <f>MAX((1-Parameters!$B$4)^Parameters!B$65*F24+C24*Parameters!B$65-Parameters!$B$5*C24^2/F24*Parameters!B$65,0.0001)</f>
        <v>0.14966648354653819</v>
      </c>
      <c r="G25" s="7">
        <f>MAX((1-Parameters!$B$4)^Parameters!B$65*G24+D24*Parameters!B$65-Parameters!$B$5*D24^2/G24*Parameters!B$65,0.0001)</f>
        <v>4.3774920491826821</v>
      </c>
      <c r="I25" s="7">
        <f>I24*(1+Parameters!$B$51)^Parameters!B$65</f>
        <v>8.6716235534531894</v>
      </c>
      <c r="J25" s="7">
        <f>J24*(1+Parameters!$B$53)^Parameters!B$65</f>
        <v>13.720702730862074</v>
      </c>
      <c r="K25" s="7">
        <f>'6states'!$O$4</f>
        <v>0.98104277196026479</v>
      </c>
      <c r="L25" s="9">
        <f t="shared" si="7"/>
        <v>0.5</v>
      </c>
      <c r="M25" s="23">
        <f t="shared" si="3"/>
        <v>2</v>
      </c>
      <c r="N25" s="7">
        <f>(Parameters!$B$19*(E25+Parameters!$B$20)^L25+Parameters!$B$18*F25^L25)^(1/L25)</f>
        <v>0.53970044061814748</v>
      </c>
      <c r="O25" s="7">
        <f>(Parameters!$B$10*G25^Parameters!$B$9 + Parameters!$B$11*N25^Parameters!$B$9) ^ (Parameters!$B$7/Parameters!$B$9) * K25</f>
        <v>1.5030883173024756</v>
      </c>
      <c r="P25" s="7">
        <f t="shared" si="1"/>
        <v>1.1451525955220654</v>
      </c>
      <c r="Q25" s="7">
        <f>EXP(-Parameters!$B$55*A25)</f>
        <v>0.72825792569172154</v>
      </c>
      <c r="R25" s="7">
        <f>IF(P25&gt;0,P25^(1-Parameters!$B$52)/(1-Parameters!$B$52)*Q25,-10+P25*1000)</f>
        <v>-1.9843350284148717</v>
      </c>
      <c r="S25" s="7"/>
      <c r="T25" s="9"/>
      <c r="U25" s="9"/>
      <c r="V25" s="7"/>
      <c r="W25" s="13">
        <f t="shared" si="2"/>
        <v>0.23813352659328843</v>
      </c>
    </row>
    <row r="26" spans="1:23" x14ac:dyDescent="0.25">
      <c r="A26">
        <f>A25+Parameters!$B$65</f>
        <v>22</v>
      </c>
      <c r="B26" s="46">
        <f t="shared" ref="B26:B28" si="12">B25</f>
        <v>5.192351339681784E-2</v>
      </c>
      <c r="C26" s="46">
        <f t="shared" si="11"/>
        <v>1.0018652250690263E-2</v>
      </c>
      <c r="D26" s="46">
        <f t="shared" si="11"/>
        <v>0.29599355613290212</v>
      </c>
      <c r="E26" s="7">
        <f>MAX((1-Parameters!$B$4)^Parameters!B$65*E25+B25*Parameters!B$65-Parameters!$B$5*B25^2/E25*Parameters!B$65,0.0001)</f>
        <v>0.77540234925053031</v>
      </c>
      <c r="F26" s="9">
        <f>MAX((1-Parameters!$B$4)^Parameters!B$65*F25+C25*Parameters!B$65-Parameters!$B$5*C25^2/F25*Parameters!B$65,0.0001)</f>
        <v>0.14960046688373754</v>
      </c>
      <c r="G26" s="7">
        <f>MAX((1-Parameters!$B$4)^Parameters!B$65*G25+D25*Parameters!B$65-Parameters!$B$5*D25^2/G25*Parameters!B$65,0.0001)</f>
        <v>4.3781271134113053</v>
      </c>
      <c r="I26" s="7">
        <f>I25*(1+Parameters!$B$51)^Parameters!B$65</f>
        <v>8.6967712617582027</v>
      </c>
      <c r="J26" s="7">
        <f>J25*(1+Parameters!$B$53)^Parameters!B$65</f>
        <v>13.995116785479317</v>
      </c>
      <c r="K26" s="7">
        <f>'6states'!$O$4</f>
        <v>0.98104277196026479</v>
      </c>
      <c r="L26" s="9">
        <f t="shared" si="7"/>
        <v>0.5</v>
      </c>
      <c r="M26" s="23">
        <f t="shared" si="3"/>
        <v>2</v>
      </c>
      <c r="N26" s="7">
        <f>(Parameters!$B$19*(E26+Parameters!$B$20)^L26+Parameters!$B$18*F26^L26)^(1/L26)</f>
        <v>0.53946242937958955</v>
      </c>
      <c r="O26" s="7">
        <f>(Parameters!$B$10*G26^Parameters!$B$9 + Parameters!$B$11*N26^Parameters!$B$9) ^ (Parameters!$B$7/Parameters!$B$9) * K26</f>
        <v>1.5031020904688155</v>
      </c>
      <c r="P26" s="7">
        <f t="shared" si="1"/>
        <v>1.1451663686884053</v>
      </c>
      <c r="Q26" s="7">
        <f>EXP(-Parameters!$B$55*A26)</f>
        <v>0.71734383973866223</v>
      </c>
      <c r="R26" s="7">
        <f>IF(P26&gt;0,P26^(1-Parameters!$B$52)/(1-Parameters!$B$52)*Q26,-10+P26*1000)</f>
        <v>-1.9545884312661717</v>
      </c>
      <c r="S26" s="7"/>
      <c r="T26" s="9"/>
      <c r="U26" s="9"/>
      <c r="V26" s="7"/>
      <c r="W26" s="13">
        <f t="shared" si="2"/>
        <v>0.2381313445374629</v>
      </c>
    </row>
    <row r="27" spans="1:23" x14ac:dyDescent="0.25">
      <c r="A27">
        <f>A26+Parameters!$B$65</f>
        <v>23</v>
      </c>
      <c r="B27" s="46">
        <f t="shared" si="12"/>
        <v>5.192351339681784E-2</v>
      </c>
      <c r="C27" s="46">
        <f t="shared" si="11"/>
        <v>1.0018652250690263E-2</v>
      </c>
      <c r="D27" s="46">
        <f t="shared" si="11"/>
        <v>0.29599355613290212</v>
      </c>
      <c r="E27" s="7">
        <f>MAX((1-Parameters!$B$4)^Parameters!B$65*E26+B26*Parameters!B$65-Parameters!$B$5*B26^2/E26*Parameters!B$65,0.0001)</f>
        <v>0.7750760841866936</v>
      </c>
      <c r="F27" s="9">
        <f>MAX((1-Parameters!$B$4)^Parameters!B$65*F26+C26*Parameters!B$65-Parameters!$B$5*C26^2/F26*Parameters!B$65,0.0001)</f>
        <v>0.14953830672153254</v>
      </c>
      <c r="G27" s="7">
        <f>MAX((1-Parameters!$B$4)^Parameters!B$65*G26+D26*Parameters!B$65-Parameters!$B$5*D26^2/G26*Parameters!B$65,0.0001)</f>
        <v>4.3787251352429681</v>
      </c>
      <c r="I27" s="7">
        <f>I26*(1+Parameters!$B$51)^Parameters!B$65</f>
        <v>8.7219918984173006</v>
      </c>
      <c r="J27" s="7">
        <f>J26*(1+Parameters!$B$53)^Parameters!B$65</f>
        <v>14.275019121188903</v>
      </c>
      <c r="K27" s="7">
        <f>'6states'!$O$4</f>
        <v>0.98104277196026479</v>
      </c>
      <c r="L27" s="9">
        <f t="shared" si="7"/>
        <v>0.5</v>
      </c>
      <c r="M27" s="23">
        <f t="shared" si="3"/>
        <v>2</v>
      </c>
      <c r="N27" s="7">
        <f>(Parameters!$B$19*(E27+Parameters!$B$20)^L27+Parameters!$B$18*F27^L27)^(1/L27)</f>
        <v>0.53923832222990298</v>
      </c>
      <c r="O27" s="7">
        <f>(Parameters!$B$10*G27^Parameters!$B$9 + Parameters!$B$11*N27^Parameters!$B$9) ^ (Parameters!$B$7/Parameters!$B$9) * K27</f>
        <v>1.5031149520355256</v>
      </c>
      <c r="P27" s="7">
        <f t="shared" si="1"/>
        <v>1.1451792302551154</v>
      </c>
      <c r="Q27" s="7">
        <f>EXP(-Parameters!$B$55*A27)</f>
        <v>0.70659331846233153</v>
      </c>
      <c r="R27" s="7">
        <f>IF(P27&gt;0,P27^(1-Parameters!$B$52)/(1-Parameters!$B$52)*Q27,-10+P27*1000)</f>
        <v>-1.9252882933259363</v>
      </c>
      <c r="S27" s="7"/>
      <c r="T27" s="9"/>
      <c r="U27" s="9"/>
      <c r="V27" s="7"/>
      <c r="W27" s="13">
        <f t="shared" si="2"/>
        <v>0.23812930694069134</v>
      </c>
    </row>
    <row r="28" spans="1:23" x14ac:dyDescent="0.25">
      <c r="A28">
        <f>A27+Parameters!$B$65</f>
        <v>24</v>
      </c>
      <c r="B28" s="46">
        <f t="shared" si="12"/>
        <v>5.192351339681784E-2</v>
      </c>
      <c r="C28" s="46">
        <f t="shared" si="11"/>
        <v>1.0018652250690263E-2</v>
      </c>
      <c r="D28" s="46">
        <f t="shared" si="11"/>
        <v>0.29599355613290212</v>
      </c>
      <c r="E28" s="7">
        <f>MAX((1-Parameters!$B$4)^Parameters!B$65*E27+B27*Parameters!B$65-Parameters!$B$5*B27^2/E27*Parameters!B$65,0.0001)</f>
        <v>0.77476887757897606</v>
      </c>
      <c r="F28" s="9">
        <f>MAX((1-Parameters!$B$4)^Parameters!B$65*F27+C27*Parameters!B$65-Parameters!$B$5*C27^2/F27*Parameters!B$65,0.0001)</f>
        <v>0.14947977753557104</v>
      </c>
      <c r="G28" s="7">
        <f>MAX((1-Parameters!$B$4)^Parameters!B$65*G27+D27*Parameters!B$65-Parameters!$B$5*D27^2/G27*Parameters!B$65,0.0001)</f>
        <v>4.3792882745383537</v>
      </c>
      <c r="I28" s="7">
        <f>I27*(1+Parameters!$B$51)^Parameters!B$65</f>
        <v>8.7472856749227095</v>
      </c>
      <c r="J28" s="7">
        <f>J27*(1+Parameters!$B$53)^Parameters!B$65</f>
        <v>14.560519503612682</v>
      </c>
      <c r="K28" s="7">
        <f>'6states'!$O$4</f>
        <v>0.98104277196026479</v>
      </c>
      <c r="L28" s="9">
        <f t="shared" si="7"/>
        <v>0.5</v>
      </c>
      <c r="M28" s="23">
        <f t="shared" si="3"/>
        <v>2</v>
      </c>
      <c r="N28" s="7">
        <f>(Parameters!$B$19*(E28+Parameters!$B$20)^L28+Parameters!$B$18*F28^L28)^(1/L28)</f>
        <v>0.53902730605287708</v>
      </c>
      <c r="O28" s="7">
        <f>(Parameters!$B$10*G28^Parameters!$B$9 + Parameters!$B$11*N28^Parameters!$B$9) ^ (Parameters!$B$7/Parameters!$B$9) * K28</f>
        <v>1.503126967252262</v>
      </c>
      <c r="P28" s="7">
        <f t="shared" si="1"/>
        <v>1.1451912454718518</v>
      </c>
      <c r="Q28" s="7">
        <f>EXP(-Parameters!$B$55*A28)</f>
        <v>0.69600391058979738</v>
      </c>
      <c r="R28" s="7">
        <f>IF(P28&gt;0,P28^(1-Parameters!$B$52)/(1-Parameters!$B$52)*Q28,-10+P28*1000)</f>
        <v>-1.8964278679311983</v>
      </c>
      <c r="S28" s="7"/>
      <c r="T28" s="9"/>
      <c r="U28" s="9"/>
      <c r="V28" s="7"/>
      <c r="W28" s="13">
        <f t="shared" si="2"/>
        <v>0.2381274034586193</v>
      </c>
    </row>
    <row r="29" spans="1:23" x14ac:dyDescent="0.25">
      <c r="A29">
        <f>A28+Parameters!$B$65</f>
        <v>25</v>
      </c>
      <c r="B29" s="19">
        <v>5.1923637967104946E-2</v>
      </c>
      <c r="C29" s="45">
        <v>1.0018690688175931E-2</v>
      </c>
      <c r="D29" s="18">
        <v>0.29599393902119808</v>
      </c>
      <c r="E29" s="7">
        <f>MAX((1-Parameters!$B$4)^Parameters!B$65*E28+B28*Parameters!B$65-Parameters!$B$5*B28^2/E28*Parameters!B$65,0.0001)</f>
        <v>0.77447961501942675</v>
      </c>
      <c r="F29" s="9">
        <f>MAX((1-Parameters!$B$4)^Parameters!B$65*F28+C28*Parameters!B$65-Parameters!$B$5*C28^2/F28*Parameters!B$65,0.0001)</f>
        <v>0.14942466701675222</v>
      </c>
      <c r="G29" s="7">
        <f>MAX((1-Parameters!$B$4)^Parameters!B$65*G28+D28*Parameters!B$65-Parameters!$B$5*D28^2/G28*Parameters!B$65,0.0001)</f>
        <v>4.3798185653089119</v>
      </c>
      <c r="I29" s="7">
        <f>I28*(1+Parameters!$B$51)^Parameters!B$65</f>
        <v>8.7726528033799838</v>
      </c>
      <c r="J29" s="7">
        <f>J28*(1+Parameters!$B$53)^Parameters!B$65</f>
        <v>14.851729893684935</v>
      </c>
      <c r="K29" s="7">
        <f>'6states'!$O$4</f>
        <v>0.98104277196026479</v>
      </c>
      <c r="L29" s="9">
        <f t="shared" si="7"/>
        <v>0.5</v>
      </c>
      <c r="M29" s="23">
        <f t="shared" si="3"/>
        <v>2</v>
      </c>
      <c r="N29" s="7">
        <f>(Parameters!$B$19*(E29+Parameters!$B$20)^L29+Parameters!$B$18*F29^L29)^(1/L29)</f>
        <v>0.53882861538129401</v>
      </c>
      <c r="O29" s="7">
        <f>(Parameters!$B$10*G29^Parameters!$B$9 + Parameters!$B$11*N29^Parameters!$B$9) ^ (Parameters!$B$7/Parameters!$B$9) * K29</f>
        <v>1.5031381962232315</v>
      </c>
      <c r="P29" s="7">
        <f t="shared" si="1"/>
        <v>1.1452019285467527</v>
      </c>
      <c r="Q29" s="7">
        <f>EXP(-Parameters!$B$55*A29)</f>
        <v>0.68557320158429325</v>
      </c>
      <c r="R29" s="7">
        <f>IF(P29&gt;0,P29^(1-Parameters!$B$52)/(1-Parameters!$B$52)*Q29,-10+P29*1000)</f>
        <v>-1.8680008262142114</v>
      </c>
      <c r="S29" s="7"/>
      <c r="T29" s="9"/>
      <c r="U29" s="9"/>
      <c r="V29" s="7"/>
      <c r="W29" s="13">
        <f t="shared" si="2"/>
        <v>0.23812598773407906</v>
      </c>
    </row>
    <row r="30" spans="1:23" x14ac:dyDescent="0.25">
      <c r="A30">
        <f>A29+Parameters!$B$65</f>
        <v>26</v>
      </c>
      <c r="B30" s="46">
        <f>B29</f>
        <v>5.1923637967104946E-2</v>
      </c>
      <c r="C30" s="46">
        <f t="shared" ref="C30:D33" si="13">C29</f>
        <v>1.0018690688175931E-2</v>
      </c>
      <c r="D30" s="46">
        <f t="shared" si="13"/>
        <v>0.29599393902119808</v>
      </c>
      <c r="E30" s="7">
        <f>MAX((1-Parameters!$B$4)^Parameters!B$65*E29+B29*Parameters!B$65-Parameters!$B$5*B29^2/E29*Parameters!B$65,0.0001)</f>
        <v>0.77420735525667705</v>
      </c>
      <c r="F30" s="9">
        <f>MAX((1-Parameters!$B$4)^Parameters!B$65*F29+C29*Parameters!B$65-Parameters!$B$5*C29^2/F29*Parameters!B$65,0.0001)</f>
        <v>0.14937280857699486</v>
      </c>
      <c r="G30" s="7">
        <f>MAX((1-Parameters!$B$4)^Parameters!B$65*G29+D29*Parameters!B$65-Parameters!$B$5*D29^2/G29*Parameters!B$65,0.0001)</f>
        <v>4.3803182541759247</v>
      </c>
      <c r="I30" s="7">
        <f>I29*(1+Parameters!$B$51)^Parameters!B$65</f>
        <v>8.7980934965097841</v>
      </c>
      <c r="J30" s="7">
        <f>J29*(1+Parameters!$B$53)^Parameters!B$65</f>
        <v>15.148764491558634</v>
      </c>
      <c r="K30" s="7">
        <f>'6states'!$O$4</f>
        <v>0.98104277196026479</v>
      </c>
      <c r="L30" s="9">
        <f t="shared" si="7"/>
        <v>0.5</v>
      </c>
      <c r="M30" s="23">
        <f t="shared" si="3"/>
        <v>2</v>
      </c>
      <c r="N30" s="7">
        <f>(Parameters!$B$19*(E30+Parameters!$B$20)^L30+Parameters!$B$18*F30^L30)^(1/L30)</f>
        <v>0.5386416110323089</v>
      </c>
      <c r="O30" s="7">
        <f>(Parameters!$B$10*G30^Parameters!$B$9 + Parameters!$B$11*N30^Parameters!$B$9) ^ (Parameters!$B$7/Parameters!$B$9) * K30</f>
        <v>1.503148735154157</v>
      </c>
      <c r="P30" s="7">
        <f t="shared" si="1"/>
        <v>1.1452124674776782</v>
      </c>
      <c r="Q30" s="7">
        <f>EXP(-Parameters!$B$55*A30)</f>
        <v>0.67529881309466844</v>
      </c>
      <c r="R30" s="7">
        <f>IF(P30&gt;0,P30^(1-Parameters!$B$52)/(1-Parameters!$B$52)*Q30,-10+P30*1000)</f>
        <v>-1.8399999807905332</v>
      </c>
      <c r="S30" s="7"/>
      <c r="T30" s="9"/>
      <c r="U30" s="9"/>
      <c r="V30" s="7"/>
      <c r="W30" s="13">
        <f t="shared" si="2"/>
        <v>0.23812431817651791</v>
      </c>
    </row>
    <row r="31" spans="1:23" x14ac:dyDescent="0.25">
      <c r="A31">
        <f>A30+Parameters!$B$65</f>
        <v>27</v>
      </c>
      <c r="B31" s="46">
        <f t="shared" ref="B31:B33" si="14">B30</f>
        <v>5.1923637967104946E-2</v>
      </c>
      <c r="C31" s="46">
        <f t="shared" si="13"/>
        <v>1.0018690688175931E-2</v>
      </c>
      <c r="D31" s="46">
        <f t="shared" si="13"/>
        <v>0.29599393902119808</v>
      </c>
      <c r="E31" s="7">
        <f>MAX((1-Parameters!$B$4)^Parameters!B$65*E30+B30*Parameters!B$65-Parameters!$B$5*B30^2/E30*Parameters!B$65,0.0001)</f>
        <v>0.77395099644983623</v>
      </c>
      <c r="F31" s="9">
        <f>MAX((1-Parameters!$B$4)^Parameters!B$65*F30+C30*Parameters!B$65-Parameters!$B$5*C30^2/F30*Parameters!B$65,0.0001)</f>
        <v>0.14932397882289908</v>
      </c>
      <c r="G31" s="7">
        <f>MAX((1-Parameters!$B$4)^Parameters!B$65*G30+D30*Parameters!B$65-Parameters!$B$5*D30^2/G30*Parameters!B$65,0.0001)</f>
        <v>4.3807887945495416</v>
      </c>
      <c r="I31" s="7">
        <f>I30*(1+Parameters!$B$51)^Parameters!B$65</f>
        <v>8.8236079676496608</v>
      </c>
      <c r="J31" s="7">
        <f>J30*(1+Parameters!$B$53)^Parameters!B$65</f>
        <v>15.451739781389806</v>
      </c>
      <c r="K31" s="7">
        <f>'6states'!$O$4</f>
        <v>0.98104277196026479</v>
      </c>
      <c r="L31" s="9">
        <f t="shared" si="7"/>
        <v>0.5</v>
      </c>
      <c r="M31" s="23">
        <f t="shared" si="3"/>
        <v>2</v>
      </c>
      <c r="N31" s="7">
        <f>(Parameters!$B$19*(E31+Parameters!$B$20)^L31+Parameters!$B$18*F31^L31)^(1/L31)</f>
        <v>0.53846552839420259</v>
      </c>
      <c r="O31" s="7">
        <f>(Parameters!$B$10*G31^Parameters!$B$9 + Parameters!$B$11*N31^Parameters!$B$9) ^ (Parameters!$B$7/Parameters!$B$9) * K31</f>
        <v>1.5031585919988153</v>
      </c>
      <c r="P31" s="7">
        <f t="shared" si="1"/>
        <v>1.1452223243223365</v>
      </c>
      <c r="Q31" s="7">
        <f>EXP(-Parameters!$B$55*A31)</f>
        <v>0.66517840241309079</v>
      </c>
      <c r="R31" s="7">
        <f>IF(P31&gt;0,P31^(1-Parameters!$B$52)/(1-Parameters!$B$52)*Q31,-10+P31*1000)</f>
        <v>-1.8124192386063038</v>
      </c>
      <c r="S31" s="7"/>
      <c r="T31" s="9"/>
      <c r="U31" s="9"/>
      <c r="V31" s="7"/>
      <c r="W31" s="13">
        <f t="shared" si="2"/>
        <v>0.23812275669496427</v>
      </c>
    </row>
    <row r="32" spans="1:23" x14ac:dyDescent="0.25">
      <c r="A32">
        <f>A31+Parameters!$B$65</f>
        <v>28</v>
      </c>
      <c r="B32" s="46">
        <f t="shared" si="14"/>
        <v>5.1923637967104946E-2</v>
      </c>
      <c r="C32" s="46">
        <f t="shared" si="13"/>
        <v>1.0018690688175931E-2</v>
      </c>
      <c r="D32" s="46">
        <f t="shared" si="13"/>
        <v>0.29599393902119808</v>
      </c>
      <c r="E32" s="7">
        <f>MAX((1-Parameters!$B$4)^Parameters!B$65*E31+B31*Parameters!B$65-Parameters!$B$5*B31^2/E31*Parameters!B$65,0.0001)</f>
        <v>0.77370960913820708</v>
      </c>
      <c r="F32" s="9">
        <f>MAX((1-Parameters!$B$4)^Parameters!B$65*F31+C31*Parameters!B$65-Parameters!$B$5*C31^2/F31*Parameters!B$65,0.0001)</f>
        <v>0.14927800072223127</v>
      </c>
      <c r="G32" s="7">
        <f>MAX((1-Parameters!$B$4)^Parameters!B$65*G31+D31*Parameters!B$65-Parameters!$B$5*D31^2/G31*Parameters!B$65,0.0001)</f>
        <v>4.3812318862812445</v>
      </c>
      <c r="I32" s="7">
        <f>I31*(1+Parameters!$B$51)^Parameters!B$65</f>
        <v>8.8491964307558444</v>
      </c>
      <c r="J32" s="7">
        <f>J31*(1+Parameters!$B$53)^Parameters!B$65</f>
        <v>15.760774577017603</v>
      </c>
      <c r="K32" s="7">
        <f>'6states'!$O$4</f>
        <v>0.98104277196026479</v>
      </c>
      <c r="L32" s="9">
        <f t="shared" si="7"/>
        <v>0.5</v>
      </c>
      <c r="M32" s="23">
        <f t="shared" si="3"/>
        <v>2</v>
      </c>
      <c r="N32" s="7">
        <f>(Parameters!$B$19*(E32+Parameters!$B$20)^L32+Parameters!$B$18*F32^L32)^(1/L32)</f>
        <v>0.53829972906102153</v>
      </c>
      <c r="O32" s="7">
        <f>(Parameters!$B$10*G32^Parameters!$B$9 + Parameters!$B$11*N32^Parameters!$B$9) ^ (Parameters!$B$7/Parameters!$B$9) * K32</f>
        <v>1.5031678140801215</v>
      </c>
      <c r="P32" s="7">
        <f t="shared" si="1"/>
        <v>1.1452315464036427</v>
      </c>
      <c r="Q32" s="7">
        <f>EXP(-Parameters!$B$55*A32)</f>
        <v>0.65520966194087471</v>
      </c>
      <c r="R32" s="7">
        <f>IF(P32&gt;0,P32^(1-Parameters!$B$52)/(1-Parameters!$B$52)*Q32,-10+P32*1000)</f>
        <v>-1.7852522652664948</v>
      </c>
      <c r="S32" s="7"/>
      <c r="T32" s="9"/>
      <c r="U32" s="9"/>
      <c r="V32" s="7"/>
      <c r="W32" s="13">
        <f t="shared" si="2"/>
        <v>0.23812129578860203</v>
      </c>
    </row>
    <row r="33" spans="1:23" x14ac:dyDescent="0.25">
      <c r="A33">
        <f>A32+Parameters!$B$65</f>
        <v>29</v>
      </c>
      <c r="B33" s="46">
        <f t="shared" si="14"/>
        <v>5.1923637967104946E-2</v>
      </c>
      <c r="C33" s="46">
        <f t="shared" si="13"/>
        <v>1.0018690688175931E-2</v>
      </c>
      <c r="D33" s="46">
        <f t="shared" si="13"/>
        <v>0.29599393902119808</v>
      </c>
      <c r="E33" s="7">
        <f>MAX((1-Parameters!$B$4)^Parameters!B$65*E32+B32*Parameters!B$65-Parameters!$B$5*B32^2/E32*Parameters!B$65,0.0001)</f>
        <v>0.77348231827952019</v>
      </c>
      <c r="F33" s="9">
        <f>MAX((1-Parameters!$B$4)^Parameters!B$65*F32+C32*Parameters!B$65-Parameters!$B$5*C32^2/F32*Parameters!B$65,0.0001)</f>
        <v>0.14923470760726962</v>
      </c>
      <c r="G33" s="7">
        <f>MAX((1-Parameters!$B$4)^Parameters!B$65*G32+D32*Parameters!B$65-Parameters!$B$5*D32^2/G32*Parameters!B$65,0.0001)</f>
        <v>4.3816491301463962</v>
      </c>
      <c r="I33" s="7">
        <f>I32*(1+Parameters!$B$51)^Parameters!B$65</f>
        <v>8.8748591004050361</v>
      </c>
      <c r="J33" s="7">
        <f>J32*(1+Parameters!$B$53)^Parameters!B$65</f>
        <v>16.075990068557957</v>
      </c>
      <c r="K33" s="7">
        <f>'6states'!$O$4</f>
        <v>0.98104277196026479</v>
      </c>
      <c r="L33" s="9">
        <f t="shared" si="7"/>
        <v>0.5</v>
      </c>
      <c r="M33" s="23">
        <f t="shared" si="3"/>
        <v>2</v>
      </c>
      <c r="N33" s="7">
        <f>(Parameters!$B$19*(E33+Parameters!$B$20)^L33+Parameters!$B$18*F33^L33)^(1/L33)</f>
        <v>0.53814361200419925</v>
      </c>
      <c r="O33" s="7">
        <f>(Parameters!$B$10*G33^Parameters!$B$9 + Parameters!$B$11*N33^Parameters!$B$9) ^ (Parameters!$B$7/Parameters!$B$9) * K33</f>
        <v>1.5031764451210274</v>
      </c>
      <c r="P33" s="7">
        <f t="shared" si="1"/>
        <v>1.1452401774445486</v>
      </c>
      <c r="Q33" s="7">
        <f>EXP(-Parameters!$B$55*A33)</f>
        <v>0.64539031866231678</v>
      </c>
      <c r="R33" s="7">
        <f>IF(P33&gt;0,P33^(1-Parameters!$B$52)/(1-Parameters!$B$52)*Q33,-10+P33*1000)</f>
        <v>-1.7584928246794871</v>
      </c>
      <c r="S33" s="7"/>
      <c r="T33" s="9"/>
      <c r="U33" s="9"/>
      <c r="V33" s="7"/>
      <c r="W33" s="13">
        <f t="shared" si="2"/>
        <v>0.23811992852752553</v>
      </c>
    </row>
    <row r="34" spans="1:23" x14ac:dyDescent="0.25">
      <c r="A34">
        <f>A33+Parameters!$B$65</f>
        <v>30</v>
      </c>
      <c r="B34" s="19">
        <v>5.1923682538251872E-2</v>
      </c>
      <c r="C34" s="45">
        <v>1.001871672679267E-2</v>
      </c>
      <c r="D34" s="18">
        <v>0.29599440575353192</v>
      </c>
      <c r="E34" s="7">
        <f>MAX((1-Parameters!$B$4)^Parameters!B$65*E33+B33*Parameters!B$65-Parameters!$B$5*B33^2/E33*Parameters!B$65,0.0001)</f>
        <v>0.77326830005390379</v>
      </c>
      <c r="F34" s="9">
        <f>MAX((1-Parameters!$B$4)^Parameters!B$65*F33+C33*Parameters!B$65-Parameters!$B$5*C33^2/F33*Parameters!B$65,0.0001)</f>
        <v>0.14919394256613858</v>
      </c>
      <c r="G34" s="7">
        <f>MAX((1-Parameters!$B$4)^Parameters!B$65*G33+D33*Parameters!B$65-Parameters!$B$5*D33^2/G33*Parameters!B$65,0.0001)</f>
        <v>4.3820420336127608</v>
      </c>
      <c r="I34" s="7">
        <f>I33*(1+Parameters!$B$51)^Parameters!B$65</f>
        <v>8.9005961917962093</v>
      </c>
      <c r="J34" s="7">
        <f>J33*(1+Parameters!$B$53)^Parameters!B$65</f>
        <v>16.397509869929117</v>
      </c>
      <c r="K34" s="7">
        <f>'6states'!$O$4</f>
        <v>0.98104277196026479</v>
      </c>
      <c r="L34" s="9">
        <f t="shared" si="7"/>
        <v>0.5</v>
      </c>
      <c r="M34" s="23">
        <f t="shared" si="3"/>
        <v>2</v>
      </c>
      <c r="N34" s="7">
        <f>(Parameters!$B$19*(E34+Parameters!$B$20)^L34+Parameters!$B$18*F34^L34)^(1/L34)</f>
        <v>0.53799661137738497</v>
      </c>
      <c r="O34" s="7">
        <f>(Parameters!$B$10*G34^Parameters!$B$9 + Parameters!$B$11*N34^Parameters!$B$9) ^ (Parameters!$B$7/Parameters!$B$9) * K34</f>
        <v>1.5031845255473566</v>
      </c>
      <c r="P34" s="7">
        <f t="shared" si="1"/>
        <v>1.1452477205287801</v>
      </c>
      <c r="Q34" s="7">
        <f>EXP(-Parameters!$B$55*A34)</f>
        <v>0.63571813362641427</v>
      </c>
      <c r="R34" s="7">
        <f>IF(P34&gt;0,P34^(1-Parameters!$B$52)/(1-Parameters!$B$52)*Q34,-10+P34*1000)</f>
        <v>-1.7321350617137929</v>
      </c>
      <c r="S34" s="7"/>
      <c r="T34" s="9"/>
      <c r="U34" s="9"/>
      <c r="V34" s="7"/>
      <c r="W34" s="13">
        <f t="shared" si="2"/>
        <v>0.23811900597382776</v>
      </c>
    </row>
    <row r="35" spans="1:23" x14ac:dyDescent="0.25">
      <c r="A35">
        <f>A34+Parameters!$B$65</f>
        <v>31</v>
      </c>
      <c r="B35" s="46">
        <f>B34</f>
        <v>5.1923682538251872E-2</v>
      </c>
      <c r="C35" s="46">
        <f t="shared" ref="C35:D43" si="15">C34</f>
        <v>1.001871672679267E-2</v>
      </c>
      <c r="D35" s="46">
        <f t="shared" si="15"/>
        <v>0.29599440575353192</v>
      </c>
      <c r="E35" s="7">
        <f>MAX((1-Parameters!$B$4)^Parameters!B$65*E34+B34*Parameters!B$65-Parameters!$B$5*B34^2/E34*Parameters!B$65,0.0001)</f>
        <v>0.7730668174420563</v>
      </c>
      <c r="F35" s="9">
        <f>MAX((1-Parameters!$B$4)^Parameters!B$65*F34+C34*Parameters!B$65-Parameters!$B$5*C34^2/F34*Parameters!B$65,0.0001)</f>
        <v>0.14915558041161076</v>
      </c>
      <c r="G35" s="7">
        <f>MAX((1-Parameters!$B$4)^Parameters!B$65*G34+D34*Parameters!B$65-Parameters!$B$5*D34^2/G34*Parameters!B$65,0.0001)</f>
        <v>4.3824124199533783</v>
      </c>
      <c r="I35" s="7">
        <f>I34*(1+Parameters!$B$51)^Parameters!B$65</f>
        <v>8.9264079207524176</v>
      </c>
      <c r="J35" s="7">
        <f>J34*(1+Parameters!$B$53)^Parameters!B$65</f>
        <v>16.725460067327699</v>
      </c>
      <c r="K35" s="7">
        <f>'6states'!$O$4</f>
        <v>0.98104277196026479</v>
      </c>
      <c r="L35" s="9">
        <f t="shared" si="7"/>
        <v>0.5</v>
      </c>
      <c r="M35" s="23">
        <f t="shared" si="3"/>
        <v>2</v>
      </c>
      <c r="N35" s="7">
        <f>(Parameters!$B$19*(E35+Parameters!$B$20)^L35+Parameters!$B$18*F35^L35)^(1/L35)</f>
        <v>0.53785822971894515</v>
      </c>
      <c r="O35" s="7">
        <f>(Parameters!$B$10*G35^Parameters!$B$9 + Parameters!$B$11*N35^Parameters!$B$9) ^ (Parameters!$B$7/Parameters!$B$9) * K35</f>
        <v>1.5031921319314878</v>
      </c>
      <c r="P35" s="7">
        <f t="shared" si="1"/>
        <v>1.1452553269129113</v>
      </c>
      <c r="Q35" s="7">
        <f>EXP(-Parameters!$B$55*A35)</f>
        <v>0.62619090143635336</v>
      </c>
      <c r="R35" s="7">
        <f>IF(P35&gt;0,P35^(1-Parameters!$B$52)/(1-Parameters!$B$52)*Q35,-10+P35*1000)</f>
        <v>-1.7061723379906317</v>
      </c>
      <c r="S35" s="7"/>
      <c r="T35" s="9"/>
      <c r="U35" s="9"/>
      <c r="V35" s="7"/>
      <c r="W35" s="13">
        <f t="shared" si="2"/>
        <v>0.23811780105491559</v>
      </c>
    </row>
    <row r="36" spans="1:23" x14ac:dyDescent="0.25">
      <c r="A36">
        <f>A35+Parameters!$B$65</f>
        <v>32</v>
      </c>
      <c r="B36" s="46">
        <f t="shared" ref="B36:B43" si="16">B35</f>
        <v>5.1923682538251872E-2</v>
      </c>
      <c r="C36" s="46">
        <f t="shared" si="15"/>
        <v>1.001871672679267E-2</v>
      </c>
      <c r="D36" s="46">
        <f t="shared" si="15"/>
        <v>0.29599440575353192</v>
      </c>
      <c r="E36" s="7">
        <f>MAX((1-Parameters!$B$4)^Parameters!B$65*E35+B35*Parameters!B$65-Parameters!$B$5*B35^2/E35*Parameters!B$65,0.0001)</f>
        <v>0.77287709938486848</v>
      </c>
      <c r="F36" s="9">
        <f>MAX((1-Parameters!$B$4)^Parameters!B$65*F35+C35*Parameters!B$65-Parameters!$B$5*C35^2/F35*Parameters!B$65,0.0001)</f>
        <v>0.14911945820059444</v>
      </c>
      <c r="G36" s="7">
        <f>MAX((1-Parameters!$B$4)^Parameters!B$65*G35+D35*Parameters!B$65-Parameters!$B$5*D35^2/G35*Parameters!B$65,0.0001)</f>
        <v>4.3827611987810222</v>
      </c>
      <c r="I36" s="7">
        <f>I35*(1+Parameters!$B$51)^Parameters!B$65</f>
        <v>8.9522945037225981</v>
      </c>
      <c r="J36" s="7">
        <f>J35*(1+Parameters!$B$53)^Parameters!B$65</f>
        <v>17.059969268674255</v>
      </c>
      <c r="K36" s="7">
        <f>'6states'!$O$4</f>
        <v>0.98104277196026479</v>
      </c>
      <c r="L36" s="9">
        <f t="shared" si="7"/>
        <v>0.5</v>
      </c>
      <c r="M36" s="23">
        <f t="shared" si="3"/>
        <v>2</v>
      </c>
      <c r="N36" s="7">
        <f>(Parameters!$B$19*(E36+Parameters!$B$20)^L36+Parameters!$B$18*F36^L36)^(1/L36)</f>
        <v>0.53772792814376813</v>
      </c>
      <c r="O36" s="7">
        <f>(Parameters!$B$10*G36^Parameters!$B$9 + Parameters!$B$11*N36^Parameters!$B$9) ^ (Parameters!$B$7/Parameters!$B$9) * K36</f>
        <v>1.503199257444388</v>
      </c>
      <c r="P36" s="7">
        <f t="shared" si="1"/>
        <v>1.1452624524258115</v>
      </c>
      <c r="Q36" s="7">
        <f>EXP(-Parameters!$B$55*A36)</f>
        <v>0.61680644974664667</v>
      </c>
      <c r="R36" s="7">
        <f>IF(P36&gt;0,P36^(1-Parameters!$B$52)/(1-Parameters!$B$52)*Q36,-10+P36*1000)</f>
        <v>-1.6805990128079171</v>
      </c>
      <c r="S36" s="7"/>
      <c r="T36" s="9"/>
      <c r="U36" s="9"/>
      <c r="V36" s="7"/>
      <c r="W36" s="13">
        <f t="shared" ref="W36:W64" si="17">(B36+C36+D36)/O36</f>
        <v>0.23811667232134631</v>
      </c>
    </row>
    <row r="37" spans="1:23" x14ac:dyDescent="0.25">
      <c r="A37">
        <f>A36+Parameters!$B$65</f>
        <v>33</v>
      </c>
      <c r="B37" s="46">
        <f t="shared" si="16"/>
        <v>5.1923682538251872E-2</v>
      </c>
      <c r="C37" s="46">
        <f t="shared" si="15"/>
        <v>1.001871672679267E-2</v>
      </c>
      <c r="D37" s="46">
        <f t="shared" si="15"/>
        <v>0.29599440575353192</v>
      </c>
      <c r="E37" s="7">
        <f>MAX((1-Parameters!$B$4)^Parameters!B$65*E36+B36*Parameters!B$65-Parameters!$B$5*B36^2/E36*Parameters!B$65,0.0001)</f>
        <v>0.77269845851777907</v>
      </c>
      <c r="F37" s="9">
        <f>MAX((1-Parameters!$B$4)^Parameters!B$65*F36+C36*Parameters!B$65-Parameters!$B$5*C36^2/F36*Parameters!B$65,0.0001)</f>
        <v>0.14908544506272897</v>
      </c>
      <c r="G37" s="7">
        <f>MAX((1-Parameters!$B$4)^Parameters!B$65*G36+D36*Parameters!B$65-Parameters!$B$5*D36^2/G36*Parameters!B$65,0.0001)</f>
        <v>4.383089630368703</v>
      </c>
      <c r="I37" s="7">
        <f>I36*(1+Parameters!$B$51)^Parameters!B$65</f>
        <v>8.9782561577833935</v>
      </c>
      <c r="J37" s="7">
        <f>J36*(1+Parameters!$B$53)^Parameters!B$65</f>
        <v>17.401168654047741</v>
      </c>
      <c r="K37" s="7">
        <f>'6states'!$O$4</f>
        <v>0.98104277196026479</v>
      </c>
      <c r="L37" s="9">
        <f t="shared" si="7"/>
        <v>0.5</v>
      </c>
      <c r="M37" s="23">
        <f t="shared" si="3"/>
        <v>2</v>
      </c>
      <c r="N37" s="7">
        <f>(Parameters!$B$19*(E37+Parameters!$B$20)^L37+Parameters!$B$18*F37^L37)^(1/L37)</f>
        <v>0.53760523456022902</v>
      </c>
      <c r="O37" s="7">
        <f>(Parameters!$B$10*G37^Parameters!$B$9 + Parameters!$B$11*N37^Parameters!$B$9) ^ (Parameters!$B$7/Parameters!$B$9) * K37</f>
        <v>1.5032059343071096</v>
      </c>
      <c r="P37" s="7">
        <f t="shared" si="1"/>
        <v>1.1452691292885331</v>
      </c>
      <c r="Q37" s="7">
        <f>EXP(-Parameters!$B$55*A37)</f>
        <v>0.60756263876780681</v>
      </c>
      <c r="R37" s="7">
        <f>IF(P37&gt;0,P37^(1-Parameters!$B$52)/(1-Parameters!$B$52)*Q37,-10+P37*1000)</f>
        <v>-1.6554092258171595</v>
      </c>
      <c r="S37" s="7"/>
      <c r="T37" s="9"/>
      <c r="U37" s="9"/>
      <c r="V37" s="7"/>
      <c r="W37" s="13">
        <f t="shared" si="17"/>
        <v>0.2381156146669714</v>
      </c>
    </row>
    <row r="38" spans="1:23" x14ac:dyDescent="0.25">
      <c r="A38">
        <f>A37+Parameters!$B$65</f>
        <v>34</v>
      </c>
      <c r="B38" s="46">
        <f t="shared" si="16"/>
        <v>5.1923682538251872E-2</v>
      </c>
      <c r="C38" s="46">
        <f t="shared" si="15"/>
        <v>1.001871672679267E-2</v>
      </c>
      <c r="D38" s="46">
        <f t="shared" si="15"/>
        <v>0.29599440575353192</v>
      </c>
      <c r="E38" s="7">
        <f>MAX((1-Parameters!$B$4)^Parameters!B$65*E37+B37*Parameters!B$65-Parameters!$B$5*B37^2/E37*Parameters!B$65,0.0001)</f>
        <v>0.77253024768549461</v>
      </c>
      <c r="F38" s="9">
        <f>MAX((1-Parameters!$B$4)^Parameters!B$65*F37+C37*Parameters!B$65-Parameters!$B$5*C37^2/F37*Parameters!B$65,0.0001)</f>
        <v>0.14905341778302214</v>
      </c>
      <c r="G38" s="7">
        <f>MAX((1-Parameters!$B$4)^Parameters!B$65*G37+D37*Parameters!B$65-Parameters!$B$5*D37^2/G37*Parameters!B$65,0.0001)</f>
        <v>4.3833989015127797</v>
      </c>
      <c r="I38" s="7">
        <f>I37*(1+Parameters!$B$51)^Parameters!B$65</f>
        <v>9.0042931006409646</v>
      </c>
      <c r="J38" s="7">
        <f>J37*(1+Parameters!$B$53)^Parameters!B$65</f>
        <v>17.749192027128696</v>
      </c>
      <c r="K38" s="7">
        <f>'6states'!$O$4</f>
        <v>0.98104277196026479</v>
      </c>
      <c r="L38" s="9">
        <f t="shared" si="7"/>
        <v>0.5</v>
      </c>
      <c r="M38" s="23">
        <f t="shared" si="3"/>
        <v>2</v>
      </c>
      <c r="N38" s="7">
        <f>(Parameters!$B$19*(E38+Parameters!$B$20)^L38+Parameters!$B$18*F38^L38)^(1/L38)</f>
        <v>0.53748970449284761</v>
      </c>
      <c r="O38" s="7">
        <f>(Parameters!$B$10*G38^Parameters!$B$9 + Parameters!$B$11*N38^Parameters!$B$9) ^ (Parameters!$B$7/Parameters!$B$9) * K38</f>
        <v>1.5032121923946329</v>
      </c>
      <c r="P38" s="7">
        <f t="shared" si="1"/>
        <v>1.1452753873760564</v>
      </c>
      <c r="Q38" s="7">
        <f>EXP(-Parameters!$B$55*A38)</f>
        <v>0.59845736077844469</v>
      </c>
      <c r="R38" s="7">
        <f>IF(P38&gt;0,P38^(1-Parameters!$B$52)/(1-Parameters!$B$52)*Q38,-10+P38*1000)</f>
        <v>-1.63059720657927</v>
      </c>
      <c r="S38" s="7"/>
      <c r="T38" s="9"/>
      <c r="U38" s="9"/>
      <c r="V38" s="7"/>
      <c r="W38" s="13">
        <f t="shared" si="17"/>
        <v>0.23811462335758424</v>
      </c>
    </row>
    <row r="39" spans="1:23" x14ac:dyDescent="0.25">
      <c r="A39">
        <f>A38+Parameters!$B$65</f>
        <v>35</v>
      </c>
      <c r="B39" s="46">
        <f t="shared" si="16"/>
        <v>5.1923682538251872E-2</v>
      </c>
      <c r="C39" s="46">
        <f t="shared" si="15"/>
        <v>1.001871672679267E-2</v>
      </c>
      <c r="D39" s="46">
        <f t="shared" si="15"/>
        <v>0.29599440575353192</v>
      </c>
      <c r="E39" s="7">
        <f>MAX((1-Parameters!$B$4)^Parameters!B$65*E38+B38*Parameters!B$65-Parameters!$B$5*B38^2/E38*Parameters!B$65,0.0001)</f>
        <v>0.77237185758435634</v>
      </c>
      <c r="F39" s="9">
        <f>MAX((1-Parameters!$B$4)^Parameters!B$65*F38+C38*Parameters!B$65-Parameters!$B$5*C38^2/F38*Parameters!B$65,0.0001)</f>
        <v>0.14902326035301269</v>
      </c>
      <c r="G39" s="7">
        <f>MAX((1-Parameters!$B$4)^Parameters!B$65*G38+D38*Parameters!B$65-Parameters!$B$5*D38^2/G38*Parameters!B$65,0.0001)</f>
        <v>4.3836901298134379</v>
      </c>
      <c r="I39" s="7">
        <f>I38*(1+Parameters!$B$51)^Parameters!B$65</f>
        <v>9.0304055506328229</v>
      </c>
      <c r="J39" s="7">
        <f>J38*(1+Parameters!$B$53)^Parameters!B$65</f>
        <v>18.10417586767127</v>
      </c>
      <c r="K39" s="7">
        <f>'6states'!$O$4</f>
        <v>0.98104277196026479</v>
      </c>
      <c r="L39" s="9">
        <f t="shared" si="7"/>
        <v>0.5</v>
      </c>
      <c r="M39" s="23">
        <f t="shared" si="3"/>
        <v>2</v>
      </c>
      <c r="N39" s="7">
        <f>(Parameters!$B$19*(E39+Parameters!$B$20)^L39+Parameters!$B$18*F39^L39)^(1/L39)</f>
        <v>0.53738091946305722</v>
      </c>
      <c r="O39" s="7">
        <f>(Parameters!$B$10*G39^Parameters!$B$9 + Parameters!$B$11*N39^Parameters!$B$9) ^ (Parameters!$B$7/Parameters!$B$9) * K39</f>
        <v>1.5032180594246334</v>
      </c>
      <c r="P39" s="7">
        <f t="shared" si="1"/>
        <v>1.1452812544060569</v>
      </c>
      <c r="Q39" s="7">
        <f>EXP(-Parameters!$B$55*A39)</f>
        <v>0.58948853964467807</v>
      </c>
      <c r="R39" s="7">
        <f>IF(P39&gt;0,P39^(1-Parameters!$B$52)/(1-Parameters!$B$52)*Q39,-10+P39*1000)</f>
        <v>-1.6061572730287135</v>
      </c>
      <c r="S39" s="7"/>
      <c r="T39" s="9"/>
      <c r="U39" s="9"/>
      <c r="V39" s="7"/>
      <c r="W39" s="13">
        <f t="shared" si="17"/>
        <v>0.2381136940009749</v>
      </c>
    </row>
    <row r="40" spans="1:23" x14ac:dyDescent="0.25">
      <c r="A40">
        <f>A39+Parameters!$B$65</f>
        <v>36</v>
      </c>
      <c r="B40" s="46">
        <f t="shared" si="16"/>
        <v>5.1923682538251872E-2</v>
      </c>
      <c r="C40" s="46">
        <f t="shared" si="15"/>
        <v>1.001871672679267E-2</v>
      </c>
      <c r="D40" s="46">
        <f t="shared" si="15"/>
        <v>0.29599440575353192</v>
      </c>
      <c r="E40" s="7">
        <f>MAX((1-Parameters!$B$4)^Parameters!B$65*E39+B39*Parameters!B$65-Parameters!$B$5*B39^2/E39*Parameters!B$65,0.0001)</f>
        <v>0.77222271454355718</v>
      </c>
      <c r="F40" s="9">
        <f>MAX((1-Parameters!$B$4)^Parameters!B$65*F39+C39*Parameters!B$65-Parameters!$B$5*C39^2/F39*Parameters!B$65,0.0001)</f>
        <v>0.14899486354836358</v>
      </c>
      <c r="G40" s="7">
        <f>MAX((1-Parameters!$B$4)^Parameters!B$65*G39+D39*Parameters!B$65-Parameters!$B$5*D39^2/G39*Parameters!B$65,0.0001)</f>
        <v>4.3839643677061924</v>
      </c>
      <c r="I40" s="7">
        <f>I39*(1+Parameters!$B$51)^Parameters!B$65</f>
        <v>9.0565937267296572</v>
      </c>
      <c r="J40" s="7">
        <f>J39*(1+Parameters!$B$53)^Parameters!B$65</f>
        <v>18.466259385024696</v>
      </c>
      <c r="K40" s="7">
        <f>'6states'!$O$4</f>
        <v>0.98104277196026479</v>
      </c>
      <c r="L40" s="9">
        <f t="shared" si="7"/>
        <v>0.5</v>
      </c>
      <c r="M40" s="23">
        <f t="shared" si="3"/>
        <v>2</v>
      </c>
      <c r="N40" s="7">
        <f>(Parameters!$B$19*(E40+Parameters!$B$20)^L40+Parameters!$B$18*F40^L40)^(1/L40)</f>
        <v>0.53727848546533497</v>
      </c>
      <c r="O40" s="7">
        <f>(Parameters!$B$10*G40^Parameters!$B$9 + Parameters!$B$11*N40^Parameters!$B$9) ^ (Parameters!$B$7/Parameters!$B$9) * K40</f>
        <v>1.5032235611295122</v>
      </c>
      <c r="P40" s="7">
        <f t="shared" si="1"/>
        <v>1.1452867561109357</v>
      </c>
      <c r="Q40" s="7">
        <f>EXP(-Parameters!$B$55*A40)</f>
        <v>0.58065413034674362</v>
      </c>
      <c r="R40" s="7">
        <f>IF(P40&gt;0,P40^(1-Parameters!$B$52)/(1-Parameters!$B$52)*Q40,-10+P40*1000)</f>
        <v>-1.5820838299789863</v>
      </c>
      <c r="S40" s="7"/>
      <c r="T40" s="9"/>
      <c r="U40" s="9"/>
      <c r="V40" s="7"/>
      <c r="W40" s="13">
        <f t="shared" si="17"/>
        <v>0.23811282251964247</v>
      </c>
    </row>
    <row r="41" spans="1:23" x14ac:dyDescent="0.25">
      <c r="A41">
        <f>A40+Parameters!$B$65</f>
        <v>37</v>
      </c>
      <c r="B41" s="46">
        <f t="shared" si="16"/>
        <v>5.1923682538251872E-2</v>
      </c>
      <c r="C41" s="46">
        <f t="shared" si="15"/>
        <v>1.001871672679267E-2</v>
      </c>
      <c r="D41" s="46">
        <f t="shared" si="15"/>
        <v>0.29599440575353192</v>
      </c>
      <c r="E41" s="7">
        <f>MAX((1-Parameters!$B$4)^Parameters!B$65*E40+B40*Parameters!B$65-Parameters!$B$5*B40^2/E40*Parameters!B$65,0.0001)</f>
        <v>0.77208227843696442</v>
      </c>
      <c r="F41" s="9">
        <f>MAX((1-Parameters!$B$4)^Parameters!B$65*F40+C40*Parameters!B$65-Parameters!$B$5*C40^2/F40*Parameters!B$65,0.0001)</f>
        <v>0.14896812453131703</v>
      </c>
      <c r="G41" s="7">
        <f>MAX((1-Parameters!$B$4)^Parameters!B$65*G40+D40*Parameters!B$65-Parameters!$B$5*D40^2/G40*Parameters!B$65,0.0001)</f>
        <v>4.3842226062588434</v>
      </c>
      <c r="I41" s="7">
        <f>I40*(1+Parameters!$B$51)^Parameters!B$65</f>
        <v>9.0828578485371718</v>
      </c>
      <c r="J41" s="7">
        <f>J40*(1+Parameters!$B$53)^Parameters!B$65</f>
        <v>18.835584572725189</v>
      </c>
      <c r="K41" s="7">
        <f>'6states'!$O$4</f>
        <v>0.98104277196026479</v>
      </c>
      <c r="L41" s="9">
        <f t="shared" si="7"/>
        <v>0.5</v>
      </c>
      <c r="M41" s="23">
        <f t="shared" si="3"/>
        <v>2</v>
      </c>
      <c r="N41" s="7">
        <f>(Parameters!$B$19*(E41+Parameters!$B$20)^L41+Parameters!$B$18*F41^L41)^(1/L41)</f>
        <v>0.53718203153303112</v>
      </c>
      <c r="O41" s="7">
        <f>(Parameters!$B$10*G41^Parameters!$B$9 + Parameters!$B$11*N41^Parameters!$B$9) ^ (Parameters!$B$7/Parameters!$B$9) * K41</f>
        <v>1.5032287214132831</v>
      </c>
      <c r="P41" s="7">
        <f t="shared" si="1"/>
        <v>1.1452919163947066</v>
      </c>
      <c r="Q41" s="7">
        <f>EXP(-Parameters!$B$55*A41)</f>
        <v>0.571952118512703</v>
      </c>
      <c r="R41" s="7">
        <f>IF(P41&gt;0,P41^(1-Parameters!$B$52)/(1-Parameters!$B$52)*Q41,-10+P41*1000)</f>
        <v>-1.5583713676668938</v>
      </c>
      <c r="S41" s="7"/>
      <c r="T41" s="9"/>
      <c r="U41" s="9"/>
      <c r="V41" s="7"/>
      <c r="W41" s="13">
        <f t="shared" si="17"/>
        <v>0.2381120051259111</v>
      </c>
    </row>
    <row r="42" spans="1:23" x14ac:dyDescent="0.25">
      <c r="A42">
        <f>A41+Parameters!$B$65</f>
        <v>38</v>
      </c>
      <c r="B42" s="46">
        <f t="shared" si="16"/>
        <v>5.1923682538251872E-2</v>
      </c>
      <c r="C42" s="46">
        <f t="shared" si="15"/>
        <v>1.001871672679267E-2</v>
      </c>
      <c r="D42" s="46">
        <f t="shared" si="15"/>
        <v>0.29599440575353192</v>
      </c>
      <c r="E42" s="7">
        <f>MAX((1-Parameters!$B$4)^Parameters!B$65*E41+B41*Parameters!B$65-Parameters!$B$5*B41^2/E41*Parameters!B$65,0.0001)</f>
        <v>0.77195004071779905</v>
      </c>
      <c r="F42" s="9">
        <f>MAX((1-Parameters!$B$4)^Parameters!B$65*F41+C41*Parameters!B$65-Parameters!$B$5*C41^2/F41*Parameters!B$65,0.0001)</f>
        <v>0.14894294647653616</v>
      </c>
      <c r="G42" s="7">
        <f>MAX((1-Parameters!$B$4)^Parameters!B$65*G41+D41*Parameters!B$65-Parameters!$B$5*D41^2/G41*Parameters!B$65,0.0001)</f>
        <v>4.3844657787474945</v>
      </c>
      <c r="I42" s="7">
        <f>I41*(1+Parameters!$B$51)^Parameters!B$65</f>
        <v>9.1091981362979286</v>
      </c>
      <c r="J42" s="7">
        <f>J41*(1+Parameters!$B$53)^Parameters!B$65</f>
        <v>19.212296264179692</v>
      </c>
      <c r="K42" s="7">
        <f>'6states'!$O$4</f>
        <v>0.98104277196026479</v>
      </c>
      <c r="L42" s="9">
        <f t="shared" si="7"/>
        <v>0.5</v>
      </c>
      <c r="M42" s="23">
        <f t="shared" si="3"/>
        <v>2</v>
      </c>
      <c r="N42" s="7">
        <f>(Parameters!$B$19*(E42+Parameters!$B$20)^L42+Parameters!$B$18*F42^L42)^(1/L42)</f>
        <v>0.53709120838857471</v>
      </c>
      <c r="O42" s="7">
        <f>(Parameters!$B$10*G42^Parameters!$B$9 + Parameters!$B$11*N42^Parameters!$B$9) ^ (Parameters!$B$7/Parameters!$B$9) * K42</f>
        <v>1.5032335624947595</v>
      </c>
      <c r="P42" s="7">
        <f t="shared" si="1"/>
        <v>1.145296757476183</v>
      </c>
      <c r="Q42" s="7">
        <f>EXP(-Parameters!$B$55*A42)</f>
        <v>0.56338051995913718</v>
      </c>
      <c r="R42" s="7">
        <f>IF(P42&gt;0,P42^(1-Parameters!$B$52)/(1-Parameters!$B$52)*Q42,-10+P42*1000)</f>
        <v>-1.5350144603333631</v>
      </c>
      <c r="S42" s="7"/>
      <c r="T42" s="9"/>
      <c r="U42" s="9"/>
      <c r="V42" s="7"/>
      <c r="W42" s="13">
        <f t="shared" si="17"/>
        <v>0.2381112382992209</v>
      </c>
    </row>
    <row r="43" spans="1:23" x14ac:dyDescent="0.25">
      <c r="A43">
        <f>A42+Parameters!$B$65</f>
        <v>39</v>
      </c>
      <c r="B43" s="46">
        <f t="shared" si="16"/>
        <v>5.1923682538251872E-2</v>
      </c>
      <c r="C43" s="46">
        <f t="shared" si="15"/>
        <v>1.001871672679267E-2</v>
      </c>
      <c r="D43" s="46">
        <f t="shared" si="15"/>
        <v>0.29599440575353192</v>
      </c>
      <c r="E43" s="7">
        <f>MAX((1-Parameters!$B$4)^Parameters!B$65*E42+B42*Parameters!B$65-Parameters!$B$5*B42^2/E42*Parameters!B$65,0.0001)</f>
        <v>0.77182552256888992</v>
      </c>
      <c r="F43" s="9">
        <f>MAX((1-Parameters!$B$4)^Parameters!B$65*F42+C42*Parameters!B$65-Parameters!$B$5*C42^2/F42*Parameters!B$65,0.0001)</f>
        <v>0.1489192382189479</v>
      </c>
      <c r="G43" s="7">
        <f>MAX((1-Parameters!$B$4)^Parameters!B$65*G42+D42*Parameters!B$65-Parameters!$B$5*D42^2/G42*Parameters!B$65,0.0001)</f>
        <v>4.3846947640244567</v>
      </c>
      <c r="I43" s="7">
        <f>I42*(1+Parameters!$B$51)^Parameters!B$65</f>
        <v>9.1356148108931912</v>
      </c>
      <c r="J43" s="7">
        <f>J42*(1+Parameters!$B$53)^Parameters!B$65</f>
        <v>19.596542189463285</v>
      </c>
      <c r="K43" s="7">
        <f>'6states'!$O$4</f>
        <v>0.98104277196026479</v>
      </c>
      <c r="L43" s="9">
        <f t="shared" si="7"/>
        <v>0.5</v>
      </c>
      <c r="M43" s="23">
        <f t="shared" si="3"/>
        <v>2</v>
      </c>
      <c r="N43" s="7">
        <f>(Parameters!$B$19*(E43+Parameters!$B$20)^L43+Parameters!$B$18*F43^L43)^(1/L43)</f>
        <v>0.53700568717305674</v>
      </c>
      <c r="O43" s="7">
        <f>(Parameters!$B$10*G43^Parameters!$B$9 + Parameters!$B$11*N43^Parameters!$B$9) ^ (Parameters!$B$7/Parameters!$B$9) * K43</f>
        <v>1.503238105038339</v>
      </c>
      <c r="P43" s="7">
        <f t="shared" si="1"/>
        <v>1.1453013000197625</v>
      </c>
      <c r="Q43" s="7">
        <f>EXP(-Parameters!$B$55*A43)</f>
        <v>0.5549373802387243</v>
      </c>
      <c r="R43" s="7">
        <f>IF(P43&gt;0,P43^(1-Parameters!$B$52)/(1-Parameters!$B$52)*Q43,-10+P43*1000)</f>
        <v>-1.5120077648387278</v>
      </c>
      <c r="S43" s="7"/>
      <c r="T43" s="9"/>
      <c r="U43" s="9"/>
      <c r="V43" s="7"/>
      <c r="W43" s="13">
        <f t="shared" si="17"/>
        <v>0.23811051876538716</v>
      </c>
    </row>
    <row r="44" spans="1:23" x14ac:dyDescent="0.25">
      <c r="A44">
        <f>A43+Parameters!$B$65</f>
        <v>40</v>
      </c>
      <c r="B44" s="19">
        <v>5.1923809653700789E-2</v>
      </c>
      <c r="C44" s="45">
        <v>1.0018706835576659E-2</v>
      </c>
      <c r="D44" s="18">
        <v>0.29599475031932415</v>
      </c>
      <c r="E44" s="7">
        <f>MAX((1-Parameters!$B$4)^Parameters!B$65*E43+B43*Parameters!B$65-Parameters!$B$5*B43^2/E43*Parameters!B$65,0.0001)</f>
        <v>0.77170827316165824</v>
      </c>
      <c r="F44" s="9">
        <f>MAX((1-Parameters!$B$4)^Parameters!B$65*F43+C43*Parameters!B$65-Parameters!$B$5*C43^2/F43*Parameters!B$65,0.0001)</f>
        <v>0.14889691392228382</v>
      </c>
      <c r="G44" s="7">
        <f>MAX((1-Parameters!$B$4)^Parameters!B$65*G43+D43*Parameters!B$65-Parameters!$B$5*D43^2/G43*Parameters!B$65,0.0001)</f>
        <v>4.3849103896901198</v>
      </c>
      <c r="I44" s="7">
        <f>I43*(1+Parameters!$B$51)^Parameters!B$65</f>
        <v>9.1621080938447808</v>
      </c>
      <c r="J44" s="7">
        <f>J43*(1+Parameters!$B$53)^Parameters!B$65</f>
        <v>19.98847303325255</v>
      </c>
      <c r="K44" s="7">
        <f>'6states'!$O$4</f>
        <v>0.98104277196026479</v>
      </c>
      <c r="L44" s="9">
        <f t="shared" si="7"/>
        <v>0.5</v>
      </c>
      <c r="M44" s="23">
        <f t="shared" si="3"/>
        <v>2</v>
      </c>
      <c r="N44" s="7">
        <f>(Parameters!$B$19*(E44+Parameters!$B$20)^L44+Parameters!$B$18*F44^L44)^(1/L44)</f>
        <v>0.53692515825048759</v>
      </c>
      <c r="O44" s="7">
        <f>(Parameters!$B$10*G44^Parameters!$B$9 + Parameters!$B$11*N44^Parameters!$B$9) ^ (Parameters!$B$7/Parameters!$B$9) * K44</f>
        <v>1.5032423682735558</v>
      </c>
      <c r="P44" s="7">
        <f t="shared" si="1"/>
        <v>1.1453051014649545</v>
      </c>
      <c r="Q44" s="7">
        <f>EXP(-Parameters!$B$55*A44)</f>
        <v>0.54662077419459754</v>
      </c>
      <c r="R44" s="7">
        <f>IF(P44&gt;0,P44^(1-Parameters!$B$52)/(1-Parameters!$B$52)*Q44,-10+P44*1000)</f>
        <v>-1.4893462294884772</v>
      </c>
      <c r="S44" s="7"/>
      <c r="T44" s="9"/>
      <c r="U44" s="9"/>
      <c r="V44" s="7"/>
      <c r="W44" s="13">
        <f t="shared" si="17"/>
        <v>0.23811015067363056</v>
      </c>
    </row>
    <row r="45" spans="1:23" x14ac:dyDescent="0.25">
      <c r="A45">
        <f>A44+Parameters!$B$65</f>
        <v>41</v>
      </c>
      <c r="B45" s="46">
        <f>B44</f>
        <v>5.1923809653700789E-2</v>
      </c>
      <c r="C45" s="46">
        <f t="shared" ref="C45:D53" si="18">C44</f>
        <v>1.0018706835576659E-2</v>
      </c>
      <c r="D45" s="46">
        <f t="shared" si="18"/>
        <v>0.29599475031932415</v>
      </c>
      <c r="E45" s="7">
        <f>MAX((1-Parameters!$B$4)^Parameters!B$65*E44+B44*Parameters!B$65-Parameters!$B$5*B44^2/E44*Parameters!B$65,0.0001)</f>
        <v>0.77159797802713326</v>
      </c>
      <c r="F45" s="9">
        <f>MAX((1-Parameters!$B$4)^Parameters!B$65*F44+C44*Parameters!B$65-Parameters!$B$5*C44^2/F44*Parameters!B$65,0.0001)</f>
        <v>0.14887588420696421</v>
      </c>
      <c r="G45" s="7">
        <f>MAX((1-Parameters!$B$4)^Parameters!B$65*G44+D44*Parameters!B$65-Parameters!$B$5*D44^2/G44*Parameters!B$65,0.0001)</f>
        <v>4.3851137331275183</v>
      </c>
      <c r="I45" s="7">
        <f>I44*(1+Parameters!$B$51)^Parameters!B$65</f>
        <v>9.1886782073169293</v>
      </c>
      <c r="J45" s="7">
        <f>J44*(1+Parameters!$B$53)^Parameters!B$65</f>
        <v>20.388242493917602</v>
      </c>
      <c r="K45" s="7">
        <f>'6states'!$O$4</f>
        <v>0.98104277196026479</v>
      </c>
      <c r="L45" s="9">
        <f t="shared" si="7"/>
        <v>0.5</v>
      </c>
      <c r="M45" s="23">
        <f t="shared" si="3"/>
        <v>2</v>
      </c>
      <c r="N45" s="7">
        <f>(Parameters!$B$19*(E45+Parameters!$B$20)^L45+Parameters!$B$18*F45^L45)^(1/L45)</f>
        <v>0.53684938861502807</v>
      </c>
      <c r="O45" s="7">
        <f>(Parameters!$B$10*G45^Parameters!$B$9 + Parameters!$B$11*N45^Parameters!$B$9) ^ (Parameters!$B$7/Parameters!$B$9) * K45</f>
        <v>1.5032464044532705</v>
      </c>
      <c r="P45" s="7">
        <f t="shared" si="1"/>
        <v>1.1453091376446691</v>
      </c>
      <c r="Q45" s="7">
        <f>EXP(-Parameters!$B$55*A45)</f>
        <v>0.53842880552138184</v>
      </c>
      <c r="R45" s="7">
        <f>IF(P45&gt;0,P45^(1-Parameters!$B$52)/(1-Parameters!$B$52)*Q45,-10+P45*1000)</f>
        <v>-1.4670242334507848</v>
      </c>
      <c r="S45" s="7"/>
      <c r="T45" s="9"/>
      <c r="U45" s="9"/>
      <c r="V45" s="7"/>
      <c r="W45" s="13">
        <f t="shared" si="17"/>
        <v>0.23810951135371788</v>
      </c>
    </row>
    <row r="46" spans="1:23" x14ac:dyDescent="0.25">
      <c r="A46">
        <f>A45+Parameters!$B$65</f>
        <v>42</v>
      </c>
      <c r="B46" s="46">
        <f t="shared" ref="B46:B53" si="19">B45</f>
        <v>5.1923809653700789E-2</v>
      </c>
      <c r="C46" s="46">
        <f t="shared" si="18"/>
        <v>1.0018706835576659E-2</v>
      </c>
      <c r="D46" s="46">
        <f t="shared" si="18"/>
        <v>0.29599475031932415</v>
      </c>
      <c r="E46" s="7">
        <f>MAX((1-Parameters!$B$4)^Parameters!B$65*E45+B45*Parameters!B$65-Parameters!$B$5*B45^2/E45*Parameters!B$65,0.0001)</f>
        <v>0.77149412106038995</v>
      </c>
      <c r="F46" s="9">
        <f>MAX((1-Parameters!$B$4)^Parameters!B$65*F45+C45*Parameters!B$65-Parameters!$B$5*C45^2/F45*Parameters!B$65,0.0001)</f>
        <v>0.14885608203668119</v>
      </c>
      <c r="G46" s="7">
        <f>MAX((1-Parameters!$B$4)^Parameters!B$65*G45+D45*Parameters!B$65-Parameters!$B$5*D45^2/G45*Parameters!B$65,0.0001)</f>
        <v>4.385305212786534</v>
      </c>
      <c r="I46" s="7">
        <f>I45*(1+Parameters!$B$51)^Parameters!B$65</f>
        <v>9.215325374118148</v>
      </c>
      <c r="J46" s="7">
        <f>J45*(1+Parameters!$B$53)^Parameters!B$65</f>
        <v>20.796007343795953</v>
      </c>
      <c r="K46" s="7">
        <f>'6states'!$O$4</f>
        <v>0.98104277196026479</v>
      </c>
      <c r="L46" s="9">
        <f t="shared" si="7"/>
        <v>0.5</v>
      </c>
      <c r="M46" s="23">
        <f t="shared" si="3"/>
        <v>2</v>
      </c>
      <c r="N46" s="7">
        <f>(Parameters!$B$19*(E46+Parameters!$B$20)^L46+Parameters!$B$18*F46^L46)^(1/L46)</f>
        <v>0.53677804181550826</v>
      </c>
      <c r="O46" s="7">
        <f>(Parameters!$B$10*G46^Parameters!$B$9 + Parameters!$B$11*N46^Parameters!$B$9) ^ (Parameters!$B$7/Parameters!$B$9) * K46</f>
        <v>1.5032501939076595</v>
      </c>
      <c r="P46" s="7">
        <f t="shared" si="1"/>
        <v>1.1453129270990581</v>
      </c>
      <c r="Q46" s="7">
        <f>EXP(-Parameters!$B$55*A46)</f>
        <v>0.53035960633280899</v>
      </c>
      <c r="R46" s="7">
        <f>IF(P46&gt;0,P46^(1-Parameters!$B$52)/(1-Parameters!$B$52)*Q46,-10+P46*1000)</f>
        <v>-1.4450369035735338</v>
      </c>
      <c r="S46" s="7"/>
      <c r="T46" s="9"/>
      <c r="U46" s="9"/>
      <c r="V46" s="7"/>
      <c r="W46" s="13">
        <f t="shared" si="17"/>
        <v>0.23810891111755195</v>
      </c>
    </row>
    <row r="47" spans="1:23" x14ac:dyDescent="0.25">
      <c r="A47">
        <f>A46+Parameters!$B$65</f>
        <v>43</v>
      </c>
      <c r="B47" s="46">
        <f t="shared" si="19"/>
        <v>5.1923809653700789E-2</v>
      </c>
      <c r="C47" s="46">
        <f t="shared" si="18"/>
        <v>1.0018706835576659E-2</v>
      </c>
      <c r="D47" s="46">
        <f t="shared" si="18"/>
        <v>0.29599475031932415</v>
      </c>
      <c r="E47" s="7">
        <f>MAX((1-Parameters!$B$4)^Parameters!B$65*E46+B46*Parameters!B$65-Parameters!$B$5*B46^2/E46*Parameters!B$65,0.0001)</f>
        <v>0.77139632632098887</v>
      </c>
      <c r="F47" s="9">
        <f>MAX((1-Parameters!$B$4)^Parameters!B$65*F46+C46*Parameters!B$65-Parameters!$B$5*C46^2/F46*Parameters!B$65,0.0001)</f>
        <v>0.14883743573266814</v>
      </c>
      <c r="G47" s="7">
        <f>MAX((1-Parameters!$B$4)^Parameters!B$65*G46+D46*Parameters!B$65-Parameters!$B$5*D46^2/G46*Parameters!B$65,0.0001)</f>
        <v>4.3854855207635852</v>
      </c>
      <c r="I47" s="7">
        <f>I46*(1+Parameters!$B$51)^Parameters!B$65</f>
        <v>9.242049817703089</v>
      </c>
      <c r="J47" s="7">
        <f>J46*(1+Parameters!$B$53)^Parameters!B$65</f>
        <v>21.211927490671872</v>
      </c>
      <c r="K47" s="7">
        <f>'6states'!$O$4</f>
        <v>0.98104277196026479</v>
      </c>
      <c r="L47" s="9">
        <f t="shared" si="7"/>
        <v>0.5</v>
      </c>
      <c r="M47" s="23">
        <f t="shared" si="3"/>
        <v>2</v>
      </c>
      <c r="N47" s="7">
        <f>(Parameters!$B$19*(E47+Parameters!$B$20)^L47+Parameters!$B$18*F47^L47)^(1/L47)</f>
        <v>0.53671085959201725</v>
      </c>
      <c r="O47" s="7">
        <f>(Parameters!$B$10*G47^Parameters!$B$9 + Parameters!$B$11*N47^Parameters!$B$9) ^ (Parameters!$B$7/Parameters!$B$9) * K47</f>
        <v>1.5032537522979454</v>
      </c>
      <c r="P47" s="7">
        <f t="shared" si="1"/>
        <v>1.1453164854893441</v>
      </c>
      <c r="Q47" s="7">
        <f>EXP(-Parameters!$B$55*A47)</f>
        <v>0.52241133673581286</v>
      </c>
      <c r="R47" s="7">
        <f>IF(P47&gt;0,P47^(1-Parameters!$B$52)/(1-Parameters!$B$52)*Q47,-10+P47*1000)</f>
        <v>-1.4233792138740384</v>
      </c>
      <c r="S47" s="7"/>
      <c r="T47" s="9"/>
      <c r="U47" s="9"/>
      <c r="V47" s="7"/>
      <c r="W47" s="13">
        <f t="shared" si="17"/>
        <v>0.2381083474838773</v>
      </c>
    </row>
    <row r="48" spans="1:23" x14ac:dyDescent="0.25">
      <c r="A48">
        <f>A47+Parameters!$B$65</f>
        <v>44</v>
      </c>
      <c r="B48" s="46">
        <f t="shared" si="19"/>
        <v>5.1923809653700789E-2</v>
      </c>
      <c r="C48" s="46">
        <f t="shared" si="18"/>
        <v>1.0018706835576659E-2</v>
      </c>
      <c r="D48" s="46">
        <f t="shared" si="18"/>
        <v>0.29599475031932415</v>
      </c>
      <c r="E48" s="7">
        <f>MAX((1-Parameters!$B$4)^Parameters!B$65*E47+B47*Parameters!B$65-Parameters!$B$5*B47^2/E47*Parameters!B$65,0.0001)</f>
        <v>0.77130423983532093</v>
      </c>
      <c r="F48" s="9">
        <f>MAX((1-Parameters!$B$4)^Parameters!B$65*F47+C47*Parameters!B$65-Parameters!$B$5*C47^2/F47*Parameters!B$65,0.0001)</f>
        <v>0.14881987780440076</v>
      </c>
      <c r="G48" s="7">
        <f>MAX((1-Parameters!$B$4)^Parameters!B$65*G47+D47*Parameters!B$65-Parameters!$B$5*D47^2/G47*Parameters!B$65,0.0001)</f>
        <v>4.3856553087892172</v>
      </c>
      <c r="I48" s="7">
        <f>I47*(1+Parameters!$B$51)^Parameters!B$65</f>
        <v>9.2688517621744264</v>
      </c>
      <c r="J48" s="7">
        <f>J47*(1+Parameters!$B$53)^Parameters!B$65</f>
        <v>21.63616604048531</v>
      </c>
      <c r="K48" s="7">
        <f>'6states'!$O$4</f>
        <v>0.98104277196026479</v>
      </c>
      <c r="L48" s="9">
        <f t="shared" si="7"/>
        <v>0.5</v>
      </c>
      <c r="M48" s="23">
        <f t="shared" si="3"/>
        <v>2</v>
      </c>
      <c r="N48" s="7">
        <f>(Parameters!$B$19*(E48+Parameters!$B$20)^L48+Parameters!$B$18*F48^L48)^(1/L48)</f>
        <v>0.53664759877516421</v>
      </c>
      <c r="O48" s="7">
        <f>(Parameters!$B$10*G48^Parameters!$B$9 + Parameters!$B$11*N48^Parameters!$B$9) ^ (Parameters!$B$7/Parameters!$B$9) * K48</f>
        <v>1.5032570942291525</v>
      </c>
      <c r="P48" s="7">
        <f t="shared" si="1"/>
        <v>1.1453198274205512</v>
      </c>
      <c r="Q48" s="7">
        <f>EXP(-Parameters!$B$55*A48)</f>
        <v>0.51458218441100756</v>
      </c>
      <c r="R48" s="7">
        <f>IF(P48&gt;0,P48^(1-Parameters!$B$52)/(1-Parameters!$B$52)*Q48,-10+P48*1000)</f>
        <v>-1.4020462145304138</v>
      </c>
      <c r="S48" s="7"/>
      <c r="T48" s="9"/>
      <c r="U48" s="9"/>
      <c r="V48" s="7"/>
      <c r="W48" s="13">
        <f t="shared" si="17"/>
        <v>0.23810781813881704</v>
      </c>
    </row>
    <row r="49" spans="1:23" x14ac:dyDescent="0.25">
      <c r="A49">
        <f>A48+Parameters!$B$65</f>
        <v>45</v>
      </c>
      <c r="B49" s="46">
        <f t="shared" si="19"/>
        <v>5.1923809653700789E-2</v>
      </c>
      <c r="C49" s="46">
        <f t="shared" si="18"/>
        <v>1.0018706835576659E-2</v>
      </c>
      <c r="D49" s="46">
        <f t="shared" si="18"/>
        <v>0.29599475031932415</v>
      </c>
      <c r="E49" s="7">
        <f>MAX((1-Parameters!$B$4)^Parameters!B$65*E48+B48*Parameters!B$65-Parameters!$B$5*B48^2/E48*Parameters!B$65,0.0001)</f>
        <v>0.7712175283113859</v>
      </c>
      <c r="F49" s="9">
        <f>MAX((1-Parameters!$B$4)^Parameters!B$65*F48+C48*Parameters!B$65-Parameters!$B$5*C48^2/F48*Parameters!B$65,0.0001)</f>
        <v>0.14880334470456166</v>
      </c>
      <c r="G49" s="7">
        <f>MAX((1-Parameters!$B$4)^Parameters!B$65*G48+D48*Parameters!B$65-Parameters!$B$5*D48^2/G48*Parameters!B$65,0.0001)</f>
        <v>4.3858151905813942</v>
      </c>
      <c r="I49" s="7">
        <f>I48*(1+Parameters!$B$51)^Parameters!B$65</f>
        <v>9.2957314322847306</v>
      </c>
      <c r="J49" s="7">
        <f>J48*(1+Parameters!$B$53)^Parameters!B$65</f>
        <v>22.068889361295017</v>
      </c>
      <c r="K49" s="7">
        <f>'6states'!$O$4</f>
        <v>0.98104277196026479</v>
      </c>
      <c r="L49" s="9">
        <f t="shared" si="7"/>
        <v>0.5</v>
      </c>
      <c r="M49" s="23">
        <f t="shared" si="3"/>
        <v>2</v>
      </c>
      <c r="N49" s="7">
        <f>(Parameters!$B$19*(E49+Parameters!$B$20)^L49+Parameters!$B$18*F49^L49)^(1/L49)</f>
        <v>0.53658803040317637</v>
      </c>
      <c r="O49" s="7">
        <f>(Parameters!$B$10*G49^Parameters!$B$9 + Parameters!$B$11*N49^Parameters!$B$9) ^ (Parameters!$B$7/Parameters!$B$9) * K49</f>
        <v>1.5032602333277136</v>
      </c>
      <c r="P49" s="7">
        <f t="shared" si="1"/>
        <v>1.1453229665191123</v>
      </c>
      <c r="Q49" s="7">
        <f>EXP(-Parameters!$B$55*A49)</f>
        <v>0.50687036419945219</v>
      </c>
      <c r="R49" s="7">
        <f>IF(P49&gt;0,P49^(1-Parameters!$B$52)/(1-Parameters!$B$52)*Q49,-10+P49*1000)</f>
        <v>-1.3810330306695302</v>
      </c>
      <c r="S49" s="7"/>
      <c r="T49" s="9"/>
      <c r="U49" s="9"/>
      <c r="V49" s="7"/>
      <c r="W49" s="13">
        <f t="shared" si="17"/>
        <v>0.23810732092356932</v>
      </c>
    </row>
    <row r="50" spans="1:23" x14ac:dyDescent="0.25">
      <c r="A50">
        <f>A49+Parameters!$B$65</f>
        <v>46</v>
      </c>
      <c r="B50" s="46">
        <f t="shared" si="19"/>
        <v>5.1923809653700789E-2</v>
      </c>
      <c r="C50" s="46">
        <f t="shared" si="18"/>
        <v>1.0018706835576659E-2</v>
      </c>
      <c r="D50" s="46">
        <f t="shared" si="18"/>
        <v>0.29599475031932415</v>
      </c>
      <c r="E50" s="7">
        <f>MAX((1-Parameters!$B$4)^Parameters!B$65*E49+B49*Parameters!B$65-Parameters!$B$5*B49^2/E49*Parameters!B$65,0.0001)</f>
        <v>0.77113587792895266</v>
      </c>
      <c r="F50" s="9">
        <f>MAX((1-Parameters!$B$4)^Parameters!B$65*F49+C49*Parameters!B$65-Parameters!$B$5*C49^2/F49*Parameters!B$65,0.0001)</f>
        <v>0.14878777659837619</v>
      </c>
      <c r="G50" s="7">
        <f>MAX((1-Parameters!$B$4)^Parameters!B$65*G49+D49*Parameters!B$65-Parameters!$B$5*D49^2/G49*Parameters!B$65,0.0001)</f>
        <v>4.3859657440617097</v>
      </c>
      <c r="I50" s="7">
        <f>I49*(1+Parameters!$B$51)^Parameters!B$65</f>
        <v>9.3226890534383546</v>
      </c>
      <c r="J50" s="7">
        <f>J49*(1+Parameters!$B$53)^Parameters!B$65</f>
        <v>22.510267148520917</v>
      </c>
      <c r="K50" s="7">
        <f>'6states'!$O$4</f>
        <v>0.98104277196026479</v>
      </c>
      <c r="L50" s="9">
        <f t="shared" si="7"/>
        <v>0.5</v>
      </c>
      <c r="M50" s="23">
        <f t="shared" si="3"/>
        <v>2</v>
      </c>
      <c r="N50" s="7">
        <f>(Parameters!$B$19*(E50+Parameters!$B$20)^L50+Parameters!$B$18*F50^L50)^(1/L50)</f>
        <v>0.53653193889078099</v>
      </c>
      <c r="O50" s="7">
        <f>(Parameters!$B$10*G50^Parameters!$B$9 + Parameters!$B$11*N50^Parameters!$B$9) ^ (Parameters!$B$7/Parameters!$B$9) * K50</f>
        <v>1.5032631823127605</v>
      </c>
      <c r="P50" s="7">
        <f t="shared" si="1"/>
        <v>1.1453259155041591</v>
      </c>
      <c r="Q50" s="7">
        <f>EXP(-Parameters!$B$55*A50)</f>
        <v>0.49927411769560981</v>
      </c>
      <c r="R50" s="7">
        <f>IF(P50&gt;0,P50^(1-Parameters!$B$52)/(1-Parameters!$B$52)*Q50,-10+P50*1000)</f>
        <v>-1.3603348611794903</v>
      </c>
      <c r="S50" s="7"/>
      <c r="T50" s="9"/>
      <c r="U50" s="9"/>
      <c r="V50" s="7"/>
      <c r="W50" s="13">
        <f t="shared" si="17"/>
        <v>0.23810685382310601</v>
      </c>
    </row>
    <row r="51" spans="1:23" x14ac:dyDescent="0.25">
      <c r="A51">
        <f>A50+Parameters!$B$65</f>
        <v>47</v>
      </c>
      <c r="B51" s="46">
        <f t="shared" si="19"/>
        <v>5.1923809653700789E-2</v>
      </c>
      <c r="C51" s="46">
        <f t="shared" si="18"/>
        <v>1.0018706835576659E-2</v>
      </c>
      <c r="D51" s="46">
        <f t="shared" si="18"/>
        <v>0.29599475031932415</v>
      </c>
      <c r="E51" s="7">
        <f>MAX((1-Parameters!$B$4)^Parameters!B$65*E50+B50*Parameters!B$65-Parameters!$B$5*B50^2/E50*Parameters!B$65,0.0001)</f>
        <v>0.77105899320065974</v>
      </c>
      <c r="F51" s="9">
        <f>MAX((1-Parameters!$B$4)^Parameters!B$65*F50+C50*Parameters!B$65-Parameters!$B$5*C50^2/F50*Parameters!B$65,0.0001)</f>
        <v>0.14877311714647265</v>
      </c>
      <c r="G51" s="7">
        <f>MAX((1-Parameters!$B$4)^Parameters!B$65*G50+D50*Parameters!B$65-Parameters!$B$5*D50^2/G50*Parameters!B$65,0.0001)</f>
        <v>4.3861075134424876</v>
      </c>
      <c r="I51" s="7">
        <f>I50*(1+Parameters!$B$51)^Parameters!B$65</f>
        <v>9.3497248516933258</v>
      </c>
      <c r="J51" s="7">
        <f>J50*(1+Parameters!$B$53)^Parameters!B$65</f>
        <v>22.960472491491338</v>
      </c>
      <c r="K51" s="7">
        <f>'6states'!$O$4</f>
        <v>0.98104277196026479</v>
      </c>
      <c r="L51" s="9">
        <f t="shared" si="7"/>
        <v>0.5</v>
      </c>
      <c r="M51" s="23">
        <f t="shared" si="3"/>
        <v>2</v>
      </c>
      <c r="N51" s="7">
        <f>(Parameters!$B$19*(E51+Parameters!$B$20)^L51+Parameters!$B$18*F51^L51)^(1/L51)</f>
        <v>0.53647912124682029</v>
      </c>
      <c r="O51" s="7">
        <f>(Parameters!$B$10*G51^Parameters!$B$9 + Parameters!$B$11*N51^Parameters!$B$9) ^ (Parameters!$B$7/Parameters!$B$9) * K51</f>
        <v>1.5032659530616732</v>
      </c>
      <c r="P51" s="7">
        <f t="shared" si="1"/>
        <v>1.1453286862530718</v>
      </c>
      <c r="Q51" s="7">
        <f>EXP(-Parameters!$B$55*A51)</f>
        <v>0.49179171284640477</v>
      </c>
      <c r="R51" s="7">
        <f>IF(P51&gt;0,P51^(1-Parameters!$B$52)/(1-Parameters!$B$52)*Q51,-10+P51*1000)</f>
        <v>-1.3399469775456443</v>
      </c>
      <c r="S51" s="7"/>
      <c r="T51" s="9"/>
      <c r="U51" s="9"/>
      <c r="V51" s="7"/>
      <c r="W51" s="13">
        <f t="shared" si="17"/>
        <v>0.23810641495578183</v>
      </c>
    </row>
    <row r="52" spans="1:23" x14ac:dyDescent="0.25">
      <c r="A52">
        <f>A51+Parameters!$B$65</f>
        <v>48</v>
      </c>
      <c r="B52" s="46">
        <f t="shared" si="19"/>
        <v>5.1923809653700789E-2</v>
      </c>
      <c r="C52" s="46">
        <f t="shared" si="18"/>
        <v>1.0018706835576659E-2</v>
      </c>
      <c r="D52" s="46">
        <f t="shared" si="18"/>
        <v>0.29599475031932415</v>
      </c>
      <c r="E52" s="7">
        <f>MAX((1-Parameters!$B$4)^Parameters!B$65*E51+B51*Parameters!B$65-Parameters!$B$5*B51^2/E51*Parameters!B$65,0.0001)</f>
        <v>0.77098659589987617</v>
      </c>
      <c r="F52" s="9">
        <f>MAX((1-Parameters!$B$4)^Parameters!B$65*F51+C51*Parameters!B$65-Parameters!$B$5*C51^2/F51*Parameters!B$65,0.0001)</f>
        <v>0.14875931330047024</v>
      </c>
      <c r="G52" s="7">
        <f>MAX((1-Parameters!$B$4)^Parameters!B$65*G51+D51*Parameters!B$65-Parameters!$B$5*D51^2/G51*Parameters!B$65,0.0001)</f>
        <v>4.3862410111922916</v>
      </c>
      <c r="I52" s="7">
        <f>I51*(1+Parameters!$B$51)^Parameters!B$65</f>
        <v>9.376839053763236</v>
      </c>
      <c r="J52" s="7">
        <f>J51*(1+Parameters!$B$53)^Parameters!B$65</f>
        <v>23.419681941321166</v>
      </c>
      <c r="K52" s="7">
        <f>'6states'!$O$4</f>
        <v>0.98104277196026479</v>
      </c>
      <c r="L52" s="9">
        <f t="shared" si="7"/>
        <v>0.5</v>
      </c>
      <c r="M52" s="23">
        <f t="shared" si="3"/>
        <v>2</v>
      </c>
      <c r="N52" s="7">
        <f>(Parameters!$B$19*(E52+Parameters!$B$20)^L52+Parameters!$B$18*F52^L52)^(1/L52)</f>
        <v>0.53642938633772852</v>
      </c>
      <c r="O52" s="7">
        <f>(Parameters!$B$10*G52^Parameters!$B$9 + Parameters!$B$11*N52^Parameters!$B$9) ^ (Parameters!$B$7/Parameters!$B$9) * K52</f>
        <v>1.5032685566703883</v>
      </c>
      <c r="P52" s="7">
        <f t="shared" si="1"/>
        <v>1.1453312898617869</v>
      </c>
      <c r="Q52" s="7">
        <f>EXP(-Parameters!$B$55*A52)</f>
        <v>0.48442144355629069</v>
      </c>
      <c r="R52" s="7">
        <f>IF(P52&gt;0,P52^(1-Parameters!$B$52)/(1-Parameters!$B$52)*Q52,-10+P52*1000)</f>
        <v>-1.3198647227092466</v>
      </c>
      <c r="S52" s="7"/>
      <c r="T52" s="9"/>
      <c r="U52" s="9"/>
      <c r="V52" s="7"/>
      <c r="W52" s="13">
        <f t="shared" si="17"/>
        <v>0.23810600256377487</v>
      </c>
    </row>
    <row r="53" spans="1:23" x14ac:dyDescent="0.25">
      <c r="A53">
        <f>A52+Parameters!$B$65</f>
        <v>49</v>
      </c>
      <c r="B53" s="46">
        <f t="shared" si="19"/>
        <v>5.1923809653700789E-2</v>
      </c>
      <c r="C53" s="46">
        <f t="shared" si="18"/>
        <v>1.0018706835576659E-2</v>
      </c>
      <c r="D53" s="46">
        <f t="shared" si="18"/>
        <v>0.29599475031932415</v>
      </c>
      <c r="E53" s="7">
        <f>MAX((1-Parameters!$B$4)^Parameters!B$65*E52+B52*Parameters!B$65-Parameters!$B$5*B52^2/E52*Parameters!B$65,0.0001)</f>
        <v>0.77091842405139499</v>
      </c>
      <c r="F53" s="9">
        <f>MAX((1-Parameters!$B$4)^Parameters!B$65*F52+C52*Parameters!B$65-Parameters!$B$5*C52^2/F52*Parameters!B$65,0.0001)</f>
        <v>0.14874631511054595</v>
      </c>
      <c r="G53" s="7">
        <f>MAX((1-Parameters!$B$4)^Parameters!B$65*G52+D52*Parameters!B$65-Parameters!$B$5*D52^2/G52*Parameters!B$65,0.0001)</f>
        <v>4.3863667198869019</v>
      </c>
      <c r="I53" s="7">
        <f>I52*(1+Parameters!$B$51)^Parameters!B$65</f>
        <v>9.4040318870191477</v>
      </c>
      <c r="J53" s="7">
        <f>J52*(1+Parameters!$B$53)^Parameters!B$65</f>
        <v>23.888075580147589</v>
      </c>
      <c r="K53" s="7">
        <f>'6states'!$O$4</f>
        <v>0.98104277196026479</v>
      </c>
      <c r="L53" s="9">
        <f t="shared" si="7"/>
        <v>0.5</v>
      </c>
      <c r="M53" s="23">
        <f t="shared" si="3"/>
        <v>2</v>
      </c>
      <c r="N53" s="7">
        <f>(Parameters!$B$19*(E53+Parameters!$B$20)^L53+Parameters!$B$18*F53^L53)^(1/L53)</f>
        <v>0.5363825541941708</v>
      </c>
      <c r="O53" s="7">
        <f>(Parameters!$B$10*G53^Parameters!$B$9 + Parameters!$B$11*N53^Parameters!$B$9) ^ (Parameters!$B$7/Parameters!$B$9) * K53</f>
        <v>1.5032710035089369</v>
      </c>
      <c r="P53" s="7">
        <f t="shared" si="1"/>
        <v>1.1453337367003356</v>
      </c>
      <c r="Q53" s="7">
        <f>EXP(-Parameters!$B$55*A53)</f>
        <v>0.47716162929823552</v>
      </c>
      <c r="R53" s="7">
        <f>IF(P53&gt;0,P53^(1-Parameters!$B$52)/(1-Parameters!$B$52)*Q53,-10+P53*1000)</f>
        <v>-1.3000835099479109</v>
      </c>
      <c r="S53" s="7"/>
      <c r="T53" s="9"/>
      <c r="U53" s="9"/>
      <c r="V53" s="7"/>
      <c r="W53" s="13">
        <f t="shared" si="17"/>
        <v>0.23810561500428334</v>
      </c>
    </row>
    <row r="54" spans="1:23" s="4" customFormat="1" x14ac:dyDescent="0.25">
      <c r="A54">
        <f>A53+Parameters!$B$65</f>
        <v>50</v>
      </c>
      <c r="B54" s="19">
        <v>5.1923789394424727E-2</v>
      </c>
      <c r="C54" s="45">
        <v>1.0018743654138964E-2</v>
      </c>
      <c r="D54" s="18">
        <v>0.29599491710876957</v>
      </c>
      <c r="E54" s="7">
        <f>MAX((1-Parameters!$B$4)^Parameters!B$65*E53+B53*Parameters!B$65-Parameters!$B$5*B53^2/E53*Parameters!B$65,0.0001)</f>
        <v>0.77085423098126105</v>
      </c>
      <c r="F54" s="9">
        <f>MAX((1-Parameters!$B$4)^Parameters!B$65*F53+C53*Parameters!B$65-Parameters!$B$5*C53^2/F53*Parameters!B$65,0.0001)</f>
        <v>0.14873407554427528</v>
      </c>
      <c r="G54" s="7">
        <f>MAX((1-Parameters!$B$4)^Parameters!B$65*G53+D53*Parameters!B$65-Parameters!$B$5*D53^2/G53*Parameters!B$65,0.0001)</f>
        <v>4.38648509395244</v>
      </c>
      <c r="H54" s="7"/>
      <c r="I54" s="7">
        <f>I53*(1+Parameters!$B$51)^Parameters!B$65</f>
        <v>9.4313035794915017</v>
      </c>
      <c r="J54" s="7">
        <f>J53*(1+Parameters!$B$53)^Parameters!B$65</f>
        <v>24.365837091750542</v>
      </c>
      <c r="K54" s="7">
        <f>'6states'!$O$4</f>
        <v>0.98104277196026479</v>
      </c>
      <c r="L54" s="9">
        <f t="shared" si="7"/>
        <v>0.5</v>
      </c>
      <c r="M54" s="23">
        <f t="shared" si="3"/>
        <v>2</v>
      </c>
      <c r="N54" s="7">
        <f>(Parameters!$B$19*(E54+Parameters!$B$20)^L54+Parameters!$B$18*F54^L54)^(1/L54)</f>
        <v>0.53633845535830815</v>
      </c>
      <c r="O54" s="7">
        <f>(Parameters!$B$10*G54^Parameters!$B$9 + Parameters!$B$11*N54^Parameters!$B$9) ^ (Parameters!$B$7/Parameters!$B$9) * K54</f>
        <v>1.5032733032726298</v>
      </c>
      <c r="P54" s="7">
        <f t="shared" si="1"/>
        <v>1.1453358531152964</v>
      </c>
      <c r="Q54" s="16">
        <f>EXP(-Parameters!$B$55*A54)</f>
        <v>0.4700106147305379</v>
      </c>
      <c r="R54" s="7">
        <f>IF(P54&gt;0,P54^(1-Parameters!$B$52)/(1-Parameters!$B$52)*Q54,-10+P54*1000)</f>
        <v>-1.2805988935278017</v>
      </c>
      <c r="S54" s="7"/>
      <c r="T54" s="9"/>
      <c r="U54" s="9"/>
      <c r="V54" s="7"/>
      <c r="W54" s="13">
        <f t="shared" si="17"/>
        <v>0.23810537270774551</v>
      </c>
    </row>
    <row r="55" spans="1:23" x14ac:dyDescent="0.25">
      <c r="A55">
        <f>A54+Parameters!$B$65</f>
        <v>51</v>
      </c>
      <c r="B55" s="46">
        <f>B54</f>
        <v>5.1923789394424727E-2</v>
      </c>
      <c r="C55" s="46">
        <f t="shared" ref="C55:D63" si="20">C54</f>
        <v>1.0018743654138964E-2</v>
      </c>
      <c r="D55" s="46">
        <f t="shared" si="20"/>
        <v>0.29599491710876957</v>
      </c>
      <c r="E55" s="7">
        <f>MAX((1-Parameters!$B$4)^Parameters!B$65*E54+B54*Parameters!B$65-Parameters!$B$5*B54^2/E54*Parameters!B$65,0.0001)</f>
        <v>0.77079376689225865</v>
      </c>
      <c r="F55" s="9">
        <f>MAX((1-Parameters!$B$4)^Parameters!B$65*F54+C54*Parameters!B$65-Parameters!$B$5*C54^2/F54*Parameters!B$65,0.0001)</f>
        <v>0.14872258217445064</v>
      </c>
      <c r="G55" s="7">
        <f>MAX((1-Parameters!$B$4)^Parameters!B$65*G54+D54*Parameters!B$65-Parameters!$B$5*D54^2/G54*Parameters!B$65,0.0001)</f>
        <v>4.3865967055868396</v>
      </c>
      <c r="I55" s="7">
        <f>I54*(1+Parameters!$B$51)^Parameters!B$65</f>
        <v>9.4586543598720265</v>
      </c>
      <c r="J55" s="7">
        <f>J54*(1+Parameters!$B$53)^Parameters!B$65</f>
        <v>24.853153833585555</v>
      </c>
      <c r="K55" s="7">
        <f>'6states'!$O$4</f>
        <v>0.98104277196026479</v>
      </c>
      <c r="L55" s="9">
        <f t="shared" si="7"/>
        <v>0.5</v>
      </c>
      <c r="M55" s="23">
        <f t="shared" si="3"/>
        <v>2</v>
      </c>
      <c r="N55" s="7">
        <f>(Parameters!$B$19*(E55+Parameters!$B$20)^L55+Parameters!$B$18*F55^L55)^(1/L55)</f>
        <v>0.53629693853624205</v>
      </c>
      <c r="O55" s="7">
        <f>(Parameters!$B$10*G55^Parameters!$B$9 + Parameters!$B$11*N55^Parameters!$B$9) ^ (Parameters!$B$7/Parameters!$B$9) * K55</f>
        <v>1.5032754782821642</v>
      </c>
      <c r="P55" s="7">
        <f t="shared" si="1"/>
        <v>1.1453380281248311</v>
      </c>
      <c r="Q55" s="7">
        <f>EXP(-Parameters!$B$55*A55)</f>
        <v>0.46296676931938507</v>
      </c>
      <c r="R55" s="7">
        <f>IF(P55&gt;0,P55^(1-Parameters!$B$52)/(1-Parameters!$B$52)*Q55,-10+P55*1000)</f>
        <v>-1.2614062744385595</v>
      </c>
      <c r="S55" s="7"/>
      <c r="T55" s="9"/>
      <c r="U55" s="9"/>
      <c r="V55" s="7"/>
      <c r="W55" s="13">
        <f t="shared" si="17"/>
        <v>0.23810502820571422</v>
      </c>
    </row>
    <row r="56" spans="1:23" x14ac:dyDescent="0.25">
      <c r="A56">
        <f>A55+Parameters!$B$65</f>
        <v>52</v>
      </c>
      <c r="B56" s="46">
        <f t="shared" ref="B56:B63" si="21">B55</f>
        <v>5.1923789394424727E-2</v>
      </c>
      <c r="C56" s="46">
        <f t="shared" si="20"/>
        <v>1.0018743654138964E-2</v>
      </c>
      <c r="D56" s="46">
        <f t="shared" si="20"/>
        <v>0.29599491710876957</v>
      </c>
      <c r="E56" s="7">
        <f>MAX((1-Parameters!$B$4)^Parameters!B$65*E55+B55*Parameters!B$65-Parameters!$B$5*B55^2/E55*Parameters!B$65,0.0001)</f>
        <v>0.77073683163507067</v>
      </c>
      <c r="F56" s="9">
        <f>MAX((1-Parameters!$B$4)^Parameters!B$65*F55+C55*Parameters!B$65-Parameters!$B$5*C55^2/F55*Parameters!B$65,0.0001)</f>
        <v>0.14871175958372101</v>
      </c>
      <c r="G56" s="7">
        <f>MAX((1-Parameters!$B$4)^Parameters!B$65*G55+D55*Parameters!B$65-Parameters!$B$5*D55^2/G55*Parameters!B$65,0.0001)</f>
        <v>4.3867018050482054</v>
      </c>
      <c r="I56" s="7">
        <f>I55*(1+Parameters!$B$51)^Parameters!B$65</f>
        <v>9.4860844575156538</v>
      </c>
      <c r="J56" s="7">
        <f>J55*(1+Parameters!$B$53)^Parameters!B$65</f>
        <v>25.350216910257267</v>
      </c>
      <c r="K56" s="7">
        <f>'6states'!$O$4</f>
        <v>0.98104277196026479</v>
      </c>
      <c r="L56" s="9">
        <f t="shared" si="7"/>
        <v>0.5</v>
      </c>
      <c r="M56" s="23">
        <f t="shared" si="3"/>
        <v>2</v>
      </c>
      <c r="N56" s="7">
        <f>(Parameters!$B$19*(E56+Parameters!$B$20)^L56+Parameters!$B$18*F56^L56)^(1/L56)</f>
        <v>0.53625784473607851</v>
      </c>
      <c r="O56" s="7">
        <f>(Parameters!$B$10*G56^Parameters!$B$9 + Parameters!$B$11*N56^Parameters!$B$9) ^ (Parameters!$B$7/Parameters!$B$9) * K56</f>
        <v>1.5032775229939663</v>
      </c>
      <c r="P56" s="7">
        <f t="shared" si="1"/>
        <v>1.1453400728366332</v>
      </c>
      <c r="Q56" s="7">
        <f>EXP(-Parameters!$B$55*A56)</f>
        <v>0.45602848696706794</v>
      </c>
      <c r="R56" s="7">
        <f>IF(P56&gt;0,P56^(1-Parameters!$B$52)/(1-Parameters!$B$52)*Q56,-10+P56*1000)</f>
        <v>-1.2425013488545231</v>
      </c>
      <c r="S56" s="7"/>
      <c r="T56" s="9"/>
      <c r="U56" s="9"/>
      <c r="V56" s="7"/>
      <c r="W56" s="13">
        <f t="shared" si="17"/>
        <v>0.2381047043425859</v>
      </c>
    </row>
    <row r="57" spans="1:23" x14ac:dyDescent="0.25">
      <c r="A57">
        <f>A56+Parameters!$B$65</f>
        <v>53</v>
      </c>
      <c r="B57" s="46">
        <f t="shared" si="21"/>
        <v>5.1923789394424727E-2</v>
      </c>
      <c r="C57" s="46">
        <f t="shared" si="20"/>
        <v>1.0018743654138964E-2</v>
      </c>
      <c r="D57" s="46">
        <f t="shared" si="20"/>
        <v>0.29599491710876957</v>
      </c>
      <c r="E57" s="7">
        <f>MAX((1-Parameters!$B$4)^Parameters!B$65*E56+B56*Parameters!B$65-Parameters!$B$5*B56^2/E56*Parameters!B$65,0.0001)</f>
        <v>0.77068321921910765</v>
      </c>
      <c r="F57" s="9">
        <f>MAX((1-Parameters!$B$4)^Parameters!B$65*F56+C56*Parameters!B$65-Parameters!$B$5*C56^2/F56*Parameters!B$65,0.0001)</f>
        <v>0.14870156861652956</v>
      </c>
      <c r="G57" s="7">
        <f>MAX((1-Parameters!$B$4)^Parameters!B$65*G56+D56*Parameters!B$65-Parameters!$B$5*D56^2/G56*Parameters!B$65,0.0001)</f>
        <v>4.3868007722768461</v>
      </c>
      <c r="I57" s="7">
        <f>I56*(1+Parameters!$B$51)^Parameters!B$65</f>
        <v>9.5135941024424486</v>
      </c>
      <c r="J57" s="7">
        <f>J56*(1+Parameters!$B$53)^Parameters!B$65</f>
        <v>25.857221248462412</v>
      </c>
      <c r="K57" s="7">
        <f>'6states'!$O$4</f>
        <v>0.98104277196026479</v>
      </c>
      <c r="L57" s="9">
        <f t="shared" si="7"/>
        <v>0.5</v>
      </c>
      <c r="M57" s="23">
        <f t="shared" si="3"/>
        <v>2</v>
      </c>
      <c r="N57" s="7">
        <f>(Parameters!$B$19*(E57+Parameters!$B$20)^L57+Parameters!$B$18*F57^L57)^(1/L57)</f>
        <v>0.53622103251745734</v>
      </c>
      <c r="O57" s="7">
        <f>(Parameters!$B$10*G57^Parameters!$B$9 + Parameters!$B$11*N57^Parameters!$B$9) ^ (Parameters!$B$7/Parameters!$B$9) * K57</f>
        <v>1.5032794453935274</v>
      </c>
      <c r="P57" s="7">
        <f t="shared" si="1"/>
        <v>1.1453419952361941</v>
      </c>
      <c r="Q57" s="7">
        <f>EXP(-Parameters!$B$55*A57)</f>
        <v>0.44919418564576791</v>
      </c>
      <c r="R57" s="7">
        <f>IF(P57&gt;0,P57^(1-Parameters!$B$52)/(1-Parameters!$B$52)*Q57,-10+P57*1000)</f>
        <v>-1.2238798005796481</v>
      </c>
      <c r="S57" s="7"/>
      <c r="T57" s="9"/>
      <c r="U57" s="9"/>
      <c r="V57" s="7"/>
      <c r="W57" s="13">
        <f t="shared" si="17"/>
        <v>0.23810439985337034</v>
      </c>
    </row>
    <row r="58" spans="1:23" x14ac:dyDescent="0.25">
      <c r="A58">
        <f>A57+Parameters!$B$65</f>
        <v>54</v>
      </c>
      <c r="B58" s="46">
        <f t="shared" si="21"/>
        <v>5.1923789394424727E-2</v>
      </c>
      <c r="C58" s="46">
        <f t="shared" si="20"/>
        <v>1.0018743654138964E-2</v>
      </c>
      <c r="D58" s="46">
        <f t="shared" si="20"/>
        <v>0.29599491710876957</v>
      </c>
      <c r="E58" s="7">
        <f>MAX((1-Parameters!$B$4)^Parameters!B$65*E57+B57*Parameters!B$65-Parameters!$B$5*B57^2/E57*Parameters!B$65,0.0001)</f>
        <v>0.77063273568264168</v>
      </c>
      <c r="F58" s="9">
        <f>MAX((1-Parameters!$B$4)^Parameters!B$65*F57+C57*Parameters!B$65-Parameters!$B$5*C57^2/F57*Parameters!B$65,0.0001)</f>
        <v>0.1486919724037902</v>
      </c>
      <c r="G58" s="7">
        <f>MAX((1-Parameters!$B$4)^Parameters!B$65*G57+D57*Parameters!B$65-Parameters!$B$5*D57^2/G57*Parameters!B$65,0.0001)</f>
        <v>4.3868939650488601</v>
      </c>
      <c r="I58" s="7">
        <f>I57*(1+Parameters!$B$51)^Parameters!B$65</f>
        <v>9.5411835253395303</v>
      </c>
      <c r="J58" s="7">
        <f>J57*(1+Parameters!$B$53)^Parameters!B$65</f>
        <v>26.374365673431662</v>
      </c>
      <c r="K58" s="7">
        <f>'6states'!$O$4</f>
        <v>0.98104277196026479</v>
      </c>
      <c r="L58" s="9">
        <f t="shared" si="7"/>
        <v>0.5</v>
      </c>
      <c r="M58" s="23">
        <f t="shared" si="3"/>
        <v>2</v>
      </c>
      <c r="N58" s="7">
        <f>(Parameters!$B$19*(E58+Parameters!$B$20)^L58+Parameters!$B$18*F58^L58)^(1/L58)</f>
        <v>0.53618636869944103</v>
      </c>
      <c r="O58" s="7">
        <f>(Parameters!$B$10*G58^Parameters!$B$9 + Parameters!$B$11*N58^Parameters!$B$9) ^ (Parameters!$B$7/Parameters!$B$9) * K58</f>
        <v>1.5032812529571935</v>
      </c>
      <c r="P58" s="7">
        <f t="shared" si="1"/>
        <v>1.1453438027998604</v>
      </c>
      <c r="Q58" s="7">
        <f>EXP(-Parameters!$B$55*A58)</f>
        <v>0.4424623070368317</v>
      </c>
      <c r="R58" s="7">
        <f>IF(P58&gt;0,P58^(1-Parameters!$B$52)/(1-Parameters!$B$52)*Q58,-10+P58*1000)</f>
        <v>-1.2055373784609116</v>
      </c>
      <c r="S58" s="7"/>
      <c r="T58" s="9"/>
      <c r="U58" s="9"/>
      <c r="V58" s="7"/>
      <c r="W58" s="13">
        <f t="shared" si="17"/>
        <v>0.23810411355374339</v>
      </c>
    </row>
    <row r="59" spans="1:23" x14ac:dyDescent="0.25">
      <c r="A59">
        <f>A58+Parameters!$B$65</f>
        <v>55</v>
      </c>
      <c r="B59" s="46">
        <f t="shared" si="21"/>
        <v>5.1923789394424727E-2</v>
      </c>
      <c r="C59" s="46">
        <f t="shared" si="20"/>
        <v>1.0018743654138964E-2</v>
      </c>
      <c r="D59" s="46">
        <f t="shared" si="20"/>
        <v>0.29599491710876957</v>
      </c>
      <c r="E59" s="7">
        <f>MAX((1-Parameters!$B$4)^Parameters!B$65*E58+B58*Parameters!B$65-Parameters!$B$5*B58^2/E58*Parameters!B$65,0.0001)</f>
        <v>0.77058519838987605</v>
      </c>
      <c r="F59" s="9">
        <f>MAX((1-Parameters!$B$4)^Parameters!B$65*F58+C58*Parameters!B$65-Parameters!$B$5*C58^2/F58*Parameters!B$65,0.0001)</f>
        <v>0.14868293622927603</v>
      </c>
      <c r="G59" s="7">
        <f>MAX((1-Parameters!$B$4)^Parameters!B$65*G58+D58*Parameters!B$65-Parameters!$B$5*D58^2/G58*Parameters!B$65,0.0001)</f>
        <v>4.3869817202688006</v>
      </c>
      <c r="I59" s="7">
        <f>I58*(1+Parameters!$B$51)^Parameters!B$65</f>
        <v>9.5688529575630135</v>
      </c>
      <c r="J59" s="7">
        <f>J58*(1+Parameters!$B$53)^Parameters!B$65</f>
        <v>26.901852986900295</v>
      </c>
      <c r="K59" s="7">
        <f>'6states'!$O$4</f>
        <v>0.98104277196026479</v>
      </c>
      <c r="L59" s="9">
        <f t="shared" si="7"/>
        <v>0.5</v>
      </c>
      <c r="M59" s="23">
        <f t="shared" si="3"/>
        <v>2</v>
      </c>
      <c r="N59" s="7">
        <f>(Parameters!$B$19*(E59+Parameters!$B$20)^L59+Parameters!$B$18*F59^L59)^(1/L59)</f>
        <v>0.53615372787786109</v>
      </c>
      <c r="O59" s="7">
        <f>(Parameters!$B$10*G59^Parameters!$B$9 + Parameters!$B$11*N59^Parameters!$B$9) ^ (Parameters!$B$7/Parameters!$B$9) * K59</f>
        <v>1.5032829526867413</v>
      </c>
      <c r="P59" s="7">
        <f t="shared" si="1"/>
        <v>1.1453455025294081</v>
      </c>
      <c r="Q59" s="7">
        <f>EXP(-Parameters!$B$55*A59)</f>
        <v>0.43583131617545234</v>
      </c>
      <c r="R59" s="7">
        <f>IF(P59&gt;0,P59^(1-Parameters!$B$52)/(1-Parameters!$B$52)*Q59,-10+P59*1000)</f>
        <v>-1.1874698953850091</v>
      </c>
      <c r="S59" s="7"/>
      <c r="T59" s="9"/>
      <c r="U59" s="9"/>
      <c r="V59" s="7"/>
      <c r="W59" s="13">
        <f t="shared" si="17"/>
        <v>0.23810384433456777</v>
      </c>
    </row>
    <row r="60" spans="1:23" x14ac:dyDescent="0.25">
      <c r="A60">
        <f>A59+Parameters!$B$65</f>
        <v>56</v>
      </c>
      <c r="B60" s="46">
        <f t="shared" si="21"/>
        <v>5.1923789394424727E-2</v>
      </c>
      <c r="C60" s="46">
        <f t="shared" si="20"/>
        <v>1.0018743654138964E-2</v>
      </c>
      <c r="D60" s="46">
        <f t="shared" si="20"/>
        <v>0.29599491710876957</v>
      </c>
      <c r="E60" s="7">
        <f>MAX((1-Parameters!$B$4)^Parameters!B$65*E59+B59*Parameters!B$65-Parameters!$B$5*B59^2/E59*Parameters!B$65,0.0001)</f>
        <v>0.77054043536914774</v>
      </c>
      <c r="F60" s="9">
        <f>MAX((1-Parameters!$B$4)^Parameters!B$65*F59+C59*Parameters!B$65-Parameters!$B$5*C59^2/F59*Parameters!B$65,0.0001)</f>
        <v>0.14867442740382597</v>
      </c>
      <c r="G60" s="7">
        <f>MAX((1-Parameters!$B$4)^Parameters!B$65*G59+D59*Parameters!B$65-Parameters!$B$5*D59^2/G59*Parameters!B$65,0.0001)</f>
        <v>4.3870643551869888</v>
      </c>
      <c r="I60" s="7">
        <f>I59*(1+Parameters!$B$51)^Parameters!B$65</f>
        <v>9.5966026311399446</v>
      </c>
      <c r="J60" s="7">
        <f>J59*(1+Parameters!$B$53)^Parameters!B$65</f>
        <v>27.4398900466383</v>
      </c>
      <c r="K60" s="7">
        <f>'6states'!$O$4</f>
        <v>0.98104277196026479</v>
      </c>
      <c r="L60" s="9">
        <f t="shared" si="7"/>
        <v>0.5</v>
      </c>
      <c r="M60" s="23">
        <f t="shared" si="3"/>
        <v>2</v>
      </c>
      <c r="N60" s="7">
        <f>(Parameters!$B$19*(E60+Parameters!$B$20)^L60+Parameters!$B$18*F60^L60)^(1/L60)</f>
        <v>0.53612299197090729</v>
      </c>
      <c r="O60" s="7">
        <f>(Parameters!$B$10*G60^Parameters!$B$9 + Parameters!$B$11*N60^Parameters!$B$9) ^ (Parameters!$B$7/Parameters!$B$9) * K60</f>
        <v>1.5032845511413897</v>
      </c>
      <c r="P60" s="7">
        <f t="shared" si="1"/>
        <v>1.1453471009840563</v>
      </c>
      <c r="Q60" s="7">
        <f>EXP(-Parameters!$B$55*A60)</f>
        <v>0.42929970110067539</v>
      </c>
      <c r="R60" s="7">
        <f>IF(P60&gt;0,P60^(1-Parameters!$B$52)/(1-Parameters!$B$52)*Q60,-10+P60*1000)</f>
        <v>-1.169673227292479</v>
      </c>
      <c r="S60" s="7"/>
      <c r="T60" s="9"/>
      <c r="U60" s="9"/>
      <c r="V60" s="7"/>
      <c r="W60" s="13">
        <f t="shared" si="17"/>
        <v>0.23810359115682009</v>
      </c>
    </row>
    <row r="61" spans="1:23" x14ac:dyDescent="0.25">
      <c r="A61">
        <f>A60+Parameters!$B$65</f>
        <v>57</v>
      </c>
      <c r="B61" s="46">
        <f t="shared" si="21"/>
        <v>5.1923789394424727E-2</v>
      </c>
      <c r="C61" s="46">
        <f t="shared" si="20"/>
        <v>1.0018743654138964E-2</v>
      </c>
      <c r="D61" s="46">
        <f t="shared" si="20"/>
        <v>0.29599491710876957</v>
      </c>
      <c r="E61" s="7">
        <f>MAX((1-Parameters!$B$4)^Parameters!B$65*E60+B60*Parameters!B$65-Parameters!$B$5*B60^2/E60*Parameters!B$65,0.0001)</f>
        <v>0.77049828468985171</v>
      </c>
      <c r="F61" s="9">
        <f>MAX((1-Parameters!$B$4)^Parameters!B$65*F60+C60*Parameters!B$65-Parameters!$B$5*C60^2/F60*Parameters!B$65,0.0001)</f>
        <v>0.14866641514691106</v>
      </c>
      <c r="G61" s="7">
        <f>MAX((1-Parameters!$B$4)^Parameters!B$65*G60+D60*Parameters!B$65-Parameters!$B$5*D60^2/G60*Parameters!B$65,0.0001)</f>
        <v>4.3871421685458571</v>
      </c>
      <c r="I61" s="7">
        <f>I60*(1+Parameters!$B$51)^Parameters!B$65</f>
        <v>9.6244327787702488</v>
      </c>
      <c r="J61" s="7">
        <f>J60*(1+Parameters!$B$53)^Parameters!B$65</f>
        <v>27.988687847571068</v>
      </c>
      <c r="K61" s="7">
        <f>'6states'!$O$4</f>
        <v>0.98104277196026479</v>
      </c>
      <c r="L61" s="9">
        <f t="shared" si="7"/>
        <v>0.5</v>
      </c>
      <c r="M61" s="23">
        <f t="shared" si="3"/>
        <v>2</v>
      </c>
      <c r="N61" s="7">
        <f>(Parameters!$B$19*(E61+Parameters!$B$20)^L61+Parameters!$B$18*F61^L61)^(1/L61)</f>
        <v>0.53609404979130348</v>
      </c>
      <c r="O61" s="7">
        <f>(Parameters!$B$10*G61^Parameters!$B$9 + Parameters!$B$11*N61^Parameters!$B$9) ^ (Parameters!$B$7/Parameters!$B$9) * K61</f>
        <v>1.5032860544674587</v>
      </c>
      <c r="P61" s="7">
        <f t="shared" si="1"/>
        <v>1.1453486043101253</v>
      </c>
      <c r="Q61" s="7">
        <f>EXP(-Parameters!$B$55*A61)</f>
        <v>0.42286597251064995</v>
      </c>
      <c r="R61" s="7">
        <f>IF(P61&gt;0,P61^(1-Parameters!$B$52)/(1-Parameters!$B$52)*Q61,-10+P61*1000)</f>
        <v>-1.1521433122087787</v>
      </c>
      <c r="S61" s="7"/>
      <c r="T61" s="9"/>
      <c r="U61" s="9"/>
      <c r="V61" s="7"/>
      <c r="W61" s="13">
        <f t="shared" si="17"/>
        <v>0.23810335304689109</v>
      </c>
    </row>
    <row r="62" spans="1:23" x14ac:dyDescent="0.25">
      <c r="A62">
        <f>A61+Parameters!$B$65</f>
        <v>58</v>
      </c>
      <c r="B62" s="46">
        <f t="shared" si="21"/>
        <v>5.1923789394424727E-2</v>
      </c>
      <c r="C62" s="46">
        <f t="shared" si="20"/>
        <v>1.0018743654138964E-2</v>
      </c>
      <c r="D62" s="46">
        <f t="shared" si="20"/>
        <v>0.29599491710876957</v>
      </c>
      <c r="E62" s="7">
        <f>MAX((1-Parameters!$B$4)^Parameters!B$65*E61+B61*Parameters!B$65-Parameters!$B$5*B61^2/E61*Parameters!B$65,0.0001)</f>
        <v>0.7704585938758135</v>
      </c>
      <c r="F62" s="9">
        <f>MAX((1-Parameters!$B$4)^Parameters!B$65*F61+C61*Parameters!B$65-Parameters!$B$5*C61^2/F61*Parameters!B$65,0.0001)</f>
        <v>0.14865887047512896</v>
      </c>
      <c r="G62" s="7">
        <f>MAX((1-Parameters!$B$4)^Parameters!B$65*G61+D61*Parameters!B$65-Parameters!$B$5*D61^2/G61*Parameters!B$65,0.0001)</f>
        <v>4.3872154416594586</v>
      </c>
      <c r="I62" s="7">
        <f>I61*(1+Parameters!$B$51)^Parameters!B$65</f>
        <v>9.6523436338286821</v>
      </c>
      <c r="J62" s="7">
        <f>J61*(1+Parameters!$B$53)^Parameters!B$65</f>
        <v>28.54846160452249</v>
      </c>
      <c r="K62" s="7">
        <f>'6states'!$O$4</f>
        <v>0.98104277196026479</v>
      </c>
      <c r="L62" s="9">
        <f t="shared" si="7"/>
        <v>0.5</v>
      </c>
      <c r="M62" s="23">
        <f t="shared" si="3"/>
        <v>2</v>
      </c>
      <c r="N62" s="7">
        <f>(Parameters!$B$19*(E62+Parameters!$B$20)^L62+Parameters!$B$18*F62^L62)^(1/L62)</f>
        <v>0.53606679664350965</v>
      </c>
      <c r="O62" s="7">
        <f>(Parameters!$B$10*G62^Parameters!$B$9 + Parameters!$B$11*N62^Parameters!$B$9) ^ (Parameters!$B$7/Parameters!$B$9) * K62</f>
        <v>1.5032874684258641</v>
      </c>
      <c r="P62" s="7">
        <f t="shared" si="1"/>
        <v>1.1453500182685308</v>
      </c>
      <c r="Q62" s="7">
        <f>EXP(-Parameters!$B$55*A62)</f>
        <v>0.41652866342304673</v>
      </c>
      <c r="R62" s="7">
        <f>IF(P62&gt;0,P62^(1-Parameters!$B$52)/(1-Parameters!$B$52)*Q62,-10+P62*1000)</f>
        <v>-1.134876149291872</v>
      </c>
      <c r="S62" s="7"/>
      <c r="T62" s="9"/>
      <c r="U62" s="9"/>
      <c r="V62" s="7"/>
      <c r="W62" s="13">
        <f t="shared" si="17"/>
        <v>0.23810312909222872</v>
      </c>
    </row>
    <row r="63" spans="1:23" s="4" customFormat="1" x14ac:dyDescent="0.25">
      <c r="A63">
        <f>A62+Parameters!$B$65</f>
        <v>59</v>
      </c>
      <c r="B63" s="46">
        <f t="shared" si="21"/>
        <v>5.1923789394424727E-2</v>
      </c>
      <c r="C63" s="46">
        <f t="shared" si="20"/>
        <v>1.0018743654138964E-2</v>
      </c>
      <c r="D63" s="46">
        <f t="shared" si="20"/>
        <v>0.29599491710876957</v>
      </c>
      <c r="E63" s="7">
        <f>MAX((1-Parameters!$B$4)^Parameters!B$65*E62+B62*Parameters!B$65-Parameters!$B$5*B62^2/E62*Parameters!B$65,0.0001)</f>
        <v>0.77042121935297436</v>
      </c>
      <c r="F63" s="9">
        <f>MAX((1-Parameters!$B$4)^Parameters!B$65*F62+C62*Parameters!B$65-Parameters!$B$5*C62^2/F62*Parameters!B$65,0.0001)</f>
        <v>0.14865176609721995</v>
      </c>
      <c r="G63" s="7">
        <f>MAX((1-Parameters!$B$4)^Parameters!B$65*G62+D62*Parameters!B$65-Parameters!$B$5*D62^2/G62*Parameters!B$65,0.0001)</f>
        <v>4.3872844394300357</v>
      </c>
      <c r="H63" s="16"/>
      <c r="I63" s="7">
        <f>I62*(1+Parameters!$B$51)^Parameters!B$65</f>
        <v>9.6803354303667835</v>
      </c>
      <c r="J63" s="7">
        <f>J62*(1+Parameters!$B$53)^Parameters!B$65</f>
        <v>29.119430836612942</v>
      </c>
      <c r="K63" s="7">
        <f>'6states'!$O$4</f>
        <v>0.98104277196026479</v>
      </c>
      <c r="L63" s="9">
        <f t="shared" si="7"/>
        <v>0.5</v>
      </c>
      <c r="M63" s="23">
        <f t="shared" si="3"/>
        <v>2</v>
      </c>
      <c r="N63" s="7">
        <f>(Parameters!$B$19*(E63+Parameters!$B$20)^L63+Parameters!$B$18*F63^L63)^(1/L63)</f>
        <v>0.53604113394448705</v>
      </c>
      <c r="O63" s="7">
        <f>(Parameters!$B$10*G63^Parameters!$B$9 + Parameters!$B$11*N63^Parameters!$B$9) ^ (Parameters!$B$7/Parameters!$B$9) * K63</f>
        <v>1.5032887984176271</v>
      </c>
      <c r="P63" s="7">
        <f t="shared" si="1"/>
        <v>1.1453513482602937</v>
      </c>
      <c r="Q63" s="16">
        <f>EXP(-Parameters!$B$55*A63)</f>
        <v>0.41028632884056476</v>
      </c>
      <c r="R63" s="16">
        <f>IF(P63&gt;0,P63^(1-Parameters!$B$52)/(1-Parameters!$B$52)*Q63,-10+P63*1000)</f>
        <v>-1.1178677978958946</v>
      </c>
      <c r="S63" s="7"/>
      <c r="T63" s="9"/>
      <c r="U63" s="9"/>
      <c r="V63" s="7"/>
      <c r="W63" s="13">
        <f t="shared" si="17"/>
        <v>0.2381029184372962</v>
      </c>
    </row>
    <row r="64" spans="1:23" s="3" customFormat="1" x14ac:dyDescent="0.25">
      <c r="A64" s="3">
        <f>A63+Parameters!$B$65</f>
        <v>60</v>
      </c>
      <c r="B64" s="47">
        <v>5.19238877102325E-2</v>
      </c>
      <c r="C64" s="47">
        <v>1.0018735403930583E-2</v>
      </c>
      <c r="D64" s="48">
        <v>0.29599527422425154</v>
      </c>
      <c r="E64" s="7">
        <f>MAX((1-Parameters!$B$4)^Parameters!B$65*E63+B63*Parameters!B$65-Parameters!$B$5*B63^2/E63*Parameters!B$65,0.0001)</f>
        <v>0.77038602592937677</v>
      </c>
      <c r="F64" s="9">
        <f>MAX((1-Parameters!$B$4)^Parameters!B$65*F63+C63*Parameters!B$65-Parameters!$B$5*C63^2/F63*Parameters!B$65,0.0001)</f>
        <v>0.14864507631522253</v>
      </c>
      <c r="G64" s="7">
        <f>MAX((1-Parameters!$B$4)^Parameters!B$65*G63+D63*Parameters!B$65-Parameters!$B$5*D63^2/G63*Parameters!B$65,0.0001)</f>
        <v>4.3873494113053155</v>
      </c>
      <c r="H64" s="17"/>
      <c r="I64" s="17">
        <f>I63*(1+Parameters!$B$51)^Parameters!B$65</f>
        <v>9.7084084031148468</v>
      </c>
      <c r="J64" s="17">
        <f>J63*(1+Parameters!$B$53)^Parameters!B$65</f>
        <v>29.701819453345202</v>
      </c>
      <c r="K64" s="7">
        <f>'6states'!$O$4</f>
        <v>0.98104277196026479</v>
      </c>
      <c r="L64" s="9">
        <f t="shared" si="7"/>
        <v>0.5</v>
      </c>
      <c r="M64" s="24">
        <f t="shared" si="3"/>
        <v>2</v>
      </c>
      <c r="N64" s="17">
        <f>(Parameters!$B$19*(E64+Parameters!$B$20)^L64+Parameters!$B$18*F64^L64)^(1/L64)</f>
        <v>0.53601696886663586</v>
      </c>
      <c r="O64" s="17">
        <f>(Parameters!$B$10*G64^Parameters!$B$9 + Parameters!$B$11*N64^Parameters!$B$9) ^ (Parameters!$B$7/Parameters!$B$9) * K64</f>
        <v>1.5032900495075534</v>
      </c>
      <c r="P64" s="17">
        <f t="shared" si="1"/>
        <v>1.1453521521691388</v>
      </c>
      <c r="Q64" s="17">
        <f>EXP(-Parameters!$B$55*A64)</f>
        <v>0.40413754542145147</v>
      </c>
      <c r="R64" s="17">
        <f>IF(P64&gt;0,P64^(1-Parameters!$B$52)/(1-Parameters!$B$52)*Q64,-10+P64*1000)</f>
        <v>-1.1011145271187348</v>
      </c>
      <c r="S64" s="17"/>
      <c r="T64" s="22"/>
      <c r="U64" s="22"/>
      <c r="V64" s="17"/>
      <c r="W64" s="31">
        <f t="shared" si="17"/>
        <v>0.23810301774808371</v>
      </c>
    </row>
    <row r="65" spans="1:22" x14ac:dyDescent="0.25">
      <c r="A65">
        <f>A64+Parameters!$B$65</f>
        <v>61</v>
      </c>
      <c r="B65" s="46">
        <f>B64</f>
        <v>5.19238877102325E-2</v>
      </c>
      <c r="C65" s="46">
        <f t="shared" ref="C65:D73" si="22">C64</f>
        <v>1.0018735403930583E-2</v>
      </c>
      <c r="D65" s="46">
        <f t="shared" si="22"/>
        <v>0.29599527422425154</v>
      </c>
      <c r="E65" s="7">
        <f>MAX((1-Parameters!$B$4)^Parameters!B$65*E64+B64*Parameters!B$65-Parameters!$B$5*B64^2/E64*Parameters!B$65,0.0001)</f>
        <v>0.77035297136844094</v>
      </c>
      <c r="F65" s="9">
        <f>MAX((1-Parameters!$B$4)^Parameters!B$65*F64+C64*Parameters!B$65-Parameters!$B$5*C64^2/F64*Parameters!B$65,0.0001)</f>
        <v>0.14863876979333546</v>
      </c>
      <c r="G65" s="7">
        <f>MAX((1-Parameters!$B$4)^Parameters!B$65*G64+D64*Parameters!B$65-Parameters!$B$5*D64^2/G64*Parameters!B$65,0.0001)</f>
        <v>4.3874109011094609</v>
      </c>
      <c r="I65" s="7">
        <f>I64*(1+Parameters!$B$51)^Parameters!B$65</f>
        <v>9.7365627874838783</v>
      </c>
      <c r="J65" s="7">
        <f>J64*(1+Parameters!$B$53)^Parameters!B$65</f>
        <v>30.295855842412106</v>
      </c>
      <c r="K65" s="7">
        <f>'6states'!$O$4</f>
        <v>0.98104277196026479</v>
      </c>
      <c r="L65" s="9">
        <f t="shared" si="7"/>
        <v>0.5</v>
      </c>
      <c r="M65" s="23">
        <f t="shared" si="3"/>
        <v>2</v>
      </c>
      <c r="N65" s="7">
        <f>(Parameters!$B$19*(E65+Parameters!$B$20)^L65+Parameters!$B$18*F65^L65)^(1/L65)</f>
        <v>0.53599425896138808</v>
      </c>
      <c r="O65" s="7">
        <f>(Parameters!$B$10*G65^Parameters!$B$9 + Parameters!$B$11*N65^Parameters!$B$9) ^ (Parameters!$B$7/Parameters!$B$9) * K65</f>
        <v>1.5032912594223777</v>
      </c>
      <c r="P65" s="7">
        <f t="shared" si="1"/>
        <v>1.1453533620839631</v>
      </c>
      <c r="Q65" s="7">
        <f>EXP(-Parameters!$B$55*A65)</f>
        <v>0.39808091115496053</v>
      </c>
      <c r="R65" s="7">
        <f>IF(P65&gt;0,P65^(1-Parameters!$B$52)/(1-Parameters!$B$52)*Q65,-10+P65*1000)</f>
        <v>-1.0846121998390033</v>
      </c>
      <c r="S65" s="7"/>
      <c r="T65" s="7"/>
      <c r="U65" s="7"/>
      <c r="V65" s="7"/>
    </row>
    <row r="66" spans="1:22" x14ac:dyDescent="0.25">
      <c r="A66">
        <f>A65+Parameters!$B$65</f>
        <v>62</v>
      </c>
      <c r="B66" s="46">
        <f t="shared" ref="B66:B73" si="23">B65</f>
        <v>5.19238877102325E-2</v>
      </c>
      <c r="C66" s="46">
        <f t="shared" si="22"/>
        <v>1.0018735403930583E-2</v>
      </c>
      <c r="D66" s="46">
        <f t="shared" si="22"/>
        <v>0.29599527422425154</v>
      </c>
      <c r="E66" s="7">
        <f>MAX((1-Parameters!$B$4)^Parameters!B$65*E65+B65*Parameters!B$65-Parameters!$B$5*B65^2/E65*Parameters!B$65,0.0001)</f>
        <v>0.77032184577476215</v>
      </c>
      <c r="F66" s="9">
        <f>MAX((1-Parameters!$B$4)^Parameters!B$65*F65+C65*Parameters!B$65-Parameters!$B$5*C65^2/F65*Parameters!B$65,0.0001)</f>
        <v>0.14863283130111668</v>
      </c>
      <c r="G66" s="7">
        <f>MAX((1-Parameters!$B$4)^Parameters!B$65*G65+D65*Parameters!B$65-Parameters!$B$5*D65^2/G65*Parameters!B$65,0.0001)</f>
        <v>4.3874688030786517</v>
      </c>
      <c r="I66" s="7">
        <f>I65*(1+Parameters!$B$51)^Parameters!B$65</f>
        <v>9.7647988195675808</v>
      </c>
      <c r="J66" s="7">
        <f>J65*(1+Parameters!$B$53)^Parameters!B$65</f>
        <v>30.901772959260349</v>
      </c>
      <c r="K66" s="7">
        <f>'6states'!$O$4</f>
        <v>0.98104277196026479</v>
      </c>
      <c r="L66" s="9">
        <f t="shared" si="7"/>
        <v>0.5</v>
      </c>
      <c r="N66" s="7">
        <f>(Parameters!$B$19*(E66+Parameters!$B$20)^L66+Parameters!$B$18*F66^L66)^(1/L66)</f>
        <v>0.5359728743393587</v>
      </c>
      <c r="O66" s="7">
        <f>(Parameters!$B$10*G66^Parameters!$B$9 + Parameters!$B$11*N66^Parameters!$B$9) ^ (Parameters!$B$7/Parameters!$B$9) * K66</f>
        <v>1.5032923977189856</v>
      </c>
      <c r="P66" s="7">
        <f t="shared" si="1"/>
        <v>1.145354500380571</v>
      </c>
      <c r="Q66" s="7">
        <f>EXP(-Parameters!$B$55*A66)</f>
        <v>0.39211504504167288</v>
      </c>
      <c r="R66" s="7">
        <f>IF(P66&gt;0,P66^(1-Parameters!$B$52)/(1-Parameters!$B$52)*Q66,-10+P66*1000)</f>
        <v>-1.0683572151788219</v>
      </c>
      <c r="S66" s="7"/>
      <c r="T66" s="7"/>
      <c r="U66" s="7"/>
      <c r="V66" s="7"/>
    </row>
    <row r="67" spans="1:22" x14ac:dyDescent="0.25">
      <c r="A67">
        <f>A66+Parameters!$B$65</f>
        <v>63</v>
      </c>
      <c r="B67" s="46">
        <f t="shared" si="23"/>
        <v>5.19238877102325E-2</v>
      </c>
      <c r="C67" s="46">
        <f t="shared" si="22"/>
        <v>1.0018735403930583E-2</v>
      </c>
      <c r="D67" s="46">
        <f t="shared" si="22"/>
        <v>0.29599527422425154</v>
      </c>
      <c r="E67" s="7">
        <f>MAX((1-Parameters!$B$4)^Parameters!B$65*E66+B66*Parameters!B$65-Parameters!$B$5*B66^2/E66*Parameters!B$65,0.0001)</f>
        <v>0.77029253656768626</v>
      </c>
      <c r="F67" s="9">
        <f>MAX((1-Parameters!$B$4)^Parameters!B$65*F66+C66*Parameters!B$65-Parameters!$B$5*C66^2/F66*Parameters!B$65,0.0001)</f>
        <v>0.14862723935923797</v>
      </c>
      <c r="G67" s="7">
        <f>MAX((1-Parameters!$B$4)^Parameters!B$65*G66+D66*Parameters!B$65-Parameters!$B$5*D66^2/G66*Parameters!B$65,0.0001)</f>
        <v>4.3875233265503368</v>
      </c>
      <c r="I67" s="7">
        <f>I66*(1+Parameters!$B$51)^Parameters!B$65</f>
        <v>9.7931167361443254</v>
      </c>
      <c r="J67" s="7">
        <f>J66*(1+Parameters!$B$53)^Parameters!B$65</f>
        <v>31.519808418445557</v>
      </c>
      <c r="K67" s="7">
        <f>'6states'!$O$4</f>
        <v>0.98104277196026479</v>
      </c>
      <c r="L67" s="9">
        <f t="shared" si="7"/>
        <v>0.5</v>
      </c>
      <c r="N67" s="7">
        <f>(Parameters!$B$19*(E67+Parameters!$B$20)^L67+Parameters!$B$18*F67^L67)^(1/L67)</f>
        <v>0.53595273765284079</v>
      </c>
      <c r="O67" s="7">
        <f>(Parameters!$B$10*G67^Parameters!$B$9 + Parameters!$B$11*N67^Parameters!$B$9) ^ (Parameters!$B$7/Parameters!$B$9) * K67</f>
        <v>1.5032934686916368</v>
      </c>
      <c r="P67" s="7">
        <f t="shared" si="1"/>
        <v>1.1453555713532222</v>
      </c>
      <c r="Q67" s="7">
        <f>EXP(-Parameters!$B$55*A67)</f>
        <v>0.38623858677860945</v>
      </c>
      <c r="R67" s="7">
        <f>IF(P67&gt;0,P67^(1-Parameters!$B$52)/(1-Parameters!$B$52)*Q67,-10+P67*1000)</f>
        <v>-1.0523458641496084</v>
      </c>
      <c r="S67" s="7"/>
      <c r="T67" s="7"/>
      <c r="U67" s="7"/>
      <c r="V67" s="7"/>
    </row>
    <row r="68" spans="1:22" x14ac:dyDescent="0.25">
      <c r="A68">
        <f>A67+Parameters!$B$65</f>
        <v>64</v>
      </c>
      <c r="B68" s="46">
        <f t="shared" si="23"/>
        <v>5.19238877102325E-2</v>
      </c>
      <c r="C68" s="46">
        <f t="shared" si="22"/>
        <v>1.0018735403930583E-2</v>
      </c>
      <c r="D68" s="46">
        <f t="shared" si="22"/>
        <v>0.29599527422425154</v>
      </c>
      <c r="E68" s="7">
        <f>MAX((1-Parameters!$B$4)^Parameters!B$65*E67+B67*Parameters!B$65-Parameters!$B$5*B67^2/E67*Parameters!B$65,0.0001)</f>
        <v>0.77026493773845695</v>
      </c>
      <c r="F68" s="9">
        <f>MAX((1-Parameters!$B$4)^Parameters!B$65*F67+C67*Parameters!B$65-Parameters!$B$5*C67^2/F67*Parameters!B$65,0.0001)</f>
        <v>0.14862197374222141</v>
      </c>
      <c r="G68" s="7">
        <f>MAX((1-Parameters!$B$4)^Parameters!B$65*G67+D67*Parameters!B$65-Parameters!$B$5*D67^2/G67*Parameters!B$65,0.0001)</f>
        <v>4.3875746686486794</v>
      </c>
      <c r="I68" s="7">
        <f>I67*(1+Parameters!$B$51)^Parameters!B$65</f>
        <v>9.821516774679143</v>
      </c>
      <c r="J68" s="7">
        <f>J67*(1+Parameters!$B$53)^Parameters!B$65</f>
        <v>32.150204586814468</v>
      </c>
      <c r="K68" s="7">
        <f>'6states'!$O$4</f>
        <v>0.98104277196026479</v>
      </c>
      <c r="L68" s="9">
        <f t="shared" si="7"/>
        <v>0.5</v>
      </c>
      <c r="N68" s="7">
        <f>(Parameters!$B$19*(E68+Parameters!$B$20)^L68+Parameters!$B$18*F68^L68)^(1/L68)</f>
        <v>0.53593377606929815</v>
      </c>
      <c r="O68" s="7">
        <f>(Parameters!$B$10*G68^Parameters!$B$9 + Parameters!$B$11*N68^Parameters!$B$9) ^ (Parameters!$B$7/Parameters!$B$9) * K68</f>
        <v>1.5032944763709803</v>
      </c>
      <c r="P68" s="7">
        <f t="shared" ref="P68:P131" si="24">O68-B68-C68-D68</f>
        <v>1.1453565790325657</v>
      </c>
      <c r="Q68" s="7">
        <f>EXP(-Parameters!$B$55*A68)</f>
        <v>0.38045019644906247</v>
      </c>
      <c r="R68" s="7">
        <f>IF(P68&gt;0,P68^(1-Parameters!$B$52)/(1-Parameters!$B$52)*Q68,-10+P68*1000)</f>
        <v>-1.0365744935104941</v>
      </c>
      <c r="S68" s="7"/>
      <c r="T68" s="7"/>
      <c r="U68" s="7"/>
      <c r="V68" s="7"/>
    </row>
    <row r="69" spans="1:22" x14ac:dyDescent="0.25">
      <c r="A69">
        <f>A68+Parameters!$B$65</f>
        <v>65</v>
      </c>
      <c r="B69" s="46">
        <f t="shared" si="23"/>
        <v>5.19238877102325E-2</v>
      </c>
      <c r="C69" s="46">
        <f t="shared" si="22"/>
        <v>1.0018735403930583E-2</v>
      </c>
      <c r="D69" s="46">
        <f t="shared" si="22"/>
        <v>0.29599527422425154</v>
      </c>
      <c r="E69" s="7">
        <f>MAX((1-Parameters!$B$4)^Parameters!B$65*E68+B68*Parameters!B$65-Parameters!$B$5*B68^2/E68*Parameters!B$65,0.0001)</f>
        <v>0.77023894946643046</v>
      </c>
      <c r="F69" s="9">
        <f>MAX((1-Parameters!$B$4)^Parameters!B$65*F68+C68*Parameters!B$65-Parameters!$B$5*C68^2/F68*Parameters!B$65,0.0001)</f>
        <v>0.14861701540521788</v>
      </c>
      <c r="G69" s="7">
        <f>MAX((1-Parameters!$B$4)^Parameters!B$65*G68+D68*Parameters!B$65-Parameters!$B$5*D68^2/G68*Parameters!B$65,0.0001)</f>
        <v>4.3876230149970192</v>
      </c>
      <c r="I69" s="7">
        <f>I68*(1+Parameters!$B$51)^Parameters!B$65</f>
        <v>9.8499991733257115</v>
      </c>
      <c r="J69" s="7">
        <f>J68*(1+Parameters!$B$53)^Parameters!B$65</f>
        <v>32.793208678550755</v>
      </c>
      <c r="K69" s="7">
        <f>'6states'!$O$4</f>
        <v>0.98104277196026479</v>
      </c>
      <c r="L69" s="9">
        <f t="shared" si="7"/>
        <v>0.5</v>
      </c>
      <c r="N69" s="7">
        <f>(Parameters!$B$19*(E69+Parameters!$B$20)^L69+Parameters!$B$18*F69^L69)^(1/L69)</f>
        <v>0.53591592100768815</v>
      </c>
      <c r="O69" s="7">
        <f>(Parameters!$B$10*G69^Parameters!$B$9 + Parameters!$B$11*N69^Parameters!$B$9) ^ (Parameters!$B$7/Parameters!$B$9) * K69</f>
        <v>1.5032954245409109</v>
      </c>
      <c r="P69" s="7">
        <f t="shared" si="24"/>
        <v>1.1453575272024963</v>
      </c>
      <c r="Q69" s="7">
        <f>EXP(-Parameters!$B$55*A69)</f>
        <v>0.37474855421707526</v>
      </c>
      <c r="R69" s="7">
        <f>IF(P69&gt;0,P69^(1-Parameters!$B$52)/(1-Parameters!$B$52)*Q69,-10+P69*1000)</f>
        <v>-1.021039504920392</v>
      </c>
      <c r="S69" s="7"/>
      <c r="T69" s="7"/>
      <c r="U69" s="7"/>
      <c r="V69" s="7"/>
    </row>
    <row r="70" spans="1:22" x14ac:dyDescent="0.25">
      <c r="A70">
        <f>A69+Parameters!$B$65</f>
        <v>66</v>
      </c>
      <c r="B70" s="46">
        <f t="shared" si="23"/>
        <v>5.19238877102325E-2</v>
      </c>
      <c r="C70" s="46">
        <f t="shared" si="22"/>
        <v>1.0018735403930583E-2</v>
      </c>
      <c r="D70" s="46">
        <f t="shared" si="22"/>
        <v>0.29599527422425154</v>
      </c>
      <c r="E70" s="7">
        <f>MAX((1-Parameters!$B$4)^Parameters!B$65*E69+B69*Parameters!B$65-Parameters!$B$5*B69^2/E69*Parameters!B$65,0.0001)</f>
        <v>0.77021447775771912</v>
      </c>
      <c r="F70" s="9">
        <f>MAX((1-Parameters!$B$4)^Parameters!B$65*F69+C69*Parameters!B$65-Parameters!$B$5*C69^2/F69*Parameters!B$65,0.0001)</f>
        <v>0.14861234641506435</v>
      </c>
      <c r="G70" s="7">
        <f>MAX((1-Parameters!$B$4)^Parameters!B$65*G69+D69*Parameters!B$65-Parameters!$B$5*D69^2/G69*Parameters!B$65,0.0001)</f>
        <v>4.387668540388785</v>
      </c>
      <c r="I70" s="7">
        <f>I69*(1+Parameters!$B$51)^Parameters!B$65</f>
        <v>9.8785641709283549</v>
      </c>
      <c r="J70" s="7">
        <f>J69*(1+Parameters!$B$53)^Parameters!B$65</f>
        <v>33.449072852121773</v>
      </c>
      <c r="K70" s="7">
        <f>'6states'!$O$4</f>
        <v>0.98104277196026479</v>
      </c>
      <c r="L70" s="9">
        <f t="shared" ref="L70:L133" si="25">L69</f>
        <v>0.5</v>
      </c>
      <c r="N70" s="7">
        <f>(Parameters!$B$19*(E70+Parameters!$B$20)^L70+Parameters!$B$18*F70^L70)^(1/L70)</f>
        <v>0.53589910789019657</v>
      </c>
      <c r="O70" s="7">
        <f>(Parameters!$B$10*G70^Parameters!$B$9 + Parameters!$B$11*N70^Parameters!$B$9) ^ (Parameters!$B$7/Parameters!$B$9) * K70</f>
        <v>1.503296316754273</v>
      </c>
      <c r="P70" s="7">
        <f t="shared" si="24"/>
        <v>1.1453584194158584</v>
      </c>
      <c r="Q70" s="7">
        <f>EXP(-Parameters!$B$55*A70)</f>
        <v>0.36913236002650052</v>
      </c>
      <c r="R70" s="7">
        <f>IF(P70&gt;0,P70^(1-Parameters!$B$52)/(1-Parameters!$B$52)*Q70,-10+P70*1000)</f>
        <v>-1.0057373541037642</v>
      </c>
      <c r="S70" s="7"/>
      <c r="T70" s="7"/>
      <c r="U70" s="7"/>
      <c r="V70" s="7"/>
    </row>
    <row r="71" spans="1:22" x14ac:dyDescent="0.25">
      <c r="A71">
        <f>A70+Parameters!$B$65</f>
        <v>67</v>
      </c>
      <c r="B71" s="46">
        <f t="shared" si="23"/>
        <v>5.19238877102325E-2</v>
      </c>
      <c r="C71" s="46">
        <f t="shared" si="22"/>
        <v>1.0018735403930583E-2</v>
      </c>
      <c r="D71" s="46">
        <f t="shared" si="22"/>
        <v>0.29599527422425154</v>
      </c>
      <c r="E71" s="7">
        <f>MAX((1-Parameters!$B$4)^Parameters!B$65*E70+B70*Parameters!B$65-Parameters!$B$5*B70^2/E70*Parameters!B$65,0.0001)</f>
        <v>0.77019143410495228</v>
      </c>
      <c r="F71" s="9">
        <f>MAX((1-Parameters!$B$4)^Parameters!B$65*F70+C70*Parameters!B$65-Parameters!$B$5*C70^2/F70*Parameters!B$65,0.0001)</f>
        <v>0.14860794988537035</v>
      </c>
      <c r="G71" s="7">
        <f>MAX((1-Parameters!$B$4)^Parameters!B$65*G70+D70*Parameters!B$65-Parameters!$B$5*D70^2/G70*Parameters!B$65,0.0001)</f>
        <v>4.3877114094192757</v>
      </c>
      <c r="I71" s="7">
        <f>I70*(1+Parameters!$B$51)^Parameters!B$65</f>
        <v>9.9072120070240466</v>
      </c>
      <c r="J71" s="7">
        <f>J70*(1+Parameters!$B$53)^Parameters!B$65</f>
        <v>34.118054309164208</v>
      </c>
      <c r="K71" s="7">
        <f>'6states'!$O$4</f>
        <v>0.98104277196026479</v>
      </c>
      <c r="L71" s="9">
        <f t="shared" si="25"/>
        <v>0.5</v>
      </c>
      <c r="N71" s="7">
        <f>(Parameters!$B$19*(E71+Parameters!$B$20)^L71+Parameters!$B$18*F71^L71)^(1/L71)</f>
        <v>0.53588327590847751</v>
      </c>
      <c r="O71" s="7">
        <f>(Parameters!$B$10*G71^Parameters!$B$9 + Parameters!$B$11*N71^Parameters!$B$9) ^ (Parameters!$B$7/Parameters!$B$9) * K71</f>
        <v>1.5032971563475013</v>
      </c>
      <c r="P71" s="7">
        <f t="shared" si="24"/>
        <v>1.1453592590090866</v>
      </c>
      <c r="Q71" s="7">
        <f>EXP(-Parameters!$B$55*A71)</f>
        <v>0.3636003333045692</v>
      </c>
      <c r="R71" s="7">
        <f>IF(P71&gt;0,P71^(1-Parameters!$B$52)/(1-Parameters!$B$52)*Q71,-10+P71*1000)</f>
        <v>-0.99066455002979614</v>
      </c>
      <c r="S71" s="7"/>
      <c r="T71" s="7"/>
      <c r="U71" s="7"/>
      <c r="V71" s="7"/>
    </row>
    <row r="72" spans="1:22" x14ac:dyDescent="0.25">
      <c r="A72">
        <f>A71+Parameters!$B$65</f>
        <v>68</v>
      </c>
      <c r="B72" s="46">
        <f t="shared" si="23"/>
        <v>5.19238877102325E-2</v>
      </c>
      <c r="C72" s="46">
        <f t="shared" si="22"/>
        <v>1.0018735403930583E-2</v>
      </c>
      <c r="D72" s="46">
        <f t="shared" si="22"/>
        <v>0.29599527422425154</v>
      </c>
      <c r="E72" s="7">
        <f>MAX((1-Parameters!$B$4)^Parameters!B$65*E71+B71*Parameters!B$65-Parameters!$B$5*B71^2/E71*Parameters!B$65,0.0001)</f>
        <v>0.770169735166917</v>
      </c>
      <c r="F72" s="9">
        <f>MAX((1-Parameters!$B$4)^Parameters!B$65*F71+C71*Parameters!B$65-Parameters!$B$5*C71^2/F71*Parameters!B$65,0.0001)</f>
        <v>0.14860380991539707</v>
      </c>
      <c r="G72" s="7">
        <f>MAX((1-Parameters!$B$4)^Parameters!B$65*G71+D71*Parameters!B$65-Parameters!$B$5*D71^2/G71*Parameters!B$65,0.0001)</f>
        <v>4.3877517770805978</v>
      </c>
      <c r="I72" s="7">
        <f>I71*(1+Parameters!$B$51)^Parameters!B$65</f>
        <v>9.9359429218444149</v>
      </c>
      <c r="J72" s="7">
        <f>J71*(1+Parameters!$B$53)^Parameters!B$65</f>
        <v>34.800415395347493</v>
      </c>
      <c r="K72" s="7">
        <f>'6states'!$O$4</f>
        <v>0.98104277196026479</v>
      </c>
      <c r="L72" s="9">
        <f t="shared" si="25"/>
        <v>0.5</v>
      </c>
      <c r="N72" s="7">
        <f>(Parameters!$B$19*(E72+Parameters!$B$20)^L72+Parameters!$B$18*F72^L72)^(1/L72)</f>
        <v>0.53586836780355451</v>
      </c>
      <c r="O72" s="7">
        <f>(Parameters!$B$10*G72^Parameters!$B$9 + Parameters!$B$11*N72^Parameters!$B$9) ^ (Parameters!$B$7/Parameters!$B$9) * K72</f>
        <v>1.5032979464542786</v>
      </c>
      <c r="P72" s="7">
        <f t="shared" si="24"/>
        <v>1.145360049115864</v>
      </c>
      <c r="Q72" s="7">
        <f>EXP(-Parameters!$B$55*A72)</f>
        <v>0.35815121266990152</v>
      </c>
      <c r="R72" s="7">
        <f>IF(P72&gt;0,P72^(1-Parameters!$B$52)/(1-Parameters!$B$52)*Q72,-10+P72*1000)</f>
        <v>-0.97581765410470234</v>
      </c>
      <c r="S72" s="7"/>
      <c r="T72" s="7"/>
      <c r="U72" s="7"/>
      <c r="V72" s="7"/>
    </row>
    <row r="73" spans="1:22" x14ac:dyDescent="0.25">
      <c r="A73">
        <f>A72+Parameters!$B$65</f>
        <v>69</v>
      </c>
      <c r="B73" s="46">
        <f t="shared" si="23"/>
        <v>5.19238877102325E-2</v>
      </c>
      <c r="C73" s="46">
        <f t="shared" si="22"/>
        <v>1.0018735403930583E-2</v>
      </c>
      <c r="D73" s="46">
        <f t="shared" si="22"/>
        <v>0.29599527422425154</v>
      </c>
      <c r="E73" s="7">
        <f>MAX((1-Parameters!$B$4)^Parameters!B$65*E72+B72*Parameters!B$65-Parameters!$B$5*B72^2/E72*Parameters!B$65,0.0001)</f>
        <v>0.77014930246691715</v>
      </c>
      <c r="F73" s="9">
        <f>MAX((1-Parameters!$B$4)^Parameters!B$65*F72+C72*Parameters!B$65-Parameters!$B$5*C72^2/F72*Parameters!B$65,0.0001)</f>
        <v>0.14859991153250762</v>
      </c>
      <c r="G73" s="7">
        <f>MAX((1-Parameters!$B$4)^Parameters!B$65*G72+D72*Parameters!B$65-Parameters!$B$5*D72^2/G72*Parameters!B$65,0.0001)</f>
        <v>4.3877897893218947</v>
      </c>
      <c r="I73" s="7">
        <f>I72*(1+Parameters!$B$51)^Parameters!B$65</f>
        <v>9.9647571563177628</v>
      </c>
      <c r="J73" s="7">
        <f>J72*(1+Parameters!$B$53)^Parameters!B$65</f>
        <v>35.496423703254443</v>
      </c>
      <c r="K73" s="7">
        <f>'6states'!$O$4</f>
        <v>0.98104277196026479</v>
      </c>
      <c r="L73" s="9">
        <f t="shared" si="25"/>
        <v>0.5</v>
      </c>
      <c r="N73" s="7">
        <f>(Parameters!$B$19*(E73+Parameters!$B$20)^L73+Parameters!$B$18*F73^L73)^(1/L73)</f>
        <v>0.53585432965857993</v>
      </c>
      <c r="O73" s="7">
        <f>(Parameters!$B$10*G73^Parameters!$B$9 + Parameters!$B$11*N73^Parameters!$B$9) ^ (Parameters!$B$7/Parameters!$B$9) * K73</f>
        <v>1.5032986900182779</v>
      </c>
      <c r="P73" s="7">
        <f t="shared" si="24"/>
        <v>1.1453607926798632</v>
      </c>
      <c r="Q73" s="7">
        <f>EXP(-Parameters!$B$55*A73)</f>
        <v>0.35278375564489362</v>
      </c>
      <c r="R73" s="7">
        <f>IF(P73&gt;0,P73^(1-Parameters!$B$52)/(1-Parameters!$B$52)*Q73,-10+P73*1000)</f>
        <v>-0.96119327937689736</v>
      </c>
      <c r="S73" s="7"/>
      <c r="T73" s="7"/>
      <c r="U73" s="7"/>
      <c r="V73" s="7"/>
    </row>
    <row r="74" spans="1:22" x14ac:dyDescent="0.25">
      <c r="A74">
        <f>A73+Parameters!$B$65</f>
        <v>70</v>
      </c>
      <c r="B74" s="19">
        <v>5.1923951975726516E-2</v>
      </c>
      <c r="C74" s="19">
        <v>1.0018754504738657E-2</v>
      </c>
      <c r="D74" s="18">
        <v>0.29599585186736171</v>
      </c>
      <c r="E74" s="7">
        <f>MAX((1-Parameters!$B$4)^Parameters!B$65*E73+B73*Parameters!B$65-Parameters!$B$5*B73^2/E73*Parameters!B$65,0.0001)</f>
        <v>0.77013006210875568</v>
      </c>
      <c r="F74" s="9">
        <f>MAX((1-Parameters!$B$4)^Parameters!B$65*F73+C73*Parameters!B$65-Parameters!$B$5*C73^2/F73*Parameters!B$65,0.0001)</f>
        <v>0.14859624063797974</v>
      </c>
      <c r="G74" s="7">
        <f>MAX((1-Parameters!$B$4)^Parameters!B$65*G73+D73*Parameters!B$65-Parameters!$B$5*D73^2/G73*Parameters!B$65,0.0001)</f>
        <v>4.387825583576908</v>
      </c>
      <c r="I74" s="7">
        <f>I73*(1+Parameters!$B$51)^Parameters!B$65</f>
        <v>9.9936549520710827</v>
      </c>
      <c r="J74" s="7">
        <f>J73*(1+Parameters!$B$53)^Parameters!B$65</f>
        <v>36.20635217731953</v>
      </c>
      <c r="K74" s="7">
        <f>'6states'!$O$4</f>
        <v>0.98104277196026479</v>
      </c>
      <c r="L74" s="9">
        <f t="shared" si="25"/>
        <v>0.5</v>
      </c>
      <c r="N74" s="7">
        <f>(Parameters!$B$19*(E74+Parameters!$B$20)^L74+Parameters!$B$18*F74^L74)^(1/L74)</f>
        <v>0.53584111070370399</v>
      </c>
      <c r="O74" s="7">
        <f>(Parameters!$B$10*G74^Parameters!$B$9 + Parameters!$B$11*N74^Parameters!$B$9) ^ (Parameters!$B$7/Parameters!$B$9) * K74</f>
        <v>1.5032993898050575</v>
      </c>
      <c r="P74" s="7">
        <f t="shared" si="24"/>
        <v>1.1453608314572308</v>
      </c>
      <c r="Q74" s="7">
        <f>EXP(-Parameters!$B$55*A74)</f>
        <v>0.34749673837241518</v>
      </c>
      <c r="R74" s="7">
        <f>IF(P74&gt;0,P74^(1-Parameters!$B$52)/(1-Parameters!$B$52)*Q74,-10+P74*1000)</f>
        <v>-0.94678828099801116</v>
      </c>
      <c r="S74" s="7"/>
      <c r="T74" s="7"/>
      <c r="U74" s="7"/>
      <c r="V74" s="7"/>
    </row>
    <row r="75" spans="1:22" x14ac:dyDescent="0.25">
      <c r="A75">
        <f>A74+Parameters!$B$65</f>
        <v>71</v>
      </c>
      <c r="B75" s="46">
        <f>B74</f>
        <v>5.1923951975726516E-2</v>
      </c>
      <c r="C75" s="46">
        <f t="shared" ref="C75:D83" si="26">C74</f>
        <v>1.0018754504738657E-2</v>
      </c>
      <c r="D75" s="46">
        <f t="shared" si="26"/>
        <v>0.29599585186736171</v>
      </c>
      <c r="E75" s="7">
        <f>MAX((1-Parameters!$B$4)^Parameters!B$65*E74+B74*Parameters!B$65-Parameters!$B$5*B74^2/E74*Parameters!B$65,0.0001)</f>
        <v>0.77011200010895031</v>
      </c>
      <c r="F75" s="9">
        <f>MAX((1-Parameters!$B$4)^Parameters!B$65*F74+C74*Parameters!B$65-Parameters!$B$5*C74^2/F74*Parameters!B$65,0.0001)</f>
        <v>0.14859280048113924</v>
      </c>
      <c r="G75" s="7">
        <f>MAX((1-Parameters!$B$4)^Parameters!B$65*G74+D74*Parameters!B$65-Parameters!$B$5*D74^2/G74*Parameters!B$65,0.0001)</f>
        <v>4.3878597889701485</v>
      </c>
      <c r="I75" s="7">
        <f>I74*(1+Parameters!$B$51)^Parameters!B$65</f>
        <v>10.022636551432088</v>
      </c>
      <c r="J75" s="7">
        <f>J74*(1+Parameters!$B$53)^Parameters!B$65</f>
        <v>36.930479220865919</v>
      </c>
      <c r="K75" s="7">
        <f>'6states'!$O$4</f>
        <v>0.98104277196026479</v>
      </c>
      <c r="L75" s="9">
        <f t="shared" si="25"/>
        <v>0.5</v>
      </c>
      <c r="N75" s="7">
        <f>(Parameters!$B$19*(E75+Parameters!$B$20)^L75+Parameters!$B$18*F75^L75)^(1/L75)</f>
        <v>0.53582870474570998</v>
      </c>
      <c r="O75" s="7">
        <f>(Parameters!$B$10*G75^Parameters!$B$9 + Parameters!$B$11*N75^Parameters!$B$9) ^ (Parameters!$B$7/Parameters!$B$9) * K75</f>
        <v>1.5033000964860315</v>
      </c>
      <c r="P75" s="7">
        <f t="shared" si="24"/>
        <v>1.1453615381382047</v>
      </c>
      <c r="Q75" s="7">
        <f>EXP(-Parameters!$B$55*A75)</f>
        <v>0.34228895533675241</v>
      </c>
      <c r="R75" s="7">
        <f>IF(P75&gt;0,P75^(1-Parameters!$B$52)/(1-Parameters!$B$52)*Q75,-10+P75*1000)</f>
        <v>-0.93259897391390778</v>
      </c>
      <c r="S75" s="7"/>
      <c r="T75" s="7"/>
      <c r="U75" s="7"/>
      <c r="V75" s="7"/>
    </row>
    <row r="76" spans="1:22" x14ac:dyDescent="0.25">
      <c r="A76">
        <f>A75+Parameters!$B$65</f>
        <v>72</v>
      </c>
      <c r="B76" s="46">
        <f t="shared" ref="B76:B83" si="27">B75</f>
        <v>5.1923951975726516E-2</v>
      </c>
      <c r="C76" s="46">
        <f t="shared" si="26"/>
        <v>1.0018754504738657E-2</v>
      </c>
      <c r="D76" s="46">
        <f t="shared" si="26"/>
        <v>0.29599585186736171</v>
      </c>
      <c r="E76" s="7">
        <f>MAX((1-Parameters!$B$4)^Parameters!B$65*E75+B75*Parameters!B$65-Parameters!$B$5*B75^2/E75*Parameters!B$65,0.0001)</f>
        <v>0.77009499210133514</v>
      </c>
      <c r="F76" s="9">
        <f>MAX((1-Parameters!$B$4)^Parameters!B$65*F75+C75*Parameters!B$65-Parameters!$B$5*C75^2/F75*Parameters!B$65,0.0001)</f>
        <v>0.14858956107148294</v>
      </c>
      <c r="G76" s="7">
        <f>MAX((1-Parameters!$B$4)^Parameters!B$65*G75+D75*Parameters!B$65-Parameters!$B$5*D75^2/G75*Parameters!B$65,0.0001)</f>
        <v>4.3878919984993923</v>
      </c>
      <c r="I76" s="7">
        <f>I75*(1+Parameters!$B$51)^Parameters!B$65</f>
        <v>10.05170219743124</v>
      </c>
      <c r="J76" s="7">
        <f>J75*(1+Parameters!$B$53)^Parameters!B$65</f>
        <v>37.669088805283238</v>
      </c>
      <c r="K76" s="7">
        <f>'6states'!$O$4</f>
        <v>0.98104277196026479</v>
      </c>
      <c r="L76" s="9">
        <f t="shared" si="25"/>
        <v>0.5</v>
      </c>
      <c r="N76" s="7">
        <f>(Parameters!$B$19*(E76+Parameters!$B$20)^L76+Parameters!$B$18*F76^L76)^(1/L76)</f>
        <v>0.53581702272644616</v>
      </c>
      <c r="O76" s="7">
        <f>(Parameters!$B$10*G76^Parameters!$B$9 + Parameters!$B$11*N76^Parameters!$B$9) ^ (Parameters!$B$7/Parameters!$B$9) * K76</f>
        <v>1.5033007616244094</v>
      </c>
      <c r="P76" s="7">
        <f t="shared" si="24"/>
        <v>1.1453622032765827</v>
      </c>
      <c r="Q76" s="7">
        <f>EXP(-Parameters!$B$55*A76)</f>
        <v>0.33715921908873309</v>
      </c>
      <c r="R76" s="7">
        <f>IF(P76&gt;0,P76^(1-Parameters!$B$52)/(1-Parameters!$B$52)*Q76,-10+P76*1000)</f>
        <v>-0.91862233050624753</v>
      </c>
      <c r="S76" s="7"/>
      <c r="T76" s="7"/>
      <c r="U76" s="7"/>
      <c r="V76" s="7"/>
    </row>
    <row r="77" spans="1:22" x14ac:dyDescent="0.25">
      <c r="A77">
        <f>A76+Parameters!$B$65</f>
        <v>73</v>
      </c>
      <c r="B77" s="46">
        <f t="shared" si="27"/>
        <v>5.1923951975726516E-2</v>
      </c>
      <c r="C77" s="46">
        <f t="shared" si="26"/>
        <v>1.0018754504738657E-2</v>
      </c>
      <c r="D77" s="46">
        <f t="shared" si="26"/>
        <v>0.29599585186736171</v>
      </c>
      <c r="E77" s="7">
        <f>MAX((1-Parameters!$B$4)^Parameters!B$65*E76+B76*Parameters!B$65-Parameters!$B$5*B76^2/E76*Parameters!B$65,0.0001)</f>
        <v>0.77007897657759738</v>
      </c>
      <c r="F77" s="9">
        <f>MAX((1-Parameters!$B$4)^Parameters!B$65*F76+C76*Parameters!B$65-Parameters!$B$5*C76^2/F76*Parameters!B$65,0.0001)</f>
        <v>0.14858651069393183</v>
      </c>
      <c r="G77" s="7">
        <f>MAX((1-Parameters!$B$4)^Parameters!B$65*G76+D76*Parameters!B$65-Parameters!$B$5*D76^2/G76*Parameters!B$65,0.0001)</f>
        <v>4.3879223286198767</v>
      </c>
      <c r="I77" s="7">
        <f>I76*(1+Parameters!$B$51)^Parameters!B$65</f>
        <v>10.08085213380379</v>
      </c>
      <c r="J77" s="7">
        <f>J76*(1+Parameters!$B$53)^Parameters!B$65</f>
        <v>38.4224705813889</v>
      </c>
      <c r="K77" s="7">
        <f>'6states'!$O$4</f>
        <v>0.98104277196026479</v>
      </c>
      <c r="L77" s="9">
        <f t="shared" si="25"/>
        <v>0.5</v>
      </c>
      <c r="N77" s="7">
        <f>(Parameters!$B$19*(E77+Parameters!$B$20)^L77+Parameters!$B$18*F77^L77)^(1/L77)</f>
        <v>0.5358060223986929</v>
      </c>
      <c r="O77" s="7">
        <f>(Parameters!$B$10*G77^Parameters!$B$9 + Parameters!$B$11*N77^Parameters!$B$9) ^ (Parameters!$B$7/Parameters!$B$9) * K77</f>
        <v>1.503301387679022</v>
      </c>
      <c r="P77" s="7">
        <f t="shared" si="24"/>
        <v>1.1453628293311953</v>
      </c>
      <c r="Q77" s="7">
        <f>EXP(-Parameters!$B$55*A77)</f>
        <v>0.33210635997497118</v>
      </c>
      <c r="R77" s="7">
        <f>IF(P77&gt;0,P77^(1-Parameters!$B$52)/(1-Parameters!$B$52)*Q77,-10+P77*1000)</f>
        <v>-0.90485516260198795</v>
      </c>
      <c r="S77" s="7"/>
      <c r="T77" s="7"/>
      <c r="U77" s="7"/>
      <c r="V77" s="7"/>
    </row>
    <row r="78" spans="1:22" x14ac:dyDescent="0.25">
      <c r="A78">
        <f>A77+Parameters!$B$65</f>
        <v>74</v>
      </c>
      <c r="B78" s="46">
        <f t="shared" si="27"/>
        <v>5.1923951975726516E-2</v>
      </c>
      <c r="C78" s="46">
        <f t="shared" si="26"/>
        <v>1.0018754504738657E-2</v>
      </c>
      <c r="D78" s="46">
        <f t="shared" si="26"/>
        <v>0.29599585186736171</v>
      </c>
      <c r="E78" s="7">
        <f>MAX((1-Parameters!$B$4)^Parameters!B$65*E77+B77*Parameters!B$65-Parameters!$B$5*B77^2/E77*Parameters!B$65,0.0001)</f>
        <v>0.77006389561929223</v>
      </c>
      <c r="F78" s="9">
        <f>MAX((1-Parameters!$B$4)^Parameters!B$65*F77+C77*Parameters!B$65-Parameters!$B$5*C77^2/F77*Parameters!B$65,0.0001)</f>
        <v>0.14858363831714305</v>
      </c>
      <c r="G78" s="7">
        <f>MAX((1-Parameters!$B$4)^Parameters!B$65*G77+D77*Parameters!B$65-Parameters!$B$5*D77^2/G77*Parameters!B$65,0.0001)</f>
        <v>4.3879508889921288</v>
      </c>
      <c r="I78" s="7">
        <f>I77*(1+Parameters!$B$51)^Parameters!B$65</f>
        <v>10.110086604991819</v>
      </c>
      <c r="J78" s="7">
        <f>J77*(1+Parameters!$B$53)^Parameters!B$65</f>
        <v>39.190919993016678</v>
      </c>
      <c r="K78" s="7">
        <f>'6states'!$O$4</f>
        <v>0.98104277196026479</v>
      </c>
      <c r="L78" s="9">
        <f t="shared" si="25"/>
        <v>0.5</v>
      </c>
      <c r="N78" s="7">
        <f>(Parameters!$B$19*(E78+Parameters!$B$20)^L78+Parameters!$B$18*F78^L78)^(1/L78)</f>
        <v>0.53579566398094469</v>
      </c>
      <c r="O78" s="7">
        <f>(Parameters!$B$10*G78^Parameters!$B$9 + Parameters!$B$11*N78^Parameters!$B$9) ^ (Parameters!$B$7/Parameters!$B$9) * K78</f>
        <v>1.5033019769612899</v>
      </c>
      <c r="P78" s="7">
        <f t="shared" si="24"/>
        <v>1.1453634186134631</v>
      </c>
      <c r="Q78" s="7">
        <f>EXP(-Parameters!$B$55*A78)</f>
        <v>0.32712922587116899</v>
      </c>
      <c r="R78" s="7">
        <f>IF(P78&gt;0,P78^(1-Parameters!$B$52)/(1-Parameters!$B$52)*Q78,-10+P78*1000)</f>
        <v>-0.89129432988711121</v>
      </c>
      <c r="S78" s="7"/>
      <c r="T78" s="7"/>
      <c r="U78" s="7"/>
      <c r="V78" s="7"/>
    </row>
    <row r="79" spans="1:22" x14ac:dyDescent="0.25">
      <c r="A79">
        <f>A78+Parameters!$B$65</f>
        <v>75</v>
      </c>
      <c r="B79" s="46">
        <f t="shared" si="27"/>
        <v>5.1923951975726516E-2</v>
      </c>
      <c r="C79" s="46">
        <f t="shared" si="26"/>
        <v>1.0018754504738657E-2</v>
      </c>
      <c r="D79" s="46">
        <f t="shared" si="26"/>
        <v>0.29599585186736171</v>
      </c>
      <c r="E79" s="7">
        <f>MAX((1-Parameters!$B$4)^Parameters!B$65*E78+B78*Parameters!B$65-Parameters!$B$5*B78^2/E78*Parameters!B$65,0.0001)</f>
        <v>0.77004969468827889</v>
      </c>
      <c r="F79" s="9">
        <f>MAX((1-Parameters!$B$4)^Parameters!B$65*F78+C78*Parameters!B$65-Parameters!$B$5*C78^2/F78*Parameters!B$65,0.0001)</f>
        <v>0.14858093355359617</v>
      </c>
      <c r="G79" s="7">
        <f>MAX((1-Parameters!$B$4)^Parameters!B$65*G78+D78*Parameters!B$65-Parameters!$B$5*D78^2/G78*Parameters!B$65,0.0001)</f>
        <v>4.3879777828783793</v>
      </c>
      <c r="I79" s="7">
        <f>I78*(1+Parameters!$B$51)^Parameters!B$65</f>
        <v>10.139405856146295</v>
      </c>
      <c r="J79" s="7">
        <f>J78*(1+Parameters!$B$53)^Parameters!B$65</f>
        <v>39.974738392877015</v>
      </c>
      <c r="K79" s="7">
        <f>'6states'!$O$4</f>
        <v>0.98104277196026479</v>
      </c>
      <c r="L79" s="9">
        <f t="shared" si="25"/>
        <v>0.5</v>
      </c>
      <c r="N79" s="7">
        <f>(Parameters!$B$19*(E79+Parameters!$B$20)^L79+Parameters!$B$18*F79^L79)^(1/L79)</f>
        <v>0.53578591001346942</v>
      </c>
      <c r="O79" s="7">
        <f>(Parameters!$B$10*G79^Parameters!$B$9 + Parameters!$B$11*N79^Parameters!$B$9) ^ (Parameters!$B$7/Parameters!$B$9) * K79</f>
        <v>1.5033025316442652</v>
      </c>
      <c r="P79" s="7">
        <f t="shared" si="24"/>
        <v>1.1453639732964385</v>
      </c>
      <c r="Q79" s="7">
        <f>EXP(-Parameters!$B$55*A79)</f>
        <v>0.32222668191941661</v>
      </c>
      <c r="R79" s="7">
        <f>IF(P79&gt;0,P79^(1-Parameters!$B$52)/(1-Parameters!$B$52)*Q79,-10+P79*1000)</f>
        <v>-0.87793673918346482</v>
      </c>
      <c r="S79" s="7"/>
      <c r="T79" s="7"/>
      <c r="U79" s="7"/>
      <c r="V79" s="7"/>
    </row>
    <row r="80" spans="1:22" x14ac:dyDescent="0.25">
      <c r="A80">
        <f>A79+Parameters!$B$65</f>
        <v>76</v>
      </c>
      <c r="B80" s="46">
        <f t="shared" si="27"/>
        <v>5.1923951975726516E-2</v>
      </c>
      <c r="C80" s="46">
        <f t="shared" si="26"/>
        <v>1.0018754504738657E-2</v>
      </c>
      <c r="D80" s="46">
        <f t="shared" si="26"/>
        <v>0.29599585186736171</v>
      </c>
      <c r="E80" s="7">
        <f>MAX((1-Parameters!$B$4)^Parameters!B$65*E79+B79*Parameters!B$65-Parameters!$B$5*B79^2/E79*Parameters!B$65,0.0001)</f>
        <v>0.77003632242939513</v>
      </c>
      <c r="F80" s="9">
        <f>MAX((1-Parameters!$B$4)^Parameters!B$65*F79+C79*Parameters!B$65-Parameters!$B$5*C79^2/F79*Parameters!B$65,0.0001)</f>
        <v>0.14857838662201012</v>
      </c>
      <c r="G80" s="7">
        <f>MAX((1-Parameters!$B$4)^Parameters!B$65*G79+D79*Parameters!B$65-Parameters!$B$5*D79^2/G79*Parameters!B$65,0.0001)</f>
        <v>4.3880031075158552</v>
      </c>
      <c r="I80" s="7">
        <f>I79*(1+Parameters!$B$51)^Parameters!B$65</f>
        <v>10.168810133129119</v>
      </c>
      <c r="J80" s="7">
        <f>J79*(1+Parameters!$B$53)^Parameters!B$65</f>
        <v>40.774233160734553</v>
      </c>
      <c r="K80" s="7">
        <f>'6states'!$O$4</f>
        <v>0.98104277196026479</v>
      </c>
      <c r="L80" s="9">
        <f t="shared" si="25"/>
        <v>0.5</v>
      </c>
      <c r="N80" s="7">
        <f>(Parameters!$B$19*(E80+Parameters!$B$20)^L80+Parameters!$B$18*F80^L80)^(1/L80)</f>
        <v>0.53577672522277531</v>
      </c>
      <c r="O80" s="7">
        <f>(Parameters!$B$10*G80^Parameters!$B$9 + Parameters!$B$11*N80^Parameters!$B$9) ^ (Parameters!$B$7/Parameters!$B$9) * K80</f>
        <v>1.5033030537711054</v>
      </c>
      <c r="P80" s="7">
        <f t="shared" si="24"/>
        <v>1.1453644954232787</v>
      </c>
      <c r="Q80" s="7">
        <f>EXP(-Parameters!$B$55*A80)</f>
        <v>0.31739761026942775</v>
      </c>
      <c r="R80" s="7">
        <f>IF(P80&gt;0,P80^(1-Parameters!$B$52)/(1-Parameters!$B$52)*Q80,-10+P80*1000)</f>
        <v>-0.86477934373688747</v>
      </c>
      <c r="S80" s="7"/>
      <c r="T80" s="7"/>
      <c r="U80" s="7"/>
      <c r="V80" s="7"/>
    </row>
    <row r="81" spans="1:22" x14ac:dyDescent="0.25">
      <c r="A81">
        <f>A80+Parameters!$B$65</f>
        <v>77</v>
      </c>
      <c r="B81" s="46">
        <f t="shared" si="27"/>
        <v>5.1923951975726516E-2</v>
      </c>
      <c r="C81" s="46">
        <f t="shared" si="26"/>
        <v>1.0018754504738657E-2</v>
      </c>
      <c r="D81" s="46">
        <f t="shared" si="26"/>
        <v>0.29599585186736171</v>
      </c>
      <c r="E81" s="7">
        <f>MAX((1-Parameters!$B$4)^Parameters!B$65*E80+B80*Parameters!B$65-Parameters!$B$5*B80^2/E80*Parameters!B$65,0.0001)</f>
        <v>0.77002373048465556</v>
      </c>
      <c r="F81" s="9">
        <f>MAX((1-Parameters!$B$4)^Parameters!B$65*F80+C80*Parameters!B$65-Parameters!$B$5*C80^2/F80*Parameters!B$65,0.0001)</f>
        <v>0.14857598831195504</v>
      </c>
      <c r="G81" s="7">
        <f>MAX((1-Parameters!$B$4)^Parameters!B$65*G80+D80*Parameters!B$65-Parameters!$B$5*D80^2/G80*Parameters!B$65,0.0001)</f>
        <v>4.3880269544682982</v>
      </c>
      <c r="I81" s="7">
        <f>I80*(1+Parameters!$B$51)^Parameters!B$65</f>
        <v>10.198299682515193</v>
      </c>
      <c r="J81" s="7">
        <f>J80*(1+Parameters!$B$53)^Parameters!B$65</f>
        <v>41.589717823949243</v>
      </c>
      <c r="K81" s="7">
        <f>'6states'!$O$4</f>
        <v>0.98104277196026479</v>
      </c>
      <c r="L81" s="9">
        <f t="shared" si="25"/>
        <v>0.5</v>
      </c>
      <c r="N81" s="7">
        <f>(Parameters!$B$19*(E81+Parameters!$B$20)^L81+Parameters!$B$18*F81^L81)^(1/L81)</f>
        <v>0.53576807639399204</v>
      </c>
      <c r="O81" s="7">
        <f>(Parameters!$B$10*G81^Parameters!$B$9 + Parameters!$B$11*N81^Parameters!$B$9) ^ (Parameters!$B$7/Parameters!$B$9) * K81</f>
        <v>1.5033035452630017</v>
      </c>
      <c r="P81" s="7">
        <f t="shared" si="24"/>
        <v>1.145364986915175</v>
      </c>
      <c r="Q81" s="7">
        <f>EXP(-Parameters!$B$55*A81)</f>
        <v>0.31264090982365395</v>
      </c>
      <c r="R81" s="7">
        <f>IF(P81&gt;0,P81^(1-Parameters!$B$52)/(1-Parameters!$B$52)*Q81,-10+P81*1000)</f>
        <v>-0.85181914251642277</v>
      </c>
      <c r="S81" s="7"/>
      <c r="T81" s="7"/>
      <c r="U81" s="7"/>
      <c r="V81" s="7"/>
    </row>
    <row r="82" spans="1:22" x14ac:dyDescent="0.25">
      <c r="A82">
        <f>A81+Parameters!$B$65</f>
        <v>78</v>
      </c>
      <c r="B82" s="46">
        <f t="shared" si="27"/>
        <v>5.1923951975726516E-2</v>
      </c>
      <c r="C82" s="46">
        <f t="shared" si="26"/>
        <v>1.0018754504738657E-2</v>
      </c>
      <c r="D82" s="46">
        <f t="shared" si="26"/>
        <v>0.29599585186736171</v>
      </c>
      <c r="E82" s="7">
        <f>MAX((1-Parameters!$B$4)^Parameters!B$65*E81+B81*Parameters!B$65-Parameters!$B$5*B81^2/E81*Parameters!B$65,0.0001)</f>
        <v>0.77001187331829968</v>
      </c>
      <c r="F82" s="9">
        <f>MAX((1-Parameters!$B$4)^Parameters!B$65*F81+C81*Parameters!B$65-Parameters!$B$5*C81^2/F81*Parameters!B$65,0.0001)</f>
        <v>0.14857372995053056</v>
      </c>
      <c r="G82" s="7">
        <f>MAX((1-Parameters!$B$4)^Parameters!B$65*G81+D81*Parameters!B$65-Parameters!$B$5*D81^2/G81*Parameters!B$65,0.0001)</f>
        <v>4.3880494099569729</v>
      </c>
      <c r="I82" s="7">
        <f>I81*(1+Parameters!$B$51)^Parameters!B$65</f>
        <v>10.227874751594486</v>
      </c>
      <c r="J82" s="7">
        <f>J81*(1+Parameters!$B$53)^Parameters!B$65</f>
        <v>42.42151218042823</v>
      </c>
      <c r="K82" s="7">
        <f>'6states'!$O$4</f>
        <v>0.98104277196026479</v>
      </c>
      <c r="L82" s="9">
        <f t="shared" si="25"/>
        <v>0.5</v>
      </c>
      <c r="N82" s="7">
        <f>(Parameters!$B$19*(E82+Parameters!$B$20)^L82+Parameters!$B$18*F82^L82)^(1/L82)</f>
        <v>0.53575993225070495</v>
      </c>
      <c r="O82" s="7">
        <f>(Parameters!$B$10*G82^Parameters!$B$9 + Parameters!$B$11*N82^Parameters!$B$9) ^ (Parameters!$B$7/Parameters!$B$9) * K82</f>
        <v>1.5033040079266049</v>
      </c>
      <c r="P82" s="7">
        <f t="shared" si="24"/>
        <v>1.1453654495787782</v>
      </c>
      <c r="Q82" s="7">
        <f>EXP(-Parameters!$B$55*A82)</f>
        <v>0.30795549598621846</v>
      </c>
      <c r="R82" s="7">
        <f>IF(P82&gt;0,P82^(1-Parameters!$B$52)/(1-Parameters!$B$52)*Q82,-10+P82*1000)</f>
        <v>-0.83905317952441671</v>
      </c>
      <c r="S82" s="7"/>
      <c r="T82" s="7"/>
      <c r="U82" s="7"/>
      <c r="V82" s="7"/>
    </row>
    <row r="83" spans="1:22" x14ac:dyDescent="0.25">
      <c r="A83">
        <f>A82+Parameters!$B$65</f>
        <v>79</v>
      </c>
      <c r="B83" s="46">
        <f t="shared" si="27"/>
        <v>5.1923951975726516E-2</v>
      </c>
      <c r="C83" s="46">
        <f t="shared" si="26"/>
        <v>1.0018754504738657E-2</v>
      </c>
      <c r="D83" s="46">
        <f t="shared" si="26"/>
        <v>0.29599585186736171</v>
      </c>
      <c r="E83" s="7">
        <f>MAX((1-Parameters!$B$4)^Parameters!B$65*E82+B82*Parameters!B$65-Parameters!$B$5*B82^2/E82*Parameters!B$65,0.0001)</f>
        <v>0.77000070805205567</v>
      </c>
      <c r="F83" s="9">
        <f>MAX((1-Parameters!$B$4)^Parameters!B$65*F82+C82*Parameters!B$65-Parameters!$B$5*C82^2/F82*Parameters!B$65,0.0001)</f>
        <v>0.14857160337098982</v>
      </c>
      <c r="G83" s="7">
        <f>MAX((1-Parameters!$B$4)^Parameters!B$65*G82+D82*Parameters!B$65-Parameters!$B$5*D82^2/G82*Parameters!B$65,0.0001)</f>
        <v>4.3880705551723667</v>
      </c>
      <c r="I83" s="7">
        <f>I82*(1+Parameters!$B$51)^Parameters!B$65</f>
        <v>10.257535588374109</v>
      </c>
      <c r="J83" s="7">
        <f>J82*(1+Parameters!$B$53)^Parameters!B$65</f>
        <v>43.269942424036799</v>
      </c>
      <c r="K83" s="7">
        <f>'6states'!$O$4</f>
        <v>0.98104277196026479</v>
      </c>
      <c r="L83" s="9">
        <f t="shared" si="25"/>
        <v>0.5</v>
      </c>
      <c r="N83" s="7">
        <f>(Parameters!$B$19*(E83+Parameters!$B$20)^L83+Parameters!$B$18*F83^L83)^(1/L83)</f>
        <v>0.53575226334180537</v>
      </c>
      <c r="O83" s="7">
        <f>(Parameters!$B$10*G83^Parameters!$B$9 + Parameters!$B$11*N83^Parameters!$B$9) ^ (Parameters!$B$7/Parameters!$B$9) * K83</f>
        <v>1.5033044434609879</v>
      </c>
      <c r="P83" s="7">
        <f t="shared" si="24"/>
        <v>1.1453658851131612</v>
      </c>
      <c r="Q83" s="7">
        <f>EXP(-Parameters!$B$55*A83)</f>
        <v>0.30334030041561322</v>
      </c>
      <c r="R83" s="7">
        <f>IF(P83&gt;0,P83^(1-Parameters!$B$52)/(1-Parameters!$B$52)*Q83,-10+P83*1000)</f>
        <v>-0.82647854311730695</v>
      </c>
      <c r="S83" s="7"/>
      <c r="T83" s="7"/>
      <c r="U83" s="7"/>
      <c r="V83" s="7"/>
    </row>
    <row r="84" spans="1:22" x14ac:dyDescent="0.25">
      <c r="A84">
        <f>A83+Parameters!$B$65</f>
        <v>80</v>
      </c>
      <c r="B84" s="19">
        <v>5.1924102637048011E-2</v>
      </c>
      <c r="C84" s="45">
        <v>1.001879062528673E-2</v>
      </c>
      <c r="D84" s="18">
        <v>0.29599658759299885</v>
      </c>
      <c r="E84" s="7">
        <f>MAX((1-Parameters!$B$4)^Parameters!B$65*E83+B83*Parameters!B$65-Parameters!$B$5*B83^2/E83*Parameters!B$65,0.0001)</f>
        <v>0.76999019431002347</v>
      </c>
      <c r="F84" s="9">
        <f>MAX((1-Parameters!$B$4)^Parameters!B$65*F83+C83*Parameters!B$65-Parameters!$B$5*C83^2/F83*Parameters!B$65,0.0001)</f>
        <v>0.14856960088319551</v>
      </c>
      <c r="G84" s="7">
        <f>MAX((1-Parameters!$B$4)^Parameters!B$65*G83+D83*Parameters!B$65-Parameters!$B$5*D83^2/G83*Parameters!B$65,0.0001)</f>
        <v>4.3880904665677081</v>
      </c>
      <c r="I84" s="7">
        <f>I83*(1+Parameters!$B$51)^Parameters!B$65</f>
        <v>10.287282441580393</v>
      </c>
      <c r="J84" s="7">
        <f>J83*(1+Parameters!$B$53)^Parameters!B$65</f>
        <v>44.135341272517536</v>
      </c>
      <c r="K84" s="7">
        <f>'6states'!$O$4</f>
        <v>0.98104277196026479</v>
      </c>
      <c r="L84" s="9">
        <f t="shared" si="25"/>
        <v>0.5</v>
      </c>
      <c r="N84" s="7">
        <f>(Parameters!$B$19*(E84+Parameters!$B$20)^L84+Parameters!$B$18*F84^L84)^(1/L84)</f>
        <v>0.53574504193494688</v>
      </c>
      <c r="O84" s="7">
        <f>(Parameters!$B$10*G84^Parameters!$B$9 + Parameters!$B$11*N84^Parameters!$B$9) ^ (Parameters!$B$7/Parameters!$B$9) * K84</f>
        <v>1.5033048534641638</v>
      </c>
      <c r="P84" s="7">
        <f t="shared" si="24"/>
        <v>1.1453653726088302</v>
      </c>
      <c r="Q84" s="7">
        <f>EXP(-Parameters!$B$55*A84)</f>
        <v>0.29879427078110121</v>
      </c>
      <c r="R84" s="7">
        <f>IF(P84&gt;0,P84^(1-Parameters!$B$52)/(1-Parameters!$B$52)*Q84,-10+P84*1000)</f>
        <v>-0.81409259482887575</v>
      </c>
      <c r="S84" s="7"/>
      <c r="T84" s="7"/>
      <c r="U84" s="7"/>
      <c r="V84" s="7"/>
    </row>
    <row r="85" spans="1:22" x14ac:dyDescent="0.25">
      <c r="A85">
        <f>A84+Parameters!$B$65</f>
        <v>81</v>
      </c>
      <c r="B85" s="46">
        <f>B84</f>
        <v>5.1924102637048011E-2</v>
      </c>
      <c r="C85" s="46">
        <f t="shared" ref="C85:D93" si="28">C84</f>
        <v>1.001879062528673E-2</v>
      </c>
      <c r="D85" s="46">
        <f t="shared" si="28"/>
        <v>0.29599658759299885</v>
      </c>
      <c r="E85" s="7">
        <f>MAX((1-Parameters!$B$4)^Parameters!B$65*E84+B84*Parameters!B$65-Parameters!$B$5*B84^2/E84*Parameters!B$65,0.0001)</f>
        <v>0.769980424414346</v>
      </c>
      <c r="F85" s="9">
        <f>MAX((1-Parameters!$B$4)^Parameters!B$65*F84+C84*Parameters!B$65-Parameters!$B$5*C84^2/F84*Parameters!B$65,0.0001)</f>
        <v>0.14856774649477969</v>
      </c>
      <c r="G85" s="7">
        <f>MAX((1-Parameters!$B$4)^Parameters!B$65*G84+D84*Parameters!B$65-Parameters!$B$5*D84^2/G84*Parameters!B$65,0.0001)</f>
        <v>4.388109852605063</v>
      </c>
      <c r="I85" s="7">
        <f>I84*(1+Parameters!$B$51)^Parameters!B$65</f>
        <v>10.317115560660975</v>
      </c>
      <c r="J85" s="7">
        <f>J84*(1+Parameters!$B$53)^Parameters!B$65</f>
        <v>45.018048097967885</v>
      </c>
      <c r="K85" s="7">
        <f>'6states'!$O$4</f>
        <v>0.98104277196026479</v>
      </c>
      <c r="L85" s="9">
        <f t="shared" si="25"/>
        <v>0.5</v>
      </c>
      <c r="N85" s="7">
        <f>(Parameters!$B$19*(E85+Parameters!$B$20)^L85+Parameters!$B$18*F85^L85)^(1/L85)</f>
        <v>0.53573833514815561</v>
      </c>
      <c r="O85" s="7">
        <f>(Parameters!$B$10*G85^Parameters!$B$9 + Parameters!$B$11*N85^Parameters!$B$9) ^ (Parameters!$B$7/Parameters!$B$9) * K85</f>
        <v>1.5033053074854028</v>
      </c>
      <c r="P85" s="7">
        <f t="shared" si="24"/>
        <v>1.1453658266300693</v>
      </c>
      <c r="Q85" s="7">
        <f>EXP(-Parameters!$B$55*A85)</f>
        <v>0.29431637052277015</v>
      </c>
      <c r="R85" s="7">
        <f>IF(P85&gt;0,P85^(1-Parameters!$B$52)/(1-Parameters!$B$52)*Q85,-10+P85*1000)</f>
        <v>-0.80189203063048586</v>
      </c>
      <c r="S85" s="7"/>
      <c r="T85" s="7"/>
      <c r="U85" s="7"/>
      <c r="V85" s="7"/>
    </row>
    <row r="86" spans="1:22" x14ac:dyDescent="0.25">
      <c r="A86">
        <f>A85+Parameters!$B$65</f>
        <v>82</v>
      </c>
      <c r="B86" s="46">
        <f t="shared" ref="B86:B93" si="29">B85</f>
        <v>5.1924102637048011E-2</v>
      </c>
      <c r="C86" s="46">
        <f t="shared" si="28"/>
        <v>1.001879062528673E-2</v>
      </c>
      <c r="D86" s="46">
        <f t="shared" si="28"/>
        <v>0.29599658759299885</v>
      </c>
      <c r="E86" s="7">
        <f>MAX((1-Parameters!$B$4)^Parameters!B$65*E85+B85*Parameters!B$65-Parameters!$B$5*B85^2/E85*Parameters!B$65,0.0001)</f>
        <v>0.76997122461646372</v>
      </c>
      <c r="F86" s="9">
        <f>MAX((1-Parameters!$B$4)^Parameters!B$65*F85+C85*Parameters!B$65-Parameters!$B$5*C85^2/F85*Parameters!B$65,0.0001)</f>
        <v>0.14856600031449788</v>
      </c>
      <c r="G86" s="7">
        <f>MAX((1-Parameters!$B$4)^Parameters!B$65*G85+D85*Parameters!B$65-Parameters!$B$5*D85^2/G85*Parameters!B$65,0.0001)</f>
        <v>4.3881281074689547</v>
      </c>
      <c r="I86" s="7">
        <f>I85*(1+Parameters!$B$51)^Parameters!B$65</f>
        <v>10.347035195786891</v>
      </c>
      <c r="J86" s="7">
        <f>J85*(1+Parameters!$B$53)^Parameters!B$65</f>
        <v>45.918409059927242</v>
      </c>
      <c r="K86" s="7">
        <f>'6states'!$O$4</f>
        <v>0.98104277196026479</v>
      </c>
      <c r="L86" s="9">
        <f t="shared" si="25"/>
        <v>0.5</v>
      </c>
      <c r="N86" s="7">
        <f>(Parameters!$B$19*(E86+Parameters!$B$20)^L86+Parameters!$B$18*F86^L86)^(1/L86)</f>
        <v>0.5357320197190778</v>
      </c>
      <c r="O86" s="7">
        <f>(Parameters!$B$10*G86^Parameters!$B$9 + Parameters!$B$11*N86^Parameters!$B$9) ^ (Parameters!$B$7/Parameters!$B$9) * K86</f>
        <v>1.5033057349220804</v>
      </c>
      <c r="P86" s="7">
        <f t="shared" si="24"/>
        <v>1.1453662540667469</v>
      </c>
      <c r="Q86" s="7">
        <f>EXP(-Parameters!$B$55*A86)</f>
        <v>0.28990557861518201</v>
      </c>
      <c r="R86" s="7">
        <f>IF(P86&gt;0,P86^(1-Parameters!$B$52)/(1-Parameters!$B$52)*Q86,-10+P86*1000)</f>
        <v>-0.78987431908487893</v>
      </c>
      <c r="S86" s="7"/>
      <c r="T86" s="7"/>
      <c r="U86" s="7"/>
      <c r="V86" s="7"/>
    </row>
    <row r="87" spans="1:22" x14ac:dyDescent="0.25">
      <c r="A87">
        <f>A86+Parameters!$B$65</f>
        <v>83</v>
      </c>
      <c r="B87" s="46">
        <f t="shared" si="29"/>
        <v>5.1924102637048011E-2</v>
      </c>
      <c r="C87" s="46">
        <f t="shared" si="28"/>
        <v>1.001879062528673E-2</v>
      </c>
      <c r="D87" s="46">
        <f t="shared" si="28"/>
        <v>0.29599658759299885</v>
      </c>
      <c r="E87" s="7">
        <f>MAX((1-Parameters!$B$4)^Parameters!B$65*E86+B86*Parameters!B$65-Parameters!$B$5*B86^2/E86*Parameters!B$65,0.0001)</f>
        <v>0.7699625616487169</v>
      </c>
      <c r="F87" s="9">
        <f>MAX((1-Parameters!$B$4)^Parameters!B$65*F86+C86*Parameters!B$65-Parameters!$B$5*C86^2/F86*Parameters!B$65,0.0001)</f>
        <v>0.14856435602794632</v>
      </c>
      <c r="G87" s="7">
        <f>MAX((1-Parameters!$B$4)^Parameters!B$65*G86+D86*Parameters!B$65-Parameters!$B$5*D86^2/G86*Parameters!B$65,0.0001)</f>
        <v>4.388145297162537</v>
      </c>
      <c r="I87" s="7">
        <f>I86*(1+Parameters!$B$51)^Parameters!B$65</f>
        <v>10.377041597854671</v>
      </c>
      <c r="J87" s="7">
        <f>J86*(1+Parameters!$B$53)^Parameters!B$65</f>
        <v>46.836777241125787</v>
      </c>
      <c r="K87" s="7">
        <f>'6states'!$O$4</f>
        <v>0.98104277196026479</v>
      </c>
      <c r="L87" s="9">
        <f t="shared" si="25"/>
        <v>0.5</v>
      </c>
      <c r="N87" s="7">
        <f>(Parameters!$B$19*(E87+Parameters!$B$20)^L87+Parameters!$B$18*F87^L87)^(1/L87)</f>
        <v>0.53572607281031082</v>
      </c>
      <c r="O87" s="7">
        <f>(Parameters!$B$10*G87^Parameters!$B$9 + Parameters!$B$11*N87^Parameters!$B$9) ^ (Parameters!$B$7/Parameters!$B$9) * K87</f>
        <v>1.5033061373358583</v>
      </c>
      <c r="P87" s="7">
        <f t="shared" si="24"/>
        <v>1.1453666564805247</v>
      </c>
      <c r="Q87" s="7">
        <f>EXP(-Parameters!$B$55*A87)</f>
        <v>0.28556088933456458</v>
      </c>
      <c r="R87" s="7">
        <f>IF(P87&gt;0,P87^(1-Parameters!$B$52)/(1-Parameters!$B$52)*Q87,-10+P87*1000)</f>
        <v>-0.77803671926996887</v>
      </c>
      <c r="S87" s="7"/>
      <c r="T87" s="7"/>
      <c r="U87" s="7"/>
      <c r="V87" s="7"/>
    </row>
    <row r="88" spans="1:22" x14ac:dyDescent="0.25">
      <c r="A88">
        <f>A87+Parameters!$B$65</f>
        <v>84</v>
      </c>
      <c r="B88" s="46">
        <f t="shared" si="29"/>
        <v>5.1924102637048011E-2</v>
      </c>
      <c r="C88" s="46">
        <f t="shared" si="28"/>
        <v>1.001879062528673E-2</v>
      </c>
      <c r="D88" s="46">
        <f t="shared" si="28"/>
        <v>0.29599658759299885</v>
      </c>
      <c r="E88" s="7">
        <f>MAX((1-Parameters!$B$4)^Parameters!B$65*E87+B87*Parameters!B$65-Parameters!$B$5*B87^2/E87*Parameters!B$65,0.0001)</f>
        <v>0.7699544041848736</v>
      </c>
      <c r="F88" s="9">
        <f>MAX((1-Parameters!$B$4)^Parameters!B$65*F87+C87*Parameters!B$65-Parameters!$B$5*C87^2/F87*Parameters!B$65,0.0001)</f>
        <v>0.14856280768921534</v>
      </c>
      <c r="G88" s="7">
        <f>MAX((1-Parameters!$B$4)^Parameters!B$65*G87+D87*Parameters!B$65-Parameters!$B$5*D87^2/G87*Parameters!B$65,0.0001)</f>
        <v>4.3881614838378082</v>
      </c>
      <c r="I88" s="7">
        <f>I87*(1+Parameters!$B$51)^Parameters!B$65</f>
        <v>10.407135018488448</v>
      </c>
      <c r="J88" s="7">
        <f>J87*(1+Parameters!$B$53)^Parameters!B$65</f>
        <v>47.773512785948306</v>
      </c>
      <c r="K88" s="7">
        <f>'6states'!$O$4</f>
        <v>0.98104277196026479</v>
      </c>
      <c r="L88" s="9">
        <f t="shared" si="25"/>
        <v>0.5</v>
      </c>
      <c r="N88" s="7">
        <f>(Parameters!$B$19*(E88+Parameters!$B$20)^L88+Parameters!$B$18*F88^L88)^(1/L88)</f>
        <v>0.53572047291719183</v>
      </c>
      <c r="O88" s="7">
        <f>(Parameters!$B$10*G88^Parameters!$B$9 + Parameters!$B$11*N88^Parameters!$B$9) ^ (Parameters!$B$7/Parameters!$B$9) * K88</f>
        <v>1.5033065161960932</v>
      </c>
      <c r="P88" s="7">
        <f t="shared" si="24"/>
        <v>1.1453670353407597</v>
      </c>
      <c r="Q88" s="7">
        <f>EXP(-Parameters!$B$55*A88)</f>
        <v>0.28128131202949208</v>
      </c>
      <c r="R88" s="7">
        <f>IF(P88&gt;0,P88^(1-Parameters!$B$52)/(1-Parameters!$B$52)*Q88,-10+P88*1000)</f>
        <v>-0.76637653138369177</v>
      </c>
      <c r="S88" s="7"/>
      <c r="T88" s="7"/>
      <c r="U88" s="7"/>
      <c r="V88" s="7"/>
    </row>
    <row r="89" spans="1:22" x14ac:dyDescent="0.25">
      <c r="A89">
        <f>A88+Parameters!$B$65</f>
        <v>85</v>
      </c>
      <c r="B89" s="46">
        <f t="shared" si="29"/>
        <v>5.1924102637048011E-2</v>
      </c>
      <c r="C89" s="46">
        <f t="shared" si="28"/>
        <v>1.001879062528673E-2</v>
      </c>
      <c r="D89" s="46">
        <f t="shared" si="28"/>
        <v>0.29599658759299885</v>
      </c>
      <c r="E89" s="7">
        <f>MAX((1-Parameters!$B$4)^Parameters!B$65*E88+B88*Parameters!B$65-Parameters!$B$5*B88^2/E88*Parameters!B$65,0.0001)</f>
        <v>0.76994672272681886</v>
      </c>
      <c r="F89" s="9">
        <f>MAX((1-Parameters!$B$4)^Parameters!B$65*F88+C88*Parameters!B$65-Parameters!$B$5*C88^2/F88*Parameters!B$65,0.0001)</f>
        <v>0.14856134969938237</v>
      </c>
      <c r="G89" s="7">
        <f>MAX((1-Parameters!$B$4)^Parameters!B$65*G88+D88*Parameters!B$65-Parameters!$B$5*D88^2/G88*Parameters!B$65,0.0001)</f>
        <v>4.3881767260203084</v>
      </c>
      <c r="I89" s="7">
        <f>I88*(1+Parameters!$B$51)^Parameters!B$65</f>
        <v>10.437315710042064</v>
      </c>
      <c r="J89" s="7">
        <f>J88*(1+Parameters!$B$53)^Parameters!B$65</f>
        <v>48.72898304166727</v>
      </c>
      <c r="K89" s="7">
        <f>'6states'!$O$4</f>
        <v>0.98104277196026479</v>
      </c>
      <c r="L89" s="9">
        <f t="shared" si="25"/>
        <v>0.5</v>
      </c>
      <c r="N89" s="7">
        <f>(Parameters!$B$19*(E89+Parameters!$B$20)^L89+Parameters!$B$18*F89^L89)^(1/L89)</f>
        <v>0.53571519979001381</v>
      </c>
      <c r="O89" s="7">
        <f>(Parameters!$B$10*G89^Parameters!$B$9 + Parameters!$B$11*N89^Parameters!$B$9) ^ (Parameters!$B$7/Parameters!$B$9) * K89</f>
        <v>1.5033068728853551</v>
      </c>
      <c r="P89" s="7">
        <f t="shared" si="24"/>
        <v>1.1453673920300216</v>
      </c>
      <c r="Q89" s="7">
        <f>EXP(-Parameters!$B$55*A89)</f>
        <v>0.27706587089500223</v>
      </c>
      <c r="R89" s="7">
        <f>IF(P89&gt;0,P89^(1-Parameters!$B$52)/(1-Parameters!$B$52)*Q89,-10+P89*1000)</f>
        <v>-0.75489109612459437</v>
      </c>
      <c r="S89" s="7"/>
      <c r="T89" s="7"/>
      <c r="U89" s="7"/>
      <c r="V89" s="7"/>
    </row>
    <row r="90" spans="1:22" x14ac:dyDescent="0.25">
      <c r="A90">
        <f>A89+Parameters!$B$65</f>
        <v>86</v>
      </c>
      <c r="B90" s="46">
        <f t="shared" si="29"/>
        <v>5.1924102637048011E-2</v>
      </c>
      <c r="C90" s="46">
        <f t="shared" si="28"/>
        <v>1.001879062528673E-2</v>
      </c>
      <c r="D90" s="46">
        <f t="shared" si="28"/>
        <v>0.29599658759299885</v>
      </c>
      <c r="E90" s="7">
        <f>MAX((1-Parameters!$B$4)^Parameters!B$65*E89+B89*Parameters!B$65-Parameters!$B$5*B89^2/E89*Parameters!B$65,0.0001)</f>
        <v>0.76993948949785929</v>
      </c>
      <c r="F90" s="9">
        <f>MAX((1-Parameters!$B$4)^Parameters!B$65*F89+C89*Parameters!B$65-Parameters!$B$5*C89^2/F89*Parameters!B$65,0.0001)</f>
        <v>0.14855997678626051</v>
      </c>
      <c r="G90" s="7">
        <f>MAX((1-Parameters!$B$4)^Parameters!B$65*G89+D89*Parameters!B$65-Parameters!$B$5*D89^2/G89*Parameters!B$65,0.0001)</f>
        <v>4.388191078820709</v>
      </c>
      <c r="I90" s="7">
        <f>I89*(1+Parameters!$B$51)^Parameters!B$65</f>
        <v>10.467583925601184</v>
      </c>
      <c r="J90" s="7">
        <f>J89*(1+Parameters!$B$53)^Parameters!B$65</f>
        <v>49.703562702500619</v>
      </c>
      <c r="K90" s="7">
        <f>'6states'!$O$4</f>
        <v>0.98104277196026479</v>
      </c>
      <c r="L90" s="9">
        <f t="shared" si="25"/>
        <v>0.5</v>
      </c>
      <c r="N90" s="7">
        <f>(Parameters!$B$19*(E90+Parameters!$B$20)^L90+Parameters!$B$18*F90^L90)^(1/L90)</f>
        <v>0.5357102343607818</v>
      </c>
      <c r="O90" s="7">
        <f>(Parameters!$B$10*G90^Parameters!$B$9 + Parameters!$B$11*N90^Parameters!$B$9) ^ (Parameters!$B$7/Parameters!$B$9) * K90</f>
        <v>1.5033072087046107</v>
      </c>
      <c r="P90" s="7">
        <f t="shared" si="24"/>
        <v>1.1453677278492771</v>
      </c>
      <c r="Q90" s="7">
        <f>EXP(-Parameters!$B$55*A90)</f>
        <v>0.27291360475009885</v>
      </c>
      <c r="R90" s="7">
        <f>IF(P90&gt;0,P90^(1-Parameters!$B$52)/(1-Parameters!$B$52)*Q90,-10+P90*1000)</f>
        <v>-0.74357779408194291</v>
      </c>
      <c r="S90" s="7"/>
      <c r="T90" s="7"/>
      <c r="U90" s="7"/>
      <c r="V90" s="7"/>
    </row>
    <row r="91" spans="1:22" x14ac:dyDescent="0.25">
      <c r="A91">
        <f>A90+Parameters!$B$65</f>
        <v>87</v>
      </c>
      <c r="B91" s="46">
        <f t="shared" si="29"/>
        <v>5.1924102637048011E-2</v>
      </c>
      <c r="C91" s="46">
        <f t="shared" si="28"/>
        <v>1.001879062528673E-2</v>
      </c>
      <c r="D91" s="46">
        <f t="shared" si="28"/>
        <v>0.29599658759299885</v>
      </c>
      <c r="E91" s="7">
        <f>MAX((1-Parameters!$B$4)^Parameters!B$65*E90+B90*Parameters!B$65-Parameters!$B$5*B90^2/E90*Parameters!B$65,0.0001)</f>
        <v>0.76993267834225509</v>
      </c>
      <c r="F91" s="9">
        <f>MAX((1-Parameters!$B$4)^Parameters!B$65*F90+C90*Parameters!B$65-Parameters!$B$5*C90^2/F90*Parameters!B$65,0.0001)</f>
        <v>0.1485586839853294</v>
      </c>
      <c r="G91" s="7">
        <f>MAX((1-Parameters!$B$4)^Parameters!B$65*G90+D90*Parameters!B$65-Parameters!$B$5*D90^2/G90*Parameters!B$65,0.0001)</f>
        <v>4.3882045941340593</v>
      </c>
      <c r="I91" s="7">
        <f>I90*(1+Parameters!$B$51)^Parameters!B$65</f>
        <v>10.497939918985427</v>
      </c>
      <c r="J91" s="7">
        <f>J90*(1+Parameters!$B$53)^Parameters!B$65</f>
        <v>50.697633956550632</v>
      </c>
      <c r="K91" s="7">
        <f>'6states'!$O$4</f>
        <v>0.98104277196026479</v>
      </c>
      <c r="L91" s="9">
        <f t="shared" si="25"/>
        <v>0.5</v>
      </c>
      <c r="N91" s="7">
        <f>(Parameters!$B$19*(E91+Parameters!$B$20)^L91+Parameters!$B$18*F91^L91)^(1/L91)</f>
        <v>0.53570555867424341</v>
      </c>
      <c r="O91" s="7">
        <f>(Parameters!$B$10*G91^Parameters!$B$9 + Parameters!$B$11*N91^Parameters!$B$9) ^ (Parameters!$B$7/Parameters!$B$9) * K91</f>
        <v>1.5033075248780916</v>
      </c>
      <c r="P91" s="7">
        <f t="shared" si="24"/>
        <v>1.145368044022758</v>
      </c>
      <c r="Q91" s="7">
        <f>EXP(-Parameters!$B$55*A91)</f>
        <v>0.26882356681858899</v>
      </c>
      <c r="R91" s="7">
        <f>IF(P91&gt;0,P91^(1-Parameters!$B$52)/(1-Parameters!$B$52)*Q91,-10+P91*1000)</f>
        <v>-0.73243404513518873</v>
      </c>
      <c r="S91" s="7"/>
      <c r="T91" s="7"/>
      <c r="U91" s="7"/>
      <c r="V91" s="7"/>
    </row>
    <row r="92" spans="1:22" x14ac:dyDescent="0.25">
      <c r="A92">
        <f>A91+Parameters!$B$65</f>
        <v>88</v>
      </c>
      <c r="B92" s="46">
        <f t="shared" si="29"/>
        <v>5.1924102637048011E-2</v>
      </c>
      <c r="C92" s="46">
        <f t="shared" si="28"/>
        <v>1.001879062528673E-2</v>
      </c>
      <c r="D92" s="46">
        <f t="shared" si="28"/>
        <v>0.29599658759299885</v>
      </c>
      <c r="E92" s="7">
        <f>MAX((1-Parameters!$B$4)^Parameters!B$65*E91+B91*Parameters!B$65-Parameters!$B$5*B91^2/E91*Parameters!B$65,0.0001)</f>
        <v>0.7699262646306182</v>
      </c>
      <c r="F92" s="9">
        <f>MAX((1-Parameters!$B$4)^Parameters!B$65*F91+C91*Parameters!B$65-Parameters!$B$5*C91^2/F91*Parameters!B$65,0.0001)</f>
        <v>0.14855746662177904</v>
      </c>
      <c r="G92" s="7">
        <f>MAX((1-Parameters!$B$4)^Parameters!B$65*G91+D91*Parameters!B$65-Parameters!$B$5*D91^2/G91*Parameters!B$65,0.0001)</f>
        <v>4.3882173208274047</v>
      </c>
      <c r="I92" s="7">
        <f>I91*(1+Parameters!$B$51)^Parameters!B$65</f>
        <v>10.528383944750484</v>
      </c>
      <c r="J92" s="7">
        <f>J91*(1+Parameters!$B$53)^Parameters!B$65</f>
        <v>51.711586635681648</v>
      </c>
      <c r="K92" s="7">
        <f>'6states'!$O$4</f>
        <v>0.98104277196026479</v>
      </c>
      <c r="L92" s="9">
        <f t="shared" si="25"/>
        <v>0.5</v>
      </c>
      <c r="N92" s="7">
        <f>(Parameters!$B$19*(E92+Parameters!$B$20)^L92+Parameters!$B$18*F92^L92)^(1/L92)</f>
        <v>0.53570115582294853</v>
      </c>
      <c r="O92" s="7">
        <f>(Parameters!$B$10*G92^Parameters!$B$9 + Parameters!$B$11*N92^Parameters!$B$9) ^ (Parameters!$B$7/Parameters!$B$9) * K92</f>
        <v>1.5033078225578624</v>
      </c>
      <c r="P92" s="7">
        <f t="shared" si="24"/>
        <v>1.1453683417025289</v>
      </c>
      <c r="Q92" s="7">
        <f>EXP(-Parameters!$B$55*A92)</f>
        <v>0.26479482451320413</v>
      </c>
      <c r="R92" s="7">
        <f>IF(P92&gt;0,P92^(1-Parameters!$B$52)/(1-Parameters!$B$52)*Q92,-10+P92*1000)</f>
        <v>-0.72145730786263329</v>
      </c>
      <c r="S92" s="7"/>
      <c r="T92" s="7"/>
      <c r="U92" s="7"/>
      <c r="V92" s="7"/>
    </row>
    <row r="93" spans="1:22" x14ac:dyDescent="0.25">
      <c r="A93">
        <f>A92+Parameters!$B$65</f>
        <v>89</v>
      </c>
      <c r="B93" s="46">
        <f t="shared" si="29"/>
        <v>5.1924102637048011E-2</v>
      </c>
      <c r="C93" s="46">
        <f t="shared" si="28"/>
        <v>1.001879062528673E-2</v>
      </c>
      <c r="D93" s="46">
        <f t="shared" si="28"/>
        <v>0.29599658759299885</v>
      </c>
      <c r="E93" s="7">
        <f>MAX((1-Parameters!$B$4)^Parameters!B$65*E92+B92*Parameters!B$65-Parameters!$B$5*B92^2/E92*Parameters!B$65,0.0001)</f>
        <v>0.76992022517083114</v>
      </c>
      <c r="F93" s="9">
        <f>MAX((1-Parameters!$B$4)^Parameters!B$65*F92+C92*Parameters!B$65-Parameters!$B$5*C92^2/F92*Parameters!B$65,0.0001)</f>
        <v>0.148556320293602</v>
      </c>
      <c r="G93" s="7">
        <f>MAX((1-Parameters!$B$4)^Parameters!B$65*G92+D92*Parameters!B$65-Parameters!$B$5*D92^2/G92*Parameters!B$65,0.0001)</f>
        <v>4.3882293049164627</v>
      </c>
      <c r="I93" s="7">
        <f>I92*(1+Parameters!$B$51)^Parameters!B$65</f>
        <v>10.558916258190258</v>
      </c>
      <c r="J93" s="7">
        <f>J92*(1+Parameters!$B$53)^Parameters!B$65</f>
        <v>52.745818368395284</v>
      </c>
      <c r="K93" s="7">
        <f>'6states'!$O$4</f>
        <v>0.98104277196026479</v>
      </c>
      <c r="L93" s="9">
        <f t="shared" si="25"/>
        <v>0.5</v>
      </c>
      <c r="N93" s="7">
        <f>(Parameters!$B$19*(E93+Parameters!$B$20)^L93+Parameters!$B$18*F93^L93)^(1/L93)</f>
        <v>0.53569700988609592</v>
      </c>
      <c r="O93" s="7">
        <f>(Parameters!$B$10*G93^Parameters!$B$9 + Parameters!$B$11*N93^Parameters!$B$9) ^ (Parameters!$B$7/Parameters!$B$9) * K93</f>
        <v>1.503308102828117</v>
      </c>
      <c r="P93" s="7">
        <f t="shared" si="24"/>
        <v>1.1453686219727834</v>
      </c>
      <c r="Q93" s="7">
        <f>EXP(-Parameters!$B$55*A93)</f>
        <v>0.26082645922295711</v>
      </c>
      <c r="R93" s="7">
        <f>IF(P93&gt;0,P93^(1-Parameters!$B$52)/(1-Parameters!$B$52)*Q93,-10+P93*1000)</f>
        <v>-0.71064507895914286</v>
      </c>
      <c r="S93" s="7"/>
      <c r="T93" s="7"/>
      <c r="U93" s="7"/>
      <c r="V93" s="7"/>
    </row>
    <row r="94" spans="1:22" x14ac:dyDescent="0.25">
      <c r="A94">
        <f>A93+Parameters!$B$65</f>
        <v>90</v>
      </c>
      <c r="B94" s="19">
        <v>5.191758263687303E-2</v>
      </c>
      <c r="C94" s="45">
        <v>1.0017548050425843E-2</v>
      </c>
      <c r="D94" s="18">
        <v>0.2959598429278244</v>
      </c>
      <c r="E94" s="7">
        <f>MAX((1-Parameters!$B$4)^Parameters!B$65*E93+B93*Parameters!B$65-Parameters!$B$5*B93^2/E93*Parameters!B$65,0.0001)</f>
        <v>0.7699145381241671</v>
      </c>
      <c r="F94" s="9">
        <f>MAX((1-Parameters!$B$4)^Parameters!B$65*F93+C93*Parameters!B$65-Parameters!$B$5*C93^2/F93*Parameters!B$65,0.0001)</f>
        <v>0.14855524085567229</v>
      </c>
      <c r="G94" s="7">
        <f>MAX((1-Parameters!$B$4)^Parameters!B$65*G93+D93*Parameters!B$65-Parameters!$B$5*D93^2/G93*Parameters!B$65,0.0001)</f>
        <v>4.3882405897319874</v>
      </c>
      <c r="I94" s="7">
        <f>I93*(1+Parameters!$B$51)^Parameters!B$65</f>
        <v>10.589537115339009</v>
      </c>
      <c r="J94" s="7">
        <f>J93*(1+Parameters!$B$53)^Parameters!B$65</f>
        <v>53.800734735763193</v>
      </c>
      <c r="K94" s="7">
        <f>'6states'!$O$4</f>
        <v>0.98104277196026479</v>
      </c>
      <c r="L94" s="9">
        <f t="shared" si="25"/>
        <v>0.5</v>
      </c>
      <c r="N94" s="7">
        <f>(Parameters!$B$19*(E94+Parameters!$B$20)^L94+Parameters!$B$18*F94^L94)^(1/L94)</f>
        <v>0.53569310587195296</v>
      </c>
      <c r="O94" s="7">
        <f>(Parameters!$B$10*G94^Parameters!$B$9 + Parameters!$B$11*N94^Parameters!$B$9) ^ (Parameters!$B$7/Parameters!$B$9) * K94</f>
        <v>1.5033083667092109</v>
      </c>
      <c r="P94" s="7">
        <f t="shared" si="24"/>
        <v>1.1454133930940875</v>
      </c>
      <c r="Q94" s="7">
        <f>EXP(-Parameters!$B$55*A94)</f>
        <v>0.25691756610368538</v>
      </c>
      <c r="R94" s="7">
        <f>IF(P94&gt;0,P94^(1-Parameters!$B$52)/(1-Parameters!$B$52)*Q94,-10+P94*1000)</f>
        <v>-0.69998537266581773</v>
      </c>
      <c r="S94" s="7"/>
      <c r="T94" s="7"/>
      <c r="U94" s="7"/>
      <c r="V94" s="7"/>
    </row>
    <row r="95" spans="1:22" x14ac:dyDescent="0.25">
      <c r="A95">
        <f>A94+Parameters!$B$65</f>
        <v>91</v>
      </c>
      <c r="B95" s="46">
        <f>B94</f>
        <v>5.191758263687303E-2</v>
      </c>
      <c r="C95" s="46">
        <f t="shared" ref="C95:D104" si="30">C94</f>
        <v>1.0017548050425843E-2</v>
      </c>
      <c r="D95" s="46">
        <f t="shared" si="30"/>
        <v>0.2959598429278244</v>
      </c>
      <c r="E95" s="7">
        <f>MAX((1-Parameters!$B$4)^Parameters!B$65*E94+B94*Parameters!B$65-Parameters!$B$5*B94^2/E94*Parameters!B$65,0.0001)</f>
        <v>0.76990354230659741</v>
      </c>
      <c r="F95" s="9">
        <f>MAX((1-Parameters!$B$4)^Parameters!B$65*F94+C94*Parameters!B$65-Parameters!$B$5*C94^2/F94*Parameters!B$65,0.0001)</f>
        <v>0.14855314942176381</v>
      </c>
      <c r="G95" s="7">
        <f>MAX((1-Parameters!$B$4)^Parameters!B$65*G94+D94*Parameters!B$65-Parameters!$B$5*D94^2/G94*Parameters!B$65,0.0001)</f>
        <v>4.3882194281223548</v>
      </c>
      <c r="I95" s="7">
        <f>I94*(1+Parameters!$B$51)^Parameters!B$65</f>
        <v>10.620246772973491</v>
      </c>
      <c r="J95" s="7">
        <f>J94*(1+Parameters!$B$53)^Parameters!B$65</f>
        <v>54.876749430478455</v>
      </c>
      <c r="K95" s="7">
        <f>'6states'!$O$4</f>
        <v>0.98104277196026479</v>
      </c>
      <c r="L95" s="9">
        <f t="shared" si="25"/>
        <v>0.5</v>
      </c>
      <c r="N95" s="7">
        <f>(Parameters!$B$19*(E95+Parameters!$B$20)^L95+Parameters!$B$18*F95^L95)^(1/L95)</f>
        <v>0.53568555500648518</v>
      </c>
      <c r="O95" s="7">
        <f>(Parameters!$B$10*G95^Parameters!$B$9 + Parameters!$B$11*N95^Parameters!$B$9) ^ (Parameters!$B$7/Parameters!$B$9) * K95</f>
        <v>1.5033053492039767</v>
      </c>
      <c r="P95" s="7">
        <f t="shared" si="24"/>
        <v>1.1454103755888534</v>
      </c>
      <c r="Q95" s="7">
        <f>EXP(-Parameters!$B$55*A95)</f>
        <v>0.2530672538717339</v>
      </c>
      <c r="R95" s="7">
        <f>IF(P95&gt;0,P95^(1-Parameters!$B$52)/(1-Parameters!$B$52)*Q95,-10+P95*1000)</f>
        <v>-0.68949563096252031</v>
      </c>
      <c r="S95" s="7"/>
      <c r="T95" s="7"/>
      <c r="U95" s="7"/>
      <c r="V95" s="7"/>
    </row>
    <row r="96" spans="1:22" x14ac:dyDescent="0.25">
      <c r="A96">
        <f>A95+Parameters!$B$65</f>
        <v>92</v>
      </c>
      <c r="B96" s="46">
        <f t="shared" ref="B96:D111" si="31">B95</f>
        <v>5.191758263687303E-2</v>
      </c>
      <c r="C96" s="46">
        <f t="shared" si="30"/>
        <v>1.0017548050425843E-2</v>
      </c>
      <c r="D96" s="46">
        <f t="shared" si="30"/>
        <v>0.2959598429278244</v>
      </c>
      <c r="E96" s="7">
        <f>MAX((1-Parameters!$B$4)^Parameters!B$65*E95+B95*Parameters!B$65-Parameters!$B$5*B95^2/E95*Parameters!B$65,0.0001)</f>
        <v>0.7698931881250769</v>
      </c>
      <c r="F96" s="9">
        <f>MAX((1-Parameters!$B$4)^Parameters!B$65*F95+C95*Parameters!B$65-Parameters!$B$5*C95^2/F95*Parameters!B$65,0.0001)</f>
        <v>0.14855118002868348</v>
      </c>
      <c r="G96" s="7">
        <f>MAX((1-Parameters!$B$4)^Parameters!B$65*G95+D95*Parameters!B$65-Parameters!$B$5*D95^2/G95*Parameters!B$65,0.0001)</f>
        <v>4.388199501320261</v>
      </c>
      <c r="I96" s="7">
        <f>I95*(1+Parameters!$B$51)^Parameters!B$65</f>
        <v>10.651045488615113</v>
      </c>
      <c r="J96" s="7">
        <f>J95*(1+Parameters!$B$53)^Parameters!B$65</f>
        <v>55.974284419088022</v>
      </c>
      <c r="K96" s="7">
        <f>'6states'!$O$4</f>
        <v>0.98104277196026479</v>
      </c>
      <c r="L96" s="9">
        <f t="shared" si="25"/>
        <v>0.5</v>
      </c>
      <c r="N96" s="7">
        <f>(Parameters!$B$19*(E96+Parameters!$B$20)^L96+Parameters!$B$18*F96^L96)^(1/L96)</f>
        <v>0.53567844475464577</v>
      </c>
      <c r="O96" s="7">
        <f>(Parameters!$B$10*G96^Parameters!$B$9 + Parameters!$B$11*N96^Parameters!$B$9) ^ (Parameters!$B$7/Parameters!$B$9) * K96</f>
        <v>1.5033025077344968</v>
      </c>
      <c r="P96" s="7">
        <f t="shared" si="24"/>
        <v>1.1454075341193737</v>
      </c>
      <c r="Q96" s="7">
        <f>EXP(-Parameters!$B$55*A96)</f>
        <v>0.24927464460072962</v>
      </c>
      <c r="R96" s="7">
        <f>IF(P96&gt;0,P96^(1-Parameters!$B$52)/(1-Parameters!$B$52)*Q96,-10+P96*1000)</f>
        <v>-0.67916304841429298</v>
      </c>
      <c r="S96" s="7"/>
      <c r="T96" s="7"/>
      <c r="U96" s="7"/>
      <c r="V96" s="7"/>
    </row>
    <row r="97" spans="1:22" x14ac:dyDescent="0.25">
      <c r="A97">
        <f>A96+Parameters!$B$65</f>
        <v>93</v>
      </c>
      <c r="B97" s="46">
        <f t="shared" si="31"/>
        <v>5.191758263687303E-2</v>
      </c>
      <c r="C97" s="46">
        <f t="shared" si="30"/>
        <v>1.0017548050425843E-2</v>
      </c>
      <c r="D97" s="46">
        <f t="shared" si="30"/>
        <v>0.2959598429278244</v>
      </c>
      <c r="E97" s="7">
        <f>MAX((1-Parameters!$B$4)^Parameters!B$65*E96+B96*Parameters!B$65-Parameters!$B$5*B96^2/E96*Parameters!B$65,0.0001)</f>
        <v>0.76988343813708027</v>
      </c>
      <c r="F97" s="9">
        <f>MAX((1-Parameters!$B$4)^Parameters!B$65*F96+C96*Parameters!B$65-Parameters!$B$5*C96^2/F96*Parameters!B$65,0.0001)</f>
        <v>0.14854932555477388</v>
      </c>
      <c r="G97" s="7">
        <f>MAX((1-Parameters!$B$4)^Parameters!B$65*G96+D96*Parameters!B$65-Parameters!$B$5*D96^2/G96*Parameters!B$65,0.0001)</f>
        <v>4.3881807372722266</v>
      </c>
      <c r="I97" s="7">
        <f>I96*(1+Parameters!$B$51)^Parameters!B$65</f>
        <v>10.681933520532095</v>
      </c>
      <c r="J97" s="7">
        <f>J96*(1+Parameters!$B$53)^Parameters!B$65</f>
        <v>57.09377010746978</v>
      </c>
      <c r="K97" s="7">
        <f>'6states'!$O$4</f>
        <v>0.98104277196026479</v>
      </c>
      <c r="L97" s="9">
        <f t="shared" si="25"/>
        <v>0.5</v>
      </c>
      <c r="N97" s="7">
        <f>(Parameters!$B$19*(E97+Parameters!$B$20)^L97+Parameters!$B$18*F97^L97)^(1/L97)</f>
        <v>0.53567174940453122</v>
      </c>
      <c r="O97" s="7">
        <f>(Parameters!$B$10*G97^Parameters!$B$9 + Parameters!$B$11*N97^Parameters!$B$9) ^ (Parameters!$B$7/Parameters!$B$9) * K97</f>
        <v>1.5032998320332209</v>
      </c>
      <c r="P97" s="7">
        <f t="shared" si="24"/>
        <v>1.1454048584180976</v>
      </c>
      <c r="Q97" s="7">
        <f>EXP(-Parameters!$B$55*A97)</f>
        <v>0.24553887352140147</v>
      </c>
      <c r="R97" s="7">
        <f>IF(P97&gt;0,P97^(1-Parameters!$B$52)/(1-Parameters!$B$52)*Q97,-10+P97*1000)</f>
        <v>-0.66898527308124578</v>
      </c>
      <c r="S97" s="7"/>
      <c r="T97" s="7"/>
      <c r="U97" s="7"/>
      <c r="V97" s="7"/>
    </row>
    <row r="98" spans="1:22" x14ac:dyDescent="0.25">
      <c r="A98">
        <f>A97+Parameters!$B$65</f>
        <v>94</v>
      </c>
      <c r="B98" s="46">
        <f t="shared" si="31"/>
        <v>5.191758263687303E-2</v>
      </c>
      <c r="C98" s="46">
        <f t="shared" si="30"/>
        <v>1.0017548050425843E-2</v>
      </c>
      <c r="D98" s="46">
        <f t="shared" si="30"/>
        <v>0.2959598429278244</v>
      </c>
      <c r="E98" s="7">
        <f>MAX((1-Parameters!$B$4)^Parameters!B$65*E97+B97*Parameters!B$65-Parameters!$B$5*B97^2/E97*Parameters!B$65,0.0001)</f>
        <v>0.7698742570851802</v>
      </c>
      <c r="F98" s="9">
        <f>MAX((1-Parameters!$B$4)^Parameters!B$65*F97+C97*Parameters!B$65-Parameters!$B$5*C97^2/F97*Parameters!B$65,0.0001)</f>
        <v>0.14854757929398762</v>
      </c>
      <c r="G98" s="7">
        <f>MAX((1-Parameters!$B$4)^Parameters!B$65*G97+D97*Parameters!B$65-Parameters!$B$5*D97^2/G97*Parameters!B$65,0.0001)</f>
        <v>4.388163068129332</v>
      </c>
      <c r="I98" s="7">
        <f>I97*(1+Parameters!$B$51)^Parameters!B$65</f>
        <v>10.712911127741636</v>
      </c>
      <c r="J98" s="7">
        <f>J97*(1+Parameters!$B$53)^Parameters!B$65</f>
        <v>58.235645509619175</v>
      </c>
      <c r="K98" s="7">
        <f>'6states'!$O$4</f>
        <v>0.98104277196026479</v>
      </c>
      <c r="L98" s="9">
        <f t="shared" si="25"/>
        <v>0.5</v>
      </c>
      <c r="N98" s="7">
        <f>(Parameters!$B$19*(E98+Parameters!$B$20)^L98+Parameters!$B$18*F98^L98)^(1/L98)</f>
        <v>0.53566544474475186</v>
      </c>
      <c r="O98" s="7">
        <f>(Parameters!$B$10*G98^Parameters!$B$9 + Parameters!$B$11*N98^Parameters!$B$9) ^ (Parameters!$B$7/Parameters!$B$9) * K98</f>
        <v>1.5032973124312365</v>
      </c>
      <c r="P98" s="7">
        <f t="shared" si="24"/>
        <v>1.1454023388161132</v>
      </c>
      <c r="Q98" s="7">
        <f>EXP(-Parameters!$B$55*A98)</f>
        <v>0.24185908882440066</v>
      </c>
      <c r="R98" s="7">
        <f>IF(P98&gt;0,P98^(1-Parameters!$B$52)/(1-Parameters!$B$52)*Q98,-10+P98*1000)</f>
        <v>-0.65895998802939515</v>
      </c>
      <c r="S98" s="7"/>
      <c r="T98" s="7"/>
      <c r="U98" s="7"/>
      <c r="V98" s="7"/>
    </row>
    <row r="99" spans="1:22" x14ac:dyDescent="0.25">
      <c r="A99">
        <f>A98+Parameters!$B$65</f>
        <v>95</v>
      </c>
      <c r="B99" s="46">
        <f t="shared" si="31"/>
        <v>5.191758263687303E-2</v>
      </c>
      <c r="C99" s="46">
        <f t="shared" si="30"/>
        <v>1.0017548050425843E-2</v>
      </c>
      <c r="D99" s="46">
        <f t="shared" si="30"/>
        <v>0.2959598429278244</v>
      </c>
      <c r="E99" s="7">
        <f>MAX((1-Parameters!$B$4)^Parameters!B$65*E98+B98*Parameters!B$65-Parameters!$B$5*B98^2/E98*Parameters!B$65,0.0001)</f>
        <v>0.76986561176951107</v>
      </c>
      <c r="F99" s="9">
        <f>MAX((1-Parameters!$B$4)^Parameters!B$65*F98+C98*Parameters!B$65-Parameters!$B$5*C98^2/F98*Parameters!B$65,0.0001)</f>
        <v>0.14854593493162979</v>
      </c>
      <c r="G99" s="7">
        <f>MAX((1-Parameters!$B$4)^Parameters!B$65*G98+D98*Parameters!B$65-Parameters!$B$5*D98^2/G98*Parameters!B$65,0.0001)</f>
        <v>4.3881464300018562</v>
      </c>
      <c r="I99" s="7">
        <f>I98*(1+Parameters!$B$51)^Parameters!B$65</f>
        <v>10.743978570012086</v>
      </c>
      <c r="J99" s="7">
        <f>J98*(1+Parameters!$B$53)^Parameters!B$65</f>
        <v>59.40035841981156</v>
      </c>
      <c r="K99" s="7">
        <f>'6states'!$O$4</f>
        <v>0.98104277196026479</v>
      </c>
      <c r="L99" s="9">
        <f t="shared" si="25"/>
        <v>0.5</v>
      </c>
      <c r="N99" s="7">
        <f>(Parameters!$B$19*(E99+Parameters!$B$20)^L99+Parameters!$B$18*F99^L99)^(1/L99)</f>
        <v>0.53565950797685058</v>
      </c>
      <c r="O99" s="7">
        <f>(Parameters!$B$10*G99^Parameters!$B$9 + Parameters!$B$11*N99^Parameters!$B$9) ^ (Parameters!$B$7/Parameters!$B$9) * K99</f>
        <v>1.5032949398233919</v>
      </c>
      <c r="P99" s="7">
        <f t="shared" si="24"/>
        <v>1.1453999662082688</v>
      </c>
      <c r="Q99" s="7">
        <f>EXP(-Parameters!$B$55*A99)</f>
        <v>0.23823445146607616</v>
      </c>
      <c r="R99" s="7">
        <f>IF(P99&gt;0,P99^(1-Parameters!$B$52)/(1-Parameters!$B$52)*Q99,-10+P99*1000)</f>
        <v>-0.64908491082353281</v>
      </c>
      <c r="S99" s="7"/>
      <c r="T99" s="7"/>
      <c r="U99" s="7"/>
      <c r="V99" s="7"/>
    </row>
    <row r="100" spans="1:22" x14ac:dyDescent="0.25">
      <c r="A100">
        <f>A99+Parameters!$B$65</f>
        <v>96</v>
      </c>
      <c r="B100" s="46">
        <f t="shared" si="31"/>
        <v>5.191758263687303E-2</v>
      </c>
      <c r="C100" s="46">
        <f t="shared" si="30"/>
        <v>1.0017548050425843E-2</v>
      </c>
      <c r="D100" s="46">
        <f t="shared" si="30"/>
        <v>0.2959598429278244</v>
      </c>
      <c r="E100" s="7">
        <f>MAX((1-Parameters!$B$4)^Parameters!B$65*E99+B99*Parameters!B$65-Parameters!$B$5*B99^2/E99*Parameters!B$65,0.0001)</f>
        <v>0.76985747092767831</v>
      </c>
      <c r="F100" s="9">
        <f>MAX((1-Parameters!$B$4)^Parameters!B$65*F99+C99*Parameters!B$65-Parameters!$B$5*C99^2/F99*Parameters!B$65,0.0001)</f>
        <v>0.14854438652151647</v>
      </c>
      <c r="G100" s="7">
        <f>MAX((1-Parameters!$B$4)^Parameters!B$65*G99+D99*Parameters!B$65-Parameters!$B$5*D99^2/G99*Parameters!B$65,0.0001)</f>
        <v>4.3881307627282373</v>
      </c>
      <c r="I100" s="7">
        <f>I99*(1+Parameters!$B$51)^Parameters!B$65</f>
        <v>10.775136107865119</v>
      </c>
      <c r="J100" s="7">
        <f>J99*(1+Parameters!$B$53)^Parameters!B$65</f>
        <v>60.588365588207793</v>
      </c>
      <c r="K100" s="7">
        <f>'6states'!$O$4</f>
        <v>0.98104277196026479</v>
      </c>
      <c r="L100" s="9">
        <f t="shared" si="25"/>
        <v>0.5</v>
      </c>
      <c r="N100" s="7">
        <f>(Parameters!$B$19*(E100+Parameters!$B$20)^L100+Parameters!$B$18*F100^L100)^(1/L100)</f>
        <v>0.53565391763283887</v>
      </c>
      <c r="O100" s="7">
        <f>(Parameters!$B$10*G100^Parameters!$B$9 + Parameters!$B$11*N100^Parameters!$B$9) ^ (Parameters!$B$7/Parameters!$B$9) * K100</f>
        <v>1.5032927056354495</v>
      </c>
      <c r="P100" s="7">
        <f t="shared" si="24"/>
        <v>1.1453977320203261</v>
      </c>
      <c r="Q100" s="7">
        <f>EXP(-Parameters!$B$55*A100)</f>
        <v>0.23466413497716049</v>
      </c>
      <c r="R100" s="7">
        <f>IF(P100&gt;0,P100^(1-Parameters!$B$52)/(1-Parameters!$B$52)*Q100,-10+P100*1000)</f>
        <v>-0.63935779302642903</v>
      </c>
      <c r="S100" s="7"/>
      <c r="T100" s="7"/>
      <c r="U100" s="7"/>
      <c r="V100" s="7"/>
    </row>
    <row r="101" spans="1:22" x14ac:dyDescent="0.25">
      <c r="A101">
        <f>A100+Parameters!$B$65</f>
        <v>97</v>
      </c>
      <c r="B101" s="46">
        <f t="shared" si="31"/>
        <v>5.191758263687303E-2</v>
      </c>
      <c r="C101" s="46">
        <f t="shared" si="30"/>
        <v>1.0017548050425843E-2</v>
      </c>
      <c r="D101" s="46">
        <f t="shared" si="30"/>
        <v>0.2959598429278244</v>
      </c>
      <c r="E101" s="7">
        <f>MAX((1-Parameters!$B$4)^Parameters!B$65*E100+B100*Parameters!B$65-Parameters!$B$5*B100^2/E100*Parameters!B$65,0.0001)</f>
        <v>0.76984980512167867</v>
      </c>
      <c r="F101" s="9">
        <f>MAX((1-Parameters!$B$4)^Parameters!B$65*F100+C100*Parameters!B$65-Parameters!$B$5*C100^2/F100*Parameters!B$65,0.0001)</f>
        <v>0.14854292846446687</v>
      </c>
      <c r="G101" s="7">
        <f>MAX((1-Parameters!$B$4)^Parameters!B$65*G100+D100*Parameters!B$65-Parameters!$B$5*D100^2/G100*Parameters!B$65,0.0001)</f>
        <v>4.3881160096575114</v>
      </c>
      <c r="I101" s="7">
        <f>I100*(1+Parameters!$B$51)^Parameters!B$65</f>
        <v>10.806384002577927</v>
      </c>
      <c r="J101" s="7">
        <f>J100*(1+Parameters!$B$53)^Parameters!B$65</f>
        <v>61.800132899971949</v>
      </c>
      <c r="K101" s="7">
        <f>'6states'!$O$4</f>
        <v>0.98104277196026479</v>
      </c>
      <c r="L101" s="9">
        <f t="shared" si="25"/>
        <v>0.5</v>
      </c>
      <c r="N101" s="7">
        <f>(Parameters!$B$19*(E101+Parameters!$B$20)^L101+Parameters!$B$18*F101^L101)^(1/L101)</f>
        <v>0.53564865349754298</v>
      </c>
      <c r="O101" s="7">
        <f>(Parameters!$B$10*G101^Parameters!$B$9 + Parameters!$B$11*N101^Parameters!$B$9) ^ (Parameters!$B$7/Parameters!$B$9) * K101</f>
        <v>1.5032906017931471</v>
      </c>
      <c r="P101" s="7">
        <f t="shared" si="24"/>
        <v>1.145395628178024</v>
      </c>
      <c r="Q101" s="7">
        <f>EXP(-Parameters!$B$55*A101)</f>
        <v>0.23114732527432291</v>
      </c>
      <c r="R101" s="7">
        <f>IF(P101&gt;0,P101^(1-Parameters!$B$52)/(1-Parameters!$B$52)*Q101,-10+P101*1000)</f>
        <v>-0.62977641970436971</v>
      </c>
      <c r="S101" s="7"/>
      <c r="T101" s="7"/>
      <c r="U101" s="7"/>
      <c r="V101" s="7"/>
    </row>
    <row r="102" spans="1:22" x14ac:dyDescent="0.25">
      <c r="A102">
        <f>A101+Parameters!$B$65</f>
        <v>98</v>
      </c>
      <c r="B102" s="46">
        <f t="shared" si="31"/>
        <v>5.191758263687303E-2</v>
      </c>
      <c r="C102" s="46">
        <f t="shared" si="30"/>
        <v>1.0017548050425843E-2</v>
      </c>
      <c r="D102" s="46">
        <f t="shared" si="30"/>
        <v>0.2959598429278244</v>
      </c>
      <c r="E102" s="7">
        <f>MAX((1-Parameters!$B$4)^Parameters!B$65*E101+B101*Parameters!B$65-Parameters!$B$5*B101^2/E101*Parameters!B$65,0.0001)</f>
        <v>0.76984258663142191</v>
      </c>
      <c r="F102" s="9">
        <f>MAX((1-Parameters!$B$4)^Parameters!B$65*F101+C101*Parameters!B$65-Parameters!$B$5*C101^2/F101*Parameters!B$65,0.0001)</f>
        <v>0.14854155548805101</v>
      </c>
      <c r="G102" s="7">
        <f>MAX((1-Parameters!$B$4)^Parameters!B$65*G101+D101*Parameters!B$65-Parameters!$B$5*D101^2/G101*Parameters!B$65,0.0001)</f>
        <v>4.388102117444455</v>
      </c>
      <c r="I102" s="7">
        <f>I101*(1+Parameters!$B$51)^Parameters!B$65</f>
        <v>10.837722516185401</v>
      </c>
      <c r="J102" s="7">
        <f>J101*(1+Parameters!$B$53)^Parameters!B$65</f>
        <v>63.036135557971392</v>
      </c>
      <c r="K102" s="7">
        <f>'6states'!$O$4</f>
        <v>0.98104277196026479</v>
      </c>
      <c r="L102" s="9">
        <f t="shared" si="25"/>
        <v>0.5</v>
      </c>
      <c r="N102" s="7">
        <f>(Parameters!$B$19*(E102+Parameters!$B$20)^L102+Parameters!$B$18*F102^L102)^(1/L102)</f>
        <v>0.53564369653548527</v>
      </c>
      <c r="O102" s="7">
        <f>(Parameters!$B$10*G102^Parameters!$B$9 + Parameters!$B$11*N102^Parameters!$B$9) ^ (Parameters!$B$7/Parameters!$B$9) * K102</f>
        <v>1.503288620693066</v>
      </c>
      <c r="P102" s="7">
        <f t="shared" si="24"/>
        <v>1.1453936470779427</v>
      </c>
      <c r="Q102" s="7">
        <f>EXP(-Parameters!$B$55*A102)</f>
        <v>0.22768322047454675</v>
      </c>
      <c r="R102" s="7">
        <f>IF(P102&gt;0,P102^(1-Parameters!$B$52)/(1-Parameters!$B$52)*Q102,-10+P102*1000)</f>
        <v>-0.62033860893901227</v>
      </c>
      <c r="S102" s="7"/>
      <c r="T102" s="7"/>
      <c r="U102" s="7"/>
      <c r="V102" s="7"/>
    </row>
    <row r="103" spans="1:22" x14ac:dyDescent="0.25">
      <c r="A103">
        <f>A102+Parameters!$B$65</f>
        <v>99</v>
      </c>
      <c r="B103" s="46">
        <f t="shared" si="31"/>
        <v>5.191758263687303E-2</v>
      </c>
      <c r="C103" s="46">
        <f t="shared" si="30"/>
        <v>1.0017548050425843E-2</v>
      </c>
      <c r="D103" s="46">
        <f t="shared" si="30"/>
        <v>0.2959598429278244</v>
      </c>
      <c r="E103" s="7">
        <f>MAX((1-Parameters!$B$4)^Parameters!B$65*E102+B102*Parameters!B$65-Parameters!$B$5*B102^2/E102*Parameters!B$65,0.0001)</f>
        <v>0.76983578935446828</v>
      </c>
      <c r="F103" s="9">
        <f>MAX((1-Parameters!$B$4)^Parameters!B$65*F102+C102*Parameters!B$65-Parameters!$B$5*C102^2/F102*Parameters!B$65,0.0001)</f>
        <v>0.14854026262751954</v>
      </c>
      <c r="G103" s="7">
        <f>MAX((1-Parameters!$B$4)^Parameters!B$65*G102+D102*Parameters!B$65-Parameters!$B$5*D102^2/G102*Parameters!B$65,0.0001)</f>
        <v>4.3880890358566775</v>
      </c>
      <c r="I103" s="7">
        <f>I102*(1+Parameters!$B$51)^Parameters!B$65</f>
        <v>10.869151911482337</v>
      </c>
      <c r="J103" s="7">
        <f>J102*(1+Parameters!$B$53)^Parameters!B$65</f>
        <v>64.296858269130823</v>
      </c>
      <c r="K103" s="7">
        <f>'6states'!$O$4</f>
        <v>0.98104277196026479</v>
      </c>
      <c r="L103" s="9">
        <f t="shared" si="25"/>
        <v>0.5</v>
      </c>
      <c r="N103" s="7">
        <f>(Parameters!$B$19*(E103+Parameters!$B$20)^L103+Parameters!$B$18*F103^L103)^(1/L103)</f>
        <v>0.53563902882203385</v>
      </c>
      <c r="O103" s="7">
        <f>(Parameters!$B$10*G103^Parameters!$B$9 + Parameters!$B$11*N103^Parameters!$B$9) ^ (Parameters!$B$7/Parameters!$B$9) * K103</f>
        <v>1.5032867551751865</v>
      </c>
      <c r="P103" s="7">
        <f t="shared" si="24"/>
        <v>1.1453917815600634</v>
      </c>
      <c r="Q103" s="7">
        <f>EXP(-Parameters!$B$55*A103)</f>
        <v>0.22427103071228871</v>
      </c>
      <c r="R103" s="7">
        <f>IF(P103&gt;0,P103^(1-Parameters!$B$52)/(1-Parameters!$B$52)*Q103,-10+P103*1000)</f>
        <v>-0.61104221134555137</v>
      </c>
      <c r="S103" s="7"/>
      <c r="T103" s="7"/>
      <c r="U103" s="7"/>
      <c r="V103" s="7"/>
    </row>
    <row r="104" spans="1:22" x14ac:dyDescent="0.25">
      <c r="A104">
        <f>A103+Parameters!$B$65</f>
        <v>100</v>
      </c>
      <c r="B104" s="9">
        <f t="shared" si="31"/>
        <v>5.191758263687303E-2</v>
      </c>
      <c r="C104" s="9">
        <f t="shared" si="30"/>
        <v>1.0017548050425843E-2</v>
      </c>
      <c r="D104" s="7">
        <f t="shared" si="30"/>
        <v>0.2959598429278244</v>
      </c>
      <c r="E104" s="7">
        <f>MAX((1-Parameters!$B$4)^Parameters!B$65*E103+B103*Parameters!B$65-Parameters!$B$5*B103^2/E103*Parameters!B$65,0.0001)</f>
        <v>0.76982938871161877</v>
      </c>
      <c r="F104" s="9">
        <f>MAX((1-Parameters!$B$4)^Parameters!B$65*F103+C103*Parameters!B$65-Parameters!$B$5*C103^2/F103*Parameters!B$65,0.0001)</f>
        <v>0.14853904520784691</v>
      </c>
      <c r="G104" s="7">
        <f>MAX((1-Parameters!$B$4)^Parameters!B$65*G103+D103*Parameters!B$65-Parameters!$B$5*D103^2/G103*Parameters!B$65,0.0001)</f>
        <v>4.3880767175929725</v>
      </c>
      <c r="I104" s="7">
        <f>I103*(1+Parameters!$B$51)^Parameters!B$65</f>
        <v>10.900672452025635</v>
      </c>
      <c r="J104" s="7">
        <f>J103*(1+Parameters!$B$53)^Parameters!B$65</f>
        <v>65.582795434513443</v>
      </c>
      <c r="K104" s="7">
        <f>'6states'!$O$4</f>
        <v>0.98104277196026479</v>
      </c>
      <c r="L104" s="9">
        <f t="shared" si="25"/>
        <v>0.5</v>
      </c>
      <c r="N104" s="7">
        <f>(Parameters!$B$19*(E104+Parameters!$B$20)^L104+Parameters!$B$18*F104^L104)^(1/L104)</f>
        <v>0.53563463347857088</v>
      </c>
      <c r="O104" s="7">
        <f>(Parameters!$B$10*G104^Parameters!$B$9 + Parameters!$B$11*N104^Parameters!$B$9) ^ (Parameters!$B$7/Parameters!$B$9) * K104</f>
        <v>1.5032849984970476</v>
      </c>
      <c r="P104" s="7">
        <f t="shared" si="24"/>
        <v>1.1453900248819244</v>
      </c>
      <c r="Q104" s="7">
        <f>EXP(-Parameters!$B$55*A104)</f>
        <v>0.22090997795937814</v>
      </c>
      <c r="R104" s="7">
        <f>IF(P104&gt;0,P104^(1-Parameters!$B$52)/(1-Parameters!$B$52)*Q104,-10+P104*1000)</f>
        <v>-0.60188510959716512</v>
      </c>
      <c r="S104" s="7"/>
      <c r="T104" s="7"/>
      <c r="U104" s="7"/>
      <c r="V104" s="7"/>
    </row>
    <row r="105" spans="1:22" x14ac:dyDescent="0.25">
      <c r="A105">
        <f>A104+Parameters!$B$65</f>
        <v>101</v>
      </c>
      <c r="B105" s="9">
        <f t="shared" si="31"/>
        <v>5.191758263687303E-2</v>
      </c>
      <c r="C105" s="9">
        <f>C104</f>
        <v>1.0017548050425843E-2</v>
      </c>
      <c r="D105" s="7">
        <f>D104</f>
        <v>0.2959598429278244</v>
      </c>
      <c r="E105" s="7">
        <f>MAX((1-Parameters!$B$4)^Parameters!B$65*E104+B104*Parameters!B$65-Parameters!$B$5*B104^2/E104*Parameters!B$65,0.0001)</f>
        <v>0.7698233615580159</v>
      </c>
      <c r="F105" s="9">
        <f>MAX((1-Parameters!$B$4)^Parameters!B$65*F104+C104*Parameters!B$65-Parameters!$B$5*C104^2/F104*Parameters!B$65,0.0001)</f>
        <v>0.14853789882682267</v>
      </c>
      <c r="G105" s="7">
        <f>MAX((1-Parameters!$B$4)^Parameters!B$65*G104+D104*Parameters!B$65-Parameters!$B$5*D104^2/G104*Parameters!B$65,0.0001)</f>
        <v>4.3880651181122738</v>
      </c>
      <c r="I105" s="7">
        <f>I104*(1+Parameters!$B$51)^Parameters!B$65</f>
        <v>10.932284402136508</v>
      </c>
      <c r="J105" s="7">
        <f>J104*(1+Parameters!$B$53)^Parameters!B$65</f>
        <v>66.894451343203713</v>
      </c>
      <c r="K105" s="7">
        <f>'6states'!$O$4</f>
        <v>0.98104277196026479</v>
      </c>
      <c r="L105" s="9">
        <f t="shared" si="25"/>
        <v>0.5</v>
      </c>
      <c r="N105" s="7">
        <f>(Parameters!$B$19*(E105+Parameters!$B$20)^L105+Parameters!$B$18*F105^L105)^(1/L105)</f>
        <v>0.53563049461144585</v>
      </c>
      <c r="O105" s="7">
        <f>(Parameters!$B$10*G105^Parameters!$B$9 + Parameters!$B$11*N105^Parameters!$B$9) ^ (Parameters!$B$7/Parameters!$B$9) * K105</f>
        <v>1.5032833443094078</v>
      </c>
      <c r="P105" s="7">
        <f t="shared" si="24"/>
        <v>1.1453883706942847</v>
      </c>
      <c r="Q105" s="7">
        <f>EXP(-Parameters!$B$55*A105)</f>
        <v>0.21759929584761534</v>
      </c>
      <c r="R105" s="7">
        <f>IF(P105&gt;0,P105^(1-Parameters!$B$52)/(1-Parameters!$B$52)*Q105,-10+P105*1000)</f>
        <v>-0.59286521795572034</v>
      </c>
      <c r="S105" s="7"/>
      <c r="T105" s="7"/>
      <c r="U105" s="7"/>
      <c r="V105" s="7"/>
    </row>
    <row r="106" spans="1:22" x14ac:dyDescent="0.25">
      <c r="A106">
        <f>A105+Parameters!$B$65</f>
        <v>102</v>
      </c>
      <c r="B106" s="9">
        <f t="shared" si="31"/>
        <v>5.191758263687303E-2</v>
      </c>
      <c r="C106" s="9">
        <f t="shared" si="31"/>
        <v>1.0017548050425843E-2</v>
      </c>
      <c r="D106" s="7">
        <f t="shared" si="31"/>
        <v>0.2959598429278244</v>
      </c>
      <c r="E106" s="7">
        <f>MAX((1-Parameters!$B$4)^Parameters!B$65*E105+B105*Parameters!B$65-Parameters!$B$5*B105^2/E105*Parameters!B$65,0.0001)</f>
        <v>0.76981768609943479</v>
      </c>
      <c r="F106" s="9">
        <f>MAX((1-Parameters!$B$4)^Parameters!B$65*F105+C105*Parameters!B$65-Parameters!$B$5*C105^2/F105*Parameters!B$65,0.0001)</f>
        <v>0.14853681933912974</v>
      </c>
      <c r="G106" s="7">
        <f>MAX((1-Parameters!$B$4)^Parameters!B$65*G105+D105*Parameters!B$65-Parameters!$B$5*D105^2/G105*Parameters!B$65,0.0001)</f>
        <v>4.388054195472586</v>
      </c>
      <c r="I106" s="7">
        <f>I105*(1+Parameters!$B$51)^Parameters!B$65</f>
        <v>10.963988026902703</v>
      </c>
      <c r="J106" s="7">
        <f>J105*(1+Parameters!$B$53)^Parameters!B$65</f>
        <v>68.232340370067789</v>
      </c>
      <c r="K106" s="7">
        <f>'6states'!$O$4</f>
        <v>0.98104277196026479</v>
      </c>
      <c r="L106" s="9">
        <f t="shared" si="25"/>
        <v>0.5</v>
      </c>
      <c r="N106" s="7">
        <f>(Parameters!$B$19*(E106+Parameters!$B$20)^L106+Parameters!$B$18*F106^L106)^(1/L106)</f>
        <v>0.53562659725449158</v>
      </c>
      <c r="O106" s="7">
        <f>(Parameters!$B$10*G106^Parameters!$B$9 + Parameters!$B$11*N106^Parameters!$B$9) ^ (Parameters!$B$7/Parameters!$B$9) * K106</f>
        <v>1.5032817866333235</v>
      </c>
      <c r="P106" s="7">
        <f t="shared" si="24"/>
        <v>1.1453868130182001</v>
      </c>
      <c r="Q106" s="7">
        <f>EXP(-Parameters!$B$55*A106)</f>
        <v>0.2143382294940287</v>
      </c>
      <c r="R106" s="7">
        <f>IF(P106&gt;0,P106^(1-Parameters!$B$52)/(1-Parameters!$B$52)*Q106,-10+P106*1000)</f>
        <v>-0.58398048180870443</v>
      </c>
      <c r="S106" s="7"/>
      <c r="T106" s="7"/>
      <c r="U106" s="7"/>
      <c r="V106" s="7"/>
    </row>
    <row r="107" spans="1:22" x14ac:dyDescent="0.25">
      <c r="A107">
        <f>A106+Parameters!$B$65</f>
        <v>103</v>
      </c>
      <c r="B107" s="9">
        <f t="shared" si="31"/>
        <v>5.191758263687303E-2</v>
      </c>
      <c r="C107" s="9">
        <f t="shared" si="31"/>
        <v>1.0017548050425843E-2</v>
      </c>
      <c r="D107" s="7">
        <f t="shared" si="31"/>
        <v>0.2959598429278244</v>
      </c>
      <c r="E107" s="7">
        <f>MAX((1-Parameters!$B$4)^Parameters!B$65*E106+B106*Parameters!B$65-Parameters!$B$5*B106^2/E106*Parameters!B$65,0.0001)</f>
        <v>0.76981234181345959</v>
      </c>
      <c r="F107" s="9">
        <f>MAX((1-Parameters!$B$4)^Parameters!B$65*F106+C106*Parameters!B$65-Parameters!$B$5*C106^2/F106*Parameters!B$65,0.0001)</f>
        <v>0.14853580284135204</v>
      </c>
      <c r="G107" s="7">
        <f>MAX((1-Parameters!$B$4)^Parameters!B$65*G106+D106*Parameters!B$65-Parameters!$B$5*D106^2/G106*Parameters!B$65,0.0001)</f>
        <v>4.3880439101793209</v>
      </c>
      <c r="I107" s="7">
        <f>I106*(1+Parameters!$B$51)^Parameters!B$65</f>
        <v>10.99578359218072</v>
      </c>
      <c r="J107" s="7">
        <f>J106*(1+Parameters!$B$53)^Parameters!B$65</f>
        <v>69.596987177469146</v>
      </c>
      <c r="K107" s="7">
        <f>'6states'!$O$4</f>
        <v>0.98104277196026479</v>
      </c>
      <c r="L107" s="9">
        <f t="shared" si="25"/>
        <v>0.5</v>
      </c>
      <c r="N107" s="7">
        <f>(Parameters!$B$19*(E107+Parameters!$B$20)^L107+Parameters!$B$18*F107^L107)^(1/L107)</f>
        <v>0.5356229273148968</v>
      </c>
      <c r="O107" s="7">
        <f>(Parameters!$B$10*G107^Parameters!$B$9 + Parameters!$B$11*N107^Parameters!$B$9) ^ (Parameters!$B$7/Parameters!$B$9) * K107</f>
        <v>1.5032803198385645</v>
      </c>
      <c r="P107" s="7">
        <f t="shared" si="24"/>
        <v>1.1453853462234411</v>
      </c>
      <c r="Q107" s="7">
        <f>EXP(-Parameters!$B$55*A107)</f>
        <v>0.21112603532875074</v>
      </c>
      <c r="R107" s="7">
        <f>IF(P107&gt;0,P107^(1-Parameters!$B$52)/(1-Parameters!$B$52)*Q107,-10+P107*1000)</f>
        <v>-0.57522887721234928</v>
      </c>
      <c r="S107" s="7"/>
      <c r="T107" s="7"/>
      <c r="U107" s="7"/>
      <c r="V107" s="7"/>
    </row>
    <row r="108" spans="1:22" x14ac:dyDescent="0.25">
      <c r="A108">
        <f>A107+Parameters!$B$65</f>
        <v>104</v>
      </c>
      <c r="B108" s="9">
        <f t="shared" si="31"/>
        <v>5.191758263687303E-2</v>
      </c>
      <c r="C108" s="9">
        <f t="shared" si="31"/>
        <v>1.0017548050425843E-2</v>
      </c>
      <c r="D108" s="7">
        <f t="shared" si="31"/>
        <v>0.2959598429278244</v>
      </c>
      <c r="E108" s="7">
        <f>MAX((1-Parameters!$B$4)^Parameters!B$65*E107+B107*Parameters!B$65-Parameters!$B$5*B107^2/E107*Parameters!B$65,0.0001)</f>
        <v>0.76980730937526065</v>
      </c>
      <c r="F108" s="9">
        <f>MAX((1-Parameters!$B$4)^Parameters!B$65*F107+C107*Parameters!B$65-Parameters!$B$5*C107^2/F107*Parameters!B$65,0.0001)</f>
        <v>0.14853484565785721</v>
      </c>
      <c r="G108" s="7">
        <f>MAX((1-Parameters!$B$4)^Parameters!B$65*G107+D107*Parameters!B$65-Parameters!$B$5*D107^2/G107*Parameters!B$65,0.0001)</f>
        <v>4.3880342250424826</v>
      </c>
      <c r="I108" s="7">
        <f>I107*(1+Parameters!$B$51)^Parameters!B$65</f>
        <v>11.027671364598042</v>
      </c>
      <c r="J108" s="7">
        <f>J107*(1+Parameters!$B$53)^Parameters!B$65</f>
        <v>70.988926921018532</v>
      </c>
      <c r="K108" s="7">
        <f>'6states'!$O$4</f>
        <v>0.98104277196026479</v>
      </c>
      <c r="L108" s="9">
        <f t="shared" si="25"/>
        <v>0.5</v>
      </c>
      <c r="N108" s="7">
        <f>(Parameters!$B$19*(E108+Parameters!$B$20)^L108+Parameters!$B$18*F108^L108)^(1/L108)</f>
        <v>0.53561947152223555</v>
      </c>
      <c r="O108" s="7">
        <f>(Parameters!$B$10*G108^Parameters!$B$9 + Parameters!$B$11*N108^Parameters!$B$9) ^ (Parameters!$B$7/Parameters!$B$9) * K108</f>
        <v>1.5032789386232814</v>
      </c>
      <c r="P108" s="7">
        <f t="shared" si="24"/>
        <v>1.1453839650081581</v>
      </c>
      <c r="Q108" s="7">
        <f>EXP(-Parameters!$B$55*A108)</f>
        <v>0.20796198092547327</v>
      </c>
      <c r="R108" s="7">
        <f>IF(P108&gt;0,P108^(1-Parameters!$B$52)/(1-Parameters!$B$52)*Q108,-10+P108*1000)</f>
        <v>-0.56660841044090759</v>
      </c>
      <c r="S108" s="7"/>
      <c r="T108" s="7"/>
      <c r="U108" s="7"/>
      <c r="V108" s="7"/>
    </row>
    <row r="109" spans="1:22" x14ac:dyDescent="0.25">
      <c r="A109">
        <f>A108+Parameters!$B$65</f>
        <v>105</v>
      </c>
      <c r="B109" s="9">
        <f t="shared" si="31"/>
        <v>5.191758263687303E-2</v>
      </c>
      <c r="C109" s="9">
        <f t="shared" si="31"/>
        <v>1.0017548050425843E-2</v>
      </c>
      <c r="D109" s="7">
        <f t="shared" si="31"/>
        <v>0.2959598429278244</v>
      </c>
      <c r="E109" s="7">
        <f>MAX((1-Parameters!$B$4)^Parameters!B$65*E108+B108*Parameters!B$65-Parameters!$B$5*B108^2/E108*Parameters!B$65,0.0001)</f>
        <v>0.76980257058770463</v>
      </c>
      <c r="F109" s="9">
        <f>MAX((1-Parameters!$B$4)^Parameters!B$65*F108+C108*Parameters!B$65-Parameters!$B$5*C108^2/F108*Parameters!B$65,0.0001)</f>
        <v>0.1485339443275035</v>
      </c>
      <c r="G109" s="7">
        <f>MAX((1-Parameters!$B$4)^Parameters!B$65*G108+D108*Parameters!B$65-Parameters!$B$5*D108^2/G108*Parameters!B$65,0.0001)</f>
        <v>4.3880251050421846</v>
      </c>
      <c r="I109" s="7">
        <f>I108*(1+Parameters!$B$51)^Parameters!B$65</f>
        <v>11.059651611555376</v>
      </c>
      <c r="J109" s="7">
        <f>J108*(1+Parameters!$B$53)^Parameters!B$65</f>
        <v>72.408705459438906</v>
      </c>
      <c r="K109" s="7">
        <f>'6states'!$O$4</f>
        <v>0.98104277196026479</v>
      </c>
      <c r="L109" s="9">
        <f t="shared" si="25"/>
        <v>0.5</v>
      </c>
      <c r="N109" s="7">
        <f>(Parameters!$B$19*(E109+Parameters!$B$20)^L109+Parameters!$B$18*F109^L109)^(1/L109)</f>
        <v>0.53561621738047549</v>
      </c>
      <c r="O109" s="7">
        <f>(Parameters!$B$10*G109^Parameters!$B$9 + Parameters!$B$11*N109^Parameters!$B$9) ^ (Parameters!$B$7/Parameters!$B$9) * K109</f>
        <v>1.5032776379948656</v>
      </c>
      <c r="P109" s="7">
        <f t="shared" si="24"/>
        <v>1.1453826643797425</v>
      </c>
      <c r="Q109" s="7">
        <f>EXP(-Parameters!$B$55*A109)</f>
        <v>0.2048453448344438</v>
      </c>
      <c r="R109" s="7">
        <f>IF(P109&gt;0,P109^(1-Parameters!$B$52)/(1-Parameters!$B$52)*Q109,-10+P109*1000)</f>
        <v>-0.55811711754203963</v>
      </c>
      <c r="S109" s="7"/>
      <c r="T109" s="7"/>
      <c r="U109" s="7"/>
      <c r="V109" s="7"/>
    </row>
    <row r="110" spans="1:22" x14ac:dyDescent="0.25">
      <c r="A110">
        <f>A109+Parameters!$B$65</f>
        <v>106</v>
      </c>
      <c r="B110" s="9">
        <f t="shared" si="31"/>
        <v>5.191758263687303E-2</v>
      </c>
      <c r="C110" s="9">
        <f t="shared" si="31"/>
        <v>1.0017548050425843E-2</v>
      </c>
      <c r="D110" s="7">
        <f t="shared" si="31"/>
        <v>0.2959598429278244</v>
      </c>
      <c r="E110" s="7">
        <f>MAX((1-Parameters!$B$4)^Parameters!B$65*E109+B109*Parameters!B$65-Parameters!$B$5*B109^2/E109*Parameters!B$65,0.0001)</f>
        <v>0.76979810831554352</v>
      </c>
      <c r="F110" s="9">
        <f>MAX((1-Parameters!$B$4)^Parameters!B$65*F109+C109*Parameters!B$65-Parameters!$B$5*C109^2/F109*Parameters!B$65,0.0001)</f>
        <v>0.14853309559112218</v>
      </c>
      <c r="G110" s="7">
        <f>MAX((1-Parameters!$B$4)^Parameters!B$65*G109+D109*Parameters!B$65-Parameters!$B$5*D109^2/G109*Parameters!B$65,0.0001)</f>
        <v>4.3880165172020176</v>
      </c>
      <c r="I110" s="7">
        <f>I109*(1+Parameters!$B$51)^Parameters!B$65</f>
        <v>11.091724601228885</v>
      </c>
      <c r="J110" s="7">
        <f>J109*(1+Parameters!$B$53)^Parameters!B$65</f>
        <v>73.85687956862769</v>
      </c>
      <c r="K110" s="7">
        <f>'6states'!$O$4</f>
        <v>0.98104277196026479</v>
      </c>
      <c r="L110" s="9">
        <f t="shared" si="25"/>
        <v>0.5</v>
      </c>
      <c r="N110" s="7">
        <f>(Parameters!$B$19*(E110+Parameters!$B$20)^L110+Parameters!$B$18*F110^L110)^(1/L110)</f>
        <v>0.53561315312278368</v>
      </c>
      <c r="O110" s="7">
        <f>(Parameters!$B$10*G110^Parameters!$B$9 + Parameters!$B$11*N110^Parameters!$B$9) ^ (Parameters!$B$7/Parameters!$B$9) * K110</f>
        <v>1.5032764132519136</v>
      </c>
      <c r="P110" s="7">
        <f t="shared" si="24"/>
        <v>1.1453814396367905</v>
      </c>
      <c r="Q110" s="7">
        <f>EXP(-Parameters!$B$55*A110)</f>
        <v>0.20177541641796462</v>
      </c>
      <c r="R110" s="7">
        <f>IF(P110&gt;0,P110^(1-Parameters!$B$52)/(1-Parameters!$B$52)*Q110,-10+P110*1000)</f>
        <v>-0.54975306389826761</v>
      </c>
      <c r="S110" s="7"/>
      <c r="T110" s="7"/>
      <c r="U110" s="7"/>
      <c r="V110" s="7"/>
    </row>
    <row r="111" spans="1:22" x14ac:dyDescent="0.25">
      <c r="A111">
        <f>A110+Parameters!$B$65</f>
        <v>107</v>
      </c>
      <c r="B111" s="9">
        <f t="shared" si="31"/>
        <v>5.191758263687303E-2</v>
      </c>
      <c r="C111" s="9">
        <f t="shared" si="31"/>
        <v>1.0017548050425843E-2</v>
      </c>
      <c r="D111" s="7">
        <f t="shared" si="31"/>
        <v>0.2959598429278244</v>
      </c>
      <c r="E111" s="7">
        <f>MAX((1-Parameters!$B$4)^Parameters!B$65*E110+B110*Parameters!B$65-Parameters!$B$5*B110^2/E110*Parameters!B$65,0.0001)</f>
        <v>0.7697939064234447</v>
      </c>
      <c r="F111" s="9">
        <f>MAX((1-Parameters!$B$4)^Parameters!B$65*F110+C110*Parameters!B$65-Parameters!$B$5*C110^2/F110*Parameters!B$65,0.0001)</f>
        <v>0.14853229637973095</v>
      </c>
      <c r="G111" s="7">
        <f>MAX((1-Parameters!$B$4)^Parameters!B$65*G110+D110*Parameters!B$65-Parameters!$B$5*D110^2/G110*Parameters!B$65,0.0001)</f>
        <v>4.3880084304698084</v>
      </c>
      <c r="I111" s="7">
        <f>I110*(1+Parameters!$B$51)^Parameters!B$65</f>
        <v>11.123890602572446</v>
      </c>
      <c r="J111" s="7">
        <f>J110*(1+Parameters!$B$53)^Parameters!B$65</f>
        <v>75.334017160000244</v>
      </c>
      <c r="K111" s="7">
        <f>'6states'!$O$4</f>
        <v>0.98104277196026479</v>
      </c>
      <c r="L111" s="9">
        <f t="shared" si="25"/>
        <v>0.5</v>
      </c>
      <c r="N111" s="7">
        <f>(Parameters!$B$19*(E111+Parameters!$B$20)^L111+Parameters!$B$18*F111^L111)^(1/L111)</f>
        <v>0.53561026766897335</v>
      </c>
      <c r="O111" s="7">
        <f>(Parameters!$B$10*G111^Parameters!$B$9 + Parameters!$B$11*N111^Parameters!$B$9) ^ (Parameters!$B$7/Parameters!$B$9) * K111</f>
        <v>1.5032752599672536</v>
      </c>
      <c r="P111" s="7">
        <f t="shared" si="24"/>
        <v>1.1453802863521303</v>
      </c>
      <c r="Q111" s="7">
        <f>EXP(-Parameters!$B$55*A111)</f>
        <v>0.19875149568835732</v>
      </c>
      <c r="R111" s="7">
        <f>IF(P111&gt;0,P111^(1-Parameters!$B$52)/(1-Parameters!$B$52)*Q111,-10+P111*1000)</f>
        <v>-0.54151434379444663</v>
      </c>
      <c r="S111" s="7"/>
      <c r="T111" s="7"/>
      <c r="U111" s="7"/>
      <c r="V111" s="7"/>
    </row>
    <row r="112" spans="1:22" x14ac:dyDescent="0.25">
      <c r="A112">
        <f>A111+Parameters!$B$65</f>
        <v>108</v>
      </c>
      <c r="B112" s="9">
        <f t="shared" ref="B112:D127" si="32">B111</f>
        <v>5.191758263687303E-2</v>
      </c>
      <c r="C112" s="9">
        <f t="shared" si="32"/>
        <v>1.0017548050425843E-2</v>
      </c>
      <c r="D112" s="7">
        <f t="shared" si="32"/>
        <v>0.2959598429278244</v>
      </c>
      <c r="E112" s="7">
        <f>MAX((1-Parameters!$B$4)^Parameters!B$65*E111+B111*Parameters!B$65-Parameters!$B$5*B111^2/E111*Parameters!B$65,0.0001)</f>
        <v>0.76978994971763826</v>
      </c>
      <c r="F112" s="9">
        <f>MAX((1-Parameters!$B$4)^Parameters!B$65*F111+C111*Parameters!B$65-Parameters!$B$5*C111^2/F111*Parameters!B$65,0.0001)</f>
        <v>0.148531543803435</v>
      </c>
      <c r="G112" s="7">
        <f>MAX((1-Parameters!$B$4)^Parameters!B$65*G111+D111*Parameters!B$65-Parameters!$B$5*D111^2/G111*Parameters!B$65,0.0001)</f>
        <v>4.3880008156053298</v>
      </c>
      <c r="I112" s="7">
        <f>I111*(1+Parameters!$B$51)^Parameters!B$65</f>
        <v>11.156149885319905</v>
      </c>
      <c r="J112" s="7">
        <f>J111*(1+Parameters!$B$53)^Parameters!B$65</f>
        <v>76.840697503200246</v>
      </c>
      <c r="K112" s="7">
        <f>'6states'!$O$4</f>
        <v>0.98104277196026479</v>
      </c>
      <c r="L112" s="9">
        <f t="shared" si="25"/>
        <v>0.5</v>
      </c>
      <c r="N112" s="7">
        <f>(Parameters!$B$19*(E112+Parameters!$B$20)^L112+Parameters!$B$18*F112^L112)^(1/L112)</f>
        <v>0.53560755058543108</v>
      </c>
      <c r="O112" s="7">
        <f>(Parameters!$B$10*G112^Parameters!$B$9 + Parameters!$B$11*N112^Parameters!$B$9) ^ (Parameters!$B$7/Parameters!$B$9) * K112</f>
        <v>1.5032741739719506</v>
      </c>
      <c r="P112" s="7">
        <f t="shared" si="24"/>
        <v>1.1453792003568273</v>
      </c>
      <c r="Q112" s="7">
        <f>EXP(-Parameters!$B$55*A112)</f>
        <v>0.19577289314835553</v>
      </c>
      <c r="R112" s="7">
        <f>IF(P112&gt;0,P112^(1-Parameters!$B$52)/(1-Parameters!$B$52)*Q112,-10+P112*1000)</f>
        <v>-0.53339907999120484</v>
      </c>
      <c r="S112" s="7"/>
      <c r="T112" s="7"/>
      <c r="U112" s="7"/>
      <c r="V112" s="7"/>
    </row>
    <row r="113" spans="1:22" x14ac:dyDescent="0.25">
      <c r="A113">
        <f>A112+Parameters!$B$65</f>
        <v>109</v>
      </c>
      <c r="B113" s="9">
        <f t="shared" si="32"/>
        <v>5.191758263687303E-2</v>
      </c>
      <c r="C113" s="9">
        <f t="shared" si="32"/>
        <v>1.0017548050425843E-2</v>
      </c>
      <c r="D113" s="7">
        <f t="shared" si="32"/>
        <v>0.2959598429278244</v>
      </c>
      <c r="E113" s="7">
        <f>MAX((1-Parameters!$B$4)^Parameters!B$65*E112+B112*Parameters!B$65-Parameters!$B$5*B112^2/E112*Parameters!B$65,0.0001)</f>
        <v>0.76978622389096951</v>
      </c>
      <c r="F113" s="9">
        <f>MAX((1-Parameters!$B$4)^Parameters!B$65*F112+C112*Parameters!B$65-Parameters!$B$5*C112^2/F112*Parameters!B$65,0.0001)</f>
        <v>0.1485308351409759</v>
      </c>
      <c r="G113" s="7">
        <f>MAX((1-Parameters!$B$4)^Parameters!B$65*G112+D112*Parameters!B$65-Parameters!$B$5*D112^2/G112*Parameters!B$65,0.0001)</f>
        <v>4.3879936450745731</v>
      </c>
      <c r="I113" s="7">
        <f>I112*(1+Parameters!$B$51)^Parameters!B$65</f>
        <v>11.188502719987332</v>
      </c>
      <c r="J113" s="7">
        <f>J112*(1+Parameters!$B$53)^Parameters!B$65</f>
        <v>78.377511453264248</v>
      </c>
      <c r="K113" s="7">
        <f>'6states'!$O$4</f>
        <v>0.98104277196026479</v>
      </c>
      <c r="L113" s="9">
        <f t="shared" si="25"/>
        <v>0.5</v>
      </c>
      <c r="N113" s="7">
        <f>(Parameters!$B$19*(E113+Parameters!$B$20)^L113+Parameters!$B$18*F113^L113)^(1/L113)</f>
        <v>0.5356049920473851</v>
      </c>
      <c r="O113" s="7">
        <f>(Parameters!$B$10*G113^Parameters!$B$9 + Parameters!$B$11*N113^Parameters!$B$9) ^ (Parameters!$B$7/Parameters!$B$9) * K113</f>
        <v>1.5032731513402515</v>
      </c>
      <c r="P113" s="7">
        <f t="shared" si="24"/>
        <v>1.1453781777251284</v>
      </c>
      <c r="Q113" s="7">
        <f>EXP(-Parameters!$B$55*A113)</f>
        <v>0.19283892963388949</v>
      </c>
      <c r="R113" s="7">
        <f>IF(P113&gt;0,P113^(1-Parameters!$B$52)/(1-Parameters!$B$52)*Q113,-10+P113*1000)</f>
        <v>-0.52540542330429774</v>
      </c>
      <c r="S113" s="7"/>
      <c r="T113" s="7"/>
      <c r="U113" s="7"/>
      <c r="V113" s="7"/>
    </row>
    <row r="114" spans="1:22" x14ac:dyDescent="0.25">
      <c r="A114">
        <f>A113+Parameters!$B$65</f>
        <v>110</v>
      </c>
      <c r="B114" s="9">
        <f t="shared" si="32"/>
        <v>5.191758263687303E-2</v>
      </c>
      <c r="C114" s="9">
        <f t="shared" si="32"/>
        <v>1.0017548050425843E-2</v>
      </c>
      <c r="D114" s="7">
        <f t="shared" si="32"/>
        <v>0.2959598429278244</v>
      </c>
      <c r="E114" s="7">
        <f>MAX((1-Parameters!$B$4)^Parameters!B$65*E113+B113*Parameters!B$65-Parameters!$B$5*B113^2/E113*Parameters!B$65,0.0001)</f>
        <v>0.7697827154711594</v>
      </c>
      <c r="F114" s="9">
        <f>MAX((1-Parameters!$B$4)^Parameters!B$65*F113+C113*Parameters!B$65-Parameters!$B$5*C113^2/F113*Parameters!B$65,0.0001)</f>
        <v>0.14853016782989067</v>
      </c>
      <c r="G114" s="7">
        <f>MAX((1-Parameters!$B$4)^Parameters!B$65*G113+D113*Parameters!B$65-Parameters!$B$5*D113^2/G113*Parameters!B$65,0.0001)</f>
        <v>4.3879868929501837</v>
      </c>
      <c r="I114" s="7">
        <f>I113*(1+Parameters!$B$51)^Parameters!B$65</f>
        <v>11.220949377875295</v>
      </c>
      <c r="J114" s="7">
        <f>J113*(1+Parameters!$B$53)^Parameters!B$65</f>
        <v>79.945061682329538</v>
      </c>
      <c r="K114" s="7">
        <f>'6states'!$O$4</f>
        <v>0.98104277196026479</v>
      </c>
      <c r="L114" s="9">
        <f t="shared" si="25"/>
        <v>0.5</v>
      </c>
      <c r="N114" s="7">
        <f>(Parameters!$B$19*(E114+Parameters!$B$20)^L114+Parameters!$B$18*F114^L114)^(1/L114)</f>
        <v>0.5356025828033758</v>
      </c>
      <c r="O114" s="7">
        <f>(Parameters!$B$10*G114^Parameters!$B$9 + Parameters!$B$11*N114^Parameters!$B$9) ^ (Parameters!$B$7/Parameters!$B$9) * K114</f>
        <v>1.503272188375403</v>
      </c>
      <c r="P114" s="7">
        <f t="shared" si="24"/>
        <v>1.1453772147602796</v>
      </c>
      <c r="Q114" s="7">
        <f>EXP(-Parameters!$B$55*A114)</f>
        <v>0.18994893615922709</v>
      </c>
      <c r="R114" s="7">
        <f>IF(P114&gt;0,P114^(1-Parameters!$B$52)/(1-Parameters!$B$52)*Q114,-10+P114*1000)</f>
        <v>-0.51753155218982683</v>
      </c>
      <c r="S114" s="7"/>
      <c r="T114" s="7"/>
      <c r="U114" s="7"/>
      <c r="V114" s="7"/>
    </row>
    <row r="115" spans="1:22" x14ac:dyDescent="0.25">
      <c r="A115">
        <f>A114+Parameters!$B$65</f>
        <v>111</v>
      </c>
      <c r="B115" s="9">
        <f t="shared" si="32"/>
        <v>5.191758263687303E-2</v>
      </c>
      <c r="C115" s="9">
        <f t="shared" si="32"/>
        <v>1.0017548050425843E-2</v>
      </c>
      <c r="D115" s="7">
        <f t="shared" si="32"/>
        <v>0.2959598429278244</v>
      </c>
      <c r="E115" s="7">
        <f>MAX((1-Parameters!$B$4)^Parameters!B$65*E114+B114*Parameters!B$65-Parameters!$B$5*B114^2/E114*Parameters!B$65,0.0001)</f>
        <v>0.76977941177208342</v>
      </c>
      <c r="F115" s="9">
        <f>MAX((1-Parameters!$B$4)^Parameters!B$65*F114+C114*Parameters!B$65-Parameters!$B$5*C114^2/F114*Parameters!B$65,0.0001)</f>
        <v>0.14852953945724484</v>
      </c>
      <c r="G115" s="7">
        <f>MAX((1-Parameters!$B$4)^Parameters!B$65*G114+D114*Parameters!B$65-Parameters!$B$5*D114^2/G114*Parameters!B$65,0.0001)</f>
        <v>4.3879805348177072</v>
      </c>
      <c r="I115" s="7">
        <f>I114*(1+Parameters!$B$51)^Parameters!B$65</f>
        <v>11.253490131071132</v>
      </c>
      <c r="J115" s="7">
        <f>J114*(1+Parameters!$B$53)^Parameters!B$65</f>
        <v>81.543962915976124</v>
      </c>
      <c r="K115" s="7">
        <f>'6states'!$O$4</f>
        <v>0.98104277196026479</v>
      </c>
      <c r="L115" s="9">
        <f t="shared" si="25"/>
        <v>0.5</v>
      </c>
      <c r="N115" s="7">
        <f>(Parameters!$B$19*(E115+Parameters!$B$20)^L115+Parameters!$B$18*F115^L115)^(1/L115)</f>
        <v>0.53560031414179854</v>
      </c>
      <c r="O115" s="7">
        <f>(Parameters!$B$10*G115^Parameters!$B$9 + Parameters!$B$11*N115^Parameters!$B$9) ^ (Parameters!$B$7/Parameters!$B$9) * K115</f>
        <v>1.5032712815962959</v>
      </c>
      <c r="P115" s="7">
        <f t="shared" si="24"/>
        <v>1.1453763079811727</v>
      </c>
      <c r="Q115" s="7">
        <f>EXP(-Parameters!$B$55*A115)</f>
        <v>0.18710225376443562</v>
      </c>
      <c r="R115" s="7">
        <f>IF(P115&gt;0,P115^(1-Parameters!$B$52)/(1-Parameters!$B$52)*Q115,-10+P115*1000)</f>
        <v>-0.50977567233526178</v>
      </c>
      <c r="S115" s="7"/>
      <c r="T115" s="7"/>
      <c r="U115" s="7"/>
      <c r="V115" s="7"/>
    </row>
    <row r="116" spans="1:22" x14ac:dyDescent="0.25">
      <c r="A116">
        <f>A115+Parameters!$B$65</f>
        <v>112</v>
      </c>
      <c r="B116" s="9">
        <f t="shared" si="32"/>
        <v>5.191758263687303E-2</v>
      </c>
      <c r="C116" s="9">
        <f t="shared" si="32"/>
        <v>1.0017548050425843E-2</v>
      </c>
      <c r="D116" s="7">
        <f t="shared" si="32"/>
        <v>0.2959598429278244</v>
      </c>
      <c r="E116" s="7">
        <f>MAX((1-Parameters!$B$4)^Parameters!B$65*E115+B115*Parameters!B$65-Parameters!$B$5*B115^2/E115*Parameters!B$65,0.0001)</f>
        <v>0.76977630084789483</v>
      </c>
      <c r="F116" s="9">
        <f>MAX((1-Parameters!$B$4)^Parameters!B$65*F115+C115*Parameters!B$65-Parameters!$B$5*C115^2/F115*Parameters!B$65,0.0001)</f>
        <v>0.14852894775090672</v>
      </c>
      <c r="G116" s="7">
        <f>MAX((1-Parameters!$B$4)^Parameters!B$65*G115+D115*Parameters!B$65-Parameters!$B$5*D115^2/G115*Parameters!B$65,0.0001)</f>
        <v>4.3879745476873122</v>
      </c>
      <c r="I116" s="7">
        <f>I115*(1+Parameters!$B$51)^Parameters!B$65</f>
        <v>11.286125252451237</v>
      </c>
      <c r="J116" s="7">
        <f>J115*(1+Parameters!$B$53)^Parameters!B$65</f>
        <v>83.174842174295648</v>
      </c>
      <c r="K116" s="7">
        <f>'6states'!$O$4</f>
        <v>0.98104277196026479</v>
      </c>
      <c r="L116" s="9">
        <f t="shared" si="25"/>
        <v>0.5</v>
      </c>
      <c r="N116" s="7">
        <f>(Parameters!$B$19*(E116+Parameters!$B$20)^L116+Parameters!$B$18*F116^L116)^(1/L116)</f>
        <v>0.53559817785939934</v>
      </c>
      <c r="O116" s="7">
        <f>(Parameters!$B$10*G116^Parameters!$B$9 + Parameters!$B$11*N116^Parameters!$B$9) ^ (Parameters!$B$7/Parameters!$B$9) * K116</f>
        <v>1.5032704277248923</v>
      </c>
      <c r="P116" s="7">
        <f t="shared" si="24"/>
        <v>1.1453754541097689</v>
      </c>
      <c r="Q116" s="7">
        <f>EXP(-Parameters!$B$55*A116)</f>
        <v>0.18429823336512921</v>
      </c>
      <c r="R116" s="7">
        <f>IF(P116&gt;0,P116^(1-Parameters!$B$52)/(1-Parameters!$B$52)*Q116,-10+P116*1000)</f>
        <v>-0.50213601625621207</v>
      </c>
      <c r="S116" s="7"/>
      <c r="T116" s="7"/>
      <c r="U116" s="7"/>
      <c r="V116" s="7"/>
    </row>
    <row r="117" spans="1:22" x14ac:dyDescent="0.25">
      <c r="A117">
        <f>A116+Parameters!$B$65</f>
        <v>113</v>
      </c>
      <c r="B117" s="9">
        <f t="shared" si="32"/>
        <v>5.191758263687303E-2</v>
      </c>
      <c r="C117" s="9">
        <f t="shared" si="32"/>
        <v>1.0017548050425843E-2</v>
      </c>
      <c r="D117" s="7">
        <f t="shared" si="32"/>
        <v>0.2959598429278244</v>
      </c>
      <c r="E117" s="7">
        <f>MAX((1-Parameters!$B$4)^Parameters!B$65*E116+B116*Parameters!B$65-Parameters!$B$5*B116^2/E116*Parameters!B$65,0.0001)</f>
        <v>0.76977337144982472</v>
      </c>
      <c r="F117" s="9">
        <f>MAX((1-Parameters!$B$4)^Parameters!B$65*F116+C116*Parameters!B$65-Parameters!$B$5*C116^2/F116*Parameters!B$65,0.0001)</f>
        <v>0.14852839057133049</v>
      </c>
      <c r="G117" s="7">
        <f>MAX((1-Parameters!$B$4)^Parameters!B$65*G116+D116*Parameters!B$65-Parameters!$B$5*D116^2/G116*Parameters!B$65,0.0001)</f>
        <v>4.3879689099106551</v>
      </c>
      <c r="I117" s="7">
        <f>I116*(1+Parameters!$B$51)^Parameters!B$65</f>
        <v>11.318855015683344</v>
      </c>
      <c r="J117" s="7">
        <f>J116*(1+Parameters!$B$53)^Parameters!B$65</f>
        <v>84.838339017781564</v>
      </c>
      <c r="K117" s="7">
        <f>'6states'!$O$4</f>
        <v>0.98104277196026479</v>
      </c>
      <c r="L117" s="9">
        <f t="shared" si="25"/>
        <v>0.5</v>
      </c>
      <c r="N117" s="7">
        <f>(Parameters!$B$19*(E117+Parameters!$B$20)^L117+Parameters!$B$18*F117^L117)^(1/L117)</f>
        <v>0.53559616623161055</v>
      </c>
      <c r="O117" s="7">
        <f>(Parameters!$B$10*G117^Parameters!$B$9 + Parameters!$B$11*N117^Parameters!$B$9) ^ (Parameters!$B$7/Parameters!$B$9) * K117</f>
        <v>1.5032696236743797</v>
      </c>
      <c r="P117" s="7">
        <f t="shared" si="24"/>
        <v>1.1453746500592565</v>
      </c>
      <c r="Q117" s="7">
        <f>EXP(-Parameters!$B$55*A117)</f>
        <v>0.18153623560446847</v>
      </c>
      <c r="R117" s="7">
        <f>IF(P117&gt;0,P117^(1-Parameters!$B$52)/(1-Parameters!$B$52)*Q117,-10+P117*1000)</f>
        <v>-0.49461084289888863</v>
      </c>
      <c r="S117" s="7"/>
      <c r="T117" s="7"/>
      <c r="U117" s="7"/>
      <c r="V117" s="7"/>
    </row>
    <row r="118" spans="1:22" x14ac:dyDescent="0.25">
      <c r="A118">
        <f>A117+Parameters!$B$65</f>
        <v>114</v>
      </c>
      <c r="B118" s="9">
        <f t="shared" si="32"/>
        <v>5.191758263687303E-2</v>
      </c>
      <c r="C118" s="9">
        <f t="shared" si="32"/>
        <v>1.0017548050425843E-2</v>
      </c>
      <c r="D118" s="7">
        <f t="shared" si="32"/>
        <v>0.2959598429278244</v>
      </c>
      <c r="E118" s="7">
        <f>MAX((1-Parameters!$B$4)^Parameters!B$65*E117+B117*Parameters!B$65-Parameters!$B$5*B117^2/E117*Parameters!B$65,0.0001)</f>
        <v>0.7697706129855042</v>
      </c>
      <c r="F118" s="9">
        <f>MAX((1-Parameters!$B$4)^Parameters!B$65*F117+C117*Parameters!B$65-Parameters!$B$5*C117^2/F117*Parameters!B$65,0.0001)</f>
        <v>0.14852786590381939</v>
      </c>
      <c r="G118" s="7">
        <f>MAX((1-Parameters!$B$4)^Parameters!B$65*G117+D117*Parameters!B$65-Parameters!$B$5*D117^2/G117*Parameters!B$65,0.0001)</f>
        <v>4.3879636011026051</v>
      </c>
      <c r="I118" s="7">
        <f>I117*(1+Parameters!$B$51)^Parameters!B$65</f>
        <v>11.351679695228825</v>
      </c>
      <c r="J118" s="7">
        <f>J117*(1+Parameters!$B$53)^Parameters!B$65</f>
        <v>86.535105798137195</v>
      </c>
      <c r="K118" s="7">
        <f>'6states'!$O$4</f>
        <v>0.98104277196026479</v>
      </c>
      <c r="L118" s="9">
        <f t="shared" si="25"/>
        <v>0.5</v>
      </c>
      <c r="N118" s="7">
        <f>(Parameters!$B$19*(E118+Parameters!$B$20)^L118+Parameters!$B$18*F118^L118)^(1/L118)</f>
        <v>0.5355942719846164</v>
      </c>
      <c r="O118" s="7">
        <f>(Parameters!$B$10*G118^Parameters!$B$9 + Parameters!$B$11*N118^Parameters!$B$9) ^ (Parameters!$B$7/Parameters!$B$9) * K118</f>
        <v>1.5032688665380203</v>
      </c>
      <c r="P118" s="7">
        <f t="shared" si="24"/>
        <v>1.1453738929228972</v>
      </c>
      <c r="Q118" s="7">
        <f>EXP(-Parameters!$B$55*A118)</f>
        <v>0.17881563070737777</v>
      </c>
      <c r="R118" s="7">
        <f>IF(P118&gt;0,P118^(1-Parameters!$B$52)/(1-Parameters!$B$52)*Q118,-10+P118*1000)</f>
        <v>-0.48719843724819517</v>
      </c>
      <c r="S118" s="7"/>
      <c r="T118" s="7"/>
      <c r="U118" s="7"/>
      <c r="V118" s="7"/>
    </row>
    <row r="119" spans="1:22" x14ac:dyDescent="0.25">
      <c r="A119">
        <f>A118+Parameters!$B$65</f>
        <v>115</v>
      </c>
      <c r="B119" s="9">
        <f t="shared" si="32"/>
        <v>5.191758263687303E-2</v>
      </c>
      <c r="C119" s="9">
        <f t="shared" si="32"/>
        <v>1.0017548050425843E-2</v>
      </c>
      <c r="D119" s="7">
        <f t="shared" si="32"/>
        <v>0.2959598429278244</v>
      </c>
      <c r="E119" s="7">
        <f>MAX((1-Parameters!$B$4)^Parameters!B$65*E118+B118*Parameters!B$65-Parameters!$B$5*B118^2/E118*Parameters!B$65,0.0001)</f>
        <v>0.76976801548065954</v>
      </c>
      <c r="F119" s="9">
        <f>MAX((1-Parameters!$B$4)^Parameters!B$65*F118+C118*Parameters!B$65-Parameters!$B$5*C118^2/F118*Parameters!B$65,0.0001)</f>
        <v>0.14852737185123985</v>
      </c>
      <c r="G119" s="7">
        <f>MAX((1-Parameters!$B$4)^Parameters!B$65*G118+D118*Parameters!B$65-Parameters!$B$5*D118^2/G118*Parameters!B$65,0.0001)</f>
        <v>4.3879586020675303</v>
      </c>
      <c r="I119" s="7">
        <f>I118*(1+Parameters!$B$51)^Parameters!B$65</f>
        <v>11.384599566344987</v>
      </c>
      <c r="J119" s="7">
        <f>J118*(1+Parameters!$B$53)^Parameters!B$65</f>
        <v>88.265807914099938</v>
      </c>
      <c r="K119" s="7">
        <f>'6states'!$O$4</f>
        <v>0.98104277196026479</v>
      </c>
      <c r="L119" s="9">
        <f t="shared" si="25"/>
        <v>0.5</v>
      </c>
      <c r="N119" s="7">
        <f>(Parameters!$B$19*(E119+Parameters!$B$20)^L119+Parameters!$B$18*F119^L119)^(1/L119)</f>
        <v>0.53559248826904893</v>
      </c>
      <c r="O119" s="7">
        <f>(Parameters!$B$10*G119^Parameters!$B$9 + Parameters!$B$11*N119^Parameters!$B$9) ^ (Parameters!$B$7/Parameters!$B$9) * K119</f>
        <v>1.5032681535786472</v>
      </c>
      <c r="P119" s="7">
        <f t="shared" si="24"/>
        <v>1.1453731799635238</v>
      </c>
      <c r="Q119" s="7">
        <f>EXP(-Parameters!$B$55*A119)</f>
        <v>0.17613579833694784</v>
      </c>
      <c r="R119" s="7">
        <f>IF(P119&gt;0,P119^(1-Parameters!$B$52)/(1-Parameters!$B$52)*Q119,-10+P119*1000)</f>
        <v>-0.47989710994138962</v>
      </c>
      <c r="S119" s="7"/>
      <c r="T119" s="7"/>
      <c r="U119" s="7"/>
      <c r="V119" s="7"/>
    </row>
    <row r="120" spans="1:22" x14ac:dyDescent="0.25">
      <c r="A120">
        <f>A119+Parameters!$B$65</f>
        <v>116</v>
      </c>
      <c r="B120" s="9">
        <f t="shared" si="32"/>
        <v>5.191758263687303E-2</v>
      </c>
      <c r="C120" s="9">
        <f t="shared" si="32"/>
        <v>1.0017548050425843E-2</v>
      </c>
      <c r="D120" s="7">
        <f t="shared" si="32"/>
        <v>0.2959598429278244</v>
      </c>
      <c r="E120" s="7">
        <f>MAX((1-Parameters!$B$4)^Parameters!B$65*E119+B119*Parameters!B$65-Parameters!$B$5*B119^2/E119*Parameters!B$65,0.0001)</f>
        <v>0.7697655695430432</v>
      </c>
      <c r="F120" s="9">
        <f>MAX((1-Parameters!$B$4)^Parameters!B$65*F119+C119*Parameters!B$65-Parameters!$B$5*C119^2/F119*Parameters!B$65,0.0001)</f>
        <v>0.1485269066271612</v>
      </c>
      <c r="G120" s="7">
        <f>MAX((1-Parameters!$B$4)^Parameters!B$65*G119+D119*Parameters!B$65-Parameters!$B$5*D119^2/G119*Parameters!B$65,0.0001)</f>
        <v>4.3879538947298888</v>
      </c>
      <c r="I120" s="7">
        <f>I119*(1+Parameters!$B$51)^Parameters!B$65</f>
        <v>11.417614905087387</v>
      </c>
      <c r="J120" s="7">
        <f>J119*(1+Parameters!$B$53)^Parameters!B$65</f>
        <v>90.031124072381942</v>
      </c>
      <c r="K120" s="7">
        <f>'6states'!$O$4</f>
        <v>0.98104277196026479</v>
      </c>
      <c r="L120" s="9">
        <f t="shared" si="25"/>
        <v>0.5</v>
      </c>
      <c r="N120" s="7">
        <f>(Parameters!$B$19*(E120+Parameters!$B$20)^L120+Parameters!$B$18*F120^L120)^(1/L120)</f>
        <v>0.53559080863521968</v>
      </c>
      <c r="O120" s="7">
        <f>(Parameters!$B$10*G120^Parameters!$B$9 + Parameters!$B$11*N120^Parameters!$B$9) ^ (Parameters!$B$7/Parameters!$B$9) * K120</f>
        <v>1.5032674822187744</v>
      </c>
      <c r="P120" s="7">
        <f t="shared" si="24"/>
        <v>1.1453725086036513</v>
      </c>
      <c r="Q120" s="7">
        <f>EXP(-Parameters!$B$55*A120)</f>
        <v>0.17349612745298973</v>
      </c>
      <c r="R120" s="7">
        <f>IF(P120&gt;0,P120^(1-Parameters!$B$52)/(1-Parameters!$B$52)*Q120,-10+P120*1000)</f>
        <v>-0.47270519688725343</v>
      </c>
      <c r="S120" s="7"/>
      <c r="T120" s="7"/>
      <c r="U120" s="7"/>
      <c r="V120" s="7"/>
    </row>
    <row r="121" spans="1:22" x14ac:dyDescent="0.25">
      <c r="A121">
        <f>A120+Parameters!$B$65</f>
        <v>117</v>
      </c>
      <c r="B121" s="9">
        <f t="shared" si="32"/>
        <v>5.191758263687303E-2</v>
      </c>
      <c r="C121" s="9">
        <f t="shared" si="32"/>
        <v>1.0017548050425843E-2</v>
      </c>
      <c r="D121" s="7">
        <f t="shared" si="32"/>
        <v>0.2959598429278244</v>
      </c>
      <c r="E121" s="7">
        <f>MAX((1-Parameters!$B$4)^Parameters!B$65*E120+B120*Parameters!B$65-Parameters!$B$5*B120^2/E120*Parameters!B$65,0.0001)</f>
        <v>0.76976326632846981</v>
      </c>
      <c r="F121" s="9">
        <f>MAX((1-Parameters!$B$4)^Parameters!B$65*F120+C120*Parameters!B$65-Parameters!$B$5*C120^2/F120*Parameters!B$65,0.0001)</f>
        <v>0.14852646854939569</v>
      </c>
      <c r="G121" s="7">
        <f>MAX((1-Parameters!$B$4)^Parameters!B$65*G120+D120*Parameters!B$65-Parameters!$B$5*D120^2/G120*Parameters!B$65,0.0001)</f>
        <v>4.387949462068871</v>
      </c>
      <c r="I121" s="7">
        <f>I120*(1+Parameters!$B$51)^Parameters!B$65</f>
        <v>11.450725988312138</v>
      </c>
      <c r="J121" s="7">
        <f>J120*(1+Parameters!$B$53)^Parameters!B$65</f>
        <v>91.831746553829589</v>
      </c>
      <c r="K121" s="7">
        <f>'6states'!$O$4</f>
        <v>0.98104277196026479</v>
      </c>
      <c r="L121" s="9">
        <f t="shared" si="25"/>
        <v>0.5</v>
      </c>
      <c r="N121" s="7">
        <f>(Parameters!$B$19*(E121+Parameters!$B$20)^L121+Parameters!$B$18*F121^L121)^(1/L121)</f>
        <v>0.53558922700979628</v>
      </c>
      <c r="O121" s="7">
        <f>(Parameters!$B$10*G121^Parameters!$B$9 + Parameters!$B$11*N121^Parameters!$B$9) ^ (Parameters!$B$7/Parameters!$B$9) * K121</f>
        <v>1.5032668500312838</v>
      </c>
      <c r="P121" s="7">
        <f t="shared" si="24"/>
        <v>1.1453718764161605</v>
      </c>
      <c r="Q121" s="7">
        <f>EXP(-Parameters!$B$55*A121)</f>
        <v>0.17089601617270908</v>
      </c>
      <c r="R121" s="7">
        <f>IF(P121&gt;0,P121^(1-Parameters!$B$52)/(1-Parameters!$B$52)*Q121,-10+P121*1000)</f>
        <v>-0.46562105889070654</v>
      </c>
      <c r="S121" s="7"/>
      <c r="T121" s="7"/>
      <c r="U121" s="7"/>
      <c r="V121" s="7"/>
    </row>
    <row r="122" spans="1:22" x14ac:dyDescent="0.25">
      <c r="A122">
        <f>A121+Parameters!$B$65</f>
        <v>118</v>
      </c>
      <c r="B122" s="9">
        <f t="shared" si="32"/>
        <v>5.191758263687303E-2</v>
      </c>
      <c r="C122" s="9">
        <f t="shared" si="32"/>
        <v>1.0017548050425843E-2</v>
      </c>
      <c r="D122" s="7">
        <f t="shared" si="32"/>
        <v>0.2959598429278244</v>
      </c>
      <c r="E122" s="7">
        <f>MAX((1-Parameters!$B$4)^Parameters!B$65*E121+B121*Parameters!B$65-Parameters!$B$5*B121^2/E121*Parameters!B$65,0.0001)</f>
        <v>0.76976109750883459</v>
      </c>
      <c r="F122" s="9">
        <f>MAX((1-Parameters!$B$4)^Parameters!B$65*F121+C121*Parameters!B$65-Parameters!$B$5*C121^2/F121*Parameters!B$65,0.0001)</f>
        <v>0.1485260560339153</v>
      </c>
      <c r="G122" s="7">
        <f>MAX((1-Parameters!$B$4)^Parameters!B$65*G121+D121*Parameters!B$65-Parameters!$B$5*D121^2/G121*Parameters!B$65,0.0001)</f>
        <v>4.3879452880568497</v>
      </c>
      <c r="I122" s="7">
        <f>I121*(1+Parameters!$B$51)^Parameters!B$65</f>
        <v>11.483933093678242</v>
      </c>
      <c r="J122" s="7">
        <f>J121*(1+Parameters!$B$53)^Parameters!B$65</f>
        <v>93.668381484906178</v>
      </c>
      <c r="K122" s="7">
        <f>'6states'!$O$4</f>
        <v>0.98104277196026479</v>
      </c>
      <c r="L122" s="9">
        <f t="shared" si="25"/>
        <v>0.5</v>
      </c>
      <c r="N122" s="7">
        <f>(Parameters!$B$19*(E122+Parameters!$B$20)^L122+Parameters!$B$18*F122^L122)^(1/L122)</f>
        <v>0.53558773767384071</v>
      </c>
      <c r="O122" s="7">
        <f>(Parameters!$B$10*G122^Parameters!$B$9 + Parameters!$B$11*N122^Parameters!$B$9) ^ (Parameters!$B$7/Parameters!$B$9) * K122</f>
        <v>1.5032662547306543</v>
      </c>
      <c r="P122" s="7">
        <f t="shared" si="24"/>
        <v>1.1453712811155312</v>
      </c>
      <c r="Q122" s="7">
        <f>EXP(-Parameters!$B$55*A122)</f>
        <v>0.16833487163346803</v>
      </c>
      <c r="R122" s="7">
        <f>IF(P122&gt;0,P122^(1-Parameters!$B$52)/(1-Parameters!$B$52)*Q122,-10+P122*1000)</f>
        <v>-0.45864308128280545</v>
      </c>
      <c r="S122" s="7"/>
      <c r="T122" s="7"/>
      <c r="U122" s="7"/>
      <c r="V122" s="7"/>
    </row>
    <row r="123" spans="1:22" x14ac:dyDescent="0.25">
      <c r="A123">
        <f>A122+Parameters!$B$65</f>
        <v>119</v>
      </c>
      <c r="B123" s="9">
        <f t="shared" si="32"/>
        <v>5.191758263687303E-2</v>
      </c>
      <c r="C123" s="9">
        <f t="shared" si="32"/>
        <v>1.0017548050425843E-2</v>
      </c>
      <c r="D123" s="7">
        <f t="shared" si="32"/>
        <v>0.2959598429278244</v>
      </c>
      <c r="E123" s="7">
        <f>MAX((1-Parameters!$B$4)^Parameters!B$65*E122+B122*Parameters!B$65-Parameters!$B$5*B122^2/E122*Parameters!B$65,0.0001)</f>
        <v>0.76975905524199739</v>
      </c>
      <c r="F123" s="9">
        <f>MAX((1-Parameters!$B$4)^Parameters!B$65*F122+C122*Parameters!B$65-Parameters!$B$5*C122^2/F122*Parameters!B$65,0.0001)</f>
        <v>0.14852566758912389</v>
      </c>
      <c r="G123" s="7">
        <f>MAX((1-Parameters!$B$4)^Parameters!B$65*G122+D122*Parameters!B$65-Parameters!$B$5*D122^2/G122*Parameters!B$65,0.0001)</f>
        <v>4.3879413576014317</v>
      </c>
      <c r="I123" s="7">
        <f>I122*(1+Parameters!$B$51)^Parameters!B$65</f>
        <v>11.517236499649908</v>
      </c>
      <c r="J123" s="7">
        <f>J122*(1+Parameters!$B$53)^Parameters!B$65</f>
        <v>95.541749114604301</v>
      </c>
      <c r="K123" s="7">
        <f>'6states'!$O$4</f>
        <v>0.98104277196026479</v>
      </c>
      <c r="L123" s="9">
        <f t="shared" si="25"/>
        <v>0.5</v>
      </c>
      <c r="N123" s="7">
        <f>(Parameters!$B$19*(E123+Parameters!$B$20)^L123+Parameters!$B$18*F123^L123)^(1/L123)</f>
        <v>0.5355863352421284</v>
      </c>
      <c r="O123" s="7">
        <f>(Parameters!$B$10*G123^Parameters!$B$9 + Parameters!$B$11*N123^Parameters!$B$9) ^ (Parameters!$B$7/Parameters!$B$9) * K123</f>
        <v>1.5032656941647029</v>
      </c>
      <c r="P123" s="7">
        <f t="shared" si="24"/>
        <v>1.1453707205495798</v>
      </c>
      <c r="Q123" s="7">
        <f>EXP(-Parameters!$B$55*A123)</f>
        <v>0.16581210985760431</v>
      </c>
      <c r="R123" s="7">
        <f>IF(P123&gt;0,P123^(1-Parameters!$B$52)/(1-Parameters!$B$52)*Q123,-10+P123*1000)</f>
        <v>-0.45176967355606218</v>
      </c>
      <c r="S123" s="7"/>
      <c r="T123" s="7"/>
      <c r="U123" s="7"/>
      <c r="V123" s="7"/>
    </row>
    <row r="124" spans="1:22" x14ac:dyDescent="0.25">
      <c r="A124">
        <f>A123+Parameters!$B$65</f>
        <v>120</v>
      </c>
      <c r="B124" s="9">
        <f t="shared" si="32"/>
        <v>5.191758263687303E-2</v>
      </c>
      <c r="C124" s="9">
        <f t="shared" si="32"/>
        <v>1.0017548050425843E-2</v>
      </c>
      <c r="D124" s="7">
        <f t="shared" si="32"/>
        <v>0.2959598429278244</v>
      </c>
      <c r="E124" s="7">
        <f>MAX((1-Parameters!$B$4)^Parameters!B$65*E123+B123*Parameters!B$65-Parameters!$B$5*B123^2/E123*Parameters!B$65,0.0001)</f>
        <v>0.76975713214342478</v>
      </c>
      <c r="F124" s="9">
        <f>MAX((1-Parameters!$B$4)^Parameters!B$65*F123+C123*Parameters!B$65-Parameters!$B$5*C123^2/F123*Parameters!B$65,0.0001)</f>
        <v>0.14852530181046322</v>
      </c>
      <c r="G124" s="7">
        <f>MAX((1-Parameters!$B$4)^Parameters!B$65*G123+D123*Parameters!B$65-Parameters!$B$5*D123^2/G123*Parameters!B$65,0.0001)</f>
        <v>4.3879376564908812</v>
      </c>
      <c r="I124" s="7">
        <f>I123*(1+Parameters!$B$51)^Parameters!B$65</f>
        <v>11.550636485498892</v>
      </c>
      <c r="J124" s="7">
        <f>J123*(1+Parameters!$B$53)^Parameters!B$65</f>
        <v>97.452584096896388</v>
      </c>
      <c r="K124" s="7">
        <f>'6states'!$O$4</f>
        <v>0.98104277196026479</v>
      </c>
      <c r="L124" s="9">
        <f t="shared" si="25"/>
        <v>0.5</v>
      </c>
      <c r="N124" s="7">
        <f>(Parameters!$B$19*(E124+Parameters!$B$20)^L124+Parameters!$B$18*F124^L124)^(1/L124)</f>
        <v>0.53558501464367503</v>
      </c>
      <c r="O124" s="7">
        <f>(Parameters!$B$10*G124^Parameters!$B$9 + Parameters!$B$11*N124^Parameters!$B$9) ^ (Parameters!$B$7/Parameters!$B$9) * K124</f>
        <v>1.5032651663068057</v>
      </c>
      <c r="P124" s="7">
        <f t="shared" si="24"/>
        <v>1.1453701926916824</v>
      </c>
      <c r="Q124" s="7">
        <f>EXP(-Parameters!$B$55*A124)</f>
        <v>0.16332715561927577</v>
      </c>
      <c r="R124" s="7">
        <f>IF(P124&gt;0,P124^(1-Parameters!$B$52)/(1-Parameters!$B$52)*Q124,-10+P124*1000)</f>
        <v>-0.44499926900501918</v>
      </c>
      <c r="S124" s="7"/>
      <c r="T124" s="7"/>
      <c r="U124" s="7"/>
      <c r="V124" s="7"/>
    </row>
    <row r="125" spans="1:22" x14ac:dyDescent="0.25">
      <c r="A125">
        <f>A124+Parameters!$B$65</f>
        <v>121</v>
      </c>
      <c r="B125" s="9">
        <f t="shared" si="32"/>
        <v>5.191758263687303E-2</v>
      </c>
      <c r="C125" s="9">
        <f t="shared" si="32"/>
        <v>1.0017548050425843E-2</v>
      </c>
      <c r="D125" s="7">
        <f t="shared" si="32"/>
        <v>0.2959598429278244</v>
      </c>
      <c r="E125" s="7">
        <f>MAX((1-Parameters!$B$4)^Parameters!B$65*E124+B124*Parameters!B$65-Parameters!$B$5*B124^2/E124*Parameters!B$65,0.0001)</f>
        <v>0.7697553212594872</v>
      </c>
      <c r="F125" s="9">
        <f>MAX((1-Parameters!$B$4)^Parameters!B$65*F124+C124*Parameters!B$65-Parameters!$B$5*C124^2/F124*Parameters!B$65,0.0001)</f>
        <v>0.14852495737533411</v>
      </c>
      <c r="G125" s="7">
        <f>MAX((1-Parameters!$B$4)^Parameters!B$65*G124+D124*Parameters!B$65-Parameters!$B$5*D124^2/G124*Parameters!B$65,0.0001)</f>
        <v>4.3879341713427316</v>
      </c>
      <c r="I125" s="7">
        <f>I124*(1+Parameters!$B$51)^Parameters!B$65</f>
        <v>11.584133331306838</v>
      </c>
      <c r="J125" s="7">
        <f>J124*(1+Parameters!$B$53)^Parameters!B$65</f>
        <v>99.401635778834319</v>
      </c>
      <c r="K125" s="7">
        <f>'6states'!$O$4</f>
        <v>0.98104277196026479</v>
      </c>
      <c r="L125" s="9">
        <f t="shared" si="25"/>
        <v>0.5</v>
      </c>
      <c r="N125" s="7">
        <f>(Parameters!$B$19*(E125+Parameters!$B$20)^L125+Parameters!$B$18*F125^L125)^(1/L125)</f>
        <v>0.53558377110339928</v>
      </c>
      <c r="O125" s="7">
        <f>(Parameters!$B$10*G125^Parameters!$B$9 + Parameters!$B$11*N125^Parameters!$B$9) ^ (Parameters!$B$7/Parameters!$B$9) * K125</f>
        <v>1.5032646692485752</v>
      </c>
      <c r="P125" s="7">
        <f t="shared" si="24"/>
        <v>1.1453696956334518</v>
      </c>
      <c r="Q125" s="7">
        <f>EXP(-Parameters!$B$55*A125)</f>
        <v>0.16087944231330067</v>
      </c>
      <c r="R125" s="7">
        <f>IF(P125&gt;0,P125^(1-Parameters!$B$52)/(1-Parameters!$B$52)*Q125,-10+P125*1000)</f>
        <v>-0.43833032437201719</v>
      </c>
      <c r="S125" s="7"/>
      <c r="T125" s="7"/>
      <c r="U125" s="7"/>
      <c r="V125" s="7"/>
    </row>
    <row r="126" spans="1:22" x14ac:dyDescent="0.25">
      <c r="A126">
        <f>A125+Parameters!$B$65</f>
        <v>122</v>
      </c>
      <c r="B126" s="9">
        <f t="shared" si="32"/>
        <v>5.191758263687303E-2</v>
      </c>
      <c r="C126" s="9">
        <f t="shared" si="32"/>
        <v>1.0017548050425843E-2</v>
      </c>
      <c r="D126" s="7">
        <f t="shared" si="32"/>
        <v>0.2959598429278244</v>
      </c>
      <c r="E126" s="7">
        <f>MAX((1-Parameters!$B$4)^Parameters!B$65*E125+B125*Parameters!B$65-Parameters!$B$5*B125^2/E125*Parameters!B$65,0.0001)</f>
        <v>0.76975361604231363</v>
      </c>
      <c r="F126" s="9">
        <f>MAX((1-Parameters!$B$4)^Parameters!B$65*F125+C125*Parameters!B$65-Parameters!$B$5*C125^2/F125*Parameters!B$65,0.0001)</f>
        <v>0.14852463303831379</v>
      </c>
      <c r="G126" s="7">
        <f>MAX((1-Parameters!$B$4)^Parameters!B$65*G125+D125*Parameters!B$65-Parameters!$B$5*D125^2/G125*Parameters!B$65,0.0001)</f>
        <v>4.3879308895553999</v>
      </c>
      <c r="I126" s="7">
        <f>I125*(1+Parameters!$B$51)^Parameters!B$65</f>
        <v>11.617727317967626</v>
      </c>
      <c r="J126" s="7">
        <f>J125*(1+Parameters!$B$53)^Parameters!B$65</f>
        <v>101.38966849441101</v>
      </c>
      <c r="K126" s="7">
        <f>'6states'!$O$4</f>
        <v>0.98104277196026479</v>
      </c>
      <c r="L126" s="9">
        <f t="shared" si="25"/>
        <v>0.5</v>
      </c>
      <c r="N126" s="7">
        <f>(Parameters!$B$19*(E126+Parameters!$B$20)^L126+Parameters!$B$18*F126^L126)^(1/L126)</f>
        <v>0.53558260012485537</v>
      </c>
      <c r="O126" s="7">
        <f>(Parameters!$B$10*G126^Parameters!$B$9 + Parameters!$B$11*N126^Parameters!$B$9) ^ (Parameters!$B$7/Parameters!$B$9) * K126</f>
        <v>1.5032642011929631</v>
      </c>
      <c r="P126" s="7">
        <f t="shared" si="24"/>
        <v>1.1453692275778398</v>
      </c>
      <c r="Q126" s="7">
        <f>EXP(-Parameters!$B$55*A126)</f>
        <v>0.15846841182596355</v>
      </c>
      <c r="R126" s="7">
        <f>IF(P126&gt;0,P126^(1-Parameters!$B$52)/(1-Parameters!$B$52)*Q126,-10+P126*1000)</f>
        <v>-0.43176131949809271</v>
      </c>
      <c r="S126" s="7"/>
      <c r="T126" s="7"/>
      <c r="U126" s="7"/>
      <c r="V126" s="7"/>
    </row>
    <row r="127" spans="1:22" x14ac:dyDescent="0.25">
      <c r="A127">
        <f>A126+Parameters!$B$65</f>
        <v>123</v>
      </c>
      <c r="B127" s="9">
        <f t="shared" si="32"/>
        <v>5.191758263687303E-2</v>
      </c>
      <c r="C127" s="9">
        <f t="shared" si="32"/>
        <v>1.0017548050425843E-2</v>
      </c>
      <c r="D127" s="7">
        <f t="shared" si="32"/>
        <v>0.2959598429278244</v>
      </c>
      <c r="E127" s="7">
        <f>MAX((1-Parameters!$B$4)^Parameters!B$65*E126+B126*Parameters!B$65-Parameters!$B$5*B126^2/E126*Parameters!B$65,0.0001)</f>
        <v>0.76975201032611462</v>
      </c>
      <c r="F127" s="9">
        <f>MAX((1-Parameters!$B$4)^Parameters!B$65*F126+C126*Parameters!B$65-Parameters!$B$5*C126^2/F126*Parameters!B$65,0.0001)</f>
        <v>0.14852432762665232</v>
      </c>
      <c r="G127" s="7">
        <f>MAX((1-Parameters!$B$4)^Parameters!B$65*G126+D126*Parameters!B$65-Parameters!$B$5*D126^2/G126*Parameters!B$65,0.0001)</f>
        <v>4.3879277992626182</v>
      </c>
      <c r="I127" s="7">
        <f>I126*(1+Parameters!$B$51)^Parameters!B$65</f>
        <v>11.65141872718973</v>
      </c>
      <c r="J127" s="7">
        <f>J126*(1+Parameters!$B$53)^Parameters!B$65</f>
        <v>103.41746186429923</v>
      </c>
      <c r="K127" s="7">
        <f>'6states'!$O$4</f>
        <v>0.98104277196026479</v>
      </c>
      <c r="L127" s="9">
        <f t="shared" si="25"/>
        <v>0.5</v>
      </c>
      <c r="N127" s="7">
        <f>(Parameters!$B$19*(E127+Parameters!$B$20)^L127+Parameters!$B$18*F127^L127)^(1/L127)</f>
        <v>0.53558149747397488</v>
      </c>
      <c r="O127" s="7">
        <f>(Parameters!$B$10*G127^Parameters!$B$9 + Parameters!$B$11*N127^Parameters!$B$9) ^ (Parameters!$B$7/Parameters!$B$9) * K127</f>
        <v>1.5032637604477646</v>
      </c>
      <c r="P127" s="7">
        <f t="shared" si="24"/>
        <v>1.1453687868326412</v>
      </c>
      <c r="Q127" s="7">
        <f>EXP(-Parameters!$B$55*A127)</f>
        <v>0.15609351440775748</v>
      </c>
      <c r="R127" s="7">
        <f>IF(P127&gt;0,P127^(1-Parameters!$B$52)/(1-Parameters!$B$52)*Q127,-10+P127*1000)</f>
        <v>-0.42529075697894092</v>
      </c>
      <c r="S127" s="7"/>
      <c r="T127" s="7"/>
      <c r="U127" s="7"/>
      <c r="V127" s="7"/>
    </row>
    <row r="128" spans="1:22" x14ac:dyDescent="0.25">
      <c r="A128">
        <f>A127+Parameters!$B$65</f>
        <v>124</v>
      </c>
      <c r="B128" s="9">
        <f t="shared" ref="B128:D143" si="33">B127</f>
        <v>5.191758263687303E-2</v>
      </c>
      <c r="C128" s="9">
        <f t="shared" si="33"/>
        <v>1.0017548050425843E-2</v>
      </c>
      <c r="D128" s="7">
        <f t="shared" si="33"/>
        <v>0.2959598429278244</v>
      </c>
      <c r="E128" s="7">
        <f>MAX((1-Parameters!$B$4)^Parameters!B$65*E127+B127*Parameters!B$65-Parameters!$B$5*B127^2/E127*Parameters!B$65,0.0001)</f>
        <v>0.76975049830488629</v>
      </c>
      <c r="F128" s="9">
        <f>MAX((1-Parameters!$B$4)^Parameters!B$65*F127+C127*Parameters!B$65-Parameters!$B$5*C127^2/F127*Parameters!B$65,0.0001)</f>
        <v>0.14852404003603201</v>
      </c>
      <c r="G128" s="7">
        <f>MAX((1-Parameters!$B$4)^Parameters!B$65*G127+D127*Parameters!B$65-Parameters!$B$5*D127^2/G127*Parameters!B$65,0.0001)</f>
        <v>4.3879248892905265</v>
      </c>
      <c r="I128" s="7">
        <f>I127*(1+Parameters!$B$51)^Parameters!B$65</f>
        <v>11.685207841498579</v>
      </c>
      <c r="J128" s="7">
        <f>J127*(1+Parameters!$B$53)^Parameters!B$65</f>
        <v>105.48581110158521</v>
      </c>
      <c r="K128" s="7">
        <f>'6states'!$O$4</f>
        <v>0.98104277196026479</v>
      </c>
      <c r="L128" s="9">
        <f t="shared" si="25"/>
        <v>0.5</v>
      </c>
      <c r="N128" s="7">
        <f>(Parameters!$B$19*(E128+Parameters!$B$20)^L128+Parameters!$B$18*F128^L128)^(1/L128)</f>
        <v>0.53558045916375463</v>
      </c>
      <c r="O128" s="7">
        <f>(Parameters!$B$10*G128^Parameters!$B$9 + Parameters!$B$11*N128^Parameters!$B$9) ^ (Parameters!$B$7/Parameters!$B$9) * K128</f>
        <v>1.5032633454195035</v>
      </c>
      <c r="P128" s="7">
        <f t="shared" si="24"/>
        <v>1.1453683718043801</v>
      </c>
      <c r="Q128" s="7">
        <f>EXP(-Parameters!$B$55*A128)</f>
        <v>0.15375420854803312</v>
      </c>
      <c r="R128" s="7">
        <f>IF(P128&gt;0,P128^(1-Parameters!$B$52)/(1-Parameters!$B$52)*Q128,-10+P128*1000)</f>
        <v>-0.41891716182587907</v>
      </c>
      <c r="S128" s="7"/>
      <c r="T128" s="7"/>
      <c r="U128" s="7"/>
      <c r="V128" s="7"/>
    </row>
    <row r="129" spans="1:22" x14ac:dyDescent="0.25">
      <c r="A129">
        <f>A128+Parameters!$B$65</f>
        <v>125</v>
      </c>
      <c r="B129" s="9">
        <f t="shared" si="33"/>
        <v>5.191758263687303E-2</v>
      </c>
      <c r="C129" s="9">
        <f t="shared" si="33"/>
        <v>1.0017548050425843E-2</v>
      </c>
      <c r="D129" s="7">
        <f t="shared" si="33"/>
        <v>0.2959598429278244</v>
      </c>
      <c r="E129" s="7">
        <f>MAX((1-Parameters!$B$4)^Parameters!B$65*E128+B128*Parameters!B$65-Parameters!$B$5*B128^2/E128*Parameters!B$65,0.0001)</f>
        <v>0.76974907451141583</v>
      </c>
      <c r="F129" s="9">
        <f>MAX((1-Parameters!$B$4)^Parameters!B$65*F128+C128*Parameters!B$65-Parameters!$B$5*C128^2/F128*Parameters!B$65,0.0001)</f>
        <v>0.14852376922657409</v>
      </c>
      <c r="G129" s="7">
        <f>MAX((1-Parameters!$B$4)^Parameters!B$65*G128+D128*Parameters!B$65-Parameters!$B$5*D128^2/G128*Parameters!B$65,0.0001)</f>
        <v>4.3879221491172729</v>
      </c>
      <c r="I129" s="7">
        <f>I128*(1+Parameters!$B$51)^Parameters!B$65</f>
        <v>11.719094944238924</v>
      </c>
      <c r="J129" s="7">
        <f>J128*(1+Parameters!$B$53)^Parameters!B$65</f>
        <v>107.59552732361692</v>
      </c>
      <c r="K129" s="7">
        <f>'6states'!$O$4</f>
        <v>0.98104277196026479</v>
      </c>
      <c r="L129" s="9">
        <f t="shared" si="25"/>
        <v>0.5</v>
      </c>
      <c r="N129" s="7">
        <f>(Parameters!$B$19*(E129+Parameters!$B$20)^L129+Parameters!$B$18*F129^L129)^(1/L129)</f>
        <v>0.53557948143984102</v>
      </c>
      <c r="O129" s="7">
        <f>(Parameters!$B$10*G129^Parameters!$B$9 + Parameters!$B$11*N129^Parameters!$B$9) ^ (Parameters!$B$7/Parameters!$B$9) * K129</f>
        <v>1.5032629546076723</v>
      </c>
      <c r="P129" s="7">
        <f t="shared" si="24"/>
        <v>1.1453679809925492</v>
      </c>
      <c r="Q129" s="7">
        <f>EXP(-Parameters!$B$55*A129)</f>
        <v>0.15144996085152654</v>
      </c>
      <c r="R129" s="7">
        <f>IF(P129&gt;0,P129^(1-Parameters!$B$52)/(1-Parameters!$B$52)*Q129,-10+P129*1000)</f>
        <v>-0.41263908113174824</v>
      </c>
      <c r="S129" s="7"/>
      <c r="T129" s="7"/>
      <c r="U129" s="7"/>
      <c r="V129" s="7"/>
    </row>
    <row r="130" spans="1:22" x14ac:dyDescent="0.25">
      <c r="A130">
        <f>A129+Parameters!$B$65</f>
        <v>126</v>
      </c>
      <c r="B130" s="9">
        <f t="shared" si="33"/>
        <v>5.191758263687303E-2</v>
      </c>
      <c r="C130" s="9">
        <f t="shared" si="33"/>
        <v>1.0017548050425843E-2</v>
      </c>
      <c r="D130" s="7">
        <f t="shared" si="33"/>
        <v>0.2959598429278244</v>
      </c>
      <c r="E130" s="7">
        <f>MAX((1-Parameters!$B$4)^Parameters!B$65*E129+B129*Parameters!B$65-Parameters!$B$5*B129^2/E129*Parameters!B$65,0.0001)</f>
        <v>0.76974773379751182</v>
      </c>
      <c r="F130" s="9">
        <f>MAX((1-Parameters!$B$4)^Parameters!B$65*F129+C129*Parameters!B$65-Parameters!$B$5*C129^2/F129*Parameters!B$65,0.0001)</f>
        <v>0.14852351421907856</v>
      </c>
      <c r="G130" s="7">
        <f>MAX((1-Parameters!$B$4)^Parameters!B$65*G129+D129*Parameters!B$65-Parameters!$B$5*D129^2/G129*Parameters!B$65,0.0001)</f>
        <v>4.3879195688349633</v>
      </c>
      <c r="I130" s="7">
        <f>I129*(1+Parameters!$B$51)^Parameters!B$65</f>
        <v>11.753080319577215</v>
      </c>
      <c r="J130" s="7">
        <f>J129*(1+Parameters!$B$53)^Parameters!B$65</f>
        <v>109.74743787008926</v>
      </c>
      <c r="K130" s="7">
        <f>'6states'!$O$4</f>
        <v>0.98104277196026479</v>
      </c>
      <c r="L130" s="9">
        <f t="shared" si="25"/>
        <v>0.5</v>
      </c>
      <c r="N130" s="7">
        <f>(Parameters!$B$19*(E130+Parameters!$B$20)^L130+Parameters!$B$18*F130^L130)^(1/L130)</f>
        <v>0.53557856076695309</v>
      </c>
      <c r="O130" s="7">
        <f>(Parameters!$B$10*G130^Parameters!$B$9 + Parameters!$B$11*N130^Parameters!$B$9) ^ (Parameters!$B$7/Parameters!$B$9) * K130</f>
        <v>1.5032625865993086</v>
      </c>
      <c r="P130" s="7">
        <f t="shared" si="24"/>
        <v>1.1453676129841854</v>
      </c>
      <c r="Q130" s="7">
        <f>EXP(-Parameters!$B$55*A130)</f>
        <v>0.14918024591673743</v>
      </c>
      <c r="R130" s="7">
        <f>IF(P130&gt;0,P130^(1-Parameters!$B$52)/(1-Parameters!$B$52)*Q130,-10+P130*1000)</f>
        <v>-0.40645508374168954</v>
      </c>
      <c r="S130" s="7"/>
      <c r="T130" s="7"/>
      <c r="U130" s="7"/>
      <c r="V130" s="7"/>
    </row>
    <row r="131" spans="1:22" x14ac:dyDescent="0.25">
      <c r="A131">
        <f>A130+Parameters!$B$65</f>
        <v>127</v>
      </c>
      <c r="B131" s="9">
        <f t="shared" si="33"/>
        <v>5.191758263687303E-2</v>
      </c>
      <c r="C131" s="9">
        <f t="shared" si="33"/>
        <v>1.0017548050425843E-2</v>
      </c>
      <c r="D131" s="7">
        <f t="shared" si="33"/>
        <v>0.2959598429278244</v>
      </c>
      <c r="E131" s="7">
        <f>MAX((1-Parameters!$B$4)^Parameters!B$65*E130+B130*Parameters!B$65-Parameters!$B$5*B130^2/E130*Parameters!B$65,0.0001)</f>
        <v>0.76974647131538865</v>
      </c>
      <c r="F131" s="9">
        <f>MAX((1-Parameters!$B$4)^Parameters!B$65*F130+C130*Parameters!B$65-Parameters!$B$5*C130^2/F130*Parameters!B$65,0.0001)</f>
        <v>0.1485232740914833</v>
      </c>
      <c r="G131" s="7">
        <f>MAX((1-Parameters!$B$4)^Parameters!B$65*G130+D130*Parameters!B$65-Parameters!$B$5*D130^2/G130*Parameters!B$65,0.0001)</f>
        <v>4.3879171391138394</v>
      </c>
      <c r="I131" s="7">
        <f>I130*(1+Parameters!$B$51)^Parameters!B$65</f>
        <v>11.787164252503988</v>
      </c>
      <c r="J131" s="7">
        <f>J130*(1+Parameters!$B$53)^Parameters!B$65</f>
        <v>111.94238662749105</v>
      </c>
      <c r="K131" s="7">
        <f>'6states'!$O$4</f>
        <v>0.98104277196026479</v>
      </c>
      <c r="L131" s="9">
        <f t="shared" si="25"/>
        <v>0.5</v>
      </c>
      <c r="N131" s="7">
        <f>(Parameters!$B$19*(E131+Parameters!$B$20)^L131+Parameters!$B$18*F131^L131)^(1/L131)</f>
        <v>0.53557769381609999</v>
      </c>
      <c r="O131" s="7">
        <f>(Parameters!$B$10*G131^Parameters!$B$9 + Parameters!$B$11*N131^Parameters!$B$9) ^ (Parameters!$B$7/Parameters!$B$9) * K131</f>
        <v>1.503262240063888</v>
      </c>
      <c r="P131" s="7">
        <f t="shared" si="24"/>
        <v>1.1453672664487646</v>
      </c>
      <c r="Q131" s="7">
        <f>EXP(-Parameters!$B$55*A131)</f>
        <v>0.14694454621613023</v>
      </c>
      <c r="R131" s="7">
        <f>IF(P131&gt;0,P131^(1-Parameters!$B$52)/(1-Parameters!$B$52)*Q131,-10+P131*1000)</f>
        <v>-0.40036375992873052</v>
      </c>
      <c r="S131" s="7"/>
      <c r="T131" s="7"/>
      <c r="U131" s="7"/>
      <c r="V131" s="7"/>
    </row>
    <row r="132" spans="1:22" x14ac:dyDescent="0.25">
      <c r="A132">
        <f>A131+Parameters!$B$65</f>
        <v>128</v>
      </c>
      <c r="B132" s="9">
        <f t="shared" si="33"/>
        <v>5.191758263687303E-2</v>
      </c>
      <c r="C132" s="9">
        <f t="shared" si="33"/>
        <v>1.0017548050425843E-2</v>
      </c>
      <c r="D132" s="7">
        <f t="shared" si="33"/>
        <v>0.2959598429278244</v>
      </c>
      <c r="E132" s="7">
        <f>MAX((1-Parameters!$B$4)^Parameters!B$65*E131+B131*Parameters!B$65-Parameters!$B$5*B131^2/E131*Parameters!B$65,0.0001)</f>
        <v>0.76974528250013674</v>
      </c>
      <c r="F132" s="9">
        <f>MAX((1-Parameters!$B$4)^Parameters!B$65*F131+C131*Parameters!B$65-Parameters!$B$5*C131^2/F131*Parameters!B$65,0.0001)</f>
        <v>0.14852304797553009</v>
      </c>
      <c r="G132" s="7">
        <f>MAX((1-Parameters!$B$4)^Parameters!B$65*G131+D131*Parameters!B$65-Parameters!$B$5*D131^2/G131*Parameters!B$65,0.0001)</f>
        <v>4.3879148511685448</v>
      </c>
      <c r="I132" s="7">
        <f>I131*(1+Parameters!$B$51)^Parameters!B$65</f>
        <v>11.821347028836248</v>
      </c>
      <c r="J132" s="7">
        <f>J131*(1+Parameters!$B$53)^Parameters!B$65</f>
        <v>114.18123436004088</v>
      </c>
      <c r="K132" s="7">
        <f>'6states'!$O$4</f>
        <v>0.98104277196026479</v>
      </c>
      <c r="L132" s="9">
        <f t="shared" si="25"/>
        <v>0.5</v>
      </c>
      <c r="N132" s="7">
        <f>(Parameters!$B$19*(E132+Parameters!$B$20)^L132+Parameters!$B$18*F132^L132)^(1/L132)</f>
        <v>0.53557687745254234</v>
      </c>
      <c r="O132" s="7">
        <f>(Parameters!$B$10*G132^Parameters!$B$9 + Parameters!$B$11*N132^Parameters!$B$9) ^ (Parameters!$B$7/Parameters!$B$9) * K132</f>
        <v>1.503261913748515</v>
      </c>
      <c r="P132" s="7">
        <f t="shared" ref="P132:P195" si="34">O132-B132-C132-D132</f>
        <v>1.1453669401333917</v>
      </c>
      <c r="Q132" s="7">
        <f>EXP(-Parameters!$B$55*A132)</f>
        <v>0.14474235197813023</v>
      </c>
      <c r="R132" s="7">
        <f>IF(P132&gt;0,P132^(1-Parameters!$B$52)/(1-Parameters!$B$52)*Q132,-10+P132*1000)</f>
        <v>-0.39436372107411832</v>
      </c>
      <c r="S132" s="7"/>
      <c r="T132" s="7"/>
      <c r="U132" s="7"/>
      <c r="V132" s="7"/>
    </row>
    <row r="133" spans="1:22" x14ac:dyDescent="0.25">
      <c r="A133">
        <f>A132+Parameters!$B$65</f>
        <v>129</v>
      </c>
      <c r="B133" s="9">
        <f t="shared" si="33"/>
        <v>5.191758263687303E-2</v>
      </c>
      <c r="C133" s="9">
        <f t="shared" si="33"/>
        <v>1.0017548050425843E-2</v>
      </c>
      <c r="D133" s="7">
        <f t="shared" si="33"/>
        <v>0.2959598429278244</v>
      </c>
      <c r="E133" s="7">
        <f>MAX((1-Parameters!$B$4)^Parameters!B$65*E132+B132*Parameters!B$65-Parameters!$B$5*B132^2/E132*Parameters!B$65,0.0001)</f>
        <v>0.76974416305321636</v>
      </c>
      <c r="F133" s="9">
        <f>MAX((1-Parameters!$B$4)^Parameters!B$65*F132+C132*Parameters!B$65-Parameters!$B$5*C132^2/F132*Parameters!B$65,0.0001)</f>
        <v>0.14852283505362487</v>
      </c>
      <c r="G133" s="7">
        <f>MAX((1-Parameters!$B$4)^Parameters!B$65*G132+D132*Parameters!B$65-Parameters!$B$5*D132^2/G132*Parameters!B$65,0.0001)</f>
        <v>4.387912696726354</v>
      </c>
      <c r="I133" s="7">
        <f>I132*(1+Parameters!$B$51)^Parameters!B$65</f>
        <v>11.855628935219872</v>
      </c>
      <c r="J133" s="7">
        <f>J132*(1+Parameters!$B$53)^Parameters!B$65</f>
        <v>116.46485904724169</v>
      </c>
      <c r="K133" s="7">
        <f>'6states'!$O$4</f>
        <v>0.98104277196026479</v>
      </c>
      <c r="L133" s="9">
        <f t="shared" si="25"/>
        <v>0.5</v>
      </c>
      <c r="N133" s="7">
        <f>(Parameters!$B$19*(E133+Parameters!$B$20)^L133+Parameters!$B$18*F133^L133)^(1/L133)</f>
        <v>0.53557610872445804</v>
      </c>
      <c r="O133" s="7">
        <f>(Parameters!$B$10*G133^Parameters!$B$9 + Parameters!$B$11*N133^Parameters!$B$9) ^ (Parameters!$B$7/Parameters!$B$9) * K133</f>
        <v>1.5032616064733937</v>
      </c>
      <c r="P133" s="7">
        <f t="shared" si="34"/>
        <v>1.1453666328582703</v>
      </c>
      <c r="Q133" s="7">
        <f>EXP(-Parameters!$B$55*A133)</f>
        <v>0.14257316107088844</v>
      </c>
      <c r="R133" s="7">
        <f>IF(P133&gt;0,P133^(1-Parameters!$B$52)/(1-Parameters!$B$52)*Q133,-10+P133*1000)</f>
        <v>-0.38845359935233947</v>
      </c>
      <c r="S133" s="7"/>
      <c r="T133" s="7"/>
      <c r="U133" s="7"/>
      <c r="V133" s="7"/>
    </row>
    <row r="134" spans="1:22" x14ac:dyDescent="0.25">
      <c r="A134">
        <f>A133+Parameters!$B$65</f>
        <v>130</v>
      </c>
      <c r="B134" s="9">
        <f t="shared" si="33"/>
        <v>5.191758263687303E-2</v>
      </c>
      <c r="C134" s="9">
        <f t="shared" si="33"/>
        <v>1.0017548050425843E-2</v>
      </c>
      <c r="D134" s="7">
        <f t="shared" si="33"/>
        <v>0.2959598429278244</v>
      </c>
      <c r="E134" s="7">
        <f>MAX((1-Parameters!$B$4)^Parameters!B$65*E133+B133*Parameters!B$65-Parameters!$B$5*B133^2/E133*Parameters!B$65,0.0001)</f>
        <v>0.76974310892691411</v>
      </c>
      <c r="F134" s="9">
        <f>MAX((1-Parameters!$B$4)^Parameters!B$65*F133+C133*Parameters!B$65-Parameters!$B$5*C133^2/F133*Parameters!B$65,0.0001)</f>
        <v>0.14852263455588149</v>
      </c>
      <c r="G134" s="7">
        <f>MAX((1-Parameters!$B$4)^Parameters!B$65*G133+D133*Parameters!B$65-Parameters!$B$5*D133^2/G133*Parameters!B$65,0.0001)</f>
        <v>4.3879106679972644</v>
      </c>
      <c r="I134" s="7">
        <f>I133*(1+Parameters!$B$51)^Parameters!B$65</f>
        <v>11.890010259132008</v>
      </c>
      <c r="J134" s="7">
        <f>J133*(1+Parameters!$B$53)^Parameters!B$65</f>
        <v>118.79415622818652</v>
      </c>
      <c r="K134" s="7">
        <f>'6states'!$O$4</f>
        <v>0.98104277196026479</v>
      </c>
      <c r="L134" s="9">
        <f t="shared" ref="L134:L197" si="35">L133</f>
        <v>0.5</v>
      </c>
      <c r="N134" s="7">
        <f>(Parameters!$B$19*(E134+Parameters!$B$20)^L134+Parameters!$B$18*F134^L134)^(1/L134)</f>
        <v>0.53557538485226874</v>
      </c>
      <c r="O134" s="7">
        <f>(Parameters!$B$10*G134^Parameters!$B$9 + Parameters!$B$11*N134^Parameters!$B$9) ^ (Parameters!$B$7/Parameters!$B$9) * K134</f>
        <v>1.5032613171275648</v>
      </c>
      <c r="P134" s="7">
        <f t="shared" si="34"/>
        <v>1.1453663435124417</v>
      </c>
      <c r="Q134" s="7">
        <f>EXP(-Parameters!$B$55*A134)</f>
        <v>0.14043647888778818</v>
      </c>
      <c r="R134" s="7">
        <f>IF(P134&gt;0,P134^(1-Parameters!$B$52)/(1-Parameters!$B$52)*Q134,-10+P134*1000)</f>
        <v>-0.38263204742075879</v>
      </c>
      <c r="S134" s="7"/>
      <c r="T134" s="7"/>
      <c r="U134" s="7"/>
      <c r="V134" s="7"/>
    </row>
    <row r="135" spans="1:22" x14ac:dyDescent="0.25">
      <c r="A135">
        <f>A134+Parameters!$B$65</f>
        <v>131</v>
      </c>
      <c r="B135" s="9">
        <f t="shared" si="33"/>
        <v>5.191758263687303E-2</v>
      </c>
      <c r="C135" s="9">
        <f t="shared" si="33"/>
        <v>1.0017548050425843E-2</v>
      </c>
      <c r="D135" s="7">
        <f t="shared" si="33"/>
        <v>0.2959598429278244</v>
      </c>
      <c r="E135" s="7">
        <f>MAX((1-Parameters!$B$4)^Parameters!B$65*E134+B134*Parameters!B$65-Parameters!$B$5*B134^2/E134*Parameters!B$65,0.0001)</f>
        <v>0.76974211630970635</v>
      </c>
      <c r="F135" s="9">
        <f>MAX((1-Parameters!$B$4)^Parameters!B$65*F134+C134*Parameters!B$65-Parameters!$B$5*C134^2/F134*Parameters!B$65,0.0001)</f>
        <v>0.14852244575733772</v>
      </c>
      <c r="G135" s="7">
        <f>MAX((1-Parameters!$B$4)^Parameters!B$65*G134+D134*Parameters!B$65-Parameters!$B$5*D134^2/G134*Parameters!B$65,0.0001)</f>
        <v>4.3879087576458256</v>
      </c>
      <c r="I135" s="7">
        <f>I134*(1+Parameters!$B$51)^Parameters!B$65</f>
        <v>11.924491288883489</v>
      </c>
      <c r="J135" s="7">
        <f>J134*(1+Parameters!$B$53)^Parameters!B$65</f>
        <v>121.17003935275025</v>
      </c>
      <c r="K135" s="7">
        <f>'6states'!$O$4</f>
        <v>0.98104277196026479</v>
      </c>
      <c r="L135" s="9">
        <f t="shared" si="35"/>
        <v>0.5</v>
      </c>
      <c r="N135" s="7">
        <f>(Parameters!$B$19*(E135+Parameters!$B$20)^L135+Parameters!$B$18*F135^L135)^(1/L135)</f>
        <v>0.53557470321858736</v>
      </c>
      <c r="O135" s="7">
        <f>(Parameters!$B$10*G135^Parameters!$B$9 + Parameters!$B$11*N135^Parameters!$B$9) ^ (Parameters!$B$7/Parameters!$B$9) * K135</f>
        <v>1.5032610446648871</v>
      </c>
      <c r="P135" s="7">
        <f t="shared" si="34"/>
        <v>1.145366071049764</v>
      </c>
      <c r="Q135" s="7">
        <f>EXP(-Parameters!$B$55*A135)</f>
        <v>0.13833181823466795</v>
      </c>
      <c r="R135" s="7">
        <f>IF(P135&gt;0,P135^(1-Parameters!$B$52)/(1-Parameters!$B$52)*Q135,-10+P135*1000)</f>
        <v>-0.37689773811382199</v>
      </c>
      <c r="S135" s="7"/>
      <c r="T135" s="7"/>
      <c r="U135" s="7"/>
      <c r="V135" s="7"/>
    </row>
    <row r="136" spans="1:22" x14ac:dyDescent="0.25">
      <c r="A136">
        <f>A135+Parameters!$B$65</f>
        <v>132</v>
      </c>
      <c r="B136" s="9">
        <f t="shared" si="33"/>
        <v>5.191758263687303E-2</v>
      </c>
      <c r="C136" s="9">
        <f t="shared" si="33"/>
        <v>1.0017548050425843E-2</v>
      </c>
      <c r="D136" s="7">
        <f t="shared" si="33"/>
        <v>0.2959598429278244</v>
      </c>
      <c r="E136" s="7">
        <f>MAX((1-Parameters!$B$4)^Parameters!B$65*E135+B135*Parameters!B$65-Parameters!$B$5*B135^2/E135*Parameters!B$65,0.0001)</f>
        <v>0.76974118161247729</v>
      </c>
      <c r="F136" s="9">
        <f>MAX((1-Parameters!$B$4)^Parameters!B$65*F135+C135*Parameters!B$65-Parameters!$B$5*C135^2/F135*Parameters!B$65,0.0001)</f>
        <v>0.14852226797533388</v>
      </c>
      <c r="G136" s="7">
        <f>MAX((1-Parameters!$B$4)^Parameters!B$65*G135+D135*Parameters!B$65-Parameters!$B$5*D135^2/G135*Parameters!B$65,0.0001)</f>
        <v>4.387906958764618</v>
      </c>
      <c r="I136" s="7">
        <f>I135*(1+Parameters!$B$51)^Parameters!B$65</f>
        <v>11.959072313621251</v>
      </c>
      <c r="J136" s="7">
        <f>J135*(1+Parameters!$B$53)^Parameters!B$65</f>
        <v>123.59344013980525</v>
      </c>
      <c r="K136" s="7">
        <f>'6states'!$O$4</f>
        <v>0.98104277196026479</v>
      </c>
      <c r="L136" s="9">
        <f t="shared" si="35"/>
        <v>0.5</v>
      </c>
      <c r="N136" s="7">
        <f>(Parameters!$B$19*(E136+Parameters!$B$20)^L136+Parameters!$B$18*F136^L136)^(1/L136)</f>
        <v>0.53557406135875629</v>
      </c>
      <c r="O136" s="7">
        <f>(Parameters!$B$10*G136^Parameters!$B$9 + Parameters!$B$11*N136^Parameters!$B$9) ^ (Parameters!$B$7/Parameters!$B$9) * K136</f>
        <v>1.5032607881002582</v>
      </c>
      <c r="P136" s="7">
        <f t="shared" si="34"/>
        <v>1.1453658144851349</v>
      </c>
      <c r="Q136" s="7">
        <f>EXP(-Parameters!$B$55*A136)</f>
        <v>0.13625869921873399</v>
      </c>
      <c r="R136" s="7">
        <f>IF(P136&gt;0,P136^(1-Parameters!$B$52)/(1-Parameters!$B$52)*Q136,-10+P136*1000)</f>
        <v>-0.37124936414175275</v>
      </c>
      <c r="S136" s="7"/>
      <c r="T136" s="7"/>
      <c r="U136" s="7"/>
      <c r="V136" s="7"/>
    </row>
    <row r="137" spans="1:22" x14ac:dyDescent="0.25">
      <c r="A137">
        <f>A136+Parameters!$B$65</f>
        <v>133</v>
      </c>
      <c r="B137" s="9">
        <f t="shared" si="33"/>
        <v>5.191758263687303E-2</v>
      </c>
      <c r="C137" s="9">
        <f t="shared" si="33"/>
        <v>1.0017548050425843E-2</v>
      </c>
      <c r="D137" s="7">
        <f t="shared" si="33"/>
        <v>0.2959598429278244</v>
      </c>
      <c r="E137" s="7">
        <f>MAX((1-Parameters!$B$4)^Parameters!B$65*E136+B136*Parameters!B$65-Parameters!$B$5*B136^2/E136*Parameters!B$65,0.0001)</f>
        <v>0.76974030145554084</v>
      </c>
      <c r="F137" s="9">
        <f>MAX((1-Parameters!$B$4)^Parameters!B$65*F136+C136*Parameters!B$65-Parameters!$B$5*C136^2/F136*Parameters!B$65,0.0001)</f>
        <v>0.1485221005670444</v>
      </c>
      <c r="G137" s="7">
        <f>MAX((1-Parameters!$B$4)^Parameters!B$65*G136+D136*Parameters!B$65-Parameters!$B$5*D136^2/G136*Parameters!B$65,0.0001)</f>
        <v>4.387905264849274</v>
      </c>
      <c r="I137" s="7">
        <f>I136*(1+Parameters!$B$51)^Parameters!B$65</f>
        <v>11.99375362333075</v>
      </c>
      <c r="J137" s="7">
        <f>J136*(1+Parameters!$B$53)^Parameters!B$65</f>
        <v>126.06530894260136</v>
      </c>
      <c r="K137" s="7">
        <f>'6states'!$O$4</f>
        <v>0.98104277196026479</v>
      </c>
      <c r="L137" s="9">
        <f t="shared" si="35"/>
        <v>0.5</v>
      </c>
      <c r="N137" s="7">
        <f>(Parameters!$B$19*(E137+Parameters!$B$20)^L137+Parameters!$B$18*F137^L137)^(1/L137)</f>
        <v>0.53557345695193315</v>
      </c>
      <c r="O137" s="7">
        <f>(Parameters!$B$10*G137^Parameters!$B$9 + Parameters!$B$11*N137^Parameters!$B$9) ^ (Parameters!$B$7/Parameters!$B$9) * K137</f>
        <v>1.5032605465060527</v>
      </c>
      <c r="P137" s="7">
        <f t="shared" si="34"/>
        <v>1.1453655728909293</v>
      </c>
      <c r="Q137" s="7">
        <f>EXP(-Parameters!$B$55*A137)</f>
        <v>0.13421664913913783</v>
      </c>
      <c r="R137" s="7">
        <f>IF(P137&gt;0,P137^(1-Parameters!$B$52)/(1-Parameters!$B$52)*Q137,-10+P137*1000)</f>
        <v>-0.36568563779368929</v>
      </c>
      <c r="S137" s="7"/>
      <c r="T137" s="7"/>
      <c r="U137" s="7"/>
      <c r="V137" s="7"/>
    </row>
    <row r="138" spans="1:22" x14ac:dyDescent="0.25">
      <c r="A138">
        <f>A137+Parameters!$B$65</f>
        <v>134</v>
      </c>
      <c r="B138" s="9">
        <f t="shared" si="33"/>
        <v>5.191758263687303E-2</v>
      </c>
      <c r="C138" s="9">
        <f t="shared" si="33"/>
        <v>1.0017548050425843E-2</v>
      </c>
      <c r="D138" s="7">
        <f t="shared" si="33"/>
        <v>0.2959598429278244</v>
      </c>
      <c r="E138" s="7">
        <f>MAX((1-Parameters!$B$4)^Parameters!B$65*E137+B137*Parameters!B$65-Parameters!$B$5*B137^2/E137*Parameters!B$65,0.0001)</f>
        <v>0.76973947265642018</v>
      </c>
      <c r="F138" s="9">
        <f>MAX((1-Parameters!$B$4)^Parameters!B$65*F137+C137*Parameters!B$65-Parameters!$B$5*C137^2/F137*Parameters!B$65,0.0001)</f>
        <v>0.14852194292715348</v>
      </c>
      <c r="G138" s="7">
        <f>MAX((1-Parameters!$B$4)^Parameters!B$65*G137+D137*Parameters!B$65-Parameters!$B$5*D137^2/G137*Parameters!B$65,0.0001)</f>
        <v>4.387903669774964</v>
      </c>
      <c r="I138" s="7">
        <f>I137*(1+Parameters!$B$51)^Parameters!B$65</f>
        <v>12.028535508838408</v>
      </c>
      <c r="J138" s="7">
        <f>J137*(1+Parameters!$B$53)^Parameters!B$65</f>
        <v>128.58661512145341</v>
      </c>
      <c r="K138" s="7">
        <f>'6states'!$O$4</f>
        <v>0.98104277196026479</v>
      </c>
      <c r="L138" s="9">
        <f t="shared" si="35"/>
        <v>0.5</v>
      </c>
      <c r="N138" s="7">
        <f>(Parameters!$B$19*(E138+Parameters!$B$20)^L138+Parameters!$B$18*F138^L138)^(1/L138)</f>
        <v>0.53557288781270018</v>
      </c>
      <c r="O138" s="7">
        <f>(Parameters!$B$10*G138^Parameters!$B$9 + Parameters!$B$11*N138^Parameters!$B$9) ^ (Parameters!$B$7/Parameters!$B$9) * K138</f>
        <v>1.5032603190087679</v>
      </c>
      <c r="P138" s="7">
        <f t="shared" si="34"/>
        <v>1.1453653453936448</v>
      </c>
      <c r="Q138" s="7">
        <f>EXP(-Parameters!$B$55*A138)</f>
        <v>0.13220520237919381</v>
      </c>
      <c r="R138" s="7">
        <f>IF(P138&gt;0,P138^(1-Parameters!$B$52)/(1-Parameters!$B$52)*Q138,-10+P138*1000)</f>
        <v>-0.36020529064519574</v>
      </c>
      <c r="S138" s="7"/>
      <c r="T138" s="7"/>
      <c r="U138" s="7"/>
      <c r="V138" s="7"/>
    </row>
    <row r="139" spans="1:22" x14ac:dyDescent="0.25">
      <c r="A139">
        <f>A138+Parameters!$B$65</f>
        <v>135</v>
      </c>
      <c r="B139" s="9">
        <f t="shared" si="33"/>
        <v>5.191758263687303E-2</v>
      </c>
      <c r="C139" s="9">
        <f t="shared" si="33"/>
        <v>1.0017548050425843E-2</v>
      </c>
      <c r="D139" s="7">
        <f t="shared" si="33"/>
        <v>0.2959598429278244</v>
      </c>
      <c r="E139" s="7">
        <f>MAX((1-Parameters!$B$4)^Parameters!B$65*E138+B138*Parameters!B$65-Parameters!$B$5*B138^2/E138*Parameters!B$65,0.0001)</f>
        <v>0.7697386922183399</v>
      </c>
      <c r="F139" s="9">
        <f>MAX((1-Parameters!$B$4)^Parameters!B$65*F138+C138*Parameters!B$65-Parameters!$B$5*C138^2/F138*Parameters!B$65,0.0001)</f>
        <v>0.14852179448566616</v>
      </c>
      <c r="G139" s="7">
        <f>MAX((1-Parameters!$B$4)^Parameters!B$65*G138+D138*Parameters!B$65-Parameters!$B$5*D138^2/G138*Parameters!B$65,0.0001)</f>
        <v>4.3879021677742447</v>
      </c>
      <c r="I139" s="7">
        <f>I138*(1+Parameters!$B$51)^Parameters!B$65</f>
        <v>12.063418261814038</v>
      </c>
      <c r="J139" s="7">
        <f>J138*(1+Parameters!$B$53)^Parameters!B$65</f>
        <v>131.15834742388247</v>
      </c>
      <c r="K139" s="7">
        <f>'6states'!$O$4</f>
        <v>0.98104277196026479</v>
      </c>
      <c r="L139" s="9">
        <f t="shared" si="35"/>
        <v>0.5</v>
      </c>
      <c r="N139" s="7">
        <f>(Parameters!$B$19*(E139+Parameters!$B$20)^L139+Parameters!$B$18*F139^L139)^(1/L139)</f>
        <v>0.53557235188316121</v>
      </c>
      <c r="O139" s="7">
        <f>(Parameters!$B$10*G139^Parameters!$B$9 + Parameters!$B$11*N139^Parameters!$B$9) ^ (Parameters!$B$7/Parameters!$B$9) * K139</f>
        <v>1.5032601047858678</v>
      </c>
      <c r="P139" s="7">
        <f t="shared" si="34"/>
        <v>1.1453651311707445</v>
      </c>
      <c r="Q139" s="7">
        <f>EXP(-Parameters!$B$55*A139)</f>
        <v>0.13022390030021183</v>
      </c>
      <c r="R139" s="7">
        <f>IF(P139&gt;0,P139^(1-Parameters!$B$52)/(1-Parameters!$B$52)*Q139,-10+P139*1000)</f>
        <v>-0.3548070732700907</v>
      </c>
      <c r="S139" s="7"/>
      <c r="T139" s="7"/>
      <c r="U139" s="7"/>
      <c r="V139" s="7"/>
    </row>
    <row r="140" spans="1:22" x14ac:dyDescent="0.25">
      <c r="A140">
        <f>A139+Parameters!$B$65</f>
        <v>136</v>
      </c>
      <c r="B140" s="9">
        <f t="shared" si="33"/>
        <v>5.191758263687303E-2</v>
      </c>
      <c r="C140" s="9">
        <f t="shared" si="33"/>
        <v>1.0017548050425843E-2</v>
      </c>
      <c r="D140" s="7">
        <f t="shared" si="33"/>
        <v>0.2959598429278244</v>
      </c>
      <c r="E140" s="7">
        <f>MAX((1-Parameters!$B$4)^Parameters!B$65*E139+B139*Parameters!B$65-Parameters!$B$5*B139^2/E139*Parameters!B$65,0.0001)</f>
        <v>0.76973795731939021</v>
      </c>
      <c r="F140" s="9">
        <f>MAX((1-Parameters!$B$4)^Parameters!B$65*F139+C139*Parameters!B$65-Parameters!$B$5*C139^2/F139*Parameters!B$65,0.0001)</f>
        <v>0.14852165470584747</v>
      </c>
      <c r="G140" s="7">
        <f>MAX((1-Parameters!$B$4)^Parameters!B$65*G139+D139*Parameters!B$65-Parameters!$B$5*D139^2/G139*Parameters!B$65,0.0001)</f>
        <v>4.3879007534162087</v>
      </c>
      <c r="I140" s="7">
        <f>I139*(1+Parameters!$B$51)^Parameters!B$65</f>
        <v>12.098402174773296</v>
      </c>
      <c r="J140" s="7">
        <f>J139*(1+Parameters!$B$53)^Parameters!B$65</f>
        <v>133.78151437236014</v>
      </c>
      <c r="K140" s="7">
        <f>'6states'!$O$4</f>
        <v>0.98104277196026479</v>
      </c>
      <c r="L140" s="9">
        <f t="shared" si="35"/>
        <v>0.5</v>
      </c>
      <c r="N140" s="7">
        <f>(Parameters!$B$19*(E140+Parameters!$B$20)^L140+Parameters!$B$18*F140^L140)^(1/L140)</f>
        <v>0.535571847225501</v>
      </c>
      <c r="O140" s="7">
        <f>(Parameters!$B$10*G140^Parameters!$B$9 + Parameters!$B$11*N140^Parameters!$B$9) ^ (Parameters!$B$7/Parameters!$B$9) * K140</f>
        <v>1.5032599030628084</v>
      </c>
      <c r="P140" s="7">
        <f t="shared" si="34"/>
        <v>1.1453649294476853</v>
      </c>
      <c r="Q140" s="7">
        <f>EXP(-Parameters!$B$55*A140)</f>
        <v>0.12827229113692101</v>
      </c>
      <c r="R140" s="7">
        <f>IF(P140&gt;0,P140^(1-Parameters!$B$52)/(1-Parameters!$B$52)*Q140,-10+P140*1000)</f>
        <v>-0.34948975495652995</v>
      </c>
      <c r="S140" s="7"/>
      <c r="T140" s="7"/>
      <c r="U140" s="7"/>
      <c r="V140" s="7"/>
    </row>
    <row r="141" spans="1:22" x14ac:dyDescent="0.25">
      <c r="A141">
        <f>A140+Parameters!$B$65</f>
        <v>137</v>
      </c>
      <c r="B141" s="9">
        <f t="shared" si="33"/>
        <v>5.191758263687303E-2</v>
      </c>
      <c r="C141" s="9">
        <f t="shared" si="33"/>
        <v>1.0017548050425843E-2</v>
      </c>
      <c r="D141" s="7">
        <f t="shared" si="33"/>
        <v>0.2959598429278244</v>
      </c>
      <c r="E141" s="7">
        <f>MAX((1-Parameters!$B$4)^Parameters!B$65*E140+B140*Parameters!B$65-Parameters!$B$5*B140^2/E140*Parameters!B$65,0.0001)</f>
        <v>0.76973726530232311</v>
      </c>
      <c r="F141" s="9">
        <f>MAX((1-Parameters!$B$4)^Parameters!B$65*F140+C140*Parameters!B$65-Parameters!$B$5*C140^2/F140*Parameters!B$65,0.0001)</f>
        <v>0.14852152308228148</v>
      </c>
      <c r="G141" s="7">
        <f>MAX((1-Parameters!$B$4)^Parameters!B$65*G140+D140*Parameters!B$65-Parameters!$B$5*D140^2/G140*Parameters!B$65,0.0001)</f>
        <v>4.3878994215868472</v>
      </c>
      <c r="I141" s="7">
        <f>I140*(1+Parameters!$B$51)^Parameters!B$65</f>
        <v>12.133487541080138</v>
      </c>
      <c r="J141" s="7">
        <f>J140*(1+Parameters!$B$53)^Parameters!B$65</f>
        <v>136.45714465980734</v>
      </c>
      <c r="K141" s="7">
        <f>'6states'!$O$4</f>
        <v>0.98104277196026479</v>
      </c>
      <c r="L141" s="9">
        <f t="shared" si="35"/>
        <v>0.5</v>
      </c>
      <c r="N141" s="7">
        <f>(Parameters!$B$19*(E141+Parameters!$B$20)^L141+Parameters!$B$18*F141^L141)^(1/L141)</f>
        <v>0.53557137201497851</v>
      </c>
      <c r="O141" s="7">
        <f>(Parameters!$B$10*G141^Parameters!$B$9 + Parameters!$B$11*N141^Parameters!$B$9) ^ (Parameters!$B$7/Parameters!$B$9) * K141</f>
        <v>1.5032597131102385</v>
      </c>
      <c r="P141" s="7">
        <f t="shared" si="34"/>
        <v>1.1453647394951152</v>
      </c>
      <c r="Q141" s="7">
        <f>EXP(-Parameters!$B$55*A141)</f>
        <v>0.12634992989446087</v>
      </c>
      <c r="R141" s="7">
        <f>IF(P141&gt;0,P141^(1-Parameters!$B$52)/(1-Parameters!$B$52)*Q141,-10+P141*1000)</f>
        <v>-0.34425212342728756</v>
      </c>
      <c r="S141" s="7"/>
      <c r="T141" s="7"/>
      <c r="U141" s="7"/>
      <c r="V141" s="7"/>
    </row>
    <row r="142" spans="1:22" x14ac:dyDescent="0.25">
      <c r="A142">
        <f>A141+Parameters!$B$65</f>
        <v>138</v>
      </c>
      <c r="B142" s="9">
        <f t="shared" si="33"/>
        <v>5.191758263687303E-2</v>
      </c>
      <c r="C142" s="9">
        <f t="shared" si="33"/>
        <v>1.0017548050425843E-2</v>
      </c>
      <c r="D142" s="7">
        <f t="shared" si="33"/>
        <v>0.2959598429278244</v>
      </c>
      <c r="E142" s="7">
        <f>MAX((1-Parameters!$B$4)^Parameters!B$65*E141+B141*Parameters!B$65-Parameters!$B$5*B141^2/E141*Parameters!B$65,0.0001)</f>
        <v>0.76973661366494395</v>
      </c>
      <c r="F142" s="9">
        <f>MAX((1-Parameters!$B$4)^Parameters!B$65*F141+C141*Parameters!B$65-Parameters!$B$5*C141^2/F141*Parameters!B$65,0.0001)</f>
        <v>0.14852139913904391</v>
      </c>
      <c r="G142" s="7">
        <f>MAX((1-Parameters!$B$4)^Parameters!B$65*G141+D141*Parameters!B$65-Parameters!$B$5*D141^2/G141*Parameters!B$65,0.0001)</f>
        <v>4.3878981674705564</v>
      </c>
      <c r="I142" s="7">
        <f>I141*(1+Parameters!$B$51)^Parameters!B$65</f>
        <v>12.168674654949269</v>
      </c>
      <c r="J142" s="7">
        <f>J141*(1+Parameters!$B$53)^Parameters!B$65</f>
        <v>139.1862875530035</v>
      </c>
      <c r="K142" s="7">
        <f>'6states'!$O$4</f>
        <v>0.98104277196026479</v>
      </c>
      <c r="L142" s="9">
        <f t="shared" si="35"/>
        <v>0.5</v>
      </c>
      <c r="N142" s="7">
        <f>(Parameters!$B$19*(E142+Parameters!$B$20)^L142+Parameters!$B$18*F142^L142)^(1/L142)</f>
        <v>0.53557092453332766</v>
      </c>
      <c r="O142" s="7">
        <f>(Parameters!$B$10*G142^Parameters!$B$9 + Parameters!$B$11*N142^Parameters!$B$9) ^ (Parameters!$B$7/Parameters!$B$9) * K142</f>
        <v>1.5032595342413622</v>
      </c>
      <c r="P142" s="7">
        <f t="shared" si="34"/>
        <v>1.145364560626239</v>
      </c>
      <c r="Q142" s="7">
        <f>EXP(-Parameters!$B$55*A142)</f>
        <v>0.12445637824691602</v>
      </c>
      <c r="R142" s="7">
        <f>IF(P142&gt;0,P142^(1-Parameters!$B$52)/(1-Parameters!$B$52)*Q142,-10+P142*1000)</f>
        <v>-0.33909298456417447</v>
      </c>
      <c r="S142" s="7"/>
      <c r="T142" s="7"/>
      <c r="U142" s="7"/>
      <c r="V142" s="7"/>
    </row>
    <row r="143" spans="1:22" x14ac:dyDescent="0.25">
      <c r="A143">
        <f>A142+Parameters!$B$65</f>
        <v>139</v>
      </c>
      <c r="B143" s="9">
        <f t="shared" si="33"/>
        <v>5.191758263687303E-2</v>
      </c>
      <c r="C143" s="9">
        <f t="shared" si="33"/>
        <v>1.0017548050425843E-2</v>
      </c>
      <c r="D143" s="7">
        <f t="shared" si="33"/>
        <v>0.2959598429278244</v>
      </c>
      <c r="E143" s="7">
        <f>MAX((1-Parameters!$B$4)^Parameters!B$65*E142+B142*Parameters!B$65-Parameters!$B$5*B142^2/E142*Parameters!B$65,0.0001)</f>
        <v>0.76973600005106413</v>
      </c>
      <c r="F143" s="9">
        <f>MAX((1-Parameters!$B$4)^Parameters!B$65*F142+C142*Parameters!B$65-Parameters!$B$5*C142^2/F142*Parameters!B$65,0.0001)</f>
        <v>0.14852128242798121</v>
      </c>
      <c r="G143" s="7">
        <f>MAX((1-Parameters!$B$4)^Parameters!B$65*G142+D142*Parameters!B$65-Parameters!$B$5*D142^2/G142*Parameters!B$65,0.0001)</f>
        <v>4.3878969865327262</v>
      </c>
      <c r="I143" s="7">
        <f>I142*(1+Parameters!$B$51)^Parameters!B$65</f>
        <v>12.20396381144862</v>
      </c>
      <c r="J143" s="7">
        <f>J142*(1+Parameters!$B$53)^Parameters!B$65</f>
        <v>141.97001330406357</v>
      </c>
      <c r="K143" s="7">
        <f>'6states'!$O$4</f>
        <v>0.98104277196026479</v>
      </c>
      <c r="L143" s="9">
        <f t="shared" si="35"/>
        <v>0.5</v>
      </c>
      <c r="N143" s="7">
        <f>(Parameters!$B$19*(E143+Parameters!$B$20)^L143+Parameters!$B$18*F143^L143)^(1/L143)</f>
        <v>0.53557050316254551</v>
      </c>
      <c r="O143" s="7">
        <f>(Parameters!$B$10*G143^Parameters!$B$9 + Parameters!$B$11*N143^Parameters!$B$9) ^ (Parameters!$B$7/Parameters!$B$9) * K143</f>
        <v>1.5032593658094557</v>
      </c>
      <c r="P143" s="7">
        <f t="shared" si="34"/>
        <v>1.1453643921943324</v>
      </c>
      <c r="Q143" s="7">
        <f>EXP(-Parameters!$B$55*A143)</f>
        <v>0.12259120443737162</v>
      </c>
      <c r="R143" s="7">
        <f>IF(P143&gt;0,P143^(1-Parameters!$B$52)/(1-Parameters!$B$52)*Q143,-10+P143*1000)</f>
        <v>-0.33401116213653687</v>
      </c>
      <c r="S143" s="7"/>
      <c r="T143" s="7"/>
      <c r="U143" s="7"/>
      <c r="V143" s="7"/>
    </row>
    <row r="144" spans="1:22" x14ac:dyDescent="0.25">
      <c r="A144">
        <f>A143+Parameters!$B$65</f>
        <v>140</v>
      </c>
      <c r="B144" s="9">
        <f t="shared" ref="B144:D159" si="36">B143</f>
        <v>5.191758263687303E-2</v>
      </c>
      <c r="C144" s="9">
        <f t="shared" si="36"/>
        <v>1.0017548050425843E-2</v>
      </c>
      <c r="D144" s="7">
        <f t="shared" si="36"/>
        <v>0.2959598429278244</v>
      </c>
      <c r="E144" s="7">
        <f>MAX((1-Parameters!$B$4)^Parameters!B$65*E143+B143*Parameters!B$65-Parameters!$B$5*B143^2/E143*Parameters!B$65,0.0001)</f>
        <v>0.7697354222419811</v>
      </c>
      <c r="F144" s="9">
        <f>MAX((1-Parameters!$B$4)^Parameters!B$65*F143+C143*Parameters!B$65-Parameters!$B$5*C143^2/F143*Parameters!B$65,0.0001)</f>
        <v>0.14852117252708999</v>
      </c>
      <c r="G144" s="7">
        <f>MAX((1-Parameters!$B$4)^Parameters!B$65*G143+D143*Parameters!B$65-Parameters!$B$5*D143^2/G143*Parameters!B$65,0.0001)</f>
        <v>4.3878958745033456</v>
      </c>
      <c r="I144" s="7">
        <f>I143*(1+Parameters!$B$51)^Parameters!B$65</f>
        <v>12.239355306501819</v>
      </c>
      <c r="J144" s="7">
        <f>J143*(1+Parameters!$B$53)^Parameters!B$65</f>
        <v>144.80941357014484</v>
      </c>
      <c r="K144" s="7">
        <f>'6states'!$O$4</f>
        <v>0.98104277196026479</v>
      </c>
      <c r="L144" s="9">
        <f t="shared" si="35"/>
        <v>0.5</v>
      </c>
      <c r="N144" s="7">
        <f>(Parameters!$B$19*(E144+Parameters!$B$20)^L144+Parameters!$B$18*F144^L144)^(1/L144)</f>
        <v>0.53557010637904168</v>
      </c>
      <c r="O144" s="7">
        <f>(Parameters!$B$10*G144^Parameters!$B$9 + Parameters!$B$11*N144^Parameters!$B$9) ^ (Parameters!$B$7/Parameters!$B$9) * K144</f>
        <v>1.5032592072055315</v>
      </c>
      <c r="P144" s="7">
        <f t="shared" si="34"/>
        <v>1.1453642335904082</v>
      </c>
      <c r="Q144" s="7">
        <f>EXP(-Parameters!$B$55*A144)</f>
        <v>0.12075398317946676</v>
      </c>
      <c r="R144" s="7">
        <f>IF(P144&gt;0,P144^(1-Parameters!$B$52)/(1-Parameters!$B$52)*Q144,-10+P144*1000)</f>
        <v>-0.329005497533778</v>
      </c>
      <c r="S144" s="7"/>
      <c r="T144" s="7"/>
      <c r="U144" s="7"/>
      <c r="V144" s="7"/>
    </row>
    <row r="145" spans="1:22" x14ac:dyDescent="0.25">
      <c r="A145">
        <f>A144+Parameters!$B$65</f>
        <v>141</v>
      </c>
      <c r="B145" s="9">
        <f t="shared" si="36"/>
        <v>5.191758263687303E-2</v>
      </c>
      <c r="C145" s="9">
        <f t="shared" si="36"/>
        <v>1.0017548050425843E-2</v>
      </c>
      <c r="D145" s="7">
        <f t="shared" si="36"/>
        <v>0.2959598429278244</v>
      </c>
      <c r="E145" s="7">
        <f>MAX((1-Parameters!$B$4)^Parameters!B$65*E144+B144*Parameters!B$65-Parameters!$B$5*B144^2/E144*Parameters!B$65,0.0001)</f>
        <v>0.76973487814845609</v>
      </c>
      <c r="F145" s="9">
        <f>MAX((1-Parameters!$B$4)^Parameters!B$65*F144+C144*Parameters!B$65-Parameters!$B$5*C144^2/F144*Parameters!B$65,0.0001)</f>
        <v>0.14852106903899132</v>
      </c>
      <c r="G145" s="7">
        <f>MAX((1-Parameters!$B$4)^Parameters!B$65*G144+D144*Parameters!B$65-Parameters!$B$5*D144^2/G144*Parameters!B$65,0.0001)</f>
        <v>4.3878948273615617</v>
      </c>
      <c r="I145" s="7">
        <f>I144*(1+Parameters!$B$51)^Parameters!B$65</f>
        <v>12.274849436890673</v>
      </c>
      <c r="J145" s="7">
        <f>J144*(1+Parameters!$B$53)^Parameters!B$65</f>
        <v>147.70560184154775</v>
      </c>
      <c r="K145" s="7">
        <f>'6states'!$O$4</f>
        <v>0.98104277196026479</v>
      </c>
      <c r="L145" s="9">
        <f t="shared" si="35"/>
        <v>0.5</v>
      </c>
      <c r="N145" s="7">
        <f>(Parameters!$B$19*(E145+Parameters!$B$20)^L145+Parameters!$B$18*F145^L145)^(1/L145)</f>
        <v>0.53556973274812869</v>
      </c>
      <c r="O145" s="7">
        <f>(Parameters!$B$10*G145^Parameters!$B$9 + Parameters!$B$11*N145^Parameters!$B$9) ^ (Parameters!$B$7/Parameters!$B$9) * K145</f>
        <v>1.5032590578561342</v>
      </c>
      <c r="P145" s="7">
        <f t="shared" si="34"/>
        <v>1.1453640842410109</v>
      </c>
      <c r="Q145" s="7">
        <f>EXP(-Parameters!$B$55*A145)</f>
        <v>0.11894429556042277</v>
      </c>
      <c r="R145" s="7">
        <f>IF(P145&gt;0,P145^(1-Parameters!$B$52)/(1-Parameters!$B$52)*Q145,-10+P145*1000)</f>
        <v>-0.32407484950184423</v>
      </c>
      <c r="S145" s="7"/>
      <c r="T145" s="7"/>
      <c r="U145" s="7"/>
      <c r="V145" s="7"/>
    </row>
    <row r="146" spans="1:22" x14ac:dyDescent="0.25">
      <c r="A146">
        <f>A145+Parameters!$B$65</f>
        <v>142</v>
      </c>
      <c r="B146" s="9">
        <f t="shared" si="36"/>
        <v>5.191758263687303E-2</v>
      </c>
      <c r="C146" s="9">
        <f t="shared" si="36"/>
        <v>1.0017548050425843E-2</v>
      </c>
      <c r="D146" s="7">
        <f t="shared" si="36"/>
        <v>0.2959598429278244</v>
      </c>
      <c r="E146" s="7">
        <f>MAX((1-Parameters!$B$4)^Parameters!B$65*E145+B145*Parameters!B$65-Parameters!$B$5*B145^2/E145*Parameters!B$65,0.0001)</f>
        <v>0.76973436580315935</v>
      </c>
      <c r="F146" s="9">
        <f>MAX((1-Parameters!$B$4)^Parameters!B$65*F145+C145*Parameters!B$65-Parameters!$B$5*C145^2/F145*Parameters!B$65,0.0001)</f>
        <v>0.14852097158949362</v>
      </c>
      <c r="G146" s="7">
        <f>MAX((1-Parameters!$B$4)^Parameters!B$65*G145+D145*Parameters!B$65-Parameters!$B$5*D145^2/G145*Parameters!B$65,0.0001)</f>
        <v>4.3878938413211408</v>
      </c>
      <c r="I146" s="7">
        <f>I145*(1+Parameters!$B$51)^Parameters!B$65</f>
        <v>12.310446500257655</v>
      </c>
      <c r="J146" s="7">
        <f>J145*(1+Parameters!$B$53)^Parameters!B$65</f>
        <v>150.65971387837871</v>
      </c>
      <c r="K146" s="7">
        <f>'6states'!$O$4</f>
        <v>0.98104277196026479</v>
      </c>
      <c r="L146" s="9">
        <f t="shared" si="35"/>
        <v>0.5</v>
      </c>
      <c r="N146" s="7">
        <f>(Parameters!$B$19*(E146+Parameters!$B$20)^L146+Parameters!$B$18*F146^L146)^(1/L146)</f>
        <v>0.5355693809188341</v>
      </c>
      <c r="O146" s="7">
        <f>(Parameters!$B$10*G146^Parameters!$B$9 + Parameters!$B$11*N146^Parameters!$B$9) ^ (Parameters!$B$7/Parameters!$B$9) * K146</f>
        <v>1.5032589172212683</v>
      </c>
      <c r="P146" s="7">
        <f t="shared" si="34"/>
        <v>1.1453639436061449</v>
      </c>
      <c r="Q146" s="7">
        <f>EXP(-Parameters!$B$55*A146)</f>
        <v>0.11716172894552528</v>
      </c>
      <c r="R146" s="7">
        <f>IF(P146&gt;0,P146^(1-Parameters!$B$52)/(1-Parameters!$B$52)*Q146,-10+P146*1000)</f>
        <v>-0.31921809388362088</v>
      </c>
      <c r="S146" s="7"/>
      <c r="T146" s="7"/>
      <c r="U146" s="7"/>
      <c r="V146" s="7"/>
    </row>
    <row r="147" spans="1:22" x14ac:dyDescent="0.25">
      <c r="A147">
        <f>A146+Parameters!$B$65</f>
        <v>143</v>
      </c>
      <c r="B147" s="9">
        <f t="shared" si="36"/>
        <v>5.191758263687303E-2</v>
      </c>
      <c r="C147" s="9">
        <f t="shared" si="36"/>
        <v>1.0017548050425843E-2</v>
      </c>
      <c r="D147" s="7">
        <f t="shared" si="36"/>
        <v>0.2959598429278244</v>
      </c>
      <c r="E147" s="7">
        <f>MAX((1-Parameters!$B$4)^Parameters!B$65*E146+B146*Parameters!B$65-Parameters!$B$5*B146^2/E146*Parameters!B$65,0.0001)</f>
        <v>0.76973388335355686</v>
      </c>
      <c r="F147" s="9">
        <f>MAX((1-Parameters!$B$4)^Parameters!B$65*F146+C146*Parameters!B$65-Parameters!$B$5*C146^2/F146*Parameters!B$65,0.0001)</f>
        <v>0.14852087982623985</v>
      </c>
      <c r="G147" s="7">
        <f>MAX((1-Parameters!$B$4)^Parameters!B$65*G146+D146*Parameters!B$65-Parameters!$B$5*D146^2/G146*Parameters!B$65,0.0001)</f>
        <v>4.3878929128167794</v>
      </c>
      <c r="I147" s="7">
        <f>I146*(1+Parameters!$B$51)^Parameters!B$65</f>
        <v>12.346146795108401</v>
      </c>
      <c r="J147" s="7">
        <f>J146*(1+Parameters!$B$53)^Parameters!B$65</f>
        <v>153.67290815594629</v>
      </c>
      <c r="K147" s="7">
        <f>'6states'!$O$4</f>
        <v>0.98104277196026479</v>
      </c>
      <c r="L147" s="9">
        <f t="shared" si="35"/>
        <v>0.5</v>
      </c>
      <c r="N147" s="7">
        <f>(Parameters!$B$19*(E147+Parameters!$B$20)^L147+Parameters!$B$18*F147^L147)^(1/L147)</f>
        <v>0.53556904961901663</v>
      </c>
      <c r="O147" s="7">
        <f>(Parameters!$B$10*G147^Parameters!$B$9 + Parameters!$B$11*N147^Parameters!$B$9) ^ (Parameters!$B$7/Parameters!$B$9) * K147</f>
        <v>1.5032587847924466</v>
      </c>
      <c r="P147" s="7">
        <f t="shared" si="34"/>
        <v>1.1453638111773232</v>
      </c>
      <c r="Q147" s="7">
        <f>EXP(-Parameters!$B$55*A147)</f>
        <v>0.11540587688403768</v>
      </c>
      <c r="R147" s="7">
        <f>IF(P147&gt;0,P147^(1-Parameters!$B$52)/(1-Parameters!$B$52)*Q147,-10+P147*1000)</f>
        <v>-0.31443412336318272</v>
      </c>
      <c r="S147" s="7"/>
      <c r="T147" s="7"/>
      <c r="U147" s="7"/>
      <c r="V147" s="7"/>
    </row>
    <row r="148" spans="1:22" x14ac:dyDescent="0.25">
      <c r="A148">
        <f>A147+Parameters!$B$65</f>
        <v>144</v>
      </c>
      <c r="B148" s="9">
        <f t="shared" si="36"/>
        <v>5.191758263687303E-2</v>
      </c>
      <c r="C148" s="9">
        <f t="shared" si="36"/>
        <v>1.0017548050425843E-2</v>
      </c>
      <c r="D148" s="7">
        <f t="shared" si="36"/>
        <v>0.2959598429278244</v>
      </c>
      <c r="E148" s="7">
        <f>MAX((1-Parameters!$B$4)^Parameters!B$65*E147+B147*Parameters!B$65-Parameters!$B$5*B147^2/E147*Parameters!B$65,0.0001)</f>
        <v>0.76973342905521192</v>
      </c>
      <c r="F148" s="9">
        <f>MAX((1-Parameters!$B$4)^Parameters!B$65*F147+C147*Parameters!B$65-Parameters!$B$5*C147^2/F147*Parameters!B$65,0.0001)</f>
        <v>0.14852079341743327</v>
      </c>
      <c r="G148" s="7">
        <f>MAX((1-Parameters!$B$4)^Parameters!B$65*G147+D147*Parameters!B$65-Parameters!$B$5*D147^2/G147*Parameters!B$65,0.0001)</f>
        <v>4.387892038491211</v>
      </c>
      <c r="I148" s="7">
        <f>I147*(1+Parameters!$B$51)^Parameters!B$65</f>
        <v>12.381950620814214</v>
      </c>
      <c r="J148" s="7">
        <f>J147*(1+Parameters!$B$53)^Parameters!B$65</f>
        <v>156.7463663190652</v>
      </c>
      <c r="K148" s="7">
        <f>'6states'!$O$4</f>
        <v>0.98104277196026479</v>
      </c>
      <c r="L148" s="9">
        <f t="shared" si="35"/>
        <v>0.5</v>
      </c>
      <c r="N148" s="7">
        <f>(Parameters!$B$19*(E148+Parameters!$B$20)^L148+Parameters!$B$18*F148^L148)^(1/L148)</f>
        <v>0.53556873765076518</v>
      </c>
      <c r="O148" s="7">
        <f>(Parameters!$B$10*G148^Parameters!$B$9 + Parameters!$B$11*N148^Parameters!$B$9) ^ (Parameters!$B$7/Parameters!$B$9) * K148</f>
        <v>1.5032586600908504</v>
      </c>
      <c r="P148" s="7">
        <f t="shared" si="34"/>
        <v>1.1453636864757271</v>
      </c>
      <c r="Q148" s="7">
        <f>EXP(-Parameters!$B$55*A148)</f>
        <v>0.11367633901652432</v>
      </c>
      <c r="R148" s="7">
        <f>IF(P148&gt;0,P148^(1-Parameters!$B$52)/(1-Parameters!$B$52)*Q148,-10+P148*1000)</f>
        <v>-0.30972184721384077</v>
      </c>
      <c r="S148" s="7"/>
      <c r="T148" s="7"/>
      <c r="U148" s="7"/>
      <c r="V148" s="7"/>
    </row>
    <row r="149" spans="1:22" x14ac:dyDescent="0.25">
      <c r="A149">
        <f>A148+Parameters!$B$65</f>
        <v>145</v>
      </c>
      <c r="B149" s="9">
        <f t="shared" si="36"/>
        <v>5.191758263687303E-2</v>
      </c>
      <c r="C149" s="9">
        <f t="shared" si="36"/>
        <v>1.0017548050425843E-2</v>
      </c>
      <c r="D149" s="7">
        <f t="shared" si="36"/>
        <v>0.2959598429278244</v>
      </c>
      <c r="E149" s="7">
        <f>MAX((1-Parameters!$B$4)^Parameters!B$65*E148+B148*Parameters!B$65-Parameters!$B$5*B148^2/E148*Parameters!B$65,0.0001)</f>
        <v>0.76973300126547728</v>
      </c>
      <c r="F149" s="9">
        <f>MAX((1-Parameters!$B$4)^Parameters!B$65*F148+C148*Parameters!B$65-Parameters!$B$5*C148^2/F148*Parameters!B$65,0.0001)</f>
        <v>0.14852071205063785</v>
      </c>
      <c r="G149" s="7">
        <f>MAX((1-Parameters!$B$4)^Parameters!B$65*G148+D148*Parameters!B$65-Parameters!$B$5*D148^2/G148*Parameters!B$65,0.0001)</f>
        <v>4.3878912151830685</v>
      </c>
      <c r="I149" s="7">
        <f>I148*(1+Parameters!$B$51)^Parameters!B$65</f>
        <v>12.417858277614574</v>
      </c>
      <c r="J149" s="7">
        <f>J148*(1+Parameters!$B$53)^Parameters!B$65</f>
        <v>159.8812936454465</v>
      </c>
      <c r="K149" s="7">
        <f>'6states'!$O$4</f>
        <v>0.98104277196026479</v>
      </c>
      <c r="L149" s="9">
        <f t="shared" si="35"/>
        <v>0.5</v>
      </c>
      <c r="N149" s="7">
        <f>(Parameters!$B$19*(E149+Parameters!$B$20)^L149+Parameters!$B$18*F149^L149)^(1/L149)</f>
        <v>0.53556844388606861</v>
      </c>
      <c r="O149" s="7">
        <f>(Parameters!$B$10*G149^Parameters!$B$9 + Parameters!$B$11*N149^Parameters!$B$9) ^ (Parameters!$B$7/Parameters!$B$9) * K149</f>
        <v>1.5032585426656002</v>
      </c>
      <c r="P149" s="7">
        <f t="shared" si="34"/>
        <v>1.1453635690504771</v>
      </c>
      <c r="Q149" s="7">
        <f>EXP(-Parameters!$B$55*A149)</f>
        <v>0.11197272098356298</v>
      </c>
      <c r="R149" s="7">
        <f>IF(P149&gt;0,P149^(1-Parameters!$B$52)/(1-Parameters!$B$52)*Q149,-10+P149*1000)</f>
        <v>-0.305080191049935</v>
      </c>
      <c r="S149" s="7"/>
      <c r="T149" s="7"/>
      <c r="U149" s="7"/>
      <c r="V149" s="7"/>
    </row>
    <row r="150" spans="1:22" x14ac:dyDescent="0.25">
      <c r="A150">
        <f>A149+Parameters!$B$65</f>
        <v>146</v>
      </c>
      <c r="B150" s="9">
        <f t="shared" si="36"/>
        <v>5.191758263687303E-2</v>
      </c>
      <c r="C150" s="9">
        <f t="shared" si="36"/>
        <v>1.0017548050425843E-2</v>
      </c>
      <c r="D150" s="7">
        <f t="shared" si="36"/>
        <v>0.2959598429278244</v>
      </c>
      <c r="E150" s="7">
        <f>MAX((1-Parameters!$B$4)^Parameters!B$65*E149+B149*Parameters!B$65-Parameters!$B$5*B149^2/E149*Parameters!B$65,0.0001)</f>
        <v>0.7697325984375557</v>
      </c>
      <c r="F150" s="9">
        <f>MAX((1-Parameters!$B$4)^Parameters!B$65*F149+C149*Parameters!B$65-Parameters!$B$5*C149^2/F149*Parameters!B$65,0.0001)</f>
        <v>0.14852063543164851</v>
      </c>
      <c r="G150" s="7">
        <f>MAX((1-Parameters!$B$4)^Parameters!B$65*G149+D149*Parameters!B$65-Parameters!$B$5*D149^2/G149*Parameters!B$65,0.0001)</f>
        <v>4.387890439915453</v>
      </c>
      <c r="I150" s="7">
        <f>I149*(1+Parameters!$B$51)^Parameters!B$65</f>
        <v>12.453870066619654</v>
      </c>
      <c r="J150" s="7">
        <f>J149*(1+Parameters!$B$53)^Parameters!B$65</f>
        <v>163.07891951835543</v>
      </c>
      <c r="K150" s="7">
        <f>'6states'!$O$4</f>
        <v>0.98104277196026479</v>
      </c>
      <c r="L150" s="9">
        <f t="shared" si="35"/>
        <v>0.5</v>
      </c>
      <c r="N150" s="7">
        <f>(Parameters!$B$19*(E150+Parameters!$B$20)^L150+Parameters!$B$18*F150^L150)^(1/L150)</f>
        <v>0.53556816726273548</v>
      </c>
      <c r="O150" s="7">
        <f>(Parameters!$B$10*G150^Parameters!$B$9 + Parameters!$B$11*N150^Parameters!$B$9) ^ (Parameters!$B$7/Parameters!$B$9) * K150</f>
        <v>1.5032584320921243</v>
      </c>
      <c r="P150" s="7">
        <f t="shared" si="34"/>
        <v>1.1453634584770009</v>
      </c>
      <c r="Q150" s="7">
        <f>EXP(-Parameters!$B$55*A150)</f>
        <v>0.11029463433582516</v>
      </c>
      <c r="R150" s="7">
        <f>IF(P150&gt;0,P150^(1-Parameters!$B$52)/(1-Parameters!$B$52)*Q150,-10+P150*1000)</f>
        <v>-0.30050809658231653</v>
      </c>
      <c r="S150" s="7"/>
      <c r="T150" s="7"/>
      <c r="U150" s="7"/>
      <c r="V150" s="7"/>
    </row>
    <row r="151" spans="1:22" x14ac:dyDescent="0.25">
      <c r="A151">
        <f>A150+Parameters!$B$65</f>
        <v>147</v>
      </c>
      <c r="B151" s="9">
        <f t="shared" si="36"/>
        <v>5.191758263687303E-2</v>
      </c>
      <c r="C151" s="9">
        <f t="shared" si="36"/>
        <v>1.0017548050425843E-2</v>
      </c>
      <c r="D151" s="7">
        <f t="shared" si="36"/>
        <v>0.2959598429278244</v>
      </c>
      <c r="E151" s="7">
        <f>MAX((1-Parameters!$B$4)^Parameters!B$65*E150+B150*Parameters!B$65-Parameters!$B$5*B150^2/E150*Parameters!B$65,0.0001)</f>
        <v>0.76973221911490686</v>
      </c>
      <c r="F151" s="9">
        <f>MAX((1-Parameters!$B$4)^Parameters!B$65*F150+C150*Parameters!B$65-Parameters!$B$5*C150^2/F150*Parameters!B$65,0.0001)</f>
        <v>0.14852056328342722</v>
      </c>
      <c r="G151" s="7">
        <f>MAX((1-Parameters!$B$4)^Parameters!B$65*G150+D150*Parameters!B$65-Parameters!$B$5*D150^2/G150*Parameters!B$65,0.0001)</f>
        <v>4.3878897098851697</v>
      </c>
      <c r="I151" s="7">
        <f>I150*(1+Parameters!$B$51)^Parameters!B$65</f>
        <v>12.489986289812849</v>
      </c>
      <c r="J151" s="7">
        <f>J150*(1+Parameters!$B$53)^Parameters!B$65</f>
        <v>166.34049790872254</v>
      </c>
      <c r="K151" s="7">
        <f>'6states'!$O$4</f>
        <v>0.98104277196026479</v>
      </c>
      <c r="L151" s="9">
        <f t="shared" si="35"/>
        <v>0.5</v>
      </c>
      <c r="N151" s="7">
        <f>(Parameters!$B$19*(E151+Parameters!$B$20)^L151+Parameters!$B$18*F151^L151)^(1/L151)</f>
        <v>0.53556790678055499</v>
      </c>
      <c r="O151" s="7">
        <f>(Parameters!$B$10*G151^Parameters!$B$9 + Parameters!$B$11*N151^Parameters!$B$9) ^ (Parameters!$B$7/Parameters!$B$9) * K151</f>
        <v>1.5032583279706242</v>
      </c>
      <c r="P151" s="7">
        <f t="shared" si="34"/>
        <v>1.1453633543555011</v>
      </c>
      <c r="Q151" s="7">
        <f>EXP(-Parameters!$B$55*A151)</f>
        <v>0.1086416964455041</v>
      </c>
      <c r="R151" s="7">
        <f>IF(P151&gt;0,P151^(1-Parameters!$B$52)/(1-Parameters!$B$52)*Q151,-10+P151*1000)</f>
        <v>-0.29600452137746663</v>
      </c>
      <c r="S151" s="7"/>
      <c r="T151" s="7"/>
      <c r="U151" s="7"/>
      <c r="V151" s="7"/>
    </row>
    <row r="152" spans="1:22" x14ac:dyDescent="0.25">
      <c r="A152">
        <f>A151+Parameters!$B$65</f>
        <v>148</v>
      </c>
      <c r="B152" s="9">
        <f t="shared" si="36"/>
        <v>5.191758263687303E-2</v>
      </c>
      <c r="C152" s="9">
        <f t="shared" si="36"/>
        <v>1.0017548050425843E-2</v>
      </c>
      <c r="D152" s="7">
        <f t="shared" si="36"/>
        <v>0.2959598429278244</v>
      </c>
      <c r="E152" s="7">
        <f>MAX((1-Parameters!$B$4)^Parameters!B$65*E151+B151*Parameters!B$65-Parameters!$B$5*B151^2/E151*Parameters!B$65,0.0001)</f>
        <v>0.76973186192598109</v>
      </c>
      <c r="F152" s="9">
        <f>MAX((1-Parameters!$B$4)^Parameters!B$65*F151+C151*Parameters!B$65-Parameters!$B$5*C151^2/F151*Parameters!B$65,0.0001)</f>
        <v>0.14852049534510142</v>
      </c>
      <c r="G152" s="7">
        <f>MAX((1-Parameters!$B$4)^Parameters!B$65*G151+D151*Parameters!B$65-Parameters!$B$5*D151^2/G151*Parameters!B$65,0.0001)</f>
        <v>4.3878890224525913</v>
      </c>
      <c r="I152" s="7">
        <f>I151*(1+Parameters!$B$51)^Parameters!B$65</f>
        <v>12.526207250053305</v>
      </c>
      <c r="J152" s="7">
        <f>J151*(1+Parameters!$B$53)^Parameters!B$65</f>
        <v>169.667307866897</v>
      </c>
      <c r="K152" s="7">
        <f>'6states'!$O$4</f>
        <v>0.98104277196026479</v>
      </c>
      <c r="L152" s="9">
        <f t="shared" si="35"/>
        <v>0.5</v>
      </c>
      <c r="N152" s="7">
        <f>(Parameters!$B$19*(E152+Parameters!$B$20)^L152+Parameters!$B$18*F152^L152)^(1/L152)</f>
        <v>0.53556766149767876</v>
      </c>
      <c r="O152" s="7">
        <f>(Parameters!$B$10*G152^Parameters!$B$9 + Parameters!$B$11*N152^Parameters!$B$9) ^ (Parameters!$B$7/Parameters!$B$9) * K152</f>
        <v>1.5032582299246289</v>
      </c>
      <c r="P152" s="7">
        <f t="shared" si="34"/>
        <v>1.1453632563095058</v>
      </c>
      <c r="Q152" s="7">
        <f>EXP(-Parameters!$B$55*A152)</f>
        <v>0.10701353041907032</v>
      </c>
      <c r="R152" s="7">
        <f>IF(P152&gt;0,P152^(1-Parameters!$B$52)/(1-Parameters!$B$52)*Q152,-10+P152*1000)</f>
        <v>-0.29156843862020154</v>
      </c>
      <c r="S152" s="7"/>
      <c r="T152" s="7"/>
      <c r="U152" s="7"/>
      <c r="V152" s="7"/>
    </row>
    <row r="153" spans="1:22" x14ac:dyDescent="0.25">
      <c r="A153">
        <f>A152+Parameters!$B$65</f>
        <v>149</v>
      </c>
      <c r="B153" s="9">
        <f t="shared" si="36"/>
        <v>5.191758263687303E-2</v>
      </c>
      <c r="C153" s="9">
        <f t="shared" si="36"/>
        <v>1.0017548050425843E-2</v>
      </c>
      <c r="D153" s="7">
        <f t="shared" si="36"/>
        <v>0.2959598429278244</v>
      </c>
      <c r="E153" s="7">
        <f>MAX((1-Parameters!$B$4)^Parameters!B$65*E152+B152*Parameters!B$65-Parameters!$B$5*B152^2/E152*Parameters!B$65,0.0001)</f>
        <v>0.7697315255792595</v>
      </c>
      <c r="F153" s="9">
        <f>MAX((1-Parameters!$B$4)^Parameters!B$65*F152+C152*Parameters!B$65-Parameters!$B$5*C152^2/F152*Parameters!B$65,0.0001)</f>
        <v>0.14852043137102072</v>
      </c>
      <c r="G153" s="7">
        <f>MAX((1-Parameters!$B$4)^Parameters!B$65*G152+D152*Parameters!B$65-Parameters!$B$5*D152^2/G152*Parameters!B$65,0.0001)</f>
        <v>4.3878883751321158</v>
      </c>
      <c r="I153" s="7">
        <f>I152*(1+Parameters!$B$51)^Parameters!B$65</f>
        <v>12.56253325107846</v>
      </c>
      <c r="J153" s="7">
        <f>J152*(1+Parameters!$B$53)^Parameters!B$65</f>
        <v>173.06065402423494</v>
      </c>
      <c r="K153" s="7">
        <f>'6states'!$O$4</f>
        <v>0.98104277196026479</v>
      </c>
      <c r="L153" s="9">
        <f t="shared" si="35"/>
        <v>0.5</v>
      </c>
      <c r="N153" s="7">
        <f>(Parameters!$B$19*(E153+Parameters!$B$20)^L153+Parameters!$B$18*F153^L153)^(1/L153)</f>
        <v>0.53556743052721656</v>
      </c>
      <c r="O153" s="7">
        <f>(Parameters!$B$10*G153^Parameters!$B$9 + Parameters!$B$11*N153^Parameters!$B$9) ^ (Parameters!$B$7/Parameters!$B$9) * K153</f>
        <v>1.5032581375996341</v>
      </c>
      <c r="P153" s="7">
        <f t="shared" si="34"/>
        <v>1.145363163984511</v>
      </c>
      <c r="Q153" s="7">
        <f>EXP(-Parameters!$B$55*A153)</f>
        <v>0.10540976501133419</v>
      </c>
      <c r="R153" s="7">
        <f>IF(P153&gt;0,P153^(1-Parameters!$B$52)/(1-Parameters!$B$52)*Q153,-10+P153*1000)</f>
        <v>-0.28719883687990794</v>
      </c>
      <c r="S153" s="7"/>
      <c r="T153" s="7"/>
      <c r="U153" s="7"/>
      <c r="V153" s="7"/>
    </row>
    <row r="154" spans="1:22" x14ac:dyDescent="0.25">
      <c r="A154">
        <f>A153+Parameters!$B$65</f>
        <v>150</v>
      </c>
      <c r="B154" s="9">
        <f t="shared" si="36"/>
        <v>5.191758263687303E-2</v>
      </c>
      <c r="C154" s="9">
        <f t="shared" si="36"/>
        <v>1.0017548050425843E-2</v>
      </c>
      <c r="D154" s="7">
        <f t="shared" si="36"/>
        <v>0.2959598429278244</v>
      </c>
      <c r="E154" s="7">
        <f>MAX((1-Parameters!$B$4)^Parameters!B$65*E153+B153*Parameters!B$65-Parameters!$B$5*B153^2/E153*Parameters!B$65,0.0001)</f>
        <v>0.76973120885858481</v>
      </c>
      <c r="F154" s="9">
        <f>MAX((1-Parameters!$B$4)^Parameters!B$65*F153+C153*Parameters!B$65-Parameters!$B$5*C153^2/F153*Parameters!B$65,0.0001)</f>
        <v>0.1485203711298686</v>
      </c>
      <c r="G154" s="7">
        <f>MAX((1-Parameters!$B$4)^Parameters!B$65*G153+D153*Parameters!B$65-Parameters!$B$5*D153^2/G153*Parameters!B$65,0.0001)</f>
        <v>4.3878877655831765</v>
      </c>
      <c r="I154" s="7">
        <f>I153*(1+Parameters!$B$51)^Parameters!B$65</f>
        <v>12.598964597506585</v>
      </c>
      <c r="J154" s="7">
        <f>J153*(1+Parameters!$B$53)^Parameters!B$65</f>
        <v>176.52186710471963</v>
      </c>
      <c r="K154" s="7">
        <f>'6states'!$O$4</f>
        <v>0.98104277196026479</v>
      </c>
      <c r="L154" s="9">
        <f t="shared" si="35"/>
        <v>0.5</v>
      </c>
      <c r="N154" s="7">
        <f>(Parameters!$B$19*(E154+Parameters!$B$20)^L154+Parameters!$B$18*F154^L154)^(1/L154)</f>
        <v>0.53556721303402888</v>
      </c>
      <c r="O154" s="7">
        <f>(Parameters!$B$10*G154^Parameters!$B$9 + Parameters!$B$11*N154^Parameters!$B$9) ^ (Parameters!$B$7/Parameters!$B$9) * K154</f>
        <v>1.5032580506618207</v>
      </c>
      <c r="P154" s="7">
        <f t="shared" si="34"/>
        <v>1.1453630770466976</v>
      </c>
      <c r="Q154" s="7">
        <f>EXP(-Parameters!$B$55*A154)</f>
        <v>0.10383003454079688</v>
      </c>
      <c r="R154" s="7">
        <f>IF(P154&gt;0,P154^(1-Parameters!$B$52)/(1-Parameters!$B$52)*Q154,-10+P154*1000)</f>
        <v>-0.28289471988026144</v>
      </c>
      <c r="S154" s="7"/>
      <c r="T154" s="7"/>
      <c r="U154" s="7"/>
      <c r="V154" s="7"/>
    </row>
    <row r="155" spans="1:22" x14ac:dyDescent="0.25">
      <c r="A155">
        <f>A154+Parameters!$B$65</f>
        <v>151</v>
      </c>
      <c r="B155" s="9">
        <f t="shared" si="36"/>
        <v>5.191758263687303E-2</v>
      </c>
      <c r="C155" s="9">
        <f t="shared" si="36"/>
        <v>1.0017548050425843E-2</v>
      </c>
      <c r="D155" s="7">
        <f t="shared" si="36"/>
        <v>0.2959598429278244</v>
      </c>
      <c r="E155" s="7">
        <f>MAX((1-Parameters!$B$4)^Parameters!B$65*E154+B154*Parameters!B$65-Parameters!$B$5*B154^2/E154*Parameters!B$65,0.0001)</f>
        <v>0.76973091061876342</v>
      </c>
      <c r="F155" s="9">
        <f>MAX((1-Parameters!$B$4)^Parameters!B$65*F154+C154*Parameters!B$65-Parameters!$B$5*C154^2/F154*Parameters!B$65,0.0001)</f>
        <v>0.14852031440382607</v>
      </c>
      <c r="G155" s="7">
        <f>MAX((1-Parameters!$B$4)^Parameters!B$65*G154+D154*Parameters!B$65-Parameters!$B$5*D154^2/G154*Parameters!B$65,0.0001)</f>
        <v>4.3878871916017816</v>
      </c>
      <c r="I155" s="7">
        <f>I154*(1+Parameters!$B$51)^Parameters!B$65</f>
        <v>12.635501594839353</v>
      </c>
      <c r="J155" s="7">
        <f>J154*(1+Parameters!$B$53)^Parameters!B$65</f>
        <v>180.05230444681402</v>
      </c>
      <c r="K155" s="7">
        <f>'6states'!$O$4</f>
        <v>0.98104277196026479</v>
      </c>
      <c r="L155" s="9">
        <f t="shared" si="35"/>
        <v>0.5</v>
      </c>
      <c r="N155" s="7">
        <f>(Parameters!$B$19*(E155+Parameters!$B$20)^L155+Parameters!$B$18*F155^L155)^(1/L155)</f>
        <v>0.53556700823170744</v>
      </c>
      <c r="O155" s="7">
        <f>(Parameters!$B$10*G155^Parameters!$B$9 + Parameters!$B$11*N155^Parameters!$B$9) ^ (Parameters!$B$7/Parameters!$B$9) * K155</f>
        <v>1.5032579687968484</v>
      </c>
      <c r="P155" s="7">
        <f t="shared" si="34"/>
        <v>1.145362995181725</v>
      </c>
      <c r="Q155" s="7">
        <f>EXP(-Parameters!$B$55*A155)</f>
        <v>0.10227397880626984</v>
      </c>
      <c r="R155" s="7">
        <f>IF(P155&gt;0,P155^(1-Parameters!$B$52)/(1-Parameters!$B$52)*Q155,-10+P155*1000)</f>
        <v>-0.27865510627237583</v>
      </c>
      <c r="S155" s="7"/>
      <c r="T155" s="7"/>
      <c r="U155" s="7"/>
      <c r="V155" s="7"/>
    </row>
    <row r="156" spans="1:22" x14ac:dyDescent="0.25">
      <c r="A156">
        <f>A155+Parameters!$B$65</f>
        <v>152</v>
      </c>
      <c r="B156" s="9">
        <f t="shared" si="36"/>
        <v>5.191758263687303E-2</v>
      </c>
      <c r="C156" s="9">
        <f t="shared" si="36"/>
        <v>1.0017548050425843E-2</v>
      </c>
      <c r="D156" s="7">
        <f t="shared" si="36"/>
        <v>0.2959598429278244</v>
      </c>
      <c r="E156" s="7">
        <f>MAX((1-Parameters!$B$4)^Parameters!B$65*E155+B155*Parameters!B$65-Parameters!$B$5*B155^2/E155*Parameters!B$65,0.0001)</f>
        <v>0.7697306297814247</v>
      </c>
      <c r="F156" s="9">
        <f>MAX((1-Parameters!$B$4)^Parameters!B$65*F155+C155*Parameters!B$65-Parameters!$B$5*C155^2/F155*Parameters!B$65,0.0001)</f>
        <v>0.14852026098778401</v>
      </c>
      <c r="G156" s="7">
        <f>MAX((1-Parameters!$B$4)^Parameters!B$65*G155+D155*Parameters!B$65-Parameters!$B$5*D155^2/G155*Parameters!B$65,0.0001)</f>
        <v>4.3878866511125425</v>
      </c>
      <c r="I156" s="7">
        <f>I155*(1+Parameters!$B$51)^Parameters!B$65</f>
        <v>12.672144549464386</v>
      </c>
      <c r="J156" s="7">
        <f>J155*(1+Parameters!$B$53)^Parameters!B$65</f>
        <v>183.65335053575029</v>
      </c>
      <c r="K156" s="7">
        <f>'6states'!$O$4</f>
        <v>0.98104277196026479</v>
      </c>
      <c r="L156" s="9">
        <f t="shared" si="35"/>
        <v>0.5</v>
      </c>
      <c r="N156" s="7">
        <f>(Parameters!$B$19*(E156+Parameters!$B$20)^L156+Parameters!$B$18*F156^L156)^(1/L156)</f>
        <v>0.53556681537973139</v>
      </c>
      <c r="O156" s="7">
        <f>(Parameters!$B$10*G156^Parameters!$B$9 + Parameters!$B$11*N156^Parameters!$B$9) ^ (Parameters!$B$7/Parameters!$B$9) * K156</f>
        <v>1.503257891708716</v>
      </c>
      <c r="P156" s="7">
        <f t="shared" si="34"/>
        <v>1.1453629180935927</v>
      </c>
      <c r="Q156" s="7">
        <f>EXP(-Parameters!$B$55*A156)</f>
        <v>0.10074124300474355</v>
      </c>
      <c r="R156" s="7">
        <f>IF(P156&gt;0,P156^(1-Parameters!$B$52)/(1-Parameters!$B$52)*Q156,-10+P156*1000)</f>
        <v>-0.27447902941133234</v>
      </c>
      <c r="S156" s="7"/>
      <c r="T156" s="7"/>
      <c r="U156" s="7"/>
      <c r="V156" s="7"/>
    </row>
    <row r="157" spans="1:22" x14ac:dyDescent="0.25">
      <c r="A157">
        <f>A156+Parameters!$B$65</f>
        <v>153</v>
      </c>
      <c r="B157" s="9">
        <f t="shared" si="36"/>
        <v>5.191758263687303E-2</v>
      </c>
      <c r="C157" s="9">
        <f t="shared" si="36"/>
        <v>1.0017548050425843E-2</v>
      </c>
      <c r="D157" s="7">
        <f t="shared" si="36"/>
        <v>0.2959598429278244</v>
      </c>
      <c r="E157" s="7">
        <f>MAX((1-Parameters!$B$4)^Parameters!B$65*E156+B156*Parameters!B$65-Parameters!$B$5*B156^2/E156*Parameters!B$65,0.0001)</f>
        <v>0.76973036533112171</v>
      </c>
      <c r="F157" s="9">
        <f>MAX((1-Parameters!$B$4)^Parameters!B$65*F156+C156*Parameters!B$65-Parameters!$B$5*C156^2/F156*Parameters!B$65,0.0001)</f>
        <v>0.14852021068860163</v>
      </c>
      <c r="G157" s="7">
        <f>MAX((1-Parameters!$B$4)^Parameters!B$65*G156+D156*Parameters!B$65-Parameters!$B$5*D156^2/G156*Parameters!B$65,0.0001)</f>
        <v>4.3878861421611708</v>
      </c>
      <c r="I157" s="7">
        <f>I156*(1+Parameters!$B$51)^Parameters!B$65</f>
        <v>12.708893768657832</v>
      </c>
      <c r="J157" s="7">
        <f>J156*(1+Parameters!$B$53)^Parameters!B$65</f>
        <v>187.32641754646531</v>
      </c>
      <c r="K157" s="7">
        <f>'6states'!$O$4</f>
        <v>0.98104277196026479</v>
      </c>
      <c r="L157" s="9">
        <f t="shared" si="35"/>
        <v>0.5</v>
      </c>
      <c r="N157" s="7">
        <f>(Parameters!$B$19*(E157+Parameters!$B$20)^L157+Parameters!$B$18*F157^L157)^(1/L157)</f>
        <v>0.53556663378078928</v>
      </c>
      <c r="O157" s="7">
        <f>(Parameters!$B$10*G157^Parameters!$B$9 + Parameters!$B$11*N157^Parameters!$B$9) ^ (Parameters!$B$7/Parameters!$B$9) * K157</f>
        <v>1.5032578191186965</v>
      </c>
      <c r="P157" s="7">
        <f t="shared" si="34"/>
        <v>1.1453628455035734</v>
      </c>
      <c r="Q157" s="7">
        <f>EXP(-Parameters!$B$55*A157)</f>
        <v>9.9231477650487412E-2</v>
      </c>
      <c r="R157" s="7">
        <f>IF(P157&gt;0,P157^(1-Parameters!$B$52)/(1-Parameters!$B$52)*Q157,-10+P157*1000)</f>
        <v>-0.27036553713604128</v>
      </c>
      <c r="S157" s="7"/>
      <c r="T157" s="7"/>
      <c r="U157" s="7"/>
      <c r="V157" s="7"/>
    </row>
    <row r="158" spans="1:22" x14ac:dyDescent="0.25">
      <c r="A158">
        <f>A157+Parameters!$B$65</f>
        <v>154</v>
      </c>
      <c r="B158" s="9">
        <f t="shared" si="36"/>
        <v>5.191758263687303E-2</v>
      </c>
      <c r="C158" s="9">
        <f t="shared" si="36"/>
        <v>1.0017548050425843E-2</v>
      </c>
      <c r="D158" s="7">
        <f t="shared" si="36"/>
        <v>0.2959598429278244</v>
      </c>
      <c r="E158" s="7">
        <f>MAX((1-Parameters!$B$4)^Parameters!B$65*E157+B157*Parameters!B$65-Parameters!$B$5*B157^2/E157*Parameters!B$65,0.0001)</f>
        <v>0.76973011631165966</v>
      </c>
      <c r="F158" s="9">
        <f>MAX((1-Parameters!$B$4)^Parameters!B$65*F157+C157*Parameters!B$65-Parameters!$B$5*C157^2/F157*Parameters!B$65,0.0001)</f>
        <v>0.14852016332440804</v>
      </c>
      <c r="G158" s="7">
        <f>MAX((1-Parameters!$B$4)^Parameters!B$65*G157+D157*Parameters!B$65-Parameters!$B$5*D157^2/G157*Parameters!B$65,0.0001)</f>
        <v>4.3878856629074141</v>
      </c>
      <c r="I158" s="7">
        <f>I157*(1+Parameters!$B$51)^Parameters!B$65</f>
        <v>12.745749560586939</v>
      </c>
      <c r="J158" s="7">
        <f>J157*(1+Parameters!$B$53)^Parameters!B$65</f>
        <v>191.07294589739462</v>
      </c>
      <c r="K158" s="7">
        <f>'6states'!$O$4</f>
        <v>0.98104277196026479</v>
      </c>
      <c r="L158" s="9">
        <f t="shared" si="35"/>
        <v>0.5</v>
      </c>
      <c r="N158" s="7">
        <f>(Parameters!$B$19*(E158+Parameters!$B$20)^L158+Parameters!$B$18*F158^L158)^(1/L158)</f>
        <v>0.53556646277825981</v>
      </c>
      <c r="O158" s="7">
        <f>(Parameters!$B$10*G158^Parameters!$B$9 + Parameters!$B$11*N158^Parameters!$B$9) ^ (Parameters!$B$7/Parameters!$B$9) * K158</f>
        <v>1.5032577507643246</v>
      </c>
      <c r="P158" s="7">
        <f t="shared" si="34"/>
        <v>1.1453627771492014</v>
      </c>
      <c r="Q158" s="7">
        <f>EXP(-Parameters!$B$55*A158)</f>
        <v>9.7744338495362112E-2</v>
      </c>
      <c r="R158" s="7">
        <f>IF(P158&gt;0,P158^(1-Parameters!$B$52)/(1-Parameters!$B$52)*Q158,-10+P158*1000)</f>
        <v>-0.26631369155238643</v>
      </c>
      <c r="S158" s="7"/>
      <c r="T158" s="7"/>
      <c r="U158" s="7"/>
      <c r="V158" s="7"/>
    </row>
    <row r="159" spans="1:22" x14ac:dyDescent="0.25">
      <c r="A159">
        <f>A158+Parameters!$B$65</f>
        <v>155</v>
      </c>
      <c r="B159" s="9">
        <f t="shared" si="36"/>
        <v>5.191758263687303E-2</v>
      </c>
      <c r="C159" s="9">
        <f t="shared" si="36"/>
        <v>1.0017548050425843E-2</v>
      </c>
      <c r="D159" s="7">
        <f t="shared" si="36"/>
        <v>0.2959598429278244</v>
      </c>
      <c r="E159" s="7">
        <f>MAX((1-Parameters!$B$4)^Parameters!B$65*E158+B158*Parameters!B$65-Parameters!$B$5*B158^2/E158*Parameters!B$65,0.0001)</f>
        <v>0.76972988182263868</v>
      </c>
      <c r="F159" s="9">
        <f>MAX((1-Parameters!$B$4)^Parameters!B$65*F158+C158*Parameters!B$65-Parameters!$B$5*C158^2/F158*Parameters!B$65,0.0001)</f>
        <v>0.14852011872394466</v>
      </c>
      <c r="G159" s="7">
        <f>MAX((1-Parameters!$B$4)^Parameters!B$65*G158+D158*Parameters!B$65-Parameters!$B$5*D158^2/G158*Parameters!B$65,0.0001)</f>
        <v>4.3878852116183964</v>
      </c>
      <c r="I159" s="7">
        <f>I158*(1+Parameters!$B$51)^Parameters!B$65</f>
        <v>12.782712234312639</v>
      </c>
      <c r="J159" s="7">
        <f>J158*(1+Parameters!$B$53)^Parameters!B$65</f>
        <v>194.89440481534251</v>
      </c>
      <c r="K159" s="7">
        <f>'6states'!$O$4</f>
        <v>0.98104277196026479</v>
      </c>
      <c r="L159" s="9">
        <f t="shared" si="35"/>
        <v>0.5</v>
      </c>
      <c r="N159" s="7">
        <f>(Parameters!$B$19*(E159+Parameters!$B$20)^L159+Parameters!$B$18*F159^L159)^(1/L159)</f>
        <v>0.53556630175383424</v>
      </c>
      <c r="O159" s="7">
        <f>(Parameters!$B$10*G159^Parameters!$B$9 + Parameters!$B$11*N159^Parameters!$B$9) ^ (Parameters!$B$7/Parameters!$B$9) * K159</f>
        <v>1.5032576863984504</v>
      </c>
      <c r="P159" s="7">
        <f t="shared" si="34"/>
        <v>1.145362712783327</v>
      </c>
      <c r="Q159" s="7">
        <f>EXP(-Parameters!$B$55*A159)</f>
        <v>9.6279486450325927E-2</v>
      </c>
      <c r="R159" s="7">
        <f>IF(P159&gt;0,P159^(1-Parameters!$B$52)/(1-Parameters!$B$52)*Q159,-10+P159*1000)</f>
        <v>-0.26232256881960386</v>
      </c>
      <c r="S159" s="7"/>
      <c r="T159" s="7"/>
      <c r="U159" s="7"/>
      <c r="V159" s="7"/>
    </row>
    <row r="160" spans="1:22" x14ac:dyDescent="0.25">
      <c r="A160">
        <f>A159+Parameters!$B$65</f>
        <v>156</v>
      </c>
      <c r="B160" s="9">
        <f t="shared" ref="B160:D175" si="37">B159</f>
        <v>5.191758263687303E-2</v>
      </c>
      <c r="C160" s="9">
        <f t="shared" si="37"/>
        <v>1.0017548050425843E-2</v>
      </c>
      <c r="D160" s="7">
        <f t="shared" si="37"/>
        <v>0.2959598429278244</v>
      </c>
      <c r="E160" s="7">
        <f>MAX((1-Parameters!$B$4)^Parameters!B$65*E159+B159*Parameters!B$65-Parameters!$B$5*B159^2/E159*Parameters!B$65,0.0001)</f>
        <v>0.76972966101619766</v>
      </c>
      <c r="F160" s="9">
        <f>MAX((1-Parameters!$B$4)^Parameters!B$65*F159+C159*Parameters!B$65-Parameters!$B$5*C159^2/F159*Parameters!B$65,0.0001)</f>
        <v>0.14852007672594603</v>
      </c>
      <c r="G160" s="7">
        <f>MAX((1-Parameters!$B$4)^Parameters!B$65*G159+D159*Parameters!B$65-Parameters!$B$5*D159^2/G159*Parameters!B$65,0.0001)</f>
        <v>4.3878847866623598</v>
      </c>
      <c r="I160" s="7">
        <f>I159*(1+Parameters!$B$51)^Parameters!B$65</f>
        <v>12.819782099792144</v>
      </c>
      <c r="J160" s="7">
        <f>J159*(1+Parameters!$B$53)^Parameters!B$65</f>
        <v>198.79229291164935</v>
      </c>
      <c r="K160" s="7">
        <f>'6states'!$O$4</f>
        <v>0.98104277196026479</v>
      </c>
      <c r="L160" s="9">
        <f t="shared" si="35"/>
        <v>0.5</v>
      </c>
      <c r="N160" s="7">
        <f>(Parameters!$B$19*(E160+Parameters!$B$20)^L160+Parameters!$B$18*F160^L160)^(1/L160)</f>
        <v>0.53556615012528408</v>
      </c>
      <c r="O160" s="7">
        <f>(Parameters!$B$10*G160^Parameters!$B$9 + Parameters!$B$11*N160^Parameters!$B$9) ^ (Parameters!$B$7/Parameters!$B$9) * K160</f>
        <v>1.5032576257883445</v>
      </c>
      <c r="P160" s="7">
        <f t="shared" si="34"/>
        <v>1.1453626521732212</v>
      </c>
      <c r="Q160" s="7">
        <f>EXP(-Parameters!$B$55*A160)</f>
        <v>9.4836587508117826E-2</v>
      </c>
      <c r="R160" s="7">
        <f>IF(P160&gt;0,P160^(1-Parameters!$B$52)/(1-Parameters!$B$52)*Q160,-10+P160*1000)</f>
        <v>-0.2583912589398496</v>
      </c>
      <c r="S160" s="7"/>
      <c r="T160" s="7"/>
      <c r="U160" s="7"/>
      <c r="V160" s="7"/>
    </row>
    <row r="161" spans="1:22" x14ac:dyDescent="0.25">
      <c r="A161">
        <f>A160+Parameters!$B$65</f>
        <v>157</v>
      </c>
      <c r="B161" s="9">
        <f t="shared" si="37"/>
        <v>5.191758263687303E-2</v>
      </c>
      <c r="C161" s="9">
        <f t="shared" si="37"/>
        <v>1.0017548050425843E-2</v>
      </c>
      <c r="D161" s="7">
        <f t="shared" si="37"/>
        <v>0.2959598429278244</v>
      </c>
      <c r="E161" s="7">
        <f>MAX((1-Parameters!$B$4)^Parameters!B$65*E160+B160*Parameters!B$65-Parameters!$B$5*B160^2/E160*Parameters!B$65,0.0001)</f>
        <v>0.76972945309394913</v>
      </c>
      <c r="F161" s="9">
        <f>MAX((1-Parameters!$B$4)^Parameters!B$65*F160+C160*Parameters!B$65-Parameters!$B$5*C160^2/F160*Parameters!B$65,0.0001)</f>
        <v>0.14852003717855652</v>
      </c>
      <c r="G161" s="7">
        <f>MAX((1-Parameters!$B$4)^Parameters!B$65*G160+D160*Parameters!B$65-Parameters!$B$5*D160^2/G160*Parameters!B$65,0.0001)</f>
        <v>4.3878843865027584</v>
      </c>
      <c r="I161" s="7">
        <f>I160*(1+Parameters!$B$51)^Parameters!B$65</f>
        <v>12.85695946788154</v>
      </c>
      <c r="J161" s="7">
        <f>J160*(1+Parameters!$B$53)^Parameters!B$65</f>
        <v>202.76813876988234</v>
      </c>
      <c r="K161" s="7">
        <f>'6states'!$O$4</f>
        <v>0.98104277196026479</v>
      </c>
      <c r="L161" s="9">
        <f t="shared" si="35"/>
        <v>0.5</v>
      </c>
      <c r="N161" s="7">
        <f>(Parameters!$B$19*(E161+Parameters!$B$20)^L161+Parameters!$B$18*F161^L161)^(1/L161)</f>
        <v>0.53556600734435356</v>
      </c>
      <c r="O161" s="7">
        <f>(Parameters!$B$10*G161^Parameters!$B$9 + Parameters!$B$11*N161^Parameters!$B$9) ^ (Parameters!$B$7/Parameters!$B$9) * K161</f>
        <v>1.5032575687148584</v>
      </c>
      <c r="P161" s="7">
        <f t="shared" si="34"/>
        <v>1.1453625950997353</v>
      </c>
      <c r="Q161" s="7">
        <f>EXP(-Parameters!$B$55*A161)</f>
        <v>9.3415312667098696E-2</v>
      </c>
      <c r="R161" s="7">
        <f>IF(P161&gt;0,P161^(1-Parameters!$B$52)/(1-Parameters!$B$52)*Q161,-10+P161*1000)</f>
        <v>-0.25451886555090597</v>
      </c>
      <c r="S161" s="7"/>
      <c r="T161" s="7"/>
      <c r="U161" s="7"/>
      <c r="V161" s="7"/>
    </row>
    <row r="162" spans="1:22" x14ac:dyDescent="0.25">
      <c r="A162">
        <f>A161+Parameters!$B$65</f>
        <v>158</v>
      </c>
      <c r="B162" s="9">
        <f t="shared" si="37"/>
        <v>5.191758263687303E-2</v>
      </c>
      <c r="C162" s="9">
        <f t="shared" si="37"/>
        <v>1.0017548050425843E-2</v>
      </c>
      <c r="D162" s="7">
        <f t="shared" si="37"/>
        <v>0.2959598429278244</v>
      </c>
      <c r="E162" s="7">
        <f>MAX((1-Parameters!$B$4)^Parameters!B$65*E161+B161*Parameters!B$65-Parameters!$B$5*B161^2/E161*Parameters!B$65,0.0001)</f>
        <v>0.76972925730409181</v>
      </c>
      <c r="F162" s="9">
        <f>MAX((1-Parameters!$B$4)^Parameters!B$65*F161+C161*Parameters!B$65-Parameters!$B$5*C161^2/F161*Parameters!B$65,0.0001)</f>
        <v>0.14851999993878154</v>
      </c>
      <c r="G162" s="7">
        <f>MAX((1-Parameters!$B$4)^Parameters!B$65*G161+D161*Parameters!B$65-Parameters!$B$5*D161^2/G161*Parameters!B$65,0.0001)</f>
        <v>4.3878840096927059</v>
      </c>
      <c r="I162" s="7">
        <f>I161*(1+Parameters!$B$51)^Parameters!B$65</f>
        <v>12.894244650338395</v>
      </c>
      <c r="J162" s="7">
        <f>J161*(1+Parameters!$B$53)^Parameters!B$65</f>
        <v>206.82350154527998</v>
      </c>
      <c r="K162" s="7">
        <f>'6states'!$O$4</f>
        <v>0.98104277196026479</v>
      </c>
      <c r="L162" s="9">
        <f t="shared" si="35"/>
        <v>0.5</v>
      </c>
      <c r="N162" s="7">
        <f>(Parameters!$B$19*(E162+Parameters!$B$20)^L162+Parameters!$B$18*F162^L162)^(1/L162)</f>
        <v>0.53556587289477819</v>
      </c>
      <c r="O162" s="7">
        <f>(Parameters!$B$10*G162^Parameters!$B$9 + Parameters!$B$11*N162^Parameters!$B$9) ^ (Parameters!$B$7/Parameters!$B$9) * K162</f>
        <v>1.5032575149716298</v>
      </c>
      <c r="P162" s="7">
        <f t="shared" si="34"/>
        <v>1.1453625413565067</v>
      </c>
      <c r="Q162" s="7">
        <f>EXP(-Parameters!$B$55*A162)</f>
        <v>9.2015337856234475E-2</v>
      </c>
      <c r="R162" s="7">
        <f>IF(P162&gt;0,P162^(1-Parameters!$B$52)/(1-Parameters!$B$52)*Q162,-10+P162*1000)</f>
        <v>-0.25070450572198444</v>
      </c>
      <c r="S162" s="7"/>
      <c r="T162" s="7"/>
      <c r="U162" s="7"/>
      <c r="V162" s="7"/>
    </row>
    <row r="163" spans="1:22" x14ac:dyDescent="0.25">
      <c r="A163">
        <f>A162+Parameters!$B$65</f>
        <v>159</v>
      </c>
      <c r="B163" s="9">
        <f t="shared" si="37"/>
        <v>5.191758263687303E-2</v>
      </c>
      <c r="C163" s="9">
        <f t="shared" si="37"/>
        <v>1.0017548050425843E-2</v>
      </c>
      <c r="D163" s="7">
        <f t="shared" si="37"/>
        <v>0.2959598429278244</v>
      </c>
      <c r="E163" s="7">
        <f>MAX((1-Parameters!$B$4)^Parameters!B$65*E162+B162*Parameters!B$65-Parameters!$B$5*B162^2/E162*Parameters!B$65,0.0001)</f>
        <v>0.76972907293869275</v>
      </c>
      <c r="F163" s="9">
        <f>MAX((1-Parameters!$B$4)^Parameters!B$65*F162+C162*Parameters!B$65-Parameters!$B$5*C162^2/F162*Parameters!B$65,0.0001)</f>
        <v>0.14851996487197028</v>
      </c>
      <c r="G163" s="7">
        <f>MAX((1-Parameters!$B$4)^Parameters!B$65*G162+D162*Parameters!B$65-Parameters!$B$5*D162^2/G162*Parameters!B$65,0.0001)</f>
        <v>4.3878836548697411</v>
      </c>
      <c r="I163" s="7">
        <f>I162*(1+Parameters!$B$51)^Parameters!B$65</f>
        <v>12.931637959824375</v>
      </c>
      <c r="J163" s="7">
        <f>J162*(1+Parameters!$B$53)^Parameters!B$65</f>
        <v>210.95997157618558</v>
      </c>
      <c r="K163" s="7">
        <f>'6states'!$O$4</f>
        <v>0.98104277196026479</v>
      </c>
      <c r="L163" s="9">
        <f t="shared" si="35"/>
        <v>0.5</v>
      </c>
      <c r="N163" s="7">
        <f>(Parameters!$B$19*(E163+Parameters!$B$20)^L163+Parameters!$B$18*F163^L163)^(1/L163)</f>
        <v>0.53556574629041809</v>
      </c>
      <c r="O163" s="7">
        <f>(Parameters!$B$10*G163^Parameters!$B$9 + Parameters!$B$11*N163^Parameters!$B$9) ^ (Parameters!$B$7/Parameters!$B$9) * K163</f>
        <v>1.5032574643643375</v>
      </c>
      <c r="P163" s="7">
        <f t="shared" si="34"/>
        <v>1.1453624907492141</v>
      </c>
      <c r="Q163" s="7">
        <f>EXP(-Parameters!$B$55*A163)</f>
        <v>9.0636343861203325E-2</v>
      </c>
      <c r="R163" s="7">
        <f>IF(P163&gt;0,P163^(1-Parameters!$B$52)/(1-Parameters!$B$52)*Q163,-10+P163*1000)</f>
        <v>-0.246947309752577</v>
      </c>
      <c r="S163" s="7"/>
      <c r="T163" s="7"/>
      <c r="U163" s="7"/>
      <c r="V163" s="7"/>
    </row>
    <row r="164" spans="1:22" x14ac:dyDescent="0.25">
      <c r="A164">
        <f>A163+Parameters!$B$65</f>
        <v>160</v>
      </c>
      <c r="B164" s="9">
        <f t="shared" si="37"/>
        <v>5.191758263687303E-2</v>
      </c>
      <c r="C164" s="9">
        <f t="shared" si="37"/>
        <v>1.0017548050425843E-2</v>
      </c>
      <c r="D164" s="7">
        <f t="shared" si="37"/>
        <v>0.2959598429278244</v>
      </c>
      <c r="E164" s="7">
        <f>MAX((1-Parameters!$B$4)^Parameters!B$65*E163+B163*Parameters!B$65-Parameters!$B$5*B163^2/E163*Parameters!B$65,0.0001)</f>
        <v>0.76972889933112743</v>
      </c>
      <c r="F164" s="9">
        <f>MAX((1-Parameters!$B$4)^Parameters!B$65*F163+C163*Parameters!B$65-Parameters!$B$5*C163^2/F163*Parameters!B$65,0.0001)</f>
        <v>0.14851993185132886</v>
      </c>
      <c r="G164" s="7">
        <f>MAX((1-Parameters!$B$4)^Parameters!B$65*G163+D163*Parameters!B$65-Parameters!$B$5*D163^2/G163*Parameters!B$65,0.0001)</f>
        <v>4.3878833207509045</v>
      </c>
      <c r="I164" s="7">
        <f>I163*(1+Parameters!$B$51)^Parameters!B$65</f>
        <v>12.969139709907864</v>
      </c>
      <c r="J164" s="7">
        <f>J163*(1+Parameters!$B$53)^Parameters!B$65</f>
        <v>215.1791710077093</v>
      </c>
      <c r="K164" s="7">
        <f>'6states'!$O$4</f>
        <v>0.98104277196026479</v>
      </c>
      <c r="L164" s="9">
        <f t="shared" si="35"/>
        <v>0.5</v>
      </c>
      <c r="N164" s="7">
        <f>(Parameters!$B$19*(E164+Parameters!$B$20)^L164+Parameters!$B$18*F164^L164)^(1/L164)</f>
        <v>0.53556562707349964</v>
      </c>
      <c r="O164" s="7">
        <f>(Parameters!$B$10*G164^Parameters!$B$9 + Parameters!$B$11*N164^Parameters!$B$9) ^ (Parameters!$B$7/Parameters!$B$9) * K164</f>
        <v>1.503257416709999</v>
      </c>
      <c r="P164" s="7">
        <f t="shared" si="34"/>
        <v>1.1453624430948759</v>
      </c>
      <c r="Q164" s="7">
        <f>EXP(-Parameters!$B$55*A164)</f>
        <v>8.9278016251610026E-2</v>
      </c>
      <c r="R164" s="7">
        <f>IF(P164&gt;0,P164^(1-Parameters!$B$52)/(1-Parameters!$B$52)*Q164,-10+P164*1000)</f>
        <v>-0.24324642097431115</v>
      </c>
      <c r="S164" s="7"/>
      <c r="T164" s="7"/>
      <c r="U164" s="7"/>
      <c r="V164" s="7"/>
    </row>
    <row r="165" spans="1:22" x14ac:dyDescent="0.25">
      <c r="A165">
        <f>A164+Parameters!$B$65</f>
        <v>161</v>
      </c>
      <c r="B165" s="9">
        <f t="shared" si="37"/>
        <v>5.191758263687303E-2</v>
      </c>
      <c r="C165" s="9">
        <f t="shared" si="37"/>
        <v>1.0017548050425843E-2</v>
      </c>
      <c r="D165" s="7">
        <f t="shared" si="37"/>
        <v>0.2959598429278244</v>
      </c>
      <c r="E165" s="7">
        <f>MAX((1-Parameters!$B$4)^Parameters!B$65*E164+B164*Parameters!B$65-Parameters!$B$5*B164^2/E164*Parameters!B$65,0.0001)</f>
        <v>0.7697287358536693</v>
      </c>
      <c r="F165" s="9">
        <f>MAX((1-Parameters!$B$4)^Parameters!B$65*F164+C164*Parameters!B$65-Parameters!$B$5*C164^2/F164*Parameters!B$65,0.0001)</f>
        <v>0.14851990075746196</v>
      </c>
      <c r="G165" s="7">
        <f>MAX((1-Parameters!$B$4)^Parameters!B$65*G164+D164*Parameters!B$65-Parameters!$B$5*D164^2/G164*Parameters!B$65,0.0001)</f>
        <v>4.3878830061280985</v>
      </c>
      <c r="I165" s="7">
        <f>I164*(1+Parameters!$B$51)^Parameters!B$65</f>
        <v>13.006750215066596</v>
      </c>
      <c r="J165" s="7">
        <f>J164*(1+Parameters!$B$53)^Parameters!B$65</f>
        <v>219.48275442786348</v>
      </c>
      <c r="K165" s="7">
        <f>'6states'!$O$4</f>
        <v>0.98104277196026479</v>
      </c>
      <c r="L165" s="9">
        <f t="shared" si="35"/>
        <v>0.5</v>
      </c>
      <c r="N165" s="7">
        <f>(Parameters!$B$19*(E165+Parameters!$B$20)^L165+Parameters!$B$18*F165^L165)^(1/L165)</f>
        <v>0.535565514812961</v>
      </c>
      <c r="O165" s="7">
        <f>(Parameters!$B$10*G165^Parameters!$B$9 + Parameters!$B$11*N165^Parameters!$B$9) ^ (Parameters!$B$7/Parameters!$B$9) * K165</f>
        <v>1.5032573718363096</v>
      </c>
      <c r="P165" s="7">
        <f t="shared" si="34"/>
        <v>1.1453623982211862</v>
      </c>
      <c r="Q165" s="7">
        <f>EXP(-Parameters!$B$55*A165)</f>
        <v>8.7940045309291504E-2</v>
      </c>
      <c r="R165" s="7">
        <f>IF(P165&gt;0,P165^(1-Parameters!$B$52)/(1-Parameters!$B$52)*Q165,-10+P165*1000)</f>
        <v>-0.23960099555576539</v>
      </c>
      <c r="S165" s="7"/>
      <c r="T165" s="7"/>
      <c r="U165" s="7"/>
      <c r="V165" s="7"/>
    </row>
    <row r="166" spans="1:22" x14ac:dyDescent="0.25">
      <c r="A166">
        <f>A165+Parameters!$B$65</f>
        <v>162</v>
      </c>
      <c r="B166" s="9">
        <f t="shared" si="37"/>
        <v>5.191758263687303E-2</v>
      </c>
      <c r="C166" s="9">
        <f t="shared" si="37"/>
        <v>1.0017548050425843E-2</v>
      </c>
      <c r="D166" s="7">
        <f t="shared" si="37"/>
        <v>0.2959598429278244</v>
      </c>
      <c r="E166" s="7">
        <f>MAX((1-Parameters!$B$4)^Parameters!B$65*E165+B165*Parameters!B$65-Parameters!$B$5*B165^2/E165*Parameters!B$65,0.0001)</f>
        <v>0.7697285819152202</v>
      </c>
      <c r="F166" s="9">
        <f>MAX((1-Parameters!$B$4)^Parameters!B$65*F165+C165*Parameters!B$65-Parameters!$B$5*C165^2/F165*Parameters!B$65,0.0001)</f>
        <v>0.14851987147794107</v>
      </c>
      <c r="G166" s="7">
        <f>MAX((1-Parameters!$B$4)^Parameters!B$65*G165+D165*Parameters!B$65-Parameters!$B$5*D165^2/G165*Parameters!B$65,0.0001)</f>
        <v>4.3878827098637174</v>
      </c>
      <c r="I166" s="7">
        <f>I165*(1+Parameters!$B$51)^Parameters!B$65</f>
        <v>13.044469790690288</v>
      </c>
      <c r="J166" s="7">
        <f>J165*(1+Parameters!$B$53)^Parameters!B$65</f>
        <v>223.87240951642076</v>
      </c>
      <c r="K166" s="7">
        <f>'6states'!$O$4</f>
        <v>0.98104277196026479</v>
      </c>
      <c r="L166" s="9">
        <f t="shared" si="35"/>
        <v>0.5</v>
      </c>
      <c r="N166" s="7">
        <f>(Parameters!$B$19*(E166+Parameters!$B$20)^L166+Parameters!$B$18*F166^L166)^(1/L166)</f>
        <v>0.53556540910289319</v>
      </c>
      <c r="O166" s="7">
        <f>(Parameters!$B$10*G166^Parameters!$B$9 + Parameters!$B$11*N166^Parameters!$B$9) ^ (Parameters!$B$7/Parameters!$B$9) * K166</f>
        <v>1.5032573295810174</v>
      </c>
      <c r="P166" s="7">
        <f t="shared" si="34"/>
        <v>1.1453623559658941</v>
      </c>
      <c r="Q166" s="7">
        <f>EXP(-Parameters!$B$55*A166)</f>
        <v>8.6622125957696541E-2</v>
      </c>
      <c r="R166" s="7">
        <f>IF(P166&gt;0,P166^(1-Parameters!$B$52)/(1-Parameters!$B$52)*Q166,-10+P166*1000)</f>
        <v>-0.23601020231020123</v>
      </c>
      <c r="S166" s="7"/>
      <c r="T166" s="7"/>
      <c r="U166" s="7"/>
      <c r="V166" s="7"/>
    </row>
    <row r="167" spans="1:22" x14ac:dyDescent="0.25">
      <c r="A167">
        <f>A166+Parameters!$B$65</f>
        <v>163</v>
      </c>
      <c r="B167" s="9">
        <f t="shared" si="37"/>
        <v>5.191758263687303E-2</v>
      </c>
      <c r="C167" s="9">
        <f t="shared" si="37"/>
        <v>1.0017548050425843E-2</v>
      </c>
      <c r="D167" s="7">
        <f t="shared" si="37"/>
        <v>0.2959598429278244</v>
      </c>
      <c r="E167" s="7">
        <f>MAX((1-Parameters!$B$4)^Parameters!B$65*E166+B166*Parameters!B$65-Parameters!$B$5*B166^2/E166*Parameters!B$65,0.0001)</f>
        <v>0.76972843695917281</v>
      </c>
      <c r="F167" s="9">
        <f>MAX((1-Parameters!$B$4)^Parameters!B$65*F166+C166*Parameters!B$65-Parameters!$B$5*C166^2/F166*Parameters!B$65,0.0001)</f>
        <v>0.14851984390689796</v>
      </c>
      <c r="G167" s="7">
        <f>MAX((1-Parameters!$B$4)^Parameters!B$65*G166+D166*Parameters!B$65-Parameters!$B$5*D166^2/G166*Parameters!B$65,0.0001)</f>
        <v>4.3878824308865365</v>
      </c>
      <c r="I167" s="7">
        <f>I166*(1+Parameters!$B$51)^Parameters!B$65</f>
        <v>13.082298753083288</v>
      </c>
      <c r="J167" s="7">
        <f>J166*(1+Parameters!$B$53)^Parameters!B$65</f>
        <v>228.34985770674919</v>
      </c>
      <c r="K167" s="7">
        <f>'6states'!$O$4</f>
        <v>0.98104277196026479</v>
      </c>
      <c r="L167" s="9">
        <f t="shared" si="35"/>
        <v>0.5</v>
      </c>
      <c r="N167" s="7">
        <f>(Parameters!$B$19*(E167+Parameters!$B$20)^L167+Parameters!$B$18*F167^L167)^(1/L167)</f>
        <v>0.53556530956107173</v>
      </c>
      <c r="O167" s="7">
        <f>(Parameters!$B$10*G167^Parameters!$B$9 + Parameters!$B$11*N167^Parameters!$B$9) ^ (Parameters!$B$7/Parameters!$B$9) * K167</f>
        <v>1.5032572897913385</v>
      </c>
      <c r="P167" s="7">
        <f t="shared" si="34"/>
        <v>1.1453623161762154</v>
      </c>
      <c r="Q167" s="7">
        <f>EXP(-Parameters!$B$55*A167)</f>
        <v>8.5323957692323968E-2</v>
      </c>
      <c r="R167" s="7">
        <f>IF(P167&gt;0,P167^(1-Parameters!$B$52)/(1-Parameters!$B$52)*Q167,-10+P167*1000)</f>
        <v>-0.23247322250616778</v>
      </c>
      <c r="S167" s="7"/>
      <c r="T167" s="7"/>
      <c r="U167" s="7"/>
      <c r="V167" s="7"/>
    </row>
    <row r="168" spans="1:22" x14ac:dyDescent="0.25">
      <c r="A168">
        <f>A167+Parameters!$B$65</f>
        <v>164</v>
      </c>
      <c r="B168" s="9">
        <f t="shared" si="37"/>
        <v>5.191758263687303E-2</v>
      </c>
      <c r="C168" s="9">
        <f t="shared" si="37"/>
        <v>1.0017548050425843E-2</v>
      </c>
      <c r="D168" s="7">
        <f t="shared" si="37"/>
        <v>0.2959598429278244</v>
      </c>
      <c r="E168" s="7">
        <f>MAX((1-Parameters!$B$4)^Parameters!B$65*E167+B167*Parameters!B$65-Parameters!$B$5*B167^2/E167*Parameters!B$65,0.0001)</f>
        <v>0.76972830046139828</v>
      </c>
      <c r="F168" s="9">
        <f>MAX((1-Parameters!$B$4)^Parameters!B$65*F167+C167*Parameters!B$65-Parameters!$B$5*C167^2/F167*Parameters!B$65,0.0001)</f>
        <v>0.14851981794464181</v>
      </c>
      <c r="G168" s="7">
        <f>MAX((1-Parameters!$B$4)^Parameters!B$65*G167+D167*Parameters!B$65-Parameters!$B$5*D167^2/G167*Parameters!B$65,0.0001)</f>
        <v>4.3878821681878373</v>
      </c>
      <c r="I168" s="7">
        <f>I167*(1+Parameters!$B$51)^Parameters!B$65</f>
        <v>13.120237419467228</v>
      </c>
      <c r="J168" s="7">
        <f>J167*(1+Parameters!$B$53)^Parameters!B$65</f>
        <v>232.91685486088417</v>
      </c>
      <c r="K168" s="7">
        <f>'6states'!$O$4</f>
        <v>0.98104277196026479</v>
      </c>
      <c r="L168" s="9">
        <f t="shared" si="35"/>
        <v>0.5</v>
      </c>
      <c r="N168" s="7">
        <f>(Parameters!$B$19*(E168+Parameters!$B$20)^L168+Parameters!$B$18*F168^L168)^(1/L168)</f>
        <v>0.53556521582757555</v>
      </c>
      <c r="O168" s="7">
        <f>(Parameters!$B$10*G168^Parameters!$B$9 + Parameters!$B$11*N168^Parameters!$B$9) ^ (Parameters!$B$7/Parameters!$B$9) * K168</f>
        <v>1.5032572523234036</v>
      </c>
      <c r="P168" s="7">
        <f t="shared" si="34"/>
        <v>1.1453622787082804</v>
      </c>
      <c r="Q168" s="7">
        <f>EXP(-Parameters!$B$55*A168)</f>
        <v>8.4045244512203479E-2</v>
      </c>
      <c r="R168" s="7">
        <f>IF(P168&gt;0,P168^(1-Parameters!$B$52)/(1-Parameters!$B$52)*Q168,-10+P168*1000)</f>
        <v>-0.2289892496809377</v>
      </c>
      <c r="S168" s="7"/>
      <c r="T168" s="7"/>
      <c r="U168" s="7"/>
      <c r="V168" s="7"/>
    </row>
    <row r="169" spans="1:22" x14ac:dyDescent="0.25">
      <c r="A169">
        <f>A168+Parameters!$B$65</f>
        <v>165</v>
      </c>
      <c r="B169" s="9">
        <f t="shared" si="37"/>
        <v>5.191758263687303E-2</v>
      </c>
      <c r="C169" s="9">
        <f t="shared" si="37"/>
        <v>1.0017548050425843E-2</v>
      </c>
      <c r="D169" s="7">
        <f t="shared" si="37"/>
        <v>0.2959598429278244</v>
      </c>
      <c r="E169" s="7">
        <f>MAX((1-Parameters!$B$4)^Parameters!B$65*E168+B168*Parameters!B$65-Parameters!$B$5*B168^2/E168*Parameters!B$65,0.0001)</f>
        <v>0.76972817192835108</v>
      </c>
      <c r="F169" s="9">
        <f>MAX((1-Parameters!$B$4)^Parameters!B$65*F168+C168*Parameters!B$65-Parameters!$B$5*C168^2/F168*Parameters!B$65,0.0001)</f>
        <v>0.14851979349729894</v>
      </c>
      <c r="G169" s="7">
        <f>MAX((1-Parameters!$B$4)^Parameters!B$65*G168+D168*Parameters!B$65-Parameters!$B$5*D168^2/G168*Parameters!B$65,0.0001)</f>
        <v>4.3878819208177609</v>
      </c>
      <c r="I169" s="7">
        <f>I168*(1+Parameters!$B$51)^Parameters!B$65</f>
        <v>13.158286107983683</v>
      </c>
      <c r="J169" s="7">
        <f>J168*(1+Parameters!$B$53)^Parameters!B$65</f>
        <v>237.57519195810187</v>
      </c>
      <c r="K169" s="7">
        <f>'6states'!$O$4</f>
        <v>0.98104277196026479</v>
      </c>
      <c r="L169" s="9">
        <f t="shared" si="35"/>
        <v>0.5</v>
      </c>
      <c r="N169" s="7">
        <f>(Parameters!$B$19*(E169+Parameters!$B$20)^L169+Parameters!$B$18*F169^L169)^(1/L169)</f>
        <v>0.53556512756348529</v>
      </c>
      <c r="O169" s="7">
        <f>(Parameters!$B$10*G169^Parameters!$B$9 + Parameters!$B$11*N169^Parameters!$B$9) ^ (Parameters!$B$7/Parameters!$B$9) * K169</f>
        <v>1.5032572170417386</v>
      </c>
      <c r="P169" s="7">
        <f t="shared" si="34"/>
        <v>1.1453622434266153</v>
      </c>
      <c r="Q169" s="7">
        <f>EXP(-Parameters!$B$55*A169)</f>
        <v>8.2785694852402933E-2</v>
      </c>
      <c r="R169" s="7">
        <f>IF(P169&gt;0,P169^(1-Parameters!$B$52)/(1-Parameters!$B$52)*Q169,-10+P169*1000)</f>
        <v>-0.22555748945673146</v>
      </c>
      <c r="S169" s="7"/>
      <c r="T169" s="7"/>
      <c r="U169" s="7"/>
      <c r="V169" s="7"/>
    </row>
    <row r="170" spans="1:22" x14ac:dyDescent="0.25">
      <c r="A170">
        <f>A169+Parameters!$B$65</f>
        <v>166</v>
      </c>
      <c r="B170" s="9">
        <f t="shared" si="37"/>
        <v>5.191758263687303E-2</v>
      </c>
      <c r="C170" s="9">
        <f t="shared" si="37"/>
        <v>1.0017548050425843E-2</v>
      </c>
      <c r="D170" s="7">
        <f t="shared" si="37"/>
        <v>0.2959598429278244</v>
      </c>
      <c r="E170" s="7">
        <f>MAX((1-Parameters!$B$4)^Parameters!B$65*E169+B169*Parameters!B$65-Parameters!$B$5*B169^2/E169*Parameters!B$65,0.0001)</f>
        <v>0.76972805089528429</v>
      </c>
      <c r="F170" s="9">
        <f>MAX((1-Parameters!$B$4)^Parameters!B$65*F169+C169*Parameters!B$65-Parameters!$B$5*C169^2/F169*Parameters!B$65,0.0001)</f>
        <v>0.14851977047647319</v>
      </c>
      <c r="G170" s="7">
        <f>MAX((1-Parameters!$B$4)^Parameters!B$65*G169+D169*Parameters!B$65-Parameters!$B$5*D169^2/G169*Parameters!B$65,0.0001)</f>
        <v>4.3878816878818725</v>
      </c>
      <c r="I170" s="7">
        <f>I169*(1+Parameters!$B$51)^Parameters!B$65</f>
        <v>13.196445137696834</v>
      </c>
      <c r="J170" s="7">
        <f>J169*(1+Parameters!$B$53)^Parameters!B$65</f>
        <v>242.32669579726391</v>
      </c>
      <c r="K170" s="7">
        <f>'6states'!$O$4</f>
        <v>0.98104277196026479</v>
      </c>
      <c r="L170" s="9">
        <f t="shared" si="35"/>
        <v>0.5</v>
      </c>
      <c r="N170" s="7">
        <f>(Parameters!$B$19*(E170+Parameters!$B$20)^L170+Parameters!$B$18*F170^L170)^(1/L170)</f>
        <v>0.53556504444965791</v>
      </c>
      <c r="O170" s="7">
        <f>(Parameters!$B$10*G170^Parameters!$B$9 + Parameters!$B$11*N170^Parameters!$B$9) ^ (Parameters!$B$7/Parameters!$B$9) * K170</f>
        <v>1.5032571838187738</v>
      </c>
      <c r="P170" s="7">
        <f t="shared" si="34"/>
        <v>1.1453622102036505</v>
      </c>
      <c r="Q170" s="7">
        <f>EXP(-Parameters!$B$55*A170)</f>
        <v>8.1545021517547445E-2</v>
      </c>
      <c r="R170" s="7">
        <f>IF(P170&gt;0,P170^(1-Parameters!$B$52)/(1-Parameters!$B$52)*Q170,-10+P170*1000)</f>
        <v>-0.22217715935968943</v>
      </c>
      <c r="S170" s="7"/>
      <c r="T170" s="7"/>
      <c r="U170" s="7"/>
      <c r="V170" s="7"/>
    </row>
    <row r="171" spans="1:22" x14ac:dyDescent="0.25">
      <c r="A171">
        <f>A170+Parameters!$B$65</f>
        <v>167</v>
      </c>
      <c r="B171" s="9">
        <f t="shared" si="37"/>
        <v>5.191758263687303E-2</v>
      </c>
      <c r="C171" s="9">
        <f t="shared" si="37"/>
        <v>1.0017548050425843E-2</v>
      </c>
      <c r="D171" s="7">
        <f t="shared" si="37"/>
        <v>0.2959598429278244</v>
      </c>
      <c r="E171" s="7">
        <f>MAX((1-Parameters!$B$4)^Parameters!B$65*E170+B170*Parameters!B$65-Parameters!$B$5*B170^2/E170*Parameters!B$65,0.0001)</f>
        <v>0.76972793692456942</v>
      </c>
      <c r="F171" s="9">
        <f>MAX((1-Parameters!$B$4)^Parameters!B$65*F170+C170*Parameters!B$65-Parameters!$B$5*C170^2/F170*Parameters!B$65,0.0001)</f>
        <v>0.1485197487989264</v>
      </c>
      <c r="G171" s="7">
        <f>MAX((1-Parameters!$B$4)^Parameters!B$65*G170+D170*Parameters!B$65-Parameters!$B$5*D170^2/G170*Parameters!B$65,0.0001)</f>
        <v>4.3878814685379286</v>
      </c>
      <c r="I171" s="7">
        <f>I170*(1+Parameters!$B$51)^Parameters!B$65</f>
        <v>13.234714828596154</v>
      </c>
      <c r="J171" s="7">
        <f>J170*(1+Parameters!$B$53)^Parameters!B$65</f>
        <v>247.1732297132092</v>
      </c>
      <c r="K171" s="7">
        <f>'6states'!$O$4</f>
        <v>0.98104277196026479</v>
      </c>
      <c r="L171" s="9">
        <f t="shared" si="35"/>
        <v>0.5</v>
      </c>
      <c r="N171" s="7">
        <f>(Parameters!$B$19*(E171+Parameters!$B$20)^L171+Parameters!$B$18*F171^L171)^(1/L171)</f>
        <v>0.53556496618557181</v>
      </c>
      <c r="O171" s="7">
        <f>(Parameters!$B$10*G171^Parameters!$B$9 + Parameters!$B$11*N171^Parameters!$B$9) ^ (Parameters!$B$7/Parameters!$B$9) * K171</f>
        <v>1.5032571525343839</v>
      </c>
      <c r="P171" s="7">
        <f t="shared" si="34"/>
        <v>1.1453621789192607</v>
      </c>
      <c r="Q171" s="7">
        <f>EXP(-Parameters!$B$55*A171)</f>
        <v>8.0322941616334922E-2</v>
      </c>
      <c r="R171" s="7">
        <f>IF(P171&gt;0,P171^(1-Parameters!$B$52)/(1-Parameters!$B$52)*Q171,-10+P171*1000)</f>
        <v>-0.21884748864155146</v>
      </c>
      <c r="S171" s="7"/>
      <c r="T171" s="7"/>
      <c r="U171" s="7"/>
      <c r="V171" s="7"/>
    </row>
    <row r="172" spans="1:22" x14ac:dyDescent="0.25">
      <c r="A172">
        <f>A171+Parameters!$B$65</f>
        <v>168</v>
      </c>
      <c r="B172" s="9">
        <f t="shared" si="37"/>
        <v>5.191758263687303E-2</v>
      </c>
      <c r="C172" s="9">
        <f t="shared" si="37"/>
        <v>1.0017548050425843E-2</v>
      </c>
      <c r="D172" s="7">
        <f t="shared" si="37"/>
        <v>0.2959598429278244</v>
      </c>
      <c r="E172" s="7">
        <f>MAX((1-Parameters!$B$4)^Parameters!B$65*E171+B171*Parameters!B$65-Parameters!$B$5*B171^2/E171*Parameters!B$65,0.0001)</f>
        <v>0.7697278296041139</v>
      </c>
      <c r="F172" s="9">
        <f>MAX((1-Parameters!$B$4)^Parameters!B$65*F171+C171*Parameters!B$65-Parameters!$B$5*C171^2/F171*Parameters!B$65,0.0001)</f>
        <v>0.14851972838627742</v>
      </c>
      <c r="G172" s="7">
        <f>MAX((1-Parameters!$B$4)^Parameters!B$65*G171+D171*Parameters!B$65-Parameters!$B$5*D171^2/G171*Parameters!B$65,0.0001)</f>
        <v>4.387881261992832</v>
      </c>
      <c r="I172" s="7">
        <f>I171*(1+Parameters!$B$51)^Parameters!B$65</f>
        <v>13.273095501599082</v>
      </c>
      <c r="J172" s="7">
        <f>J171*(1+Parameters!$B$53)^Parameters!B$65</f>
        <v>252.11669430747338</v>
      </c>
      <c r="K172" s="7">
        <f>'6states'!$O$4</f>
        <v>0.98104277196026479</v>
      </c>
      <c r="L172" s="9">
        <f t="shared" si="35"/>
        <v>0.5</v>
      </c>
      <c r="N172" s="7">
        <f>(Parameters!$B$19*(E172+Parameters!$B$20)^L172+Parameters!$B$18*F172^L172)^(1/L172)</f>
        <v>0.53556489248824213</v>
      </c>
      <c r="O172" s="7">
        <f>(Parameters!$B$10*G172^Parameters!$B$9 + Parameters!$B$11*N172^Parameters!$B$9) ^ (Parameters!$B$7/Parameters!$B$9) * K172</f>
        <v>1.5032571230754519</v>
      </c>
      <c r="P172" s="7">
        <f t="shared" si="34"/>
        <v>1.1453621494603285</v>
      </c>
      <c r="Q172" s="7">
        <f>EXP(-Parameters!$B$55*A172)</f>
        <v>7.9119176497032498E-2</v>
      </c>
      <c r="R172" s="7">
        <f>IF(P172&gt;0,P172^(1-Parameters!$B$52)/(1-Parameters!$B$52)*Q172,-10+P172*1000)</f>
        <v>-0.21556771810400205</v>
      </c>
      <c r="S172" s="7"/>
      <c r="T172" s="7"/>
      <c r="U172" s="7"/>
      <c r="V172" s="7"/>
    </row>
    <row r="173" spans="1:22" x14ac:dyDescent="0.25">
      <c r="A173">
        <f>A172+Parameters!$B$65</f>
        <v>169</v>
      </c>
      <c r="B173" s="9">
        <f t="shared" si="37"/>
        <v>5.191758263687303E-2</v>
      </c>
      <c r="C173" s="9">
        <f t="shared" si="37"/>
        <v>1.0017548050425843E-2</v>
      </c>
      <c r="D173" s="7">
        <f t="shared" si="37"/>
        <v>0.2959598429278244</v>
      </c>
      <c r="E173" s="7">
        <f>MAX((1-Parameters!$B$4)^Parameters!B$65*E172+B172*Parameters!B$65-Parameters!$B$5*B172^2/E172*Parameters!B$65,0.0001)</f>
        <v>0.7697277285458709</v>
      </c>
      <c r="F173" s="9">
        <f>MAX((1-Parameters!$B$4)^Parameters!B$65*F172+C172*Parameters!B$65-Parameters!$B$5*C172^2/F172*Parameters!B$65,0.0001)</f>
        <v>0.14851970916471868</v>
      </c>
      <c r="G173" s="7">
        <f>MAX((1-Parameters!$B$4)^Parameters!B$65*G172+D172*Parameters!B$65-Parameters!$B$5*D172^2/G172*Parameters!B$65,0.0001)</f>
        <v>4.3878810674997615</v>
      </c>
      <c r="I173" s="7">
        <f>I172*(1+Parameters!$B$51)^Parameters!B$65</f>
        <v>13.311587478553719</v>
      </c>
      <c r="J173" s="7">
        <f>J172*(1+Parameters!$B$53)^Parameters!B$65</f>
        <v>257.15902819362287</v>
      </c>
      <c r="K173" s="7">
        <f>'6states'!$O$4</f>
        <v>0.98104277196026479</v>
      </c>
      <c r="L173" s="9">
        <f t="shared" si="35"/>
        <v>0.5</v>
      </c>
      <c r="N173" s="7">
        <f>(Parameters!$B$19*(E173+Parameters!$B$20)^L173+Parameters!$B$18*F173^L173)^(1/L173)</f>
        <v>0.53556482309119535</v>
      </c>
      <c r="O173" s="7">
        <f>(Parameters!$B$10*G173^Parameters!$B$9 + Parameters!$B$11*N173^Parameters!$B$9) ^ (Parameters!$B$7/Parameters!$B$9) * K173</f>
        <v>1.5032570953354616</v>
      </c>
      <c r="P173" s="7">
        <f t="shared" si="34"/>
        <v>1.1453621217203382</v>
      </c>
      <c r="Q173" s="7">
        <f>EXP(-Parameters!$B$55*A173)</f>
        <v>7.79334516839401E-2</v>
      </c>
      <c r="R173" s="7">
        <f>IF(P173&gt;0,P173^(1-Parameters!$B$52)/(1-Parameters!$B$52)*Q173,-10+P173*1000)</f>
        <v>-0.2123370999256437</v>
      </c>
      <c r="S173" s="7"/>
      <c r="T173" s="7"/>
      <c r="U173" s="7"/>
      <c r="V173" s="7"/>
    </row>
    <row r="174" spans="1:22" x14ac:dyDescent="0.25">
      <c r="A174">
        <f>A173+Parameters!$B$65</f>
        <v>170</v>
      </c>
      <c r="B174" s="9">
        <f t="shared" si="37"/>
        <v>5.191758263687303E-2</v>
      </c>
      <c r="C174" s="9">
        <f t="shared" si="37"/>
        <v>1.0017548050425843E-2</v>
      </c>
      <c r="D174" s="7">
        <f t="shared" si="37"/>
        <v>0.2959598429278244</v>
      </c>
      <c r="E174" s="7">
        <f>MAX((1-Parameters!$B$4)^Parameters!B$65*E173+B173*Parameters!B$65-Parameters!$B$5*B173^2/E173*Parameters!B$65,0.0001)</f>
        <v>0.7697276333844365</v>
      </c>
      <c r="F174" s="9">
        <f>MAX((1-Parameters!$B$4)^Parameters!B$65*F173+C173*Parameters!B$65-Parameters!$B$5*C173^2/F173*Parameters!B$65,0.0001)</f>
        <v>0.14851969106474933</v>
      </c>
      <c r="G174" s="7">
        <f>MAX((1-Parameters!$B$4)^Parameters!B$65*G173+D173*Parameters!B$65-Parameters!$B$5*D173^2/G173*Parameters!B$65,0.0001)</f>
        <v>4.3878808843554751</v>
      </c>
      <c r="I174" s="7">
        <f>I173*(1+Parameters!$B$51)^Parameters!B$65</f>
        <v>13.350191082241523</v>
      </c>
      <c r="J174" s="7">
        <f>J173*(1+Parameters!$B$53)^Parameters!B$65</f>
        <v>262.30220875749535</v>
      </c>
      <c r="K174" s="7">
        <f>'6states'!$O$4</f>
        <v>0.98104277196026479</v>
      </c>
      <c r="L174" s="9">
        <f t="shared" si="35"/>
        <v>0.5</v>
      </c>
      <c r="N174" s="7">
        <f>(Parameters!$B$19*(E174+Parameters!$B$20)^L174+Parameters!$B$18*F174^L174)^(1/L174)</f>
        <v>0.53556475774350776</v>
      </c>
      <c r="O174" s="7">
        <f>(Parameters!$B$10*G174^Parameters!$B$9 + Parameters!$B$11*N174^Parameters!$B$9) ^ (Parameters!$B$7/Parameters!$B$9) * K174</f>
        <v>1.5032570692141127</v>
      </c>
      <c r="P174" s="7">
        <f t="shared" si="34"/>
        <v>1.1453620955989896</v>
      </c>
      <c r="Q174" s="7">
        <f>EXP(-Parameters!$B$55*A174)</f>
        <v>7.6765496814806045E-2</v>
      </c>
      <c r="R174" s="7">
        <f>IF(P174&gt;0,P174^(1-Parameters!$B$52)/(1-Parameters!$B$52)*Q174,-10+P174*1000)</f>
        <v>-0.20915489749155808</v>
      </c>
      <c r="S174" s="7"/>
      <c r="T174" s="7"/>
      <c r="U174" s="7"/>
      <c r="V174" s="7"/>
    </row>
    <row r="175" spans="1:22" x14ac:dyDescent="0.25">
      <c r="A175">
        <f>A174+Parameters!$B$65</f>
        <v>171</v>
      </c>
      <c r="B175" s="9">
        <f t="shared" si="37"/>
        <v>5.191758263687303E-2</v>
      </c>
      <c r="C175" s="9">
        <f t="shared" si="37"/>
        <v>1.0017548050425843E-2</v>
      </c>
      <c r="D175" s="7">
        <f t="shared" si="37"/>
        <v>0.2959598429278244</v>
      </c>
      <c r="E175" s="7">
        <f>MAX((1-Parameters!$B$4)^Parameters!B$65*E174+B174*Parameters!B$65-Parameters!$B$5*B174^2/E174*Parameters!B$65,0.0001)</f>
        <v>0.76972754377572838</v>
      </c>
      <c r="F175" s="9">
        <f>MAX((1-Parameters!$B$4)^Parameters!B$65*F174+C174*Parameters!B$65-Parameters!$B$5*C174^2/F174*Parameters!B$65,0.0001)</f>
        <v>0.14851967402092392</v>
      </c>
      <c r="G175" s="7">
        <f>MAX((1-Parameters!$B$4)^Parameters!B$65*G174+D174*Parameters!B$65-Parameters!$B$5*D174^2/G174*Parameters!B$65,0.0001)</f>
        <v>4.3878807118977647</v>
      </c>
      <c r="I175" s="7">
        <f>I174*(1+Parameters!$B$51)^Parameters!B$65</f>
        <v>13.388906636380021</v>
      </c>
      <c r="J175" s="7">
        <f>J174*(1+Parameters!$B$53)^Parameters!B$65</f>
        <v>267.54825293264525</v>
      </c>
      <c r="K175" s="7">
        <f>'6states'!$O$4</f>
        <v>0.98104277196026479</v>
      </c>
      <c r="L175" s="9">
        <f t="shared" si="35"/>
        <v>0.5</v>
      </c>
      <c r="N175" s="7">
        <f>(Parameters!$B$19*(E175+Parameters!$B$20)^L175+Parameters!$B$18*F175^L175)^(1/L175)</f>
        <v>0.53556469620889635</v>
      </c>
      <c r="O175" s="7">
        <f>(Parameters!$B$10*G175^Parameters!$B$9 + Parameters!$B$11*N175^Parameters!$B$9) ^ (Parameters!$B$7/Parameters!$B$9) * K175</f>
        <v>1.5032570446169571</v>
      </c>
      <c r="P175" s="7">
        <f t="shared" si="34"/>
        <v>1.1453620710018337</v>
      </c>
      <c r="Q175" s="7">
        <f>EXP(-Parameters!$B$55*A175)</f>
        <v>7.5615045579180543E-2</v>
      </c>
      <c r="R175" s="7">
        <f>IF(P175&gt;0,P175^(1-Parameters!$B$52)/(1-Parameters!$B$52)*Q175,-10+P175*1000)</f>
        <v>-0.20602038522541705</v>
      </c>
      <c r="S175" s="7"/>
      <c r="T175" s="7"/>
      <c r="U175" s="7"/>
      <c r="V175" s="7"/>
    </row>
    <row r="176" spans="1:22" x14ac:dyDescent="0.25">
      <c r="A176">
        <f>A175+Parameters!$B$65</f>
        <v>172</v>
      </c>
      <c r="B176" s="9">
        <f t="shared" ref="B176:D191" si="38">B175</f>
        <v>5.191758263687303E-2</v>
      </c>
      <c r="C176" s="9">
        <f t="shared" si="38"/>
        <v>1.0017548050425843E-2</v>
      </c>
      <c r="D176" s="7">
        <f t="shared" si="38"/>
        <v>0.2959598429278244</v>
      </c>
      <c r="E176" s="7">
        <f>MAX((1-Parameters!$B$4)^Parameters!B$65*E175+B175*Parameters!B$65-Parameters!$B$5*B175^2/E175*Parameters!B$65,0.0001)</f>
        <v>0.76972745939574139</v>
      </c>
      <c r="F176" s="9">
        <f>MAX((1-Parameters!$B$4)^Parameters!B$65*F175+C175*Parameters!B$65-Parameters!$B$5*C175^2/F175*Parameters!B$65,0.0001)</f>
        <v>0.14851965797161581</v>
      </c>
      <c r="G176" s="7">
        <f>MAX((1-Parameters!$B$4)^Parameters!B$65*G175+D175*Parameters!B$65-Parameters!$B$5*D175^2/G175*Parameters!B$65,0.0001)</f>
        <v>4.3878805495030617</v>
      </c>
      <c r="I176" s="7">
        <f>I175*(1+Parameters!$B$51)^Parameters!B$65</f>
        <v>13.427734465625521</v>
      </c>
      <c r="J176" s="7">
        <f>J175*(1+Parameters!$B$53)^Parameters!B$65</f>
        <v>272.89921799129814</v>
      </c>
      <c r="K176" s="7">
        <f>'6states'!$O$4</f>
        <v>0.98104277196026479</v>
      </c>
      <c r="L176" s="9">
        <f t="shared" si="35"/>
        <v>0.5</v>
      </c>
      <c r="N176" s="7">
        <f>(Parameters!$B$19*(E176+Parameters!$B$20)^L176+Parameters!$B$18*F176^L176)^(1/L176)</f>
        <v>0.53556463826486622</v>
      </c>
      <c r="O176" s="7">
        <f>(Parameters!$B$10*G176^Parameters!$B$9 + Parameters!$B$11*N176^Parameters!$B$9) ^ (Parameters!$B$7/Parameters!$B$9) * K176</f>
        <v>1.5032570214550571</v>
      </c>
      <c r="P176" s="7">
        <f t="shared" si="34"/>
        <v>1.1453620478399338</v>
      </c>
      <c r="Q176" s="7">
        <f>EXP(-Parameters!$B$55*A176)</f>
        <v>7.4481835657693174E-2</v>
      </c>
      <c r="R176" s="7">
        <f>IF(P176&gt;0,P176^(1-Parameters!$B$52)/(1-Parameters!$B$52)*Q176,-10+P176*1000)</f>
        <v>-0.20293284842410581</v>
      </c>
      <c r="S176" s="7"/>
      <c r="T176" s="7"/>
      <c r="U176" s="7"/>
      <c r="V176" s="7"/>
    </row>
    <row r="177" spans="1:22" x14ac:dyDescent="0.25">
      <c r="A177">
        <f>A176+Parameters!$B$65</f>
        <v>173</v>
      </c>
      <c r="B177" s="9">
        <f t="shared" si="38"/>
        <v>5.191758263687303E-2</v>
      </c>
      <c r="C177" s="9">
        <f t="shared" si="38"/>
        <v>1.0017548050425843E-2</v>
      </c>
      <c r="D177" s="7">
        <f t="shared" si="38"/>
        <v>0.2959598429278244</v>
      </c>
      <c r="E177" s="7">
        <f>MAX((1-Parameters!$B$4)^Parameters!B$65*E176+B176*Parameters!B$65-Parameters!$B$5*B176^2/E176*Parameters!B$65,0.0001)</f>
        <v>0.76972737993937668</v>
      </c>
      <c r="F177" s="9">
        <f>MAX((1-Parameters!$B$4)^Parameters!B$65*F176+C176*Parameters!B$65-Parameters!$B$5*C176^2/F176*Parameters!B$65,0.0001)</f>
        <v>0.14851964285879435</v>
      </c>
      <c r="G177" s="7">
        <f>MAX((1-Parameters!$B$4)^Parameters!B$65*G176+D176*Parameters!B$65-Parameters!$B$5*D176^2/G176*Parameters!B$65,0.0001)</f>
        <v>4.3878803965841842</v>
      </c>
      <c r="I177" s="7">
        <f>I176*(1+Parameters!$B$51)^Parameters!B$65</f>
        <v>13.466674895575833</v>
      </c>
      <c r="J177" s="7">
        <f>J176*(1+Parameters!$B$53)^Parameters!B$65</f>
        <v>278.3572023511241</v>
      </c>
      <c r="K177" s="7">
        <f>'6states'!$O$4</f>
        <v>0.98104277196026479</v>
      </c>
      <c r="L177" s="9">
        <f t="shared" si="35"/>
        <v>0.5</v>
      </c>
      <c r="N177" s="7">
        <f>(Parameters!$B$19*(E177+Parameters!$B$20)^L177+Parameters!$B$18*F177^L177)^(1/L177)</f>
        <v>0.5355645837019043</v>
      </c>
      <c r="O177" s="7">
        <f>(Parameters!$B$10*G177^Parameters!$B$9 + Parameters!$B$11*N177^Parameters!$B$9) ^ (Parameters!$B$7/Parameters!$B$9) * K177</f>
        <v>1.5032569996446647</v>
      </c>
      <c r="P177" s="7">
        <f t="shared" si="34"/>
        <v>1.1453620260295416</v>
      </c>
      <c r="Q177" s="7">
        <f>EXP(-Parameters!$B$55*A177)</f>
        <v>7.3365608662240192E-2</v>
      </c>
      <c r="R177" s="7">
        <f>IF(P177&gt;0,P177^(1-Parameters!$B$52)/(1-Parameters!$B$52)*Q177,-10+P177*1000)</f>
        <v>-0.19989158309482011</v>
      </c>
      <c r="S177" s="7"/>
      <c r="T177" s="7"/>
      <c r="U177" s="7"/>
      <c r="V177" s="7"/>
    </row>
    <row r="178" spans="1:22" x14ac:dyDescent="0.25">
      <c r="A178">
        <f>A177+Parameters!$B$65</f>
        <v>174</v>
      </c>
      <c r="B178" s="9">
        <f t="shared" si="38"/>
        <v>5.191758263687303E-2</v>
      </c>
      <c r="C178" s="9">
        <f t="shared" si="38"/>
        <v>1.0017548050425843E-2</v>
      </c>
      <c r="D178" s="7">
        <f t="shared" si="38"/>
        <v>0.2959598429278244</v>
      </c>
      <c r="E178" s="7">
        <f>MAX((1-Parameters!$B$4)^Parameters!B$65*E177+B177*Parameters!B$65-Parameters!$B$5*B177^2/E177*Parameters!B$65,0.0001)</f>
        <v>0.76972730511933773</v>
      </c>
      <c r="F178" s="9">
        <f>MAX((1-Parameters!$B$4)^Parameters!B$65*F177+C177*Parameters!B$65-Parameters!$B$5*C177^2/F177*Parameters!B$65,0.0001)</f>
        <v>0.14851962862781493</v>
      </c>
      <c r="G178" s="7">
        <f>MAX((1-Parameters!$B$4)^Parameters!B$65*G177+D177*Parameters!B$65-Parameters!$B$5*D177^2/G177*Parameters!B$65,0.0001)</f>
        <v>4.3878802525882126</v>
      </c>
      <c r="I178" s="7">
        <f>I177*(1+Parameters!$B$51)^Parameters!B$65</f>
        <v>13.505728252773002</v>
      </c>
      <c r="J178" s="7">
        <f>J177*(1+Parameters!$B$53)^Parameters!B$65</f>
        <v>283.92434639814661</v>
      </c>
      <c r="K178" s="7">
        <f>'6states'!$O$4</f>
        <v>0.98104277196026479</v>
      </c>
      <c r="L178" s="9">
        <f t="shared" si="35"/>
        <v>0.5</v>
      </c>
      <c r="N178" s="7">
        <f>(Parameters!$B$19*(E178+Parameters!$B$20)^L178+Parameters!$B$18*F178^L178)^(1/L178)</f>
        <v>0.53556453232272361</v>
      </c>
      <c r="O178" s="7">
        <f>(Parameters!$B$10*G178^Parameters!$B$9 + Parameters!$B$11*N178^Parameters!$B$9) ^ (Parameters!$B$7/Parameters!$B$9) * K178</f>
        <v>1.5032569791069197</v>
      </c>
      <c r="P178" s="7">
        <f t="shared" si="34"/>
        <v>1.1453620054917963</v>
      </c>
      <c r="Q178" s="7">
        <f>EXP(-Parameters!$B$55*A178)</f>
        <v>7.226611007706836E-2</v>
      </c>
      <c r="R178" s="7">
        <f>IF(P178&gt;0,P178^(1-Parameters!$B$52)/(1-Parameters!$B$52)*Q178,-10+P178*1000)</f>
        <v>-0.19689589579460143</v>
      </c>
      <c r="S178" s="7"/>
      <c r="T178" s="7"/>
      <c r="U178" s="7"/>
      <c r="V178" s="7"/>
    </row>
    <row r="179" spans="1:22" x14ac:dyDescent="0.25">
      <c r="A179">
        <f>A178+Parameters!$B$65</f>
        <v>175</v>
      </c>
      <c r="B179" s="9">
        <f t="shared" si="38"/>
        <v>5.191758263687303E-2</v>
      </c>
      <c r="C179" s="9">
        <f t="shared" si="38"/>
        <v>1.0017548050425843E-2</v>
      </c>
      <c r="D179" s="7">
        <f t="shared" si="38"/>
        <v>0.2959598429278244</v>
      </c>
      <c r="E179" s="7">
        <f>MAX((1-Parameters!$B$4)^Parameters!B$65*E178+B178*Parameters!B$65-Parameters!$B$5*B178^2/E178*Parameters!B$65,0.0001)</f>
        <v>0.76972723466509219</v>
      </c>
      <c r="F179" s="9">
        <f>MAX((1-Parameters!$B$4)^Parameters!B$65*F178+C178*Parameters!B$65-Parameters!$B$5*C178^2/F178*Parameters!B$65,0.0001)</f>
        <v>0.14851961522722154</v>
      </c>
      <c r="G179" s="7">
        <f>MAX((1-Parameters!$B$4)^Parameters!B$65*G178+D178*Parameters!B$65-Parameters!$B$5*D178^2/G178*Parameters!B$65,0.0001)</f>
        <v>4.3878801169944888</v>
      </c>
      <c r="I179" s="7">
        <f>I178*(1+Parameters!$B$51)^Parameters!B$65</f>
        <v>13.544894864706043</v>
      </c>
      <c r="J179" s="7">
        <f>J178*(1+Parameters!$B$53)^Parameters!B$65</f>
        <v>289.60283332610953</v>
      </c>
      <c r="K179" s="7">
        <f>'6states'!$O$4</f>
        <v>0.98104277196026479</v>
      </c>
      <c r="L179" s="9">
        <f t="shared" si="35"/>
        <v>0.5</v>
      </c>
      <c r="N179" s="7">
        <f>(Parameters!$B$19*(E179+Parameters!$B$20)^L179+Parameters!$B$18*F179^L179)^(1/L179)</f>
        <v>0.53556448394154821</v>
      </c>
      <c r="O179" s="7">
        <f>(Parameters!$B$10*G179^Parameters!$B$9 + Parameters!$B$11*N179^Parameters!$B$9) ^ (Parameters!$B$7/Parameters!$B$9) * K179</f>
        <v>1.503256959767562</v>
      </c>
      <c r="P179" s="7">
        <f t="shared" si="34"/>
        <v>1.1453619861524387</v>
      </c>
      <c r="Q179" s="7">
        <f>EXP(-Parameters!$B$55*A179)</f>
        <v>7.1183089200741873E-2</v>
      </c>
      <c r="R179" s="7">
        <f>IF(P179&gt;0,P179^(1-Parameters!$B$52)/(1-Parameters!$B$52)*Q179,-10+P179*1000)</f>
        <v>-0.1939451034722742</v>
      </c>
      <c r="S179" s="7"/>
      <c r="T179" s="7"/>
      <c r="U179" s="7"/>
      <c r="V179" s="7"/>
    </row>
    <row r="180" spans="1:22" x14ac:dyDescent="0.25">
      <c r="A180">
        <f>A179+Parameters!$B$65</f>
        <v>176</v>
      </c>
      <c r="B180" s="9">
        <f t="shared" si="38"/>
        <v>5.191758263687303E-2</v>
      </c>
      <c r="C180" s="9">
        <f t="shared" si="38"/>
        <v>1.0017548050425843E-2</v>
      </c>
      <c r="D180" s="7">
        <f t="shared" si="38"/>
        <v>0.2959598429278244</v>
      </c>
      <c r="E180" s="7">
        <f>MAX((1-Parameters!$B$4)^Parameters!B$65*E179+B179*Parameters!B$65-Parameters!$B$5*B179^2/E179*Parameters!B$65,0.0001)</f>
        <v>0.76972716832189336</v>
      </c>
      <c r="F180" s="9">
        <f>MAX((1-Parameters!$B$4)^Parameters!B$65*F179+C179*Parameters!B$65-Parameters!$B$5*C179^2/F179*Parameters!B$65,0.0001)</f>
        <v>0.14851960260856067</v>
      </c>
      <c r="G180" s="7">
        <f>MAX((1-Parameters!$B$4)^Parameters!B$65*G179+D179*Parameters!B$65-Parameters!$B$5*D179^2/G179*Parameters!B$65,0.0001)</f>
        <v>4.3878799893127365</v>
      </c>
      <c r="I180" s="7">
        <f>I179*(1+Parameters!$B$51)^Parameters!B$65</f>
        <v>13.584175059813688</v>
      </c>
      <c r="J180" s="7">
        <f>J179*(1+Parameters!$B$53)^Parameters!B$65</f>
        <v>295.3948899926317</v>
      </c>
      <c r="K180" s="7">
        <f>'6states'!$O$4</f>
        <v>0.98104277196026479</v>
      </c>
      <c r="L180" s="9">
        <f t="shared" si="35"/>
        <v>0.5</v>
      </c>
      <c r="N180" s="7">
        <f>(Parameters!$B$19*(E180+Parameters!$B$20)^L180+Parameters!$B$18*F180^L180)^(1/L180)</f>
        <v>0.53556443838344303</v>
      </c>
      <c r="O180" s="7">
        <f>(Parameters!$B$10*G180^Parameters!$B$9 + Parameters!$B$11*N180^Parameters!$B$9) ^ (Parameters!$B$7/Parameters!$B$9) * K180</f>
        <v>1.5032569415566654</v>
      </c>
      <c r="P180" s="7">
        <f t="shared" si="34"/>
        <v>1.1453619679415423</v>
      </c>
      <c r="Q180" s="7">
        <f>EXP(-Parameters!$B$55*A180)</f>
        <v>7.0116299088978581E-2</v>
      </c>
      <c r="R180" s="7">
        <f>IF(P180&gt;0,P180^(1-Parameters!$B$52)/(1-Parameters!$B$52)*Q180,-10+P180*1000)</f>
        <v>-0.19103853331274781</v>
      </c>
      <c r="S180" s="7"/>
      <c r="T180" s="7"/>
      <c r="U180" s="7"/>
      <c r="V180" s="7"/>
    </row>
    <row r="181" spans="1:22" x14ac:dyDescent="0.25">
      <c r="A181">
        <f>A180+Parameters!$B$65</f>
        <v>177</v>
      </c>
      <c r="B181" s="9">
        <f t="shared" si="38"/>
        <v>5.191758263687303E-2</v>
      </c>
      <c r="C181" s="9">
        <f t="shared" si="38"/>
        <v>1.0017548050425843E-2</v>
      </c>
      <c r="D181" s="7">
        <f t="shared" si="38"/>
        <v>0.2959598429278244</v>
      </c>
      <c r="E181" s="7">
        <f>MAX((1-Parameters!$B$4)^Parameters!B$65*E180+B180*Parameters!B$65-Parameters!$B$5*B180^2/E180*Parameters!B$65,0.0001)</f>
        <v>0.76972710584985915</v>
      </c>
      <c r="F181" s="9">
        <f>MAX((1-Parameters!$B$4)^Parameters!B$65*F180+C180*Parameters!B$65-Parameters!$B$5*C180^2/F180*Parameters!B$65,0.0001)</f>
        <v>0.14851959072620607</v>
      </c>
      <c r="G181" s="7">
        <f>MAX((1-Parameters!$B$4)^Parameters!B$65*G180+D180*Parameters!B$65-Parameters!$B$5*D180^2/G180*Parameters!B$65,0.0001)</f>
        <v>4.3878798690812895</v>
      </c>
      <c r="I181" s="7">
        <f>I180*(1+Parameters!$B$51)^Parameters!B$65</f>
        <v>13.623569167487148</v>
      </c>
      <c r="J181" s="7">
        <f>J180*(1+Parameters!$B$53)^Parameters!B$65</f>
        <v>301.30278779248437</v>
      </c>
      <c r="K181" s="7">
        <f>'6states'!$O$4</f>
        <v>0.98104277196026479</v>
      </c>
      <c r="L181" s="9">
        <f t="shared" si="35"/>
        <v>0.5</v>
      </c>
      <c r="N181" s="7">
        <f>(Parameters!$B$19*(E181+Parameters!$B$20)^L181+Parameters!$B$18*F181^L181)^(1/L181)</f>
        <v>0.53556439548368007</v>
      </c>
      <c r="O181" s="7">
        <f>(Parameters!$B$10*G181^Parameters!$B$9 + Parameters!$B$11*N181^Parameters!$B$9) ^ (Parameters!$B$7/Parameters!$B$9) * K181</f>
        <v>1.5032569244083838</v>
      </c>
      <c r="P181" s="7">
        <f t="shared" si="34"/>
        <v>1.1453619507932604</v>
      </c>
      <c r="Q181" s="7">
        <f>EXP(-Parameters!$B$55*A181)</f>
        <v>6.9065496498343315E-2</v>
      </c>
      <c r="R181" s="7">
        <f>IF(P181&gt;0,P181^(1-Parameters!$B$52)/(1-Parameters!$B$52)*Q181,-10+P181*1000)</f>
        <v>-0.18817552258364947</v>
      </c>
      <c r="S181" s="7"/>
      <c r="T181" s="7"/>
      <c r="U181" s="7"/>
      <c r="V181" s="7"/>
    </row>
    <row r="182" spans="1:22" x14ac:dyDescent="0.25">
      <c r="A182">
        <f>A181+Parameters!$B$65</f>
        <v>178</v>
      </c>
      <c r="B182" s="9">
        <f t="shared" si="38"/>
        <v>5.191758263687303E-2</v>
      </c>
      <c r="C182" s="9">
        <f t="shared" si="38"/>
        <v>1.0017548050425843E-2</v>
      </c>
      <c r="D182" s="7">
        <f t="shared" si="38"/>
        <v>0.2959598429278244</v>
      </c>
      <c r="E182" s="7">
        <f>MAX((1-Parameters!$B$4)^Parameters!B$65*E181+B181*Parameters!B$65-Parameters!$B$5*B181^2/E181*Parameters!B$65,0.0001)</f>
        <v>0.7697270470231049</v>
      </c>
      <c r="F182" s="9">
        <f>MAX((1-Parameters!$B$4)^Parameters!B$65*F181+C181*Parameters!B$65-Parameters!$B$5*C181^2/F181*Parameters!B$65,0.0001)</f>
        <v>0.14851957953719383</v>
      </c>
      <c r="G182" s="7">
        <f>MAX((1-Parameters!$B$4)^Parameters!B$65*G181+D181*Parameters!B$65-Parameters!$B$5*D181^2/G181*Parameters!B$65,0.0001)</f>
        <v>4.3878797558654163</v>
      </c>
      <c r="I182" s="7">
        <f>I181*(1+Parameters!$B$51)^Parameters!B$65</f>
        <v>13.663077518072859</v>
      </c>
      <c r="J182" s="7">
        <f>J181*(1+Parameters!$B$53)^Parameters!B$65</f>
        <v>307.32884354833408</v>
      </c>
      <c r="K182" s="7">
        <f>'6states'!$O$4</f>
        <v>0.98104277196026479</v>
      </c>
      <c r="L182" s="9">
        <f t="shared" si="35"/>
        <v>0.5</v>
      </c>
      <c r="N182" s="7">
        <f>(Parameters!$B$19*(E182+Parameters!$B$20)^L182+Parameters!$B$18*F182^L182)^(1/L182)</f>
        <v>0.53556435508714351</v>
      </c>
      <c r="O182" s="7">
        <f>(Parameters!$B$10*G182^Parameters!$B$9 + Parameters!$B$11*N182^Parameters!$B$9) ^ (Parameters!$B$7/Parameters!$B$9) * K182</f>
        <v>1.503256908260713</v>
      </c>
      <c r="P182" s="7">
        <f t="shared" si="34"/>
        <v>1.1453619346455897</v>
      </c>
      <c r="Q182" s="7">
        <f>EXP(-Parameters!$B$55*A182)</f>
        <v>6.8030441830784896E-2</v>
      </c>
      <c r="R182" s="7">
        <f>IF(P182&gt;0,P182^(1-Parameters!$B$52)/(1-Parameters!$B$52)*Q182,-10+P182*1000)</f>
        <v>-0.18535541848425346</v>
      </c>
      <c r="S182" s="7"/>
      <c r="T182" s="7"/>
      <c r="U182" s="7"/>
      <c r="V182" s="7"/>
    </row>
    <row r="183" spans="1:22" x14ac:dyDescent="0.25">
      <c r="A183">
        <f>A182+Parameters!$B$65</f>
        <v>179</v>
      </c>
      <c r="B183" s="9">
        <f t="shared" si="38"/>
        <v>5.191758263687303E-2</v>
      </c>
      <c r="C183" s="9">
        <f t="shared" si="38"/>
        <v>1.0017548050425843E-2</v>
      </c>
      <c r="D183" s="7">
        <f t="shared" si="38"/>
        <v>0.2959598429278244</v>
      </c>
      <c r="E183" s="7">
        <f>MAX((1-Parameters!$B$4)^Parameters!B$65*E182+B182*Parameters!B$65-Parameters!$B$5*B182^2/E182*Parameters!B$65,0.0001)</f>
        <v>0.76972699162892622</v>
      </c>
      <c r="F183" s="9">
        <f>MAX((1-Parameters!$B$4)^Parameters!B$65*F182+C182*Parameters!B$65-Parameters!$B$5*C182^2/F182*Parameters!B$65,0.0001)</f>
        <v>0.14851956900106703</v>
      </c>
      <c r="G183" s="7">
        <f>MAX((1-Parameters!$B$4)^Parameters!B$65*G182+D182*Parameters!B$65-Parameters!$B$5*D182^2/G182*Parameters!B$65,0.0001)</f>
        <v>4.3878796492557557</v>
      </c>
      <c r="I183" s="7">
        <f>I182*(1+Parameters!$B$51)^Parameters!B$65</f>
        <v>13.702700442875269</v>
      </c>
      <c r="J183" s="7">
        <f>J182*(1+Parameters!$B$53)^Parameters!B$65</f>
        <v>313.47542041930075</v>
      </c>
      <c r="K183" s="7">
        <f>'6states'!$O$4</f>
        <v>0.98104277196026479</v>
      </c>
      <c r="L183" s="9">
        <f t="shared" si="35"/>
        <v>0.5</v>
      </c>
      <c r="N183" s="7">
        <f>(Parameters!$B$19*(E183+Parameters!$B$20)^L183+Parameters!$B$18*F183^L183)^(1/L183)</f>
        <v>0.53556431704776841</v>
      </c>
      <c r="O183" s="7">
        <f>(Parameters!$B$10*G183^Parameters!$B$9 + Parameters!$B$11*N183^Parameters!$B$9) ^ (Parameters!$B$7/Parameters!$B$9) * K183</f>
        <v>1.5032568930552672</v>
      </c>
      <c r="P183" s="7">
        <f t="shared" si="34"/>
        <v>1.1453619194401439</v>
      </c>
      <c r="Q183" s="7">
        <f>EXP(-Parameters!$B$55*A183)</f>
        <v>6.701089907900426E-2</v>
      </c>
      <c r="R183" s="7">
        <f>IF(P183&gt;0,P183^(1-Parameters!$B$52)/(1-Parameters!$B$52)*Q183,-10+P183*1000)</f>
        <v>-0.18257757799667093</v>
      </c>
      <c r="S183" s="7"/>
      <c r="T183" s="7"/>
      <c r="U183" s="7"/>
      <c r="V183" s="7"/>
    </row>
    <row r="184" spans="1:22" x14ac:dyDescent="0.25">
      <c r="A184">
        <f>A183+Parameters!$B$65</f>
        <v>180</v>
      </c>
      <c r="B184" s="9">
        <f t="shared" si="38"/>
        <v>5.191758263687303E-2</v>
      </c>
      <c r="C184" s="9">
        <f t="shared" si="38"/>
        <v>1.0017548050425843E-2</v>
      </c>
      <c r="D184" s="7">
        <f t="shared" si="38"/>
        <v>0.2959598429278244</v>
      </c>
      <c r="E184" s="7">
        <f>MAX((1-Parameters!$B$4)^Parameters!B$65*E183+B183*Parameters!B$65-Parameters!$B$5*B183^2/E183*Parameters!B$65,0.0001)</f>
        <v>0.7697269394670303</v>
      </c>
      <c r="F184" s="9">
        <f>MAX((1-Parameters!$B$4)^Parameters!B$65*F183+C183*Parameters!B$65-Parameters!$B$5*C183^2/F183*Parameters!B$65,0.0001)</f>
        <v>0.14851955907972941</v>
      </c>
      <c r="G184" s="7">
        <f>MAX((1-Parameters!$B$4)^Parameters!B$65*G183+D183*Parameters!B$65-Parameters!$B$5*D183^2/G183*Parameters!B$65,0.0001)</f>
        <v>4.3878795488668301</v>
      </c>
      <c r="I184" s="7">
        <f>I183*(1+Parameters!$B$51)^Parameters!B$65</f>
        <v>13.742438274159605</v>
      </c>
      <c r="J184" s="7">
        <f>J183*(1+Parameters!$B$53)^Parameters!B$65</f>
        <v>319.74492882768675</v>
      </c>
      <c r="K184" s="7">
        <f>'6states'!$O$4</f>
        <v>0.98104277196026479</v>
      </c>
      <c r="L184" s="9">
        <f t="shared" si="35"/>
        <v>0.5</v>
      </c>
      <c r="N184" s="7">
        <f>(Parameters!$B$19*(E184+Parameters!$B$20)^L184+Parameters!$B$18*F184^L184)^(1/L184)</f>
        <v>0.53556428122801325</v>
      </c>
      <c r="O184" s="7">
        <f>(Parameters!$B$10*G184^Parameters!$B$9 + Parameters!$B$11*N184^Parameters!$B$9) ^ (Parameters!$B$7/Parameters!$B$9) * K184</f>
        <v>1.5032568787370668</v>
      </c>
      <c r="P184" s="7">
        <f t="shared" si="34"/>
        <v>1.1453619051219435</v>
      </c>
      <c r="Q184" s="7">
        <f>EXP(-Parameters!$B$55*A184)</f>
        <v>6.6006635772641528E-2</v>
      </c>
      <c r="R184" s="7">
        <f>IF(P184&gt;0,P184^(1-Parameters!$B$52)/(1-Parameters!$B$52)*Q184,-10+P184*1000)</f>
        <v>-0.17984136773926854</v>
      </c>
      <c r="S184" s="7"/>
      <c r="T184" s="7"/>
      <c r="U184" s="7"/>
      <c r="V184" s="7"/>
    </row>
    <row r="185" spans="1:22" x14ac:dyDescent="0.25">
      <c r="A185">
        <f>A184+Parameters!$B$65</f>
        <v>181</v>
      </c>
      <c r="B185" s="9">
        <f t="shared" si="38"/>
        <v>5.191758263687303E-2</v>
      </c>
      <c r="C185" s="9">
        <f t="shared" si="38"/>
        <v>1.0017548050425843E-2</v>
      </c>
      <c r="D185" s="7">
        <f t="shared" si="38"/>
        <v>0.2959598429278244</v>
      </c>
      <c r="E185" s="7">
        <f>MAX((1-Parameters!$B$4)^Parameters!B$65*E184+B184*Parameters!B$65-Parameters!$B$5*B184^2/E184*Parameters!B$65,0.0001)</f>
        <v>0.76972689034881159</v>
      </c>
      <c r="F185" s="9">
        <f>MAX((1-Parameters!$B$4)^Parameters!B$65*F184+C184*Parameters!B$65-Parameters!$B$5*C184^2/F184*Parameters!B$65,0.0001)</f>
        <v>0.14851954973730766</v>
      </c>
      <c r="G185" s="7">
        <f>MAX((1-Parameters!$B$4)^Parameters!B$65*G184+D184*Parameters!B$65-Parameters!$B$5*D184^2/G184*Parameters!B$65,0.0001)</f>
        <v>4.3878794543356561</v>
      </c>
      <c r="I185" s="7">
        <f>I184*(1+Parameters!$B$51)^Parameters!B$65</f>
        <v>13.782291345154666</v>
      </c>
      <c r="J185" s="7">
        <f>J184*(1+Parameters!$B$53)^Parameters!B$65</f>
        <v>326.13982740424046</v>
      </c>
      <c r="K185" s="7">
        <f>'6states'!$O$4</f>
        <v>0.98104277196026479</v>
      </c>
      <c r="L185" s="9">
        <f t="shared" si="35"/>
        <v>0.5</v>
      </c>
      <c r="N185" s="7">
        <f>(Parameters!$B$19*(E185+Parameters!$B$20)^L185+Parameters!$B$18*F185^L185)^(1/L185)</f>
        <v>0.53556424749836185</v>
      </c>
      <c r="O185" s="7">
        <f>(Parameters!$B$10*G185^Parameters!$B$9 + Parameters!$B$11*N185^Parameters!$B$9) ^ (Parameters!$B$7/Parameters!$B$9) * K185</f>
        <v>1.5032568652543408</v>
      </c>
      <c r="P185" s="7">
        <f t="shared" si="34"/>
        <v>1.1453618916392174</v>
      </c>
      <c r="Q185" s="7">
        <f>EXP(-Parameters!$B$55*A185)</f>
        <v>6.5017422925269325E-2</v>
      </c>
      <c r="R185" s="7">
        <f>IF(P185&gt;0,P185^(1-Parameters!$B$52)/(1-Parameters!$B$52)*Q185,-10+P185*1000)</f>
        <v>-0.17714616382228091</v>
      </c>
      <c r="S185" s="7"/>
      <c r="T185" s="7"/>
      <c r="U185" s="7"/>
      <c r="V185" s="7"/>
    </row>
    <row r="186" spans="1:22" x14ac:dyDescent="0.25">
      <c r="A186">
        <f>A185+Parameters!$B$65</f>
        <v>182</v>
      </c>
      <c r="B186" s="9">
        <f t="shared" si="38"/>
        <v>5.191758263687303E-2</v>
      </c>
      <c r="C186" s="9">
        <f t="shared" si="38"/>
        <v>1.0017548050425843E-2</v>
      </c>
      <c r="D186" s="7">
        <f t="shared" si="38"/>
        <v>0.2959598429278244</v>
      </c>
      <c r="E186" s="7">
        <f>MAX((1-Parameters!$B$4)^Parameters!B$65*E185+B185*Parameters!B$65-Parameters!$B$5*B185^2/E185*Parameters!B$65,0.0001)</f>
        <v>0.76972684409666969</v>
      </c>
      <c r="F186" s="9">
        <f>MAX((1-Parameters!$B$4)^Parameters!B$65*F185+C185*Parameters!B$65-Parameters!$B$5*C185^2/F185*Parameters!B$65,0.0001)</f>
        <v>0.14851954094002168</v>
      </c>
      <c r="G186" s="7">
        <f>MAX((1-Parameters!$B$4)^Parameters!B$65*G185+D185*Parameters!B$65-Parameters!$B$5*D185^2/G185*Parameters!B$65,0.0001)</f>
        <v>4.3878793653204307</v>
      </c>
      <c r="I186" s="7">
        <f>I185*(1+Parameters!$B$51)^Parameters!B$65</f>
        <v>13.822259990055613</v>
      </c>
      <c r="J186" s="7">
        <f>J185*(1+Parameters!$B$53)^Parameters!B$65</f>
        <v>332.6626239523253</v>
      </c>
      <c r="K186" s="7">
        <f>'6states'!$O$4</f>
        <v>0.98104277196026479</v>
      </c>
      <c r="L186" s="9">
        <f t="shared" si="35"/>
        <v>0.5</v>
      </c>
      <c r="N186" s="7">
        <f>(Parameters!$B$19*(E186+Parameters!$B$20)^L186+Parameters!$B$18*F186^L186)^(1/L186)</f>
        <v>0.5355642157368552</v>
      </c>
      <c r="O186" s="7">
        <f>(Parameters!$B$10*G186^Parameters!$B$9 + Parameters!$B$11*N186^Parameters!$B$9) ^ (Parameters!$B$7/Parameters!$B$9) * K186</f>
        <v>1.503256852558339</v>
      </c>
      <c r="P186" s="7">
        <f t="shared" si="34"/>
        <v>1.1453618789432158</v>
      </c>
      <c r="Q186" s="7">
        <f>EXP(-Parameters!$B$55*A186)</f>
        <v>6.4043034982180613E-2</v>
      </c>
      <c r="R186" s="7">
        <f>IF(P186&gt;0,P186^(1-Parameters!$B$52)/(1-Parameters!$B$52)*Q186,-10+P186*1000)</f>
        <v>-0.17449135170558522</v>
      </c>
      <c r="S186" s="7"/>
      <c r="T186" s="7"/>
      <c r="U186" s="7"/>
      <c r="V186" s="7"/>
    </row>
    <row r="187" spans="1:22" x14ac:dyDescent="0.25">
      <c r="A187">
        <f>A186+Parameters!$B$65</f>
        <v>183</v>
      </c>
      <c r="B187" s="9">
        <f t="shared" si="38"/>
        <v>5.191758263687303E-2</v>
      </c>
      <c r="C187" s="9">
        <f t="shared" si="38"/>
        <v>1.0017548050425843E-2</v>
      </c>
      <c r="D187" s="7">
        <f t="shared" si="38"/>
        <v>0.2959598429278244</v>
      </c>
      <c r="E187" s="7">
        <f>MAX((1-Parameters!$B$4)^Parameters!B$65*E186+B186*Parameters!B$65-Parameters!$B$5*B186^2/E186*Parameters!B$65,0.0001)</f>
        <v>0.76972680054336728</v>
      </c>
      <c r="F187" s="9">
        <f>MAX((1-Parameters!$B$4)^Parameters!B$65*F186+C186*Parameters!B$65-Parameters!$B$5*C186^2/F186*Parameters!B$65,0.0001)</f>
        <v>0.14851953265606246</v>
      </c>
      <c r="G187" s="7">
        <f>MAX((1-Parameters!$B$4)^Parameters!B$65*G186+D186*Parameters!B$65-Parameters!$B$5*D186^2/G186*Parameters!B$65,0.0001)</f>
        <v>4.3878792814992957</v>
      </c>
      <c r="I187" s="7">
        <f>I186*(1+Parameters!$B$51)^Parameters!B$65</f>
        <v>13.862344544026774</v>
      </c>
      <c r="J187" s="7">
        <f>J186*(1+Parameters!$B$53)^Parameters!B$65</f>
        <v>339.31587643137181</v>
      </c>
      <c r="K187" s="7">
        <f>'6states'!$O$4</f>
        <v>0.98104277196026479</v>
      </c>
      <c r="L187" s="9">
        <f t="shared" si="35"/>
        <v>0.5</v>
      </c>
      <c r="N187" s="7">
        <f>(Parameters!$B$19*(E187+Parameters!$B$20)^L187+Parameters!$B$18*F187^L187)^(1/L187)</f>
        <v>0.53556418582865095</v>
      </c>
      <c r="O187" s="7">
        <f>(Parameters!$B$10*G187^Parameters!$B$9 + Parameters!$B$11*N187^Parameters!$B$9) ^ (Parameters!$B$7/Parameters!$B$9) * K187</f>
        <v>1.5032568406031555</v>
      </c>
      <c r="P187" s="7">
        <f t="shared" si="34"/>
        <v>1.1453618669880323</v>
      </c>
      <c r="Q187" s="7">
        <f>EXP(-Parameters!$B$55*A187)</f>
        <v>6.3083249768959085E-2</v>
      </c>
      <c r="R187" s="7">
        <f>IF(P187&gt;0,P187^(1-Parameters!$B$52)/(1-Parameters!$B$52)*Q187,-10+P187*1000)</f>
        <v>-0.17187632605860625</v>
      </c>
      <c r="S187" s="7"/>
      <c r="T187" s="7"/>
      <c r="U187" s="7"/>
      <c r="V187" s="7"/>
    </row>
    <row r="188" spans="1:22" x14ac:dyDescent="0.25">
      <c r="A188">
        <f>A187+Parameters!$B$65</f>
        <v>184</v>
      </c>
      <c r="B188" s="9">
        <f t="shared" si="38"/>
        <v>5.191758263687303E-2</v>
      </c>
      <c r="C188" s="9">
        <f t="shared" si="38"/>
        <v>1.0017548050425843E-2</v>
      </c>
      <c r="D188" s="7">
        <f t="shared" si="38"/>
        <v>0.2959598429278244</v>
      </c>
      <c r="E188" s="7">
        <f>MAX((1-Parameters!$B$4)^Parameters!B$65*E187+B187*Parameters!B$65-Parameters!$B$5*B187^2/E187*Parameters!B$65,0.0001)</f>
        <v>0.76972675953142544</v>
      </c>
      <c r="F188" s="9">
        <f>MAX((1-Parameters!$B$4)^Parameters!B$65*F187+C187*Parameters!B$65-Parameters!$B$5*C187^2/F187*Parameters!B$65,0.0001)</f>
        <v>0.14851952485547709</v>
      </c>
      <c r="G188" s="7">
        <f>MAX((1-Parameters!$B$4)^Parameters!B$65*G187+D187*Parameters!B$65-Parameters!$B$5*D187^2/G187*Parameters!B$65,0.0001)</f>
        <v>4.387879202569172</v>
      </c>
      <c r="I188" s="7">
        <f>I187*(1+Parameters!$B$51)^Parameters!B$65</f>
        <v>13.90254534320445</v>
      </c>
      <c r="J188" s="7">
        <f>J187*(1+Parameters!$B$53)^Parameters!B$65</f>
        <v>346.10219395999923</v>
      </c>
      <c r="K188" s="7">
        <f>'6states'!$O$4</f>
        <v>0.98104277196026479</v>
      </c>
      <c r="L188" s="9">
        <f t="shared" si="35"/>
        <v>0.5</v>
      </c>
      <c r="N188" s="7">
        <f>(Parameters!$B$19*(E188+Parameters!$B$20)^L188+Parameters!$B$18*F188^L188)^(1/L188)</f>
        <v>0.53556415766560805</v>
      </c>
      <c r="O188" s="7">
        <f>(Parameters!$B$10*G188^Parameters!$B$9 + Parameters!$B$11*N188^Parameters!$B$9) ^ (Parameters!$B$7/Parameters!$B$9) * K188</f>
        <v>1.503256829345563</v>
      </c>
      <c r="P188" s="7">
        <f t="shared" si="34"/>
        <v>1.1453618557304397</v>
      </c>
      <c r="Q188" s="7">
        <f>EXP(-Parameters!$B$55*A188)</f>
        <v>6.2137848440820063E-2</v>
      </c>
      <c r="R188" s="7">
        <f>IF(P188&gt;0,P188^(1-Parameters!$B$52)/(1-Parameters!$B$52)*Q188,-10+P188*1000)</f>
        <v>-0.16930049062231772</v>
      </c>
      <c r="S188" s="7"/>
      <c r="T188" s="7"/>
      <c r="U188" s="7"/>
      <c r="V188" s="7"/>
    </row>
    <row r="189" spans="1:22" x14ac:dyDescent="0.25">
      <c r="A189">
        <f>A188+Parameters!$B$65</f>
        <v>185</v>
      </c>
      <c r="B189" s="9">
        <f t="shared" si="38"/>
        <v>5.191758263687303E-2</v>
      </c>
      <c r="C189" s="9">
        <f t="shared" si="38"/>
        <v>1.0017548050425843E-2</v>
      </c>
      <c r="D189" s="7">
        <f t="shared" si="38"/>
        <v>0.2959598429278244</v>
      </c>
      <c r="E189" s="7">
        <f>MAX((1-Parameters!$B$4)^Parameters!B$65*E188+B188*Parameters!B$65-Parameters!$B$5*B188^2/E188*Parameters!B$65,0.0001)</f>
        <v>0.76972672091255434</v>
      </c>
      <c r="F189" s="9">
        <f>MAX((1-Parameters!$B$4)^Parameters!B$65*F188+C188*Parameters!B$65-Parameters!$B$5*C188^2/F188*Parameters!B$65,0.0001)</f>
        <v>0.14851951751006043</v>
      </c>
      <c r="G189" s="7">
        <f>MAX((1-Parameters!$B$4)^Parameters!B$65*G188+D188*Parameters!B$65-Parameters!$B$5*D188^2/G188*Parameters!B$65,0.0001)</f>
        <v>4.3878791282446663</v>
      </c>
      <c r="I189" s="7">
        <f>I188*(1+Parameters!$B$51)^Parameters!B$65</f>
        <v>13.942862724699742</v>
      </c>
      <c r="J189" s="7">
        <f>J188*(1+Parameters!$B$53)^Parameters!B$65</f>
        <v>353.0242378391992</v>
      </c>
      <c r="K189" s="7">
        <f>'6states'!$O$4</f>
        <v>0.98104277196026479</v>
      </c>
      <c r="L189" s="9">
        <f t="shared" si="35"/>
        <v>0.5</v>
      </c>
      <c r="N189" s="7">
        <f>(Parameters!$B$19*(E189+Parameters!$B$20)^L189+Parameters!$B$18*F189^L189)^(1/L189)</f>
        <v>0.53556413114589507</v>
      </c>
      <c r="O189" s="7">
        <f>(Parameters!$B$10*G189^Parameters!$B$9 + Parameters!$B$11*N189^Parameters!$B$9) ^ (Parameters!$B$7/Parameters!$B$9) * K189</f>
        <v>1.5032568187448572</v>
      </c>
      <c r="P189" s="7">
        <f t="shared" si="34"/>
        <v>1.145361845129734</v>
      </c>
      <c r="Q189" s="7">
        <f>EXP(-Parameters!$B$55*A189)</f>
        <v>6.1206615432710852E-2</v>
      </c>
      <c r="R189" s="7">
        <f>IF(P189&gt;0,P189^(1-Parameters!$B$52)/(1-Parameters!$B$52)*Q189,-10+P189*1000)</f>
        <v>-0.16676325807331147</v>
      </c>
      <c r="S189" s="7"/>
      <c r="T189" s="7"/>
      <c r="U189" s="7"/>
      <c r="V189" s="7"/>
    </row>
    <row r="190" spans="1:22" x14ac:dyDescent="0.25">
      <c r="A190">
        <f>A189+Parameters!$B$65</f>
        <v>186</v>
      </c>
      <c r="B190" s="9">
        <f t="shared" si="38"/>
        <v>5.191758263687303E-2</v>
      </c>
      <c r="C190" s="9">
        <f t="shared" si="38"/>
        <v>1.0017548050425843E-2</v>
      </c>
      <c r="D190" s="7">
        <f t="shared" si="38"/>
        <v>0.2959598429278244</v>
      </c>
      <c r="E190" s="7">
        <f>MAX((1-Parameters!$B$4)^Parameters!B$65*E189+B189*Parameters!B$65-Parameters!$B$5*B189^2/E189*Parameters!B$65,0.0001)</f>
        <v>0.7697266845471169</v>
      </c>
      <c r="F190" s="9">
        <f>MAX((1-Parameters!$B$4)^Parameters!B$65*F189+C189*Parameters!B$65-Parameters!$B$5*C189^2/F189*Parameters!B$65,0.0001)</f>
        <v>0.14851951059325308</v>
      </c>
      <c r="G190" s="7">
        <f>MAX((1-Parameters!$B$4)^Parameters!B$65*G189+D189*Parameters!B$65-Parameters!$B$5*D189^2/G189*Parameters!B$65,0.0001)</f>
        <v>4.3878790582570391</v>
      </c>
      <c r="I190" s="7">
        <f>I189*(1+Parameters!$B$51)^Parameters!B$65</f>
        <v>13.98329702660137</v>
      </c>
      <c r="J190" s="7">
        <f>J189*(1+Parameters!$B$53)^Parameters!B$65</f>
        <v>360.08472259598318</v>
      </c>
      <c r="K190" s="7">
        <f>'6states'!$O$4</f>
        <v>0.98104277196026479</v>
      </c>
      <c r="L190" s="9">
        <f t="shared" si="35"/>
        <v>0.5</v>
      </c>
      <c r="N190" s="7">
        <f>(Parameters!$B$19*(E190+Parameters!$B$20)^L190+Parameters!$B$18*F190^L190)^(1/L190)</f>
        <v>0.53556410617362271</v>
      </c>
      <c r="O190" s="7">
        <f>(Parameters!$B$10*G190^Parameters!$B$9 + Parameters!$B$11*N190^Parameters!$B$9) ^ (Parameters!$B$7/Parameters!$B$9) * K190</f>
        <v>1.5032568087627078</v>
      </c>
      <c r="P190" s="7">
        <f t="shared" si="34"/>
        <v>1.1453618351475847</v>
      </c>
      <c r="Q190" s="7">
        <f>EXP(-Parameters!$B$55*A190)</f>
        <v>6.0289338410158787E-2</v>
      </c>
      <c r="R190" s="7">
        <f>IF(P190&gt;0,P190^(1-Parameters!$B$52)/(1-Parameters!$B$52)*Q190,-10+P190*1000)</f>
        <v>-0.16426404988990201</v>
      </c>
      <c r="S190" s="7"/>
      <c r="T190" s="7"/>
      <c r="U190" s="7"/>
      <c r="V190" s="7"/>
    </row>
    <row r="191" spans="1:22" x14ac:dyDescent="0.25">
      <c r="A191">
        <f>A190+Parameters!$B$65</f>
        <v>187</v>
      </c>
      <c r="B191" s="9">
        <f t="shared" si="38"/>
        <v>5.191758263687303E-2</v>
      </c>
      <c r="C191" s="9">
        <f t="shared" si="38"/>
        <v>1.0017548050425843E-2</v>
      </c>
      <c r="D191" s="7">
        <f t="shared" si="38"/>
        <v>0.2959598429278244</v>
      </c>
      <c r="E191" s="7">
        <f>MAX((1-Parameters!$B$4)^Parameters!B$65*E190+B190*Parameters!B$65-Parameters!$B$5*B190^2/E190*Parameters!B$65,0.0001)</f>
        <v>0.76972665030362386</v>
      </c>
      <c r="F191" s="9">
        <f>MAX((1-Parameters!$B$4)^Parameters!B$65*F190+C190*Parameters!B$65-Parameters!$B$5*C190^2/F190*Parameters!B$65,0.0001)</f>
        <v>0.14851950408004549</v>
      </c>
      <c r="G191" s="7">
        <f>MAX((1-Parameters!$B$4)^Parameters!B$65*G190+D190*Parameters!B$65-Parameters!$B$5*D190^2/G190*Parameters!B$65,0.0001)</f>
        <v>4.3878789923532304</v>
      </c>
      <c r="I191" s="7">
        <f>I190*(1+Parameters!$B$51)^Parameters!B$65</f>
        <v>14.023848587978513</v>
      </c>
      <c r="J191" s="7">
        <f>J190*(1+Parameters!$B$53)^Parameters!B$65</f>
        <v>367.28641704790283</v>
      </c>
      <c r="K191" s="7">
        <f>'6states'!$O$4</f>
        <v>0.98104277196026479</v>
      </c>
      <c r="L191" s="9">
        <f t="shared" si="35"/>
        <v>0.5</v>
      </c>
      <c r="N191" s="7">
        <f>(Parameters!$B$19*(E191+Parameters!$B$20)^L191+Parameters!$B$18*F191^L191)^(1/L191)</f>
        <v>0.53556408265849698</v>
      </c>
      <c r="O191" s="7">
        <f>(Parameters!$B$10*G191^Parameters!$B$9 + Parameters!$B$11*N191^Parameters!$B$9) ^ (Parameters!$B$7/Parameters!$B$9) * K191</f>
        <v>1.5032567993630228</v>
      </c>
      <c r="P191" s="7">
        <f t="shared" si="34"/>
        <v>1.1453618257478997</v>
      </c>
      <c r="Q191" s="7">
        <f>EXP(-Parameters!$B$55*A191)</f>
        <v>5.9385808220855908E-2</v>
      </c>
      <c r="R191" s="7">
        <f>IF(P191&gt;0,P191^(1-Parameters!$B$52)/(1-Parameters!$B$52)*Q191,-10+P191*1000)</f>
        <v>-0.16180229622023579</v>
      </c>
      <c r="S191" s="7"/>
      <c r="T191" s="7"/>
      <c r="U191" s="7"/>
      <c r="V191" s="7"/>
    </row>
    <row r="192" spans="1:22" x14ac:dyDescent="0.25">
      <c r="A192">
        <f>A191+Parameters!$B$65</f>
        <v>188</v>
      </c>
      <c r="B192" s="9">
        <f t="shared" ref="B192:D204" si="39">B191</f>
        <v>5.191758263687303E-2</v>
      </c>
      <c r="C192" s="9">
        <f t="shared" si="39"/>
        <v>1.0017548050425843E-2</v>
      </c>
      <c r="D192" s="7">
        <f t="shared" si="39"/>
        <v>0.2959598429278244</v>
      </c>
      <c r="E192" s="7">
        <f>MAX((1-Parameters!$B$4)^Parameters!B$65*E191+B191*Parameters!B$65-Parameters!$B$5*B191^2/E191*Parameters!B$65,0.0001)</f>
        <v>0.76972661805825859</v>
      </c>
      <c r="F192" s="9">
        <f>MAX((1-Parameters!$B$4)^Parameters!B$65*F191+C191*Parameters!B$65-Parameters!$B$5*C191^2/F191*Parameters!B$65,0.0001)</f>
        <v>0.14851949794688737</v>
      </c>
      <c r="G192" s="7">
        <f>MAX((1-Parameters!$B$4)^Parameters!B$65*G191+D191*Parameters!B$65-Parameters!$B$5*D191^2/G191*Parameters!B$65,0.0001)</f>
        <v>4.3878789302949475</v>
      </c>
      <c r="I192" s="7">
        <f>I191*(1+Parameters!$B$51)^Parameters!B$65</f>
        <v>14.064517748883649</v>
      </c>
      <c r="J192" s="7">
        <f>J191*(1+Parameters!$B$53)^Parameters!B$65</f>
        <v>374.63214538886092</v>
      </c>
      <c r="K192" s="7">
        <f>'6states'!$O$4</f>
        <v>0.98104277196026479</v>
      </c>
      <c r="L192" s="9">
        <f t="shared" si="35"/>
        <v>0.5</v>
      </c>
      <c r="N192" s="7">
        <f>(Parameters!$B$19*(E192+Parameters!$B$20)^L192+Parameters!$B$18*F192^L192)^(1/L192)</f>
        <v>0.53556406051549266</v>
      </c>
      <c r="O192" s="7">
        <f>(Parameters!$B$10*G192^Parameters!$B$9 + Parameters!$B$11*N192^Parameters!$B$9) ^ (Parameters!$B$7/Parameters!$B$9) * K192</f>
        <v>1.5032567905118139</v>
      </c>
      <c r="P192" s="7">
        <f t="shared" si="34"/>
        <v>1.1453618168966906</v>
      </c>
      <c r="Q192" s="7">
        <f>EXP(-Parameters!$B$55*A192)</f>
        <v>5.8495818846969333E-2</v>
      </c>
      <c r="R192" s="7">
        <f>IF(P192&gt;0,P192^(1-Parameters!$B$52)/(1-Parameters!$B$52)*Q192,-10+P192*1000)</f>
        <v>-0.15937743575237684</v>
      </c>
      <c r="S192" s="7"/>
      <c r="T192" s="7"/>
      <c r="U192" s="7"/>
      <c r="V192" s="7"/>
    </row>
    <row r="193" spans="1:22" x14ac:dyDescent="0.25">
      <c r="A193">
        <f>A192+Parameters!$B$65</f>
        <v>189</v>
      </c>
      <c r="B193" s="9">
        <f t="shared" si="39"/>
        <v>5.191758263687303E-2</v>
      </c>
      <c r="C193" s="9">
        <f t="shared" si="39"/>
        <v>1.0017548050425843E-2</v>
      </c>
      <c r="D193" s="7">
        <f t="shared" si="39"/>
        <v>0.2959598429278244</v>
      </c>
      <c r="E193" s="7">
        <f>MAX((1-Parameters!$B$4)^Parameters!B$65*E192+B192*Parameters!B$65-Parameters!$B$5*B192^2/E192*Parameters!B$65,0.0001)</f>
        <v>0.76972658769442914</v>
      </c>
      <c r="F193" s="9">
        <f>MAX((1-Parameters!$B$4)^Parameters!B$65*F192+C192*Parameters!B$65-Parameters!$B$5*C192^2/F192*Parameters!B$65,0.0001)</f>
        <v>0.14851949217160257</v>
      </c>
      <c r="G193" s="7">
        <f>MAX((1-Parameters!$B$4)^Parameters!B$65*G192+D192*Parameters!B$65-Parameters!$B$5*D192^2/G192*Parameters!B$65,0.0001)</f>
        <v>4.3878788718578008</v>
      </c>
      <c r="I193" s="7">
        <f>I192*(1+Parameters!$B$51)^Parameters!B$65</f>
        <v>14.105304850355409</v>
      </c>
      <c r="J193" s="7">
        <f>J192*(1+Parameters!$B$53)^Parameters!B$65</f>
        <v>382.12478829663814</v>
      </c>
      <c r="K193" s="7">
        <f>'6states'!$O$4</f>
        <v>0.98104277196026479</v>
      </c>
      <c r="L193" s="9">
        <f t="shared" si="35"/>
        <v>0.5</v>
      </c>
      <c r="N193" s="7">
        <f>(Parameters!$B$19*(E193+Parameters!$B$20)^L193+Parameters!$B$18*F193^L193)^(1/L193)</f>
        <v>0.53556403966454558</v>
      </c>
      <c r="O193" s="7">
        <f>(Parameters!$B$10*G193^Parameters!$B$9 + Parameters!$B$11*N193^Parameters!$B$9) ^ (Parameters!$B$7/Parameters!$B$9) * K193</f>
        <v>1.5032567821770786</v>
      </c>
      <c r="P193" s="7">
        <f t="shared" si="34"/>
        <v>1.1453618085619555</v>
      </c>
      <c r="Q193" s="7">
        <f>EXP(-Parameters!$B$55*A193)</f>
        <v>5.7619167358166093E-2</v>
      </c>
      <c r="R193" s="7">
        <f>IF(P193&gt;0,P193^(1-Parameters!$B$52)/(1-Parameters!$B$52)*Q193,-10+P193*1000)</f>
        <v>-0.15698891558633696</v>
      </c>
      <c r="S193" s="7"/>
      <c r="T193" s="7"/>
      <c r="U193" s="7"/>
      <c r="V193" s="7"/>
    </row>
    <row r="194" spans="1:22" x14ac:dyDescent="0.25">
      <c r="A194">
        <f>A193+Parameters!$B$65</f>
        <v>190</v>
      </c>
      <c r="B194" s="9">
        <f t="shared" si="39"/>
        <v>5.191758263687303E-2</v>
      </c>
      <c r="C194" s="9">
        <f t="shared" si="39"/>
        <v>1.0017548050425843E-2</v>
      </c>
      <c r="D194" s="7">
        <f t="shared" si="39"/>
        <v>0.2959598429278244</v>
      </c>
      <c r="E194" s="7">
        <f>MAX((1-Parameters!$B$4)^Parameters!B$65*E193+B193*Parameters!B$65-Parameters!$B$5*B193^2/E193*Parameters!B$65,0.0001)</f>
        <v>0.76972655910234677</v>
      </c>
      <c r="F194" s="9">
        <f>MAX((1-Parameters!$B$4)^Parameters!B$65*F193+C193*Parameters!B$65-Parameters!$B$5*C193^2/F193*Parameters!B$65,0.0001)</f>
        <v>0.148519486733309</v>
      </c>
      <c r="G194" s="7">
        <f>MAX((1-Parameters!$B$4)^Parameters!B$65*G193+D193*Parameters!B$65-Parameters!$B$5*D193^2/G193*Parameters!B$65,0.0001)</f>
        <v>4.3878788168304954</v>
      </c>
      <c r="I194" s="7">
        <f>I193*(1+Parameters!$B$51)^Parameters!B$65</f>
        <v>14.146210234421439</v>
      </c>
      <c r="J194" s="7">
        <f>J193*(1+Parameters!$B$53)^Parameters!B$65</f>
        <v>389.76728406257092</v>
      </c>
      <c r="K194" s="7">
        <f>'6states'!$O$4</f>
        <v>0.98104277196026479</v>
      </c>
      <c r="L194" s="9">
        <f t="shared" si="35"/>
        <v>0.5</v>
      </c>
      <c r="N194" s="7">
        <f>(Parameters!$B$19*(E194+Parameters!$B$20)^L194+Parameters!$B$18*F194^L194)^(1/L194)</f>
        <v>0.53556402003026304</v>
      </c>
      <c r="O194" s="7">
        <f>(Parameters!$B$10*G194^Parameters!$B$9 + Parameters!$B$11*N194^Parameters!$B$9) ^ (Parameters!$B$7/Parameters!$B$9) * K194</f>
        <v>1.5032567743286789</v>
      </c>
      <c r="P194" s="7">
        <f t="shared" si="34"/>
        <v>1.1453618007135558</v>
      </c>
      <c r="Q194" s="7">
        <f>EXP(-Parameters!$B$55*A194)</f>
        <v>5.6755653865342197E-2</v>
      </c>
      <c r="R194" s="7">
        <f>IF(P194&gt;0,P194^(1-Parameters!$B$52)/(1-Parameters!$B$52)*Q194,-10+P194*1000)</f>
        <v>-0.15463619110802393</v>
      </c>
      <c r="S194" s="7"/>
      <c r="T194" s="7"/>
      <c r="U194" s="7"/>
      <c r="V194" s="7"/>
    </row>
    <row r="195" spans="1:22" x14ac:dyDescent="0.25">
      <c r="A195">
        <f>A194+Parameters!$B$65</f>
        <v>191</v>
      </c>
      <c r="B195" s="9">
        <f t="shared" si="39"/>
        <v>5.191758263687303E-2</v>
      </c>
      <c r="C195" s="9">
        <f t="shared" si="39"/>
        <v>1.0017548050425843E-2</v>
      </c>
      <c r="D195" s="7">
        <f t="shared" si="39"/>
        <v>0.2959598429278244</v>
      </c>
      <c r="E195" s="7">
        <f>MAX((1-Parameters!$B$4)^Parameters!B$65*E194+B194*Parameters!B$65-Parameters!$B$5*B194^2/E194*Parameters!B$65,0.0001)</f>
        <v>0.76972653217862896</v>
      </c>
      <c r="F195" s="9">
        <f>MAX((1-Parameters!$B$4)^Parameters!B$65*F194+C194*Parameters!B$65-Parameters!$B$5*C194^2/F194*Parameters!B$65,0.0001)</f>
        <v>0.14851948161234302</v>
      </c>
      <c r="G195" s="7">
        <f>MAX((1-Parameters!$B$4)^Parameters!B$65*G194+D194*Parameters!B$65-Parameters!$B$5*D194^2/G194*Parameters!B$65,0.0001)</f>
        <v>4.3878787650140652</v>
      </c>
      <c r="I195" s="7">
        <f>I194*(1+Parameters!$B$51)^Parameters!B$65</f>
        <v>14.18723424410126</v>
      </c>
      <c r="J195" s="7">
        <f>J194*(1+Parameters!$B$53)^Parameters!B$65</f>
        <v>397.56262974382236</v>
      </c>
      <c r="K195" s="7">
        <f>'6states'!$O$4</f>
        <v>0.98104277196026479</v>
      </c>
      <c r="L195" s="9">
        <f t="shared" si="35"/>
        <v>0.5</v>
      </c>
      <c r="N195" s="7">
        <f>(Parameters!$B$19*(E195+Parameters!$B$20)^L195+Parameters!$B$18*F195^L195)^(1/L195)</f>
        <v>0.53556400154165262</v>
      </c>
      <c r="O195" s="7">
        <f>(Parameters!$B$10*G195^Parameters!$B$9 + Parameters!$B$11*N195^Parameters!$B$9) ^ (Parameters!$B$7/Parameters!$B$9) * K195</f>
        <v>1.5032567669382377</v>
      </c>
      <c r="P195" s="7">
        <f t="shared" si="34"/>
        <v>1.1453617933231146</v>
      </c>
      <c r="Q195" s="7">
        <f>EXP(-Parameters!$B$55*A195)</f>
        <v>5.5905081475045089E-2</v>
      </c>
      <c r="R195" s="7">
        <f>IF(P195&gt;0,P195^(1-Parameters!$B$52)/(1-Parameters!$B$52)*Q195,-10+P195*1000)</f>
        <v>-0.15231872586507672</v>
      </c>
      <c r="S195" s="7"/>
      <c r="T195" s="7"/>
      <c r="U195" s="7"/>
      <c r="V195" s="7"/>
    </row>
    <row r="196" spans="1:22" x14ac:dyDescent="0.25">
      <c r="A196">
        <f>A195+Parameters!$B$65</f>
        <v>192</v>
      </c>
      <c r="B196" s="9">
        <f t="shared" si="39"/>
        <v>5.191758263687303E-2</v>
      </c>
      <c r="C196" s="9">
        <f t="shared" si="39"/>
        <v>1.0017548050425843E-2</v>
      </c>
      <c r="D196" s="7">
        <f t="shared" si="39"/>
        <v>0.2959598429278244</v>
      </c>
      <c r="E196" s="7">
        <f>MAX((1-Parameters!$B$4)^Parameters!B$65*E195+B195*Parameters!B$65-Parameters!$B$5*B195^2/E195*Parameters!B$65,0.0001)</f>
        <v>0.7697265068259258</v>
      </c>
      <c r="F196" s="9">
        <f>MAX((1-Parameters!$B$4)^Parameters!B$65*F195+C195*Parameters!B$65-Parameters!$B$5*C195^2/F195*Parameters!B$65,0.0001)</f>
        <v>0.14851947679018834</v>
      </c>
      <c r="G196" s="7">
        <f>MAX((1-Parameters!$B$4)^Parameters!B$65*G195+D195*Parameters!B$65-Parameters!$B$5*D195^2/G195*Parameters!B$65,0.0001)</f>
        <v>4.3878787162211532</v>
      </c>
      <c r="I196" s="7">
        <f>I195*(1+Parameters!$B$51)^Parameters!B$65</f>
        <v>14.228377223409153</v>
      </c>
      <c r="J196" s="7">
        <f>J195*(1+Parameters!$B$53)^Parameters!B$65</f>
        <v>405.51388233869881</v>
      </c>
      <c r="K196" s="7">
        <f>'6states'!$O$4</f>
        <v>0.98104277196026479</v>
      </c>
      <c r="L196" s="9">
        <f t="shared" si="35"/>
        <v>0.5</v>
      </c>
      <c r="N196" s="7">
        <f>(Parameters!$B$19*(E196+Parameters!$B$20)^L196+Parameters!$B$18*F196^L196)^(1/L196)</f>
        <v>0.53556398413186312</v>
      </c>
      <c r="O196" s="7">
        <f>(Parameters!$B$10*G196^Parameters!$B$9 + Parameters!$B$11*N196^Parameters!$B$9) ^ (Parameters!$B$7/Parameters!$B$9) * K196</f>
        <v>1.5032567599790327</v>
      </c>
      <c r="P196" s="7">
        <f t="shared" ref="P196:P259" si="40">O196-B196-C196-D196</f>
        <v>1.1453617863639094</v>
      </c>
      <c r="Q196" s="7">
        <f>EXP(-Parameters!$B$55*A196)</f>
        <v>5.5067256244579005E-2</v>
      </c>
      <c r="R196" s="7">
        <f>IF(P196&gt;0,P196^(1-Parameters!$B$52)/(1-Parameters!$B$52)*Q196,-10+P196*1000)</f>
        <v>-0.15003599144456137</v>
      </c>
      <c r="S196" s="7"/>
      <c r="T196" s="7"/>
      <c r="U196" s="7"/>
      <c r="V196" s="7"/>
    </row>
    <row r="197" spans="1:22" x14ac:dyDescent="0.25">
      <c r="A197">
        <f>A196+Parameters!$B$65</f>
        <v>193</v>
      </c>
      <c r="B197" s="9">
        <f t="shared" si="39"/>
        <v>5.191758263687303E-2</v>
      </c>
      <c r="C197" s="9">
        <f t="shared" si="39"/>
        <v>1.0017548050425843E-2</v>
      </c>
      <c r="D197" s="7">
        <f t="shared" si="39"/>
        <v>0.2959598429278244</v>
      </c>
      <c r="E197" s="7">
        <f>MAX((1-Parameters!$B$4)^Parameters!B$65*E196+B196*Parameters!B$65-Parameters!$B$5*B196^2/E196*Parameters!B$65,0.0001)</f>
        <v>0.76972648295256751</v>
      </c>
      <c r="F197" s="9">
        <f>MAX((1-Parameters!$B$4)^Parameters!B$65*F196+C196*Parameters!B$65-Parameters!$B$5*C196^2/F196*Parameters!B$65,0.0001)</f>
        <v>0.1485194722494092</v>
      </c>
      <c r="G197" s="7">
        <f>MAX((1-Parameters!$B$4)^Parameters!B$65*G196+D196*Parameters!B$65-Parameters!$B$5*D196^2/G196*Parameters!B$65,0.0001)</f>
        <v>4.3878786702753354</v>
      </c>
      <c r="I197" s="7">
        <f>I196*(1+Parameters!$B$51)^Parameters!B$65</f>
        <v>14.269639517357037</v>
      </c>
      <c r="J197" s="7">
        <f>J196*(1+Parameters!$B$53)^Parameters!B$65</f>
        <v>413.62415998547277</v>
      </c>
      <c r="K197" s="7">
        <f>'6states'!$O$4</f>
        <v>0.98104277196026479</v>
      </c>
      <c r="L197" s="9">
        <f t="shared" si="35"/>
        <v>0.5</v>
      </c>
      <c r="N197" s="7">
        <f>(Parameters!$B$19*(E197+Parameters!$B$20)^L197+Parameters!$B$18*F197^L197)^(1/L197)</f>
        <v>0.5355639677379449</v>
      </c>
      <c r="O197" s="7">
        <f>(Parameters!$B$10*G197^Parameters!$B$9 + Parameters!$B$11*N197^Parameters!$B$9) ^ (Parameters!$B$7/Parameters!$B$9) * K197</f>
        <v>1.5032567534259014</v>
      </c>
      <c r="P197" s="7">
        <f t="shared" si="40"/>
        <v>1.145361779810778</v>
      </c>
      <c r="Q197" s="7">
        <f>EXP(-Parameters!$B$55*A197)</f>
        <v>5.4241987137783339E-2</v>
      </c>
      <c r="R197" s="7">
        <f>IF(P197&gt;0,P197^(1-Parameters!$B$52)/(1-Parameters!$B$52)*Q197,-10+P197*1000)</f>
        <v>-0.14778746735249831</v>
      </c>
      <c r="S197" s="7"/>
      <c r="T197" s="7"/>
      <c r="U197" s="7"/>
      <c r="V197" s="7"/>
    </row>
    <row r="198" spans="1:22" x14ac:dyDescent="0.25">
      <c r="A198">
        <f>A197+Parameters!$B$65</f>
        <v>194</v>
      </c>
      <c r="B198" s="9">
        <f t="shared" si="39"/>
        <v>5.191758263687303E-2</v>
      </c>
      <c r="C198" s="9">
        <f t="shared" si="39"/>
        <v>1.0017548050425843E-2</v>
      </c>
      <c r="D198" s="7">
        <f t="shared" si="39"/>
        <v>0.2959598429278244</v>
      </c>
      <c r="E198" s="7">
        <f>MAX((1-Parameters!$B$4)^Parameters!B$65*E197+B197*Parameters!B$65-Parameters!$B$5*B197^2/E197*Parameters!B$65,0.0001)</f>
        <v>0.76972646047223348</v>
      </c>
      <c r="F198" s="9">
        <f>MAX((1-Parameters!$B$4)^Parameters!B$65*F197+C197*Parameters!B$65-Parameters!$B$5*C197^2/F197*Parameters!B$65,0.0001)</f>
        <v>0.14851946797358717</v>
      </c>
      <c r="G198" s="7">
        <f>MAX((1-Parameters!$B$4)^Parameters!B$65*G197+D197*Parameters!B$65-Parameters!$B$5*D197^2/G197*Parameters!B$65,0.0001)</f>
        <v>4.3878786270104833</v>
      </c>
      <c r="I198" s="7">
        <f>I197*(1+Parameters!$B$51)^Parameters!B$65</f>
        <v>14.311021471957371</v>
      </c>
      <c r="J198" s="7">
        <f>J197*(1+Parameters!$B$53)^Parameters!B$65</f>
        <v>421.89664318518226</v>
      </c>
      <c r="K198" s="7">
        <f>'6states'!$O$4</f>
        <v>0.98104277196026479</v>
      </c>
      <c r="L198" s="9">
        <f t="shared" ref="L198:L204" si="41">L197</f>
        <v>0.5</v>
      </c>
      <c r="N198" s="7">
        <f>(Parameters!$B$19*(E198+Parameters!$B$20)^L198+Parameters!$B$18*F198^L198)^(1/L198)</f>
        <v>0.53556395230062148</v>
      </c>
      <c r="O198" s="7">
        <f>(Parameters!$B$10*G198^Parameters!$B$9 + Parameters!$B$11*N198^Parameters!$B$9) ^ (Parameters!$B$7/Parameters!$B$9) * K198</f>
        <v>1.5032567472551488</v>
      </c>
      <c r="P198" s="7">
        <f t="shared" si="40"/>
        <v>1.1453617736400257</v>
      </c>
      <c r="Q198" s="7">
        <f>EXP(-Parameters!$B$55*A198)</f>
        <v>5.3429085981473647E-2</v>
      </c>
      <c r="R198" s="7">
        <f>IF(P198&gt;0,P198^(1-Parameters!$B$52)/(1-Parameters!$B$52)*Q198,-10+P198*1000)</f>
        <v>-0.14557264089519495</v>
      </c>
      <c r="S198" s="7"/>
      <c r="T198" s="7"/>
      <c r="U198" s="7"/>
      <c r="V198" s="7"/>
    </row>
    <row r="199" spans="1:22" x14ac:dyDescent="0.25">
      <c r="A199">
        <f>A198+Parameters!$B$65</f>
        <v>195</v>
      </c>
      <c r="B199" s="9">
        <f t="shared" si="39"/>
        <v>5.191758263687303E-2</v>
      </c>
      <c r="C199" s="9">
        <f t="shared" si="39"/>
        <v>1.0017548050425843E-2</v>
      </c>
      <c r="D199" s="7">
        <f t="shared" si="39"/>
        <v>0.2959598429278244</v>
      </c>
      <c r="E199" s="7">
        <f>MAX((1-Parameters!$B$4)^Parameters!B$65*E198+B198*Parameters!B$65-Parameters!$B$5*B198^2/E198*Parameters!B$65,0.0001)</f>
        <v>0.76972643930364004</v>
      </c>
      <c r="F199" s="9">
        <f>MAX((1-Parameters!$B$4)^Parameters!B$65*F198+C198*Parameters!B$65-Parameters!$B$5*C198^2/F198*Parameters!B$65,0.0001)</f>
        <v>0.14851946394726184</v>
      </c>
      <c r="G199" s="7">
        <f>MAX((1-Parameters!$B$4)^Parameters!B$65*G198+D198*Parameters!B$65-Parameters!$B$5*D198^2/G198*Parameters!B$65,0.0001)</f>
        <v>4.3878785862701601</v>
      </c>
      <c r="I199" s="7">
        <f>I198*(1+Parameters!$B$51)^Parameters!B$65</f>
        <v>14.352523434226047</v>
      </c>
      <c r="J199" s="7">
        <f>J198*(1+Parameters!$B$53)^Parameters!B$65</f>
        <v>430.33457604888594</v>
      </c>
      <c r="K199" s="7">
        <f>'6states'!$O$4</f>
        <v>0.98104277196026479</v>
      </c>
      <c r="L199" s="9">
        <f t="shared" si="41"/>
        <v>0.5</v>
      </c>
      <c r="N199" s="7">
        <f>(Parameters!$B$19*(E199+Parameters!$B$20)^L199+Parameters!$B$18*F199^L199)^(1/L199)</f>
        <v>0.53556393776407485</v>
      </c>
      <c r="O199" s="7">
        <f>(Parameters!$B$10*G199^Parameters!$B$9 + Parameters!$B$11*N199^Parameters!$B$9) ^ (Parameters!$B$7/Parameters!$B$9) * K199</f>
        <v>1.5032567414444631</v>
      </c>
      <c r="P199" s="7">
        <f t="shared" si="40"/>
        <v>1.14536176782934</v>
      </c>
      <c r="Q199" s="7">
        <f>EXP(-Parameters!$B$55*A199)</f>
        <v>5.2628367422535426E-2</v>
      </c>
      <c r="R199" s="7">
        <f>IF(P199&gt;0,P199^(1-Parameters!$B$52)/(1-Parameters!$B$52)*Q199,-10+P199*1000)</f>
        <v>-0.14339100706235541</v>
      </c>
      <c r="S199" s="7"/>
      <c r="T199" s="7"/>
      <c r="U199" s="7"/>
      <c r="V199" s="7"/>
    </row>
    <row r="200" spans="1:22" x14ac:dyDescent="0.25">
      <c r="A200">
        <f>A199+Parameters!$B$65</f>
        <v>196</v>
      </c>
      <c r="B200" s="9">
        <f t="shared" si="39"/>
        <v>5.191758263687303E-2</v>
      </c>
      <c r="C200" s="9">
        <f t="shared" si="39"/>
        <v>1.0017548050425843E-2</v>
      </c>
      <c r="D200" s="7">
        <f t="shared" si="39"/>
        <v>0.2959598429278244</v>
      </c>
      <c r="E200" s="7">
        <f>MAX((1-Parameters!$B$4)^Parameters!B$65*E199+B199*Parameters!B$65-Parameters!$B$5*B199^2/E199*Parameters!B$65,0.0001)</f>
        <v>0.76972641937024633</v>
      </c>
      <c r="F200" s="9">
        <f>MAX((1-Parameters!$B$4)^Parameters!B$65*F199+C199*Parameters!B$65-Parameters!$B$5*C199^2/F199*Parameters!B$65,0.0001)</f>
        <v>0.14851946015587492</v>
      </c>
      <c r="G200" s="7">
        <f>MAX((1-Parameters!$B$4)^Parameters!B$65*G199+D199*Parameters!B$65-Parameters!$B$5*D199^2/G199*Parameters!B$65,0.0001)</f>
        <v>4.3878785479070581</v>
      </c>
      <c r="I200" s="7">
        <f>I199*(1+Parameters!$B$51)^Parameters!B$65</f>
        <v>14.394145752185301</v>
      </c>
      <c r="J200" s="7">
        <f>J199*(1+Parameters!$B$53)^Parameters!B$65</f>
        <v>438.94126756986367</v>
      </c>
      <c r="K200" s="7">
        <f>'6states'!$O$4</f>
        <v>0.98104277196026479</v>
      </c>
      <c r="L200" s="9">
        <f t="shared" si="41"/>
        <v>0.5</v>
      </c>
      <c r="N200" s="7">
        <f>(Parameters!$B$19*(E200+Parameters!$B$20)^L200+Parameters!$B$18*F200^L200)^(1/L200)</f>
        <v>0.53556392407574416</v>
      </c>
      <c r="O200" s="7">
        <f>(Parameters!$B$10*G200^Parameters!$B$9 + Parameters!$B$11*N200^Parameters!$B$9) ^ (Parameters!$B$7/Parameters!$B$9) * K200</f>
        <v>1.5032567359728342</v>
      </c>
      <c r="P200" s="7">
        <f t="shared" si="40"/>
        <v>1.145361762357711</v>
      </c>
      <c r="Q200" s="7">
        <f>EXP(-Parameters!$B$55*A200)</f>
        <v>5.1839648885661067E-2</v>
      </c>
      <c r="R200" s="7">
        <f>IF(P200&gt;0,P200^(1-Parameters!$B$52)/(1-Parameters!$B$52)*Q200,-10+P200*1000)</f>
        <v>-0.14124206841194181</v>
      </c>
      <c r="S200" s="7"/>
      <c r="T200" s="7"/>
      <c r="U200" s="7"/>
      <c r="V200" s="7"/>
    </row>
    <row r="201" spans="1:22" x14ac:dyDescent="0.25">
      <c r="A201">
        <f>A200+Parameters!$B$65</f>
        <v>197</v>
      </c>
      <c r="B201" s="9">
        <f t="shared" si="39"/>
        <v>5.191758263687303E-2</v>
      </c>
      <c r="C201" s="9">
        <f t="shared" si="39"/>
        <v>1.0017548050425843E-2</v>
      </c>
      <c r="D201" s="7">
        <f t="shared" si="39"/>
        <v>0.2959598429278244</v>
      </c>
      <c r="E201" s="7">
        <f>MAX((1-Parameters!$B$4)^Parameters!B$65*E200+B200*Parameters!B$65-Parameters!$B$5*B200^2/E200*Parameters!B$65,0.0001)</f>
        <v>0.76972640059997754</v>
      </c>
      <c r="F201" s="9">
        <f>MAX((1-Parameters!$B$4)^Parameters!B$65*F200+C200*Parameters!B$65-Parameters!$B$5*C200^2/F200*Parameters!B$65,0.0001)</f>
        <v>0.14851945658571764</v>
      </c>
      <c r="G201" s="7">
        <f>MAX((1-Parameters!$B$4)^Parameters!B$65*G200+D200*Parameters!B$65-Parameters!$B$5*D200^2/G200*Parameters!B$65,0.0001)</f>
        <v>4.3878785117824659</v>
      </c>
      <c r="I201" s="7">
        <f>I200*(1+Parameters!$B$51)^Parameters!B$65</f>
        <v>14.435888774866637</v>
      </c>
      <c r="J201" s="7">
        <f>J200*(1+Parameters!$B$53)^Parameters!B$65</f>
        <v>447.72009292126097</v>
      </c>
      <c r="K201" s="7">
        <f>'6states'!$O$4</f>
        <v>0.98104277196026479</v>
      </c>
      <c r="L201" s="9">
        <f t="shared" si="41"/>
        <v>0.5</v>
      </c>
      <c r="N201" s="7">
        <f>(Parameters!$B$19*(E201+Parameters!$B$20)^L201+Parameters!$B$18*F201^L201)^(1/L201)</f>
        <v>0.53556391118613522</v>
      </c>
      <c r="O201" s="7">
        <f>(Parameters!$B$10*G201^Parameters!$B$9 + Parameters!$B$11*N201^Parameters!$B$9) ^ (Parameters!$B$7/Parameters!$B$9) * K201</f>
        <v>1.5032567308204774</v>
      </c>
      <c r="P201" s="7">
        <f t="shared" si="40"/>
        <v>1.1453617572053543</v>
      </c>
      <c r="Q201" s="7">
        <f>EXP(-Parameters!$B$55*A201)</f>
        <v>5.1062750531719887E-2</v>
      </c>
      <c r="R201" s="7">
        <f>IF(P201&gt;0,P201^(1-Parameters!$B$52)/(1-Parameters!$B$52)*Q201,-10+P201*1000)</f>
        <v>-0.13912533495675994</v>
      </c>
      <c r="S201" s="7"/>
      <c r="T201" s="7"/>
      <c r="U201" s="7"/>
      <c r="V201" s="7"/>
    </row>
    <row r="202" spans="1:22" x14ac:dyDescent="0.25">
      <c r="A202">
        <f>A201+Parameters!$B$65</f>
        <v>198</v>
      </c>
      <c r="B202" s="9">
        <f t="shared" si="39"/>
        <v>5.191758263687303E-2</v>
      </c>
      <c r="C202" s="9">
        <f t="shared" si="39"/>
        <v>1.0017548050425843E-2</v>
      </c>
      <c r="D202" s="7">
        <f t="shared" si="39"/>
        <v>0.2959598429278244</v>
      </c>
      <c r="E202" s="7">
        <f>MAX((1-Parameters!$B$4)^Parameters!B$65*E201+B201*Parameters!B$65-Parameters!$B$5*B201^2/E201*Parameters!B$65,0.0001)</f>
        <v>0.76972638292496487</v>
      </c>
      <c r="F202" s="9">
        <f>MAX((1-Parameters!$B$4)^Parameters!B$65*F201+C201*Parameters!B$65-Parameters!$B$5*C201^2/F201*Parameters!B$65,0.0001)</f>
        <v>0.14851945322388108</v>
      </c>
      <c r="G202" s="7">
        <f>MAX((1-Parameters!$B$4)^Parameters!B$65*G201+D201*Parameters!B$65-Parameters!$B$5*D201^2/G201*Parameters!B$65,0.0001)</f>
        <v>4.3878784777657636</v>
      </c>
      <c r="I202" s="7">
        <f>I201*(1+Parameters!$B$51)^Parameters!B$65</f>
        <v>14.477752852313749</v>
      </c>
      <c r="J202" s="7">
        <f>J201*(1+Parameters!$B$53)^Parameters!B$65</f>
        <v>456.6744947796862</v>
      </c>
      <c r="K202" s="7">
        <f>'6states'!$O$4</f>
        <v>0.98104277196026479</v>
      </c>
      <c r="L202" s="9">
        <f t="shared" si="41"/>
        <v>0.5</v>
      </c>
      <c r="N202" s="7">
        <f>(Parameters!$B$19*(E202+Parameters!$B$20)^L202+Parameters!$B$18*F202^L202)^(1/L202)</f>
        <v>0.53556389904864254</v>
      </c>
      <c r="O202" s="7">
        <f>(Parameters!$B$10*G202^Parameters!$B$9 + Parameters!$B$11*N202^Parameters!$B$9) ^ (Parameters!$B$7/Parameters!$B$9) * K202</f>
        <v>1.5032567259687637</v>
      </c>
      <c r="P202" s="7">
        <f t="shared" si="40"/>
        <v>1.1453617523536406</v>
      </c>
      <c r="Q202" s="7">
        <f>EXP(-Parameters!$B$55*A202)</f>
        <v>5.0297495216752343E-2</v>
      </c>
      <c r="R202" s="7">
        <f>IF(P202&gt;0,P202^(1-Parameters!$B$52)/(1-Parameters!$B$52)*Q202,-10+P202*1000)</f>
        <v>-0.13704032405274447</v>
      </c>
      <c r="S202" s="7"/>
      <c r="T202" s="7"/>
      <c r="U202" s="7"/>
      <c r="V202" s="7"/>
    </row>
    <row r="203" spans="1:22" x14ac:dyDescent="0.25">
      <c r="A203">
        <f>A202+Parameters!$B$65</f>
        <v>199</v>
      </c>
      <c r="B203" s="9">
        <f t="shared" si="39"/>
        <v>5.191758263687303E-2</v>
      </c>
      <c r="C203" s="9">
        <f t="shared" si="39"/>
        <v>1.0017548050425843E-2</v>
      </c>
      <c r="D203" s="7">
        <f t="shared" si="39"/>
        <v>0.2959598429278244</v>
      </c>
      <c r="E203" s="7">
        <f>MAX((1-Parameters!$B$4)^Parameters!B$65*E202+B202*Parameters!B$65-Parameters!$B$5*B202^2/E202*Parameters!B$65,0.0001)</f>
        <v>0.76972636628129942</v>
      </c>
      <c r="F203" s="9">
        <f>MAX((1-Parameters!$B$4)^Parameters!B$65*F202+C202*Parameters!B$65-Parameters!$B$5*C202^2/F202*Parameters!B$65,0.0001)</f>
        <v>0.14851945005820963</v>
      </c>
      <c r="G203" s="7">
        <f>MAX((1-Parameters!$B$4)^Parameters!B$65*G202+D202*Parameters!B$65-Parameters!$B$5*D202^2/G202*Parameters!B$65,0.0001)</f>
        <v>4.3878784457339552</v>
      </c>
      <c r="I203" s="7">
        <f>I202*(1+Parameters!$B$51)^Parameters!B$65</f>
        <v>14.519738335585458</v>
      </c>
      <c r="J203" s="7">
        <f>J202*(1+Parameters!$B$53)^Parameters!B$65</f>
        <v>465.80798467527995</v>
      </c>
      <c r="K203" s="7">
        <f>'6states'!$O$4</f>
        <v>0.98104277196026479</v>
      </c>
      <c r="L203" s="9">
        <f t="shared" si="41"/>
        <v>0.5</v>
      </c>
      <c r="N203" s="7">
        <f>(Parameters!$B$19*(E203+Parameters!$B$20)^L203+Parameters!$B$18*F203^L203)^(1/L203)</f>
        <v>0.53556388761937967</v>
      </c>
      <c r="O203" s="7">
        <f>(Parameters!$B$10*G203^Parameters!$B$9 + Parameters!$B$11*N203^Parameters!$B$9) ^ (Parameters!$B$7/Parameters!$B$9) * K203</f>
        <v>1.5032567214001502</v>
      </c>
      <c r="P203" s="7">
        <f t="shared" si="40"/>
        <v>1.1453617477850271</v>
      </c>
      <c r="Q203" s="7">
        <f>EXP(-Parameters!$B$55*A203)</f>
        <v>4.9543708451578718E-2</v>
      </c>
      <c r="R203" s="7">
        <f>IF(P203&gt;0,P203^(1-Parameters!$B$52)/(1-Parameters!$B$52)*Q203,-10+P203*1000)</f>
        <v>-0.13498656028891781</v>
      </c>
      <c r="S203" s="7"/>
      <c r="T203" s="7"/>
      <c r="U203" s="7"/>
      <c r="V203" s="7"/>
    </row>
    <row r="204" spans="1:22" x14ac:dyDescent="0.25">
      <c r="A204">
        <f>A203+Parameters!$B$65</f>
        <v>200</v>
      </c>
      <c r="B204" s="9">
        <f t="shared" si="39"/>
        <v>5.191758263687303E-2</v>
      </c>
      <c r="C204" s="9">
        <f t="shared" si="39"/>
        <v>1.0017548050425843E-2</v>
      </c>
      <c r="D204" s="7">
        <f t="shared" si="39"/>
        <v>0.2959598429278244</v>
      </c>
      <c r="E204" s="7">
        <f>MAX((1-Parameters!$B$4)^Parameters!B$65*E203+B203*Parameters!B$65-Parameters!$B$5*B203^2/E203*Parameters!B$65,0.0001)</f>
        <v>0.76972635060880157</v>
      </c>
      <c r="F204" s="9">
        <f>MAX((1-Parameters!$B$4)^Parameters!B$65*F203+C203*Parameters!B$65-Parameters!$B$5*C203^2/F203*Parameters!B$65,0.0001)</f>
        <v>0.14851944707725692</v>
      </c>
      <c r="G204" s="7">
        <f>MAX((1-Parameters!$B$4)^Parameters!B$65*G203+D203*Parameters!B$65-Parameters!$B$5*D203^2/G203*Parameters!B$65,0.0001)</f>
        <v>4.3878784155712216</v>
      </c>
      <c r="I204" s="7">
        <f>I203*(1+Parameters!$B$51)^Parameters!B$65</f>
        <v>14.561845576758655</v>
      </c>
      <c r="J204" s="7">
        <f>J203*(1+Parameters!$B$53)^Parameters!B$65</f>
        <v>475.12414436878555</v>
      </c>
      <c r="K204" s="7">
        <f>'6states'!$O$4</f>
        <v>0.98104277196026479</v>
      </c>
      <c r="L204" s="9">
        <f t="shared" si="41"/>
        <v>0.5</v>
      </c>
      <c r="N204" s="7">
        <f>(Parameters!$B$19*(E204+Parameters!$B$20)^L204+Parameters!$B$18*F204^L204)^(1/L204)</f>
        <v>0.53556387685702112</v>
      </c>
      <c r="O204" s="7">
        <f>(Parameters!$B$10*G204^Parameters!$B$9 + Parameters!$B$11*N204^Parameters!$B$9) ^ (Parameters!$B$7/Parameters!$B$9) * K204</f>
        <v>1.5032567170981179</v>
      </c>
      <c r="P204" s="7">
        <f t="shared" si="40"/>
        <v>1.1453617434829946</v>
      </c>
      <c r="Q204" s="7">
        <f>EXP(-Parameters!$B$55*A204)</f>
        <v>4.8801218362012941E-2</v>
      </c>
      <c r="R204" s="7">
        <f>IF(P204&gt;0,P204^(1-Parameters!$B$52)/(1-Parameters!$B$52)*Q204,-10+P204*1000)</f>
        <v>-0.13296357537899725</v>
      </c>
      <c r="S204" s="7"/>
      <c r="T204" s="7"/>
      <c r="U204" s="7"/>
      <c r="V204" s="7"/>
    </row>
    <row r="205" spans="1:22" x14ac:dyDescent="0.25">
      <c r="A205">
        <f>A204+Parameters!$B$65</f>
        <v>201</v>
      </c>
      <c r="B205" s="9">
        <f t="shared" ref="B205:D205" si="42">B204</f>
        <v>5.191758263687303E-2</v>
      </c>
      <c r="C205" s="9">
        <f t="shared" si="42"/>
        <v>1.0017548050425843E-2</v>
      </c>
      <c r="D205" s="7">
        <f t="shared" si="42"/>
        <v>0.2959598429278244</v>
      </c>
      <c r="E205" s="7">
        <f>MAX((1-Parameters!$B$4)^Parameters!B$65*E204+B204*Parameters!B$65-Parameters!$B$5*B204^2/E204*Parameters!B$65,0.0001)</f>
        <v>0.76972633585080297</v>
      </c>
      <c r="F205" s="9">
        <f>MAX((1-Parameters!$B$4)^Parameters!B$65*F204+C204*Parameters!B$65-Parameters!$B$5*C204^2/F204*Parameters!B$65,0.0001)</f>
        <v>0.14851944427024455</v>
      </c>
      <c r="G205" s="7">
        <f>MAX((1-Parameters!$B$4)^Parameters!B$65*G204+D204*Parameters!B$65-Parameters!$B$5*D204^2/G204*Parameters!B$65,0.0001)</f>
        <v>4.3878783871685005</v>
      </c>
      <c r="I205" s="7">
        <f>I204*(1+Parameters!$B$51)^Parameters!B$65</f>
        <v>14.604074928931254</v>
      </c>
      <c r="J205" s="7">
        <f>J204*(1+Parameters!$B$53)^Parameters!B$65</f>
        <v>484.62662725616127</v>
      </c>
      <c r="K205" s="7">
        <f>'6states'!$O$4</f>
        <v>0.98104277196026479</v>
      </c>
      <c r="L205" s="9">
        <f t="shared" ref="L205:L268" si="43">L204</f>
        <v>0.5</v>
      </c>
      <c r="N205" s="7">
        <f>(Parameters!$B$19*(E205+Parameters!$B$20)^L205+Parameters!$B$18*F205^L205)^(1/L205)</f>
        <v>0.53556386672265199</v>
      </c>
      <c r="O205" s="7">
        <f>(Parameters!$B$10*G205^Parameters!$B$9 + Parameters!$B$11*N205^Parameters!$B$9) ^ (Parameters!$B$7/Parameters!$B$9) * K205</f>
        <v>1.5032567130471115</v>
      </c>
      <c r="P205" s="7">
        <f t="shared" si="40"/>
        <v>1.1453617394319884</v>
      </c>
      <c r="Q205" s="7">
        <f>EXP(-Parameters!$B$55*A205)</f>
        <v>4.8069855649672907E-2</v>
      </c>
      <c r="R205" s="7">
        <f>IF(P205&gt;0,P205^(1-Parameters!$B$52)/(1-Parameters!$B$52)*Q205,-10+P205*1000)</f>
        <v>-0.1309709080546263</v>
      </c>
      <c r="S205" s="7"/>
      <c r="T205" s="7"/>
      <c r="U205" s="7"/>
      <c r="V205" s="7"/>
    </row>
    <row r="206" spans="1:22" x14ac:dyDescent="0.25">
      <c r="A206">
        <f>A205+Parameters!$B$65</f>
        <v>202</v>
      </c>
      <c r="B206" s="9">
        <f t="shared" ref="B206:D206" si="44">B205</f>
        <v>5.191758263687303E-2</v>
      </c>
      <c r="C206" s="9">
        <f t="shared" si="44"/>
        <v>1.0017548050425843E-2</v>
      </c>
      <c r="D206" s="7">
        <f t="shared" si="44"/>
        <v>0.2959598429278244</v>
      </c>
      <c r="E206" s="7">
        <f>MAX((1-Parameters!$B$4)^Parameters!B$65*E205+B205*Parameters!B$65-Parameters!$B$5*B205^2/E205*Parameters!B$65,0.0001)</f>
        <v>0.76972632195394208</v>
      </c>
      <c r="F206" s="9">
        <f>MAX((1-Parameters!$B$4)^Parameters!B$65*F205+C205*Parameters!B$65-Parameters!$B$5*C205^2/F205*Parameters!B$65,0.0001)</f>
        <v>0.14851944162702296</v>
      </c>
      <c r="G206" s="7">
        <f>MAX((1-Parameters!$B$4)^Parameters!B$65*G205+D205*Parameters!B$65-Parameters!$B$5*D205^2/G205*Parameters!B$65,0.0001)</f>
        <v>4.3878783604230946</v>
      </c>
      <c r="I206" s="7">
        <f>I205*(1+Parameters!$B$51)^Parameters!B$65</f>
        <v>14.646426746225153</v>
      </c>
      <c r="J206" s="7">
        <f>J205*(1+Parameters!$B$53)^Parameters!B$65</f>
        <v>494.31915980128451</v>
      </c>
      <c r="K206" s="7">
        <f>'6states'!$O$4</f>
        <v>0.98104277196026479</v>
      </c>
      <c r="L206" s="9">
        <f t="shared" si="43"/>
        <v>0.5</v>
      </c>
      <c r="N206" s="7">
        <f>(Parameters!$B$19*(E206+Parameters!$B$20)^L206+Parameters!$B$18*F206^L206)^(1/L206)</f>
        <v>0.5355638571796294</v>
      </c>
      <c r="O206" s="7">
        <f>(Parameters!$B$10*G206^Parameters!$B$9 + Parameters!$B$11*N206^Parameters!$B$9) ^ (Parameters!$B$7/Parameters!$B$9) * K206</f>
        <v>1.5032567092324838</v>
      </c>
      <c r="P206" s="7">
        <f t="shared" si="40"/>
        <v>1.1453617356173607</v>
      </c>
      <c r="Q206" s="7">
        <f>EXP(-Parameters!$B$55*A206)</f>
        <v>4.7349453553378031E-2</v>
      </c>
      <c r="R206" s="7">
        <f>IF(P206&gt;0,P206^(1-Parameters!$B$52)/(1-Parameters!$B$52)*Q206,-10+P206*1000)</f>
        <v>-0.12900810396020584</v>
      </c>
      <c r="S206" s="7"/>
      <c r="T206" s="7"/>
      <c r="U206" s="7"/>
      <c r="V206" s="7"/>
    </row>
    <row r="207" spans="1:22" x14ac:dyDescent="0.25">
      <c r="A207">
        <f>A206+Parameters!$B$65</f>
        <v>203</v>
      </c>
      <c r="B207" s="9">
        <f t="shared" ref="B207:D207" si="45">B206</f>
        <v>5.191758263687303E-2</v>
      </c>
      <c r="C207" s="9">
        <f t="shared" si="45"/>
        <v>1.0017548050425843E-2</v>
      </c>
      <c r="D207" s="7">
        <f t="shared" si="45"/>
        <v>0.2959598429278244</v>
      </c>
      <c r="E207" s="7">
        <f>MAX((1-Parameters!$B$4)^Parameters!B$65*E206+B206*Parameters!B$65-Parameters!$B$5*B206^2/E206*Parameters!B$65,0.0001)</f>
        <v>0.76972630886797111</v>
      </c>
      <c r="F207" s="9">
        <f>MAX((1-Parameters!$B$4)^Parameters!B$65*F206+C206*Parameters!B$65-Parameters!$B$5*C206^2/F206*Parameters!B$65,0.0001)</f>
        <v>0.14851943913803489</v>
      </c>
      <c r="G207" s="7">
        <f>MAX((1-Parameters!$B$4)^Parameters!B$65*G206+D206*Parameters!B$65-Parameters!$B$5*D206^2/G206*Parameters!B$65,0.0001)</f>
        <v>4.3878783352382991</v>
      </c>
      <c r="I207" s="7">
        <f>I206*(1+Parameters!$B$51)^Parameters!B$65</f>
        <v>14.688901383789204</v>
      </c>
      <c r="J207" s="7">
        <f>J206*(1+Parameters!$B$53)^Parameters!B$65</f>
        <v>504.2055429973102</v>
      </c>
      <c r="K207" s="7">
        <f>'6states'!$O$4</f>
        <v>0.98104277196026479</v>
      </c>
      <c r="L207" s="9">
        <f t="shared" si="43"/>
        <v>0.5</v>
      </c>
      <c r="N207" s="7">
        <f>(Parameters!$B$19*(E207+Parameters!$B$20)^L207+Parameters!$B$18*F207^L207)^(1/L207)</f>
        <v>0.53556384819344749</v>
      </c>
      <c r="O207" s="7">
        <f>(Parameters!$B$10*G207^Parameters!$B$9 + Parameters!$B$11*N207^Parameters!$B$9) ^ (Parameters!$B$7/Parameters!$B$9) * K207</f>
        <v>1.5032567056404413</v>
      </c>
      <c r="P207" s="7">
        <f t="shared" si="40"/>
        <v>1.145361732025318</v>
      </c>
      <c r="Q207" s="7">
        <f>EXP(-Parameters!$B$55*A207)</f>
        <v>4.6639847811125214E-2</v>
      </c>
      <c r="R207" s="7">
        <f>IF(P207&gt;0,P207^(1-Parameters!$B$52)/(1-Parameters!$B$52)*Q207,-10+P207*1000)</f>
        <v>-0.12707471554930064</v>
      </c>
      <c r="S207" s="7"/>
      <c r="T207" s="7"/>
      <c r="U207" s="7"/>
      <c r="V207" s="7"/>
    </row>
    <row r="208" spans="1:22" x14ac:dyDescent="0.25">
      <c r="A208">
        <f>A207+Parameters!$B$65</f>
        <v>204</v>
      </c>
      <c r="B208" s="9">
        <f t="shared" ref="B208:D208" si="46">B207</f>
        <v>5.191758263687303E-2</v>
      </c>
      <c r="C208" s="9">
        <f t="shared" si="46"/>
        <v>1.0017548050425843E-2</v>
      </c>
      <c r="D208" s="7">
        <f t="shared" si="46"/>
        <v>0.2959598429278244</v>
      </c>
      <c r="E208" s="7">
        <f>MAX((1-Parameters!$B$4)^Parameters!B$65*E207+B207*Parameters!B$65-Parameters!$B$5*B207^2/E207*Parameters!B$65,0.0001)</f>
        <v>0.76972629654557412</v>
      </c>
      <c r="F208" s="9">
        <f>MAX((1-Parameters!$B$4)^Parameters!B$65*F207+C207*Parameters!B$65-Parameters!$B$5*C207^2/F207*Parameters!B$65,0.0001)</f>
        <v>0.1485194367942807</v>
      </c>
      <c r="G208" s="7">
        <f>MAX((1-Parameters!$B$4)^Parameters!B$65*G207+D207*Parameters!B$65-Parameters!$B$5*D207^2/G207*Parameters!B$65,0.0001)</f>
        <v>4.3878783115230515</v>
      </c>
      <c r="I208" s="7">
        <f>I207*(1+Parameters!$B$51)^Parameters!B$65</f>
        <v>14.731499197802192</v>
      </c>
      <c r="J208" s="7">
        <f>J207*(1+Parameters!$B$53)^Parameters!B$65</f>
        <v>514.28965385725644</v>
      </c>
      <c r="K208" s="7">
        <f>'6states'!$O$4</f>
        <v>0.98104277196026479</v>
      </c>
      <c r="L208" s="9">
        <f t="shared" si="43"/>
        <v>0.5</v>
      </c>
      <c r="N208" s="7">
        <f>(Parameters!$B$19*(E208+Parameters!$B$20)^L208+Parameters!$B$18*F208^L208)^(1/L208)</f>
        <v>0.53556383973161481</v>
      </c>
      <c r="O208" s="7">
        <f>(Parameters!$B$10*G208^Parameters!$B$9 + Parameters!$B$11*N208^Parameters!$B$9) ^ (Parameters!$B$7/Parameters!$B$9) * K208</f>
        <v>1.503256702257997</v>
      </c>
      <c r="P208" s="7">
        <f t="shared" si="40"/>
        <v>1.1453617286428739</v>
      </c>
      <c r="Q208" s="7">
        <f>EXP(-Parameters!$B$55*A208)</f>
        <v>4.5940876622634921E-2</v>
      </c>
      <c r="R208" s="7">
        <f>IF(P208&gt;0,P208^(1-Parameters!$B$52)/(1-Parameters!$B$52)*Q208,-10+P208*1000)</f>
        <v>-0.12517030198259843</v>
      </c>
      <c r="S208" s="7"/>
      <c r="T208" s="7"/>
      <c r="U208" s="7"/>
      <c r="V208" s="7"/>
    </row>
    <row r="209" spans="1:22" x14ac:dyDescent="0.25">
      <c r="A209">
        <f>A208+Parameters!$B$65</f>
        <v>205</v>
      </c>
      <c r="B209" s="9">
        <f t="shared" ref="B209:D209" si="47">B208</f>
        <v>5.191758263687303E-2</v>
      </c>
      <c r="C209" s="9">
        <f t="shared" si="47"/>
        <v>1.0017548050425843E-2</v>
      </c>
      <c r="D209" s="7">
        <f t="shared" si="47"/>
        <v>0.2959598429278244</v>
      </c>
      <c r="E209" s="7">
        <f>MAX((1-Parameters!$B$4)^Parameters!B$65*E208+B208*Parameters!B$65-Parameters!$B$5*B208^2/E208*Parameters!B$65,0.0001)</f>
        <v>0.76972628494219597</v>
      </c>
      <c r="F209" s="9">
        <f>MAX((1-Parameters!$B$4)^Parameters!B$65*F208+C208*Parameters!B$65-Parameters!$B$5*C208^2/F208*Parameters!B$65,0.0001)</f>
        <v>0.14851943458728592</v>
      </c>
      <c r="G209" s="7">
        <f>MAX((1-Parameters!$B$4)^Parameters!B$65*G208+D208*Parameters!B$65-Parameters!$B$5*D208^2/G208*Parameters!B$65,0.0001)</f>
        <v>4.3878782891916011</v>
      </c>
      <c r="I209" s="7">
        <f>I208*(1+Parameters!$B$51)^Parameters!B$65</f>
        <v>14.774220545475817</v>
      </c>
      <c r="J209" s="7">
        <f>J208*(1+Parameters!$B$53)^Parameters!B$65</f>
        <v>524.57544693440161</v>
      </c>
      <c r="K209" s="7">
        <f>'6states'!$O$4</f>
        <v>0.98104277196026479</v>
      </c>
      <c r="L209" s="9">
        <f t="shared" si="43"/>
        <v>0.5</v>
      </c>
      <c r="N209" s="7">
        <f>(Parameters!$B$19*(E209+Parameters!$B$20)^L209+Parameters!$B$18*F209^L209)^(1/L209)</f>
        <v>0.53556383176353461</v>
      </c>
      <c r="O209" s="7">
        <f>(Parameters!$B$10*G209^Parameters!$B$9 + Parameters!$B$11*N209^Parameters!$B$9) ^ (Parameters!$B$7/Parameters!$B$9) * K209</f>
        <v>1.5032566990729199</v>
      </c>
      <c r="P209" s="7">
        <f t="shared" si="40"/>
        <v>1.1453617254577968</v>
      </c>
      <c r="Q209" s="7">
        <f>EXP(-Parameters!$B$55*A209)</f>
        <v>4.5252380612458197E-2</v>
      </c>
      <c r="R209" s="7">
        <f>IF(P209&gt;0,P209^(1-Parameters!$B$52)/(1-Parameters!$B$52)*Q209,-10+P209*1000)</f>
        <v>-0.12329442902739726</v>
      </c>
      <c r="S209" s="7"/>
      <c r="T209" s="7"/>
      <c r="U209" s="7"/>
      <c r="V209" s="7"/>
    </row>
    <row r="210" spans="1:22" x14ac:dyDescent="0.25">
      <c r="A210">
        <f>A209+Parameters!$B$65</f>
        <v>206</v>
      </c>
      <c r="B210" s="9">
        <f t="shared" ref="B210:D210" si="48">B209</f>
        <v>5.191758263687303E-2</v>
      </c>
      <c r="C210" s="9">
        <f t="shared" si="48"/>
        <v>1.0017548050425843E-2</v>
      </c>
      <c r="D210" s="7">
        <f t="shared" si="48"/>
        <v>0.2959598429278244</v>
      </c>
      <c r="E210" s="7">
        <f>MAX((1-Parameters!$B$4)^Parameters!B$65*E209+B209*Parameters!B$65-Parameters!$B$5*B209^2/E209*Parameters!B$65,0.0001)</f>
        <v>0.76972627401588167</v>
      </c>
      <c r="F210" s="9">
        <f>MAX((1-Parameters!$B$4)^Parameters!B$65*F209+C209*Parameters!B$65-Parameters!$B$5*C209^2/F209*Parameters!B$65,0.0001)</f>
        <v>0.14851943250907057</v>
      </c>
      <c r="G210" s="7">
        <f>MAX((1-Parameters!$B$4)^Parameters!B$65*G209+D209*Parameters!B$65-Parameters!$B$5*D209^2/G209*Parameters!B$65,0.0001)</f>
        <v>4.3878782681632034</v>
      </c>
      <c r="I210" s="7">
        <f>I209*(1+Parameters!$B$51)^Parameters!B$65</f>
        <v>14.817065785057695</v>
      </c>
      <c r="J210" s="7">
        <f>J209*(1+Parameters!$B$53)^Parameters!B$65</f>
        <v>535.06695587308968</v>
      </c>
      <c r="K210" s="7">
        <f>'6states'!$O$4</f>
        <v>0.98104277196026479</v>
      </c>
      <c r="L210" s="9">
        <f t="shared" si="43"/>
        <v>0.5</v>
      </c>
      <c r="N210" s="7">
        <f>(Parameters!$B$19*(E210+Parameters!$B$20)^L210+Parameters!$B$18*F210^L210)^(1/L210)</f>
        <v>0.53556382426039673</v>
      </c>
      <c r="O210" s="7">
        <f>(Parameters!$B$10*G210^Parameters!$B$9 + Parameters!$B$11*N210^Parameters!$B$9) ^ (Parameters!$B$7/Parameters!$B$9) * K210</f>
        <v>1.5032566960736937</v>
      </c>
      <c r="P210" s="7">
        <f t="shared" si="40"/>
        <v>1.1453617224585706</v>
      </c>
      <c r="Q210" s="7">
        <f>EXP(-Parameters!$B$55*A210)</f>
        <v>4.45742027936369E-2</v>
      </c>
      <c r="R210" s="7">
        <f>IF(P210&gt;0,P210^(1-Parameters!$B$52)/(1-Parameters!$B$52)*Q210,-10+P210*1000)</f>
        <v>-0.12144666895859957</v>
      </c>
      <c r="S210" s="7"/>
      <c r="T210" s="7"/>
      <c r="U210" s="7"/>
      <c r="V210" s="7"/>
    </row>
    <row r="211" spans="1:22" x14ac:dyDescent="0.25">
      <c r="A211">
        <f>A210+Parameters!$B$65</f>
        <v>207</v>
      </c>
      <c r="B211" s="9">
        <f t="shared" ref="B211:D211" si="49">B210</f>
        <v>5.191758263687303E-2</v>
      </c>
      <c r="C211" s="9">
        <f t="shared" si="49"/>
        <v>1.0017548050425843E-2</v>
      </c>
      <c r="D211" s="7">
        <f t="shared" si="49"/>
        <v>0.2959598429278244</v>
      </c>
      <c r="E211" s="7">
        <f>MAX((1-Parameters!$B$4)^Parameters!B$65*E210+B210*Parameters!B$65-Parameters!$B$5*B210^2/E210*Parameters!B$65,0.0001)</f>
        <v>0.76972626372712427</v>
      </c>
      <c r="F211" s="9">
        <f>MAX((1-Parameters!$B$4)^Parameters!B$65*F210+C210*Parameters!B$65-Parameters!$B$5*C210^2/F210*Parameters!B$65,0.0001)</f>
        <v>0.14851943055212027</v>
      </c>
      <c r="G211" s="7">
        <f>MAX((1-Parameters!$B$4)^Parameters!B$65*G210+D210*Parameters!B$65-Parameters!$B$5*D210^2/G210*Parameters!B$65,0.0001)</f>
        <v>4.3878782483618259</v>
      </c>
      <c r="I211" s="7">
        <f>I210*(1+Parameters!$B$51)^Parameters!B$65</f>
        <v>14.860035275834361</v>
      </c>
      <c r="J211" s="7">
        <f>J210*(1+Parameters!$B$53)^Parameters!B$65</f>
        <v>545.76829499055145</v>
      </c>
      <c r="K211" s="7">
        <f>'6states'!$O$4</f>
        <v>0.98104277196026479</v>
      </c>
      <c r="L211" s="9">
        <f t="shared" si="43"/>
        <v>0.5</v>
      </c>
      <c r="N211" s="7">
        <f>(Parameters!$B$19*(E211+Parameters!$B$20)^L211+Parameters!$B$18*F211^L211)^(1/L211)</f>
        <v>0.53556381719507118</v>
      </c>
      <c r="O211" s="7">
        <f>(Parameters!$B$10*G211^Parameters!$B$9 + Parameters!$B$11*N211^Parameters!$B$9) ^ (Parameters!$B$7/Parameters!$B$9) * K211</f>
        <v>1.5032566932494746</v>
      </c>
      <c r="P211" s="7">
        <f t="shared" si="40"/>
        <v>1.1453617196343515</v>
      </c>
      <c r="Q211" s="7">
        <f>EXP(-Parameters!$B$55*A211)</f>
        <v>4.3906188531908454E-2</v>
      </c>
      <c r="R211" s="7">
        <f>IF(P211&gt;0,P211^(1-Parameters!$B$52)/(1-Parameters!$B$52)*Q211,-10+P211*1000)</f>
        <v>-0.11962660046118917</v>
      </c>
      <c r="S211" s="7"/>
      <c r="T211" s="7"/>
      <c r="U211" s="7"/>
      <c r="V211" s="7"/>
    </row>
    <row r="212" spans="1:22" x14ac:dyDescent="0.25">
      <c r="A212">
        <f>A211+Parameters!$B$65</f>
        <v>208</v>
      </c>
      <c r="B212" s="9">
        <f t="shared" ref="B212:D212" si="50">B211</f>
        <v>5.191758263687303E-2</v>
      </c>
      <c r="C212" s="9">
        <f t="shared" si="50"/>
        <v>1.0017548050425843E-2</v>
      </c>
      <c r="D212" s="7">
        <f t="shared" si="50"/>
        <v>0.2959598429278244</v>
      </c>
      <c r="E212" s="7">
        <f>MAX((1-Parameters!$B$4)^Parameters!B$65*E211+B211*Parameters!B$65-Parameters!$B$5*B211^2/E211*Parameters!B$65,0.0001)</f>
        <v>0.76972625403872164</v>
      </c>
      <c r="F212" s="9">
        <f>MAX((1-Parameters!$B$4)^Parameters!B$65*F211+C211*Parameters!B$65-Parameters!$B$5*C211^2/F211*Parameters!B$65,0.0001)</f>
        <v>0.14851942870935916</v>
      </c>
      <c r="G212" s="7">
        <f>MAX((1-Parameters!$B$4)^Parameters!B$65*G211+D211*Parameters!B$65-Parameters!$B$5*D211^2/G211*Parameters!B$65,0.0001)</f>
        <v>4.38787822971587</v>
      </c>
      <c r="I212" s="7">
        <f>I211*(1+Parameters!$B$51)^Parameters!B$65</f>
        <v>14.903129378134279</v>
      </c>
      <c r="J212" s="7">
        <f>J211*(1+Parameters!$B$53)^Parameters!B$65</f>
        <v>556.68366089036249</v>
      </c>
      <c r="K212" s="7">
        <f>'6states'!$O$4</f>
        <v>0.98104277196026479</v>
      </c>
      <c r="L212" s="9">
        <f t="shared" si="43"/>
        <v>0.5</v>
      </c>
      <c r="N212" s="7">
        <f>(Parameters!$B$19*(E212+Parameters!$B$20)^L212+Parameters!$B$18*F212^L212)^(1/L212)</f>
        <v>0.53556381054201141</v>
      </c>
      <c r="O212" s="7">
        <f>(Parameters!$B$10*G212^Parameters!$B$9 + Parameters!$B$11*N212^Parameters!$B$9) ^ (Parameters!$B$7/Parameters!$B$9) * K212</f>
        <v>1.50325669059005</v>
      </c>
      <c r="P212" s="7">
        <f t="shared" si="40"/>
        <v>1.1453617169749268</v>
      </c>
      <c r="Q212" s="7">
        <f>EXP(-Parameters!$B$55*A212)</f>
        <v>4.3248185510446908E-2</v>
      </c>
      <c r="R212" s="7">
        <f>IF(P212&gt;0,P212^(1-Parameters!$B$52)/(1-Parameters!$B$52)*Q212,-10+P212*1000)</f>
        <v>-0.11783380853416993</v>
      </c>
      <c r="S212" s="7"/>
      <c r="T212" s="7"/>
      <c r="U212" s="7"/>
      <c r="V212" s="7"/>
    </row>
    <row r="213" spans="1:22" x14ac:dyDescent="0.25">
      <c r="A213">
        <f>A212+Parameters!$B$65</f>
        <v>209</v>
      </c>
      <c r="B213" s="9">
        <f t="shared" ref="B213:D213" si="51">B212</f>
        <v>5.191758263687303E-2</v>
      </c>
      <c r="C213" s="9">
        <f t="shared" si="51"/>
        <v>1.0017548050425843E-2</v>
      </c>
      <c r="D213" s="7">
        <f t="shared" si="51"/>
        <v>0.2959598429278244</v>
      </c>
      <c r="E213" s="7">
        <f>MAX((1-Parameters!$B$4)^Parameters!B$65*E212+B212*Parameters!B$65-Parameters!$B$5*B212^2/E212*Parameters!B$65,0.0001)</f>
        <v>0.7697262449156429</v>
      </c>
      <c r="F213" s="9">
        <f>MAX((1-Parameters!$B$4)^Parameters!B$65*F212+C212*Parameters!B$65-Parameters!$B$5*C212^2/F212*Parameters!B$65,0.0001)</f>
        <v>0.14851942697412424</v>
      </c>
      <c r="G213" s="7">
        <f>MAX((1-Parameters!$B$4)^Parameters!B$65*G212+D212*Parameters!B$65-Parameters!$B$5*D212^2/G212*Parameters!B$65,0.0001)</f>
        <v>4.3878782121579158</v>
      </c>
      <c r="I213" s="7">
        <f>I212*(1+Parameters!$B$51)^Parameters!B$65</f>
        <v>14.946348453330867</v>
      </c>
      <c r="J213" s="7">
        <f>J212*(1+Parameters!$B$53)^Parameters!B$65</f>
        <v>567.8173341081698</v>
      </c>
      <c r="K213" s="7">
        <f>'6states'!$O$4</f>
        <v>0.98104277196026479</v>
      </c>
      <c r="L213" s="9">
        <f t="shared" si="43"/>
        <v>0.5</v>
      </c>
      <c r="N213" s="7">
        <f>(Parameters!$B$19*(E213+Parameters!$B$20)^L213+Parameters!$B$18*F213^L213)^(1/L213)</f>
        <v>0.53556380427716166</v>
      </c>
      <c r="O213" s="7">
        <f>(Parameters!$B$10*G213^Parameters!$B$9 + Parameters!$B$11*N213^Parameters!$B$9) ^ (Parameters!$B$7/Parameters!$B$9) * K213</f>
        <v>1.5032566880858043</v>
      </c>
      <c r="P213" s="7">
        <f t="shared" si="40"/>
        <v>1.1453617144706811</v>
      </c>
      <c r="Q213" s="7">
        <f>EXP(-Parameters!$B$55*A213)</f>
        <v>4.2600043695132594E-2</v>
      </c>
      <c r="R213" s="7">
        <f>IF(P213&gt;0,P213^(1-Parameters!$B$52)/(1-Parameters!$B$52)*Q213,-10+P213*1000)</f>
        <v>-0.11606788439594333</v>
      </c>
      <c r="S213" s="7"/>
      <c r="T213" s="7"/>
      <c r="U213" s="7"/>
      <c r="V213" s="7"/>
    </row>
    <row r="214" spans="1:22" x14ac:dyDescent="0.25">
      <c r="A214">
        <f>A213+Parameters!$B$65</f>
        <v>210</v>
      </c>
      <c r="B214" s="9">
        <f t="shared" ref="B214:D214" si="52">B213</f>
        <v>5.191758263687303E-2</v>
      </c>
      <c r="C214" s="9">
        <f t="shared" si="52"/>
        <v>1.0017548050425843E-2</v>
      </c>
      <c r="D214" s="7">
        <f t="shared" si="52"/>
        <v>0.2959598429278244</v>
      </c>
      <c r="E214" s="7">
        <f>MAX((1-Parameters!$B$4)^Parameters!B$65*E213+B213*Parameters!B$65-Parameters!$B$5*B213^2/E213*Parameters!B$65,0.0001)</f>
        <v>0.76972623632490111</v>
      </c>
      <c r="F214" s="9">
        <f>MAX((1-Parameters!$B$4)^Parameters!B$65*F213+C213*Parameters!B$65-Parameters!$B$5*C213^2/F213*Parameters!B$65,0.0001)</f>
        <v>0.14851942534014126</v>
      </c>
      <c r="G214" s="7">
        <f>MAX((1-Parameters!$B$4)^Parameters!B$65*G213+D213*Parameters!B$65-Parameters!$B$5*D213^2/G213*Parameters!B$65,0.0001)</f>
        <v>4.387878195624479</v>
      </c>
      <c r="I214" s="7">
        <f>I213*(1+Parameters!$B$51)^Parameters!B$65</f>
        <v>14.989692863845525</v>
      </c>
      <c r="J214" s="7">
        <f>J213*(1+Parameters!$B$53)^Parameters!B$65</f>
        <v>579.17368079033326</v>
      </c>
      <c r="K214" s="7">
        <f>'6states'!$O$4</f>
        <v>0.98104277196026479</v>
      </c>
      <c r="L214" s="9">
        <f t="shared" si="43"/>
        <v>0.5</v>
      </c>
      <c r="N214" s="7">
        <f>(Parameters!$B$19*(E214+Parameters!$B$20)^L214+Parameters!$B$18*F214^L214)^(1/L214)</f>
        <v>0.53556379837786916</v>
      </c>
      <c r="O214" s="7">
        <f>(Parameters!$B$10*G214^Parameters!$B$9 + Parameters!$B$11*N214^Parameters!$B$9) ^ (Parameters!$B$7/Parameters!$B$9) * K214</f>
        <v>1.5032566857276826</v>
      </c>
      <c r="P214" s="7">
        <f t="shared" si="40"/>
        <v>1.1453617121125594</v>
      </c>
      <c r="Q214" s="7">
        <f>EXP(-Parameters!$B$55*A214)</f>
        <v>4.1961615300342196E-2</v>
      </c>
      <c r="R214" s="7">
        <f>IF(P214&gt;0,P214^(1-Parameters!$B$52)/(1-Parameters!$B$52)*Q214,-10+P214*1000)</f>
        <v>-0.11432842539110433</v>
      </c>
      <c r="S214" s="7"/>
      <c r="T214" s="7"/>
      <c r="U214" s="7"/>
      <c r="V214" s="7"/>
    </row>
    <row r="215" spans="1:22" x14ac:dyDescent="0.25">
      <c r="A215">
        <f>A214+Parameters!$B$65</f>
        <v>211</v>
      </c>
      <c r="B215" s="9">
        <f t="shared" ref="B215:D215" si="53">B214</f>
        <v>5.191758263687303E-2</v>
      </c>
      <c r="C215" s="9">
        <f t="shared" si="53"/>
        <v>1.0017548050425843E-2</v>
      </c>
      <c r="D215" s="7">
        <f t="shared" si="53"/>
        <v>0.2959598429278244</v>
      </c>
      <c r="E215" s="7">
        <f>MAX((1-Parameters!$B$4)^Parameters!B$65*E214+B214*Parameters!B$65-Parameters!$B$5*B214^2/E214*Parameters!B$65,0.0001)</f>
        <v>0.76972622823543402</v>
      </c>
      <c r="F215" s="9">
        <f>MAX((1-Parameters!$B$4)^Parameters!B$65*F214+C214*Parameters!B$65-Parameters!$B$5*C214^2/F214*Parameters!B$65,0.0001)</f>
        <v>0.14851942380150213</v>
      </c>
      <c r="G215" s="7">
        <f>MAX((1-Parameters!$B$4)^Parameters!B$65*G214+D214*Parameters!B$65-Parameters!$B$5*D214^2/G214*Parameters!B$65,0.0001)</f>
        <v>4.3878781800557771</v>
      </c>
      <c r="I215" s="7">
        <f>I214*(1+Parameters!$B$51)^Parameters!B$65</f>
        <v>15.033162973150676</v>
      </c>
      <c r="J215" s="7">
        <f>J214*(1+Parameters!$B$53)^Parameters!B$65</f>
        <v>590.75715440613999</v>
      </c>
      <c r="K215" s="7">
        <f>'6states'!$O$4</f>
        <v>0.98104277196026479</v>
      </c>
      <c r="L215" s="9">
        <f t="shared" si="43"/>
        <v>0.5</v>
      </c>
      <c r="N215" s="7">
        <f>(Parameters!$B$19*(E215+Parameters!$B$20)^L215+Parameters!$B$18*F215^L215)^(1/L215)</f>
        <v>0.5355637928228042</v>
      </c>
      <c r="O215" s="7">
        <f>(Parameters!$B$10*G215^Parameters!$B$9 + Parameters!$B$11*N215^Parameters!$B$9) ^ (Parameters!$B$7/Parameters!$B$9) * K215</f>
        <v>1.5032566835071586</v>
      </c>
      <c r="P215" s="7">
        <f t="shared" si="40"/>
        <v>1.1453617098920352</v>
      </c>
      <c r="Q215" s="7">
        <f>EXP(-Parameters!$B$55*A215)</f>
        <v>4.1332754755251451E-2</v>
      </c>
      <c r="R215" s="7">
        <f>IF(P215&gt;0,P215^(1-Parameters!$B$52)/(1-Parameters!$B$52)*Q215,-10+P215*1000)</f>
        <v>-0.11261503489863338</v>
      </c>
      <c r="S215" s="7"/>
      <c r="T215" s="7"/>
      <c r="U215" s="7"/>
      <c r="V215" s="7"/>
    </row>
    <row r="216" spans="1:22" x14ac:dyDescent="0.25">
      <c r="A216">
        <f>A215+Parameters!$B$65</f>
        <v>212</v>
      </c>
      <c r="B216" s="9">
        <f t="shared" ref="B216:D216" si="54">B215</f>
        <v>5.191758263687303E-2</v>
      </c>
      <c r="C216" s="9">
        <f t="shared" si="54"/>
        <v>1.0017548050425843E-2</v>
      </c>
      <c r="D216" s="7">
        <f t="shared" si="54"/>
        <v>0.2959598429278244</v>
      </c>
      <c r="E216" s="7">
        <f>MAX((1-Parameters!$B$4)^Parameters!B$65*E215+B215*Parameters!B$65-Parameters!$B$5*B215^2/E215*Parameters!B$65,0.0001)</f>
        <v>0.76972622061799201</v>
      </c>
      <c r="F216" s="9">
        <f>MAX((1-Parameters!$B$4)^Parameters!B$65*F215+C215*Parameters!B$65-Parameters!$B$5*C215^2/F215*Parameters!B$65,0.0001)</f>
        <v>0.14851942235264348</v>
      </c>
      <c r="G216" s="7">
        <f>MAX((1-Parameters!$B$4)^Parameters!B$65*G215+D215*Parameters!B$65-Parameters!$B$5*D215^2/G215*Parameters!B$65,0.0001)</f>
        <v>4.3878781653955183</v>
      </c>
      <c r="I216" s="7">
        <f>I215*(1+Parameters!$B$51)^Parameters!B$65</f>
        <v>15.076759145772812</v>
      </c>
      <c r="J216" s="7">
        <f>J215*(1+Parameters!$B$53)^Parameters!B$65</f>
        <v>602.57229749426278</v>
      </c>
      <c r="K216" s="7">
        <f>'6states'!$O$4</f>
        <v>0.98104277196026479</v>
      </c>
      <c r="L216" s="9">
        <f t="shared" si="43"/>
        <v>0.5</v>
      </c>
      <c r="N216" s="7">
        <f>(Parameters!$B$19*(E216+Parameters!$B$20)^L216+Parameters!$B$18*F216^L216)^(1/L216)</f>
        <v>0.53556378759188028</v>
      </c>
      <c r="O216" s="7">
        <f>(Parameters!$B$10*G216^Parameters!$B$9 + Parameters!$B$11*N216^Parameters!$B$9) ^ (Parameters!$B$7/Parameters!$B$9) * K216</f>
        <v>1.5032566814162038</v>
      </c>
      <c r="P216" s="7">
        <f t="shared" si="40"/>
        <v>1.1453617078010807</v>
      </c>
      <c r="Q216" s="7">
        <f>EXP(-Parameters!$B$55*A216)</f>
        <v>4.0713318670643026E-2</v>
      </c>
      <c r="R216" s="7">
        <f>IF(P216&gt;0,P216^(1-Parameters!$B$52)/(1-Parameters!$B$52)*Q216,-10+P216*1000)</f>
        <v>-0.11092732224146466</v>
      </c>
      <c r="S216" s="7"/>
      <c r="T216" s="7"/>
      <c r="U216" s="7"/>
      <c r="V216" s="7"/>
    </row>
    <row r="217" spans="1:22" x14ac:dyDescent="0.25">
      <c r="A217">
        <f>A216+Parameters!$B$65</f>
        <v>213</v>
      </c>
      <c r="B217" s="9">
        <f t="shared" ref="B217:D217" si="55">B216</f>
        <v>5.191758263687303E-2</v>
      </c>
      <c r="C217" s="9">
        <f t="shared" si="55"/>
        <v>1.0017548050425843E-2</v>
      </c>
      <c r="D217" s="7">
        <f t="shared" si="55"/>
        <v>0.2959598429278244</v>
      </c>
      <c r="E217" s="7">
        <f>MAX((1-Parameters!$B$4)^Parameters!B$65*E216+B216*Parameters!B$65-Parameters!$B$5*B216^2/E216*Parameters!B$65,0.0001)</f>
        <v>0.76972621344503211</v>
      </c>
      <c r="F217" s="9">
        <f>MAX((1-Parameters!$B$4)^Parameters!B$65*F216+C216*Parameters!B$65-Parameters!$B$5*C216^2/F216*Parameters!B$65,0.0001)</f>
        <v>0.14851942098832657</v>
      </c>
      <c r="G217" s="7">
        <f>MAX((1-Parameters!$B$4)^Parameters!B$65*G216+D216*Parameters!B$65-Parameters!$B$5*D216^2/G216*Parameters!B$65,0.0001)</f>
        <v>4.3878781515906935</v>
      </c>
      <c r="I217" s="7">
        <f>I216*(1+Parameters!$B$51)^Parameters!B$65</f>
        <v>15.120481747295552</v>
      </c>
      <c r="J217" s="7">
        <f>J216*(1+Parameters!$B$53)^Parameters!B$65</f>
        <v>614.62374344414809</v>
      </c>
      <c r="K217" s="7">
        <f>'6states'!$O$4</f>
        <v>0.98104277196026479</v>
      </c>
      <c r="L217" s="9">
        <f t="shared" si="43"/>
        <v>0.5</v>
      </c>
      <c r="N217" s="7">
        <f>(Parameters!$B$19*(E217+Parameters!$B$20)^L217+Parameters!$B$18*F217^L217)^(1/L217)</f>
        <v>0.53556378266618365</v>
      </c>
      <c r="O217" s="7">
        <f>(Parameters!$B$10*G217^Parameters!$B$9 + Parameters!$B$11*N217^Parameters!$B$9) ^ (Parameters!$B$7/Parameters!$B$9) * K217</f>
        <v>1.5032566794472568</v>
      </c>
      <c r="P217" s="7">
        <f t="shared" si="40"/>
        <v>1.1453617058321335</v>
      </c>
      <c r="Q217" s="7">
        <f>EXP(-Parameters!$B$55*A217)</f>
        <v>4.0103165806211608E-2</v>
      </c>
      <c r="R217" s="7">
        <f>IF(P217&gt;0,P217^(1-Parameters!$B$52)/(1-Parameters!$B$52)*Q217,-10+P217*1000)</f>
        <v>-0.10926490259740892</v>
      </c>
      <c r="S217" s="7"/>
      <c r="T217" s="7"/>
      <c r="U217" s="7"/>
      <c r="V217" s="7"/>
    </row>
    <row r="218" spans="1:22" x14ac:dyDescent="0.25">
      <c r="A218">
        <f>A217+Parameters!$B$65</f>
        <v>214</v>
      </c>
      <c r="B218" s="9">
        <f t="shared" ref="B218:D218" si="56">B217</f>
        <v>5.191758263687303E-2</v>
      </c>
      <c r="C218" s="9">
        <f t="shared" si="56"/>
        <v>1.0017548050425843E-2</v>
      </c>
      <c r="D218" s="7">
        <f t="shared" si="56"/>
        <v>0.2959598429278244</v>
      </c>
      <c r="E218" s="7">
        <f>MAX((1-Parameters!$B$4)^Parameters!B$65*E217+B217*Parameters!B$65-Parameters!$B$5*B217^2/E217*Parameters!B$65,0.0001)</f>
        <v>0.76972620669061864</v>
      </c>
      <c r="F218" s="9">
        <f>MAX((1-Parameters!$B$4)^Parameters!B$65*F217+C217*Parameters!B$65-Parameters!$B$5*C217^2/F217*Parameters!B$65,0.0001)</f>
        <v>0.14851941970361834</v>
      </c>
      <c r="G218" s="7">
        <f>MAX((1-Parameters!$B$4)^Parameters!B$65*G217+D217*Parameters!B$65-Parameters!$B$5*D217^2/G217*Parameters!B$65,0.0001)</f>
        <v>4.3878781385913879</v>
      </c>
      <c r="I218" s="7">
        <f>I217*(1+Parameters!$B$51)^Parameters!B$65</f>
        <v>15.164331144362707</v>
      </c>
      <c r="J218" s="7">
        <f>J217*(1+Parameters!$B$53)^Parameters!B$65</f>
        <v>626.9162183130311</v>
      </c>
      <c r="K218" s="7">
        <f>'6states'!$O$4</f>
        <v>0.98104277196026479</v>
      </c>
      <c r="L218" s="9">
        <f t="shared" si="43"/>
        <v>0.5</v>
      </c>
      <c r="N218" s="7">
        <f>(Parameters!$B$19*(E218+Parameters!$B$20)^L218+Parameters!$B$18*F218^L218)^(1/L218)</f>
        <v>0.53556377802790456</v>
      </c>
      <c r="O218" s="7">
        <f>(Parameters!$B$10*G218^Parameters!$B$9 + Parameters!$B$11*N218^Parameters!$B$9) ^ (Parameters!$B$7/Parameters!$B$9) * K218</f>
        <v>1.5032566775931995</v>
      </c>
      <c r="P218" s="7">
        <f t="shared" si="40"/>
        <v>1.1453617039780761</v>
      </c>
      <c r="Q218" s="7">
        <f>EXP(-Parameters!$B$55*A218)</f>
        <v>3.9502157038359118E-2</v>
      </c>
      <c r="R218" s="7">
        <f>IF(P218&gt;0,P218^(1-Parameters!$B$52)/(1-Parameters!$B$52)*Q218,-10+P218*1000)</f>
        <v>-0.10762739691141096</v>
      </c>
      <c r="S218" s="7"/>
      <c r="T218" s="7"/>
      <c r="U218" s="7"/>
      <c r="V218" s="7"/>
    </row>
    <row r="219" spans="1:22" x14ac:dyDescent="0.25">
      <c r="A219">
        <f>A218+Parameters!$B$65</f>
        <v>215</v>
      </c>
      <c r="B219" s="9">
        <f t="shared" ref="B219:D219" si="57">B218</f>
        <v>5.191758263687303E-2</v>
      </c>
      <c r="C219" s="9">
        <f t="shared" si="57"/>
        <v>1.0017548050425843E-2</v>
      </c>
      <c r="D219" s="7">
        <f t="shared" si="57"/>
        <v>0.2959598429278244</v>
      </c>
      <c r="E219" s="7">
        <f>MAX((1-Parameters!$B$4)^Parameters!B$65*E218+B218*Parameters!B$65-Parameters!$B$5*B218^2/E218*Parameters!B$65,0.0001)</f>
        <v>0.76972620033032901</v>
      </c>
      <c r="F219" s="9">
        <f>MAX((1-Parameters!$B$4)^Parameters!B$65*F218+C218*Parameters!B$65-Parameters!$B$5*C218^2/F218*Parameters!B$65,0.0001)</f>
        <v>0.14851941849387357</v>
      </c>
      <c r="G219" s="7">
        <f>MAX((1-Parameters!$B$4)^Parameters!B$65*G218+D218*Parameters!B$65-Parameters!$B$5*D218^2/G218*Parameters!B$65,0.0001)</f>
        <v>4.3878781263505999</v>
      </c>
      <c r="I219" s="7">
        <f>I218*(1+Parameters!$B$51)^Parameters!B$65</f>
        <v>15.208307704681358</v>
      </c>
      <c r="J219" s="7">
        <f>J218*(1+Parameters!$B$53)^Parameters!B$65</f>
        <v>639.45454267929176</v>
      </c>
      <c r="K219" s="7">
        <f>'6states'!$O$4</f>
        <v>0.98104277196026479</v>
      </c>
      <c r="L219" s="9">
        <f t="shared" si="43"/>
        <v>0.5</v>
      </c>
      <c r="N219" s="7">
        <f>(Parameters!$B$19*(E219+Parameters!$B$20)^L219+Parameters!$B$18*F219^L219)^(1/L219)</f>
        <v>0.53556377366027141</v>
      </c>
      <c r="O219" s="7">
        <f>(Parameters!$B$10*G219^Parameters!$B$9 + Parameters!$B$11*N219^Parameters!$B$9) ^ (Parameters!$B$7/Parameters!$B$9) * K219</f>
        <v>1.5032566758473276</v>
      </c>
      <c r="P219" s="7">
        <f t="shared" si="40"/>
        <v>1.1453617022322042</v>
      </c>
      <c r="Q219" s="7">
        <f>EXP(-Parameters!$B$55*A219)</f>
        <v>3.8910155328472619E-2</v>
      </c>
      <c r="R219" s="7">
        <f>IF(P219&gt;0,P219^(1-Parameters!$B$52)/(1-Parameters!$B$52)*Q219,-10+P219*1000)</f>
        <v>-0.10601443180912279</v>
      </c>
      <c r="S219" s="7"/>
      <c r="T219" s="7"/>
      <c r="U219" s="7"/>
      <c r="V219" s="7"/>
    </row>
    <row r="220" spans="1:22" x14ac:dyDescent="0.25">
      <c r="A220">
        <f>A219+Parameters!$B$65</f>
        <v>216</v>
      </c>
      <c r="B220" s="9">
        <f t="shared" ref="B220:D220" si="58">B219</f>
        <v>5.191758263687303E-2</v>
      </c>
      <c r="C220" s="9">
        <f t="shared" si="58"/>
        <v>1.0017548050425843E-2</v>
      </c>
      <c r="D220" s="7">
        <f t="shared" si="58"/>
        <v>0.2959598429278244</v>
      </c>
      <c r="E220" s="7">
        <f>MAX((1-Parameters!$B$4)^Parameters!B$65*E219+B219*Parameters!B$65-Parameters!$B$5*B219^2/E219*Parameters!B$65,0.0001)</f>
        <v>0.76972619434116596</v>
      </c>
      <c r="F220" s="9">
        <f>MAX((1-Parameters!$B$4)^Parameters!B$65*F219+C219*Parameters!B$65-Parameters!$B$5*C219^2/F219*Parameters!B$65,0.0001)</f>
        <v>0.1485194173547181</v>
      </c>
      <c r="G220" s="7">
        <f>MAX((1-Parameters!$B$4)^Parameters!B$65*G219+D219*Parameters!B$65-Parameters!$B$5*D219^2/G219*Parameters!B$65,0.0001)</f>
        <v>4.3878781148240691</v>
      </c>
      <c r="I220" s="7">
        <f>I219*(1+Parameters!$B$51)^Parameters!B$65</f>
        <v>15.252411797024932</v>
      </c>
      <c r="J220" s="7">
        <f>J219*(1+Parameters!$B$53)^Parameters!B$65</f>
        <v>652.24363353287765</v>
      </c>
      <c r="K220" s="7">
        <f>'6states'!$O$4</f>
        <v>0.98104277196026479</v>
      </c>
      <c r="L220" s="9">
        <f t="shared" si="43"/>
        <v>0.5</v>
      </c>
      <c r="N220" s="7">
        <f>(Parameters!$B$19*(E220+Parameters!$B$20)^L220+Parameters!$B$18*F220^L220)^(1/L220)</f>
        <v>0.53556376954749241</v>
      </c>
      <c r="O220" s="7">
        <f>(Parameters!$B$10*G220^Parameters!$B$9 + Parameters!$B$11*N220^Parameters!$B$9) ^ (Parameters!$B$7/Parameters!$B$9) * K220</f>
        <v>1.503256674203328</v>
      </c>
      <c r="P220" s="7">
        <f t="shared" si="40"/>
        <v>1.1453617005882046</v>
      </c>
      <c r="Q220" s="7">
        <f>EXP(-Parameters!$B$55*A220)</f>
        <v>3.8327025691677424E-2</v>
      </c>
      <c r="R220" s="7">
        <f>IF(P220&gt;0,P220^(1-Parameters!$B$52)/(1-Parameters!$B$52)*Q220,-10+P220*1000)</f>
        <v>-0.10442563951177077</v>
      </c>
      <c r="S220" s="7"/>
      <c r="T220" s="7"/>
      <c r="U220" s="7"/>
      <c r="V220" s="7"/>
    </row>
    <row r="221" spans="1:22" x14ac:dyDescent="0.25">
      <c r="A221">
        <f>A220+Parameters!$B$65</f>
        <v>217</v>
      </c>
      <c r="B221" s="9">
        <f t="shared" ref="B221:D221" si="59">B220</f>
        <v>5.191758263687303E-2</v>
      </c>
      <c r="C221" s="9">
        <f t="shared" si="59"/>
        <v>1.0017548050425843E-2</v>
      </c>
      <c r="D221" s="7">
        <f t="shared" si="59"/>
        <v>0.2959598429278244</v>
      </c>
      <c r="E221" s="7">
        <f>MAX((1-Parameters!$B$4)^Parameters!B$65*E220+B220*Parameters!B$65-Parameters!$B$5*B220^2/E220*Parameters!B$65,0.0001)</f>
        <v>0.76972618870147402</v>
      </c>
      <c r="F221" s="9">
        <f>MAX((1-Parameters!$B$4)^Parameters!B$65*F220+C220*Parameters!B$65-Parameters!$B$5*C220^2/F220*Parameters!B$65,0.0001)</f>
        <v>0.14851941628203302</v>
      </c>
      <c r="G221" s="7">
        <f>MAX((1-Parameters!$B$4)^Parameters!B$65*G220+D220*Parameters!B$65-Parameters!$B$5*D220^2/G220*Parameters!B$65,0.0001)</f>
        <v>4.3878781039701185</v>
      </c>
      <c r="I221" s="7">
        <f>I220*(1+Parameters!$B$51)^Parameters!B$65</f>
        <v>15.296643791236303</v>
      </c>
      <c r="J221" s="7">
        <f>J220*(1+Parameters!$B$53)^Parameters!B$65</f>
        <v>665.28850620353523</v>
      </c>
      <c r="K221" s="7">
        <f>'6states'!$O$4</f>
        <v>0.98104277196026479</v>
      </c>
      <c r="L221" s="9">
        <f t="shared" si="43"/>
        <v>0.5</v>
      </c>
      <c r="N221" s="7">
        <f>(Parameters!$B$19*(E221+Parameters!$B$20)^L221+Parameters!$B$18*F221^L221)^(1/L221)</f>
        <v>0.53556376567469632</v>
      </c>
      <c r="O221" s="7">
        <f>(Parameters!$B$10*G221^Parameters!$B$9 + Parameters!$B$11*N221^Parameters!$B$9) ^ (Parameters!$B$7/Parameters!$B$9) * K221</f>
        <v>1.5032566726552568</v>
      </c>
      <c r="P221" s="7">
        <f t="shared" si="40"/>
        <v>1.1453616990401336</v>
      </c>
      <c r="Q221" s="7">
        <f>EXP(-Parameters!$B$55*A221)</f>
        <v>3.7752635166058694E-2</v>
      </c>
      <c r="R221" s="7">
        <f>IF(P221&gt;0,P221^(1-Parameters!$B$52)/(1-Parameters!$B$52)*Q221,-10+P221*1000)</f>
        <v>-0.10286065775229922</v>
      </c>
      <c r="S221" s="7"/>
      <c r="T221" s="7"/>
      <c r="U221" s="7"/>
      <c r="V221" s="7"/>
    </row>
    <row r="222" spans="1:22" x14ac:dyDescent="0.25">
      <c r="A222">
        <f>A221+Parameters!$B$65</f>
        <v>218</v>
      </c>
      <c r="B222" s="9">
        <f t="shared" ref="B222:D222" si="60">B221</f>
        <v>5.191758263687303E-2</v>
      </c>
      <c r="C222" s="9">
        <f t="shared" si="60"/>
        <v>1.0017548050425843E-2</v>
      </c>
      <c r="D222" s="7">
        <f t="shared" si="60"/>
        <v>0.2959598429278244</v>
      </c>
      <c r="E222" s="7">
        <f>MAX((1-Parameters!$B$4)^Parameters!B$65*E221+B221*Parameters!B$65-Parameters!$B$5*B221^2/E221*Parameters!B$65,0.0001)</f>
        <v>0.76972618339086141</v>
      </c>
      <c r="F222" s="9">
        <f>MAX((1-Parameters!$B$4)^Parameters!B$65*F221+C221*Parameters!B$65-Parameters!$B$5*C221^2/F221*Parameters!B$65,0.0001)</f>
        <v>0.14851941527193974</v>
      </c>
      <c r="G222" s="7">
        <f>MAX((1-Parameters!$B$4)^Parameters!B$65*G221+D221*Parameters!B$65-Parameters!$B$5*D221^2/G221*Parameters!B$65,0.0001)</f>
        <v>4.3878780937495012</v>
      </c>
      <c r="I222" s="7">
        <f>I221*(1+Parameters!$B$51)^Parameters!B$65</f>
        <v>15.341004058230887</v>
      </c>
      <c r="J222" s="7">
        <f>J221*(1+Parameters!$B$53)^Parameters!B$65</f>
        <v>678.59427632760594</v>
      </c>
      <c r="K222" s="7">
        <f>'6states'!$O$4</f>
        <v>0.98104277196026479</v>
      </c>
      <c r="L222" s="9">
        <f t="shared" si="43"/>
        <v>0.5</v>
      </c>
      <c r="N222" s="7">
        <f>(Parameters!$B$19*(E222+Parameters!$B$20)^L222+Parameters!$B$18*F222^L222)^(1/L222)</f>
        <v>0.53556376202788025</v>
      </c>
      <c r="O222" s="7">
        <f>(Parameters!$B$10*G222^Parameters!$B$9 + Parameters!$B$11*N222^Parameters!$B$9) ^ (Parameters!$B$7/Parameters!$B$9) * K222</f>
        <v>1.5032566711975164</v>
      </c>
      <c r="P222" s="7">
        <f t="shared" si="40"/>
        <v>1.145361697582393</v>
      </c>
      <c r="Q222" s="7">
        <f>EXP(-Parameters!$B$55*A222)</f>
        <v>3.7186852782344175E-2</v>
      </c>
      <c r="R222" s="7">
        <f>IF(P222&gt;0,P222^(1-Parameters!$B$52)/(1-Parameters!$B$52)*Q222,-10+P222*1000)</f>
        <v>-0.10131912969277028</v>
      </c>
      <c r="S222" s="7"/>
      <c r="T222" s="7"/>
      <c r="U222" s="7"/>
      <c r="V222" s="7"/>
    </row>
    <row r="223" spans="1:22" x14ac:dyDescent="0.25">
      <c r="A223">
        <f>A222+Parameters!$B$65</f>
        <v>219</v>
      </c>
      <c r="B223" s="9">
        <f t="shared" ref="B223:D223" si="61">B222</f>
        <v>5.191758263687303E-2</v>
      </c>
      <c r="C223" s="9">
        <f t="shared" si="61"/>
        <v>1.0017548050425843E-2</v>
      </c>
      <c r="D223" s="7">
        <f t="shared" si="61"/>
        <v>0.2959598429278244</v>
      </c>
      <c r="E223" s="7">
        <f>MAX((1-Parameters!$B$4)^Parameters!B$65*E222+B222*Parameters!B$65-Parameters!$B$5*B222^2/E222*Parameters!B$65,0.0001)</f>
        <v>0.76972617839012603</v>
      </c>
      <c r="F223" s="9">
        <f>MAX((1-Parameters!$B$4)^Parameters!B$65*F222+C222*Parameters!B$65-Parameters!$B$5*C222^2/F222*Parameters!B$65,0.0001)</f>
        <v>0.14851941432078597</v>
      </c>
      <c r="G223" s="7">
        <f>MAX((1-Parameters!$B$4)^Parameters!B$65*G222+D222*Parameters!B$65-Parameters!$B$5*D222^2/G222*Parameters!B$65,0.0001)</f>
        <v>4.3878780841252629</v>
      </c>
      <c r="I223" s="7">
        <f>I222*(1+Parameters!$B$51)^Parameters!B$65</f>
        <v>15.385492969999754</v>
      </c>
      <c r="J223" s="7">
        <f>J222*(1+Parameters!$B$53)^Parameters!B$65</f>
        <v>692.16616185415808</v>
      </c>
      <c r="K223" s="7">
        <f>'6states'!$O$4</f>
        <v>0.98104277196026479</v>
      </c>
      <c r="L223" s="9">
        <f t="shared" si="43"/>
        <v>0.5</v>
      </c>
      <c r="N223" s="7">
        <f>(Parameters!$B$19*(E223+Parameters!$B$20)^L223+Parameters!$B$18*F223^L223)^(1/L223)</f>
        <v>0.53556375859385785</v>
      </c>
      <c r="O223" s="7">
        <f>(Parameters!$B$10*G223^Parameters!$B$9 + Parameters!$B$11*N223^Parameters!$B$9) ^ (Parameters!$B$7/Parameters!$B$9) * K223</f>
        <v>1.503256669824836</v>
      </c>
      <c r="P223" s="7">
        <f t="shared" si="40"/>
        <v>1.1453616962097128</v>
      </c>
      <c r="Q223" s="7">
        <f>EXP(-Parameters!$B$55*A223)</f>
        <v>3.662954953404135E-2</v>
      </c>
      <c r="R223" s="7">
        <f>IF(P223&gt;0,P223^(1-Parameters!$B$52)/(1-Parameters!$B$52)*Q223,-10+P223*1000)</f>
        <v>-9.9800703843001715E-2</v>
      </c>
      <c r="S223" s="7"/>
      <c r="T223" s="7"/>
      <c r="U223" s="7"/>
      <c r="V223" s="7"/>
    </row>
    <row r="224" spans="1:22" x14ac:dyDescent="0.25">
      <c r="A224">
        <f>A223+Parameters!$B$65</f>
        <v>220</v>
      </c>
      <c r="B224" s="9">
        <f t="shared" ref="B224:D224" si="62">B223</f>
        <v>5.191758263687303E-2</v>
      </c>
      <c r="C224" s="9">
        <f t="shared" si="62"/>
        <v>1.0017548050425843E-2</v>
      </c>
      <c r="D224" s="7">
        <f t="shared" si="62"/>
        <v>0.2959598429278244</v>
      </c>
      <c r="E224" s="7">
        <f>MAX((1-Parameters!$B$4)^Parameters!B$65*E223+B223*Parameters!B$65-Parameters!$B$5*B223^2/E223*Parameters!B$65,0.0001)</f>
        <v>0.76972617368118645</v>
      </c>
      <c r="F224" s="9">
        <f>MAX((1-Parameters!$B$4)^Parameters!B$65*F223+C223*Parameters!B$65-Parameters!$B$5*C223^2/F223*Parameters!B$65,0.0001)</f>
        <v>0.14851941342513258</v>
      </c>
      <c r="G224" s="7">
        <f>MAX((1-Parameters!$B$4)^Parameters!B$65*G223+D223*Parameters!B$65-Parameters!$B$5*D223^2/G223*Parameters!B$65,0.0001)</f>
        <v>4.3878780750626047</v>
      </c>
      <c r="I224" s="7">
        <f>I223*(1+Parameters!$B$51)^Parameters!B$65</f>
        <v>15.430110899612751</v>
      </c>
      <c r="J224" s="7">
        <f>J223*(1+Parameters!$B$53)^Parameters!B$65</f>
        <v>706.00948509124123</v>
      </c>
      <c r="K224" s="7">
        <f>'6states'!$O$4</f>
        <v>0.98104277196026479</v>
      </c>
      <c r="L224" s="9">
        <f t="shared" si="43"/>
        <v>0.5</v>
      </c>
      <c r="N224" s="7">
        <f>(Parameters!$B$19*(E224+Parameters!$B$20)^L224+Parameters!$B$18*F224^L224)^(1/L224)</f>
        <v>0.53556375536021272</v>
      </c>
      <c r="O224" s="7">
        <f>(Parameters!$B$10*G224^Parameters!$B$9 + Parameters!$B$11*N224^Parameters!$B$9) ^ (Parameters!$B$7/Parameters!$B$9) * K224</f>
        <v>1.5032566685322521</v>
      </c>
      <c r="P224" s="7">
        <f t="shared" si="40"/>
        <v>1.145361694917129</v>
      </c>
      <c r="Q224" s="7">
        <f>EXP(-Parameters!$B$55*A224)</f>
        <v>3.608059834802213E-2</v>
      </c>
      <c r="R224" s="7">
        <f>IF(P224&gt;0,P224^(1-Parameters!$B$52)/(1-Parameters!$B$52)*Q224,-10+P224*1000)</f>
        <v>-9.8305033980423853E-2</v>
      </c>
      <c r="S224" s="7"/>
      <c r="T224" s="7"/>
      <c r="U224" s="7"/>
      <c r="V224" s="7"/>
    </row>
    <row r="225" spans="1:22" x14ac:dyDescent="0.25">
      <c r="A225">
        <f>A224+Parameters!$B$65</f>
        <v>221</v>
      </c>
      <c r="B225" s="9">
        <f t="shared" ref="B225:D225" si="63">B224</f>
        <v>5.191758263687303E-2</v>
      </c>
      <c r="C225" s="9">
        <f t="shared" si="63"/>
        <v>1.0017548050425843E-2</v>
      </c>
      <c r="D225" s="7">
        <f t="shared" si="63"/>
        <v>0.2959598429278244</v>
      </c>
      <c r="E225" s="7">
        <f>MAX((1-Parameters!$B$4)^Parameters!B$65*E224+B224*Parameters!B$65-Parameters!$B$5*B224^2/E224*Parameters!B$65,0.0001)</f>
        <v>0.7697261692470162</v>
      </c>
      <c r="F225" s="9">
        <f>MAX((1-Parameters!$B$4)^Parameters!B$65*F224+C224*Parameters!B$65-Parameters!$B$5*C224^2/F224*Parameters!B$65,0.0001)</f>
        <v>0.14851941258174106</v>
      </c>
      <c r="G225" s="7">
        <f>MAX((1-Parameters!$B$4)^Parameters!B$65*G224+D224*Parameters!B$65-Parameters!$B$5*D224^2/G224*Parameters!B$65,0.0001)</f>
        <v>4.3878780665287573</v>
      </c>
      <c r="I225" s="7">
        <f>I224*(1+Parameters!$B$51)^Parameters!B$65</f>
        <v>15.474858221221627</v>
      </c>
      <c r="J225" s="7">
        <f>J224*(1+Parameters!$B$53)^Parameters!B$65</f>
        <v>720.1296747930661</v>
      </c>
      <c r="K225" s="7">
        <f>'6states'!$O$4</f>
        <v>0.98104277196026479</v>
      </c>
      <c r="L225" s="9">
        <f t="shared" si="43"/>
        <v>0.5</v>
      </c>
      <c r="N225" s="7">
        <f>(Parameters!$B$19*(E225+Parameters!$B$20)^L225+Parameters!$B$18*F225^L225)^(1/L225)</f>
        <v>0.53556375231525255</v>
      </c>
      <c r="O225" s="7">
        <f>(Parameters!$B$10*G225^Parameters!$B$9 + Parameters!$B$11*N225^Parameters!$B$9) ^ (Parameters!$B$7/Parameters!$B$9) * K225</f>
        <v>1.5032566673150916</v>
      </c>
      <c r="P225" s="7">
        <f t="shared" si="40"/>
        <v>1.1453616936999684</v>
      </c>
      <c r="Q225" s="7">
        <f>EXP(-Parameters!$B$55*A225)</f>
        <v>3.5539874055548294E-2</v>
      </c>
      <c r="R225" s="7">
        <f>IF(P225&gt;0,P225^(1-Parameters!$B$52)/(1-Parameters!$B$52)*Q225,-10+P225*1000)</f>
        <v>-9.683177907113745E-2</v>
      </c>
      <c r="S225" s="7"/>
      <c r="T225" s="7"/>
      <c r="U225" s="7"/>
      <c r="V225" s="7"/>
    </row>
    <row r="226" spans="1:22" x14ac:dyDescent="0.25">
      <c r="A226">
        <f>A225+Parameters!$B$65</f>
        <v>222</v>
      </c>
      <c r="B226" s="9">
        <f t="shared" ref="B226:D226" si="64">B225</f>
        <v>5.191758263687303E-2</v>
      </c>
      <c r="C226" s="9">
        <f t="shared" si="64"/>
        <v>1.0017548050425843E-2</v>
      </c>
      <c r="D226" s="7">
        <f t="shared" si="64"/>
        <v>0.2959598429278244</v>
      </c>
      <c r="E226" s="7">
        <f>MAX((1-Parameters!$B$4)^Parameters!B$65*E225+B225*Parameters!B$65-Parameters!$B$5*B225^2/E225*Parameters!B$65,0.0001)</f>
        <v>0.76972616507158242</v>
      </c>
      <c r="F226" s="9">
        <f>MAX((1-Parameters!$B$4)^Parameters!B$65*F225+C225*Parameters!B$65-Parameters!$B$5*C225^2/F225*Parameters!B$65,0.0001)</f>
        <v>0.14851941178756195</v>
      </c>
      <c r="G226" s="7">
        <f>MAX((1-Parameters!$B$4)^Parameters!B$65*G225+D225*Parameters!B$65-Parameters!$B$5*D225^2/G225*Parameters!B$65,0.0001)</f>
        <v>4.3878780584928654</v>
      </c>
      <c r="I226" s="7">
        <f>I225*(1+Parameters!$B$51)^Parameters!B$65</f>
        <v>15.519735310063169</v>
      </c>
      <c r="J226" s="7">
        <f>J225*(1+Parameters!$B$53)^Parameters!B$65</f>
        <v>734.53226828892741</v>
      </c>
      <c r="K226" s="7">
        <f>'6states'!$O$4</f>
        <v>0.98104277196026479</v>
      </c>
      <c r="L226" s="9">
        <f t="shared" si="43"/>
        <v>0.5</v>
      </c>
      <c r="N226" s="7">
        <f>(Parameters!$B$19*(E226+Parameters!$B$20)^L226+Parameters!$B$18*F226^L226)^(1/L226)</f>
        <v>0.53556374944796781</v>
      </c>
      <c r="O226" s="7">
        <f>(Parameters!$B$10*G226^Parameters!$B$9 + Parameters!$B$11*N226^Parameters!$B$9) ^ (Parameters!$B$7/Parameters!$B$9) * K226</f>
        <v>1.5032566661689526</v>
      </c>
      <c r="P226" s="7">
        <f t="shared" si="40"/>
        <v>1.1453616925538292</v>
      </c>
      <c r="Q226" s="7">
        <f>EXP(-Parameters!$B$55*A226)</f>
        <v>3.5007253363731262E-2</v>
      </c>
      <c r="R226" s="7">
        <f>IF(P226&gt;0,P226^(1-Parameters!$B$52)/(1-Parameters!$B$52)*Q226,-10+P226*1000)</f>
        <v>-9.5380603192154509E-2</v>
      </c>
      <c r="S226" s="7"/>
      <c r="T226" s="7"/>
      <c r="U226" s="7"/>
      <c r="V226" s="7"/>
    </row>
    <row r="227" spans="1:22" x14ac:dyDescent="0.25">
      <c r="A227">
        <f>A226+Parameters!$B$65</f>
        <v>223</v>
      </c>
      <c r="B227" s="9">
        <f t="shared" ref="B227:D227" si="65">B226</f>
        <v>5.191758263687303E-2</v>
      </c>
      <c r="C227" s="9">
        <f t="shared" si="65"/>
        <v>1.0017548050425843E-2</v>
      </c>
      <c r="D227" s="7">
        <f t="shared" si="65"/>
        <v>0.2959598429278244</v>
      </c>
      <c r="E227" s="7">
        <f>MAX((1-Parameters!$B$4)^Parameters!B$65*E226+B226*Parameters!B$65-Parameters!$B$5*B226^2/E226*Parameters!B$65,0.0001)</f>
        <v>0.76972616113978765</v>
      </c>
      <c r="F227" s="9">
        <f>MAX((1-Parameters!$B$4)^Parameters!B$65*F226+C226*Parameters!B$65-Parameters!$B$5*C226^2/F226*Parameters!B$65,0.0001)</f>
        <v>0.14851941103972366</v>
      </c>
      <c r="G227" s="7">
        <f>MAX((1-Parameters!$B$4)^Parameters!B$65*G226+D226*Parameters!B$65-Parameters!$B$5*D226^2/G226*Parameters!B$65,0.0001)</f>
        <v>4.3878780509258721</v>
      </c>
      <c r="I227" s="7">
        <f>I226*(1+Parameters!$B$51)^Parameters!B$65</f>
        <v>15.56474254246235</v>
      </c>
      <c r="J227" s="7">
        <f>J226*(1+Parameters!$B$53)^Parameters!B$65</f>
        <v>749.22291365470596</v>
      </c>
      <c r="K227" s="7">
        <f>'6states'!$O$4</f>
        <v>0.98104277196026479</v>
      </c>
      <c r="L227" s="9">
        <f t="shared" si="43"/>
        <v>0.5</v>
      </c>
      <c r="N227" s="7">
        <f>(Parameters!$B$19*(E227+Parameters!$B$20)^L227+Parameters!$B$18*F227^L227)^(1/L227)</f>
        <v>0.53556374674799068</v>
      </c>
      <c r="O227" s="7">
        <f>(Parameters!$B$10*G227^Parameters!$B$9 + Parameters!$B$11*N227^Parameters!$B$9) ^ (Parameters!$B$7/Parameters!$B$9) * K227</f>
        <v>1.5032566650896919</v>
      </c>
      <c r="P227" s="7">
        <f t="shared" si="40"/>
        <v>1.1453616914745686</v>
      </c>
      <c r="Q227" s="7">
        <f>EXP(-Parameters!$B$55*A227)</f>
        <v>3.4482614827419586E-2</v>
      </c>
      <c r="R227" s="7">
        <f>IF(P227&gt;0,P227^(1-Parameters!$B$52)/(1-Parameters!$B$52)*Q227,-10+P227*1000)</f>
        <v>-9.3951175454804664E-2</v>
      </c>
      <c r="S227" s="7"/>
      <c r="T227" s="7"/>
      <c r="U227" s="7"/>
      <c r="V227" s="7"/>
    </row>
    <row r="228" spans="1:22" x14ac:dyDescent="0.25">
      <c r="A228">
        <f>A227+Parameters!$B$65</f>
        <v>224</v>
      </c>
      <c r="B228" s="9">
        <f t="shared" ref="B228:D228" si="66">B227</f>
        <v>5.191758263687303E-2</v>
      </c>
      <c r="C228" s="9">
        <f t="shared" si="66"/>
        <v>1.0017548050425843E-2</v>
      </c>
      <c r="D228" s="7">
        <f t="shared" si="66"/>
        <v>0.2959598429278244</v>
      </c>
      <c r="E228" s="7">
        <f>MAX((1-Parameters!$B$4)^Parameters!B$65*E227+B227*Parameters!B$65-Parameters!$B$5*B227^2/E227*Parameters!B$65,0.0001)</f>
        <v>0.76972615743741524</v>
      </c>
      <c r="F228" s="9">
        <f>MAX((1-Parameters!$B$4)^Parameters!B$65*F227+C227*Parameters!B$65-Parameters!$B$5*C227^2/F227*Parameters!B$65,0.0001)</f>
        <v>0.14851941033552213</v>
      </c>
      <c r="G228" s="7">
        <f>MAX((1-Parameters!$B$4)^Parameters!B$65*G227+D227*Parameters!B$65-Parameters!$B$5*D227^2/G227*Parameters!B$65,0.0001)</f>
        <v>4.3878780438004172</v>
      </c>
      <c r="I228" s="7">
        <f>I227*(1+Parameters!$B$51)^Parameters!B$65</f>
        <v>15.609880295835488</v>
      </c>
      <c r="J228" s="7">
        <f>J227*(1+Parameters!$B$53)^Parameters!B$65</f>
        <v>764.20737192780007</v>
      </c>
      <c r="K228" s="7">
        <f>'6states'!$O$4</f>
        <v>0.98104277196026479</v>
      </c>
      <c r="L228" s="9">
        <f t="shared" si="43"/>
        <v>0.5</v>
      </c>
      <c r="N228" s="7">
        <f>(Parameters!$B$19*(E228+Parameters!$B$20)^L228+Parameters!$B$18*F228^L228)^(1/L228)</f>
        <v>0.53556374420555863</v>
      </c>
      <c r="O228" s="7">
        <f>(Parameters!$B$10*G228^Parameters!$B$9 + Parameters!$B$11*N228^Parameters!$B$9) ^ (Parameters!$B$7/Parameters!$B$9) * K228</f>
        <v>1.5032566640734064</v>
      </c>
      <c r="P228" s="7">
        <f t="shared" si="40"/>
        <v>1.1453616904582833</v>
      </c>
      <c r="Q228" s="7">
        <f>EXP(-Parameters!$B$55*A228)</f>
        <v>3.3965838821507631E-2</v>
      </c>
      <c r="R228" s="7">
        <f>IF(P228&gt;0,P228^(1-Parameters!$B$52)/(1-Parameters!$B$52)*Q228,-10+P228*1000)</f>
        <v>-9.2543169929288863E-2</v>
      </c>
      <c r="S228" s="7"/>
      <c r="T228" s="7"/>
      <c r="U228" s="7"/>
      <c r="V228" s="7"/>
    </row>
    <row r="229" spans="1:22" x14ac:dyDescent="0.25">
      <c r="A229">
        <f>A228+Parameters!$B$65</f>
        <v>225</v>
      </c>
      <c r="B229" s="9">
        <f t="shared" ref="B229:D229" si="67">B228</f>
        <v>5.191758263687303E-2</v>
      </c>
      <c r="C229" s="9">
        <f t="shared" si="67"/>
        <v>1.0017548050425843E-2</v>
      </c>
      <c r="D229" s="7">
        <f t="shared" si="67"/>
        <v>0.2959598429278244</v>
      </c>
      <c r="E229" s="7">
        <f>MAX((1-Parameters!$B$4)^Parameters!B$65*E228+B228*Parameters!B$65-Parameters!$B$5*B228^2/E228*Parameters!B$65,0.0001)</f>
        <v>0.76972615395107846</v>
      </c>
      <c r="F229" s="9">
        <f>MAX((1-Parameters!$B$4)^Parameters!B$65*F228+C228*Parameters!B$65-Parameters!$B$5*C228^2/F228*Parameters!B$65,0.0001)</f>
        <v>0.14851940967241117</v>
      </c>
      <c r="G229" s="7">
        <f>MAX((1-Parameters!$B$4)^Parameters!B$65*G228+D228*Parameters!B$65-Parameters!$B$5*D228^2/G228*Parameters!B$65,0.0001)</f>
        <v>4.3878780370907364</v>
      </c>
      <c r="I229" s="7">
        <f>I228*(1+Parameters!$B$51)^Parameters!B$65</f>
        <v>15.655148948693409</v>
      </c>
      <c r="J229" s="7">
        <f>J228*(1+Parameters!$B$53)^Parameters!B$65</f>
        <v>779.4915193663561</v>
      </c>
      <c r="K229" s="7">
        <f>'6states'!$O$4</f>
        <v>0.98104277196026479</v>
      </c>
      <c r="L229" s="9">
        <f t="shared" si="43"/>
        <v>0.5</v>
      </c>
      <c r="N229" s="7">
        <f>(Parameters!$B$19*(E229+Parameters!$B$20)^L229+Parameters!$B$18*F229^L229)^(1/L229)</f>
        <v>0.53556374181147914</v>
      </c>
      <c r="O229" s="7">
        <f>(Parameters!$B$10*G229^Parameters!$B$9 + Parameters!$B$11*N229^Parameters!$B$9) ^ (Parameters!$B$7/Parameters!$B$9) * K229</f>
        <v>1.5032566631164219</v>
      </c>
      <c r="P229" s="7">
        <f t="shared" si="40"/>
        <v>1.1453616895012986</v>
      </c>
      <c r="Q229" s="7">
        <f>EXP(-Parameters!$B$55*A229)</f>
        <v>3.3456807513659412E-2</v>
      </c>
      <c r="R229" s="7">
        <f>IF(P229&gt;0,P229^(1-Parameters!$B$52)/(1-Parameters!$B$52)*Q229,-10+P229*1000)</f>
        <v>-9.1156265570364062E-2</v>
      </c>
      <c r="S229" s="7"/>
      <c r="T229" s="7"/>
      <c r="U229" s="7"/>
      <c r="V229" s="7"/>
    </row>
    <row r="230" spans="1:22" x14ac:dyDescent="0.25">
      <c r="A230">
        <f>A229+Parameters!$B$65</f>
        <v>226</v>
      </c>
      <c r="B230" s="9">
        <f t="shared" ref="B230:D230" si="68">B229</f>
        <v>5.191758263687303E-2</v>
      </c>
      <c r="C230" s="9">
        <f t="shared" si="68"/>
        <v>1.0017548050425843E-2</v>
      </c>
      <c r="D230" s="7">
        <f t="shared" si="68"/>
        <v>0.2959598429278244</v>
      </c>
      <c r="E230" s="7">
        <f>MAX((1-Parameters!$B$4)^Parameters!B$65*E229+B229*Parameters!B$65-Parameters!$B$5*B229^2/E229*Parameters!B$65,0.0001)</f>
        <v>0.7697261506681714</v>
      </c>
      <c r="F230" s="9">
        <f>MAX((1-Parameters!$B$4)^Parameters!B$65*F229+C229*Parameters!B$65-Parameters!$B$5*C229^2/F229*Parameters!B$65,0.0001)</f>
        <v>0.14851940904799313</v>
      </c>
      <c r="G230" s="7">
        <f>MAX((1-Parameters!$B$4)^Parameters!B$65*G229+D229*Parameters!B$65-Parameters!$B$5*D229^2/G229*Parameters!B$65,0.0001)</f>
        <v>4.38787803077257</v>
      </c>
      <c r="I230" s="7">
        <f>I229*(1+Parameters!$B$51)^Parameters!B$65</f>
        <v>15.700548880644618</v>
      </c>
      <c r="J230" s="7">
        <f>J229*(1+Parameters!$B$53)^Parameters!B$65</f>
        <v>795.08134975368318</v>
      </c>
      <c r="K230" s="7">
        <f>'6states'!$O$4</f>
        <v>0.98104277196026479</v>
      </c>
      <c r="L230" s="9">
        <f t="shared" si="43"/>
        <v>0.5</v>
      </c>
      <c r="N230" s="7">
        <f>(Parameters!$B$19*(E230+Parameters!$B$20)^L230+Parameters!$B$18*F230^L230)^(1/L230)</f>
        <v>0.53556373955709524</v>
      </c>
      <c r="O230" s="7">
        <f>(Parameters!$B$10*G230^Parameters!$B$9 + Parameters!$B$11*N230^Parameters!$B$9) ^ (Parameters!$B$7/Parameters!$B$9) * K230</f>
        <v>1.5032566622152781</v>
      </c>
      <c r="P230" s="7">
        <f t="shared" si="40"/>
        <v>1.145361688600155</v>
      </c>
      <c r="Q230" s="7">
        <f>EXP(-Parameters!$B$55*A230)</f>
        <v>3.2955404837441082E-2</v>
      </c>
      <c r="R230" s="7">
        <f>IF(P230&gt;0,P230^(1-Parameters!$B$52)/(1-Parameters!$B$52)*Q230,-10+P230*1000)</f>
        <v>-8.9790146144141256E-2</v>
      </c>
      <c r="S230" s="7"/>
      <c r="T230" s="7"/>
      <c r="U230" s="7"/>
      <c r="V230" s="7"/>
    </row>
    <row r="231" spans="1:22" x14ac:dyDescent="0.25">
      <c r="A231">
        <f>A230+Parameters!$B$65</f>
        <v>227</v>
      </c>
      <c r="B231" s="9">
        <f t="shared" ref="B231:D231" si="69">B230</f>
        <v>5.191758263687303E-2</v>
      </c>
      <c r="C231" s="9">
        <f t="shared" si="69"/>
        <v>1.0017548050425843E-2</v>
      </c>
      <c r="D231" s="7">
        <f t="shared" si="69"/>
        <v>0.2959598429278244</v>
      </c>
      <c r="E231" s="7">
        <f>MAX((1-Parameters!$B$4)^Parameters!B$65*E230+B230*Parameters!B$65-Parameters!$B$5*B230^2/E230*Parameters!B$65,0.0001)</f>
        <v>0.76972614757682389</v>
      </c>
      <c r="F231" s="9">
        <f>MAX((1-Parameters!$B$4)^Parameters!B$65*F230+C230*Parameters!B$65-Parameters!$B$5*C230^2/F230*Parameters!B$65,0.0001)</f>
        <v>0.14851940846001024</v>
      </c>
      <c r="G231" s="7">
        <f>MAX((1-Parameters!$B$4)^Parameters!B$65*G230+D230*Parameters!B$65-Parameters!$B$5*D230^2/G230*Parameters!B$65,0.0001)</f>
        <v>4.3878780248230722</v>
      </c>
      <c r="I231" s="7">
        <f>I230*(1+Parameters!$B$51)^Parameters!B$65</f>
        <v>15.746080472398486</v>
      </c>
      <c r="J231" s="7">
        <f>J230*(1+Parameters!$B$53)^Parameters!B$65</f>
        <v>810.98297674875687</v>
      </c>
      <c r="K231" s="7">
        <f>'6states'!$O$4</f>
        <v>0.98104277196026479</v>
      </c>
      <c r="L231" s="9">
        <f t="shared" si="43"/>
        <v>0.5</v>
      </c>
      <c r="N231" s="7">
        <f>(Parameters!$B$19*(E231+Parameters!$B$20)^L231+Parameters!$B$18*F231^L231)^(1/L231)</f>
        <v>0.53556373743425623</v>
      </c>
      <c r="O231" s="7">
        <f>(Parameters!$B$10*G231^Parameters!$B$9 + Parameters!$B$11*N231^Parameters!$B$9) ^ (Parameters!$B$7/Parameters!$B$9) * K231</f>
        <v>1.5032566613667164</v>
      </c>
      <c r="P231" s="7">
        <f t="shared" si="40"/>
        <v>1.1453616877515933</v>
      </c>
      <c r="Q231" s="7">
        <f>EXP(-Parameters!$B$55*A231)</f>
        <v>3.2461516465856148E-2</v>
      </c>
      <c r="R231" s="7">
        <f>IF(P231&gt;0,P231^(1-Parameters!$B$52)/(1-Parameters!$B$52)*Q231,-10+P231*1000)</f>
        <v>-8.8444500155980849E-2</v>
      </c>
      <c r="S231" s="7"/>
      <c r="T231" s="7"/>
      <c r="U231" s="7"/>
      <c r="V231" s="7"/>
    </row>
    <row r="232" spans="1:22" x14ac:dyDescent="0.25">
      <c r="A232">
        <f>A231+Parameters!$B$65</f>
        <v>228</v>
      </c>
      <c r="B232" s="9">
        <f t="shared" ref="B232:D232" si="70">B231</f>
        <v>5.191758263687303E-2</v>
      </c>
      <c r="C232" s="9">
        <f t="shared" si="70"/>
        <v>1.0017548050425843E-2</v>
      </c>
      <c r="D232" s="7">
        <f t="shared" si="70"/>
        <v>0.2959598429278244</v>
      </c>
      <c r="E232" s="7">
        <f>MAX((1-Parameters!$B$4)^Parameters!B$65*E231+B231*Parameters!B$65-Parameters!$B$5*B231^2/E231*Parameters!B$65,0.0001)</f>
        <v>0.76972614466585831</v>
      </c>
      <c r="F232" s="9">
        <f>MAX((1-Parameters!$B$4)^Parameters!B$65*F231+C231*Parameters!B$65-Parameters!$B$5*C231^2/F231*Parameters!B$65,0.0001)</f>
        <v>0.1485194079063365</v>
      </c>
      <c r="G232" s="7">
        <f>MAX((1-Parameters!$B$4)^Parameters!B$65*G231+D231*Parameters!B$65-Parameters!$B$5*D231^2/G231*Parameters!B$65,0.0001)</f>
        <v>4.3878780192207314</v>
      </c>
      <c r="I232" s="7">
        <f>I231*(1+Parameters!$B$51)^Parameters!B$65</f>
        <v>15.791744105768441</v>
      </c>
      <c r="J232" s="7">
        <f>J231*(1+Parameters!$B$53)^Parameters!B$65</f>
        <v>827.20263628373198</v>
      </c>
      <c r="K232" s="7">
        <f>'6states'!$O$4</f>
        <v>0.98104277196026479</v>
      </c>
      <c r="L232" s="9">
        <f t="shared" si="43"/>
        <v>0.5</v>
      </c>
      <c r="N232" s="7">
        <f>(Parameters!$B$19*(E232+Parameters!$B$20)^L232+Parameters!$B$18*F232^L232)^(1/L232)</f>
        <v>0.53556373543528601</v>
      </c>
      <c r="O232" s="7">
        <f>(Parameters!$B$10*G232^Parameters!$B$9 + Parameters!$B$11*N232^Parameters!$B$9) ^ (Parameters!$B$7/Parameters!$B$9) * K232</f>
        <v>1.5032566605676687</v>
      </c>
      <c r="P232" s="7">
        <f t="shared" si="40"/>
        <v>1.1453616869525454</v>
      </c>
      <c r="Q232" s="7">
        <f>EXP(-Parameters!$B$55*A232)</f>
        <v>3.1975029785277304E-2</v>
      </c>
      <c r="R232" s="7">
        <f>IF(P232&gt;0,P232^(1-Parameters!$B$52)/(1-Parameters!$B$52)*Q232,-10+P232*1000)</f>
        <v>-8.7119020779468398E-2</v>
      </c>
      <c r="S232" s="7"/>
      <c r="T232" s="7"/>
      <c r="U232" s="7"/>
      <c r="V232" s="7"/>
    </row>
    <row r="233" spans="1:22" x14ac:dyDescent="0.25">
      <c r="A233">
        <f>A232+Parameters!$B$65</f>
        <v>229</v>
      </c>
      <c r="B233" s="9">
        <f t="shared" ref="B233:D233" si="71">B232</f>
        <v>5.191758263687303E-2</v>
      </c>
      <c r="C233" s="9">
        <f t="shared" si="71"/>
        <v>1.0017548050425843E-2</v>
      </c>
      <c r="D233" s="7">
        <f t="shared" si="71"/>
        <v>0.2959598429278244</v>
      </c>
      <c r="E233" s="7">
        <f>MAX((1-Parameters!$B$4)^Parameters!B$65*E232+B232*Parameters!B$65-Parameters!$B$5*B232^2/E232*Parameters!B$65,0.0001)</f>
        <v>0.76972614192474931</v>
      </c>
      <c r="F233" s="9">
        <f>MAX((1-Parameters!$B$4)^Parameters!B$65*F232+C232*Parameters!B$65-Parameters!$B$5*C232^2/F232*Parameters!B$65,0.0001)</f>
        <v>0.14851940738496994</v>
      </c>
      <c r="G233" s="7">
        <f>MAX((1-Parameters!$B$4)^Parameters!B$65*G232+D232*Parameters!B$65-Parameters!$B$5*D232^2/G232*Parameters!B$65,0.0001)</f>
        <v>4.38787801394529</v>
      </c>
      <c r="I233" s="7">
        <f>I232*(1+Parameters!$B$51)^Parameters!B$65</f>
        <v>15.837540163675168</v>
      </c>
      <c r="J233" s="7">
        <f>J232*(1+Parameters!$B$53)^Parameters!B$65</f>
        <v>843.74668900940662</v>
      </c>
      <c r="K233" s="7">
        <f>'6states'!$O$4</f>
        <v>0.98104277196026479</v>
      </c>
      <c r="L233" s="9">
        <f t="shared" si="43"/>
        <v>0.5</v>
      </c>
      <c r="N233" s="7">
        <f>(Parameters!$B$19*(E233+Parameters!$B$20)^L233+Parameters!$B$18*F233^L233)^(1/L233)</f>
        <v>0.53556373355295706</v>
      </c>
      <c r="O233" s="7">
        <f>(Parameters!$B$10*G233^Parameters!$B$9 + Parameters!$B$11*N233^Parameters!$B$9) ^ (Parameters!$B$7/Parameters!$B$9) * K233</f>
        <v>1.5032566598152459</v>
      </c>
      <c r="P233" s="7">
        <f t="shared" si="40"/>
        <v>1.1453616862001228</v>
      </c>
      <c r="Q233" s="7">
        <f>EXP(-Parameters!$B$55*A233)</f>
        <v>3.1495833869768834E-2</v>
      </c>
      <c r="R233" s="7">
        <f>IF(P233&gt;0,P233^(1-Parameters!$B$52)/(1-Parameters!$B$52)*Q233,-10+P233*1000)</f>
        <v>-8.58134057864543E-2</v>
      </c>
      <c r="S233" s="7"/>
      <c r="T233" s="7"/>
      <c r="U233" s="7"/>
      <c r="V233" s="7"/>
    </row>
    <row r="234" spans="1:22" x14ac:dyDescent="0.25">
      <c r="A234">
        <f>A233+Parameters!$B$65</f>
        <v>230</v>
      </c>
      <c r="B234" s="9">
        <f t="shared" ref="B234:D234" si="72">B233</f>
        <v>5.191758263687303E-2</v>
      </c>
      <c r="C234" s="9">
        <f t="shared" si="72"/>
        <v>1.0017548050425843E-2</v>
      </c>
      <c r="D234" s="7">
        <f t="shared" si="72"/>
        <v>0.2959598429278244</v>
      </c>
      <c r="E234" s="7">
        <f>MAX((1-Parameters!$B$4)^Parameters!B$65*E233+B233*Parameters!B$65-Parameters!$B$5*B233^2/E233*Parameters!B$65,0.0001)</f>
        <v>0.76972613934358558</v>
      </c>
      <c r="F234" s="9">
        <f>MAX((1-Parameters!$B$4)^Parameters!B$65*F233+C233*Parameters!B$65-Parameters!$B$5*C233^2/F233*Parameters!B$65,0.0001)</f>
        <v>0.1485194068940254</v>
      </c>
      <c r="G234" s="7">
        <f>MAX((1-Parameters!$B$4)^Parameters!B$65*G233+D233*Parameters!B$65-Parameters!$B$5*D233^2/G233*Parameters!B$65,0.0001)</f>
        <v>4.3878780089776743</v>
      </c>
      <c r="I234" s="7">
        <f>I233*(1+Parameters!$B$51)^Parameters!B$65</f>
        <v>15.883469030149826</v>
      </c>
      <c r="J234" s="7">
        <f>J233*(1+Parameters!$B$53)^Parameters!B$65</f>
        <v>860.62162278959477</v>
      </c>
      <c r="K234" s="7">
        <f>'6states'!$O$4</f>
        <v>0.98104277196026479</v>
      </c>
      <c r="L234" s="9">
        <f t="shared" si="43"/>
        <v>0.5</v>
      </c>
      <c r="N234" s="7">
        <f>(Parameters!$B$19*(E234+Parameters!$B$20)^L234+Parameters!$B$18*F234^L234)^(1/L234)</f>
        <v>0.5355637317804629</v>
      </c>
      <c r="O234" s="7">
        <f>(Parameters!$B$10*G234^Parameters!$B$9 + Parameters!$B$11*N234^Parameters!$B$9) ^ (Parameters!$B$7/Parameters!$B$9) * K234</f>
        <v>1.5032566591067276</v>
      </c>
      <c r="P234" s="7">
        <f t="shared" si="40"/>
        <v>1.1453616854916042</v>
      </c>
      <c r="Q234" s="7">
        <f>EXP(-Parameters!$B$55*A234)</f>
        <v>3.1023819455793956E-2</v>
      </c>
      <c r="R234" s="7">
        <f>IF(P234&gt;0,P234^(1-Parameters!$B$52)/(1-Parameters!$B$52)*Q234,-10+P234*1000)</f>
        <v>-8.4527357478142773E-2</v>
      </c>
      <c r="S234" s="7"/>
      <c r="T234" s="7"/>
      <c r="U234" s="7"/>
      <c r="V234" s="7"/>
    </row>
    <row r="235" spans="1:22" x14ac:dyDescent="0.25">
      <c r="A235">
        <f>A234+Parameters!$B$65</f>
        <v>231</v>
      </c>
      <c r="B235" s="9">
        <f t="shared" ref="B235:D235" si="73">B234</f>
        <v>5.191758263687303E-2</v>
      </c>
      <c r="C235" s="9">
        <f t="shared" si="73"/>
        <v>1.0017548050425843E-2</v>
      </c>
      <c r="D235" s="7">
        <f t="shared" si="73"/>
        <v>0.2959598429278244</v>
      </c>
      <c r="E235" s="7">
        <f>MAX((1-Parameters!$B$4)^Parameters!B$65*E234+B234*Parameters!B$65-Parameters!$B$5*B234^2/E234*Parameters!B$65,0.0001)</f>
        <v>0.76972613691303415</v>
      </c>
      <c r="F235" s="9">
        <f>MAX((1-Parameters!$B$4)^Parameters!B$65*F234+C234*Parameters!B$65-Parameters!$B$5*C234^2/F234*Parameters!B$65,0.0001)</f>
        <v>0.14851940643172779</v>
      </c>
      <c r="G235" s="7">
        <f>MAX((1-Parameters!$B$4)^Parameters!B$65*G234+D234*Parameters!B$65-Parameters!$B$5*D234^2/G234*Parameters!B$65,0.0001)</f>
        <v>4.387878004299921</v>
      </c>
      <c r="I235" s="7">
        <f>I234*(1+Parameters!$B$51)^Parameters!B$65</f>
        <v>15.929531090337258</v>
      </c>
      <c r="J235" s="7">
        <f>J234*(1+Parameters!$B$53)^Parameters!B$65</f>
        <v>877.83405524538671</v>
      </c>
      <c r="K235" s="7">
        <f>'6states'!$O$4</f>
        <v>0.98104277196026479</v>
      </c>
      <c r="L235" s="9">
        <f t="shared" si="43"/>
        <v>0.5</v>
      </c>
      <c r="N235" s="7">
        <f>(Parameters!$B$19*(E235+Parameters!$B$20)^L235+Parameters!$B$18*F235^L235)^(1/L235)</f>
        <v>0.5355637301113948</v>
      </c>
      <c r="O235" s="7">
        <f>(Parameters!$B$10*G235^Parameters!$B$9 + Parameters!$B$11*N235^Parameters!$B$9) ^ (Parameters!$B$7/Parameters!$B$9) * K235</f>
        <v>1.5032566584395517</v>
      </c>
      <c r="P235" s="7">
        <f t="shared" si="40"/>
        <v>1.1453616848244286</v>
      </c>
      <c r="Q235" s="7">
        <f>EXP(-Parameters!$B$55*A235)</f>
        <v>3.0558878917301198E-2</v>
      </c>
      <c r="R235" s="7">
        <f>IF(P235&gt;0,P235^(1-Parameters!$B$52)/(1-Parameters!$B$52)*Q235,-10+P235*1000)</f>
        <v>-8.326058261721267E-2</v>
      </c>
      <c r="S235" s="7"/>
      <c r="T235" s="7"/>
      <c r="U235" s="7"/>
      <c r="V235" s="7"/>
    </row>
    <row r="236" spans="1:22" x14ac:dyDescent="0.25">
      <c r="A236">
        <f>A235+Parameters!$B$65</f>
        <v>232</v>
      </c>
      <c r="B236" s="9">
        <f t="shared" ref="B236:D236" si="74">B235</f>
        <v>5.191758263687303E-2</v>
      </c>
      <c r="C236" s="9">
        <f t="shared" si="74"/>
        <v>1.0017548050425843E-2</v>
      </c>
      <c r="D236" s="7">
        <f t="shared" si="74"/>
        <v>0.2959598429278244</v>
      </c>
      <c r="E236" s="7">
        <f>MAX((1-Parameters!$B$4)^Parameters!B$65*E235+B235*Parameters!B$65-Parameters!$B$5*B235^2/E235*Parameters!B$65,0.0001)</f>
        <v>0.76972613462430683</v>
      </c>
      <c r="F236" s="9">
        <f>MAX((1-Parameters!$B$4)^Parameters!B$65*F235+C235*Parameters!B$65-Parameters!$B$5*C235^2/F235*Parameters!B$65,0.0001)</f>
        <v>0.14851940599640548</v>
      </c>
      <c r="G236" s="7">
        <f>MAX((1-Parameters!$B$4)^Parameters!B$65*G235+D235*Parameters!B$65-Parameters!$B$5*D235^2/G235*Parameters!B$65,0.0001)</f>
        <v>4.3878779998951174</v>
      </c>
      <c r="I236" s="7">
        <f>I235*(1+Parameters!$B$51)^Parameters!B$65</f>
        <v>15.975726730499234</v>
      </c>
      <c r="J236" s="7">
        <f>J235*(1+Parameters!$B$53)^Parameters!B$65</f>
        <v>895.39073635029445</v>
      </c>
      <c r="K236" s="7">
        <f>'6states'!$O$4</f>
        <v>0.98104277196026479</v>
      </c>
      <c r="L236" s="9">
        <f t="shared" si="43"/>
        <v>0.5</v>
      </c>
      <c r="N236" s="7">
        <f>(Parameters!$B$19*(E236+Parameters!$B$20)^L236+Parameters!$B$18*F236^L236)^(1/L236)</f>
        <v>0.53556372853971768</v>
      </c>
      <c r="O236" s="7">
        <f>(Parameters!$B$10*G236^Parameters!$B$9 + Parameters!$B$11*N236^Parameters!$B$9) ^ (Parameters!$B$7/Parameters!$B$9) * K236</f>
        <v>1.503256657811306</v>
      </c>
      <c r="P236" s="7">
        <f t="shared" si="40"/>
        <v>1.1453616841961827</v>
      </c>
      <c r="Q236" s="7">
        <f>EXP(-Parameters!$B$55*A236)</f>
        <v>3.0100906241184062E-2</v>
      </c>
      <c r="R236" s="7">
        <f>IF(P236&gt;0,P236^(1-Parameters!$B$52)/(1-Parameters!$B$52)*Q236,-10+P236*1000)</f>
        <v>-8.2012792360956072E-2</v>
      </c>
      <c r="S236" s="7"/>
      <c r="T236" s="7"/>
      <c r="U236" s="7"/>
      <c r="V236" s="7"/>
    </row>
    <row r="237" spans="1:22" x14ac:dyDescent="0.25">
      <c r="A237">
        <f>A236+Parameters!$B$65</f>
        <v>233</v>
      </c>
      <c r="B237" s="9">
        <f t="shared" ref="B237:D237" si="75">B236</f>
        <v>5.191758263687303E-2</v>
      </c>
      <c r="C237" s="9">
        <f t="shared" si="75"/>
        <v>1.0017548050425843E-2</v>
      </c>
      <c r="D237" s="7">
        <f t="shared" si="75"/>
        <v>0.2959598429278244</v>
      </c>
      <c r="E237" s="7">
        <f>MAX((1-Parameters!$B$4)^Parameters!B$65*E236+B236*Parameters!B$65-Parameters!$B$5*B236^2/E236*Parameters!B$65,0.0001)</f>
        <v>0.76972613246912802</v>
      </c>
      <c r="F237" s="9">
        <f>MAX((1-Parameters!$B$4)^Parameters!B$65*F236+C236*Parameters!B$65-Parameters!$B$5*C236^2/F236*Parameters!B$65,0.0001)</f>
        <v>0.14851940558648447</v>
      </c>
      <c r="G237" s="7">
        <f>MAX((1-Parameters!$B$4)^Parameters!B$65*G236+D236*Parameters!B$65-Parameters!$B$5*D236^2/G236*Parameters!B$65,0.0001)</f>
        <v>4.3878779957473366</v>
      </c>
      <c r="I237" s="7">
        <f>I236*(1+Parameters!$B$51)^Parameters!B$65</f>
        <v>16.022056338017681</v>
      </c>
      <c r="J237" s="7">
        <f>J236*(1+Parameters!$B$53)^Parameters!B$65</f>
        <v>913.29855107730032</v>
      </c>
      <c r="K237" s="7">
        <f>'6states'!$O$4</f>
        <v>0.98104277196026479</v>
      </c>
      <c r="L237" s="9">
        <f t="shared" si="43"/>
        <v>0.5</v>
      </c>
      <c r="N237" s="7">
        <f>(Parameters!$B$19*(E237+Parameters!$B$20)^L237+Parameters!$B$18*F237^L237)^(1/L237)</f>
        <v>0.53556372705974897</v>
      </c>
      <c r="O237" s="7">
        <f>(Parameters!$B$10*G237^Parameters!$B$9 + Parameters!$B$11*N237^Parameters!$B$9) ^ (Parameters!$B$7/Parameters!$B$9) * K237</f>
        <v>1.5032566572197184</v>
      </c>
      <c r="P237" s="7">
        <f t="shared" si="40"/>
        <v>1.145361683604595</v>
      </c>
      <c r="Q237" s="7">
        <f>EXP(-Parameters!$B$55*A237)</f>
        <v>2.9649797003108529E-2</v>
      </c>
      <c r="R237" s="7">
        <f>IF(P237&gt;0,P237^(1-Parameters!$B$52)/(1-Parameters!$B$52)*Q237,-10+P237*1000)</f>
        <v>-8.0783702195418486E-2</v>
      </c>
      <c r="S237" s="7"/>
      <c r="T237" s="7"/>
      <c r="U237" s="7"/>
      <c r="V237" s="7"/>
    </row>
    <row r="238" spans="1:22" x14ac:dyDescent="0.25">
      <c r="A238">
        <f>A237+Parameters!$B$65</f>
        <v>234</v>
      </c>
      <c r="B238" s="9">
        <f t="shared" ref="B238:D238" si="76">B237</f>
        <v>5.191758263687303E-2</v>
      </c>
      <c r="C238" s="9">
        <f t="shared" si="76"/>
        <v>1.0017548050425843E-2</v>
      </c>
      <c r="D238" s="7">
        <f t="shared" si="76"/>
        <v>0.2959598429278244</v>
      </c>
      <c r="E238" s="7">
        <f>MAX((1-Parameters!$B$4)^Parameters!B$65*E237+B237*Parameters!B$65-Parameters!$B$5*B237^2/E237*Parameters!B$65,0.0001)</f>
        <v>0.76972613043970517</v>
      </c>
      <c r="F238" s="9">
        <f>MAX((1-Parameters!$B$4)^Parameters!B$65*F237+C237*Parameters!B$65-Parameters!$B$5*C237^2/F237*Parameters!B$65,0.0001)</f>
        <v>0.1485194052004826</v>
      </c>
      <c r="G238" s="7">
        <f>MAX((1-Parameters!$B$4)^Parameters!B$65*G237+D237*Parameters!B$65-Parameters!$B$5*D237^2/G237*Parameters!B$65,0.0001)</f>
        <v>4.3878779918415809</v>
      </c>
      <c r="I238" s="7">
        <f>I237*(1+Parameters!$B$51)^Parameters!B$65</f>
        <v>16.068520301397932</v>
      </c>
      <c r="J238" s="7">
        <f>J237*(1+Parameters!$B$53)^Parameters!B$65</f>
        <v>931.5645220988464</v>
      </c>
      <c r="K238" s="7">
        <f>'6states'!$O$4</f>
        <v>0.98104277196026479</v>
      </c>
      <c r="L238" s="9">
        <f t="shared" si="43"/>
        <v>0.5</v>
      </c>
      <c r="N238" s="7">
        <f>(Parameters!$B$19*(E238+Parameters!$B$20)^L238+Parameters!$B$18*F238^L238)^(1/L238)</f>
        <v>0.5355637256661373</v>
      </c>
      <c r="O238" s="7">
        <f>(Parameters!$B$10*G238^Parameters!$B$9 + Parameters!$B$11*N238^Parameters!$B$9) ^ (Parameters!$B$7/Parameters!$B$9) * K238</f>
        <v>1.5032566566626504</v>
      </c>
      <c r="P238" s="7">
        <f t="shared" si="40"/>
        <v>1.1453616830475273</v>
      </c>
      <c r="Q238" s="7">
        <f>EXP(-Parameters!$B$55*A238)</f>
        <v>2.9205448343702842E-2</v>
      </c>
      <c r="R238" s="7">
        <f>IF(P238&gt;0,P238^(1-Parameters!$B$52)/(1-Parameters!$B$52)*Q238,-10+P238*1000)</f>
        <v>-7.9573031870526431E-2</v>
      </c>
      <c r="S238" s="7"/>
      <c r="T238" s="7"/>
      <c r="U238" s="7"/>
      <c r="V238" s="7"/>
    </row>
    <row r="239" spans="1:22" x14ac:dyDescent="0.25">
      <c r="A239">
        <f>A238+Parameters!$B$65</f>
        <v>235</v>
      </c>
      <c r="B239" s="9">
        <f t="shared" ref="B239:D239" si="77">B238</f>
        <v>5.191758263687303E-2</v>
      </c>
      <c r="C239" s="9">
        <f t="shared" si="77"/>
        <v>1.0017548050425843E-2</v>
      </c>
      <c r="D239" s="7">
        <f t="shared" si="77"/>
        <v>0.2959598429278244</v>
      </c>
      <c r="E239" s="7">
        <f>MAX((1-Parameters!$B$4)^Parameters!B$65*E238+B238*Parameters!B$65-Parameters!$B$5*B238^2/E238*Parameters!B$65,0.0001)</f>
        <v>0.76972612852870026</v>
      </c>
      <c r="F239" s="9">
        <f>MAX((1-Parameters!$B$4)^Parameters!B$65*F238+C238*Parameters!B$65-Parameters!$B$5*C238^2/F238*Parameters!B$65,0.0001)</f>
        <v>0.14851940483700413</v>
      </c>
      <c r="G239" s="7">
        <f>MAX((1-Parameters!$B$4)^Parameters!B$65*G238+D238*Parameters!B$65-Parameters!$B$5*D238^2/G238*Parameters!B$65,0.0001)</f>
        <v>4.3878779881637282</v>
      </c>
      <c r="I239" s="7">
        <f>I238*(1+Parameters!$B$51)^Parameters!B$65</f>
        <v>16.115119010271986</v>
      </c>
      <c r="J239" s="7">
        <f>J238*(1+Parameters!$B$53)^Parameters!B$65</f>
        <v>950.19581254082334</v>
      </c>
      <c r="K239" s="7">
        <f>'6states'!$O$4</f>
        <v>0.98104277196026479</v>
      </c>
      <c r="L239" s="9">
        <f t="shared" si="43"/>
        <v>0.5</v>
      </c>
      <c r="N239" s="7">
        <f>(Parameters!$B$19*(E239+Parameters!$B$20)^L239+Parameters!$B$18*F239^L239)^(1/L239)</f>
        <v>0.53556372435384336</v>
      </c>
      <c r="O239" s="7">
        <f>(Parameters!$B$10*G239^Parameters!$B$9 + Parameters!$B$11*N239^Parameters!$B$9) ^ (Parameters!$B$7/Parameters!$B$9) * K239</f>
        <v>1.5032566561380878</v>
      </c>
      <c r="P239" s="7">
        <f t="shared" si="40"/>
        <v>1.1453616825229647</v>
      </c>
      <c r="Q239" s="7">
        <f>EXP(-Parameters!$B$55*A239)</f>
        <v>2.8767758945104051E-2</v>
      </c>
      <c r="R239" s="7">
        <f>IF(P239&gt;0,P239^(1-Parameters!$B$52)/(1-Parameters!$B$52)*Q239,-10+P239*1000)</f>
        <v>-7.838050533618672E-2</v>
      </c>
      <c r="S239" s="7"/>
      <c r="T239" s="7"/>
      <c r="U239" s="7"/>
      <c r="V239" s="7"/>
    </row>
    <row r="240" spans="1:22" x14ac:dyDescent="0.25">
      <c r="A240">
        <f>A239+Parameters!$B$65</f>
        <v>236</v>
      </c>
      <c r="B240" s="9">
        <f t="shared" ref="B240:D240" si="78">B239</f>
        <v>5.191758263687303E-2</v>
      </c>
      <c r="C240" s="9">
        <f t="shared" si="78"/>
        <v>1.0017548050425843E-2</v>
      </c>
      <c r="D240" s="7">
        <f t="shared" si="78"/>
        <v>0.2959598429278244</v>
      </c>
      <c r="E240" s="7">
        <f>MAX((1-Parameters!$B$4)^Parameters!B$65*E239+B239*Parameters!B$65-Parameters!$B$5*B239^2/E239*Parameters!B$65,0.0001)</f>
        <v>0.7697261267292036</v>
      </c>
      <c r="F240" s="9">
        <f>MAX((1-Parameters!$B$4)^Parameters!B$65*F239+C239*Parameters!B$65-Parameters!$B$5*C239^2/F239*Parameters!B$65,0.0001)</f>
        <v>0.14851940449473489</v>
      </c>
      <c r="G240" s="7">
        <f>MAX((1-Parameters!$B$4)^Parameters!B$65*G239+D239*Parameters!B$65-Parameters!$B$5*D239^2/G239*Parameters!B$65,0.0001)</f>
        <v>4.3878779847004807</v>
      </c>
      <c r="I240" s="7">
        <f>I239*(1+Parameters!$B$51)^Parameters!B$65</f>
        <v>16.161852855401772</v>
      </c>
      <c r="J240" s="7">
        <f>J239*(1+Parameters!$B$53)^Parameters!B$65</f>
        <v>969.19972879163981</v>
      </c>
      <c r="K240" s="7">
        <f>'6states'!$O$4</f>
        <v>0.98104277196026479</v>
      </c>
      <c r="L240" s="9">
        <f t="shared" si="43"/>
        <v>0.5</v>
      </c>
      <c r="N240" s="7">
        <f>(Parameters!$B$19*(E240+Parameters!$B$20)^L240+Parameters!$B$18*F240^L240)^(1/L240)</f>
        <v>0.53556372311812284</v>
      </c>
      <c r="O240" s="7">
        <f>(Parameters!$B$10*G240^Parameters!$B$9 + Parameters!$B$11*N240^Parameters!$B$9) ^ (Parameters!$B$7/Parameters!$B$9) * K240</f>
        <v>1.5032566556441336</v>
      </c>
      <c r="P240" s="7">
        <f t="shared" si="40"/>
        <v>1.1453616820290105</v>
      </c>
      <c r="Q240" s="7">
        <f>EXP(-Parameters!$B$55*A240)</f>
        <v>2.8336629007856159E-2</v>
      </c>
      <c r="R240" s="7">
        <f>IF(P240&gt;0,P240^(1-Parameters!$B$52)/(1-Parameters!$B$52)*Q240,-10+P240*1000)</f>
        <v>-7.7205850679343879E-2</v>
      </c>
      <c r="S240" s="7"/>
      <c r="T240" s="7"/>
      <c r="U240" s="7"/>
      <c r="V240" s="7"/>
    </row>
    <row r="241" spans="1:22" x14ac:dyDescent="0.25">
      <c r="A241">
        <f>A240+Parameters!$B$65</f>
        <v>237</v>
      </c>
      <c r="B241" s="9">
        <f t="shared" ref="B241:D241" si="79">B240</f>
        <v>5.191758263687303E-2</v>
      </c>
      <c r="C241" s="9">
        <f t="shared" si="79"/>
        <v>1.0017548050425843E-2</v>
      </c>
      <c r="D241" s="7">
        <f t="shared" si="79"/>
        <v>0.2959598429278244</v>
      </c>
      <c r="E241" s="7">
        <f>MAX((1-Parameters!$B$4)^Parameters!B$65*E240+B240*Parameters!B$65-Parameters!$B$5*B240^2/E240*Parameters!B$65,0.0001)</f>
        <v>0.76972612503470861</v>
      </c>
      <c r="F241" s="9">
        <f>MAX((1-Parameters!$B$4)^Parameters!B$65*F240+C240*Parameters!B$65-Parameters!$B$5*C240^2/F240*Parameters!B$65,0.0001)</f>
        <v>0.14851940417243722</v>
      </c>
      <c r="G241" s="7">
        <f>MAX((1-Parameters!$B$4)^Parameters!B$65*G240+D240*Parameters!B$65-Parameters!$B$5*D240^2/G240*Parameters!B$65,0.0001)</f>
        <v>4.3878779814393161</v>
      </c>
      <c r="I241" s="7">
        <f>I240*(1+Parameters!$B$51)^Parameters!B$65</f>
        <v>16.208722228682436</v>
      </c>
      <c r="J241" s="7">
        <f>J240*(1+Parameters!$B$53)^Parameters!B$65</f>
        <v>988.58372336747266</v>
      </c>
      <c r="K241" s="7">
        <f>'6states'!$O$4</f>
        <v>0.98104277196026479</v>
      </c>
      <c r="L241" s="9">
        <f t="shared" si="43"/>
        <v>0.5</v>
      </c>
      <c r="N241" s="7">
        <f>(Parameters!$B$19*(E241+Parameters!$B$20)^L241+Parameters!$B$18*F241^L241)^(1/L241)</f>
        <v>0.5355637219545073</v>
      </c>
      <c r="O241" s="7">
        <f>(Parameters!$B$10*G241^Parameters!$B$9 + Parameters!$B$11*N241^Parameters!$B$9) ^ (Parameters!$B$7/Parameters!$B$9) * K241</f>
        <v>1.5032566551790021</v>
      </c>
      <c r="P241" s="7">
        <f t="shared" si="40"/>
        <v>1.145361681563879</v>
      </c>
      <c r="Q241" s="7">
        <f>EXP(-Parameters!$B$55*A241)</f>
        <v>2.7911960228154321E-2</v>
      </c>
      <c r="R241" s="7">
        <f>IF(P241&gt;0,P241^(1-Parameters!$B$52)/(1-Parameters!$B$52)*Q241,-10+P241*1000)</f>
        <v>-7.6048800061980282E-2</v>
      </c>
      <c r="S241" s="7"/>
      <c r="T241" s="7"/>
      <c r="U241" s="7"/>
      <c r="V241" s="7"/>
    </row>
    <row r="242" spans="1:22" x14ac:dyDescent="0.25">
      <c r="A242">
        <f>A241+Parameters!$B$65</f>
        <v>238</v>
      </c>
      <c r="B242" s="9">
        <f t="shared" ref="B242:D242" si="80">B241</f>
        <v>5.191758263687303E-2</v>
      </c>
      <c r="C242" s="9">
        <f t="shared" si="80"/>
        <v>1.0017548050425843E-2</v>
      </c>
      <c r="D242" s="7">
        <f t="shared" si="80"/>
        <v>0.2959598429278244</v>
      </c>
      <c r="E242" s="7">
        <f>MAX((1-Parameters!$B$4)^Parameters!B$65*E241+B241*Parameters!B$65-Parameters!$B$5*B241^2/E241*Parameters!B$65,0.0001)</f>
        <v>0.76972612343908842</v>
      </c>
      <c r="F242" s="9">
        <f>MAX((1-Parameters!$B$4)^Parameters!B$65*F241+C241*Parameters!B$65-Parameters!$B$5*C241^2/F241*Parameters!B$65,0.0001)</f>
        <v>0.14851940386894583</v>
      </c>
      <c r="G242" s="7">
        <f>MAX((1-Parameters!$B$4)^Parameters!B$65*G241+D241*Parameters!B$65-Parameters!$B$5*D241^2/G241*Parameters!B$65,0.0001)</f>
        <v>4.3878779783684427</v>
      </c>
      <c r="I242" s="7">
        <f>I241*(1+Parameters!$B$51)^Parameters!B$65</f>
        <v>16.255727523145612</v>
      </c>
      <c r="J242" s="7">
        <f>J241*(1+Parameters!$B$53)^Parameters!B$65</f>
        <v>1008.3553978348222</v>
      </c>
      <c r="K242" s="7">
        <f>'6states'!$O$4</f>
        <v>0.98104277196026479</v>
      </c>
      <c r="L242" s="9">
        <f t="shared" si="43"/>
        <v>0.5</v>
      </c>
      <c r="N242" s="7">
        <f>(Parameters!$B$19*(E242+Parameters!$B$20)^L242+Parameters!$B$18*F242^L242)^(1/L242)</f>
        <v>0.53556372085878934</v>
      </c>
      <c r="O242" s="7">
        <f>(Parameters!$B$10*G242^Parameters!$B$9 + Parameters!$B$11*N242^Parameters!$B$9) ^ (Parameters!$B$7/Parameters!$B$9) * K242</f>
        <v>1.5032566547410111</v>
      </c>
      <c r="P242" s="7">
        <f t="shared" si="40"/>
        <v>1.145361681125888</v>
      </c>
      <c r="Q242" s="7">
        <f>EXP(-Parameters!$B$55*A242)</f>
        <v>2.7493655775430236E-2</v>
      </c>
      <c r="R242" s="7">
        <f>IF(P242&gt;0,P242^(1-Parameters!$B$52)/(1-Parameters!$B$52)*Q242,-10+P242*1000)</f>
        <v>-7.4909089660045891E-2</v>
      </c>
      <c r="S242" s="7"/>
      <c r="T242" s="7"/>
      <c r="U242" s="7"/>
      <c r="V242" s="7"/>
    </row>
    <row r="243" spans="1:22" x14ac:dyDescent="0.25">
      <c r="A243">
        <f>A242+Parameters!$B$65</f>
        <v>239</v>
      </c>
      <c r="B243" s="9">
        <f t="shared" ref="B243:D243" si="81">B242</f>
        <v>5.191758263687303E-2</v>
      </c>
      <c r="C243" s="9">
        <f t="shared" si="81"/>
        <v>1.0017548050425843E-2</v>
      </c>
      <c r="D243" s="7">
        <f t="shared" si="81"/>
        <v>0.2959598429278244</v>
      </c>
      <c r="E243" s="7">
        <f>MAX((1-Parameters!$B$4)^Parameters!B$65*E242+B242*Parameters!B$65-Parameters!$B$5*B242^2/E242*Parameters!B$65,0.0001)</f>
        <v>0.76972612193657353</v>
      </c>
      <c r="F243" s="9">
        <f>MAX((1-Parameters!$B$4)^Parameters!B$65*F242+C242*Parameters!B$65-Parameters!$B$5*C242^2/F242*Parameters!B$65,0.0001)</f>
        <v>0.14851940358316332</v>
      </c>
      <c r="G243" s="7">
        <f>MAX((1-Parameters!$B$4)^Parameters!B$65*G242+D242*Parameters!B$65-Parameters!$B$5*D242^2/G242*Parameters!B$65,0.0001)</f>
        <v>4.3878779754767558</v>
      </c>
      <c r="I243" s="7">
        <f>I242*(1+Parameters!$B$51)^Parameters!B$65</f>
        <v>16.302869132962734</v>
      </c>
      <c r="J243" s="7">
        <f>J242*(1+Parameters!$B$53)^Parameters!B$65</f>
        <v>1028.5225057915186</v>
      </c>
      <c r="K243" s="7">
        <f>'6states'!$O$4</f>
        <v>0.98104277196026479</v>
      </c>
      <c r="L243" s="9">
        <f t="shared" si="43"/>
        <v>0.5</v>
      </c>
      <c r="N243" s="7">
        <f>(Parameters!$B$19*(E243+Parameters!$B$20)^L243+Parameters!$B$18*F243^L243)^(1/L243)</f>
        <v>0.53556371982700723</v>
      </c>
      <c r="O243" s="7">
        <f>(Parameters!$B$10*G243^Parameters!$B$9 + Parameters!$B$11*N243^Parameters!$B$9) ^ (Parameters!$B$7/Parameters!$B$9) * K243</f>
        <v>1.5032566543285772</v>
      </c>
      <c r="P243" s="7">
        <f t="shared" si="40"/>
        <v>1.1453616807134539</v>
      </c>
      <c r="Q243" s="7">
        <f>EXP(-Parameters!$B$55*A243)</f>
        <v>2.7081620270273384E-2</v>
      </c>
      <c r="R243" s="7">
        <f>IF(P243&gt;0,P243^(1-Parameters!$B$52)/(1-Parameters!$B$52)*Q243,-10+P243*1000)</f>
        <v>-7.3786459603303003E-2</v>
      </c>
      <c r="S243" s="7"/>
      <c r="T243" s="7"/>
      <c r="U243" s="7"/>
      <c r="V243" s="7"/>
    </row>
    <row r="244" spans="1:22" x14ac:dyDescent="0.25">
      <c r="A244">
        <f>A243+Parameters!$B$65</f>
        <v>240</v>
      </c>
      <c r="B244" s="9">
        <f t="shared" ref="B244:D244" si="82">B243</f>
        <v>5.191758263687303E-2</v>
      </c>
      <c r="C244" s="9">
        <f t="shared" si="82"/>
        <v>1.0017548050425843E-2</v>
      </c>
      <c r="D244" s="7">
        <f t="shared" si="82"/>
        <v>0.2959598429278244</v>
      </c>
      <c r="E244" s="7">
        <f>MAX((1-Parameters!$B$4)^Parameters!B$65*E243+B243*Parameters!B$65-Parameters!$B$5*B243^2/E243*Parameters!B$65,0.0001)</f>
        <v>0.76972612052173128</v>
      </c>
      <c r="F244" s="9">
        <f>MAX((1-Parameters!$B$4)^Parameters!B$65*F243+C243*Parameters!B$65-Parameters!$B$5*C243^2/F243*Parameters!B$65,0.0001)</f>
        <v>0.14851940331405639</v>
      </c>
      <c r="G244" s="7">
        <f>MAX((1-Parameters!$B$4)^Parameters!B$65*G243+D243*Parameters!B$65-Parameters!$B$5*D243^2/G243*Parameters!B$65,0.0001)</f>
        <v>4.3878779727538006</v>
      </c>
      <c r="I244" s="7">
        <f>I243*(1+Parameters!$B$51)^Parameters!B$65</f>
        <v>16.350147453448322</v>
      </c>
      <c r="J244" s="7">
        <f>J243*(1+Parameters!$B$53)^Parameters!B$65</f>
        <v>1049.0929559073491</v>
      </c>
      <c r="K244" s="7">
        <f>'6states'!$O$4</f>
        <v>0.98104277196026479</v>
      </c>
      <c r="L244" s="9">
        <f t="shared" si="43"/>
        <v>0.5</v>
      </c>
      <c r="N244" s="7">
        <f>(Parameters!$B$19*(E244+Parameters!$B$20)^L244+Parameters!$B$18*F244^L244)^(1/L244)</f>
        <v>0.53556371885542997</v>
      </c>
      <c r="O244" s="7">
        <f>(Parameters!$B$10*G244^Parameters!$B$9 + Parameters!$B$11*N244^Parameters!$B$9) ^ (Parameters!$B$7/Parameters!$B$9) * K244</f>
        <v>1.503256653940209</v>
      </c>
      <c r="P244" s="7">
        <f t="shared" si="40"/>
        <v>1.1453616803250859</v>
      </c>
      <c r="Q244" s="7">
        <f>EXP(-Parameters!$B$55*A244)</f>
        <v>2.6675759762683122E-2</v>
      </c>
      <c r="R244" s="7">
        <f>IF(P244&gt;0,P244^(1-Parameters!$B$52)/(1-Parameters!$B$52)*Q244,-10+P244*1000)</f>
        <v>-7.2680653916072299E-2</v>
      </c>
      <c r="S244" s="7"/>
      <c r="T244" s="7"/>
      <c r="U244" s="7"/>
      <c r="V244" s="7"/>
    </row>
    <row r="245" spans="1:22" x14ac:dyDescent="0.25">
      <c r="A245">
        <f>A244+Parameters!$B$65</f>
        <v>241</v>
      </c>
      <c r="B245" s="9">
        <f t="shared" ref="B245:D245" si="83">B244</f>
        <v>5.191758263687303E-2</v>
      </c>
      <c r="C245" s="9">
        <f t="shared" si="83"/>
        <v>1.0017548050425843E-2</v>
      </c>
      <c r="D245" s="7">
        <f t="shared" si="83"/>
        <v>0.2959598429278244</v>
      </c>
      <c r="E245" s="7">
        <f>MAX((1-Parameters!$B$4)^Parameters!B$65*E244+B244*Parameters!B$65-Parameters!$B$5*B244^2/E244*Parameters!B$65,0.0001)</f>
        <v>0.76972611918944589</v>
      </c>
      <c r="F245" s="9">
        <f>MAX((1-Parameters!$B$4)^Parameters!B$65*F244+C244*Parameters!B$65-Parameters!$B$5*C244^2/F244*Parameters!B$65,0.0001)</f>
        <v>0.14851940306065201</v>
      </c>
      <c r="G245" s="7">
        <f>MAX((1-Parameters!$B$4)^Parameters!B$65*G244+D244*Parameters!B$65-Parameters!$B$5*D244^2/G244*Parameters!B$65,0.0001)</f>
        <v>4.3878779701897317</v>
      </c>
      <c r="I245" s="7">
        <f>I244*(1+Parameters!$B$51)^Parameters!B$65</f>
        <v>16.397562881063322</v>
      </c>
      <c r="J245" s="7">
        <f>J244*(1+Parameters!$B$53)^Parameters!B$65</f>
        <v>1070.074815025496</v>
      </c>
      <c r="K245" s="7">
        <f>'6states'!$O$4</f>
        <v>0.98104277196026479</v>
      </c>
      <c r="L245" s="9">
        <f t="shared" si="43"/>
        <v>0.5</v>
      </c>
      <c r="N245" s="7">
        <f>(Parameters!$B$19*(E245+Parameters!$B$20)^L245+Parameters!$B$18*F245^L245)^(1/L245)</f>
        <v>0.53556371794054514</v>
      </c>
      <c r="O245" s="7">
        <f>(Parameters!$B$10*G245^Parameters!$B$9 + Parameters!$B$11*N245^Parameters!$B$9) ^ (Parameters!$B$7/Parameters!$B$9) * K245</f>
        <v>1.5032566535745024</v>
      </c>
      <c r="P245" s="7">
        <f t="shared" si="40"/>
        <v>1.1453616799593793</v>
      </c>
      <c r="Q245" s="7">
        <f>EXP(-Parameters!$B$55*A245)</f>
        <v>2.6275981710646754E-2</v>
      </c>
      <c r="R245" s="7">
        <f>IF(P245&gt;0,P245^(1-Parameters!$B$52)/(1-Parameters!$B$52)*Q245,-10+P245*1000)</f>
        <v>-7.1591420458867322E-2</v>
      </c>
      <c r="S245" s="7"/>
      <c r="T245" s="7"/>
      <c r="U245" s="7"/>
      <c r="V245" s="7"/>
    </row>
    <row r="246" spans="1:22" x14ac:dyDescent="0.25">
      <c r="A246">
        <f>A245+Parameters!$B$65</f>
        <v>242</v>
      </c>
      <c r="B246" s="9">
        <f t="shared" ref="B246:D246" si="84">B245</f>
        <v>5.191758263687303E-2</v>
      </c>
      <c r="C246" s="9">
        <f t="shared" si="84"/>
        <v>1.0017548050425843E-2</v>
      </c>
      <c r="D246" s="7">
        <f t="shared" si="84"/>
        <v>0.2959598429278244</v>
      </c>
      <c r="E246" s="7">
        <f>MAX((1-Parameters!$B$4)^Parameters!B$65*E245+B245*Parameters!B$65-Parameters!$B$5*B245^2/E245*Parameters!B$65,0.0001)</f>
        <v>0.76972611793490009</v>
      </c>
      <c r="F246" s="9">
        <f>MAX((1-Parameters!$B$4)^Parameters!B$65*F245+C245*Parameters!B$65-Parameters!$B$5*C245^2/F245*Parameters!B$65,0.0001)</f>
        <v>0.14851940282203391</v>
      </c>
      <c r="G246" s="7">
        <f>MAX((1-Parameters!$B$4)^Parameters!B$65*G245+D245*Parameters!B$65-Parameters!$B$5*D245^2/G245*Parameters!B$65,0.0001)</f>
        <v>4.3878779677752773</v>
      </c>
      <c r="I246" s="7">
        <f>I245*(1+Parameters!$B$51)^Parameters!B$65</f>
        <v>16.445115813418404</v>
      </c>
      <c r="J246" s="7">
        <f>J245*(1+Parameters!$B$53)^Parameters!B$65</f>
        <v>1091.476311326006</v>
      </c>
      <c r="K246" s="7">
        <f>'6states'!$O$4</f>
        <v>0.98104277196026479</v>
      </c>
      <c r="L246" s="9">
        <f t="shared" si="43"/>
        <v>0.5</v>
      </c>
      <c r="N246" s="7">
        <f>(Parameters!$B$19*(E246+Parameters!$B$20)^L246+Parameters!$B$18*F246^L246)^(1/L246)</f>
        <v>0.53556371707904415</v>
      </c>
      <c r="O246" s="7">
        <f>(Parameters!$B$10*G246^Parameters!$B$9 + Parameters!$B$11*N246^Parameters!$B$9) ^ (Parameters!$B$7/Parameters!$B$9) * K246</f>
        <v>1.503256653230135</v>
      </c>
      <c r="P246" s="7">
        <f t="shared" si="40"/>
        <v>1.1453616796150117</v>
      </c>
      <c r="Q246" s="7">
        <f>EXP(-Parameters!$B$55*A246)</f>
        <v>2.5882194959038634E-2</v>
      </c>
      <c r="R246" s="7">
        <f>IF(P246&gt;0,P246^(1-Parameters!$B$52)/(1-Parameters!$B$52)*Q246,-10+P246*1000)</f>
        <v>-7.0518510870903328E-2</v>
      </c>
      <c r="S246" s="7"/>
      <c r="T246" s="7"/>
      <c r="U246" s="7"/>
      <c r="V246" s="7"/>
    </row>
    <row r="247" spans="1:22" x14ac:dyDescent="0.25">
      <c r="A247">
        <f>A246+Parameters!$B$65</f>
        <v>243</v>
      </c>
      <c r="B247" s="9">
        <f t="shared" ref="B247:D247" si="85">B246</f>
        <v>5.191758263687303E-2</v>
      </c>
      <c r="C247" s="9">
        <f t="shared" si="85"/>
        <v>1.0017548050425843E-2</v>
      </c>
      <c r="D247" s="7">
        <f t="shared" si="85"/>
        <v>0.2959598429278244</v>
      </c>
      <c r="E247" s="7">
        <f>MAX((1-Parameters!$B$4)^Parameters!B$65*E246+B246*Parameters!B$65-Parameters!$B$5*B246^2/E246*Parameters!B$65,0.0001)</f>
        <v>0.76972611675355784</v>
      </c>
      <c r="F247" s="9">
        <f>MAX((1-Parameters!$B$4)^Parameters!B$65*F246+C246*Parameters!B$65-Parameters!$B$5*C246^2/F246*Parameters!B$65,0.0001)</f>
        <v>0.14851940259733931</v>
      </c>
      <c r="G247" s="7">
        <f>MAX((1-Parameters!$B$4)^Parameters!B$65*G246+D246*Parameters!B$65-Parameters!$B$5*D246^2/G246*Parameters!B$65,0.0001)</f>
        <v>4.3878779655017084</v>
      </c>
      <c r="I247" s="7">
        <f>I246*(1+Parameters!$B$51)^Parameters!B$65</f>
        <v>16.492806649277316</v>
      </c>
      <c r="J247" s="7">
        <f>J246*(1+Parameters!$B$53)^Parameters!B$65</f>
        <v>1113.3058375525261</v>
      </c>
      <c r="K247" s="7">
        <f>'6states'!$O$4</f>
        <v>0.98104277196026479</v>
      </c>
      <c r="L247" s="9">
        <f t="shared" si="43"/>
        <v>0.5</v>
      </c>
      <c r="N247" s="7">
        <f>(Parameters!$B$19*(E247+Parameters!$B$20)^L247+Parameters!$B$18*F247^L247)^(1/L247)</f>
        <v>0.5355637162678123</v>
      </c>
      <c r="O247" s="7">
        <f>(Parameters!$B$10*G247^Parameters!$B$9 + Parameters!$B$11*N247^Parameters!$B$9) ^ (Parameters!$B$7/Parameters!$B$9) * K247</f>
        <v>1.5032566529058617</v>
      </c>
      <c r="P247" s="7">
        <f t="shared" si="40"/>
        <v>1.1453616792907386</v>
      </c>
      <c r="Q247" s="7">
        <f>EXP(-Parameters!$B$55*A247)</f>
        <v>2.549430971883547E-2</v>
      </c>
      <c r="R247" s="7">
        <f>IF(P247&gt;0,P247^(1-Parameters!$B$52)/(1-Parameters!$B$52)*Q247,-10+P247*1000)</f>
        <v>-6.9461680513467641E-2</v>
      </c>
      <c r="S247" s="7"/>
      <c r="T247" s="7"/>
      <c r="U247" s="7"/>
      <c r="V247" s="7"/>
    </row>
    <row r="248" spans="1:22" x14ac:dyDescent="0.25">
      <c r="A248">
        <f>A247+Parameters!$B$65</f>
        <v>244</v>
      </c>
      <c r="B248" s="9">
        <f t="shared" ref="B248:D248" si="86">B247</f>
        <v>5.191758263687303E-2</v>
      </c>
      <c r="C248" s="9">
        <f t="shared" si="86"/>
        <v>1.0017548050425843E-2</v>
      </c>
      <c r="D248" s="7">
        <f t="shared" si="86"/>
        <v>0.2959598429278244</v>
      </c>
      <c r="E248" s="7">
        <f>MAX((1-Parameters!$B$4)^Parameters!B$65*E247+B247*Parameters!B$65-Parameters!$B$5*B247^2/E247*Parameters!B$65,0.0001)</f>
        <v>0.76972611564114757</v>
      </c>
      <c r="F248" s="9">
        <f>MAX((1-Parameters!$B$4)^Parameters!B$65*F247+C247*Parameters!B$65-Parameters!$B$5*C247^2/F247*Parameters!B$65,0.0001)</f>
        <v>0.14851940238575576</v>
      </c>
      <c r="G248" s="7">
        <f>MAX((1-Parameters!$B$4)^Parameters!B$65*G247+D247*Parameters!B$65-Parameters!$B$5*D247^2/G247*Parameters!B$65,0.0001)</f>
        <v>4.3878779633608032</v>
      </c>
      <c r="I248" s="7">
        <f>I247*(1+Parameters!$B$51)^Parameters!B$65</f>
        <v>16.54063578856022</v>
      </c>
      <c r="J248" s="7">
        <f>J247*(1+Parameters!$B$53)^Parameters!B$65</f>
        <v>1135.5719543035766</v>
      </c>
      <c r="K248" s="7">
        <f>'6states'!$O$4</f>
        <v>0.98104277196026479</v>
      </c>
      <c r="L248" s="9">
        <f t="shared" si="43"/>
        <v>0.5</v>
      </c>
      <c r="N248" s="7">
        <f>(Parameters!$B$19*(E248+Parameters!$B$20)^L248+Parameters!$B$18*F248^L248)^(1/L248)</f>
        <v>0.53556371550391635</v>
      </c>
      <c r="O248" s="7">
        <f>(Parameters!$B$10*G248^Parameters!$B$9 + Parameters!$B$11*N248^Parameters!$B$9) ^ (Parameters!$B$7/Parameters!$B$9) * K248</f>
        <v>1.5032566526005096</v>
      </c>
      <c r="P248" s="7">
        <f t="shared" si="40"/>
        <v>1.1453616789853864</v>
      </c>
      <c r="Q248" s="7">
        <f>EXP(-Parameters!$B$55*A248)</f>
        <v>2.5112237546643188E-2</v>
      </c>
      <c r="R248" s="7">
        <f>IF(P248&gt;0,P248^(1-Parameters!$B$52)/(1-Parameters!$B$52)*Q248,-10+P248*1000)</f>
        <v>-6.8420688414139064E-2</v>
      </c>
      <c r="S248" s="7"/>
      <c r="T248" s="7"/>
      <c r="U248" s="7"/>
      <c r="V248" s="7"/>
    </row>
    <row r="249" spans="1:22" x14ac:dyDescent="0.25">
      <c r="A249">
        <f>A248+Parameters!$B$65</f>
        <v>245</v>
      </c>
      <c r="B249" s="9">
        <f t="shared" ref="B249:D249" si="87">B248</f>
        <v>5.191758263687303E-2</v>
      </c>
      <c r="C249" s="9">
        <f t="shared" si="87"/>
        <v>1.0017548050425843E-2</v>
      </c>
      <c r="D249" s="7">
        <f t="shared" si="87"/>
        <v>0.2959598429278244</v>
      </c>
      <c r="E249" s="7">
        <f>MAX((1-Parameters!$B$4)^Parameters!B$65*E248+B248*Parameters!B$65-Parameters!$B$5*B248^2/E248*Parameters!B$65,0.0001)</f>
        <v>0.76972611459364704</v>
      </c>
      <c r="F249" s="9">
        <f>MAX((1-Parameters!$B$4)^Parameters!B$65*F248+C248*Parameters!B$65-Parameters!$B$5*C248^2/F248*Parameters!B$65,0.0001)</f>
        <v>0.14851940218651824</v>
      </c>
      <c r="G249" s="7">
        <f>MAX((1-Parameters!$B$4)^Parameters!B$65*G248+D248*Parameters!B$65-Parameters!$B$5*D248^2/G248*Parameters!B$65,0.0001)</f>
        <v>4.3878779613448211</v>
      </c>
      <c r="I249" s="7">
        <f>I248*(1+Parameters!$B$51)^Parameters!B$65</f>
        <v>16.588603632347041</v>
      </c>
      <c r="J249" s="7">
        <f>J248*(1+Parameters!$B$53)^Parameters!B$65</f>
        <v>1158.2833933896482</v>
      </c>
      <c r="K249" s="7">
        <f>'6states'!$O$4</f>
        <v>0.98104277196026479</v>
      </c>
      <c r="L249" s="9">
        <f t="shared" si="43"/>
        <v>0.5</v>
      </c>
      <c r="N249" s="7">
        <f>(Parameters!$B$19*(E249+Parameters!$B$20)^L249+Parameters!$B$18*F249^L249)^(1/L249)</f>
        <v>0.53556371478459397</v>
      </c>
      <c r="O249" s="7">
        <f>(Parameters!$B$10*G249^Parameters!$B$9 + Parameters!$B$11*N249^Parameters!$B$9) ^ (Parameters!$B$7/Parameters!$B$9) * K249</f>
        <v>1.5032566523129753</v>
      </c>
      <c r="P249" s="7">
        <f t="shared" si="40"/>
        <v>1.145361678697852</v>
      </c>
      <c r="Q249" s="7">
        <f>EXP(-Parameters!$B$55*A249)</f>
        <v>2.4735891324530496E-2</v>
      </c>
      <c r="R249" s="7">
        <f>IF(P249&gt;0,P249^(1-Parameters!$B$52)/(1-Parameters!$B$52)*Q249,-10+P249*1000)</f>
        <v>-6.7395297211842703E-2</v>
      </c>
      <c r="S249" s="7"/>
      <c r="T249" s="7"/>
      <c r="U249" s="7"/>
      <c r="V249" s="7"/>
    </row>
    <row r="250" spans="1:22" x14ac:dyDescent="0.25">
      <c r="A250">
        <f>A249+Parameters!$B$65</f>
        <v>246</v>
      </c>
      <c r="B250" s="9">
        <f t="shared" ref="B250:D250" si="88">B249</f>
        <v>5.191758263687303E-2</v>
      </c>
      <c r="C250" s="9">
        <f t="shared" si="88"/>
        <v>1.0017548050425843E-2</v>
      </c>
      <c r="D250" s="7">
        <f t="shared" si="88"/>
        <v>0.2959598429278244</v>
      </c>
      <c r="E250" s="7">
        <f>MAX((1-Parameters!$B$4)^Parameters!B$65*E249+B249*Parameters!B$65-Parameters!$B$5*B249^2/E249*Parameters!B$65,0.0001)</f>
        <v>0.76972611360726872</v>
      </c>
      <c r="F250" s="9">
        <f>MAX((1-Parameters!$B$4)^Parameters!B$65*F249+C249*Parameters!B$65-Parameters!$B$5*C249^2/F249*Parameters!B$65,0.0001)</f>
        <v>0.14851940199890637</v>
      </c>
      <c r="G250" s="7">
        <f>MAX((1-Parameters!$B$4)^Parameters!B$65*G249+D249*Parameters!B$65-Parameters!$B$5*D249^2/G249*Parameters!B$65,0.0001)</f>
        <v>4.387877959446473</v>
      </c>
      <c r="I250" s="7">
        <f>I249*(1+Parameters!$B$51)^Parameters!B$65</f>
        <v>16.636710582880845</v>
      </c>
      <c r="J250" s="7">
        <f>J249*(1+Parameters!$B$53)^Parameters!B$65</f>
        <v>1181.4490612574411</v>
      </c>
      <c r="K250" s="7">
        <f>'6states'!$O$4</f>
        <v>0.98104277196026479</v>
      </c>
      <c r="L250" s="9">
        <f t="shared" si="43"/>
        <v>0.5</v>
      </c>
      <c r="N250" s="7">
        <f>(Parameters!$B$19*(E250+Parameters!$B$20)^L250+Parameters!$B$18*F250^L250)^(1/L250)</f>
        <v>0.53556371410724468</v>
      </c>
      <c r="O250" s="7">
        <f>(Parameters!$B$10*G250^Parameters!$B$9 + Parameters!$B$11*N250^Parameters!$B$9) ^ (Parameters!$B$7/Parameters!$B$9) * K250</f>
        <v>1.5032566520422188</v>
      </c>
      <c r="P250" s="7">
        <f t="shared" si="40"/>
        <v>1.1453616784270957</v>
      </c>
      <c r="Q250" s="7">
        <f>EXP(-Parameters!$B$55*A250)</f>
        <v>2.4365185240164795E-2</v>
      </c>
      <c r="R250" s="7">
        <f>IF(P250&gt;0,P250^(1-Parameters!$B$52)/(1-Parameters!$B$52)*Q250,-10+P250*1000)</f>
        <v>-6.638527310272864E-2</v>
      </c>
      <c r="S250" s="7"/>
      <c r="T250" s="7"/>
      <c r="U250" s="7"/>
      <c r="V250" s="7"/>
    </row>
    <row r="251" spans="1:22" x14ac:dyDescent="0.25">
      <c r="A251">
        <f>A250+Parameters!$B$65</f>
        <v>247</v>
      </c>
      <c r="B251" s="9">
        <f t="shared" ref="B251:D251" si="89">B250</f>
        <v>5.191758263687303E-2</v>
      </c>
      <c r="C251" s="9">
        <f t="shared" si="89"/>
        <v>1.0017548050425843E-2</v>
      </c>
      <c r="D251" s="7">
        <f t="shared" si="89"/>
        <v>0.2959598429278244</v>
      </c>
      <c r="E251" s="7">
        <f>MAX((1-Parameters!$B$4)^Parameters!B$65*E250+B250*Parameters!B$65-Parameters!$B$5*B250^2/E250*Parameters!B$65,0.0001)</f>
        <v>0.76972611267844626</v>
      </c>
      <c r="F251" s="9">
        <f>MAX((1-Parameters!$B$4)^Parameters!B$65*F250+C250*Parameters!B$65-Parameters!$B$5*C250^2/F250*Parameters!B$65,0.0001)</f>
        <v>0.14851940182224174</v>
      </c>
      <c r="G251" s="7">
        <f>MAX((1-Parameters!$B$4)^Parameters!B$65*G250+D250*Parameters!B$65-Parameters!$B$5*D250^2/G250*Parameters!B$65,0.0001)</f>
        <v>4.387877957658894</v>
      </c>
      <c r="I251" s="7">
        <f>I250*(1+Parameters!$B$51)^Parameters!B$65</f>
        <v>16.684957043571199</v>
      </c>
      <c r="J251" s="7">
        <f>J250*(1+Parameters!$B$53)^Parameters!B$65</f>
        <v>1205.07804248259</v>
      </c>
      <c r="K251" s="7">
        <f>'6states'!$O$4</f>
        <v>0.98104277196026479</v>
      </c>
      <c r="L251" s="9">
        <f t="shared" si="43"/>
        <v>0.5</v>
      </c>
      <c r="N251" s="7">
        <f>(Parameters!$B$19*(E251+Parameters!$B$20)^L251+Parameters!$B$18*F251^L251)^(1/L251)</f>
        <v>0.53556371346941889</v>
      </c>
      <c r="O251" s="7">
        <f>(Parameters!$B$10*G251^Parameters!$B$9 + Parameters!$B$11*N251^Parameters!$B$9) ^ (Parameters!$B$7/Parameters!$B$9) * K251</f>
        <v>1.5032566517872612</v>
      </c>
      <c r="P251" s="7">
        <f t="shared" si="40"/>
        <v>1.1453616781721379</v>
      </c>
      <c r="Q251" s="7">
        <f>EXP(-Parameters!$B$55*A251)</f>
        <v>2.400003476724576E-2</v>
      </c>
      <c r="R251" s="7">
        <f>IF(P251&gt;0,P251^(1-Parameters!$B$52)/(1-Parameters!$B$52)*Q251,-10+P251*1000)</f>
        <v>-6.5390385786861599E-2</v>
      </c>
      <c r="S251" s="7"/>
      <c r="T251" s="7"/>
      <c r="U251" s="7"/>
      <c r="V251" s="7"/>
    </row>
    <row r="252" spans="1:22" x14ac:dyDescent="0.25">
      <c r="A252">
        <f>A251+Parameters!$B$65</f>
        <v>248</v>
      </c>
      <c r="B252" s="9">
        <f t="shared" ref="B252:D252" si="90">B251</f>
        <v>5.191758263687303E-2</v>
      </c>
      <c r="C252" s="9">
        <f t="shared" si="90"/>
        <v>1.0017548050425843E-2</v>
      </c>
      <c r="D252" s="7">
        <f t="shared" si="90"/>
        <v>0.2959598429278244</v>
      </c>
      <c r="E252" s="7">
        <f>MAX((1-Parameters!$B$4)^Parameters!B$65*E251+B251*Parameters!B$65-Parameters!$B$5*B251^2/E251*Parameters!B$65,0.0001)</f>
        <v>0.76972611180382111</v>
      </c>
      <c r="F252" s="9">
        <f>MAX((1-Parameters!$B$4)^Parameters!B$65*F251+C251*Parameters!B$65-Parameters!$B$5*C251^2/F251*Parameters!B$65,0.0001)</f>
        <v>0.14851940165588559</v>
      </c>
      <c r="G252" s="7">
        <f>MAX((1-Parameters!$B$4)^Parameters!B$65*G251+D251*Parameters!B$65-Parameters!$B$5*D251^2/G251*Parameters!B$65,0.0001)</f>
        <v>4.3878779559756218</v>
      </c>
      <c r="I252" s="7">
        <f>I251*(1+Parameters!$B$51)^Parameters!B$65</f>
        <v>16.733343418997553</v>
      </c>
      <c r="J252" s="7">
        <f>J251*(1+Parameters!$B$53)^Parameters!B$65</f>
        <v>1229.1796033322419</v>
      </c>
      <c r="K252" s="7">
        <f>'6states'!$O$4</f>
        <v>0.98104277196026479</v>
      </c>
      <c r="L252" s="9">
        <f t="shared" si="43"/>
        <v>0.5</v>
      </c>
      <c r="N252" s="7">
        <f>(Parameters!$B$19*(E252+Parameters!$B$20)^L252+Parameters!$B$18*F252^L252)^(1/L252)</f>
        <v>0.53556371286881088</v>
      </c>
      <c r="O252" s="7">
        <f>(Parameters!$B$10*G252^Parameters!$B$9 + Parameters!$B$11*N252^Parameters!$B$9) ^ (Parameters!$B$7/Parameters!$B$9) * K252</f>
        <v>1.5032566515471799</v>
      </c>
      <c r="P252" s="7">
        <f t="shared" si="40"/>
        <v>1.1453616779320566</v>
      </c>
      <c r="Q252" s="7">
        <f>EXP(-Parameters!$B$55*A252)</f>
        <v>2.3640356646232066E-2</v>
      </c>
      <c r="R252" s="7">
        <f>IF(P252&gt;0,P252^(1-Parameters!$B$52)/(1-Parameters!$B$52)*Q252,-10+P252*1000)</f>
        <v>-6.441040841570933E-2</v>
      </c>
      <c r="S252" s="7"/>
      <c r="T252" s="7"/>
      <c r="U252" s="7"/>
      <c r="V252" s="7"/>
    </row>
    <row r="253" spans="1:22" x14ac:dyDescent="0.25">
      <c r="A253">
        <f>A252+Parameters!$B$65</f>
        <v>249</v>
      </c>
      <c r="B253" s="9">
        <f t="shared" ref="B253:D253" si="91">B252</f>
        <v>5.191758263687303E-2</v>
      </c>
      <c r="C253" s="9">
        <f t="shared" si="91"/>
        <v>1.0017548050425843E-2</v>
      </c>
      <c r="D253" s="7">
        <f t="shared" si="91"/>
        <v>0.2959598429278244</v>
      </c>
      <c r="E253" s="7">
        <f>MAX((1-Parameters!$B$4)^Parameters!B$65*E252+B252*Parameters!B$65-Parameters!$B$5*B252^2/E252*Parameters!B$65,0.0001)</f>
        <v>0.7697261109802308</v>
      </c>
      <c r="F253" s="9">
        <f>MAX((1-Parameters!$B$4)^Parameters!B$65*F252+C252*Parameters!B$65-Parameters!$B$5*C252^2/F252*Parameters!B$65,0.0001)</f>
        <v>0.14851940149923643</v>
      </c>
      <c r="G253" s="7">
        <f>MAX((1-Parameters!$B$4)^Parameters!B$65*G252+D252*Parameters!B$65-Parameters!$B$5*D252^2/G252*Parameters!B$65,0.0001)</f>
        <v>4.3878779543905697</v>
      </c>
      <c r="I253" s="7">
        <f>I252*(1+Parameters!$B$51)^Parameters!B$65</f>
        <v>16.781870114912643</v>
      </c>
      <c r="J253" s="7">
        <f>J252*(1+Parameters!$B$53)^Parameters!B$65</f>
        <v>1253.7631953988866</v>
      </c>
      <c r="K253" s="7">
        <f>'6states'!$O$4</f>
        <v>0.98104277196026479</v>
      </c>
      <c r="L253" s="9">
        <f t="shared" si="43"/>
        <v>0.5</v>
      </c>
      <c r="N253" s="7">
        <f>(Parameters!$B$19*(E253+Parameters!$B$20)^L253+Parameters!$B$18*F253^L253)^(1/L253)</f>
        <v>0.5355637123032484</v>
      </c>
      <c r="O253" s="7">
        <f>(Parameters!$B$10*G253^Parameters!$B$9 + Parameters!$B$11*N253^Parameters!$B$9) ^ (Parameters!$B$7/Parameters!$B$9) * K253</f>
        <v>1.5032566513211083</v>
      </c>
      <c r="P253" s="7">
        <f t="shared" si="40"/>
        <v>1.145361677705985</v>
      </c>
      <c r="Q253" s="7">
        <f>EXP(-Parameters!$B$55*A253)</f>
        <v>2.3286068865357064E-2</v>
      </c>
      <c r="R253" s="7">
        <f>IF(P253&gt;0,P253^(1-Parameters!$B$52)/(1-Parameters!$B$52)*Q253,-10+P253*1000)</f>
        <v>-6.3445117540418067E-2</v>
      </c>
      <c r="S253" s="7"/>
      <c r="T253" s="7"/>
      <c r="U253" s="7"/>
      <c r="V253" s="7"/>
    </row>
    <row r="254" spans="1:22" x14ac:dyDescent="0.25">
      <c r="A254">
        <f>A253+Parameters!$B$65</f>
        <v>250</v>
      </c>
      <c r="B254" s="9">
        <f t="shared" ref="B254:D254" si="92">B253</f>
        <v>5.191758263687303E-2</v>
      </c>
      <c r="C254" s="9">
        <f t="shared" si="92"/>
        <v>1.0017548050425843E-2</v>
      </c>
      <c r="D254" s="7">
        <f t="shared" si="92"/>
        <v>0.2959598429278244</v>
      </c>
      <c r="E254" s="7">
        <f>MAX((1-Parameters!$B$4)^Parameters!B$65*E253+B253*Parameters!B$65-Parameters!$B$5*B253^2/E253*Parameters!B$65,0.0001)</f>
        <v>0.76972611020469739</v>
      </c>
      <c r="F254" s="9">
        <f>MAX((1-Parameters!$B$4)^Parameters!B$65*F253+C253*Parameters!B$65-Parameters!$B$5*C253^2/F253*Parameters!B$65,0.0001)</f>
        <v>0.14851940135172784</v>
      </c>
      <c r="G254" s="7">
        <f>MAX((1-Parameters!$B$4)^Parameters!B$65*G253+D253*Parameters!B$65-Parameters!$B$5*D253^2/G253*Parameters!B$65,0.0001)</f>
        <v>4.3878779528980063</v>
      </c>
      <c r="I254" s="7">
        <f>I253*(1+Parameters!$B$51)^Parameters!B$65</f>
        <v>16.830537538245888</v>
      </c>
      <c r="J254" s="7">
        <f>J253*(1+Parameters!$B$53)^Parameters!B$65</f>
        <v>1278.8384593068645</v>
      </c>
      <c r="K254" s="7">
        <f>'6states'!$O$4</f>
        <v>0.98104277196026479</v>
      </c>
      <c r="L254" s="9">
        <f t="shared" si="43"/>
        <v>0.5</v>
      </c>
      <c r="N254" s="7">
        <f>(Parameters!$B$19*(E254+Parameters!$B$20)^L254+Parameters!$B$18*F254^L254)^(1/L254)</f>
        <v>0.53556371177068718</v>
      </c>
      <c r="O254" s="7">
        <f>(Parameters!$B$10*G254^Parameters!$B$9 + Parameters!$B$11*N254^Parameters!$B$9) ^ (Parameters!$B$7/Parameters!$B$9) * K254</f>
        <v>1.5032566511082277</v>
      </c>
      <c r="P254" s="7">
        <f t="shared" si="40"/>
        <v>1.1453616774931046</v>
      </c>
      <c r="Q254" s="7">
        <f>EXP(-Parameters!$B$55*A254)</f>
        <v>2.293709064192892E-2</v>
      </c>
      <c r="R254" s="7">
        <f>IF(P254&gt;0,P254^(1-Parameters!$B$52)/(1-Parameters!$B$52)*Q254,-10+P254*1000)</f>
        <v>-6.2494293060863355E-2</v>
      </c>
      <c r="S254" s="7"/>
      <c r="T254" s="7"/>
      <c r="U254" s="7"/>
      <c r="V254" s="7"/>
    </row>
    <row r="255" spans="1:22" x14ac:dyDescent="0.25">
      <c r="A255">
        <f>A254+Parameters!$B$65</f>
        <v>251</v>
      </c>
      <c r="B255" s="9">
        <f t="shared" ref="B255:D255" si="93">B254</f>
        <v>5.191758263687303E-2</v>
      </c>
      <c r="C255" s="9">
        <f t="shared" si="93"/>
        <v>1.0017548050425843E-2</v>
      </c>
      <c r="D255" s="7">
        <f t="shared" si="93"/>
        <v>0.2959598429278244</v>
      </c>
      <c r="E255" s="7">
        <f>MAX((1-Parameters!$B$4)^Parameters!B$65*E254+B254*Parameters!B$65-Parameters!$B$5*B254^2/E254*Parameters!B$65,0.0001)</f>
        <v>0.76972610947441689</v>
      </c>
      <c r="F255" s="9">
        <f>MAX((1-Parameters!$B$4)^Parameters!B$65*F254+C254*Parameters!B$65-Parameters!$B$5*C254^2/F254*Parameters!B$65,0.0001)</f>
        <v>0.14851940121282645</v>
      </c>
      <c r="G255" s="7">
        <f>MAX((1-Parameters!$B$4)^Parameters!B$65*G254+D254*Parameters!B$65-Parameters!$B$5*D254^2/G254*Parameters!B$65,0.0001)</f>
        <v>4.3878779514925341</v>
      </c>
      <c r="I255" s="7">
        <f>I254*(1+Parameters!$B$51)^Parameters!B$65</f>
        <v>16.879346097106801</v>
      </c>
      <c r="J255" s="7">
        <f>J254*(1+Parameters!$B$53)^Parameters!B$65</f>
        <v>1304.4152284930019</v>
      </c>
      <c r="K255" s="7">
        <f>'6states'!$O$4</f>
        <v>0.98104277196026479</v>
      </c>
      <c r="L255" s="9">
        <f t="shared" si="43"/>
        <v>0.5</v>
      </c>
      <c r="N255" s="7">
        <f>(Parameters!$B$19*(E255+Parameters!$B$20)^L255+Parameters!$B$18*F255^L255)^(1/L255)</f>
        <v>0.53556371126920099</v>
      </c>
      <c r="O255" s="7">
        <f>(Parameters!$B$10*G255^Parameters!$B$9 + Parameters!$B$11*N255^Parameters!$B$9) ^ (Parameters!$B$7/Parameters!$B$9) * K255</f>
        <v>1.5032566509077687</v>
      </c>
      <c r="P255" s="7">
        <f t="shared" si="40"/>
        <v>1.1453616772926454</v>
      </c>
      <c r="Q255" s="7">
        <f>EXP(-Parameters!$B$55*A255)</f>
        <v>2.259334240391098E-2</v>
      </c>
      <c r="R255" s="7">
        <f>IF(P255&gt;0,P255^(1-Parameters!$B$52)/(1-Parameters!$B$52)*Q255,-10+P255*1000)</f>
        <v>-6.1557718175464092E-2</v>
      </c>
      <c r="S255" s="7"/>
      <c r="T255" s="7"/>
      <c r="U255" s="7"/>
      <c r="V255" s="7"/>
    </row>
    <row r="256" spans="1:22" x14ac:dyDescent="0.25">
      <c r="A256">
        <f>A255+Parameters!$B$65</f>
        <v>252</v>
      </c>
      <c r="B256" s="9">
        <f t="shared" ref="B256:D256" si="94">B255</f>
        <v>5.191758263687303E-2</v>
      </c>
      <c r="C256" s="9">
        <f t="shared" si="94"/>
        <v>1.0017548050425843E-2</v>
      </c>
      <c r="D256" s="7">
        <f t="shared" si="94"/>
        <v>0.2959598429278244</v>
      </c>
      <c r="E256" s="7">
        <f>MAX((1-Parameters!$B$4)^Parameters!B$65*E255+B255*Parameters!B$65-Parameters!$B$5*B255^2/E255*Parameters!B$65,0.0001)</f>
        <v>0.76972610878674874</v>
      </c>
      <c r="F256" s="9">
        <f>MAX((1-Parameters!$B$4)^Parameters!B$65*F255+C255*Parameters!B$65-Parameters!$B$5*C255^2/F255*Parameters!B$65,0.0001)</f>
        <v>0.14851940108203004</v>
      </c>
      <c r="G256" s="7">
        <f>MAX((1-Parameters!$B$4)^Parameters!B$65*G255+D255*Parameters!B$65-Parameters!$B$5*D255^2/G255*Parameters!B$65,0.0001)</f>
        <v>4.3878779501690719</v>
      </c>
      <c r="I256" s="7">
        <f>I255*(1+Parameters!$B$51)^Parameters!B$65</f>
        <v>16.928296200788409</v>
      </c>
      <c r="J256" s="7">
        <f>J255*(1+Parameters!$B$53)^Parameters!B$65</f>
        <v>1330.5035330628621</v>
      </c>
      <c r="K256" s="7">
        <f>'6states'!$O$4</f>
        <v>0.98104277196026479</v>
      </c>
      <c r="L256" s="9">
        <f t="shared" si="43"/>
        <v>0.5</v>
      </c>
      <c r="N256" s="7">
        <f>(Parameters!$B$19*(E256+Parameters!$B$20)^L256+Parameters!$B$18*F256^L256)^(1/L256)</f>
        <v>0.53556371079697673</v>
      </c>
      <c r="O256" s="7">
        <f>(Parameters!$B$10*G256^Parameters!$B$9 + Parameters!$B$11*N256^Parameters!$B$9) ^ (Parameters!$B$7/Parameters!$B$9) * K256</f>
        <v>1.5032566507190068</v>
      </c>
      <c r="P256" s="7">
        <f t="shared" si="40"/>
        <v>1.1453616771038835</v>
      </c>
      <c r="Q256" s="7">
        <f>EXP(-Parameters!$B$55*A256)</f>
        <v>2.2254745771778255E-2</v>
      </c>
      <c r="R256" s="7">
        <f>IF(P256&gt;0,P256^(1-Parameters!$B$52)/(1-Parameters!$B$52)*Q256,-10+P256*1000)</f>
        <v>-6.0635179331748876E-2</v>
      </c>
      <c r="S256" s="7"/>
      <c r="T256" s="7"/>
      <c r="U256" s="7"/>
      <c r="V256" s="7"/>
    </row>
    <row r="257" spans="1:22" x14ac:dyDescent="0.25">
      <c r="A257">
        <f>A256+Parameters!$B$65</f>
        <v>253</v>
      </c>
      <c r="B257" s="9">
        <f t="shared" ref="B257:D257" si="95">B256</f>
        <v>5.191758263687303E-2</v>
      </c>
      <c r="C257" s="9">
        <f t="shared" si="95"/>
        <v>1.0017548050425843E-2</v>
      </c>
      <c r="D257" s="7">
        <f t="shared" si="95"/>
        <v>0.2959598429278244</v>
      </c>
      <c r="E257" s="7">
        <f>MAX((1-Parameters!$B$4)^Parameters!B$65*E256+B256*Parameters!B$65-Parameters!$B$5*B256^2/E256*Parameters!B$65,0.0001)</f>
        <v>0.76972610813920639</v>
      </c>
      <c r="F257" s="9">
        <f>MAX((1-Parameters!$B$4)^Parameters!B$65*F256+C256*Parameters!B$65-Parameters!$B$5*C256^2/F256*Parameters!B$65,0.0001)</f>
        <v>0.14851940095886568</v>
      </c>
      <c r="G257" s="7">
        <f>MAX((1-Parameters!$B$4)^Parameters!B$65*G256+D256*Parameters!B$65-Parameters!$B$5*D256^2/G256*Parameters!B$65,0.0001)</f>
        <v>4.3878779489228341</v>
      </c>
      <c r="I257" s="7">
        <f>I256*(1+Parameters!$B$51)^Parameters!B$65</f>
        <v>16.977388259770695</v>
      </c>
      <c r="J257" s="7">
        <f>J256*(1+Parameters!$B$53)^Parameters!B$65</f>
        <v>1357.1136037241192</v>
      </c>
      <c r="K257" s="7">
        <f>'6states'!$O$4</f>
        <v>0.98104277196026479</v>
      </c>
      <c r="L257" s="9">
        <f t="shared" si="43"/>
        <v>0.5</v>
      </c>
      <c r="N257" s="7">
        <f>(Parameters!$B$19*(E257+Parameters!$B$20)^L257+Parameters!$B$18*F257^L257)^(1/L257)</f>
        <v>0.5355637103523071</v>
      </c>
      <c r="O257" s="7">
        <f>(Parameters!$B$10*G257^Parameters!$B$9 + Parameters!$B$11*N257^Parameters!$B$9) ^ (Parameters!$B$7/Parameters!$B$9) * K257</f>
        <v>1.5032566505412592</v>
      </c>
      <c r="P257" s="7">
        <f t="shared" si="40"/>
        <v>1.1453616769261359</v>
      </c>
      <c r="Q257" s="7">
        <f>EXP(-Parameters!$B$55*A257)</f>
        <v>2.1921223540645702E-2</v>
      </c>
      <c r="R257" s="7">
        <f>IF(P257&gt;0,P257^(1-Parameters!$B$52)/(1-Parameters!$B$52)*Q257,-10+P257*1000)</f>
        <v>-5.9726466177663057E-2</v>
      </c>
      <c r="S257" s="7"/>
      <c r="T257" s="7"/>
      <c r="U257" s="7"/>
      <c r="V257" s="7"/>
    </row>
    <row r="258" spans="1:22" x14ac:dyDescent="0.25">
      <c r="A258">
        <f>A257+Parameters!$B$65</f>
        <v>254</v>
      </c>
      <c r="B258" s="9">
        <f t="shared" ref="B258:D258" si="96">B257</f>
        <v>5.191758263687303E-2</v>
      </c>
      <c r="C258" s="9">
        <f t="shared" si="96"/>
        <v>1.0017548050425843E-2</v>
      </c>
      <c r="D258" s="7">
        <f t="shared" si="96"/>
        <v>0.2959598429278244</v>
      </c>
      <c r="E258" s="7">
        <f>MAX((1-Parameters!$B$4)^Parameters!B$65*E257+B257*Parameters!B$65-Parameters!$B$5*B257^2/E257*Parameters!B$65,0.0001)</f>
        <v>0.76972610752944848</v>
      </c>
      <c r="F258" s="9">
        <f>MAX((1-Parameters!$B$4)^Parameters!B$65*F257+C257*Parameters!B$65-Parameters!$B$5*C257^2/F257*Parameters!B$65,0.0001)</f>
        <v>0.14851940084288803</v>
      </c>
      <c r="G258" s="7">
        <f>MAX((1-Parameters!$B$4)^Parameters!B$65*G257+D257*Parameters!B$65-Parameters!$B$5*D257^2/G257*Parameters!B$65,0.0001)</f>
        <v>4.3878779477493159</v>
      </c>
      <c r="I258" s="7">
        <f>I257*(1+Parameters!$B$51)^Parameters!B$65</f>
        <v>17.026622685724028</v>
      </c>
      <c r="J258" s="7">
        <f>J257*(1+Parameters!$B$53)^Parameters!B$65</f>
        <v>1384.2558757986017</v>
      </c>
      <c r="K258" s="7">
        <f>'6states'!$O$4</f>
        <v>0.98104277196026479</v>
      </c>
      <c r="L258" s="9">
        <f t="shared" si="43"/>
        <v>0.5</v>
      </c>
      <c r="N258" s="7">
        <f>(Parameters!$B$19*(E258+Parameters!$B$20)^L258+Parameters!$B$18*F258^L258)^(1/L258)</f>
        <v>0.53556370993358426</v>
      </c>
      <c r="O258" s="7">
        <f>(Parameters!$B$10*G258^Parameters!$B$9 + Parameters!$B$11*N258^Parameters!$B$9) ^ (Parameters!$B$7/Parameters!$B$9) * K258</f>
        <v>1.5032566503738831</v>
      </c>
      <c r="P258" s="7">
        <f t="shared" si="40"/>
        <v>1.14536167675876</v>
      </c>
      <c r="Q258" s="7">
        <f>EXP(-Parameters!$B$55*A258)</f>
        <v>2.159269966266443E-2</v>
      </c>
      <c r="R258" s="7">
        <f>IF(P258&gt;0,P258^(1-Parameters!$B$52)/(1-Parameters!$B$52)*Q258,-10+P258*1000)</f>
        <v>-5.8831371513605658E-2</v>
      </c>
      <c r="S258" s="7"/>
      <c r="T258" s="7"/>
      <c r="U258" s="7"/>
      <c r="V258" s="7"/>
    </row>
    <row r="259" spans="1:22" x14ac:dyDescent="0.25">
      <c r="A259">
        <f>A258+Parameters!$B$65</f>
        <v>255</v>
      </c>
      <c r="B259" s="9">
        <f t="shared" ref="B259:D259" si="97">B258</f>
        <v>5.191758263687303E-2</v>
      </c>
      <c r="C259" s="9">
        <f t="shared" si="97"/>
        <v>1.0017548050425843E-2</v>
      </c>
      <c r="D259" s="7">
        <f t="shared" si="97"/>
        <v>0.2959598429278244</v>
      </c>
      <c r="E259" s="7">
        <f>MAX((1-Parameters!$B$4)^Parameters!B$65*E258+B258*Parameters!B$65-Parameters!$B$5*B258^2/E258*Parameters!B$65,0.0001)</f>
        <v>0.76972610695527033</v>
      </c>
      <c r="F259" s="9">
        <f>MAX((1-Parameters!$B$4)^Parameters!B$65*F258+C258*Parameters!B$65-Parameters!$B$5*C258^2/F258*Parameters!B$65,0.0001)</f>
        <v>0.14851940073367775</v>
      </c>
      <c r="G259" s="7">
        <f>MAX((1-Parameters!$B$4)^Parameters!B$65*G258+D258*Parameters!B$65-Parameters!$B$5*D258^2/G258*Parameters!B$65,0.0001)</f>
        <v>4.3878779466442728</v>
      </c>
      <c r="I259" s="7">
        <f>I258*(1+Parameters!$B$51)^Parameters!B$65</f>
        <v>17.075999891512627</v>
      </c>
      <c r="J259" s="7">
        <f>J258*(1+Parameters!$B$53)^Parameters!B$65</f>
        <v>1411.9409933145737</v>
      </c>
      <c r="K259" s="7">
        <f>'6states'!$O$4</f>
        <v>0.98104277196026479</v>
      </c>
      <c r="L259" s="9">
        <f t="shared" si="43"/>
        <v>0.5</v>
      </c>
      <c r="N259" s="7">
        <f>(Parameters!$B$19*(E259+Parameters!$B$20)^L259+Parameters!$B$18*F259^L259)^(1/L259)</f>
        <v>0.53556370953929411</v>
      </c>
      <c r="O259" s="7">
        <f>(Parameters!$B$10*G259^Parameters!$B$9 + Parameters!$B$11*N259^Parameters!$B$9) ^ (Parameters!$B$7/Parameters!$B$9) * K259</f>
        <v>1.5032566502162736</v>
      </c>
      <c r="P259" s="7">
        <f t="shared" si="40"/>
        <v>1.1453616766011505</v>
      </c>
      <c r="Q259" s="7">
        <f>EXP(-Parameters!$B$55*A259)</f>
        <v>2.1269099229681749E-2</v>
      </c>
      <c r="R259" s="7">
        <f>IF(P259&gt;0,P259^(1-Parameters!$B$52)/(1-Parameters!$B$52)*Q259,-10+P259*1000)</f>
        <v>-5.7949691245185092E-2</v>
      </c>
      <c r="S259" s="7"/>
      <c r="T259" s="7"/>
      <c r="U259" s="7"/>
      <c r="V259" s="7"/>
    </row>
    <row r="260" spans="1:22" x14ac:dyDescent="0.25">
      <c r="A260">
        <f>A259+Parameters!$B$65</f>
        <v>256</v>
      </c>
      <c r="B260" s="9">
        <f t="shared" ref="B260:D260" si="98">B259</f>
        <v>5.191758263687303E-2</v>
      </c>
      <c r="C260" s="9">
        <f t="shared" si="98"/>
        <v>1.0017548050425843E-2</v>
      </c>
      <c r="D260" s="7">
        <f t="shared" si="98"/>
        <v>0.2959598429278244</v>
      </c>
      <c r="E260" s="7">
        <f>MAX((1-Parameters!$B$4)^Parameters!B$65*E259+B259*Parameters!B$65-Parameters!$B$5*B259^2/E259*Parameters!B$65,0.0001)</f>
        <v>0.76972610641459571</v>
      </c>
      <c r="F260" s="9">
        <f>MAX((1-Parameters!$B$4)^Parameters!B$65*F259+C259*Parameters!B$65-Parameters!$B$5*C259^2/F259*Parameters!B$65,0.0001)</f>
        <v>0.14851940063083993</v>
      </c>
      <c r="G260" s="7">
        <f>MAX((1-Parameters!$B$4)^Parameters!B$65*G259+D259*Parameters!B$65-Parameters!$B$5*D259^2/G259*Parameters!B$65,0.0001)</f>
        <v>4.3878779456037096</v>
      </c>
      <c r="I260" s="7">
        <f>I259*(1+Parameters!$B$51)^Parameters!B$65</f>
        <v>17.125520291198011</v>
      </c>
      <c r="J260" s="7">
        <f>J259*(1+Parameters!$B$53)^Parameters!B$65</f>
        <v>1440.1798131808653</v>
      </c>
      <c r="K260" s="7">
        <f>'6states'!$O$4</f>
        <v>0.98104277196026479</v>
      </c>
      <c r="L260" s="9">
        <f t="shared" si="43"/>
        <v>0.5</v>
      </c>
      <c r="N260" s="7">
        <f>(Parameters!$B$19*(E260+Parameters!$B$20)^L260+Parameters!$B$18*F260^L260)^(1/L260)</f>
        <v>0.53556370916801121</v>
      </c>
      <c r="O260" s="7">
        <f>(Parameters!$B$10*G260^Parameters!$B$9 + Parameters!$B$11*N260^Parameters!$B$9) ^ (Parameters!$B$7/Parameters!$B$9) * K260</f>
        <v>1.5032566500678608</v>
      </c>
      <c r="P260" s="7">
        <f t="shared" ref="P260:P304" si="99">O260-B260-C260-D260</f>
        <v>1.1453616764527377</v>
      </c>
      <c r="Q260" s="7">
        <f>EXP(-Parameters!$B$55*A260)</f>
        <v>2.0950348456160946E-2</v>
      </c>
      <c r="R260" s="7">
        <f>IF(P260&gt;0,P260^(1-Parameters!$B$52)/(1-Parameters!$B$52)*Q260,-10+P260*1000)</f>
        <v>-5.7081224336682612E-2</v>
      </c>
      <c r="S260" s="7"/>
      <c r="T260" s="7"/>
      <c r="U260" s="7"/>
      <c r="V260" s="7"/>
    </row>
    <row r="261" spans="1:22" x14ac:dyDescent="0.25">
      <c r="A261">
        <f>A260+Parameters!$B$65</f>
        <v>257</v>
      </c>
      <c r="B261" s="9">
        <f t="shared" ref="B261:D261" si="100">B260</f>
        <v>5.191758263687303E-2</v>
      </c>
      <c r="C261" s="9">
        <f t="shared" si="100"/>
        <v>1.0017548050425843E-2</v>
      </c>
      <c r="D261" s="7">
        <f t="shared" si="100"/>
        <v>0.2959598429278244</v>
      </c>
      <c r="E261" s="7">
        <f>MAX((1-Parameters!$B$4)^Parameters!B$65*E260+B260*Parameters!B$65-Parameters!$B$5*B260^2/E260*Parameters!B$65,0.0001)</f>
        <v>0.76972610590546986</v>
      </c>
      <c r="F261" s="9">
        <f>MAX((1-Parameters!$B$4)^Parameters!B$65*F260+C260*Parameters!B$65-Parameters!$B$5*C260^2/F260*Parameters!B$65,0.0001)</f>
        <v>0.14851940053400275</v>
      </c>
      <c r="G261" s="7">
        <f>MAX((1-Parameters!$B$4)^Parameters!B$65*G260+D260*Parameters!B$65-Parameters!$B$5*D260^2/G260*Parameters!B$65,0.0001)</f>
        <v>4.387877944623864</v>
      </c>
      <c r="I261" s="7">
        <f>I260*(1+Parameters!$B$51)^Parameters!B$65</f>
        <v>17.175184300042485</v>
      </c>
      <c r="J261" s="7">
        <f>J260*(1+Parameters!$B$53)^Parameters!B$65</f>
        <v>1468.9834094444825</v>
      </c>
      <c r="K261" s="7">
        <f>'6states'!$O$4</f>
        <v>0.98104277196026479</v>
      </c>
      <c r="L261" s="9">
        <f t="shared" si="43"/>
        <v>0.5</v>
      </c>
      <c r="N261" s="7">
        <f>(Parameters!$B$19*(E261+Parameters!$B$20)^L261+Parameters!$B$18*F261^L261)^(1/L261)</f>
        <v>0.53556370881839255</v>
      </c>
      <c r="O261" s="7">
        <f>(Parameters!$B$10*G261^Parameters!$B$9 + Parameters!$B$11*N261^Parameters!$B$9) ^ (Parameters!$B$7/Parameters!$B$9) * K261</f>
        <v>1.5032566499281077</v>
      </c>
      <c r="P261" s="7">
        <f t="shared" si="99"/>
        <v>1.1453616763129846</v>
      </c>
      <c r="Q261" s="7">
        <f>EXP(-Parameters!$B$55*A261)</f>
        <v>2.0636374662357192E-2</v>
      </c>
      <c r="R261" s="7">
        <f>IF(P261&gt;0,P261^(1-Parameters!$B$52)/(1-Parameters!$B$52)*Q261,-10+P261*1000)</f>
        <v>-5.6225772765213622E-2</v>
      </c>
      <c r="S261" s="7"/>
      <c r="T261" s="7"/>
      <c r="U261" s="7"/>
      <c r="V261" s="7"/>
    </row>
    <row r="262" spans="1:22" x14ac:dyDescent="0.25">
      <c r="A262">
        <f>A261+Parameters!$B$65</f>
        <v>258</v>
      </c>
      <c r="B262" s="9">
        <f t="shared" ref="B262:D262" si="101">B261</f>
        <v>5.191758263687303E-2</v>
      </c>
      <c r="C262" s="9">
        <f t="shared" si="101"/>
        <v>1.0017548050425843E-2</v>
      </c>
      <c r="D262" s="7">
        <f t="shared" si="101"/>
        <v>0.2959598429278244</v>
      </c>
      <c r="E262" s="7">
        <f>MAX((1-Parameters!$B$4)^Parameters!B$65*E261+B261*Parameters!B$65-Parameters!$B$5*B261^2/E261*Parameters!B$65,0.0001)</f>
        <v>0.7697261054260518</v>
      </c>
      <c r="F262" s="9">
        <f>MAX((1-Parameters!$B$4)^Parameters!B$65*F261+C261*Parameters!B$65-Parameters!$B$5*C261^2/F261*Parameters!B$65,0.0001)</f>
        <v>0.14851940044281609</v>
      </c>
      <c r="G262" s="7">
        <f>MAX((1-Parameters!$B$4)^Parameters!B$65*G261+D261*Parameters!B$65-Parameters!$B$5*D261^2/G261*Parameters!B$65,0.0001)</f>
        <v>4.3878779437011932</v>
      </c>
      <c r="I262" s="7">
        <f>I261*(1+Parameters!$B$51)^Parameters!B$65</f>
        <v>17.224992334512606</v>
      </c>
      <c r="J262" s="7">
        <f>J261*(1+Parameters!$B$53)^Parameters!B$65</f>
        <v>1498.3630776333721</v>
      </c>
      <c r="K262" s="7">
        <f>'6states'!$O$4</f>
        <v>0.98104277196026479</v>
      </c>
      <c r="L262" s="9">
        <f t="shared" si="43"/>
        <v>0.5</v>
      </c>
      <c r="N262" s="7">
        <f>(Parameters!$B$19*(E262+Parameters!$B$20)^L262+Parameters!$B$18*F262^L262)^(1/L262)</f>
        <v>0.53556370848917434</v>
      </c>
      <c r="O262" s="7">
        <f>(Parameters!$B$10*G262^Parameters!$B$9 + Parameters!$B$11*N262^Parameters!$B$9) ^ (Parameters!$B$7/Parameters!$B$9) * K262</f>
        <v>1.5032566497965096</v>
      </c>
      <c r="P262" s="7">
        <f t="shared" si="99"/>
        <v>1.1453616761813863</v>
      </c>
      <c r="Q262" s="7">
        <f>EXP(-Parameters!$B$55*A262)</f>
        <v>2.03271062577455E-2</v>
      </c>
      <c r="R262" s="7">
        <f>IF(P262&gt;0,P262^(1-Parameters!$B$52)/(1-Parameters!$B$52)*Q262,-10+P262*1000)</f>
        <v>-5.5383141475575534E-2</v>
      </c>
      <c r="S262" s="7"/>
      <c r="T262" s="7"/>
      <c r="U262" s="7"/>
      <c r="V262" s="7"/>
    </row>
    <row r="263" spans="1:22" x14ac:dyDescent="0.25">
      <c r="A263">
        <f>A262+Parameters!$B$65</f>
        <v>259</v>
      </c>
      <c r="B263" s="9">
        <f t="shared" ref="B263:D263" si="102">B262</f>
        <v>5.191758263687303E-2</v>
      </c>
      <c r="C263" s="9">
        <f t="shared" si="102"/>
        <v>1.0017548050425843E-2</v>
      </c>
      <c r="D263" s="7">
        <f t="shared" si="102"/>
        <v>0.2959598429278244</v>
      </c>
      <c r="E263" s="7">
        <f>MAX((1-Parameters!$B$4)^Parameters!B$65*E262+B262*Parameters!B$65-Parameters!$B$5*B262^2/E262*Parameters!B$65,0.0001)</f>
        <v>0.76972610497460792</v>
      </c>
      <c r="F263" s="9">
        <f>MAX((1-Parameters!$B$4)^Parameters!B$65*F262+C262*Parameters!B$65-Parameters!$B$5*C262^2/F262*Parameters!B$65,0.0001)</f>
        <v>0.14851940035695022</v>
      </c>
      <c r="G263" s="7">
        <f>MAX((1-Parameters!$B$4)^Parameters!B$65*G262+D262*Parameters!B$65-Parameters!$B$5*D262^2/G262*Parameters!B$65,0.0001)</f>
        <v>4.3878779428323602</v>
      </c>
      <c r="I263" s="7">
        <f>I262*(1+Parameters!$B$51)^Parameters!B$65</f>
        <v>17.274944812282691</v>
      </c>
      <c r="J263" s="7">
        <f>J262*(1+Parameters!$B$53)^Parameters!B$65</f>
        <v>1528.3303391860395</v>
      </c>
      <c r="K263" s="7">
        <f>'6states'!$O$4</f>
        <v>0.98104277196026479</v>
      </c>
      <c r="L263" s="9">
        <f t="shared" si="43"/>
        <v>0.5</v>
      </c>
      <c r="N263" s="7">
        <f>(Parameters!$B$19*(E263+Parameters!$B$20)^L263+Parameters!$B$18*F263^L263)^(1/L263)</f>
        <v>0.53556370817916654</v>
      </c>
      <c r="O263" s="7">
        <f>(Parameters!$B$10*G263^Parameters!$B$9 + Parameters!$B$11*N263^Parameters!$B$9) ^ (Parameters!$B$7/Parameters!$B$9) * K263</f>
        <v>1.5032566496725903</v>
      </c>
      <c r="P263" s="7">
        <f t="shared" si="99"/>
        <v>1.1453616760574672</v>
      </c>
      <c r="Q263" s="7">
        <f>EXP(-Parameters!$B$55*A263)</f>
        <v>2.0022472724697045E-2</v>
      </c>
      <c r="R263" s="7">
        <f>IF(P263&gt;0,P263^(1-Parameters!$B$52)/(1-Parameters!$B$52)*Q263,-10+P263*1000)</f>
        <v>-5.4553138335772654E-2</v>
      </c>
      <c r="S263" s="7"/>
      <c r="T263" s="7"/>
      <c r="U263" s="7"/>
      <c r="V263" s="7"/>
    </row>
    <row r="264" spans="1:22" x14ac:dyDescent="0.25">
      <c r="A264">
        <f>A263+Parameters!$B$65</f>
        <v>260</v>
      </c>
      <c r="B264" s="9">
        <f t="shared" ref="B264:D264" si="103">B263</f>
        <v>5.191758263687303E-2</v>
      </c>
      <c r="C264" s="9">
        <f t="shared" si="103"/>
        <v>1.0017548050425843E-2</v>
      </c>
      <c r="D264" s="7">
        <f t="shared" si="103"/>
        <v>0.2959598429278244</v>
      </c>
      <c r="E264" s="7">
        <f>MAX((1-Parameters!$B$4)^Parameters!B$65*E263+B263*Parameters!B$65-Parameters!$B$5*B263^2/E263*Parameters!B$65,0.0001)</f>
        <v>0.76972610454950607</v>
      </c>
      <c r="F264" s="9">
        <f>MAX((1-Parameters!$B$4)^Parameters!B$65*F263+C263*Parameters!B$65-Parameters!$B$5*C263^2/F263*Parameters!B$65,0.0001)</f>
        <v>0.14851940027609467</v>
      </c>
      <c r="G264" s="7">
        <f>MAX((1-Parameters!$B$4)^Parameters!B$65*G263+D263*Parameters!B$65-Parameters!$B$5*D263^2/G263*Parameters!B$65,0.0001)</f>
        <v>4.3878779420142244</v>
      </c>
      <c r="I264" s="7">
        <f>I263*(1+Parameters!$B$51)^Parameters!B$65</f>
        <v>17.325042152238307</v>
      </c>
      <c r="J264" s="7">
        <f>J263*(1+Parameters!$B$53)^Parameters!B$65</f>
        <v>1558.8969459697603</v>
      </c>
      <c r="K264" s="7">
        <f>'6states'!$O$4</f>
        <v>0.98104277196026479</v>
      </c>
      <c r="L264" s="9">
        <f t="shared" si="43"/>
        <v>0.5</v>
      </c>
      <c r="N264" s="7">
        <f>(Parameters!$B$19*(E264+Parameters!$B$20)^L264+Parameters!$B$18*F264^L264)^(1/L264)</f>
        <v>0.53556370788724728</v>
      </c>
      <c r="O264" s="7">
        <f>(Parameters!$B$10*G264^Parameters!$B$9 + Parameters!$B$11*N264^Parameters!$B$9) ^ (Parameters!$B$7/Parameters!$B$9) * K264</f>
        <v>1.5032566495559017</v>
      </c>
      <c r="P264" s="7">
        <f t="shared" si="99"/>
        <v>1.1453616759407783</v>
      </c>
      <c r="Q264" s="7">
        <f>EXP(-Parameters!$B$55*A264)</f>
        <v>1.9722404602400177E-2</v>
      </c>
      <c r="R264" s="7">
        <f>IF(P264&gt;0,P264^(1-Parameters!$B$52)/(1-Parameters!$B$52)*Q264,-10+P264*1000)</f>
        <v>-5.3735574093207332E-2</v>
      </c>
      <c r="S264" s="7"/>
      <c r="T264" s="7"/>
      <c r="U264" s="7"/>
      <c r="V264" s="7"/>
    </row>
    <row r="265" spans="1:22" x14ac:dyDescent="0.25">
      <c r="A265">
        <f>A264+Parameters!$B$65</f>
        <v>261</v>
      </c>
      <c r="B265" s="9">
        <f t="shared" ref="B265:D265" si="104">B264</f>
        <v>5.191758263687303E-2</v>
      </c>
      <c r="C265" s="9">
        <f t="shared" si="104"/>
        <v>1.0017548050425843E-2</v>
      </c>
      <c r="D265" s="7">
        <f t="shared" si="104"/>
        <v>0.2959598429278244</v>
      </c>
      <c r="E265" s="7">
        <f>MAX((1-Parameters!$B$4)^Parameters!B$65*E264+B264*Parameters!B$65-Parameters!$B$5*B264^2/E264*Parameters!B$65,0.0001)</f>
        <v>0.76972610414920928</v>
      </c>
      <c r="F265" s="9">
        <f>MAX((1-Parameters!$B$4)^Parameters!B$65*F264+C264*Parameters!B$65-Parameters!$B$5*C264^2/F264*Parameters!B$65,0.0001)</f>
        <v>0.1485194001999571</v>
      </c>
      <c r="G265" s="7">
        <f>MAX((1-Parameters!$B$4)^Parameters!B$65*G264+D264*Parameters!B$65-Parameters!$B$5*D264^2/G264*Parameters!B$65,0.0001)</f>
        <v>4.3878779412438265</v>
      </c>
      <c r="I265" s="7">
        <f>I264*(1+Parameters!$B$51)^Parameters!B$65</f>
        <v>17.375284774479798</v>
      </c>
      <c r="J265" s="7">
        <f>J264*(1+Parameters!$B$53)^Parameters!B$65</f>
        <v>1590.0748848891556</v>
      </c>
      <c r="K265" s="7">
        <f>'6states'!$O$4</f>
        <v>0.98104277196026479</v>
      </c>
      <c r="L265" s="9">
        <f t="shared" si="43"/>
        <v>0.5</v>
      </c>
      <c r="N265" s="7">
        <f>(Parameters!$B$19*(E265+Parameters!$B$20)^L265+Parameters!$B$18*F265^L265)^(1/L265)</f>
        <v>0.53556370761236227</v>
      </c>
      <c r="O265" s="7">
        <f>(Parameters!$B$10*G265^Parameters!$B$9 + Parameters!$B$11*N265^Parameters!$B$9) ^ (Parameters!$B$7/Parameters!$B$9) * K265</f>
        <v>1.5032566494460218</v>
      </c>
      <c r="P265" s="7">
        <f t="shared" si="99"/>
        <v>1.1453616758308987</v>
      </c>
      <c r="Q265" s="7">
        <f>EXP(-Parameters!$B$55*A265)</f>
        <v>1.9426833471022302E-2</v>
      </c>
      <c r="R265" s="7">
        <f>IF(P265&gt;0,P265^(1-Parameters!$B$52)/(1-Parameters!$B$52)*Q265,-10+P265*1000)</f>
        <v>-5.2930262331527707E-2</v>
      </c>
      <c r="S265" s="7"/>
      <c r="T265" s="7"/>
      <c r="U265" s="7"/>
      <c r="V265" s="7"/>
    </row>
    <row r="266" spans="1:22" x14ac:dyDescent="0.25">
      <c r="A266">
        <f>A265+Parameters!$B$65</f>
        <v>262</v>
      </c>
      <c r="B266" s="9">
        <f t="shared" ref="B266:D266" si="105">B265</f>
        <v>5.191758263687303E-2</v>
      </c>
      <c r="C266" s="9">
        <f t="shared" si="105"/>
        <v>1.0017548050425843E-2</v>
      </c>
      <c r="D266" s="7">
        <f t="shared" si="105"/>
        <v>0.2959598429278244</v>
      </c>
      <c r="E266" s="7">
        <f>MAX((1-Parameters!$B$4)^Parameters!B$65*E265+B265*Parameters!B$65-Parameters!$B$5*B265^2/E265*Parameters!B$65,0.0001)</f>
        <v>0.76972610377227002</v>
      </c>
      <c r="F266" s="9">
        <f>MAX((1-Parameters!$B$4)^Parameters!B$65*F265+C265*Parameters!B$65-Parameters!$B$5*C265^2/F265*Parameters!B$65,0.0001)</f>
        <v>0.1485194001282622</v>
      </c>
      <c r="G266" s="7">
        <f>MAX((1-Parameters!$B$4)^Parameters!B$65*G265+D265*Parameters!B$65-Parameters!$B$5*D265^2/G265*Parameters!B$65,0.0001)</f>
        <v>4.3878779405183819</v>
      </c>
      <c r="I266" s="7">
        <f>I265*(1+Parameters!$B$51)^Parameters!B$65</f>
        <v>17.425673100325788</v>
      </c>
      <c r="J266" s="7">
        <f>J265*(1+Parameters!$B$53)^Parameters!B$65</f>
        <v>1621.8763825869387</v>
      </c>
      <c r="K266" s="7">
        <f>'6states'!$O$4</f>
        <v>0.98104277196026479</v>
      </c>
      <c r="L266" s="9">
        <f t="shared" si="43"/>
        <v>0.5</v>
      </c>
      <c r="N266" s="7">
        <f>(Parameters!$B$19*(E266+Parameters!$B$20)^L266+Parameters!$B$18*F266^L266)^(1/L266)</f>
        <v>0.53556370735351677</v>
      </c>
      <c r="O266" s="7">
        <f>(Parameters!$B$10*G266^Parameters!$B$9 + Parameters!$B$11*N266^Parameters!$B$9) ^ (Parameters!$B$7/Parameters!$B$9) * K266</f>
        <v>1.5032566493425534</v>
      </c>
      <c r="P266" s="7">
        <f t="shared" si="99"/>
        <v>1.1453616757274303</v>
      </c>
      <c r="Q266" s="7">
        <f>EXP(-Parameters!$B$55*A266)</f>
        <v>1.9135691936109211E-2</v>
      </c>
      <c r="R266" s="7">
        <f>IF(P266&gt;0,P266^(1-Parameters!$B$52)/(1-Parameters!$B$52)*Q266,-10+P266*1000)</f>
        <v>-5.2137019428122197E-2</v>
      </c>
      <c r="S266" s="7"/>
      <c r="T266" s="7"/>
      <c r="U266" s="7"/>
      <c r="V266" s="7"/>
    </row>
    <row r="267" spans="1:22" x14ac:dyDescent="0.25">
      <c r="A267">
        <f>A266+Parameters!$B$65</f>
        <v>263</v>
      </c>
      <c r="B267" s="9">
        <f t="shared" ref="B267:D267" si="106">B266</f>
        <v>5.191758263687303E-2</v>
      </c>
      <c r="C267" s="9">
        <f t="shared" si="106"/>
        <v>1.0017548050425843E-2</v>
      </c>
      <c r="D267" s="7">
        <f t="shared" si="106"/>
        <v>0.2959598429278244</v>
      </c>
      <c r="E267" s="7">
        <f>MAX((1-Parameters!$B$4)^Parameters!B$65*E266+B266*Parameters!B$65-Parameters!$B$5*B266^2/E266*Parameters!B$65,0.0001)</f>
        <v>0.76972610341732539</v>
      </c>
      <c r="F267" s="9">
        <f>MAX((1-Parameters!$B$4)^Parameters!B$65*F266+C266*Parameters!B$65-Parameters!$B$5*C266^2/F266*Parameters!B$65,0.0001)</f>
        <v>0.14851940006075073</v>
      </c>
      <c r="G267" s="7">
        <f>MAX((1-Parameters!$B$4)^Parameters!B$65*G266+D266*Parameters!B$65-Parameters!$B$5*D266^2/G266*Parameters!B$65,0.0001)</f>
        <v>4.387877939835267</v>
      </c>
      <c r="I267" s="7">
        <f>I266*(1+Parameters!$B$51)^Parameters!B$65</f>
        <v>17.47620755231673</v>
      </c>
      <c r="J267" s="7">
        <f>J266*(1+Parameters!$B$53)^Parameters!B$65</f>
        <v>1654.3139102386774</v>
      </c>
      <c r="K267" s="7">
        <f>'6states'!$O$4</f>
        <v>0.98104277196026479</v>
      </c>
      <c r="L267" s="9">
        <f t="shared" si="43"/>
        <v>0.5</v>
      </c>
      <c r="N267" s="7">
        <f>(Parameters!$B$19*(E267+Parameters!$B$20)^L267+Parameters!$B$18*F267^L267)^(1/L267)</f>
        <v>0.53556370710977508</v>
      </c>
      <c r="O267" s="7">
        <f>(Parameters!$B$10*G267^Parameters!$B$9 + Parameters!$B$11*N267^Parameters!$B$9) ^ (Parameters!$B$7/Parameters!$B$9) * K267</f>
        <v>1.5032566492451225</v>
      </c>
      <c r="P267" s="7">
        <f t="shared" si="99"/>
        <v>1.1453616756299994</v>
      </c>
      <c r="Q267" s="7">
        <f>EXP(-Parameters!$B$55*A267)</f>
        <v>1.88489136132182E-2</v>
      </c>
      <c r="R267" s="7">
        <f>IF(P267&gt;0,P267^(1-Parameters!$B$52)/(1-Parameters!$B$52)*Q267,-10+P267*1000)</f>
        <v>-5.1355664512251063E-2</v>
      </c>
      <c r="S267" s="7"/>
      <c r="T267" s="7"/>
      <c r="U267" s="7"/>
      <c r="V267" s="7"/>
    </row>
    <row r="268" spans="1:22" x14ac:dyDescent="0.25">
      <c r="A268">
        <f>A267+Parameters!$B$65</f>
        <v>264</v>
      </c>
      <c r="B268" s="9">
        <f t="shared" ref="B268:D268" si="107">B267</f>
        <v>5.191758263687303E-2</v>
      </c>
      <c r="C268" s="9">
        <f t="shared" si="107"/>
        <v>1.0017548050425843E-2</v>
      </c>
      <c r="D268" s="7">
        <f t="shared" si="107"/>
        <v>0.2959598429278244</v>
      </c>
      <c r="E268" s="7">
        <f>MAX((1-Parameters!$B$4)^Parameters!B$65*E267+B267*Parameters!B$65-Parameters!$B$5*B267^2/E267*Parameters!B$65,0.0001)</f>
        <v>0.76972610308309197</v>
      </c>
      <c r="F268" s="9">
        <f>MAX((1-Parameters!$B$4)^Parameters!B$65*F267+C267*Parameters!B$65-Parameters!$B$5*C267^2/F267*Parameters!B$65,0.0001)</f>
        <v>0.14851939999717859</v>
      </c>
      <c r="G268" s="7">
        <f>MAX((1-Parameters!$B$4)^Parameters!B$65*G267+D267*Parameters!B$65-Parameters!$B$5*D267^2/G267*Parameters!B$65,0.0001)</f>
        <v>4.3878779391920126</v>
      </c>
      <c r="I268" s="7">
        <f>I267*(1+Parameters!$B$51)^Parameters!B$65</f>
        <v>17.526888554218445</v>
      </c>
      <c r="J268" s="7">
        <f>J267*(1+Parameters!$B$53)^Parameters!B$65</f>
        <v>1687.400188443451</v>
      </c>
      <c r="K268" s="7">
        <f>'6states'!$O$4</f>
        <v>0.98104277196026479</v>
      </c>
      <c r="L268" s="9">
        <f t="shared" si="43"/>
        <v>0.5</v>
      </c>
      <c r="N268" s="7">
        <f>(Parameters!$B$19*(E268+Parameters!$B$20)^L268+Parameters!$B$18*F268^L268)^(1/L268)</f>
        <v>0.53556370688025601</v>
      </c>
      <c r="O268" s="7">
        <f>(Parameters!$B$10*G268^Parameters!$B$9 + Parameters!$B$11*N268^Parameters!$B$9) ^ (Parameters!$B$7/Parameters!$B$9) * K268</f>
        <v>1.5032566491533772</v>
      </c>
      <c r="P268" s="7">
        <f t="shared" si="99"/>
        <v>1.1453616755382541</v>
      </c>
      <c r="Q268" s="7">
        <f>EXP(-Parameters!$B$55*A268)</f>
        <v>1.8566433112781416E-2</v>
      </c>
      <c r="R268" s="7">
        <f>IF(P268&gt;0,P268^(1-Parameters!$B$52)/(1-Parameters!$B$52)*Q268,-10+P268*1000)</f>
        <v>-5.0586019423805265E-2</v>
      </c>
      <c r="S268" s="7"/>
      <c r="T268" s="7"/>
      <c r="U268" s="7"/>
      <c r="V268" s="7"/>
    </row>
    <row r="269" spans="1:22" x14ac:dyDescent="0.25">
      <c r="A269">
        <f>A268+Parameters!$B$65</f>
        <v>265</v>
      </c>
      <c r="B269" s="9">
        <f t="shared" ref="B269:D269" si="108">B268</f>
        <v>5.191758263687303E-2</v>
      </c>
      <c r="C269" s="9">
        <f t="shared" si="108"/>
        <v>1.0017548050425843E-2</v>
      </c>
      <c r="D269" s="7">
        <f t="shared" si="108"/>
        <v>0.2959598429278244</v>
      </c>
      <c r="E269" s="7">
        <f>MAX((1-Parameters!$B$4)^Parameters!B$65*E268+B268*Parameters!B$65-Parameters!$B$5*B268^2/E268*Parameters!B$65,0.0001)</f>
        <v>0.76972610276836129</v>
      </c>
      <c r="F269" s="9">
        <f>MAX((1-Parameters!$B$4)^Parameters!B$65*F268+C268*Parameters!B$65-Parameters!$B$5*C268^2/F268*Parameters!B$65,0.0001)</f>
        <v>0.14851939993731592</v>
      </c>
      <c r="G269" s="7">
        <f>MAX((1-Parameters!$B$4)^Parameters!B$65*G268+D268*Parameters!B$65-Parameters!$B$5*D268^2/G268*Parameters!B$65,0.0001)</f>
        <v>4.3878779385862936</v>
      </c>
      <c r="I269" s="7">
        <f>I268*(1+Parameters!$B$51)^Parameters!B$65</f>
        <v>17.577716531025676</v>
      </c>
      <c r="J269" s="7">
        <f>J268*(1+Parameters!$B$53)^Parameters!B$65</f>
        <v>1721.1481922123201</v>
      </c>
      <c r="K269" s="7">
        <f>'6states'!$O$4</f>
        <v>0.98104277196026479</v>
      </c>
      <c r="L269" s="9">
        <f t="shared" ref="L269:L304" si="109">L268</f>
        <v>0.5</v>
      </c>
      <c r="N269" s="7">
        <f>(Parameters!$B$19*(E269+Parameters!$B$20)^L269+Parameters!$B$18*F269^L269)^(1/L269)</f>
        <v>0.53556370666412922</v>
      </c>
      <c r="O269" s="7">
        <f>(Parameters!$B$10*G269^Parameters!$B$9 + Parameters!$B$11*N269^Parameters!$B$9) ^ (Parameters!$B$7/Parameters!$B$9) * K269</f>
        <v>1.5032566490669848</v>
      </c>
      <c r="P269" s="7">
        <f t="shared" si="99"/>
        <v>1.1453616754518614</v>
      </c>
      <c r="Q269" s="7">
        <f>EXP(-Parameters!$B$55*A269)</f>
        <v>1.8288186025196128E-2</v>
      </c>
      <c r="R269" s="7">
        <f>IF(P269&gt;0,P269^(1-Parameters!$B$52)/(1-Parameters!$B$52)*Q269,-10+P269*1000)</f>
        <v>-4.9827908672683462E-2</v>
      </c>
      <c r="S269" s="7"/>
      <c r="T269" s="7"/>
      <c r="U269" s="7"/>
      <c r="V269" s="7"/>
    </row>
    <row r="270" spans="1:22" x14ac:dyDescent="0.25">
      <c r="A270">
        <f>A269+Parameters!$B$65</f>
        <v>266</v>
      </c>
      <c r="B270" s="9">
        <f t="shared" ref="B270:D270" si="110">B269</f>
        <v>5.191758263687303E-2</v>
      </c>
      <c r="C270" s="9">
        <f t="shared" si="110"/>
        <v>1.0017548050425843E-2</v>
      </c>
      <c r="D270" s="7">
        <f t="shared" si="110"/>
        <v>0.2959598429278244</v>
      </c>
      <c r="E270" s="7">
        <f>MAX((1-Parameters!$B$4)^Parameters!B$65*E269+B269*Parameters!B$65-Parameters!$B$5*B269^2/E269*Parameters!B$65,0.0001)</f>
        <v>0.76972610247199524</v>
      </c>
      <c r="F270" s="9">
        <f>MAX((1-Parameters!$B$4)^Parameters!B$65*F269+C269*Parameters!B$65-Parameters!$B$5*C269^2/F269*Parameters!B$65,0.0001)</f>
        <v>0.14851939988094626</v>
      </c>
      <c r="G270" s="7">
        <f>MAX((1-Parameters!$B$4)^Parameters!B$65*G269+D269*Parameters!B$65-Parameters!$B$5*D269^2/G269*Parameters!B$65,0.0001)</f>
        <v>4.3878779380159179</v>
      </c>
      <c r="I270" s="7">
        <f>I269*(1+Parameters!$B$51)^Parameters!B$65</f>
        <v>17.628691908965649</v>
      </c>
      <c r="J270" s="7">
        <f>J269*(1+Parameters!$B$53)^Parameters!B$65</f>
        <v>1755.5711560565665</v>
      </c>
      <c r="K270" s="7">
        <f>'6states'!$O$4</f>
        <v>0.98104277196026479</v>
      </c>
      <c r="L270" s="9">
        <f t="shared" si="109"/>
        <v>0.5</v>
      </c>
      <c r="N270" s="7">
        <f>(Parameters!$B$19*(E270+Parameters!$B$20)^L270+Parameters!$B$18*F270^L270)^(1/L270)</f>
        <v>0.53556370646061346</v>
      </c>
      <c r="O270" s="7">
        <f>(Parameters!$B$10*G270^Parameters!$B$9 + Parameters!$B$11*N270^Parameters!$B$9) ^ (Parameters!$B$7/Parameters!$B$9) * K270</f>
        <v>1.5032566489856334</v>
      </c>
      <c r="P270" s="7">
        <f t="shared" si="99"/>
        <v>1.14536167537051</v>
      </c>
      <c r="Q270" s="7">
        <f>EXP(-Parameters!$B$55*A270)</f>
        <v>1.8014108906138429E-2</v>
      </c>
      <c r="R270" s="7">
        <f>IF(P270&gt;0,P270^(1-Parameters!$B$52)/(1-Parameters!$B$52)*Q270,-10+P270*1000)</f>
        <v>-4.9081159398777885E-2</v>
      </c>
      <c r="S270" s="7"/>
      <c r="T270" s="7"/>
      <c r="U270" s="7"/>
      <c r="V270" s="7"/>
    </row>
    <row r="271" spans="1:22" x14ac:dyDescent="0.25">
      <c r="A271">
        <f>A270+Parameters!$B$65</f>
        <v>267</v>
      </c>
      <c r="B271" s="9">
        <f t="shared" ref="B271:D271" si="111">B270</f>
        <v>5.191758263687303E-2</v>
      </c>
      <c r="C271" s="9">
        <f t="shared" si="111"/>
        <v>1.0017548050425843E-2</v>
      </c>
      <c r="D271" s="7">
        <f t="shared" si="111"/>
        <v>0.2959598429278244</v>
      </c>
      <c r="E271" s="7">
        <f>MAX((1-Parameters!$B$4)^Parameters!B$65*E270+B270*Parameters!B$65-Parameters!$B$5*B270^2/E270*Parameters!B$65,0.0001)</f>
        <v>0.76972610219292226</v>
      </c>
      <c r="F271" s="9">
        <f>MAX((1-Parameters!$B$4)^Parameters!B$65*F270+C270*Parameters!B$65-Parameters!$B$5*C270^2/F270*Parameters!B$65,0.0001)</f>
        <v>0.14851939982786583</v>
      </c>
      <c r="G271" s="7">
        <f>MAX((1-Parameters!$B$4)^Parameters!B$65*G270+D270*Parameters!B$65-Parameters!$B$5*D270^2/G270*Parameters!B$65,0.0001)</f>
        <v>4.3878779374788239</v>
      </c>
      <c r="I271" s="7">
        <f>I270*(1+Parameters!$B$51)^Parameters!B$65</f>
        <v>17.679815115501647</v>
      </c>
      <c r="J271" s="7">
        <f>J270*(1+Parameters!$B$53)^Parameters!B$65</f>
        <v>1790.6825791776978</v>
      </c>
      <c r="K271" s="7">
        <f>'6states'!$O$4</f>
        <v>0.98104277196026479</v>
      </c>
      <c r="L271" s="9">
        <f t="shared" si="109"/>
        <v>0.5</v>
      </c>
      <c r="N271" s="7">
        <f>(Parameters!$B$19*(E271+Parameters!$B$20)^L271+Parameters!$B$18*F271^L271)^(1/L271)</f>
        <v>0.53556370626897309</v>
      </c>
      <c r="O271" s="7">
        <f>(Parameters!$B$10*G271^Parameters!$B$9 + Parameters!$B$11*N271^Parameters!$B$9) ^ (Parameters!$B$7/Parameters!$B$9) * K271</f>
        <v>1.5032566489090293</v>
      </c>
      <c r="P271" s="7">
        <f t="shared" si="99"/>
        <v>1.145361675293906</v>
      </c>
      <c r="Q271" s="7">
        <f>EXP(-Parameters!$B$55*A271)</f>
        <v>1.7744139262096965E-2</v>
      </c>
      <c r="R271" s="7">
        <f>IF(P271&gt;0,P271^(1-Parameters!$B$52)/(1-Parameters!$B$52)*Q271,-10+P271*1000)</f>
        <v>-4.8345601332559655E-2</v>
      </c>
      <c r="S271" s="7"/>
      <c r="T271" s="7"/>
      <c r="U271" s="7"/>
      <c r="V271" s="7"/>
    </row>
    <row r="272" spans="1:22" x14ac:dyDescent="0.25">
      <c r="A272">
        <f>A271+Parameters!$B$65</f>
        <v>268</v>
      </c>
      <c r="B272" s="9">
        <f t="shared" ref="B272:D272" si="112">B271</f>
        <v>5.191758263687303E-2</v>
      </c>
      <c r="C272" s="9">
        <f t="shared" si="112"/>
        <v>1.0017548050425843E-2</v>
      </c>
      <c r="D272" s="7">
        <f t="shared" si="112"/>
        <v>0.2959598429278244</v>
      </c>
      <c r="E272" s="7">
        <f>MAX((1-Parameters!$B$4)^Parameters!B$65*E271+B271*Parameters!B$65-Parameters!$B$5*B271^2/E271*Parameters!B$65,0.0001)</f>
        <v>0.76972610193013347</v>
      </c>
      <c r="F272" s="9">
        <f>MAX((1-Parameters!$B$4)^Parameters!B$65*F271+C271*Parameters!B$65-Parameters!$B$5*C271^2/F271*Parameters!B$65,0.0001)</f>
        <v>0.14851939977788264</v>
      </c>
      <c r="G272" s="7">
        <f>MAX((1-Parameters!$B$4)^Parameters!B$65*G271+D271*Parameters!B$65-Parameters!$B$5*D271^2/G271*Parameters!B$65,0.0001)</f>
        <v>4.3878779369730694</v>
      </c>
      <c r="I272" s="7">
        <f>I271*(1+Parameters!$B$51)^Parameters!B$65</f>
        <v>17.731086579336601</v>
      </c>
      <c r="J272" s="7">
        <f>J271*(1+Parameters!$B$53)^Parameters!B$65</f>
        <v>1826.4962307612518</v>
      </c>
      <c r="K272" s="7">
        <f>'6states'!$O$4</f>
        <v>0.98104277196026479</v>
      </c>
      <c r="L272" s="9">
        <f t="shared" si="109"/>
        <v>0.5</v>
      </c>
      <c r="N272" s="7">
        <f>(Parameters!$B$19*(E272+Parameters!$B$20)^L272+Parameters!$B$18*F272^L272)^(1/L272)</f>
        <v>0.53556370608851533</v>
      </c>
      <c r="O272" s="7">
        <f>(Parameters!$B$10*G272^Parameters!$B$9 + Parameters!$B$11*N272^Parameters!$B$9) ^ (Parameters!$B$7/Parameters!$B$9) * K272</f>
        <v>1.5032566488368948</v>
      </c>
      <c r="P272" s="7">
        <f t="shared" si="99"/>
        <v>1.1453616752217717</v>
      </c>
      <c r="Q272" s="7">
        <f>EXP(-Parameters!$B$55*A272)</f>
        <v>1.7478215536123588E-2</v>
      </c>
      <c r="R272" s="7">
        <f>IF(P272&gt;0,P272^(1-Parameters!$B$52)/(1-Parameters!$B$52)*Q272,-10+P272*1000)</f>
        <v>-4.7621066756255159E-2</v>
      </c>
      <c r="S272" s="7"/>
      <c r="T272" s="7"/>
      <c r="U272" s="7"/>
      <c r="V272" s="7"/>
    </row>
    <row r="273" spans="1:22" x14ac:dyDescent="0.25">
      <c r="A273">
        <f>A272+Parameters!$B$65</f>
        <v>269</v>
      </c>
      <c r="B273" s="9">
        <f t="shared" ref="B273:D273" si="113">B272</f>
        <v>5.191758263687303E-2</v>
      </c>
      <c r="C273" s="9">
        <f t="shared" si="113"/>
        <v>1.0017548050425843E-2</v>
      </c>
      <c r="D273" s="7">
        <f t="shared" si="113"/>
        <v>0.2959598429278244</v>
      </c>
      <c r="E273" s="7">
        <f>MAX((1-Parameters!$B$4)^Parameters!B$65*E272+B272*Parameters!B$65-Parameters!$B$5*B272^2/E272*Parameters!B$65,0.0001)</f>
        <v>0.76972610168267852</v>
      </c>
      <c r="F273" s="9">
        <f>MAX((1-Parameters!$B$4)^Parameters!B$65*F272+C272*Parameters!B$65-Parameters!$B$5*C272^2/F272*Parameters!B$65,0.0001)</f>
        <v>0.14851939973081602</v>
      </c>
      <c r="G273" s="7">
        <f>MAX((1-Parameters!$B$4)^Parameters!B$65*G272+D272*Parameters!B$65-Parameters!$B$5*D272^2/G272*Parameters!B$65,0.0001)</f>
        <v>4.3878779364968263</v>
      </c>
      <c r="I273" s="7">
        <f>I272*(1+Parameters!$B$51)^Parameters!B$65</f>
        <v>17.782506730416674</v>
      </c>
      <c r="J273" s="7">
        <f>J272*(1+Parameters!$B$53)^Parameters!B$65</f>
        <v>1863.0261553764769</v>
      </c>
      <c r="K273" s="7">
        <f>'6states'!$O$4</f>
        <v>0.98104277196026479</v>
      </c>
      <c r="L273" s="9">
        <f t="shared" si="109"/>
        <v>0.5</v>
      </c>
      <c r="N273" s="7">
        <f>(Parameters!$B$19*(E273+Parameters!$B$20)^L273+Parameters!$B$18*F273^L273)^(1/L273)</f>
        <v>0.53556370591858715</v>
      </c>
      <c r="O273" s="7">
        <f>(Parameters!$B$10*G273^Parameters!$B$9 + Parameters!$B$11*N273^Parameters!$B$9) ^ (Parameters!$B$7/Parameters!$B$9) * K273</f>
        <v>1.5032566487689694</v>
      </c>
      <c r="P273" s="7">
        <f t="shared" si="99"/>
        <v>1.145361675153846</v>
      </c>
      <c r="Q273" s="7">
        <f>EXP(-Parameters!$B$55*A273)</f>
        <v>1.7216277093797468E-2</v>
      </c>
      <c r="R273" s="7">
        <f>IF(P273&gt;0,P273^(1-Parameters!$B$52)/(1-Parameters!$B$52)*Q273,-10+P273*1000)</f>
        <v>-4.6907390465603889E-2</v>
      </c>
      <c r="S273" s="7"/>
      <c r="T273" s="7"/>
      <c r="U273" s="7"/>
      <c r="V273" s="7"/>
    </row>
    <row r="274" spans="1:22" x14ac:dyDescent="0.25">
      <c r="A274">
        <f>A273+Parameters!$B$65</f>
        <v>270</v>
      </c>
      <c r="B274" s="9">
        <f t="shared" ref="B274:D274" si="114">B273</f>
        <v>5.191758263687303E-2</v>
      </c>
      <c r="C274" s="9">
        <f t="shared" si="114"/>
        <v>1.0017548050425843E-2</v>
      </c>
      <c r="D274" s="7">
        <f t="shared" si="114"/>
        <v>0.2959598429278244</v>
      </c>
      <c r="E274" s="7">
        <f>MAX((1-Parameters!$B$4)^Parameters!B$65*E273+B273*Parameters!B$65-Parameters!$B$5*B273^2/E273*Parameters!B$65,0.0001)</f>
        <v>0.76972610144966269</v>
      </c>
      <c r="F274" s="9">
        <f>MAX((1-Parameters!$B$4)^Parameters!B$65*F273+C273*Parameters!B$65-Parameters!$B$5*C273^2/F273*Parameters!B$65,0.0001)</f>
        <v>0.14851939968649577</v>
      </c>
      <c r="G274" s="7">
        <f>MAX((1-Parameters!$B$4)^Parameters!B$65*G273+D273*Parameters!B$65-Parameters!$B$5*D273^2/G273*Parameters!B$65,0.0001)</f>
        <v>4.3878779360483717</v>
      </c>
      <c r="I274" s="7">
        <f>I273*(1+Parameters!$B$51)^Parameters!B$65</f>
        <v>17.834075999934882</v>
      </c>
      <c r="J274" s="7">
        <f>J273*(1+Parameters!$B$53)^Parameters!B$65</f>
        <v>1900.2866784840064</v>
      </c>
      <c r="K274" s="7">
        <f>'6states'!$O$4</f>
        <v>0.98104277196026479</v>
      </c>
      <c r="L274" s="9">
        <f t="shared" si="109"/>
        <v>0.5</v>
      </c>
      <c r="N274" s="7">
        <f>(Parameters!$B$19*(E274+Parameters!$B$20)^L274+Parameters!$B$18*F274^L274)^(1/L274)</f>
        <v>0.53556370575857426</v>
      </c>
      <c r="O274" s="7">
        <f>(Parameters!$B$10*G274^Parameters!$B$9 + Parameters!$B$11*N274^Parameters!$B$9) ^ (Parameters!$B$7/Parameters!$B$9) * K274</f>
        <v>1.5032566487050074</v>
      </c>
      <c r="P274" s="7">
        <f t="shared" si="99"/>
        <v>1.1453616750898843</v>
      </c>
      <c r="Q274" s="7">
        <f>EXP(-Parameters!$B$55*A274)</f>
        <v>1.6958264209399509E-2</v>
      </c>
      <c r="R274" s="7">
        <f>IF(P274&gt;0,P274^(1-Parameters!$B$52)/(1-Parameters!$B$52)*Q274,-10+P274*1000)</f>
        <v>-4.6204409732189443E-2</v>
      </c>
      <c r="S274" s="7"/>
      <c r="T274" s="7"/>
      <c r="U274" s="7"/>
      <c r="V274" s="7"/>
    </row>
    <row r="275" spans="1:22" x14ac:dyDescent="0.25">
      <c r="A275">
        <f>A274+Parameters!$B$65</f>
        <v>271</v>
      </c>
      <c r="B275" s="9">
        <f t="shared" ref="B275:D275" si="115">B274</f>
        <v>5.191758263687303E-2</v>
      </c>
      <c r="C275" s="9">
        <f t="shared" si="115"/>
        <v>1.0017548050425843E-2</v>
      </c>
      <c r="D275" s="7">
        <f t="shared" si="115"/>
        <v>0.2959598429278244</v>
      </c>
      <c r="E275" s="7">
        <f>MAX((1-Parameters!$B$4)^Parameters!B$65*E274+B274*Parameters!B$65-Parameters!$B$5*B274^2/E274*Parameters!B$65,0.0001)</f>
        <v>0.76972610123024354</v>
      </c>
      <c r="F275" s="9">
        <f>MAX((1-Parameters!$B$4)^Parameters!B$65*F274+C274*Parameters!B$65-Parameters!$B$5*C274^2/F274*Parameters!B$65,0.0001)</f>
        <v>0.14851939964476163</v>
      </c>
      <c r="G275" s="7">
        <f>MAX((1-Parameters!$B$4)^Parameters!B$65*G274+D274*Parameters!B$65-Parameters!$B$5*D274^2/G274*Parameters!B$65,0.0001)</f>
        <v>4.3878779356260855</v>
      </c>
      <c r="I275" s="7">
        <f>I274*(1+Parameters!$B$51)^Parameters!B$65</f>
        <v>17.885794820334691</v>
      </c>
      <c r="J275" s="7">
        <f>J274*(1+Parameters!$B$53)^Parameters!B$65</f>
        <v>1938.2924120536866</v>
      </c>
      <c r="K275" s="7">
        <f>'6states'!$O$4</f>
        <v>0.98104277196026479</v>
      </c>
      <c r="L275" s="9">
        <f t="shared" si="109"/>
        <v>0.5</v>
      </c>
      <c r="N275" s="7">
        <f>(Parameters!$B$19*(E275+Parameters!$B$20)^L275+Parameters!$B$18*F275^L275)^(1/L275)</f>
        <v>0.53556370560789823</v>
      </c>
      <c r="O275" s="7">
        <f>(Parameters!$B$10*G275^Parameters!$B$9 + Parameters!$B$11*N275^Parameters!$B$9) ^ (Parameters!$B$7/Parameters!$B$9) * K275</f>
        <v>1.5032566486447778</v>
      </c>
      <c r="P275" s="7">
        <f t="shared" si="99"/>
        <v>1.1453616750296547</v>
      </c>
      <c r="Q275" s="7">
        <f>EXP(-Parameters!$B$55*A275)</f>
        <v>1.6704118052294156E-2</v>
      </c>
      <c r="R275" s="7">
        <f>IF(P275&gt;0,P275^(1-Parameters!$B$52)/(1-Parameters!$B$52)*Q275,-10+P275*1000)</f>
        <v>-4.551196426633549E-2</v>
      </c>
      <c r="S275" s="7"/>
      <c r="T275" s="7"/>
      <c r="U275" s="7"/>
      <c r="V275" s="7"/>
    </row>
    <row r="276" spans="1:22" x14ac:dyDescent="0.25">
      <c r="A276">
        <f>A275+Parameters!$B$65</f>
        <v>272</v>
      </c>
      <c r="B276" s="9">
        <f t="shared" ref="B276:D276" si="116">B275</f>
        <v>5.191758263687303E-2</v>
      </c>
      <c r="C276" s="9">
        <f t="shared" si="116"/>
        <v>1.0017548050425843E-2</v>
      </c>
      <c r="D276" s="7">
        <f t="shared" si="116"/>
        <v>0.2959598429278244</v>
      </c>
      <c r="E276" s="7">
        <f>MAX((1-Parameters!$B$4)^Parameters!B$65*E275+B275*Parameters!B$65-Parameters!$B$5*B275^2/E275*Parameters!B$65,0.0001)</f>
        <v>0.76972610102362748</v>
      </c>
      <c r="F276" s="9">
        <f>MAX((1-Parameters!$B$4)^Parameters!B$65*F275+C275*Parameters!B$65-Parameters!$B$5*C275^2/F275*Parameters!B$65,0.0001)</f>
        <v>0.1485193996054627</v>
      </c>
      <c r="G276" s="7">
        <f>MAX((1-Parameters!$B$4)^Parameters!B$65*G275+D275*Parameters!B$65-Parameters!$B$5*D275^2/G275*Parameters!B$65,0.0001)</f>
        <v>4.3878779352284392</v>
      </c>
      <c r="I276" s="7">
        <f>I275*(1+Parameters!$B$51)^Parameters!B$65</f>
        <v>17.937663625313661</v>
      </c>
      <c r="J276" s="7">
        <f>J275*(1+Parameters!$B$53)^Parameters!B$65</f>
        <v>1977.0582602947604</v>
      </c>
      <c r="K276" s="7">
        <f>'6states'!$O$4</f>
        <v>0.98104277196026479</v>
      </c>
      <c r="L276" s="9">
        <f t="shared" si="109"/>
        <v>0.5</v>
      </c>
      <c r="N276" s="7">
        <f>(Parameters!$B$19*(E276+Parameters!$B$20)^L276+Parameters!$B$18*F276^L276)^(1/L276)</f>
        <v>0.53556370546601439</v>
      </c>
      <c r="O276" s="7">
        <f>(Parameters!$B$10*G276^Parameters!$B$9 + Parameters!$B$11*N276^Parameters!$B$9) ^ (Parameters!$B$7/Parameters!$B$9) * K276</f>
        <v>1.5032566485880625</v>
      </c>
      <c r="P276" s="7">
        <f t="shared" si="99"/>
        <v>1.1453616749729392</v>
      </c>
      <c r="Q276" s="7">
        <f>EXP(-Parameters!$B$55*A276)</f>
        <v>1.6453780673515026E-2</v>
      </c>
      <c r="R276" s="7">
        <f>IF(P276&gt;0,P276^(1-Parameters!$B$52)/(1-Parameters!$B$52)*Q276,-10+P276*1000)</f>
        <v>-4.4829896180557043E-2</v>
      </c>
      <c r="S276" s="7"/>
      <c r="T276" s="7"/>
      <c r="U276" s="7"/>
      <c r="V276" s="7"/>
    </row>
    <row r="277" spans="1:22" x14ac:dyDescent="0.25">
      <c r="A277">
        <f>A276+Parameters!$B$65</f>
        <v>273</v>
      </c>
      <c r="B277" s="9">
        <f t="shared" ref="B277:D277" si="117">B276</f>
        <v>5.191758263687303E-2</v>
      </c>
      <c r="C277" s="9">
        <f t="shared" si="117"/>
        <v>1.0017548050425843E-2</v>
      </c>
      <c r="D277" s="7">
        <f t="shared" si="117"/>
        <v>0.2959598429278244</v>
      </c>
      <c r="E277" s="7">
        <f>MAX((1-Parameters!$B$4)^Parameters!B$65*E276+B276*Parameters!B$65-Parameters!$B$5*B276^2/E276*Parameters!B$65,0.0001)</f>
        <v>0.76972610082906767</v>
      </c>
      <c r="F277" s="9">
        <f>MAX((1-Parameters!$B$4)^Parameters!B$65*F276+C276*Parameters!B$65-Parameters!$B$5*C276^2/F276*Parameters!B$65,0.0001)</f>
        <v>0.14851939956845689</v>
      </c>
      <c r="G277" s="7">
        <f>MAX((1-Parameters!$B$4)^Parameters!B$65*G276+D276*Parameters!B$65-Parameters!$B$5*D276^2/G276*Parameters!B$65,0.0001)</f>
        <v>4.3878779348539956</v>
      </c>
      <c r="I277" s="7">
        <f>I276*(1+Parameters!$B$51)^Parameters!B$65</f>
        <v>17.989682849827069</v>
      </c>
      <c r="J277" s="7">
        <f>J276*(1+Parameters!$B$53)^Parameters!B$65</f>
        <v>2016.5994255006556</v>
      </c>
      <c r="K277" s="7">
        <f>'6states'!$O$4</f>
        <v>0.98104277196026479</v>
      </c>
      <c r="L277" s="9">
        <f t="shared" si="109"/>
        <v>0.5</v>
      </c>
      <c r="N277" s="7">
        <f>(Parameters!$B$19*(E277+Parameters!$B$20)^L277+Parameters!$B$18*F277^L277)^(1/L277)</f>
        <v>0.53556370533240938</v>
      </c>
      <c r="O277" s="7">
        <f>(Parameters!$B$10*G277^Parameters!$B$9 + Parameters!$B$11*N277^Parameters!$B$9) ^ (Parameters!$B$7/Parameters!$B$9) * K277</f>
        <v>1.5032566485346566</v>
      </c>
      <c r="P277" s="7">
        <f t="shared" si="99"/>
        <v>1.1453616749195334</v>
      </c>
      <c r="Q277" s="7">
        <f>EXP(-Parameters!$B$55*A277)</f>
        <v>1.6207194992551837E-2</v>
      </c>
      <c r="R277" s="7">
        <f>IF(P277&gt;0,P277^(1-Parameters!$B$52)/(1-Parameters!$B$52)*Q277,-10+P277*1000)</f>
        <v>-4.4158049953560215E-2</v>
      </c>
      <c r="S277" s="7"/>
      <c r="T277" s="7"/>
      <c r="U277" s="7"/>
      <c r="V277" s="7"/>
    </row>
    <row r="278" spans="1:22" x14ac:dyDescent="0.25">
      <c r="A278">
        <f>A277+Parameters!$B$65</f>
        <v>274</v>
      </c>
      <c r="B278" s="9">
        <f t="shared" ref="B278:D278" si="118">B277</f>
        <v>5.191758263687303E-2</v>
      </c>
      <c r="C278" s="9">
        <f t="shared" si="118"/>
        <v>1.0017548050425843E-2</v>
      </c>
      <c r="D278" s="7">
        <f t="shared" si="118"/>
        <v>0.2959598429278244</v>
      </c>
      <c r="E278" s="7">
        <f>MAX((1-Parameters!$B$4)^Parameters!B$65*E277+B277*Parameters!B$65-Parameters!$B$5*B277^2/E277*Parameters!B$65,0.0001)</f>
        <v>0.76972610064586056</v>
      </c>
      <c r="F278" s="9">
        <f>MAX((1-Parameters!$B$4)^Parameters!B$65*F277+C277*Parameters!B$65-Parameters!$B$5*C277^2/F277*Parameters!B$65,0.0001)</f>
        <v>0.14851939953361037</v>
      </c>
      <c r="G278" s="7">
        <f>MAX((1-Parameters!$B$4)^Parameters!B$65*G277+D277*Parameters!B$65-Parameters!$B$5*D277^2/G277*Parameters!B$65,0.0001)</f>
        <v>4.3878779345014012</v>
      </c>
      <c r="I278" s="7">
        <f>I277*(1+Parameters!$B$51)^Parameters!B$65</f>
        <v>18.041852930091565</v>
      </c>
      <c r="J278" s="7">
        <f>J277*(1+Parameters!$B$53)^Parameters!B$65</f>
        <v>2056.9314140106685</v>
      </c>
      <c r="K278" s="7">
        <f>'6states'!$O$4</f>
        <v>0.98104277196026479</v>
      </c>
      <c r="L278" s="9">
        <f t="shared" si="109"/>
        <v>0.5</v>
      </c>
      <c r="N278" s="7">
        <f>(Parameters!$B$19*(E278+Parameters!$B$20)^L278+Parameters!$B$18*F278^L278)^(1/L278)</f>
        <v>0.53556370520660046</v>
      </c>
      <c r="O278" s="7">
        <f>(Parameters!$B$10*G278^Parameters!$B$9 + Parameters!$B$11*N278^Parameters!$B$9) ^ (Parameters!$B$7/Parameters!$B$9) * K278</f>
        <v>1.5032566484843672</v>
      </c>
      <c r="P278" s="7">
        <f t="shared" si="99"/>
        <v>1.1453616748692439</v>
      </c>
      <c r="Q278" s="7">
        <f>EXP(-Parameters!$B$55*A278)</f>
        <v>1.5964304784335175E-2</v>
      </c>
      <c r="R278" s="7">
        <f>IF(P278&gt;0,P278^(1-Parameters!$B$52)/(1-Parameters!$B$52)*Q278,-10+P278*1000)</f>
        <v>-4.3496272394781064E-2</v>
      </c>
      <c r="S278" s="7"/>
      <c r="T278" s="7"/>
      <c r="U278" s="7"/>
      <c r="V278" s="7"/>
    </row>
    <row r="279" spans="1:22" x14ac:dyDescent="0.25">
      <c r="A279">
        <f>A278+Parameters!$B$65</f>
        <v>275</v>
      </c>
      <c r="B279" s="9">
        <f t="shared" ref="B279:D279" si="119">B278</f>
        <v>5.191758263687303E-2</v>
      </c>
      <c r="C279" s="9">
        <f t="shared" si="119"/>
        <v>1.0017548050425843E-2</v>
      </c>
      <c r="D279" s="7">
        <f t="shared" si="119"/>
        <v>0.2959598429278244</v>
      </c>
      <c r="E279" s="7">
        <f>MAX((1-Parameters!$B$4)^Parameters!B$65*E278+B278*Parameters!B$65-Parameters!$B$5*B278^2/E278*Parameters!B$65,0.0001)</f>
        <v>0.76972610047334367</v>
      </c>
      <c r="F279" s="9">
        <f>MAX((1-Parameters!$B$4)^Parameters!B$65*F278+C278*Parameters!B$65-Parameters!$B$5*C278^2/F278*Parameters!B$65,0.0001)</f>
        <v>0.14851939950079721</v>
      </c>
      <c r="G279" s="7">
        <f>MAX((1-Parameters!$B$4)^Parameters!B$65*G278+D278*Parameters!B$65-Parameters!$B$5*D278^2/G278*Parameters!B$65,0.0001)</f>
        <v>4.3878779341693814</v>
      </c>
      <c r="I279" s="7">
        <f>I278*(1+Parameters!$B$51)^Parameters!B$65</f>
        <v>18.094174303588829</v>
      </c>
      <c r="J279" s="7">
        <f>J278*(1+Parameters!$B$53)^Parameters!B$65</f>
        <v>2098.0700422908817</v>
      </c>
      <c r="K279" s="7">
        <f>'6states'!$O$4</f>
        <v>0.98104277196026479</v>
      </c>
      <c r="L279" s="9">
        <f t="shared" si="109"/>
        <v>0.5</v>
      </c>
      <c r="N279" s="7">
        <f>(Parameters!$B$19*(E279+Parameters!$B$20)^L279+Parameters!$B$18*F279^L279)^(1/L279)</f>
        <v>0.53556370508813256</v>
      </c>
      <c r="O279" s="7">
        <f>(Parameters!$B$10*G279^Parameters!$B$9 + Parameters!$B$11*N279^Parameters!$B$9) ^ (Parameters!$B$7/Parameters!$B$9) * K279</f>
        <v>1.503256648437012</v>
      </c>
      <c r="P279" s="7">
        <f t="shared" si="99"/>
        <v>1.1453616748218889</v>
      </c>
      <c r="Q279" s="7">
        <f>EXP(-Parameters!$B$55*A279)</f>
        <v>1.5725054666416334E-2</v>
      </c>
      <c r="R279" s="7">
        <f>IF(P279&gt;0,P279^(1-Parameters!$B$52)/(1-Parameters!$B$52)*Q279,-10+P279*1000)</f>
        <v>-4.2844412609455804E-2</v>
      </c>
      <c r="S279" s="7"/>
      <c r="T279" s="7"/>
      <c r="U279" s="7"/>
      <c r="V279" s="7"/>
    </row>
    <row r="280" spans="1:22" x14ac:dyDescent="0.25">
      <c r="A280">
        <f>A279+Parameters!$B$65</f>
        <v>276</v>
      </c>
      <c r="B280" s="9">
        <f t="shared" ref="B280:D280" si="120">B279</f>
        <v>5.191758263687303E-2</v>
      </c>
      <c r="C280" s="9">
        <f t="shared" si="120"/>
        <v>1.0017548050425843E-2</v>
      </c>
      <c r="D280" s="7">
        <f t="shared" si="120"/>
        <v>0.2959598429278244</v>
      </c>
      <c r="E280" s="7">
        <f>MAX((1-Parameters!$B$4)^Parameters!B$65*E279+B279*Parameters!B$65-Parameters!$B$5*B279^2/E279*Parameters!B$65,0.0001)</f>
        <v>0.76972610031089328</v>
      </c>
      <c r="F280" s="9">
        <f>MAX((1-Parameters!$B$4)^Parameters!B$65*F279+C279*Parameters!B$65-Parameters!$B$5*C279^2/F279*Parameters!B$65,0.0001)</f>
        <v>0.14851939946989867</v>
      </c>
      <c r="G280" s="7">
        <f>MAX((1-Parameters!$B$4)^Parameters!B$65*G279+D279*Parameters!B$65-Parameters!$B$5*D279^2/G279*Parameters!B$65,0.0001)</f>
        <v>4.3878779338567355</v>
      </c>
      <c r="I280" s="7">
        <f>I279*(1+Parameters!$B$51)^Parameters!B$65</f>
        <v>18.146647409069235</v>
      </c>
      <c r="J280" s="7">
        <f>J279*(1+Parameters!$B$53)^Parameters!B$65</f>
        <v>2140.0314431366992</v>
      </c>
      <c r="K280" s="7">
        <f>'6states'!$O$4</f>
        <v>0.98104277196026479</v>
      </c>
      <c r="L280" s="9">
        <f t="shared" si="109"/>
        <v>0.5</v>
      </c>
      <c r="N280" s="7">
        <f>(Parameters!$B$19*(E280+Parameters!$B$20)^L280+Parameters!$B$18*F280^L280)^(1/L280)</f>
        <v>0.53556370497657724</v>
      </c>
      <c r="O280" s="7">
        <f>(Parameters!$B$10*G280^Parameters!$B$9 + Parameters!$B$11*N280^Parameters!$B$9) ^ (Parameters!$B$7/Parameters!$B$9) * K280</f>
        <v>1.5032566483924199</v>
      </c>
      <c r="P280" s="7">
        <f t="shared" si="99"/>
        <v>1.1453616747772966</v>
      </c>
      <c r="Q280" s="7">
        <f>EXP(-Parameters!$B$55*A280)</f>
        <v>1.5489390086339431E-2</v>
      </c>
      <c r="R280" s="7">
        <f>IF(P280&gt;0,P280^(1-Parameters!$B$52)/(1-Parameters!$B$52)*Q280,-10+P280*1000)</f>
        <v>-4.2202321964215021E-2</v>
      </c>
      <c r="S280" s="7"/>
      <c r="T280" s="7"/>
      <c r="U280" s="7"/>
      <c r="V280" s="7"/>
    </row>
    <row r="281" spans="1:22" x14ac:dyDescent="0.25">
      <c r="A281">
        <f>A280+Parameters!$B$65</f>
        <v>277</v>
      </c>
      <c r="B281" s="9">
        <f t="shared" ref="B281:D281" si="121">B280</f>
        <v>5.191758263687303E-2</v>
      </c>
      <c r="C281" s="9">
        <f t="shared" si="121"/>
        <v>1.0017548050425843E-2</v>
      </c>
      <c r="D281" s="7">
        <f t="shared" si="121"/>
        <v>0.2959598429278244</v>
      </c>
      <c r="E281" s="7">
        <f>MAX((1-Parameters!$B$4)^Parameters!B$65*E280+B280*Parameters!B$65-Parameters!$B$5*B280^2/E280*Parameters!B$65,0.0001)</f>
        <v>0.76972610015792198</v>
      </c>
      <c r="F281" s="9">
        <f>MAX((1-Parameters!$B$4)^Parameters!B$65*F280+C280*Parameters!B$65-Parameters!$B$5*C280^2/F280*Parameters!B$65,0.0001)</f>
        <v>0.14851939944080311</v>
      </c>
      <c r="G281" s="7">
        <f>MAX((1-Parameters!$B$4)^Parameters!B$65*G280+D280*Parameters!B$65-Parameters!$B$5*D280^2/G280*Parameters!B$65,0.0001)</f>
        <v>4.3878779335623319</v>
      </c>
      <c r="I281" s="7">
        <f>I280*(1+Parameters!$B$51)^Parameters!B$65</f>
        <v>18.199272686555535</v>
      </c>
      <c r="J281" s="7">
        <f>J280*(1+Parameters!$B$53)^Parameters!B$65</f>
        <v>2182.8320719994331</v>
      </c>
      <c r="K281" s="7">
        <f>'6states'!$O$4</f>
        <v>0.98104277196026479</v>
      </c>
      <c r="L281" s="9">
        <f t="shared" si="109"/>
        <v>0.5</v>
      </c>
      <c r="N281" s="7">
        <f>(Parameters!$B$19*(E281+Parameters!$B$20)^L281+Parameters!$B$18*F281^L281)^(1/L281)</f>
        <v>0.53556370487153127</v>
      </c>
      <c r="O281" s="7">
        <f>(Parameters!$B$10*G281^Parameters!$B$9 + Parameters!$B$11*N281^Parameters!$B$9) ^ (Parameters!$B$7/Parameters!$B$9) * K281</f>
        <v>1.5032566483504304</v>
      </c>
      <c r="P281" s="7">
        <f t="shared" si="99"/>
        <v>1.145361674735307</v>
      </c>
      <c r="Q281" s="7">
        <f>EXP(-Parameters!$B$55*A281)</f>
        <v>1.5257257309202531E-2</v>
      </c>
      <c r="R281" s="7">
        <f>IF(P281&gt;0,P281^(1-Parameters!$B$52)/(1-Parameters!$B$52)*Q281,-10+P281*1000)</f>
        <v>-4.1569854053192697E-2</v>
      </c>
      <c r="S281" s="7"/>
      <c r="T281" s="7"/>
      <c r="U281" s="7"/>
      <c r="V281" s="7"/>
    </row>
    <row r="282" spans="1:22" x14ac:dyDescent="0.25">
      <c r="A282">
        <f>A281+Parameters!$B$65</f>
        <v>278</v>
      </c>
      <c r="B282" s="9">
        <f t="shared" ref="B282:D282" si="122">B281</f>
        <v>5.191758263687303E-2</v>
      </c>
      <c r="C282" s="9">
        <f t="shared" si="122"/>
        <v>1.0017548050425843E-2</v>
      </c>
      <c r="D282" s="7">
        <f t="shared" si="122"/>
        <v>0.2959598429278244</v>
      </c>
      <c r="E282" s="7">
        <f>MAX((1-Parameters!$B$4)^Parameters!B$65*E281+B281*Parameters!B$65-Parameters!$B$5*B281^2/E281*Parameters!B$65,0.0001)</f>
        <v>0.76972610001387654</v>
      </c>
      <c r="F282" s="9">
        <f>MAX((1-Parameters!$B$4)^Parameters!B$65*F281+C281*Parameters!B$65-Parameters!$B$5*C281^2/F281*Parameters!B$65,0.0001)</f>
        <v>0.14851939941340528</v>
      </c>
      <c r="G282" s="7">
        <f>MAX((1-Parameters!$B$4)^Parameters!B$65*G281+D281*Parameters!B$65-Parameters!$B$5*D281^2/G281*Parameters!B$65,0.0001)</f>
        <v>4.3878779332851074</v>
      </c>
      <c r="I282" s="7">
        <f>I281*(1+Parameters!$B$51)^Parameters!B$65</f>
        <v>18.252050577346544</v>
      </c>
      <c r="J282" s="7">
        <f>J281*(1+Parameters!$B$53)^Parameters!B$65</f>
        <v>2226.4887134394216</v>
      </c>
      <c r="K282" s="7">
        <f>'6states'!$O$4</f>
        <v>0.98104277196026479</v>
      </c>
      <c r="L282" s="9">
        <f t="shared" si="109"/>
        <v>0.5</v>
      </c>
      <c r="N282" s="7">
        <f>(Parameters!$B$19*(E282+Parameters!$B$20)^L282+Parameters!$B$18*F282^L282)^(1/L282)</f>
        <v>0.53556370477261506</v>
      </c>
      <c r="O282" s="7">
        <f>(Parameters!$B$10*G282^Parameters!$B$9 + Parameters!$B$11*N282^Parameters!$B$9) ^ (Parameters!$B$7/Parameters!$B$9) * K282</f>
        <v>1.5032566483108905</v>
      </c>
      <c r="P282" s="7">
        <f t="shared" si="99"/>
        <v>1.1453616746957671</v>
      </c>
      <c r="Q282" s="7">
        <f>EXP(-Parameters!$B$55*A282)</f>
        <v>1.5028603405405443E-2</v>
      </c>
      <c r="R282" s="7">
        <f>IF(P282&gt;0,P282^(1-Parameters!$B$52)/(1-Parameters!$B$52)*Q282,-10+P282*1000)</f>
        <v>-4.0946864664644068E-2</v>
      </c>
      <c r="S282" s="7"/>
      <c r="T282" s="7"/>
      <c r="U282" s="7"/>
      <c r="V282" s="7"/>
    </row>
    <row r="283" spans="1:22" x14ac:dyDescent="0.25">
      <c r="A283">
        <f>A282+Parameters!$B$65</f>
        <v>279</v>
      </c>
      <c r="B283" s="9">
        <f t="shared" ref="B283:D283" si="123">B282</f>
        <v>5.191758263687303E-2</v>
      </c>
      <c r="C283" s="9">
        <f t="shared" si="123"/>
        <v>1.0017548050425843E-2</v>
      </c>
      <c r="D283" s="7">
        <f t="shared" si="123"/>
        <v>0.2959598429278244</v>
      </c>
      <c r="E283" s="7">
        <f>MAX((1-Parameters!$B$4)^Parameters!B$65*E282+B282*Parameters!B$65-Parameters!$B$5*B282^2/E282*Parameters!B$65,0.0001)</f>
        <v>0.76972609987823626</v>
      </c>
      <c r="F283" s="9">
        <f>MAX((1-Parameters!$B$4)^Parameters!B$65*F282+C282*Parameters!B$65-Parameters!$B$5*C282^2/F282*Parameters!B$65,0.0001)</f>
        <v>0.14851939938760614</v>
      </c>
      <c r="G283" s="7">
        <f>MAX((1-Parameters!$B$4)^Parameters!B$65*G282+D282*Parameters!B$65-Parameters!$B$5*D282^2/G282*Parameters!B$65,0.0001)</f>
        <v>4.3878779330240585</v>
      </c>
      <c r="I283" s="7">
        <f>I282*(1+Parameters!$B$51)^Parameters!B$65</f>
        <v>18.304981524020846</v>
      </c>
      <c r="J283" s="7">
        <f>J282*(1+Parameters!$B$53)^Parameters!B$65</f>
        <v>2271.0184877082102</v>
      </c>
      <c r="K283" s="7">
        <f>'6states'!$O$4</f>
        <v>0.98104277196026479</v>
      </c>
      <c r="L283" s="9">
        <f t="shared" si="109"/>
        <v>0.5</v>
      </c>
      <c r="N283" s="7">
        <f>(Parameters!$B$19*(E283+Parameters!$B$20)^L283+Parameters!$B$18*F283^L283)^(1/L283)</f>
        <v>0.53556370467947023</v>
      </c>
      <c r="O283" s="7">
        <f>(Parameters!$B$10*G283^Parameters!$B$9 + Parameters!$B$11*N283^Parameters!$B$9) ^ (Parameters!$B$7/Parameters!$B$9) * K283</f>
        <v>1.5032566482736576</v>
      </c>
      <c r="P283" s="7">
        <f t="shared" si="99"/>
        <v>1.1453616746585342</v>
      </c>
      <c r="Q283" s="7">
        <f>EXP(-Parameters!$B$55*A283)</f>
        <v>1.480337623858095E-2</v>
      </c>
      <c r="R283" s="7">
        <f>IF(P283&gt;0,P283^(1-Parameters!$B$52)/(1-Parameters!$B$52)*Q283,-10+P283*1000)</f>
        <v>-4.0333211748063001E-2</v>
      </c>
      <c r="S283" s="7"/>
      <c r="T283" s="7"/>
      <c r="U283" s="7"/>
      <c r="V283" s="7"/>
    </row>
    <row r="284" spans="1:22" x14ac:dyDescent="0.25">
      <c r="A284">
        <f>A283+Parameters!$B$65</f>
        <v>280</v>
      </c>
      <c r="B284" s="9">
        <f t="shared" ref="B284:D284" si="124">B283</f>
        <v>5.191758263687303E-2</v>
      </c>
      <c r="C284" s="9">
        <f t="shared" si="124"/>
        <v>1.0017548050425843E-2</v>
      </c>
      <c r="D284" s="7">
        <f t="shared" si="124"/>
        <v>0.2959598429278244</v>
      </c>
      <c r="E284" s="7">
        <f>MAX((1-Parameters!$B$4)^Parameters!B$65*E283+B283*Parameters!B$65-Parameters!$B$5*B283^2/E283*Parameters!B$65,0.0001)</f>
        <v>0.76972609975051065</v>
      </c>
      <c r="F284" s="9">
        <f>MAX((1-Parameters!$B$4)^Parameters!B$65*F283+C283*Parameters!B$65-Parameters!$B$5*C283^2/F283*Parameters!B$65,0.0001)</f>
        <v>0.14851939936331238</v>
      </c>
      <c r="G284" s="7">
        <f>MAX((1-Parameters!$B$4)^Parameters!B$65*G283+D283*Parameters!B$65-Parameters!$B$5*D283^2/G283*Parameters!B$65,0.0001)</f>
        <v>4.3878779327782427</v>
      </c>
      <c r="I284" s="7">
        <f>I283*(1+Parameters!$B$51)^Parameters!B$65</f>
        <v>18.358065970440503</v>
      </c>
      <c r="J284" s="7">
        <f>J283*(1+Parameters!$B$53)^Parameters!B$65</f>
        <v>2316.4388574623745</v>
      </c>
      <c r="K284" s="7">
        <f>'6states'!$O$4</f>
        <v>0.98104277196026479</v>
      </c>
      <c r="L284" s="9">
        <f t="shared" si="109"/>
        <v>0.5</v>
      </c>
      <c r="N284" s="7">
        <f>(Parameters!$B$19*(E284+Parameters!$B$20)^L284+Parameters!$B$18*F284^L284)^(1/L284)</f>
        <v>0.53556370459176061</v>
      </c>
      <c r="O284" s="7">
        <f>(Parameters!$B$10*G284^Parameters!$B$9 + Parameters!$B$11*N284^Parameters!$B$9) ^ (Parameters!$B$7/Parameters!$B$9) * K284</f>
        <v>1.5032566482385974</v>
      </c>
      <c r="P284" s="7">
        <f t="shared" si="99"/>
        <v>1.1453616746234743</v>
      </c>
      <c r="Q284" s="7">
        <f>EXP(-Parameters!$B$55*A284)</f>
        <v>1.4581524453706942E-2</v>
      </c>
      <c r="R284" s="7">
        <f>IF(P284&gt;0,P284^(1-Parameters!$B$52)/(1-Parameters!$B$52)*Q284,-10+P284*1000)</f>
        <v>-3.972875538179247E-2</v>
      </c>
      <c r="S284" s="7"/>
      <c r="T284" s="7"/>
      <c r="U284" s="7"/>
      <c r="V284" s="7"/>
    </row>
    <row r="285" spans="1:22" x14ac:dyDescent="0.25">
      <c r="A285">
        <f>A284+Parameters!$B$65</f>
        <v>281</v>
      </c>
      <c r="B285" s="9">
        <f t="shared" ref="B285:D285" si="125">B284</f>
        <v>5.191758263687303E-2</v>
      </c>
      <c r="C285" s="9">
        <f t="shared" si="125"/>
        <v>1.0017548050425843E-2</v>
      </c>
      <c r="D285" s="7">
        <f t="shared" si="125"/>
        <v>0.2959598429278244</v>
      </c>
      <c r="E285" s="7">
        <f>MAX((1-Parameters!$B$4)^Parameters!B$65*E284+B284*Parameters!B$65-Parameters!$B$5*B284^2/E284*Parameters!B$65,0.0001)</f>
        <v>0.76972609963023797</v>
      </c>
      <c r="F285" s="9">
        <f>MAX((1-Parameters!$B$4)^Parameters!B$65*F284+C284*Parameters!B$65-Parameters!$B$5*C284^2/F284*Parameters!B$65,0.0001)</f>
        <v>0.14851939934043618</v>
      </c>
      <c r="G285" s="7">
        <f>MAX((1-Parameters!$B$4)^Parameters!B$65*G284+D284*Parameters!B$65-Parameters!$B$5*D284^2/G284*Parameters!B$65,0.0001)</f>
        <v>4.3878779325467701</v>
      </c>
      <c r="I285" s="7">
        <f>I284*(1+Parameters!$B$51)^Parameters!B$65</f>
        <v>18.41130436175478</v>
      </c>
      <c r="J285" s="7">
        <f>J284*(1+Parameters!$B$53)^Parameters!B$65</f>
        <v>2362.7676346116218</v>
      </c>
      <c r="K285" s="7">
        <f>'6states'!$O$4</f>
        <v>0.98104277196026479</v>
      </c>
      <c r="L285" s="9">
        <f t="shared" si="109"/>
        <v>0.5</v>
      </c>
      <c r="N285" s="7">
        <f>(Parameters!$B$19*(E285+Parameters!$B$20)^L285+Parameters!$B$18*F285^L285)^(1/L285)</f>
        <v>0.5355637045091689</v>
      </c>
      <c r="O285" s="7">
        <f>(Parameters!$B$10*G285^Parameters!$B$9 + Parameters!$B$11*N285^Parameters!$B$9) ^ (Parameters!$B$7/Parameters!$B$9) * K285</f>
        <v>1.5032566482055829</v>
      </c>
      <c r="P285" s="7">
        <f t="shared" si="99"/>
        <v>1.1453616745904598</v>
      </c>
      <c r="Q285" s="7">
        <f>EXP(-Parameters!$B$55*A285)</f>
        <v>1.4362997465396809E-2</v>
      </c>
      <c r="R285" s="7">
        <f>IF(P285&gt;0,P285^(1-Parameters!$B$52)/(1-Parameters!$B$52)*Q285,-10+P285*1000)</f>
        <v>-3.9133357741120589E-2</v>
      </c>
      <c r="S285" s="7"/>
      <c r="T285" s="7"/>
      <c r="U285" s="7"/>
      <c r="V285" s="7"/>
    </row>
    <row r="286" spans="1:22" x14ac:dyDescent="0.25">
      <c r="A286">
        <f>A285+Parameters!$B$65</f>
        <v>282</v>
      </c>
      <c r="B286" s="9">
        <f t="shared" ref="B286:D286" si="126">B285</f>
        <v>5.191758263687303E-2</v>
      </c>
      <c r="C286" s="9">
        <f t="shared" si="126"/>
        <v>1.0017548050425843E-2</v>
      </c>
      <c r="D286" s="7">
        <f t="shared" si="126"/>
        <v>0.2959598429278244</v>
      </c>
      <c r="E286" s="7">
        <f>MAX((1-Parameters!$B$4)^Parameters!B$65*E285+B285*Parameters!B$65-Parameters!$B$5*B285^2/E285*Parameters!B$65,0.0001)</f>
        <v>0.76972609951698323</v>
      </c>
      <c r="F286" s="9">
        <f>MAX((1-Parameters!$B$4)^Parameters!B$65*F285+C285*Parameters!B$65-Parameters!$B$5*C285^2/F285*Parameters!B$65,0.0001)</f>
        <v>0.1485193993188948</v>
      </c>
      <c r="G286" s="7">
        <f>MAX((1-Parameters!$B$4)^Parameters!B$65*G285+D285*Parameters!B$65-Parameters!$B$5*D285^2/G285*Parameters!B$65,0.0001)</f>
        <v>4.387877932328804</v>
      </c>
      <c r="I286" s="7">
        <f>I285*(1+Parameters!$B$51)^Parameters!B$65</f>
        <v>18.464697144403868</v>
      </c>
      <c r="J286" s="7">
        <f>J285*(1+Parameters!$B$53)^Parameters!B$65</f>
        <v>2410.0229873038543</v>
      </c>
      <c r="K286" s="7">
        <f>'6states'!$O$4</f>
        <v>0.98104277196026479</v>
      </c>
      <c r="L286" s="9">
        <f t="shared" si="109"/>
        <v>0.5</v>
      </c>
      <c r="N286" s="7">
        <f>(Parameters!$B$19*(E286+Parameters!$B$20)^L286+Parameters!$B$18*F286^L286)^(1/L286)</f>
        <v>0.53556370443139656</v>
      </c>
      <c r="O286" s="7">
        <f>(Parameters!$B$10*G286^Parameters!$B$9 + Parameters!$B$11*N286^Parameters!$B$9) ^ (Parameters!$B$7/Parameters!$B$9) * K286</f>
        <v>1.5032566481744951</v>
      </c>
      <c r="P286" s="7">
        <f t="shared" si="99"/>
        <v>1.1453616745593718</v>
      </c>
      <c r="Q286" s="7">
        <f>EXP(-Parameters!$B$55*A286)</f>
        <v>1.4147745446365208E-2</v>
      </c>
      <c r="R286" s="7">
        <f>IF(P286&gt;0,P286^(1-Parameters!$B$52)/(1-Parameters!$B$52)*Q286,-10+P286*1000)</f>
        <v>-3.8546883066854554E-2</v>
      </c>
      <c r="S286" s="7"/>
      <c r="T286" s="7"/>
      <c r="U286" s="7"/>
      <c r="V286" s="7"/>
    </row>
    <row r="287" spans="1:22" x14ac:dyDescent="0.25">
      <c r="A287">
        <f>A286+Parameters!$B$65</f>
        <v>283</v>
      </c>
      <c r="B287" s="9">
        <f t="shared" ref="B287:D287" si="127">B286</f>
        <v>5.191758263687303E-2</v>
      </c>
      <c r="C287" s="9">
        <f t="shared" si="127"/>
        <v>1.0017548050425843E-2</v>
      </c>
      <c r="D287" s="7">
        <f t="shared" si="127"/>
        <v>0.2959598429278244</v>
      </c>
      <c r="E287" s="7">
        <f>MAX((1-Parameters!$B$4)^Parameters!B$65*E286+B286*Parameters!B$65-Parameters!$B$5*B286^2/E286*Parameters!B$65,0.0001)</f>
        <v>0.76972609941033698</v>
      </c>
      <c r="F287" s="9">
        <f>MAX((1-Parameters!$B$4)^Parameters!B$65*F286+C286*Parameters!B$65-Parameters!$B$5*C286^2/F286*Parameters!B$65,0.0001)</f>
        <v>0.14851939929861038</v>
      </c>
      <c r="G287" s="7">
        <f>MAX((1-Parameters!$B$4)^Parameters!B$65*G286+D286*Parameters!B$65-Parameters!$B$5*D286^2/G286*Parameters!B$65,0.0001)</f>
        <v>4.3878779321235566</v>
      </c>
      <c r="I287" s="7">
        <f>I286*(1+Parameters!$B$51)^Parameters!B$65</f>
        <v>18.518244766122638</v>
      </c>
      <c r="J287" s="7">
        <f>J286*(1+Parameters!$B$53)^Parameters!B$65</f>
        <v>2458.2234470499316</v>
      </c>
      <c r="K287" s="7">
        <f>'6states'!$O$4</f>
        <v>0.98104277196026479</v>
      </c>
      <c r="L287" s="9">
        <f t="shared" si="109"/>
        <v>0.5</v>
      </c>
      <c r="N287" s="7">
        <f>(Parameters!$B$19*(E287+Parameters!$B$20)^L287+Parameters!$B$18*F287^L287)^(1/L287)</f>
        <v>0.53556370435816214</v>
      </c>
      <c r="O287" s="7">
        <f>(Parameters!$B$10*G287^Parameters!$B$9 + Parameters!$B$11*N287^Parameters!$B$9) ^ (Parameters!$B$7/Parameters!$B$9) * K287</f>
        <v>1.5032566481452212</v>
      </c>
      <c r="P287" s="7">
        <f t="shared" si="99"/>
        <v>1.1453616745300979</v>
      </c>
      <c r="Q287" s="7">
        <f>EXP(-Parameters!$B$55*A287)</f>
        <v>1.3935719316066698E-2</v>
      </c>
      <c r="R287" s="7">
        <f>IF(P287&gt;0,P287^(1-Parameters!$B$52)/(1-Parameters!$B$52)*Q287,-10+P287*1000)</f>
        <v>-3.7969197634365473E-2</v>
      </c>
      <c r="S287" s="7"/>
      <c r="T287" s="7"/>
      <c r="U287" s="7"/>
      <c r="V287" s="7"/>
    </row>
    <row r="288" spans="1:22" x14ac:dyDescent="0.25">
      <c r="A288">
        <f>A287+Parameters!$B$65</f>
        <v>284</v>
      </c>
      <c r="B288" s="9">
        <f t="shared" ref="B288:D288" si="128">B287</f>
        <v>5.191758263687303E-2</v>
      </c>
      <c r="C288" s="9">
        <f t="shared" si="128"/>
        <v>1.0017548050425843E-2</v>
      </c>
      <c r="D288" s="7">
        <f t="shared" si="128"/>
        <v>0.2959598429278244</v>
      </c>
      <c r="E288" s="7">
        <f>MAX((1-Parameters!$B$4)^Parameters!B$65*E287+B287*Parameters!B$65-Parameters!$B$5*B287^2/E287*Parameters!B$65,0.0001)</f>
        <v>0.76972609930991365</v>
      </c>
      <c r="F288" s="9">
        <f>MAX((1-Parameters!$B$4)^Parameters!B$65*F287+C287*Parameters!B$65-Parameters!$B$5*C287^2/F287*Parameters!B$65,0.0001)</f>
        <v>0.14851939927950958</v>
      </c>
      <c r="G288" s="7">
        <f>MAX((1-Parameters!$B$4)^Parameters!B$65*G287+D287*Parameters!B$65-Parameters!$B$5*D287^2/G287*Parameters!B$65,0.0001)</f>
        <v>4.3878779319302854</v>
      </c>
      <c r="I288" s="7">
        <f>I287*(1+Parameters!$B$51)^Parameters!B$65</f>
        <v>18.571947675944394</v>
      </c>
      <c r="J288" s="7">
        <f>J287*(1+Parameters!$B$53)^Parameters!B$65</f>
        <v>2507.3879159909302</v>
      </c>
      <c r="K288" s="7">
        <f>'6states'!$O$4</f>
        <v>0.98104277196026479</v>
      </c>
      <c r="L288" s="9">
        <f t="shared" si="109"/>
        <v>0.5</v>
      </c>
      <c r="N288" s="7">
        <f>(Parameters!$B$19*(E288+Parameters!$B$20)^L288+Parameters!$B$18*F288^L288)^(1/L288)</f>
        <v>0.53556370428920119</v>
      </c>
      <c r="O288" s="7">
        <f>(Parameters!$B$10*G288^Parameters!$B$9 + Parameters!$B$11*N288^Parameters!$B$9) ^ (Parameters!$B$7/Parameters!$B$9) * K288</f>
        <v>1.5032566481176555</v>
      </c>
      <c r="P288" s="7">
        <f t="shared" si="99"/>
        <v>1.1453616745025323</v>
      </c>
      <c r="Q288" s="7">
        <f>EXP(-Parameters!$B$55*A288)</f>
        <v>1.3726870729504735E-2</v>
      </c>
      <c r="R288" s="7">
        <f>IF(P288&gt;0,P288^(1-Parameters!$B$52)/(1-Parameters!$B$52)*Q288,-10+P288*1000)</f>
        <v>-3.7400169723097461E-2</v>
      </c>
      <c r="S288" s="7"/>
      <c r="T288" s="7"/>
      <c r="U288" s="7"/>
      <c r="V288" s="7"/>
    </row>
    <row r="289" spans="1:22" x14ac:dyDescent="0.25">
      <c r="A289">
        <f>A288+Parameters!$B$65</f>
        <v>285</v>
      </c>
      <c r="B289" s="9">
        <f t="shared" ref="B289:D289" si="129">B288</f>
        <v>5.191758263687303E-2</v>
      </c>
      <c r="C289" s="9">
        <f t="shared" si="129"/>
        <v>1.0017548050425843E-2</v>
      </c>
      <c r="D289" s="7">
        <f t="shared" si="129"/>
        <v>0.2959598429278244</v>
      </c>
      <c r="E289" s="7">
        <f>MAX((1-Parameters!$B$4)^Parameters!B$65*E288+B288*Parameters!B$65-Parameters!$B$5*B288^2/E288*Parameters!B$65,0.0001)</f>
        <v>0.76972609921535007</v>
      </c>
      <c r="F289" s="9">
        <f>MAX((1-Parameters!$B$4)^Parameters!B$65*F288+C288*Parameters!B$65-Parameters!$B$5*C288^2/F288*Parameters!B$65,0.0001)</f>
        <v>0.14851939926152333</v>
      </c>
      <c r="G289" s="7">
        <f>MAX((1-Parameters!$B$4)^Parameters!B$65*G288+D288*Parameters!B$65-Parameters!$B$5*D288^2/G288*Parameters!B$65,0.0001)</f>
        <v>4.3878779317482923</v>
      </c>
      <c r="I289" s="7">
        <f>I288*(1+Parameters!$B$51)^Parameters!B$65</f>
        <v>18.625806324204632</v>
      </c>
      <c r="J289" s="7">
        <f>J288*(1+Parameters!$B$53)^Parameters!B$65</f>
        <v>2557.5356743107486</v>
      </c>
      <c r="K289" s="7">
        <f>'6states'!$O$4</f>
        <v>0.98104277196026479</v>
      </c>
      <c r="L289" s="9">
        <f t="shared" si="109"/>
        <v>0.5</v>
      </c>
      <c r="N289" s="7">
        <f>(Parameters!$B$19*(E289+Parameters!$B$20)^L289+Parameters!$B$18*F289^L289)^(1/L289)</f>
        <v>0.53556370422426414</v>
      </c>
      <c r="O289" s="7">
        <f>(Parameters!$B$10*G289^Parameters!$B$9 + Parameters!$B$11*N289^Parameters!$B$9) ^ (Parameters!$B$7/Parameters!$B$9) * K289</f>
        <v>1.5032566480916982</v>
      </c>
      <c r="P289" s="7">
        <f t="shared" si="99"/>
        <v>1.1453616744765749</v>
      </c>
      <c r="Q289" s="7">
        <f>EXP(-Parameters!$B$55*A289)</f>
        <v>1.3521152066208289E-2</v>
      </c>
      <c r="R289" s="7">
        <f>IF(P289&gt;0,P289^(1-Parameters!$B$52)/(1-Parameters!$B$52)*Q289,-10+P289*1000)</f>
        <v>-3.6839669586533397E-2</v>
      </c>
      <c r="S289" s="7"/>
      <c r="T289" s="7"/>
      <c r="U289" s="7"/>
      <c r="V289" s="7"/>
    </row>
    <row r="290" spans="1:22" x14ac:dyDescent="0.25">
      <c r="A290">
        <f>A289+Parameters!$B$65</f>
        <v>286</v>
      </c>
      <c r="B290" s="9">
        <f t="shared" ref="B290:D290" si="130">B289</f>
        <v>5.191758263687303E-2</v>
      </c>
      <c r="C290" s="9">
        <f t="shared" si="130"/>
        <v>1.0017548050425843E-2</v>
      </c>
      <c r="D290" s="7">
        <f t="shared" si="130"/>
        <v>0.2959598429278244</v>
      </c>
      <c r="E290" s="7">
        <f>MAX((1-Parameters!$B$4)^Parameters!B$65*E289+B289*Parameters!B$65-Parameters!$B$5*B289^2/E289*Parameters!B$65,0.0001)</f>
        <v>0.7697260991263043</v>
      </c>
      <c r="F290" s="9">
        <f>MAX((1-Parameters!$B$4)^Parameters!B$65*F289+C289*Parameters!B$65-Parameters!$B$5*C289^2/F289*Parameters!B$65,0.0001)</f>
        <v>0.14851939924458657</v>
      </c>
      <c r="G290" s="7">
        <f>MAX((1-Parameters!$B$4)^Parameters!B$65*G289+D289*Parameters!B$65-Parameters!$B$5*D289^2/G289*Parameters!B$65,0.0001)</f>
        <v>4.3878779315769174</v>
      </c>
      <c r="I290" s="7">
        <f>I289*(1+Parameters!$B$51)^Parameters!B$65</f>
        <v>18.679821162544822</v>
      </c>
      <c r="J290" s="7">
        <f>J289*(1+Parameters!$B$53)^Parameters!B$65</f>
        <v>2608.6863877969636</v>
      </c>
      <c r="K290" s="7">
        <f>'6states'!$O$4</f>
        <v>0.98104277196026479</v>
      </c>
      <c r="L290" s="9">
        <f t="shared" si="109"/>
        <v>0.5</v>
      </c>
      <c r="N290" s="7">
        <f>(Parameters!$B$19*(E290+Parameters!$B$20)^L290+Parameters!$B$18*F290^L290)^(1/L290)</f>
        <v>0.53556370416311594</v>
      </c>
      <c r="O290" s="7">
        <f>(Parameters!$B$10*G290^Parameters!$B$9 + Parameters!$B$11*N290^Parameters!$B$9) ^ (Parameters!$B$7/Parameters!$B$9) * K290</f>
        <v>1.5032566480672553</v>
      </c>
      <c r="P290" s="7">
        <f t="shared" si="99"/>
        <v>1.1453616744521322</v>
      </c>
      <c r="Q290" s="7">
        <f>EXP(-Parameters!$B$55*A290)</f>
        <v>1.3318516419373662E-2</v>
      </c>
      <c r="R290" s="7">
        <f>IF(P290&gt;0,P290^(1-Parameters!$B$52)/(1-Parameters!$B$52)*Q290,-10+P290*1000)</f>
        <v>-3.6287569422610765E-2</v>
      </c>
      <c r="S290" s="7"/>
      <c r="T290" s="7"/>
      <c r="U290" s="7"/>
      <c r="V290" s="7"/>
    </row>
    <row r="291" spans="1:22" x14ac:dyDescent="0.25">
      <c r="A291">
        <f>A290+Parameters!$B$65</f>
        <v>287</v>
      </c>
      <c r="B291" s="9">
        <f t="shared" ref="B291:D291" si="131">B290</f>
        <v>5.191758263687303E-2</v>
      </c>
      <c r="C291" s="9">
        <f t="shared" si="131"/>
        <v>1.0017548050425843E-2</v>
      </c>
      <c r="D291" s="7">
        <f t="shared" si="131"/>
        <v>0.2959598429278244</v>
      </c>
      <c r="E291" s="7">
        <f>MAX((1-Parameters!$B$4)^Parameters!B$65*E290+B290*Parameters!B$65-Parameters!$B$5*B290^2/E290*Parameters!B$65,0.0001)</f>
        <v>0.76972609904245437</v>
      </c>
      <c r="F291" s="9">
        <f>MAX((1-Parameters!$B$4)^Parameters!B$65*F290+C290*Parameters!B$65-Parameters!$B$5*C290^2/F290*Parameters!B$65,0.0001)</f>
        <v>0.1485193992286381</v>
      </c>
      <c r="G291" s="7">
        <f>MAX((1-Parameters!$B$4)^Parameters!B$65*G290+D290*Parameters!B$65-Parameters!$B$5*D290^2/G290*Parameters!B$65,0.0001)</f>
        <v>4.3878779314155434</v>
      </c>
      <c r="I291" s="7">
        <f>I290*(1+Parameters!$B$51)^Parameters!B$65</f>
        <v>18.733992643916199</v>
      </c>
      <c r="J291" s="7">
        <f>J290*(1+Parameters!$B$53)^Parameters!B$65</f>
        <v>2660.8601155529027</v>
      </c>
      <c r="K291" s="7">
        <f>'6states'!$O$4</f>
        <v>0.98104277196026479</v>
      </c>
      <c r="L291" s="9">
        <f t="shared" si="109"/>
        <v>0.5</v>
      </c>
      <c r="N291" s="7">
        <f>(Parameters!$B$19*(E291+Parameters!$B$20)^L291+Parameters!$B$18*F291^L291)^(1/L291)</f>
        <v>0.53556370410553589</v>
      </c>
      <c r="O291" s="7">
        <f>(Parameters!$B$10*G291^Parameters!$B$9 + Parameters!$B$11*N291^Parameters!$B$9) ^ (Parameters!$B$7/Parameters!$B$9) * K291</f>
        <v>1.5032566480442391</v>
      </c>
      <c r="P291" s="7">
        <f t="shared" si="99"/>
        <v>1.145361674429116</v>
      </c>
      <c r="Q291" s="7">
        <f>EXP(-Parameters!$B$55*A291)</f>
        <v>1.3118917585169141E-2</v>
      </c>
      <c r="R291" s="7">
        <f>IF(P291&gt;0,P291^(1-Parameters!$B$52)/(1-Parameters!$B$52)*Q291,-10+P291*1000)</f>
        <v>-3.5743743344581198E-2</v>
      </c>
      <c r="S291" s="7"/>
      <c r="T291" s="7"/>
      <c r="U291" s="7"/>
      <c r="V291" s="7"/>
    </row>
    <row r="292" spans="1:22" x14ac:dyDescent="0.25">
      <c r="A292">
        <f>A291+Parameters!$B$65</f>
        <v>288</v>
      </c>
      <c r="B292" s="9">
        <f t="shared" ref="B292:D292" si="132">B291</f>
        <v>5.191758263687303E-2</v>
      </c>
      <c r="C292" s="9">
        <f t="shared" si="132"/>
        <v>1.0017548050425843E-2</v>
      </c>
      <c r="D292" s="7">
        <f t="shared" si="132"/>
        <v>0.2959598429278244</v>
      </c>
      <c r="E292" s="7">
        <f>MAX((1-Parameters!$B$4)^Parameters!B$65*E291+B291*Parameters!B$65-Parameters!$B$5*B291^2/E291*Parameters!B$65,0.0001)</f>
        <v>0.76972609896349709</v>
      </c>
      <c r="F292" s="9">
        <f>MAX((1-Parameters!$B$4)^Parameters!B$65*F291+C291*Parameters!B$65-Parameters!$B$5*C291^2/F291*Parameters!B$65,0.0001)</f>
        <v>0.14851939921362023</v>
      </c>
      <c r="G292" s="7">
        <f>MAX((1-Parameters!$B$4)^Parameters!B$65*G291+D291*Parameters!B$65-Parameters!$B$5*D291^2/G291*Parameters!B$65,0.0001)</f>
        <v>4.3878779312635849</v>
      </c>
      <c r="I292" s="7">
        <f>I291*(1+Parameters!$B$51)^Parameters!B$65</f>
        <v>18.788321222583555</v>
      </c>
      <c r="J292" s="7">
        <f>J291*(1+Parameters!$B$53)^Parameters!B$65</f>
        <v>2714.0773178639606</v>
      </c>
      <c r="K292" s="7">
        <f>'6states'!$O$4</f>
        <v>0.98104277196026479</v>
      </c>
      <c r="L292" s="9">
        <f t="shared" si="109"/>
        <v>0.5</v>
      </c>
      <c r="N292" s="7">
        <f>(Parameters!$B$19*(E292+Parameters!$B$20)^L292+Parameters!$B$18*F292^L292)^(1/L292)</f>
        <v>0.53556370405131581</v>
      </c>
      <c r="O292" s="7">
        <f>(Parameters!$B$10*G292^Parameters!$B$9 + Parameters!$B$11*N292^Parameters!$B$9) ^ (Parameters!$B$7/Parameters!$B$9) * K292</f>
        <v>1.5032566480225655</v>
      </c>
      <c r="P292" s="7">
        <f t="shared" si="99"/>
        <v>1.1453616744074422</v>
      </c>
      <c r="Q292" s="7">
        <f>EXP(-Parameters!$B$55*A292)</f>
        <v>1.2922310052199772E-2</v>
      </c>
      <c r="R292" s="7">
        <f>IF(P292&gt;0,P292^(1-Parameters!$B$52)/(1-Parameters!$B$52)*Q292,-10+P292*1000)</f>
        <v>-3.5208067352306201E-2</v>
      </c>
      <c r="S292" s="7"/>
      <c r="T292" s="7"/>
      <c r="U292" s="7"/>
      <c r="V292" s="7"/>
    </row>
    <row r="293" spans="1:22" x14ac:dyDescent="0.25">
      <c r="A293">
        <f>A292+Parameters!$B$65</f>
        <v>289</v>
      </c>
      <c r="B293" s="9">
        <f t="shared" ref="B293:D293" si="133">B292</f>
        <v>5.191758263687303E-2</v>
      </c>
      <c r="C293" s="9">
        <f t="shared" si="133"/>
        <v>1.0017548050425843E-2</v>
      </c>
      <c r="D293" s="7">
        <f t="shared" si="133"/>
        <v>0.2959598429278244</v>
      </c>
      <c r="E293" s="7">
        <f>MAX((1-Parameters!$B$4)^Parameters!B$65*E292+B292*Parameters!B$65-Parameters!$B$5*B292^2/E292*Parameters!B$65,0.0001)</f>
        <v>0.76972609888914711</v>
      </c>
      <c r="F293" s="9">
        <f>MAX((1-Parameters!$B$4)^Parameters!B$65*F292+C292*Parameters!B$65-Parameters!$B$5*C292^2/F292*Parameters!B$65,0.0001)</f>
        <v>0.14851939919947865</v>
      </c>
      <c r="G293" s="7">
        <f>MAX((1-Parameters!$B$4)^Parameters!B$65*G292+D292*Parameters!B$65-Parameters!$B$5*D292^2/G292*Parameters!B$65,0.0001)</f>
        <v>4.3878779311204941</v>
      </c>
      <c r="I293" s="7">
        <f>I292*(1+Parameters!$B$51)^Parameters!B$65</f>
        <v>18.842807354129047</v>
      </c>
      <c r="J293" s="7">
        <f>J292*(1+Parameters!$B$53)^Parameters!B$65</f>
        <v>2768.3588642212399</v>
      </c>
      <c r="K293" s="7">
        <f>'6states'!$O$4</f>
        <v>0.98104277196026479</v>
      </c>
      <c r="L293" s="9">
        <f t="shared" si="109"/>
        <v>0.5</v>
      </c>
      <c r="N293" s="7">
        <f>(Parameters!$B$19*(E293+Parameters!$B$20)^L293+Parameters!$B$18*F293^L293)^(1/L293)</f>
        <v>0.53556370400025932</v>
      </c>
      <c r="O293" s="7">
        <f>(Parameters!$B$10*G293^Parameters!$B$9 + Parameters!$B$11*N293^Parameters!$B$9) ^ (Parameters!$B$7/Parameters!$B$9) * K293</f>
        <v>1.503256648002157</v>
      </c>
      <c r="P293" s="7">
        <f t="shared" si="99"/>
        <v>1.1453616743870336</v>
      </c>
      <c r="Q293" s="7">
        <f>EXP(-Parameters!$B$55*A293)</f>
        <v>1.2728648991130187E-2</v>
      </c>
      <c r="R293" s="7">
        <f>IF(P293&gt;0,P293^(1-Parameters!$B$52)/(1-Parameters!$B$52)*Q293,-10+P293*1000)</f>
        <v>-3.4680419303983641E-2</v>
      </c>
      <c r="S293" s="7"/>
      <c r="T293" s="7"/>
      <c r="U293" s="7"/>
      <c r="V293" s="7"/>
    </row>
    <row r="294" spans="1:22" x14ac:dyDescent="0.25">
      <c r="A294">
        <f>A293+Parameters!$B$65</f>
        <v>290</v>
      </c>
      <c r="B294" s="9">
        <f t="shared" ref="B294:D294" si="134">B293</f>
        <v>5.191758263687303E-2</v>
      </c>
      <c r="C294" s="9">
        <f t="shared" si="134"/>
        <v>1.0017548050425843E-2</v>
      </c>
      <c r="D294" s="7">
        <f t="shared" si="134"/>
        <v>0.2959598429278244</v>
      </c>
      <c r="E294" s="7">
        <f>MAX((1-Parameters!$B$4)^Parameters!B$65*E293+B293*Parameters!B$65-Parameters!$B$5*B293^2/E293*Parameters!B$65,0.0001)</f>
        <v>0.76972609881913545</v>
      </c>
      <c r="F294" s="9">
        <f>MAX((1-Parameters!$B$4)^Parameters!B$65*F293+C293*Parameters!B$65-Parameters!$B$5*C293^2/F293*Parameters!B$65,0.0001)</f>
        <v>0.14851939918616225</v>
      </c>
      <c r="G294" s="7">
        <f>MAX((1-Parameters!$B$4)^Parameters!B$65*G293+D293*Parameters!B$65-Parameters!$B$5*D293^2/G293*Parameters!B$65,0.0001)</f>
        <v>4.3878779309857521</v>
      </c>
      <c r="I294" s="7">
        <f>I293*(1+Parameters!$B$51)^Parameters!B$65</f>
        <v>18.897451495456018</v>
      </c>
      <c r="J294" s="7">
        <f>J293*(1+Parameters!$B$53)^Parameters!B$65</f>
        <v>2823.7260415056649</v>
      </c>
      <c r="K294" s="7">
        <f>'6states'!$O$4</f>
        <v>0.98104277196026479</v>
      </c>
      <c r="L294" s="9">
        <f t="shared" si="109"/>
        <v>0.5</v>
      </c>
      <c r="N294" s="7">
        <f>(Parameters!$B$19*(E294+Parameters!$B$20)^L294+Parameters!$B$18*F294^L294)^(1/L294)</f>
        <v>0.535563703952182</v>
      </c>
      <c r="O294" s="7">
        <f>(Parameters!$B$10*G294^Parameters!$B$9 + Parameters!$B$11*N294^Parameters!$B$9) ^ (Parameters!$B$7/Parameters!$B$9) * K294</f>
        <v>1.5032566479829388</v>
      </c>
      <c r="P294" s="7">
        <f t="shared" si="99"/>
        <v>1.1453616743678157</v>
      </c>
      <c r="Q294" s="7">
        <f>EXP(-Parameters!$B$55*A294)</f>
        <v>1.2537890244462845E-2</v>
      </c>
      <c r="R294" s="7">
        <f>IF(P294&gt;0,P294^(1-Parameters!$B$52)/(1-Parameters!$B$52)*Q294,-10+P294*1000)</f>
        <v>-3.416067888829756E-2</v>
      </c>
      <c r="S294" s="7"/>
      <c r="T294" s="7"/>
      <c r="U294" s="7"/>
      <c r="V294" s="7"/>
    </row>
    <row r="295" spans="1:22" x14ac:dyDescent="0.25">
      <c r="A295">
        <f>A294+Parameters!$B$65</f>
        <v>291</v>
      </c>
      <c r="B295" s="9">
        <f t="shared" ref="B295:D295" si="135">B294</f>
        <v>5.191758263687303E-2</v>
      </c>
      <c r="C295" s="9">
        <f t="shared" si="135"/>
        <v>1.0017548050425843E-2</v>
      </c>
      <c r="D295" s="7">
        <f t="shared" si="135"/>
        <v>0.2959598429278244</v>
      </c>
      <c r="E295" s="7">
        <f>MAX((1-Parameters!$B$4)^Parameters!B$65*E294+B294*Parameters!B$65-Parameters!$B$5*B294^2/E294*Parameters!B$65,0.0001)</f>
        <v>0.76972609875320896</v>
      </c>
      <c r="F295" s="9">
        <f>MAX((1-Parameters!$B$4)^Parameters!B$65*F294+C294*Parameters!B$65-Parameters!$B$5*C294^2/F294*Parameters!B$65,0.0001)</f>
        <v>0.14851939917362283</v>
      </c>
      <c r="G295" s="7">
        <f>MAX((1-Parameters!$B$4)^Parameters!B$65*G294+D294*Parameters!B$65-Parameters!$B$5*D294^2/G294*Parameters!B$65,0.0001)</f>
        <v>4.3878779308588722</v>
      </c>
      <c r="I295" s="7">
        <f>I294*(1+Parameters!$B$51)^Parameters!B$65</f>
        <v>18.952254104792839</v>
      </c>
      <c r="J295" s="7">
        <f>J294*(1+Parameters!$B$53)^Parameters!B$65</f>
        <v>2880.2005623357782</v>
      </c>
      <c r="K295" s="7">
        <f>'6states'!$O$4</f>
        <v>0.98104277196026479</v>
      </c>
      <c r="L295" s="9">
        <f t="shared" si="109"/>
        <v>0.5</v>
      </c>
      <c r="N295" s="7">
        <f>(Parameters!$B$19*(E295+Parameters!$B$20)^L295+Parameters!$B$18*F295^L295)^(1/L295)</f>
        <v>0.5355637039069101</v>
      </c>
      <c r="O295" s="7">
        <f>(Parameters!$B$10*G295^Parameters!$B$9 + Parameters!$B$11*N295^Parameters!$B$9) ^ (Parameters!$B$7/Parameters!$B$9) * K295</f>
        <v>1.5032566479648424</v>
      </c>
      <c r="P295" s="7">
        <f t="shared" si="99"/>
        <v>1.145361674349719</v>
      </c>
      <c r="Q295" s="7">
        <f>EXP(-Parameters!$B$55*A295)</f>
        <v>1.234999031646945E-2</v>
      </c>
      <c r="R295" s="7">
        <f>IF(P295&gt;0,P295^(1-Parameters!$B$52)/(1-Parameters!$B$52)*Q295,-10+P295*1000)</f>
        <v>-3.3648727596985339E-2</v>
      </c>
      <c r="S295" s="7"/>
      <c r="T295" s="7"/>
      <c r="U295" s="7"/>
      <c r="V295" s="7"/>
    </row>
    <row r="296" spans="1:22" x14ac:dyDescent="0.25">
      <c r="A296">
        <f>A295+Parameters!$B$65</f>
        <v>292</v>
      </c>
      <c r="B296" s="9">
        <f t="shared" ref="B296:D296" si="136">B295</f>
        <v>5.191758263687303E-2</v>
      </c>
      <c r="C296" s="9">
        <f t="shared" si="136"/>
        <v>1.0017548050425843E-2</v>
      </c>
      <c r="D296" s="7">
        <f t="shared" si="136"/>
        <v>0.2959598429278244</v>
      </c>
      <c r="E296" s="7">
        <f>MAX((1-Parameters!$B$4)^Parameters!B$65*E295+B295*Parameters!B$65-Parameters!$B$5*B295^2/E295*Parameters!B$65,0.0001)</f>
        <v>0.7697260986911294</v>
      </c>
      <c r="F296" s="9">
        <f>MAX((1-Parameters!$B$4)^Parameters!B$65*F295+C295*Parameters!B$65-Parameters!$B$5*C295^2/F295*Parameters!B$65,0.0001)</f>
        <v>0.14851939916181511</v>
      </c>
      <c r="G296" s="7">
        <f>MAX((1-Parameters!$B$4)^Parameters!B$65*G295+D295*Parameters!B$65-Parameters!$B$5*D295^2/G295*Parameters!B$65,0.0001)</f>
        <v>4.3878779307393962</v>
      </c>
      <c r="I296" s="7">
        <f>I295*(1+Parameters!$B$51)^Parameters!B$65</f>
        <v>19.007215641696735</v>
      </c>
      <c r="J296" s="7">
        <f>J295*(1+Parameters!$B$53)^Parameters!B$65</f>
        <v>2937.804573582494</v>
      </c>
      <c r="K296" s="7">
        <f>'6states'!$O$4</f>
        <v>0.98104277196026479</v>
      </c>
      <c r="L296" s="9">
        <f t="shared" si="109"/>
        <v>0.5</v>
      </c>
      <c r="N296" s="7">
        <f>(Parameters!$B$19*(E296+Parameters!$B$20)^L296+Parameters!$B$18*F296^L296)^(1/L296)</f>
        <v>0.53556370386427976</v>
      </c>
      <c r="O296" s="7">
        <f>(Parameters!$B$10*G296^Parameters!$B$9 + Parameters!$B$11*N296^Parameters!$B$9) ^ (Parameters!$B$7/Parameters!$B$9) * K296</f>
        <v>1.5032566479478018</v>
      </c>
      <c r="P296" s="7">
        <f t="shared" si="99"/>
        <v>1.1453616743326784</v>
      </c>
      <c r="Q296" s="7">
        <f>EXP(-Parameters!$B$55*A296)</f>
        <v>1.2164906363273381E-2</v>
      </c>
      <c r="R296" s="7">
        <f>IF(P296&gt;0,P296^(1-Parameters!$B$52)/(1-Parameters!$B$52)*Q296,-10+P296*1000)</f>
        <v>-3.3144448697816409E-2</v>
      </c>
      <c r="S296" s="7"/>
      <c r="T296" s="7"/>
      <c r="U296" s="7"/>
      <c r="V296" s="7"/>
    </row>
    <row r="297" spans="1:22" x14ac:dyDescent="0.25">
      <c r="A297">
        <f>A296+Parameters!$B$65</f>
        <v>293</v>
      </c>
      <c r="B297" s="9">
        <f t="shared" ref="B297:D297" si="137">B296</f>
        <v>5.191758263687303E-2</v>
      </c>
      <c r="C297" s="9">
        <f t="shared" si="137"/>
        <v>1.0017548050425843E-2</v>
      </c>
      <c r="D297" s="7">
        <f t="shared" si="137"/>
        <v>0.2959598429278244</v>
      </c>
      <c r="E297" s="7">
        <f>MAX((1-Parameters!$B$4)^Parameters!B$65*E296+B296*Parameters!B$65-Parameters!$B$5*B296^2/E296*Parameters!B$65,0.0001)</f>
        <v>0.76972609863267227</v>
      </c>
      <c r="F297" s="9">
        <f>MAX((1-Parameters!$B$4)^Parameters!B$65*F296+C296*Parameters!B$65-Parameters!$B$5*C296^2/F296*Parameters!B$65,0.0001)</f>
        <v>0.1485193991506964</v>
      </c>
      <c r="G297" s="7">
        <f>MAX((1-Parameters!$B$4)^Parameters!B$65*G296+D296*Parameters!B$65-Parameters!$B$5*D296^2/G296*Parameters!B$65,0.0001)</f>
        <v>4.3878779306268916</v>
      </c>
      <c r="I297" s="7">
        <f>I296*(1+Parameters!$B$51)^Parameters!B$65</f>
        <v>19.062336567057653</v>
      </c>
      <c r="J297" s="7">
        <f>J296*(1+Parameters!$B$53)^Parameters!B$65</f>
        <v>2996.560665054144</v>
      </c>
      <c r="K297" s="7">
        <f>'6states'!$O$4</f>
        <v>0.98104277196026479</v>
      </c>
      <c r="L297" s="9">
        <f t="shared" si="109"/>
        <v>0.5</v>
      </c>
      <c r="N297" s="7">
        <f>(Parameters!$B$19*(E297+Parameters!$B$20)^L297+Parameters!$B$18*F297^L297)^(1/L297)</f>
        <v>0.53556370382413709</v>
      </c>
      <c r="O297" s="7">
        <f>(Parameters!$B$10*G297^Parameters!$B$9 + Parameters!$B$11*N297^Parameters!$B$9) ^ (Parameters!$B$7/Parameters!$B$9) * K297</f>
        <v>1.5032566479317555</v>
      </c>
      <c r="P297" s="7">
        <f t="shared" si="99"/>
        <v>1.1453616743166322</v>
      </c>
      <c r="Q297" s="7">
        <f>EXP(-Parameters!$B$55*A297)</f>
        <v>1.198259618308059E-2</v>
      </c>
      <c r="R297" s="7">
        <f>IF(P297&gt;0,P297^(1-Parameters!$B$52)/(1-Parameters!$B$52)*Q297,-10+P297*1000)</f>
        <v>-3.2647727207975347E-2</v>
      </c>
      <c r="S297" s="7"/>
      <c r="T297" s="7"/>
      <c r="U297" s="7"/>
      <c r="V297" s="7"/>
    </row>
    <row r="298" spans="1:22" x14ac:dyDescent="0.25">
      <c r="A298">
        <f>A297+Parameters!$B$65</f>
        <v>294</v>
      </c>
      <c r="B298" s="9">
        <f t="shared" ref="B298:D298" si="138">B297</f>
        <v>5.191758263687303E-2</v>
      </c>
      <c r="C298" s="9">
        <f t="shared" si="138"/>
        <v>1.0017548050425843E-2</v>
      </c>
      <c r="D298" s="7">
        <f t="shared" si="138"/>
        <v>0.2959598429278244</v>
      </c>
      <c r="E298" s="7">
        <f>MAX((1-Parameters!$B$4)^Parameters!B$65*E297+B297*Parameters!B$65-Parameters!$B$5*B297^2/E297*Parameters!B$65,0.0001)</f>
        <v>0.76972609857762608</v>
      </c>
      <c r="F298" s="9">
        <f>MAX((1-Parameters!$B$4)^Parameters!B$65*F297+C297*Parameters!B$65-Parameters!$B$5*C297^2/F297*Parameters!B$65,0.0001)</f>
        <v>0.14851939914022647</v>
      </c>
      <c r="G298" s="7">
        <f>MAX((1-Parameters!$B$4)^Parameters!B$65*G297+D297*Parameters!B$65-Parameters!$B$5*D297^2/G297*Parameters!B$65,0.0001)</f>
        <v>4.3878779305209514</v>
      </c>
      <c r="I298" s="7">
        <f>I297*(1+Parameters!$B$51)^Parameters!B$65</f>
        <v>19.117617343102118</v>
      </c>
      <c r="J298" s="7">
        <f>J297*(1+Parameters!$B$53)^Parameters!B$65</f>
        <v>3056.4918783552271</v>
      </c>
      <c r="K298" s="7">
        <f>'6states'!$O$4</f>
        <v>0.98104277196026479</v>
      </c>
      <c r="L298" s="9">
        <f t="shared" si="109"/>
        <v>0.5</v>
      </c>
      <c r="N298" s="7">
        <f>(Parameters!$B$19*(E298+Parameters!$B$20)^L298+Parameters!$B$18*F298^L298)^(1/L298)</f>
        <v>0.53556370378633689</v>
      </c>
      <c r="O298" s="7">
        <f>(Parameters!$B$10*G298^Parameters!$B$9 + Parameters!$B$11*N298^Parameters!$B$9) ^ (Parameters!$B$7/Parameters!$B$9) * K298</f>
        <v>1.5032566479166456</v>
      </c>
      <c r="P298" s="7">
        <f t="shared" si="99"/>
        <v>1.1453616743015225</v>
      </c>
      <c r="Q298" s="7">
        <f>EXP(-Parameters!$B$55*A298)</f>
        <v>1.1803018206557056E-2</v>
      </c>
      <c r="R298" s="7">
        <f>IF(P298&gt;0,P298^(1-Parameters!$B$52)/(1-Parameters!$B$52)*Q298,-10+P298*1000)</f>
        <v>-3.2158449867844364E-2</v>
      </c>
      <c r="S298" s="7"/>
      <c r="T298" s="7"/>
      <c r="U298" s="7"/>
      <c r="V298" s="7"/>
    </row>
    <row r="299" spans="1:22" x14ac:dyDescent="0.25">
      <c r="A299">
        <f>A298+Parameters!$B$65</f>
        <v>295</v>
      </c>
      <c r="B299" s="9">
        <f t="shared" ref="B299:D299" si="139">B298</f>
        <v>5.191758263687303E-2</v>
      </c>
      <c r="C299" s="9">
        <f t="shared" si="139"/>
        <v>1.0017548050425843E-2</v>
      </c>
      <c r="D299" s="7">
        <f t="shared" si="139"/>
        <v>0.2959598429278244</v>
      </c>
      <c r="E299" s="7">
        <f>MAX((1-Parameters!$B$4)^Parameters!B$65*E298+B298*Parameters!B$65-Parameters!$B$5*B298^2/E298*Parameters!B$65,0.0001)</f>
        <v>0.76972609852579188</v>
      </c>
      <c r="F299" s="9">
        <f>MAX((1-Parameters!$B$4)^Parameters!B$65*F298+C298*Parameters!B$65-Parameters!$B$5*C298^2/F298*Parameters!B$65,0.0001)</f>
        <v>0.14851939913036746</v>
      </c>
      <c r="G299" s="7">
        <f>MAX((1-Parameters!$B$4)^Parameters!B$65*G298+D298*Parameters!B$65-Parameters!$B$5*D298^2/G298*Parameters!B$65,0.0001)</f>
        <v>4.3878779304211939</v>
      </c>
      <c r="I299" s="7">
        <f>I298*(1+Parameters!$B$51)^Parameters!B$65</f>
        <v>19.173058433397113</v>
      </c>
      <c r="J299" s="7">
        <f>J298*(1+Parameters!$B$53)^Parameters!B$65</f>
        <v>3117.6217159223315</v>
      </c>
      <c r="K299" s="7">
        <f>'6states'!$O$4</f>
        <v>0.98104277196026479</v>
      </c>
      <c r="L299" s="9">
        <f t="shared" si="109"/>
        <v>0.5</v>
      </c>
      <c r="N299" s="7">
        <f>(Parameters!$B$19*(E299+Parameters!$B$20)^L299+Parameters!$B$18*F299^L299)^(1/L299)</f>
        <v>0.53556370375074203</v>
      </c>
      <c r="O299" s="7">
        <f>(Parameters!$B$10*G299^Parameters!$B$9 + Parameters!$B$11*N299^Parameters!$B$9) ^ (Parameters!$B$7/Parameters!$B$9) * K299</f>
        <v>1.5032566479024174</v>
      </c>
      <c r="P299" s="7">
        <f t="shared" si="99"/>
        <v>1.1453616742872943</v>
      </c>
      <c r="Q299" s="7">
        <f>EXP(-Parameters!$B$55*A299)</f>
        <v>1.1626131487350361E-2</v>
      </c>
      <c r="R299" s="7">
        <f>IF(P299&gt;0,P299^(1-Parameters!$B$52)/(1-Parameters!$B$52)*Q299,-10+P299*1000)</f>
        <v>-3.1676505115178451E-2</v>
      </c>
      <c r="S299" s="7"/>
      <c r="T299" s="7"/>
      <c r="U299" s="7"/>
      <c r="V299" s="7"/>
    </row>
    <row r="300" spans="1:22" x14ac:dyDescent="0.25">
      <c r="A300">
        <f>A299+Parameters!$B$65</f>
        <v>296</v>
      </c>
      <c r="B300" s="9">
        <f t="shared" ref="B300:D300" si="140">B299</f>
        <v>5.191758263687303E-2</v>
      </c>
      <c r="C300" s="9">
        <f t="shared" si="140"/>
        <v>1.0017548050425843E-2</v>
      </c>
      <c r="D300" s="7">
        <f t="shared" si="140"/>
        <v>0.2959598429278244</v>
      </c>
      <c r="E300" s="7">
        <f>MAX((1-Parameters!$B$4)^Parameters!B$65*E299+B299*Parameters!B$65-Parameters!$B$5*B299^2/E299*Parameters!B$65,0.0001)</f>
        <v>0.76972609847698226</v>
      </c>
      <c r="F300" s="9">
        <f>MAX((1-Parameters!$B$4)^Parameters!B$65*F299+C299*Parameters!B$65-Parameters!$B$5*C299^2/F299*Parameters!B$65,0.0001)</f>
        <v>0.14851939912108372</v>
      </c>
      <c r="G300" s="7">
        <f>MAX((1-Parameters!$B$4)^Parameters!B$65*G299+D299*Parameters!B$65-Parameters!$B$5*D299^2/G299*Parameters!B$65,0.0001)</f>
        <v>4.3878779303272566</v>
      </c>
      <c r="I300" s="7">
        <f>I299*(1+Parameters!$B$51)^Parameters!B$65</f>
        <v>19.228660302853964</v>
      </c>
      <c r="J300" s="7">
        <f>J299*(1+Parameters!$B$53)^Parameters!B$65</f>
        <v>3179.9741502407783</v>
      </c>
      <c r="K300" s="7">
        <f>'6states'!$O$4</f>
        <v>0.98104277196026479</v>
      </c>
      <c r="L300" s="9">
        <f t="shared" si="109"/>
        <v>0.5</v>
      </c>
      <c r="N300" s="7">
        <f>(Parameters!$B$19*(E300+Parameters!$B$20)^L300+Parameters!$B$18*F300^L300)^(1/L300)</f>
        <v>0.53556370371722417</v>
      </c>
      <c r="O300" s="7">
        <f>(Parameters!$B$10*G300^Parameters!$B$9 + Parameters!$B$11*N300^Parameters!$B$9) ^ (Parameters!$B$7/Parameters!$B$9) * K300</f>
        <v>1.5032566478890192</v>
      </c>
      <c r="P300" s="7">
        <f t="shared" si="99"/>
        <v>1.1453616742738961</v>
      </c>
      <c r="Q300" s="7">
        <f>EXP(-Parameters!$B$55*A300)</f>
        <v>1.1451895692753287E-2</v>
      </c>
      <c r="R300" s="7">
        <f>IF(P300&gt;0,P300^(1-Parameters!$B$52)/(1-Parameters!$B$52)*Q300,-10+P300*1000)</f>
        <v>-3.1201783059667452E-2</v>
      </c>
      <c r="S300" s="7"/>
      <c r="T300" s="7"/>
      <c r="U300" s="7"/>
      <c r="V300" s="7"/>
    </row>
    <row r="301" spans="1:22" x14ac:dyDescent="0.25">
      <c r="A301">
        <f>A300+Parameters!$B$65</f>
        <v>297</v>
      </c>
      <c r="B301" s="9">
        <f t="shared" ref="B301:D301" si="141">B300</f>
        <v>5.191758263687303E-2</v>
      </c>
      <c r="C301" s="9">
        <f t="shared" si="141"/>
        <v>1.0017548050425843E-2</v>
      </c>
      <c r="D301" s="7">
        <f t="shared" si="141"/>
        <v>0.2959598429278244</v>
      </c>
      <c r="E301" s="7">
        <f>MAX((1-Parameters!$B$4)^Parameters!B$65*E300+B300*Parameters!B$65-Parameters!$B$5*B300^2/E300*Parameters!B$65,0.0001)</f>
        <v>0.76972609843102058</v>
      </c>
      <c r="F301" s="9">
        <f>MAX((1-Parameters!$B$4)^Parameters!B$65*F300+C300*Parameters!B$65-Parameters!$B$5*C300^2/F300*Parameters!B$65,0.0001)</f>
        <v>0.14851939911234169</v>
      </c>
      <c r="G301" s="7">
        <f>MAX((1-Parameters!$B$4)^Parameters!B$65*G300+D300*Parameters!B$65-Parameters!$B$5*D300^2/G300*Parameters!B$65,0.0001)</f>
        <v>4.3878779302388011</v>
      </c>
      <c r="I301" s="7">
        <f>I300*(1+Parameters!$B$51)^Parameters!B$65</f>
        <v>19.284423417732238</v>
      </c>
      <c r="J301" s="7">
        <f>J300*(1+Parameters!$B$53)^Parameters!B$65</f>
        <v>3243.573633245594</v>
      </c>
      <c r="K301" s="7">
        <f>'6states'!$O$4</f>
        <v>0.98104277196026479</v>
      </c>
      <c r="L301" s="9">
        <f t="shared" si="109"/>
        <v>0.5</v>
      </c>
      <c r="N301" s="7">
        <f>(Parameters!$B$19*(E301+Parameters!$B$20)^L301+Parameters!$B$18*F301^L301)^(1/L301)</f>
        <v>0.5355637036856622</v>
      </c>
      <c r="O301" s="7">
        <f>(Parameters!$B$10*G301^Parameters!$B$9 + Parameters!$B$11*N301^Parameters!$B$9) ^ (Parameters!$B$7/Parameters!$B$9) * K301</f>
        <v>1.5032566478764031</v>
      </c>
      <c r="P301" s="7">
        <f t="shared" si="99"/>
        <v>1.14536167426128</v>
      </c>
      <c r="Q301" s="7">
        <f>EXP(-Parameters!$B$55*A301)</f>
        <v>1.1280271094507461E-2</v>
      </c>
      <c r="R301" s="7">
        <f>IF(P301&gt;0,P301^(1-Parameters!$B$52)/(1-Parameters!$B$52)*Q301,-10+P301*1000)</f>
        <v>-3.0734175457879688E-2</v>
      </c>
      <c r="S301" s="7"/>
      <c r="T301" s="7"/>
      <c r="U301" s="7"/>
      <c r="V301" s="7"/>
    </row>
    <row r="302" spans="1:22" x14ac:dyDescent="0.25">
      <c r="A302">
        <f>A301+Parameters!$B$65</f>
        <v>298</v>
      </c>
      <c r="B302" s="9">
        <f t="shared" ref="B302:D302" si="142">B301</f>
        <v>5.191758263687303E-2</v>
      </c>
      <c r="C302" s="9">
        <f t="shared" si="142"/>
        <v>1.0017548050425843E-2</v>
      </c>
      <c r="D302" s="7">
        <f t="shared" si="142"/>
        <v>0.2959598429278244</v>
      </c>
      <c r="E302" s="7">
        <f>MAX((1-Parameters!$B$4)^Parameters!B$65*E301+B301*Parameters!B$65-Parameters!$B$5*B301^2/E301*Parameters!B$65,0.0001)</f>
        <v>0.76972609838774086</v>
      </c>
      <c r="F302" s="9">
        <f>MAX((1-Parameters!$B$4)^Parameters!B$65*F301+C301*Parameters!B$65-Parameters!$B$5*C301^2/F301*Parameters!B$65,0.0001)</f>
        <v>0.14851939910410974</v>
      </c>
      <c r="G302" s="7">
        <f>MAX((1-Parameters!$B$4)^Parameters!B$65*G301+D301*Parameters!B$65-Parameters!$B$5*D301^2/G301*Parameters!B$65,0.0001)</f>
        <v>4.387877930155506</v>
      </c>
      <c r="I302" s="7">
        <f>I301*(1+Parameters!$B$51)^Parameters!B$65</f>
        <v>19.340348245643661</v>
      </c>
      <c r="J302" s="7">
        <f>J301*(1+Parameters!$B$53)^Parameters!B$65</f>
        <v>3308.4451059105058</v>
      </c>
      <c r="K302" s="7">
        <f>'6states'!$O$4</f>
        <v>0.98104277196026479</v>
      </c>
      <c r="L302" s="9">
        <f t="shared" si="109"/>
        <v>0.5</v>
      </c>
      <c r="N302" s="7">
        <f>(Parameters!$B$19*(E302+Parameters!$B$20)^L302+Parameters!$B$18*F302^L302)^(1/L302)</f>
        <v>0.53556370365594186</v>
      </c>
      <c r="O302" s="7">
        <f>(Parameters!$B$10*G302^Parameters!$B$9 + Parameters!$B$11*N302^Parameters!$B$9) ^ (Parameters!$B$7/Parameters!$B$9) * K302</f>
        <v>1.5032566478645231</v>
      </c>
      <c r="P302" s="7">
        <f t="shared" si="99"/>
        <v>1.1453616742493997</v>
      </c>
      <c r="Q302" s="7">
        <f>EXP(-Parameters!$B$55*A302)</f>
        <v>1.1111218559744694E-2</v>
      </c>
      <c r="R302" s="7">
        <f>IF(P302&gt;0,P302^(1-Parameters!$B$52)/(1-Parameters!$B$52)*Q302,-10+P302*1000)</f>
        <v>-3.0273575688580853E-2</v>
      </c>
      <c r="S302" s="7"/>
      <c r="T302" s="7"/>
      <c r="U302" s="7"/>
      <c r="V302" s="7"/>
    </row>
    <row r="303" spans="1:22" x14ac:dyDescent="0.25">
      <c r="A303">
        <f>A302+Parameters!$B$65</f>
        <v>299</v>
      </c>
      <c r="B303" s="9">
        <f t="shared" ref="B303:D303" si="143">B302</f>
        <v>5.191758263687303E-2</v>
      </c>
      <c r="C303" s="9">
        <f t="shared" si="143"/>
        <v>1.0017548050425843E-2</v>
      </c>
      <c r="D303" s="7">
        <f t="shared" si="143"/>
        <v>0.2959598429278244</v>
      </c>
      <c r="E303" s="7">
        <f>MAX((1-Parameters!$B$4)^Parameters!B$65*E302+B302*Parameters!B$65-Parameters!$B$5*B302^2/E302*Parameters!B$65,0.0001)</f>
        <v>0.76972609834698658</v>
      </c>
      <c r="F303" s="9">
        <f>MAX((1-Parameters!$B$4)^Parameters!B$65*F302+C302*Parameters!B$65-Parameters!$B$5*C302^2/F302*Parameters!B$65,0.0001)</f>
        <v>0.14851939909635817</v>
      </c>
      <c r="G303" s="7">
        <f>MAX((1-Parameters!$B$4)^Parameters!B$65*G302+D302*Parameters!B$65-Parameters!$B$5*D302^2/G302*Parameters!B$65,0.0001)</f>
        <v>4.3878779300770718</v>
      </c>
      <c r="I303" s="7">
        <f>I302*(1+Parameters!$B$51)^Parameters!B$65</f>
        <v>19.396435255556025</v>
      </c>
      <c r="J303" s="7">
        <f>J302*(1+Parameters!$B$53)^Parameters!B$65</f>
        <v>3374.6140080287159</v>
      </c>
      <c r="K303" s="7">
        <f>'6states'!$O$4</f>
        <v>0.98104277196026479</v>
      </c>
      <c r="L303" s="9">
        <f t="shared" si="109"/>
        <v>0.5</v>
      </c>
      <c r="N303" s="7">
        <f>(Parameters!$B$19*(E303+Parameters!$B$20)^L303+Parameters!$B$18*F303^L303)^(1/L303)</f>
        <v>0.5355637036279558</v>
      </c>
      <c r="O303" s="7">
        <f>(Parameters!$B$10*G303^Parameters!$B$9 + Parameters!$B$11*N303^Parameters!$B$9) ^ (Parameters!$B$7/Parameters!$B$9) * K303</f>
        <v>1.503256647853336</v>
      </c>
      <c r="P303" s="7">
        <f t="shared" si="99"/>
        <v>1.1453616742382127</v>
      </c>
      <c r="Q303" s="7">
        <f>EXP(-Parameters!$B$55*A303)</f>
        <v>1.0944699542064111E-2</v>
      </c>
      <c r="R303" s="7">
        <f>IF(P303&gt;0,P303^(1-Parameters!$B$52)/(1-Parameters!$B$52)*Q303,-10+P303*1000)</f>
        <v>-2.9819878728422743E-2</v>
      </c>
      <c r="S303" s="7"/>
      <c r="T303" s="7"/>
      <c r="U303" s="7"/>
      <c r="V303" s="7"/>
    </row>
    <row r="304" spans="1:22" x14ac:dyDescent="0.25">
      <c r="A304">
        <f>A303+Parameters!$B$65</f>
        <v>300</v>
      </c>
      <c r="B304" s="9">
        <f t="shared" ref="B304:D304" si="144">B303</f>
        <v>5.191758263687303E-2</v>
      </c>
      <c r="C304" s="9">
        <f t="shared" si="144"/>
        <v>1.0017548050425843E-2</v>
      </c>
      <c r="D304" s="7">
        <f t="shared" si="144"/>
        <v>0.2959598429278244</v>
      </c>
      <c r="E304" s="7">
        <f>MAX((1-Parameters!$B$4)^Parameters!B$65*E303+B303*Parameters!B$65-Parameters!$B$5*B303^2/E303*Parameters!B$65,0.0001)</f>
        <v>0.76972609830861038</v>
      </c>
      <c r="F304" s="9">
        <f>MAX((1-Parameters!$B$4)^Parameters!B$65*F303+C303*Parameters!B$65-Parameters!$B$5*C303^2/F303*Parameters!B$65,0.0001)</f>
        <v>0.1485193990890589</v>
      </c>
      <c r="G304" s="7">
        <f>MAX((1-Parameters!$B$4)^Parameters!B$65*G303+D303*Parameters!B$65-Parameters!$B$5*D303^2/G303*Parameters!B$65,0.0001)</f>
        <v>4.3878779300032145</v>
      </c>
      <c r="I304" s="7">
        <f>I303*(1+Parameters!$B$51)^Parameters!B$65</f>
        <v>19.452684917797136</v>
      </c>
      <c r="J304" s="7">
        <f>J303*(1+Parameters!$B$53)^Parameters!B$65</f>
        <v>3442.1062881892904</v>
      </c>
      <c r="K304" s="7">
        <f>'6states'!$O$4</f>
        <v>0.98104277196026479</v>
      </c>
      <c r="L304" s="9">
        <f t="shared" si="109"/>
        <v>0.5</v>
      </c>
      <c r="N304" s="7">
        <f>(Parameters!$B$19*(E304+Parameters!$B$20)^L304+Parameters!$B$18*F304^L304)^(1/L304)</f>
        <v>0.53556370360160277</v>
      </c>
      <c r="O304" s="7">
        <f>(Parameters!$B$10*G304^Parameters!$B$9 + Parameters!$B$11*N304^Parameters!$B$9) ^ (Parameters!$B$7/Parameters!$B$9) * K304</f>
        <v>1.503256647842802</v>
      </c>
      <c r="P304" s="7">
        <f t="shared" si="99"/>
        <v>1.1453616742276789</v>
      </c>
      <c r="Q304" s="7">
        <f>EXP(-Parameters!$B$55*A304)</f>
        <v>1.0780676072743073E-2</v>
      </c>
      <c r="R304" s="7">
        <f>IF(P304&gt;0,P304^(1-Parameters!$B$52)/(1-Parameters!$B$52)*Q304/Parameters!$B$55,-10+P304*1000)</f>
        <v>-1.9452305382779191</v>
      </c>
      <c r="S304" s="7"/>
      <c r="T304" s="7"/>
      <c r="U304" s="7"/>
      <c r="V304" s="7"/>
    </row>
    <row r="305" spans="2:22" x14ac:dyDescent="0.25">
      <c r="B305" s="9"/>
      <c r="C305" s="9"/>
      <c r="D305" s="7"/>
      <c r="E305" s="7"/>
      <c r="F305" s="9"/>
      <c r="G305" s="7"/>
      <c r="I305" s="7"/>
      <c r="J305" s="7"/>
      <c r="K305" s="7"/>
      <c r="L305" s="9"/>
      <c r="N305" s="7"/>
      <c r="O305" s="7"/>
      <c r="P305" s="7"/>
      <c r="Q305" s="7"/>
      <c r="R305" s="7"/>
      <c r="S305" s="7"/>
      <c r="T305" s="7"/>
      <c r="U305" s="7"/>
      <c r="V305" s="7"/>
    </row>
    <row r="306" spans="2:22" x14ac:dyDescent="0.25">
      <c r="B306" s="9"/>
      <c r="C306" s="9"/>
      <c r="D306" s="7"/>
      <c r="E306" s="7"/>
      <c r="F306" s="9"/>
      <c r="G306" s="7"/>
      <c r="I306" s="7"/>
      <c r="J306" s="7"/>
      <c r="K306" s="7"/>
      <c r="L306" s="9"/>
      <c r="N306" s="7"/>
      <c r="O306" s="7"/>
      <c r="P306" s="7"/>
      <c r="Q306" s="7"/>
      <c r="R306" s="7"/>
      <c r="S306" s="7"/>
      <c r="T306" s="7"/>
      <c r="U306" s="7"/>
      <c r="V306" s="7"/>
    </row>
    <row r="307" spans="2:22" x14ac:dyDescent="0.25">
      <c r="B307" s="9"/>
      <c r="C307" s="9"/>
      <c r="D307" s="7"/>
      <c r="E307" s="7"/>
      <c r="F307" s="9"/>
      <c r="G307" s="7"/>
      <c r="I307" s="7"/>
      <c r="J307" s="7"/>
      <c r="K307" s="7"/>
      <c r="L307" s="9"/>
      <c r="N307" s="7"/>
      <c r="O307" s="7"/>
      <c r="P307" s="7"/>
      <c r="Q307" s="7"/>
      <c r="R307" s="7"/>
      <c r="S307" s="7"/>
      <c r="T307" s="7"/>
      <c r="U307" s="7"/>
      <c r="V307" s="7"/>
    </row>
    <row r="308" spans="2:22" x14ac:dyDescent="0.25">
      <c r="B308" s="9"/>
      <c r="C308" s="9"/>
      <c r="D308" s="7"/>
      <c r="E308" s="7"/>
      <c r="F308" s="9"/>
      <c r="G308" s="7"/>
      <c r="I308" s="7"/>
      <c r="J308" s="7"/>
      <c r="K308" s="7"/>
      <c r="L308" s="9"/>
      <c r="N308" s="7"/>
      <c r="O308" s="7"/>
      <c r="P308" s="7"/>
      <c r="Q308" s="7"/>
      <c r="R308" s="7"/>
      <c r="S308" s="7"/>
      <c r="T308" s="7"/>
      <c r="U308" s="7"/>
      <c r="V308" s="7"/>
    </row>
    <row r="309" spans="2:22" x14ac:dyDescent="0.25">
      <c r="B309" s="9"/>
      <c r="C309" s="9"/>
      <c r="D309" s="7"/>
      <c r="E309" s="7"/>
      <c r="F309" s="9"/>
      <c r="G309" s="7"/>
      <c r="I309" s="7"/>
      <c r="J309" s="7"/>
      <c r="K309" s="7"/>
      <c r="L309" s="9"/>
      <c r="N309" s="7"/>
      <c r="O309" s="7"/>
      <c r="P309" s="7"/>
      <c r="Q309" s="7"/>
      <c r="R309" s="7"/>
      <c r="S309" s="7"/>
      <c r="T309" s="7"/>
      <c r="U309" s="7"/>
      <c r="V309" s="7"/>
    </row>
    <row r="310" spans="2:22" x14ac:dyDescent="0.25">
      <c r="B310" s="9"/>
      <c r="C310" s="9"/>
      <c r="D310" s="7"/>
      <c r="E310" s="7"/>
      <c r="F310" s="9"/>
      <c r="G310" s="7"/>
      <c r="I310" s="7"/>
      <c r="J310" s="7"/>
      <c r="K310" s="7"/>
      <c r="L310" s="9"/>
      <c r="N310" s="7"/>
      <c r="O310" s="7"/>
      <c r="P310" s="7"/>
      <c r="Q310" s="7"/>
      <c r="R310" s="7"/>
      <c r="S310" s="7"/>
      <c r="T310" s="7"/>
      <c r="U310" s="7"/>
      <c r="V310" s="7"/>
    </row>
    <row r="311" spans="2:22" x14ac:dyDescent="0.25">
      <c r="B311" s="9"/>
      <c r="C311" s="9"/>
      <c r="D311" s="7"/>
      <c r="E311" s="7"/>
      <c r="F311" s="9"/>
      <c r="G311" s="7"/>
      <c r="I311" s="7"/>
      <c r="J311" s="7"/>
      <c r="K311" s="7"/>
      <c r="L311" s="9"/>
      <c r="N311" s="7"/>
      <c r="O311" s="7"/>
      <c r="P311" s="7"/>
      <c r="Q311" s="7"/>
      <c r="R311" s="7"/>
      <c r="S311" s="7"/>
      <c r="T311" s="7"/>
      <c r="U311" s="7"/>
      <c r="V311" s="7"/>
    </row>
    <row r="312" spans="2:22" x14ac:dyDescent="0.25">
      <c r="B312" s="9"/>
      <c r="C312" s="9"/>
      <c r="D312" s="7"/>
      <c r="E312" s="7"/>
      <c r="F312" s="9"/>
      <c r="G312" s="7"/>
      <c r="I312" s="7"/>
      <c r="J312" s="7"/>
      <c r="K312" s="7"/>
      <c r="L312" s="9"/>
      <c r="N312" s="7"/>
      <c r="O312" s="7"/>
      <c r="P312" s="7"/>
      <c r="Q312" s="7"/>
      <c r="R312" s="7"/>
      <c r="S312" s="7"/>
      <c r="T312" s="7"/>
      <c r="U312" s="7"/>
      <c r="V312" s="7"/>
    </row>
    <row r="313" spans="2:22" x14ac:dyDescent="0.25">
      <c r="B313" s="9"/>
      <c r="C313" s="9"/>
      <c r="D313" s="7"/>
      <c r="E313" s="7"/>
      <c r="F313" s="9"/>
      <c r="G313" s="7"/>
      <c r="I313" s="7"/>
      <c r="J313" s="7"/>
      <c r="K313" s="7"/>
      <c r="L313" s="9"/>
      <c r="N313" s="7"/>
      <c r="O313" s="7"/>
      <c r="P313" s="7"/>
      <c r="Q313" s="7"/>
      <c r="R313" s="7"/>
      <c r="S313" s="7"/>
      <c r="T313" s="7"/>
      <c r="U313" s="7"/>
      <c r="V313" s="7"/>
    </row>
    <row r="314" spans="2:22" x14ac:dyDescent="0.25">
      <c r="B314" s="9"/>
      <c r="C314" s="9"/>
      <c r="D314" s="7"/>
      <c r="E314" s="7"/>
      <c r="F314" s="9"/>
      <c r="G314" s="7"/>
      <c r="I314" s="7"/>
      <c r="J314" s="7"/>
      <c r="K314" s="7"/>
      <c r="L314" s="9"/>
      <c r="N314" s="7"/>
      <c r="O314" s="7"/>
      <c r="P314" s="7"/>
      <c r="Q314" s="7"/>
      <c r="R314" s="7"/>
      <c r="S314" s="7"/>
      <c r="T314" s="7"/>
      <c r="U314" s="7"/>
      <c r="V314" s="7"/>
    </row>
    <row r="315" spans="2:22" x14ac:dyDescent="0.25">
      <c r="B315" s="9"/>
      <c r="C315" s="9"/>
      <c r="D315" s="7"/>
      <c r="E315" s="7"/>
      <c r="F315" s="9"/>
      <c r="G315" s="7"/>
      <c r="I315" s="7"/>
      <c r="J315" s="7"/>
      <c r="K315" s="7"/>
      <c r="L315" s="9"/>
      <c r="N315" s="7"/>
      <c r="O315" s="7"/>
      <c r="P315" s="7"/>
      <c r="Q315" s="7"/>
      <c r="R315" s="7"/>
      <c r="S315" s="7"/>
      <c r="T315" s="7"/>
      <c r="U315" s="7"/>
      <c r="V315" s="7"/>
    </row>
    <row r="316" spans="2:22" x14ac:dyDescent="0.25">
      <c r="B316" s="9"/>
      <c r="C316" s="9"/>
      <c r="D316" s="7"/>
      <c r="E316" s="7"/>
      <c r="F316" s="9"/>
      <c r="G316" s="7"/>
      <c r="I316" s="7"/>
      <c r="J316" s="7"/>
      <c r="K316" s="7"/>
      <c r="L316" s="9"/>
      <c r="N316" s="7"/>
      <c r="O316" s="7"/>
      <c r="P316" s="7"/>
      <c r="Q316" s="7"/>
      <c r="R316" s="7"/>
      <c r="S316" s="7"/>
      <c r="T316" s="7"/>
      <c r="U316" s="7"/>
      <c r="V316" s="7"/>
    </row>
    <row r="317" spans="2:22" x14ac:dyDescent="0.25">
      <c r="B317" s="9"/>
      <c r="C317" s="9"/>
      <c r="D317" s="7"/>
      <c r="E317" s="7"/>
      <c r="F317" s="9"/>
      <c r="G317" s="7"/>
      <c r="I317" s="7"/>
      <c r="J317" s="7"/>
      <c r="K317" s="7"/>
      <c r="L317" s="9"/>
      <c r="N317" s="7"/>
      <c r="O317" s="7"/>
      <c r="P317" s="7"/>
      <c r="Q317" s="7"/>
      <c r="R317" s="7"/>
      <c r="S317" s="7"/>
      <c r="T317" s="7"/>
      <c r="U317" s="7"/>
      <c r="V317" s="7"/>
    </row>
    <row r="318" spans="2:22" x14ac:dyDescent="0.25">
      <c r="B318" s="9"/>
      <c r="C318" s="9"/>
      <c r="D318" s="7"/>
      <c r="E318" s="7"/>
      <c r="F318" s="9"/>
      <c r="G318" s="7"/>
      <c r="I318" s="7"/>
      <c r="J318" s="7"/>
      <c r="K318" s="7"/>
      <c r="L318" s="9"/>
      <c r="N318" s="7"/>
      <c r="O318" s="7"/>
      <c r="P318" s="7"/>
      <c r="Q318" s="7"/>
      <c r="R318" s="7"/>
      <c r="S318" s="7"/>
      <c r="T318" s="7"/>
      <c r="U318" s="7"/>
      <c r="V318" s="7"/>
    </row>
    <row r="319" spans="2:22" x14ac:dyDescent="0.25">
      <c r="B319" s="9"/>
      <c r="C319" s="9"/>
      <c r="D319" s="7"/>
      <c r="E319" s="7"/>
      <c r="F319" s="9"/>
      <c r="G319" s="7"/>
      <c r="I319" s="7"/>
      <c r="J319" s="7"/>
      <c r="K319" s="7"/>
      <c r="L319" s="9"/>
      <c r="N319" s="7"/>
      <c r="O319" s="7"/>
      <c r="P319" s="7"/>
      <c r="Q319" s="7"/>
      <c r="R319" s="7"/>
      <c r="S319" s="7"/>
      <c r="T319" s="7"/>
      <c r="U319" s="7"/>
      <c r="V319" s="7"/>
    </row>
    <row r="320" spans="2:22" x14ac:dyDescent="0.25">
      <c r="B320" s="9"/>
      <c r="C320" s="9"/>
      <c r="D320" s="7"/>
      <c r="E320" s="7"/>
      <c r="F320" s="9"/>
      <c r="G320" s="7"/>
      <c r="I320" s="7"/>
      <c r="J320" s="7"/>
      <c r="K320" s="7"/>
      <c r="L320" s="9"/>
      <c r="N320" s="7"/>
      <c r="O320" s="7"/>
      <c r="P320" s="7"/>
      <c r="Q320" s="7"/>
      <c r="R320" s="7"/>
      <c r="S320" s="7"/>
      <c r="T320" s="7"/>
      <c r="U320" s="7"/>
      <c r="V320" s="7"/>
    </row>
    <row r="321" spans="2:22" x14ac:dyDescent="0.25">
      <c r="B321" s="9"/>
      <c r="C321" s="9"/>
      <c r="D321" s="7"/>
      <c r="E321" s="7"/>
      <c r="F321" s="9"/>
      <c r="G321" s="7"/>
      <c r="I321" s="7"/>
      <c r="J321" s="7"/>
      <c r="K321" s="7"/>
      <c r="L321" s="9"/>
      <c r="N321" s="7"/>
      <c r="O321" s="7"/>
      <c r="P321" s="7"/>
      <c r="Q321" s="7"/>
      <c r="R321" s="7"/>
      <c r="S321" s="7"/>
      <c r="T321" s="7"/>
      <c r="U321" s="7"/>
      <c r="V321" s="7"/>
    </row>
    <row r="322" spans="2:22" x14ac:dyDescent="0.25">
      <c r="B322" s="9"/>
      <c r="C322" s="9"/>
      <c r="D322" s="7"/>
      <c r="E322" s="7"/>
      <c r="F322" s="9"/>
      <c r="G322" s="7"/>
      <c r="I322" s="7"/>
      <c r="J322" s="7"/>
      <c r="K322" s="7"/>
      <c r="L322" s="9"/>
      <c r="N322" s="7"/>
      <c r="O322" s="7"/>
      <c r="P322" s="7"/>
      <c r="Q322" s="7"/>
      <c r="R322" s="7"/>
      <c r="S322" s="7"/>
      <c r="T322" s="7"/>
      <c r="U322" s="7"/>
      <c r="V322" s="7"/>
    </row>
    <row r="323" spans="2:22" x14ac:dyDescent="0.25">
      <c r="B323" s="9"/>
      <c r="C323" s="9"/>
      <c r="D323" s="7"/>
      <c r="E323" s="7"/>
      <c r="F323" s="9"/>
      <c r="G323" s="7"/>
      <c r="I323" s="7"/>
      <c r="J323" s="7"/>
      <c r="K323" s="7"/>
      <c r="L323" s="9"/>
      <c r="N323" s="7"/>
      <c r="O323" s="7"/>
      <c r="P323" s="7"/>
      <c r="Q323" s="7"/>
      <c r="R323" s="7"/>
      <c r="S323" s="7"/>
      <c r="T323" s="7"/>
      <c r="U323" s="7"/>
      <c r="V323" s="7"/>
    </row>
    <row r="324" spans="2:22" x14ac:dyDescent="0.25">
      <c r="B324" s="9"/>
      <c r="C324" s="9"/>
      <c r="D324" s="7"/>
      <c r="E324" s="7"/>
      <c r="F324" s="9"/>
      <c r="G324" s="7"/>
      <c r="I324" s="7"/>
      <c r="J324" s="7"/>
      <c r="K324" s="7"/>
      <c r="L324" s="9"/>
      <c r="N324" s="7"/>
      <c r="O324" s="7"/>
      <c r="P324" s="7"/>
      <c r="Q324" s="7"/>
      <c r="R324" s="7"/>
      <c r="S324" s="7"/>
      <c r="T324" s="7"/>
      <c r="U324" s="7"/>
      <c r="V324" s="7"/>
    </row>
    <row r="325" spans="2:22" x14ac:dyDescent="0.25">
      <c r="B325" s="9"/>
      <c r="C325" s="9"/>
      <c r="D325" s="7"/>
      <c r="E325" s="7"/>
      <c r="F325" s="9"/>
      <c r="G325" s="7"/>
      <c r="I325" s="7"/>
      <c r="J325" s="7"/>
      <c r="K325" s="7"/>
      <c r="L325" s="9"/>
      <c r="N325" s="7"/>
      <c r="O325" s="7"/>
      <c r="P325" s="7"/>
      <c r="Q325" s="7"/>
      <c r="R325" s="7"/>
      <c r="S325" s="7"/>
      <c r="T325" s="7"/>
      <c r="U325" s="7"/>
      <c r="V325" s="7"/>
    </row>
    <row r="326" spans="2:22" x14ac:dyDescent="0.25">
      <c r="B326" s="9"/>
      <c r="C326" s="9"/>
      <c r="D326" s="7"/>
      <c r="E326" s="7"/>
      <c r="F326" s="9"/>
      <c r="G326" s="7"/>
      <c r="I326" s="7"/>
      <c r="J326" s="7"/>
      <c r="K326" s="7"/>
      <c r="L326" s="9"/>
      <c r="N326" s="7"/>
      <c r="O326" s="7"/>
      <c r="P326" s="7"/>
      <c r="Q326" s="7"/>
      <c r="R326" s="7"/>
      <c r="S326" s="7"/>
      <c r="T326" s="7"/>
      <c r="U326" s="7"/>
      <c r="V326" s="7"/>
    </row>
    <row r="327" spans="2:22" x14ac:dyDescent="0.25">
      <c r="B327" s="9"/>
      <c r="C327" s="9"/>
      <c r="D327" s="7"/>
      <c r="E327" s="7"/>
      <c r="F327" s="9"/>
      <c r="G327" s="7"/>
      <c r="I327" s="7"/>
      <c r="J327" s="7"/>
      <c r="K327" s="7"/>
      <c r="L327" s="9"/>
      <c r="N327" s="7"/>
      <c r="O327" s="7"/>
      <c r="P327" s="7"/>
      <c r="Q327" s="7"/>
      <c r="R327" s="7"/>
      <c r="S327" s="7"/>
      <c r="T327" s="7"/>
      <c r="U327" s="7"/>
      <c r="V327" s="7"/>
    </row>
    <row r="328" spans="2:22" x14ac:dyDescent="0.25">
      <c r="B328" s="9"/>
      <c r="C328" s="9"/>
      <c r="D328" s="7"/>
      <c r="E328" s="7"/>
      <c r="F328" s="9"/>
      <c r="G328" s="7"/>
      <c r="I328" s="7"/>
      <c r="J328" s="7"/>
      <c r="K328" s="7"/>
      <c r="L328" s="9"/>
      <c r="N328" s="7"/>
      <c r="O328" s="7"/>
      <c r="P328" s="7"/>
      <c r="Q328" s="7"/>
      <c r="R328" s="7"/>
      <c r="S328" s="7"/>
      <c r="T328" s="7"/>
      <c r="U328" s="7"/>
      <c r="V328" s="7"/>
    </row>
    <row r="329" spans="2:22" x14ac:dyDescent="0.25">
      <c r="B329" s="9"/>
      <c r="C329" s="9"/>
      <c r="D329" s="7"/>
      <c r="E329" s="7"/>
      <c r="F329" s="9"/>
      <c r="G329" s="7"/>
      <c r="I329" s="7"/>
      <c r="J329" s="7"/>
      <c r="K329" s="7"/>
      <c r="L329" s="9"/>
      <c r="N329" s="7"/>
      <c r="O329" s="7"/>
      <c r="P329" s="7"/>
      <c r="Q329" s="7"/>
      <c r="R329" s="7"/>
      <c r="S329" s="7"/>
      <c r="T329" s="7"/>
      <c r="U329" s="7"/>
      <c r="V329" s="7"/>
    </row>
    <row r="330" spans="2:22" x14ac:dyDescent="0.25">
      <c r="B330" s="9"/>
      <c r="C330" s="9"/>
      <c r="D330" s="7"/>
      <c r="E330" s="7"/>
      <c r="F330" s="9"/>
      <c r="G330" s="7"/>
      <c r="I330" s="7"/>
      <c r="J330" s="7"/>
      <c r="K330" s="7"/>
      <c r="L330" s="9"/>
      <c r="N330" s="7"/>
      <c r="O330" s="7"/>
      <c r="P330" s="7"/>
      <c r="Q330" s="7"/>
      <c r="R330" s="7"/>
      <c r="S330" s="7"/>
      <c r="T330" s="7"/>
      <c r="U330" s="7"/>
      <c r="V330" s="7"/>
    </row>
    <row r="331" spans="2:22" x14ac:dyDescent="0.25">
      <c r="B331" s="9"/>
      <c r="C331" s="9"/>
      <c r="D331" s="7"/>
      <c r="E331" s="7"/>
      <c r="F331" s="9"/>
      <c r="G331" s="7"/>
      <c r="I331" s="7"/>
      <c r="J331" s="7"/>
      <c r="K331" s="7"/>
      <c r="L331" s="9"/>
      <c r="N331" s="7"/>
      <c r="O331" s="7"/>
      <c r="P331" s="7"/>
      <c r="Q331" s="7"/>
      <c r="R331" s="7"/>
      <c r="S331" s="7"/>
      <c r="T331" s="7"/>
      <c r="U331" s="7"/>
      <c r="V331" s="7"/>
    </row>
    <row r="332" spans="2:22" x14ac:dyDescent="0.25">
      <c r="B332" s="9"/>
      <c r="C332" s="9"/>
      <c r="D332" s="7"/>
      <c r="E332" s="7"/>
      <c r="F332" s="9"/>
      <c r="G332" s="7"/>
      <c r="I332" s="7"/>
      <c r="J332" s="7"/>
      <c r="K332" s="7"/>
      <c r="L332" s="9"/>
      <c r="N332" s="7"/>
      <c r="O332" s="7"/>
      <c r="P332" s="7"/>
      <c r="Q332" s="7"/>
      <c r="R332" s="7"/>
      <c r="S332" s="7"/>
      <c r="T332" s="7"/>
      <c r="U332" s="7"/>
      <c r="V332" s="7"/>
    </row>
    <row r="333" spans="2:22" x14ac:dyDescent="0.25">
      <c r="B333" s="9"/>
      <c r="C333" s="9"/>
      <c r="D333" s="7"/>
      <c r="E333" s="7"/>
      <c r="F333" s="9"/>
      <c r="G333" s="7"/>
      <c r="I333" s="7"/>
      <c r="J333" s="7"/>
      <c r="K333" s="7"/>
      <c r="L333" s="9"/>
      <c r="N333" s="7"/>
      <c r="O333" s="7"/>
      <c r="P333" s="7"/>
      <c r="Q333" s="7"/>
      <c r="R333" s="7"/>
      <c r="S333" s="7"/>
      <c r="T333" s="7"/>
      <c r="U333" s="7"/>
      <c r="V333" s="7"/>
    </row>
    <row r="334" spans="2:22" x14ac:dyDescent="0.25">
      <c r="B334" s="9"/>
      <c r="C334" s="9"/>
      <c r="D334" s="7"/>
      <c r="E334" s="7"/>
      <c r="F334" s="9"/>
      <c r="G334" s="7"/>
      <c r="I334" s="7"/>
      <c r="J334" s="7"/>
      <c r="K334" s="7"/>
      <c r="L334" s="9"/>
      <c r="N334" s="7"/>
      <c r="O334" s="7"/>
      <c r="P334" s="7"/>
      <c r="Q334" s="7"/>
      <c r="R334" s="7"/>
      <c r="S334" s="7"/>
      <c r="T334" s="7"/>
      <c r="U334" s="7"/>
      <c r="V334" s="7"/>
    </row>
    <row r="335" spans="2:22" x14ac:dyDescent="0.25">
      <c r="B335" s="9"/>
      <c r="C335" s="9"/>
      <c r="D335" s="7"/>
      <c r="E335" s="7"/>
      <c r="F335" s="9"/>
      <c r="G335" s="7"/>
      <c r="I335" s="7"/>
      <c r="J335" s="7"/>
      <c r="K335" s="7"/>
      <c r="L335" s="9"/>
      <c r="N335" s="7"/>
      <c r="O335" s="7"/>
      <c r="P335" s="7"/>
      <c r="Q335" s="7"/>
      <c r="R335" s="7"/>
      <c r="S335" s="7"/>
      <c r="T335" s="7"/>
      <c r="U335" s="7"/>
      <c r="V335" s="7"/>
    </row>
    <row r="336" spans="2:22" x14ac:dyDescent="0.25">
      <c r="B336" s="9"/>
      <c r="C336" s="9"/>
      <c r="D336" s="7"/>
      <c r="E336" s="7"/>
      <c r="F336" s="9"/>
      <c r="G336" s="7"/>
      <c r="I336" s="7"/>
      <c r="J336" s="7"/>
      <c r="K336" s="7"/>
      <c r="L336" s="9"/>
      <c r="N336" s="7"/>
      <c r="O336" s="7"/>
      <c r="P336" s="7"/>
      <c r="Q336" s="7"/>
      <c r="R336" s="7"/>
      <c r="S336" s="7"/>
      <c r="T336" s="7"/>
      <c r="U336" s="7"/>
      <c r="V336" s="7"/>
    </row>
    <row r="337" spans="2:22" x14ac:dyDescent="0.25">
      <c r="B337" s="9"/>
      <c r="C337" s="9"/>
      <c r="D337" s="7"/>
      <c r="E337" s="7"/>
      <c r="F337" s="9"/>
      <c r="G337" s="7"/>
      <c r="I337" s="7"/>
      <c r="J337" s="7"/>
      <c r="K337" s="7"/>
      <c r="L337" s="9"/>
      <c r="N337" s="7"/>
      <c r="O337" s="7"/>
      <c r="P337" s="7"/>
      <c r="Q337" s="7"/>
      <c r="R337" s="7"/>
      <c r="S337" s="7"/>
      <c r="T337" s="7"/>
      <c r="U337" s="7"/>
      <c r="V337" s="7"/>
    </row>
    <row r="338" spans="2:22" x14ac:dyDescent="0.25">
      <c r="B338" s="9"/>
      <c r="C338" s="9"/>
      <c r="D338" s="7"/>
      <c r="E338" s="7"/>
      <c r="F338" s="9"/>
      <c r="G338" s="7"/>
      <c r="I338" s="7"/>
      <c r="J338" s="7"/>
      <c r="K338" s="7"/>
      <c r="L338" s="9"/>
      <c r="N338" s="7"/>
      <c r="O338" s="7"/>
      <c r="P338" s="7"/>
      <c r="Q338" s="7"/>
      <c r="R338" s="7"/>
      <c r="S338" s="7"/>
      <c r="T338" s="7"/>
      <c r="U338" s="7"/>
      <c r="V338" s="7"/>
    </row>
    <row r="339" spans="2:22" x14ac:dyDescent="0.25">
      <c r="B339" s="9"/>
      <c r="C339" s="9"/>
      <c r="D339" s="7"/>
      <c r="E339" s="7"/>
      <c r="F339" s="9"/>
      <c r="G339" s="7"/>
      <c r="I339" s="7"/>
      <c r="J339" s="7"/>
      <c r="K339" s="7"/>
      <c r="L339" s="9"/>
      <c r="N339" s="7"/>
      <c r="O339" s="7"/>
      <c r="P339" s="7"/>
      <c r="Q339" s="7"/>
      <c r="R339" s="7"/>
      <c r="S339" s="7"/>
      <c r="T339" s="7"/>
      <c r="U339" s="7"/>
      <c r="V339" s="7"/>
    </row>
    <row r="340" spans="2:22" x14ac:dyDescent="0.25">
      <c r="B340" s="9"/>
      <c r="C340" s="9"/>
      <c r="D340" s="7"/>
      <c r="E340" s="7"/>
      <c r="F340" s="9"/>
      <c r="G340" s="7"/>
      <c r="I340" s="7"/>
      <c r="J340" s="7"/>
      <c r="K340" s="7"/>
      <c r="L340" s="9"/>
      <c r="N340" s="7"/>
      <c r="O340" s="7"/>
      <c r="P340" s="7"/>
      <c r="Q340" s="7"/>
      <c r="R340" s="7"/>
      <c r="S340" s="7"/>
      <c r="T340" s="7"/>
      <c r="U340" s="7"/>
      <c r="V340" s="7"/>
    </row>
    <row r="341" spans="2:22" x14ac:dyDescent="0.25">
      <c r="B341" s="9"/>
      <c r="C341" s="9"/>
      <c r="D341" s="7"/>
      <c r="E341" s="7"/>
      <c r="F341" s="9"/>
      <c r="G341" s="7"/>
      <c r="I341" s="7"/>
      <c r="J341" s="7"/>
      <c r="K341" s="7"/>
      <c r="L341" s="9"/>
      <c r="N341" s="7"/>
      <c r="O341" s="7"/>
      <c r="P341" s="7"/>
      <c r="Q341" s="7"/>
      <c r="R341" s="7"/>
      <c r="S341" s="7"/>
      <c r="T341" s="7"/>
      <c r="U341" s="7"/>
      <c r="V341" s="7"/>
    </row>
    <row r="342" spans="2:22" x14ac:dyDescent="0.25">
      <c r="B342" s="9"/>
      <c r="C342" s="9"/>
      <c r="D342" s="7"/>
      <c r="E342" s="7"/>
      <c r="F342" s="9"/>
      <c r="G342" s="7"/>
      <c r="I342" s="7"/>
      <c r="J342" s="7"/>
      <c r="K342" s="7"/>
      <c r="L342" s="9"/>
      <c r="N342" s="7"/>
      <c r="O342" s="7"/>
      <c r="P342" s="7"/>
      <c r="Q342" s="7"/>
      <c r="R342" s="7"/>
      <c r="S342" s="7"/>
      <c r="T342" s="7"/>
      <c r="U342" s="7"/>
      <c r="V342" s="7"/>
    </row>
    <row r="343" spans="2:22" x14ac:dyDescent="0.25">
      <c r="B343" s="9"/>
      <c r="C343" s="9"/>
      <c r="D343" s="7"/>
      <c r="E343" s="7"/>
      <c r="F343" s="9"/>
      <c r="G343" s="7"/>
      <c r="I343" s="7"/>
      <c r="J343" s="7"/>
      <c r="K343" s="7"/>
      <c r="L343" s="9"/>
      <c r="N343" s="7"/>
      <c r="O343" s="7"/>
      <c r="P343" s="7"/>
      <c r="Q343" s="7"/>
      <c r="R343" s="7"/>
      <c r="S343" s="7"/>
      <c r="T343" s="7"/>
      <c r="U343" s="7"/>
      <c r="V343" s="7"/>
    </row>
    <row r="344" spans="2:22" x14ac:dyDescent="0.25">
      <c r="B344" s="9"/>
      <c r="C344" s="9"/>
      <c r="D344" s="7"/>
      <c r="E344" s="7"/>
      <c r="F344" s="9"/>
      <c r="G344" s="7"/>
      <c r="I344" s="7"/>
      <c r="J344" s="7"/>
      <c r="K344" s="7"/>
      <c r="L344" s="9"/>
      <c r="N344" s="7"/>
      <c r="O344" s="7"/>
      <c r="P344" s="7"/>
      <c r="Q344" s="7"/>
      <c r="R344" s="7"/>
      <c r="S344" s="7"/>
      <c r="T344" s="7"/>
      <c r="U344" s="7"/>
      <c r="V344" s="7"/>
    </row>
    <row r="345" spans="2:22" x14ac:dyDescent="0.25">
      <c r="B345" s="9"/>
      <c r="C345" s="9"/>
      <c r="D345" s="7"/>
      <c r="E345" s="7"/>
      <c r="F345" s="9"/>
      <c r="G345" s="7"/>
      <c r="I345" s="7"/>
      <c r="J345" s="7"/>
      <c r="K345" s="7"/>
      <c r="L345" s="9"/>
      <c r="N345" s="7"/>
      <c r="O345" s="7"/>
      <c r="P345" s="7"/>
      <c r="Q345" s="7"/>
      <c r="R345" s="7"/>
      <c r="S345" s="7"/>
      <c r="T345" s="7"/>
      <c r="U345" s="7"/>
      <c r="V345" s="7"/>
    </row>
    <row r="346" spans="2:22" x14ac:dyDescent="0.25">
      <c r="B346" s="9"/>
      <c r="C346" s="9"/>
      <c r="D346" s="7"/>
      <c r="E346" s="7"/>
      <c r="F346" s="9"/>
      <c r="G346" s="7"/>
      <c r="I346" s="7"/>
      <c r="J346" s="7"/>
      <c r="K346" s="7"/>
      <c r="L346" s="9"/>
      <c r="N346" s="7"/>
      <c r="O346" s="7"/>
      <c r="P346" s="7"/>
      <c r="Q346" s="7"/>
      <c r="R346" s="7"/>
      <c r="S346" s="7"/>
      <c r="T346" s="7"/>
      <c r="U346" s="7"/>
      <c r="V346" s="7"/>
    </row>
    <row r="347" spans="2:22" x14ac:dyDescent="0.25">
      <c r="B347" s="9"/>
      <c r="C347" s="9"/>
      <c r="D347" s="7"/>
      <c r="E347" s="7"/>
      <c r="F347" s="9"/>
      <c r="G347" s="7"/>
      <c r="I347" s="7"/>
      <c r="J347" s="7"/>
      <c r="K347" s="7"/>
      <c r="L347" s="9"/>
      <c r="N347" s="7"/>
      <c r="O347" s="7"/>
      <c r="P347" s="7"/>
      <c r="Q347" s="7"/>
      <c r="R347" s="7"/>
      <c r="S347" s="7"/>
      <c r="T347" s="7"/>
      <c r="U347" s="7"/>
      <c r="V347" s="7"/>
    </row>
    <row r="348" spans="2:22" x14ac:dyDescent="0.25">
      <c r="B348" s="9"/>
      <c r="C348" s="9"/>
      <c r="D348" s="7"/>
      <c r="E348" s="7"/>
      <c r="F348" s="9"/>
      <c r="G348" s="7"/>
      <c r="I348" s="7"/>
      <c r="J348" s="7"/>
      <c r="K348" s="7"/>
      <c r="L348" s="9"/>
      <c r="N348" s="7"/>
      <c r="O348" s="7"/>
      <c r="P348" s="7"/>
      <c r="Q348" s="7"/>
      <c r="R348" s="7"/>
      <c r="S348" s="7"/>
      <c r="T348" s="7"/>
      <c r="U348" s="7"/>
      <c r="V348" s="7"/>
    </row>
    <row r="349" spans="2:22" x14ac:dyDescent="0.25">
      <c r="B349" s="9"/>
      <c r="C349" s="9"/>
      <c r="D349" s="7"/>
      <c r="E349" s="7"/>
      <c r="F349" s="9"/>
      <c r="G349" s="7"/>
      <c r="I349" s="7"/>
      <c r="J349" s="7"/>
      <c r="K349" s="7"/>
      <c r="L349" s="9"/>
      <c r="N349" s="7"/>
      <c r="O349" s="7"/>
      <c r="P349" s="7"/>
      <c r="Q349" s="7"/>
      <c r="R349" s="7"/>
      <c r="S349" s="7"/>
      <c r="T349" s="7"/>
      <c r="U349" s="7"/>
      <c r="V349" s="7"/>
    </row>
    <row r="350" spans="2:22" x14ac:dyDescent="0.25">
      <c r="B350" s="9"/>
      <c r="C350" s="9"/>
      <c r="D350" s="7"/>
      <c r="E350" s="7"/>
      <c r="F350" s="9"/>
      <c r="G350" s="7"/>
      <c r="I350" s="7"/>
      <c r="J350" s="7"/>
      <c r="K350" s="7"/>
      <c r="L350" s="9"/>
      <c r="N350" s="7"/>
      <c r="O350" s="7"/>
      <c r="P350" s="7"/>
      <c r="Q350" s="7"/>
      <c r="R350" s="7"/>
      <c r="S350" s="7"/>
      <c r="T350" s="7"/>
      <c r="U350" s="7"/>
      <c r="V350" s="7"/>
    </row>
    <row r="351" spans="2:22" x14ac:dyDescent="0.25">
      <c r="B351" s="9"/>
      <c r="C351" s="9"/>
      <c r="D351" s="7"/>
      <c r="E351" s="7"/>
      <c r="F351" s="9"/>
      <c r="G351" s="7"/>
      <c r="I351" s="7"/>
      <c r="J351" s="7"/>
      <c r="K351" s="7"/>
      <c r="L351" s="9"/>
      <c r="N351" s="7"/>
      <c r="O351" s="7"/>
      <c r="P351" s="7"/>
      <c r="Q351" s="7"/>
      <c r="R351" s="7"/>
      <c r="S351" s="7"/>
      <c r="T351" s="7"/>
      <c r="U351" s="7"/>
      <c r="V351" s="7"/>
    </row>
    <row r="352" spans="2:22" x14ac:dyDescent="0.25">
      <c r="B352" s="9"/>
      <c r="C352" s="9"/>
      <c r="D352" s="7"/>
      <c r="E352" s="7"/>
      <c r="F352" s="9"/>
      <c r="G352" s="7"/>
      <c r="I352" s="7"/>
      <c r="J352" s="7"/>
      <c r="K352" s="7"/>
      <c r="L352" s="9"/>
      <c r="N352" s="7"/>
      <c r="O352" s="7"/>
      <c r="P352" s="7"/>
      <c r="Q352" s="7"/>
      <c r="R352" s="7"/>
      <c r="S352" s="7"/>
      <c r="T352" s="7"/>
      <c r="U352" s="7"/>
      <c r="V352" s="7"/>
    </row>
    <row r="353" spans="2:22" x14ac:dyDescent="0.25">
      <c r="B353" s="9"/>
      <c r="C353" s="9"/>
      <c r="D353" s="7"/>
      <c r="E353" s="7"/>
      <c r="F353" s="9"/>
      <c r="G353" s="7"/>
      <c r="I353" s="7"/>
      <c r="J353" s="7"/>
      <c r="K353" s="7"/>
      <c r="L353" s="9"/>
      <c r="N353" s="7"/>
      <c r="O353" s="7"/>
      <c r="P353" s="7"/>
      <c r="Q353" s="7"/>
      <c r="R353" s="7"/>
      <c r="S353" s="7"/>
      <c r="T353" s="7"/>
      <c r="U353" s="7"/>
      <c r="V353" s="7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567eafd-e777-42a5-91bb-9440fd43b893}" enabled="0" method="" siteId="{5567eafd-e777-42a5-91bb-9440fd43b89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8</vt:i4>
      </vt:variant>
    </vt:vector>
  </HeadingPairs>
  <TitlesOfParts>
    <vt:vector size="12" baseType="lpstr">
      <vt:lpstr>Parameters</vt:lpstr>
      <vt:lpstr>6states</vt:lpstr>
      <vt:lpstr>6states,ExoDamages</vt:lpstr>
      <vt:lpstr>6states,constantT&amp;epsilon</vt:lpstr>
      <vt:lpstr>Emissions</vt:lpstr>
      <vt:lpstr>Temperature</vt:lpstr>
      <vt:lpstr>SCC</vt:lpstr>
      <vt:lpstr>Energy capital</vt:lpstr>
      <vt:lpstr>Energy capital per AL</vt:lpstr>
      <vt:lpstr>Final energy</vt:lpstr>
      <vt:lpstr>Growth (levels)</vt:lpstr>
      <vt:lpstr>Growth (rates)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Venmans1,F</dc:creator>
  <cp:lastModifiedBy>Simon Dietz</cp:lastModifiedBy>
  <dcterms:created xsi:type="dcterms:W3CDTF">2025-01-09T17:56:26Z</dcterms:created>
  <dcterms:modified xsi:type="dcterms:W3CDTF">2026-02-06T17:56:10Z</dcterms:modified>
</cp:coreProperties>
</file>